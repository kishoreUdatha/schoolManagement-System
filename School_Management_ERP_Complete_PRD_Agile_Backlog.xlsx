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tables/table6.xml" ContentType="application/vnd.openxmlformats-officedocument.spreadsheetml.table+xml"/>
  <Override PartName="/xl/worksheets/sheet10.xml" ContentType="application/vnd.openxmlformats-officedocument.spreadsheetml.worksheet+xml"/>
  <Override PartName="/xl/tables/table7.xml" ContentType="application/vnd.openxmlformats-officedocument.spreadsheetml.table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tables/table9.xml" ContentType="application/vnd.openxmlformats-officedocument.spreadsheetml.table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  <Override PartName="/xl/worksheets/sheet15.xml" ContentType="application/vnd.openxmlformats-officedocument.spreadsheetml.worksheet+xml"/>
  <Override PartName="/xl/tables/table12.xml" ContentType="application/vnd.openxmlformats-officedocument.spreadsheetml.table+xml"/>
  <Override PartName="/xl/worksheets/sheet16.xml" ContentType="application/vnd.openxmlformats-officedocument.spreadsheetml.worksheet+xml"/>
  <Override PartName="/xl/tables/table13.xml" ContentType="application/vnd.openxmlformats-officedocument.spreadsheetml.table+xml"/>
  <Override PartName="/xl/worksheets/sheet17.xml" ContentType="application/vnd.openxmlformats-officedocument.spreadsheetml.worksheet+xml"/>
  <Override PartName="/xl/tables/table14.xml" ContentType="application/vnd.openxmlformats-officedocument.spreadsheetml.table+xml"/>
  <Override PartName="/xl/worksheets/sheet18.xml" ContentType="application/vnd.openxmlformats-officedocument.spreadsheetml.worksheet+xml"/>
  <Override PartName="/xl/tables/table15.xml" ContentType="application/vnd.openxmlformats-officedocument.spreadsheetml.table+xml"/>
  <Override PartName="/xl/worksheets/sheet19.xml" ContentType="application/vnd.openxmlformats-officedocument.spreadsheetml.worksheet+xml"/>
  <Override PartName="/xl/tables/table16.xml" ContentType="application/vnd.openxmlformats-officedocument.spreadsheetml.table+xml"/>
  <Override PartName="/xl/worksheets/sheet20.xml" ContentType="application/vnd.openxmlformats-officedocument.spreadsheetml.worksheet+xml"/>
  <Override PartName="/xl/tables/table17.xml" ContentType="application/vnd.openxmlformats-officedocument.spreadsheetml.table+xml"/>
  <Override PartName="/xl/worksheets/sheet21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8f2a59e5284f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RP Blueprint" sheetId="1" r:id="R97be6df9b32c4b15"/>
    <x:sheet xmlns:r="http://schemas.openxmlformats.org/officeDocument/2006/relationships" name="Master Screens" sheetId="2" r:id="Ra1e991b04d094258"/>
    <x:sheet xmlns:r="http://schemas.openxmlformats.org/officeDocument/2006/relationships" name="Role Coverage" sheetId="3" r:id="Rf3b3a02c03b4437d"/>
    <x:sheet xmlns:r="http://schemas.openxmlformats.org/officeDocument/2006/relationships" name="Delivery Plan" sheetId="4" r:id="Rce825cd7192c497e"/>
    <x:sheet xmlns:r="http://schemas.openxmlformats.org/officeDocument/2006/relationships" name="Epics" sheetId="5" r:id="R5a28d356130e4930"/>
    <x:sheet xmlns:r="http://schemas.openxmlformats.org/officeDocument/2006/relationships" name="User Stories" sheetId="6" r:id="R783dc3d3d55c4291"/>
    <x:sheet xmlns:r="http://schemas.openxmlformats.org/officeDocument/2006/relationships" name="Acceptance Criteria" sheetId="7" r:id="Ra2bbcfd617e047f6"/>
    <x:sheet xmlns:r="http://schemas.openxmlformats.org/officeDocument/2006/relationships" name="Business Logic" sheetId="8" r:id="R489878ebd328490a"/>
    <x:sheet xmlns:r="http://schemas.openxmlformats.org/officeDocument/2006/relationships" name="Business Rules" sheetId="9" r:id="R1e9aecea1e974873"/>
    <x:sheet xmlns:r="http://schemas.openxmlformats.org/officeDocument/2006/relationships" name="Workflows" sheetId="10" r:id="Ra07c9057d84f4f1a"/>
    <x:sheet xmlns:r="http://schemas.openxmlformats.org/officeDocument/2006/relationships" name="Validations" sheetId="11" r:id="R835dfb7bb6774cc6"/>
    <x:sheet xmlns:r="http://schemas.openxmlformats.org/officeDocument/2006/relationships" name="RBAC Matrix" sheetId="12" r:id="Rd847b857a8bc4ad3"/>
    <x:sheet xmlns:r="http://schemas.openxmlformats.org/officeDocument/2006/relationships" name="Notifications" sheetId="13" r:id="R7c063f4f8598492c"/>
    <x:sheet xmlns:r="http://schemas.openxmlformats.org/officeDocument/2006/relationships" name="Calculations" sheetId="14" r:id="Re4f3efb4437b4804"/>
    <x:sheet xmlns:r="http://schemas.openxmlformats.org/officeDocument/2006/relationships" name="Exceptions" sheetId="15" r:id="R3424015a992f48b5"/>
    <x:sheet xmlns:r="http://schemas.openxmlformats.org/officeDocument/2006/relationships" name="API Services" sheetId="16" r:id="R57309f3db6314b81"/>
    <x:sheet xmlns:r="http://schemas.openxmlformats.org/officeDocument/2006/relationships" name="Data Entities" sheetId="17" r:id="Reb355430d3004f4b"/>
    <x:sheet xmlns:r="http://schemas.openxmlformats.org/officeDocument/2006/relationships" name="NFR Requirements" sheetId="18" r:id="Re9fd84c81f9049c2"/>
    <x:sheet xmlns:r="http://schemas.openxmlformats.org/officeDocument/2006/relationships" name="Traceability" sheetId="19" r:id="R1af913d5fd5c4f54"/>
    <x:sheet xmlns:r="http://schemas.openxmlformats.org/officeDocument/2006/relationships" name="Definition of Done" sheetId="20" r:id="R5a2b69bca1c54144"/>
    <x:sheet xmlns:r="http://schemas.openxmlformats.org/officeDocument/2006/relationships" name="PRD Summary" sheetId="21" r:id="Rf4a97b9d990b4ee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9">
    <x:font>
      <x:sz val="11"/>
      <x:name val="Carlito"/>
    </x:font>
    <x:font>
      <x:b/>
      <x:sz val="11"/>
      <x:color rgb="FFFFFFFF"/>
      <x:name val="Carlito"/>
    </x:font>
    <x:font>
      <x:sz val="10"/>
      <x:color rgb="FF17324D"/>
      <x:name val="Carlito"/>
    </x:font>
    <x:font>
      <x:b/>
      <x:sz val="20"/>
      <x:color rgb="FFFFFFFF"/>
      <x:name val="Carlito"/>
    </x:font>
    <x:font>
      <x:sz val="11"/>
      <x:color rgb="FF315A85"/>
      <x:name val="Carlito"/>
    </x:font>
    <x:font>
      <x:b/>
      <x:sz val="10"/>
      <x:color rgb="FF315A85"/>
      <x:name val="Carlito"/>
    </x:font>
    <x:font>
      <x:b/>
      <x:sz val="22"/>
      <x:color rgb="FF123A70"/>
      <x:name val="Carlito"/>
    </x:font>
    <x:font>
      <x:b/>
      <x:sz val="18"/>
      <x:color rgb="FFFFFFFF"/>
      <x:name val="Carlito"/>
    </x:font>
    <x:font>
      <x:i/>
      <x:sz val="10"/>
      <x:color rgb="FF9A5A13"/>
      <x:name val="Carlito"/>
    </x:font>
    <x:font>
      <x:b/>
      <x:sz val="10"/>
      <x:color rgb="FF17324D"/>
      <x:name val="Aptos"/>
    </x:font>
    <x:font>
      <x:sz val="10"/>
      <x:color rgb="FF17324D"/>
      <x:name val="Aptos"/>
    </x:font>
    <x:font>
      <x:i/>
      <x:sz val="10"/>
      <x:color rgb="FF17324D"/>
      <x:name val="Aptos"/>
    </x:font>
    <x:font>
      <x:b/>
      <x:sz val="20"/>
      <x:color rgb="FFFFFFFF"/>
      <x:name val="Aptos Display"/>
    </x:font>
    <x:font>
      <x:b/>
      <x:sz val="11"/>
      <x:color rgb="FFFFFFFF"/>
      <x:name val="Aptos"/>
    </x:font>
    <x:font>
      <x:b/>
      <x:sz val="18"/>
      <x:color rgb="FFFFFFFF"/>
      <x:name val="Aptos Display"/>
    </x:font>
    <x:font>
      <x:b/>
      <x:sz val="10"/>
      <x:color rgb="FFFFFFFF"/>
      <x:name val="Carlito"/>
    </x:font>
    <x:font>
      <x:sz val="9"/>
      <x:color rgb="FF17324D"/>
      <x:name val="Aptos"/>
    </x:font>
    <x:font>
      <x:sz val="10"/>
      <x:color rgb="FF315A85"/>
      <x:name val="Carlito"/>
    </x:font>
    <x:font>
      <x:b/>
      <x:sz val="22"/>
      <x:color rgb="FF0F2A56"/>
      <x:name val="Carlito"/>
    </x:font>
  </x:fonts>
  <x:fills count="18">
    <x:fill>
      <x:patternFill patternType="none"/>
    </x:fill>
    <x:fill>
      <x:patternFill patternType="gray125"/>
    </x:fill>
    <x:fill>
      <x:patternFill patternType="solid">
        <x:fgColor rgb="FF123A70"/>
      </x:patternFill>
    </x:fill>
    <x:fill>
      <x:patternFill patternType="solid">
        <x:fgColor rgb="FFEAF4FF"/>
      </x:patternFill>
    </x:fill>
    <x:fill>
      <x:patternFill patternType="solid">
        <x:fgColor rgb="FFECFDF5"/>
      </x:patternFill>
    </x:fill>
    <x:fill>
      <x:patternFill patternType="solid">
        <x:fgColor rgb="FFFFF7ED"/>
      </x:patternFill>
    </x:fill>
    <x:fill>
      <x:patternFill patternType="solid">
        <x:fgColor rgb="FFDCFCE7"/>
      </x:patternFill>
    </x:fill>
    <x:fill>
      <x:patternFill patternType="solid">
        <x:fgColor rgb="FFDBEAFE"/>
      </x:patternFill>
    </x:fill>
    <x:fill>
      <x:patternFill patternType="solid">
        <x:fgColor rgb="FFF3E8FF"/>
      </x:patternFill>
    </x:fill>
    <x:fill>
      <x:patternFill patternType="solid">
        <x:fgColor rgb="FF123A70"/>
      </x:patternFill>
    </x:fill>
    <x:fill>
      <x:patternFill patternType="solid">
        <x:fgColor rgb="FF0F2A56"/>
      </x:patternFill>
    </x:fill>
    <x:fill>
      <x:patternFill patternType="solid">
        <x:fgColor rgb="FFEAF4FF"/>
      </x:patternFill>
    </x:fill>
    <x:fill>
      <x:patternFill patternType="solid">
        <x:fgColor rgb="FFECFDF5"/>
      </x:patternFill>
    </x:fill>
    <x:fill>
      <x:patternFill patternType="solid">
        <x:fgColor rgb="FFFFF7ED"/>
      </x:patternFill>
    </x:fill>
    <x:fill>
      <x:patternFill patternType="solid">
        <x:fgColor rgb="FFF5F3FF"/>
      </x:patternFill>
    </x:fill>
    <x:fill>
      <x:patternFill patternType="solid">
        <x:fgColor rgb="FFDCFCE7"/>
      </x:patternFill>
    </x:fill>
    <x:fill>
      <x:patternFill patternType="solid">
        <x:fgColor rgb="FFDBEAFE"/>
      </x:patternFill>
    </x:fill>
    <x:fill>
      <x:patternFill patternType="solid">
        <x:fgColor rgb="FFF3E8FF"/>
      </x:patternFill>
    </x:fill>
  </x:fills>
  <x:borders count="17">
    <x:border/>
    <x:border/>
    <x:border/>
    <x:border/>
    <x:border/>
    <x:border/>
    <x:border/>
    <x:border/>
    <x:border/>
    <x:border/>
    <x:border/>
    <x:border/>
    <x:border/>
    <x:border/>
    <x:border/>
    <x:border/>
    <x:border>
      <x:bottom/>
    </x:border>
  </x:borders>
  <x:cellStyleXfs count="1">
    <x:xf numFmtId="0" fontId="0" fillId="0" borderId="0"/>
  </x:cellStyleXfs>
  <x:cellXfs count="39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vertical="top"/>
    </x:xf>
    <x:xf numFmtId="0" fontId="2" fillId="0" borderId="1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 applyAlignment="1">
      <x:alignment vertical="top" wrapText="1"/>
    </x:xf>
    <x:xf numFmtId="0" fontId="2" fillId="0" borderId="2" xfId="0" applyNumberFormat="1" applyFont="1" applyFill="1" applyBorder="1" applyAlignment="1">
      <x:alignment vertical="top" wrapText="1"/>
    </x:xf>
    <x:xf numFmtId="0" fontId="2" fillId="0" borderId="3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left"/>
    </x:xf>
    <x:xf numFmtId="0" fontId="3" fillId="2" borderId="0" xfId="0" applyNumberFormat="1" applyFont="1" applyFill="1" applyBorder="1" applyAlignment="1">
      <x:alignment horizontal="left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left"/>
    </x:xf>
    <x:xf numFmtId="0" fontId="3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vertical="center"/>
    </x:xf>
    <x:xf numFmtId="0" fontId="0" fillId="3" borderId="4" xfId="0" applyNumberFormat="1" applyFont="1" applyFill="1" applyBorder="1"/>
    <x:xf numFmtId="0" fontId="0" fillId="3" borderId="5" xfId="0" applyNumberFormat="1" applyFont="1" applyFill="1" applyBorder="1"/>
    <x:xf numFmtId="0" fontId="0" fillId="3" borderId="6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0" fillId="3" borderId="10" xfId="0" applyNumberFormat="1" applyFont="1" applyFill="1" applyBorder="1"/>
    <x:xf numFmtId="0" fontId="0" fillId="3" borderId="11" xfId="0" applyNumberFormat="1" applyFont="1" applyFill="1" applyBorder="1"/>
    <x:xf numFmtId="0" fontId="0" fillId="3" borderId="12" xfId="0" applyNumberFormat="1" applyFont="1" applyFill="1" applyBorder="1"/>
    <x:xf numFmtId="0" fontId="0" fillId="3" borderId="13" xfId="0" applyNumberFormat="1" applyFont="1" applyFill="1" applyBorder="1"/>
    <x:xf numFmtId="0" fontId="0" fillId="3" borderId="14" xfId="0" applyNumberFormat="1" applyFont="1" applyFill="1" applyBorder="1"/>
    <x:xf numFmtId="0" fontId="0" fillId="3" borderId="15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4" borderId="4" xfId="0" applyNumberFormat="1" applyFont="1" applyFill="1" applyBorder="1"/>
    <x:xf numFmtId="0" fontId="0" fillId="4" borderId="5" xfId="0" applyNumberFormat="1" applyFont="1" applyFill="1" applyBorder="1"/>
    <x:xf numFmtId="0" fontId="0" fillId="4" borderId="6" xfId="0" applyNumberFormat="1" applyFont="1" applyFill="1" applyBorder="1"/>
    <x:xf numFmtId="0" fontId="0" fillId="4" borderId="7" xfId="0" applyNumberFormat="1" applyFont="1" applyFill="1" applyBorder="1"/>
    <x:xf numFmtId="0" fontId="0" fillId="4" borderId="8" xfId="0" applyNumberFormat="1" applyFont="1" applyFill="1" applyBorder="1"/>
    <x:xf numFmtId="0" fontId="0" fillId="4" borderId="9" xfId="0" applyNumberFormat="1" applyFont="1" applyFill="1" applyBorder="1"/>
    <x:xf numFmtId="0" fontId="0" fillId="4" borderId="10" xfId="0" applyNumberFormat="1" applyFont="1" applyFill="1" applyBorder="1"/>
    <x:xf numFmtId="0" fontId="0" fillId="4" borderId="11" xfId="0" applyNumberFormat="1" applyFont="1" applyFill="1" applyBorder="1"/>
    <x:xf numFmtId="0" fontId="0" fillId="4" borderId="12" xfId="0" applyNumberFormat="1" applyFont="1" applyFill="1" applyBorder="1"/>
    <x:xf numFmtId="0" fontId="0" fillId="4" borderId="13" xfId="0" applyNumberFormat="1" applyFont="1" applyFill="1" applyBorder="1"/>
    <x:xf numFmtId="0" fontId="0" fillId="4" borderId="14" xfId="0" applyNumberFormat="1" applyFont="1" applyFill="1" applyBorder="1"/>
    <x:xf numFmtId="0" fontId="0" fillId="4" borderId="15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5" borderId="4" xfId="0" applyNumberFormat="1" applyFont="1" applyFill="1" applyBorder="1"/>
    <x:xf numFmtId="0" fontId="0" fillId="5" borderId="5" xfId="0" applyNumberFormat="1" applyFont="1" applyFill="1" applyBorder="1"/>
    <x:xf numFmtId="0" fontId="0" fillId="5" borderId="6" xfId="0" applyNumberFormat="1" applyFont="1" applyFill="1" applyBorder="1"/>
    <x:xf numFmtId="0" fontId="0" fillId="5" borderId="7" xfId="0" applyNumberFormat="1" applyFont="1" applyFill="1" applyBorder="1"/>
    <x:xf numFmtId="0" fontId="0" fillId="5" borderId="8" xfId="0" applyNumberFormat="1" applyFont="1" applyFill="1" applyBorder="1"/>
    <x:xf numFmtId="0" fontId="0" fillId="5" borderId="9" xfId="0" applyNumberFormat="1" applyFont="1" applyFill="1" applyBorder="1"/>
    <x:xf numFmtId="0" fontId="0" fillId="5" borderId="10" xfId="0" applyNumberFormat="1" applyFont="1" applyFill="1" applyBorder="1"/>
    <x:xf numFmtId="0" fontId="0" fillId="5" borderId="11" xfId="0" applyNumberFormat="1" applyFont="1" applyFill="1" applyBorder="1"/>
    <x:xf numFmtId="0" fontId="0" fillId="5" borderId="12" xfId="0" applyNumberFormat="1" applyFont="1" applyFill="1" applyBorder="1"/>
    <x:xf numFmtId="0" fontId="0" fillId="5" borderId="13" xfId="0" applyNumberFormat="1" applyFont="1" applyFill="1" applyBorder="1"/>
    <x:xf numFmtId="0" fontId="0" fillId="5" borderId="14" xfId="0" applyNumberFormat="1" applyFont="1" applyFill="1" applyBorder="1"/>
    <x:xf numFmtId="0" fontId="0" fillId="5" borderId="15" xfId="0" applyNumberFormat="1" applyFont="1" applyFill="1" applyBorder="1"/>
    <x:xf numFmtId="0" fontId="5" fillId="3" borderId="4" xfId="0" applyNumberFormat="1" applyFont="1" applyFill="1" applyBorder="1"/>
    <x:xf numFmtId="0" fontId="5" fillId="3" borderId="5" xfId="0" applyNumberFormat="1" applyFont="1" applyFill="1" applyBorder="1"/>
    <x:xf numFmtId="0" fontId="5" fillId="0" borderId="0" xfId="0" applyNumberFormat="1" applyFont="1" applyFill="1" applyBorder="1"/>
    <x:xf numFmtId="0" fontId="5" fillId="4" borderId="4" xfId="0" applyNumberFormat="1" applyFont="1" applyFill="1" applyBorder="1"/>
    <x:xf numFmtId="0" fontId="5" fillId="4" borderId="5" xfId="0" applyNumberFormat="1" applyFont="1" applyFill="1" applyBorder="1"/>
    <x:xf numFmtId="0" fontId="5" fillId="5" borderId="4" xfId="0" applyNumberFormat="1" applyFont="1" applyFill="1" applyBorder="1"/>
    <x:xf numFmtId="0" fontId="5" fillId="5" borderId="5" xfId="0" applyNumberFormat="1" applyFont="1" applyFill="1" applyBorder="1"/>
    <x:xf numFmtId="0" fontId="5" fillId="3" borderId="10" xfId="0" applyNumberFormat="1" applyFont="1" applyFill="1" applyBorder="1"/>
    <x:xf numFmtId="0" fontId="5" fillId="3" borderId="11" xfId="0" applyNumberFormat="1" applyFont="1" applyFill="1" applyBorder="1"/>
    <x:xf numFmtId="0" fontId="5" fillId="0" borderId="1" xfId="0" applyNumberFormat="1" applyFont="1" applyFill="1" applyBorder="1"/>
    <x:xf numFmtId="0" fontId="5" fillId="4" borderId="10" xfId="0" applyNumberFormat="1" applyFont="1" applyFill="1" applyBorder="1"/>
    <x:xf numFmtId="0" fontId="5" fillId="4" borderId="11" xfId="0" applyNumberFormat="1" applyFont="1" applyFill="1" applyBorder="1"/>
    <x:xf numFmtId="0" fontId="5" fillId="5" borderId="10" xfId="0" applyNumberFormat="1" applyFont="1" applyFill="1" applyBorder="1"/>
    <x:xf numFmtId="0" fontId="5" fillId="5" borderId="11" xfId="0" applyNumberFormat="1" applyFont="1" applyFill="1" applyBorder="1"/>
    <x:xf numFmtId="0" fontId="6" fillId="3" borderId="6" xfId="0" applyNumberFormat="1" applyFont="1" applyFill="1" applyBorder="1"/>
    <x:xf numFmtId="0" fontId="6" fillId="3" borderId="7" xfId="0" applyNumberFormat="1" applyFont="1" applyFill="1" applyBorder="1"/>
    <x:xf numFmtId="0" fontId="6" fillId="0" borderId="0" xfId="0" applyNumberFormat="1" applyFont="1" applyFill="1" applyBorder="1"/>
    <x:xf numFmtId="0" fontId="6" fillId="4" borderId="6" xfId="0" applyNumberFormat="1" applyFont="1" applyFill="1" applyBorder="1"/>
    <x:xf numFmtId="0" fontId="6" fillId="4" borderId="7" xfId="0" applyNumberFormat="1" applyFont="1" applyFill="1" applyBorder="1"/>
    <x:xf numFmtId="0" fontId="6" fillId="5" borderId="6" xfId="0" applyNumberFormat="1" applyFont="1" applyFill="1" applyBorder="1"/>
    <x:xf numFmtId="0" fontId="6" fillId="5" borderId="7" xfId="0" applyNumberFormat="1" applyFont="1" applyFill="1" applyBorder="1"/>
    <x:xf numFmtId="0" fontId="6" fillId="3" borderId="8" xfId="0" applyNumberFormat="1" applyFont="1" applyFill="1" applyBorder="1"/>
    <x:xf numFmtId="0" fontId="6" fillId="3" borderId="9" xfId="0" applyNumberFormat="1" applyFont="1" applyFill="1" applyBorder="1"/>
    <x:xf numFmtId="0" fontId="6" fillId="4" borderId="8" xfId="0" applyNumberFormat="1" applyFont="1" applyFill="1" applyBorder="1"/>
    <x:xf numFmtId="0" fontId="6" fillId="4" borderId="9" xfId="0" applyNumberFormat="1" applyFont="1" applyFill="1" applyBorder="1"/>
    <x:xf numFmtId="0" fontId="6" fillId="5" borderId="8" xfId="0" applyNumberFormat="1" applyFont="1" applyFill="1" applyBorder="1"/>
    <x:xf numFmtId="0" fontId="6" fillId="5" borderId="9" xfId="0" applyNumberFormat="1" applyFont="1" applyFill="1" applyBorder="1"/>
    <x:xf numFmtId="0" fontId="6" fillId="3" borderId="12" xfId="0" applyNumberFormat="1" applyFont="1" applyFill="1" applyBorder="1"/>
    <x:xf numFmtId="0" fontId="6" fillId="3" borderId="13" xfId="0" applyNumberFormat="1" applyFont="1" applyFill="1" applyBorder="1"/>
    <x:xf numFmtId="0" fontId="6" fillId="0" borderId="1" xfId="0" applyNumberFormat="1" applyFont="1" applyFill="1" applyBorder="1"/>
    <x:xf numFmtId="0" fontId="6" fillId="4" borderId="12" xfId="0" applyNumberFormat="1" applyFont="1" applyFill="1" applyBorder="1"/>
    <x:xf numFmtId="0" fontId="6" fillId="4" borderId="13" xfId="0" applyNumberFormat="1" applyFont="1" applyFill="1" applyBorder="1"/>
    <x:xf numFmtId="0" fontId="6" fillId="5" borderId="12" xfId="0" applyNumberFormat="1" applyFont="1" applyFill="1" applyBorder="1"/>
    <x:xf numFmtId="0" fontId="6" fillId="5" borderId="13" xfId="0" applyNumberFormat="1" applyFont="1" applyFill="1" applyBorder="1"/>
    <x:xf numFmtId="0" fontId="6" fillId="3" borderId="14" xfId="0" applyNumberFormat="1" applyFont="1" applyFill="1" applyBorder="1"/>
    <x:xf numFmtId="0" fontId="6" fillId="3" borderId="15" xfId="0" applyNumberFormat="1" applyFont="1" applyFill="1" applyBorder="1"/>
    <x:xf numFmtId="0" fontId="6" fillId="4" borderId="14" xfId="0" applyNumberFormat="1" applyFont="1" applyFill="1" applyBorder="1"/>
    <x:xf numFmtId="0" fontId="6" fillId="4" borderId="15" xfId="0" applyNumberFormat="1" applyFont="1" applyFill="1" applyBorder="1"/>
    <x:xf numFmtId="0" fontId="6" fillId="5" borderId="14" xfId="0" applyNumberFormat="1" applyFont="1" applyFill="1" applyBorder="1"/>
    <x:xf numFmtId="0" fontId="6" fillId="5" borderId="15" xfId="0" applyNumberFormat="1" applyFont="1" applyFill="1" applyBorder="1"/>
    <x:xf numFmtId="0" fontId="5" fillId="3" borderId="4" xfId="0" applyNumberFormat="1" applyFont="1" applyFill="1" applyBorder="1" applyAlignment="1">
      <x:alignment horizontal="center"/>
    </x:xf>
    <x:xf numFmtId="0" fontId="5" fillId="3" borderId="5" xfId="0" applyNumberFormat="1" applyFont="1" applyFill="1" applyBorder="1" applyAlignment="1">
      <x:alignment horizontal="center"/>
    </x:xf>
    <x:xf numFmtId="0" fontId="5" fillId="0" borderId="0" xfId="0" applyNumberFormat="1" applyFont="1" applyFill="1" applyBorder="1" applyAlignment="1">
      <x:alignment horizontal="center"/>
    </x:xf>
    <x:xf numFmtId="0" fontId="5" fillId="4" borderId="4" xfId="0" applyNumberFormat="1" applyFont="1" applyFill="1" applyBorder="1" applyAlignment="1">
      <x:alignment horizontal="center"/>
    </x:xf>
    <x:xf numFmtId="0" fontId="5" fillId="4" borderId="5" xfId="0" applyNumberFormat="1" applyFont="1" applyFill="1" applyBorder="1" applyAlignment="1">
      <x:alignment horizontal="center"/>
    </x:xf>
    <x:xf numFmtId="0" fontId="5" fillId="5" borderId="4" xfId="0" applyNumberFormat="1" applyFont="1" applyFill="1" applyBorder="1" applyAlignment="1">
      <x:alignment horizontal="center"/>
    </x:xf>
    <x:xf numFmtId="0" fontId="5" fillId="5" borderId="5" xfId="0" applyNumberFormat="1" applyFont="1" applyFill="1" applyBorder="1" applyAlignment="1">
      <x:alignment horizontal="center"/>
    </x:xf>
    <x:xf numFmtId="0" fontId="6" fillId="3" borderId="6" xfId="0" applyNumberFormat="1" applyFont="1" applyFill="1" applyBorder="1" applyAlignment="1">
      <x:alignment horizontal="center"/>
    </x:xf>
    <x:xf numFmtId="0" fontId="6" fillId="3" borderId="7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 applyAlignment="1">
      <x:alignment horizontal="center"/>
    </x:xf>
    <x:xf numFmtId="0" fontId="6" fillId="4" borderId="6" xfId="0" applyNumberFormat="1" applyFont="1" applyFill="1" applyBorder="1" applyAlignment="1">
      <x:alignment horizontal="center"/>
    </x:xf>
    <x:xf numFmtId="0" fontId="6" fillId="4" borderId="7" xfId="0" applyNumberFormat="1" applyFont="1" applyFill="1" applyBorder="1" applyAlignment="1">
      <x:alignment horizontal="center"/>
    </x:xf>
    <x:xf numFmtId="0" fontId="6" fillId="5" borderId="6" xfId="0" applyNumberFormat="1" applyFont="1" applyFill="1" applyBorder="1" applyAlignment="1">
      <x:alignment horizontal="center"/>
    </x:xf>
    <x:xf numFmtId="0" fontId="6" fillId="5" borderId="7" xfId="0" applyNumberFormat="1" applyFont="1" applyFill="1" applyBorder="1" applyAlignment="1">
      <x:alignment horizontal="center"/>
    </x:xf>
    <x:xf numFmtId="0" fontId="6" fillId="3" borderId="8" xfId="0" applyNumberFormat="1" applyFont="1" applyFill="1" applyBorder="1" applyAlignment="1">
      <x:alignment horizontal="center"/>
    </x:xf>
    <x:xf numFmtId="0" fontId="6" fillId="3" borderId="9" xfId="0" applyNumberFormat="1" applyFont="1" applyFill="1" applyBorder="1" applyAlignment="1">
      <x:alignment horizontal="center"/>
    </x:xf>
    <x:xf numFmtId="0" fontId="6" fillId="4" borderId="8" xfId="0" applyNumberFormat="1" applyFont="1" applyFill="1" applyBorder="1" applyAlignment="1">
      <x:alignment horizontal="center"/>
    </x:xf>
    <x:xf numFmtId="0" fontId="6" fillId="4" borderId="9" xfId="0" applyNumberFormat="1" applyFont="1" applyFill="1" applyBorder="1" applyAlignment="1">
      <x:alignment horizontal="center"/>
    </x:xf>
    <x:xf numFmtId="0" fontId="6" fillId="5" borderId="8" xfId="0" applyNumberFormat="1" applyFont="1" applyFill="1" applyBorder="1" applyAlignment="1">
      <x:alignment horizontal="center"/>
    </x:xf>
    <x:xf numFmtId="0" fontId="6" fillId="5" borderId="9" xfId="0" applyNumberFormat="1" applyFont="1" applyFill="1" applyBorder="1" applyAlignment="1">
      <x:alignment horizontal="center"/>
    </x:xf>
    <x:xf numFmtId="0" fontId="5" fillId="3" borderId="10" xfId="0" applyNumberFormat="1" applyFont="1" applyFill="1" applyBorder="1" applyAlignment="1">
      <x:alignment horizontal="center"/>
    </x:xf>
    <x:xf numFmtId="0" fontId="5" fillId="3" borderId="11" xfId="0" applyNumberFormat="1" applyFont="1" applyFill="1" applyBorder="1" applyAlignment="1">
      <x:alignment horizontal="center"/>
    </x:xf>
    <x:xf numFmtId="0" fontId="5" fillId="0" borderId="1" xfId="0" applyNumberFormat="1" applyFont="1" applyFill="1" applyBorder="1" applyAlignment="1">
      <x:alignment horizontal="center"/>
    </x:xf>
    <x:xf numFmtId="0" fontId="5" fillId="4" borderId="10" xfId="0" applyNumberFormat="1" applyFont="1" applyFill="1" applyBorder="1" applyAlignment="1">
      <x:alignment horizontal="center"/>
    </x:xf>
    <x:xf numFmtId="0" fontId="5" fillId="4" borderId="11" xfId="0" applyNumberFormat="1" applyFont="1" applyFill="1" applyBorder="1" applyAlignment="1">
      <x:alignment horizontal="center"/>
    </x:xf>
    <x:xf numFmtId="0" fontId="5" fillId="5" borderId="10" xfId="0" applyNumberFormat="1" applyFont="1" applyFill="1" applyBorder="1" applyAlignment="1">
      <x:alignment horizontal="center"/>
    </x:xf>
    <x:xf numFmtId="0" fontId="5" fillId="5" borderId="11" xfId="0" applyNumberFormat="1" applyFont="1" applyFill="1" applyBorder="1" applyAlignment="1">
      <x:alignment horizontal="center"/>
    </x:xf>
    <x:xf numFmtId="0" fontId="6" fillId="3" borderId="12" xfId="0" applyNumberFormat="1" applyFont="1" applyFill="1" applyBorder="1" applyAlignment="1">
      <x:alignment horizontal="center"/>
    </x:xf>
    <x:xf numFmtId="0" fontId="6" fillId="3" borderId="13" xfId="0" applyNumberFormat="1" applyFont="1" applyFill="1" applyBorder="1" applyAlignment="1">
      <x:alignment horizontal="center"/>
    </x:xf>
    <x:xf numFmtId="0" fontId="6" fillId="0" borderId="1" xfId="0" applyNumberFormat="1" applyFont="1" applyFill="1" applyBorder="1" applyAlignment="1">
      <x:alignment horizontal="center"/>
    </x:xf>
    <x:xf numFmtId="0" fontId="6" fillId="4" borderId="12" xfId="0" applyNumberFormat="1" applyFont="1" applyFill="1" applyBorder="1" applyAlignment="1">
      <x:alignment horizontal="center"/>
    </x:xf>
    <x:xf numFmtId="0" fontId="6" fillId="4" borderId="13" xfId="0" applyNumberFormat="1" applyFont="1" applyFill="1" applyBorder="1" applyAlignment="1">
      <x:alignment horizontal="center"/>
    </x:xf>
    <x:xf numFmtId="0" fontId="6" fillId="5" borderId="12" xfId="0" applyNumberFormat="1" applyFont="1" applyFill="1" applyBorder="1" applyAlignment="1">
      <x:alignment horizontal="center"/>
    </x:xf>
    <x:xf numFmtId="0" fontId="6" fillId="5" borderId="13" xfId="0" applyNumberFormat="1" applyFont="1" applyFill="1" applyBorder="1" applyAlignment="1">
      <x:alignment horizontal="center"/>
    </x:xf>
    <x:xf numFmtId="0" fontId="6" fillId="3" borderId="14" xfId="0" applyNumberFormat="1" applyFont="1" applyFill="1" applyBorder="1" applyAlignment="1">
      <x:alignment horizontal="center"/>
    </x:xf>
    <x:xf numFmtId="0" fontId="6" fillId="3" borderId="15" xfId="0" applyNumberFormat="1" applyFont="1" applyFill="1" applyBorder="1" applyAlignment="1">
      <x:alignment horizontal="center"/>
    </x:xf>
    <x:xf numFmtId="0" fontId="6" fillId="4" borderId="14" xfId="0" applyNumberFormat="1" applyFont="1" applyFill="1" applyBorder="1" applyAlignment="1">
      <x:alignment horizontal="center"/>
    </x:xf>
    <x:xf numFmtId="0" fontId="6" fillId="4" borderId="15" xfId="0" applyNumberFormat="1" applyFont="1" applyFill="1" applyBorder="1" applyAlignment="1">
      <x:alignment horizontal="center"/>
    </x:xf>
    <x:xf numFmtId="0" fontId="6" fillId="5" borderId="14" xfId="0" applyNumberFormat="1" applyFont="1" applyFill="1" applyBorder="1" applyAlignment="1">
      <x:alignment horizontal="center"/>
    </x:xf>
    <x:xf numFmtId="0" fontId="6" fillId="5" borderId="15" xfId="0" applyNumberFormat="1" applyFont="1" applyFill="1" applyBorder="1" applyAlignment="1">
      <x:alignment horizontal="center"/>
    </x:xf>
    <x:xf numFmtId="0" fontId="5" fillId="3" borderId="4" xfId="0" applyNumberFormat="1" applyFont="1" applyFill="1" applyBorder="1" applyAlignment="1">
      <x:alignment horizontal="center" vertical="center"/>
    </x:xf>
    <x:xf numFmtId="0" fontId="5" fillId="3" borderId="5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 applyAlignment="1">
      <x:alignment horizontal="center" vertical="center"/>
    </x:xf>
    <x:xf numFmtId="0" fontId="5" fillId="4" borderId="4" xfId="0" applyNumberFormat="1" applyFont="1" applyFill="1" applyBorder="1" applyAlignment="1">
      <x:alignment horizontal="center" vertical="center"/>
    </x:xf>
    <x:xf numFmtId="0" fontId="5" fillId="4" borderId="5" xfId="0" applyNumberFormat="1" applyFont="1" applyFill="1" applyBorder="1" applyAlignment="1">
      <x:alignment horizontal="center" vertical="center"/>
    </x:xf>
    <x:xf numFmtId="0" fontId="5" fillId="5" borderId="4" xfId="0" applyNumberFormat="1" applyFont="1" applyFill="1" applyBorder="1" applyAlignment="1">
      <x:alignment horizontal="center" vertical="center"/>
    </x:xf>
    <x:xf numFmtId="0" fontId="5" fillId="5" borderId="5" xfId="0" applyNumberFormat="1" applyFont="1" applyFill="1" applyBorder="1" applyAlignment="1">
      <x:alignment horizontal="center" vertical="center"/>
    </x:xf>
    <x:xf numFmtId="0" fontId="6" fillId="3" borderId="6" xfId="0" applyNumberFormat="1" applyFont="1" applyFill="1" applyBorder="1" applyAlignment="1">
      <x:alignment horizontal="center" vertical="center"/>
    </x:xf>
    <x:xf numFmtId="0" fontId="6" fillId="3" borderId="7" xfId="0" applyNumberFormat="1" applyFont="1" applyFill="1" applyBorder="1" applyAlignment="1">
      <x:alignment horizontal="center" vertical="center"/>
    </x:xf>
    <x:xf numFmtId="0" fontId="6" fillId="0" borderId="0" xfId="0" applyNumberFormat="1" applyFont="1" applyFill="1" applyBorder="1" applyAlignment="1">
      <x:alignment horizontal="center" vertical="center"/>
    </x:xf>
    <x:xf numFmtId="0" fontId="6" fillId="4" borderId="6" xfId="0" applyNumberFormat="1" applyFont="1" applyFill="1" applyBorder="1" applyAlignment="1">
      <x:alignment horizontal="center" vertical="center"/>
    </x:xf>
    <x:xf numFmtId="0" fontId="6" fillId="4" borderId="7" xfId="0" applyNumberFormat="1" applyFont="1" applyFill="1" applyBorder="1" applyAlignment="1">
      <x:alignment horizontal="center" vertical="center"/>
    </x:xf>
    <x:xf numFmtId="0" fontId="6" fillId="5" borderId="6" xfId="0" applyNumberFormat="1" applyFont="1" applyFill="1" applyBorder="1" applyAlignment="1">
      <x:alignment horizontal="center" vertical="center"/>
    </x:xf>
    <x:xf numFmtId="0" fontId="6" fillId="5" borderId="7" xfId="0" applyNumberFormat="1" applyFont="1" applyFill="1" applyBorder="1" applyAlignment="1">
      <x:alignment horizontal="center" vertical="center"/>
    </x:xf>
    <x:xf numFmtId="0" fontId="6" fillId="3" borderId="8" xfId="0" applyNumberFormat="1" applyFont="1" applyFill="1" applyBorder="1" applyAlignment="1">
      <x:alignment horizontal="center" vertical="center"/>
    </x:xf>
    <x:xf numFmtId="0" fontId="6" fillId="3" borderId="9" xfId="0" applyNumberFormat="1" applyFont="1" applyFill="1" applyBorder="1" applyAlignment="1">
      <x:alignment horizontal="center" vertical="center"/>
    </x:xf>
    <x:xf numFmtId="0" fontId="6" fillId="4" borderId="8" xfId="0" applyNumberFormat="1" applyFont="1" applyFill="1" applyBorder="1" applyAlignment="1">
      <x:alignment horizontal="center" vertical="center"/>
    </x:xf>
    <x:xf numFmtId="0" fontId="6" fillId="4" borderId="9" xfId="0" applyNumberFormat="1" applyFont="1" applyFill="1" applyBorder="1" applyAlignment="1">
      <x:alignment horizontal="center" vertical="center"/>
    </x:xf>
    <x:xf numFmtId="0" fontId="6" fillId="5" borderId="8" xfId="0" applyNumberFormat="1" applyFont="1" applyFill="1" applyBorder="1" applyAlignment="1">
      <x:alignment horizontal="center" vertical="center"/>
    </x:xf>
    <x:xf numFmtId="0" fontId="6" fillId="5" borderId="9" xfId="0" applyNumberFormat="1" applyFont="1" applyFill="1" applyBorder="1" applyAlignment="1">
      <x:alignment horizontal="center" vertical="center"/>
    </x:xf>
    <x:xf numFmtId="0" fontId="5" fillId="3" borderId="10" xfId="0" applyNumberFormat="1" applyFont="1" applyFill="1" applyBorder="1" applyAlignment="1">
      <x:alignment horizontal="center" vertical="center"/>
    </x:xf>
    <x:xf numFmtId="0" fontId="5" fillId="3" borderId="11" xfId="0" applyNumberFormat="1" applyFont="1" applyFill="1" applyBorder="1" applyAlignment="1">
      <x:alignment horizontal="center" vertical="center"/>
    </x:xf>
    <x:xf numFmtId="0" fontId="5" fillId="0" borderId="1" xfId="0" applyNumberFormat="1" applyFont="1" applyFill="1" applyBorder="1" applyAlignment="1">
      <x:alignment horizontal="center" vertical="center"/>
    </x:xf>
    <x:xf numFmtId="0" fontId="5" fillId="4" borderId="10" xfId="0" applyNumberFormat="1" applyFont="1" applyFill="1" applyBorder="1" applyAlignment="1">
      <x:alignment horizontal="center" vertical="center"/>
    </x:xf>
    <x:xf numFmtId="0" fontId="5" fillId="4" borderId="11" xfId="0" applyNumberFormat="1" applyFont="1" applyFill="1" applyBorder="1" applyAlignment="1">
      <x:alignment horizontal="center" vertical="center"/>
    </x:xf>
    <x:xf numFmtId="0" fontId="5" fillId="5" borderId="10" xfId="0" applyNumberFormat="1" applyFont="1" applyFill="1" applyBorder="1" applyAlignment="1">
      <x:alignment horizontal="center" vertical="center"/>
    </x:xf>
    <x:xf numFmtId="0" fontId="5" fillId="5" borderId="11" xfId="0" applyNumberFormat="1" applyFont="1" applyFill="1" applyBorder="1" applyAlignment="1">
      <x:alignment horizontal="center" vertical="center"/>
    </x:xf>
    <x:xf numFmtId="0" fontId="6" fillId="3" borderId="12" xfId="0" applyNumberFormat="1" applyFont="1" applyFill="1" applyBorder="1" applyAlignment="1">
      <x:alignment horizontal="center" vertical="center"/>
    </x:xf>
    <x:xf numFmtId="0" fontId="6" fillId="3" borderId="13" xfId="0" applyNumberFormat="1" applyFont="1" applyFill="1" applyBorder="1" applyAlignment="1">
      <x:alignment horizontal="center" vertical="center"/>
    </x:xf>
    <x:xf numFmtId="0" fontId="6" fillId="0" borderId="1" xfId="0" applyNumberFormat="1" applyFont="1" applyFill="1" applyBorder="1" applyAlignment="1">
      <x:alignment horizontal="center" vertical="center"/>
    </x:xf>
    <x:xf numFmtId="0" fontId="6" fillId="4" borderId="12" xfId="0" applyNumberFormat="1" applyFont="1" applyFill="1" applyBorder="1" applyAlignment="1">
      <x:alignment horizontal="center" vertical="center"/>
    </x:xf>
    <x:xf numFmtId="0" fontId="6" fillId="4" borderId="13" xfId="0" applyNumberFormat="1" applyFont="1" applyFill="1" applyBorder="1" applyAlignment="1">
      <x:alignment horizontal="center" vertical="center"/>
    </x:xf>
    <x:xf numFmtId="0" fontId="6" fillId="5" borderId="12" xfId="0" applyNumberFormat="1" applyFont="1" applyFill="1" applyBorder="1" applyAlignment="1">
      <x:alignment horizontal="center" vertical="center"/>
    </x:xf>
    <x:xf numFmtId="0" fontId="6" fillId="5" borderId="13" xfId="0" applyNumberFormat="1" applyFont="1" applyFill="1" applyBorder="1" applyAlignment="1">
      <x:alignment horizontal="center" vertical="center"/>
    </x:xf>
    <x:xf numFmtId="0" fontId="6" fillId="3" borderId="14" xfId="0" applyNumberFormat="1" applyFont="1" applyFill="1" applyBorder="1" applyAlignment="1">
      <x:alignment horizontal="center" vertical="center"/>
    </x:xf>
    <x:xf numFmtId="0" fontId="6" fillId="3" borderId="15" xfId="0" applyNumberFormat="1" applyFont="1" applyFill="1" applyBorder="1" applyAlignment="1">
      <x:alignment horizontal="center" vertical="center"/>
    </x:xf>
    <x:xf numFmtId="0" fontId="6" fillId="4" borderId="14" xfId="0" applyNumberFormat="1" applyFont="1" applyFill="1" applyBorder="1" applyAlignment="1">
      <x:alignment horizontal="center" vertical="center"/>
    </x:xf>
    <x:xf numFmtId="0" fontId="6" fillId="4" borderId="15" xfId="0" applyNumberFormat="1" applyFont="1" applyFill="1" applyBorder="1" applyAlignment="1">
      <x:alignment horizontal="center" vertical="center"/>
    </x:xf>
    <x:xf numFmtId="0" fontId="6" fillId="5" borderId="14" xfId="0" applyNumberFormat="1" applyFont="1" applyFill="1" applyBorder="1" applyAlignment="1">
      <x:alignment horizontal="center" vertical="center"/>
    </x:xf>
    <x:xf numFmtId="0" fontId="6" fillId="5" borderId="15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wrapText="1"/>
    </x:xf>
    <x:xf numFmtId="0" fontId="0" fillId="8" borderId="2" xfId="0" applyNumberFormat="1" applyFont="1" applyFill="1" applyBorder="1" applyAlignment="1">
      <x:alignment wrapText="1"/>
    </x:xf>
    <x:xf numFmtId="0" fontId="0" fillId="8" borderId="3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0" xfId="0" applyNumberFormat="1" applyFont="1" applyFill="1" applyBorder="1" applyAlignment="1">
      <x:alignment horizontal="center"/>
    </x:xf>
    <x:xf numFmtId="0" fontId="0" fillId="0" borderId="2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0" fillId="0" borderId="3" xfId="0" applyNumberFormat="1" applyFont="1" applyFill="1" applyBorder="1" applyAlignment="1">
      <x:alignment horizontal="center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vertical="center"/>
    </x:xf>
    <x:xf numFmtId="0" fontId="7" fillId="2" borderId="1" xfId="0" applyNumberFormat="1" applyFont="1" applyFill="1" applyBorder="1"/>
    <x:xf numFmtId="0" fontId="7" fillId="2" borderId="1" xfId="0" applyNumberFormat="1" applyFont="1" applyFill="1" applyBorder="1" applyAlignment="1">
      <x:alignment vertical="center"/>
    </x:xf>
    <x:xf numFmtId="0" fontId="8" fillId="5" borderId="0" xfId="0" applyNumberFormat="1" applyFont="1" applyFill="1" applyBorder="1"/>
    <x:xf numFmtId="0" fontId="8" fillId="5" borderId="0" xfId="0" applyNumberFormat="1" applyFont="1" applyFill="1" applyBorder="1" applyAlignment="1">
      <x:alignment wrapText="1"/>
    </x:xf>
    <x:xf numFmtId="0" fontId="8" fillId="5" borderId="1" xfId="0" applyNumberFormat="1" applyFont="1" applyFill="1" applyBorder="1"/>
    <x:xf numFmtId="0" fontId="8" fillId="5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 applyAlignment="1">
      <x:alignment vertical="top" wrapText="1"/>
    </x:xf>
    <x:xf numFmtId="0" fontId="0" fillId="8" borderId="2" xfId="0" applyNumberFormat="1" applyFont="1" applyFill="1" applyBorder="1" applyAlignment="1">
      <x:alignment vertical="top" wrapText="1"/>
    </x:xf>
    <x:xf numFmtId="0" fontId="0" fillId="8" borderId="3" xfId="0" applyNumberFormat="1" applyFont="1" applyFill="1" applyBorder="1" applyAlignment="1">
      <x:alignment vertical="top" wrapText="1"/>
    </x:xf>
    <x:xf numFmtId="0" fontId="9" fillId="2" borderId="0" xfId="0" applyNumberFormat="1" applyFont="1" applyFill="1" applyBorder="1" applyAlignment="1">
      <x:alignment horizontal="left" vertical="center"/>
    </x:xf>
    <x:xf numFmtId="0" fontId="10" fillId="0" borderId="0" xfId="0" applyNumberFormat="1" applyFont="1" applyFill="1" applyBorder="1"/>
    <x:xf numFmtId="0" fontId="10" fillId="3" borderId="0" xfId="0" applyNumberFormat="1" applyFont="1" applyFill="1" applyBorder="1" applyAlignment="1">
      <x:alignment vertical="center"/>
    </x:xf>
    <x:xf numFmtId="0" fontId="9" fillId="3" borderId="4" xfId="0" applyNumberFormat="1" applyFont="1" applyFill="1" applyBorder="1" applyAlignment="1">
      <x:alignment horizontal="center" vertical="center"/>
    </x:xf>
    <x:xf numFmtId="0" fontId="9" fillId="3" borderId="5" xfId="0" applyNumberFormat="1" applyFont="1" applyFill="1" applyBorder="1" applyAlignment="1">
      <x:alignment horizontal="center" vertical="center"/>
    </x:xf>
    <x:xf numFmtId="0" fontId="9" fillId="0" borderId="0" xfId="0" applyNumberFormat="1" applyFont="1" applyFill="1" applyBorder="1" applyAlignment="1">
      <x:alignment horizontal="center" vertical="center"/>
    </x:xf>
    <x:xf numFmtId="0" fontId="9" fillId="4" borderId="4" xfId="0" applyNumberFormat="1" applyFont="1" applyFill="1" applyBorder="1" applyAlignment="1">
      <x:alignment horizontal="center" vertical="center"/>
    </x:xf>
    <x:xf numFmtId="0" fontId="9" fillId="4" borderId="5" xfId="0" applyNumberFormat="1" applyFont="1" applyFill="1" applyBorder="1" applyAlignment="1">
      <x:alignment horizontal="center" vertical="center"/>
    </x:xf>
    <x:xf numFmtId="0" fontId="9" fillId="5" borderId="4" xfId="0" applyNumberFormat="1" applyFont="1" applyFill="1" applyBorder="1" applyAlignment="1">
      <x:alignment horizontal="center" vertical="center"/>
    </x:xf>
    <x:xf numFmtId="0" fontId="9" fillId="5" borderId="5" xfId="0" applyNumberFormat="1" applyFont="1" applyFill="1" applyBorder="1" applyAlignment="1">
      <x:alignment horizontal="center" vertical="center"/>
    </x:xf>
    <x:xf numFmtId="0" fontId="9" fillId="3" borderId="6" xfId="0" applyNumberFormat="1" applyFont="1" applyFill="1" applyBorder="1" applyAlignment="1">
      <x:alignment horizontal="center" vertical="center"/>
    </x:xf>
    <x:xf numFmtId="0" fontId="9" fillId="3" borderId="7" xfId="0" applyNumberFormat="1" applyFont="1" applyFill="1" applyBorder="1" applyAlignment="1">
      <x:alignment horizontal="center" vertical="center"/>
    </x:xf>
    <x:xf numFmtId="0" fontId="9" fillId="4" borderId="6" xfId="0" applyNumberFormat="1" applyFont="1" applyFill="1" applyBorder="1" applyAlignment="1">
      <x:alignment horizontal="center" vertical="center"/>
    </x:xf>
    <x:xf numFmtId="0" fontId="9" fillId="4" borderId="7" xfId="0" applyNumberFormat="1" applyFont="1" applyFill="1" applyBorder="1" applyAlignment="1">
      <x:alignment horizontal="center" vertical="center"/>
    </x:xf>
    <x:xf numFmtId="0" fontId="9" fillId="5" borderId="6" xfId="0" applyNumberFormat="1" applyFont="1" applyFill="1" applyBorder="1" applyAlignment="1">
      <x:alignment horizontal="center" vertical="center"/>
    </x:xf>
    <x:xf numFmtId="0" fontId="9" fillId="5" borderId="7" xfId="0" applyNumberFormat="1" applyFont="1" applyFill="1" applyBorder="1" applyAlignment="1">
      <x:alignment horizontal="center" vertical="center"/>
    </x:xf>
    <x:xf numFmtId="0" fontId="9" fillId="3" borderId="8" xfId="0" applyNumberFormat="1" applyFont="1" applyFill="1" applyBorder="1" applyAlignment="1">
      <x:alignment horizontal="center" vertical="center"/>
    </x:xf>
    <x:xf numFmtId="0" fontId="9" fillId="3" borderId="9" xfId="0" applyNumberFormat="1" applyFont="1" applyFill="1" applyBorder="1" applyAlignment="1">
      <x:alignment horizontal="center" vertical="center"/>
    </x:xf>
    <x:xf numFmtId="0" fontId="9" fillId="4" borderId="8" xfId="0" applyNumberFormat="1" applyFont="1" applyFill="1" applyBorder="1" applyAlignment="1">
      <x:alignment horizontal="center" vertical="center"/>
    </x:xf>
    <x:xf numFmtId="0" fontId="9" fillId="4" borderId="9" xfId="0" applyNumberFormat="1" applyFont="1" applyFill="1" applyBorder="1" applyAlignment="1">
      <x:alignment horizontal="center" vertical="center"/>
    </x:xf>
    <x:xf numFmtId="0" fontId="9" fillId="5" borderId="8" xfId="0" applyNumberFormat="1" applyFont="1" applyFill="1" applyBorder="1" applyAlignment="1">
      <x:alignment horizontal="center" vertical="center"/>
    </x:xf>
    <x:xf numFmtId="0" fontId="9" fillId="5" borderId="9" xfId="0" applyNumberFormat="1" applyFont="1" applyFill="1" applyBorder="1" applyAlignment="1">
      <x:alignment horizontal="center" vertical="center"/>
    </x:xf>
    <x:xf numFmtId="0" fontId="9" fillId="2" borderId="0" xfId="0" applyNumberFormat="1" applyFont="1" applyFill="1" applyBorder="1" applyAlignment="1">
      <x:alignment horizontal="center" vertical="center"/>
    </x:xf>
    <x:xf numFmtId="0" fontId="10" fillId="6" borderId="0" xfId="0" applyNumberFormat="1" applyFont="1" applyFill="1" applyBorder="1" applyAlignment="1">
      <x:alignment wrapText="1"/>
    </x:xf>
    <x:xf numFmtId="0" fontId="10" fillId="0" borderId="0" xfId="0" applyNumberFormat="1" applyFont="1" applyFill="1" applyBorder="1" applyAlignment="1">
      <x:alignment wrapText="1"/>
    </x:xf>
    <x:xf numFmtId="0" fontId="10" fillId="7" borderId="0" xfId="0" applyNumberFormat="1" applyFont="1" applyFill="1" applyBorder="1" applyAlignment="1">
      <x:alignment wrapText="1"/>
    </x:xf>
    <x:xf numFmtId="0" fontId="10" fillId="8" borderId="2" xfId="0" applyNumberFormat="1" applyFont="1" applyFill="1" applyBorder="1" applyAlignment="1">
      <x:alignment wrapText="1"/>
    </x:xf>
    <x:xf numFmtId="0" fontId="10" fillId="0" borderId="2" xfId="0" applyNumberFormat="1" applyFont="1" applyFill="1" applyBorder="1" applyAlignment="1">
      <x:alignment wrapText="1"/>
    </x:xf>
    <x:xf numFmtId="0" fontId="10" fillId="0" borderId="0" xfId="0" applyNumberFormat="1" applyFont="1" applyFill="1" applyBorder="1" applyAlignment="1">
      <x:alignment horizontal="center"/>
    </x:xf>
    <x:xf numFmtId="0" fontId="10" fillId="0" borderId="2" xfId="0" applyNumberFormat="1" applyFont="1" applyFill="1" applyBorder="1" applyAlignment="1">
      <x:alignment horizontal="center"/>
    </x:xf>
    <x:xf numFmtId="0" fontId="9" fillId="2" borderId="1" xfId="0" applyNumberFormat="1" applyFont="1" applyFill="1" applyBorder="1" applyAlignment="1">
      <x:alignment horizontal="left" vertical="center"/>
    </x:xf>
    <x:xf numFmtId="0" fontId="10" fillId="0" borderId="1" xfId="0" applyNumberFormat="1" applyFont="1" applyFill="1" applyBorder="1"/>
    <x:xf numFmtId="0" fontId="10" fillId="3" borderId="1" xfId="0" applyNumberFormat="1" applyFont="1" applyFill="1" applyBorder="1" applyAlignment="1">
      <x:alignment vertical="center"/>
    </x:xf>
    <x:xf numFmtId="0" fontId="9" fillId="3" borderId="10" xfId="0" applyNumberFormat="1" applyFont="1" applyFill="1" applyBorder="1" applyAlignment="1">
      <x:alignment horizontal="center" vertical="center"/>
    </x:xf>
    <x:xf numFmtId="0" fontId="9" fillId="3" borderId="11" xfId="0" applyNumberFormat="1" applyFont="1" applyFill="1" applyBorder="1" applyAlignment="1">
      <x:alignment horizontal="center" vertical="center"/>
    </x:xf>
    <x:xf numFmtId="0" fontId="9" fillId="0" borderId="1" xfId="0" applyNumberFormat="1" applyFont="1" applyFill="1" applyBorder="1" applyAlignment="1">
      <x:alignment horizontal="center" vertical="center"/>
    </x:xf>
    <x:xf numFmtId="0" fontId="9" fillId="4" borderId="10" xfId="0" applyNumberFormat="1" applyFont="1" applyFill="1" applyBorder="1" applyAlignment="1">
      <x:alignment horizontal="center" vertical="center"/>
    </x:xf>
    <x:xf numFmtId="0" fontId="9" fillId="4" borderId="11" xfId="0" applyNumberFormat="1" applyFont="1" applyFill="1" applyBorder="1" applyAlignment="1">
      <x:alignment horizontal="center" vertical="center"/>
    </x:xf>
    <x:xf numFmtId="0" fontId="9" fillId="5" borderId="10" xfId="0" applyNumberFormat="1" applyFont="1" applyFill="1" applyBorder="1" applyAlignment="1">
      <x:alignment horizontal="center" vertical="center"/>
    </x:xf>
    <x:xf numFmtId="0" fontId="9" fillId="5" borderId="11" xfId="0" applyNumberFormat="1" applyFont="1" applyFill="1" applyBorder="1" applyAlignment="1">
      <x:alignment horizontal="center" vertical="center"/>
    </x:xf>
    <x:xf numFmtId="0" fontId="9" fillId="3" borderId="12" xfId="0" applyNumberFormat="1" applyFont="1" applyFill="1" applyBorder="1" applyAlignment="1">
      <x:alignment horizontal="center" vertical="center"/>
    </x:xf>
    <x:xf numFmtId="0" fontId="9" fillId="3" borderId="13" xfId="0" applyNumberFormat="1" applyFont="1" applyFill="1" applyBorder="1" applyAlignment="1">
      <x:alignment horizontal="center" vertical="center"/>
    </x:xf>
    <x:xf numFmtId="0" fontId="9" fillId="4" borderId="12" xfId="0" applyNumberFormat="1" applyFont="1" applyFill="1" applyBorder="1" applyAlignment="1">
      <x:alignment horizontal="center" vertical="center"/>
    </x:xf>
    <x:xf numFmtId="0" fontId="9" fillId="4" borderId="13" xfId="0" applyNumberFormat="1" applyFont="1" applyFill="1" applyBorder="1" applyAlignment="1">
      <x:alignment horizontal="center" vertical="center"/>
    </x:xf>
    <x:xf numFmtId="0" fontId="9" fillId="5" borderId="12" xfId="0" applyNumberFormat="1" applyFont="1" applyFill="1" applyBorder="1" applyAlignment="1">
      <x:alignment horizontal="center" vertical="center"/>
    </x:xf>
    <x:xf numFmtId="0" fontId="9" fillId="5" borderId="13" xfId="0" applyNumberFormat="1" applyFont="1" applyFill="1" applyBorder="1" applyAlignment="1">
      <x:alignment horizontal="center" vertical="center"/>
    </x:xf>
    <x:xf numFmtId="0" fontId="9" fillId="3" borderId="14" xfId="0" applyNumberFormat="1" applyFont="1" applyFill="1" applyBorder="1" applyAlignment="1">
      <x:alignment horizontal="center" vertical="center"/>
    </x:xf>
    <x:xf numFmtId="0" fontId="9" fillId="3" borderId="15" xfId="0" applyNumberFormat="1" applyFont="1" applyFill="1" applyBorder="1" applyAlignment="1">
      <x:alignment horizontal="center" vertical="center"/>
    </x:xf>
    <x:xf numFmtId="0" fontId="9" fillId="4" borderId="14" xfId="0" applyNumberFormat="1" applyFont="1" applyFill="1" applyBorder="1" applyAlignment="1">
      <x:alignment horizontal="center" vertical="center"/>
    </x:xf>
    <x:xf numFmtId="0" fontId="9" fillId="4" borderId="15" xfId="0" applyNumberFormat="1" applyFont="1" applyFill="1" applyBorder="1" applyAlignment="1">
      <x:alignment horizontal="center" vertical="center"/>
    </x:xf>
    <x:xf numFmtId="0" fontId="9" fillId="5" borderId="14" xfId="0" applyNumberFormat="1" applyFont="1" applyFill="1" applyBorder="1" applyAlignment="1">
      <x:alignment horizontal="center" vertical="center"/>
    </x:xf>
    <x:xf numFmtId="0" fontId="9" fillId="5" borderId="15" xfId="0" applyNumberFormat="1" applyFont="1" applyFill="1" applyBorder="1" applyAlignment="1">
      <x:alignment horizontal="center" vertical="center"/>
    </x:xf>
    <x:xf numFmtId="0" fontId="9" fillId="2" borderId="1" xfId="0" applyNumberFormat="1" applyFont="1" applyFill="1" applyBorder="1" applyAlignment="1">
      <x:alignment horizontal="center" vertical="center"/>
    </x:xf>
    <x:xf numFmtId="0" fontId="10" fillId="6" borderId="1" xfId="0" applyNumberFormat="1" applyFont="1" applyFill="1" applyBorder="1" applyAlignment="1">
      <x:alignment wrapText="1"/>
    </x:xf>
    <x:xf numFmtId="0" fontId="10" fillId="0" borderId="1" xfId="0" applyNumberFormat="1" applyFont="1" applyFill="1" applyBorder="1" applyAlignment="1">
      <x:alignment wrapText="1"/>
    </x:xf>
    <x:xf numFmtId="0" fontId="10" fillId="7" borderId="1" xfId="0" applyNumberFormat="1" applyFont="1" applyFill="1" applyBorder="1" applyAlignment="1">
      <x:alignment wrapText="1"/>
    </x:xf>
    <x:xf numFmtId="0" fontId="10" fillId="8" borderId="3" xfId="0" applyNumberFormat="1" applyFont="1" applyFill="1" applyBorder="1" applyAlignment="1">
      <x:alignment wrapText="1"/>
    </x:xf>
    <x:xf numFmtId="0" fontId="10" fillId="0" borderId="3" xfId="0" applyNumberFormat="1" applyFont="1" applyFill="1" applyBorder="1" applyAlignment="1">
      <x:alignment wrapText="1"/>
    </x:xf>
    <x:xf numFmtId="0" fontId="10" fillId="0" borderId="1" xfId="0" applyNumberFormat="1" applyFont="1" applyFill="1" applyBorder="1" applyAlignment="1">
      <x:alignment horizontal="center"/>
    </x:xf>
    <x:xf numFmtId="0" fontId="10" fillId="0" borderId="3" xfId="0" applyNumberFormat="1" applyFont="1" applyFill="1" applyBorder="1" applyAlignment="1">
      <x:alignment horizontal="center"/>
    </x:xf>
    <x:xf numFmtId="0" fontId="10" fillId="0" borderId="0" xfId="0" applyNumberFormat="1" applyFont="1" applyFill="1" applyBorder="1" applyAlignment="1">
      <x:alignment vertical="top" wrapText="1"/>
    </x:xf>
    <x:xf numFmtId="0" fontId="10" fillId="0" borderId="2" xfId="0" applyNumberFormat="1" applyFont="1" applyFill="1" applyBorder="1" applyAlignment="1">
      <x:alignment vertical="top" wrapText="1"/>
    </x:xf>
    <x:xf numFmtId="0" fontId="10" fillId="0" borderId="1" xfId="0" applyNumberFormat="1" applyFont="1" applyFill="1" applyBorder="1" applyAlignment="1">
      <x:alignment vertical="top" wrapText="1"/>
    </x:xf>
    <x:xf numFmtId="0" fontId="10" fillId="0" borderId="3" xfId="0" applyNumberFormat="1" applyFont="1" applyFill="1" applyBorder="1" applyAlignment="1">
      <x:alignment vertical="top" wrapText="1"/>
    </x:xf>
    <x:xf numFmtId="0" fontId="9" fillId="2" borderId="0" xfId="0" applyNumberFormat="1" applyFont="1" applyFill="1" applyBorder="1" applyAlignment="1">
      <x:alignment vertical="center"/>
    </x:xf>
    <x:xf numFmtId="0" fontId="11" fillId="5" borderId="0" xfId="0" applyNumberFormat="1" applyFont="1" applyFill="1" applyBorder="1" applyAlignment="1">
      <x:alignment wrapText="1"/>
    </x:xf>
    <x:xf numFmtId="0" fontId="9" fillId="2" borderId="1" xfId="0" applyNumberFormat="1" applyFont="1" applyFill="1" applyBorder="1" applyAlignment="1">
      <x:alignment vertical="center"/>
    </x:xf>
    <x:xf numFmtId="0" fontId="11" fillId="5" borderId="1" xfId="0" applyNumberFormat="1" applyFont="1" applyFill="1" applyBorder="1" applyAlignment="1">
      <x:alignment wrapText="1"/>
    </x:xf>
    <x:xf numFmtId="0" fontId="10" fillId="6" borderId="0" xfId="0" applyNumberFormat="1" applyFont="1" applyFill="1" applyBorder="1" applyAlignment="1">
      <x:alignment vertical="top" wrapText="1"/>
    </x:xf>
    <x:xf numFmtId="0" fontId="10" fillId="7" borderId="0" xfId="0" applyNumberFormat="1" applyFont="1" applyFill="1" applyBorder="1" applyAlignment="1">
      <x:alignment vertical="top" wrapText="1"/>
    </x:xf>
    <x:xf numFmtId="0" fontId="10" fillId="8" borderId="2" xfId="0" applyNumberFormat="1" applyFont="1" applyFill="1" applyBorder="1" applyAlignment="1">
      <x:alignment vertical="top" wrapText="1"/>
    </x:xf>
    <x:xf numFmtId="0" fontId="10" fillId="6" borderId="1" xfId="0" applyNumberFormat="1" applyFont="1" applyFill="1" applyBorder="1" applyAlignment="1">
      <x:alignment vertical="top" wrapText="1"/>
    </x:xf>
    <x:xf numFmtId="0" fontId="10" fillId="7" borderId="1" xfId="0" applyNumberFormat="1" applyFont="1" applyFill="1" applyBorder="1" applyAlignment="1">
      <x:alignment vertical="top" wrapText="1"/>
    </x:xf>
    <x:xf numFmtId="0" fontId="10" fillId="8" borderId="3" xfId="0" applyNumberFormat="1" applyFont="1" applyFill="1" applyBorder="1" applyAlignment="1">
      <x:alignment vertical="top" wrapText="1"/>
    </x:xf>
    <x:xf numFmtId="0" fontId="12" fillId="2" borderId="0" xfId="0" applyNumberFormat="1" applyFont="1" applyFill="1" applyBorder="1" applyAlignment="1">
      <x:alignment horizontal="left" vertical="center"/>
    </x:xf>
    <x:xf numFmtId="0" fontId="12" fillId="2" borderId="1" xfId="0" applyNumberFormat="1" applyFont="1" applyFill="1" applyBorder="1" applyAlignment="1">
      <x:alignment horizontal="left" vertical="center"/>
    </x:xf>
    <x:xf numFmtId="0" fontId="13" fillId="2" borderId="0" xfId="0" applyNumberFormat="1" applyFont="1" applyFill="1" applyBorder="1" applyAlignment="1">
      <x:alignment horizontal="center" vertical="center"/>
    </x:xf>
    <x:xf numFmtId="0" fontId="13" fillId="2" borderId="1" xfId="0" applyNumberFormat="1" applyFont="1" applyFill="1" applyBorder="1" applyAlignment="1">
      <x:alignment horizontal="center" vertical="center"/>
    </x:xf>
    <x:xf numFmtId="0" fontId="14" fillId="2" borderId="0" xfId="0" applyNumberFormat="1" applyFont="1" applyFill="1" applyBorder="1" applyAlignment="1">
      <x:alignment vertical="center"/>
    </x:xf>
    <x:xf numFmtId="0" fontId="14" fillId="2" borderId="1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/>
    <x:xf numFmtId="0" fontId="5" fillId="4" borderId="0" xfId="0" applyNumberFormat="1" applyFont="1" applyFill="1" applyBorder="1"/>
    <x:xf numFmtId="0" fontId="5" fillId="5" borderId="0" xfId="0" applyNumberFormat="1" applyFont="1" applyFill="1" applyBorder="1"/>
    <x:xf numFmtId="0" fontId="6" fillId="3" borderId="0" xfId="0" applyNumberFormat="1" applyFont="1" applyFill="1" applyBorder="1"/>
    <x:xf numFmtId="0" fontId="6" fillId="4" borderId="0" xfId="0" applyNumberFormat="1" applyFont="1" applyFill="1" applyBorder="1"/>
    <x:xf numFmtId="0" fontId="6" fillId="5" borderId="0" xfId="0" applyNumberFormat="1" applyFont="1" applyFill="1" applyBorder="1"/>
    <x:xf numFmtId="0" fontId="5" fillId="3" borderId="0" xfId="0" applyNumberFormat="1" applyFont="1" applyFill="1" applyBorder="1" applyAlignment="1">
      <x:alignment horizontal="center"/>
    </x:xf>
    <x:xf numFmtId="0" fontId="5" fillId="4" borderId="0" xfId="0" applyNumberFormat="1" applyFont="1" applyFill="1" applyBorder="1" applyAlignment="1">
      <x:alignment horizontal="center"/>
    </x:xf>
    <x:xf numFmtId="0" fontId="5" fillId="5" borderId="0" xfId="0" applyNumberFormat="1" applyFont="1" applyFill="1" applyBorder="1" applyAlignment="1">
      <x:alignment horizontal="center"/>
    </x:xf>
    <x:xf numFmtId="0" fontId="6" fillId="3" borderId="0" xfId="0" applyNumberFormat="1" applyFont="1" applyFill="1" applyBorder="1" applyAlignment="1">
      <x:alignment horizontal="center"/>
    </x:xf>
    <x:xf numFmtId="0" fontId="6" fillId="4" borderId="0" xfId="0" applyNumberFormat="1" applyFont="1" applyFill="1" applyBorder="1" applyAlignment="1">
      <x:alignment horizontal="center"/>
    </x:xf>
    <x:xf numFmtId="0" fontId="6" fillId="5" borderId="0" xfId="0" applyNumberFormat="1" applyFont="1" applyFill="1" applyBorder="1" applyAlignment="1">
      <x:alignment horizontal="center"/>
    </x:xf>
    <x:xf numFmtId="0" fontId="5" fillId="3" borderId="0" xfId="0" applyNumberFormat="1" applyFont="1" applyFill="1" applyBorder="1" applyAlignment="1">
      <x:alignment horizontal="center" vertical="center"/>
    </x:xf>
    <x:xf numFmtId="0" fontId="5" fillId="4" borderId="0" xfId="0" applyNumberFormat="1" applyFont="1" applyFill="1" applyBorder="1" applyAlignment="1">
      <x:alignment horizontal="center" vertical="center"/>
    </x:xf>
    <x:xf numFmtId="0" fontId="5" fillId="5" borderId="0" xfId="0" applyNumberFormat="1" applyFont="1" applyFill="1" applyBorder="1" applyAlignment="1">
      <x:alignment horizontal="center" vertical="center"/>
    </x:xf>
    <x:xf numFmtId="0" fontId="6" fillId="3" borderId="0" xfId="0" applyNumberFormat="1" applyFont="1" applyFill="1" applyBorder="1" applyAlignment="1">
      <x:alignment horizontal="center" vertical="center"/>
    </x:xf>
    <x:xf numFmtId="0" fontId="6" fillId="4" borderId="0" xfId="0" applyNumberFormat="1" applyFont="1" applyFill="1" applyBorder="1" applyAlignment="1">
      <x:alignment horizontal="center" vertical="center"/>
    </x:xf>
    <x:xf numFmtId="0" fontId="6" fillId="5" borderId="0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 applyAlignment="1">
      <x:alignment vertical="top" wrapText="1"/>
    </x:xf>
    <x:xf numFmtId="0" fontId="9" fillId="3" borderId="0" xfId="0" applyNumberFormat="1" applyFont="1" applyFill="1" applyBorder="1" applyAlignment="1">
      <x:alignment horizontal="center" vertical="center"/>
    </x:xf>
    <x:xf numFmtId="0" fontId="9" fillId="4" borderId="0" xfId="0" applyNumberFormat="1" applyFont="1" applyFill="1" applyBorder="1" applyAlignment="1">
      <x:alignment horizontal="center" vertical="center"/>
    </x:xf>
    <x:xf numFmtId="0" fontId="9" fillId="5" borderId="0" xfId="0" applyNumberFormat="1" applyFont="1" applyFill="1" applyBorder="1" applyAlignment="1">
      <x:alignment horizontal="center" vertical="center"/>
    </x:xf>
    <x:xf numFmtId="0" fontId="10" fillId="8" borderId="0" xfId="0" applyNumberFormat="1" applyFont="1" applyFill="1" applyBorder="1" applyAlignment="1">
      <x:alignment wrapText="1"/>
    </x:xf>
    <x:xf numFmtId="0" fontId="10" fillId="8" borderId="0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/>
    <x:xf numFmtId="0" fontId="15" fillId="9" borderId="0" xfId="0" applyNumberFormat="1" applyFont="1" applyFill="1" applyBorder="1"/>
    <x:xf numFmtId="0" fontId="15" fillId="9" borderId="0" xfId="0" applyNumberFormat="1" applyFont="1" applyFill="1" applyBorder="1" applyAlignment="1">
      <x:alignment wrapText="1"/>
    </x:xf>
    <x:xf numFmtId="0" fontId="15" fillId="9" borderId="0" xfId="0" applyNumberFormat="1" applyFont="1" applyFill="1" applyBorder="1" applyAlignment="1">
      <x:alignment horizontal="center" wrapText="1"/>
    </x:xf>
    <x:xf numFmtId="0" fontId="15" fillId="9" borderId="0" xfId="0" applyNumberFormat="1" applyFont="1" applyFill="1" applyBorder="1" applyAlignment="1">
      <x:alignment horizontal="center" vertical="center" wrapText="1"/>
    </x:xf>
    <x:xf numFmtId="0" fontId="16" fillId="0" borderId="0" xfId="0" applyNumberFormat="1" applyFont="1" applyFill="1" applyBorder="1"/>
    <x:xf numFmtId="0" fontId="16" fillId="0" borderId="0" xfId="0" applyNumberFormat="1" applyFont="1" applyFill="1" applyBorder="1" applyAlignment="1">
      <x:alignment vertical="top"/>
    </x:xf>
    <x:xf numFmtId="0" fontId="16" fillId="0" borderId="0" xfId="0" applyNumberFormat="1" applyFont="1" applyFill="1" applyBorder="1" applyAlignment="1">
      <x:alignment vertical="top" wrapText="1"/>
    </x:xf>
    <x:xf numFmtId="0" fontId="15" fillId="9" xfId="0" applyNumberFormat="1" applyFont="1" applyFill="1" applyBorder="0" applyAlignment="1">
      <x:alignment horizontal="center" vertical="center" wrapText="1"/>
    </x:xf>
    <x:xf numFmtId="0" fontId="16" fillId="0" xfId="0" applyNumberFormat="1" applyFont="1" applyFill="1" applyBorder="0" applyAlignment="1">
      <x:alignment vertical="top" wrapText="1"/>
    </x:xf>
    <x:xf numFmtId="0" fontId="16" fillId="0" borderId="16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12" fillId="10" borderId="0" xfId="0" applyNumberFormat="1" applyFont="1" applyFill="1" applyBorder="1"/>
    <x:xf numFmtId="0" fontId="12" fillId="10" borderId="0" xfId="0" applyNumberFormat="1" applyFont="1" applyFill="1" applyBorder="1" applyAlignment="1">
      <x:alignment horizontal="left"/>
    </x:xf>
    <x:xf numFmtId="0" fontId="12" fillId="10" borderId="0" xfId="0" applyNumberFormat="1" applyFont="1" applyFill="1" applyBorder="1" applyAlignment="1">
      <x:alignment horizontal="left" vertical="center"/>
    </x:xf>
    <x:xf numFmtId="0" fontId="0" fillId="11" borderId="0" xfId="0" applyNumberFormat="1" applyFont="1" applyFill="1" applyBorder="1"/>
    <x:xf numFmtId="0" fontId="17" fillId="11" borderId="0" xfId="0" applyNumberFormat="1" applyFont="1" applyFill="1" applyBorder="1"/>
    <x:xf numFmtId="0" fontId="17" fillId="11" borderId="0" xfId="0" applyNumberFormat="1" applyFont="1" applyFill="1" applyBorder="1" applyAlignment="1">
      <x:alignment wrapText="1"/>
    </x:xf>
    <x:xf numFmtId="0" fontId="17" fillId="11" borderId="0" xfId="0" applyNumberFormat="1" applyFont="1" applyFill="1" applyBorder="1" applyAlignment="1">
      <x:alignment vertical="center" wrapText="1"/>
    </x:xf>
    <x:xf numFmtId="0" fontId="5" fillId="11" borderId="0" xfId="0" applyNumberFormat="1" applyFont="1" applyFill="1" applyBorder="1"/>
    <x:xf numFmtId="0" fontId="18" fillId="11" borderId="0" xfId="0" applyNumberFormat="1" applyFont="1" applyFill="1" applyBorder="1"/>
    <x:xf numFmtId="0" fontId="5" fillId="11" borderId="0" xfId="0" applyNumberFormat="1" applyFont="1" applyFill="1" applyBorder="1" applyAlignment="1">
      <x:alignment horizontal="center"/>
    </x:xf>
    <x:xf numFmtId="0" fontId="18" fillId="11" borderId="0" xfId="0" applyNumberFormat="1" applyFont="1" applyFill="1" applyBorder="1" applyAlignment="1">
      <x:alignment horizontal="center"/>
    </x:xf>
    <x:xf numFmtId="0" fontId="5" fillId="11" borderId="0" xfId="0" applyNumberFormat="1" applyFont="1" applyFill="1" applyBorder="1" applyAlignment="1">
      <x:alignment horizontal="center" vertical="center"/>
    </x:xf>
    <x:xf numFmtId="0" fontId="18" fillId="11" borderId="0" xfId="0" applyNumberFormat="1" applyFont="1" applyFill="1" applyBorder="1" applyAlignment="1">
      <x:alignment horizontal="center" vertical="center"/>
    </x:xf>
    <x:xf numFmtId="0" fontId="0" fillId="12" borderId="0" xfId="0" applyNumberFormat="1" applyFont="1" applyFill="1" applyBorder="1"/>
    <x:xf numFmtId="0" fontId="5" fillId="12" borderId="0" xfId="0" applyNumberFormat="1" applyFont="1" applyFill="1" applyBorder="1"/>
    <x:xf numFmtId="0" fontId="18" fillId="12" borderId="0" xfId="0" applyNumberFormat="1" applyFont="1" applyFill="1" applyBorder="1"/>
    <x:xf numFmtId="0" fontId="5" fillId="12" borderId="0" xfId="0" applyNumberFormat="1" applyFont="1" applyFill="1" applyBorder="1" applyAlignment="1">
      <x:alignment horizontal="center"/>
    </x:xf>
    <x:xf numFmtId="0" fontId="18" fillId="12" borderId="0" xfId="0" applyNumberFormat="1" applyFont="1" applyFill="1" applyBorder="1" applyAlignment="1">
      <x:alignment horizontal="center"/>
    </x:xf>
    <x:xf numFmtId="0" fontId="5" fillId="12" borderId="0" xfId="0" applyNumberFormat="1" applyFont="1" applyFill="1" applyBorder="1" applyAlignment="1">
      <x:alignment horizontal="center" vertical="center"/>
    </x:xf>
    <x:xf numFmtId="0" fontId="18" fillId="12" borderId="0" xfId="0" applyNumberFormat="1" applyFont="1" applyFill="1" applyBorder="1" applyAlignment="1">
      <x:alignment horizontal="center" vertical="center"/>
    </x:xf>
    <x:xf numFmtId="0" fontId="0" fillId="13" borderId="0" xfId="0" applyNumberFormat="1" applyFont="1" applyFill="1" applyBorder="1"/>
    <x:xf numFmtId="0" fontId="5" fillId="13" borderId="0" xfId="0" applyNumberFormat="1" applyFont="1" applyFill="1" applyBorder="1"/>
    <x:xf numFmtId="0" fontId="18" fillId="13" borderId="0" xfId="0" applyNumberFormat="1" applyFont="1" applyFill="1" applyBorder="1"/>
    <x:xf numFmtId="0" fontId="5" fillId="13" borderId="0" xfId="0" applyNumberFormat="1" applyFont="1" applyFill="1" applyBorder="1" applyAlignment="1">
      <x:alignment horizontal="center"/>
    </x:xf>
    <x:xf numFmtId="0" fontId="18" fillId="13" borderId="0" xfId="0" applyNumberFormat="1" applyFont="1" applyFill="1" applyBorder="1" applyAlignment="1">
      <x:alignment horizontal="center"/>
    </x:xf>
    <x:xf numFmtId="0" fontId="5" fillId="13" borderId="0" xfId="0" applyNumberFormat="1" applyFont="1" applyFill="1" applyBorder="1" applyAlignment="1">
      <x:alignment horizontal="center" vertical="center"/>
    </x:xf>
    <x:xf numFmtId="0" fontId="18" fillId="13" borderId="0" xfId="0" applyNumberFormat="1" applyFont="1" applyFill="1" applyBorder="1" applyAlignment="1">
      <x:alignment horizontal="center" vertical="center"/>
    </x:xf>
    <x:xf numFmtId="0" fontId="0" fillId="14" borderId="0" xfId="0" applyNumberFormat="1" applyFont="1" applyFill="1" applyBorder="1"/>
    <x:xf numFmtId="0" fontId="5" fillId="14" borderId="0" xfId="0" applyNumberFormat="1" applyFont="1" applyFill="1" applyBorder="1"/>
    <x:xf numFmtId="0" fontId="18" fillId="14" borderId="0" xfId="0" applyNumberFormat="1" applyFont="1" applyFill="1" applyBorder="1"/>
    <x:xf numFmtId="0" fontId="5" fillId="14" borderId="0" xfId="0" applyNumberFormat="1" applyFont="1" applyFill="1" applyBorder="1" applyAlignment="1">
      <x:alignment horizontal="center"/>
    </x:xf>
    <x:xf numFmtId="0" fontId="18" fillId="14" borderId="0" xfId="0" applyNumberFormat="1" applyFont="1" applyFill="1" applyBorder="1" applyAlignment="1">
      <x:alignment horizontal="center"/>
    </x:xf>
    <x:xf numFmtId="0" fontId="5" fillId="14" borderId="0" xfId="0" applyNumberFormat="1" applyFont="1" applyFill="1" applyBorder="1" applyAlignment="1">
      <x:alignment horizontal="center" vertical="center"/>
    </x:xf>
    <x:xf numFmtId="0" fontId="18" fillId="14" borderId="0" xfId="0" applyNumberFormat="1" applyFont="1" applyFill="1" applyBorder="1" applyAlignment="1">
      <x:alignment horizontal="center" vertical="center"/>
    </x:xf>
    <x:xf numFmtId="0" fontId="1" fillId="9" borderId="0" xfId="0" applyNumberFormat="1" applyFont="1" applyFill="1" applyBorder="1"/>
    <x:xf numFmtId="0" fontId="1" fillId="9" borderId="0" xfId="0" applyNumberFormat="1" applyFont="1" applyFill="1" applyBorder="1" applyAlignment="1">
      <x:alignment horizontal="center"/>
    </x:xf>
    <x:xf numFmtId="0" fontId="1" fillId="9" borderId="0" xfId="0" applyNumberFormat="1" applyFont="1" applyFill="1" applyBorder="1" applyAlignment="1">
      <x:alignment horizontal="center" vertical="center"/>
    </x:xf>
    <x:xf numFmtId="0" fontId="1" fillId="9" xfId="0" applyNumberFormat="1" applyFont="1" applyFill="1" applyBorder="0" applyAlignment="1">
      <x:alignment horizontal="center" vertical="center"/>
    </x:xf>
    <x:xf numFmtId="0" fontId="0" fillId="0" xfId="0" applyNumberFormat="1" applyFont="1" applyFill="1" applyBorder="0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15" borderId="0" xfId="0" applyNumberFormat="1" applyFont="1" applyFill="1" applyBorder="1"/>
    <x:xf numFmtId="0" fontId="0" fillId="16" borderId="0" xfId="0" applyNumberFormat="1" applyFont="1" applyFill="1" applyBorder="1"/>
    <x:xf numFmtId="0" fontId="0" fillId="17" borderId="0" xfId="0" applyNumberFormat="1" applyFont="1" applyFill="1" applyBorder="1"/>
    <x:xf numFmtId="0" fontId="1" fillId="9" borderId="0" xfId="0" applyNumberFormat="1" applyFont="1" applyFill="1" applyBorder="1" applyAlignment="1">
      <x:alignment wrapText="1"/>
    </x:xf>
    <x:xf numFmtId="0" fontId="1" fillId="9" borderId="0" xfId="0" applyNumberFormat="1" applyFont="1" applyFill="1" applyBorder="1" applyAlignment="1">
      <x:alignment horizontal="center" wrapText="1"/>
    </x:xf>
    <x:xf numFmtId="0" fontId="1" fillId="9" borderId="0" xfId="0" applyNumberFormat="1" applyFont="1" applyFill="1" applyBorder="1" applyAlignment="1">
      <x:alignment horizontal="center" vertical="center" wrapText="1"/>
    </x:xf>
    <x:xf numFmtId="0" fontId="1" fillId="9" xfId="0" applyNumberFormat="1" applyFont="1" applyFill="1" applyBorder="0" applyAlignment="1">
      <x:alignment horizontal="center" vertical="center" wrapText="1"/>
    </x:xf>
    <x:xf numFmtId="0" fontId="0" fillId="0" xfId="0" applyNumberFormat="1" applyFont="1" applyFill="1" applyBorder="0"/>
    <x:xf numFmtId="0" fontId="0" fillId="0" borderId="16" xfId="0" applyNumberFormat="1" applyFont="1" applyFill="1" applyBorder="1"/>
  </x:cellXfs>
  <x:cellStyles count="1">
    <x:cellStyle name="Normal" xfId="0"/>
  </x:cellStyles>
  <x:dxfs count="17"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D4ED8"/>
      </x:font>
      <x:fill>
        <x:patternFill>
          <x:bgColor rgb="FFDBEAFE"/>
        </x:patternFill>
      </x:fill>
    </x:dxf>
    <x:dxf>
      <x:font>
        <x:b/>
        <x:color rgb="FF7E22CE"/>
      </x:font>
      <x:fill>
        <x:patternFill>
          <x:bgColor rgb="FFF3E8FF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D4ED8"/>
      </x:font>
      <x:fill>
        <x:patternFill patternType="solid">
          <x:bgColor rgb="FFDBEAFE"/>
        </x:patternFill>
      </x:fill>
    </x:dxf>
    <x:dxf>
      <x:font>
        <x:b/>
        <x:color rgb="FF7E22CE"/>
      </x:font>
      <x:fill>
        <x:patternFill patternType="solid">
          <x:bgColor rgb="FFF3E8FF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D4ED8"/>
      </x:font>
      <x:fill>
        <x:patternFill patternType="solid">
          <x:bgColor rgb="FFDBEAFE"/>
        </x:patternFill>
      </x:fill>
    </x:dxf>
    <x:dxf>
      <x:font>
        <x:b/>
        <x:color rgb="FF7E22CE"/>
      </x:font>
      <x:fill>
        <x:patternFill patternType="solid">
          <x:bgColor rgb="FFF3E8FF"/>
        </x:patternFill>
      </x:fill>
    </x:dxf>
    <x:dxf>
      <x:font>
        <x:b/>
        <x:color rgb="FFBE123C"/>
      </x:font>
      <x:fill>
        <x:patternFill patternType="solid">
          <x:bgColor rgb="FFFFF1F2"/>
        </x:patternFill>
      </x:fill>
    </x:dxf>
    <x:dxf>
      <x:font>
        <x:b/>
        <x:color rgb="FFC2410C"/>
      </x:font>
      <x:fill>
        <x:patternFill patternType="solid">
          <x:bgColor rgb="FFFFF7E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29cc288f6e42e2" /><Relationship Type="http://schemas.openxmlformats.org/officeDocument/2006/relationships/theme" Target="/xl/theme/theme1.xml" Id="R9ace6925a38e4af3" /><Relationship Type="http://schemas.openxmlformats.org/officeDocument/2006/relationships/sharedStrings" Target="/xl/sharedStrings.xml" Id="R92365f8942ad4ab6" /><Relationship Type="http://schemas.openxmlformats.org/officeDocument/2006/relationships/worksheet" Target="/xl/worksheets/sheet1.xml" Id="R97be6df9b32c4b15" /><Relationship Type="http://schemas.openxmlformats.org/officeDocument/2006/relationships/worksheet" Target="/xl/worksheets/sheet2.xml" Id="Ra1e991b04d094258" /><Relationship Type="http://schemas.openxmlformats.org/officeDocument/2006/relationships/worksheet" Target="/xl/worksheets/sheet3.xml" Id="Rf3b3a02c03b4437d" /><Relationship Type="http://schemas.openxmlformats.org/officeDocument/2006/relationships/worksheet" Target="/xl/worksheets/sheet4.xml" Id="Rce825cd7192c497e" /><Relationship Type="http://schemas.openxmlformats.org/officeDocument/2006/relationships/worksheet" Target="/xl/worksheets/sheet5.xml" Id="R5a28d356130e4930" /><Relationship Type="http://schemas.openxmlformats.org/officeDocument/2006/relationships/worksheet" Target="/xl/worksheets/sheet6.xml" Id="R783dc3d3d55c4291" /><Relationship Type="http://schemas.openxmlformats.org/officeDocument/2006/relationships/worksheet" Target="/xl/worksheets/sheet7.xml" Id="Ra2bbcfd617e047f6" /><Relationship Type="http://schemas.openxmlformats.org/officeDocument/2006/relationships/worksheet" Target="/xl/worksheets/sheet8.xml" Id="R489878ebd328490a" /><Relationship Type="http://schemas.openxmlformats.org/officeDocument/2006/relationships/worksheet" Target="/xl/worksheets/sheet9.xml" Id="R1e9aecea1e974873" /><Relationship Type="http://schemas.openxmlformats.org/officeDocument/2006/relationships/worksheet" Target="/xl/worksheets/sheet10.xml" Id="Ra07c9057d84f4f1a" /><Relationship Type="http://schemas.openxmlformats.org/officeDocument/2006/relationships/worksheet" Target="/xl/worksheets/sheet11.xml" Id="R835dfb7bb6774cc6" /><Relationship Type="http://schemas.openxmlformats.org/officeDocument/2006/relationships/worksheet" Target="/xl/worksheets/sheet12.xml" Id="Rd847b857a8bc4ad3" /><Relationship Type="http://schemas.openxmlformats.org/officeDocument/2006/relationships/worksheet" Target="/xl/worksheets/sheet13.xml" Id="R7c063f4f8598492c" /><Relationship Type="http://schemas.openxmlformats.org/officeDocument/2006/relationships/worksheet" Target="/xl/worksheets/sheet14.xml" Id="Re4f3efb4437b4804" /><Relationship Type="http://schemas.openxmlformats.org/officeDocument/2006/relationships/worksheet" Target="/xl/worksheets/sheet15.xml" Id="R3424015a992f48b5" /><Relationship Type="http://schemas.openxmlformats.org/officeDocument/2006/relationships/worksheet" Target="/xl/worksheets/sheet16.xml" Id="R57309f3db6314b81" /><Relationship Type="http://schemas.openxmlformats.org/officeDocument/2006/relationships/worksheet" Target="/xl/worksheets/sheet17.xml" Id="Reb355430d3004f4b" /><Relationship Type="http://schemas.openxmlformats.org/officeDocument/2006/relationships/worksheet" Target="/xl/worksheets/sheet18.xml" Id="Re9fd84c81f9049c2" /><Relationship Type="http://schemas.openxmlformats.org/officeDocument/2006/relationships/worksheet" Target="/xl/worksheets/sheet19.xml" Id="R1af913d5fd5c4f54" /><Relationship Type="http://schemas.openxmlformats.org/officeDocument/2006/relationships/worksheet" Target="/xl/worksheets/sheet20.xml" Id="R5a2b69bca1c54144" /><Relationship Type="http://schemas.openxmlformats.org/officeDocument/2006/relationships/worksheet" Target="/xl/worksheets/sheet21.xml" Id="Rf4a97b9d990b4ee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4daa8a87564419e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b91efc5d4ef24cd3" /><Relationship Type="http://schemas.openxmlformats.org/officeDocument/2006/relationships/chart" Target="/xl/drawings/charts/chart3.xml" Id="R9f78ae988b694e2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Screens by Module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Screens</c:v>
          </c:tx>
          <c:cat>
            <c:strRef>
              <c:f>'ERP Blueprint'!$A$16:$A$40</c:f>
              <c:strCache>
                <c:ptCount val="0"/>
              </c:strCache>
            </c:strRef>
          </c:cat>
          <c:val>
            <c:numRef>
              <c:f>'ERP Blueprint'!$B$16:$B$40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Requirements Artifact Counts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'PRD Summary'!$A$11:$A$26</c:f>
              <c:strCache>
                <c:ptCount val="0"/>
              </c:strCache>
            </c:strRef>
          </c:cat>
          <c:val>
            <c:numRef>
              <c:f>'PRD Summary'!$B$11:$B$26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Backlog by Release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Stories</c:v>
          </c:tx>
          <c:cat>
            <c:strRef>
              <c:f>'PRD Summary'!$E$11:$E$13</c:f>
              <c:strCache>
                <c:ptCount val="0"/>
              </c:strCache>
            </c:strRef>
          </c:cat>
          <c:val>
            <c:numRef>
              <c:f>'PRD Summary'!$F$11:$F$13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Story Points</c:v>
          </c:tx>
          <c:cat>
            <c:strRef>
              <c:f>'PRD Summary'!$E$11:$E$13</c:f>
              <c:strCache>
                <c:ptCount val="0"/>
              </c:strCache>
            </c:strRef>
          </c:cat>
          <c:val>
            <c:numRef>
              <c:f>'PRD Summary'!$G$11:$G$13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8</xdr:row>
      <xdr:rowOff>0</xdr:rowOff>
    </xdr:from>
    <xdr:to>
      <xdr:col>13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4daa8a87564419e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8</xdr:col>
      <xdr:colOff>0</xdr:colOff>
      <xdr:row>3</xdr:row>
      <xdr:rowOff>0</xdr:rowOff>
    </xdr:from>
    <xdr:to>
      <xdr:col>16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91efc5d4ef24cd3"/>
        </a:graphicData>
      </a:graphic>
    </xdr:graphicFrame>
    <xdr:clientData/>
  </xdr:twoCellAnchor>
  <xdr:twoCellAnchor>
    <xdr:from>
      <xdr:col>8</xdr:col>
      <xdr:colOff>0</xdr:colOff>
      <xdr:row>23</xdr:row>
      <xdr:rowOff>0</xdr:rowOff>
    </xdr:from>
    <xdr:to>
      <xdr:col>16</xdr:col>
      <xdr:colOff>0</xdr:colOff>
      <xdr:row>39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f78ae988b694e20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MasterScreensTable" displayName="MasterScreensTable" ref="A1:M296" headerRowCount="1" totalsRowCount="0" totalsRowShown="0">
  <x:tableColumns count="13">
    <x:tableColumn id="1" name="Screen ID"/>
    <x:tableColumn id="2" name="Module"/>
    <x:tableColumn id="3" name="Submodule"/>
    <x:tableColumn id="4" name="Screen Name"/>
    <x:tableColumn id="5" name="Primary Roles"/>
    <x:tableColumn id="6" name="Portal"/>
    <x:tableColumn id="7" name="Screen Type"/>
    <x:tableColumn id="8" name="Purpose"/>
    <x:tableColumn id="9" name="Key Actions"/>
    <x:tableColumn id="10" name="Key Data / Fields"/>
    <x:tableColumn id="11" name="Priority"/>
    <x:tableColumn id="12" name="Reusable UI Pattern"/>
    <x:tableColumn id="13" name="Implementation 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picsTable" displayName="EpicsTable" ref="A1:M26" headerRowCount="1" totalsRowCount="0" totalsRowShown="0">
  <x:tableColumns count="13">
    <x:tableColumn id="1" name="Epic ID"/>
    <x:tableColumn id="2" name="Module"/>
    <x:tableColumn id="3" name="Epic Name"/>
    <x:tableColumn id="4" name="Objective"/>
    <x:tableColumn id="5" name="Business Outcome"/>
    <x:tableColumn id="6" name="Primary Actors"/>
    <x:tableColumn id="7" name="Scope"/>
    <x:tableColumn id="8" name="Out of Scope / Guardrails"/>
    <x:tableColumn id="9" name="Key Business Rules"/>
    <x:tableColumn id="10" name="Dependencies"/>
    <x:tableColumn id="11" name="Release Scope"/>
    <x:tableColumn id="12" name="Success Metrics"/>
    <x:tableColumn id="13" name="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UserStoriesTable" displayName="UserStoriesTable" ref="A1:N591" headerRowCount="1" totalsRowCount="0" totalsRowShown="0">
  <x:tableColumns count="14">
    <x:tableColumn id="1" name="Story ID"/>
    <x:tableColumn id="2" name="Epic ID"/>
    <x:tableColumn id="3" name="Screen ID"/>
    <x:tableColumn id="4" name="Module"/>
    <x:tableColumn id="5" name="Screen Name"/>
    <x:tableColumn id="6" name="Persona"/>
    <x:tableColumn id="7" name="User Story"/>
    <x:tableColumn id="8" name="Story Type"/>
    <x:tableColumn id="9" name="Priority"/>
    <x:tableColumn id="10" name="Release"/>
    <x:tableColumn id="11" name="Complexity"/>
    <x:tableColumn id="12" name="Story Points"/>
    <x:tableColumn id="13" name="Dependencies"/>
    <x:tableColumn id="14" name="Statu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AcceptanceCriteriaTable" displayName="AcceptanceCriteriaTable" ref="A1:K2361" headerRowCount="1" totalsRowCount="0" totalsRowShown="0">
  <x:tableColumns count="11">
    <x:tableColumn id="1" name="AC ID"/>
    <x:tableColumn id="2" name="Story ID"/>
    <x:tableColumn id="3" name="Screen ID"/>
    <x:tableColumn id="4" name="Module"/>
    <x:tableColumn id="5" name="Screen Name"/>
    <x:tableColumn id="6" name="Scenario"/>
    <x:tableColumn id="7" name="Given"/>
    <x:tableColumn id="8" name="When"/>
    <x:tableColumn id="9" name="Then"/>
    <x:tableColumn id="10" name="Case Type"/>
    <x:tableColumn id="11" name="Test Category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BusinessLogicTable" displayName="BusinessLogicTable" ref="A1:L296" headerRowCount="1" totalsRowCount="0" totalsRowShown="0">
  <x:tableColumns count="12">
    <x:tableColumn id="1" name="Logic ID"/>
    <x:tableColumn id="2" name="Screen ID"/>
    <x:tableColumn id="3" name="Module"/>
    <x:tableColumn id="4" name="Screen Name"/>
    <x:tableColumn id="5" name="Preconditions"/>
    <x:tableColumn id="6" name="Trigger"/>
    <x:tableColumn id="7" name="Processing Logic"/>
    <x:tableColumn id="8" name="State Transition"/>
    <x:tableColumn id="9" name="Calculations / Derivations"/>
    <x:tableColumn id="10" name="Postconditions"/>
    <x:tableColumn id="11" name="Cross-Module Effects"/>
    <x:tableColumn id="12" name="Audit Requirement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BusinessRulesTable" displayName="BusinessRulesTable" ref="A1:J1011" headerRowCount="1" totalsRowCount="0" totalsRowShown="0">
  <x:tableColumns count="10">
    <x:tableColumn id="1" name="Rule ID"/>
    <x:tableColumn id="2" name="Scope"/>
    <x:tableColumn id="3" name="Screen ID"/>
    <x:tableColumn id="4" name="Module"/>
    <x:tableColumn id="5" name="Screen Name"/>
    <x:tableColumn id="6" name="Rule Name"/>
    <x:tableColumn id="7" name="Business Rule"/>
    <x:tableColumn id="8" name="Enforcement"/>
    <x:tableColumn id="9" name="Severity"/>
    <x:tableColumn id="10" name="Override / Exception Policy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WorkflowsTable" displayName="WorkflowsTable" ref="A1:J296" headerRowCount="1" totalsRowCount="0" totalsRowShown="0">
  <x:tableColumns count="10">
    <x:tableColumn id="1" name="Workflow ID"/>
    <x:tableColumn id="2" name="Screen ID"/>
    <x:tableColumn id="3" name="Module"/>
    <x:tableColumn id="4" name="Screen Name"/>
    <x:tableColumn id="5" name="Start State"/>
    <x:tableColumn id="6" name="Allowed States / Path"/>
    <x:tableColumn id="7" name="Transition Rules"/>
    <x:tableColumn id="8" name="Approver / Authority"/>
    <x:tableColumn id="9" name="Reopen / Reversal Rules"/>
    <x:tableColumn id="10" name="SLA / Timing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ValidationsTable" displayName="ValidationsTable" ref="A1:I677" headerRowCount="1" totalsRowCount="0" totalsRowShown="0">
  <x:tableColumns count="9">
    <x:tableColumn id="1" name="Validation ID"/>
    <x:tableColumn id="2" name="Screen ID"/>
    <x:tableColumn id="3" name="Module"/>
    <x:tableColumn id="4" name="Screen Name"/>
    <x:tableColumn id="5" name="Field / Area"/>
    <x:tableColumn id="6" name="Validation Rule"/>
    <x:tableColumn id="7" name="User Error Message"/>
    <x:tableColumn id="8" name="When Applied"/>
    <x:tableColumn id="9" name="Blocking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RBACMatrixTable" displayName="RBACMatrixTable" ref="A1:N296" headerRowCount="1" totalsRowCount="0" totalsRowShown="0">
  <x:tableColumns count="14">
    <x:tableColumn id="1" name="Access ID"/>
    <x:tableColumn id="2" name="Screen ID"/>
    <x:tableColumn id="3" name="Module"/>
    <x:tableColumn id="4" name="Screen Name"/>
    <x:tableColumn id="5" name="Primary Roles"/>
    <x:tableColumn id="6" name="Portal"/>
    <x:tableColumn id="7" name="View"/>
    <x:tableColumn id="8" name="Create"/>
    <x:tableColumn id="9" name="Edit"/>
    <x:tableColumn id="10" name="Delete"/>
    <x:tableColumn id="11" name="Approve"/>
    <x:tableColumn id="12" name="Export"/>
    <x:tableColumn id="13" name="Data Scope"/>
    <x:tableColumn id="14" name="Sensitive Data No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NotificationsTable" displayName="NotificationsTable" ref="A1:K97" headerRowCount="1" totalsRowCount="0" totalsRowShown="0">
  <x:tableColumns count="11">
    <x:tableColumn id="1" name="Notification ID"/>
    <x:tableColumn id="2" name="Screen ID"/>
    <x:tableColumn id="3" name="Module"/>
    <x:tableColumn id="4" name="Screen Name"/>
    <x:tableColumn id="5" name="Trigger"/>
    <x:tableColumn id="6" name="Recipients"/>
    <x:tableColumn id="7" name="Channels"/>
    <x:tableColumn id="8" name="Template / Event"/>
    <x:tableColumn id="9" name="Timing"/>
    <x:tableColumn id="10" name="Retry / Fallback"/>
    <x:tableColumn id="11" name="Preference / Opt-out Rul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CalculationsTable" displayName="CalculationsTable" ref="A1:I16" headerRowCount="1" totalsRowCount="0" totalsRowShown="0">
  <x:tableColumns count="9">
    <x:tableColumn id="1" name="Calc ID"/>
    <x:tableColumn id="2" name="Module"/>
    <x:tableColumn id="3" name="Screen ID"/>
    <x:tableColumn id="4" name="Metric / Calculation"/>
    <x:tableColumn id="5" name="Formula / Logic"/>
    <x:tableColumn id="6" name="Rounding"/>
    <x:tableColumn id="7" name="Edge Cases"/>
    <x:tableColumn id="8" name="Recalculation Trigger"/>
    <x:tableColumn id="9" name="Notes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ExceptionsTable" displayName="ExceptionsTable" ref="A1:I779" headerRowCount="1" totalsRowCount="0" totalsRowShown="0">
  <x:tableColumns count="9">
    <x:tableColumn id="1" name="Exception ID"/>
    <x:tableColumn id="2" name="Screen ID"/>
    <x:tableColumn id="3" name="Module"/>
    <x:tableColumn id="4" name="Screen Name"/>
    <x:tableColumn id="5" name="Scenario / Edge Case"/>
    <x:tableColumn id="6" name="Expected System Behavior"/>
    <x:tableColumn id="7" name="User Message"/>
    <x:tableColumn id="8" name="Recovery / Retry"/>
    <x:tableColumn id="9" name="Audit / Monitoring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APIServicesTable" displayName="APIServicesTable" ref="A1:L296" headerRowCount="1" totalsRowCount="0" totalsRowShown="0">
  <x:tableColumns count="12">
    <x:tableColumn id="1" name="API ID"/>
    <x:tableColumn id="2" name="Screen ID"/>
    <x:tableColumn id="3" name="Module"/>
    <x:tableColumn id="4" name="Screen Name"/>
    <x:tableColumn id="5" name="Service"/>
    <x:tableColumn id="6" name="Suggested Endpoint"/>
    <x:tableColumn id="7" name="Method"/>
    <x:tableColumn id="8" name="Request / Command Rules"/>
    <x:tableColumn id="9" name="Response Rules"/>
    <x:tableColumn id="10" name="Authorization"/>
    <x:tableColumn id="11" name="Idempotency / Concurrency"/>
    <x:tableColumn id="12" name="Events / Side Effects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DataEntitiesTable" displayName="DataEntitiesTable" ref="A1:I114" headerRowCount="1" totalsRowCount="0" totalsRowShown="0">
  <x:tableColumns count="9">
    <x:tableColumn id="1" name="Entity ID"/>
    <x:tableColumn id="2" name="Module"/>
    <x:tableColumn id="3" name="Entity"/>
    <x:tableColumn id="4" name="Purpose"/>
    <x:tableColumn id="5" name="Key Fields"/>
    <x:tableColumn id="6" name="Relationships"/>
    <x:tableColumn id="7" name="Unique Keys / Constraints"/>
    <x:tableColumn id="8" name="Sensitivity"/>
    <x:tableColumn id="9" name="Retention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NFRTable" displayName="NFRTable" ref="A1:F36" headerRowCount="1" totalsRowCount="0" totalsRowShown="0">
  <x:tableColumns count="6">
    <x:tableColumn id="1" name="NFR ID"/>
    <x:tableColumn id="2" name="Category"/>
    <x:tableColumn id="3" name="Requirement"/>
    <x:tableColumn id="4" name="Target / Threshold"/>
    <x:tableColumn id="5" name="Applies To"/>
    <x:tableColumn id="6" name="Verification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TraceabilityTable" displayName="TraceabilityTable" ref="A1:L591" headerRowCount="1" totalsRowCount="0" totalsRowShown="0">
  <x:tableColumns count="12">
    <x:tableColumn id="1" name="Story ID"/>
    <x:tableColumn id="2" name="Epic ID"/>
    <x:tableColumn id="3" name="Screen ID"/>
    <x:tableColumn id="4" name="Module"/>
    <x:tableColumn id="5" name="Screen Name"/>
    <x:tableColumn id="6" name="Acceptance Criteria IDs"/>
    <x:tableColumn id="7" name="Business Logic ID"/>
    <x:tableColumn id="8" name="Business Rule IDs"/>
    <x:tableColumn id="9" name="Workflow ID"/>
    <x:tableColumn id="10" name="API ID"/>
    <x:tableColumn id="11" name="Priority"/>
    <x:tableColumn id="12" name="Status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DefinitionOfDoneTable" displayName="DefinitionOfDoneTable" ref="A1:C19" headerRowCount="1" totalsRowCount="0" totalsRowShown="0">
  <x:tableColumns count="3">
    <x:tableColumn id="1" name="DoD ID"/>
    <x:tableColumn id="2" name="Category"/>
    <x:tableColumn id="3" name="Definition of Done Criter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cac3c23004e422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04d933476bb447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2.xml" Id="R0a647e1b2e384b5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3.xml" Id="R432bcf053aec434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4.xml" Id="Rda2808308855437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5.xml" Id="R183435a6a1334cc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6.xml" Id="Radca01a2709c4cfe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7.xml" Id="Ref17716224184c7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a1dae87a676a48b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9.xml" Id="R685845f0819d491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564df01fa7424e77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1.xml" Id="Rabf13035f65e4e13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2.xml" Id="R97b6bf2668ee46e4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3.xml" Id="R4ef07f9b5a5e4b3f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4.xml" Id="R2d72f1ad2bd849a4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5.xml" Id="R7f0587e389264c8e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6.xml" Id="R07b431b7039747a3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17.xml" Id="Reb31a17c3e9c4fa5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drawing" Target="/xl/drawings/drawing2.xml" Id="R890bc70aa7174a4c" /></Relationships>
</file>

<file path=xl/worksheets/sheet1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4" hidden="0" customWidth="1"/>
    <x:col min="3" max="3" width="14" hidden="0" customWidth="1"/>
    <x:col min="4" max="4" width="18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>
      <x:c r="A1" s="299" t="str">
        <x:v>School Management ERP — Complete Screen Blueprint</x:v>
      </x:c>
      <x:c r="B1" s="299"/>
      <x:c r="C1" s="299"/>
      <x:c r="D1" s="299"/>
      <x:c r="E1" s="299"/>
      <x:c r="F1" s="299"/>
      <x:c r="G1" s="299"/>
      <x:c r="H1" s="299"/>
      <x:c r="I1" s="226"/>
      <x:c r="J1" s="226"/>
      <x:c r="K1" s="226"/>
      <x:c r="L1" s="226"/>
      <x:c r="M1" s="226"/>
      <x:c r="N1" s="226"/>
      <x:c r="O1" s="226"/>
      <x:c r="P1" s="226"/>
      <x:c r="Q1" s="226"/>
      <x:c r="R1" s="226"/>
      <x:c r="S1" s="226"/>
      <x:c r="T1" s="226"/>
      <x:c r="U1" s="226"/>
      <x:c r="V1" s="226"/>
      <x:c r="W1" s="226"/>
      <x:c r="X1" s="226"/>
      <x:c r="Y1" s="226"/>
      <x:c r="Z1" s="226"/>
    </x:row>
    <x:row r="2">
      <x:c r="A2" s="299"/>
      <x:c r="B2" s="299"/>
      <x:c r="C2" s="299"/>
      <x:c r="D2" s="299"/>
      <x:c r="E2" s="299"/>
      <x:c r="F2" s="299"/>
      <x:c r="G2" s="299"/>
      <x:c r="H2" s="299"/>
      <x:c r="I2" s="226"/>
      <x:c r="J2" s="226"/>
      <x:c r="K2" s="226"/>
      <x:c r="L2" s="226"/>
      <x:c r="M2" s="226"/>
      <x:c r="N2" s="226"/>
      <x:c r="O2" s="226"/>
      <x:c r="P2" s="226"/>
      <x:c r="Q2" s="226"/>
      <x:c r="R2" s="226"/>
      <x:c r="S2" s="226"/>
      <x:c r="T2" s="226"/>
      <x:c r="U2" s="226"/>
      <x:c r="V2" s="226"/>
      <x:c r="W2" s="226"/>
      <x:c r="X2" s="226"/>
      <x:c r="Y2" s="226"/>
      <x:c r="Z2" s="226"/>
    </x:row>
    <x:row r="3">
      <x:c r="A3" s="227" t="str">
        <x:v>A complete UI/UX and development inventory covering 295 screens across 25 ERP modules.</x:v>
      </x:c>
      <x:c r="B3" s="227"/>
      <x:c r="C3" s="227"/>
      <x:c r="D3" s="227"/>
      <x:c r="E3" s="227"/>
      <x:c r="F3" s="227"/>
      <x:c r="G3" s="227"/>
      <x:c r="H3" s="227"/>
      <x:c r="I3" s="226"/>
      <x:c r="J3" s="226"/>
      <x:c r="K3" s="226"/>
      <x:c r="L3" s="226"/>
      <x:c r="M3" s="226"/>
      <x:c r="N3" s="226"/>
      <x:c r="O3" s="226"/>
      <x:c r="P3" s="226"/>
      <x:c r="Q3" s="226"/>
      <x:c r="R3" s="226"/>
      <x:c r="S3" s="226"/>
      <x:c r="T3" s="226"/>
      <x:c r="U3" s="226"/>
      <x:c r="V3" s="226"/>
      <x:c r="W3" s="226"/>
      <x:c r="X3" s="226"/>
      <x:c r="Y3" s="226"/>
      <x:c r="Z3" s="226"/>
    </x:row>
    <x:row r="4">
      <x:c r="A4" s="226"/>
      <x:c r="B4" s="226"/>
      <x:c r="C4" s="226"/>
      <x:c r="D4" s="226"/>
      <x:c r="E4" s="226"/>
      <x:c r="F4" s="226"/>
      <x:c r="G4" s="226"/>
      <x:c r="H4" s="226"/>
      <x:c r="I4" s="226"/>
      <x:c r="J4" s="226"/>
      <x:c r="K4" s="226"/>
      <x:c r="L4" s="226"/>
      <x:c r="M4" s="226"/>
      <x:c r="N4" s="226"/>
      <x:c r="O4" s="226"/>
      <x:c r="P4" s="226"/>
      <x:c r="Q4" s="226"/>
      <x:c r="R4" s="226"/>
      <x:c r="S4" s="226"/>
      <x:c r="T4" s="226"/>
      <x:c r="U4" s="226"/>
      <x:c r="V4" s="226"/>
      <x:c r="W4" s="226"/>
      <x:c r="X4" s="226"/>
      <x:c r="Y4" s="226"/>
      <x:c r="Z4" s="226"/>
    </x:row>
    <x:row r="5">
      <x:c r="A5" s="228" t="str">
        <x:v>TOTAL SCREENS</x:v>
      </x:c>
      <x:c r="B5" s="229"/>
      <x:c r="C5" s="230"/>
      <x:c r="D5" s="231" t="str">
        <x:v>MODULES</x:v>
      </x:c>
      <x:c r="E5" s="232"/>
      <x:c r="F5" s="230"/>
      <x:c r="G5" s="233" t="str">
        <x:v>DELIVERY PHASES</x:v>
      </x:c>
      <x:c r="H5" s="234"/>
      <x:c r="I5" s="226"/>
      <x:c r="J5" s="226"/>
      <x:c r="K5" s="226"/>
      <x:c r="L5" s="226"/>
      <x:c r="M5" s="226"/>
      <x:c r="N5" s="226"/>
      <x:c r="O5" s="226"/>
      <x:c r="P5" s="226"/>
      <x:c r="Q5" s="226"/>
      <x:c r="R5" s="226"/>
      <x:c r="S5" s="226"/>
      <x:c r="T5" s="226"/>
      <x:c r="U5" s="226"/>
      <x:c r="V5" s="226"/>
      <x:c r="W5" s="226"/>
      <x:c r="X5" s="226"/>
      <x:c r="Y5" s="226"/>
      <x:c r="Z5" s="226"/>
    </x:row>
    <x:row r="6">
      <x:c r="A6" s="235" t="n">
        <x:f>COUNTA('Master Screens'!A2:A296)</x:f>
        <x:v>295</x:v>
      </x:c>
      <x:c r="B6" s="236"/>
      <x:c r="C6" s="230"/>
      <x:c r="D6" s="237" t="n">
        <x:v>25</x:v>
      </x:c>
      <x:c r="E6" s="238"/>
      <x:c r="F6" s="230"/>
      <x:c r="G6" s="239" t="n">
        <x:v>3</x:v>
      </x:c>
      <x:c r="H6" s="240"/>
      <x:c r="I6" s="226"/>
      <x:c r="J6" s="226"/>
      <x:c r="K6" s="226"/>
      <x:c r="L6" s="226"/>
      <x:c r="M6" s="226"/>
      <x:c r="N6" s="226"/>
      <x:c r="O6" s="226"/>
      <x:c r="P6" s="226"/>
      <x:c r="Q6" s="226"/>
      <x:c r="R6" s="226"/>
      <x:c r="S6" s="226"/>
      <x:c r="T6" s="226"/>
      <x:c r="U6" s="226"/>
      <x:c r="V6" s="226"/>
      <x:c r="W6" s="226"/>
      <x:c r="X6" s="226"/>
      <x:c r="Y6" s="226"/>
      <x:c r="Z6" s="226"/>
    </x:row>
    <x:row r="7">
      <x:c r="A7" s="241"/>
      <x:c r="B7" s="242"/>
      <x:c r="C7" s="230"/>
      <x:c r="D7" s="243"/>
      <x:c r="E7" s="244"/>
      <x:c r="F7" s="230"/>
      <x:c r="G7" s="245"/>
      <x:c r="H7" s="246"/>
      <x:c r="I7" s="226"/>
      <x:c r="J7" s="226"/>
      <x:c r="K7" s="226"/>
      <x:c r="L7" s="226"/>
      <x:c r="M7" s="226"/>
      <x:c r="N7" s="226"/>
      <x:c r="O7" s="226"/>
      <x:c r="P7" s="226"/>
      <x:c r="Q7" s="226"/>
      <x:c r="R7" s="226"/>
      <x:c r="S7" s="226"/>
      <x:c r="T7" s="226"/>
      <x:c r="U7" s="226"/>
      <x:c r="V7" s="226"/>
      <x:c r="W7" s="226"/>
      <x:c r="X7" s="226"/>
      <x:c r="Y7" s="226"/>
      <x:c r="Z7" s="226"/>
    </x:row>
    <x:row r="8">
      <x:c r="A8" s="226"/>
      <x:c r="B8" s="226"/>
      <x:c r="C8" s="226"/>
      <x:c r="D8" s="226"/>
      <x:c r="E8" s="226"/>
      <x:c r="F8" s="226"/>
      <x:c r="G8" s="226"/>
      <x:c r="H8" s="226"/>
      <x:c r="I8" s="226"/>
      <x:c r="J8" s="226"/>
      <x:c r="K8" s="226"/>
      <x:c r="L8" s="226"/>
      <x:c r="M8" s="226"/>
      <x:c r="N8" s="226"/>
      <x:c r="O8" s="226"/>
      <x:c r="P8" s="226"/>
      <x:c r="Q8" s="226"/>
      <x:c r="R8" s="226"/>
      <x:c r="S8" s="226"/>
      <x:c r="T8" s="226"/>
      <x:c r="U8" s="226"/>
      <x:c r="V8" s="226"/>
      <x:c r="W8" s="226"/>
      <x:c r="X8" s="226"/>
      <x:c r="Y8" s="226"/>
      <x:c r="Z8" s="226"/>
    </x:row>
    <x:row r="9">
      <x:c r="A9" s="301" t="str">
        <x:v>Priority</x:v>
      </x:c>
      <x:c r="B9" s="301" t="str">
        <x:v>Screen Count</x:v>
      </x:c>
      <x:c r="C9" s="301" t="str">
        <x:v>Purpose</x:v>
      </x:c>
      <x:c r="D9" s="301" t="str">
        <x:v>Recommended Release</x:v>
      </x:c>
      <x:c r="E9" s="226"/>
      <x:c r="F9" s="226"/>
      <x:c r="G9" s="226"/>
      <x:c r="H9" s="226"/>
      <x:c r="I9" s="226"/>
      <x:c r="J9" s="226"/>
      <x:c r="K9" s="226"/>
      <x:c r="L9" s="226"/>
      <x:c r="M9" s="226"/>
      <x:c r="N9" s="226"/>
      <x:c r="O9" s="226"/>
      <x:c r="P9" s="226"/>
      <x:c r="Q9" s="226"/>
      <x:c r="R9" s="226"/>
      <x:c r="S9" s="226"/>
      <x:c r="T9" s="226"/>
      <x:c r="U9" s="226"/>
      <x:c r="V9" s="226"/>
      <x:c r="W9" s="226"/>
      <x:c r="X9" s="226"/>
      <x:c r="Y9" s="226"/>
      <x:c r="Z9" s="226"/>
    </x:row>
    <x:row r="10">
      <x:c r="A10" s="248" t="str">
        <x:v>MVP</x:v>
      </x:c>
      <x:c r="B10" s="249" t="n">
        <x:f>COUNTIF('Master Screens'!K$2:K$296,"MVP")</x:f>
        <x:v>100</x:v>
      </x:c>
      <x:c r="C10" s="249" t="str">
        <x:v>Core school operations needed for first production launch.</x:v>
      </x:c>
      <x:c r="D10" s="249" t="str">
        <x:v>Release 1</x:v>
      </x:c>
      <x:c r="E10" s="226"/>
      <x:c r="F10" s="226"/>
      <x:c r="G10" s="226"/>
      <x:c r="H10" s="226"/>
      <x:c r="I10" s="226"/>
      <x:c r="J10" s="226"/>
      <x:c r="K10" s="226"/>
      <x:c r="L10" s="226"/>
      <x:c r="M10" s="226"/>
      <x:c r="N10" s="226"/>
      <x:c r="O10" s="226"/>
      <x:c r="P10" s="226"/>
      <x:c r="Q10" s="226"/>
      <x:c r="R10" s="226"/>
      <x:c r="S10" s="226"/>
      <x:c r="T10" s="226"/>
      <x:c r="U10" s="226"/>
      <x:c r="V10" s="226"/>
      <x:c r="W10" s="226"/>
      <x:c r="X10" s="226"/>
      <x:c r="Y10" s="226"/>
      <x:c r="Z10" s="226"/>
    </x:row>
    <x:row r="11">
      <x:c r="A11" s="250" t="str">
        <x:v>Phase 2</x:v>
      </x:c>
      <x:c r="B11" s="249" t="n">
        <x:f>COUNTIF('Master Screens'!K$2:K$296,"Phase 2")</x:f>
        <x:v>92</x:v>
      </x:c>
      <x:c r="C11" s="249" t="str">
        <x:v>Operational expansion, automation and supporting departments.</x:v>
      </x:c>
      <x:c r="D11" s="249" t="str">
        <x:v>Release 2</x:v>
      </x:c>
      <x:c r="E11" s="226"/>
      <x:c r="F11" s="226"/>
      <x:c r="G11" s="226"/>
      <x:c r="H11" s="226"/>
      <x:c r="I11" s="226"/>
      <x:c r="J11" s="226"/>
      <x:c r="K11" s="226"/>
      <x:c r="L11" s="226"/>
      <x:c r="M11" s="226"/>
      <x:c r="N11" s="226"/>
      <x:c r="O11" s="226"/>
      <x:c r="P11" s="226"/>
      <x:c r="Q11" s="226"/>
      <x:c r="R11" s="226"/>
      <x:c r="S11" s="226"/>
      <x:c r="T11" s="226"/>
      <x:c r="U11" s="226"/>
      <x:c r="V11" s="226"/>
      <x:c r="W11" s="226"/>
      <x:c r="X11" s="226"/>
      <x:c r="Y11" s="226"/>
      <x:c r="Z11" s="226"/>
    </x:row>
    <x:row r="12">
      <x:c r="A12" s="251" t="str">
        <x:v>Phase 3</x:v>
      </x:c>
      <x:c r="B12" s="252" t="n">
        <x:f>COUNTIF('Master Screens'!K$2:K$296,"Phase 3")</x:f>
        <x:v>103</x:v>
      </x:c>
      <x:c r="C12" s="252" t="str">
        <x:v>Advanced / optional modules and deeper analytics.</x:v>
      </x:c>
      <x:c r="D12" s="252" t="str">
        <x:v>Release 3</x:v>
      </x:c>
      <x:c r="E12" s="226"/>
      <x:c r="F12" s="226"/>
      <x:c r="G12" s="226"/>
      <x:c r="H12" s="226"/>
      <x:c r="I12" s="226"/>
      <x:c r="J12" s="226"/>
      <x:c r="K12" s="226"/>
      <x:c r="L12" s="226"/>
      <x:c r="M12" s="226"/>
      <x:c r="N12" s="226"/>
      <x:c r="O12" s="226"/>
      <x:c r="P12" s="226"/>
      <x:c r="Q12" s="226"/>
      <x:c r="R12" s="226"/>
      <x:c r="S12" s="226"/>
      <x:c r="T12" s="226"/>
      <x:c r="U12" s="226"/>
      <x:c r="V12" s="226"/>
      <x:c r="W12" s="226"/>
      <x:c r="X12" s="226"/>
      <x:c r="Y12" s="226"/>
      <x:c r="Z12" s="226"/>
    </x:row>
    <x:row r="13">
      <x:c r="A13" s="226"/>
      <x:c r="B13" s="226"/>
      <x:c r="C13" s="226"/>
      <x:c r="D13" s="226"/>
      <x:c r="E13" s="226"/>
      <x:c r="F13" s="226"/>
      <x:c r="G13" s="226"/>
      <x:c r="H13" s="226"/>
      <x:c r="I13" s="226"/>
      <x:c r="J13" s="226"/>
      <x:c r="K13" s="226"/>
      <x:c r="L13" s="226"/>
      <x:c r="M13" s="226"/>
      <x:c r="N13" s="226"/>
      <x:c r="O13" s="226"/>
      <x:c r="P13" s="226"/>
      <x:c r="Q13" s="226"/>
      <x:c r="R13" s="226"/>
      <x:c r="S13" s="226"/>
      <x:c r="T13" s="226"/>
      <x:c r="U13" s="226"/>
      <x:c r="V13" s="226"/>
      <x:c r="W13" s="226"/>
      <x:c r="X13" s="226"/>
      <x:c r="Y13" s="226"/>
      <x:c r="Z13" s="226"/>
    </x:row>
    <x:row r="14">
      <x:c r="A14" s="226"/>
      <x:c r="B14" s="226"/>
      <x:c r="C14" s="226"/>
      <x:c r="D14" s="226"/>
      <x:c r="E14" s="226"/>
      <x:c r="F14" s="226"/>
      <x:c r="G14" s="226"/>
      <x:c r="H14" s="226"/>
      <x:c r="I14" s="226"/>
      <x:c r="J14" s="226"/>
      <x:c r="K14" s="226"/>
      <x:c r="L14" s="226"/>
      <x:c r="M14" s="226"/>
      <x:c r="N14" s="226"/>
      <x:c r="O14" s="226"/>
      <x:c r="P14" s="226"/>
      <x:c r="Q14" s="226"/>
      <x:c r="R14" s="226"/>
      <x:c r="S14" s="226"/>
      <x:c r="T14" s="226"/>
      <x:c r="U14" s="226"/>
      <x:c r="V14" s="226"/>
      <x:c r="W14" s="226"/>
      <x:c r="X14" s="226"/>
      <x:c r="Y14" s="226"/>
      <x:c r="Z14" s="226"/>
    </x:row>
    <x:row r="15">
      <x:c r="A15" s="301" t="str">
        <x:v>Module</x:v>
      </x:c>
      <x:c r="B15" s="301" t="str">
        <x:v>Screens</x:v>
      </x:c>
      <x:c r="C15" s="301" t="str">
        <x:v>MVP</x:v>
      </x:c>
      <x:c r="D15" s="301" t="str">
        <x:v>Phase 2 / 3</x:v>
      </x:c>
      <x:c r="E15" s="226"/>
      <x:c r="F15" s="226"/>
      <x:c r="G15" s="226"/>
      <x:c r="H15" s="226"/>
      <x:c r="I15" s="226"/>
      <x:c r="J15" s="226"/>
      <x:c r="K15" s="226"/>
      <x:c r="L15" s="226"/>
      <x:c r="M15" s="226"/>
      <x:c r="N15" s="226"/>
      <x:c r="O15" s="226"/>
      <x:c r="P15" s="226"/>
      <x:c r="Q15" s="226"/>
      <x:c r="R15" s="226"/>
      <x:c r="S15" s="226"/>
      <x:c r="T15" s="226"/>
      <x:c r="U15" s="226"/>
      <x:c r="V15" s="226"/>
      <x:c r="W15" s="226"/>
      <x:c r="X15" s="226"/>
      <x:c r="Y15" s="226"/>
      <x:c r="Z15" s="226"/>
    </x:row>
    <x:row r="16">
      <x:c r="A16" s="249" t="str">
        <x:v>Public Website &amp; Authentication</x:v>
      </x:c>
      <x:c r="B16" s="253" t="n">
        <x:f>COUNTIF('Master Screens'!B$2:B$296,A16)</x:f>
        <x:v>8</x:v>
      </x:c>
      <x:c r="C16" s="253" t="n">
        <x:f>COUNTIFS('Master Screens'!B$2:B$296,A16,'Master Screens'!K$2:K$296,"MVP")</x:f>
        <x:v>5</x:v>
      </x:c>
      <x:c r="D16" s="253" t="n">
        <x:f>B16-C16</x:f>
        <x:v>3</x:v>
      </x:c>
      <x:c r="E16" s="226"/>
      <x:c r="F16" s="226"/>
      <x:c r="G16" s="226"/>
      <x:c r="H16" s="226"/>
      <x:c r="I16" s="226"/>
      <x:c r="J16" s="226"/>
      <x:c r="K16" s="226"/>
      <x:c r="L16" s="226"/>
      <x:c r="M16" s="226"/>
      <x:c r="N16" s="226"/>
      <x:c r="O16" s="226"/>
      <x:c r="P16" s="226"/>
      <x:c r="Q16" s="226"/>
      <x:c r="R16" s="226"/>
      <x:c r="S16" s="226"/>
      <x:c r="T16" s="226"/>
      <x:c r="U16" s="226"/>
      <x:c r="V16" s="226"/>
      <x:c r="W16" s="226"/>
      <x:c r="X16" s="226"/>
      <x:c r="Y16" s="226"/>
      <x:c r="Z16" s="226"/>
    </x:row>
    <x:row r="17">
      <x:c r="A17" s="249" t="str">
        <x:v>Super Admin / SaaS Administration</x:v>
      </x:c>
      <x:c r="B17" s="253" t="n">
        <x:f>COUNTIF('Master Screens'!B$2:B$296,A17)</x:f>
        <x:v>12</x:v>
      </x:c>
      <x:c r="C17" s="253" t="n">
        <x:f>COUNTIFS('Master Screens'!B$2:B$296,A17,'Master Screens'!K$2:K$296,"MVP")</x:f>
        <x:v>3</x:v>
      </x:c>
      <x:c r="D17" s="253" t="n">
        <x:f>B17-C17</x:f>
        <x:v>9</x:v>
      </x:c>
      <x:c r="E17" s="226"/>
      <x:c r="F17" s="226"/>
      <x:c r="G17" s="226"/>
      <x:c r="H17" s="226"/>
      <x:c r="I17" s="226"/>
      <x:c r="J17" s="226"/>
      <x:c r="K17" s="226"/>
      <x:c r="L17" s="226"/>
      <x:c r="M17" s="226"/>
      <x:c r="N17" s="226"/>
      <x:c r="O17" s="226"/>
      <x:c r="P17" s="226"/>
      <x:c r="Q17" s="226"/>
      <x:c r="R17" s="226"/>
      <x:c r="S17" s="226"/>
      <x:c r="T17" s="226"/>
      <x:c r="U17" s="226"/>
      <x:c r="V17" s="226"/>
      <x:c r="W17" s="226"/>
      <x:c r="X17" s="226"/>
      <x:c r="Y17" s="226"/>
      <x:c r="Z17" s="226"/>
    </x:row>
    <x:row r="18">
      <x:c r="A18" s="249" t="str">
        <x:v>Organization / School / Branch Setup</x:v>
      </x:c>
      <x:c r="B18" s="253" t="n">
        <x:f>COUNTIF('Master Screens'!B$2:B$296,A18)</x:f>
        <x:v>12</x:v>
      </x:c>
      <x:c r="C18" s="253" t="n">
        <x:f>COUNTIFS('Master Screens'!B$2:B$296,A18,'Master Screens'!K$2:K$296,"MVP")</x:f>
        <x:v>8</x:v>
      </x:c>
      <x:c r="D18" s="253" t="n">
        <x:f>B18-C18</x:f>
        <x:v>4</x:v>
      </x:c>
      <x:c r="E18" s="226"/>
      <x:c r="F18" s="226"/>
      <x:c r="G18" s="226"/>
      <x:c r="H18" s="226"/>
      <x:c r="I18" s="226"/>
      <x:c r="J18" s="226"/>
      <x:c r="K18" s="226"/>
      <x:c r="L18" s="226"/>
      <x:c r="M18" s="226"/>
      <x:c r="N18" s="226"/>
      <x:c r="O18" s="226"/>
      <x:c r="P18" s="226"/>
      <x:c r="Q18" s="226"/>
      <x:c r="R18" s="226"/>
      <x:c r="S18" s="226"/>
      <x:c r="T18" s="226"/>
      <x:c r="U18" s="226"/>
      <x:c r="V18" s="226"/>
      <x:c r="W18" s="226"/>
      <x:c r="X18" s="226"/>
      <x:c r="Y18" s="226"/>
      <x:c r="Z18" s="226"/>
    </x:row>
    <x:row r="19">
      <x:c r="A19" s="249" t="str">
        <x:v>Role Dashboards</x:v>
      </x:c>
      <x:c r="B19" s="253" t="n">
        <x:f>COUNTIF('Master Screens'!B$2:B$296,A19)</x:f>
        <x:v>10</x:v>
      </x:c>
      <x:c r="C19" s="253" t="n">
        <x:f>COUNTIFS('Master Screens'!B$2:B$296,A19,'Master Screens'!K$2:K$296,"MVP")</x:f>
        <x:v>5</x:v>
      </x:c>
      <x:c r="D19" s="253" t="n">
        <x:f>B19-C19</x:f>
        <x:v>5</x:v>
      </x:c>
      <x:c r="E19" s="226"/>
      <x:c r="F19" s="226"/>
      <x:c r="G19" s="226"/>
      <x:c r="H19" s="226"/>
      <x:c r="I19" s="226"/>
      <x:c r="J19" s="226"/>
      <x:c r="K19" s="226"/>
      <x:c r="L19" s="226"/>
      <x:c r="M19" s="226"/>
      <x:c r="N19" s="226"/>
      <x:c r="O19" s="226"/>
      <x:c r="P19" s="226"/>
      <x:c r="Q19" s="226"/>
      <x:c r="R19" s="226"/>
      <x:c r="S19" s="226"/>
      <x:c r="T19" s="226"/>
      <x:c r="U19" s="226"/>
      <x:c r="V19" s="226"/>
      <x:c r="W19" s="226"/>
      <x:c r="X19" s="226"/>
      <x:c r="Y19" s="226"/>
      <x:c r="Z19" s="226"/>
    </x:row>
    <x:row r="20">
      <x:c r="A20" s="249" t="str">
        <x:v>Admissions &amp; Enquiries</x:v>
      </x:c>
      <x:c r="B20" s="253" t="n">
        <x:f>COUNTIF('Master Screens'!B$2:B$296,A20)</x:f>
        <x:v>12</x:v>
      </x:c>
      <x:c r="C20" s="253" t="n">
        <x:f>COUNTIFS('Master Screens'!B$2:B$296,A20,'Master Screens'!K$2:K$296,"MVP")</x:f>
        <x:v>7</x:v>
      </x:c>
      <x:c r="D20" s="253" t="n">
        <x:f>B20-C20</x:f>
        <x:v>5</x:v>
      </x:c>
      <x:c r="E20" s="226"/>
      <x:c r="F20" s="226"/>
      <x:c r="G20" s="226"/>
      <x:c r="H20" s="226"/>
      <x:c r="I20" s="226"/>
      <x:c r="J20" s="226"/>
      <x:c r="K20" s="226"/>
      <x:c r="L20" s="226"/>
      <x:c r="M20" s="226"/>
      <x:c r="N20" s="226"/>
      <x:c r="O20" s="226"/>
      <x:c r="P20" s="226"/>
      <x:c r="Q20" s="226"/>
      <x:c r="R20" s="226"/>
      <x:c r="S20" s="226"/>
      <x:c r="T20" s="226"/>
      <x:c r="U20" s="226"/>
      <x:c r="V20" s="226"/>
      <x:c r="W20" s="226"/>
      <x:c r="X20" s="226"/>
      <x:c r="Y20" s="226"/>
      <x:c r="Z20" s="226"/>
    </x:row>
    <x:row r="21">
      <x:c r="A21" s="249" t="str">
        <x:v>Students</x:v>
      </x:c>
      <x:c r="B21" s="253" t="n">
        <x:f>COUNTIF('Master Screens'!B$2:B$296,A21)</x:f>
        <x:v>16</x:v>
      </x:c>
      <x:c r="C21" s="253" t="n">
        <x:f>COUNTIFS('Master Screens'!B$2:B$296,A21,'Master Screens'!K$2:K$296,"MVP")</x:f>
        <x:v>8</x:v>
      </x:c>
      <x:c r="D21" s="253" t="n">
        <x:f>B21-C21</x:f>
        <x:v>8</x:v>
      </x:c>
      <x:c r="E21" s="226"/>
      <x:c r="F21" s="226"/>
      <x:c r="G21" s="226"/>
      <x:c r="H21" s="226"/>
      <x:c r="I21" s="226"/>
      <x:c r="J21" s="226"/>
      <x:c r="K21" s="226"/>
      <x:c r="L21" s="226"/>
      <x:c r="M21" s="226"/>
      <x:c r="N21" s="226"/>
      <x:c r="O21" s="226"/>
      <x:c r="P21" s="226"/>
      <x:c r="Q21" s="226"/>
      <x:c r="R21" s="226"/>
      <x:c r="S21" s="226"/>
      <x:c r="T21" s="226"/>
      <x:c r="U21" s="226"/>
      <x:c r="V21" s="226"/>
      <x:c r="W21" s="226"/>
      <x:c r="X21" s="226"/>
      <x:c r="Y21" s="226"/>
      <x:c r="Z21" s="226"/>
    </x:row>
    <x:row r="22">
      <x:c r="A22" s="249" t="str">
        <x:v>Parents &amp; Guardians</x:v>
      </x:c>
      <x:c r="B22" s="253" t="n">
        <x:f>COUNTIF('Master Screens'!B$2:B$296,A22)</x:f>
        <x:v>9</x:v>
      </x:c>
      <x:c r="C22" s="253" t="n">
        <x:f>COUNTIFS('Master Screens'!B$2:B$296,A22,'Master Screens'!K$2:K$296,"MVP")</x:f>
        <x:v>4</x:v>
      </x:c>
      <x:c r="D22" s="253" t="n">
        <x:f>B22-C22</x:f>
        <x:v>5</x:v>
      </x:c>
      <x:c r="E22" s="226"/>
      <x:c r="F22" s="226"/>
      <x:c r="G22" s="226"/>
      <x:c r="H22" s="226"/>
      <x:c r="I22" s="226"/>
      <x:c r="J22" s="226"/>
      <x:c r="K22" s="226"/>
      <x:c r="L22" s="226"/>
      <x:c r="M22" s="226"/>
      <x:c r="N22" s="226"/>
      <x:c r="O22" s="226"/>
      <x:c r="P22" s="226"/>
      <x:c r="Q22" s="226"/>
      <x:c r="R22" s="226"/>
      <x:c r="S22" s="226"/>
      <x:c r="T22" s="226"/>
      <x:c r="U22" s="226"/>
      <x:c r="V22" s="226"/>
      <x:c r="W22" s="226"/>
      <x:c r="X22" s="226"/>
      <x:c r="Y22" s="226"/>
      <x:c r="Z22" s="226"/>
    </x:row>
    <x:row r="23">
      <x:c r="A23" s="249" t="str">
        <x:v>Teachers &amp; Staff</x:v>
      </x:c>
      <x:c r="B23" s="253" t="n">
        <x:f>COUNTIF('Master Screens'!B$2:B$296,A23)</x:f>
        <x:v>12</x:v>
      </x:c>
      <x:c r="C23" s="253" t="n">
        <x:f>COUNTIFS('Master Screens'!B$2:B$296,A23,'Master Screens'!K$2:K$296,"MVP")</x:f>
        <x:v>6</x:v>
      </x:c>
      <x:c r="D23" s="253" t="n">
        <x:f>B23-C23</x:f>
        <x:v>6</x:v>
      </x:c>
      <x:c r="E23" s="226"/>
      <x:c r="F23" s="226"/>
      <x:c r="G23" s="226"/>
      <x:c r="H23" s="226"/>
      <x:c r="I23" s="226"/>
      <x:c r="J23" s="226"/>
      <x:c r="K23" s="226"/>
      <x:c r="L23" s="226"/>
      <x:c r="M23" s="226"/>
      <x:c r="N23" s="226"/>
      <x:c r="O23" s="226"/>
      <x:c r="P23" s="226"/>
      <x:c r="Q23" s="226"/>
      <x:c r="R23" s="226"/>
      <x:c r="S23" s="226"/>
      <x:c r="T23" s="226"/>
      <x:c r="U23" s="226"/>
      <x:c r="V23" s="226"/>
      <x:c r="W23" s="226"/>
      <x:c r="X23" s="226"/>
      <x:c r="Y23" s="226"/>
      <x:c r="Z23" s="226"/>
    </x:row>
    <x:row r="24">
      <x:c r="A24" s="249" t="str">
        <x:v>Academics &amp; Curriculum</x:v>
      </x:c>
      <x:c r="B24" s="253" t="n">
        <x:f>COUNTIF('Master Screens'!B$2:B$296,A24)</x:f>
        <x:v>18</x:v>
      </x:c>
      <x:c r="C24" s="253" t="n">
        <x:f>COUNTIFS('Master Screens'!B$2:B$296,A24,'Master Screens'!K$2:K$296,"MVP")</x:f>
        <x:v>9</x:v>
      </x:c>
      <x:c r="D24" s="253" t="n">
        <x:f>B24-C24</x:f>
        <x:v>9</x:v>
      </x:c>
      <x:c r="E24" s="226"/>
      <x:c r="F24" s="226"/>
      <x:c r="G24" s="226"/>
      <x:c r="H24" s="226"/>
      <x:c r="I24" s="226"/>
      <x:c r="J24" s="226"/>
      <x:c r="K24" s="226"/>
      <x:c r="L24" s="226"/>
      <x:c r="M24" s="226"/>
      <x:c r="N24" s="226"/>
      <x:c r="O24" s="226"/>
      <x:c r="P24" s="226"/>
      <x:c r="Q24" s="226"/>
      <x:c r="R24" s="226"/>
      <x:c r="S24" s="226"/>
      <x:c r="T24" s="226"/>
      <x:c r="U24" s="226"/>
      <x:c r="V24" s="226"/>
      <x:c r="W24" s="226"/>
      <x:c r="X24" s="226"/>
      <x:c r="Y24" s="226"/>
      <x:c r="Z24" s="226"/>
    </x:row>
    <x:row r="25">
      <x:c r="A25" s="249" t="str">
        <x:v>Student Attendance</x:v>
      </x:c>
      <x:c r="B25" s="253" t="n">
        <x:f>COUNTIF('Master Screens'!B$2:B$296,A25)</x:f>
        <x:v>10</x:v>
      </x:c>
      <x:c r="C25" s="253" t="n">
        <x:f>COUNTIFS('Master Screens'!B$2:B$296,A25,'Master Screens'!K$2:K$296,"MVP")</x:f>
        <x:v>5</x:v>
      </x:c>
      <x:c r="D25" s="253" t="n">
        <x:f>B25-C25</x:f>
        <x:v>5</x:v>
      </x:c>
      <x:c r="E25" s="226"/>
      <x:c r="F25" s="226"/>
      <x:c r="G25" s="226"/>
      <x:c r="H25" s="226"/>
      <x:c r="I25" s="226"/>
      <x:c r="J25" s="226"/>
      <x:c r="K25" s="226"/>
      <x:c r="L25" s="226"/>
      <x:c r="M25" s="226"/>
      <x:c r="N25" s="226"/>
      <x:c r="O25" s="226"/>
      <x:c r="P25" s="226"/>
      <x:c r="Q25" s="226"/>
      <x:c r="R25" s="226"/>
      <x:c r="S25" s="226"/>
      <x:c r="T25" s="226"/>
      <x:c r="U25" s="226"/>
      <x:c r="V25" s="226"/>
      <x:c r="W25" s="226"/>
      <x:c r="X25" s="226"/>
      <x:c r="Y25" s="226"/>
      <x:c r="Z25" s="226"/>
    </x:row>
    <x:row r="26">
      <x:c r="A26" s="249" t="str">
        <x:v>Timetable &amp; Substitution</x:v>
      </x:c>
      <x:c r="B26" s="253" t="n">
        <x:f>COUNTIF('Master Screens'!B$2:B$296,A26)</x:f>
        <x:v>8</x:v>
      </x:c>
      <x:c r="C26" s="253" t="n">
        <x:f>COUNTIFS('Master Screens'!B$2:B$296,A26,'Master Screens'!K$2:K$296,"MVP")</x:f>
        <x:v>4</x:v>
      </x:c>
      <x:c r="D26" s="253" t="n">
        <x:f>B26-C26</x:f>
        <x:v>4</x:v>
      </x:c>
      <x:c r="E26" s="226"/>
      <x:c r="F26" s="226"/>
      <x:c r="G26" s="226"/>
      <x:c r="H26" s="226"/>
      <x:c r="I26" s="226"/>
      <x:c r="J26" s="226"/>
      <x:c r="K26" s="226"/>
      <x:c r="L26" s="226"/>
      <x:c r="M26" s="226"/>
      <x:c r="N26" s="226"/>
      <x:c r="O26" s="226"/>
      <x:c r="P26" s="226"/>
      <x:c r="Q26" s="226"/>
      <x:c r="R26" s="226"/>
      <x:c r="S26" s="226"/>
      <x:c r="T26" s="226"/>
      <x:c r="U26" s="226"/>
      <x:c r="V26" s="226"/>
      <x:c r="W26" s="226"/>
      <x:c r="X26" s="226"/>
      <x:c r="Y26" s="226"/>
      <x:c r="Z26" s="226"/>
    </x:row>
    <x:row r="27">
      <x:c r="A27" s="249" t="str">
        <x:v>Homework &amp; Assignments</x:v>
      </x:c>
      <x:c r="B27" s="253" t="n">
        <x:f>COUNTIF('Master Screens'!B$2:B$296,A27)</x:f>
        <x:v>10</x:v>
      </x:c>
      <x:c r="C27" s="253" t="n">
        <x:f>COUNTIFS('Master Screens'!B$2:B$296,A27,'Master Screens'!K$2:K$296,"MVP")</x:f>
        <x:v>6</x:v>
      </x:c>
      <x:c r="D27" s="253" t="n">
        <x:f>B27-C27</x:f>
        <x:v>4</x:v>
      </x:c>
      <x:c r="E27" s="226"/>
      <x:c r="F27" s="226"/>
      <x:c r="G27" s="226"/>
      <x:c r="H27" s="226"/>
      <x:c r="I27" s="226"/>
      <x:c r="J27" s="226"/>
      <x:c r="K27" s="226"/>
      <x:c r="L27" s="226"/>
      <x:c r="M27" s="226"/>
      <x:c r="N27" s="226"/>
      <x:c r="O27" s="226"/>
      <x:c r="P27" s="226"/>
      <x:c r="Q27" s="226"/>
      <x:c r="R27" s="226"/>
      <x:c r="S27" s="226"/>
      <x:c r="T27" s="226"/>
      <x:c r="U27" s="226"/>
      <x:c r="V27" s="226"/>
      <x:c r="W27" s="226"/>
      <x:c r="X27" s="226"/>
      <x:c r="Y27" s="226"/>
      <x:c r="Z27" s="226"/>
    </x:row>
    <x:row r="28">
      <x:c r="A28" s="249" t="str">
        <x:v>Examinations / Marks / Results</x:v>
      </x:c>
      <x:c r="B28" s="253" t="n">
        <x:f>COUNTIF('Master Screens'!B$2:B$296,A28)</x:f>
        <x:v>16</x:v>
      </x:c>
      <x:c r="C28" s="253" t="n">
        <x:f>COUNTIFS('Master Screens'!B$2:B$296,A28,'Master Screens'!K$2:K$296,"MVP")</x:f>
        <x:v>8</x:v>
      </x:c>
      <x:c r="D28" s="253" t="n">
        <x:f>B28-C28</x:f>
        <x:v>8</x:v>
      </x:c>
      <x:c r="E28" s="226"/>
      <x:c r="F28" s="226"/>
      <x:c r="G28" s="226"/>
      <x:c r="H28" s="226"/>
      <x:c r="I28" s="226"/>
      <x:c r="J28" s="226"/>
      <x:c r="K28" s="226"/>
      <x:c r="L28" s="226"/>
      <x:c r="M28" s="226"/>
      <x:c r="N28" s="226"/>
      <x:c r="O28" s="226"/>
      <x:c r="P28" s="226"/>
      <x:c r="Q28" s="226"/>
      <x:c r="R28" s="226"/>
      <x:c r="S28" s="226"/>
      <x:c r="T28" s="226"/>
      <x:c r="U28" s="226"/>
      <x:c r="V28" s="226"/>
      <x:c r="W28" s="226"/>
      <x:c r="X28" s="226"/>
      <x:c r="Y28" s="226"/>
      <x:c r="Z28" s="226"/>
    </x:row>
    <x:row r="29">
      <x:c r="A29" s="249" t="str">
        <x:v>Fees &amp; Finance</x:v>
      </x:c>
      <x:c r="B29" s="253" t="n">
        <x:f>COUNTIF('Master Screens'!B$2:B$296,A29)</x:f>
        <x:v>18</x:v>
      </x:c>
      <x:c r="C29" s="253" t="n">
        <x:f>COUNTIFS('Master Screens'!B$2:B$296,A29,'Master Screens'!K$2:K$296,"MVP")</x:f>
        <x:v>8</x:v>
      </x:c>
      <x:c r="D29" s="253" t="n">
        <x:f>B29-C29</x:f>
        <x:v>10</x:v>
      </x:c>
      <x:c r="E29" s="226"/>
      <x:c r="F29" s="226"/>
      <x:c r="G29" s="226"/>
      <x:c r="H29" s="226"/>
      <x:c r="I29" s="226"/>
      <x:c r="J29" s="226"/>
      <x:c r="K29" s="226"/>
      <x:c r="L29" s="226"/>
      <x:c r="M29" s="226"/>
      <x:c r="N29" s="226"/>
      <x:c r="O29" s="226"/>
      <x:c r="P29" s="226"/>
      <x:c r="Q29" s="226"/>
      <x:c r="R29" s="226"/>
      <x:c r="S29" s="226"/>
      <x:c r="T29" s="226"/>
      <x:c r="U29" s="226"/>
      <x:c r="V29" s="226"/>
      <x:c r="W29" s="226"/>
      <x:c r="X29" s="226"/>
      <x:c r="Y29" s="226"/>
      <x:c r="Z29" s="226"/>
    </x:row>
    <x:row r="30">
      <x:c r="A30" s="249" t="str">
        <x:v>HR / Leave / Payroll</x:v>
      </x:c>
      <x:c r="B30" s="253" t="n">
        <x:f>COUNTIF('Master Screens'!B$2:B$296,A30)</x:f>
        <x:v>14</x:v>
      </x:c>
      <x:c r="C30" s="253" t="n">
        <x:f>COUNTIFS('Master Screens'!B$2:B$296,A30,'Master Screens'!K$2:K$296,"MVP")</x:f>
        <x:v>0</x:v>
      </x:c>
      <x:c r="D30" s="253" t="n">
        <x:f>B30-C30</x:f>
        <x:v>14</x:v>
      </x:c>
      <x:c r="E30" s="226"/>
      <x:c r="F30" s="226"/>
      <x:c r="G30" s="226"/>
      <x:c r="H30" s="226"/>
      <x:c r="I30" s="226"/>
      <x:c r="J30" s="226"/>
      <x:c r="K30" s="226"/>
      <x:c r="L30" s="226"/>
      <x:c r="M30" s="226"/>
      <x:c r="N30" s="226"/>
      <x:c r="O30" s="226"/>
      <x:c r="P30" s="226"/>
      <x:c r="Q30" s="226"/>
      <x:c r="R30" s="226"/>
      <x:c r="S30" s="226"/>
      <x:c r="T30" s="226"/>
      <x:c r="U30" s="226"/>
      <x:c r="V30" s="226"/>
      <x:c r="W30" s="226"/>
      <x:c r="X30" s="226"/>
      <x:c r="Y30" s="226"/>
      <x:c r="Z30" s="226"/>
    </x:row>
    <x:row r="31">
      <x:c r="A31" s="249" t="str">
        <x:v>Transport / Bus / GPS</x:v>
      </x:c>
      <x:c r="B31" s="253" t="n">
        <x:f>COUNTIF('Master Screens'!B$2:B$296,A31)</x:f>
        <x:v>12</x:v>
      </x:c>
      <x:c r="C31" s="253" t="n">
        <x:f>COUNTIFS('Master Screens'!B$2:B$296,A31,'Master Screens'!K$2:K$296,"MVP")</x:f>
        <x:v>0</x:v>
      </x:c>
      <x:c r="D31" s="253" t="n">
        <x:f>B31-C31</x:f>
        <x:v>12</x:v>
      </x:c>
      <x:c r="E31" s="226"/>
      <x:c r="F31" s="226"/>
      <x:c r="G31" s="226"/>
      <x:c r="H31" s="226"/>
      <x:c r="I31" s="226"/>
      <x:c r="J31" s="226"/>
      <x:c r="K31" s="226"/>
      <x:c r="L31" s="226"/>
      <x:c r="M31" s="226"/>
      <x:c r="N31" s="226"/>
      <x:c r="O31" s="226"/>
      <x:c r="P31" s="226"/>
      <x:c r="Q31" s="226"/>
      <x:c r="R31" s="226"/>
      <x:c r="S31" s="226"/>
      <x:c r="T31" s="226"/>
      <x:c r="U31" s="226"/>
      <x:c r="V31" s="226"/>
      <x:c r="W31" s="226"/>
      <x:c r="X31" s="226"/>
      <x:c r="Y31" s="226"/>
      <x:c r="Z31" s="226"/>
    </x:row>
    <x:row r="32">
      <x:c r="A32" s="249" t="str">
        <x:v>Library</x:v>
      </x:c>
      <x:c r="B32" s="253" t="n">
        <x:f>COUNTIF('Master Screens'!B$2:B$296,A32)</x:f>
        <x:v>10</x:v>
      </x:c>
      <x:c r="C32" s="253" t="n">
        <x:f>COUNTIFS('Master Screens'!B$2:B$296,A32,'Master Screens'!K$2:K$296,"MVP")</x:f>
        <x:v>0</x:v>
      </x:c>
      <x:c r="D32" s="253" t="n">
        <x:f>B32-C32</x:f>
        <x:v>10</x:v>
      </x:c>
      <x:c r="E32" s="226"/>
      <x:c r="F32" s="226"/>
      <x:c r="G32" s="226"/>
      <x:c r="H32" s="226"/>
      <x:c r="I32" s="226"/>
      <x:c r="J32" s="226"/>
      <x:c r="K32" s="226"/>
      <x:c r="L32" s="226"/>
      <x:c r="M32" s="226"/>
      <x:c r="N32" s="226"/>
      <x:c r="O32" s="226"/>
      <x:c r="P32" s="226"/>
      <x:c r="Q32" s="226"/>
      <x:c r="R32" s="226"/>
      <x:c r="S32" s="226"/>
      <x:c r="T32" s="226"/>
      <x:c r="U32" s="226"/>
      <x:c r="V32" s="226"/>
      <x:c r="W32" s="226"/>
      <x:c r="X32" s="226"/>
      <x:c r="Y32" s="226"/>
      <x:c r="Z32" s="226"/>
    </x:row>
    <x:row r="33">
      <x:c r="A33" s="249" t="str">
        <x:v>Hostel</x:v>
      </x:c>
      <x:c r="B33" s="253" t="n">
        <x:f>COUNTIF('Master Screens'!B$2:B$296,A33)</x:f>
        <x:v>8</x:v>
      </x:c>
      <x:c r="C33" s="253" t="n">
        <x:f>COUNTIFS('Master Screens'!B$2:B$296,A33,'Master Screens'!K$2:K$296,"MVP")</x:f>
        <x:v>0</x:v>
      </x:c>
      <x:c r="D33" s="253" t="n">
        <x:f>B33-C33</x:f>
        <x:v>8</x:v>
      </x:c>
      <x:c r="E33" s="226"/>
      <x:c r="F33" s="226"/>
      <x:c r="G33" s="226"/>
      <x:c r="H33" s="226"/>
      <x:c r="I33" s="226"/>
      <x:c r="J33" s="226"/>
      <x:c r="K33" s="226"/>
      <x:c r="L33" s="226"/>
      <x:c r="M33" s="226"/>
      <x:c r="N33" s="226"/>
      <x:c r="O33" s="226"/>
      <x:c r="P33" s="226"/>
      <x:c r="Q33" s="226"/>
      <x:c r="R33" s="226"/>
      <x:c r="S33" s="226"/>
      <x:c r="T33" s="226"/>
      <x:c r="U33" s="226"/>
      <x:c r="V33" s="226"/>
      <x:c r="W33" s="226"/>
      <x:c r="X33" s="226"/>
      <x:c r="Y33" s="226"/>
      <x:c r="Z33" s="226"/>
    </x:row>
    <x:row r="34">
      <x:c r="A34" s="249" t="str">
        <x:v>Health / Counselling / Discipline</x:v>
      </x:c>
      <x:c r="B34" s="253" t="n">
        <x:f>COUNTIF('Master Screens'!B$2:B$296,A34)</x:f>
        <x:v>10</x:v>
      </x:c>
      <x:c r="C34" s="253" t="n">
        <x:f>COUNTIFS('Master Screens'!B$2:B$296,A34,'Master Screens'!K$2:K$296,"MVP")</x:f>
        <x:v>0</x:v>
      </x:c>
      <x:c r="D34" s="253" t="n">
        <x:f>B34-C34</x:f>
        <x:v>10</x:v>
      </x:c>
      <x:c r="E34" s="226"/>
      <x:c r="F34" s="226"/>
      <x:c r="G34" s="226"/>
      <x:c r="H34" s="226"/>
      <x:c r="I34" s="226"/>
      <x:c r="J34" s="226"/>
      <x:c r="K34" s="226"/>
      <x:c r="L34" s="226"/>
      <x:c r="M34" s="226"/>
      <x:c r="N34" s="226"/>
      <x:c r="O34" s="226"/>
      <x:c r="P34" s="226"/>
      <x:c r="Q34" s="226"/>
      <x:c r="R34" s="226"/>
      <x:c r="S34" s="226"/>
      <x:c r="T34" s="226"/>
      <x:c r="U34" s="226"/>
      <x:c r="V34" s="226"/>
      <x:c r="W34" s="226"/>
      <x:c r="X34" s="226"/>
      <x:c r="Y34" s="226"/>
      <x:c r="Z34" s="226"/>
    </x:row>
    <x:row r="35">
      <x:c r="A35" s="249" t="str">
        <x:v>Visitor / Gate / Security</x:v>
      </x:c>
      <x:c r="B35" s="253" t="n">
        <x:f>COUNTIF('Master Screens'!B$2:B$296,A35)</x:f>
        <x:v>8</x:v>
      </x:c>
      <x:c r="C35" s="253" t="n">
        <x:f>COUNTIFS('Master Screens'!B$2:B$296,A35,'Master Screens'!K$2:K$296,"MVP")</x:f>
        <x:v>0</x:v>
      </x:c>
      <x:c r="D35" s="253" t="n">
        <x:f>B35-C35</x:f>
        <x:v>8</x:v>
      </x:c>
      <x:c r="E35" s="226"/>
      <x:c r="F35" s="226"/>
      <x:c r="G35" s="226"/>
      <x:c r="H35" s="226"/>
      <x:c r="I35" s="226"/>
      <x:c r="J35" s="226"/>
      <x:c r="K35" s="226"/>
      <x:c r="L35" s="226"/>
      <x:c r="M35" s="226"/>
      <x:c r="N35" s="226"/>
      <x:c r="O35" s="226"/>
      <x:c r="P35" s="226"/>
      <x:c r="Q35" s="226"/>
      <x:c r="R35" s="226"/>
      <x:c r="S35" s="226"/>
      <x:c r="T35" s="226"/>
      <x:c r="U35" s="226"/>
      <x:c r="V35" s="226"/>
      <x:c r="W35" s="226"/>
      <x:c r="X35" s="226"/>
      <x:c r="Y35" s="226"/>
      <x:c r="Z35" s="226"/>
    </x:row>
    <x:row r="36">
      <x:c r="A36" s="249" t="str">
        <x:v>Inventory / Assets / Labs</x:v>
      </x:c>
      <x:c r="B36" s="253" t="n">
        <x:f>COUNTIF('Master Screens'!B$2:B$296,A36)</x:f>
        <x:v>12</x:v>
      </x:c>
      <x:c r="C36" s="253" t="n">
        <x:f>COUNTIFS('Master Screens'!B$2:B$296,A36,'Master Screens'!K$2:K$296,"MVP")</x:f>
        <x:v>0</x:v>
      </x:c>
      <x:c r="D36" s="253" t="n">
        <x:f>B36-C36</x:f>
        <x:v>12</x:v>
      </x:c>
      <x:c r="E36" s="226"/>
      <x:c r="F36" s="226"/>
      <x:c r="G36" s="226"/>
      <x:c r="H36" s="226"/>
      <x:c r="I36" s="226"/>
      <x:c r="J36" s="226"/>
      <x:c r="K36" s="226"/>
      <x:c r="L36" s="226"/>
      <x:c r="M36" s="226"/>
      <x:c r="N36" s="226"/>
      <x:c r="O36" s="226"/>
      <x:c r="P36" s="226"/>
      <x:c r="Q36" s="226"/>
      <x:c r="R36" s="226"/>
      <x:c r="S36" s="226"/>
      <x:c r="T36" s="226"/>
      <x:c r="U36" s="226"/>
      <x:c r="V36" s="226"/>
      <x:c r="W36" s="226"/>
      <x:c r="X36" s="226"/>
      <x:c r="Y36" s="226"/>
      <x:c r="Z36" s="226"/>
    </x:row>
    <x:row r="37">
      <x:c r="A37" s="249" t="str">
        <x:v>Events / PTM / Communication</x:v>
      </x:c>
      <x:c r="B37" s="253" t="n">
        <x:f>COUNTIF('Master Screens'!B$2:B$296,A37)</x:f>
        <x:v>10</x:v>
      </x:c>
      <x:c r="C37" s="253" t="n">
        <x:f>COUNTIFS('Master Screens'!B$2:B$296,A37,'Master Screens'!K$2:K$296,"MVP")</x:f>
        <x:v>3</x:v>
      </x:c>
      <x:c r="D37" s="253" t="n">
        <x:f>B37-C37</x:f>
        <x:v>7</x:v>
      </x:c>
      <x:c r="E37" s="226"/>
      <x:c r="F37" s="226"/>
      <x:c r="G37" s="226"/>
      <x:c r="H37" s="226"/>
      <x:c r="I37" s="226"/>
      <x:c r="J37" s="226"/>
      <x:c r="K37" s="226"/>
      <x:c r="L37" s="226"/>
      <x:c r="M37" s="226"/>
      <x:c r="N37" s="226"/>
      <x:c r="O37" s="226"/>
      <x:c r="P37" s="226"/>
      <x:c r="Q37" s="226"/>
      <x:c r="R37" s="226"/>
      <x:c r="S37" s="226"/>
      <x:c r="T37" s="226"/>
      <x:c r="U37" s="226"/>
      <x:c r="V37" s="226"/>
      <x:c r="W37" s="226"/>
      <x:c r="X37" s="226"/>
      <x:c r="Y37" s="226"/>
      <x:c r="Z37" s="226"/>
    </x:row>
    <x:row r="38">
      <x:c r="A38" s="249" t="str">
        <x:v>Documents &amp; Certificates</x:v>
      </x:c>
      <x:c r="B38" s="253" t="n">
        <x:f>COUNTIF('Master Screens'!B$2:B$296,A38)</x:f>
        <x:v>8</x:v>
      </x:c>
      <x:c r="C38" s="253" t="n">
        <x:f>COUNTIFS('Master Screens'!B$2:B$296,A38,'Master Screens'!K$2:K$296,"MVP")</x:f>
        <x:v>2</x:v>
      </x:c>
      <x:c r="D38" s="253" t="n">
        <x:f>B38-C38</x:f>
        <x:v>6</x:v>
      </x:c>
      <x:c r="E38" s="226"/>
      <x:c r="F38" s="226"/>
      <x:c r="G38" s="226"/>
      <x:c r="H38" s="226"/>
      <x:c r="I38" s="226"/>
      <x:c r="J38" s="226"/>
      <x:c r="K38" s="226"/>
      <x:c r="L38" s="226"/>
      <x:c r="M38" s="226"/>
      <x:c r="N38" s="226"/>
      <x:c r="O38" s="226"/>
      <x:c r="P38" s="226"/>
      <x:c r="Q38" s="226"/>
      <x:c r="R38" s="226"/>
      <x:c r="S38" s="226"/>
      <x:c r="T38" s="226"/>
      <x:c r="U38" s="226"/>
      <x:c r="V38" s="226"/>
      <x:c r="W38" s="226"/>
      <x:c r="X38" s="226"/>
      <x:c r="Y38" s="226"/>
      <x:c r="Z38" s="226"/>
    </x:row>
    <x:row r="39">
      <x:c r="A39" s="249" t="str">
        <x:v>Reports &amp; Analytics</x:v>
      </x:c>
      <x:c r="B39" s="253" t="n">
        <x:f>COUNTIF('Master Screens'!B$2:B$296,A39)</x:f>
        <x:v>20</x:v>
      </x:c>
      <x:c r="C39" s="253" t="n">
        <x:f>COUNTIFS('Master Screens'!B$2:B$296,A39,'Master Screens'!K$2:K$296,"MVP")</x:f>
        <x:v>4</x:v>
      </x:c>
      <x:c r="D39" s="253" t="n">
        <x:f>B39-C39</x:f>
        <x:v>16</x:v>
      </x:c>
      <x:c r="E39" s="226"/>
      <x:c r="F39" s="226"/>
      <x:c r="G39" s="226"/>
      <x:c r="H39" s="226"/>
      <x:c r="I39" s="226"/>
      <x:c r="J39" s="226"/>
      <x:c r="K39" s="226"/>
      <x:c r="L39" s="226"/>
      <x:c r="M39" s="226"/>
      <x:c r="N39" s="226"/>
      <x:c r="O39" s="226"/>
      <x:c r="P39" s="226"/>
      <x:c r="Q39" s="226"/>
      <x:c r="R39" s="226"/>
      <x:c r="S39" s="226"/>
      <x:c r="T39" s="226"/>
      <x:c r="U39" s="226"/>
      <x:c r="V39" s="226"/>
      <x:c r="W39" s="226"/>
      <x:c r="X39" s="226"/>
      <x:c r="Y39" s="226"/>
      <x:c r="Z39" s="226"/>
    </x:row>
    <x:row r="40">
      <x:c r="A40" s="252" t="str">
        <x:v>Settings / Roles / Permissions / Audit</x:v>
      </x:c>
      <x:c r="B40" s="254" t="n">
        <x:f>COUNTIF('Master Screens'!B$2:B$296,A40)</x:f>
        <x:v>12</x:v>
      </x:c>
      <x:c r="C40" s="254" t="n">
        <x:f>COUNTIFS('Master Screens'!B$2:B$296,A40,'Master Screens'!K$2:K$296,"MVP")</x:f>
        <x:v>5</x:v>
      </x:c>
      <x:c r="D40" s="254" t="n">
        <x:f>B40-C40</x:f>
        <x:v>7</x:v>
      </x:c>
      <x:c r="E40" s="226"/>
      <x:c r="F40" s="226"/>
      <x:c r="G40" s="226"/>
      <x:c r="H40" s="226"/>
      <x:c r="I40" s="226"/>
      <x:c r="J40" s="226"/>
      <x:c r="K40" s="226"/>
      <x:c r="L40" s="226"/>
      <x:c r="M40" s="226"/>
      <x:c r="N40" s="226"/>
      <x:c r="O40" s="226"/>
      <x:c r="P40" s="226"/>
      <x:c r="Q40" s="226"/>
      <x:c r="R40" s="226"/>
      <x:c r="S40" s="226"/>
      <x:c r="T40" s="226"/>
      <x:c r="U40" s="226"/>
      <x:c r="V40" s="226"/>
      <x:c r="W40" s="226"/>
      <x:c r="X40" s="226"/>
      <x:c r="Y40" s="226"/>
      <x:c r="Z40" s="226"/>
    </x:row>
    <x:row r="41">
      <x:c r="A41" s="226"/>
      <x:c r="B41" s="226"/>
      <x:c r="C41" s="226"/>
      <x:c r="D41" s="226"/>
      <x:c r="E41" s="226"/>
      <x:c r="F41" s="226"/>
      <x:c r="G41" s="226"/>
      <x:c r="H41" s="226"/>
      <x:c r="I41" s="226"/>
      <x:c r="J41" s="226"/>
      <x:c r="K41" s="226"/>
      <x:c r="L41" s="226"/>
      <x:c r="M41" s="226"/>
      <x:c r="N41" s="226"/>
      <x:c r="O41" s="226"/>
      <x:c r="P41" s="226"/>
      <x:c r="Q41" s="226"/>
      <x:c r="R41" s="226"/>
      <x:c r="S41" s="226"/>
      <x:c r="T41" s="226"/>
      <x:c r="U41" s="226"/>
      <x:c r="V41" s="226"/>
      <x:c r="W41" s="226"/>
      <x:c r="X41" s="226"/>
      <x:c r="Y41" s="226"/>
      <x:c r="Z41" s="226"/>
    </x:row>
    <x:row r="42">
      <x:c r="A42" s="226"/>
      <x:c r="B42" s="226"/>
      <x:c r="C42" s="226"/>
      <x:c r="D42" s="226"/>
      <x:c r="E42" s="226"/>
      <x:c r="F42" s="226"/>
      <x:c r="G42" s="226"/>
      <x:c r="H42" s="226"/>
      <x:c r="I42" s="226"/>
      <x:c r="J42" s="226"/>
      <x:c r="K42" s="226"/>
      <x:c r="L42" s="226"/>
      <x:c r="M42" s="226"/>
      <x:c r="N42" s="226"/>
      <x:c r="O42" s="226"/>
      <x:c r="P42" s="226"/>
      <x:c r="Q42" s="226"/>
      <x:c r="R42" s="226"/>
      <x:c r="S42" s="226"/>
      <x:c r="T42" s="226"/>
      <x:c r="U42" s="226"/>
      <x:c r="V42" s="226"/>
      <x:c r="W42" s="226"/>
      <x:c r="X42" s="226"/>
      <x:c r="Y42" s="226"/>
      <x:c r="Z42" s="226"/>
    </x:row>
    <x:row r="43">
      <x:c r="A43" s="226"/>
      <x:c r="B43" s="226"/>
      <x:c r="C43" s="226"/>
      <x:c r="D43" s="226"/>
      <x:c r="E43" s="226"/>
      <x:c r="F43" s="226"/>
      <x:c r="G43" s="226"/>
      <x:c r="H43" s="226"/>
      <x:c r="I43" s="226"/>
      <x:c r="J43" s="226"/>
      <x:c r="K43" s="226"/>
      <x:c r="L43" s="226"/>
      <x:c r="M43" s="226"/>
      <x:c r="N43" s="226"/>
      <x:c r="O43" s="226"/>
      <x:c r="P43" s="226"/>
      <x:c r="Q43" s="226"/>
      <x:c r="R43" s="226"/>
      <x:c r="S43" s="226"/>
      <x:c r="T43" s="226"/>
      <x:c r="U43" s="226"/>
      <x:c r="V43" s="226"/>
      <x:c r="W43" s="226"/>
      <x:c r="X43" s="226"/>
      <x:c r="Y43" s="226"/>
      <x:c r="Z43" s="226"/>
    </x:row>
    <x:row r="44">
      <x:c r="A44" s="226"/>
      <x:c r="B44" s="226"/>
      <x:c r="C44" s="226"/>
      <x:c r="D44" s="226"/>
      <x:c r="E44" s="226"/>
      <x:c r="F44" s="226"/>
      <x:c r="G44" s="226"/>
      <x:c r="H44" s="226"/>
      <x:c r="I44" s="226"/>
      <x:c r="J44" s="226"/>
      <x:c r="K44" s="226"/>
      <x:c r="L44" s="226"/>
      <x:c r="M44" s="226"/>
      <x:c r="N44" s="226"/>
      <x:c r="O44" s="226"/>
      <x:c r="P44" s="226"/>
      <x:c r="Q44" s="226"/>
      <x:c r="R44" s="226"/>
      <x:c r="S44" s="226"/>
      <x:c r="T44" s="226"/>
      <x:c r="U44" s="226"/>
      <x:c r="V44" s="226"/>
      <x:c r="W44" s="226"/>
      <x:c r="X44" s="226"/>
      <x:c r="Y44" s="226"/>
      <x:c r="Z44" s="226"/>
    </x:row>
    <x:row r="45">
      <x:c r="A45" s="226"/>
      <x:c r="B45" s="226"/>
      <x:c r="C45" s="226"/>
      <x:c r="D45" s="226"/>
      <x:c r="E45" s="226"/>
      <x:c r="F45" s="226"/>
      <x:c r="G45" s="226"/>
      <x:c r="H45" s="226"/>
      <x:c r="I45" s="226"/>
      <x:c r="J45" s="226"/>
      <x:c r="K45" s="226"/>
      <x:c r="L45" s="226"/>
      <x:c r="M45" s="226"/>
      <x:c r="N45" s="226"/>
      <x:c r="O45" s="226"/>
      <x:c r="P45" s="226"/>
      <x:c r="Q45" s="226"/>
      <x:c r="R45" s="226"/>
      <x:c r="S45" s="226"/>
      <x:c r="T45" s="226"/>
      <x:c r="U45" s="226"/>
      <x:c r="V45" s="226"/>
      <x:c r="W45" s="226"/>
      <x:c r="X45" s="226"/>
      <x:c r="Y45" s="226"/>
      <x:c r="Z45" s="226"/>
    </x:row>
    <x:row r="46">
      <x:c r="A46" s="226"/>
      <x:c r="B46" s="226"/>
      <x:c r="C46" s="226"/>
      <x:c r="D46" s="226"/>
      <x:c r="E46" s="226"/>
      <x:c r="F46" s="226"/>
      <x:c r="G46" s="226"/>
      <x:c r="H46" s="226"/>
      <x:c r="I46" s="226"/>
      <x:c r="J46" s="226"/>
      <x:c r="K46" s="226"/>
      <x:c r="L46" s="226"/>
      <x:c r="M46" s="226"/>
      <x:c r="N46" s="226"/>
      <x:c r="O46" s="226"/>
      <x:c r="P46" s="226"/>
      <x:c r="Q46" s="226"/>
      <x:c r="R46" s="226"/>
      <x:c r="S46" s="226"/>
      <x:c r="T46" s="226"/>
      <x:c r="U46" s="226"/>
      <x:c r="V46" s="226"/>
      <x:c r="W46" s="226"/>
      <x:c r="X46" s="226"/>
      <x:c r="Y46" s="226"/>
      <x:c r="Z46" s="226"/>
    </x:row>
    <x:row r="47">
      <x:c r="A47" s="226"/>
      <x:c r="B47" s="226"/>
      <x:c r="C47" s="226"/>
      <x:c r="D47" s="226"/>
      <x:c r="E47" s="226"/>
      <x:c r="F47" s="226"/>
      <x:c r="G47" s="226"/>
      <x:c r="H47" s="226"/>
      <x:c r="I47" s="226"/>
      <x:c r="J47" s="226"/>
      <x:c r="K47" s="226"/>
      <x:c r="L47" s="226"/>
      <x:c r="M47" s="226"/>
      <x:c r="N47" s="226"/>
      <x:c r="O47" s="226"/>
      <x:c r="P47" s="226"/>
      <x:c r="Q47" s="226"/>
      <x:c r="R47" s="226"/>
      <x:c r="S47" s="226"/>
      <x:c r="T47" s="226"/>
      <x:c r="U47" s="226"/>
      <x:c r="V47" s="226"/>
      <x:c r="W47" s="226"/>
      <x:c r="X47" s="226"/>
      <x:c r="Y47" s="226"/>
      <x:c r="Z47" s="226"/>
    </x:row>
    <x:row r="48">
      <x:c r="A48" s="226"/>
      <x:c r="B48" s="226"/>
      <x:c r="C48" s="226"/>
      <x:c r="D48" s="226"/>
      <x:c r="E48" s="226"/>
      <x:c r="F48" s="226"/>
      <x:c r="G48" s="226"/>
      <x:c r="H48" s="226"/>
      <x:c r="I48" s="226"/>
      <x:c r="J48" s="226"/>
      <x:c r="K48" s="226"/>
      <x:c r="L48" s="226"/>
      <x:c r="M48" s="226"/>
      <x:c r="N48" s="226"/>
      <x:c r="O48" s="226"/>
      <x:c r="P48" s="226"/>
      <x:c r="Q48" s="226"/>
      <x:c r="R48" s="226"/>
      <x:c r="S48" s="226"/>
      <x:c r="T48" s="226"/>
      <x:c r="U48" s="226"/>
      <x:c r="V48" s="226"/>
      <x:c r="W48" s="226"/>
      <x:c r="X48" s="226"/>
      <x:c r="Y48" s="226"/>
      <x:c r="Z48" s="226"/>
    </x:row>
    <x:row r="49">
      <x:c r="A49" s="226"/>
      <x:c r="B49" s="226"/>
      <x:c r="C49" s="226"/>
      <x:c r="D49" s="226"/>
      <x:c r="E49" s="226"/>
      <x:c r="F49" s="226"/>
      <x:c r="G49" s="226"/>
      <x:c r="H49" s="226"/>
      <x:c r="I49" s="226"/>
      <x:c r="J49" s="226"/>
      <x:c r="K49" s="226"/>
      <x:c r="L49" s="226"/>
      <x:c r="M49" s="226"/>
      <x:c r="N49" s="226"/>
      <x:c r="O49" s="226"/>
      <x:c r="P49" s="226"/>
      <x:c r="Q49" s="226"/>
      <x:c r="R49" s="226"/>
      <x:c r="S49" s="226"/>
      <x:c r="T49" s="226"/>
      <x:c r="U49" s="226"/>
      <x:c r="V49" s="226"/>
      <x:c r="W49" s="226"/>
      <x:c r="X49" s="226"/>
      <x:c r="Y49" s="226"/>
      <x:c r="Z49" s="226"/>
    </x:row>
    <x:row r="50">
      <x:c r="A50" s="226"/>
      <x:c r="B50" s="226"/>
      <x:c r="C50" s="226"/>
      <x:c r="D50" s="226"/>
      <x:c r="E50" s="226"/>
      <x:c r="F50" s="226"/>
      <x:c r="G50" s="226"/>
      <x:c r="H50" s="226"/>
      <x:c r="I50" s="226"/>
      <x:c r="J50" s="226"/>
      <x:c r="K50" s="226"/>
      <x:c r="L50" s="226"/>
      <x:c r="M50" s="226"/>
      <x:c r="N50" s="226"/>
      <x:c r="O50" s="226"/>
      <x:c r="P50" s="226"/>
      <x:c r="Q50" s="226"/>
      <x:c r="R50" s="226"/>
      <x:c r="S50" s="226"/>
      <x:c r="T50" s="226"/>
      <x:c r="U50" s="226"/>
      <x:c r="V50" s="226"/>
      <x:c r="W50" s="226"/>
      <x:c r="X50" s="226"/>
      <x:c r="Y50" s="226"/>
      <x:c r="Z50" s="226"/>
    </x:row>
    <x:row r="51">
      <x:c r="A51" s="226"/>
      <x:c r="B51" s="226"/>
      <x:c r="C51" s="226"/>
      <x:c r="D51" s="226"/>
      <x:c r="E51" s="226"/>
      <x:c r="F51" s="226"/>
      <x:c r="G51" s="226"/>
      <x:c r="H51" s="226"/>
      <x:c r="I51" s="226"/>
      <x:c r="J51" s="226"/>
      <x:c r="K51" s="226"/>
      <x:c r="L51" s="226"/>
      <x:c r="M51" s="226"/>
      <x:c r="N51" s="226"/>
      <x:c r="O51" s="226"/>
      <x:c r="P51" s="226"/>
      <x:c r="Q51" s="226"/>
      <x:c r="R51" s="226"/>
      <x:c r="S51" s="226"/>
      <x:c r="T51" s="226"/>
      <x:c r="U51" s="226"/>
      <x:c r="V51" s="226"/>
      <x:c r="W51" s="226"/>
      <x:c r="X51" s="226"/>
      <x:c r="Y51" s="226"/>
      <x:c r="Z51" s="226"/>
    </x:row>
    <x:row r="52">
      <x:c r="A52" s="226"/>
      <x:c r="B52" s="226"/>
      <x:c r="C52" s="226"/>
      <x:c r="D52" s="226"/>
      <x:c r="E52" s="226"/>
      <x:c r="F52" s="226"/>
      <x:c r="G52" s="226"/>
      <x:c r="H52" s="226"/>
      <x:c r="I52" s="226"/>
      <x:c r="J52" s="226"/>
      <x:c r="K52" s="226"/>
      <x:c r="L52" s="226"/>
      <x:c r="M52" s="226"/>
      <x:c r="N52" s="226"/>
      <x:c r="O52" s="226"/>
      <x:c r="P52" s="226"/>
      <x:c r="Q52" s="226"/>
      <x:c r="R52" s="226"/>
      <x:c r="S52" s="226"/>
      <x:c r="T52" s="226"/>
      <x:c r="U52" s="226"/>
      <x:c r="V52" s="226"/>
      <x:c r="W52" s="226"/>
      <x:c r="X52" s="226"/>
      <x:c r="Y52" s="226"/>
      <x:c r="Z52" s="226"/>
    </x:row>
    <x:row r="53">
      <x:c r="A53" s="226"/>
      <x:c r="B53" s="226"/>
      <x:c r="C53" s="226"/>
      <x:c r="D53" s="226"/>
      <x:c r="E53" s="226"/>
      <x:c r="F53" s="226"/>
      <x:c r="G53" s="226"/>
      <x:c r="H53" s="226"/>
      <x:c r="I53" s="226"/>
      <x:c r="J53" s="226"/>
      <x:c r="K53" s="226"/>
      <x:c r="L53" s="226"/>
      <x:c r="M53" s="226"/>
      <x:c r="N53" s="226"/>
      <x:c r="O53" s="226"/>
      <x:c r="P53" s="226"/>
      <x:c r="Q53" s="226"/>
      <x:c r="R53" s="226"/>
      <x:c r="S53" s="226"/>
      <x:c r="T53" s="226"/>
      <x:c r="U53" s="226"/>
      <x:c r="V53" s="226"/>
      <x:c r="W53" s="226"/>
      <x:c r="X53" s="226"/>
      <x:c r="Y53" s="226"/>
      <x:c r="Z53" s="226"/>
    </x:row>
    <x:row r="54">
      <x:c r="A54" s="226"/>
      <x:c r="B54" s="226"/>
      <x:c r="C54" s="226"/>
      <x:c r="D54" s="226"/>
      <x:c r="E54" s="226"/>
      <x:c r="F54" s="226"/>
      <x:c r="G54" s="226"/>
      <x:c r="H54" s="226"/>
      <x:c r="I54" s="226"/>
      <x:c r="J54" s="226"/>
      <x:c r="K54" s="226"/>
      <x:c r="L54" s="226"/>
      <x:c r="M54" s="226"/>
      <x:c r="N54" s="226"/>
      <x:c r="O54" s="226"/>
      <x:c r="P54" s="226"/>
      <x:c r="Q54" s="226"/>
      <x:c r="R54" s="226"/>
      <x:c r="S54" s="226"/>
      <x:c r="T54" s="226"/>
      <x:c r="U54" s="226"/>
      <x:c r="V54" s="226"/>
      <x:c r="W54" s="226"/>
      <x:c r="X54" s="226"/>
      <x:c r="Y54" s="226"/>
      <x:c r="Z54" s="226"/>
    </x:row>
    <x:row r="55">
      <x:c r="A55" s="226"/>
      <x:c r="B55" s="226"/>
      <x:c r="C55" s="226"/>
      <x:c r="D55" s="226"/>
      <x:c r="E55" s="226"/>
      <x:c r="F55" s="226"/>
      <x:c r="G55" s="226"/>
      <x:c r="H55" s="226"/>
      <x:c r="I55" s="226"/>
      <x:c r="J55" s="226"/>
      <x:c r="K55" s="226"/>
      <x:c r="L55" s="226"/>
      <x:c r="M55" s="226"/>
      <x:c r="N55" s="226"/>
      <x:c r="O55" s="226"/>
      <x:c r="P55" s="226"/>
      <x:c r="Q55" s="226"/>
      <x:c r="R55" s="226"/>
      <x:c r="S55" s="226"/>
      <x:c r="T55" s="226"/>
      <x:c r="U55" s="226"/>
      <x:c r="V55" s="226"/>
      <x:c r="W55" s="226"/>
      <x:c r="X55" s="226"/>
      <x:c r="Y55" s="226"/>
      <x:c r="Z55" s="226"/>
    </x:row>
    <x:row r="56">
      <x:c r="A56" s="226"/>
      <x:c r="B56" s="226"/>
      <x:c r="C56" s="226"/>
      <x:c r="D56" s="226"/>
      <x:c r="E56" s="226"/>
      <x:c r="F56" s="226"/>
      <x:c r="G56" s="226"/>
      <x:c r="H56" s="226"/>
      <x:c r="I56" s="226"/>
      <x:c r="J56" s="226"/>
      <x:c r="K56" s="226"/>
      <x:c r="L56" s="226"/>
      <x:c r="M56" s="226"/>
      <x:c r="N56" s="226"/>
      <x:c r="O56" s="226"/>
      <x:c r="P56" s="226"/>
      <x:c r="Q56" s="226"/>
      <x:c r="R56" s="226"/>
      <x:c r="S56" s="226"/>
      <x:c r="T56" s="226"/>
      <x:c r="U56" s="226"/>
      <x:c r="V56" s="226"/>
      <x:c r="W56" s="226"/>
      <x:c r="X56" s="226"/>
      <x:c r="Y56" s="226"/>
      <x:c r="Z56" s="226"/>
    </x:row>
    <x:row r="57">
      <x:c r="A57" s="226"/>
      <x:c r="B57" s="226"/>
      <x:c r="C57" s="226"/>
      <x:c r="D57" s="226"/>
      <x:c r="E57" s="226"/>
      <x:c r="F57" s="226"/>
      <x:c r="G57" s="226"/>
      <x:c r="H57" s="226"/>
      <x:c r="I57" s="226"/>
      <x:c r="J57" s="226"/>
      <x:c r="K57" s="226"/>
      <x:c r="L57" s="226"/>
      <x:c r="M57" s="226"/>
      <x:c r="N57" s="226"/>
      <x:c r="O57" s="226"/>
      <x:c r="P57" s="226"/>
      <x:c r="Q57" s="226"/>
      <x:c r="R57" s="226"/>
      <x:c r="S57" s="226"/>
      <x:c r="T57" s="226"/>
      <x:c r="U57" s="226"/>
      <x:c r="V57" s="226"/>
      <x:c r="W57" s="226"/>
      <x:c r="X57" s="226"/>
      <x:c r="Y57" s="226"/>
      <x:c r="Z57" s="226"/>
    </x:row>
    <x:row r="58">
      <x:c r="A58" s="226"/>
      <x:c r="B58" s="226"/>
      <x:c r="C58" s="226"/>
      <x:c r="D58" s="226"/>
      <x:c r="E58" s="226"/>
      <x:c r="F58" s="226"/>
      <x:c r="G58" s="226"/>
      <x:c r="H58" s="226"/>
      <x:c r="I58" s="226"/>
      <x:c r="J58" s="226"/>
      <x:c r="K58" s="226"/>
      <x:c r="L58" s="226"/>
      <x:c r="M58" s="226"/>
      <x:c r="N58" s="226"/>
      <x:c r="O58" s="226"/>
      <x:c r="P58" s="226"/>
      <x:c r="Q58" s="226"/>
      <x:c r="R58" s="226"/>
      <x:c r="S58" s="226"/>
      <x:c r="T58" s="226"/>
      <x:c r="U58" s="226"/>
      <x:c r="V58" s="226"/>
      <x:c r="W58" s="226"/>
      <x:c r="X58" s="226"/>
      <x:c r="Y58" s="226"/>
      <x:c r="Z58" s="226"/>
    </x:row>
    <x:row r="59">
      <x:c r="A59" s="226"/>
      <x:c r="B59" s="226"/>
      <x:c r="C59" s="226"/>
      <x:c r="D59" s="226"/>
      <x:c r="E59" s="226"/>
      <x:c r="F59" s="226"/>
      <x:c r="G59" s="226"/>
      <x:c r="H59" s="226"/>
      <x:c r="I59" s="226"/>
      <x:c r="J59" s="226"/>
      <x:c r="K59" s="226"/>
      <x:c r="L59" s="226"/>
      <x:c r="M59" s="226"/>
      <x:c r="N59" s="226"/>
      <x:c r="O59" s="226"/>
      <x:c r="P59" s="226"/>
      <x:c r="Q59" s="226"/>
      <x:c r="R59" s="226"/>
      <x:c r="S59" s="226"/>
      <x:c r="T59" s="226"/>
      <x:c r="U59" s="226"/>
      <x:c r="V59" s="226"/>
      <x:c r="W59" s="226"/>
      <x:c r="X59" s="226"/>
      <x:c r="Y59" s="226"/>
      <x:c r="Z59" s="226"/>
    </x:row>
    <x:row r="60">
      <x:c r="A60" s="226"/>
      <x:c r="B60" s="226"/>
      <x:c r="C60" s="226"/>
      <x:c r="D60" s="226"/>
      <x:c r="E60" s="226"/>
      <x:c r="F60" s="226"/>
      <x:c r="G60" s="226"/>
      <x:c r="H60" s="226"/>
      <x:c r="I60" s="226"/>
      <x:c r="J60" s="226"/>
      <x:c r="K60" s="226"/>
      <x:c r="L60" s="226"/>
      <x:c r="M60" s="226"/>
      <x:c r="N60" s="226"/>
      <x:c r="O60" s="226"/>
      <x:c r="P60" s="226"/>
      <x:c r="Q60" s="226"/>
      <x:c r="R60" s="226"/>
      <x:c r="S60" s="226"/>
      <x:c r="T60" s="226"/>
      <x:c r="U60" s="226"/>
      <x:c r="V60" s="226"/>
      <x:c r="W60" s="226"/>
      <x:c r="X60" s="226"/>
      <x:c r="Y60" s="226"/>
      <x:c r="Z60" s="226"/>
    </x:row>
    <x:row r="61">
      <x:c r="A61" s="226"/>
      <x:c r="B61" s="226"/>
      <x:c r="C61" s="226"/>
      <x:c r="D61" s="226"/>
      <x:c r="E61" s="226"/>
      <x:c r="F61" s="226"/>
      <x:c r="G61" s="226"/>
      <x:c r="H61" s="226"/>
      <x:c r="I61" s="226"/>
      <x:c r="J61" s="226"/>
      <x:c r="K61" s="226"/>
      <x:c r="L61" s="226"/>
      <x:c r="M61" s="226"/>
      <x:c r="N61" s="226"/>
      <x:c r="O61" s="226"/>
      <x:c r="P61" s="226"/>
      <x:c r="Q61" s="226"/>
      <x:c r="R61" s="226"/>
      <x:c r="S61" s="226"/>
      <x:c r="T61" s="226"/>
      <x:c r="U61" s="226"/>
      <x:c r="V61" s="226"/>
      <x:c r="W61" s="226"/>
      <x:c r="X61" s="226"/>
      <x:c r="Y61" s="226"/>
      <x:c r="Z61" s="226"/>
    </x:row>
    <x:row r="62">
      <x:c r="A62" s="226"/>
      <x:c r="B62" s="226"/>
      <x:c r="C62" s="226"/>
      <x:c r="D62" s="226"/>
      <x:c r="E62" s="226"/>
      <x:c r="F62" s="226"/>
      <x:c r="G62" s="226"/>
      <x:c r="H62" s="226"/>
      <x:c r="I62" s="226"/>
      <x:c r="J62" s="226"/>
      <x:c r="K62" s="226"/>
      <x:c r="L62" s="226"/>
      <x:c r="M62" s="226"/>
      <x:c r="N62" s="226"/>
      <x:c r="O62" s="226"/>
      <x:c r="P62" s="226"/>
      <x:c r="Q62" s="226"/>
      <x:c r="R62" s="226"/>
      <x:c r="S62" s="226"/>
      <x:c r="T62" s="226"/>
      <x:c r="U62" s="226"/>
      <x:c r="V62" s="226"/>
      <x:c r="W62" s="226"/>
      <x:c r="X62" s="226"/>
      <x:c r="Y62" s="226"/>
      <x:c r="Z62" s="226"/>
    </x:row>
    <x:row r="63">
      <x:c r="A63" s="226"/>
      <x:c r="B63" s="226"/>
      <x:c r="C63" s="226"/>
      <x:c r="D63" s="226"/>
      <x:c r="E63" s="226"/>
      <x:c r="F63" s="226"/>
      <x:c r="G63" s="226"/>
      <x:c r="H63" s="226"/>
      <x:c r="I63" s="226"/>
      <x:c r="J63" s="226"/>
      <x:c r="K63" s="226"/>
      <x:c r="L63" s="226"/>
      <x:c r="M63" s="226"/>
      <x:c r="N63" s="226"/>
      <x:c r="O63" s="226"/>
      <x:c r="P63" s="226"/>
      <x:c r="Q63" s="226"/>
      <x:c r="R63" s="226"/>
      <x:c r="S63" s="226"/>
      <x:c r="T63" s="226"/>
      <x:c r="U63" s="226"/>
      <x:c r="V63" s="226"/>
      <x:c r="W63" s="226"/>
      <x:c r="X63" s="226"/>
      <x:c r="Y63" s="226"/>
      <x:c r="Z63" s="226"/>
    </x:row>
    <x:row r="64">
      <x:c r="A64" s="226"/>
      <x:c r="B64" s="226"/>
      <x:c r="C64" s="226"/>
      <x:c r="D64" s="226"/>
      <x:c r="E64" s="226"/>
      <x:c r="F64" s="226"/>
      <x:c r="G64" s="226"/>
      <x:c r="H64" s="226"/>
      <x:c r="I64" s="226"/>
      <x:c r="J64" s="226"/>
      <x:c r="K64" s="226"/>
      <x:c r="L64" s="226"/>
      <x:c r="M64" s="226"/>
      <x:c r="N64" s="226"/>
      <x:c r="O64" s="226"/>
      <x:c r="P64" s="226"/>
      <x:c r="Q64" s="226"/>
      <x:c r="R64" s="226"/>
      <x:c r="S64" s="226"/>
      <x:c r="T64" s="226"/>
      <x:c r="U64" s="226"/>
      <x:c r="V64" s="226"/>
      <x:c r="W64" s="226"/>
      <x:c r="X64" s="226"/>
      <x:c r="Y64" s="226"/>
      <x:c r="Z64" s="226"/>
    </x:row>
    <x:row r="65">
      <x:c r="A65" s="226"/>
      <x:c r="B65" s="226"/>
      <x:c r="C65" s="226"/>
      <x:c r="D65" s="226"/>
      <x:c r="E65" s="226"/>
      <x:c r="F65" s="226"/>
      <x:c r="G65" s="226"/>
      <x:c r="H65" s="226"/>
      <x:c r="I65" s="226"/>
      <x:c r="J65" s="226"/>
      <x:c r="K65" s="226"/>
      <x:c r="L65" s="226"/>
      <x:c r="M65" s="226"/>
      <x:c r="N65" s="226"/>
      <x:c r="O65" s="226"/>
      <x:c r="P65" s="226"/>
      <x:c r="Q65" s="226"/>
      <x:c r="R65" s="226"/>
      <x:c r="S65" s="226"/>
      <x:c r="T65" s="226"/>
      <x:c r="U65" s="226"/>
      <x:c r="V65" s="226"/>
      <x:c r="W65" s="226"/>
      <x:c r="X65" s="226"/>
      <x:c r="Y65" s="226"/>
      <x:c r="Z65" s="226"/>
    </x:row>
    <x:row r="66">
      <x:c r="A66" s="226"/>
      <x:c r="B66" s="226"/>
      <x:c r="C66" s="226"/>
      <x:c r="D66" s="226"/>
      <x:c r="E66" s="226"/>
      <x:c r="F66" s="226"/>
      <x:c r="G66" s="226"/>
      <x:c r="H66" s="226"/>
      <x:c r="I66" s="226"/>
      <x:c r="J66" s="226"/>
      <x:c r="K66" s="226"/>
      <x:c r="L66" s="226"/>
      <x:c r="M66" s="226"/>
      <x:c r="N66" s="226"/>
      <x:c r="O66" s="226"/>
      <x:c r="P66" s="226"/>
      <x:c r="Q66" s="226"/>
      <x:c r="R66" s="226"/>
      <x:c r="S66" s="226"/>
      <x:c r="T66" s="226"/>
      <x:c r="U66" s="226"/>
      <x:c r="V66" s="226"/>
      <x:c r="W66" s="226"/>
      <x:c r="X66" s="226"/>
      <x:c r="Y66" s="226"/>
      <x:c r="Z66" s="226"/>
    </x:row>
    <x:row r="67">
      <x:c r="A67" s="226"/>
      <x:c r="B67" s="226"/>
      <x:c r="C67" s="226"/>
      <x:c r="D67" s="226"/>
      <x:c r="E67" s="226"/>
      <x:c r="F67" s="226"/>
      <x:c r="G67" s="226"/>
      <x:c r="H67" s="226"/>
      <x:c r="I67" s="226"/>
      <x:c r="J67" s="226"/>
      <x:c r="K67" s="226"/>
      <x:c r="L67" s="226"/>
      <x:c r="M67" s="226"/>
      <x:c r="N67" s="226"/>
      <x:c r="O67" s="226"/>
      <x:c r="P67" s="226"/>
      <x:c r="Q67" s="226"/>
      <x:c r="R67" s="226"/>
      <x:c r="S67" s="226"/>
      <x:c r="T67" s="226"/>
      <x:c r="U67" s="226"/>
      <x:c r="V67" s="226"/>
      <x:c r="W67" s="226"/>
      <x:c r="X67" s="226"/>
      <x:c r="Y67" s="226"/>
      <x:c r="Z67" s="226"/>
    </x:row>
    <x:row r="68">
      <x:c r="A68" s="226"/>
      <x:c r="B68" s="226"/>
      <x:c r="C68" s="226"/>
      <x:c r="D68" s="226"/>
      <x:c r="E68" s="226"/>
      <x:c r="F68" s="226"/>
      <x:c r="G68" s="226"/>
      <x:c r="H68" s="226"/>
      <x:c r="I68" s="226"/>
      <x:c r="J68" s="226"/>
      <x:c r="K68" s="226"/>
      <x:c r="L68" s="226"/>
      <x:c r="M68" s="226"/>
      <x:c r="N68" s="226"/>
      <x:c r="O68" s="226"/>
      <x:c r="P68" s="226"/>
      <x:c r="Q68" s="226"/>
      <x:c r="R68" s="226"/>
      <x:c r="S68" s="226"/>
      <x:c r="T68" s="226"/>
      <x:c r="U68" s="226"/>
      <x:c r="V68" s="226"/>
      <x:c r="W68" s="226"/>
      <x:c r="X68" s="226"/>
      <x:c r="Y68" s="226"/>
      <x:c r="Z68" s="226"/>
    </x:row>
    <x:row r="69">
      <x:c r="A69" s="226"/>
      <x:c r="B69" s="226"/>
      <x:c r="C69" s="226"/>
      <x:c r="D69" s="226"/>
      <x:c r="E69" s="226"/>
      <x:c r="F69" s="226"/>
      <x:c r="G69" s="226"/>
      <x:c r="H69" s="226"/>
      <x:c r="I69" s="226"/>
      <x:c r="J69" s="226"/>
      <x:c r="K69" s="226"/>
      <x:c r="L69" s="226"/>
      <x:c r="M69" s="226"/>
      <x:c r="N69" s="226"/>
      <x:c r="O69" s="226"/>
      <x:c r="P69" s="226"/>
      <x:c r="Q69" s="226"/>
      <x:c r="R69" s="226"/>
      <x:c r="S69" s="226"/>
      <x:c r="T69" s="226"/>
      <x:c r="U69" s="226"/>
      <x:c r="V69" s="226"/>
      <x:c r="W69" s="226"/>
      <x:c r="X69" s="226"/>
      <x:c r="Y69" s="226"/>
      <x:c r="Z69" s="226"/>
    </x:row>
    <x:row r="70">
      <x:c r="A70" s="226"/>
      <x:c r="B70" s="226"/>
      <x:c r="C70" s="226"/>
      <x:c r="D70" s="226"/>
      <x:c r="E70" s="226"/>
      <x:c r="F70" s="226"/>
      <x:c r="G70" s="226"/>
      <x:c r="H70" s="226"/>
      <x:c r="I70" s="226"/>
      <x:c r="J70" s="226"/>
      <x:c r="K70" s="226"/>
      <x:c r="L70" s="226"/>
      <x:c r="M70" s="226"/>
      <x:c r="N70" s="226"/>
      <x:c r="O70" s="226"/>
      <x:c r="P70" s="226"/>
      <x:c r="Q70" s="226"/>
      <x:c r="R70" s="226"/>
      <x:c r="S70" s="226"/>
      <x:c r="T70" s="226"/>
      <x:c r="U70" s="226"/>
      <x:c r="V70" s="226"/>
      <x:c r="W70" s="226"/>
      <x:c r="X70" s="226"/>
      <x:c r="Y70" s="226"/>
      <x:c r="Z70" s="226"/>
    </x:row>
    <x:row r="71">
      <x:c r="A71" s="226"/>
      <x:c r="B71" s="226"/>
      <x:c r="C71" s="226"/>
      <x:c r="D71" s="226"/>
      <x:c r="E71" s="226"/>
      <x:c r="F71" s="226"/>
      <x:c r="G71" s="226"/>
      <x:c r="H71" s="226"/>
      <x:c r="I71" s="226"/>
      <x:c r="J71" s="226"/>
      <x:c r="K71" s="226"/>
      <x:c r="L71" s="226"/>
      <x:c r="M71" s="226"/>
      <x:c r="N71" s="226"/>
      <x:c r="O71" s="226"/>
      <x:c r="P71" s="226"/>
      <x:c r="Q71" s="226"/>
      <x:c r="R71" s="226"/>
      <x:c r="S71" s="226"/>
      <x:c r="T71" s="226"/>
      <x:c r="U71" s="226"/>
      <x:c r="V71" s="226"/>
      <x:c r="W71" s="226"/>
      <x:c r="X71" s="226"/>
      <x:c r="Y71" s="226"/>
      <x:c r="Z71" s="226"/>
    </x:row>
    <x:row r="72">
      <x:c r="A72" s="226"/>
      <x:c r="B72" s="226"/>
      <x:c r="C72" s="226"/>
      <x:c r="D72" s="226"/>
      <x:c r="E72" s="226"/>
      <x:c r="F72" s="226"/>
      <x:c r="G72" s="226"/>
      <x:c r="H72" s="226"/>
      <x:c r="I72" s="226"/>
      <x:c r="J72" s="226"/>
      <x:c r="K72" s="226"/>
      <x:c r="L72" s="226"/>
      <x:c r="M72" s="226"/>
      <x:c r="N72" s="226"/>
      <x:c r="O72" s="226"/>
      <x:c r="P72" s="226"/>
      <x:c r="Q72" s="226"/>
      <x:c r="R72" s="226"/>
      <x:c r="S72" s="226"/>
      <x:c r="T72" s="226"/>
      <x:c r="U72" s="226"/>
      <x:c r="V72" s="226"/>
      <x:c r="W72" s="226"/>
      <x:c r="X72" s="226"/>
      <x:c r="Y72" s="226"/>
      <x:c r="Z72" s="226"/>
    </x:row>
    <x:row r="73">
      <x:c r="A73" s="226"/>
      <x:c r="B73" s="226"/>
      <x:c r="C73" s="226"/>
      <x:c r="D73" s="226"/>
      <x:c r="E73" s="226"/>
      <x:c r="F73" s="226"/>
      <x:c r="G73" s="226"/>
      <x:c r="H73" s="226"/>
      <x:c r="I73" s="226"/>
      <x:c r="J73" s="226"/>
      <x:c r="K73" s="226"/>
      <x:c r="L73" s="226"/>
      <x:c r="M73" s="226"/>
      <x:c r="N73" s="226"/>
      <x:c r="O73" s="226"/>
      <x:c r="P73" s="226"/>
      <x:c r="Q73" s="226"/>
      <x:c r="R73" s="226"/>
      <x:c r="S73" s="226"/>
      <x:c r="T73" s="226"/>
      <x:c r="U73" s="226"/>
      <x:c r="V73" s="226"/>
      <x:c r="W73" s="226"/>
      <x:c r="X73" s="226"/>
      <x:c r="Y73" s="226"/>
      <x:c r="Z73" s="226"/>
    </x:row>
    <x:row r="74">
      <x:c r="A74" s="226"/>
      <x:c r="B74" s="226"/>
      <x:c r="C74" s="226"/>
      <x:c r="D74" s="226"/>
      <x:c r="E74" s="226"/>
      <x:c r="F74" s="226"/>
      <x:c r="G74" s="226"/>
      <x:c r="H74" s="226"/>
      <x:c r="I74" s="226"/>
      <x:c r="J74" s="226"/>
      <x:c r="K74" s="226"/>
      <x:c r="L74" s="226"/>
      <x:c r="M74" s="226"/>
      <x:c r="N74" s="226"/>
      <x:c r="O74" s="226"/>
      <x:c r="P74" s="226"/>
      <x:c r="Q74" s="226"/>
      <x:c r="R74" s="226"/>
      <x:c r="S74" s="226"/>
      <x:c r="T74" s="226"/>
      <x:c r="U74" s="226"/>
      <x:c r="V74" s="226"/>
      <x:c r="W74" s="226"/>
      <x:c r="X74" s="226"/>
      <x:c r="Y74" s="226"/>
      <x:c r="Z74" s="226"/>
    </x:row>
    <x:row r="75">
      <x:c r="A75" s="226"/>
      <x:c r="B75" s="226"/>
      <x:c r="C75" s="226"/>
      <x:c r="D75" s="226"/>
      <x:c r="E75" s="226"/>
      <x:c r="F75" s="226"/>
      <x:c r="G75" s="226"/>
      <x:c r="H75" s="226"/>
      <x:c r="I75" s="226"/>
      <x:c r="J75" s="226"/>
      <x:c r="K75" s="226"/>
      <x:c r="L75" s="226"/>
      <x:c r="M75" s="226"/>
      <x:c r="N75" s="226"/>
      <x:c r="O75" s="226"/>
      <x:c r="P75" s="226"/>
      <x:c r="Q75" s="226"/>
      <x:c r="R75" s="226"/>
      <x:c r="S75" s="226"/>
      <x:c r="T75" s="226"/>
      <x:c r="U75" s="226"/>
      <x:c r="V75" s="226"/>
      <x:c r="W75" s="226"/>
      <x:c r="X75" s="226"/>
      <x:c r="Y75" s="226"/>
      <x:c r="Z75" s="226"/>
    </x:row>
    <x:row r="76">
      <x:c r="A76" s="226"/>
      <x:c r="B76" s="226"/>
      <x:c r="C76" s="226"/>
      <x:c r="D76" s="226"/>
      <x:c r="E76" s="226"/>
      <x:c r="F76" s="226"/>
      <x:c r="G76" s="226"/>
      <x:c r="H76" s="226"/>
      <x:c r="I76" s="226"/>
      <x:c r="J76" s="226"/>
      <x:c r="K76" s="226"/>
      <x:c r="L76" s="226"/>
      <x:c r="M76" s="226"/>
      <x:c r="N76" s="226"/>
      <x:c r="O76" s="226"/>
      <x:c r="P76" s="226"/>
      <x:c r="Q76" s="226"/>
      <x:c r="R76" s="226"/>
      <x:c r="S76" s="226"/>
      <x:c r="T76" s="226"/>
      <x:c r="U76" s="226"/>
      <x:c r="V76" s="226"/>
      <x:c r="W76" s="226"/>
      <x:c r="X76" s="226"/>
      <x:c r="Y76" s="226"/>
      <x:c r="Z76" s="226"/>
    </x:row>
    <x:row r="77">
      <x:c r="A77" s="226"/>
      <x:c r="B77" s="226"/>
      <x:c r="C77" s="226"/>
      <x:c r="D77" s="226"/>
      <x:c r="E77" s="226"/>
      <x:c r="F77" s="226"/>
      <x:c r="G77" s="226"/>
      <x:c r="H77" s="226"/>
      <x:c r="I77" s="226"/>
      <x:c r="J77" s="226"/>
      <x:c r="K77" s="226"/>
      <x:c r="L77" s="226"/>
      <x:c r="M77" s="226"/>
      <x:c r="N77" s="226"/>
      <x:c r="O77" s="226"/>
      <x:c r="P77" s="226"/>
      <x:c r="Q77" s="226"/>
      <x:c r="R77" s="226"/>
      <x:c r="S77" s="226"/>
      <x:c r="T77" s="226"/>
      <x:c r="U77" s="226"/>
      <x:c r="V77" s="226"/>
      <x:c r="W77" s="226"/>
      <x:c r="X77" s="226"/>
      <x:c r="Y77" s="226"/>
      <x:c r="Z77" s="226"/>
    </x:row>
    <x:row r="78">
      <x:c r="A78" s="226"/>
      <x:c r="B78" s="226"/>
      <x:c r="C78" s="226"/>
      <x:c r="D78" s="226"/>
      <x:c r="E78" s="226"/>
      <x:c r="F78" s="226"/>
      <x:c r="G78" s="226"/>
      <x:c r="H78" s="226"/>
      <x:c r="I78" s="226"/>
      <x:c r="J78" s="226"/>
      <x:c r="K78" s="226"/>
      <x:c r="L78" s="226"/>
      <x:c r="M78" s="226"/>
      <x:c r="N78" s="226"/>
      <x:c r="O78" s="226"/>
      <x:c r="P78" s="226"/>
      <x:c r="Q78" s="226"/>
      <x:c r="R78" s="226"/>
      <x:c r="S78" s="226"/>
      <x:c r="T78" s="226"/>
      <x:c r="U78" s="226"/>
      <x:c r="V78" s="226"/>
      <x:c r="W78" s="226"/>
      <x:c r="X78" s="226"/>
      <x:c r="Y78" s="226"/>
      <x:c r="Z78" s="226"/>
    </x:row>
    <x:row r="79">
      <x:c r="A79" s="226"/>
      <x:c r="B79" s="226"/>
      <x:c r="C79" s="226"/>
      <x:c r="D79" s="226"/>
      <x:c r="E79" s="226"/>
      <x:c r="F79" s="226"/>
      <x:c r="G79" s="226"/>
      <x:c r="H79" s="226"/>
      <x:c r="I79" s="226"/>
      <x:c r="J79" s="226"/>
      <x:c r="K79" s="226"/>
      <x:c r="L79" s="226"/>
      <x:c r="M79" s="226"/>
      <x:c r="N79" s="226"/>
      <x:c r="O79" s="226"/>
      <x:c r="P79" s="226"/>
      <x:c r="Q79" s="226"/>
      <x:c r="R79" s="226"/>
      <x:c r="S79" s="226"/>
      <x:c r="T79" s="226"/>
      <x:c r="U79" s="226"/>
      <x:c r="V79" s="226"/>
      <x:c r="W79" s="226"/>
      <x:c r="X79" s="226"/>
      <x:c r="Y79" s="226"/>
      <x:c r="Z79" s="226"/>
    </x:row>
    <x:row r="80">
      <x:c r="A80" s="226"/>
      <x:c r="B80" s="226"/>
      <x:c r="C80" s="226"/>
      <x:c r="D80" s="226"/>
      <x:c r="E80" s="226"/>
      <x:c r="F80" s="226"/>
      <x:c r="G80" s="226"/>
      <x:c r="H80" s="226"/>
      <x:c r="I80" s="226"/>
      <x:c r="J80" s="226"/>
      <x:c r="K80" s="226"/>
      <x:c r="L80" s="226"/>
      <x:c r="M80" s="226"/>
      <x:c r="N80" s="226"/>
      <x:c r="O80" s="226"/>
      <x:c r="P80" s="226"/>
      <x:c r="Q80" s="226"/>
      <x:c r="R80" s="226"/>
      <x:c r="S80" s="226"/>
      <x:c r="T80" s="226"/>
      <x:c r="U80" s="226"/>
      <x:c r="V80" s="226"/>
      <x:c r="W80" s="226"/>
      <x:c r="X80" s="226"/>
      <x:c r="Y80" s="226"/>
      <x:c r="Z80" s="226"/>
    </x:row>
    <x:row r="81">
      <x:c r="A81" s="226"/>
      <x:c r="B81" s="226"/>
      <x:c r="C81" s="226"/>
      <x:c r="D81" s="226"/>
      <x:c r="E81" s="226"/>
      <x:c r="F81" s="226"/>
      <x:c r="G81" s="226"/>
      <x:c r="H81" s="226"/>
      <x:c r="I81" s="226"/>
      <x:c r="J81" s="226"/>
      <x:c r="K81" s="226"/>
      <x:c r="L81" s="226"/>
      <x:c r="M81" s="226"/>
      <x:c r="N81" s="226"/>
      <x:c r="O81" s="226"/>
      <x:c r="P81" s="226"/>
      <x:c r="Q81" s="226"/>
      <x:c r="R81" s="226"/>
      <x:c r="S81" s="226"/>
      <x:c r="T81" s="226"/>
      <x:c r="U81" s="226"/>
      <x:c r="V81" s="226"/>
      <x:c r="W81" s="226"/>
      <x:c r="X81" s="226"/>
      <x:c r="Y81" s="226"/>
      <x:c r="Z81" s="226"/>
    </x:row>
    <x:row r="82">
      <x:c r="A82" s="226"/>
      <x:c r="B82" s="226"/>
      <x:c r="C82" s="226"/>
      <x:c r="D82" s="226"/>
      <x:c r="E82" s="226"/>
      <x:c r="F82" s="226"/>
      <x:c r="G82" s="226"/>
      <x:c r="H82" s="226"/>
      <x:c r="I82" s="226"/>
      <x:c r="J82" s="226"/>
      <x:c r="K82" s="226"/>
      <x:c r="L82" s="226"/>
      <x:c r="M82" s="226"/>
      <x:c r="N82" s="226"/>
      <x:c r="O82" s="226"/>
      <x:c r="P82" s="226"/>
      <x:c r="Q82" s="226"/>
      <x:c r="R82" s="226"/>
      <x:c r="S82" s="226"/>
      <x:c r="T82" s="226"/>
      <x:c r="U82" s="226"/>
      <x:c r="V82" s="226"/>
      <x:c r="W82" s="226"/>
      <x:c r="X82" s="226"/>
      <x:c r="Y82" s="226"/>
      <x:c r="Z82" s="226"/>
    </x:row>
    <x:row r="83">
      <x:c r="A83" s="226"/>
      <x:c r="B83" s="226"/>
      <x:c r="C83" s="226"/>
      <x:c r="D83" s="226"/>
      <x:c r="E83" s="226"/>
      <x:c r="F83" s="226"/>
      <x:c r="G83" s="226"/>
      <x:c r="H83" s="226"/>
      <x:c r="I83" s="226"/>
      <x:c r="J83" s="226"/>
      <x:c r="K83" s="226"/>
      <x:c r="L83" s="226"/>
      <x:c r="M83" s="226"/>
      <x:c r="N83" s="226"/>
      <x:c r="O83" s="226"/>
      <x:c r="P83" s="226"/>
      <x:c r="Q83" s="226"/>
      <x:c r="R83" s="226"/>
      <x:c r="S83" s="226"/>
      <x:c r="T83" s="226"/>
      <x:c r="U83" s="226"/>
      <x:c r="V83" s="226"/>
      <x:c r="W83" s="226"/>
      <x:c r="X83" s="226"/>
      <x:c r="Y83" s="226"/>
      <x:c r="Z83" s="226"/>
    </x:row>
    <x:row r="84">
      <x:c r="A84" s="226"/>
      <x:c r="B84" s="226"/>
      <x:c r="C84" s="226"/>
      <x:c r="D84" s="226"/>
      <x:c r="E84" s="226"/>
      <x:c r="F84" s="226"/>
      <x:c r="G84" s="226"/>
      <x:c r="H84" s="226"/>
      <x:c r="I84" s="226"/>
      <x:c r="J84" s="226"/>
      <x:c r="K84" s="226"/>
      <x:c r="L84" s="226"/>
      <x:c r="M84" s="226"/>
      <x:c r="N84" s="226"/>
      <x:c r="O84" s="226"/>
      <x:c r="P84" s="226"/>
      <x:c r="Q84" s="226"/>
      <x:c r="R84" s="226"/>
      <x:c r="S84" s="226"/>
      <x:c r="T84" s="226"/>
      <x:c r="U84" s="226"/>
      <x:c r="V84" s="226"/>
      <x:c r="W84" s="226"/>
      <x:c r="X84" s="226"/>
      <x:c r="Y84" s="226"/>
      <x:c r="Z84" s="226"/>
    </x:row>
    <x:row r="85">
      <x:c r="A85" s="226"/>
      <x:c r="B85" s="226"/>
      <x:c r="C85" s="226"/>
      <x:c r="D85" s="226"/>
      <x:c r="E85" s="226"/>
      <x:c r="F85" s="226"/>
      <x:c r="G85" s="226"/>
      <x:c r="H85" s="226"/>
      <x:c r="I85" s="226"/>
      <x:c r="J85" s="226"/>
      <x:c r="K85" s="226"/>
      <x:c r="L85" s="226"/>
      <x:c r="M85" s="226"/>
      <x:c r="N85" s="226"/>
      <x:c r="O85" s="226"/>
      <x:c r="P85" s="226"/>
      <x:c r="Q85" s="226"/>
      <x:c r="R85" s="226"/>
      <x:c r="S85" s="226"/>
      <x:c r="T85" s="226"/>
      <x:c r="U85" s="226"/>
      <x:c r="V85" s="226"/>
      <x:c r="W85" s="226"/>
      <x:c r="X85" s="226"/>
      <x:c r="Y85" s="226"/>
      <x:c r="Z85" s="226"/>
    </x:row>
    <x:row r="86">
      <x:c r="A86" s="226"/>
      <x:c r="B86" s="226"/>
      <x:c r="C86" s="226"/>
      <x:c r="D86" s="226"/>
      <x:c r="E86" s="226"/>
      <x:c r="F86" s="226"/>
      <x:c r="G86" s="226"/>
      <x:c r="H86" s="226"/>
      <x:c r="I86" s="226"/>
      <x:c r="J86" s="226"/>
      <x:c r="K86" s="226"/>
      <x:c r="L86" s="226"/>
      <x:c r="M86" s="226"/>
      <x:c r="N86" s="226"/>
      <x:c r="O86" s="226"/>
      <x:c r="P86" s="226"/>
      <x:c r="Q86" s="226"/>
      <x:c r="R86" s="226"/>
      <x:c r="S86" s="226"/>
      <x:c r="T86" s="226"/>
      <x:c r="U86" s="226"/>
      <x:c r="V86" s="226"/>
      <x:c r="W86" s="226"/>
      <x:c r="X86" s="226"/>
      <x:c r="Y86" s="226"/>
      <x:c r="Z86" s="226"/>
    </x:row>
    <x:row r="87">
      <x:c r="A87" s="226"/>
      <x:c r="B87" s="226"/>
      <x:c r="C87" s="226"/>
      <x:c r="D87" s="226"/>
      <x:c r="E87" s="226"/>
      <x:c r="F87" s="226"/>
      <x:c r="G87" s="226"/>
      <x:c r="H87" s="226"/>
      <x:c r="I87" s="226"/>
      <x:c r="J87" s="226"/>
      <x:c r="K87" s="226"/>
      <x:c r="L87" s="226"/>
      <x:c r="M87" s="226"/>
      <x:c r="N87" s="226"/>
      <x:c r="O87" s="226"/>
      <x:c r="P87" s="226"/>
      <x:c r="Q87" s="226"/>
      <x:c r="R87" s="226"/>
      <x:c r="S87" s="226"/>
      <x:c r="T87" s="226"/>
      <x:c r="U87" s="226"/>
      <x:c r="V87" s="226"/>
      <x:c r="W87" s="226"/>
      <x:c r="X87" s="226"/>
      <x:c r="Y87" s="226"/>
      <x:c r="Z87" s="226"/>
    </x:row>
    <x:row r="88">
      <x:c r="A88" s="226"/>
      <x:c r="B88" s="226"/>
      <x:c r="C88" s="226"/>
      <x:c r="D88" s="226"/>
      <x:c r="E88" s="226"/>
      <x:c r="F88" s="226"/>
      <x:c r="G88" s="226"/>
      <x:c r="H88" s="226"/>
      <x:c r="I88" s="226"/>
      <x:c r="J88" s="226"/>
      <x:c r="K88" s="226"/>
      <x:c r="L88" s="226"/>
      <x:c r="M88" s="226"/>
      <x:c r="N88" s="226"/>
      <x:c r="O88" s="226"/>
      <x:c r="P88" s="226"/>
      <x:c r="Q88" s="226"/>
      <x:c r="R88" s="226"/>
      <x:c r="S88" s="226"/>
      <x:c r="T88" s="226"/>
      <x:c r="U88" s="226"/>
      <x:c r="V88" s="226"/>
      <x:c r="W88" s="226"/>
      <x:c r="X88" s="226"/>
      <x:c r="Y88" s="226"/>
      <x:c r="Z88" s="226"/>
    </x:row>
    <x:row r="89">
      <x:c r="A89" s="226"/>
      <x:c r="B89" s="226"/>
      <x:c r="C89" s="226"/>
      <x:c r="D89" s="226"/>
      <x:c r="E89" s="226"/>
      <x:c r="F89" s="226"/>
      <x:c r="G89" s="226"/>
      <x:c r="H89" s="226"/>
      <x:c r="I89" s="226"/>
      <x:c r="J89" s="226"/>
      <x:c r="K89" s="226"/>
      <x:c r="L89" s="226"/>
      <x:c r="M89" s="226"/>
      <x:c r="N89" s="226"/>
      <x:c r="O89" s="226"/>
      <x:c r="P89" s="226"/>
      <x:c r="Q89" s="226"/>
      <x:c r="R89" s="226"/>
      <x:c r="S89" s="226"/>
      <x:c r="T89" s="226"/>
      <x:c r="U89" s="226"/>
      <x:c r="V89" s="226"/>
      <x:c r="W89" s="226"/>
      <x:c r="X89" s="226"/>
      <x:c r="Y89" s="226"/>
      <x:c r="Z89" s="226"/>
    </x:row>
    <x:row r="90">
      <x:c r="A90" s="226"/>
      <x:c r="B90" s="226"/>
      <x:c r="C90" s="226"/>
      <x:c r="D90" s="226"/>
      <x:c r="E90" s="226"/>
      <x:c r="F90" s="226"/>
      <x:c r="G90" s="226"/>
      <x:c r="H90" s="226"/>
      <x:c r="I90" s="226"/>
      <x:c r="J90" s="226"/>
      <x:c r="K90" s="226"/>
      <x:c r="L90" s="226"/>
      <x:c r="M90" s="226"/>
      <x:c r="N90" s="226"/>
      <x:c r="O90" s="226"/>
      <x:c r="P90" s="226"/>
      <x:c r="Q90" s="226"/>
      <x:c r="R90" s="226"/>
      <x:c r="S90" s="226"/>
      <x:c r="T90" s="226"/>
      <x:c r="U90" s="226"/>
      <x:c r="V90" s="226"/>
      <x:c r="W90" s="226"/>
      <x:c r="X90" s="226"/>
      <x:c r="Y90" s="226"/>
      <x:c r="Z90" s="226"/>
    </x:row>
    <x:row r="91">
      <x:c r="A91" s="226"/>
      <x:c r="B91" s="226"/>
      <x:c r="C91" s="226"/>
      <x:c r="D91" s="226"/>
      <x:c r="E91" s="226"/>
      <x:c r="F91" s="226"/>
      <x:c r="G91" s="226"/>
      <x:c r="H91" s="226"/>
      <x:c r="I91" s="226"/>
      <x:c r="J91" s="226"/>
      <x:c r="K91" s="226"/>
      <x:c r="L91" s="226"/>
      <x:c r="M91" s="226"/>
      <x:c r="N91" s="226"/>
      <x:c r="O91" s="226"/>
      <x:c r="P91" s="226"/>
      <x:c r="Q91" s="226"/>
      <x:c r="R91" s="226"/>
      <x:c r="S91" s="226"/>
      <x:c r="T91" s="226"/>
      <x:c r="U91" s="226"/>
      <x:c r="V91" s="226"/>
      <x:c r="W91" s="226"/>
      <x:c r="X91" s="226"/>
      <x:c r="Y91" s="226"/>
      <x:c r="Z91" s="226"/>
    </x:row>
    <x:row r="92">
      <x:c r="A92" s="226"/>
      <x:c r="B92" s="226"/>
      <x:c r="C92" s="226"/>
      <x:c r="D92" s="226"/>
      <x:c r="E92" s="226"/>
      <x:c r="F92" s="226"/>
      <x:c r="G92" s="226"/>
      <x:c r="H92" s="226"/>
      <x:c r="I92" s="226"/>
      <x:c r="J92" s="226"/>
      <x:c r="K92" s="226"/>
      <x:c r="L92" s="226"/>
      <x:c r="M92" s="226"/>
      <x:c r="N92" s="226"/>
      <x:c r="O92" s="226"/>
      <x:c r="P92" s="226"/>
      <x:c r="Q92" s="226"/>
      <x:c r="R92" s="226"/>
      <x:c r="S92" s="226"/>
      <x:c r="T92" s="226"/>
      <x:c r="U92" s="226"/>
      <x:c r="V92" s="226"/>
      <x:c r="W92" s="226"/>
      <x:c r="X92" s="226"/>
      <x:c r="Y92" s="226"/>
      <x:c r="Z92" s="226"/>
    </x:row>
    <x:row r="93">
      <x:c r="A93" s="226"/>
      <x:c r="B93" s="226"/>
      <x:c r="C93" s="226"/>
      <x:c r="D93" s="226"/>
      <x:c r="E93" s="226"/>
      <x:c r="F93" s="226"/>
      <x:c r="G93" s="226"/>
      <x:c r="H93" s="226"/>
      <x:c r="I93" s="226"/>
      <x:c r="J93" s="226"/>
      <x:c r="K93" s="226"/>
      <x:c r="L93" s="226"/>
      <x:c r="M93" s="226"/>
      <x:c r="N93" s="226"/>
      <x:c r="O93" s="226"/>
      <x:c r="P93" s="226"/>
      <x:c r="Q93" s="226"/>
      <x:c r="R93" s="226"/>
      <x:c r="S93" s="226"/>
      <x:c r="T93" s="226"/>
      <x:c r="U93" s="226"/>
      <x:c r="V93" s="226"/>
      <x:c r="W93" s="226"/>
      <x:c r="X93" s="226"/>
      <x:c r="Y93" s="226"/>
      <x:c r="Z93" s="226"/>
    </x:row>
    <x:row r="94">
      <x:c r="A94" s="226"/>
      <x:c r="B94" s="226"/>
      <x:c r="C94" s="226"/>
      <x:c r="D94" s="226"/>
      <x:c r="E94" s="226"/>
      <x:c r="F94" s="226"/>
      <x:c r="G94" s="226"/>
      <x:c r="H94" s="226"/>
      <x:c r="I94" s="226"/>
      <x:c r="J94" s="226"/>
      <x:c r="K94" s="226"/>
      <x:c r="L94" s="226"/>
      <x:c r="M94" s="226"/>
      <x:c r="N94" s="226"/>
      <x:c r="O94" s="226"/>
      <x:c r="P94" s="226"/>
      <x:c r="Q94" s="226"/>
      <x:c r="R94" s="226"/>
      <x:c r="S94" s="226"/>
      <x:c r="T94" s="226"/>
      <x:c r="U94" s="226"/>
      <x:c r="V94" s="226"/>
      <x:c r="W94" s="226"/>
      <x:c r="X94" s="226"/>
      <x:c r="Y94" s="226"/>
      <x:c r="Z94" s="226"/>
    </x:row>
    <x:row r="95">
      <x:c r="A95" s="226"/>
      <x:c r="B95" s="226"/>
      <x:c r="C95" s="226"/>
      <x:c r="D95" s="226"/>
      <x:c r="E95" s="226"/>
      <x:c r="F95" s="226"/>
      <x:c r="G95" s="226"/>
      <x:c r="H95" s="226"/>
      <x:c r="I95" s="226"/>
      <x:c r="J95" s="226"/>
      <x:c r="K95" s="226"/>
      <x:c r="L95" s="226"/>
      <x:c r="M95" s="226"/>
      <x:c r="N95" s="226"/>
      <x:c r="O95" s="226"/>
      <x:c r="P95" s="226"/>
      <x:c r="Q95" s="226"/>
      <x:c r="R95" s="226"/>
      <x:c r="S95" s="226"/>
      <x:c r="T95" s="226"/>
      <x:c r="U95" s="226"/>
      <x:c r="V95" s="226"/>
      <x:c r="W95" s="226"/>
      <x:c r="X95" s="226"/>
      <x:c r="Y95" s="226"/>
      <x:c r="Z95" s="226"/>
    </x:row>
    <x:row r="96">
      <x:c r="A96" s="226"/>
      <x:c r="B96" s="226"/>
      <x:c r="C96" s="226"/>
      <x:c r="D96" s="226"/>
      <x:c r="E96" s="226"/>
      <x:c r="F96" s="226"/>
      <x:c r="G96" s="226"/>
      <x:c r="H96" s="226"/>
      <x:c r="I96" s="226"/>
      <x:c r="J96" s="226"/>
      <x:c r="K96" s="226"/>
      <x:c r="L96" s="226"/>
      <x:c r="M96" s="226"/>
      <x:c r="N96" s="226"/>
      <x:c r="O96" s="226"/>
      <x:c r="P96" s="226"/>
      <x:c r="Q96" s="226"/>
      <x:c r="R96" s="226"/>
      <x:c r="S96" s="226"/>
      <x:c r="T96" s="226"/>
      <x:c r="U96" s="226"/>
      <x:c r="V96" s="226"/>
      <x:c r="W96" s="226"/>
      <x:c r="X96" s="226"/>
      <x:c r="Y96" s="226"/>
      <x:c r="Z96" s="226"/>
    </x:row>
    <x:row r="97">
      <x:c r="A97" s="226"/>
      <x:c r="B97" s="226"/>
      <x:c r="C97" s="226"/>
      <x:c r="D97" s="226"/>
      <x:c r="E97" s="226"/>
      <x:c r="F97" s="226"/>
      <x:c r="G97" s="226"/>
      <x:c r="H97" s="226"/>
      <x:c r="I97" s="226"/>
      <x:c r="J97" s="226"/>
      <x:c r="K97" s="226"/>
      <x:c r="L97" s="226"/>
      <x:c r="M97" s="226"/>
      <x:c r="N97" s="226"/>
      <x:c r="O97" s="226"/>
      <x:c r="P97" s="226"/>
      <x:c r="Q97" s="226"/>
      <x:c r="R97" s="226"/>
      <x:c r="S97" s="226"/>
      <x:c r="T97" s="226"/>
      <x:c r="U97" s="226"/>
      <x:c r="V97" s="226"/>
      <x:c r="W97" s="226"/>
      <x:c r="X97" s="226"/>
      <x:c r="Y97" s="226"/>
      <x:c r="Z97" s="226"/>
    </x:row>
    <x:row r="98">
      <x:c r="A98" s="226"/>
      <x:c r="B98" s="226"/>
      <x:c r="C98" s="226"/>
      <x:c r="D98" s="226"/>
      <x:c r="E98" s="226"/>
      <x:c r="F98" s="226"/>
      <x:c r="G98" s="226"/>
      <x:c r="H98" s="226"/>
      <x:c r="I98" s="226"/>
      <x:c r="J98" s="226"/>
      <x:c r="K98" s="226"/>
      <x:c r="L98" s="226"/>
      <x:c r="M98" s="226"/>
      <x:c r="N98" s="226"/>
      <x:c r="O98" s="226"/>
      <x:c r="P98" s="226"/>
      <x:c r="Q98" s="226"/>
      <x:c r="R98" s="226"/>
      <x:c r="S98" s="226"/>
      <x:c r="T98" s="226"/>
      <x:c r="U98" s="226"/>
      <x:c r="V98" s="226"/>
      <x:c r="W98" s="226"/>
      <x:c r="X98" s="226"/>
      <x:c r="Y98" s="226"/>
      <x:c r="Z98" s="226"/>
    </x:row>
    <x:row r="99">
      <x:c r="A99" s="226"/>
      <x:c r="B99" s="226"/>
      <x:c r="C99" s="226"/>
      <x:c r="D99" s="226"/>
      <x:c r="E99" s="226"/>
      <x:c r="F99" s="226"/>
      <x:c r="G99" s="226"/>
      <x:c r="H99" s="226"/>
      <x:c r="I99" s="226"/>
      <x:c r="J99" s="226"/>
      <x:c r="K99" s="226"/>
      <x:c r="L99" s="226"/>
      <x:c r="M99" s="226"/>
      <x:c r="N99" s="226"/>
      <x:c r="O99" s="226"/>
      <x:c r="P99" s="226"/>
      <x:c r="Q99" s="226"/>
      <x:c r="R99" s="226"/>
      <x:c r="S99" s="226"/>
      <x:c r="T99" s="226"/>
      <x:c r="U99" s="226"/>
      <x:c r="V99" s="226"/>
      <x:c r="W99" s="226"/>
      <x:c r="X99" s="226"/>
      <x:c r="Y99" s="226"/>
      <x:c r="Z99" s="226"/>
    </x:row>
    <x:row r="100">
      <x:c r="A100" s="226"/>
      <x:c r="B100" s="226"/>
      <x:c r="C100" s="226"/>
      <x:c r="D100" s="226"/>
      <x:c r="E100" s="226"/>
      <x:c r="F100" s="226"/>
      <x:c r="G100" s="226"/>
      <x:c r="H100" s="226"/>
      <x:c r="I100" s="226"/>
      <x:c r="J100" s="226"/>
      <x:c r="K100" s="226"/>
      <x:c r="L100" s="226"/>
      <x:c r="M100" s="226"/>
      <x:c r="N100" s="226"/>
      <x:c r="O100" s="226"/>
      <x:c r="P100" s="226"/>
      <x:c r="Q100" s="226"/>
      <x:c r="R100" s="226"/>
      <x:c r="S100" s="226"/>
      <x:c r="T100" s="226"/>
      <x:c r="U100" s="226"/>
      <x:c r="V100" s="226"/>
      <x:c r="W100" s="226"/>
      <x:c r="X100" s="226"/>
      <x:c r="Y100" s="226"/>
      <x:c r="Z100" s="226"/>
    </x:row>
    <x:row r="101">
      <x:c r="A101" s="226"/>
      <x:c r="B101" s="226"/>
      <x:c r="C101" s="226"/>
      <x:c r="D101" s="226"/>
      <x:c r="E101" s="226"/>
      <x:c r="F101" s="226"/>
      <x:c r="G101" s="226"/>
      <x:c r="H101" s="226"/>
      <x:c r="I101" s="226"/>
      <x:c r="J101" s="226"/>
      <x:c r="K101" s="226"/>
      <x:c r="L101" s="226"/>
      <x:c r="M101" s="226"/>
      <x:c r="N101" s="226"/>
      <x:c r="O101" s="226"/>
      <x:c r="P101" s="226"/>
      <x:c r="Q101" s="226"/>
      <x:c r="R101" s="226"/>
      <x:c r="S101" s="226"/>
      <x:c r="T101" s="226"/>
      <x:c r="U101" s="226"/>
      <x:c r="V101" s="226"/>
      <x:c r="W101" s="226"/>
      <x:c r="X101" s="226"/>
      <x:c r="Y101" s="226"/>
      <x:c r="Z101" s="226"/>
    </x:row>
    <x:row r="102">
      <x:c r="A102" s="226"/>
      <x:c r="B102" s="226"/>
      <x:c r="C102" s="226"/>
      <x:c r="D102" s="226"/>
      <x:c r="E102" s="226"/>
      <x:c r="F102" s="226"/>
      <x:c r="G102" s="226"/>
      <x:c r="H102" s="226"/>
      <x:c r="I102" s="226"/>
      <x:c r="J102" s="226"/>
      <x:c r="K102" s="226"/>
      <x:c r="L102" s="226"/>
      <x:c r="M102" s="226"/>
      <x:c r="N102" s="226"/>
      <x:c r="O102" s="226"/>
      <x:c r="P102" s="226"/>
      <x:c r="Q102" s="226"/>
      <x:c r="R102" s="226"/>
      <x:c r="S102" s="226"/>
      <x:c r="T102" s="226"/>
      <x:c r="U102" s="226"/>
      <x:c r="V102" s="226"/>
      <x:c r="W102" s="226"/>
      <x:c r="X102" s="226"/>
      <x:c r="Y102" s="226"/>
      <x:c r="Z102" s="226"/>
    </x:row>
    <x:row r="103">
      <x:c r="A103" s="226"/>
      <x:c r="B103" s="226"/>
      <x:c r="C103" s="226"/>
      <x:c r="D103" s="226"/>
      <x:c r="E103" s="226"/>
      <x:c r="F103" s="226"/>
      <x:c r="G103" s="226"/>
      <x:c r="H103" s="226"/>
      <x:c r="I103" s="226"/>
      <x:c r="J103" s="226"/>
      <x:c r="K103" s="226"/>
      <x:c r="L103" s="226"/>
      <x:c r="M103" s="226"/>
      <x:c r="N103" s="226"/>
      <x:c r="O103" s="226"/>
      <x:c r="P103" s="226"/>
      <x:c r="Q103" s="226"/>
      <x:c r="R103" s="226"/>
      <x:c r="S103" s="226"/>
      <x:c r="T103" s="226"/>
      <x:c r="U103" s="226"/>
      <x:c r="V103" s="226"/>
      <x:c r="W103" s="226"/>
      <x:c r="X103" s="226"/>
      <x:c r="Y103" s="226"/>
      <x:c r="Z103" s="226"/>
    </x:row>
    <x:row r="104">
      <x:c r="A104" s="226"/>
      <x:c r="B104" s="226"/>
      <x:c r="C104" s="226"/>
      <x:c r="D104" s="226"/>
      <x:c r="E104" s="226"/>
      <x:c r="F104" s="226"/>
      <x:c r="G104" s="226"/>
      <x:c r="H104" s="226"/>
      <x:c r="I104" s="226"/>
      <x:c r="J104" s="226"/>
      <x:c r="K104" s="226"/>
      <x:c r="L104" s="226"/>
      <x:c r="M104" s="226"/>
      <x:c r="N104" s="226"/>
      <x:c r="O104" s="226"/>
      <x:c r="P104" s="226"/>
      <x:c r="Q104" s="226"/>
      <x:c r="R104" s="226"/>
      <x:c r="S104" s="226"/>
      <x:c r="T104" s="226"/>
      <x:c r="U104" s="226"/>
      <x:c r="V104" s="226"/>
      <x:c r="W104" s="226"/>
      <x:c r="X104" s="226"/>
      <x:c r="Y104" s="226"/>
      <x:c r="Z104" s="226"/>
    </x:row>
    <x:row r="105">
      <x:c r="A105" s="226"/>
      <x:c r="B105" s="226"/>
      <x:c r="C105" s="226"/>
      <x:c r="D105" s="226"/>
      <x:c r="E105" s="226"/>
      <x:c r="F105" s="226"/>
      <x:c r="G105" s="226"/>
      <x:c r="H105" s="226"/>
      <x:c r="I105" s="226"/>
      <x:c r="J105" s="226"/>
      <x:c r="K105" s="226"/>
      <x:c r="L105" s="226"/>
      <x:c r="M105" s="226"/>
      <x:c r="N105" s="226"/>
      <x:c r="O105" s="226"/>
      <x:c r="P105" s="226"/>
      <x:c r="Q105" s="226"/>
      <x:c r="R105" s="226"/>
      <x:c r="S105" s="226"/>
      <x:c r="T105" s="226"/>
      <x:c r="U105" s="226"/>
      <x:c r="V105" s="226"/>
      <x:c r="W105" s="226"/>
      <x:c r="X105" s="226"/>
      <x:c r="Y105" s="226"/>
      <x:c r="Z105" s="226"/>
    </x:row>
    <x:row r="106">
      <x:c r="A106" s="226"/>
      <x:c r="B106" s="226"/>
      <x:c r="C106" s="226"/>
      <x:c r="D106" s="226"/>
      <x:c r="E106" s="226"/>
      <x:c r="F106" s="226"/>
      <x:c r="G106" s="226"/>
      <x:c r="H106" s="226"/>
      <x:c r="I106" s="226"/>
      <x:c r="J106" s="226"/>
      <x:c r="K106" s="226"/>
      <x:c r="L106" s="226"/>
      <x:c r="M106" s="226"/>
      <x:c r="N106" s="226"/>
      <x:c r="O106" s="226"/>
      <x:c r="P106" s="226"/>
      <x:c r="Q106" s="226"/>
      <x:c r="R106" s="226"/>
      <x:c r="S106" s="226"/>
      <x:c r="T106" s="226"/>
      <x:c r="U106" s="226"/>
      <x:c r="V106" s="226"/>
      <x:c r="W106" s="226"/>
      <x:c r="X106" s="226"/>
      <x:c r="Y106" s="226"/>
      <x:c r="Z106" s="226"/>
    </x:row>
    <x:row r="107">
      <x:c r="A107" s="226"/>
      <x:c r="B107" s="226"/>
      <x:c r="C107" s="226"/>
      <x:c r="D107" s="226"/>
      <x:c r="E107" s="226"/>
      <x:c r="F107" s="226"/>
      <x:c r="G107" s="226"/>
      <x:c r="H107" s="226"/>
      <x:c r="I107" s="226"/>
      <x:c r="J107" s="226"/>
      <x:c r="K107" s="226"/>
      <x:c r="L107" s="226"/>
      <x:c r="M107" s="226"/>
      <x:c r="N107" s="226"/>
      <x:c r="O107" s="226"/>
      <x:c r="P107" s="226"/>
      <x:c r="Q107" s="226"/>
      <x:c r="R107" s="226"/>
      <x:c r="S107" s="226"/>
      <x:c r="T107" s="226"/>
      <x:c r="U107" s="226"/>
      <x:c r="V107" s="226"/>
      <x:c r="W107" s="226"/>
      <x:c r="X107" s="226"/>
      <x:c r="Y107" s="226"/>
      <x:c r="Z107" s="226"/>
    </x:row>
    <x:row r="108">
      <x:c r="A108" s="226"/>
      <x:c r="B108" s="226"/>
      <x:c r="C108" s="226"/>
      <x:c r="D108" s="226"/>
      <x:c r="E108" s="226"/>
      <x:c r="F108" s="226"/>
      <x:c r="G108" s="226"/>
      <x:c r="H108" s="226"/>
      <x:c r="I108" s="226"/>
      <x:c r="J108" s="226"/>
      <x:c r="K108" s="226"/>
      <x:c r="L108" s="226"/>
      <x:c r="M108" s="226"/>
      <x:c r="N108" s="226"/>
      <x:c r="O108" s="226"/>
      <x:c r="P108" s="226"/>
      <x:c r="Q108" s="226"/>
      <x:c r="R108" s="226"/>
      <x:c r="S108" s="226"/>
      <x:c r="T108" s="226"/>
      <x:c r="U108" s="226"/>
      <x:c r="V108" s="226"/>
      <x:c r="W108" s="226"/>
      <x:c r="X108" s="226"/>
      <x:c r="Y108" s="226"/>
      <x:c r="Z108" s="226"/>
    </x:row>
    <x:row r="109">
      <x:c r="A109" s="226"/>
      <x:c r="B109" s="226"/>
      <x:c r="C109" s="226"/>
      <x:c r="D109" s="226"/>
      <x:c r="E109" s="226"/>
      <x:c r="F109" s="226"/>
      <x:c r="G109" s="226"/>
      <x:c r="H109" s="226"/>
      <x:c r="I109" s="226"/>
      <x:c r="J109" s="226"/>
      <x:c r="K109" s="226"/>
      <x:c r="L109" s="226"/>
      <x:c r="M109" s="226"/>
      <x:c r="N109" s="226"/>
      <x:c r="O109" s="226"/>
      <x:c r="P109" s="226"/>
      <x:c r="Q109" s="226"/>
      <x:c r="R109" s="226"/>
      <x:c r="S109" s="226"/>
      <x:c r="T109" s="226"/>
      <x:c r="U109" s="226"/>
      <x:c r="V109" s="226"/>
      <x:c r="W109" s="226"/>
      <x:c r="X109" s="226"/>
      <x:c r="Y109" s="226"/>
      <x:c r="Z109" s="226"/>
    </x:row>
    <x:row r="110">
      <x:c r="A110" s="226"/>
      <x:c r="B110" s="226"/>
      <x:c r="C110" s="226"/>
      <x:c r="D110" s="226"/>
      <x:c r="E110" s="226"/>
      <x:c r="F110" s="226"/>
      <x:c r="G110" s="226"/>
      <x:c r="H110" s="226"/>
      <x:c r="I110" s="226"/>
      <x:c r="J110" s="226"/>
      <x:c r="K110" s="226"/>
      <x:c r="L110" s="226"/>
      <x:c r="M110" s="226"/>
      <x:c r="N110" s="226"/>
      <x:c r="O110" s="226"/>
      <x:c r="P110" s="226"/>
      <x:c r="Q110" s="226"/>
      <x:c r="R110" s="226"/>
      <x:c r="S110" s="226"/>
      <x:c r="T110" s="226"/>
      <x:c r="U110" s="226"/>
      <x:c r="V110" s="226"/>
      <x:c r="W110" s="226"/>
      <x:c r="X110" s="226"/>
      <x:c r="Y110" s="226"/>
      <x:c r="Z110" s="226"/>
    </x:row>
    <x:row r="111">
      <x:c r="A111" s="226"/>
      <x:c r="B111" s="226"/>
      <x:c r="C111" s="226"/>
      <x:c r="D111" s="226"/>
      <x:c r="E111" s="226"/>
      <x:c r="F111" s="226"/>
      <x:c r="G111" s="226"/>
      <x:c r="H111" s="226"/>
      <x:c r="I111" s="226"/>
      <x:c r="J111" s="226"/>
      <x:c r="K111" s="226"/>
      <x:c r="L111" s="226"/>
      <x:c r="M111" s="226"/>
      <x:c r="N111" s="226"/>
      <x:c r="O111" s="226"/>
      <x:c r="P111" s="226"/>
      <x:c r="Q111" s="226"/>
      <x:c r="R111" s="226"/>
      <x:c r="S111" s="226"/>
      <x:c r="T111" s="226"/>
      <x:c r="U111" s="226"/>
      <x:c r="V111" s="226"/>
      <x:c r="W111" s="226"/>
      <x:c r="X111" s="226"/>
      <x:c r="Y111" s="226"/>
      <x:c r="Z111" s="226"/>
    </x:row>
    <x:row r="112">
      <x:c r="A112" s="226"/>
      <x:c r="B112" s="226"/>
      <x:c r="C112" s="226"/>
      <x:c r="D112" s="226"/>
      <x:c r="E112" s="226"/>
      <x:c r="F112" s="226"/>
      <x:c r="G112" s="226"/>
      <x:c r="H112" s="226"/>
      <x:c r="I112" s="226"/>
      <x:c r="J112" s="226"/>
      <x:c r="K112" s="226"/>
      <x:c r="L112" s="226"/>
      <x:c r="M112" s="226"/>
      <x:c r="N112" s="226"/>
      <x:c r="O112" s="226"/>
      <x:c r="P112" s="226"/>
      <x:c r="Q112" s="226"/>
      <x:c r="R112" s="226"/>
      <x:c r="S112" s="226"/>
      <x:c r="T112" s="226"/>
      <x:c r="U112" s="226"/>
      <x:c r="V112" s="226"/>
      <x:c r="W112" s="226"/>
      <x:c r="X112" s="226"/>
      <x:c r="Y112" s="226"/>
      <x:c r="Z112" s="226"/>
    </x:row>
    <x:row r="113">
      <x:c r="A113" s="226"/>
      <x:c r="B113" s="226"/>
      <x:c r="C113" s="226"/>
      <x:c r="D113" s="226"/>
      <x:c r="E113" s="226"/>
      <x:c r="F113" s="226"/>
      <x:c r="G113" s="226"/>
      <x:c r="H113" s="226"/>
      <x:c r="I113" s="226"/>
      <x:c r="J113" s="226"/>
      <x:c r="K113" s="226"/>
      <x:c r="L113" s="226"/>
      <x:c r="M113" s="226"/>
      <x:c r="N113" s="226"/>
      <x:c r="O113" s="226"/>
      <x:c r="P113" s="226"/>
      <x:c r="Q113" s="226"/>
      <x:c r="R113" s="226"/>
      <x:c r="S113" s="226"/>
      <x:c r="T113" s="226"/>
      <x:c r="U113" s="226"/>
      <x:c r="V113" s="226"/>
      <x:c r="W113" s="226"/>
      <x:c r="X113" s="226"/>
      <x:c r="Y113" s="226"/>
      <x:c r="Z113" s="226"/>
    </x:row>
    <x:row r="114">
      <x:c r="A114" s="226"/>
      <x:c r="B114" s="226"/>
      <x:c r="C114" s="226"/>
      <x:c r="D114" s="226"/>
      <x:c r="E114" s="226"/>
      <x:c r="F114" s="226"/>
      <x:c r="G114" s="226"/>
      <x:c r="H114" s="226"/>
      <x:c r="I114" s="226"/>
      <x:c r="J114" s="226"/>
      <x:c r="K114" s="226"/>
      <x:c r="L114" s="226"/>
      <x:c r="M114" s="226"/>
      <x:c r="N114" s="226"/>
      <x:c r="O114" s="226"/>
      <x:c r="P114" s="226"/>
      <x:c r="Q114" s="226"/>
      <x:c r="R114" s="226"/>
      <x:c r="S114" s="226"/>
      <x:c r="T114" s="226"/>
      <x:c r="U114" s="226"/>
      <x:c r="V114" s="226"/>
      <x:c r="W114" s="226"/>
      <x:c r="X114" s="226"/>
      <x:c r="Y114" s="226"/>
      <x:c r="Z114" s="226"/>
    </x:row>
    <x:row r="115">
      <x:c r="A115" s="226"/>
      <x:c r="B115" s="226"/>
      <x:c r="C115" s="226"/>
      <x:c r="D115" s="226"/>
      <x:c r="E115" s="226"/>
      <x:c r="F115" s="226"/>
      <x:c r="G115" s="226"/>
      <x:c r="H115" s="226"/>
      <x:c r="I115" s="226"/>
      <x:c r="J115" s="226"/>
      <x:c r="K115" s="226"/>
      <x:c r="L115" s="226"/>
      <x:c r="M115" s="226"/>
      <x:c r="N115" s="226"/>
      <x:c r="O115" s="226"/>
      <x:c r="P115" s="226"/>
      <x:c r="Q115" s="226"/>
      <x:c r="R115" s="226"/>
      <x:c r="S115" s="226"/>
      <x:c r="T115" s="226"/>
      <x:c r="U115" s="226"/>
      <x:c r="V115" s="226"/>
      <x:c r="W115" s="226"/>
      <x:c r="X115" s="226"/>
      <x:c r="Y115" s="226"/>
      <x:c r="Z115" s="226"/>
    </x:row>
    <x:row r="116">
      <x:c r="A116" s="226"/>
      <x:c r="B116" s="226"/>
      <x:c r="C116" s="226"/>
      <x:c r="D116" s="226"/>
      <x:c r="E116" s="226"/>
      <x:c r="F116" s="226"/>
      <x:c r="G116" s="226"/>
      <x:c r="H116" s="226"/>
      <x:c r="I116" s="226"/>
      <x:c r="J116" s="226"/>
      <x:c r="K116" s="226"/>
      <x:c r="L116" s="226"/>
      <x:c r="M116" s="226"/>
      <x:c r="N116" s="226"/>
      <x:c r="O116" s="226"/>
      <x:c r="P116" s="226"/>
      <x:c r="Q116" s="226"/>
      <x:c r="R116" s="226"/>
      <x:c r="S116" s="226"/>
      <x:c r="T116" s="226"/>
      <x:c r="U116" s="226"/>
      <x:c r="V116" s="226"/>
      <x:c r="W116" s="226"/>
      <x:c r="X116" s="226"/>
      <x:c r="Y116" s="226"/>
      <x:c r="Z116" s="226"/>
    </x:row>
    <x:row r="117">
      <x:c r="A117" s="226"/>
      <x:c r="B117" s="226"/>
      <x:c r="C117" s="226"/>
      <x:c r="D117" s="226"/>
      <x:c r="E117" s="226"/>
      <x:c r="F117" s="226"/>
      <x:c r="G117" s="226"/>
      <x:c r="H117" s="226"/>
      <x:c r="I117" s="226"/>
      <x:c r="J117" s="226"/>
      <x:c r="K117" s="226"/>
      <x:c r="L117" s="226"/>
      <x:c r="M117" s="226"/>
      <x:c r="N117" s="226"/>
      <x:c r="O117" s="226"/>
      <x:c r="P117" s="226"/>
      <x:c r="Q117" s="226"/>
      <x:c r="R117" s="226"/>
      <x:c r="S117" s="226"/>
      <x:c r="T117" s="226"/>
      <x:c r="U117" s="226"/>
      <x:c r="V117" s="226"/>
      <x:c r="W117" s="226"/>
      <x:c r="X117" s="226"/>
      <x:c r="Y117" s="226"/>
      <x:c r="Z117" s="226"/>
    </x:row>
    <x:row r="118">
      <x:c r="A118" s="226"/>
      <x:c r="B118" s="226"/>
      <x:c r="C118" s="226"/>
      <x:c r="D118" s="226"/>
      <x:c r="E118" s="226"/>
      <x:c r="F118" s="226"/>
      <x:c r="G118" s="226"/>
      <x:c r="H118" s="226"/>
      <x:c r="I118" s="226"/>
      <x:c r="J118" s="226"/>
      <x:c r="K118" s="226"/>
      <x:c r="L118" s="226"/>
      <x:c r="M118" s="226"/>
      <x:c r="N118" s="226"/>
      <x:c r="O118" s="226"/>
      <x:c r="P118" s="226"/>
      <x:c r="Q118" s="226"/>
      <x:c r="R118" s="226"/>
      <x:c r="S118" s="226"/>
      <x:c r="T118" s="226"/>
      <x:c r="U118" s="226"/>
      <x:c r="V118" s="226"/>
      <x:c r="W118" s="226"/>
      <x:c r="X118" s="226"/>
      <x:c r="Y118" s="226"/>
      <x:c r="Z118" s="226"/>
    </x:row>
    <x:row r="119">
      <x:c r="A119" s="226"/>
      <x:c r="B119" s="226"/>
      <x:c r="C119" s="226"/>
      <x:c r="D119" s="226"/>
      <x:c r="E119" s="226"/>
      <x:c r="F119" s="226"/>
      <x:c r="G119" s="226"/>
      <x:c r="H119" s="226"/>
      <x:c r="I119" s="226"/>
      <x:c r="J119" s="226"/>
      <x:c r="K119" s="226"/>
      <x:c r="L119" s="226"/>
      <x:c r="M119" s="226"/>
      <x:c r="N119" s="226"/>
      <x:c r="O119" s="226"/>
      <x:c r="P119" s="226"/>
      <x:c r="Q119" s="226"/>
      <x:c r="R119" s="226"/>
      <x:c r="S119" s="226"/>
      <x:c r="T119" s="226"/>
      <x:c r="U119" s="226"/>
      <x:c r="V119" s="226"/>
      <x:c r="W119" s="226"/>
      <x:c r="X119" s="226"/>
      <x:c r="Y119" s="226"/>
      <x:c r="Z119" s="226"/>
    </x:row>
    <x:row r="120">
      <x:c r="A120" s="226"/>
      <x:c r="B120" s="226"/>
      <x:c r="C120" s="226"/>
      <x:c r="D120" s="226"/>
      <x:c r="E120" s="226"/>
      <x:c r="F120" s="226"/>
      <x:c r="G120" s="226"/>
      <x:c r="H120" s="226"/>
      <x:c r="I120" s="226"/>
      <x:c r="J120" s="226"/>
      <x:c r="K120" s="226"/>
      <x:c r="L120" s="226"/>
      <x:c r="M120" s="226"/>
      <x:c r="N120" s="226"/>
      <x:c r="O120" s="226"/>
      <x:c r="P120" s="226"/>
      <x:c r="Q120" s="226"/>
      <x:c r="R120" s="226"/>
      <x:c r="S120" s="226"/>
      <x:c r="T120" s="226"/>
      <x:c r="U120" s="226"/>
      <x:c r="V120" s="226"/>
      <x:c r="W120" s="226"/>
      <x:c r="X120" s="226"/>
      <x:c r="Y120" s="226"/>
      <x:c r="Z120" s="226"/>
    </x:row>
    <x:row r="121">
      <x:c r="A121" s="226"/>
      <x:c r="B121" s="226"/>
      <x:c r="C121" s="226"/>
      <x:c r="D121" s="226"/>
      <x:c r="E121" s="226"/>
      <x:c r="F121" s="226"/>
      <x:c r="G121" s="226"/>
      <x:c r="H121" s="226"/>
      <x:c r="I121" s="226"/>
      <x:c r="J121" s="226"/>
      <x:c r="K121" s="226"/>
      <x:c r="L121" s="226"/>
      <x:c r="M121" s="226"/>
      <x:c r="N121" s="226"/>
      <x:c r="O121" s="226"/>
      <x:c r="P121" s="226"/>
      <x:c r="Q121" s="226"/>
      <x:c r="R121" s="226"/>
      <x:c r="S121" s="226"/>
      <x:c r="T121" s="226"/>
      <x:c r="U121" s="226"/>
      <x:c r="V121" s="226"/>
      <x:c r="W121" s="226"/>
      <x:c r="X121" s="226"/>
      <x:c r="Y121" s="226"/>
      <x:c r="Z121" s="226"/>
    </x:row>
    <x:row r="122">
      <x:c r="A122" s="226"/>
      <x:c r="B122" s="226"/>
      <x:c r="C122" s="226"/>
      <x:c r="D122" s="226"/>
      <x:c r="E122" s="226"/>
      <x:c r="F122" s="226"/>
      <x:c r="G122" s="226"/>
      <x:c r="H122" s="226"/>
      <x:c r="I122" s="226"/>
      <x:c r="J122" s="226"/>
      <x:c r="K122" s="226"/>
      <x:c r="L122" s="226"/>
      <x:c r="M122" s="226"/>
      <x:c r="N122" s="226"/>
      <x:c r="O122" s="226"/>
      <x:c r="P122" s="226"/>
      <x:c r="Q122" s="226"/>
      <x:c r="R122" s="226"/>
      <x:c r="S122" s="226"/>
      <x:c r="T122" s="226"/>
      <x:c r="U122" s="226"/>
      <x:c r="V122" s="226"/>
      <x:c r="W122" s="226"/>
      <x:c r="X122" s="226"/>
      <x:c r="Y122" s="226"/>
      <x:c r="Z122" s="226"/>
    </x:row>
    <x:row r="123">
      <x:c r="A123" s="226"/>
      <x:c r="B123" s="226"/>
      <x:c r="C123" s="226"/>
      <x:c r="D123" s="226"/>
      <x:c r="E123" s="226"/>
      <x:c r="F123" s="226"/>
      <x:c r="G123" s="226"/>
      <x:c r="H123" s="226"/>
      <x:c r="I123" s="226"/>
      <x:c r="J123" s="226"/>
      <x:c r="K123" s="226"/>
      <x:c r="L123" s="226"/>
      <x:c r="M123" s="226"/>
      <x:c r="N123" s="226"/>
      <x:c r="O123" s="226"/>
      <x:c r="P123" s="226"/>
      <x:c r="Q123" s="226"/>
      <x:c r="R123" s="226"/>
      <x:c r="S123" s="226"/>
      <x:c r="T123" s="226"/>
      <x:c r="U123" s="226"/>
      <x:c r="V123" s="226"/>
      <x:c r="W123" s="226"/>
      <x:c r="X123" s="226"/>
      <x:c r="Y123" s="226"/>
      <x:c r="Z123" s="226"/>
    </x:row>
    <x:row r="124">
      <x:c r="A124" s="226"/>
      <x:c r="B124" s="226"/>
      <x:c r="C124" s="226"/>
      <x:c r="D124" s="226"/>
      <x:c r="E124" s="226"/>
      <x:c r="F124" s="226"/>
      <x:c r="G124" s="226"/>
      <x:c r="H124" s="226"/>
      <x:c r="I124" s="226"/>
      <x:c r="J124" s="226"/>
      <x:c r="K124" s="226"/>
      <x:c r="L124" s="226"/>
      <x:c r="M124" s="226"/>
      <x:c r="N124" s="226"/>
      <x:c r="O124" s="226"/>
      <x:c r="P124" s="226"/>
      <x:c r="Q124" s="226"/>
      <x:c r="R124" s="226"/>
      <x:c r="S124" s="226"/>
      <x:c r="T124" s="226"/>
      <x:c r="U124" s="226"/>
      <x:c r="V124" s="226"/>
      <x:c r="W124" s="226"/>
      <x:c r="X124" s="226"/>
      <x:c r="Y124" s="226"/>
      <x:c r="Z124" s="226"/>
    </x:row>
    <x:row r="125">
      <x:c r="A125" s="226"/>
      <x:c r="B125" s="226"/>
      <x:c r="C125" s="226"/>
      <x:c r="D125" s="226"/>
      <x:c r="E125" s="226"/>
      <x:c r="F125" s="226"/>
      <x:c r="G125" s="226"/>
      <x:c r="H125" s="226"/>
      <x:c r="I125" s="226"/>
      <x:c r="J125" s="226"/>
      <x:c r="K125" s="226"/>
      <x:c r="L125" s="226"/>
      <x:c r="M125" s="226"/>
      <x:c r="N125" s="226"/>
      <x:c r="O125" s="226"/>
      <x:c r="P125" s="226"/>
      <x:c r="Q125" s="226"/>
      <x:c r="R125" s="226"/>
      <x:c r="S125" s="226"/>
      <x:c r="T125" s="226"/>
      <x:c r="U125" s="226"/>
      <x:c r="V125" s="226"/>
      <x:c r="W125" s="226"/>
      <x:c r="X125" s="226"/>
      <x:c r="Y125" s="226"/>
      <x:c r="Z125" s="226"/>
    </x:row>
    <x:row r="126">
      <x:c r="A126" s="226"/>
      <x:c r="B126" s="226"/>
      <x:c r="C126" s="226"/>
      <x:c r="D126" s="226"/>
      <x:c r="E126" s="226"/>
      <x:c r="F126" s="226"/>
      <x:c r="G126" s="226"/>
      <x:c r="H126" s="226"/>
      <x:c r="I126" s="226"/>
      <x:c r="J126" s="226"/>
      <x:c r="K126" s="226"/>
      <x:c r="L126" s="226"/>
      <x:c r="M126" s="226"/>
      <x:c r="N126" s="226"/>
      <x:c r="O126" s="226"/>
      <x:c r="P126" s="226"/>
      <x:c r="Q126" s="226"/>
      <x:c r="R126" s="226"/>
      <x:c r="S126" s="226"/>
      <x:c r="T126" s="226"/>
      <x:c r="U126" s="226"/>
      <x:c r="V126" s="226"/>
      <x:c r="W126" s="226"/>
      <x:c r="X126" s="226"/>
      <x:c r="Y126" s="226"/>
      <x:c r="Z126" s="226"/>
    </x:row>
    <x:row r="127">
      <x:c r="A127" s="226"/>
      <x:c r="B127" s="226"/>
      <x:c r="C127" s="226"/>
      <x:c r="D127" s="226"/>
      <x:c r="E127" s="226"/>
      <x:c r="F127" s="226"/>
      <x:c r="G127" s="226"/>
      <x:c r="H127" s="226"/>
      <x:c r="I127" s="226"/>
      <x:c r="J127" s="226"/>
      <x:c r="K127" s="226"/>
      <x:c r="L127" s="226"/>
      <x:c r="M127" s="226"/>
      <x:c r="N127" s="226"/>
      <x:c r="O127" s="226"/>
      <x:c r="P127" s="226"/>
      <x:c r="Q127" s="226"/>
      <x:c r="R127" s="226"/>
      <x:c r="S127" s="226"/>
      <x:c r="T127" s="226"/>
      <x:c r="U127" s="226"/>
      <x:c r="V127" s="226"/>
      <x:c r="W127" s="226"/>
      <x:c r="X127" s="226"/>
      <x:c r="Y127" s="226"/>
      <x:c r="Z127" s="226"/>
    </x:row>
    <x:row r="128">
      <x:c r="A128" s="226"/>
      <x:c r="B128" s="226"/>
      <x:c r="C128" s="226"/>
      <x:c r="D128" s="226"/>
      <x:c r="E128" s="226"/>
      <x:c r="F128" s="226"/>
      <x:c r="G128" s="226"/>
      <x:c r="H128" s="226"/>
      <x:c r="I128" s="226"/>
      <x:c r="J128" s="226"/>
      <x:c r="K128" s="226"/>
      <x:c r="L128" s="226"/>
      <x:c r="M128" s="226"/>
      <x:c r="N128" s="226"/>
      <x:c r="O128" s="226"/>
      <x:c r="P128" s="226"/>
      <x:c r="Q128" s="226"/>
      <x:c r="R128" s="226"/>
      <x:c r="S128" s="226"/>
      <x:c r="T128" s="226"/>
      <x:c r="U128" s="226"/>
      <x:c r="V128" s="226"/>
      <x:c r="W128" s="226"/>
      <x:c r="X128" s="226"/>
      <x:c r="Y128" s="226"/>
      <x:c r="Z128" s="226"/>
    </x:row>
    <x:row r="129">
      <x:c r="A129" s="226"/>
      <x:c r="B129" s="226"/>
      <x:c r="C129" s="226"/>
      <x:c r="D129" s="226"/>
      <x:c r="E129" s="226"/>
      <x:c r="F129" s="226"/>
      <x:c r="G129" s="226"/>
      <x:c r="H129" s="226"/>
      <x:c r="I129" s="226"/>
      <x:c r="J129" s="226"/>
      <x:c r="K129" s="226"/>
      <x:c r="L129" s="226"/>
      <x:c r="M129" s="226"/>
      <x:c r="N129" s="226"/>
      <x:c r="O129" s="226"/>
      <x:c r="P129" s="226"/>
      <x:c r="Q129" s="226"/>
      <x:c r="R129" s="226"/>
      <x:c r="S129" s="226"/>
      <x:c r="T129" s="226"/>
      <x:c r="U129" s="226"/>
      <x:c r="V129" s="226"/>
      <x:c r="W129" s="226"/>
      <x:c r="X129" s="226"/>
      <x:c r="Y129" s="226"/>
      <x:c r="Z129" s="226"/>
    </x:row>
    <x:row r="130">
      <x:c r="A130" s="226"/>
      <x:c r="B130" s="226"/>
      <x:c r="C130" s="226"/>
      <x:c r="D130" s="226"/>
      <x:c r="E130" s="226"/>
      <x:c r="F130" s="226"/>
      <x:c r="G130" s="226"/>
      <x:c r="H130" s="226"/>
      <x:c r="I130" s="226"/>
      <x:c r="J130" s="226"/>
      <x:c r="K130" s="226"/>
      <x:c r="L130" s="226"/>
      <x:c r="M130" s="226"/>
      <x:c r="N130" s="226"/>
      <x:c r="O130" s="226"/>
      <x:c r="P130" s="226"/>
      <x:c r="Q130" s="226"/>
      <x:c r="R130" s="226"/>
      <x:c r="S130" s="226"/>
      <x:c r="T130" s="226"/>
      <x:c r="U130" s="226"/>
      <x:c r="V130" s="226"/>
      <x:c r="W130" s="226"/>
      <x:c r="X130" s="226"/>
      <x:c r="Y130" s="226"/>
      <x:c r="Z130" s="226"/>
    </x:row>
    <x:row r="131">
      <x:c r="A131" s="226"/>
      <x:c r="B131" s="226"/>
      <x:c r="C131" s="226"/>
      <x:c r="D131" s="226"/>
      <x:c r="E131" s="226"/>
      <x:c r="F131" s="226"/>
      <x:c r="G131" s="226"/>
      <x:c r="H131" s="226"/>
      <x:c r="I131" s="226"/>
      <x:c r="J131" s="226"/>
      <x:c r="K131" s="226"/>
      <x:c r="L131" s="226"/>
      <x:c r="M131" s="226"/>
      <x:c r="N131" s="226"/>
      <x:c r="O131" s="226"/>
      <x:c r="P131" s="226"/>
      <x:c r="Q131" s="226"/>
      <x:c r="R131" s="226"/>
      <x:c r="S131" s="226"/>
      <x:c r="T131" s="226"/>
      <x:c r="U131" s="226"/>
      <x:c r="V131" s="226"/>
      <x:c r="W131" s="226"/>
      <x:c r="X131" s="226"/>
      <x:c r="Y131" s="226"/>
      <x:c r="Z131" s="226"/>
    </x:row>
    <x:row r="132">
      <x:c r="A132" s="226"/>
      <x:c r="B132" s="226"/>
      <x:c r="C132" s="226"/>
      <x:c r="D132" s="226"/>
      <x:c r="E132" s="226"/>
      <x:c r="F132" s="226"/>
      <x:c r="G132" s="226"/>
      <x:c r="H132" s="226"/>
      <x:c r="I132" s="226"/>
      <x:c r="J132" s="226"/>
      <x:c r="K132" s="226"/>
      <x:c r="L132" s="226"/>
      <x:c r="M132" s="226"/>
      <x:c r="N132" s="226"/>
      <x:c r="O132" s="226"/>
      <x:c r="P132" s="226"/>
      <x:c r="Q132" s="226"/>
      <x:c r="R132" s="226"/>
      <x:c r="S132" s="226"/>
      <x:c r="T132" s="226"/>
      <x:c r="U132" s="226"/>
      <x:c r="V132" s="226"/>
      <x:c r="W132" s="226"/>
      <x:c r="X132" s="226"/>
      <x:c r="Y132" s="226"/>
      <x:c r="Z132" s="226"/>
    </x:row>
    <x:row r="133">
      <x:c r="A133" s="226"/>
      <x:c r="B133" s="226"/>
      <x:c r="C133" s="226"/>
      <x:c r="D133" s="226"/>
      <x:c r="E133" s="226"/>
      <x:c r="F133" s="226"/>
      <x:c r="G133" s="226"/>
      <x:c r="H133" s="226"/>
      <x:c r="I133" s="226"/>
      <x:c r="J133" s="226"/>
      <x:c r="K133" s="226"/>
      <x:c r="L133" s="226"/>
      <x:c r="M133" s="226"/>
      <x:c r="N133" s="226"/>
      <x:c r="O133" s="226"/>
      <x:c r="P133" s="226"/>
      <x:c r="Q133" s="226"/>
      <x:c r="R133" s="226"/>
      <x:c r="S133" s="226"/>
      <x:c r="T133" s="226"/>
      <x:c r="U133" s="226"/>
      <x:c r="V133" s="226"/>
      <x:c r="W133" s="226"/>
      <x:c r="X133" s="226"/>
      <x:c r="Y133" s="226"/>
      <x:c r="Z133" s="226"/>
    </x:row>
    <x:row r="134">
      <x:c r="A134" s="226"/>
      <x:c r="B134" s="226"/>
      <x:c r="C134" s="226"/>
      <x:c r="D134" s="226"/>
      <x:c r="E134" s="226"/>
      <x:c r="F134" s="226"/>
      <x:c r="G134" s="226"/>
      <x:c r="H134" s="226"/>
      <x:c r="I134" s="226"/>
      <x:c r="J134" s="226"/>
      <x:c r="K134" s="226"/>
      <x:c r="L134" s="226"/>
      <x:c r="M134" s="226"/>
      <x:c r="N134" s="226"/>
      <x:c r="O134" s="226"/>
      <x:c r="P134" s="226"/>
      <x:c r="Q134" s="226"/>
      <x:c r="R134" s="226"/>
      <x:c r="S134" s="226"/>
      <x:c r="T134" s="226"/>
      <x:c r="U134" s="226"/>
      <x:c r="V134" s="226"/>
      <x:c r="W134" s="226"/>
      <x:c r="X134" s="226"/>
      <x:c r="Y134" s="226"/>
      <x:c r="Z134" s="226"/>
    </x:row>
    <x:row r="135">
      <x:c r="A135" s="226"/>
      <x:c r="B135" s="226"/>
      <x:c r="C135" s="226"/>
      <x:c r="D135" s="226"/>
      <x:c r="E135" s="226"/>
      <x:c r="F135" s="226"/>
      <x:c r="G135" s="226"/>
      <x:c r="H135" s="226"/>
      <x:c r="I135" s="226"/>
      <x:c r="J135" s="226"/>
      <x:c r="K135" s="226"/>
      <x:c r="L135" s="226"/>
      <x:c r="M135" s="226"/>
      <x:c r="N135" s="226"/>
      <x:c r="O135" s="226"/>
      <x:c r="P135" s="226"/>
      <x:c r="Q135" s="226"/>
      <x:c r="R135" s="226"/>
      <x:c r="S135" s="226"/>
      <x:c r="T135" s="226"/>
      <x:c r="U135" s="226"/>
      <x:c r="V135" s="226"/>
      <x:c r="W135" s="226"/>
      <x:c r="X135" s="226"/>
      <x:c r="Y135" s="226"/>
      <x:c r="Z135" s="226"/>
    </x:row>
    <x:row r="136">
      <x:c r="A136" s="226"/>
      <x:c r="B136" s="226"/>
      <x:c r="C136" s="226"/>
      <x:c r="D136" s="226"/>
      <x:c r="E136" s="226"/>
      <x:c r="F136" s="226"/>
      <x:c r="G136" s="226"/>
      <x:c r="H136" s="226"/>
      <x:c r="I136" s="226"/>
      <x:c r="J136" s="226"/>
      <x:c r="K136" s="226"/>
      <x:c r="L136" s="226"/>
      <x:c r="M136" s="226"/>
      <x:c r="N136" s="226"/>
      <x:c r="O136" s="226"/>
      <x:c r="P136" s="226"/>
      <x:c r="Q136" s="226"/>
      <x:c r="R136" s="226"/>
      <x:c r="S136" s="226"/>
      <x:c r="T136" s="226"/>
      <x:c r="U136" s="226"/>
      <x:c r="V136" s="226"/>
      <x:c r="W136" s="226"/>
      <x:c r="X136" s="226"/>
      <x:c r="Y136" s="226"/>
      <x:c r="Z136" s="226"/>
    </x:row>
    <x:row r="137">
      <x:c r="A137" s="226"/>
      <x:c r="B137" s="226"/>
      <x:c r="C137" s="226"/>
      <x:c r="D137" s="226"/>
      <x:c r="E137" s="226"/>
      <x:c r="F137" s="226"/>
      <x:c r="G137" s="226"/>
      <x:c r="H137" s="226"/>
      <x:c r="I137" s="226"/>
      <x:c r="J137" s="226"/>
      <x:c r="K137" s="226"/>
      <x:c r="L137" s="226"/>
      <x:c r="M137" s="226"/>
      <x:c r="N137" s="226"/>
      <x:c r="O137" s="226"/>
      <x:c r="P137" s="226"/>
      <x:c r="Q137" s="226"/>
      <x:c r="R137" s="226"/>
      <x:c r="S137" s="226"/>
      <x:c r="T137" s="226"/>
      <x:c r="U137" s="226"/>
      <x:c r="V137" s="226"/>
      <x:c r="W137" s="226"/>
      <x:c r="X137" s="226"/>
      <x:c r="Y137" s="226"/>
      <x:c r="Z137" s="226"/>
    </x:row>
    <x:row r="138">
      <x:c r="A138" s="226"/>
      <x:c r="B138" s="226"/>
      <x:c r="C138" s="226"/>
      <x:c r="D138" s="226"/>
      <x:c r="E138" s="226"/>
      <x:c r="F138" s="226"/>
      <x:c r="G138" s="226"/>
      <x:c r="H138" s="226"/>
      <x:c r="I138" s="226"/>
      <x:c r="J138" s="226"/>
      <x:c r="K138" s="226"/>
      <x:c r="L138" s="226"/>
      <x:c r="M138" s="226"/>
      <x:c r="N138" s="226"/>
      <x:c r="O138" s="226"/>
      <x:c r="P138" s="226"/>
      <x:c r="Q138" s="226"/>
      <x:c r="R138" s="226"/>
      <x:c r="S138" s="226"/>
      <x:c r="T138" s="226"/>
      <x:c r="U138" s="226"/>
      <x:c r="V138" s="226"/>
      <x:c r="W138" s="226"/>
      <x:c r="X138" s="226"/>
      <x:c r="Y138" s="226"/>
      <x:c r="Z138" s="226"/>
    </x:row>
    <x:row r="139">
      <x:c r="A139" s="226"/>
      <x:c r="B139" s="226"/>
      <x:c r="C139" s="226"/>
      <x:c r="D139" s="226"/>
      <x:c r="E139" s="226"/>
      <x:c r="F139" s="226"/>
      <x:c r="G139" s="226"/>
      <x:c r="H139" s="226"/>
      <x:c r="I139" s="226"/>
      <x:c r="J139" s="226"/>
      <x:c r="K139" s="226"/>
      <x:c r="L139" s="226"/>
      <x:c r="M139" s="226"/>
      <x:c r="N139" s="226"/>
      <x:c r="O139" s="226"/>
      <x:c r="P139" s="226"/>
      <x:c r="Q139" s="226"/>
      <x:c r="R139" s="226"/>
      <x:c r="S139" s="226"/>
      <x:c r="T139" s="226"/>
      <x:c r="U139" s="226"/>
      <x:c r="V139" s="226"/>
      <x:c r="W139" s="226"/>
      <x:c r="X139" s="226"/>
      <x:c r="Y139" s="226"/>
      <x:c r="Z139" s="226"/>
    </x:row>
    <x:row r="140">
      <x:c r="A140" s="226"/>
      <x:c r="B140" s="226"/>
      <x:c r="C140" s="226"/>
      <x:c r="D140" s="226"/>
      <x:c r="E140" s="226"/>
      <x:c r="F140" s="226"/>
      <x:c r="G140" s="226"/>
      <x:c r="H140" s="226"/>
      <x:c r="I140" s="226"/>
      <x:c r="J140" s="226"/>
      <x:c r="K140" s="226"/>
      <x:c r="L140" s="226"/>
      <x:c r="M140" s="226"/>
      <x:c r="N140" s="226"/>
      <x:c r="O140" s="226"/>
      <x:c r="P140" s="226"/>
      <x:c r="Q140" s="226"/>
      <x:c r="R140" s="226"/>
      <x:c r="S140" s="226"/>
      <x:c r="T140" s="226"/>
      <x:c r="U140" s="226"/>
      <x:c r="V140" s="226"/>
      <x:c r="W140" s="226"/>
      <x:c r="X140" s="226"/>
      <x:c r="Y140" s="226"/>
      <x:c r="Z140" s="226"/>
    </x:row>
    <x:row r="141">
      <x:c r="A141" s="226"/>
      <x:c r="B141" s="226"/>
      <x:c r="C141" s="226"/>
      <x:c r="D141" s="226"/>
      <x:c r="E141" s="226"/>
      <x:c r="F141" s="226"/>
      <x:c r="G141" s="226"/>
      <x:c r="H141" s="226"/>
      <x:c r="I141" s="226"/>
      <x:c r="J141" s="226"/>
      <x:c r="K141" s="226"/>
      <x:c r="L141" s="226"/>
      <x:c r="M141" s="226"/>
      <x:c r="N141" s="226"/>
      <x:c r="O141" s="226"/>
      <x:c r="P141" s="226"/>
      <x:c r="Q141" s="226"/>
      <x:c r="R141" s="226"/>
      <x:c r="S141" s="226"/>
      <x:c r="T141" s="226"/>
      <x:c r="U141" s="226"/>
      <x:c r="V141" s="226"/>
      <x:c r="W141" s="226"/>
      <x:c r="X141" s="226"/>
      <x:c r="Y141" s="226"/>
      <x:c r="Z141" s="226"/>
    </x:row>
    <x:row r="142">
      <x:c r="A142" s="226"/>
      <x:c r="B142" s="226"/>
      <x:c r="C142" s="226"/>
      <x:c r="D142" s="226"/>
      <x:c r="E142" s="226"/>
      <x:c r="F142" s="226"/>
      <x:c r="G142" s="226"/>
      <x:c r="H142" s="226"/>
      <x:c r="I142" s="226"/>
      <x:c r="J142" s="226"/>
      <x:c r="K142" s="226"/>
      <x:c r="L142" s="226"/>
      <x:c r="M142" s="226"/>
      <x:c r="N142" s="226"/>
      <x:c r="O142" s="226"/>
      <x:c r="P142" s="226"/>
      <x:c r="Q142" s="226"/>
      <x:c r="R142" s="226"/>
      <x:c r="S142" s="226"/>
      <x:c r="T142" s="226"/>
      <x:c r="U142" s="226"/>
      <x:c r="V142" s="226"/>
      <x:c r="W142" s="226"/>
      <x:c r="X142" s="226"/>
      <x:c r="Y142" s="226"/>
      <x:c r="Z142" s="226"/>
    </x:row>
    <x:row r="143">
      <x:c r="A143" s="226"/>
      <x:c r="B143" s="226"/>
      <x:c r="C143" s="226"/>
      <x:c r="D143" s="226"/>
      <x:c r="E143" s="226"/>
      <x:c r="F143" s="226"/>
      <x:c r="G143" s="226"/>
      <x:c r="H143" s="226"/>
      <x:c r="I143" s="226"/>
      <x:c r="J143" s="226"/>
      <x:c r="K143" s="226"/>
      <x:c r="L143" s="226"/>
      <x:c r="M143" s="226"/>
      <x:c r="N143" s="226"/>
      <x:c r="O143" s="226"/>
      <x:c r="P143" s="226"/>
      <x:c r="Q143" s="226"/>
      <x:c r="R143" s="226"/>
      <x:c r="S143" s="226"/>
      <x:c r="T143" s="226"/>
      <x:c r="U143" s="226"/>
      <x:c r="V143" s="226"/>
      <x:c r="W143" s="226"/>
      <x:c r="X143" s="226"/>
      <x:c r="Y143" s="226"/>
      <x:c r="Z143" s="226"/>
    </x:row>
    <x:row r="144">
      <x:c r="A144" s="226"/>
      <x:c r="B144" s="226"/>
      <x:c r="C144" s="226"/>
      <x:c r="D144" s="226"/>
      <x:c r="E144" s="226"/>
      <x:c r="F144" s="226"/>
      <x:c r="G144" s="226"/>
      <x:c r="H144" s="226"/>
      <x:c r="I144" s="226"/>
      <x:c r="J144" s="226"/>
      <x:c r="K144" s="226"/>
      <x:c r="L144" s="226"/>
      <x:c r="M144" s="226"/>
      <x:c r="N144" s="226"/>
      <x:c r="O144" s="226"/>
      <x:c r="P144" s="226"/>
      <x:c r="Q144" s="226"/>
      <x:c r="R144" s="226"/>
      <x:c r="S144" s="226"/>
      <x:c r="T144" s="226"/>
      <x:c r="U144" s="226"/>
      <x:c r="V144" s="226"/>
      <x:c r="W144" s="226"/>
      <x:c r="X144" s="226"/>
      <x:c r="Y144" s="226"/>
      <x:c r="Z144" s="226"/>
    </x:row>
    <x:row r="145">
      <x:c r="A145" s="226"/>
      <x:c r="B145" s="226"/>
      <x:c r="C145" s="226"/>
      <x:c r="D145" s="226"/>
      <x:c r="E145" s="226"/>
      <x:c r="F145" s="226"/>
      <x:c r="G145" s="226"/>
      <x:c r="H145" s="226"/>
      <x:c r="I145" s="226"/>
      <x:c r="J145" s="226"/>
      <x:c r="K145" s="226"/>
      <x:c r="L145" s="226"/>
      <x:c r="M145" s="226"/>
      <x:c r="N145" s="226"/>
      <x:c r="O145" s="226"/>
      <x:c r="P145" s="226"/>
      <x:c r="Q145" s="226"/>
      <x:c r="R145" s="226"/>
      <x:c r="S145" s="226"/>
      <x:c r="T145" s="226"/>
      <x:c r="U145" s="226"/>
      <x:c r="V145" s="226"/>
      <x:c r="W145" s="226"/>
      <x:c r="X145" s="226"/>
      <x:c r="Y145" s="226"/>
      <x:c r="Z145" s="226"/>
    </x:row>
    <x:row r="146">
      <x:c r="A146" s="226"/>
      <x:c r="B146" s="226"/>
      <x:c r="C146" s="226"/>
      <x:c r="D146" s="226"/>
      <x:c r="E146" s="226"/>
      <x:c r="F146" s="226"/>
      <x:c r="G146" s="226"/>
      <x:c r="H146" s="226"/>
      <x:c r="I146" s="226"/>
      <x:c r="J146" s="226"/>
      <x:c r="K146" s="226"/>
      <x:c r="L146" s="226"/>
      <x:c r="M146" s="226"/>
      <x:c r="N146" s="226"/>
      <x:c r="O146" s="226"/>
      <x:c r="P146" s="226"/>
      <x:c r="Q146" s="226"/>
      <x:c r="R146" s="226"/>
      <x:c r="S146" s="226"/>
      <x:c r="T146" s="226"/>
      <x:c r="U146" s="226"/>
      <x:c r="V146" s="226"/>
      <x:c r="W146" s="226"/>
      <x:c r="X146" s="226"/>
      <x:c r="Y146" s="226"/>
      <x:c r="Z146" s="226"/>
    </x:row>
    <x:row r="147">
      <x:c r="A147" s="226"/>
      <x:c r="B147" s="226"/>
      <x:c r="C147" s="226"/>
      <x:c r="D147" s="226"/>
      <x:c r="E147" s="226"/>
      <x:c r="F147" s="226"/>
      <x:c r="G147" s="226"/>
      <x:c r="H147" s="226"/>
      <x:c r="I147" s="226"/>
      <x:c r="J147" s="226"/>
      <x:c r="K147" s="226"/>
      <x:c r="L147" s="226"/>
      <x:c r="M147" s="226"/>
      <x:c r="N147" s="226"/>
      <x:c r="O147" s="226"/>
      <x:c r="P147" s="226"/>
      <x:c r="Q147" s="226"/>
      <x:c r="R147" s="226"/>
      <x:c r="S147" s="226"/>
      <x:c r="T147" s="226"/>
      <x:c r="U147" s="226"/>
      <x:c r="V147" s="226"/>
      <x:c r="W147" s="226"/>
      <x:c r="X147" s="226"/>
      <x:c r="Y147" s="226"/>
      <x:c r="Z147" s="226"/>
    </x:row>
    <x:row r="148">
      <x:c r="A148" s="226"/>
      <x:c r="B148" s="226"/>
      <x:c r="C148" s="226"/>
      <x:c r="D148" s="226"/>
      <x:c r="E148" s="226"/>
      <x:c r="F148" s="226"/>
      <x:c r="G148" s="226"/>
      <x:c r="H148" s="226"/>
      <x:c r="I148" s="226"/>
      <x:c r="J148" s="226"/>
      <x:c r="K148" s="226"/>
      <x:c r="L148" s="226"/>
      <x:c r="M148" s="226"/>
      <x:c r="N148" s="226"/>
      <x:c r="O148" s="226"/>
      <x:c r="P148" s="226"/>
      <x:c r="Q148" s="226"/>
      <x:c r="R148" s="226"/>
      <x:c r="S148" s="226"/>
      <x:c r="T148" s="226"/>
      <x:c r="U148" s="226"/>
      <x:c r="V148" s="226"/>
      <x:c r="W148" s="226"/>
      <x:c r="X148" s="226"/>
      <x:c r="Y148" s="226"/>
      <x:c r="Z148" s="226"/>
    </x:row>
    <x:row r="149">
      <x:c r="A149" s="226"/>
      <x:c r="B149" s="226"/>
      <x:c r="C149" s="226"/>
      <x:c r="D149" s="226"/>
      <x:c r="E149" s="226"/>
      <x:c r="F149" s="226"/>
      <x:c r="G149" s="226"/>
      <x:c r="H149" s="226"/>
      <x:c r="I149" s="226"/>
      <x:c r="J149" s="226"/>
      <x:c r="K149" s="226"/>
      <x:c r="L149" s="226"/>
      <x:c r="M149" s="226"/>
      <x:c r="N149" s="226"/>
      <x:c r="O149" s="226"/>
      <x:c r="P149" s="226"/>
      <x:c r="Q149" s="226"/>
      <x:c r="R149" s="226"/>
      <x:c r="S149" s="226"/>
      <x:c r="T149" s="226"/>
      <x:c r="U149" s="226"/>
      <x:c r="V149" s="226"/>
      <x:c r="W149" s="226"/>
      <x:c r="X149" s="226"/>
      <x:c r="Y149" s="226"/>
      <x:c r="Z149" s="226"/>
    </x:row>
    <x:row r="150">
      <x:c r="A150" s="226"/>
      <x:c r="B150" s="226"/>
      <x:c r="C150" s="226"/>
      <x:c r="D150" s="226"/>
      <x:c r="E150" s="226"/>
      <x:c r="F150" s="226"/>
      <x:c r="G150" s="226"/>
      <x:c r="H150" s="226"/>
      <x:c r="I150" s="226"/>
      <x:c r="J150" s="226"/>
      <x:c r="K150" s="226"/>
      <x:c r="L150" s="226"/>
      <x:c r="M150" s="226"/>
      <x:c r="N150" s="226"/>
      <x:c r="O150" s="226"/>
      <x:c r="P150" s="226"/>
      <x:c r="Q150" s="226"/>
      <x:c r="R150" s="226"/>
      <x:c r="S150" s="226"/>
      <x:c r="T150" s="226"/>
      <x:c r="U150" s="226"/>
      <x:c r="V150" s="226"/>
      <x:c r="W150" s="226"/>
      <x:c r="X150" s="226"/>
      <x:c r="Y150" s="226"/>
      <x:c r="Z150" s="226"/>
    </x:row>
    <x:row r="151">
      <x:c r="A151" s="226"/>
      <x:c r="B151" s="226"/>
      <x:c r="C151" s="226"/>
      <x:c r="D151" s="226"/>
      <x:c r="E151" s="226"/>
      <x:c r="F151" s="226"/>
      <x:c r="G151" s="226"/>
      <x:c r="H151" s="226"/>
      <x:c r="I151" s="226"/>
      <x:c r="J151" s="226"/>
      <x:c r="K151" s="226"/>
      <x:c r="L151" s="226"/>
      <x:c r="M151" s="226"/>
      <x:c r="N151" s="226"/>
      <x:c r="O151" s="226"/>
      <x:c r="P151" s="226"/>
      <x:c r="Q151" s="226"/>
      <x:c r="R151" s="226"/>
      <x:c r="S151" s="226"/>
      <x:c r="T151" s="226"/>
      <x:c r="U151" s="226"/>
      <x:c r="V151" s="226"/>
      <x:c r="W151" s="226"/>
      <x:c r="X151" s="226"/>
      <x:c r="Y151" s="226"/>
      <x:c r="Z151" s="226"/>
    </x:row>
    <x:row r="152">
      <x:c r="A152" s="226"/>
      <x:c r="B152" s="226"/>
      <x:c r="C152" s="226"/>
      <x:c r="D152" s="226"/>
      <x:c r="E152" s="226"/>
      <x:c r="F152" s="226"/>
      <x:c r="G152" s="226"/>
      <x:c r="H152" s="226"/>
      <x:c r="I152" s="226"/>
      <x:c r="J152" s="226"/>
      <x:c r="K152" s="226"/>
      <x:c r="L152" s="226"/>
      <x:c r="M152" s="226"/>
      <x:c r="N152" s="226"/>
      <x:c r="O152" s="226"/>
      <x:c r="P152" s="226"/>
      <x:c r="Q152" s="226"/>
      <x:c r="R152" s="226"/>
      <x:c r="S152" s="226"/>
      <x:c r="T152" s="226"/>
      <x:c r="U152" s="226"/>
      <x:c r="V152" s="226"/>
      <x:c r="W152" s="226"/>
      <x:c r="X152" s="226"/>
      <x:c r="Y152" s="226"/>
      <x:c r="Z152" s="226"/>
    </x:row>
    <x:row r="153">
      <x:c r="A153" s="226"/>
      <x:c r="B153" s="226"/>
      <x:c r="C153" s="226"/>
      <x:c r="D153" s="226"/>
      <x:c r="E153" s="226"/>
      <x:c r="F153" s="226"/>
      <x:c r="G153" s="226"/>
      <x:c r="H153" s="226"/>
      <x:c r="I153" s="226"/>
      <x:c r="J153" s="226"/>
      <x:c r="K153" s="226"/>
      <x:c r="L153" s="226"/>
      <x:c r="M153" s="226"/>
      <x:c r="N153" s="226"/>
      <x:c r="O153" s="226"/>
      <x:c r="P153" s="226"/>
      <x:c r="Q153" s="226"/>
      <x:c r="R153" s="226"/>
      <x:c r="S153" s="226"/>
      <x:c r="T153" s="226"/>
      <x:c r="U153" s="226"/>
      <x:c r="V153" s="226"/>
      <x:c r="W153" s="226"/>
      <x:c r="X153" s="226"/>
      <x:c r="Y153" s="226"/>
      <x:c r="Z153" s="226"/>
    </x:row>
    <x:row r="154">
      <x:c r="A154" s="226"/>
      <x:c r="B154" s="226"/>
      <x:c r="C154" s="226"/>
      <x:c r="D154" s="226"/>
      <x:c r="E154" s="226"/>
      <x:c r="F154" s="226"/>
      <x:c r="G154" s="226"/>
      <x:c r="H154" s="226"/>
      <x:c r="I154" s="226"/>
      <x:c r="J154" s="226"/>
      <x:c r="K154" s="226"/>
      <x:c r="L154" s="226"/>
      <x:c r="M154" s="226"/>
      <x:c r="N154" s="226"/>
      <x:c r="O154" s="226"/>
      <x:c r="P154" s="226"/>
      <x:c r="Q154" s="226"/>
      <x:c r="R154" s="226"/>
      <x:c r="S154" s="226"/>
      <x:c r="T154" s="226"/>
      <x:c r="U154" s="226"/>
      <x:c r="V154" s="226"/>
      <x:c r="W154" s="226"/>
      <x:c r="X154" s="226"/>
      <x:c r="Y154" s="226"/>
      <x:c r="Z154" s="226"/>
    </x:row>
    <x:row r="155">
      <x:c r="A155" s="226"/>
      <x:c r="B155" s="226"/>
      <x:c r="C155" s="226"/>
      <x:c r="D155" s="226"/>
      <x:c r="E155" s="226"/>
      <x:c r="F155" s="226"/>
      <x:c r="G155" s="226"/>
      <x:c r="H155" s="226"/>
      <x:c r="I155" s="226"/>
      <x:c r="J155" s="226"/>
      <x:c r="K155" s="226"/>
      <x:c r="L155" s="226"/>
      <x:c r="M155" s="226"/>
      <x:c r="N155" s="226"/>
      <x:c r="O155" s="226"/>
      <x:c r="P155" s="226"/>
      <x:c r="Q155" s="226"/>
      <x:c r="R155" s="226"/>
      <x:c r="S155" s="226"/>
      <x:c r="T155" s="226"/>
      <x:c r="U155" s="226"/>
      <x:c r="V155" s="226"/>
      <x:c r="W155" s="226"/>
      <x:c r="X155" s="226"/>
      <x:c r="Y155" s="226"/>
      <x:c r="Z155" s="226"/>
    </x:row>
    <x:row r="156">
      <x:c r="A156" s="226"/>
      <x:c r="B156" s="226"/>
      <x:c r="C156" s="226"/>
      <x:c r="D156" s="226"/>
      <x:c r="E156" s="226"/>
      <x:c r="F156" s="226"/>
      <x:c r="G156" s="226"/>
      <x:c r="H156" s="226"/>
      <x:c r="I156" s="226"/>
      <x:c r="J156" s="226"/>
      <x:c r="K156" s="226"/>
      <x:c r="L156" s="226"/>
      <x:c r="M156" s="226"/>
      <x:c r="N156" s="226"/>
      <x:c r="O156" s="226"/>
      <x:c r="P156" s="226"/>
      <x:c r="Q156" s="226"/>
      <x:c r="R156" s="226"/>
      <x:c r="S156" s="226"/>
      <x:c r="T156" s="226"/>
      <x:c r="U156" s="226"/>
      <x:c r="V156" s="226"/>
      <x:c r="W156" s="226"/>
      <x:c r="X156" s="226"/>
      <x:c r="Y156" s="226"/>
      <x:c r="Z156" s="226"/>
    </x:row>
    <x:row r="157">
      <x:c r="A157" s="226"/>
      <x:c r="B157" s="226"/>
      <x:c r="C157" s="226"/>
      <x:c r="D157" s="226"/>
      <x:c r="E157" s="226"/>
      <x:c r="F157" s="226"/>
      <x:c r="G157" s="226"/>
      <x:c r="H157" s="226"/>
      <x:c r="I157" s="226"/>
      <x:c r="J157" s="226"/>
      <x:c r="K157" s="226"/>
      <x:c r="L157" s="226"/>
      <x:c r="M157" s="226"/>
      <x:c r="N157" s="226"/>
      <x:c r="O157" s="226"/>
      <x:c r="P157" s="226"/>
      <x:c r="Q157" s="226"/>
      <x:c r="R157" s="226"/>
      <x:c r="S157" s="226"/>
      <x:c r="T157" s="226"/>
      <x:c r="U157" s="226"/>
      <x:c r="V157" s="226"/>
      <x:c r="W157" s="226"/>
      <x:c r="X157" s="226"/>
      <x:c r="Y157" s="226"/>
      <x:c r="Z157" s="226"/>
    </x:row>
    <x:row r="158">
      <x:c r="A158" s="226"/>
      <x:c r="B158" s="226"/>
      <x:c r="C158" s="226"/>
      <x:c r="D158" s="226"/>
      <x:c r="E158" s="226"/>
      <x:c r="F158" s="226"/>
      <x:c r="G158" s="226"/>
      <x:c r="H158" s="226"/>
      <x:c r="I158" s="226"/>
      <x:c r="J158" s="226"/>
      <x:c r="K158" s="226"/>
      <x:c r="L158" s="226"/>
      <x:c r="M158" s="226"/>
      <x:c r="N158" s="226"/>
      <x:c r="O158" s="226"/>
      <x:c r="P158" s="226"/>
      <x:c r="Q158" s="226"/>
      <x:c r="R158" s="226"/>
      <x:c r="S158" s="226"/>
      <x:c r="T158" s="226"/>
      <x:c r="U158" s="226"/>
      <x:c r="V158" s="226"/>
      <x:c r="W158" s="226"/>
      <x:c r="X158" s="226"/>
      <x:c r="Y158" s="226"/>
      <x:c r="Z158" s="226"/>
    </x:row>
    <x:row r="159">
      <x:c r="A159" s="226"/>
      <x:c r="B159" s="226"/>
      <x:c r="C159" s="226"/>
      <x:c r="D159" s="226"/>
      <x:c r="E159" s="226"/>
      <x:c r="F159" s="226"/>
      <x:c r="G159" s="226"/>
      <x:c r="H159" s="226"/>
      <x:c r="I159" s="226"/>
      <x:c r="J159" s="226"/>
      <x:c r="K159" s="226"/>
      <x:c r="L159" s="226"/>
      <x:c r="M159" s="226"/>
      <x:c r="N159" s="226"/>
      <x:c r="O159" s="226"/>
      <x:c r="P159" s="226"/>
      <x:c r="Q159" s="226"/>
      <x:c r="R159" s="226"/>
      <x:c r="S159" s="226"/>
      <x:c r="T159" s="226"/>
      <x:c r="U159" s="226"/>
      <x:c r="V159" s="226"/>
      <x:c r="W159" s="226"/>
      <x:c r="X159" s="226"/>
      <x:c r="Y159" s="226"/>
      <x:c r="Z159" s="226"/>
    </x:row>
    <x:row r="160">
      <x:c r="A160" s="226"/>
      <x:c r="B160" s="226"/>
      <x:c r="C160" s="226"/>
      <x:c r="D160" s="226"/>
      <x:c r="E160" s="226"/>
      <x:c r="F160" s="226"/>
      <x:c r="G160" s="226"/>
      <x:c r="H160" s="226"/>
      <x:c r="I160" s="226"/>
      <x:c r="J160" s="226"/>
      <x:c r="K160" s="226"/>
      <x:c r="L160" s="226"/>
      <x:c r="M160" s="226"/>
      <x:c r="N160" s="226"/>
      <x:c r="O160" s="226"/>
      <x:c r="P160" s="226"/>
      <x:c r="Q160" s="226"/>
      <x:c r="R160" s="226"/>
      <x:c r="S160" s="226"/>
      <x:c r="T160" s="226"/>
      <x:c r="U160" s="226"/>
      <x:c r="V160" s="226"/>
      <x:c r="W160" s="226"/>
      <x:c r="X160" s="226"/>
      <x:c r="Y160" s="226"/>
      <x:c r="Z160" s="226"/>
    </x:row>
    <x:row r="161">
      <x:c r="A161" s="226"/>
      <x:c r="B161" s="226"/>
      <x:c r="C161" s="226"/>
      <x:c r="D161" s="226"/>
      <x:c r="E161" s="226"/>
      <x:c r="F161" s="226"/>
      <x:c r="G161" s="226"/>
      <x:c r="H161" s="226"/>
      <x:c r="I161" s="226"/>
      <x:c r="J161" s="226"/>
      <x:c r="K161" s="226"/>
      <x:c r="L161" s="226"/>
      <x:c r="M161" s="226"/>
      <x:c r="N161" s="226"/>
      <x:c r="O161" s="226"/>
      <x:c r="P161" s="226"/>
      <x:c r="Q161" s="226"/>
      <x:c r="R161" s="226"/>
      <x:c r="S161" s="226"/>
      <x:c r="T161" s="226"/>
      <x:c r="U161" s="226"/>
      <x:c r="V161" s="226"/>
      <x:c r="W161" s="226"/>
      <x:c r="X161" s="226"/>
      <x:c r="Y161" s="226"/>
      <x:c r="Z161" s="226"/>
    </x:row>
    <x:row r="162">
      <x:c r="A162" s="226"/>
      <x:c r="B162" s="226"/>
      <x:c r="C162" s="226"/>
      <x:c r="D162" s="226"/>
      <x:c r="E162" s="226"/>
      <x:c r="F162" s="226"/>
      <x:c r="G162" s="226"/>
      <x:c r="H162" s="226"/>
      <x:c r="I162" s="226"/>
      <x:c r="J162" s="226"/>
      <x:c r="K162" s="226"/>
      <x:c r="L162" s="226"/>
      <x:c r="M162" s="226"/>
      <x:c r="N162" s="226"/>
      <x:c r="O162" s="226"/>
      <x:c r="P162" s="226"/>
      <x:c r="Q162" s="226"/>
      <x:c r="R162" s="226"/>
      <x:c r="S162" s="226"/>
      <x:c r="T162" s="226"/>
      <x:c r="U162" s="226"/>
      <x:c r="V162" s="226"/>
      <x:c r="W162" s="226"/>
      <x:c r="X162" s="226"/>
      <x:c r="Y162" s="226"/>
      <x:c r="Z162" s="226"/>
    </x:row>
    <x:row r="163">
      <x:c r="A163" s="226"/>
      <x:c r="B163" s="226"/>
      <x:c r="C163" s="226"/>
      <x:c r="D163" s="226"/>
      <x:c r="E163" s="226"/>
      <x:c r="F163" s="226"/>
      <x:c r="G163" s="226"/>
      <x:c r="H163" s="226"/>
      <x:c r="I163" s="226"/>
      <x:c r="J163" s="226"/>
      <x:c r="K163" s="226"/>
      <x:c r="L163" s="226"/>
      <x:c r="M163" s="226"/>
      <x:c r="N163" s="226"/>
      <x:c r="O163" s="226"/>
      <x:c r="P163" s="226"/>
      <x:c r="Q163" s="226"/>
      <x:c r="R163" s="226"/>
      <x:c r="S163" s="226"/>
      <x:c r="T163" s="226"/>
      <x:c r="U163" s="226"/>
      <x:c r="V163" s="226"/>
      <x:c r="W163" s="226"/>
      <x:c r="X163" s="226"/>
      <x:c r="Y163" s="226"/>
      <x:c r="Z163" s="226"/>
    </x:row>
    <x:row r="164">
      <x:c r="A164" s="226"/>
      <x:c r="B164" s="226"/>
      <x:c r="C164" s="226"/>
      <x:c r="D164" s="226"/>
      <x:c r="E164" s="226"/>
      <x:c r="F164" s="226"/>
      <x:c r="G164" s="226"/>
      <x:c r="H164" s="226"/>
      <x:c r="I164" s="226"/>
      <x:c r="J164" s="226"/>
      <x:c r="K164" s="226"/>
      <x:c r="L164" s="226"/>
      <x:c r="M164" s="226"/>
      <x:c r="N164" s="226"/>
      <x:c r="O164" s="226"/>
      <x:c r="P164" s="226"/>
      <x:c r="Q164" s="226"/>
      <x:c r="R164" s="226"/>
      <x:c r="S164" s="226"/>
      <x:c r="T164" s="226"/>
      <x:c r="U164" s="226"/>
      <x:c r="V164" s="226"/>
      <x:c r="W164" s="226"/>
      <x:c r="X164" s="226"/>
      <x:c r="Y164" s="226"/>
      <x:c r="Z164" s="226"/>
    </x:row>
    <x:row r="165">
      <x:c r="A165" s="226"/>
      <x:c r="B165" s="226"/>
      <x:c r="C165" s="226"/>
      <x:c r="D165" s="226"/>
      <x:c r="E165" s="226"/>
      <x:c r="F165" s="226"/>
      <x:c r="G165" s="226"/>
      <x:c r="H165" s="226"/>
      <x:c r="I165" s="226"/>
      <x:c r="J165" s="226"/>
      <x:c r="K165" s="226"/>
      <x:c r="L165" s="226"/>
      <x:c r="M165" s="226"/>
      <x:c r="N165" s="226"/>
      <x:c r="O165" s="226"/>
      <x:c r="P165" s="226"/>
      <x:c r="Q165" s="226"/>
      <x:c r="R165" s="226"/>
      <x:c r="S165" s="226"/>
      <x:c r="T165" s="226"/>
      <x:c r="U165" s="226"/>
      <x:c r="V165" s="226"/>
      <x:c r="W165" s="226"/>
      <x:c r="X165" s="226"/>
      <x:c r="Y165" s="226"/>
      <x:c r="Z165" s="226"/>
    </x:row>
    <x:row r="166">
      <x:c r="A166" s="226"/>
      <x:c r="B166" s="226"/>
      <x:c r="C166" s="226"/>
      <x:c r="D166" s="226"/>
      <x:c r="E166" s="226"/>
      <x:c r="F166" s="226"/>
      <x:c r="G166" s="226"/>
      <x:c r="H166" s="226"/>
      <x:c r="I166" s="226"/>
      <x:c r="J166" s="226"/>
      <x:c r="K166" s="226"/>
      <x:c r="L166" s="226"/>
      <x:c r="M166" s="226"/>
      <x:c r="N166" s="226"/>
      <x:c r="O166" s="226"/>
      <x:c r="P166" s="226"/>
      <x:c r="Q166" s="226"/>
      <x:c r="R166" s="226"/>
      <x:c r="S166" s="226"/>
      <x:c r="T166" s="226"/>
      <x:c r="U166" s="226"/>
      <x:c r="V166" s="226"/>
      <x:c r="W166" s="226"/>
      <x:c r="X166" s="226"/>
      <x:c r="Y166" s="226"/>
      <x:c r="Z166" s="226"/>
    </x:row>
    <x:row r="167">
      <x:c r="A167" s="226"/>
      <x:c r="B167" s="226"/>
      <x:c r="C167" s="226"/>
      <x:c r="D167" s="226"/>
      <x:c r="E167" s="226"/>
      <x:c r="F167" s="226"/>
      <x:c r="G167" s="226"/>
      <x:c r="H167" s="226"/>
      <x:c r="I167" s="226"/>
      <x:c r="J167" s="226"/>
      <x:c r="K167" s="226"/>
      <x:c r="L167" s="226"/>
      <x:c r="M167" s="226"/>
      <x:c r="N167" s="226"/>
      <x:c r="O167" s="226"/>
      <x:c r="P167" s="226"/>
      <x:c r="Q167" s="226"/>
      <x:c r="R167" s="226"/>
      <x:c r="S167" s="226"/>
      <x:c r="T167" s="226"/>
      <x:c r="U167" s="226"/>
      <x:c r="V167" s="226"/>
      <x:c r="W167" s="226"/>
      <x:c r="X167" s="226"/>
      <x:c r="Y167" s="226"/>
      <x:c r="Z167" s="226"/>
    </x:row>
    <x:row r="168">
      <x:c r="A168" s="226"/>
      <x:c r="B168" s="226"/>
      <x:c r="C168" s="226"/>
      <x:c r="D168" s="226"/>
      <x:c r="E168" s="226"/>
      <x:c r="F168" s="226"/>
      <x:c r="G168" s="226"/>
      <x:c r="H168" s="226"/>
      <x:c r="I168" s="226"/>
      <x:c r="J168" s="226"/>
      <x:c r="K168" s="226"/>
      <x:c r="L168" s="226"/>
      <x:c r="M168" s="226"/>
      <x:c r="N168" s="226"/>
      <x:c r="O168" s="226"/>
      <x:c r="P168" s="226"/>
      <x:c r="Q168" s="226"/>
      <x:c r="R168" s="226"/>
      <x:c r="S168" s="226"/>
      <x:c r="T168" s="226"/>
      <x:c r="U168" s="226"/>
      <x:c r="V168" s="226"/>
      <x:c r="W168" s="226"/>
      <x:c r="X168" s="226"/>
      <x:c r="Y168" s="226"/>
      <x:c r="Z168" s="226"/>
    </x:row>
    <x:row r="169">
      <x:c r="A169" s="226"/>
      <x:c r="B169" s="226"/>
      <x:c r="C169" s="226"/>
      <x:c r="D169" s="226"/>
      <x:c r="E169" s="226"/>
      <x:c r="F169" s="226"/>
      <x:c r="G169" s="226"/>
      <x:c r="H169" s="226"/>
      <x:c r="I169" s="226"/>
      <x:c r="J169" s="226"/>
      <x:c r="K169" s="226"/>
      <x:c r="L169" s="226"/>
      <x:c r="M169" s="226"/>
      <x:c r="N169" s="226"/>
      <x:c r="O169" s="226"/>
      <x:c r="P169" s="226"/>
      <x:c r="Q169" s="226"/>
      <x:c r="R169" s="226"/>
      <x:c r="S169" s="226"/>
      <x:c r="T169" s="226"/>
      <x:c r="U169" s="226"/>
      <x:c r="V169" s="226"/>
      <x:c r="W169" s="226"/>
      <x:c r="X169" s="226"/>
      <x:c r="Y169" s="226"/>
      <x:c r="Z169" s="226"/>
    </x:row>
    <x:row r="170">
      <x:c r="A170" s="226"/>
      <x:c r="B170" s="226"/>
      <x:c r="C170" s="226"/>
      <x:c r="D170" s="226"/>
      <x:c r="E170" s="226"/>
      <x:c r="F170" s="226"/>
      <x:c r="G170" s="226"/>
      <x:c r="H170" s="226"/>
      <x:c r="I170" s="226"/>
      <x:c r="J170" s="226"/>
      <x:c r="K170" s="226"/>
      <x:c r="L170" s="226"/>
      <x:c r="M170" s="226"/>
      <x:c r="N170" s="226"/>
      <x:c r="O170" s="226"/>
      <x:c r="P170" s="226"/>
      <x:c r="Q170" s="226"/>
      <x:c r="R170" s="226"/>
      <x:c r="S170" s="226"/>
      <x:c r="T170" s="226"/>
      <x:c r="U170" s="226"/>
      <x:c r="V170" s="226"/>
      <x:c r="W170" s="226"/>
      <x:c r="X170" s="226"/>
      <x:c r="Y170" s="226"/>
      <x:c r="Z170" s="226"/>
    </x:row>
    <x:row r="171">
      <x:c r="A171" s="226"/>
      <x:c r="B171" s="226"/>
      <x:c r="C171" s="226"/>
      <x:c r="D171" s="226"/>
      <x:c r="E171" s="226"/>
      <x:c r="F171" s="226"/>
      <x:c r="G171" s="226"/>
      <x:c r="H171" s="226"/>
      <x:c r="I171" s="226"/>
      <x:c r="J171" s="226"/>
      <x:c r="K171" s="226"/>
      <x:c r="L171" s="226"/>
      <x:c r="M171" s="226"/>
      <x:c r="N171" s="226"/>
      <x:c r="O171" s="226"/>
      <x:c r="P171" s="226"/>
      <x:c r="Q171" s="226"/>
      <x:c r="R171" s="226"/>
      <x:c r="S171" s="226"/>
      <x:c r="T171" s="226"/>
      <x:c r="U171" s="226"/>
      <x:c r="V171" s="226"/>
      <x:c r="W171" s="226"/>
      <x:c r="X171" s="226"/>
      <x:c r="Y171" s="226"/>
      <x:c r="Z171" s="226"/>
    </x:row>
    <x:row r="172">
      <x:c r="A172" s="226"/>
      <x:c r="B172" s="226"/>
      <x:c r="C172" s="226"/>
      <x:c r="D172" s="226"/>
      <x:c r="E172" s="226"/>
      <x:c r="F172" s="226"/>
      <x:c r="G172" s="226"/>
      <x:c r="H172" s="226"/>
      <x:c r="I172" s="226"/>
      <x:c r="J172" s="226"/>
      <x:c r="K172" s="226"/>
      <x:c r="L172" s="226"/>
      <x:c r="M172" s="226"/>
      <x:c r="N172" s="226"/>
      <x:c r="O172" s="226"/>
      <x:c r="P172" s="226"/>
      <x:c r="Q172" s="226"/>
      <x:c r="R172" s="226"/>
      <x:c r="S172" s="226"/>
      <x:c r="T172" s="226"/>
      <x:c r="U172" s="226"/>
      <x:c r="V172" s="226"/>
      <x:c r="W172" s="226"/>
      <x:c r="X172" s="226"/>
      <x:c r="Y172" s="226"/>
      <x:c r="Z172" s="226"/>
    </x:row>
    <x:row r="173">
      <x:c r="A173" s="226"/>
      <x:c r="B173" s="226"/>
      <x:c r="C173" s="226"/>
      <x:c r="D173" s="226"/>
      <x:c r="E173" s="226"/>
      <x:c r="F173" s="226"/>
      <x:c r="G173" s="226"/>
      <x:c r="H173" s="226"/>
      <x:c r="I173" s="226"/>
      <x:c r="J173" s="226"/>
      <x:c r="K173" s="226"/>
      <x:c r="L173" s="226"/>
      <x:c r="M173" s="226"/>
      <x:c r="N173" s="226"/>
      <x:c r="O173" s="226"/>
      <x:c r="P173" s="226"/>
      <x:c r="Q173" s="226"/>
      <x:c r="R173" s="226"/>
      <x:c r="S173" s="226"/>
      <x:c r="T173" s="226"/>
      <x:c r="U173" s="226"/>
      <x:c r="V173" s="226"/>
      <x:c r="W173" s="226"/>
      <x:c r="X173" s="226"/>
      <x:c r="Y173" s="226"/>
      <x:c r="Z173" s="226"/>
    </x:row>
    <x:row r="174">
      <x:c r="A174" s="226"/>
      <x:c r="B174" s="226"/>
      <x:c r="C174" s="226"/>
      <x:c r="D174" s="226"/>
      <x:c r="E174" s="226"/>
      <x:c r="F174" s="226"/>
      <x:c r="G174" s="226"/>
      <x:c r="H174" s="226"/>
      <x:c r="I174" s="226"/>
      <x:c r="J174" s="226"/>
      <x:c r="K174" s="226"/>
      <x:c r="L174" s="226"/>
      <x:c r="M174" s="226"/>
      <x:c r="N174" s="226"/>
      <x:c r="O174" s="226"/>
      <x:c r="P174" s="226"/>
      <x:c r="Q174" s="226"/>
      <x:c r="R174" s="226"/>
      <x:c r="S174" s="226"/>
      <x:c r="T174" s="226"/>
      <x:c r="U174" s="226"/>
      <x:c r="V174" s="226"/>
      <x:c r="W174" s="226"/>
      <x:c r="X174" s="226"/>
      <x:c r="Y174" s="226"/>
      <x:c r="Z174" s="226"/>
    </x:row>
    <x:row r="175">
      <x:c r="A175" s="226"/>
      <x:c r="B175" s="226"/>
      <x:c r="C175" s="226"/>
      <x:c r="D175" s="226"/>
      <x:c r="E175" s="226"/>
      <x:c r="F175" s="226"/>
      <x:c r="G175" s="226"/>
      <x:c r="H175" s="226"/>
      <x:c r="I175" s="226"/>
      <x:c r="J175" s="226"/>
      <x:c r="K175" s="226"/>
      <x:c r="L175" s="226"/>
      <x:c r="M175" s="226"/>
      <x:c r="N175" s="226"/>
      <x:c r="O175" s="226"/>
      <x:c r="P175" s="226"/>
      <x:c r="Q175" s="226"/>
      <x:c r="R175" s="226"/>
      <x:c r="S175" s="226"/>
      <x:c r="T175" s="226"/>
      <x:c r="U175" s="226"/>
      <x:c r="V175" s="226"/>
      <x:c r="W175" s="226"/>
      <x:c r="X175" s="226"/>
      <x:c r="Y175" s="226"/>
      <x:c r="Z175" s="226"/>
    </x:row>
    <x:row r="176">
      <x:c r="A176" s="226"/>
      <x:c r="B176" s="226"/>
      <x:c r="C176" s="226"/>
      <x:c r="D176" s="226"/>
      <x:c r="E176" s="226"/>
      <x:c r="F176" s="226"/>
      <x:c r="G176" s="226"/>
      <x:c r="H176" s="226"/>
      <x:c r="I176" s="226"/>
      <x:c r="J176" s="226"/>
      <x:c r="K176" s="226"/>
      <x:c r="L176" s="226"/>
      <x:c r="M176" s="226"/>
      <x:c r="N176" s="226"/>
      <x:c r="O176" s="226"/>
      <x:c r="P176" s="226"/>
      <x:c r="Q176" s="226"/>
      <x:c r="R176" s="226"/>
      <x:c r="S176" s="226"/>
      <x:c r="T176" s="226"/>
      <x:c r="U176" s="226"/>
      <x:c r="V176" s="226"/>
      <x:c r="W176" s="226"/>
      <x:c r="X176" s="226"/>
      <x:c r="Y176" s="226"/>
      <x:c r="Z176" s="226"/>
    </x:row>
    <x:row r="177">
      <x:c r="A177" s="226"/>
      <x:c r="B177" s="226"/>
      <x:c r="C177" s="226"/>
      <x:c r="D177" s="226"/>
      <x:c r="E177" s="226"/>
      <x:c r="F177" s="226"/>
      <x:c r="G177" s="226"/>
      <x:c r="H177" s="226"/>
      <x:c r="I177" s="226"/>
      <x:c r="J177" s="226"/>
      <x:c r="K177" s="226"/>
      <x:c r="L177" s="226"/>
      <x:c r="M177" s="226"/>
      <x:c r="N177" s="226"/>
      <x:c r="O177" s="226"/>
      <x:c r="P177" s="226"/>
      <x:c r="Q177" s="226"/>
      <x:c r="R177" s="226"/>
      <x:c r="S177" s="226"/>
      <x:c r="T177" s="226"/>
      <x:c r="U177" s="226"/>
      <x:c r="V177" s="226"/>
      <x:c r="W177" s="226"/>
      <x:c r="X177" s="226"/>
      <x:c r="Y177" s="226"/>
      <x:c r="Z177" s="226"/>
    </x:row>
    <x:row r="178">
      <x:c r="A178" s="226"/>
      <x:c r="B178" s="226"/>
      <x:c r="C178" s="226"/>
      <x:c r="D178" s="226"/>
      <x:c r="E178" s="226"/>
      <x:c r="F178" s="226"/>
      <x:c r="G178" s="226"/>
      <x:c r="H178" s="226"/>
      <x:c r="I178" s="226"/>
      <x:c r="J178" s="226"/>
      <x:c r="K178" s="226"/>
      <x:c r="L178" s="226"/>
      <x:c r="M178" s="226"/>
      <x:c r="N178" s="226"/>
      <x:c r="O178" s="226"/>
      <x:c r="P178" s="226"/>
      <x:c r="Q178" s="226"/>
      <x:c r="R178" s="226"/>
      <x:c r="S178" s="226"/>
      <x:c r="T178" s="226"/>
      <x:c r="U178" s="226"/>
      <x:c r="V178" s="226"/>
      <x:c r="W178" s="226"/>
      <x:c r="X178" s="226"/>
      <x:c r="Y178" s="226"/>
      <x:c r="Z178" s="226"/>
    </x:row>
    <x:row r="179">
      <x:c r="A179" s="226"/>
      <x:c r="B179" s="226"/>
      <x:c r="C179" s="226"/>
      <x:c r="D179" s="226"/>
      <x:c r="E179" s="226"/>
      <x:c r="F179" s="226"/>
      <x:c r="G179" s="226"/>
      <x:c r="H179" s="226"/>
      <x:c r="I179" s="226"/>
      <x:c r="J179" s="226"/>
      <x:c r="K179" s="226"/>
      <x:c r="L179" s="226"/>
      <x:c r="M179" s="226"/>
      <x:c r="N179" s="226"/>
      <x:c r="O179" s="226"/>
      <x:c r="P179" s="226"/>
      <x:c r="Q179" s="226"/>
      <x:c r="R179" s="226"/>
      <x:c r="S179" s="226"/>
      <x:c r="T179" s="226"/>
      <x:c r="U179" s="226"/>
      <x:c r="V179" s="226"/>
      <x:c r="W179" s="226"/>
      <x:c r="X179" s="226"/>
      <x:c r="Y179" s="226"/>
      <x:c r="Z179" s="226"/>
    </x:row>
    <x:row r="180">
      <x:c r="A180" s="226"/>
      <x:c r="B180" s="226"/>
      <x:c r="C180" s="226"/>
      <x:c r="D180" s="226"/>
      <x:c r="E180" s="226"/>
      <x:c r="F180" s="226"/>
      <x:c r="G180" s="226"/>
      <x:c r="H180" s="226"/>
      <x:c r="I180" s="226"/>
      <x:c r="J180" s="226"/>
      <x:c r="K180" s="226"/>
      <x:c r="L180" s="226"/>
      <x:c r="M180" s="226"/>
      <x:c r="N180" s="226"/>
      <x:c r="O180" s="226"/>
      <x:c r="P180" s="226"/>
      <x:c r="Q180" s="226"/>
      <x:c r="R180" s="226"/>
      <x:c r="S180" s="226"/>
      <x:c r="T180" s="226"/>
      <x:c r="U180" s="226"/>
      <x:c r="V180" s="226"/>
      <x:c r="W180" s="226"/>
      <x:c r="X180" s="226"/>
      <x:c r="Y180" s="226"/>
      <x:c r="Z180" s="226"/>
    </x:row>
    <x:row r="181">
      <x:c r="A181" s="226"/>
      <x:c r="B181" s="226"/>
      <x:c r="C181" s="226"/>
      <x:c r="D181" s="226"/>
      <x:c r="E181" s="226"/>
      <x:c r="F181" s="226"/>
      <x:c r="G181" s="226"/>
      <x:c r="H181" s="226"/>
      <x:c r="I181" s="226"/>
      <x:c r="J181" s="226"/>
      <x:c r="K181" s="226"/>
      <x:c r="L181" s="226"/>
      <x:c r="M181" s="226"/>
      <x:c r="N181" s="226"/>
      <x:c r="O181" s="226"/>
      <x:c r="P181" s="226"/>
      <x:c r="Q181" s="226"/>
      <x:c r="R181" s="226"/>
      <x:c r="S181" s="226"/>
      <x:c r="T181" s="226"/>
      <x:c r="U181" s="226"/>
      <x:c r="V181" s="226"/>
      <x:c r="W181" s="226"/>
      <x:c r="X181" s="226"/>
      <x:c r="Y181" s="226"/>
      <x:c r="Z181" s="226"/>
    </x:row>
    <x:row r="182">
      <x:c r="A182" s="226"/>
      <x:c r="B182" s="226"/>
      <x:c r="C182" s="226"/>
      <x:c r="D182" s="226"/>
      <x:c r="E182" s="226"/>
      <x:c r="F182" s="226"/>
      <x:c r="G182" s="226"/>
      <x:c r="H182" s="226"/>
      <x:c r="I182" s="226"/>
      <x:c r="J182" s="226"/>
      <x:c r="K182" s="226"/>
      <x:c r="L182" s="226"/>
      <x:c r="M182" s="226"/>
      <x:c r="N182" s="226"/>
      <x:c r="O182" s="226"/>
      <x:c r="P182" s="226"/>
      <x:c r="Q182" s="226"/>
      <x:c r="R182" s="226"/>
      <x:c r="S182" s="226"/>
      <x:c r="T182" s="226"/>
      <x:c r="U182" s="226"/>
      <x:c r="V182" s="226"/>
      <x:c r="W182" s="226"/>
      <x:c r="X182" s="226"/>
      <x:c r="Y182" s="226"/>
      <x:c r="Z182" s="226"/>
    </x:row>
    <x:row r="183">
      <x:c r="A183" s="226"/>
      <x:c r="B183" s="226"/>
      <x:c r="C183" s="226"/>
      <x:c r="D183" s="226"/>
      <x:c r="E183" s="226"/>
      <x:c r="F183" s="226"/>
      <x:c r="G183" s="226"/>
      <x:c r="H183" s="226"/>
      <x:c r="I183" s="226"/>
      <x:c r="J183" s="226"/>
      <x:c r="K183" s="226"/>
      <x:c r="L183" s="226"/>
      <x:c r="M183" s="226"/>
      <x:c r="N183" s="226"/>
      <x:c r="O183" s="226"/>
      <x:c r="P183" s="226"/>
      <x:c r="Q183" s="226"/>
      <x:c r="R183" s="226"/>
      <x:c r="S183" s="226"/>
      <x:c r="T183" s="226"/>
      <x:c r="U183" s="226"/>
      <x:c r="V183" s="226"/>
      <x:c r="W183" s="226"/>
      <x:c r="X183" s="226"/>
      <x:c r="Y183" s="226"/>
      <x:c r="Z183" s="226"/>
    </x:row>
    <x:row r="184">
      <x:c r="A184" s="226"/>
      <x:c r="B184" s="226"/>
      <x:c r="C184" s="226"/>
      <x:c r="D184" s="226"/>
      <x:c r="E184" s="226"/>
      <x:c r="F184" s="226"/>
      <x:c r="G184" s="226"/>
      <x:c r="H184" s="226"/>
      <x:c r="I184" s="226"/>
      <x:c r="J184" s="226"/>
      <x:c r="K184" s="226"/>
      <x:c r="L184" s="226"/>
      <x:c r="M184" s="226"/>
      <x:c r="N184" s="226"/>
      <x:c r="O184" s="226"/>
      <x:c r="P184" s="226"/>
      <x:c r="Q184" s="226"/>
      <x:c r="R184" s="226"/>
      <x:c r="S184" s="226"/>
      <x:c r="T184" s="226"/>
      <x:c r="U184" s="226"/>
      <x:c r="V184" s="226"/>
      <x:c r="W184" s="226"/>
      <x:c r="X184" s="226"/>
      <x:c r="Y184" s="226"/>
      <x:c r="Z184" s="226"/>
    </x:row>
    <x:row r="185">
      <x:c r="A185" s="226"/>
      <x:c r="B185" s="226"/>
      <x:c r="C185" s="226"/>
      <x:c r="D185" s="226"/>
      <x:c r="E185" s="226"/>
      <x:c r="F185" s="226"/>
      <x:c r="G185" s="226"/>
      <x:c r="H185" s="226"/>
      <x:c r="I185" s="226"/>
      <x:c r="J185" s="226"/>
      <x:c r="K185" s="226"/>
      <x:c r="L185" s="226"/>
      <x:c r="M185" s="226"/>
      <x:c r="N185" s="226"/>
      <x:c r="O185" s="226"/>
      <x:c r="P185" s="226"/>
      <x:c r="Q185" s="226"/>
      <x:c r="R185" s="226"/>
      <x:c r="S185" s="226"/>
      <x:c r="T185" s="226"/>
      <x:c r="U185" s="226"/>
      <x:c r="V185" s="226"/>
      <x:c r="W185" s="226"/>
      <x:c r="X185" s="226"/>
      <x:c r="Y185" s="226"/>
      <x:c r="Z185" s="226"/>
    </x:row>
    <x:row r="186">
      <x:c r="A186" s="226"/>
      <x:c r="B186" s="226"/>
      <x:c r="C186" s="226"/>
      <x:c r="D186" s="226"/>
      <x:c r="E186" s="226"/>
      <x:c r="F186" s="226"/>
      <x:c r="G186" s="226"/>
      <x:c r="H186" s="226"/>
      <x:c r="I186" s="226"/>
      <x:c r="J186" s="226"/>
      <x:c r="K186" s="226"/>
      <x:c r="L186" s="226"/>
      <x:c r="M186" s="226"/>
      <x:c r="N186" s="226"/>
      <x:c r="O186" s="226"/>
      <x:c r="P186" s="226"/>
      <x:c r="Q186" s="226"/>
      <x:c r="R186" s="226"/>
      <x:c r="S186" s="226"/>
      <x:c r="T186" s="226"/>
      <x:c r="U186" s="226"/>
      <x:c r="V186" s="226"/>
      <x:c r="W186" s="226"/>
      <x:c r="X186" s="226"/>
      <x:c r="Y186" s="226"/>
      <x:c r="Z186" s="226"/>
    </x:row>
    <x:row r="187">
      <x:c r="A187" s="226"/>
      <x:c r="B187" s="226"/>
      <x:c r="C187" s="226"/>
      <x:c r="D187" s="226"/>
      <x:c r="E187" s="226"/>
      <x:c r="F187" s="226"/>
      <x:c r="G187" s="226"/>
      <x:c r="H187" s="226"/>
      <x:c r="I187" s="226"/>
      <x:c r="J187" s="226"/>
      <x:c r="K187" s="226"/>
      <x:c r="L187" s="226"/>
      <x:c r="M187" s="226"/>
      <x:c r="N187" s="226"/>
      <x:c r="O187" s="226"/>
      <x:c r="P187" s="226"/>
      <x:c r="Q187" s="226"/>
      <x:c r="R187" s="226"/>
      <x:c r="S187" s="226"/>
      <x:c r="T187" s="226"/>
      <x:c r="U187" s="226"/>
      <x:c r="V187" s="226"/>
      <x:c r="W187" s="226"/>
      <x:c r="X187" s="226"/>
      <x:c r="Y187" s="226"/>
      <x:c r="Z187" s="226"/>
    </x:row>
    <x:row r="188">
      <x:c r="A188" s="226"/>
      <x:c r="B188" s="226"/>
      <x:c r="C188" s="226"/>
      <x:c r="D188" s="226"/>
      <x:c r="E188" s="226"/>
      <x:c r="F188" s="226"/>
      <x:c r="G188" s="226"/>
      <x:c r="H188" s="226"/>
      <x:c r="I188" s="226"/>
      <x:c r="J188" s="226"/>
      <x:c r="K188" s="226"/>
      <x:c r="L188" s="226"/>
      <x:c r="M188" s="226"/>
      <x:c r="N188" s="226"/>
      <x:c r="O188" s="226"/>
      <x:c r="P188" s="226"/>
      <x:c r="Q188" s="226"/>
      <x:c r="R188" s="226"/>
      <x:c r="S188" s="226"/>
      <x:c r="T188" s="226"/>
      <x:c r="U188" s="226"/>
      <x:c r="V188" s="226"/>
      <x:c r="W188" s="226"/>
      <x:c r="X188" s="226"/>
      <x:c r="Y188" s="226"/>
      <x:c r="Z188" s="226"/>
    </x:row>
    <x:row r="189">
      <x:c r="A189" s="226"/>
      <x:c r="B189" s="226"/>
      <x:c r="C189" s="226"/>
      <x:c r="D189" s="226"/>
      <x:c r="E189" s="226"/>
      <x:c r="F189" s="226"/>
      <x:c r="G189" s="226"/>
      <x:c r="H189" s="226"/>
      <x:c r="I189" s="226"/>
      <x:c r="J189" s="226"/>
      <x:c r="K189" s="226"/>
      <x:c r="L189" s="226"/>
      <x:c r="M189" s="226"/>
      <x:c r="N189" s="226"/>
      <x:c r="O189" s="226"/>
      <x:c r="P189" s="226"/>
      <x:c r="Q189" s="226"/>
      <x:c r="R189" s="226"/>
      <x:c r="S189" s="226"/>
      <x:c r="T189" s="226"/>
      <x:c r="U189" s="226"/>
      <x:c r="V189" s="226"/>
      <x:c r="W189" s="226"/>
      <x:c r="X189" s="226"/>
      <x:c r="Y189" s="226"/>
      <x:c r="Z189" s="226"/>
    </x:row>
    <x:row r="190">
      <x:c r="A190" s="226"/>
      <x:c r="B190" s="226"/>
      <x:c r="C190" s="226"/>
      <x:c r="D190" s="226"/>
      <x:c r="E190" s="226"/>
      <x:c r="F190" s="226"/>
      <x:c r="G190" s="226"/>
      <x:c r="H190" s="226"/>
      <x:c r="I190" s="226"/>
      <x:c r="J190" s="226"/>
      <x:c r="K190" s="226"/>
      <x:c r="L190" s="226"/>
      <x:c r="M190" s="226"/>
      <x:c r="N190" s="226"/>
      <x:c r="O190" s="226"/>
      <x:c r="P190" s="226"/>
      <x:c r="Q190" s="226"/>
      <x:c r="R190" s="226"/>
      <x:c r="S190" s="226"/>
      <x:c r="T190" s="226"/>
      <x:c r="U190" s="226"/>
      <x:c r="V190" s="226"/>
      <x:c r="W190" s="226"/>
      <x:c r="X190" s="226"/>
      <x:c r="Y190" s="226"/>
      <x:c r="Z190" s="226"/>
    </x:row>
    <x:row r="191">
      <x:c r="A191" s="226"/>
      <x:c r="B191" s="226"/>
      <x:c r="C191" s="226"/>
      <x:c r="D191" s="226"/>
      <x:c r="E191" s="226"/>
      <x:c r="F191" s="226"/>
      <x:c r="G191" s="226"/>
      <x:c r="H191" s="226"/>
      <x:c r="I191" s="226"/>
      <x:c r="J191" s="226"/>
      <x:c r="K191" s="226"/>
      <x:c r="L191" s="226"/>
      <x:c r="M191" s="226"/>
      <x:c r="N191" s="226"/>
      <x:c r="O191" s="226"/>
      <x:c r="P191" s="226"/>
      <x:c r="Q191" s="226"/>
      <x:c r="R191" s="226"/>
      <x:c r="S191" s="226"/>
      <x:c r="T191" s="226"/>
      <x:c r="U191" s="226"/>
      <x:c r="V191" s="226"/>
      <x:c r="W191" s="226"/>
      <x:c r="X191" s="226"/>
      <x:c r="Y191" s="226"/>
      <x:c r="Z191" s="226"/>
    </x:row>
    <x:row r="192">
      <x:c r="A192" s="226"/>
      <x:c r="B192" s="226"/>
      <x:c r="C192" s="226"/>
      <x:c r="D192" s="226"/>
      <x:c r="E192" s="226"/>
      <x:c r="F192" s="226"/>
      <x:c r="G192" s="226"/>
      <x:c r="H192" s="226"/>
      <x:c r="I192" s="226"/>
      <x:c r="J192" s="226"/>
      <x:c r="K192" s="226"/>
      <x:c r="L192" s="226"/>
      <x:c r="M192" s="226"/>
      <x:c r="N192" s="226"/>
      <x:c r="O192" s="226"/>
      <x:c r="P192" s="226"/>
      <x:c r="Q192" s="226"/>
      <x:c r="R192" s="226"/>
      <x:c r="S192" s="226"/>
      <x:c r="T192" s="226"/>
      <x:c r="U192" s="226"/>
      <x:c r="V192" s="226"/>
      <x:c r="W192" s="226"/>
      <x:c r="X192" s="226"/>
      <x:c r="Y192" s="226"/>
      <x:c r="Z192" s="226"/>
    </x:row>
    <x:row r="193">
      <x:c r="A193" s="226"/>
      <x:c r="B193" s="226"/>
      <x:c r="C193" s="226"/>
      <x:c r="D193" s="226"/>
      <x:c r="E193" s="226"/>
      <x:c r="F193" s="226"/>
      <x:c r="G193" s="226"/>
      <x:c r="H193" s="226"/>
      <x:c r="I193" s="226"/>
      <x:c r="J193" s="226"/>
      <x:c r="K193" s="226"/>
      <x:c r="L193" s="226"/>
      <x:c r="M193" s="226"/>
      <x:c r="N193" s="226"/>
      <x:c r="O193" s="226"/>
      <x:c r="P193" s="226"/>
      <x:c r="Q193" s="226"/>
      <x:c r="R193" s="226"/>
      <x:c r="S193" s="226"/>
      <x:c r="T193" s="226"/>
      <x:c r="U193" s="226"/>
      <x:c r="V193" s="226"/>
      <x:c r="W193" s="226"/>
      <x:c r="X193" s="226"/>
      <x:c r="Y193" s="226"/>
      <x:c r="Z193" s="226"/>
    </x:row>
    <x:row r="194">
      <x:c r="A194" s="226"/>
      <x:c r="B194" s="226"/>
      <x:c r="C194" s="226"/>
      <x:c r="D194" s="226"/>
      <x:c r="E194" s="226"/>
      <x:c r="F194" s="226"/>
      <x:c r="G194" s="226"/>
      <x:c r="H194" s="226"/>
      <x:c r="I194" s="226"/>
      <x:c r="J194" s="226"/>
      <x:c r="K194" s="226"/>
      <x:c r="L194" s="226"/>
      <x:c r="M194" s="226"/>
      <x:c r="N194" s="226"/>
      <x:c r="O194" s="226"/>
      <x:c r="P194" s="226"/>
      <x:c r="Q194" s="226"/>
      <x:c r="R194" s="226"/>
      <x:c r="S194" s="226"/>
      <x:c r="T194" s="226"/>
      <x:c r="U194" s="226"/>
      <x:c r="V194" s="226"/>
      <x:c r="W194" s="226"/>
      <x:c r="X194" s="226"/>
      <x:c r="Y194" s="226"/>
      <x:c r="Z194" s="226"/>
    </x:row>
    <x:row r="195">
      <x:c r="A195" s="226"/>
      <x:c r="B195" s="226"/>
      <x:c r="C195" s="226"/>
      <x:c r="D195" s="226"/>
      <x:c r="E195" s="226"/>
      <x:c r="F195" s="226"/>
      <x:c r="G195" s="226"/>
      <x:c r="H195" s="226"/>
      <x:c r="I195" s="226"/>
      <x:c r="J195" s="226"/>
      <x:c r="K195" s="226"/>
      <x:c r="L195" s="226"/>
      <x:c r="M195" s="226"/>
      <x:c r="N195" s="226"/>
      <x:c r="O195" s="226"/>
      <x:c r="P195" s="226"/>
      <x:c r="Q195" s="226"/>
      <x:c r="R195" s="226"/>
      <x:c r="S195" s="226"/>
      <x:c r="T195" s="226"/>
      <x:c r="U195" s="226"/>
      <x:c r="V195" s="226"/>
      <x:c r="W195" s="226"/>
      <x:c r="X195" s="226"/>
      <x:c r="Y195" s="226"/>
      <x:c r="Z195" s="226"/>
    </x:row>
    <x:row r="196">
      <x:c r="A196" s="226"/>
      <x:c r="B196" s="226"/>
      <x:c r="C196" s="226"/>
      <x:c r="D196" s="226"/>
      <x:c r="E196" s="226"/>
      <x:c r="F196" s="226"/>
      <x:c r="G196" s="226"/>
      <x:c r="H196" s="226"/>
      <x:c r="I196" s="226"/>
      <x:c r="J196" s="226"/>
      <x:c r="K196" s="226"/>
      <x:c r="L196" s="226"/>
      <x:c r="M196" s="226"/>
      <x:c r="N196" s="226"/>
      <x:c r="O196" s="226"/>
      <x:c r="P196" s="226"/>
      <x:c r="Q196" s="226"/>
      <x:c r="R196" s="226"/>
      <x:c r="S196" s="226"/>
      <x:c r="T196" s="226"/>
      <x:c r="U196" s="226"/>
      <x:c r="V196" s="226"/>
      <x:c r="W196" s="226"/>
      <x:c r="X196" s="226"/>
      <x:c r="Y196" s="226"/>
      <x:c r="Z196" s="226"/>
    </x:row>
    <x:row r="197">
      <x:c r="A197" s="226"/>
      <x:c r="B197" s="226"/>
      <x:c r="C197" s="226"/>
      <x:c r="D197" s="226"/>
      <x:c r="E197" s="226"/>
      <x:c r="F197" s="226"/>
      <x:c r="G197" s="226"/>
      <x:c r="H197" s="226"/>
      <x:c r="I197" s="226"/>
      <x:c r="J197" s="226"/>
      <x:c r="K197" s="226"/>
      <x:c r="L197" s="226"/>
      <x:c r="M197" s="226"/>
      <x:c r="N197" s="226"/>
      <x:c r="O197" s="226"/>
      <x:c r="P197" s="226"/>
      <x:c r="Q197" s="226"/>
      <x:c r="R197" s="226"/>
      <x:c r="S197" s="226"/>
      <x:c r="T197" s="226"/>
      <x:c r="U197" s="226"/>
      <x:c r="V197" s="226"/>
      <x:c r="W197" s="226"/>
      <x:c r="X197" s="226"/>
      <x:c r="Y197" s="226"/>
      <x:c r="Z197" s="226"/>
    </x:row>
    <x:row r="198">
      <x:c r="A198" s="226"/>
      <x:c r="B198" s="226"/>
      <x:c r="C198" s="226"/>
      <x:c r="D198" s="226"/>
      <x:c r="E198" s="226"/>
      <x:c r="F198" s="226"/>
      <x:c r="G198" s="226"/>
      <x:c r="H198" s="226"/>
      <x:c r="I198" s="226"/>
      <x:c r="J198" s="226"/>
      <x:c r="K198" s="226"/>
      <x:c r="L198" s="226"/>
      <x:c r="M198" s="226"/>
      <x:c r="N198" s="226"/>
      <x:c r="O198" s="226"/>
      <x:c r="P198" s="226"/>
      <x:c r="Q198" s="226"/>
      <x:c r="R198" s="226"/>
      <x:c r="S198" s="226"/>
      <x:c r="T198" s="226"/>
      <x:c r="U198" s="226"/>
      <x:c r="V198" s="226"/>
      <x:c r="W198" s="226"/>
      <x:c r="X198" s="226"/>
      <x:c r="Y198" s="226"/>
      <x:c r="Z198" s="226"/>
    </x:row>
    <x:row r="199">
      <x:c r="A199" s="226"/>
      <x:c r="B199" s="226"/>
      <x:c r="C199" s="226"/>
      <x:c r="D199" s="226"/>
      <x:c r="E199" s="226"/>
      <x:c r="F199" s="226"/>
      <x:c r="G199" s="226"/>
      <x:c r="H199" s="226"/>
      <x:c r="I199" s="226"/>
      <x:c r="J199" s="226"/>
      <x:c r="K199" s="226"/>
      <x:c r="L199" s="226"/>
      <x:c r="M199" s="226"/>
      <x:c r="N199" s="226"/>
      <x:c r="O199" s="226"/>
      <x:c r="P199" s="226"/>
      <x:c r="Q199" s="226"/>
      <x:c r="R199" s="226"/>
      <x:c r="S199" s="226"/>
      <x:c r="T199" s="226"/>
      <x:c r="U199" s="226"/>
      <x:c r="V199" s="226"/>
      <x:c r="W199" s="226"/>
      <x:c r="X199" s="226"/>
      <x:c r="Y199" s="226"/>
      <x:c r="Z199" s="226"/>
    </x:row>
    <x:row r="200">
      <x:c r="A200" s="226"/>
      <x:c r="B200" s="226"/>
      <x:c r="C200" s="226"/>
      <x:c r="D200" s="226"/>
      <x:c r="E200" s="226"/>
      <x:c r="F200" s="226"/>
      <x:c r="G200" s="226"/>
      <x:c r="H200" s="226"/>
      <x:c r="I200" s="226"/>
      <x:c r="J200" s="226"/>
      <x:c r="K200" s="226"/>
      <x:c r="L200" s="226"/>
      <x:c r="M200" s="226"/>
      <x:c r="N200" s="226"/>
      <x:c r="O200" s="226"/>
      <x:c r="P200" s="226"/>
      <x:c r="Q200" s="226"/>
      <x:c r="R200" s="226"/>
      <x:c r="S200" s="226"/>
      <x:c r="T200" s="226"/>
      <x:c r="U200" s="226"/>
      <x:c r="V200" s="226"/>
      <x:c r="W200" s="226"/>
      <x:c r="X200" s="226"/>
      <x:c r="Y200" s="226"/>
      <x:c r="Z200" s="226"/>
    </x:row>
    <x:row r="201">
      <x:c r="A201" s="226"/>
      <x:c r="B201" s="226"/>
      <x:c r="C201" s="226"/>
      <x:c r="D201" s="226"/>
      <x:c r="E201" s="226"/>
      <x:c r="F201" s="226"/>
      <x:c r="G201" s="226"/>
      <x:c r="H201" s="226"/>
      <x:c r="I201" s="226"/>
      <x:c r="J201" s="226"/>
      <x:c r="K201" s="226"/>
      <x:c r="L201" s="226"/>
      <x:c r="M201" s="226"/>
      <x:c r="N201" s="226"/>
      <x:c r="O201" s="226"/>
      <x:c r="P201" s="226"/>
      <x:c r="Q201" s="226"/>
      <x:c r="R201" s="226"/>
      <x:c r="S201" s="226"/>
      <x:c r="T201" s="226"/>
      <x:c r="U201" s="226"/>
      <x:c r="V201" s="226"/>
      <x:c r="W201" s="226"/>
      <x:c r="X201" s="226"/>
      <x:c r="Y201" s="226"/>
      <x:c r="Z201" s="226"/>
    </x:row>
    <x:row r="202">
      <x:c r="A202" s="226"/>
      <x:c r="B202" s="226"/>
      <x:c r="C202" s="226"/>
      <x:c r="D202" s="226"/>
      <x:c r="E202" s="226"/>
      <x:c r="F202" s="226"/>
      <x:c r="G202" s="226"/>
      <x:c r="H202" s="226"/>
      <x:c r="I202" s="226"/>
      <x:c r="J202" s="226"/>
      <x:c r="K202" s="226"/>
      <x:c r="L202" s="226"/>
      <x:c r="M202" s="226"/>
      <x:c r="N202" s="226"/>
      <x:c r="O202" s="226"/>
      <x:c r="P202" s="226"/>
      <x:c r="Q202" s="226"/>
      <x:c r="R202" s="226"/>
      <x:c r="S202" s="226"/>
      <x:c r="T202" s="226"/>
      <x:c r="U202" s="226"/>
      <x:c r="V202" s="226"/>
      <x:c r="W202" s="226"/>
      <x:c r="X202" s="226"/>
      <x:c r="Y202" s="226"/>
      <x:c r="Z202" s="226"/>
    </x:row>
    <x:row r="203">
      <x:c r="A203" s="226"/>
      <x:c r="B203" s="226"/>
      <x:c r="C203" s="226"/>
      <x:c r="D203" s="226"/>
      <x:c r="E203" s="226"/>
      <x:c r="F203" s="226"/>
      <x:c r="G203" s="226"/>
      <x:c r="H203" s="226"/>
      <x:c r="I203" s="226"/>
      <x:c r="J203" s="226"/>
      <x:c r="K203" s="226"/>
      <x:c r="L203" s="226"/>
      <x:c r="M203" s="226"/>
      <x:c r="N203" s="226"/>
      <x:c r="O203" s="226"/>
      <x:c r="P203" s="226"/>
      <x:c r="Q203" s="226"/>
      <x:c r="R203" s="226"/>
      <x:c r="S203" s="226"/>
      <x:c r="T203" s="226"/>
      <x:c r="U203" s="226"/>
      <x:c r="V203" s="226"/>
      <x:c r="W203" s="226"/>
      <x:c r="X203" s="226"/>
      <x:c r="Y203" s="226"/>
      <x:c r="Z203" s="226"/>
    </x:row>
    <x:row r="204">
      <x:c r="A204" s="226"/>
      <x:c r="B204" s="226"/>
      <x:c r="C204" s="226"/>
      <x:c r="D204" s="226"/>
      <x:c r="E204" s="226"/>
      <x:c r="F204" s="226"/>
      <x:c r="G204" s="226"/>
      <x:c r="H204" s="226"/>
      <x:c r="I204" s="226"/>
      <x:c r="J204" s="226"/>
      <x:c r="K204" s="226"/>
      <x:c r="L204" s="226"/>
      <x:c r="M204" s="226"/>
      <x:c r="N204" s="226"/>
      <x:c r="O204" s="226"/>
      <x:c r="P204" s="226"/>
      <x:c r="Q204" s="226"/>
      <x:c r="R204" s="226"/>
      <x:c r="S204" s="226"/>
      <x:c r="T204" s="226"/>
      <x:c r="U204" s="226"/>
      <x:c r="V204" s="226"/>
      <x:c r="W204" s="226"/>
      <x:c r="X204" s="226"/>
      <x:c r="Y204" s="226"/>
      <x:c r="Z204" s="226"/>
    </x:row>
    <x:row r="205">
      <x:c r="A205" s="226"/>
      <x:c r="B205" s="226"/>
      <x:c r="C205" s="226"/>
      <x:c r="D205" s="226"/>
      <x:c r="E205" s="226"/>
      <x:c r="F205" s="226"/>
      <x:c r="G205" s="226"/>
      <x:c r="H205" s="226"/>
      <x:c r="I205" s="226"/>
      <x:c r="J205" s="226"/>
      <x:c r="K205" s="226"/>
      <x:c r="L205" s="226"/>
      <x:c r="M205" s="226"/>
      <x:c r="N205" s="226"/>
      <x:c r="O205" s="226"/>
      <x:c r="P205" s="226"/>
      <x:c r="Q205" s="226"/>
      <x:c r="R205" s="226"/>
      <x:c r="S205" s="226"/>
      <x:c r="T205" s="226"/>
      <x:c r="U205" s="226"/>
      <x:c r="V205" s="226"/>
      <x:c r="W205" s="226"/>
      <x:c r="X205" s="226"/>
      <x:c r="Y205" s="226"/>
      <x:c r="Z205" s="226"/>
    </x:row>
    <x:row r="206">
      <x:c r="A206" s="226"/>
      <x:c r="B206" s="226"/>
      <x:c r="C206" s="226"/>
      <x:c r="D206" s="226"/>
      <x:c r="E206" s="226"/>
      <x:c r="F206" s="226"/>
      <x:c r="G206" s="226"/>
      <x:c r="H206" s="226"/>
      <x:c r="I206" s="226"/>
      <x:c r="J206" s="226"/>
      <x:c r="K206" s="226"/>
      <x:c r="L206" s="226"/>
      <x:c r="M206" s="226"/>
      <x:c r="N206" s="226"/>
      <x:c r="O206" s="226"/>
      <x:c r="P206" s="226"/>
      <x:c r="Q206" s="226"/>
      <x:c r="R206" s="226"/>
      <x:c r="S206" s="226"/>
      <x:c r="T206" s="226"/>
      <x:c r="U206" s="226"/>
      <x:c r="V206" s="226"/>
      <x:c r="W206" s="226"/>
      <x:c r="X206" s="226"/>
      <x:c r="Y206" s="226"/>
      <x:c r="Z206" s="226"/>
    </x:row>
    <x:row r="207">
      <x:c r="A207" s="226"/>
      <x:c r="B207" s="226"/>
      <x:c r="C207" s="226"/>
      <x:c r="D207" s="226"/>
      <x:c r="E207" s="226"/>
      <x:c r="F207" s="226"/>
      <x:c r="G207" s="226"/>
      <x:c r="H207" s="226"/>
      <x:c r="I207" s="226"/>
      <x:c r="J207" s="226"/>
      <x:c r="K207" s="226"/>
      <x:c r="L207" s="226"/>
      <x:c r="M207" s="226"/>
      <x:c r="N207" s="226"/>
      <x:c r="O207" s="226"/>
      <x:c r="P207" s="226"/>
      <x:c r="Q207" s="226"/>
      <x:c r="R207" s="226"/>
      <x:c r="S207" s="226"/>
      <x:c r="T207" s="226"/>
      <x:c r="U207" s="226"/>
      <x:c r="V207" s="226"/>
      <x:c r="W207" s="226"/>
      <x:c r="X207" s="226"/>
      <x:c r="Y207" s="226"/>
      <x:c r="Z207" s="226"/>
    </x:row>
    <x:row r="208">
      <x:c r="A208" s="226"/>
      <x:c r="B208" s="226"/>
      <x:c r="C208" s="226"/>
      <x:c r="D208" s="226"/>
      <x:c r="E208" s="226"/>
      <x:c r="F208" s="226"/>
      <x:c r="G208" s="226"/>
      <x:c r="H208" s="226"/>
      <x:c r="I208" s="226"/>
      <x:c r="J208" s="226"/>
      <x:c r="K208" s="226"/>
      <x:c r="L208" s="226"/>
      <x:c r="M208" s="226"/>
      <x:c r="N208" s="226"/>
      <x:c r="O208" s="226"/>
      <x:c r="P208" s="226"/>
      <x:c r="Q208" s="226"/>
      <x:c r="R208" s="226"/>
      <x:c r="S208" s="226"/>
      <x:c r="T208" s="226"/>
      <x:c r="U208" s="226"/>
      <x:c r="V208" s="226"/>
      <x:c r="W208" s="226"/>
      <x:c r="X208" s="226"/>
      <x:c r="Y208" s="226"/>
      <x:c r="Z208" s="226"/>
    </x:row>
    <x:row r="209">
      <x:c r="A209" s="226"/>
      <x:c r="B209" s="226"/>
      <x:c r="C209" s="226"/>
      <x:c r="D209" s="226"/>
      <x:c r="E209" s="226"/>
      <x:c r="F209" s="226"/>
      <x:c r="G209" s="226"/>
      <x:c r="H209" s="226"/>
      <x:c r="I209" s="226"/>
      <x:c r="J209" s="226"/>
      <x:c r="K209" s="226"/>
      <x:c r="L209" s="226"/>
      <x:c r="M209" s="226"/>
      <x:c r="N209" s="226"/>
      <x:c r="O209" s="226"/>
      <x:c r="P209" s="226"/>
      <x:c r="Q209" s="226"/>
      <x:c r="R209" s="226"/>
      <x:c r="S209" s="226"/>
      <x:c r="T209" s="226"/>
      <x:c r="U209" s="226"/>
      <x:c r="V209" s="226"/>
      <x:c r="W209" s="226"/>
      <x:c r="X209" s="226"/>
      <x:c r="Y209" s="226"/>
      <x:c r="Z209" s="226"/>
    </x:row>
    <x:row r="210">
      <x:c r="A210" s="226"/>
      <x:c r="B210" s="226"/>
      <x:c r="C210" s="226"/>
      <x:c r="D210" s="226"/>
      <x:c r="E210" s="226"/>
      <x:c r="F210" s="226"/>
      <x:c r="G210" s="226"/>
      <x:c r="H210" s="226"/>
      <x:c r="I210" s="226"/>
      <x:c r="J210" s="226"/>
      <x:c r="K210" s="226"/>
      <x:c r="L210" s="226"/>
      <x:c r="M210" s="226"/>
      <x:c r="N210" s="226"/>
      <x:c r="O210" s="226"/>
      <x:c r="P210" s="226"/>
      <x:c r="Q210" s="226"/>
      <x:c r="R210" s="226"/>
      <x:c r="S210" s="226"/>
      <x:c r="T210" s="226"/>
      <x:c r="U210" s="226"/>
      <x:c r="V210" s="226"/>
      <x:c r="W210" s="226"/>
      <x:c r="X210" s="226"/>
      <x:c r="Y210" s="226"/>
      <x:c r="Z210" s="226"/>
    </x:row>
    <x:row r="211">
      <x:c r="A211" s="226"/>
      <x:c r="B211" s="226"/>
      <x:c r="C211" s="226"/>
      <x:c r="D211" s="226"/>
      <x:c r="E211" s="226"/>
      <x:c r="F211" s="226"/>
      <x:c r="G211" s="226"/>
      <x:c r="H211" s="226"/>
      <x:c r="I211" s="226"/>
      <x:c r="J211" s="226"/>
      <x:c r="K211" s="226"/>
      <x:c r="L211" s="226"/>
      <x:c r="M211" s="226"/>
      <x:c r="N211" s="226"/>
      <x:c r="O211" s="226"/>
      <x:c r="P211" s="226"/>
      <x:c r="Q211" s="226"/>
      <x:c r="R211" s="226"/>
      <x:c r="S211" s="226"/>
      <x:c r="T211" s="226"/>
      <x:c r="U211" s="226"/>
      <x:c r="V211" s="226"/>
      <x:c r="W211" s="226"/>
      <x:c r="X211" s="226"/>
      <x:c r="Y211" s="226"/>
      <x:c r="Z211" s="226"/>
    </x:row>
    <x:row r="212">
      <x:c r="A212" s="226"/>
      <x:c r="B212" s="226"/>
      <x:c r="C212" s="226"/>
      <x:c r="D212" s="226"/>
      <x:c r="E212" s="226"/>
      <x:c r="F212" s="226"/>
      <x:c r="G212" s="226"/>
      <x:c r="H212" s="226"/>
      <x:c r="I212" s="226"/>
      <x:c r="J212" s="226"/>
      <x:c r="K212" s="226"/>
      <x:c r="L212" s="226"/>
      <x:c r="M212" s="226"/>
      <x:c r="N212" s="226"/>
      <x:c r="O212" s="226"/>
      <x:c r="P212" s="226"/>
      <x:c r="Q212" s="226"/>
      <x:c r="R212" s="226"/>
      <x:c r="S212" s="226"/>
      <x:c r="T212" s="226"/>
      <x:c r="U212" s="226"/>
      <x:c r="V212" s="226"/>
      <x:c r="W212" s="226"/>
      <x:c r="X212" s="226"/>
      <x:c r="Y212" s="226"/>
      <x:c r="Z212" s="226"/>
    </x:row>
    <x:row r="213">
      <x:c r="A213" s="226"/>
      <x:c r="B213" s="226"/>
      <x:c r="C213" s="226"/>
      <x:c r="D213" s="226"/>
      <x:c r="E213" s="226"/>
      <x:c r="F213" s="226"/>
      <x:c r="G213" s="226"/>
      <x:c r="H213" s="226"/>
      <x:c r="I213" s="226"/>
      <x:c r="J213" s="226"/>
      <x:c r="K213" s="226"/>
      <x:c r="L213" s="226"/>
      <x:c r="M213" s="226"/>
      <x:c r="N213" s="226"/>
      <x:c r="O213" s="226"/>
      <x:c r="P213" s="226"/>
      <x:c r="Q213" s="226"/>
      <x:c r="R213" s="226"/>
      <x:c r="S213" s="226"/>
      <x:c r="T213" s="226"/>
      <x:c r="U213" s="226"/>
      <x:c r="V213" s="226"/>
      <x:c r="W213" s="226"/>
      <x:c r="X213" s="226"/>
      <x:c r="Y213" s="226"/>
      <x:c r="Z213" s="226"/>
    </x:row>
    <x:row r="214">
      <x:c r="A214" s="226"/>
      <x:c r="B214" s="226"/>
      <x:c r="C214" s="226"/>
      <x:c r="D214" s="226"/>
      <x:c r="E214" s="226"/>
      <x:c r="F214" s="226"/>
      <x:c r="G214" s="226"/>
      <x:c r="H214" s="226"/>
      <x:c r="I214" s="226"/>
      <x:c r="J214" s="226"/>
      <x:c r="K214" s="226"/>
      <x:c r="L214" s="226"/>
      <x:c r="M214" s="226"/>
      <x:c r="N214" s="226"/>
      <x:c r="O214" s="226"/>
      <x:c r="P214" s="226"/>
      <x:c r="Q214" s="226"/>
      <x:c r="R214" s="226"/>
      <x:c r="S214" s="226"/>
      <x:c r="T214" s="226"/>
      <x:c r="U214" s="226"/>
      <x:c r="V214" s="226"/>
      <x:c r="W214" s="226"/>
      <x:c r="X214" s="226"/>
      <x:c r="Y214" s="226"/>
      <x:c r="Z214" s="226"/>
    </x:row>
    <x:row r="215">
      <x:c r="A215" s="226"/>
      <x:c r="B215" s="226"/>
      <x:c r="C215" s="226"/>
      <x:c r="D215" s="226"/>
      <x:c r="E215" s="226"/>
      <x:c r="F215" s="226"/>
      <x:c r="G215" s="226"/>
      <x:c r="H215" s="226"/>
      <x:c r="I215" s="226"/>
      <x:c r="J215" s="226"/>
      <x:c r="K215" s="226"/>
      <x:c r="L215" s="226"/>
      <x:c r="M215" s="226"/>
      <x:c r="N215" s="226"/>
      <x:c r="O215" s="226"/>
      <x:c r="P215" s="226"/>
      <x:c r="Q215" s="226"/>
      <x:c r="R215" s="226"/>
      <x:c r="S215" s="226"/>
      <x:c r="T215" s="226"/>
      <x:c r="U215" s="226"/>
      <x:c r="V215" s="226"/>
      <x:c r="W215" s="226"/>
      <x:c r="X215" s="226"/>
      <x:c r="Y215" s="226"/>
      <x:c r="Z215" s="226"/>
    </x:row>
    <x:row r="216">
      <x:c r="A216" s="226"/>
      <x:c r="B216" s="226"/>
      <x:c r="C216" s="226"/>
      <x:c r="D216" s="226"/>
      <x:c r="E216" s="226"/>
      <x:c r="F216" s="226"/>
      <x:c r="G216" s="226"/>
      <x:c r="H216" s="226"/>
      <x:c r="I216" s="226"/>
      <x:c r="J216" s="226"/>
      <x:c r="K216" s="226"/>
      <x:c r="L216" s="226"/>
      <x:c r="M216" s="226"/>
      <x:c r="N216" s="226"/>
      <x:c r="O216" s="226"/>
      <x:c r="P216" s="226"/>
      <x:c r="Q216" s="226"/>
      <x:c r="R216" s="226"/>
      <x:c r="S216" s="226"/>
      <x:c r="T216" s="226"/>
      <x:c r="U216" s="226"/>
      <x:c r="V216" s="226"/>
      <x:c r="W216" s="226"/>
      <x:c r="X216" s="226"/>
      <x:c r="Y216" s="226"/>
      <x:c r="Z216" s="226"/>
    </x:row>
    <x:row r="217">
      <x:c r="A217" s="226"/>
      <x:c r="B217" s="226"/>
      <x:c r="C217" s="226"/>
      <x:c r="D217" s="226"/>
      <x:c r="E217" s="226"/>
      <x:c r="F217" s="226"/>
      <x:c r="G217" s="226"/>
      <x:c r="H217" s="226"/>
      <x:c r="I217" s="226"/>
      <x:c r="J217" s="226"/>
      <x:c r="K217" s="226"/>
      <x:c r="L217" s="226"/>
      <x:c r="M217" s="226"/>
      <x:c r="N217" s="226"/>
      <x:c r="O217" s="226"/>
      <x:c r="P217" s="226"/>
      <x:c r="Q217" s="226"/>
      <x:c r="R217" s="226"/>
      <x:c r="S217" s="226"/>
      <x:c r="T217" s="226"/>
      <x:c r="U217" s="226"/>
      <x:c r="V217" s="226"/>
      <x:c r="W217" s="226"/>
      <x:c r="X217" s="226"/>
      <x:c r="Y217" s="226"/>
      <x:c r="Z217" s="226"/>
    </x:row>
    <x:row r="218">
      <x:c r="A218" s="226"/>
      <x:c r="B218" s="226"/>
      <x:c r="C218" s="226"/>
      <x:c r="D218" s="226"/>
      <x:c r="E218" s="226"/>
      <x:c r="F218" s="226"/>
      <x:c r="G218" s="226"/>
      <x:c r="H218" s="226"/>
      <x:c r="I218" s="226"/>
      <x:c r="J218" s="226"/>
      <x:c r="K218" s="226"/>
      <x:c r="L218" s="226"/>
      <x:c r="M218" s="226"/>
      <x:c r="N218" s="226"/>
      <x:c r="O218" s="226"/>
      <x:c r="P218" s="226"/>
      <x:c r="Q218" s="226"/>
      <x:c r="R218" s="226"/>
      <x:c r="S218" s="226"/>
      <x:c r="T218" s="226"/>
      <x:c r="U218" s="226"/>
      <x:c r="V218" s="226"/>
      <x:c r="W218" s="226"/>
      <x:c r="X218" s="226"/>
      <x:c r="Y218" s="226"/>
      <x:c r="Z218" s="226"/>
    </x:row>
    <x:row r="219">
      <x:c r="A219" s="226"/>
      <x:c r="B219" s="226"/>
      <x:c r="C219" s="226"/>
      <x:c r="D219" s="226"/>
      <x:c r="E219" s="226"/>
      <x:c r="F219" s="226"/>
      <x:c r="G219" s="226"/>
      <x:c r="H219" s="226"/>
      <x:c r="I219" s="226"/>
      <x:c r="J219" s="226"/>
      <x:c r="K219" s="226"/>
      <x:c r="L219" s="226"/>
      <x:c r="M219" s="226"/>
      <x:c r="N219" s="226"/>
      <x:c r="O219" s="226"/>
      <x:c r="P219" s="226"/>
      <x:c r="Q219" s="226"/>
      <x:c r="R219" s="226"/>
      <x:c r="S219" s="226"/>
      <x:c r="T219" s="226"/>
      <x:c r="U219" s="226"/>
      <x:c r="V219" s="226"/>
      <x:c r="W219" s="226"/>
      <x:c r="X219" s="226"/>
      <x:c r="Y219" s="226"/>
      <x:c r="Z219" s="226"/>
    </x:row>
    <x:row r="220">
      <x:c r="A220" s="226"/>
      <x:c r="B220" s="226"/>
      <x:c r="C220" s="226"/>
      <x:c r="D220" s="226"/>
      <x:c r="E220" s="226"/>
      <x:c r="F220" s="226"/>
      <x:c r="G220" s="226"/>
      <x:c r="H220" s="226"/>
      <x:c r="I220" s="226"/>
      <x:c r="J220" s="226"/>
      <x:c r="K220" s="226"/>
      <x:c r="L220" s="226"/>
      <x:c r="M220" s="226"/>
      <x:c r="N220" s="226"/>
      <x:c r="O220" s="226"/>
      <x:c r="P220" s="226"/>
      <x:c r="Q220" s="226"/>
      <x:c r="R220" s="226"/>
      <x:c r="S220" s="226"/>
      <x:c r="T220" s="226"/>
      <x:c r="U220" s="226"/>
      <x:c r="V220" s="226"/>
      <x:c r="W220" s="226"/>
      <x:c r="X220" s="226"/>
      <x:c r="Y220" s="226"/>
      <x:c r="Z220" s="226"/>
    </x:row>
    <x:row r="221">
      <x:c r="A221" s="226"/>
      <x:c r="B221" s="226"/>
      <x:c r="C221" s="226"/>
      <x:c r="D221" s="226"/>
      <x:c r="E221" s="226"/>
      <x:c r="F221" s="226"/>
      <x:c r="G221" s="226"/>
      <x:c r="H221" s="226"/>
      <x:c r="I221" s="226"/>
      <x:c r="J221" s="226"/>
      <x:c r="K221" s="226"/>
      <x:c r="L221" s="226"/>
      <x:c r="M221" s="226"/>
      <x:c r="N221" s="226"/>
      <x:c r="O221" s="226"/>
      <x:c r="P221" s="226"/>
      <x:c r="Q221" s="226"/>
      <x:c r="R221" s="226"/>
      <x:c r="S221" s="226"/>
      <x:c r="T221" s="226"/>
      <x:c r="U221" s="226"/>
      <x:c r="V221" s="226"/>
      <x:c r="W221" s="226"/>
      <x:c r="X221" s="226"/>
      <x:c r="Y221" s="226"/>
      <x:c r="Z221" s="226"/>
    </x:row>
    <x:row r="222">
      <x:c r="A222" s="226"/>
      <x:c r="B222" s="226"/>
      <x:c r="C222" s="226"/>
      <x:c r="D222" s="226"/>
      <x:c r="E222" s="226"/>
      <x:c r="F222" s="226"/>
      <x:c r="G222" s="226"/>
      <x:c r="H222" s="226"/>
      <x:c r="I222" s="226"/>
      <x:c r="J222" s="226"/>
      <x:c r="K222" s="226"/>
      <x:c r="L222" s="226"/>
      <x:c r="M222" s="226"/>
      <x:c r="N222" s="226"/>
      <x:c r="O222" s="226"/>
      <x:c r="P222" s="226"/>
      <x:c r="Q222" s="226"/>
      <x:c r="R222" s="226"/>
      <x:c r="S222" s="226"/>
      <x:c r="T222" s="226"/>
      <x:c r="U222" s="226"/>
      <x:c r="V222" s="226"/>
      <x:c r="W222" s="226"/>
      <x:c r="X222" s="226"/>
      <x:c r="Y222" s="226"/>
      <x:c r="Z222" s="226"/>
    </x:row>
    <x:row r="223">
      <x:c r="A223" s="226"/>
      <x:c r="B223" s="226"/>
      <x:c r="C223" s="226"/>
      <x:c r="D223" s="226"/>
      <x:c r="E223" s="226"/>
      <x:c r="F223" s="226"/>
      <x:c r="G223" s="226"/>
      <x:c r="H223" s="226"/>
      <x:c r="I223" s="226"/>
      <x:c r="J223" s="226"/>
      <x:c r="K223" s="226"/>
      <x:c r="L223" s="226"/>
      <x:c r="M223" s="226"/>
      <x:c r="N223" s="226"/>
      <x:c r="O223" s="226"/>
      <x:c r="P223" s="226"/>
      <x:c r="Q223" s="226"/>
      <x:c r="R223" s="226"/>
      <x:c r="S223" s="226"/>
      <x:c r="T223" s="226"/>
      <x:c r="U223" s="226"/>
      <x:c r="V223" s="226"/>
      <x:c r="W223" s="226"/>
      <x:c r="X223" s="226"/>
      <x:c r="Y223" s="226"/>
      <x:c r="Z223" s="226"/>
    </x:row>
    <x:row r="224">
      <x:c r="A224" s="226"/>
      <x:c r="B224" s="226"/>
      <x:c r="C224" s="226"/>
      <x:c r="D224" s="226"/>
      <x:c r="E224" s="226"/>
      <x:c r="F224" s="226"/>
      <x:c r="G224" s="226"/>
      <x:c r="H224" s="226"/>
      <x:c r="I224" s="226"/>
      <x:c r="J224" s="226"/>
      <x:c r="K224" s="226"/>
      <x:c r="L224" s="226"/>
      <x:c r="M224" s="226"/>
      <x:c r="N224" s="226"/>
      <x:c r="O224" s="226"/>
      <x:c r="P224" s="226"/>
      <x:c r="Q224" s="226"/>
      <x:c r="R224" s="226"/>
      <x:c r="S224" s="226"/>
      <x:c r="T224" s="226"/>
      <x:c r="U224" s="226"/>
      <x:c r="V224" s="226"/>
      <x:c r="W224" s="226"/>
      <x:c r="X224" s="226"/>
      <x:c r="Y224" s="226"/>
      <x:c r="Z224" s="226"/>
    </x:row>
    <x:row r="225">
      <x:c r="A225" s="226"/>
      <x:c r="B225" s="226"/>
      <x:c r="C225" s="226"/>
      <x:c r="D225" s="226"/>
      <x:c r="E225" s="226"/>
      <x:c r="F225" s="226"/>
      <x:c r="G225" s="226"/>
      <x:c r="H225" s="226"/>
      <x:c r="I225" s="226"/>
      <x:c r="J225" s="226"/>
      <x:c r="K225" s="226"/>
      <x:c r="L225" s="226"/>
      <x:c r="M225" s="226"/>
      <x:c r="N225" s="226"/>
      <x:c r="O225" s="226"/>
      <x:c r="P225" s="226"/>
      <x:c r="Q225" s="226"/>
      <x:c r="R225" s="226"/>
      <x:c r="S225" s="226"/>
      <x:c r="T225" s="226"/>
      <x:c r="U225" s="226"/>
      <x:c r="V225" s="226"/>
      <x:c r="W225" s="226"/>
      <x:c r="X225" s="226"/>
      <x:c r="Y225" s="226"/>
      <x:c r="Z225" s="226"/>
    </x:row>
    <x:row r="226">
      <x:c r="A226" s="226"/>
      <x:c r="B226" s="226"/>
      <x:c r="C226" s="226"/>
      <x:c r="D226" s="226"/>
      <x:c r="E226" s="226"/>
      <x:c r="F226" s="226"/>
      <x:c r="G226" s="226"/>
      <x:c r="H226" s="226"/>
      <x:c r="I226" s="226"/>
      <x:c r="J226" s="226"/>
      <x:c r="K226" s="226"/>
      <x:c r="L226" s="226"/>
      <x:c r="M226" s="226"/>
      <x:c r="N226" s="226"/>
      <x:c r="O226" s="226"/>
      <x:c r="P226" s="226"/>
      <x:c r="Q226" s="226"/>
      <x:c r="R226" s="226"/>
      <x:c r="S226" s="226"/>
      <x:c r="T226" s="226"/>
      <x:c r="U226" s="226"/>
      <x:c r="V226" s="226"/>
      <x:c r="W226" s="226"/>
      <x:c r="X226" s="226"/>
      <x:c r="Y226" s="226"/>
      <x:c r="Z226" s="226"/>
    </x:row>
    <x:row r="227">
      <x:c r="A227" s="226"/>
      <x:c r="B227" s="226"/>
      <x:c r="C227" s="226"/>
      <x:c r="D227" s="226"/>
      <x:c r="E227" s="226"/>
      <x:c r="F227" s="226"/>
      <x:c r="G227" s="226"/>
      <x:c r="H227" s="226"/>
      <x:c r="I227" s="226"/>
      <x:c r="J227" s="226"/>
      <x:c r="K227" s="226"/>
      <x:c r="L227" s="226"/>
      <x:c r="M227" s="226"/>
      <x:c r="N227" s="226"/>
      <x:c r="O227" s="226"/>
      <x:c r="P227" s="226"/>
      <x:c r="Q227" s="226"/>
      <x:c r="R227" s="226"/>
      <x:c r="S227" s="226"/>
      <x:c r="T227" s="226"/>
      <x:c r="U227" s="226"/>
      <x:c r="V227" s="226"/>
      <x:c r="W227" s="226"/>
      <x:c r="X227" s="226"/>
      <x:c r="Y227" s="226"/>
      <x:c r="Z227" s="226"/>
    </x:row>
    <x:row r="228">
      <x:c r="A228" s="226"/>
      <x:c r="B228" s="226"/>
      <x:c r="C228" s="226"/>
      <x:c r="D228" s="226"/>
      <x:c r="E228" s="226"/>
      <x:c r="F228" s="226"/>
      <x:c r="G228" s="226"/>
      <x:c r="H228" s="226"/>
      <x:c r="I228" s="226"/>
      <x:c r="J228" s="226"/>
      <x:c r="K228" s="226"/>
      <x:c r="L228" s="226"/>
      <x:c r="M228" s="226"/>
      <x:c r="N228" s="226"/>
      <x:c r="O228" s="226"/>
      <x:c r="P228" s="226"/>
      <x:c r="Q228" s="226"/>
      <x:c r="R228" s="226"/>
      <x:c r="S228" s="226"/>
      <x:c r="T228" s="226"/>
      <x:c r="U228" s="226"/>
      <x:c r="V228" s="226"/>
      <x:c r="W228" s="226"/>
      <x:c r="X228" s="226"/>
      <x:c r="Y228" s="226"/>
      <x:c r="Z228" s="226"/>
    </x:row>
    <x:row r="229">
      <x:c r="A229" s="226"/>
      <x:c r="B229" s="226"/>
      <x:c r="C229" s="226"/>
      <x:c r="D229" s="226"/>
      <x:c r="E229" s="226"/>
      <x:c r="F229" s="226"/>
      <x:c r="G229" s="226"/>
      <x:c r="H229" s="226"/>
      <x:c r="I229" s="226"/>
      <x:c r="J229" s="226"/>
      <x:c r="K229" s="226"/>
      <x:c r="L229" s="226"/>
      <x:c r="M229" s="226"/>
      <x:c r="N229" s="226"/>
      <x:c r="O229" s="226"/>
      <x:c r="P229" s="226"/>
      <x:c r="Q229" s="226"/>
      <x:c r="R229" s="226"/>
      <x:c r="S229" s="226"/>
      <x:c r="T229" s="226"/>
      <x:c r="U229" s="226"/>
      <x:c r="V229" s="226"/>
      <x:c r="W229" s="226"/>
      <x:c r="X229" s="226"/>
      <x:c r="Y229" s="226"/>
      <x:c r="Z229" s="226"/>
    </x:row>
    <x:row r="230">
      <x:c r="A230" s="226"/>
      <x:c r="B230" s="226"/>
      <x:c r="C230" s="226"/>
      <x:c r="D230" s="226"/>
      <x:c r="E230" s="226"/>
      <x:c r="F230" s="226"/>
      <x:c r="G230" s="226"/>
      <x:c r="H230" s="226"/>
      <x:c r="I230" s="226"/>
      <x:c r="J230" s="226"/>
      <x:c r="K230" s="226"/>
      <x:c r="L230" s="226"/>
      <x:c r="M230" s="226"/>
      <x:c r="N230" s="226"/>
      <x:c r="O230" s="226"/>
      <x:c r="P230" s="226"/>
      <x:c r="Q230" s="226"/>
      <x:c r="R230" s="226"/>
      <x:c r="S230" s="226"/>
      <x:c r="T230" s="226"/>
      <x:c r="U230" s="226"/>
      <x:c r="V230" s="226"/>
      <x:c r="W230" s="226"/>
      <x:c r="X230" s="226"/>
      <x:c r="Y230" s="226"/>
      <x:c r="Z230" s="226"/>
    </x:row>
    <x:row r="231">
      <x:c r="A231" s="226"/>
      <x:c r="B231" s="226"/>
      <x:c r="C231" s="226"/>
      <x:c r="D231" s="226"/>
      <x:c r="E231" s="226"/>
      <x:c r="F231" s="226"/>
      <x:c r="G231" s="226"/>
      <x:c r="H231" s="226"/>
      <x:c r="I231" s="226"/>
      <x:c r="J231" s="226"/>
      <x:c r="K231" s="226"/>
      <x:c r="L231" s="226"/>
      <x:c r="M231" s="226"/>
      <x:c r="N231" s="226"/>
      <x:c r="O231" s="226"/>
      <x:c r="P231" s="226"/>
      <x:c r="Q231" s="226"/>
      <x:c r="R231" s="226"/>
      <x:c r="S231" s="226"/>
      <x:c r="T231" s="226"/>
      <x:c r="U231" s="226"/>
      <x:c r="V231" s="226"/>
      <x:c r="W231" s="226"/>
      <x:c r="X231" s="226"/>
      <x:c r="Y231" s="226"/>
      <x:c r="Z231" s="226"/>
    </x:row>
    <x:row r="232">
      <x:c r="A232" s="226"/>
      <x:c r="B232" s="226"/>
      <x:c r="C232" s="226"/>
      <x:c r="D232" s="226"/>
      <x:c r="E232" s="226"/>
      <x:c r="F232" s="226"/>
      <x:c r="G232" s="226"/>
      <x:c r="H232" s="226"/>
      <x:c r="I232" s="226"/>
      <x:c r="J232" s="226"/>
      <x:c r="K232" s="226"/>
      <x:c r="L232" s="226"/>
      <x:c r="M232" s="226"/>
      <x:c r="N232" s="226"/>
      <x:c r="O232" s="226"/>
      <x:c r="P232" s="226"/>
      <x:c r="Q232" s="226"/>
      <x:c r="R232" s="226"/>
      <x:c r="S232" s="226"/>
      <x:c r="T232" s="226"/>
      <x:c r="U232" s="226"/>
      <x:c r="V232" s="226"/>
      <x:c r="W232" s="226"/>
      <x:c r="X232" s="226"/>
      <x:c r="Y232" s="226"/>
      <x:c r="Z232" s="226"/>
    </x:row>
    <x:row r="233">
      <x:c r="A233" s="226"/>
      <x:c r="B233" s="226"/>
      <x:c r="C233" s="226"/>
      <x:c r="D233" s="226"/>
      <x:c r="E233" s="226"/>
      <x:c r="F233" s="226"/>
      <x:c r="G233" s="226"/>
      <x:c r="H233" s="226"/>
      <x:c r="I233" s="226"/>
      <x:c r="J233" s="226"/>
      <x:c r="K233" s="226"/>
      <x:c r="L233" s="226"/>
      <x:c r="M233" s="226"/>
      <x:c r="N233" s="226"/>
      <x:c r="O233" s="226"/>
      <x:c r="P233" s="226"/>
      <x:c r="Q233" s="226"/>
      <x:c r="R233" s="226"/>
      <x:c r="S233" s="226"/>
      <x:c r="T233" s="226"/>
      <x:c r="U233" s="226"/>
      <x:c r="V233" s="226"/>
      <x:c r="W233" s="226"/>
      <x:c r="X233" s="226"/>
      <x:c r="Y233" s="226"/>
      <x:c r="Z233" s="226"/>
    </x:row>
    <x:row r="234">
      <x:c r="A234" s="226"/>
      <x:c r="B234" s="226"/>
      <x:c r="C234" s="226"/>
      <x:c r="D234" s="226"/>
      <x:c r="E234" s="226"/>
      <x:c r="F234" s="226"/>
      <x:c r="G234" s="226"/>
      <x:c r="H234" s="226"/>
      <x:c r="I234" s="226"/>
      <x:c r="J234" s="226"/>
      <x:c r="K234" s="226"/>
      <x:c r="L234" s="226"/>
      <x:c r="M234" s="226"/>
      <x:c r="N234" s="226"/>
      <x:c r="O234" s="226"/>
      <x:c r="P234" s="226"/>
      <x:c r="Q234" s="226"/>
      <x:c r="R234" s="226"/>
      <x:c r="S234" s="226"/>
      <x:c r="T234" s="226"/>
      <x:c r="U234" s="226"/>
      <x:c r="V234" s="226"/>
      <x:c r="W234" s="226"/>
      <x:c r="X234" s="226"/>
      <x:c r="Y234" s="226"/>
      <x:c r="Z234" s="226"/>
    </x:row>
    <x:row r="235">
      <x:c r="A235" s="226"/>
      <x:c r="B235" s="226"/>
      <x:c r="C235" s="226"/>
      <x:c r="D235" s="226"/>
      <x:c r="E235" s="226"/>
      <x:c r="F235" s="226"/>
      <x:c r="G235" s="226"/>
      <x:c r="H235" s="226"/>
      <x:c r="I235" s="226"/>
      <x:c r="J235" s="226"/>
      <x:c r="K235" s="226"/>
      <x:c r="L235" s="226"/>
      <x:c r="M235" s="226"/>
      <x:c r="N235" s="226"/>
      <x:c r="O235" s="226"/>
      <x:c r="P235" s="226"/>
      <x:c r="Q235" s="226"/>
      <x:c r="R235" s="226"/>
      <x:c r="S235" s="226"/>
      <x:c r="T235" s="226"/>
      <x:c r="U235" s="226"/>
      <x:c r="V235" s="226"/>
      <x:c r="W235" s="226"/>
      <x:c r="X235" s="226"/>
      <x:c r="Y235" s="226"/>
      <x:c r="Z235" s="226"/>
    </x:row>
    <x:row r="236">
      <x:c r="A236" s="226"/>
      <x:c r="B236" s="226"/>
      <x:c r="C236" s="226"/>
      <x:c r="D236" s="226"/>
      <x:c r="E236" s="226"/>
      <x:c r="F236" s="226"/>
      <x:c r="G236" s="226"/>
      <x:c r="H236" s="226"/>
      <x:c r="I236" s="226"/>
      <x:c r="J236" s="226"/>
      <x:c r="K236" s="226"/>
      <x:c r="L236" s="226"/>
      <x:c r="M236" s="226"/>
      <x:c r="N236" s="226"/>
      <x:c r="O236" s="226"/>
      <x:c r="P236" s="226"/>
      <x:c r="Q236" s="226"/>
      <x:c r="R236" s="226"/>
      <x:c r="S236" s="226"/>
      <x:c r="T236" s="226"/>
      <x:c r="U236" s="226"/>
      <x:c r="V236" s="226"/>
      <x:c r="W236" s="226"/>
      <x:c r="X236" s="226"/>
      <x:c r="Y236" s="226"/>
      <x:c r="Z236" s="226"/>
    </x:row>
    <x:row r="237">
      <x:c r="A237" s="226"/>
      <x:c r="B237" s="226"/>
      <x:c r="C237" s="226"/>
      <x:c r="D237" s="226"/>
      <x:c r="E237" s="226"/>
      <x:c r="F237" s="226"/>
      <x:c r="G237" s="226"/>
      <x:c r="H237" s="226"/>
      <x:c r="I237" s="226"/>
      <x:c r="J237" s="226"/>
      <x:c r="K237" s="226"/>
      <x:c r="L237" s="226"/>
      <x:c r="M237" s="226"/>
      <x:c r="N237" s="226"/>
      <x:c r="O237" s="226"/>
      <x:c r="P237" s="226"/>
      <x:c r="Q237" s="226"/>
      <x:c r="R237" s="226"/>
      <x:c r="S237" s="226"/>
      <x:c r="T237" s="226"/>
      <x:c r="U237" s="226"/>
      <x:c r="V237" s="226"/>
      <x:c r="W237" s="226"/>
      <x:c r="X237" s="226"/>
      <x:c r="Y237" s="226"/>
      <x:c r="Z237" s="226"/>
    </x:row>
    <x:row r="238">
      <x:c r="A238" s="226"/>
      <x:c r="B238" s="226"/>
      <x:c r="C238" s="226"/>
      <x:c r="D238" s="226"/>
      <x:c r="E238" s="226"/>
      <x:c r="F238" s="226"/>
      <x:c r="G238" s="226"/>
      <x:c r="H238" s="226"/>
      <x:c r="I238" s="226"/>
      <x:c r="J238" s="226"/>
      <x:c r="K238" s="226"/>
      <x:c r="L238" s="226"/>
      <x:c r="M238" s="226"/>
      <x:c r="N238" s="226"/>
      <x:c r="O238" s="226"/>
      <x:c r="P238" s="226"/>
      <x:c r="Q238" s="226"/>
      <x:c r="R238" s="226"/>
      <x:c r="S238" s="226"/>
      <x:c r="T238" s="226"/>
      <x:c r="U238" s="226"/>
      <x:c r="V238" s="226"/>
      <x:c r="W238" s="226"/>
      <x:c r="X238" s="226"/>
      <x:c r="Y238" s="226"/>
      <x:c r="Z238" s="226"/>
    </x:row>
    <x:row r="239">
      <x:c r="A239" s="226"/>
      <x:c r="B239" s="226"/>
      <x:c r="C239" s="226"/>
      <x:c r="D239" s="226"/>
      <x:c r="E239" s="226"/>
      <x:c r="F239" s="226"/>
      <x:c r="G239" s="226"/>
      <x:c r="H239" s="226"/>
      <x:c r="I239" s="226"/>
      <x:c r="J239" s="226"/>
      <x:c r="K239" s="226"/>
      <x:c r="L239" s="226"/>
      <x:c r="M239" s="226"/>
      <x:c r="N239" s="226"/>
      <x:c r="O239" s="226"/>
      <x:c r="P239" s="226"/>
      <x:c r="Q239" s="226"/>
      <x:c r="R239" s="226"/>
      <x:c r="S239" s="226"/>
      <x:c r="T239" s="226"/>
      <x:c r="U239" s="226"/>
      <x:c r="V239" s="226"/>
      <x:c r="W239" s="226"/>
      <x:c r="X239" s="226"/>
      <x:c r="Y239" s="226"/>
      <x:c r="Z239" s="226"/>
    </x:row>
    <x:row r="240">
      <x:c r="A240" s="226"/>
      <x:c r="B240" s="226"/>
      <x:c r="C240" s="226"/>
      <x:c r="D240" s="226"/>
      <x:c r="E240" s="226"/>
      <x:c r="F240" s="226"/>
      <x:c r="G240" s="226"/>
      <x:c r="H240" s="226"/>
      <x:c r="I240" s="226"/>
      <x:c r="J240" s="226"/>
      <x:c r="K240" s="226"/>
      <x:c r="L240" s="226"/>
      <x:c r="M240" s="226"/>
      <x:c r="N240" s="226"/>
      <x:c r="O240" s="226"/>
      <x:c r="P240" s="226"/>
      <x:c r="Q240" s="226"/>
      <x:c r="R240" s="226"/>
      <x:c r="S240" s="226"/>
      <x:c r="T240" s="226"/>
      <x:c r="U240" s="226"/>
      <x:c r="V240" s="226"/>
      <x:c r="W240" s="226"/>
      <x:c r="X240" s="226"/>
      <x:c r="Y240" s="226"/>
      <x:c r="Z240" s="226"/>
    </x:row>
    <x:row r="241">
      <x:c r="A241" s="226"/>
      <x:c r="B241" s="226"/>
      <x:c r="C241" s="226"/>
      <x:c r="D241" s="226"/>
      <x:c r="E241" s="226"/>
      <x:c r="F241" s="226"/>
      <x:c r="G241" s="226"/>
      <x:c r="H241" s="226"/>
      <x:c r="I241" s="226"/>
      <x:c r="J241" s="226"/>
      <x:c r="K241" s="226"/>
      <x:c r="L241" s="226"/>
      <x:c r="M241" s="226"/>
      <x:c r="N241" s="226"/>
      <x:c r="O241" s="226"/>
      <x:c r="P241" s="226"/>
      <x:c r="Q241" s="226"/>
      <x:c r="R241" s="226"/>
      <x:c r="S241" s="226"/>
      <x:c r="T241" s="226"/>
      <x:c r="U241" s="226"/>
      <x:c r="V241" s="226"/>
      <x:c r="W241" s="226"/>
      <x:c r="X241" s="226"/>
      <x:c r="Y241" s="226"/>
      <x:c r="Z241" s="226"/>
    </x:row>
    <x:row r="242">
      <x:c r="A242" s="226"/>
      <x:c r="B242" s="226"/>
      <x:c r="C242" s="226"/>
      <x:c r="D242" s="226"/>
      <x:c r="E242" s="226"/>
      <x:c r="F242" s="226"/>
      <x:c r="G242" s="226"/>
      <x:c r="H242" s="226"/>
      <x:c r="I242" s="226"/>
      <x:c r="J242" s="226"/>
      <x:c r="K242" s="226"/>
      <x:c r="L242" s="226"/>
      <x:c r="M242" s="226"/>
      <x:c r="N242" s="226"/>
      <x:c r="O242" s="226"/>
      <x:c r="P242" s="226"/>
      <x:c r="Q242" s="226"/>
      <x:c r="R242" s="226"/>
      <x:c r="S242" s="226"/>
      <x:c r="T242" s="226"/>
      <x:c r="U242" s="226"/>
      <x:c r="V242" s="226"/>
      <x:c r="W242" s="226"/>
      <x:c r="X242" s="226"/>
      <x:c r="Y242" s="226"/>
      <x:c r="Z242" s="226"/>
    </x:row>
    <x:row r="243">
      <x:c r="A243" s="226"/>
      <x:c r="B243" s="226"/>
      <x:c r="C243" s="226"/>
      <x:c r="D243" s="226"/>
      <x:c r="E243" s="226"/>
      <x:c r="F243" s="226"/>
      <x:c r="G243" s="226"/>
      <x:c r="H243" s="226"/>
      <x:c r="I243" s="226"/>
      <x:c r="J243" s="226"/>
      <x:c r="K243" s="226"/>
      <x:c r="L243" s="226"/>
      <x:c r="M243" s="226"/>
      <x:c r="N243" s="226"/>
      <x:c r="O243" s="226"/>
      <x:c r="P243" s="226"/>
      <x:c r="Q243" s="226"/>
      <x:c r="R243" s="226"/>
      <x:c r="S243" s="226"/>
      <x:c r="T243" s="226"/>
      <x:c r="U243" s="226"/>
      <x:c r="V243" s="226"/>
      <x:c r="W243" s="226"/>
      <x:c r="X243" s="226"/>
      <x:c r="Y243" s="226"/>
      <x:c r="Z243" s="226"/>
    </x:row>
    <x:row r="244">
      <x:c r="A244" s="226"/>
      <x:c r="B244" s="226"/>
      <x:c r="C244" s="226"/>
      <x:c r="D244" s="226"/>
      <x:c r="E244" s="226"/>
      <x:c r="F244" s="226"/>
      <x:c r="G244" s="226"/>
      <x:c r="H244" s="226"/>
      <x:c r="I244" s="226"/>
      <x:c r="J244" s="226"/>
      <x:c r="K244" s="226"/>
      <x:c r="L244" s="226"/>
      <x:c r="M244" s="226"/>
      <x:c r="N244" s="226"/>
      <x:c r="O244" s="226"/>
      <x:c r="P244" s="226"/>
      <x:c r="Q244" s="226"/>
      <x:c r="R244" s="226"/>
      <x:c r="S244" s="226"/>
      <x:c r="T244" s="226"/>
      <x:c r="U244" s="226"/>
      <x:c r="V244" s="226"/>
      <x:c r="W244" s="226"/>
      <x:c r="X244" s="226"/>
      <x:c r="Y244" s="226"/>
      <x:c r="Z244" s="226"/>
    </x:row>
    <x:row r="245">
      <x:c r="A245" s="226"/>
      <x:c r="B245" s="226"/>
      <x:c r="C245" s="226"/>
      <x:c r="D245" s="226"/>
      <x:c r="E245" s="226"/>
      <x:c r="F245" s="226"/>
      <x:c r="G245" s="226"/>
      <x:c r="H245" s="226"/>
      <x:c r="I245" s="226"/>
      <x:c r="J245" s="226"/>
      <x:c r="K245" s="226"/>
      <x:c r="L245" s="226"/>
      <x:c r="M245" s="226"/>
      <x:c r="N245" s="226"/>
      <x:c r="O245" s="226"/>
      <x:c r="P245" s="226"/>
      <x:c r="Q245" s="226"/>
      <x:c r="R245" s="226"/>
      <x:c r="S245" s="226"/>
      <x:c r="T245" s="226"/>
      <x:c r="U245" s="226"/>
      <x:c r="V245" s="226"/>
      <x:c r="W245" s="226"/>
      <x:c r="X245" s="226"/>
      <x:c r="Y245" s="226"/>
      <x:c r="Z245" s="226"/>
    </x:row>
    <x:row r="246">
      <x:c r="A246" s="226"/>
      <x:c r="B246" s="226"/>
      <x:c r="C246" s="226"/>
      <x:c r="D246" s="226"/>
      <x:c r="E246" s="226"/>
      <x:c r="F246" s="226"/>
      <x:c r="G246" s="226"/>
      <x:c r="H246" s="226"/>
      <x:c r="I246" s="226"/>
      <x:c r="J246" s="226"/>
      <x:c r="K246" s="226"/>
      <x:c r="L246" s="226"/>
      <x:c r="M246" s="226"/>
      <x:c r="N246" s="226"/>
      <x:c r="O246" s="226"/>
      <x:c r="P246" s="226"/>
      <x:c r="Q246" s="226"/>
      <x:c r="R246" s="226"/>
      <x:c r="S246" s="226"/>
      <x:c r="T246" s="226"/>
      <x:c r="U246" s="226"/>
      <x:c r="V246" s="226"/>
      <x:c r="W246" s="226"/>
      <x:c r="X246" s="226"/>
      <x:c r="Y246" s="226"/>
      <x:c r="Z246" s="226"/>
    </x:row>
    <x:row r="247">
      <x:c r="A247" s="226"/>
      <x:c r="B247" s="226"/>
      <x:c r="C247" s="226"/>
      <x:c r="D247" s="226"/>
      <x:c r="E247" s="226"/>
      <x:c r="F247" s="226"/>
      <x:c r="G247" s="226"/>
      <x:c r="H247" s="226"/>
      <x:c r="I247" s="226"/>
      <x:c r="J247" s="226"/>
      <x:c r="K247" s="226"/>
      <x:c r="L247" s="226"/>
      <x:c r="M247" s="226"/>
      <x:c r="N247" s="226"/>
      <x:c r="O247" s="226"/>
      <x:c r="P247" s="226"/>
      <x:c r="Q247" s="226"/>
      <x:c r="R247" s="226"/>
      <x:c r="S247" s="226"/>
      <x:c r="T247" s="226"/>
      <x:c r="U247" s="226"/>
      <x:c r="V247" s="226"/>
      <x:c r="W247" s="226"/>
      <x:c r="X247" s="226"/>
      <x:c r="Y247" s="226"/>
      <x:c r="Z247" s="226"/>
    </x:row>
    <x:row r="248">
      <x:c r="A248" s="226"/>
      <x:c r="B248" s="226"/>
      <x:c r="C248" s="226"/>
      <x:c r="D248" s="226"/>
      <x:c r="E248" s="226"/>
      <x:c r="F248" s="226"/>
      <x:c r="G248" s="226"/>
      <x:c r="H248" s="226"/>
      <x:c r="I248" s="226"/>
      <x:c r="J248" s="226"/>
      <x:c r="K248" s="226"/>
      <x:c r="L248" s="226"/>
      <x:c r="M248" s="226"/>
      <x:c r="N248" s="226"/>
      <x:c r="O248" s="226"/>
      <x:c r="P248" s="226"/>
      <x:c r="Q248" s="226"/>
      <x:c r="R248" s="226"/>
      <x:c r="S248" s="226"/>
      <x:c r="T248" s="226"/>
      <x:c r="U248" s="226"/>
      <x:c r="V248" s="226"/>
      <x:c r="W248" s="226"/>
      <x:c r="X248" s="226"/>
      <x:c r="Y248" s="226"/>
      <x:c r="Z248" s="226"/>
    </x:row>
    <x:row r="249">
      <x:c r="A249" s="226"/>
      <x:c r="B249" s="226"/>
      <x:c r="C249" s="226"/>
      <x:c r="D249" s="226"/>
      <x:c r="E249" s="226"/>
      <x:c r="F249" s="226"/>
      <x:c r="G249" s="226"/>
      <x:c r="H249" s="226"/>
      <x:c r="I249" s="226"/>
      <x:c r="J249" s="226"/>
      <x:c r="K249" s="226"/>
      <x:c r="L249" s="226"/>
      <x:c r="M249" s="226"/>
      <x:c r="N249" s="226"/>
      <x:c r="O249" s="226"/>
      <x:c r="P249" s="226"/>
      <x:c r="Q249" s="226"/>
      <x:c r="R249" s="226"/>
      <x:c r="S249" s="226"/>
      <x:c r="T249" s="226"/>
      <x:c r="U249" s="226"/>
      <x:c r="V249" s="226"/>
      <x:c r="W249" s="226"/>
      <x:c r="X249" s="226"/>
      <x:c r="Y249" s="226"/>
      <x:c r="Z249" s="226"/>
    </x:row>
    <x:row r="250">
      <x:c r="A250" s="226"/>
      <x:c r="B250" s="226"/>
      <x:c r="C250" s="226"/>
      <x:c r="D250" s="226"/>
      <x:c r="E250" s="226"/>
      <x:c r="F250" s="226"/>
      <x:c r="G250" s="226"/>
      <x:c r="H250" s="226"/>
      <x:c r="I250" s="226"/>
      <x:c r="J250" s="226"/>
      <x:c r="K250" s="226"/>
      <x:c r="L250" s="226"/>
      <x:c r="M250" s="226"/>
      <x:c r="N250" s="226"/>
      <x:c r="O250" s="226"/>
      <x:c r="P250" s="226"/>
      <x:c r="Q250" s="226"/>
      <x:c r="R250" s="226"/>
      <x:c r="S250" s="226"/>
      <x:c r="T250" s="226"/>
      <x:c r="U250" s="226"/>
      <x:c r="V250" s="226"/>
      <x:c r="W250" s="226"/>
      <x:c r="X250" s="226"/>
      <x:c r="Y250" s="226"/>
      <x:c r="Z250" s="226"/>
    </x:row>
    <x:row r="251">
      <x:c r="A251" s="226"/>
      <x:c r="B251" s="226"/>
      <x:c r="C251" s="226"/>
      <x:c r="D251" s="226"/>
      <x:c r="E251" s="226"/>
      <x:c r="F251" s="226"/>
      <x:c r="G251" s="226"/>
      <x:c r="H251" s="226"/>
      <x:c r="I251" s="226"/>
      <x:c r="J251" s="226"/>
      <x:c r="K251" s="226"/>
      <x:c r="L251" s="226"/>
      <x:c r="M251" s="226"/>
      <x:c r="N251" s="226"/>
      <x:c r="O251" s="226"/>
      <x:c r="P251" s="226"/>
      <x:c r="Q251" s="226"/>
      <x:c r="R251" s="226"/>
      <x:c r="S251" s="226"/>
      <x:c r="T251" s="226"/>
      <x:c r="U251" s="226"/>
      <x:c r="V251" s="226"/>
      <x:c r="W251" s="226"/>
      <x:c r="X251" s="226"/>
      <x:c r="Y251" s="226"/>
      <x:c r="Z251" s="226"/>
    </x:row>
    <x:row r="252">
      <x:c r="A252" s="226"/>
      <x:c r="B252" s="226"/>
      <x:c r="C252" s="226"/>
      <x:c r="D252" s="226"/>
      <x:c r="E252" s="226"/>
      <x:c r="F252" s="226"/>
      <x:c r="G252" s="226"/>
      <x:c r="H252" s="226"/>
      <x:c r="I252" s="226"/>
      <x:c r="J252" s="226"/>
      <x:c r="K252" s="226"/>
      <x:c r="L252" s="226"/>
      <x:c r="M252" s="226"/>
      <x:c r="N252" s="226"/>
      <x:c r="O252" s="226"/>
      <x:c r="P252" s="226"/>
      <x:c r="Q252" s="226"/>
      <x:c r="R252" s="226"/>
      <x:c r="S252" s="226"/>
      <x:c r="T252" s="226"/>
      <x:c r="U252" s="226"/>
      <x:c r="V252" s="226"/>
      <x:c r="W252" s="226"/>
      <x:c r="X252" s="226"/>
      <x:c r="Y252" s="226"/>
      <x:c r="Z252" s="226"/>
    </x:row>
    <x:row r="253">
      <x:c r="A253" s="226"/>
      <x:c r="B253" s="226"/>
      <x:c r="C253" s="226"/>
      <x:c r="D253" s="226"/>
      <x:c r="E253" s="226"/>
      <x:c r="F253" s="226"/>
      <x:c r="G253" s="226"/>
      <x:c r="H253" s="226"/>
      <x:c r="I253" s="226"/>
      <x:c r="J253" s="226"/>
      <x:c r="K253" s="226"/>
      <x:c r="L253" s="226"/>
      <x:c r="M253" s="226"/>
      <x:c r="N253" s="226"/>
      <x:c r="O253" s="226"/>
      <x:c r="P253" s="226"/>
      <x:c r="Q253" s="226"/>
      <x:c r="R253" s="226"/>
      <x:c r="S253" s="226"/>
      <x:c r="T253" s="226"/>
      <x:c r="U253" s="226"/>
      <x:c r="V253" s="226"/>
      <x:c r="W253" s="226"/>
      <x:c r="X253" s="226"/>
      <x:c r="Y253" s="226"/>
      <x:c r="Z253" s="226"/>
    </x:row>
    <x:row r="254">
      <x:c r="A254" s="226"/>
      <x:c r="B254" s="226"/>
      <x:c r="C254" s="226"/>
      <x:c r="D254" s="226"/>
      <x:c r="E254" s="226"/>
      <x:c r="F254" s="226"/>
      <x:c r="G254" s="226"/>
      <x:c r="H254" s="226"/>
      <x:c r="I254" s="226"/>
      <x:c r="J254" s="226"/>
      <x:c r="K254" s="226"/>
      <x:c r="L254" s="226"/>
      <x:c r="M254" s="226"/>
      <x:c r="N254" s="226"/>
      <x:c r="O254" s="226"/>
      <x:c r="P254" s="226"/>
      <x:c r="Q254" s="226"/>
      <x:c r="R254" s="226"/>
      <x:c r="S254" s="226"/>
      <x:c r="T254" s="226"/>
      <x:c r="U254" s="226"/>
      <x:c r="V254" s="226"/>
      <x:c r="W254" s="226"/>
      <x:c r="X254" s="226"/>
      <x:c r="Y254" s="226"/>
      <x:c r="Z254" s="226"/>
    </x:row>
    <x:row r="255">
      <x:c r="A255" s="226"/>
      <x:c r="B255" s="226"/>
      <x:c r="C255" s="226"/>
      <x:c r="D255" s="226"/>
      <x:c r="E255" s="226"/>
      <x:c r="F255" s="226"/>
      <x:c r="G255" s="226"/>
      <x:c r="H255" s="226"/>
      <x:c r="I255" s="226"/>
      <x:c r="J255" s="226"/>
      <x:c r="K255" s="226"/>
      <x:c r="L255" s="226"/>
      <x:c r="M255" s="226"/>
      <x:c r="N255" s="226"/>
      <x:c r="O255" s="226"/>
      <x:c r="P255" s="226"/>
      <x:c r="Q255" s="226"/>
      <x:c r="R255" s="226"/>
      <x:c r="S255" s="226"/>
      <x:c r="T255" s="226"/>
      <x:c r="U255" s="226"/>
      <x:c r="V255" s="226"/>
      <x:c r="W255" s="226"/>
      <x:c r="X255" s="226"/>
      <x:c r="Y255" s="226"/>
      <x:c r="Z255" s="226"/>
    </x:row>
    <x:row r="256">
      <x:c r="A256" s="226"/>
      <x:c r="B256" s="226"/>
      <x:c r="C256" s="226"/>
      <x:c r="D256" s="226"/>
      <x:c r="E256" s="226"/>
      <x:c r="F256" s="226"/>
      <x:c r="G256" s="226"/>
      <x:c r="H256" s="226"/>
      <x:c r="I256" s="226"/>
      <x:c r="J256" s="226"/>
      <x:c r="K256" s="226"/>
      <x:c r="L256" s="226"/>
      <x:c r="M256" s="226"/>
      <x:c r="N256" s="226"/>
      <x:c r="O256" s="226"/>
      <x:c r="P256" s="226"/>
      <x:c r="Q256" s="226"/>
      <x:c r="R256" s="226"/>
      <x:c r="S256" s="226"/>
      <x:c r="T256" s="226"/>
      <x:c r="U256" s="226"/>
      <x:c r="V256" s="226"/>
      <x:c r="W256" s="226"/>
      <x:c r="X256" s="226"/>
      <x:c r="Y256" s="226"/>
      <x:c r="Z256" s="226"/>
    </x:row>
    <x:row r="257">
      <x:c r="A257" s="226"/>
      <x:c r="B257" s="226"/>
      <x:c r="C257" s="226"/>
      <x:c r="D257" s="226"/>
      <x:c r="E257" s="226"/>
      <x:c r="F257" s="226"/>
      <x:c r="G257" s="226"/>
      <x:c r="H257" s="226"/>
      <x:c r="I257" s="226"/>
      <x:c r="J257" s="226"/>
      <x:c r="K257" s="226"/>
      <x:c r="L257" s="226"/>
      <x:c r="M257" s="226"/>
      <x:c r="N257" s="226"/>
      <x:c r="O257" s="226"/>
      <x:c r="P257" s="226"/>
      <x:c r="Q257" s="226"/>
      <x:c r="R257" s="226"/>
      <x:c r="S257" s="226"/>
      <x:c r="T257" s="226"/>
      <x:c r="U257" s="226"/>
      <x:c r="V257" s="226"/>
      <x:c r="W257" s="226"/>
      <x:c r="X257" s="226"/>
      <x:c r="Y257" s="226"/>
      <x:c r="Z257" s="226"/>
    </x:row>
    <x:row r="258">
      <x:c r="A258" s="226"/>
      <x:c r="B258" s="226"/>
      <x:c r="C258" s="226"/>
      <x:c r="D258" s="226"/>
      <x:c r="E258" s="226"/>
      <x:c r="F258" s="226"/>
      <x:c r="G258" s="226"/>
      <x:c r="H258" s="226"/>
      <x:c r="I258" s="226"/>
      <x:c r="J258" s="226"/>
      <x:c r="K258" s="226"/>
      <x:c r="L258" s="226"/>
      <x:c r="M258" s="226"/>
      <x:c r="N258" s="226"/>
      <x:c r="O258" s="226"/>
      <x:c r="P258" s="226"/>
      <x:c r="Q258" s="226"/>
      <x:c r="R258" s="226"/>
      <x:c r="S258" s="226"/>
      <x:c r="T258" s="226"/>
      <x:c r="U258" s="226"/>
      <x:c r="V258" s="226"/>
      <x:c r="W258" s="226"/>
      <x:c r="X258" s="226"/>
      <x:c r="Y258" s="226"/>
      <x:c r="Z258" s="226"/>
    </x:row>
    <x:row r="259">
      <x:c r="A259" s="226"/>
      <x:c r="B259" s="226"/>
      <x:c r="C259" s="226"/>
      <x:c r="D259" s="226"/>
      <x:c r="E259" s="226"/>
      <x:c r="F259" s="226"/>
      <x:c r="G259" s="226"/>
      <x:c r="H259" s="226"/>
      <x:c r="I259" s="226"/>
      <x:c r="J259" s="226"/>
      <x:c r="K259" s="226"/>
      <x:c r="L259" s="226"/>
      <x:c r="M259" s="226"/>
      <x:c r="N259" s="226"/>
      <x:c r="O259" s="226"/>
      <x:c r="P259" s="226"/>
      <x:c r="Q259" s="226"/>
      <x:c r="R259" s="226"/>
      <x:c r="S259" s="226"/>
      <x:c r="T259" s="226"/>
      <x:c r="U259" s="226"/>
      <x:c r="V259" s="226"/>
      <x:c r="W259" s="226"/>
      <x:c r="X259" s="226"/>
      <x:c r="Y259" s="226"/>
      <x:c r="Z259" s="226"/>
    </x:row>
    <x:row r="260">
      <x:c r="A260" s="226"/>
      <x:c r="B260" s="226"/>
      <x:c r="C260" s="226"/>
      <x:c r="D260" s="226"/>
      <x:c r="E260" s="226"/>
      <x:c r="F260" s="226"/>
      <x:c r="G260" s="226"/>
      <x:c r="H260" s="226"/>
      <x:c r="I260" s="226"/>
      <x:c r="J260" s="226"/>
      <x:c r="K260" s="226"/>
      <x:c r="L260" s="226"/>
      <x:c r="M260" s="226"/>
      <x:c r="N260" s="226"/>
      <x:c r="O260" s="226"/>
      <x:c r="P260" s="226"/>
      <x:c r="Q260" s="226"/>
      <x:c r="R260" s="226"/>
      <x:c r="S260" s="226"/>
      <x:c r="T260" s="226"/>
      <x:c r="U260" s="226"/>
      <x:c r="V260" s="226"/>
      <x:c r="W260" s="226"/>
      <x:c r="X260" s="226"/>
      <x:c r="Y260" s="226"/>
      <x:c r="Z260" s="226"/>
    </x:row>
    <x:row r="261">
      <x:c r="A261" s="226"/>
      <x:c r="B261" s="226"/>
      <x:c r="C261" s="226"/>
      <x:c r="D261" s="226"/>
      <x:c r="E261" s="226"/>
      <x:c r="F261" s="226"/>
      <x:c r="G261" s="226"/>
      <x:c r="H261" s="226"/>
      <x:c r="I261" s="226"/>
      <x:c r="J261" s="226"/>
      <x:c r="K261" s="226"/>
      <x:c r="L261" s="226"/>
      <x:c r="M261" s="226"/>
      <x:c r="N261" s="226"/>
      <x:c r="O261" s="226"/>
      <x:c r="P261" s="226"/>
      <x:c r="Q261" s="226"/>
      <x:c r="R261" s="226"/>
      <x:c r="S261" s="226"/>
      <x:c r="T261" s="226"/>
      <x:c r="U261" s="226"/>
      <x:c r="V261" s="226"/>
      <x:c r="W261" s="226"/>
      <x:c r="X261" s="226"/>
      <x:c r="Y261" s="226"/>
      <x:c r="Z261" s="226"/>
    </x:row>
    <x:row r="262">
      <x:c r="A262" s="226"/>
      <x:c r="B262" s="226"/>
      <x:c r="C262" s="226"/>
      <x:c r="D262" s="226"/>
      <x:c r="E262" s="226"/>
      <x:c r="F262" s="226"/>
      <x:c r="G262" s="226"/>
      <x:c r="H262" s="226"/>
      <x:c r="I262" s="226"/>
      <x:c r="J262" s="226"/>
      <x:c r="K262" s="226"/>
      <x:c r="L262" s="226"/>
      <x:c r="M262" s="226"/>
      <x:c r="N262" s="226"/>
      <x:c r="O262" s="226"/>
      <x:c r="P262" s="226"/>
      <x:c r="Q262" s="226"/>
      <x:c r="R262" s="226"/>
      <x:c r="S262" s="226"/>
      <x:c r="T262" s="226"/>
      <x:c r="U262" s="226"/>
      <x:c r="V262" s="226"/>
      <x:c r="W262" s="226"/>
      <x:c r="X262" s="226"/>
      <x:c r="Y262" s="226"/>
      <x:c r="Z262" s="226"/>
    </x:row>
    <x:row r="263">
      <x:c r="A263" s="226"/>
      <x:c r="B263" s="226"/>
      <x:c r="C263" s="226"/>
      <x:c r="D263" s="226"/>
      <x:c r="E263" s="226"/>
      <x:c r="F263" s="226"/>
      <x:c r="G263" s="226"/>
      <x:c r="H263" s="226"/>
      <x:c r="I263" s="226"/>
      <x:c r="J263" s="226"/>
      <x:c r="K263" s="226"/>
      <x:c r="L263" s="226"/>
      <x:c r="M263" s="226"/>
      <x:c r="N263" s="226"/>
      <x:c r="O263" s="226"/>
      <x:c r="P263" s="226"/>
      <x:c r="Q263" s="226"/>
      <x:c r="R263" s="226"/>
      <x:c r="S263" s="226"/>
      <x:c r="T263" s="226"/>
      <x:c r="U263" s="226"/>
      <x:c r="V263" s="226"/>
      <x:c r="W263" s="226"/>
      <x:c r="X263" s="226"/>
      <x:c r="Y263" s="226"/>
      <x:c r="Z263" s="226"/>
    </x:row>
    <x:row r="264">
      <x:c r="A264" s="226"/>
      <x:c r="B264" s="226"/>
      <x:c r="C264" s="226"/>
      <x:c r="D264" s="226"/>
      <x:c r="E264" s="226"/>
      <x:c r="F264" s="226"/>
      <x:c r="G264" s="226"/>
      <x:c r="H264" s="226"/>
      <x:c r="I264" s="226"/>
      <x:c r="J264" s="226"/>
      <x:c r="K264" s="226"/>
      <x:c r="L264" s="226"/>
      <x:c r="M264" s="226"/>
      <x:c r="N264" s="226"/>
      <x:c r="O264" s="226"/>
      <x:c r="P264" s="226"/>
      <x:c r="Q264" s="226"/>
      <x:c r="R264" s="226"/>
      <x:c r="S264" s="226"/>
      <x:c r="T264" s="226"/>
      <x:c r="U264" s="226"/>
      <x:c r="V264" s="226"/>
      <x:c r="W264" s="226"/>
      <x:c r="X264" s="226"/>
      <x:c r="Y264" s="226"/>
      <x:c r="Z264" s="226"/>
    </x:row>
    <x:row r="265">
      <x:c r="A265" s="226"/>
      <x:c r="B265" s="226"/>
      <x:c r="C265" s="226"/>
      <x:c r="D265" s="226"/>
      <x:c r="E265" s="226"/>
      <x:c r="F265" s="226"/>
      <x:c r="G265" s="226"/>
      <x:c r="H265" s="226"/>
      <x:c r="I265" s="226"/>
      <x:c r="J265" s="226"/>
      <x:c r="K265" s="226"/>
      <x:c r="L265" s="226"/>
      <x:c r="M265" s="226"/>
      <x:c r="N265" s="226"/>
      <x:c r="O265" s="226"/>
      <x:c r="P265" s="226"/>
      <x:c r="Q265" s="226"/>
      <x:c r="R265" s="226"/>
      <x:c r="S265" s="226"/>
      <x:c r="T265" s="226"/>
      <x:c r="U265" s="226"/>
      <x:c r="V265" s="226"/>
      <x:c r="W265" s="226"/>
      <x:c r="X265" s="226"/>
      <x:c r="Y265" s="226"/>
      <x:c r="Z265" s="226"/>
    </x:row>
    <x:row r="266">
      <x:c r="A266" s="226"/>
      <x:c r="B266" s="226"/>
      <x:c r="C266" s="226"/>
      <x:c r="D266" s="226"/>
      <x:c r="E266" s="226"/>
      <x:c r="F266" s="226"/>
      <x:c r="G266" s="226"/>
      <x:c r="H266" s="226"/>
      <x:c r="I266" s="226"/>
      <x:c r="J266" s="226"/>
      <x:c r="K266" s="226"/>
      <x:c r="L266" s="226"/>
      <x:c r="M266" s="226"/>
      <x:c r="N266" s="226"/>
      <x:c r="O266" s="226"/>
      <x:c r="P266" s="226"/>
      <x:c r="Q266" s="226"/>
      <x:c r="R266" s="226"/>
      <x:c r="S266" s="226"/>
      <x:c r="T266" s="226"/>
      <x:c r="U266" s="226"/>
      <x:c r="V266" s="226"/>
      <x:c r="W266" s="226"/>
      <x:c r="X266" s="226"/>
      <x:c r="Y266" s="226"/>
      <x:c r="Z266" s="226"/>
    </x:row>
    <x:row r="267">
      <x:c r="A267" s="226"/>
      <x:c r="B267" s="226"/>
      <x:c r="C267" s="226"/>
      <x:c r="D267" s="226"/>
      <x:c r="E267" s="226"/>
      <x:c r="F267" s="226"/>
      <x:c r="G267" s="226"/>
      <x:c r="H267" s="226"/>
      <x:c r="I267" s="226"/>
      <x:c r="J267" s="226"/>
      <x:c r="K267" s="226"/>
      <x:c r="L267" s="226"/>
      <x:c r="M267" s="226"/>
      <x:c r="N267" s="226"/>
      <x:c r="O267" s="226"/>
      <x:c r="P267" s="226"/>
      <x:c r="Q267" s="226"/>
      <x:c r="R267" s="226"/>
      <x:c r="S267" s="226"/>
      <x:c r="T267" s="226"/>
      <x:c r="U267" s="226"/>
      <x:c r="V267" s="226"/>
      <x:c r="W267" s="226"/>
      <x:c r="X267" s="226"/>
      <x:c r="Y267" s="226"/>
      <x:c r="Z267" s="226"/>
    </x:row>
    <x:row r="268">
      <x:c r="A268" s="226"/>
      <x:c r="B268" s="226"/>
      <x:c r="C268" s="226"/>
      <x:c r="D268" s="226"/>
      <x:c r="E268" s="226"/>
      <x:c r="F268" s="226"/>
      <x:c r="G268" s="226"/>
      <x:c r="H268" s="226"/>
      <x:c r="I268" s="226"/>
      <x:c r="J268" s="226"/>
      <x:c r="K268" s="226"/>
      <x:c r="L268" s="226"/>
      <x:c r="M268" s="226"/>
      <x:c r="N268" s="226"/>
      <x:c r="O268" s="226"/>
      <x:c r="P268" s="226"/>
      <x:c r="Q268" s="226"/>
      <x:c r="R268" s="226"/>
      <x:c r="S268" s="226"/>
      <x:c r="T268" s="226"/>
      <x:c r="U268" s="226"/>
      <x:c r="V268" s="226"/>
      <x:c r="W268" s="226"/>
      <x:c r="X268" s="226"/>
      <x:c r="Y268" s="226"/>
      <x:c r="Z268" s="226"/>
    </x:row>
    <x:row r="269">
      <x:c r="A269" s="226"/>
      <x:c r="B269" s="226"/>
      <x:c r="C269" s="226"/>
      <x:c r="D269" s="226"/>
      <x:c r="E269" s="226"/>
      <x:c r="F269" s="226"/>
      <x:c r="G269" s="226"/>
      <x:c r="H269" s="226"/>
      <x:c r="I269" s="226"/>
      <x:c r="J269" s="226"/>
      <x:c r="K269" s="226"/>
      <x:c r="L269" s="226"/>
      <x:c r="M269" s="226"/>
      <x:c r="N269" s="226"/>
      <x:c r="O269" s="226"/>
      <x:c r="P269" s="226"/>
      <x:c r="Q269" s="226"/>
      <x:c r="R269" s="226"/>
      <x:c r="S269" s="226"/>
      <x:c r="T269" s="226"/>
      <x:c r="U269" s="226"/>
      <x:c r="V269" s="226"/>
      <x:c r="W269" s="226"/>
      <x:c r="X269" s="226"/>
      <x:c r="Y269" s="226"/>
      <x:c r="Z269" s="226"/>
    </x:row>
    <x:row r="270">
      <x:c r="A270" s="226"/>
      <x:c r="B270" s="226"/>
      <x:c r="C270" s="226"/>
      <x:c r="D270" s="226"/>
      <x:c r="E270" s="226"/>
      <x:c r="F270" s="226"/>
      <x:c r="G270" s="226"/>
      <x:c r="H270" s="226"/>
      <x:c r="I270" s="226"/>
      <x:c r="J270" s="226"/>
      <x:c r="K270" s="226"/>
      <x:c r="L270" s="226"/>
      <x:c r="M270" s="226"/>
      <x:c r="N270" s="226"/>
      <x:c r="O270" s="226"/>
      <x:c r="P270" s="226"/>
      <x:c r="Q270" s="226"/>
      <x:c r="R270" s="226"/>
      <x:c r="S270" s="226"/>
      <x:c r="T270" s="226"/>
      <x:c r="U270" s="226"/>
      <x:c r="V270" s="226"/>
      <x:c r="W270" s="226"/>
      <x:c r="X270" s="226"/>
      <x:c r="Y270" s="226"/>
      <x:c r="Z270" s="226"/>
    </x:row>
    <x:row r="271">
      <x:c r="A271" s="226"/>
      <x:c r="B271" s="226"/>
      <x:c r="C271" s="226"/>
      <x:c r="D271" s="226"/>
      <x:c r="E271" s="226"/>
      <x:c r="F271" s="226"/>
      <x:c r="G271" s="226"/>
      <x:c r="H271" s="226"/>
      <x:c r="I271" s="226"/>
      <x:c r="J271" s="226"/>
      <x:c r="K271" s="226"/>
      <x:c r="L271" s="226"/>
      <x:c r="M271" s="226"/>
      <x:c r="N271" s="226"/>
      <x:c r="O271" s="226"/>
      <x:c r="P271" s="226"/>
      <x:c r="Q271" s="226"/>
      <x:c r="R271" s="226"/>
      <x:c r="S271" s="226"/>
      <x:c r="T271" s="226"/>
      <x:c r="U271" s="226"/>
      <x:c r="V271" s="226"/>
      <x:c r="W271" s="226"/>
      <x:c r="X271" s="226"/>
      <x:c r="Y271" s="226"/>
      <x:c r="Z271" s="226"/>
    </x:row>
    <x:row r="272">
      <x:c r="A272" s="226"/>
      <x:c r="B272" s="226"/>
      <x:c r="C272" s="226"/>
      <x:c r="D272" s="226"/>
      <x:c r="E272" s="226"/>
      <x:c r="F272" s="226"/>
      <x:c r="G272" s="226"/>
      <x:c r="H272" s="226"/>
      <x:c r="I272" s="226"/>
      <x:c r="J272" s="226"/>
      <x:c r="K272" s="226"/>
      <x:c r="L272" s="226"/>
      <x:c r="M272" s="226"/>
      <x:c r="N272" s="226"/>
      <x:c r="O272" s="226"/>
      <x:c r="P272" s="226"/>
      <x:c r="Q272" s="226"/>
      <x:c r="R272" s="226"/>
      <x:c r="S272" s="226"/>
      <x:c r="T272" s="226"/>
      <x:c r="U272" s="226"/>
      <x:c r="V272" s="226"/>
      <x:c r="W272" s="226"/>
      <x:c r="X272" s="226"/>
      <x:c r="Y272" s="226"/>
      <x:c r="Z272" s="226"/>
    </x:row>
    <x:row r="273">
      <x:c r="A273" s="226"/>
      <x:c r="B273" s="226"/>
      <x:c r="C273" s="226"/>
      <x:c r="D273" s="226"/>
      <x:c r="E273" s="226"/>
      <x:c r="F273" s="226"/>
      <x:c r="G273" s="226"/>
      <x:c r="H273" s="226"/>
      <x:c r="I273" s="226"/>
      <x:c r="J273" s="226"/>
      <x:c r="K273" s="226"/>
      <x:c r="L273" s="226"/>
      <x:c r="M273" s="226"/>
      <x:c r="N273" s="226"/>
      <x:c r="O273" s="226"/>
      <x:c r="P273" s="226"/>
      <x:c r="Q273" s="226"/>
      <x:c r="R273" s="226"/>
      <x:c r="S273" s="226"/>
      <x:c r="T273" s="226"/>
      <x:c r="U273" s="226"/>
      <x:c r="V273" s="226"/>
      <x:c r="W273" s="226"/>
      <x:c r="X273" s="226"/>
      <x:c r="Y273" s="226"/>
      <x:c r="Z273" s="226"/>
    </x:row>
    <x:row r="274">
      <x:c r="A274" s="226"/>
      <x:c r="B274" s="226"/>
      <x:c r="C274" s="226"/>
      <x:c r="D274" s="226"/>
      <x:c r="E274" s="226"/>
      <x:c r="F274" s="226"/>
      <x:c r="G274" s="226"/>
      <x:c r="H274" s="226"/>
      <x:c r="I274" s="226"/>
      <x:c r="J274" s="226"/>
      <x:c r="K274" s="226"/>
      <x:c r="L274" s="226"/>
      <x:c r="M274" s="226"/>
      <x:c r="N274" s="226"/>
      <x:c r="O274" s="226"/>
      <x:c r="P274" s="226"/>
      <x:c r="Q274" s="226"/>
      <x:c r="R274" s="226"/>
      <x:c r="S274" s="226"/>
      <x:c r="T274" s="226"/>
      <x:c r="U274" s="226"/>
      <x:c r="V274" s="226"/>
      <x:c r="W274" s="226"/>
      <x:c r="X274" s="226"/>
      <x:c r="Y274" s="226"/>
      <x:c r="Z274" s="226"/>
    </x:row>
    <x:row r="275">
      <x:c r="A275" s="226"/>
      <x:c r="B275" s="226"/>
      <x:c r="C275" s="226"/>
      <x:c r="D275" s="226"/>
      <x:c r="E275" s="226"/>
      <x:c r="F275" s="226"/>
      <x:c r="G275" s="226"/>
      <x:c r="H275" s="226"/>
      <x:c r="I275" s="226"/>
      <x:c r="J275" s="226"/>
      <x:c r="K275" s="226"/>
      <x:c r="L275" s="226"/>
      <x:c r="M275" s="226"/>
      <x:c r="N275" s="226"/>
      <x:c r="O275" s="226"/>
      <x:c r="P275" s="226"/>
      <x:c r="Q275" s="226"/>
      <x:c r="R275" s="226"/>
      <x:c r="S275" s="226"/>
      <x:c r="T275" s="226"/>
      <x:c r="U275" s="226"/>
      <x:c r="V275" s="226"/>
      <x:c r="W275" s="226"/>
      <x:c r="X275" s="226"/>
      <x:c r="Y275" s="226"/>
      <x:c r="Z275" s="226"/>
    </x:row>
    <x:row r="276">
      <x:c r="A276" s="226"/>
      <x:c r="B276" s="226"/>
      <x:c r="C276" s="226"/>
      <x:c r="D276" s="226"/>
      <x:c r="E276" s="226"/>
      <x:c r="F276" s="226"/>
      <x:c r="G276" s="226"/>
      <x:c r="H276" s="226"/>
      <x:c r="I276" s="226"/>
      <x:c r="J276" s="226"/>
      <x:c r="K276" s="226"/>
      <x:c r="L276" s="226"/>
      <x:c r="M276" s="226"/>
      <x:c r="N276" s="226"/>
      <x:c r="O276" s="226"/>
      <x:c r="P276" s="226"/>
      <x:c r="Q276" s="226"/>
      <x:c r="R276" s="226"/>
      <x:c r="S276" s="226"/>
      <x:c r="T276" s="226"/>
      <x:c r="U276" s="226"/>
      <x:c r="V276" s="226"/>
      <x:c r="W276" s="226"/>
      <x:c r="X276" s="226"/>
      <x:c r="Y276" s="226"/>
      <x:c r="Z276" s="226"/>
    </x:row>
    <x:row r="277">
      <x:c r="A277" s="226"/>
      <x:c r="B277" s="226"/>
      <x:c r="C277" s="226"/>
      <x:c r="D277" s="226"/>
      <x:c r="E277" s="226"/>
      <x:c r="F277" s="226"/>
      <x:c r="G277" s="226"/>
      <x:c r="H277" s="226"/>
      <x:c r="I277" s="226"/>
      <x:c r="J277" s="226"/>
      <x:c r="K277" s="226"/>
      <x:c r="L277" s="226"/>
      <x:c r="M277" s="226"/>
      <x:c r="N277" s="226"/>
      <x:c r="O277" s="226"/>
      <x:c r="P277" s="226"/>
      <x:c r="Q277" s="226"/>
      <x:c r="R277" s="226"/>
      <x:c r="S277" s="226"/>
      <x:c r="T277" s="226"/>
      <x:c r="U277" s="226"/>
      <x:c r="V277" s="226"/>
      <x:c r="W277" s="226"/>
      <x:c r="X277" s="226"/>
      <x:c r="Y277" s="226"/>
      <x:c r="Z277" s="226"/>
    </x:row>
    <x:row r="278">
      <x:c r="A278" s="226"/>
      <x:c r="B278" s="226"/>
      <x:c r="C278" s="226"/>
      <x:c r="D278" s="226"/>
      <x:c r="E278" s="226"/>
      <x:c r="F278" s="226"/>
      <x:c r="G278" s="226"/>
      <x:c r="H278" s="226"/>
      <x:c r="I278" s="226"/>
      <x:c r="J278" s="226"/>
      <x:c r="K278" s="226"/>
      <x:c r="L278" s="226"/>
      <x:c r="M278" s="226"/>
      <x:c r="N278" s="226"/>
      <x:c r="O278" s="226"/>
      <x:c r="P278" s="226"/>
      <x:c r="Q278" s="226"/>
      <x:c r="R278" s="226"/>
      <x:c r="S278" s="226"/>
      <x:c r="T278" s="226"/>
      <x:c r="U278" s="226"/>
      <x:c r="V278" s="226"/>
      <x:c r="W278" s="226"/>
      <x:c r="X278" s="226"/>
      <x:c r="Y278" s="226"/>
      <x:c r="Z278" s="226"/>
    </x:row>
    <x:row r="279">
      <x:c r="A279" s="226"/>
      <x:c r="B279" s="226"/>
      <x:c r="C279" s="226"/>
      <x:c r="D279" s="226"/>
      <x:c r="E279" s="226"/>
      <x:c r="F279" s="226"/>
      <x:c r="G279" s="226"/>
      <x:c r="H279" s="226"/>
      <x:c r="I279" s="226"/>
      <x:c r="J279" s="226"/>
      <x:c r="K279" s="226"/>
      <x:c r="L279" s="226"/>
      <x:c r="M279" s="226"/>
      <x:c r="N279" s="226"/>
      <x:c r="O279" s="226"/>
      <x:c r="P279" s="226"/>
      <x:c r="Q279" s="226"/>
      <x:c r="R279" s="226"/>
      <x:c r="S279" s="226"/>
      <x:c r="T279" s="226"/>
      <x:c r="U279" s="226"/>
      <x:c r="V279" s="226"/>
      <x:c r="W279" s="226"/>
      <x:c r="X279" s="226"/>
      <x:c r="Y279" s="226"/>
      <x:c r="Z279" s="226"/>
    </x:row>
    <x:row r="280">
      <x:c r="A280" s="226"/>
      <x:c r="B280" s="226"/>
      <x:c r="C280" s="226"/>
      <x:c r="D280" s="226"/>
      <x:c r="E280" s="226"/>
      <x:c r="F280" s="226"/>
      <x:c r="G280" s="226"/>
      <x:c r="H280" s="226"/>
      <x:c r="I280" s="226"/>
      <x:c r="J280" s="226"/>
      <x:c r="K280" s="226"/>
      <x:c r="L280" s="226"/>
      <x:c r="M280" s="226"/>
      <x:c r="N280" s="226"/>
      <x:c r="O280" s="226"/>
      <x:c r="P280" s="226"/>
      <x:c r="Q280" s="226"/>
      <x:c r="R280" s="226"/>
      <x:c r="S280" s="226"/>
      <x:c r="T280" s="226"/>
      <x:c r="U280" s="226"/>
      <x:c r="V280" s="226"/>
      <x:c r="W280" s="226"/>
      <x:c r="X280" s="226"/>
      <x:c r="Y280" s="226"/>
      <x:c r="Z280" s="226"/>
    </x:row>
    <x:row r="281">
      <x:c r="A281" s="226"/>
      <x:c r="B281" s="226"/>
      <x:c r="C281" s="226"/>
      <x:c r="D281" s="226"/>
      <x:c r="E281" s="226"/>
      <x:c r="F281" s="226"/>
      <x:c r="G281" s="226"/>
      <x:c r="H281" s="226"/>
      <x:c r="I281" s="226"/>
      <x:c r="J281" s="226"/>
      <x:c r="K281" s="226"/>
      <x:c r="L281" s="226"/>
      <x:c r="M281" s="226"/>
      <x:c r="N281" s="226"/>
      <x:c r="O281" s="226"/>
      <x:c r="P281" s="226"/>
      <x:c r="Q281" s="226"/>
      <x:c r="R281" s="226"/>
      <x:c r="S281" s="226"/>
      <x:c r="T281" s="226"/>
      <x:c r="U281" s="226"/>
      <x:c r="V281" s="226"/>
      <x:c r="W281" s="226"/>
      <x:c r="X281" s="226"/>
      <x:c r="Y281" s="226"/>
      <x:c r="Z281" s="226"/>
    </x:row>
    <x:row r="282">
      <x:c r="A282" s="226"/>
      <x:c r="B282" s="226"/>
      <x:c r="C282" s="226"/>
      <x:c r="D282" s="226"/>
      <x:c r="E282" s="226"/>
      <x:c r="F282" s="226"/>
      <x:c r="G282" s="226"/>
      <x:c r="H282" s="226"/>
      <x:c r="I282" s="226"/>
      <x:c r="J282" s="226"/>
      <x:c r="K282" s="226"/>
      <x:c r="L282" s="226"/>
      <x:c r="M282" s="226"/>
      <x:c r="N282" s="226"/>
      <x:c r="O282" s="226"/>
      <x:c r="P282" s="226"/>
      <x:c r="Q282" s="226"/>
      <x:c r="R282" s="226"/>
      <x:c r="S282" s="226"/>
      <x:c r="T282" s="226"/>
      <x:c r="U282" s="226"/>
      <x:c r="V282" s="226"/>
      <x:c r="W282" s="226"/>
      <x:c r="X282" s="226"/>
      <x:c r="Y282" s="226"/>
      <x:c r="Z282" s="226"/>
    </x:row>
    <x:row r="283">
      <x:c r="A283" s="226"/>
      <x:c r="B283" s="226"/>
      <x:c r="C283" s="226"/>
      <x:c r="D283" s="226"/>
      <x:c r="E283" s="226"/>
      <x:c r="F283" s="226"/>
      <x:c r="G283" s="226"/>
      <x:c r="H283" s="226"/>
      <x:c r="I283" s="226"/>
      <x:c r="J283" s="226"/>
      <x:c r="K283" s="226"/>
      <x:c r="L283" s="226"/>
      <x:c r="M283" s="226"/>
      <x:c r="N283" s="226"/>
      <x:c r="O283" s="226"/>
      <x:c r="P283" s="226"/>
      <x:c r="Q283" s="226"/>
      <x:c r="R283" s="226"/>
      <x:c r="S283" s="226"/>
      <x:c r="T283" s="226"/>
      <x:c r="U283" s="226"/>
      <x:c r="V283" s="226"/>
      <x:c r="W283" s="226"/>
      <x:c r="X283" s="226"/>
      <x:c r="Y283" s="226"/>
      <x:c r="Z283" s="226"/>
    </x:row>
    <x:row r="284">
      <x:c r="A284" s="226"/>
      <x:c r="B284" s="226"/>
      <x:c r="C284" s="226"/>
      <x:c r="D284" s="226"/>
      <x:c r="E284" s="226"/>
      <x:c r="F284" s="226"/>
      <x:c r="G284" s="226"/>
      <x:c r="H284" s="226"/>
      <x:c r="I284" s="226"/>
      <x:c r="J284" s="226"/>
      <x:c r="K284" s="226"/>
      <x:c r="L284" s="226"/>
      <x:c r="M284" s="226"/>
      <x:c r="N284" s="226"/>
      <x:c r="O284" s="226"/>
      <x:c r="P284" s="226"/>
      <x:c r="Q284" s="226"/>
      <x:c r="R284" s="226"/>
      <x:c r="S284" s="226"/>
      <x:c r="T284" s="226"/>
      <x:c r="U284" s="226"/>
      <x:c r="V284" s="226"/>
      <x:c r="W284" s="226"/>
      <x:c r="X284" s="226"/>
      <x:c r="Y284" s="226"/>
      <x:c r="Z284" s="226"/>
    </x:row>
    <x:row r="285">
      <x:c r="A285" s="226"/>
      <x:c r="B285" s="226"/>
      <x:c r="C285" s="226"/>
      <x:c r="D285" s="226"/>
      <x:c r="E285" s="226"/>
      <x:c r="F285" s="226"/>
      <x:c r="G285" s="226"/>
      <x:c r="H285" s="226"/>
      <x:c r="I285" s="226"/>
      <x:c r="J285" s="226"/>
      <x:c r="K285" s="226"/>
      <x:c r="L285" s="226"/>
      <x:c r="M285" s="226"/>
      <x:c r="N285" s="226"/>
      <x:c r="O285" s="226"/>
      <x:c r="P285" s="226"/>
      <x:c r="Q285" s="226"/>
      <x:c r="R285" s="226"/>
      <x:c r="S285" s="226"/>
      <x:c r="T285" s="226"/>
      <x:c r="U285" s="226"/>
      <x:c r="V285" s="226"/>
      <x:c r="W285" s="226"/>
      <x:c r="X285" s="226"/>
      <x:c r="Y285" s="226"/>
      <x:c r="Z285" s="226"/>
    </x:row>
    <x:row r="286">
      <x:c r="A286" s="226"/>
      <x:c r="B286" s="226"/>
      <x:c r="C286" s="226"/>
      <x:c r="D286" s="226"/>
      <x:c r="E286" s="226"/>
      <x:c r="F286" s="226"/>
      <x:c r="G286" s="226"/>
      <x:c r="H286" s="226"/>
      <x:c r="I286" s="226"/>
      <x:c r="J286" s="226"/>
      <x:c r="K286" s="226"/>
      <x:c r="L286" s="226"/>
      <x:c r="M286" s="226"/>
      <x:c r="N286" s="226"/>
      <x:c r="O286" s="226"/>
      <x:c r="P286" s="226"/>
      <x:c r="Q286" s="226"/>
      <x:c r="R286" s="226"/>
      <x:c r="S286" s="226"/>
      <x:c r="T286" s="226"/>
      <x:c r="U286" s="226"/>
      <x:c r="V286" s="226"/>
      <x:c r="W286" s="226"/>
      <x:c r="X286" s="226"/>
      <x:c r="Y286" s="226"/>
      <x:c r="Z286" s="226"/>
    </x:row>
    <x:row r="287">
      <x:c r="A287" s="226"/>
      <x:c r="B287" s="226"/>
      <x:c r="C287" s="226"/>
      <x:c r="D287" s="226"/>
      <x:c r="E287" s="226"/>
      <x:c r="F287" s="226"/>
      <x:c r="G287" s="226"/>
      <x:c r="H287" s="226"/>
      <x:c r="I287" s="226"/>
      <x:c r="J287" s="226"/>
      <x:c r="K287" s="226"/>
      <x:c r="L287" s="226"/>
      <x:c r="M287" s="226"/>
      <x:c r="N287" s="226"/>
      <x:c r="O287" s="226"/>
      <x:c r="P287" s="226"/>
      <x:c r="Q287" s="226"/>
      <x:c r="R287" s="226"/>
      <x:c r="S287" s="226"/>
      <x:c r="T287" s="226"/>
      <x:c r="U287" s="226"/>
      <x:c r="V287" s="226"/>
      <x:c r="W287" s="226"/>
      <x:c r="X287" s="226"/>
      <x:c r="Y287" s="226"/>
      <x:c r="Z287" s="226"/>
    </x:row>
    <x:row r="288">
      <x:c r="A288" s="226"/>
      <x:c r="B288" s="226"/>
      <x:c r="C288" s="226"/>
      <x:c r="D288" s="226"/>
      <x:c r="E288" s="226"/>
      <x:c r="F288" s="226"/>
      <x:c r="G288" s="226"/>
      <x:c r="H288" s="226"/>
      <x:c r="I288" s="226"/>
      <x:c r="J288" s="226"/>
      <x:c r="K288" s="226"/>
      <x:c r="L288" s="226"/>
      <x:c r="M288" s="226"/>
      <x:c r="N288" s="226"/>
      <x:c r="O288" s="226"/>
      <x:c r="P288" s="226"/>
      <x:c r="Q288" s="226"/>
      <x:c r="R288" s="226"/>
      <x:c r="S288" s="226"/>
      <x:c r="T288" s="226"/>
      <x:c r="U288" s="226"/>
      <x:c r="V288" s="226"/>
      <x:c r="W288" s="226"/>
      <x:c r="X288" s="226"/>
      <x:c r="Y288" s="226"/>
      <x:c r="Z288" s="226"/>
    </x:row>
    <x:row r="289">
      <x:c r="A289" s="226"/>
      <x:c r="B289" s="226"/>
      <x:c r="C289" s="226"/>
      <x:c r="D289" s="226"/>
      <x:c r="E289" s="226"/>
      <x:c r="F289" s="226"/>
      <x:c r="G289" s="226"/>
      <x:c r="H289" s="226"/>
      <x:c r="I289" s="226"/>
      <x:c r="J289" s="226"/>
      <x:c r="K289" s="226"/>
      <x:c r="L289" s="226"/>
      <x:c r="M289" s="226"/>
      <x:c r="N289" s="226"/>
      <x:c r="O289" s="226"/>
      <x:c r="P289" s="226"/>
      <x:c r="Q289" s="226"/>
      <x:c r="R289" s="226"/>
      <x:c r="S289" s="226"/>
      <x:c r="T289" s="226"/>
      <x:c r="U289" s="226"/>
      <x:c r="V289" s="226"/>
      <x:c r="W289" s="226"/>
      <x:c r="X289" s="226"/>
      <x:c r="Y289" s="226"/>
      <x:c r="Z289" s="226"/>
    </x:row>
    <x:row r="290">
      <x:c r="A290" s="226"/>
      <x:c r="B290" s="226"/>
      <x:c r="C290" s="226"/>
      <x:c r="D290" s="226"/>
      <x:c r="E290" s="226"/>
      <x:c r="F290" s="226"/>
      <x:c r="G290" s="226"/>
      <x:c r="H290" s="226"/>
      <x:c r="I290" s="226"/>
      <x:c r="J290" s="226"/>
      <x:c r="K290" s="226"/>
      <x:c r="L290" s="226"/>
      <x:c r="M290" s="226"/>
      <x:c r="N290" s="226"/>
      <x:c r="O290" s="226"/>
      <x:c r="P290" s="226"/>
      <x:c r="Q290" s="226"/>
      <x:c r="R290" s="226"/>
      <x:c r="S290" s="226"/>
      <x:c r="T290" s="226"/>
      <x:c r="U290" s="226"/>
      <x:c r="V290" s="226"/>
      <x:c r="W290" s="226"/>
      <x:c r="X290" s="226"/>
      <x:c r="Y290" s="226"/>
      <x:c r="Z290" s="226"/>
    </x:row>
    <x:row r="291">
      <x:c r="A291" s="226"/>
      <x:c r="B291" s="226"/>
      <x:c r="C291" s="226"/>
      <x:c r="D291" s="226"/>
      <x:c r="E291" s="226"/>
      <x:c r="F291" s="226"/>
      <x:c r="G291" s="226"/>
      <x:c r="H291" s="226"/>
      <x:c r="I291" s="226"/>
      <x:c r="J291" s="226"/>
      <x:c r="K291" s="226"/>
      <x:c r="L291" s="226"/>
      <x:c r="M291" s="226"/>
      <x:c r="N291" s="226"/>
      <x:c r="O291" s="226"/>
      <x:c r="P291" s="226"/>
      <x:c r="Q291" s="226"/>
      <x:c r="R291" s="226"/>
      <x:c r="S291" s="226"/>
      <x:c r="T291" s="226"/>
      <x:c r="U291" s="226"/>
      <x:c r="V291" s="226"/>
      <x:c r="W291" s="226"/>
      <x:c r="X291" s="226"/>
      <x:c r="Y291" s="226"/>
      <x:c r="Z291" s="226"/>
    </x:row>
    <x:row r="292">
      <x:c r="A292" s="226"/>
      <x:c r="B292" s="226"/>
      <x:c r="C292" s="226"/>
      <x:c r="D292" s="226"/>
      <x:c r="E292" s="226"/>
      <x:c r="F292" s="226"/>
      <x:c r="G292" s="226"/>
      <x:c r="H292" s="226"/>
      <x:c r="I292" s="226"/>
      <x:c r="J292" s="226"/>
      <x:c r="K292" s="226"/>
      <x:c r="L292" s="226"/>
      <x:c r="M292" s="226"/>
      <x:c r="N292" s="226"/>
      <x:c r="O292" s="226"/>
      <x:c r="P292" s="226"/>
      <x:c r="Q292" s="226"/>
      <x:c r="R292" s="226"/>
      <x:c r="S292" s="226"/>
      <x:c r="T292" s="226"/>
      <x:c r="U292" s="226"/>
      <x:c r="V292" s="226"/>
      <x:c r="W292" s="226"/>
      <x:c r="X292" s="226"/>
      <x:c r="Y292" s="226"/>
      <x:c r="Z292" s="226"/>
    </x:row>
    <x:row r="293">
      <x:c r="A293" s="226"/>
      <x:c r="B293" s="226"/>
      <x:c r="C293" s="226"/>
      <x:c r="D293" s="226"/>
      <x:c r="E293" s="226"/>
      <x:c r="F293" s="226"/>
      <x:c r="G293" s="226"/>
      <x:c r="H293" s="226"/>
      <x:c r="I293" s="226"/>
      <x:c r="J293" s="226"/>
      <x:c r="K293" s="226"/>
      <x:c r="L293" s="226"/>
      <x:c r="M293" s="226"/>
      <x:c r="N293" s="226"/>
      <x:c r="O293" s="226"/>
      <x:c r="P293" s="226"/>
      <x:c r="Q293" s="226"/>
      <x:c r="R293" s="226"/>
      <x:c r="S293" s="226"/>
      <x:c r="T293" s="226"/>
      <x:c r="U293" s="226"/>
      <x:c r="V293" s="226"/>
      <x:c r="W293" s="226"/>
      <x:c r="X293" s="226"/>
      <x:c r="Y293" s="226"/>
      <x:c r="Z293" s="226"/>
    </x:row>
    <x:row r="294">
      <x:c r="A294" s="226"/>
      <x:c r="B294" s="226"/>
      <x:c r="C294" s="226"/>
      <x:c r="D294" s="226"/>
      <x:c r="E294" s="226"/>
      <x:c r="F294" s="226"/>
      <x:c r="G294" s="226"/>
      <x:c r="H294" s="226"/>
      <x:c r="I294" s="226"/>
      <x:c r="J294" s="226"/>
      <x:c r="K294" s="226"/>
      <x:c r="L294" s="226"/>
      <x:c r="M294" s="226"/>
      <x:c r="N294" s="226"/>
      <x:c r="O294" s="226"/>
      <x:c r="P294" s="226"/>
      <x:c r="Q294" s="226"/>
      <x:c r="R294" s="226"/>
      <x:c r="S294" s="226"/>
      <x:c r="T294" s="226"/>
      <x:c r="U294" s="226"/>
      <x:c r="V294" s="226"/>
      <x:c r="W294" s="226"/>
      <x:c r="X294" s="226"/>
      <x:c r="Y294" s="226"/>
      <x:c r="Z294" s="226"/>
    </x:row>
    <x:row r="295">
      <x:c r="A295" s="226"/>
      <x:c r="B295" s="226"/>
      <x:c r="C295" s="226"/>
      <x:c r="D295" s="226"/>
      <x:c r="E295" s="226"/>
      <x:c r="F295" s="226"/>
      <x:c r="G295" s="226"/>
      <x:c r="H295" s="226"/>
      <x:c r="I295" s="226"/>
      <x:c r="J295" s="226"/>
      <x:c r="K295" s="226"/>
      <x:c r="L295" s="226"/>
      <x:c r="M295" s="226"/>
      <x:c r="N295" s="226"/>
      <x:c r="O295" s="226"/>
      <x:c r="P295" s="226"/>
      <x:c r="Q295" s="226"/>
      <x:c r="R295" s="226"/>
      <x:c r="S295" s="226"/>
      <x:c r="T295" s="226"/>
      <x:c r="U295" s="226"/>
      <x:c r="V295" s="226"/>
      <x:c r="W295" s="226"/>
      <x:c r="X295" s="226"/>
      <x:c r="Y295" s="226"/>
      <x:c r="Z295" s="226"/>
    </x:row>
    <x:row r="296">
      <x:c r="A296" s="226"/>
      <x:c r="B296" s="226"/>
      <x:c r="C296" s="226"/>
      <x:c r="D296" s="226"/>
      <x:c r="E296" s="226"/>
      <x:c r="F296" s="226"/>
      <x:c r="G296" s="226"/>
      <x:c r="H296" s="226"/>
      <x:c r="I296" s="226"/>
      <x:c r="J296" s="226"/>
      <x:c r="K296" s="226"/>
      <x:c r="L296" s="226"/>
      <x:c r="M296" s="226"/>
      <x:c r="N296" s="226"/>
      <x:c r="O296" s="226"/>
      <x:c r="P296" s="226"/>
      <x:c r="Q296" s="226"/>
      <x:c r="R296" s="226"/>
      <x:c r="S296" s="226"/>
      <x:c r="T296" s="226"/>
      <x:c r="U296" s="226"/>
      <x:c r="V296" s="226"/>
      <x:c r="W296" s="226"/>
      <x:c r="X296" s="226"/>
      <x:c r="Y296" s="226"/>
      <x:c r="Z296" s="226"/>
    </x:row>
    <x:row r="297">
      <x:c r="A297" s="226"/>
      <x:c r="B297" s="226"/>
      <x:c r="C297" s="226"/>
      <x:c r="D297" s="226"/>
      <x:c r="E297" s="226"/>
      <x:c r="F297" s="226"/>
      <x:c r="G297" s="226"/>
      <x:c r="H297" s="226"/>
      <x:c r="I297" s="226"/>
      <x:c r="J297" s="226"/>
      <x:c r="K297" s="226"/>
      <x:c r="L297" s="226"/>
      <x:c r="M297" s="226"/>
      <x:c r="N297" s="226"/>
      <x:c r="O297" s="226"/>
      <x:c r="P297" s="226"/>
      <x:c r="Q297" s="226"/>
      <x:c r="R297" s="226"/>
      <x:c r="S297" s="226"/>
      <x:c r="T297" s="226"/>
      <x:c r="U297" s="226"/>
      <x:c r="V297" s="226"/>
      <x:c r="W297" s="226"/>
      <x:c r="X297" s="226"/>
      <x:c r="Y297" s="226"/>
      <x:c r="Z297" s="226"/>
    </x:row>
    <x:row r="298">
      <x:c r="A298" s="226"/>
      <x:c r="B298" s="226"/>
      <x:c r="C298" s="226"/>
      <x:c r="D298" s="226"/>
      <x:c r="E298" s="226"/>
      <x:c r="F298" s="226"/>
      <x:c r="G298" s="226"/>
      <x:c r="H298" s="226"/>
      <x:c r="I298" s="226"/>
      <x:c r="J298" s="226"/>
      <x:c r="K298" s="226"/>
      <x:c r="L298" s="226"/>
      <x:c r="M298" s="226"/>
      <x:c r="N298" s="226"/>
      <x:c r="O298" s="226"/>
      <x:c r="P298" s="226"/>
      <x:c r="Q298" s="226"/>
      <x:c r="R298" s="226"/>
      <x:c r="S298" s="226"/>
      <x:c r="T298" s="226"/>
      <x:c r="U298" s="226"/>
      <x:c r="V298" s="226"/>
      <x:c r="W298" s="226"/>
      <x:c r="X298" s="226"/>
      <x:c r="Y298" s="226"/>
      <x:c r="Z298" s="226"/>
    </x:row>
    <x:row r="299">
      <x:c r="A299" s="226"/>
      <x:c r="B299" s="226"/>
      <x:c r="C299" s="226"/>
      <x:c r="D299" s="226"/>
      <x:c r="E299" s="226"/>
      <x:c r="F299" s="226"/>
      <x:c r="G299" s="226"/>
      <x:c r="H299" s="226"/>
      <x:c r="I299" s="226"/>
      <x:c r="J299" s="226"/>
      <x:c r="K299" s="226"/>
      <x:c r="L299" s="226"/>
      <x:c r="M299" s="226"/>
      <x:c r="N299" s="226"/>
      <x:c r="O299" s="226"/>
      <x:c r="P299" s="226"/>
      <x:c r="Q299" s="226"/>
      <x:c r="R299" s="226"/>
      <x:c r="S299" s="226"/>
      <x:c r="T299" s="226"/>
      <x:c r="U299" s="226"/>
      <x:c r="V299" s="226"/>
      <x:c r="W299" s="226"/>
      <x:c r="X299" s="226"/>
      <x:c r="Y299" s="226"/>
      <x:c r="Z299" s="226"/>
    </x:row>
    <x:row r="300">
      <x:c r="A300" s="226"/>
      <x:c r="B300" s="226"/>
      <x:c r="C300" s="226"/>
      <x:c r="D300" s="226"/>
      <x:c r="E300" s="226"/>
      <x:c r="F300" s="226"/>
      <x:c r="G300" s="226"/>
      <x:c r="H300" s="226"/>
      <x:c r="I300" s="226"/>
      <x:c r="J300" s="226"/>
      <x:c r="K300" s="226"/>
      <x:c r="L300" s="226"/>
      <x:c r="M300" s="226"/>
      <x:c r="N300" s="226"/>
      <x:c r="O300" s="226"/>
      <x:c r="P300" s="226"/>
      <x:c r="Q300" s="226"/>
      <x:c r="R300" s="226"/>
      <x:c r="S300" s="226"/>
      <x:c r="T300" s="226"/>
      <x:c r="U300" s="226"/>
      <x:c r="V300" s="226"/>
      <x:c r="W300" s="226"/>
      <x:c r="X300" s="226"/>
      <x:c r="Y300" s="226"/>
      <x:c r="Z300" s="226"/>
    </x:row>
    <x:row r="301">
      <x:c r="A301" s="226"/>
      <x:c r="B301" s="226"/>
      <x:c r="C301" s="226"/>
      <x:c r="D301" s="226"/>
      <x:c r="E301" s="226"/>
      <x:c r="F301" s="226"/>
      <x:c r="G301" s="226"/>
      <x:c r="H301" s="226"/>
      <x:c r="I301" s="226"/>
      <x:c r="J301" s="226"/>
      <x:c r="K301" s="226"/>
      <x:c r="L301" s="226"/>
      <x:c r="M301" s="226"/>
      <x:c r="N301" s="226"/>
      <x:c r="O301" s="226"/>
      <x:c r="P301" s="226"/>
      <x:c r="Q301" s="226"/>
      <x:c r="R301" s="226"/>
      <x:c r="S301" s="226"/>
      <x:c r="T301" s="226"/>
      <x:c r="U301" s="226"/>
      <x:c r="V301" s="226"/>
      <x:c r="W301" s="226"/>
      <x:c r="X301" s="226"/>
      <x:c r="Y301" s="226"/>
      <x:c r="Z301" s="226"/>
    </x:row>
    <x:row r="302">
      <x:c r="A302" s="226"/>
      <x:c r="B302" s="226"/>
      <x:c r="C302" s="226"/>
      <x:c r="D302" s="226"/>
      <x:c r="E302" s="226"/>
      <x:c r="F302" s="226"/>
      <x:c r="G302" s="226"/>
      <x:c r="H302" s="226"/>
      <x:c r="I302" s="226"/>
      <x:c r="J302" s="226"/>
      <x:c r="K302" s="226"/>
      <x:c r="L302" s="226"/>
      <x:c r="M302" s="226"/>
      <x:c r="N302" s="226"/>
      <x:c r="O302" s="226"/>
      <x:c r="P302" s="226"/>
      <x:c r="Q302" s="226"/>
      <x:c r="R302" s="226"/>
      <x:c r="S302" s="226"/>
      <x:c r="T302" s="226"/>
      <x:c r="U302" s="226"/>
      <x:c r="V302" s="226"/>
      <x:c r="W302" s="226"/>
      <x:c r="X302" s="226"/>
      <x:c r="Y302" s="226"/>
      <x:c r="Z302" s="226"/>
    </x:row>
    <x:row r="303">
      <x:c r="A303" s="226"/>
      <x:c r="B303" s="226"/>
      <x:c r="C303" s="226"/>
      <x:c r="D303" s="226"/>
      <x:c r="E303" s="226"/>
      <x:c r="F303" s="226"/>
      <x:c r="G303" s="226"/>
      <x:c r="H303" s="226"/>
      <x:c r="I303" s="226"/>
      <x:c r="J303" s="226"/>
      <x:c r="K303" s="226"/>
      <x:c r="L303" s="226"/>
      <x:c r="M303" s="226"/>
      <x:c r="N303" s="226"/>
      <x:c r="O303" s="226"/>
      <x:c r="P303" s="226"/>
      <x:c r="Q303" s="226"/>
      <x:c r="R303" s="226"/>
      <x:c r="S303" s="226"/>
      <x:c r="T303" s="226"/>
      <x:c r="U303" s="226"/>
      <x:c r="V303" s="226"/>
      <x:c r="W303" s="226"/>
      <x:c r="X303" s="226"/>
      <x:c r="Y303" s="226"/>
      <x:c r="Z303" s="226"/>
    </x:row>
    <x:row r="304">
      <x:c r="A304" s="226"/>
      <x:c r="B304" s="226"/>
      <x:c r="C304" s="226"/>
      <x:c r="D304" s="226"/>
      <x:c r="E304" s="226"/>
      <x:c r="F304" s="226"/>
      <x:c r="G304" s="226"/>
      <x:c r="H304" s="226"/>
      <x:c r="I304" s="226"/>
      <x:c r="J304" s="226"/>
      <x:c r="K304" s="226"/>
      <x:c r="L304" s="226"/>
      <x:c r="M304" s="226"/>
      <x:c r="N304" s="226"/>
      <x:c r="O304" s="226"/>
      <x:c r="P304" s="226"/>
      <x:c r="Q304" s="226"/>
      <x:c r="R304" s="226"/>
      <x:c r="S304" s="226"/>
      <x:c r="T304" s="226"/>
      <x:c r="U304" s="226"/>
      <x:c r="V304" s="226"/>
      <x:c r="W304" s="226"/>
      <x:c r="X304" s="226"/>
      <x:c r="Y304" s="226"/>
      <x:c r="Z304" s="226"/>
    </x:row>
    <x:row r="305">
      <x:c r="A305" s="226"/>
      <x:c r="B305" s="226"/>
      <x:c r="C305" s="226"/>
      <x:c r="D305" s="226"/>
      <x:c r="E305" s="226"/>
      <x:c r="F305" s="226"/>
      <x:c r="G305" s="226"/>
      <x:c r="H305" s="226"/>
      <x:c r="I305" s="226"/>
      <x:c r="J305" s="226"/>
      <x:c r="K305" s="226"/>
      <x:c r="L305" s="226"/>
      <x:c r="M305" s="226"/>
      <x:c r="N305" s="226"/>
      <x:c r="O305" s="226"/>
      <x:c r="P305" s="226"/>
      <x:c r="Q305" s="226"/>
      <x:c r="R305" s="226"/>
      <x:c r="S305" s="226"/>
      <x:c r="T305" s="226"/>
      <x:c r="U305" s="226"/>
      <x:c r="V305" s="226"/>
      <x:c r="W305" s="226"/>
      <x:c r="X305" s="226"/>
      <x:c r="Y305" s="226"/>
      <x:c r="Z305" s="226"/>
    </x:row>
    <x:row r="306">
      <x:c r="A306" s="226"/>
      <x:c r="B306" s="226"/>
      <x:c r="C306" s="226"/>
      <x:c r="D306" s="226"/>
      <x:c r="E306" s="226"/>
      <x:c r="F306" s="226"/>
      <x:c r="G306" s="226"/>
      <x:c r="H306" s="226"/>
      <x:c r="I306" s="226"/>
      <x:c r="J306" s="226"/>
      <x:c r="K306" s="226"/>
      <x:c r="L306" s="226"/>
      <x:c r="M306" s="226"/>
      <x:c r="N306" s="226"/>
      <x:c r="O306" s="226"/>
      <x:c r="P306" s="226"/>
      <x:c r="Q306" s="226"/>
      <x:c r="R306" s="226"/>
      <x:c r="S306" s="226"/>
      <x:c r="T306" s="226"/>
      <x:c r="U306" s="226"/>
      <x:c r="V306" s="226"/>
      <x:c r="W306" s="226"/>
      <x:c r="X306" s="226"/>
      <x:c r="Y306" s="226"/>
      <x:c r="Z306" s="226"/>
    </x:row>
    <x:row r="307">
      <x:c r="A307" s="226"/>
      <x:c r="B307" s="226"/>
      <x:c r="C307" s="226"/>
      <x:c r="D307" s="226"/>
      <x:c r="E307" s="226"/>
      <x:c r="F307" s="226"/>
      <x:c r="G307" s="226"/>
      <x:c r="H307" s="226"/>
      <x:c r="I307" s="226"/>
      <x:c r="J307" s="226"/>
      <x:c r="K307" s="226"/>
      <x:c r="L307" s="226"/>
      <x:c r="M307" s="226"/>
      <x:c r="N307" s="226"/>
      <x:c r="O307" s="226"/>
      <x:c r="P307" s="226"/>
      <x:c r="Q307" s="226"/>
      <x:c r="R307" s="226"/>
      <x:c r="S307" s="226"/>
      <x:c r="T307" s="226"/>
      <x:c r="U307" s="226"/>
      <x:c r="V307" s="226"/>
      <x:c r="W307" s="226"/>
      <x:c r="X307" s="226"/>
      <x:c r="Y307" s="226"/>
      <x:c r="Z307" s="226"/>
    </x:row>
    <x:row r="308">
      <x:c r="A308" s="226"/>
      <x:c r="B308" s="226"/>
      <x:c r="C308" s="226"/>
      <x:c r="D308" s="226"/>
      <x:c r="E308" s="226"/>
      <x:c r="F308" s="226"/>
      <x:c r="G308" s="226"/>
      <x:c r="H308" s="226"/>
      <x:c r="I308" s="226"/>
      <x:c r="J308" s="226"/>
      <x:c r="K308" s="226"/>
      <x:c r="L308" s="226"/>
      <x:c r="M308" s="226"/>
      <x:c r="N308" s="226"/>
      <x:c r="O308" s="226"/>
      <x:c r="P308" s="226"/>
      <x:c r="Q308" s="226"/>
      <x:c r="R308" s="226"/>
      <x:c r="S308" s="226"/>
      <x:c r="T308" s="226"/>
      <x:c r="U308" s="226"/>
      <x:c r="V308" s="226"/>
      <x:c r="W308" s="226"/>
      <x:c r="X308" s="226"/>
      <x:c r="Y308" s="226"/>
      <x:c r="Z308" s="226"/>
    </x:row>
    <x:row r="309">
      <x:c r="A309" s="226"/>
      <x:c r="B309" s="226"/>
      <x:c r="C309" s="226"/>
      <x:c r="D309" s="226"/>
      <x:c r="E309" s="226"/>
      <x:c r="F309" s="226"/>
      <x:c r="G309" s="226"/>
      <x:c r="H309" s="226"/>
      <x:c r="I309" s="226"/>
      <x:c r="J309" s="226"/>
      <x:c r="K309" s="226"/>
      <x:c r="L309" s="226"/>
      <x:c r="M309" s="226"/>
      <x:c r="N309" s="226"/>
      <x:c r="O309" s="226"/>
      <x:c r="P309" s="226"/>
      <x:c r="Q309" s="226"/>
      <x:c r="R309" s="226"/>
      <x:c r="S309" s="226"/>
      <x:c r="T309" s="226"/>
      <x:c r="U309" s="226"/>
      <x:c r="V309" s="226"/>
      <x:c r="W309" s="226"/>
      <x:c r="X309" s="226"/>
      <x:c r="Y309" s="226"/>
      <x:c r="Z309" s="226"/>
    </x:row>
    <x:row r="310">
      <x:c r="A310" s="226"/>
      <x:c r="B310" s="226"/>
      <x:c r="C310" s="226"/>
      <x:c r="D310" s="226"/>
      <x:c r="E310" s="226"/>
      <x:c r="F310" s="226"/>
      <x:c r="G310" s="226"/>
      <x:c r="H310" s="226"/>
      <x:c r="I310" s="226"/>
      <x:c r="J310" s="226"/>
      <x:c r="K310" s="226"/>
      <x:c r="L310" s="226"/>
      <x:c r="M310" s="226"/>
      <x:c r="N310" s="226"/>
      <x:c r="O310" s="226"/>
      <x:c r="P310" s="226"/>
      <x:c r="Q310" s="226"/>
      <x:c r="R310" s="226"/>
      <x:c r="S310" s="226"/>
      <x:c r="T310" s="226"/>
      <x:c r="U310" s="226"/>
      <x:c r="V310" s="226"/>
      <x:c r="W310" s="226"/>
      <x:c r="X310" s="226"/>
      <x:c r="Y310" s="226"/>
      <x:c r="Z310" s="226"/>
    </x:row>
    <x:row r="311">
      <x:c r="A311" s="226"/>
      <x:c r="B311" s="226"/>
      <x:c r="C311" s="226"/>
      <x:c r="D311" s="226"/>
      <x:c r="E311" s="226"/>
      <x:c r="F311" s="226"/>
      <x:c r="G311" s="226"/>
      <x:c r="H311" s="226"/>
      <x:c r="I311" s="226"/>
      <x:c r="J311" s="226"/>
      <x:c r="K311" s="226"/>
      <x:c r="L311" s="226"/>
      <x:c r="M311" s="226"/>
      <x:c r="N311" s="226"/>
      <x:c r="O311" s="226"/>
      <x:c r="P311" s="226"/>
      <x:c r="Q311" s="226"/>
      <x:c r="R311" s="226"/>
      <x:c r="S311" s="226"/>
      <x:c r="T311" s="226"/>
      <x:c r="U311" s="226"/>
      <x:c r="V311" s="226"/>
      <x:c r="W311" s="226"/>
      <x:c r="X311" s="226"/>
      <x:c r="Y311" s="226"/>
      <x:c r="Z311" s="226"/>
    </x:row>
    <x:row r="312">
      <x:c r="A312" s="226"/>
      <x:c r="B312" s="226"/>
      <x:c r="C312" s="226"/>
      <x:c r="D312" s="226"/>
      <x:c r="E312" s="226"/>
      <x:c r="F312" s="226"/>
      <x:c r="G312" s="226"/>
      <x:c r="H312" s="226"/>
      <x:c r="I312" s="226"/>
      <x:c r="J312" s="226"/>
      <x:c r="K312" s="226"/>
      <x:c r="L312" s="226"/>
      <x:c r="M312" s="226"/>
      <x:c r="N312" s="226"/>
      <x:c r="O312" s="226"/>
      <x:c r="P312" s="226"/>
      <x:c r="Q312" s="226"/>
      <x:c r="R312" s="226"/>
      <x:c r="S312" s="226"/>
      <x:c r="T312" s="226"/>
      <x:c r="U312" s="226"/>
      <x:c r="V312" s="226"/>
      <x:c r="W312" s="226"/>
      <x:c r="X312" s="226"/>
      <x:c r="Y312" s="226"/>
      <x:c r="Z312" s="226"/>
    </x:row>
    <x:row r="313">
      <x:c r="A313" s="226"/>
      <x:c r="B313" s="226"/>
      <x:c r="C313" s="226"/>
      <x:c r="D313" s="226"/>
      <x:c r="E313" s="226"/>
      <x:c r="F313" s="226"/>
      <x:c r="G313" s="226"/>
      <x:c r="H313" s="226"/>
      <x:c r="I313" s="226"/>
      <x:c r="J313" s="226"/>
      <x:c r="K313" s="226"/>
      <x:c r="L313" s="226"/>
      <x:c r="M313" s="226"/>
      <x:c r="N313" s="226"/>
      <x:c r="O313" s="226"/>
      <x:c r="P313" s="226"/>
      <x:c r="Q313" s="226"/>
      <x:c r="R313" s="226"/>
      <x:c r="S313" s="226"/>
      <x:c r="T313" s="226"/>
      <x:c r="U313" s="226"/>
      <x:c r="V313" s="226"/>
      <x:c r="W313" s="226"/>
      <x:c r="X313" s="226"/>
      <x:c r="Y313" s="226"/>
      <x:c r="Z313" s="226"/>
    </x:row>
    <x:row r="314">
      <x:c r="A314" s="226"/>
      <x:c r="B314" s="226"/>
      <x:c r="C314" s="226"/>
      <x:c r="D314" s="226"/>
      <x:c r="E314" s="226"/>
      <x:c r="F314" s="226"/>
      <x:c r="G314" s="226"/>
      <x:c r="H314" s="226"/>
      <x:c r="I314" s="226"/>
      <x:c r="J314" s="226"/>
      <x:c r="K314" s="226"/>
      <x:c r="L314" s="226"/>
      <x:c r="M314" s="226"/>
      <x:c r="N314" s="226"/>
      <x:c r="O314" s="226"/>
      <x:c r="P314" s="226"/>
      <x:c r="Q314" s="226"/>
      <x:c r="R314" s="226"/>
      <x:c r="S314" s="226"/>
      <x:c r="T314" s="226"/>
      <x:c r="U314" s="226"/>
      <x:c r="V314" s="226"/>
      <x:c r="W314" s="226"/>
      <x:c r="X314" s="226"/>
      <x:c r="Y314" s="226"/>
      <x:c r="Z314" s="226"/>
    </x:row>
    <x:row r="315">
      <x:c r="A315" s="226"/>
      <x:c r="B315" s="226"/>
      <x:c r="C315" s="226"/>
      <x:c r="D315" s="226"/>
      <x:c r="E315" s="226"/>
      <x:c r="F315" s="226"/>
      <x:c r="G315" s="226"/>
      <x:c r="H315" s="226"/>
      <x:c r="I315" s="226"/>
      <x:c r="J315" s="226"/>
      <x:c r="K315" s="226"/>
      <x:c r="L315" s="226"/>
      <x:c r="M315" s="226"/>
      <x:c r="N315" s="226"/>
      <x:c r="O315" s="226"/>
      <x:c r="P315" s="226"/>
      <x:c r="Q315" s="226"/>
      <x:c r="R315" s="226"/>
      <x:c r="S315" s="226"/>
      <x:c r="T315" s="226"/>
      <x:c r="U315" s="226"/>
      <x:c r="V315" s="226"/>
      <x:c r="W315" s="226"/>
      <x:c r="X315" s="226"/>
      <x:c r="Y315" s="226"/>
      <x:c r="Z315" s="226"/>
    </x:row>
    <x:row r="316">
      <x:c r="A316" s="226"/>
      <x:c r="B316" s="226"/>
      <x:c r="C316" s="226"/>
      <x:c r="D316" s="226"/>
      <x:c r="E316" s="226"/>
      <x:c r="F316" s="226"/>
      <x:c r="G316" s="226"/>
      <x:c r="H316" s="226"/>
      <x:c r="I316" s="226"/>
      <x:c r="J316" s="226"/>
      <x:c r="K316" s="226"/>
      <x:c r="L316" s="226"/>
      <x:c r="M316" s="226"/>
      <x:c r="N316" s="226"/>
      <x:c r="O316" s="226"/>
      <x:c r="P316" s="226"/>
      <x:c r="Q316" s="226"/>
      <x:c r="R316" s="226"/>
      <x:c r="S316" s="226"/>
      <x:c r="T316" s="226"/>
      <x:c r="U316" s="226"/>
      <x:c r="V316" s="226"/>
      <x:c r="W316" s="226"/>
      <x:c r="X316" s="226"/>
      <x:c r="Y316" s="226"/>
      <x:c r="Z316" s="226"/>
    </x:row>
    <x:row r="317">
      <x:c r="A317" s="226"/>
      <x:c r="B317" s="226"/>
      <x:c r="C317" s="226"/>
      <x:c r="D317" s="226"/>
      <x:c r="E317" s="226"/>
      <x:c r="F317" s="226"/>
      <x:c r="G317" s="226"/>
      <x:c r="H317" s="226"/>
      <x:c r="I317" s="226"/>
      <x:c r="J317" s="226"/>
      <x:c r="K317" s="226"/>
      <x:c r="L317" s="226"/>
      <x:c r="M317" s="226"/>
      <x:c r="N317" s="226"/>
      <x:c r="O317" s="226"/>
      <x:c r="P317" s="226"/>
      <x:c r="Q317" s="226"/>
      <x:c r="R317" s="226"/>
      <x:c r="S317" s="226"/>
      <x:c r="T317" s="226"/>
      <x:c r="U317" s="226"/>
      <x:c r="V317" s="226"/>
      <x:c r="W317" s="226"/>
      <x:c r="X317" s="226"/>
      <x:c r="Y317" s="226"/>
      <x:c r="Z317" s="226"/>
    </x:row>
    <x:row r="318">
      <x:c r="A318" s="226"/>
      <x:c r="B318" s="226"/>
      <x:c r="C318" s="226"/>
      <x:c r="D318" s="226"/>
      <x:c r="E318" s="226"/>
      <x:c r="F318" s="226"/>
      <x:c r="G318" s="226"/>
      <x:c r="H318" s="226"/>
      <x:c r="I318" s="226"/>
      <x:c r="J318" s="226"/>
      <x:c r="K318" s="226"/>
      <x:c r="L318" s="226"/>
      <x:c r="M318" s="226"/>
      <x:c r="N318" s="226"/>
      <x:c r="O318" s="226"/>
      <x:c r="P318" s="226"/>
      <x:c r="Q318" s="226"/>
      <x:c r="R318" s="226"/>
      <x:c r="S318" s="226"/>
      <x:c r="T318" s="226"/>
      <x:c r="U318" s="226"/>
      <x:c r="V318" s="226"/>
      <x:c r="W318" s="226"/>
      <x:c r="X318" s="226"/>
      <x:c r="Y318" s="226"/>
      <x:c r="Z318" s="226"/>
    </x:row>
    <x:row r="319">
      <x:c r="A319" s="226"/>
      <x:c r="B319" s="226"/>
      <x:c r="C319" s="226"/>
      <x:c r="D319" s="226"/>
      <x:c r="E319" s="226"/>
      <x:c r="F319" s="226"/>
      <x:c r="G319" s="226"/>
      <x:c r="H319" s="226"/>
      <x:c r="I319" s="226"/>
      <x:c r="J319" s="226"/>
      <x:c r="K319" s="226"/>
      <x:c r="L319" s="226"/>
      <x:c r="M319" s="226"/>
      <x:c r="N319" s="226"/>
      <x:c r="O319" s="226"/>
      <x:c r="P319" s="226"/>
      <x:c r="Q319" s="226"/>
      <x:c r="R319" s="226"/>
      <x:c r="S319" s="226"/>
      <x:c r="T319" s="226"/>
      <x:c r="U319" s="226"/>
      <x:c r="V319" s="226"/>
      <x:c r="W319" s="226"/>
      <x:c r="X319" s="226"/>
      <x:c r="Y319" s="226"/>
      <x:c r="Z319" s="226"/>
    </x:row>
    <x:row r="320">
      <x:c r="A320" s="226"/>
      <x:c r="B320" s="226"/>
      <x:c r="C320" s="226"/>
      <x:c r="D320" s="226"/>
      <x:c r="E320" s="226"/>
      <x:c r="F320" s="226"/>
      <x:c r="G320" s="226"/>
      <x:c r="H320" s="226"/>
      <x:c r="I320" s="226"/>
      <x:c r="J320" s="226"/>
      <x:c r="K320" s="226"/>
      <x:c r="L320" s="226"/>
      <x:c r="M320" s="226"/>
      <x:c r="N320" s="226"/>
      <x:c r="O320" s="226"/>
      <x:c r="P320" s="226"/>
      <x:c r="Q320" s="226"/>
      <x:c r="R320" s="226"/>
      <x:c r="S320" s="226"/>
      <x:c r="T320" s="226"/>
      <x:c r="U320" s="226"/>
      <x:c r="V320" s="226"/>
      <x:c r="W320" s="226"/>
      <x:c r="X320" s="226"/>
      <x:c r="Y320" s="226"/>
      <x:c r="Z320" s="226"/>
    </x:row>
    <x:row r="321">
      <x:c r="A321" s="226"/>
      <x:c r="B321" s="226"/>
      <x:c r="C321" s="226"/>
      <x:c r="D321" s="226"/>
      <x:c r="E321" s="226"/>
      <x:c r="F321" s="226"/>
      <x:c r="G321" s="226"/>
      <x:c r="H321" s="226"/>
      <x:c r="I321" s="226"/>
      <x:c r="J321" s="226"/>
      <x:c r="K321" s="226"/>
      <x:c r="L321" s="226"/>
      <x:c r="M321" s="226"/>
      <x:c r="N321" s="226"/>
      <x:c r="O321" s="226"/>
      <x:c r="P321" s="226"/>
      <x:c r="Q321" s="226"/>
      <x:c r="R321" s="226"/>
      <x:c r="S321" s="226"/>
      <x:c r="T321" s="226"/>
      <x:c r="U321" s="226"/>
      <x:c r="V321" s="226"/>
      <x:c r="W321" s="226"/>
      <x:c r="X321" s="226"/>
      <x:c r="Y321" s="226"/>
      <x:c r="Z321" s="226"/>
    </x:row>
    <x:row r="322">
      <x:c r="A322" s="226"/>
      <x:c r="B322" s="226"/>
      <x:c r="C322" s="226"/>
      <x:c r="D322" s="226"/>
      <x:c r="E322" s="226"/>
      <x:c r="F322" s="226"/>
      <x:c r="G322" s="226"/>
      <x:c r="H322" s="226"/>
      <x:c r="I322" s="226"/>
      <x:c r="J322" s="226"/>
      <x:c r="K322" s="226"/>
      <x:c r="L322" s="226"/>
      <x:c r="M322" s="226"/>
      <x:c r="N322" s="226"/>
      <x:c r="O322" s="226"/>
      <x:c r="P322" s="226"/>
      <x:c r="Q322" s="226"/>
      <x:c r="R322" s="226"/>
      <x:c r="S322" s="226"/>
      <x:c r="T322" s="226"/>
      <x:c r="U322" s="226"/>
      <x:c r="V322" s="226"/>
      <x:c r="W322" s="226"/>
      <x:c r="X322" s="226"/>
      <x:c r="Y322" s="226"/>
      <x:c r="Z322" s="226"/>
    </x:row>
    <x:row r="323">
      <x:c r="A323" s="226"/>
      <x:c r="B323" s="226"/>
      <x:c r="C323" s="226"/>
      <x:c r="D323" s="226"/>
      <x:c r="E323" s="226"/>
      <x:c r="F323" s="226"/>
      <x:c r="G323" s="226"/>
      <x:c r="H323" s="226"/>
      <x:c r="I323" s="226"/>
      <x:c r="J323" s="226"/>
      <x:c r="K323" s="226"/>
      <x:c r="L323" s="226"/>
      <x:c r="M323" s="226"/>
      <x:c r="N323" s="226"/>
      <x:c r="O323" s="226"/>
      <x:c r="P323" s="226"/>
      <x:c r="Q323" s="226"/>
      <x:c r="R323" s="226"/>
      <x:c r="S323" s="226"/>
      <x:c r="T323" s="226"/>
      <x:c r="U323" s="226"/>
      <x:c r="V323" s="226"/>
      <x:c r="W323" s="226"/>
      <x:c r="X323" s="226"/>
      <x:c r="Y323" s="226"/>
      <x:c r="Z323" s="226"/>
    </x:row>
    <x:row r="324">
      <x:c r="A324" s="226"/>
      <x:c r="B324" s="226"/>
      <x:c r="C324" s="226"/>
      <x:c r="D324" s="226"/>
      <x:c r="E324" s="226"/>
      <x:c r="F324" s="226"/>
      <x:c r="G324" s="226"/>
      <x:c r="H324" s="226"/>
      <x:c r="I324" s="226"/>
      <x:c r="J324" s="226"/>
      <x:c r="K324" s="226"/>
      <x:c r="L324" s="226"/>
      <x:c r="M324" s="226"/>
      <x:c r="N324" s="226"/>
      <x:c r="O324" s="226"/>
      <x:c r="P324" s="226"/>
      <x:c r="Q324" s="226"/>
      <x:c r="R324" s="226"/>
      <x:c r="S324" s="226"/>
      <x:c r="T324" s="226"/>
      <x:c r="U324" s="226"/>
      <x:c r="V324" s="226"/>
      <x:c r="W324" s="226"/>
      <x:c r="X324" s="226"/>
      <x:c r="Y324" s="226"/>
      <x:c r="Z324" s="226"/>
    </x:row>
    <x:row r="325">
      <x:c r="A325" s="226"/>
      <x:c r="B325" s="226"/>
      <x:c r="C325" s="226"/>
      <x:c r="D325" s="226"/>
      <x:c r="E325" s="226"/>
      <x:c r="F325" s="226"/>
      <x:c r="G325" s="226"/>
      <x:c r="H325" s="226"/>
      <x:c r="I325" s="226"/>
      <x:c r="J325" s="226"/>
      <x:c r="K325" s="226"/>
      <x:c r="L325" s="226"/>
      <x:c r="M325" s="226"/>
      <x:c r="N325" s="226"/>
      <x:c r="O325" s="226"/>
      <x:c r="P325" s="226"/>
      <x:c r="Q325" s="226"/>
      <x:c r="R325" s="226"/>
      <x:c r="S325" s="226"/>
      <x:c r="T325" s="226"/>
      <x:c r="U325" s="226"/>
      <x:c r="V325" s="226"/>
      <x:c r="W325" s="226"/>
      <x:c r="X325" s="226"/>
      <x:c r="Y325" s="226"/>
      <x:c r="Z325" s="226"/>
    </x:row>
    <x:row r="326">
      <x:c r="A326" s="226"/>
      <x:c r="B326" s="226"/>
      <x:c r="C326" s="226"/>
      <x:c r="D326" s="226"/>
      <x:c r="E326" s="226"/>
      <x:c r="F326" s="226"/>
      <x:c r="G326" s="226"/>
      <x:c r="H326" s="226"/>
      <x:c r="I326" s="226"/>
      <x:c r="J326" s="226"/>
      <x:c r="K326" s="226"/>
      <x:c r="L326" s="226"/>
      <x:c r="M326" s="226"/>
      <x:c r="N326" s="226"/>
      <x:c r="O326" s="226"/>
      <x:c r="P326" s="226"/>
      <x:c r="Q326" s="226"/>
      <x:c r="R326" s="226"/>
      <x:c r="S326" s="226"/>
      <x:c r="T326" s="226"/>
      <x:c r="U326" s="226"/>
      <x:c r="V326" s="226"/>
      <x:c r="W326" s="226"/>
      <x:c r="X326" s="226"/>
      <x:c r="Y326" s="226"/>
      <x:c r="Z326" s="226"/>
    </x:row>
    <x:row r="327">
      <x:c r="A327" s="226"/>
      <x:c r="B327" s="226"/>
      <x:c r="C327" s="226"/>
      <x:c r="D327" s="226"/>
      <x:c r="E327" s="226"/>
      <x:c r="F327" s="226"/>
      <x:c r="G327" s="226"/>
      <x:c r="H327" s="226"/>
      <x:c r="I327" s="226"/>
      <x:c r="J327" s="226"/>
      <x:c r="K327" s="226"/>
      <x:c r="L327" s="226"/>
      <x:c r="M327" s="226"/>
      <x:c r="N327" s="226"/>
      <x:c r="O327" s="226"/>
      <x:c r="P327" s="226"/>
      <x:c r="Q327" s="226"/>
      <x:c r="R327" s="226"/>
      <x:c r="S327" s="226"/>
      <x:c r="T327" s="226"/>
      <x:c r="U327" s="226"/>
      <x:c r="V327" s="226"/>
      <x:c r="W327" s="226"/>
      <x:c r="X327" s="226"/>
      <x:c r="Y327" s="226"/>
      <x:c r="Z327" s="226"/>
    </x:row>
    <x:row r="328">
      <x:c r="A328" s="226"/>
      <x:c r="B328" s="226"/>
      <x:c r="C328" s="226"/>
      <x:c r="D328" s="226"/>
      <x:c r="E328" s="226"/>
      <x:c r="F328" s="226"/>
      <x:c r="G328" s="226"/>
      <x:c r="H328" s="226"/>
      <x:c r="I328" s="226"/>
      <x:c r="J328" s="226"/>
      <x:c r="K328" s="226"/>
      <x:c r="L328" s="226"/>
      <x:c r="M328" s="226"/>
      <x:c r="N328" s="226"/>
      <x:c r="O328" s="226"/>
      <x:c r="P328" s="226"/>
      <x:c r="Q328" s="226"/>
      <x:c r="R328" s="226"/>
      <x:c r="S328" s="226"/>
      <x:c r="T328" s="226"/>
      <x:c r="U328" s="226"/>
      <x:c r="V328" s="226"/>
      <x:c r="W328" s="226"/>
      <x:c r="X328" s="226"/>
      <x:c r="Y328" s="226"/>
      <x:c r="Z328" s="226"/>
    </x:row>
    <x:row r="329">
      <x:c r="A329" s="226"/>
      <x:c r="B329" s="226"/>
      <x:c r="C329" s="226"/>
      <x:c r="D329" s="226"/>
      <x:c r="E329" s="226"/>
      <x:c r="F329" s="226"/>
      <x:c r="G329" s="226"/>
      <x:c r="H329" s="226"/>
      <x:c r="I329" s="226"/>
      <x:c r="J329" s="226"/>
      <x:c r="K329" s="226"/>
      <x:c r="L329" s="226"/>
      <x:c r="M329" s="226"/>
      <x:c r="N329" s="226"/>
      <x:c r="O329" s="226"/>
      <x:c r="P329" s="226"/>
      <x:c r="Q329" s="226"/>
      <x:c r="R329" s="226"/>
      <x:c r="S329" s="226"/>
      <x:c r="T329" s="226"/>
      <x:c r="U329" s="226"/>
      <x:c r="V329" s="226"/>
      <x:c r="W329" s="226"/>
      <x:c r="X329" s="226"/>
      <x:c r="Y329" s="226"/>
      <x:c r="Z329" s="226"/>
    </x:row>
    <x:row r="330">
      <x:c r="A330" s="226"/>
      <x:c r="B330" s="226"/>
      <x:c r="C330" s="226"/>
      <x:c r="D330" s="226"/>
      <x:c r="E330" s="226"/>
      <x:c r="F330" s="226"/>
      <x:c r="G330" s="226"/>
      <x:c r="H330" s="226"/>
      <x:c r="I330" s="226"/>
      <x:c r="J330" s="226"/>
      <x:c r="K330" s="226"/>
      <x:c r="L330" s="226"/>
      <x:c r="M330" s="226"/>
      <x:c r="N330" s="226"/>
      <x:c r="O330" s="226"/>
      <x:c r="P330" s="226"/>
      <x:c r="Q330" s="226"/>
      <x:c r="R330" s="226"/>
      <x:c r="S330" s="226"/>
      <x:c r="T330" s="226"/>
      <x:c r="U330" s="226"/>
      <x:c r="V330" s="226"/>
      <x:c r="W330" s="226"/>
      <x:c r="X330" s="226"/>
      <x:c r="Y330" s="226"/>
      <x:c r="Z330" s="226"/>
    </x:row>
    <x:row r="331">
      <x:c r="A331" s="226"/>
      <x:c r="B331" s="226"/>
      <x:c r="C331" s="226"/>
      <x:c r="D331" s="226"/>
      <x:c r="E331" s="226"/>
      <x:c r="F331" s="226"/>
      <x:c r="G331" s="226"/>
      <x:c r="H331" s="226"/>
      <x:c r="I331" s="226"/>
      <x:c r="J331" s="226"/>
      <x:c r="K331" s="226"/>
      <x:c r="L331" s="226"/>
      <x:c r="M331" s="226"/>
      <x:c r="N331" s="226"/>
      <x:c r="O331" s="226"/>
      <x:c r="P331" s="226"/>
      <x:c r="Q331" s="226"/>
      <x:c r="R331" s="226"/>
      <x:c r="S331" s="226"/>
      <x:c r="T331" s="226"/>
      <x:c r="U331" s="226"/>
      <x:c r="V331" s="226"/>
      <x:c r="W331" s="226"/>
      <x:c r="X331" s="226"/>
      <x:c r="Y331" s="226"/>
      <x:c r="Z331" s="226"/>
    </x:row>
    <x:row r="332">
      <x:c r="A332" s="226"/>
      <x:c r="B332" s="226"/>
      <x:c r="C332" s="226"/>
      <x:c r="D332" s="226"/>
      <x:c r="E332" s="226"/>
      <x:c r="F332" s="226"/>
      <x:c r="G332" s="226"/>
      <x:c r="H332" s="226"/>
      <x:c r="I332" s="226"/>
      <x:c r="J332" s="226"/>
      <x:c r="K332" s="226"/>
      <x:c r="L332" s="226"/>
      <x:c r="M332" s="226"/>
      <x:c r="N332" s="226"/>
      <x:c r="O332" s="226"/>
      <x:c r="P332" s="226"/>
      <x:c r="Q332" s="226"/>
      <x:c r="R332" s="226"/>
      <x:c r="S332" s="226"/>
      <x:c r="T332" s="226"/>
      <x:c r="U332" s="226"/>
      <x:c r="V332" s="226"/>
      <x:c r="W332" s="226"/>
      <x:c r="X332" s="226"/>
      <x:c r="Y332" s="226"/>
      <x:c r="Z332" s="226"/>
    </x:row>
    <x:row r="333">
      <x:c r="A333" s="226"/>
      <x:c r="B333" s="226"/>
      <x:c r="C333" s="226"/>
      <x:c r="D333" s="226"/>
      <x:c r="E333" s="226"/>
      <x:c r="F333" s="226"/>
      <x:c r="G333" s="226"/>
      <x:c r="H333" s="226"/>
      <x:c r="I333" s="226"/>
      <x:c r="J333" s="226"/>
      <x:c r="K333" s="226"/>
      <x:c r="L333" s="226"/>
      <x:c r="M333" s="226"/>
      <x:c r="N333" s="226"/>
      <x:c r="O333" s="226"/>
      <x:c r="P333" s="226"/>
      <x:c r="Q333" s="226"/>
      <x:c r="R333" s="226"/>
      <x:c r="S333" s="226"/>
      <x:c r="T333" s="226"/>
      <x:c r="U333" s="226"/>
      <x:c r="V333" s="226"/>
      <x:c r="W333" s="226"/>
      <x:c r="X333" s="226"/>
      <x:c r="Y333" s="226"/>
      <x:c r="Z333" s="226"/>
    </x:row>
    <x:row r="334">
      <x:c r="A334" s="226"/>
      <x:c r="B334" s="226"/>
      <x:c r="C334" s="226"/>
      <x:c r="D334" s="226"/>
      <x:c r="E334" s="226"/>
      <x:c r="F334" s="226"/>
      <x:c r="G334" s="226"/>
      <x:c r="H334" s="226"/>
      <x:c r="I334" s="226"/>
      <x:c r="J334" s="226"/>
      <x:c r="K334" s="226"/>
      <x:c r="L334" s="226"/>
      <x:c r="M334" s="226"/>
      <x:c r="N334" s="226"/>
      <x:c r="O334" s="226"/>
      <x:c r="P334" s="226"/>
      <x:c r="Q334" s="226"/>
      <x:c r="R334" s="226"/>
      <x:c r="S334" s="226"/>
      <x:c r="T334" s="226"/>
      <x:c r="U334" s="226"/>
      <x:c r="V334" s="226"/>
      <x:c r="W334" s="226"/>
      <x:c r="X334" s="226"/>
      <x:c r="Y334" s="226"/>
      <x:c r="Z334" s="226"/>
    </x:row>
    <x:row r="335">
      <x:c r="A335" s="226"/>
      <x:c r="B335" s="226"/>
      <x:c r="C335" s="226"/>
      <x:c r="D335" s="226"/>
      <x:c r="E335" s="226"/>
      <x:c r="F335" s="226"/>
      <x:c r="G335" s="226"/>
      <x:c r="H335" s="226"/>
      <x:c r="I335" s="226"/>
      <x:c r="J335" s="226"/>
      <x:c r="K335" s="226"/>
      <x:c r="L335" s="226"/>
      <x:c r="M335" s="226"/>
      <x:c r="N335" s="226"/>
      <x:c r="O335" s="226"/>
      <x:c r="P335" s="226"/>
      <x:c r="Q335" s="226"/>
      <x:c r="R335" s="226"/>
      <x:c r="S335" s="226"/>
      <x:c r="T335" s="226"/>
      <x:c r="U335" s="226"/>
      <x:c r="V335" s="226"/>
      <x:c r="W335" s="226"/>
      <x:c r="X335" s="226"/>
      <x:c r="Y335" s="226"/>
      <x:c r="Z335" s="226"/>
    </x:row>
    <x:row r="336">
      <x:c r="A336" s="226"/>
      <x:c r="B336" s="226"/>
      <x:c r="C336" s="226"/>
      <x:c r="D336" s="226"/>
      <x:c r="E336" s="226"/>
      <x:c r="F336" s="226"/>
      <x:c r="G336" s="226"/>
      <x:c r="H336" s="226"/>
      <x:c r="I336" s="226"/>
      <x:c r="J336" s="226"/>
      <x:c r="K336" s="226"/>
      <x:c r="L336" s="226"/>
      <x:c r="M336" s="226"/>
      <x:c r="N336" s="226"/>
      <x:c r="O336" s="226"/>
      <x:c r="P336" s="226"/>
      <x:c r="Q336" s="226"/>
      <x:c r="R336" s="226"/>
      <x:c r="S336" s="226"/>
      <x:c r="T336" s="226"/>
      <x:c r="U336" s="226"/>
      <x:c r="V336" s="226"/>
      <x:c r="W336" s="226"/>
      <x:c r="X336" s="226"/>
      <x:c r="Y336" s="226"/>
      <x:c r="Z336" s="226"/>
    </x:row>
    <x:row r="337">
      <x:c r="A337" s="226"/>
      <x:c r="B337" s="226"/>
      <x:c r="C337" s="226"/>
      <x:c r="D337" s="226"/>
      <x:c r="E337" s="226"/>
      <x:c r="F337" s="226"/>
      <x:c r="G337" s="226"/>
      <x:c r="H337" s="226"/>
      <x:c r="I337" s="226"/>
      <x:c r="J337" s="226"/>
      <x:c r="K337" s="226"/>
      <x:c r="L337" s="226"/>
      <x:c r="M337" s="226"/>
      <x:c r="N337" s="226"/>
      <x:c r="O337" s="226"/>
      <x:c r="P337" s="226"/>
      <x:c r="Q337" s="226"/>
      <x:c r="R337" s="226"/>
      <x:c r="S337" s="226"/>
      <x:c r="T337" s="226"/>
      <x:c r="U337" s="226"/>
      <x:c r="V337" s="226"/>
      <x:c r="W337" s="226"/>
      <x:c r="X337" s="226"/>
      <x:c r="Y337" s="226"/>
      <x:c r="Z337" s="226"/>
    </x:row>
    <x:row r="338">
      <x:c r="A338" s="226"/>
      <x:c r="B338" s="226"/>
      <x:c r="C338" s="226"/>
      <x:c r="D338" s="226"/>
      <x:c r="E338" s="226"/>
      <x:c r="F338" s="226"/>
      <x:c r="G338" s="226"/>
      <x:c r="H338" s="226"/>
      <x:c r="I338" s="226"/>
      <x:c r="J338" s="226"/>
      <x:c r="K338" s="226"/>
      <x:c r="L338" s="226"/>
      <x:c r="M338" s="226"/>
      <x:c r="N338" s="226"/>
      <x:c r="O338" s="226"/>
      <x:c r="P338" s="226"/>
      <x:c r="Q338" s="226"/>
      <x:c r="R338" s="226"/>
      <x:c r="S338" s="226"/>
      <x:c r="T338" s="226"/>
      <x:c r="U338" s="226"/>
      <x:c r="V338" s="226"/>
      <x:c r="W338" s="226"/>
      <x:c r="X338" s="226"/>
      <x:c r="Y338" s="226"/>
      <x:c r="Z338" s="226"/>
    </x:row>
    <x:row r="339">
      <x:c r="A339" s="226"/>
      <x:c r="B339" s="226"/>
      <x:c r="C339" s="226"/>
      <x:c r="D339" s="226"/>
      <x:c r="E339" s="226"/>
      <x:c r="F339" s="226"/>
      <x:c r="G339" s="226"/>
      <x:c r="H339" s="226"/>
      <x:c r="I339" s="226"/>
      <x:c r="J339" s="226"/>
      <x:c r="K339" s="226"/>
      <x:c r="L339" s="226"/>
      <x:c r="M339" s="226"/>
      <x:c r="N339" s="226"/>
      <x:c r="O339" s="226"/>
      <x:c r="P339" s="226"/>
      <x:c r="Q339" s="226"/>
      <x:c r="R339" s="226"/>
      <x:c r="S339" s="226"/>
      <x:c r="T339" s="226"/>
      <x:c r="U339" s="226"/>
      <x:c r="V339" s="226"/>
      <x:c r="W339" s="226"/>
      <x:c r="X339" s="226"/>
      <x:c r="Y339" s="226"/>
      <x:c r="Z339" s="226"/>
    </x:row>
    <x:row r="340">
      <x:c r="A340" s="226"/>
      <x:c r="B340" s="226"/>
      <x:c r="C340" s="226"/>
      <x:c r="D340" s="226"/>
      <x:c r="E340" s="226"/>
      <x:c r="F340" s="226"/>
      <x:c r="G340" s="226"/>
      <x:c r="H340" s="226"/>
      <x:c r="I340" s="226"/>
      <x:c r="J340" s="226"/>
      <x:c r="K340" s="226"/>
      <x:c r="L340" s="226"/>
      <x:c r="M340" s="226"/>
      <x:c r="N340" s="226"/>
      <x:c r="O340" s="226"/>
      <x:c r="P340" s="226"/>
      <x:c r="Q340" s="226"/>
      <x:c r="R340" s="226"/>
      <x:c r="S340" s="226"/>
      <x:c r="T340" s="226"/>
      <x:c r="U340" s="226"/>
      <x:c r="V340" s="226"/>
      <x:c r="W340" s="226"/>
      <x:c r="X340" s="226"/>
      <x:c r="Y340" s="226"/>
      <x:c r="Z340" s="226"/>
    </x:row>
    <x:row r="341">
      <x:c r="A341" s="226"/>
      <x:c r="B341" s="226"/>
      <x:c r="C341" s="226"/>
      <x:c r="D341" s="226"/>
      <x:c r="E341" s="226"/>
      <x:c r="F341" s="226"/>
      <x:c r="G341" s="226"/>
      <x:c r="H341" s="226"/>
      <x:c r="I341" s="226"/>
      <x:c r="J341" s="226"/>
      <x:c r="K341" s="226"/>
      <x:c r="L341" s="226"/>
      <x:c r="M341" s="226"/>
      <x:c r="N341" s="226"/>
      <x:c r="O341" s="226"/>
      <x:c r="P341" s="226"/>
      <x:c r="Q341" s="226"/>
      <x:c r="R341" s="226"/>
      <x:c r="S341" s="226"/>
      <x:c r="T341" s="226"/>
      <x:c r="U341" s="226"/>
      <x:c r="V341" s="226"/>
      <x:c r="W341" s="226"/>
      <x:c r="X341" s="226"/>
      <x:c r="Y341" s="226"/>
      <x:c r="Z341" s="226"/>
    </x:row>
    <x:row r="342">
      <x:c r="A342" s="226"/>
      <x:c r="B342" s="226"/>
      <x:c r="C342" s="226"/>
      <x:c r="D342" s="226"/>
      <x:c r="E342" s="226"/>
      <x:c r="F342" s="226"/>
      <x:c r="G342" s="226"/>
      <x:c r="H342" s="226"/>
      <x:c r="I342" s="226"/>
      <x:c r="J342" s="226"/>
      <x:c r="K342" s="226"/>
      <x:c r="L342" s="226"/>
      <x:c r="M342" s="226"/>
      <x:c r="N342" s="226"/>
      <x:c r="O342" s="226"/>
      <x:c r="P342" s="226"/>
      <x:c r="Q342" s="226"/>
      <x:c r="R342" s="226"/>
      <x:c r="S342" s="226"/>
      <x:c r="T342" s="226"/>
      <x:c r="U342" s="226"/>
      <x:c r="V342" s="226"/>
      <x:c r="W342" s="226"/>
      <x:c r="X342" s="226"/>
      <x:c r="Y342" s="226"/>
      <x:c r="Z342" s="226"/>
    </x:row>
    <x:row r="343">
      <x:c r="A343" s="226"/>
      <x:c r="B343" s="226"/>
      <x:c r="C343" s="226"/>
      <x:c r="D343" s="226"/>
      <x:c r="E343" s="226"/>
      <x:c r="F343" s="226"/>
      <x:c r="G343" s="226"/>
      <x:c r="H343" s="226"/>
      <x:c r="I343" s="226"/>
      <x:c r="J343" s="226"/>
      <x:c r="K343" s="226"/>
      <x:c r="L343" s="226"/>
      <x:c r="M343" s="226"/>
      <x:c r="N343" s="226"/>
      <x:c r="O343" s="226"/>
      <x:c r="P343" s="226"/>
      <x:c r="Q343" s="226"/>
      <x:c r="R343" s="226"/>
      <x:c r="S343" s="226"/>
      <x:c r="T343" s="226"/>
      <x:c r="U343" s="226"/>
      <x:c r="V343" s="226"/>
      <x:c r="W343" s="226"/>
      <x:c r="X343" s="226"/>
      <x:c r="Y343" s="226"/>
      <x:c r="Z343" s="226"/>
    </x:row>
    <x:row r="344">
      <x:c r="A344" s="226"/>
      <x:c r="B344" s="226"/>
      <x:c r="C344" s="226"/>
      <x:c r="D344" s="226"/>
      <x:c r="E344" s="226"/>
      <x:c r="F344" s="226"/>
      <x:c r="G344" s="226"/>
      <x:c r="H344" s="226"/>
      <x:c r="I344" s="226"/>
      <x:c r="J344" s="226"/>
      <x:c r="K344" s="226"/>
      <x:c r="L344" s="226"/>
      <x:c r="M344" s="226"/>
      <x:c r="N344" s="226"/>
      <x:c r="O344" s="226"/>
      <x:c r="P344" s="226"/>
      <x:c r="Q344" s="226"/>
      <x:c r="R344" s="226"/>
      <x:c r="S344" s="226"/>
      <x:c r="T344" s="226"/>
      <x:c r="U344" s="226"/>
      <x:c r="V344" s="226"/>
      <x:c r="W344" s="226"/>
      <x:c r="X344" s="226"/>
      <x:c r="Y344" s="226"/>
      <x:c r="Z344" s="226"/>
    </x:row>
    <x:row r="345">
      <x:c r="A345" s="226"/>
      <x:c r="B345" s="226"/>
      <x:c r="C345" s="226"/>
      <x:c r="D345" s="226"/>
      <x:c r="E345" s="226"/>
      <x:c r="F345" s="226"/>
      <x:c r="G345" s="226"/>
      <x:c r="H345" s="226"/>
      <x:c r="I345" s="226"/>
      <x:c r="J345" s="226"/>
      <x:c r="K345" s="226"/>
      <x:c r="L345" s="226"/>
      <x:c r="M345" s="226"/>
      <x:c r="N345" s="226"/>
      <x:c r="O345" s="226"/>
      <x:c r="P345" s="226"/>
      <x:c r="Q345" s="226"/>
      <x:c r="R345" s="226"/>
      <x:c r="S345" s="226"/>
      <x:c r="T345" s="226"/>
      <x:c r="U345" s="226"/>
      <x:c r="V345" s="226"/>
      <x:c r="W345" s="226"/>
      <x:c r="X345" s="226"/>
      <x:c r="Y345" s="226"/>
      <x:c r="Z345" s="226"/>
    </x:row>
    <x:row r="346">
      <x:c r="A346" s="226"/>
      <x:c r="B346" s="226"/>
      <x:c r="C346" s="226"/>
      <x:c r="D346" s="226"/>
      <x:c r="E346" s="226"/>
      <x:c r="F346" s="226"/>
      <x:c r="G346" s="226"/>
      <x:c r="H346" s="226"/>
      <x:c r="I346" s="226"/>
      <x:c r="J346" s="226"/>
      <x:c r="K346" s="226"/>
      <x:c r="L346" s="226"/>
      <x:c r="M346" s="226"/>
      <x:c r="N346" s="226"/>
      <x:c r="O346" s="226"/>
      <x:c r="P346" s="226"/>
      <x:c r="Q346" s="226"/>
      <x:c r="R346" s="226"/>
      <x:c r="S346" s="226"/>
      <x:c r="T346" s="226"/>
      <x:c r="U346" s="226"/>
      <x:c r="V346" s="226"/>
      <x:c r="W346" s="226"/>
      <x:c r="X346" s="226"/>
      <x:c r="Y346" s="226"/>
      <x:c r="Z346" s="226"/>
    </x:row>
    <x:row r="347">
      <x:c r="A347" s="226"/>
      <x:c r="B347" s="226"/>
      <x:c r="C347" s="226"/>
      <x:c r="D347" s="226"/>
      <x:c r="E347" s="226"/>
      <x:c r="F347" s="226"/>
      <x:c r="G347" s="226"/>
      <x:c r="H347" s="226"/>
      <x:c r="I347" s="226"/>
      <x:c r="J347" s="226"/>
      <x:c r="K347" s="226"/>
      <x:c r="L347" s="226"/>
      <x:c r="M347" s="226"/>
      <x:c r="N347" s="226"/>
      <x:c r="O347" s="226"/>
      <x:c r="P347" s="226"/>
      <x:c r="Q347" s="226"/>
      <x:c r="R347" s="226"/>
      <x:c r="S347" s="226"/>
      <x:c r="T347" s="226"/>
      <x:c r="U347" s="226"/>
      <x:c r="V347" s="226"/>
      <x:c r="W347" s="226"/>
      <x:c r="X347" s="226"/>
      <x:c r="Y347" s="226"/>
      <x:c r="Z347" s="226"/>
    </x:row>
    <x:row r="348">
      <x:c r="A348" s="226"/>
      <x:c r="B348" s="226"/>
      <x:c r="C348" s="226"/>
      <x:c r="D348" s="226"/>
      <x:c r="E348" s="226"/>
      <x:c r="F348" s="226"/>
      <x:c r="G348" s="226"/>
      <x:c r="H348" s="226"/>
      <x:c r="I348" s="226"/>
      <x:c r="J348" s="226"/>
      <x:c r="K348" s="226"/>
      <x:c r="L348" s="226"/>
      <x:c r="M348" s="226"/>
      <x:c r="N348" s="226"/>
      <x:c r="O348" s="226"/>
      <x:c r="P348" s="226"/>
      <x:c r="Q348" s="226"/>
      <x:c r="R348" s="226"/>
      <x:c r="S348" s="226"/>
      <x:c r="T348" s="226"/>
      <x:c r="U348" s="226"/>
      <x:c r="V348" s="226"/>
      <x:c r="W348" s="226"/>
      <x:c r="X348" s="226"/>
      <x:c r="Y348" s="226"/>
      <x:c r="Z348" s="226"/>
    </x:row>
    <x:row r="349">
      <x:c r="A349" s="226"/>
      <x:c r="B349" s="226"/>
      <x:c r="C349" s="226"/>
      <x:c r="D349" s="226"/>
      <x:c r="E349" s="226"/>
      <x:c r="F349" s="226"/>
      <x:c r="G349" s="226"/>
      <x:c r="H349" s="226"/>
      <x:c r="I349" s="226"/>
      <x:c r="J349" s="226"/>
      <x:c r="K349" s="226"/>
      <x:c r="L349" s="226"/>
      <x:c r="M349" s="226"/>
      <x:c r="N349" s="226"/>
      <x:c r="O349" s="226"/>
      <x:c r="P349" s="226"/>
      <x:c r="Q349" s="226"/>
      <x:c r="R349" s="226"/>
      <x:c r="S349" s="226"/>
      <x:c r="T349" s="226"/>
      <x:c r="U349" s="226"/>
      <x:c r="V349" s="226"/>
      <x:c r="W349" s="226"/>
      <x:c r="X349" s="226"/>
      <x:c r="Y349" s="226"/>
      <x:c r="Z349" s="226"/>
    </x:row>
    <x:row r="350">
      <x:c r="A350" s="226"/>
      <x:c r="B350" s="226"/>
      <x:c r="C350" s="226"/>
      <x:c r="D350" s="226"/>
      <x:c r="E350" s="226"/>
      <x:c r="F350" s="226"/>
      <x:c r="G350" s="226"/>
      <x:c r="H350" s="226"/>
      <x:c r="I350" s="226"/>
      <x:c r="J350" s="226"/>
      <x:c r="K350" s="226"/>
      <x:c r="L350" s="226"/>
      <x:c r="M350" s="226"/>
      <x:c r="N350" s="226"/>
      <x:c r="O350" s="226"/>
      <x:c r="P350" s="226"/>
      <x:c r="Q350" s="226"/>
      <x:c r="R350" s="226"/>
      <x:c r="S350" s="226"/>
      <x:c r="T350" s="226"/>
      <x:c r="U350" s="226"/>
      <x:c r="V350" s="226"/>
      <x:c r="W350" s="226"/>
      <x:c r="X350" s="226"/>
      <x:c r="Y350" s="226"/>
      <x:c r="Z350" s="226"/>
    </x:row>
    <x:row r="351">
      <x:c r="A351" s="226"/>
      <x:c r="B351" s="226"/>
      <x:c r="C351" s="226"/>
      <x:c r="D351" s="226"/>
      <x:c r="E351" s="226"/>
      <x:c r="F351" s="226"/>
      <x:c r="G351" s="226"/>
      <x:c r="H351" s="226"/>
      <x:c r="I351" s="226"/>
      <x:c r="J351" s="226"/>
      <x:c r="K351" s="226"/>
      <x:c r="L351" s="226"/>
      <x:c r="M351" s="226"/>
      <x:c r="N351" s="226"/>
      <x:c r="O351" s="226"/>
      <x:c r="P351" s="226"/>
      <x:c r="Q351" s="226"/>
      <x:c r="R351" s="226"/>
      <x:c r="S351" s="226"/>
      <x:c r="T351" s="226"/>
      <x:c r="U351" s="226"/>
      <x:c r="V351" s="226"/>
      <x:c r="W351" s="226"/>
      <x:c r="X351" s="226"/>
      <x:c r="Y351" s="226"/>
      <x:c r="Z351" s="226"/>
    </x:row>
    <x:row r="352">
      <x:c r="A352" s="226"/>
      <x:c r="B352" s="226"/>
      <x:c r="C352" s="226"/>
      <x:c r="D352" s="226"/>
      <x:c r="E352" s="226"/>
      <x:c r="F352" s="226"/>
      <x:c r="G352" s="226"/>
      <x:c r="H352" s="226"/>
      <x:c r="I352" s="226"/>
      <x:c r="J352" s="226"/>
      <x:c r="K352" s="226"/>
      <x:c r="L352" s="226"/>
      <x:c r="M352" s="226"/>
      <x:c r="N352" s="226"/>
      <x:c r="O352" s="226"/>
      <x:c r="P352" s="226"/>
      <x:c r="Q352" s="226"/>
      <x:c r="R352" s="226"/>
      <x:c r="S352" s="226"/>
      <x:c r="T352" s="226"/>
      <x:c r="U352" s="226"/>
      <x:c r="V352" s="226"/>
      <x:c r="W352" s="226"/>
      <x:c r="X352" s="226"/>
      <x:c r="Y352" s="226"/>
      <x:c r="Z352" s="226"/>
    </x:row>
    <x:row r="353">
      <x:c r="A353" s="226"/>
      <x:c r="B353" s="226"/>
      <x:c r="C353" s="226"/>
      <x:c r="D353" s="226"/>
      <x:c r="E353" s="226"/>
      <x:c r="F353" s="226"/>
      <x:c r="G353" s="226"/>
      <x:c r="H353" s="226"/>
      <x:c r="I353" s="226"/>
      <x:c r="J353" s="226"/>
      <x:c r="K353" s="226"/>
      <x:c r="L353" s="226"/>
      <x:c r="M353" s="226"/>
      <x:c r="N353" s="226"/>
      <x:c r="O353" s="226"/>
      <x:c r="P353" s="226"/>
      <x:c r="Q353" s="226"/>
      <x:c r="R353" s="226"/>
      <x:c r="S353" s="226"/>
      <x:c r="T353" s="226"/>
      <x:c r="U353" s="226"/>
      <x:c r="V353" s="226"/>
      <x:c r="W353" s="226"/>
      <x:c r="X353" s="226"/>
      <x:c r="Y353" s="226"/>
      <x:c r="Z353" s="226"/>
    </x:row>
    <x:row r="354">
      <x:c r="A354" s="226"/>
      <x:c r="B354" s="226"/>
      <x:c r="C354" s="226"/>
      <x:c r="D354" s="226"/>
      <x:c r="E354" s="226"/>
      <x:c r="F354" s="226"/>
      <x:c r="G354" s="226"/>
      <x:c r="H354" s="226"/>
      <x:c r="I354" s="226"/>
      <x:c r="J354" s="226"/>
      <x:c r="K354" s="226"/>
      <x:c r="L354" s="226"/>
      <x:c r="M354" s="226"/>
      <x:c r="N354" s="226"/>
      <x:c r="O354" s="226"/>
      <x:c r="P354" s="226"/>
      <x:c r="Q354" s="226"/>
      <x:c r="R354" s="226"/>
      <x:c r="S354" s="226"/>
      <x:c r="T354" s="226"/>
      <x:c r="U354" s="226"/>
      <x:c r="V354" s="226"/>
      <x:c r="W354" s="226"/>
      <x:c r="X354" s="226"/>
      <x:c r="Y354" s="226"/>
      <x:c r="Z354" s="226"/>
    </x:row>
    <x:row r="355">
      <x:c r="A355" s="226"/>
      <x:c r="B355" s="226"/>
      <x:c r="C355" s="226"/>
      <x:c r="D355" s="226"/>
      <x:c r="E355" s="226"/>
      <x:c r="F355" s="226"/>
      <x:c r="G355" s="226"/>
      <x:c r="H355" s="226"/>
      <x:c r="I355" s="226"/>
      <x:c r="J355" s="226"/>
      <x:c r="K355" s="226"/>
      <x:c r="L355" s="226"/>
      <x:c r="M355" s="226"/>
      <x:c r="N355" s="226"/>
      <x:c r="O355" s="226"/>
      <x:c r="P355" s="226"/>
      <x:c r="Q355" s="226"/>
      <x:c r="R355" s="226"/>
      <x:c r="S355" s="226"/>
      <x:c r="T355" s="226"/>
      <x:c r="U355" s="226"/>
      <x:c r="V355" s="226"/>
      <x:c r="W355" s="226"/>
      <x:c r="X355" s="226"/>
      <x:c r="Y355" s="226"/>
      <x:c r="Z355" s="226"/>
    </x:row>
    <x:row r="356">
      <x:c r="A356" s="226"/>
      <x:c r="B356" s="226"/>
      <x:c r="C356" s="226"/>
      <x:c r="D356" s="226"/>
      <x:c r="E356" s="226"/>
      <x:c r="F356" s="226"/>
      <x:c r="G356" s="226"/>
      <x:c r="H356" s="226"/>
      <x:c r="I356" s="226"/>
      <x:c r="J356" s="226"/>
      <x:c r="K356" s="226"/>
      <x:c r="L356" s="226"/>
      <x:c r="M356" s="226"/>
      <x:c r="N356" s="226"/>
      <x:c r="O356" s="226"/>
      <x:c r="P356" s="226"/>
      <x:c r="Q356" s="226"/>
      <x:c r="R356" s="226"/>
      <x:c r="S356" s="226"/>
      <x:c r="T356" s="226"/>
      <x:c r="U356" s="226"/>
      <x:c r="V356" s="226"/>
      <x:c r="W356" s="226"/>
      <x:c r="X356" s="226"/>
      <x:c r="Y356" s="226"/>
      <x:c r="Z356" s="226"/>
    </x:row>
    <x:row r="357">
      <x:c r="A357" s="226"/>
      <x:c r="B357" s="226"/>
      <x:c r="C357" s="226"/>
      <x:c r="D357" s="226"/>
      <x:c r="E357" s="226"/>
      <x:c r="F357" s="226"/>
      <x:c r="G357" s="226"/>
      <x:c r="H357" s="226"/>
      <x:c r="I357" s="226"/>
      <x:c r="J357" s="226"/>
      <x:c r="K357" s="226"/>
      <x:c r="L357" s="226"/>
      <x:c r="M357" s="226"/>
      <x:c r="N357" s="226"/>
      <x:c r="O357" s="226"/>
      <x:c r="P357" s="226"/>
      <x:c r="Q357" s="226"/>
      <x:c r="R357" s="226"/>
      <x:c r="S357" s="226"/>
      <x:c r="T357" s="226"/>
      <x:c r="U357" s="226"/>
      <x:c r="V357" s="226"/>
      <x:c r="W357" s="226"/>
      <x:c r="X357" s="226"/>
      <x:c r="Y357" s="226"/>
      <x:c r="Z357" s="226"/>
    </x:row>
    <x:row r="358">
      <x:c r="A358" s="226"/>
      <x:c r="B358" s="226"/>
      <x:c r="C358" s="226"/>
      <x:c r="D358" s="226"/>
      <x:c r="E358" s="226"/>
      <x:c r="F358" s="226"/>
      <x:c r="G358" s="226"/>
      <x:c r="H358" s="226"/>
      <x:c r="I358" s="226"/>
      <x:c r="J358" s="226"/>
      <x:c r="K358" s="226"/>
      <x:c r="L358" s="226"/>
      <x:c r="M358" s="226"/>
      <x:c r="N358" s="226"/>
      <x:c r="O358" s="226"/>
      <x:c r="P358" s="226"/>
      <x:c r="Q358" s="226"/>
      <x:c r="R358" s="226"/>
      <x:c r="S358" s="226"/>
      <x:c r="T358" s="226"/>
      <x:c r="U358" s="226"/>
      <x:c r="V358" s="226"/>
      <x:c r="W358" s="226"/>
      <x:c r="X358" s="226"/>
      <x:c r="Y358" s="226"/>
      <x:c r="Z358" s="226"/>
    </x:row>
    <x:row r="359">
      <x:c r="A359" s="226"/>
      <x:c r="B359" s="226"/>
      <x:c r="C359" s="226"/>
      <x:c r="D359" s="226"/>
      <x:c r="E359" s="226"/>
      <x:c r="F359" s="226"/>
      <x:c r="G359" s="226"/>
      <x:c r="H359" s="226"/>
      <x:c r="I359" s="226"/>
      <x:c r="J359" s="226"/>
      <x:c r="K359" s="226"/>
      <x:c r="L359" s="226"/>
      <x:c r="M359" s="226"/>
      <x:c r="N359" s="226"/>
      <x:c r="O359" s="226"/>
      <x:c r="P359" s="226"/>
      <x:c r="Q359" s="226"/>
      <x:c r="R359" s="226"/>
      <x:c r="S359" s="226"/>
      <x:c r="T359" s="226"/>
      <x:c r="U359" s="226"/>
      <x:c r="V359" s="226"/>
      <x:c r="W359" s="226"/>
      <x:c r="X359" s="226"/>
      <x:c r="Y359" s="226"/>
      <x:c r="Z359" s="226"/>
    </x:row>
    <x:row r="360">
      <x:c r="A360" s="226"/>
      <x:c r="B360" s="226"/>
      <x:c r="C360" s="226"/>
      <x:c r="D360" s="226"/>
      <x:c r="E360" s="226"/>
      <x:c r="F360" s="226"/>
      <x:c r="G360" s="226"/>
      <x:c r="H360" s="226"/>
      <x:c r="I360" s="226"/>
      <x:c r="J360" s="226"/>
      <x:c r="K360" s="226"/>
      <x:c r="L360" s="226"/>
      <x:c r="M360" s="226"/>
      <x:c r="N360" s="226"/>
      <x:c r="O360" s="226"/>
      <x:c r="P360" s="226"/>
      <x:c r="Q360" s="226"/>
      <x:c r="R360" s="226"/>
      <x:c r="S360" s="226"/>
      <x:c r="T360" s="226"/>
      <x:c r="U360" s="226"/>
      <x:c r="V360" s="226"/>
      <x:c r="W360" s="226"/>
      <x:c r="X360" s="226"/>
      <x:c r="Y360" s="226"/>
      <x:c r="Z360" s="226"/>
    </x:row>
    <x:row r="361">
      <x:c r="A361" s="226"/>
      <x:c r="B361" s="226"/>
      <x:c r="C361" s="226"/>
      <x:c r="D361" s="226"/>
      <x:c r="E361" s="226"/>
      <x:c r="F361" s="226"/>
      <x:c r="G361" s="226"/>
      <x:c r="H361" s="226"/>
      <x:c r="I361" s="226"/>
      <x:c r="J361" s="226"/>
      <x:c r="K361" s="226"/>
      <x:c r="L361" s="226"/>
      <x:c r="M361" s="226"/>
      <x:c r="N361" s="226"/>
      <x:c r="O361" s="226"/>
      <x:c r="P361" s="226"/>
      <x:c r="Q361" s="226"/>
      <x:c r="R361" s="226"/>
      <x:c r="S361" s="226"/>
      <x:c r="T361" s="226"/>
      <x:c r="U361" s="226"/>
      <x:c r="V361" s="226"/>
      <x:c r="W361" s="226"/>
      <x:c r="X361" s="226"/>
      <x:c r="Y361" s="226"/>
      <x:c r="Z361" s="226"/>
    </x:row>
    <x:row r="362">
      <x:c r="A362" s="226"/>
      <x:c r="B362" s="226"/>
      <x:c r="C362" s="226"/>
      <x:c r="D362" s="226"/>
      <x:c r="E362" s="226"/>
      <x:c r="F362" s="226"/>
      <x:c r="G362" s="226"/>
      <x:c r="H362" s="226"/>
      <x:c r="I362" s="226"/>
      <x:c r="J362" s="226"/>
      <x:c r="K362" s="226"/>
      <x:c r="L362" s="226"/>
      <x:c r="M362" s="226"/>
      <x:c r="N362" s="226"/>
      <x:c r="O362" s="226"/>
      <x:c r="P362" s="226"/>
      <x:c r="Q362" s="226"/>
      <x:c r="R362" s="226"/>
      <x:c r="S362" s="226"/>
      <x:c r="T362" s="226"/>
      <x:c r="U362" s="226"/>
      <x:c r="V362" s="226"/>
      <x:c r="W362" s="226"/>
      <x:c r="X362" s="226"/>
      <x:c r="Y362" s="226"/>
      <x:c r="Z362" s="226"/>
    </x:row>
    <x:row r="363">
      <x:c r="A363" s="226"/>
      <x:c r="B363" s="226"/>
      <x:c r="C363" s="226"/>
      <x:c r="D363" s="226"/>
      <x:c r="E363" s="226"/>
      <x:c r="F363" s="226"/>
      <x:c r="G363" s="226"/>
      <x:c r="H363" s="226"/>
      <x:c r="I363" s="226"/>
      <x:c r="J363" s="226"/>
      <x:c r="K363" s="226"/>
      <x:c r="L363" s="226"/>
      <x:c r="M363" s="226"/>
      <x:c r="N363" s="226"/>
      <x:c r="O363" s="226"/>
      <x:c r="P363" s="226"/>
      <x:c r="Q363" s="226"/>
      <x:c r="R363" s="226"/>
      <x:c r="S363" s="226"/>
      <x:c r="T363" s="226"/>
      <x:c r="U363" s="226"/>
      <x:c r="V363" s="226"/>
      <x:c r="W363" s="226"/>
      <x:c r="X363" s="226"/>
      <x:c r="Y363" s="226"/>
      <x:c r="Z363" s="226"/>
    </x:row>
    <x:row r="364">
      <x:c r="A364" s="226"/>
      <x:c r="B364" s="226"/>
      <x:c r="C364" s="226"/>
      <x:c r="D364" s="226"/>
      <x:c r="E364" s="226"/>
      <x:c r="F364" s="226"/>
      <x:c r="G364" s="226"/>
      <x:c r="H364" s="226"/>
      <x:c r="I364" s="226"/>
      <x:c r="J364" s="226"/>
      <x:c r="K364" s="226"/>
      <x:c r="L364" s="226"/>
      <x:c r="M364" s="226"/>
      <x:c r="N364" s="226"/>
      <x:c r="O364" s="226"/>
      <x:c r="P364" s="226"/>
      <x:c r="Q364" s="226"/>
      <x:c r="R364" s="226"/>
      <x:c r="S364" s="226"/>
      <x:c r="T364" s="226"/>
      <x:c r="U364" s="226"/>
      <x:c r="V364" s="226"/>
      <x:c r="W364" s="226"/>
      <x:c r="X364" s="226"/>
      <x:c r="Y364" s="226"/>
      <x:c r="Z364" s="226"/>
    </x:row>
    <x:row r="365">
      <x:c r="A365" s="226"/>
      <x:c r="B365" s="226"/>
      <x:c r="C365" s="226"/>
      <x:c r="D365" s="226"/>
      <x:c r="E365" s="226"/>
      <x:c r="F365" s="226"/>
      <x:c r="G365" s="226"/>
      <x:c r="H365" s="226"/>
      <x:c r="I365" s="226"/>
      <x:c r="J365" s="226"/>
      <x:c r="K365" s="226"/>
      <x:c r="L365" s="226"/>
      <x:c r="M365" s="226"/>
      <x:c r="N365" s="226"/>
      <x:c r="O365" s="226"/>
      <x:c r="P365" s="226"/>
      <x:c r="Q365" s="226"/>
      <x:c r="R365" s="226"/>
      <x:c r="S365" s="226"/>
      <x:c r="T365" s="226"/>
      <x:c r="U365" s="226"/>
      <x:c r="V365" s="226"/>
      <x:c r="W365" s="226"/>
      <x:c r="X365" s="226"/>
      <x:c r="Y365" s="226"/>
      <x:c r="Z365" s="226"/>
    </x:row>
    <x:row r="366">
      <x:c r="A366" s="226"/>
      <x:c r="B366" s="226"/>
      <x:c r="C366" s="226"/>
      <x:c r="D366" s="226"/>
      <x:c r="E366" s="226"/>
      <x:c r="F366" s="226"/>
      <x:c r="G366" s="226"/>
      <x:c r="H366" s="226"/>
      <x:c r="I366" s="226"/>
      <x:c r="J366" s="226"/>
      <x:c r="K366" s="226"/>
      <x:c r="L366" s="226"/>
      <x:c r="M366" s="226"/>
      <x:c r="N366" s="226"/>
      <x:c r="O366" s="226"/>
      <x:c r="P366" s="226"/>
      <x:c r="Q366" s="226"/>
      <x:c r="R366" s="226"/>
      <x:c r="S366" s="226"/>
      <x:c r="T366" s="226"/>
      <x:c r="U366" s="226"/>
      <x:c r="V366" s="226"/>
      <x:c r="W366" s="226"/>
      <x:c r="X366" s="226"/>
      <x:c r="Y366" s="226"/>
      <x:c r="Z366" s="226"/>
    </x:row>
    <x:row r="367">
      <x:c r="A367" s="226"/>
      <x:c r="B367" s="226"/>
      <x:c r="C367" s="226"/>
      <x:c r="D367" s="226"/>
      <x:c r="E367" s="226"/>
      <x:c r="F367" s="226"/>
      <x:c r="G367" s="226"/>
      <x:c r="H367" s="226"/>
      <x:c r="I367" s="226"/>
      <x:c r="J367" s="226"/>
      <x:c r="K367" s="226"/>
      <x:c r="L367" s="226"/>
      <x:c r="M367" s="226"/>
      <x:c r="N367" s="226"/>
      <x:c r="O367" s="226"/>
      <x:c r="P367" s="226"/>
      <x:c r="Q367" s="226"/>
      <x:c r="R367" s="226"/>
      <x:c r="S367" s="226"/>
      <x:c r="T367" s="226"/>
      <x:c r="U367" s="226"/>
      <x:c r="V367" s="226"/>
      <x:c r="W367" s="226"/>
      <x:c r="X367" s="226"/>
      <x:c r="Y367" s="226"/>
      <x:c r="Z367" s="226"/>
    </x:row>
    <x:row r="368">
      <x:c r="A368" s="226"/>
      <x:c r="B368" s="226"/>
      <x:c r="C368" s="226"/>
      <x:c r="D368" s="226"/>
      <x:c r="E368" s="226"/>
      <x:c r="F368" s="226"/>
      <x:c r="G368" s="226"/>
      <x:c r="H368" s="226"/>
      <x:c r="I368" s="226"/>
      <x:c r="J368" s="226"/>
      <x:c r="K368" s="226"/>
      <x:c r="L368" s="226"/>
      <x:c r="M368" s="226"/>
      <x:c r="N368" s="226"/>
      <x:c r="O368" s="226"/>
      <x:c r="P368" s="226"/>
      <x:c r="Q368" s="226"/>
      <x:c r="R368" s="226"/>
      <x:c r="S368" s="226"/>
      <x:c r="T368" s="226"/>
      <x:c r="U368" s="226"/>
      <x:c r="V368" s="226"/>
      <x:c r="W368" s="226"/>
      <x:c r="X368" s="226"/>
      <x:c r="Y368" s="226"/>
      <x:c r="Z368" s="226"/>
    </x:row>
    <x:row r="369">
      <x:c r="A369" s="226"/>
      <x:c r="B369" s="226"/>
      <x:c r="C369" s="226"/>
      <x:c r="D369" s="226"/>
      <x:c r="E369" s="226"/>
      <x:c r="F369" s="226"/>
      <x:c r="G369" s="226"/>
      <x:c r="H369" s="226"/>
      <x:c r="I369" s="226"/>
      <x:c r="J369" s="226"/>
      <x:c r="K369" s="226"/>
      <x:c r="L369" s="226"/>
      <x:c r="M369" s="226"/>
      <x:c r="N369" s="226"/>
      <x:c r="O369" s="226"/>
      <x:c r="P369" s="226"/>
      <x:c r="Q369" s="226"/>
      <x:c r="R369" s="226"/>
      <x:c r="S369" s="226"/>
      <x:c r="T369" s="226"/>
      <x:c r="U369" s="226"/>
      <x:c r="V369" s="226"/>
      <x:c r="W369" s="226"/>
      <x:c r="X369" s="226"/>
      <x:c r="Y369" s="226"/>
      <x:c r="Z369" s="226"/>
    </x:row>
    <x:row r="370">
      <x:c r="A370" s="226"/>
      <x:c r="B370" s="226"/>
      <x:c r="C370" s="226"/>
      <x:c r="D370" s="226"/>
      <x:c r="E370" s="226"/>
      <x:c r="F370" s="226"/>
      <x:c r="G370" s="226"/>
      <x:c r="H370" s="226"/>
      <x:c r="I370" s="226"/>
      <x:c r="J370" s="226"/>
      <x:c r="K370" s="226"/>
      <x:c r="L370" s="226"/>
      <x:c r="M370" s="226"/>
      <x:c r="N370" s="226"/>
      <x:c r="O370" s="226"/>
      <x:c r="P370" s="226"/>
      <x:c r="Q370" s="226"/>
      <x:c r="R370" s="226"/>
      <x:c r="S370" s="226"/>
      <x:c r="T370" s="226"/>
      <x:c r="U370" s="226"/>
      <x:c r="V370" s="226"/>
      <x:c r="W370" s="226"/>
      <x:c r="X370" s="226"/>
      <x:c r="Y370" s="226"/>
      <x:c r="Z370" s="226"/>
    </x:row>
    <x:row r="371">
      <x:c r="A371" s="226"/>
      <x:c r="B371" s="226"/>
      <x:c r="C371" s="226"/>
      <x:c r="D371" s="226"/>
      <x:c r="E371" s="226"/>
      <x:c r="F371" s="226"/>
      <x:c r="G371" s="226"/>
      <x:c r="H371" s="226"/>
      <x:c r="I371" s="226"/>
      <x:c r="J371" s="226"/>
      <x:c r="K371" s="226"/>
      <x:c r="L371" s="226"/>
      <x:c r="M371" s="226"/>
      <x:c r="N371" s="226"/>
      <x:c r="O371" s="226"/>
      <x:c r="P371" s="226"/>
      <x:c r="Q371" s="226"/>
      <x:c r="R371" s="226"/>
      <x:c r="S371" s="226"/>
      <x:c r="T371" s="226"/>
      <x:c r="U371" s="226"/>
      <x:c r="V371" s="226"/>
      <x:c r="W371" s="226"/>
      <x:c r="X371" s="226"/>
      <x:c r="Y371" s="226"/>
      <x:c r="Z371" s="226"/>
    </x:row>
    <x:row r="372">
      <x:c r="A372" s="226"/>
      <x:c r="B372" s="226"/>
      <x:c r="C372" s="226"/>
      <x:c r="D372" s="226"/>
      <x:c r="E372" s="226"/>
      <x:c r="F372" s="226"/>
      <x:c r="G372" s="226"/>
      <x:c r="H372" s="226"/>
      <x:c r="I372" s="226"/>
      <x:c r="J372" s="226"/>
      <x:c r="K372" s="226"/>
      <x:c r="L372" s="226"/>
      <x:c r="M372" s="226"/>
      <x:c r="N372" s="226"/>
      <x:c r="O372" s="226"/>
      <x:c r="P372" s="226"/>
      <x:c r="Q372" s="226"/>
      <x:c r="R372" s="226"/>
      <x:c r="S372" s="226"/>
      <x:c r="T372" s="226"/>
      <x:c r="U372" s="226"/>
      <x:c r="V372" s="226"/>
      <x:c r="W372" s="226"/>
      <x:c r="X372" s="226"/>
      <x:c r="Y372" s="226"/>
      <x:c r="Z372" s="226"/>
    </x:row>
    <x:row r="373">
      <x:c r="A373" s="226"/>
      <x:c r="B373" s="226"/>
      <x:c r="C373" s="226"/>
      <x:c r="D373" s="226"/>
      <x:c r="E373" s="226"/>
      <x:c r="F373" s="226"/>
      <x:c r="G373" s="226"/>
      <x:c r="H373" s="226"/>
      <x:c r="I373" s="226"/>
      <x:c r="J373" s="226"/>
      <x:c r="K373" s="226"/>
      <x:c r="L373" s="226"/>
      <x:c r="M373" s="226"/>
      <x:c r="N373" s="226"/>
      <x:c r="O373" s="226"/>
      <x:c r="P373" s="226"/>
      <x:c r="Q373" s="226"/>
      <x:c r="R373" s="226"/>
      <x:c r="S373" s="226"/>
      <x:c r="T373" s="226"/>
      <x:c r="U373" s="226"/>
      <x:c r="V373" s="226"/>
      <x:c r="W373" s="226"/>
      <x:c r="X373" s="226"/>
      <x:c r="Y373" s="226"/>
      <x:c r="Z373" s="226"/>
    </x:row>
    <x:row r="374">
      <x:c r="A374" s="226"/>
      <x:c r="B374" s="226"/>
      <x:c r="C374" s="226"/>
      <x:c r="D374" s="226"/>
      <x:c r="E374" s="226"/>
      <x:c r="F374" s="226"/>
      <x:c r="G374" s="226"/>
      <x:c r="H374" s="226"/>
      <x:c r="I374" s="226"/>
      <x:c r="J374" s="226"/>
      <x:c r="K374" s="226"/>
      <x:c r="L374" s="226"/>
      <x:c r="M374" s="226"/>
      <x:c r="N374" s="226"/>
      <x:c r="O374" s="226"/>
      <x:c r="P374" s="226"/>
      <x:c r="Q374" s="226"/>
      <x:c r="R374" s="226"/>
      <x:c r="S374" s="226"/>
      <x:c r="T374" s="226"/>
      <x:c r="U374" s="226"/>
      <x:c r="V374" s="226"/>
      <x:c r="W374" s="226"/>
      <x:c r="X374" s="226"/>
      <x:c r="Y374" s="226"/>
      <x:c r="Z374" s="226"/>
    </x:row>
    <x:row r="375">
      <x:c r="A375" s="226"/>
      <x:c r="B375" s="226"/>
      <x:c r="C375" s="226"/>
      <x:c r="D375" s="226"/>
      <x:c r="E375" s="226"/>
      <x:c r="F375" s="226"/>
      <x:c r="G375" s="226"/>
      <x:c r="H375" s="226"/>
      <x:c r="I375" s="226"/>
      <x:c r="J375" s="226"/>
      <x:c r="K375" s="226"/>
      <x:c r="L375" s="226"/>
      <x:c r="M375" s="226"/>
      <x:c r="N375" s="226"/>
      <x:c r="O375" s="226"/>
      <x:c r="P375" s="226"/>
      <x:c r="Q375" s="226"/>
      <x:c r="R375" s="226"/>
      <x:c r="S375" s="226"/>
      <x:c r="T375" s="226"/>
      <x:c r="U375" s="226"/>
      <x:c r="V375" s="226"/>
      <x:c r="W375" s="226"/>
      <x:c r="X375" s="226"/>
      <x:c r="Y375" s="226"/>
      <x:c r="Z375" s="226"/>
    </x:row>
    <x:row r="376">
      <x:c r="A376" s="226"/>
      <x:c r="B376" s="226"/>
      <x:c r="C376" s="226"/>
      <x:c r="D376" s="226"/>
      <x:c r="E376" s="226"/>
      <x:c r="F376" s="226"/>
      <x:c r="G376" s="226"/>
      <x:c r="H376" s="226"/>
      <x:c r="I376" s="226"/>
      <x:c r="J376" s="226"/>
      <x:c r="K376" s="226"/>
      <x:c r="L376" s="226"/>
      <x:c r="M376" s="226"/>
      <x:c r="N376" s="226"/>
      <x:c r="O376" s="226"/>
      <x:c r="P376" s="226"/>
      <x:c r="Q376" s="226"/>
      <x:c r="R376" s="226"/>
      <x:c r="S376" s="226"/>
      <x:c r="T376" s="226"/>
      <x:c r="U376" s="226"/>
      <x:c r="V376" s="226"/>
      <x:c r="W376" s="226"/>
      <x:c r="X376" s="226"/>
      <x:c r="Y376" s="226"/>
      <x:c r="Z376" s="226"/>
    </x:row>
    <x:row r="377">
      <x:c r="A377" s="226"/>
      <x:c r="B377" s="226"/>
      <x:c r="C377" s="226"/>
      <x:c r="D377" s="226"/>
      <x:c r="E377" s="226"/>
      <x:c r="F377" s="226"/>
      <x:c r="G377" s="226"/>
      <x:c r="H377" s="226"/>
      <x:c r="I377" s="226"/>
      <x:c r="J377" s="226"/>
      <x:c r="K377" s="226"/>
      <x:c r="L377" s="226"/>
      <x:c r="M377" s="226"/>
      <x:c r="N377" s="226"/>
      <x:c r="O377" s="226"/>
      <x:c r="P377" s="226"/>
      <x:c r="Q377" s="226"/>
      <x:c r="R377" s="226"/>
      <x:c r="S377" s="226"/>
      <x:c r="T377" s="226"/>
      <x:c r="U377" s="226"/>
      <x:c r="V377" s="226"/>
      <x:c r="W377" s="226"/>
      <x:c r="X377" s="226"/>
      <x:c r="Y377" s="226"/>
      <x:c r="Z377" s="226"/>
    </x:row>
    <x:row r="378">
      <x:c r="A378" s="226"/>
      <x:c r="B378" s="226"/>
      <x:c r="C378" s="226"/>
      <x:c r="D378" s="226"/>
      <x:c r="E378" s="226"/>
      <x:c r="F378" s="226"/>
      <x:c r="G378" s="226"/>
      <x:c r="H378" s="226"/>
      <x:c r="I378" s="226"/>
      <x:c r="J378" s="226"/>
      <x:c r="K378" s="226"/>
      <x:c r="L378" s="226"/>
      <x:c r="M378" s="226"/>
      <x:c r="N378" s="226"/>
      <x:c r="O378" s="226"/>
      <x:c r="P378" s="226"/>
      <x:c r="Q378" s="226"/>
      <x:c r="R378" s="226"/>
      <x:c r="S378" s="226"/>
      <x:c r="T378" s="226"/>
      <x:c r="U378" s="226"/>
      <x:c r="V378" s="226"/>
      <x:c r="W378" s="226"/>
      <x:c r="X378" s="226"/>
      <x:c r="Y378" s="226"/>
      <x:c r="Z378" s="226"/>
    </x:row>
    <x:row r="379">
      <x:c r="A379" s="226"/>
      <x:c r="B379" s="226"/>
      <x:c r="C379" s="226"/>
      <x:c r="D379" s="226"/>
      <x:c r="E379" s="226"/>
      <x:c r="F379" s="226"/>
      <x:c r="G379" s="226"/>
      <x:c r="H379" s="226"/>
      <x:c r="I379" s="226"/>
      <x:c r="J379" s="226"/>
      <x:c r="K379" s="226"/>
      <x:c r="L379" s="226"/>
      <x:c r="M379" s="226"/>
      <x:c r="N379" s="226"/>
      <x:c r="O379" s="226"/>
      <x:c r="P379" s="226"/>
      <x:c r="Q379" s="226"/>
      <x:c r="R379" s="226"/>
      <x:c r="S379" s="226"/>
      <x:c r="T379" s="226"/>
      <x:c r="U379" s="226"/>
      <x:c r="V379" s="226"/>
      <x:c r="W379" s="226"/>
      <x:c r="X379" s="226"/>
      <x:c r="Y379" s="226"/>
      <x:c r="Z379" s="226"/>
    </x:row>
    <x:row r="380">
      <x:c r="A380" s="226"/>
      <x:c r="B380" s="226"/>
      <x:c r="C380" s="226"/>
      <x:c r="D380" s="226"/>
      <x:c r="E380" s="226"/>
      <x:c r="F380" s="226"/>
      <x:c r="G380" s="226"/>
      <x:c r="H380" s="226"/>
      <x:c r="I380" s="226"/>
      <x:c r="J380" s="226"/>
      <x:c r="K380" s="226"/>
      <x:c r="L380" s="226"/>
      <x:c r="M380" s="226"/>
      <x:c r="N380" s="226"/>
      <x:c r="O380" s="226"/>
      <x:c r="P380" s="226"/>
      <x:c r="Q380" s="226"/>
      <x:c r="R380" s="226"/>
      <x:c r="S380" s="226"/>
      <x:c r="T380" s="226"/>
      <x:c r="U380" s="226"/>
      <x:c r="V380" s="226"/>
      <x:c r="W380" s="226"/>
      <x:c r="X380" s="226"/>
      <x:c r="Y380" s="226"/>
      <x:c r="Z380" s="226"/>
    </x:row>
    <x:row r="381">
      <x:c r="A381" s="226"/>
      <x:c r="B381" s="226"/>
      <x:c r="C381" s="226"/>
      <x:c r="D381" s="226"/>
      <x:c r="E381" s="226"/>
      <x:c r="F381" s="226"/>
      <x:c r="G381" s="226"/>
      <x:c r="H381" s="226"/>
      <x:c r="I381" s="226"/>
      <x:c r="J381" s="226"/>
      <x:c r="K381" s="226"/>
      <x:c r="L381" s="226"/>
      <x:c r="M381" s="226"/>
      <x:c r="N381" s="226"/>
      <x:c r="O381" s="226"/>
      <x:c r="P381" s="226"/>
      <x:c r="Q381" s="226"/>
      <x:c r="R381" s="226"/>
      <x:c r="S381" s="226"/>
      <x:c r="T381" s="226"/>
      <x:c r="U381" s="226"/>
      <x:c r="V381" s="226"/>
      <x:c r="W381" s="226"/>
      <x:c r="X381" s="226"/>
      <x:c r="Y381" s="226"/>
      <x:c r="Z381" s="226"/>
    </x:row>
    <x:row r="382">
      <x:c r="A382" s="226"/>
      <x:c r="B382" s="226"/>
      <x:c r="C382" s="226"/>
      <x:c r="D382" s="226"/>
      <x:c r="E382" s="226"/>
      <x:c r="F382" s="226"/>
      <x:c r="G382" s="226"/>
      <x:c r="H382" s="226"/>
      <x:c r="I382" s="226"/>
      <x:c r="J382" s="226"/>
      <x:c r="K382" s="226"/>
      <x:c r="L382" s="226"/>
      <x:c r="M382" s="226"/>
      <x:c r="N382" s="226"/>
      <x:c r="O382" s="226"/>
      <x:c r="P382" s="226"/>
      <x:c r="Q382" s="226"/>
      <x:c r="R382" s="226"/>
      <x:c r="S382" s="226"/>
      <x:c r="T382" s="226"/>
      <x:c r="U382" s="226"/>
      <x:c r="V382" s="226"/>
      <x:c r="W382" s="226"/>
      <x:c r="X382" s="226"/>
      <x:c r="Y382" s="226"/>
      <x:c r="Z382" s="226"/>
    </x:row>
    <x:row r="383">
      <x:c r="A383" s="226"/>
      <x:c r="B383" s="226"/>
      <x:c r="C383" s="226"/>
      <x:c r="D383" s="226"/>
      <x:c r="E383" s="226"/>
      <x:c r="F383" s="226"/>
      <x:c r="G383" s="226"/>
      <x:c r="H383" s="226"/>
      <x:c r="I383" s="226"/>
      <x:c r="J383" s="226"/>
      <x:c r="K383" s="226"/>
      <x:c r="L383" s="226"/>
      <x:c r="M383" s="226"/>
      <x:c r="N383" s="226"/>
      <x:c r="O383" s="226"/>
      <x:c r="P383" s="226"/>
      <x:c r="Q383" s="226"/>
      <x:c r="R383" s="226"/>
      <x:c r="S383" s="226"/>
      <x:c r="T383" s="226"/>
      <x:c r="U383" s="226"/>
      <x:c r="V383" s="226"/>
      <x:c r="W383" s="226"/>
      <x:c r="X383" s="226"/>
      <x:c r="Y383" s="226"/>
      <x:c r="Z383" s="226"/>
    </x:row>
    <x:row r="384">
      <x:c r="A384" s="226"/>
      <x:c r="B384" s="226"/>
      <x:c r="C384" s="226"/>
      <x:c r="D384" s="226"/>
      <x:c r="E384" s="226"/>
      <x:c r="F384" s="226"/>
      <x:c r="G384" s="226"/>
      <x:c r="H384" s="226"/>
      <x:c r="I384" s="226"/>
      <x:c r="J384" s="226"/>
      <x:c r="K384" s="226"/>
      <x:c r="L384" s="226"/>
      <x:c r="M384" s="226"/>
      <x:c r="N384" s="226"/>
      <x:c r="O384" s="226"/>
      <x:c r="P384" s="226"/>
      <x:c r="Q384" s="226"/>
      <x:c r="R384" s="226"/>
      <x:c r="S384" s="226"/>
      <x:c r="T384" s="226"/>
      <x:c r="U384" s="226"/>
      <x:c r="V384" s="226"/>
      <x:c r="W384" s="226"/>
      <x:c r="X384" s="226"/>
      <x:c r="Y384" s="226"/>
      <x:c r="Z384" s="226"/>
    </x:row>
    <x:row r="385">
      <x:c r="A385" s="226"/>
      <x:c r="B385" s="226"/>
      <x:c r="C385" s="226"/>
      <x:c r="D385" s="226"/>
      <x:c r="E385" s="226"/>
      <x:c r="F385" s="226"/>
      <x:c r="G385" s="226"/>
      <x:c r="H385" s="226"/>
      <x:c r="I385" s="226"/>
      <x:c r="J385" s="226"/>
      <x:c r="K385" s="226"/>
      <x:c r="L385" s="226"/>
      <x:c r="M385" s="226"/>
      <x:c r="N385" s="226"/>
      <x:c r="O385" s="226"/>
      <x:c r="P385" s="226"/>
      <x:c r="Q385" s="226"/>
      <x:c r="R385" s="226"/>
      <x:c r="S385" s="226"/>
      <x:c r="T385" s="226"/>
      <x:c r="U385" s="226"/>
      <x:c r="V385" s="226"/>
      <x:c r="W385" s="226"/>
      <x:c r="X385" s="226"/>
      <x:c r="Y385" s="226"/>
      <x:c r="Z385" s="226"/>
    </x:row>
    <x:row r="386">
      <x:c r="A386" s="226"/>
      <x:c r="B386" s="226"/>
      <x:c r="C386" s="226"/>
      <x:c r="D386" s="226"/>
      <x:c r="E386" s="226"/>
      <x:c r="F386" s="226"/>
      <x:c r="G386" s="226"/>
      <x:c r="H386" s="226"/>
      <x:c r="I386" s="226"/>
      <x:c r="J386" s="226"/>
      <x:c r="K386" s="226"/>
      <x:c r="L386" s="226"/>
      <x:c r="M386" s="226"/>
      <x:c r="N386" s="226"/>
      <x:c r="O386" s="226"/>
      <x:c r="P386" s="226"/>
      <x:c r="Q386" s="226"/>
      <x:c r="R386" s="226"/>
      <x:c r="S386" s="226"/>
      <x:c r="T386" s="226"/>
      <x:c r="U386" s="226"/>
      <x:c r="V386" s="226"/>
      <x:c r="W386" s="226"/>
      <x:c r="X386" s="226"/>
      <x:c r="Y386" s="226"/>
      <x:c r="Z386" s="226"/>
    </x:row>
    <x:row r="387">
      <x:c r="A387" s="226"/>
      <x:c r="B387" s="226"/>
      <x:c r="C387" s="226"/>
      <x:c r="D387" s="226"/>
      <x:c r="E387" s="226"/>
      <x:c r="F387" s="226"/>
      <x:c r="G387" s="226"/>
      <x:c r="H387" s="226"/>
      <x:c r="I387" s="226"/>
      <x:c r="J387" s="226"/>
      <x:c r="K387" s="226"/>
      <x:c r="L387" s="226"/>
      <x:c r="M387" s="226"/>
      <x:c r="N387" s="226"/>
      <x:c r="O387" s="226"/>
      <x:c r="P387" s="226"/>
      <x:c r="Q387" s="226"/>
      <x:c r="R387" s="226"/>
      <x:c r="S387" s="226"/>
      <x:c r="T387" s="226"/>
      <x:c r="U387" s="226"/>
      <x:c r="V387" s="226"/>
      <x:c r="W387" s="226"/>
      <x:c r="X387" s="226"/>
      <x:c r="Y387" s="226"/>
      <x:c r="Z387" s="226"/>
    </x:row>
    <x:row r="388">
      <x:c r="A388" s="226"/>
      <x:c r="B388" s="226"/>
      <x:c r="C388" s="226"/>
      <x:c r="D388" s="226"/>
      <x:c r="E388" s="226"/>
      <x:c r="F388" s="226"/>
      <x:c r="G388" s="226"/>
      <x:c r="H388" s="226"/>
      <x:c r="I388" s="226"/>
      <x:c r="J388" s="226"/>
      <x:c r="K388" s="226"/>
      <x:c r="L388" s="226"/>
      <x:c r="M388" s="226"/>
      <x:c r="N388" s="226"/>
      <x:c r="O388" s="226"/>
      <x:c r="P388" s="226"/>
      <x:c r="Q388" s="226"/>
      <x:c r="R388" s="226"/>
      <x:c r="S388" s="226"/>
      <x:c r="T388" s="226"/>
      <x:c r="U388" s="226"/>
      <x:c r="V388" s="226"/>
      <x:c r="W388" s="226"/>
      <x:c r="X388" s="226"/>
      <x:c r="Y388" s="226"/>
      <x:c r="Z388" s="226"/>
    </x:row>
    <x:row r="389">
      <x:c r="A389" s="226"/>
      <x:c r="B389" s="226"/>
      <x:c r="C389" s="226"/>
      <x:c r="D389" s="226"/>
      <x:c r="E389" s="226"/>
      <x:c r="F389" s="226"/>
      <x:c r="G389" s="226"/>
      <x:c r="H389" s="226"/>
      <x:c r="I389" s="226"/>
      <x:c r="J389" s="226"/>
      <x:c r="K389" s="226"/>
      <x:c r="L389" s="226"/>
      <x:c r="M389" s="226"/>
      <x:c r="N389" s="226"/>
      <x:c r="O389" s="226"/>
      <x:c r="P389" s="226"/>
      <x:c r="Q389" s="226"/>
      <x:c r="R389" s="226"/>
      <x:c r="S389" s="226"/>
      <x:c r="T389" s="226"/>
      <x:c r="U389" s="226"/>
      <x:c r="V389" s="226"/>
      <x:c r="W389" s="226"/>
      <x:c r="X389" s="226"/>
      <x:c r="Y389" s="226"/>
      <x:c r="Z389" s="226"/>
    </x:row>
    <x:row r="390">
      <x:c r="A390" s="226"/>
      <x:c r="B390" s="226"/>
      <x:c r="C390" s="226"/>
      <x:c r="D390" s="226"/>
      <x:c r="E390" s="226"/>
      <x:c r="F390" s="226"/>
      <x:c r="G390" s="226"/>
      <x:c r="H390" s="226"/>
      <x:c r="I390" s="226"/>
      <x:c r="J390" s="226"/>
      <x:c r="K390" s="226"/>
      <x:c r="L390" s="226"/>
      <x:c r="M390" s="226"/>
      <x:c r="N390" s="226"/>
      <x:c r="O390" s="226"/>
      <x:c r="P390" s="226"/>
      <x:c r="Q390" s="226"/>
      <x:c r="R390" s="226"/>
      <x:c r="S390" s="226"/>
      <x:c r="T390" s="226"/>
      <x:c r="U390" s="226"/>
      <x:c r="V390" s="226"/>
      <x:c r="W390" s="226"/>
      <x:c r="X390" s="226"/>
      <x:c r="Y390" s="226"/>
      <x:c r="Z390" s="226"/>
    </x:row>
    <x:row r="391">
      <x:c r="A391" s="226"/>
      <x:c r="B391" s="226"/>
      <x:c r="C391" s="226"/>
      <x:c r="D391" s="226"/>
      <x:c r="E391" s="226"/>
      <x:c r="F391" s="226"/>
      <x:c r="G391" s="226"/>
      <x:c r="H391" s="226"/>
      <x:c r="I391" s="226"/>
      <x:c r="J391" s="226"/>
      <x:c r="K391" s="226"/>
      <x:c r="L391" s="226"/>
      <x:c r="M391" s="226"/>
      <x:c r="N391" s="226"/>
      <x:c r="O391" s="226"/>
      <x:c r="P391" s="226"/>
      <x:c r="Q391" s="226"/>
      <x:c r="R391" s="226"/>
      <x:c r="S391" s="226"/>
      <x:c r="T391" s="226"/>
      <x:c r="U391" s="226"/>
      <x:c r="V391" s="226"/>
      <x:c r="W391" s="226"/>
      <x:c r="X391" s="226"/>
      <x:c r="Y391" s="226"/>
      <x:c r="Z391" s="226"/>
    </x:row>
    <x:row r="392">
      <x:c r="A392" s="226"/>
      <x:c r="B392" s="226"/>
      <x:c r="C392" s="226"/>
      <x:c r="D392" s="226"/>
      <x:c r="E392" s="226"/>
      <x:c r="F392" s="226"/>
      <x:c r="G392" s="226"/>
      <x:c r="H392" s="226"/>
      <x:c r="I392" s="226"/>
      <x:c r="J392" s="226"/>
      <x:c r="K392" s="226"/>
      <x:c r="L392" s="226"/>
      <x:c r="M392" s="226"/>
      <x:c r="N392" s="226"/>
      <x:c r="O392" s="226"/>
      <x:c r="P392" s="226"/>
      <x:c r="Q392" s="226"/>
      <x:c r="R392" s="226"/>
      <x:c r="S392" s="226"/>
      <x:c r="T392" s="226"/>
      <x:c r="U392" s="226"/>
      <x:c r="V392" s="226"/>
      <x:c r="W392" s="226"/>
      <x:c r="X392" s="226"/>
      <x:c r="Y392" s="226"/>
      <x:c r="Z392" s="226"/>
    </x:row>
    <x:row r="393">
      <x:c r="A393" s="226"/>
      <x:c r="B393" s="226"/>
      <x:c r="C393" s="226"/>
      <x:c r="D393" s="226"/>
      <x:c r="E393" s="226"/>
      <x:c r="F393" s="226"/>
      <x:c r="G393" s="226"/>
      <x:c r="H393" s="226"/>
      <x:c r="I393" s="226"/>
      <x:c r="J393" s="226"/>
      <x:c r="K393" s="226"/>
      <x:c r="L393" s="226"/>
      <x:c r="M393" s="226"/>
      <x:c r="N393" s="226"/>
      <x:c r="O393" s="226"/>
      <x:c r="P393" s="226"/>
      <x:c r="Q393" s="226"/>
      <x:c r="R393" s="226"/>
      <x:c r="S393" s="226"/>
      <x:c r="T393" s="226"/>
      <x:c r="U393" s="226"/>
      <x:c r="V393" s="226"/>
      <x:c r="W393" s="226"/>
      <x:c r="X393" s="226"/>
      <x:c r="Y393" s="226"/>
      <x:c r="Z393" s="226"/>
    </x:row>
    <x:row r="394">
      <x:c r="A394" s="226"/>
      <x:c r="B394" s="226"/>
      <x:c r="C394" s="226"/>
      <x:c r="D394" s="226"/>
      <x:c r="E394" s="226"/>
      <x:c r="F394" s="226"/>
      <x:c r="G394" s="226"/>
      <x:c r="H394" s="226"/>
      <x:c r="I394" s="226"/>
      <x:c r="J394" s="226"/>
      <x:c r="K394" s="226"/>
      <x:c r="L394" s="226"/>
      <x:c r="M394" s="226"/>
      <x:c r="N394" s="226"/>
      <x:c r="O394" s="226"/>
      <x:c r="P394" s="226"/>
      <x:c r="Q394" s="226"/>
      <x:c r="R394" s="226"/>
      <x:c r="S394" s="226"/>
      <x:c r="T394" s="226"/>
      <x:c r="U394" s="226"/>
      <x:c r="V394" s="226"/>
      <x:c r="W394" s="226"/>
      <x:c r="X394" s="226"/>
      <x:c r="Y394" s="226"/>
      <x:c r="Z394" s="226"/>
    </x:row>
    <x:row r="395">
      <x:c r="A395" s="226"/>
      <x:c r="B395" s="226"/>
      <x:c r="C395" s="226"/>
      <x:c r="D395" s="226"/>
      <x:c r="E395" s="226"/>
      <x:c r="F395" s="226"/>
      <x:c r="G395" s="226"/>
      <x:c r="H395" s="226"/>
      <x:c r="I395" s="226"/>
      <x:c r="J395" s="226"/>
      <x:c r="K395" s="226"/>
      <x:c r="L395" s="226"/>
      <x:c r="M395" s="226"/>
      <x:c r="N395" s="226"/>
      <x:c r="O395" s="226"/>
      <x:c r="P395" s="226"/>
      <x:c r="Q395" s="226"/>
      <x:c r="R395" s="226"/>
      <x:c r="S395" s="226"/>
      <x:c r="T395" s="226"/>
      <x:c r="U395" s="226"/>
      <x:c r="V395" s="226"/>
      <x:c r="W395" s="226"/>
      <x:c r="X395" s="226"/>
      <x:c r="Y395" s="226"/>
      <x:c r="Z395" s="226"/>
    </x:row>
    <x:row r="396">
      <x:c r="A396" s="226"/>
      <x:c r="B396" s="226"/>
      <x:c r="C396" s="226"/>
      <x:c r="D396" s="226"/>
      <x:c r="E396" s="226"/>
      <x:c r="F396" s="226"/>
      <x:c r="G396" s="226"/>
      <x:c r="H396" s="226"/>
      <x:c r="I396" s="226"/>
      <x:c r="J396" s="226"/>
      <x:c r="K396" s="226"/>
      <x:c r="L396" s="226"/>
      <x:c r="M396" s="226"/>
      <x:c r="N396" s="226"/>
      <x:c r="O396" s="226"/>
      <x:c r="P396" s="226"/>
      <x:c r="Q396" s="226"/>
      <x:c r="R396" s="226"/>
      <x:c r="S396" s="226"/>
      <x:c r="T396" s="226"/>
      <x:c r="U396" s="226"/>
      <x:c r="V396" s="226"/>
      <x:c r="W396" s="226"/>
      <x:c r="X396" s="226"/>
      <x:c r="Y396" s="226"/>
      <x:c r="Z396" s="226"/>
    </x:row>
    <x:row r="397">
      <x:c r="A397" s="226"/>
      <x:c r="B397" s="226"/>
      <x:c r="C397" s="226"/>
      <x:c r="D397" s="226"/>
      <x:c r="E397" s="226"/>
      <x:c r="F397" s="226"/>
      <x:c r="G397" s="226"/>
      <x:c r="H397" s="226"/>
      <x:c r="I397" s="226"/>
      <x:c r="J397" s="226"/>
      <x:c r="K397" s="226"/>
      <x:c r="L397" s="226"/>
      <x:c r="M397" s="226"/>
      <x:c r="N397" s="226"/>
      <x:c r="O397" s="226"/>
      <x:c r="P397" s="226"/>
      <x:c r="Q397" s="226"/>
      <x:c r="R397" s="226"/>
      <x:c r="S397" s="226"/>
      <x:c r="T397" s="226"/>
      <x:c r="U397" s="226"/>
      <x:c r="V397" s="226"/>
      <x:c r="W397" s="226"/>
      <x:c r="X397" s="226"/>
      <x:c r="Y397" s="226"/>
      <x:c r="Z397" s="226"/>
    </x:row>
    <x:row r="398">
      <x:c r="A398" s="226"/>
      <x:c r="B398" s="226"/>
      <x:c r="C398" s="226"/>
      <x:c r="D398" s="226"/>
      <x:c r="E398" s="226"/>
      <x:c r="F398" s="226"/>
      <x:c r="G398" s="226"/>
      <x:c r="H398" s="226"/>
      <x:c r="I398" s="226"/>
      <x:c r="J398" s="226"/>
      <x:c r="K398" s="226"/>
      <x:c r="L398" s="226"/>
      <x:c r="M398" s="226"/>
      <x:c r="N398" s="226"/>
      <x:c r="O398" s="226"/>
      <x:c r="P398" s="226"/>
      <x:c r="Q398" s="226"/>
      <x:c r="R398" s="226"/>
      <x:c r="S398" s="226"/>
      <x:c r="T398" s="226"/>
      <x:c r="U398" s="226"/>
      <x:c r="V398" s="226"/>
      <x:c r="W398" s="226"/>
      <x:c r="X398" s="226"/>
      <x:c r="Y398" s="226"/>
      <x:c r="Z398" s="226"/>
    </x:row>
    <x:row r="399">
      <x:c r="A399" s="226"/>
      <x:c r="B399" s="226"/>
      <x:c r="C399" s="226"/>
      <x:c r="D399" s="226"/>
      <x:c r="E399" s="226"/>
      <x:c r="F399" s="226"/>
      <x:c r="G399" s="226"/>
      <x:c r="H399" s="226"/>
      <x:c r="I399" s="226"/>
      <x:c r="J399" s="226"/>
      <x:c r="K399" s="226"/>
      <x:c r="L399" s="226"/>
      <x:c r="M399" s="226"/>
      <x:c r="N399" s="226"/>
      <x:c r="O399" s="226"/>
      <x:c r="P399" s="226"/>
      <x:c r="Q399" s="226"/>
      <x:c r="R399" s="226"/>
      <x:c r="S399" s="226"/>
      <x:c r="T399" s="226"/>
      <x:c r="U399" s="226"/>
      <x:c r="V399" s="226"/>
      <x:c r="W399" s="226"/>
      <x:c r="X399" s="226"/>
      <x:c r="Y399" s="226"/>
      <x:c r="Z399" s="226"/>
    </x:row>
    <x:row r="400">
      <x:c r="A400" s="226"/>
      <x:c r="B400" s="226"/>
      <x:c r="C400" s="226"/>
      <x:c r="D400" s="226"/>
      <x:c r="E400" s="226"/>
      <x:c r="F400" s="226"/>
      <x:c r="G400" s="226"/>
      <x:c r="H400" s="226"/>
      <x:c r="I400" s="226"/>
      <x:c r="J400" s="226"/>
      <x:c r="K400" s="226"/>
      <x:c r="L400" s="226"/>
      <x:c r="M400" s="226"/>
      <x:c r="N400" s="226"/>
      <x:c r="O400" s="226"/>
      <x:c r="P400" s="226"/>
      <x:c r="Q400" s="226"/>
      <x:c r="R400" s="226"/>
      <x:c r="S400" s="226"/>
      <x:c r="T400" s="226"/>
      <x:c r="U400" s="226"/>
      <x:c r="V400" s="226"/>
      <x:c r="W400" s="226"/>
      <x:c r="X400" s="226"/>
      <x:c r="Y400" s="226"/>
      <x:c r="Z400" s="226"/>
    </x:row>
  </x:sheetData>
  <x:mergeCells>
    <x:mergeCell ref="A1:H2"/>
    <x:mergeCell ref="A3:H3"/>
    <x:mergeCell ref="A5:B5"/>
    <x:mergeCell ref="D5:E5"/>
    <x:mergeCell ref="G5:H5"/>
    <x:mergeCell ref="A6:B7"/>
    <x:mergeCell ref="D6:E7"/>
    <x:mergeCell ref="G6:H7"/>
  </x:mergeCells>
  <x:pageMargins left="0.7" right="0.7" top="0.75" bottom="0.75" header="0.3" footer="0.3"/>
  <x:drawing xmlns:r="http://schemas.openxmlformats.org/officeDocument/2006/relationships" r:id="Rbcac3c23004e422a"/>
</x:worksheet>
</file>

<file path=xl/worksheets/sheet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8" hidden="0" customWidth="1"/>
    <x:col min="3" max="3" width="23" hidden="0" customWidth="1"/>
    <x:col min="4" max="4" width="30" hidden="0" customWidth="1"/>
    <x:col min="5" max="5" width="34" hidden="0" customWidth="1"/>
    <x:col min="6" max="6" width="23" hidden="0" customWidth="1"/>
    <x:col min="7" max="7" width="20" hidden="0" customWidth="1"/>
    <x:col min="8" max="8" width="48" hidden="0" customWidth="1"/>
    <x:col min="9" max="9" width="38" hidden="0" customWidth="1"/>
    <x:col min="10" max="10" width="48" hidden="0" customWidth="1"/>
    <x:col min="11" max="11" width="12" hidden="0" customWidth="1"/>
    <x:col min="12" max="12" width="25" hidden="0" customWidth="1"/>
    <x:col min="13" max="13" width="42" hidden="0" customWidth="1"/>
  </x:cols>
  <x:sheetData>
    <x:row r="1" ht="28" customHeight="1">
      <x:c r="A1" s="301" t="str">
        <x:v>Screen ID</x:v>
      </x:c>
      <x:c r="B1" s="301" t="str">
        <x:v>Module</x:v>
      </x:c>
      <x:c r="C1" s="301" t="str">
        <x:v>Submodule</x:v>
      </x:c>
      <x:c r="D1" s="301" t="str">
        <x:v>Screen Name</x:v>
      </x:c>
      <x:c r="E1" s="301" t="str">
        <x:v>Primary Roles</x:v>
      </x:c>
      <x:c r="F1" s="301" t="str">
        <x:v>Portal</x:v>
      </x:c>
      <x:c r="G1" s="301" t="str">
        <x:v>Screen Type</x:v>
      </x:c>
      <x:c r="H1" s="301" t="str">
        <x:v>Purpose</x:v>
      </x:c>
      <x:c r="I1" s="301" t="str">
        <x:v>Key Actions</x:v>
      </x:c>
      <x:c r="J1" s="301" t="str">
        <x:v>Key Data / Fields</x:v>
      </x:c>
      <x:c r="K1" s="301" t="str">
        <x:v>Priority</x:v>
      </x:c>
      <x:c r="L1" s="301" t="str">
        <x:v>Reusable UI Pattern</x:v>
      </x:c>
      <x:c r="M1" s="301" t="str">
        <x:v>Implementation Notes</x:v>
      </x:c>
      <x:c r="N1" s="226"/>
      <x:c r="O1" s="226"/>
      <x:c r="P1" s="226"/>
      <x:c r="Q1" s="226"/>
      <x:c r="R1" s="226"/>
      <x:c r="S1" s="226"/>
      <x:c r="T1" s="226"/>
      <x:c r="U1" s="226"/>
      <x:c r="V1" s="226"/>
      <x:c r="W1" s="226"/>
      <x:c r="X1" s="226"/>
      <x:c r="Y1" s="226"/>
      <x:c r="Z1" s="226"/>
    </x:row>
    <x:row r="2">
      <x:c r="A2" s="285" t="str">
        <x:v>SCR-001</x:v>
      </x:c>
      <x:c r="B2" s="285" t="str">
        <x:v>Public Website &amp; Authentication</x:v>
      </x:c>
      <x:c r="C2" s="285" t="str">
        <x:v>Public Website</x:v>
      </x:c>
      <x:c r="D2" s="285" t="str">
        <x:v>Landing / Home</x:v>
      </x:c>
      <x:c r="E2" s="285" t="str">
        <x:v>All Users</x:v>
      </x:c>
      <x:c r="F2" s="285" t="str">
        <x:v>Shared / Public</x:v>
      </x:c>
      <x:c r="G2" s="285" t="str">
        <x:v>Workflow / Management</x:v>
      </x:c>
      <x:c r="H2" s="285" t="str">
        <x:v>Manage the end-to-end landing / home workflow within public website &amp; authentication.</x:v>
      </x:c>
      <x:c r="I2" s="285" t="str">
        <x:v>View, Create / Update, Filter, Export / Print</x:v>
      </x:c>
      <x:c r="J2" s="285" t="str">
        <x:v>Name / title, code, academic year, status, owner, dates, remarks</x:v>
      </x:c>
      <x:c r="K2" s="285" t="str">
        <x:v>MVP</x:v>
      </x:c>
      <x:c r="L2" s="285" t="str">
        <x:v>Workflow / Approval / Detail</x:v>
      </x:c>
      <x:c r="M2" s="285" t="str">
        <x:v>Preserve existing role permissions, APIs and workflows; design reusable responsive UI.</x:v>
      </x:c>
      <x:c r="N2" s="226"/>
      <x:c r="O2" s="226"/>
      <x:c r="P2" s="226"/>
      <x:c r="Q2" s="226"/>
      <x:c r="R2" s="226"/>
      <x:c r="S2" s="226"/>
      <x:c r="T2" s="226"/>
      <x:c r="U2" s="226"/>
      <x:c r="V2" s="226"/>
      <x:c r="W2" s="226"/>
      <x:c r="X2" s="226"/>
      <x:c r="Y2" s="226"/>
      <x:c r="Z2" s="226"/>
    </x:row>
    <x:row r="3">
      <x:c r="A3" s="285" t="str">
        <x:v>SCR-002</x:v>
      </x:c>
      <x:c r="B3" s="285" t="str">
        <x:v>Public Website &amp; Authentication</x:v>
      </x:c>
      <x:c r="C3" s="285" t="str">
        <x:v>Public Website</x:v>
      </x:c>
      <x:c r="D3" s="285" t="str">
        <x:v>Workspace / Role Selection</x:v>
      </x:c>
      <x:c r="E3" s="285" t="str">
        <x:v>All Users</x:v>
      </x:c>
      <x:c r="F3" s="285" t="str">
        <x:v>Shared / Public</x:v>
      </x:c>
      <x:c r="G3" s="285" t="str">
        <x:v>Workflow / Management</x:v>
      </x:c>
      <x:c r="H3" s="285" t="str">
        <x:v>Manage the end-to-end workspace / role selection workflow within public website &amp; authentication.</x:v>
      </x:c>
      <x:c r="I3" s="285" t="str">
        <x:v>View, Create / Update, Filter, Export / Print</x:v>
      </x:c>
      <x:c r="J3" s="285" t="str">
        <x:v>User, role, module, permission, scope, status, last login</x:v>
      </x:c>
      <x:c r="K3" s="285" t="str">
        <x:v>MVP</x:v>
      </x:c>
      <x:c r="L3" s="285" t="str">
        <x:v>Workflow / Approval / Detail</x:v>
      </x:c>
      <x:c r="M3" s="285" t="str">
        <x:v>Preserve existing role permissions, APIs and workflows; design reusable responsive UI.</x:v>
      </x:c>
      <x:c r="N3" s="226"/>
      <x:c r="O3" s="226"/>
      <x:c r="P3" s="226"/>
      <x:c r="Q3" s="226"/>
      <x:c r="R3" s="226"/>
      <x:c r="S3" s="226"/>
      <x:c r="T3" s="226"/>
      <x:c r="U3" s="226"/>
      <x:c r="V3" s="226"/>
      <x:c r="W3" s="226"/>
      <x:c r="X3" s="226"/>
      <x:c r="Y3" s="226"/>
      <x:c r="Z3" s="226"/>
    </x:row>
    <x:row r="4">
      <x:c r="A4" s="285" t="str">
        <x:v>SCR-003</x:v>
      </x:c>
      <x:c r="B4" s="285" t="str">
        <x:v>Public Website &amp; Authentication</x:v>
      </x:c>
      <x:c r="C4" s="285" t="str">
        <x:v>Public Website</x:v>
      </x:c>
      <x:c r="D4" s="285" t="str">
        <x:v>Sign In</x:v>
      </x:c>
      <x:c r="E4" s="285" t="str">
        <x:v>All Users</x:v>
      </x:c>
      <x:c r="F4" s="285" t="str">
        <x:v>Shared / Public</x:v>
      </x:c>
      <x:c r="G4" s="285" t="str">
        <x:v>Workflow / Management</x:v>
      </x:c>
      <x:c r="H4" s="285" t="str">
        <x:v>Manage the end-to-end sign in workflow within public website &amp; authentication.</x:v>
      </x:c>
      <x:c r="I4" s="285" t="str">
        <x:v>View, Create / Update, Filter, Export / Print</x:v>
      </x:c>
      <x:c r="J4" s="285" t="str">
        <x:v>Name / title, code, academic year, status, owner, dates, remarks</x:v>
      </x:c>
      <x:c r="K4" s="285" t="str">
        <x:v>MVP</x:v>
      </x:c>
      <x:c r="L4" s="285" t="str">
        <x:v>Workflow / Approval / Detail</x:v>
      </x:c>
      <x:c r="M4" s="285" t="str">
        <x:v>Preserve existing role permissions, APIs and workflows; design reusable responsive UI.</x:v>
      </x:c>
      <x:c r="N4" s="226"/>
      <x:c r="O4" s="226"/>
      <x:c r="P4" s="226"/>
      <x:c r="Q4" s="226"/>
      <x:c r="R4" s="226"/>
      <x:c r="S4" s="226"/>
      <x:c r="T4" s="226"/>
      <x:c r="U4" s="226"/>
      <x:c r="V4" s="226"/>
      <x:c r="W4" s="226"/>
      <x:c r="X4" s="226"/>
      <x:c r="Y4" s="226"/>
      <x:c r="Z4" s="226"/>
    </x:row>
    <x:row r="5">
      <x:c r="A5" s="285" t="str">
        <x:v>SCR-004</x:v>
      </x:c>
      <x:c r="B5" s="285" t="str">
        <x:v>Public Website &amp; Authentication</x:v>
      </x:c>
      <x:c r="C5" s="285" t="str">
        <x:v>Public Website</x:v>
      </x:c>
      <x:c r="D5" s="285" t="str">
        <x:v>Forgot Password</x:v>
      </x:c>
      <x:c r="E5" s="285" t="str">
        <x:v>All Users</x:v>
      </x:c>
      <x:c r="F5" s="285" t="str">
        <x:v>Shared / Public</x:v>
      </x:c>
      <x:c r="G5" s="285" t="str">
        <x:v>Workflow / Management</x:v>
      </x:c>
      <x:c r="H5" s="285" t="str">
        <x:v>Manage the end-to-end forgot password workflow within public website &amp; authentication.</x:v>
      </x:c>
      <x:c r="I5" s="285" t="str">
        <x:v>View, Create / Update, Filter, Export / Print</x:v>
      </x:c>
      <x:c r="J5" s="285" t="str">
        <x:v>Name / title, code, academic year, status, owner, dates, remarks</x:v>
      </x:c>
      <x:c r="K5" s="285" t="str">
        <x:v>MVP</x:v>
      </x:c>
      <x:c r="L5" s="285" t="str">
        <x:v>Workflow / Approval / Detail</x:v>
      </x:c>
      <x:c r="M5" s="285" t="str">
        <x:v>Preserve existing role permissions, APIs and workflows; design reusable responsive UI.</x:v>
      </x:c>
      <x:c r="N5" s="226"/>
      <x:c r="O5" s="226"/>
      <x:c r="P5" s="226"/>
      <x:c r="Q5" s="226"/>
      <x:c r="R5" s="226"/>
      <x:c r="S5" s="226"/>
      <x:c r="T5" s="226"/>
      <x:c r="U5" s="226"/>
      <x:c r="V5" s="226"/>
      <x:c r="W5" s="226"/>
      <x:c r="X5" s="226"/>
      <x:c r="Y5" s="226"/>
      <x:c r="Z5" s="226"/>
    </x:row>
    <x:row r="6">
      <x:c r="A6" s="285" t="str">
        <x:v>SCR-005</x:v>
      </x:c>
      <x:c r="B6" s="285" t="str">
        <x:v>Public Website &amp; Authentication</x:v>
      </x:c>
      <x:c r="C6" s="285" t="str">
        <x:v>Public Website</x:v>
      </x:c>
      <x:c r="D6" s="285" t="str">
        <x:v>Reset Password</x:v>
      </x:c>
      <x:c r="E6" s="285" t="str">
        <x:v>All Users</x:v>
      </x:c>
      <x:c r="F6" s="285" t="str">
        <x:v>Shared / Public</x:v>
      </x:c>
      <x:c r="G6" s="285" t="str">
        <x:v>Workflow / Management</x:v>
      </x:c>
      <x:c r="H6" s="285" t="str">
        <x:v>Manage the end-to-end reset password workflow within public website &amp; authentication.</x:v>
      </x:c>
      <x:c r="I6" s="285" t="str">
        <x:v>View, Create / Update, Filter, Export / Print</x:v>
      </x:c>
      <x:c r="J6" s="285" t="str">
        <x:v>Name / title, code, academic year, status, owner, dates, remarks</x:v>
      </x:c>
      <x:c r="K6" s="285" t="str">
        <x:v>MVP</x:v>
      </x:c>
      <x:c r="L6" s="285" t="str">
        <x:v>Workflow / Approval / Detail</x:v>
      </x:c>
      <x:c r="M6" s="285" t="str">
        <x:v>Preserve existing role permissions, APIs and workflows; design reusable responsive UI.</x:v>
      </x:c>
      <x:c r="N6" s="226"/>
      <x:c r="O6" s="226"/>
      <x:c r="P6" s="226"/>
      <x:c r="Q6" s="226"/>
      <x:c r="R6" s="226"/>
      <x:c r="S6" s="226"/>
      <x:c r="T6" s="226"/>
      <x:c r="U6" s="226"/>
      <x:c r="V6" s="226"/>
      <x:c r="W6" s="226"/>
      <x:c r="X6" s="226"/>
      <x:c r="Y6" s="226"/>
      <x:c r="Z6" s="226"/>
    </x:row>
    <x:row r="7">
      <x:c r="A7" s="285" t="str">
        <x:v>SCR-006</x:v>
      </x:c>
      <x:c r="B7" s="285" t="str">
        <x:v>Public Website &amp; Authentication</x:v>
      </x:c>
      <x:c r="C7" s="285" t="str">
        <x:v>Public Website</x:v>
      </x:c>
      <x:c r="D7" s="285" t="str">
        <x:v>OTP / Two-Factor Verification</x:v>
      </x:c>
      <x:c r="E7" s="285" t="str">
        <x:v>All Users</x:v>
      </x:c>
      <x:c r="F7" s="285" t="str">
        <x:v>Shared / Public</x:v>
      </x:c>
      <x:c r="G7" s="285" t="str">
        <x:v>Workflow / Management</x:v>
      </x:c>
      <x:c r="H7" s="285" t="str">
        <x:v>Manage the end-to-end otp / two-factor verification workflow within public website &amp; authentication.</x:v>
      </x:c>
      <x:c r="I7" s="285" t="str">
        <x:v>Review, Approve / Reject, Comment, Track status</x:v>
      </x:c>
      <x:c r="J7" s="285" t="str">
        <x:v>Name / title, code, academic year, status, owner, dates, remarks</x:v>
      </x:c>
      <x:c r="K7" s="285" t="str">
        <x:v>Phase 2</x:v>
      </x:c>
      <x:c r="L7" s="285" t="str">
        <x:v>Workflow / Approval / Detail</x:v>
      </x:c>
      <x:c r="M7" s="285" t="str">
        <x:v>Preserve existing role permissions, APIs and workflows; design reusable responsive UI.</x:v>
      </x:c>
      <x:c r="N7" s="226"/>
      <x:c r="O7" s="226"/>
      <x:c r="P7" s="226"/>
      <x:c r="Q7" s="226"/>
      <x:c r="R7" s="226"/>
      <x:c r="S7" s="226"/>
      <x:c r="T7" s="226"/>
      <x:c r="U7" s="226"/>
      <x:c r="V7" s="226"/>
      <x:c r="W7" s="226"/>
      <x:c r="X7" s="226"/>
      <x:c r="Y7" s="226"/>
      <x:c r="Z7" s="226"/>
    </x:row>
    <x:row r="8">
      <x:c r="A8" s="285" t="str">
        <x:v>SCR-007</x:v>
      </x:c>
      <x:c r="B8" s="285" t="str">
        <x:v>Public Website &amp; Authentication</x:v>
      </x:c>
      <x:c r="C8" s="285" t="str">
        <x:v>Public Website</x:v>
      </x:c>
      <x:c r="D8" s="285" t="str">
        <x:v>First Login / Change Password</x:v>
      </x:c>
      <x:c r="E8" s="285" t="str">
        <x:v>All Users</x:v>
      </x:c>
      <x:c r="F8" s="285" t="str">
        <x:v>Shared / Public</x:v>
      </x:c>
      <x:c r="G8" s="285" t="str">
        <x:v>Workflow / Management</x:v>
      </x:c>
      <x:c r="H8" s="285" t="str">
        <x:v>Manage the end-to-end first login / change password workflow within public website &amp; authentication.</x:v>
      </x:c>
      <x:c r="I8" s="285" t="str">
        <x:v>View, Create / Update, Filter, Export / Print</x:v>
      </x:c>
      <x:c r="J8" s="285" t="str">
        <x:v>Name / title, code, academic year, status, owner, dates, remarks</x:v>
      </x:c>
      <x:c r="K8" s="285" t="str">
        <x:v>Phase 2</x:v>
      </x:c>
      <x:c r="L8" s="285" t="str">
        <x:v>Workflow / Approval / Detail</x:v>
      </x:c>
      <x:c r="M8" s="285" t="str">
        <x:v>Preserve existing role permissions, APIs and workflows; design reusable responsive UI.</x:v>
      </x:c>
      <x:c r="N8" s="226"/>
      <x:c r="O8" s="226"/>
      <x:c r="P8" s="226"/>
      <x:c r="Q8" s="226"/>
      <x:c r="R8" s="226"/>
      <x:c r="S8" s="226"/>
      <x:c r="T8" s="226"/>
      <x:c r="U8" s="226"/>
      <x:c r="V8" s="226"/>
      <x:c r="W8" s="226"/>
      <x:c r="X8" s="226"/>
      <x:c r="Y8" s="226"/>
      <x:c r="Z8" s="226"/>
    </x:row>
    <x:row r="9">
      <x:c r="A9" s="285" t="str">
        <x:v>SCR-008</x:v>
      </x:c>
      <x:c r="B9" s="285" t="str">
        <x:v>Public Website &amp; Authentication</x:v>
      </x:c>
      <x:c r="C9" s="285" t="str">
        <x:v>Public Website</x:v>
      </x:c>
      <x:c r="D9" s="285" t="str">
        <x:v>Access Denied / Session Expired</x:v>
      </x:c>
      <x:c r="E9" s="285" t="str">
        <x:v>All Users</x:v>
      </x:c>
      <x:c r="F9" s="285" t="str">
        <x:v>Shared / Public</x:v>
      </x:c>
      <x:c r="G9" s="285" t="str">
        <x:v>Workflow / Management</x:v>
      </x:c>
      <x:c r="H9" s="285" t="str">
        <x:v>Manage the end-to-end access denied / session expired workflow within public website &amp; authentication.</x:v>
      </x:c>
      <x:c r="I9" s="285" t="str">
        <x:v>View, Create / Update, Filter, Export / Print</x:v>
      </x:c>
      <x:c r="J9" s="285" t="str">
        <x:v>Name / title, code, academic year, status, owner, dates, remarks</x:v>
      </x:c>
      <x:c r="K9" s="285" t="str">
        <x:v>Phase 2</x:v>
      </x:c>
      <x:c r="L9" s="285" t="str">
        <x:v>Workflow / Approval / Detail</x:v>
      </x:c>
      <x:c r="M9" s="285" t="str">
        <x:v>Preserve existing role permissions, APIs and workflows; design reusable responsive UI.</x:v>
      </x:c>
      <x:c r="N9" s="226"/>
      <x:c r="O9" s="226"/>
      <x:c r="P9" s="226"/>
      <x:c r="Q9" s="226"/>
      <x:c r="R9" s="226"/>
      <x:c r="S9" s="226"/>
      <x:c r="T9" s="226"/>
      <x:c r="U9" s="226"/>
      <x:c r="V9" s="226"/>
      <x:c r="W9" s="226"/>
      <x:c r="X9" s="226"/>
      <x:c r="Y9" s="226"/>
      <x:c r="Z9" s="226"/>
    </x:row>
    <x:row r="10">
      <x:c r="A10" s="285" t="str">
        <x:v>SCR-009</x:v>
      </x:c>
      <x:c r="B10" s="285" t="str">
        <x:v>Super Admin / SaaS Administration</x:v>
      </x:c>
      <x:c r="C10" s="285" t="str">
        <x:v>Super Admin</x:v>
      </x:c>
      <x:c r="D10" s="285" t="str">
        <x:v>Platform Dashboard</x:v>
      </x:c>
      <x:c r="E10" s="285" t="str">
        <x:v>Super Admin</x:v>
      </x:c>
      <x:c r="F10" s="285" t="str">
        <x:v>Super Admin Portal</x:v>
      </x:c>
      <x:c r="G10" s="285" t="str">
        <x:v>Dashboard</x:v>
      </x:c>
      <x:c r="H10" s="285" t="str">
        <x:v>Provide an at-a-glance operational view of super admin / saas administration with key status, alerts and shortcuts.</x:v>
      </x:c>
      <x:c r="I10" s="285" t="str">
        <x:v>Filter, Drill down, Export, Print</x:v>
      </x:c>
      <x:c r="J10" s="285" t="str">
        <x:v>KPIs, alerts, recent activity, pending actions, date / academic-year filters</x:v>
      </x:c>
      <x:c r="K10" s="285" t="str">
        <x:v>MVP</x:v>
      </x:c>
      <x:c r="L10" s="285" t="str">
        <x:v>Dashboard + KPI Cards</x:v>
      </x:c>
      <x:c r="M10" s="285" t="str">
        <x:v>Preserve existing role permissions, APIs and workflows; design reusable responsive UI.</x:v>
      </x:c>
      <x:c r="N10" s="226"/>
      <x:c r="O10" s="226"/>
      <x:c r="P10" s="226"/>
      <x:c r="Q10" s="226"/>
      <x:c r="R10" s="226"/>
      <x:c r="S10" s="226"/>
      <x:c r="T10" s="226"/>
      <x:c r="U10" s="226"/>
      <x:c r="V10" s="226"/>
      <x:c r="W10" s="226"/>
      <x:c r="X10" s="226"/>
      <x:c r="Y10" s="226"/>
      <x:c r="Z10" s="226"/>
    </x:row>
    <x:row r="11">
      <x:c r="A11" s="285" t="str">
        <x:v>SCR-010</x:v>
      </x:c>
      <x:c r="B11" s="285" t="str">
        <x:v>Super Admin / SaaS Administration</x:v>
      </x:c>
      <x:c r="C11" s="285" t="str">
        <x:v>Super Admin</x:v>
      </x:c>
      <x:c r="D11" s="285" t="str">
        <x:v>Organizations List</x:v>
      </x:c>
      <x:c r="E11" s="285" t="str">
        <x:v>Super Admin</x:v>
      </x:c>
      <x:c r="F11" s="285" t="str">
        <x:v>Super Admin Portal</x:v>
      </x:c>
      <x:c r="G11" s="285" t="str">
        <x:v>List / Management</x:v>
      </x:c>
      <x:c r="H11" s="285" t="str">
        <x:v>Search, filter and manage records for organizations list.</x:v>
      </x:c>
      <x:c r="I11" s="285" t="str">
        <x:v>Search, Filter, Sort, Open record</x:v>
      </x:c>
      <x:c r="J11" s="285" t="str">
        <x:v>Name / title, code, academic year, status, owner, dates, remarks</x:v>
      </x:c>
      <x:c r="K11" s="285" t="str">
        <x:v>MVP</x:v>
      </x:c>
      <x:c r="L11" s="285" t="str">
        <x:v>Search + Filter + Data Table</x:v>
      </x:c>
      <x:c r="M11" s="285" t="str">
        <x:v>Preserve existing role permissions, APIs and workflows; design reusable responsive UI.</x:v>
      </x:c>
      <x:c r="N11" s="226"/>
      <x:c r="O11" s="226"/>
      <x:c r="P11" s="226"/>
      <x:c r="Q11" s="226"/>
      <x:c r="R11" s="226"/>
      <x:c r="S11" s="226"/>
      <x:c r="T11" s="226"/>
      <x:c r="U11" s="226"/>
      <x:c r="V11" s="226"/>
      <x:c r="W11" s="226"/>
      <x:c r="X11" s="226"/>
      <x:c r="Y11" s="226"/>
      <x:c r="Z11" s="226"/>
    </x:row>
    <x:row r="12">
      <x:c r="A12" s="285" t="str">
        <x:v>SCR-011</x:v>
      </x:c>
      <x:c r="B12" s="285" t="str">
        <x:v>Super Admin / SaaS Administration</x:v>
      </x:c>
      <x:c r="C12" s="285" t="str">
        <x:v>Super Admin</x:v>
      </x:c>
      <x:c r="D12" s="285" t="str">
        <x:v>Add Organization</x:v>
      </x:c>
      <x:c r="E12" s="285" t="str">
        <x:v>Super Admin</x:v>
      </x:c>
      <x:c r="F12" s="285" t="str">
        <x:v>Super Admin Portal</x:v>
      </x:c>
      <x:c r="G12" s="285" t="str">
        <x:v>Create / Transaction</x:v>
      </x:c>
      <x:c r="H12" s="285" t="str">
        <x:v>Capture or process the add organization workflow while enforcing school rules and validations.</x:v>
      </x:c>
      <x:c r="I12" s="285" t="str">
        <x:v>Create, Save, Validate, Cancel</x:v>
      </x:c>
      <x:c r="J12" s="285" t="str">
        <x:v>Name / title, code, academic year, status, owner, dates, remarks</x:v>
      </x:c>
      <x:c r="K12" s="285" t="str">
        <x:v>MVP</x:v>
      </x:c>
      <x:c r="L12" s="285" t="str">
        <x:v>Form / Wizard</x:v>
      </x:c>
      <x:c r="M12" s="285" t="str">
        <x:v>Preserve existing role permissions, APIs and workflows; design reusable responsive UI.</x:v>
      </x:c>
      <x:c r="N12" s="226"/>
      <x:c r="O12" s="226"/>
      <x:c r="P12" s="226"/>
      <x:c r="Q12" s="226"/>
      <x:c r="R12" s="226"/>
      <x:c r="S12" s="226"/>
      <x:c r="T12" s="226"/>
      <x:c r="U12" s="226"/>
      <x:c r="V12" s="226"/>
      <x:c r="W12" s="226"/>
      <x:c r="X12" s="226"/>
      <x:c r="Y12" s="226"/>
      <x:c r="Z12" s="226"/>
    </x:row>
    <x:row r="13">
      <x:c r="A13" s="285" t="str">
        <x:v>SCR-012</x:v>
      </x:c>
      <x:c r="B13" s="285" t="str">
        <x:v>Super Admin / SaaS Administration</x:v>
      </x:c>
      <x:c r="C13" s="285" t="str">
        <x:v>Super Admin</x:v>
      </x:c>
      <x:c r="D13" s="285" t="str">
        <x:v>Organization Details</x:v>
      </x:c>
      <x:c r="E13" s="285" t="str">
        <x:v>Super Admin</x:v>
      </x:c>
      <x:c r="F13" s="285" t="str">
        <x:v>Super Admin Portal</x:v>
      </x:c>
      <x:c r="G13" s="285" t="str">
        <x:v>Detail / Profile</x:v>
      </x:c>
      <x:c r="H13" s="285" t="str">
        <x:v>Show the complete record and related activity for organization details in one structured view.</x:v>
      </x:c>
      <x:c r="I13" s="285" t="str">
        <x:v>View, Edit, Update, View activity</x:v>
      </x:c>
      <x:c r="J13" s="285" t="str">
        <x:v>Name / title, code, academic year, status, owner, dates, remarks</x:v>
      </x:c>
      <x:c r="K13" s="285" t="str">
        <x:v>Phase 2</x:v>
      </x:c>
      <x:c r="L13" s="285" t="str">
        <x:v>Profile / Detail + Tabs</x:v>
      </x:c>
      <x:c r="M13" s="285" t="str">
        <x:v>Preserve existing role permissions, APIs and workflows; design reusable responsive UI.</x:v>
      </x:c>
      <x:c r="N13" s="226"/>
      <x:c r="O13" s="226"/>
      <x:c r="P13" s="226"/>
      <x:c r="Q13" s="226"/>
      <x:c r="R13" s="226"/>
      <x:c r="S13" s="226"/>
      <x:c r="T13" s="226"/>
      <x:c r="U13" s="226"/>
      <x:c r="V13" s="226"/>
      <x:c r="W13" s="226"/>
      <x:c r="X13" s="226"/>
      <x:c r="Y13" s="226"/>
      <x:c r="Z13" s="226"/>
    </x:row>
    <x:row r="14">
      <x:c r="A14" s="285" t="str">
        <x:v>SCR-013</x:v>
      </x:c>
      <x:c r="B14" s="285" t="str">
        <x:v>Super Admin / SaaS Administration</x:v>
      </x:c>
      <x:c r="C14" s="285" t="str">
        <x:v>Super Admin</x:v>
      </x:c>
      <x:c r="D14" s="285" t="str">
        <x:v>Subscription Plans</x:v>
      </x:c>
      <x:c r="E14" s="285" t="str">
        <x:v>Super Admin</x:v>
      </x:c>
      <x:c r="F14" s="285" t="str">
        <x:v>Super Admin Portal</x:v>
      </x:c>
      <x:c r="G14" s="285" t="str">
        <x:v>Workflow / Management</x:v>
      </x:c>
      <x:c r="H14" s="285" t="str">
        <x:v>Manage the end-to-end subscription plans workflow within super admin / saas administration.</x:v>
      </x:c>
      <x:c r="I14" s="285" t="str">
        <x:v>View, Create / Update, Filter, Export / Print</x:v>
      </x:c>
      <x:c r="J14" s="285" t="str">
        <x:v>Name / title, code, academic year, status, owner, dates, remarks</x:v>
      </x:c>
      <x:c r="K14" s="285" t="str">
        <x:v>Phase 2</x:v>
      </x:c>
      <x:c r="L14" s="285" t="str">
        <x:v>Workflow / Approval / Detail</x:v>
      </x:c>
      <x:c r="M14" s="285" t="str">
        <x:v>Preserve existing role permissions, APIs and workflows; design reusable responsive UI.</x:v>
      </x:c>
      <x:c r="N14" s="226"/>
      <x:c r="O14" s="226"/>
      <x:c r="P14" s="226"/>
      <x:c r="Q14" s="226"/>
      <x:c r="R14" s="226"/>
      <x:c r="S14" s="226"/>
      <x:c r="T14" s="226"/>
      <x:c r="U14" s="226"/>
      <x:c r="V14" s="226"/>
      <x:c r="W14" s="226"/>
      <x:c r="X14" s="226"/>
      <x:c r="Y14" s="226"/>
      <x:c r="Z14" s="226"/>
    </x:row>
    <x:row r="15">
      <x:c r="A15" s="285" t="str">
        <x:v>SCR-014</x:v>
      </x:c>
      <x:c r="B15" s="285" t="str">
        <x:v>Super Admin / SaaS Administration</x:v>
      </x:c>
      <x:c r="C15" s="285" t="str">
        <x:v>Super Admin</x:v>
      </x:c>
      <x:c r="D15" s="285" t="str">
        <x:v>Subscriptions &amp; Billing</x:v>
      </x:c>
      <x:c r="E15" s="285" t="str">
        <x:v>Super Admin</x:v>
      </x:c>
      <x:c r="F15" s="285" t="str">
        <x:v>Super Admin Portal</x:v>
      </x:c>
      <x:c r="G15" s="285" t="str">
        <x:v>Workflow / Management</x:v>
      </x:c>
      <x:c r="H15" s="285" t="str">
        <x:v>Manage the end-to-end subscriptions &amp; billing workflow within super admin / saas administration.</x:v>
      </x:c>
      <x:c r="I15" s="285" t="str">
        <x:v>View, Create / Update, Filter, Export / Print</x:v>
      </x:c>
      <x:c r="J15" s="285" t="str">
        <x:v>Name / title, code, academic year, status, owner, dates, remarks</x:v>
      </x:c>
      <x:c r="K15" s="285" t="str">
        <x:v>Phase 2</x:v>
      </x:c>
      <x:c r="L15" s="285" t="str">
        <x:v>Workflow / Approval / Detail</x:v>
      </x:c>
      <x:c r="M15" s="285" t="str">
        <x:v>Preserve existing role permissions, APIs and workflows; design reusable responsive UI.</x:v>
      </x:c>
      <x:c r="N15" s="226"/>
      <x:c r="O15" s="226"/>
      <x:c r="P15" s="226"/>
      <x:c r="Q15" s="226"/>
      <x:c r="R15" s="226"/>
      <x:c r="S15" s="226"/>
      <x:c r="T15" s="226"/>
      <x:c r="U15" s="226"/>
      <x:c r="V15" s="226"/>
      <x:c r="W15" s="226"/>
      <x:c r="X15" s="226"/>
      <x:c r="Y15" s="226"/>
      <x:c r="Z15" s="226"/>
    </x:row>
    <x:row r="16">
      <x:c r="A16" s="285" t="str">
        <x:v>SCR-015</x:v>
      </x:c>
      <x:c r="B16" s="285" t="str">
        <x:v>Super Admin / SaaS Administration</x:v>
      </x:c>
      <x:c r="C16" s="285" t="str">
        <x:v>Super Admin</x:v>
      </x:c>
      <x:c r="D16" s="285" t="str">
        <x:v>Tenant Usage &amp; Limits</x:v>
      </x:c>
      <x:c r="E16" s="285" t="str">
        <x:v>Super Admin</x:v>
      </x:c>
      <x:c r="F16" s="285" t="str">
        <x:v>Super Admin Portal</x:v>
      </x:c>
      <x:c r="G16" s="285" t="str">
        <x:v>Report / Analytics</x:v>
      </x:c>
      <x:c r="H16" s="285" t="str">
        <x:v>Analyze tenant usage &amp; limits data using filters, summaries and export-ready results.</x:v>
      </x:c>
      <x:c r="I16" s="285" t="str">
        <x:v>Filter, Drill down, Export, Print</x:v>
      </x:c>
      <x:c r="J16" s="285" t="str">
        <x:v>Name / title, code, academic year, status, owner, dates, remarks</x:v>
      </x:c>
      <x:c r="K16" s="285" t="str">
        <x:v>Phase 2</x:v>
      </x:c>
      <x:c r="L16" s="285" t="str">
        <x:v>Filters + KPI + Table / Chart</x:v>
      </x:c>
      <x:c r="M16" s="285" t="str">
        <x:v>Preserve existing role permissions, APIs and workflows; design reusable responsive UI.</x:v>
      </x:c>
      <x:c r="N16" s="226"/>
      <x:c r="O16" s="226"/>
      <x:c r="P16" s="226"/>
      <x:c r="Q16" s="226"/>
      <x:c r="R16" s="226"/>
      <x:c r="S16" s="226"/>
      <x:c r="T16" s="226"/>
      <x:c r="U16" s="226"/>
      <x:c r="V16" s="226"/>
      <x:c r="W16" s="226"/>
      <x:c r="X16" s="226"/>
      <x:c r="Y16" s="226"/>
      <x:c r="Z16" s="226"/>
    </x:row>
    <x:row r="17">
      <x:c r="A17" s="285" t="str">
        <x:v>SCR-016</x:v>
      </x:c>
      <x:c r="B17" s="285" t="str">
        <x:v>Super Admin / SaaS Administration</x:v>
      </x:c>
      <x:c r="C17" s="285" t="str">
        <x:v>Super Admin</x:v>
      </x:c>
      <x:c r="D17" s="285" t="str">
        <x:v>Platform Users</x:v>
      </x:c>
      <x:c r="E17" s="285" t="str">
        <x:v>Super Admin</x:v>
      </x:c>
      <x:c r="F17" s="285" t="str">
        <x:v>Super Admin Portal</x:v>
      </x:c>
      <x:c r="G17" s="285" t="str">
        <x:v>Workflow / Management</x:v>
      </x:c>
      <x:c r="H17" s="285" t="str">
        <x:v>Manage the end-to-end platform users workflow within super admin / saas administration.</x:v>
      </x:c>
      <x:c r="I17" s="285" t="str">
        <x:v>View, Create / Update, Filter, Export / Print</x:v>
      </x:c>
      <x:c r="J17" s="285" t="str">
        <x:v>Name / title, code, academic year, status, owner, dates, remarks</x:v>
      </x:c>
      <x:c r="K17" s="285" t="str">
        <x:v>Phase 3</x:v>
      </x:c>
      <x:c r="L17" s="285" t="str">
        <x:v>Workflow / Approval / Detail</x:v>
      </x:c>
      <x:c r="M17" s="285" t="str">
        <x:v>Preserve existing role permissions, APIs and workflows; design reusable responsive UI.</x:v>
      </x:c>
      <x:c r="N17" s="226"/>
      <x:c r="O17" s="226"/>
      <x:c r="P17" s="226"/>
      <x:c r="Q17" s="226"/>
      <x:c r="R17" s="226"/>
      <x:c r="S17" s="226"/>
      <x:c r="T17" s="226"/>
      <x:c r="U17" s="226"/>
      <x:c r="V17" s="226"/>
      <x:c r="W17" s="226"/>
      <x:c r="X17" s="226"/>
      <x:c r="Y17" s="226"/>
      <x:c r="Z17" s="226"/>
    </x:row>
    <x:row r="18">
      <x:c r="A18" s="285" t="str">
        <x:v>SCR-017</x:v>
      </x:c>
      <x:c r="B18" s="285" t="str">
        <x:v>Super Admin / SaaS Administration</x:v>
      </x:c>
      <x:c r="C18" s="285" t="str">
        <x:v>Super Admin</x:v>
      </x:c>
      <x:c r="D18" s="285" t="str">
        <x:v>Support Tickets</x:v>
      </x:c>
      <x:c r="E18" s="285" t="str">
        <x:v>Super Admin</x:v>
      </x:c>
      <x:c r="F18" s="285" t="str">
        <x:v>Super Admin Portal</x:v>
      </x:c>
      <x:c r="G18" s="285" t="str">
        <x:v>Workflow / Management</x:v>
      </x:c>
      <x:c r="H18" s="285" t="str">
        <x:v>Manage the end-to-end support tickets workflow within super admin / saas administration.</x:v>
      </x:c>
      <x:c r="I18" s="285" t="str">
        <x:v>View, Create / Update, Filter, Export / Print</x:v>
      </x:c>
      <x:c r="J18" s="285" t="str">
        <x:v>Name / title, code, academic year, status, owner, dates, remarks</x:v>
      </x:c>
      <x:c r="K18" s="285" t="str">
        <x:v>Phase 3</x:v>
      </x:c>
      <x:c r="L18" s="285" t="str">
        <x:v>Workflow / Approval / Detail</x:v>
      </x:c>
      <x:c r="M18" s="285" t="str">
        <x:v>Preserve existing role permissions, APIs and workflows; design reusable responsive UI.</x:v>
      </x:c>
      <x:c r="N18" s="226"/>
      <x:c r="O18" s="226"/>
      <x:c r="P18" s="226"/>
      <x:c r="Q18" s="226"/>
      <x:c r="R18" s="226"/>
      <x:c r="S18" s="226"/>
      <x:c r="T18" s="226"/>
      <x:c r="U18" s="226"/>
      <x:c r="V18" s="226"/>
      <x:c r="W18" s="226"/>
      <x:c r="X18" s="226"/>
      <x:c r="Y18" s="226"/>
      <x:c r="Z18" s="226"/>
    </x:row>
    <x:row r="19">
      <x:c r="A19" s="285" t="str">
        <x:v>SCR-018</x:v>
      </x:c>
      <x:c r="B19" s="285" t="str">
        <x:v>Super Admin / SaaS Administration</x:v>
      </x:c>
      <x:c r="C19" s="285" t="str">
        <x:v>Super Admin</x:v>
      </x:c>
      <x:c r="D19" s="285" t="str">
        <x:v>System Health &amp; Service Status</x:v>
      </x:c>
      <x:c r="E19" s="285" t="str">
        <x:v>Super Admin</x:v>
      </x:c>
      <x:c r="F19" s="285" t="str">
        <x:v>Super Admin Portal</x:v>
      </x:c>
      <x:c r="G19" s="285" t="str">
        <x:v>Workflow / Management</x:v>
      </x:c>
      <x:c r="H19" s="285" t="str">
        <x:v>Manage the end-to-end system health &amp; service status workflow within super admin / saas administration.</x:v>
      </x:c>
      <x:c r="I19" s="285" t="str">
        <x:v>View, Create / Update, Filter, Export / Print</x:v>
      </x:c>
      <x:c r="J19" s="285" t="str">
        <x:v>Student, blood group, allergy, condition, visit date, complaint, treatment, emergency contact</x:v>
      </x:c>
      <x:c r="K19" s="285" t="str">
        <x:v>Phase 3</x:v>
      </x:c>
      <x:c r="L19" s="285" t="str">
        <x:v>Workflow / Approval / Detail</x:v>
      </x:c>
      <x:c r="M19" s="285" t="str">
        <x:v>Preserve existing role permissions, APIs and workflows; design reusable responsive UI.</x:v>
      </x:c>
      <x:c r="N19" s="226"/>
      <x:c r="O19" s="226"/>
      <x:c r="P19" s="226"/>
      <x:c r="Q19" s="226"/>
      <x:c r="R19" s="226"/>
      <x:c r="S19" s="226"/>
      <x:c r="T19" s="226"/>
      <x:c r="U19" s="226"/>
      <x:c r="V19" s="226"/>
      <x:c r="W19" s="226"/>
      <x:c r="X19" s="226"/>
      <x:c r="Y19" s="226"/>
      <x:c r="Z19" s="226"/>
    </x:row>
    <x:row r="20">
      <x:c r="A20" s="285" t="str">
        <x:v>SCR-019</x:v>
      </x:c>
      <x:c r="B20" s="285" t="str">
        <x:v>Super Admin / SaaS Administration</x:v>
      </x:c>
      <x:c r="C20" s="285" t="str">
        <x:v>Super Admin</x:v>
      </x:c>
      <x:c r="D20" s="285" t="str">
        <x:v>Global Announcements</x:v>
      </x:c>
      <x:c r="E20" s="285" t="str">
        <x:v>Super Admin</x:v>
      </x:c>
      <x:c r="F20" s="285" t="str">
        <x:v>Super Admin Portal</x:v>
      </x:c>
      <x:c r="G20" s="285" t="str">
        <x:v>List / Management</x:v>
      </x:c>
      <x:c r="H20" s="285" t="str">
        <x:v>Search, filter and manage records for global announcements.</x:v>
      </x:c>
      <x:c r="I20" s="285" t="str">
        <x:v>Search, Filter, Sort, Open record</x:v>
      </x:c>
      <x:c r="J20" s="285" t="str">
        <x:v>Name / title, code, academic year, status, owner, dates, remarks</x:v>
      </x:c>
      <x:c r="K20" s="285" t="str">
        <x:v>Phase 3</x:v>
      </x:c>
      <x:c r="L20" s="285" t="str">
        <x:v>Search + Filter + Data Table</x:v>
      </x:c>
      <x:c r="M20" s="285" t="str">
        <x:v>Preserve existing role permissions, APIs and workflows; design reusable responsive UI.</x:v>
      </x:c>
      <x:c r="N20" s="226"/>
      <x:c r="O20" s="226"/>
      <x:c r="P20" s="226"/>
      <x:c r="Q20" s="226"/>
      <x:c r="R20" s="226"/>
      <x:c r="S20" s="226"/>
      <x:c r="T20" s="226"/>
      <x:c r="U20" s="226"/>
      <x:c r="V20" s="226"/>
      <x:c r="W20" s="226"/>
      <x:c r="X20" s="226"/>
      <x:c r="Y20" s="226"/>
      <x:c r="Z20" s="226"/>
    </x:row>
    <x:row r="21">
      <x:c r="A21" s="285" t="str">
        <x:v>SCR-020</x:v>
      </x:c>
      <x:c r="B21" s="285" t="str">
        <x:v>Super Admin / SaaS Administration</x:v>
      </x:c>
      <x:c r="C21" s="285" t="str">
        <x:v>Super Admin</x:v>
      </x:c>
      <x:c r="D21" s="285" t="str">
        <x:v>Platform Settings</x:v>
      </x:c>
      <x:c r="E21" s="285" t="str">
        <x:v>Super Admin</x:v>
      </x:c>
      <x:c r="F21" s="285" t="str">
        <x:v>Super Admin Portal</x:v>
      </x:c>
      <x:c r="G21" s="285" t="str">
        <x:v>Configuration</x:v>
      </x:c>
      <x:c r="H21" s="285" t="str">
        <x:v>Configure platform settings rules and master data used across the ERP.</x:v>
      </x:c>
      <x:c r="I21" s="285" t="str">
        <x:v>View, Create / Update, Filter, Export / Print</x:v>
      </x:c>
      <x:c r="J21" s="285" t="str">
        <x:v>Name / title, code, academic year, status, owner, dates, remarks</x:v>
      </x:c>
      <x:c r="K21" s="285" t="str">
        <x:v>Phase 3</x:v>
      </x:c>
      <x:c r="L21" s="285" t="str">
        <x:v>Settings / Master Data</x:v>
      </x:c>
      <x:c r="M21" s="285" t="str">
        <x:v>Preserve existing role permissions, APIs and workflows; design reusable responsive UI.</x:v>
      </x:c>
      <x:c r="N21" s="226"/>
      <x:c r="O21" s="226"/>
      <x:c r="P21" s="226"/>
      <x:c r="Q21" s="226"/>
      <x:c r="R21" s="226"/>
      <x:c r="S21" s="226"/>
      <x:c r="T21" s="226"/>
      <x:c r="U21" s="226"/>
      <x:c r="V21" s="226"/>
      <x:c r="W21" s="226"/>
      <x:c r="X21" s="226"/>
      <x:c r="Y21" s="226"/>
      <x:c r="Z21" s="226"/>
    </x:row>
    <x:row r="22">
      <x:c r="A22" s="285" t="str">
        <x:v>SCR-021</x:v>
      </x:c>
      <x:c r="B22" s="285" t="str">
        <x:v>Organization / School / Branch Setup</x:v>
      </x:c>
      <x:c r="C22" s="285" t="str">
        <x:v>Organization</x:v>
      </x:c>
      <x:c r="D22" s="285" t="str">
        <x:v>Organization Profile</x:v>
      </x:c>
      <x:c r="E22" s="285" t="str">
        <x:v>Super Admin, Organization Admin, School Admin</x:v>
      </x:c>
      <x:c r="F22" s="285" t="str">
        <x:v>School Admin / Shared</x:v>
      </x:c>
      <x:c r="G22" s="285" t="str">
        <x:v>Detail / Profile</x:v>
      </x:c>
      <x:c r="H22" s="285" t="str">
        <x:v>Show the complete record and related activity for organization profile in one structured view.</x:v>
      </x:c>
      <x:c r="I22" s="285" t="str">
        <x:v>View, Edit, Update, View activity</x:v>
      </x:c>
      <x:c r="J22" s="285" t="str">
        <x:v>Name / title, code, academic year, status, owner, dates, remarks</x:v>
      </x:c>
      <x:c r="K22" s="285" t="str">
        <x:v>MVP</x:v>
      </x:c>
      <x:c r="L22" s="285" t="str">
        <x:v>Profile / Detail + Tabs</x:v>
      </x:c>
      <x:c r="M22" s="285" t="str">
        <x:v>Preserve existing role permissions, APIs and workflows; design reusable responsive UI.</x:v>
      </x:c>
      <x:c r="N22" s="226"/>
      <x:c r="O22" s="226"/>
      <x:c r="P22" s="226"/>
      <x:c r="Q22" s="226"/>
      <x:c r="R22" s="226"/>
      <x:c r="S22" s="226"/>
      <x:c r="T22" s="226"/>
      <x:c r="U22" s="226"/>
      <x:c r="V22" s="226"/>
      <x:c r="W22" s="226"/>
      <x:c r="X22" s="226"/>
      <x:c r="Y22" s="226"/>
      <x:c r="Z22" s="226"/>
    </x:row>
    <x:row r="23">
      <x:c r="A23" s="285" t="str">
        <x:v>SCR-022</x:v>
      </x:c>
      <x:c r="B23" s="285" t="str">
        <x:v>Organization / School / Branch Setup</x:v>
      </x:c>
      <x:c r="C23" s="285" t="str">
        <x:v>Organization</x:v>
      </x:c>
      <x:c r="D23" s="285" t="str">
        <x:v>Schools List</x:v>
      </x:c>
      <x:c r="E23" s="285" t="str">
        <x:v>Super Admin, Organization Admin, School Admin</x:v>
      </x:c>
      <x:c r="F23" s="285" t="str">
        <x:v>School Admin / Shared</x:v>
      </x:c>
      <x:c r="G23" s="285" t="str">
        <x:v>List / Management</x:v>
      </x:c>
      <x:c r="H23" s="285" t="str">
        <x:v>Search, filter and manage records for schools list.</x:v>
      </x:c>
      <x:c r="I23" s="285" t="str">
        <x:v>Search, Filter, Sort, Open record</x:v>
      </x:c>
      <x:c r="J23" s="285" t="str">
        <x:v>Name / title, code, academic year, status, owner, dates, remarks</x:v>
      </x:c>
      <x:c r="K23" s="285" t="str">
        <x:v>MVP</x:v>
      </x:c>
      <x:c r="L23" s="285" t="str">
        <x:v>Search + Filter + Data Table</x:v>
      </x:c>
      <x:c r="M23" s="285" t="str">
        <x:v>Preserve existing role permissions, APIs and workflows; design reusable responsive UI.</x:v>
      </x:c>
      <x:c r="N23" s="226"/>
      <x:c r="O23" s="226"/>
      <x:c r="P23" s="226"/>
      <x:c r="Q23" s="226"/>
      <x:c r="R23" s="226"/>
      <x:c r="S23" s="226"/>
      <x:c r="T23" s="226"/>
      <x:c r="U23" s="226"/>
      <x:c r="V23" s="226"/>
      <x:c r="W23" s="226"/>
      <x:c r="X23" s="226"/>
      <x:c r="Y23" s="226"/>
      <x:c r="Z23" s="226"/>
    </x:row>
    <x:row r="24">
      <x:c r="A24" s="285" t="str">
        <x:v>SCR-023</x:v>
      </x:c>
      <x:c r="B24" s="285" t="str">
        <x:v>Organization / School / Branch Setup</x:v>
      </x:c>
      <x:c r="C24" s="285" t="str">
        <x:v>Organization</x:v>
      </x:c>
      <x:c r="D24" s="285" t="str">
        <x:v>Add School</x:v>
      </x:c>
      <x:c r="E24" s="285" t="str">
        <x:v>Super Admin, Organization Admin, School Admin</x:v>
      </x:c>
      <x:c r="F24" s="285" t="str">
        <x:v>School Admin / Shared</x:v>
      </x:c>
      <x:c r="G24" s="285" t="str">
        <x:v>Create / Transaction</x:v>
      </x:c>
      <x:c r="H24" s="285" t="str">
        <x:v>Capture or process the add school workflow while enforcing school rules and validations.</x:v>
      </x:c>
      <x:c r="I24" s="285" t="str">
        <x:v>Create, Save, Validate, Cancel</x:v>
      </x:c>
      <x:c r="J24" s="285" t="str">
        <x:v>Name / title, code, academic year, status, owner, dates, remarks</x:v>
      </x:c>
      <x:c r="K24" s="285" t="str">
        <x:v>MVP</x:v>
      </x:c>
      <x:c r="L24" s="285" t="str">
        <x:v>Form / Wizard</x:v>
      </x:c>
      <x:c r="M24" s="285" t="str">
        <x:v>Preserve existing role permissions, APIs and workflows; design reusable responsive UI.</x:v>
      </x:c>
      <x:c r="N24" s="226"/>
      <x:c r="O24" s="226"/>
      <x:c r="P24" s="226"/>
      <x:c r="Q24" s="226"/>
      <x:c r="R24" s="226"/>
      <x:c r="S24" s="226"/>
      <x:c r="T24" s="226"/>
      <x:c r="U24" s="226"/>
      <x:c r="V24" s="226"/>
      <x:c r="W24" s="226"/>
      <x:c r="X24" s="226"/>
      <x:c r="Y24" s="226"/>
      <x:c r="Z24" s="226"/>
    </x:row>
    <x:row r="25">
      <x:c r="A25" s="285" t="str">
        <x:v>SCR-024</x:v>
      </x:c>
      <x:c r="B25" s="285" t="str">
        <x:v>Organization / School / Branch Setup</x:v>
      </x:c>
      <x:c r="C25" s="285" t="str">
        <x:v>Organization</x:v>
      </x:c>
      <x:c r="D25" s="285" t="str">
        <x:v>School Details</x:v>
      </x:c>
      <x:c r="E25" s="285" t="str">
        <x:v>Super Admin, Organization Admin, School Admin</x:v>
      </x:c>
      <x:c r="F25" s="285" t="str">
        <x:v>School Admin / Shared</x:v>
      </x:c>
      <x:c r="G25" s="285" t="str">
        <x:v>Detail / Profile</x:v>
      </x:c>
      <x:c r="H25" s="285" t="str">
        <x:v>Show the complete record and related activity for school details in one structured view.</x:v>
      </x:c>
      <x:c r="I25" s="285" t="str">
        <x:v>View, Edit, Update, View activity</x:v>
      </x:c>
      <x:c r="J25" s="285" t="str">
        <x:v>Name / title, code, academic year, status, owner, dates, remarks</x:v>
      </x:c>
      <x:c r="K25" s="285" t="str">
        <x:v>MVP</x:v>
      </x:c>
      <x:c r="L25" s="285" t="str">
        <x:v>Profile / Detail + Tabs</x:v>
      </x:c>
      <x:c r="M25" s="285" t="str">
        <x:v>Preserve existing role permissions, APIs and workflows; design reusable responsive UI.</x:v>
      </x:c>
      <x:c r="N25" s="226"/>
      <x:c r="O25" s="226"/>
      <x:c r="P25" s="226"/>
      <x:c r="Q25" s="226"/>
      <x:c r="R25" s="226"/>
      <x:c r="S25" s="226"/>
      <x:c r="T25" s="226"/>
      <x:c r="U25" s="226"/>
      <x:c r="V25" s="226"/>
      <x:c r="W25" s="226"/>
      <x:c r="X25" s="226"/>
      <x:c r="Y25" s="226"/>
      <x:c r="Z25" s="226"/>
    </x:row>
    <x:row r="26">
      <x:c r="A26" s="285" t="str">
        <x:v>SCR-025</x:v>
      </x:c>
      <x:c r="B26" s="285" t="str">
        <x:v>Organization / School / Branch Setup</x:v>
      </x:c>
      <x:c r="C26" s="285" t="str">
        <x:v>Organization</x:v>
      </x:c>
      <x:c r="D26" s="285" t="str">
        <x:v>Branches List</x:v>
      </x:c>
      <x:c r="E26" s="285" t="str">
        <x:v>Super Admin, Organization Admin, School Admin</x:v>
      </x:c>
      <x:c r="F26" s="285" t="str">
        <x:v>School Admin / Shared</x:v>
      </x:c>
      <x:c r="G26" s="285" t="str">
        <x:v>List / Management</x:v>
      </x:c>
      <x:c r="H26" s="285" t="str">
        <x:v>Search, filter and manage records for branches list.</x:v>
      </x:c>
      <x:c r="I26" s="285" t="str">
        <x:v>Search, Filter, Sort, Open record</x:v>
      </x:c>
      <x:c r="J26" s="285" t="str">
        <x:v>Name / title, code, academic year, status, owner, dates, remarks</x:v>
      </x:c>
      <x:c r="K26" s="285" t="str">
        <x:v>MVP</x:v>
      </x:c>
      <x:c r="L26" s="285" t="str">
        <x:v>Search + Filter + Data Table</x:v>
      </x:c>
      <x:c r="M26" s="285" t="str">
        <x:v>Preserve existing role permissions, APIs and workflows; design reusable responsive UI.</x:v>
      </x:c>
      <x:c r="N26" s="226"/>
      <x:c r="O26" s="226"/>
      <x:c r="P26" s="226"/>
      <x:c r="Q26" s="226"/>
      <x:c r="R26" s="226"/>
      <x:c r="S26" s="226"/>
      <x:c r="T26" s="226"/>
      <x:c r="U26" s="226"/>
      <x:c r="V26" s="226"/>
      <x:c r="W26" s="226"/>
      <x:c r="X26" s="226"/>
      <x:c r="Y26" s="226"/>
      <x:c r="Z26" s="226"/>
    </x:row>
    <x:row r="27">
      <x:c r="A27" s="285" t="str">
        <x:v>SCR-026</x:v>
      </x:c>
      <x:c r="B27" s="285" t="str">
        <x:v>Organization / School / Branch Setup</x:v>
      </x:c>
      <x:c r="C27" s="285" t="str">
        <x:v>Organization</x:v>
      </x:c>
      <x:c r="D27" s="285" t="str">
        <x:v>Add Branch</x:v>
      </x:c>
      <x:c r="E27" s="285" t="str">
        <x:v>Super Admin, Organization Admin, School Admin</x:v>
      </x:c>
      <x:c r="F27" s="285" t="str">
        <x:v>School Admin / Shared</x:v>
      </x:c>
      <x:c r="G27" s="285" t="str">
        <x:v>Create / Transaction</x:v>
      </x:c>
      <x:c r="H27" s="285" t="str">
        <x:v>Capture or process the add branch workflow while enforcing school rules and validations.</x:v>
      </x:c>
      <x:c r="I27" s="285" t="str">
        <x:v>Create, Save, Validate, Cancel</x:v>
      </x:c>
      <x:c r="J27" s="285" t="str">
        <x:v>Name / title, code, academic year, status, owner, dates, remarks</x:v>
      </x:c>
      <x:c r="K27" s="285" t="str">
        <x:v>MVP</x:v>
      </x:c>
      <x:c r="L27" s="285" t="str">
        <x:v>Form / Wizard</x:v>
      </x:c>
      <x:c r="M27" s="285" t="str">
        <x:v>Preserve existing role permissions, APIs and workflows; design reusable responsive UI.</x:v>
      </x:c>
      <x:c r="N27" s="226"/>
      <x:c r="O27" s="226"/>
      <x:c r="P27" s="226"/>
      <x:c r="Q27" s="226"/>
      <x:c r="R27" s="226"/>
      <x:c r="S27" s="226"/>
      <x:c r="T27" s="226"/>
      <x:c r="U27" s="226"/>
      <x:c r="V27" s="226"/>
      <x:c r="W27" s="226"/>
      <x:c r="X27" s="226"/>
      <x:c r="Y27" s="226"/>
      <x:c r="Z27" s="226"/>
    </x:row>
    <x:row r="28">
      <x:c r="A28" s="285" t="str">
        <x:v>SCR-027</x:v>
      </x:c>
      <x:c r="B28" s="285" t="str">
        <x:v>Organization / School / Branch Setup</x:v>
      </x:c>
      <x:c r="C28" s="285" t="str">
        <x:v>Organization</x:v>
      </x:c>
      <x:c r="D28" s="285" t="str">
        <x:v>Branch Details</x:v>
      </x:c>
      <x:c r="E28" s="285" t="str">
        <x:v>Super Admin, Organization Admin, School Admin</x:v>
      </x:c>
      <x:c r="F28" s="285" t="str">
        <x:v>School Admin / Shared</x:v>
      </x:c>
      <x:c r="G28" s="285" t="str">
        <x:v>Detail / Profile</x:v>
      </x:c>
      <x:c r="H28" s="285" t="str">
        <x:v>Show the complete record and related activity for branch details in one structured view.</x:v>
      </x:c>
      <x:c r="I28" s="285" t="str">
        <x:v>View, Edit, Update, View activity</x:v>
      </x:c>
      <x:c r="J28" s="285" t="str">
        <x:v>Name / title, code, academic year, status, owner, dates, remarks</x:v>
      </x:c>
      <x:c r="K28" s="285" t="str">
        <x:v>MVP</x:v>
      </x:c>
      <x:c r="L28" s="285" t="str">
        <x:v>Profile / Detail + Tabs</x:v>
      </x:c>
      <x:c r="M28" s="285" t="str">
        <x:v>Preserve existing role permissions, APIs and workflows; design reusable responsive UI.</x:v>
      </x:c>
      <x:c r="N28" s="226"/>
      <x:c r="O28" s="226"/>
      <x:c r="P28" s="226"/>
      <x:c r="Q28" s="226"/>
      <x:c r="R28" s="226"/>
      <x:c r="S28" s="226"/>
      <x:c r="T28" s="226"/>
      <x:c r="U28" s="226"/>
      <x:c r="V28" s="226"/>
      <x:c r="W28" s="226"/>
      <x:c r="X28" s="226"/>
      <x:c r="Y28" s="226"/>
      <x:c r="Z28" s="226"/>
    </x:row>
    <x:row r="29">
      <x:c r="A29" s="285" t="str">
        <x:v>SCR-028</x:v>
      </x:c>
      <x:c r="B29" s="285" t="str">
        <x:v>Organization / School / Branch Setup</x:v>
      </x:c>
      <x:c r="C29" s="285" t="str">
        <x:v>Organization</x:v>
      </x:c>
      <x:c r="D29" s="285" t="str">
        <x:v>Academic Year Setup</x:v>
      </x:c>
      <x:c r="E29" s="285" t="str">
        <x:v>Super Admin, Organization Admin, School Admin</x:v>
      </x:c>
      <x:c r="F29" s="285" t="str">
        <x:v>School Admin / Shared</x:v>
      </x:c>
      <x:c r="G29" s="285" t="str">
        <x:v>Create / Transaction</x:v>
      </x:c>
      <x:c r="H29" s="285" t="str">
        <x:v>Capture or process the academic year setup workflow while enforcing school rules and validations.</x:v>
      </x:c>
      <x:c r="I29" s="285" t="str">
        <x:v>Create, Save, Validate, Cancel</x:v>
      </x:c>
      <x:c r="J29" s="285" t="str">
        <x:v>Name / title, code, academic year, status, owner, dates, remarks</x:v>
      </x:c>
      <x:c r="K29" s="285" t="str">
        <x:v>MVP</x:v>
      </x:c>
      <x:c r="L29" s="285" t="str">
        <x:v>Form / Wizard</x:v>
      </x:c>
      <x:c r="M29" s="285" t="str">
        <x:v>Preserve existing role permissions, APIs and workflows; design reusable responsive UI.</x:v>
      </x:c>
      <x:c r="N29" s="226"/>
      <x:c r="O29" s="226"/>
      <x:c r="P29" s="226"/>
      <x:c r="Q29" s="226"/>
      <x:c r="R29" s="226"/>
      <x:c r="S29" s="226"/>
      <x:c r="T29" s="226"/>
      <x:c r="U29" s="226"/>
      <x:c r="V29" s="226"/>
      <x:c r="W29" s="226"/>
      <x:c r="X29" s="226"/>
      <x:c r="Y29" s="226"/>
      <x:c r="Z29" s="226"/>
    </x:row>
    <x:row r="30">
      <x:c r="A30" s="285" t="str">
        <x:v>SCR-029</x:v>
      </x:c>
      <x:c r="B30" s="285" t="str">
        <x:v>Organization / School / Branch Setup</x:v>
      </x:c>
      <x:c r="C30" s="285" t="str">
        <x:v>Organization</x:v>
      </x:c>
      <x:c r="D30" s="285" t="str">
        <x:v>Grade / Class Setup</x:v>
      </x:c>
      <x:c r="E30" s="285" t="str">
        <x:v>Super Admin, Organization Admin, School Admin</x:v>
      </x:c>
      <x:c r="F30" s="285" t="str">
        <x:v>School Admin / Shared</x:v>
      </x:c>
      <x:c r="G30" s="285" t="str">
        <x:v>Create / Transaction</x:v>
      </x:c>
      <x:c r="H30" s="285" t="str">
        <x:v>Capture or process the grade / class setup workflow while enforcing school rules and validations.</x:v>
      </x:c>
      <x:c r="I30" s="285" t="str">
        <x:v>Create, Save, Validate, Cancel</x:v>
      </x:c>
      <x:c r="J30" s="285" t="str">
        <x:v>Exam, class, subject, date, max marks, pass marks, score, grade, remarks</x:v>
      </x:c>
      <x:c r="K30" s="285" t="str">
        <x:v>Phase 2</x:v>
      </x:c>
      <x:c r="L30" s="285" t="str">
        <x:v>Form / Wizard</x:v>
      </x:c>
      <x:c r="M30" s="285" t="str">
        <x:v>Preserve existing role permissions, APIs and workflows; design reusable responsive UI.</x:v>
      </x:c>
      <x:c r="N30" s="226"/>
      <x:c r="O30" s="226"/>
      <x:c r="P30" s="226"/>
      <x:c r="Q30" s="226"/>
      <x:c r="R30" s="226"/>
      <x:c r="S30" s="226"/>
      <x:c r="T30" s="226"/>
      <x:c r="U30" s="226"/>
      <x:c r="V30" s="226"/>
      <x:c r="W30" s="226"/>
      <x:c r="X30" s="226"/>
      <x:c r="Y30" s="226"/>
      <x:c r="Z30" s="226"/>
    </x:row>
    <x:row r="31">
      <x:c r="A31" s="285" t="str">
        <x:v>SCR-030</x:v>
      </x:c>
      <x:c r="B31" s="285" t="str">
        <x:v>Organization / School / Branch Setup</x:v>
      </x:c>
      <x:c r="C31" s="285" t="str">
        <x:v>Organization</x:v>
      </x:c>
      <x:c r="D31" s="285" t="str">
        <x:v>Section Setup</x:v>
      </x:c>
      <x:c r="E31" s="285" t="str">
        <x:v>Super Admin, Organization Admin, School Admin</x:v>
      </x:c>
      <x:c r="F31" s="285" t="str">
        <x:v>School Admin / Shared</x:v>
      </x:c>
      <x:c r="G31" s="285" t="str">
        <x:v>Create / Transaction</x:v>
      </x:c>
      <x:c r="H31" s="285" t="str">
        <x:v>Capture or process the section setup workflow while enforcing school rules and validations.</x:v>
      </x:c>
      <x:c r="I31" s="285" t="str">
        <x:v>Create, Save, Validate, Cancel</x:v>
      </x:c>
      <x:c r="J31" s="285" t="str">
        <x:v>Name / title, code, academic year, status, owner, dates, remarks</x:v>
      </x:c>
      <x:c r="K31" s="285" t="str">
        <x:v>Phase 2</x:v>
      </x:c>
      <x:c r="L31" s="285" t="str">
        <x:v>Form / Wizard</x:v>
      </x:c>
      <x:c r="M31" s="285" t="str">
        <x:v>Preserve existing role permissions, APIs and workflows; design reusable responsive UI.</x:v>
      </x:c>
      <x:c r="N31" s="226"/>
      <x:c r="O31" s="226"/>
      <x:c r="P31" s="226"/>
      <x:c r="Q31" s="226"/>
      <x:c r="R31" s="226"/>
      <x:c r="S31" s="226"/>
      <x:c r="T31" s="226"/>
      <x:c r="U31" s="226"/>
      <x:c r="V31" s="226"/>
      <x:c r="W31" s="226"/>
      <x:c r="X31" s="226"/>
      <x:c r="Y31" s="226"/>
      <x:c r="Z31" s="226"/>
    </x:row>
    <x:row r="32">
      <x:c r="A32" s="285" t="str">
        <x:v>SCR-031</x:v>
      </x:c>
      <x:c r="B32" s="285" t="str">
        <x:v>Organization / School / Branch Setup</x:v>
      </x:c>
      <x:c r="C32" s="285" t="str">
        <x:v>Organization</x:v>
      </x:c>
      <x:c r="D32" s="285" t="str">
        <x:v>Department Setup</x:v>
      </x:c>
      <x:c r="E32" s="285" t="str">
        <x:v>Super Admin, Organization Admin, School Admin</x:v>
      </x:c>
      <x:c r="F32" s="285" t="str">
        <x:v>School Admin / Shared</x:v>
      </x:c>
      <x:c r="G32" s="285" t="str">
        <x:v>Create / Transaction</x:v>
      </x:c>
      <x:c r="H32" s="285" t="str">
        <x:v>Capture or process the department setup workflow while enforcing school rules and validations.</x:v>
      </x:c>
      <x:c r="I32" s="285" t="str">
        <x:v>Create, Save, Validate, Cancel</x:v>
      </x:c>
      <x:c r="J32" s="285" t="str">
        <x:v>Name / title, code, academic year, status, owner, dates, remarks</x:v>
      </x:c>
      <x:c r="K32" s="285" t="str">
        <x:v>Phase 2</x:v>
      </x:c>
      <x:c r="L32" s="285" t="str">
        <x:v>Form / Wizard</x:v>
      </x:c>
      <x:c r="M32" s="285" t="str">
        <x:v>Preserve existing role permissions, APIs and workflows; design reusable responsive UI.</x:v>
      </x:c>
      <x:c r="N32" s="226"/>
      <x:c r="O32" s="226"/>
      <x:c r="P32" s="226"/>
      <x:c r="Q32" s="226"/>
      <x:c r="R32" s="226"/>
      <x:c r="S32" s="226"/>
      <x:c r="T32" s="226"/>
      <x:c r="U32" s="226"/>
      <x:c r="V32" s="226"/>
      <x:c r="W32" s="226"/>
      <x:c r="X32" s="226"/>
      <x:c r="Y32" s="226"/>
      <x:c r="Z32" s="226"/>
    </x:row>
    <x:row r="33">
      <x:c r="A33" s="285" t="str">
        <x:v>SCR-032</x:v>
      </x:c>
      <x:c r="B33" s="285" t="str">
        <x:v>Organization / School / Branch Setup</x:v>
      </x:c>
      <x:c r="C33" s="285" t="str">
        <x:v>Organization</x:v>
      </x:c>
      <x:c r="D33" s="285" t="str">
        <x:v>School Branding &amp; Profile</x:v>
      </x:c>
      <x:c r="E33" s="285" t="str">
        <x:v>Super Admin, Organization Admin, School Admin</x:v>
      </x:c>
      <x:c r="F33" s="285" t="str">
        <x:v>School Admin / Shared</x:v>
      </x:c>
      <x:c r="G33" s="285" t="str">
        <x:v>Detail / Profile</x:v>
      </x:c>
      <x:c r="H33" s="285" t="str">
        <x:v>Show the complete record and related activity for school branding &amp; profile in one structured view.</x:v>
      </x:c>
      <x:c r="I33" s="285" t="str">
        <x:v>View, Edit, Update, View activity</x:v>
      </x:c>
      <x:c r="J33" s="285" t="str">
        <x:v>Name / title, code, academic year, status, owner, dates, remarks</x:v>
      </x:c>
      <x:c r="K33" s="285" t="str">
        <x:v>Phase 3</x:v>
      </x:c>
      <x:c r="L33" s="285" t="str">
        <x:v>Profile / Detail + Tabs</x:v>
      </x:c>
      <x:c r="M33" s="285" t="str">
        <x:v>Preserve existing role permissions, APIs and workflows; design reusable responsive UI.</x:v>
      </x:c>
      <x:c r="N33" s="226"/>
      <x:c r="O33" s="226"/>
      <x:c r="P33" s="226"/>
      <x:c r="Q33" s="226"/>
      <x:c r="R33" s="226"/>
      <x:c r="S33" s="226"/>
      <x:c r="T33" s="226"/>
      <x:c r="U33" s="226"/>
      <x:c r="V33" s="226"/>
      <x:c r="W33" s="226"/>
      <x:c r="X33" s="226"/>
      <x:c r="Y33" s="226"/>
      <x:c r="Z33" s="226"/>
    </x:row>
    <x:row r="34">
      <x:c r="A34" s="285" t="str">
        <x:v>SCR-033</x:v>
      </x:c>
      <x:c r="B34" s="285" t="str">
        <x:v>Role Dashboards</x:v>
      </x:c>
      <x:c r="C34" s="285" t="str">
        <x:v>Role Dashboards</x:v>
      </x:c>
      <x:c r="D34" s="285" t="str">
        <x:v>School Admin Dashboard</x:v>
      </x:c>
      <x:c r="E34" s="285" t="str">
        <x:v>School Admin</x:v>
      </x:c>
      <x:c r="F34" s="285" t="str">
        <x:v>School Admin Portal</x:v>
      </x:c>
      <x:c r="G34" s="285" t="str">
        <x:v>Dashboard</x:v>
      </x:c>
      <x:c r="H34" s="285" t="str">
        <x:v>Provide an at-a-glance operational view of role dashboards with key status, alerts and shortcuts.</x:v>
      </x:c>
      <x:c r="I34" s="285" t="str">
        <x:v>Filter, Drill down, Export, Print</x:v>
      </x:c>
      <x:c r="J34" s="285" t="str">
        <x:v>KPIs, alerts, recent activity, pending actions, date / academic-year filters</x:v>
      </x:c>
      <x:c r="K34" s="285" t="str">
        <x:v>MVP</x:v>
      </x:c>
      <x:c r="L34" s="285" t="str">
        <x:v>Dashboard + KPI Cards</x:v>
      </x:c>
      <x:c r="M34" s="285" t="str">
        <x:v>Preserve existing role permissions, APIs and workflows; design reusable responsive UI.</x:v>
      </x:c>
      <x:c r="N34" s="226"/>
      <x:c r="O34" s="226"/>
      <x:c r="P34" s="226"/>
      <x:c r="Q34" s="226"/>
      <x:c r="R34" s="226"/>
      <x:c r="S34" s="226"/>
      <x:c r="T34" s="226"/>
      <x:c r="U34" s="226"/>
      <x:c r="V34" s="226"/>
      <x:c r="W34" s="226"/>
      <x:c r="X34" s="226"/>
      <x:c r="Y34" s="226"/>
      <x:c r="Z34" s="226"/>
    </x:row>
    <x:row r="35">
      <x:c r="A35" s="285" t="str">
        <x:v>SCR-034</x:v>
      </x:c>
      <x:c r="B35" s="285" t="str">
        <x:v>Role Dashboards</x:v>
      </x:c>
      <x:c r="C35" s="285" t="str">
        <x:v>Role Dashboards</x:v>
      </x:c>
      <x:c r="D35" s="285" t="str">
        <x:v>Principal Dashboard</x:v>
      </x:c>
      <x:c r="E35" s="285" t="str">
        <x:v>Principal</x:v>
      </x:c>
      <x:c r="F35" s="285" t="str">
        <x:v>Principal Portal</x:v>
      </x:c>
      <x:c r="G35" s="285" t="str">
        <x:v>Dashboard</x:v>
      </x:c>
      <x:c r="H35" s="285" t="str">
        <x:v>Provide an at-a-glance operational view of role dashboards with key status, alerts and shortcuts.</x:v>
      </x:c>
      <x:c r="I35" s="285" t="str">
        <x:v>Filter, Drill down, Export, Print</x:v>
      </x:c>
      <x:c r="J35" s="285" t="str">
        <x:v>KPIs, alerts, recent activity, pending actions, date / academic-year filters</x:v>
      </x:c>
      <x:c r="K35" s="285" t="str">
        <x:v>MVP</x:v>
      </x:c>
      <x:c r="L35" s="285" t="str">
        <x:v>Dashboard + KPI Cards</x:v>
      </x:c>
      <x:c r="M35" s="285" t="str">
        <x:v>Preserve existing role permissions, APIs and workflows; design reusable responsive UI.</x:v>
      </x:c>
      <x:c r="N35" s="226"/>
      <x:c r="O35" s="226"/>
      <x:c r="P35" s="226"/>
      <x:c r="Q35" s="226"/>
      <x:c r="R35" s="226"/>
      <x:c r="S35" s="226"/>
      <x:c r="T35" s="226"/>
      <x:c r="U35" s="226"/>
      <x:c r="V35" s="226"/>
      <x:c r="W35" s="226"/>
      <x:c r="X35" s="226"/>
      <x:c r="Y35" s="226"/>
      <x:c r="Z35" s="226"/>
    </x:row>
    <x:row r="36">
      <x:c r="A36" s="285" t="str">
        <x:v>SCR-035</x:v>
      </x:c>
      <x:c r="B36" s="285" t="str">
        <x:v>Role Dashboards</x:v>
      </x:c>
      <x:c r="C36" s="285" t="str">
        <x:v>Role Dashboards</x:v>
      </x:c>
      <x:c r="D36" s="285" t="str">
        <x:v>Teacher Dashboard</x:v>
      </x:c>
      <x:c r="E36" s="285" t="str">
        <x:v>Teacher</x:v>
      </x:c>
      <x:c r="F36" s="285" t="str">
        <x:v>Teacher Portal</x:v>
      </x:c>
      <x:c r="G36" s="285" t="str">
        <x:v>Dashboard</x:v>
      </x:c>
      <x:c r="H36" s="285" t="str">
        <x:v>Provide an at-a-glance operational view of role dashboards with key status, alerts and shortcuts.</x:v>
      </x:c>
      <x:c r="I36" s="285" t="str">
        <x:v>Filter, Drill down, Export, Print</x:v>
      </x:c>
      <x:c r="J36" s="285" t="str">
        <x:v>KPIs, alerts, recent activity, pending actions, date / academic-year filters</x:v>
      </x:c>
      <x:c r="K36" s="285" t="str">
        <x:v>MVP</x:v>
      </x:c>
      <x:c r="L36" s="285" t="str">
        <x:v>Dashboard + KPI Cards</x:v>
      </x:c>
      <x:c r="M36" s="285" t="str">
        <x:v>Preserve existing role permissions, APIs and workflows; design reusable responsive UI.</x:v>
      </x:c>
      <x:c r="N36" s="226"/>
      <x:c r="O36" s="226"/>
      <x:c r="P36" s="226"/>
      <x:c r="Q36" s="226"/>
      <x:c r="R36" s="226"/>
      <x:c r="S36" s="226"/>
      <x:c r="T36" s="226"/>
      <x:c r="U36" s="226"/>
      <x:c r="V36" s="226"/>
      <x:c r="W36" s="226"/>
      <x:c r="X36" s="226"/>
      <x:c r="Y36" s="226"/>
      <x:c r="Z36" s="226"/>
    </x:row>
    <x:row r="37">
      <x:c r="A37" s="285" t="str">
        <x:v>SCR-036</x:v>
      </x:c>
      <x:c r="B37" s="285" t="str">
        <x:v>Role Dashboards</x:v>
      </x:c>
      <x:c r="C37" s="285" t="str">
        <x:v>Role Dashboards</x:v>
      </x:c>
      <x:c r="D37" s="285" t="str">
        <x:v>Student Dashboard</x:v>
      </x:c>
      <x:c r="E37" s="285" t="str">
        <x:v>Student</x:v>
      </x:c>
      <x:c r="F37" s="285" t="str">
        <x:v>Student Portal</x:v>
      </x:c>
      <x:c r="G37" s="285" t="str">
        <x:v>Dashboard</x:v>
      </x:c>
      <x:c r="H37" s="285" t="str">
        <x:v>Provide an at-a-glance operational view of role dashboards with key status, alerts and shortcuts.</x:v>
      </x:c>
      <x:c r="I37" s="285" t="str">
        <x:v>Filter, Drill down, Export, Print</x:v>
      </x:c>
      <x:c r="J37" s="285" t="str">
        <x:v>KPIs, alerts, recent activity, pending actions, date / academic-year filters</x:v>
      </x:c>
      <x:c r="K37" s="285" t="str">
        <x:v>MVP</x:v>
      </x:c>
      <x:c r="L37" s="285" t="str">
        <x:v>Dashboard + KPI Cards</x:v>
      </x:c>
      <x:c r="M37" s="285" t="str">
        <x:v>Preserve existing role permissions, APIs and workflows; design reusable responsive UI.</x:v>
      </x:c>
      <x:c r="N37" s="226"/>
      <x:c r="O37" s="226"/>
      <x:c r="P37" s="226"/>
      <x:c r="Q37" s="226"/>
      <x:c r="R37" s="226"/>
      <x:c r="S37" s="226"/>
      <x:c r="T37" s="226"/>
      <x:c r="U37" s="226"/>
      <x:c r="V37" s="226"/>
      <x:c r="W37" s="226"/>
      <x:c r="X37" s="226"/>
      <x:c r="Y37" s="226"/>
      <x:c r="Z37" s="226"/>
    </x:row>
    <x:row r="38">
      <x:c r="A38" s="285" t="str">
        <x:v>SCR-037</x:v>
      </x:c>
      <x:c r="B38" s="285" t="str">
        <x:v>Role Dashboards</x:v>
      </x:c>
      <x:c r="C38" s="285" t="str">
        <x:v>Role Dashboards</x:v>
      </x:c>
      <x:c r="D38" s="285" t="str">
        <x:v>Parent Dashboard</x:v>
      </x:c>
      <x:c r="E38" s="285" t="str">
        <x:v>Parent</x:v>
      </x:c>
      <x:c r="F38" s="285" t="str">
        <x:v>Parent Portal</x:v>
      </x:c>
      <x:c r="G38" s="285" t="str">
        <x:v>Dashboard</x:v>
      </x:c>
      <x:c r="H38" s="285" t="str">
        <x:v>Provide an at-a-glance operational view of role dashboards with key status, alerts and shortcuts.</x:v>
      </x:c>
      <x:c r="I38" s="285" t="str">
        <x:v>Filter, Drill down, Export, Print</x:v>
      </x:c>
      <x:c r="J38" s="285" t="str">
        <x:v>KPIs, alerts, recent activity, pending actions, date / academic-year filters</x:v>
      </x:c>
      <x:c r="K38" s="285" t="str">
        <x:v>MVP</x:v>
      </x:c>
      <x:c r="L38" s="285" t="str">
        <x:v>Dashboard + KPI Cards</x:v>
      </x:c>
      <x:c r="M38" s="285" t="str">
        <x:v>Preserve existing role permissions, APIs and workflows; design reusable responsive UI.</x:v>
      </x:c>
      <x:c r="N38" s="226"/>
      <x:c r="O38" s="226"/>
      <x:c r="P38" s="226"/>
      <x:c r="Q38" s="226"/>
      <x:c r="R38" s="226"/>
      <x:c r="S38" s="226"/>
      <x:c r="T38" s="226"/>
      <x:c r="U38" s="226"/>
      <x:c r="V38" s="226"/>
      <x:c r="W38" s="226"/>
      <x:c r="X38" s="226"/>
      <x:c r="Y38" s="226"/>
      <x:c r="Z38" s="226"/>
    </x:row>
    <x:row r="39">
      <x:c r="A39" s="285" t="str">
        <x:v>SCR-038</x:v>
      </x:c>
      <x:c r="B39" s="285" t="str">
        <x:v>Role Dashboards</x:v>
      </x:c>
      <x:c r="C39" s="285" t="str">
        <x:v>Role Dashboards</x:v>
      </x:c>
      <x:c r="D39" s="285" t="str">
        <x:v>Accountant Dashboard</x:v>
      </x:c>
      <x:c r="E39" s="285" t="str">
        <x:v>Accountant</x:v>
      </x:c>
      <x:c r="F39" s="285" t="str">
        <x:v>Accountant Portal</x:v>
      </x:c>
      <x:c r="G39" s="285" t="str">
        <x:v>Dashboard</x:v>
      </x:c>
      <x:c r="H39" s="285" t="str">
        <x:v>Provide an at-a-glance operational view of role dashboards with key status, alerts and shortcuts.</x:v>
      </x:c>
      <x:c r="I39" s="285" t="str">
        <x:v>Filter, Drill down, Export, Print</x:v>
      </x:c>
      <x:c r="J39" s="285" t="str">
        <x:v>KPIs, alerts, recent activity, pending actions, date / academic-year filters</x:v>
      </x:c>
      <x:c r="K39" s="285" t="str">
        <x:v>Phase 2</x:v>
      </x:c>
      <x:c r="L39" s="285" t="str">
        <x:v>Dashboard + KPI Cards</x:v>
      </x:c>
      <x:c r="M39" s="285" t="str">
        <x:v>Preserve existing role permissions, APIs and workflows; design reusable responsive UI.</x:v>
      </x:c>
      <x:c r="N39" s="226"/>
      <x:c r="O39" s="226"/>
      <x:c r="P39" s="226"/>
      <x:c r="Q39" s="226"/>
      <x:c r="R39" s="226"/>
      <x:c r="S39" s="226"/>
      <x:c r="T39" s="226"/>
      <x:c r="U39" s="226"/>
      <x:c r="V39" s="226"/>
      <x:c r="W39" s="226"/>
      <x:c r="X39" s="226"/>
      <x:c r="Y39" s="226"/>
      <x:c r="Z39" s="226"/>
    </x:row>
    <x:row r="40">
      <x:c r="A40" s="285" t="str">
        <x:v>SCR-039</x:v>
      </x:c>
      <x:c r="B40" s="285" t="str">
        <x:v>Role Dashboards</x:v>
      </x:c>
      <x:c r="C40" s="285" t="str">
        <x:v>Role Dashboards</x:v>
      </x:c>
      <x:c r="D40" s="285" t="str">
        <x:v>HR Dashboard</x:v>
      </x:c>
      <x:c r="E40" s="285" t="str">
        <x:v>HR</x:v>
      </x:c>
      <x:c r="F40" s="285" t="str">
        <x:v>HR Portal</x:v>
      </x:c>
      <x:c r="G40" s="285" t="str">
        <x:v>Dashboard</x:v>
      </x:c>
      <x:c r="H40" s="285" t="str">
        <x:v>Provide an at-a-glance operational view of role dashboards with key status, alerts and shortcuts.</x:v>
      </x:c>
      <x:c r="I40" s="285" t="str">
        <x:v>Filter, Drill down, Export, Print</x:v>
      </x:c>
      <x:c r="J40" s="285" t="str">
        <x:v>KPIs, alerts, recent activity, pending actions, date / academic-year filters</x:v>
      </x:c>
      <x:c r="K40" s="285" t="str">
        <x:v>Phase 2</x:v>
      </x:c>
      <x:c r="L40" s="285" t="str">
        <x:v>Dashboard + KPI Cards</x:v>
      </x:c>
      <x:c r="M40" s="285" t="str">
        <x:v>Preserve existing role permissions, APIs and workflows; design reusable responsive UI.</x:v>
      </x:c>
      <x:c r="N40" s="226"/>
      <x:c r="O40" s="226"/>
      <x:c r="P40" s="226"/>
      <x:c r="Q40" s="226"/>
      <x:c r="R40" s="226"/>
      <x:c r="S40" s="226"/>
      <x:c r="T40" s="226"/>
      <x:c r="U40" s="226"/>
      <x:c r="V40" s="226"/>
      <x:c r="W40" s="226"/>
      <x:c r="X40" s="226"/>
      <x:c r="Y40" s="226"/>
      <x:c r="Z40" s="226"/>
    </x:row>
    <x:row r="41">
      <x:c r="A41" s="285" t="str">
        <x:v>SCR-040</x:v>
      </x:c>
      <x:c r="B41" s="285" t="str">
        <x:v>Role Dashboards</x:v>
      </x:c>
      <x:c r="C41" s="285" t="str">
        <x:v>Role Dashboards</x:v>
      </x:c>
      <x:c r="D41" s="285" t="str">
        <x:v>Admission Officer Dashboard</x:v>
      </x:c>
      <x:c r="E41" s="285" t="str">
        <x:v>Admission Officer</x:v>
      </x:c>
      <x:c r="F41" s="285" t="str">
        <x:v>Admission Officer Portal</x:v>
      </x:c>
      <x:c r="G41" s="285" t="str">
        <x:v>Dashboard</x:v>
      </x:c>
      <x:c r="H41" s="285" t="str">
        <x:v>Provide an at-a-glance operational view of role dashboards with key status, alerts and shortcuts.</x:v>
      </x:c>
      <x:c r="I41" s="285" t="str">
        <x:v>Filter, Drill down, Export, Print</x:v>
      </x:c>
      <x:c r="J41" s="285" t="str">
        <x:v>KPIs, alerts, recent activity, pending actions, date / academic-year filters</x:v>
      </x:c>
      <x:c r="K41" s="285" t="str">
        <x:v>Phase 3</x:v>
      </x:c>
      <x:c r="L41" s="285" t="str">
        <x:v>Dashboard + KPI Cards</x:v>
      </x:c>
      <x:c r="M41" s="285" t="str">
        <x:v>Preserve existing role permissions, APIs and workflows; design reusable responsive UI.</x:v>
      </x:c>
      <x:c r="N41" s="226"/>
      <x:c r="O41" s="226"/>
      <x:c r="P41" s="226"/>
      <x:c r="Q41" s="226"/>
      <x:c r="R41" s="226"/>
      <x:c r="S41" s="226"/>
      <x:c r="T41" s="226"/>
      <x:c r="U41" s="226"/>
      <x:c r="V41" s="226"/>
      <x:c r="W41" s="226"/>
      <x:c r="X41" s="226"/>
      <x:c r="Y41" s="226"/>
      <x:c r="Z41" s="226"/>
    </x:row>
    <x:row r="42">
      <x:c r="A42" s="285" t="str">
        <x:v>SCR-041</x:v>
      </x:c>
      <x:c r="B42" s="285" t="str">
        <x:v>Role Dashboards</x:v>
      </x:c>
      <x:c r="C42" s="285" t="str">
        <x:v>Role Dashboards</x:v>
      </x:c>
      <x:c r="D42" s="285" t="str">
        <x:v>Transport Manager Dashboard</x:v>
      </x:c>
      <x:c r="E42" s="285" t="str">
        <x:v>Transport Manager</x:v>
      </x:c>
      <x:c r="F42" s="285" t="str">
        <x:v>Transport Manager Portal</x:v>
      </x:c>
      <x:c r="G42" s="285" t="str">
        <x:v>Dashboard</x:v>
      </x:c>
      <x:c r="H42" s="285" t="str">
        <x:v>Provide an at-a-glance operational view of role dashboards with key status, alerts and shortcuts.</x:v>
      </x:c>
      <x:c r="I42" s="285" t="str">
        <x:v>Filter, Drill down, Export, Print</x:v>
      </x:c>
      <x:c r="J42" s="285" t="str">
        <x:v>KPIs, alerts, recent activity, pending actions, date / academic-year filters</x:v>
      </x:c>
      <x:c r="K42" s="285" t="str">
        <x:v>Phase 3</x:v>
      </x:c>
      <x:c r="L42" s="285" t="str">
        <x:v>Dashboard + KPI Cards</x:v>
      </x:c>
      <x:c r="M42" s="285" t="str">
        <x:v>Preserve existing role permissions, APIs and workflows; design reusable responsive UI.</x:v>
      </x:c>
      <x:c r="N42" s="226"/>
      <x:c r="O42" s="226"/>
      <x:c r="P42" s="226"/>
      <x:c r="Q42" s="226"/>
      <x:c r="R42" s="226"/>
      <x:c r="S42" s="226"/>
      <x:c r="T42" s="226"/>
      <x:c r="U42" s="226"/>
      <x:c r="V42" s="226"/>
      <x:c r="W42" s="226"/>
      <x:c r="X42" s="226"/>
      <x:c r="Y42" s="226"/>
      <x:c r="Z42" s="226"/>
    </x:row>
    <x:row r="43">
      <x:c r="A43" s="285" t="str">
        <x:v>SCR-042</x:v>
      </x:c>
      <x:c r="B43" s="285" t="str">
        <x:v>Role Dashboards</x:v>
      </x:c>
      <x:c r="C43" s="285" t="str">
        <x:v>Role Dashboards</x:v>
      </x:c>
      <x:c r="D43" s="285" t="str">
        <x:v>Librarian Dashboard</x:v>
      </x:c>
      <x:c r="E43" s="285" t="str">
        <x:v>Librarian</x:v>
      </x:c>
      <x:c r="F43" s="285" t="str">
        <x:v>Librarian Portal</x:v>
      </x:c>
      <x:c r="G43" s="285" t="str">
        <x:v>Dashboard</x:v>
      </x:c>
      <x:c r="H43" s="285" t="str">
        <x:v>Provide an at-a-glance operational view of role dashboards with key status, alerts and shortcuts.</x:v>
      </x:c>
      <x:c r="I43" s="285" t="str">
        <x:v>Filter, Drill down, Export, Print</x:v>
      </x:c>
      <x:c r="J43" s="285" t="str">
        <x:v>KPIs, alerts, recent activity, pending actions, date / academic-year filters</x:v>
      </x:c>
      <x:c r="K43" s="285" t="str">
        <x:v>Phase 3</x:v>
      </x:c>
      <x:c r="L43" s="285" t="str">
        <x:v>Dashboard + KPI Cards</x:v>
      </x:c>
      <x:c r="M43" s="285" t="str">
        <x:v>Preserve existing role permissions, APIs and workflows; design reusable responsive UI.</x:v>
      </x:c>
      <x:c r="N43" s="226"/>
      <x:c r="O43" s="226"/>
      <x:c r="P43" s="226"/>
      <x:c r="Q43" s="226"/>
      <x:c r="R43" s="226"/>
      <x:c r="S43" s="226"/>
      <x:c r="T43" s="226"/>
      <x:c r="U43" s="226"/>
      <x:c r="V43" s="226"/>
      <x:c r="W43" s="226"/>
      <x:c r="X43" s="226"/>
      <x:c r="Y43" s="226"/>
      <x:c r="Z43" s="226"/>
    </x:row>
    <x:row r="44">
      <x:c r="A44" s="285" t="str">
        <x:v>SCR-043</x:v>
      </x:c>
      <x:c r="B44" s="285" t="str">
        <x:v>Admissions &amp; Enquiries</x:v>
      </x:c>
      <x:c r="C44" s="285" t="str">
        <x:v>Enquiries</x:v>
      </x:c>
      <x:c r="D44" s="285" t="str">
        <x:v>Admission / Enquiry Dashboard</x:v>
      </x:c>
      <x:c r="E44" s="285" t="str">
        <x:v>Admission Officer, Receptionist, School Admin, Principal</x:v>
      </x:c>
      <x:c r="F44" s="285" t="str">
        <x:v>School Admin / Shared</x:v>
      </x:c>
      <x:c r="G44" s="285" t="str">
        <x:v>Dashboard</x:v>
      </x:c>
      <x:c r="H44" s="285" t="str">
        <x:v>Provide an at-a-glance operational view of admissions &amp; enquiries with key status, alerts and shortcuts.</x:v>
      </x:c>
      <x:c r="I44" s="285" t="str">
        <x:v>Filter, Drill down, Export, Print</x:v>
      </x:c>
      <x:c r="J44" s="285" t="str">
        <x:v>KPIs, alerts, recent activity, pending actions, date / academic-year filters</x:v>
      </x:c>
      <x:c r="K44" s="285" t="str">
        <x:v>MVP</x:v>
      </x:c>
      <x:c r="L44" s="285" t="str">
        <x:v>Dashboard + KPI Cards</x:v>
      </x:c>
      <x:c r="M44" s="285" t="str">
        <x:v>Preserve existing role permissions, APIs and workflows; design reusable responsive UI.</x:v>
      </x:c>
      <x:c r="N44" s="226"/>
      <x:c r="O44" s="226"/>
      <x:c r="P44" s="226"/>
      <x:c r="Q44" s="226"/>
      <x:c r="R44" s="226"/>
      <x:c r="S44" s="226"/>
      <x:c r="T44" s="226"/>
      <x:c r="U44" s="226"/>
      <x:c r="V44" s="226"/>
      <x:c r="W44" s="226"/>
      <x:c r="X44" s="226"/>
      <x:c r="Y44" s="226"/>
      <x:c r="Z44" s="226"/>
    </x:row>
    <x:row r="45">
      <x:c r="A45" s="285" t="str">
        <x:v>SCR-044</x:v>
      </x:c>
      <x:c r="B45" s="285" t="str">
        <x:v>Admissions &amp; Enquiries</x:v>
      </x:c>
      <x:c r="C45" s="285" t="str">
        <x:v>Enquiries</x:v>
      </x:c>
      <x:c r="D45" s="285" t="str">
        <x:v>Enquiry List</x:v>
      </x:c>
      <x:c r="E45" s="285" t="str">
        <x:v>Admission Officer, Receptionist, School Admin, Principal</x:v>
      </x:c>
      <x:c r="F45" s="285" t="str">
        <x:v>School Admin / Shared</x:v>
      </x:c>
      <x:c r="G45" s="285" t="str">
        <x:v>List / Management</x:v>
      </x:c>
      <x:c r="H45" s="285" t="str">
        <x:v>Search, filter and manage records for enquiry list.</x:v>
      </x:c>
      <x:c r="I45" s="285" t="str">
        <x:v>Search, Filter, Sort, Open record</x:v>
      </x:c>
      <x:c r="J45" s="285" t="str">
        <x:v>Applicant, parent, mobile, grade, source, counsellor, stage, follow-up / application status</x:v>
      </x:c>
      <x:c r="K45" s="285" t="str">
        <x:v>MVP</x:v>
      </x:c>
      <x:c r="L45" s="285" t="str">
        <x:v>Search + Filter + Data Table</x:v>
      </x:c>
      <x:c r="M45" s="285" t="str">
        <x:v>Preserve existing role permissions, APIs and workflows; design reusable responsive UI.</x:v>
      </x:c>
      <x:c r="N45" s="226"/>
      <x:c r="O45" s="226"/>
      <x:c r="P45" s="226"/>
      <x:c r="Q45" s="226"/>
      <x:c r="R45" s="226"/>
      <x:c r="S45" s="226"/>
      <x:c r="T45" s="226"/>
      <x:c r="U45" s="226"/>
      <x:c r="V45" s="226"/>
      <x:c r="W45" s="226"/>
      <x:c r="X45" s="226"/>
      <x:c r="Y45" s="226"/>
      <x:c r="Z45" s="226"/>
    </x:row>
    <x:row r="46">
      <x:c r="A46" s="285" t="str">
        <x:v>SCR-045</x:v>
      </x:c>
      <x:c r="B46" s="285" t="str">
        <x:v>Admissions &amp; Enquiries</x:v>
      </x:c>
      <x:c r="C46" s="285" t="str">
        <x:v>Enquiries</x:v>
      </x:c>
      <x:c r="D46" s="285" t="str">
        <x:v>Add Enquiry</x:v>
      </x:c>
      <x:c r="E46" s="285" t="str">
        <x:v>Admission Officer, Receptionist, School Admin, Principal</x:v>
      </x:c>
      <x:c r="F46" s="285" t="str">
        <x:v>School Admin / Shared</x:v>
      </x:c>
      <x:c r="G46" s="285" t="str">
        <x:v>Create / Transaction</x:v>
      </x:c>
      <x:c r="H46" s="285" t="str">
        <x:v>Capture or process the add enquiry workflow while enforcing school rules and validations.</x:v>
      </x:c>
      <x:c r="I46" s="285" t="str">
        <x:v>Create, Save, Validate, Cancel</x:v>
      </x:c>
      <x:c r="J46" s="285" t="str">
        <x:v>Applicant, parent, mobile, grade, source, counsellor, stage, follow-up / application status</x:v>
      </x:c>
      <x:c r="K46" s="285" t="str">
        <x:v>MVP</x:v>
      </x:c>
      <x:c r="L46" s="285" t="str">
        <x:v>Form / Wizard</x:v>
      </x:c>
      <x:c r="M46" s="285" t="str">
        <x:v>Preserve existing role permissions, APIs and workflows; design reusable responsive UI.</x:v>
      </x:c>
      <x:c r="N46" s="226"/>
      <x:c r="O46" s="226"/>
      <x:c r="P46" s="226"/>
      <x:c r="Q46" s="226"/>
      <x:c r="R46" s="226"/>
      <x:c r="S46" s="226"/>
      <x:c r="T46" s="226"/>
      <x:c r="U46" s="226"/>
      <x:c r="V46" s="226"/>
      <x:c r="W46" s="226"/>
      <x:c r="X46" s="226"/>
      <x:c r="Y46" s="226"/>
      <x:c r="Z46" s="226"/>
    </x:row>
    <x:row r="47">
      <x:c r="A47" s="285" t="str">
        <x:v>SCR-046</x:v>
      </x:c>
      <x:c r="B47" s="285" t="str">
        <x:v>Admissions &amp; Enquiries</x:v>
      </x:c>
      <x:c r="C47" s="285" t="str">
        <x:v>Enquiries</x:v>
      </x:c>
      <x:c r="D47" s="285" t="str">
        <x:v>Enquiry Details</x:v>
      </x:c>
      <x:c r="E47" s="285" t="str">
        <x:v>Admission Officer, Receptionist, School Admin, Principal</x:v>
      </x:c>
      <x:c r="F47" s="285" t="str">
        <x:v>School Admin / Shared</x:v>
      </x:c>
      <x:c r="G47" s="285" t="str">
        <x:v>Detail / Profile</x:v>
      </x:c>
      <x:c r="H47" s="285" t="str">
        <x:v>Show the complete record and related activity for enquiry details in one structured view.</x:v>
      </x:c>
      <x:c r="I47" s="285" t="str">
        <x:v>View, Edit, Update, View activity</x:v>
      </x:c>
      <x:c r="J47" s="285" t="str">
        <x:v>Applicant, parent, mobile, grade, source, counsellor, stage, follow-up / application status</x:v>
      </x:c>
      <x:c r="K47" s="285" t="str">
        <x:v>MVP</x:v>
      </x:c>
      <x:c r="L47" s="285" t="str">
        <x:v>Profile / Detail + Tabs</x:v>
      </x:c>
      <x:c r="M47" s="285" t="str">
        <x:v>Preserve existing role permissions, APIs and workflows; design reusable responsive UI.</x:v>
      </x:c>
      <x:c r="N47" s="226"/>
      <x:c r="O47" s="226"/>
      <x:c r="P47" s="226"/>
      <x:c r="Q47" s="226"/>
      <x:c r="R47" s="226"/>
      <x:c r="S47" s="226"/>
      <x:c r="T47" s="226"/>
      <x:c r="U47" s="226"/>
      <x:c r="V47" s="226"/>
      <x:c r="W47" s="226"/>
      <x:c r="X47" s="226"/>
      <x:c r="Y47" s="226"/>
      <x:c r="Z47" s="226"/>
    </x:row>
    <x:row r="48">
      <x:c r="A48" s="285" t="str">
        <x:v>SCR-047</x:v>
      </x:c>
      <x:c r="B48" s="285" t="str">
        <x:v>Admissions &amp; Enquiries</x:v>
      </x:c>
      <x:c r="C48" s="285" t="str">
        <x:v>Enquiries</x:v>
      </x:c>
      <x:c r="D48" s="285" t="str">
        <x:v>Follow-up Calendar</x:v>
      </x:c>
      <x:c r="E48" s="285" t="str">
        <x:v>Admission Officer, Receptionist, School Admin, Principal</x:v>
      </x:c>
      <x:c r="F48" s="285" t="str">
        <x:v>School Admin / Shared</x:v>
      </x:c>
      <x:c r="G48" s="285" t="str">
        <x:v>Calendar / Schedule</x:v>
      </x:c>
      <x:c r="H48" s="285" t="str">
        <x:v>Plan and review follow-up calendar by date, period, class, staff or resource.</x:v>
      </x:c>
      <x:c r="I48" s="285" t="str">
        <x:v>Change view, Create / Assign, Reschedule, Print</x:v>
      </x:c>
      <x:c r="J48" s="285" t="str">
        <x:v>Applicant, parent, mobile, grade, source, counsellor, stage, follow-up / application status</x:v>
      </x:c>
      <x:c r="K48" s="285" t="str">
        <x:v>MVP</x:v>
      </x:c>
      <x:c r="L48" s="285" t="str">
        <x:v>Calendar / Schedule</x:v>
      </x:c>
      <x:c r="M48" s="285" t="str">
        <x:v>Preserve existing role permissions, APIs and workflows; design reusable responsive UI.</x:v>
      </x:c>
      <x:c r="N48" s="226"/>
      <x:c r="O48" s="226"/>
      <x:c r="P48" s="226"/>
      <x:c r="Q48" s="226"/>
      <x:c r="R48" s="226"/>
      <x:c r="S48" s="226"/>
      <x:c r="T48" s="226"/>
      <x:c r="U48" s="226"/>
      <x:c r="V48" s="226"/>
      <x:c r="W48" s="226"/>
      <x:c r="X48" s="226"/>
      <x:c r="Y48" s="226"/>
      <x:c r="Z48" s="226"/>
    </x:row>
    <x:row r="49">
      <x:c r="A49" s="285" t="str">
        <x:v>SCR-048</x:v>
      </x:c>
      <x:c r="B49" s="285" t="str">
        <x:v>Admissions &amp; Enquiries</x:v>
      </x:c>
      <x:c r="C49" s="285" t="str">
        <x:v>Admissions</x:v>
      </x:c>
      <x:c r="D49" s="285" t="str">
        <x:v>Admission Applications</x:v>
      </x:c>
      <x:c r="E49" s="285" t="str">
        <x:v>Admission Officer, Receptionist, School Admin, Principal</x:v>
      </x:c>
      <x:c r="F49" s="285" t="str">
        <x:v>School Admin / Shared</x:v>
      </x:c>
      <x:c r="G49" s="285" t="str">
        <x:v>List / Management</x:v>
      </x:c>
      <x:c r="H49" s="285" t="str">
        <x:v>Search, filter and manage records for admission applications.</x:v>
      </x:c>
      <x:c r="I49" s="285" t="str">
        <x:v>Search, Filter, Sort, Open record</x:v>
      </x:c>
      <x:c r="J49" s="285" t="str">
        <x:v>Applicant, parent, mobile, grade, source, counsellor, stage, follow-up / application status</x:v>
      </x:c>
      <x:c r="K49" s="285" t="str">
        <x:v>MVP</x:v>
      </x:c>
      <x:c r="L49" s="285" t="str">
        <x:v>Search + Filter + Data Table</x:v>
      </x:c>
      <x:c r="M49" s="285" t="str">
        <x:v>Preserve existing role permissions, APIs and workflows; design reusable responsive UI.</x:v>
      </x:c>
      <x:c r="N49" s="226"/>
      <x:c r="O49" s="226"/>
      <x:c r="P49" s="226"/>
      <x:c r="Q49" s="226"/>
      <x:c r="R49" s="226"/>
      <x:c r="S49" s="226"/>
      <x:c r="T49" s="226"/>
      <x:c r="U49" s="226"/>
      <x:c r="V49" s="226"/>
      <x:c r="W49" s="226"/>
      <x:c r="X49" s="226"/>
      <x:c r="Y49" s="226"/>
      <x:c r="Z49" s="226"/>
    </x:row>
    <x:row r="50">
      <x:c r="A50" s="285" t="str">
        <x:v>SCR-049</x:v>
      </x:c>
      <x:c r="B50" s="285" t="str">
        <x:v>Admissions &amp; Enquiries</x:v>
      </x:c>
      <x:c r="C50" s="285" t="str">
        <x:v>Admissions</x:v>
      </x:c>
      <x:c r="D50" s="285" t="str">
        <x:v>New Admission Application</x:v>
      </x:c>
      <x:c r="E50" s="285" t="str">
        <x:v>Admission Officer, Receptionist, School Admin, Principal</x:v>
      </x:c>
      <x:c r="F50" s="285" t="str">
        <x:v>School Admin / Shared</x:v>
      </x:c>
      <x:c r="G50" s="285" t="str">
        <x:v>Create / Transaction</x:v>
      </x:c>
      <x:c r="H50" s="285" t="str">
        <x:v>Capture or process the new admission application workflow while enforcing school rules and validations.</x:v>
      </x:c>
      <x:c r="I50" s="285" t="str">
        <x:v>Create, Save, Validate, Cancel</x:v>
      </x:c>
      <x:c r="J50" s="285" t="str">
        <x:v>Applicant, parent, mobile, grade, source, counsellor, stage, follow-up / application status</x:v>
      </x:c>
      <x:c r="K50" s="285" t="str">
        <x:v>MVP</x:v>
      </x:c>
      <x:c r="L50" s="285" t="str">
        <x:v>Form / Wizard</x:v>
      </x:c>
      <x:c r="M50" s="285" t="str">
        <x:v>Preserve existing role permissions, APIs and workflows; design reusable responsive UI.</x:v>
      </x:c>
      <x:c r="N50" s="226"/>
      <x:c r="O50" s="226"/>
      <x:c r="P50" s="226"/>
      <x:c r="Q50" s="226"/>
      <x:c r="R50" s="226"/>
      <x:c r="S50" s="226"/>
      <x:c r="T50" s="226"/>
      <x:c r="U50" s="226"/>
      <x:c r="V50" s="226"/>
      <x:c r="W50" s="226"/>
      <x:c r="X50" s="226"/>
      <x:c r="Y50" s="226"/>
      <x:c r="Z50" s="226"/>
    </x:row>
    <x:row r="51">
      <x:c r="A51" s="285" t="str">
        <x:v>SCR-050</x:v>
      </x:c>
      <x:c r="B51" s="285" t="str">
        <x:v>Admissions &amp; Enquiries</x:v>
      </x:c>
      <x:c r="C51" s="285" t="str">
        <x:v>Admissions</x:v>
      </x:c>
      <x:c r="D51" s="285" t="str">
        <x:v>Application Details</x:v>
      </x:c>
      <x:c r="E51" s="285" t="str">
        <x:v>Admission Officer, Receptionist, School Admin, Principal</x:v>
      </x:c>
      <x:c r="F51" s="285" t="str">
        <x:v>School Admin / Shared</x:v>
      </x:c>
      <x:c r="G51" s="285" t="str">
        <x:v>Detail / Profile</x:v>
      </x:c>
      <x:c r="H51" s="285" t="str">
        <x:v>Show the complete record and related activity for application details in one structured view.</x:v>
      </x:c>
      <x:c r="I51" s="285" t="str">
        <x:v>View, Edit, Update, View activity</x:v>
      </x:c>
      <x:c r="J51" s="285" t="str">
        <x:v>Applicant, parent, mobile, grade, source, counsellor, stage, follow-up / application status</x:v>
      </x:c>
      <x:c r="K51" s="285" t="str">
        <x:v>Phase 2</x:v>
      </x:c>
      <x:c r="L51" s="285" t="str">
        <x:v>Profile / Detail + Tabs</x:v>
      </x:c>
      <x:c r="M51" s="285" t="str">
        <x:v>Preserve existing role permissions, APIs and workflows; design reusable responsive UI.</x:v>
      </x:c>
      <x:c r="N51" s="226"/>
      <x:c r="O51" s="226"/>
      <x:c r="P51" s="226"/>
      <x:c r="Q51" s="226"/>
      <x:c r="R51" s="226"/>
      <x:c r="S51" s="226"/>
      <x:c r="T51" s="226"/>
      <x:c r="U51" s="226"/>
      <x:c r="V51" s="226"/>
      <x:c r="W51" s="226"/>
      <x:c r="X51" s="226"/>
      <x:c r="Y51" s="226"/>
      <x:c r="Z51" s="226"/>
    </x:row>
    <x:row r="52">
      <x:c r="A52" s="285" t="str">
        <x:v>SCR-051</x:v>
      </x:c>
      <x:c r="B52" s="285" t="str">
        <x:v>Admissions &amp; Enquiries</x:v>
      </x:c>
      <x:c r="C52" s="285" t="str">
        <x:v>Admissions</x:v>
      </x:c>
      <x:c r="D52" s="285" t="str">
        <x:v>Document Verification</x:v>
      </x:c>
      <x:c r="E52" s="285" t="str">
        <x:v>Admission Officer, Receptionist, School Admin, Principal</x:v>
      </x:c>
      <x:c r="F52" s="285" t="str">
        <x:v>School Admin / Shared</x:v>
      </x:c>
      <x:c r="G52" s="285" t="str">
        <x:v>Workflow / Management</x:v>
      </x:c>
      <x:c r="H52" s="285" t="str">
        <x:v>Manage the end-to-end document verification workflow within admissions &amp; enquiries.</x:v>
      </x:c>
      <x:c r="I52" s="285" t="str">
        <x:v>Review, Approve / Reject, Comment, Track status</x:v>
      </x:c>
      <x:c r="J52" s="285" t="str">
        <x:v>Document / certificate type, owner, issue/upload date, file, verification status, reference no.</x:v>
      </x:c>
      <x:c r="K52" s="285" t="str">
        <x:v>Phase 2</x:v>
      </x:c>
      <x:c r="L52" s="285" t="str">
        <x:v>Workflow / Approval / Detail</x:v>
      </x:c>
      <x:c r="M52" s="285" t="str">
        <x:v>Preserve existing role permissions, APIs and workflows; design reusable responsive UI.</x:v>
      </x:c>
      <x:c r="N52" s="226"/>
      <x:c r="O52" s="226"/>
      <x:c r="P52" s="226"/>
      <x:c r="Q52" s="226"/>
      <x:c r="R52" s="226"/>
      <x:c r="S52" s="226"/>
      <x:c r="T52" s="226"/>
      <x:c r="U52" s="226"/>
      <x:c r="V52" s="226"/>
      <x:c r="W52" s="226"/>
      <x:c r="X52" s="226"/>
      <x:c r="Y52" s="226"/>
      <x:c r="Z52" s="226"/>
    </x:row>
    <x:row r="53">
      <x:c r="A53" s="285" t="str">
        <x:v>SCR-052</x:v>
      </x:c>
      <x:c r="B53" s="285" t="str">
        <x:v>Admissions &amp; Enquiries</x:v>
      </x:c>
      <x:c r="C53" s="285" t="str">
        <x:v>Admissions</x:v>
      </x:c>
      <x:c r="D53" s="285" t="str">
        <x:v>Entrance Assessment</x:v>
      </x:c>
      <x:c r="E53" s="285" t="str">
        <x:v>Admission Officer, Receptionist, School Admin, Principal</x:v>
      </x:c>
      <x:c r="F53" s="285" t="str">
        <x:v>School Admin / Shared</x:v>
      </x:c>
      <x:c r="G53" s="285" t="str">
        <x:v>Workflow / Management</x:v>
      </x:c>
      <x:c r="H53" s="285" t="str">
        <x:v>Manage the end-to-end entrance assessment workflow within admissions &amp; enquiries.</x:v>
      </x:c>
      <x:c r="I53" s="285" t="str">
        <x:v>View, Create / Update, Filter, Export / Print</x:v>
      </x:c>
      <x:c r="J53" s="285" t="str">
        <x:v>Applicant, parent, mobile, grade, source, counsellor, stage, follow-up / application status</x:v>
      </x:c>
      <x:c r="K53" s="285" t="str">
        <x:v>Phase 2</x:v>
      </x:c>
      <x:c r="L53" s="285" t="str">
        <x:v>Workflow / Approval / Detail</x:v>
      </x:c>
      <x:c r="M53" s="285" t="str">
        <x:v>Preserve existing role permissions, APIs and workflows; design reusable responsive UI.</x:v>
      </x:c>
      <x:c r="N53" s="226"/>
      <x:c r="O53" s="226"/>
      <x:c r="P53" s="226"/>
      <x:c r="Q53" s="226"/>
      <x:c r="R53" s="226"/>
      <x:c r="S53" s="226"/>
      <x:c r="T53" s="226"/>
      <x:c r="U53" s="226"/>
      <x:c r="V53" s="226"/>
      <x:c r="W53" s="226"/>
      <x:c r="X53" s="226"/>
      <x:c r="Y53" s="226"/>
      <x:c r="Z53" s="226"/>
    </x:row>
    <x:row r="54">
      <x:c r="A54" s="285" t="str">
        <x:v>SCR-053</x:v>
      </x:c>
      <x:c r="B54" s="285" t="str">
        <x:v>Admissions &amp; Enquiries</x:v>
      </x:c>
      <x:c r="C54" s="285" t="str">
        <x:v>Admissions</x:v>
      </x:c>
      <x:c r="D54" s="285" t="str">
        <x:v>Admission Approval</x:v>
      </x:c>
      <x:c r="E54" s="285" t="str">
        <x:v>Admission Officer, Receptionist, School Admin, Principal</x:v>
      </x:c>
      <x:c r="F54" s="285" t="str">
        <x:v>School Admin / Shared</x:v>
      </x:c>
      <x:c r="G54" s="285" t="str">
        <x:v>Workflow / Management</x:v>
      </x:c>
      <x:c r="H54" s="285" t="str">
        <x:v>Manage the end-to-end admission approval workflow within admissions &amp; enquiries.</x:v>
      </x:c>
      <x:c r="I54" s="285" t="str">
        <x:v>Review, Approve / Reject, Comment, Track status</x:v>
      </x:c>
      <x:c r="J54" s="285" t="str">
        <x:v>Applicant, parent, mobile, grade, source, counsellor, stage, follow-up / application status</x:v>
      </x:c>
      <x:c r="K54" s="285" t="str">
        <x:v>Phase 3</x:v>
      </x:c>
      <x:c r="L54" s="285" t="str">
        <x:v>Workflow / Approval / Detail</x:v>
      </x:c>
      <x:c r="M54" s="285" t="str">
        <x:v>Preserve existing role permissions, APIs and workflows; design reusable responsive UI.</x:v>
      </x:c>
      <x:c r="N54" s="226"/>
      <x:c r="O54" s="226"/>
      <x:c r="P54" s="226"/>
      <x:c r="Q54" s="226"/>
      <x:c r="R54" s="226"/>
      <x:c r="S54" s="226"/>
      <x:c r="T54" s="226"/>
      <x:c r="U54" s="226"/>
      <x:c r="V54" s="226"/>
      <x:c r="W54" s="226"/>
      <x:c r="X54" s="226"/>
      <x:c r="Y54" s="226"/>
      <x:c r="Z54" s="226"/>
    </x:row>
    <x:row r="55">
      <x:c r="A55" s="285" t="str">
        <x:v>SCR-054</x:v>
      </x:c>
      <x:c r="B55" s="285" t="str">
        <x:v>Admissions &amp; Enquiries</x:v>
      </x:c>
      <x:c r="C55" s="285" t="str">
        <x:v>Admissions</x:v>
      </x:c>
      <x:c r="D55" s="285" t="str">
        <x:v>Admission Confirmation &amp; Student Creation</x:v>
      </x:c>
      <x:c r="E55" s="285" t="str">
        <x:v>Admission Officer, Receptionist, School Admin, Principal</x:v>
      </x:c>
      <x:c r="F55" s="285" t="str">
        <x:v>School Admin / Shared</x:v>
      </x:c>
      <x:c r="G55" s="285" t="str">
        <x:v>Workflow / Management</x:v>
      </x:c>
      <x:c r="H55" s="285" t="str">
        <x:v>Manage the end-to-end admission confirmation &amp; student creation workflow within admissions &amp; enquiries.</x:v>
      </x:c>
      <x:c r="I55" s="285" t="str">
        <x:v>View, Create / Update, Filter, Export / Print</x:v>
      </x:c>
      <x:c r="J55" s="285" t="str">
        <x:v>Student ID, admission no., name, class, section, status, parent, academic year</x:v>
      </x:c>
      <x:c r="K55" s="285" t="str">
        <x:v>Phase 3</x:v>
      </x:c>
      <x:c r="L55" s="285" t="str">
        <x:v>Workflow / Approval / Detail</x:v>
      </x:c>
      <x:c r="M55" s="285" t="str">
        <x:v>Preserve existing role permissions, APIs and workflows; design reusable responsive UI.</x:v>
      </x:c>
      <x:c r="N55" s="226"/>
      <x:c r="O55" s="226"/>
      <x:c r="P55" s="226"/>
      <x:c r="Q55" s="226"/>
      <x:c r="R55" s="226"/>
      <x:c r="S55" s="226"/>
      <x:c r="T55" s="226"/>
      <x:c r="U55" s="226"/>
      <x:c r="V55" s="226"/>
      <x:c r="W55" s="226"/>
      <x:c r="X55" s="226"/>
      <x:c r="Y55" s="226"/>
      <x:c r="Z55" s="226"/>
    </x:row>
    <x:row r="56">
      <x:c r="A56" s="285" t="str">
        <x:v>SCR-055</x:v>
      </x:c>
      <x:c r="B56" s="285" t="str">
        <x:v>Students</x:v>
      </x:c>
      <x:c r="C56" s="285" t="str">
        <x:v>Student Master</x:v>
      </x:c>
      <x:c r="D56" s="285" t="str">
        <x:v>Student Directory</x:v>
      </x:c>
      <x:c r="E56" s="285" t="str">
        <x:v>School Admin, Principal, Class Teacher, Teacher</x:v>
      </x:c>
      <x:c r="F56" s="285" t="str">
        <x:v>School Admin / Shared</x:v>
      </x:c>
      <x:c r="G56" s="285" t="str">
        <x:v>List / Management</x:v>
      </x:c>
      <x:c r="H56" s="285" t="str">
        <x:v>Search, filter and manage records for student directory.</x:v>
      </x:c>
      <x:c r="I56" s="285" t="str">
        <x:v>Search, Filter, Sort, Open record</x:v>
      </x:c>
      <x:c r="J56" s="285" t="str">
        <x:v>Student ID, admission no., name, class, section, status, parent, academic year</x:v>
      </x:c>
      <x:c r="K56" s="285" t="str">
        <x:v>MVP</x:v>
      </x:c>
      <x:c r="L56" s="285" t="str">
        <x:v>Search + Filter + Data Table</x:v>
      </x:c>
      <x:c r="M56" s="285" t="str">
        <x:v>Preserve existing role permissions, APIs and workflows; design reusable responsive UI.</x:v>
      </x:c>
      <x:c r="N56" s="226"/>
      <x:c r="O56" s="226"/>
      <x:c r="P56" s="226"/>
      <x:c r="Q56" s="226"/>
      <x:c r="R56" s="226"/>
      <x:c r="S56" s="226"/>
      <x:c r="T56" s="226"/>
      <x:c r="U56" s="226"/>
      <x:c r="V56" s="226"/>
      <x:c r="W56" s="226"/>
      <x:c r="X56" s="226"/>
      <x:c r="Y56" s="226"/>
      <x:c r="Z56" s="226"/>
    </x:row>
    <x:row r="57">
      <x:c r="A57" s="285" t="str">
        <x:v>SCR-056</x:v>
      </x:c>
      <x:c r="B57" s="285" t="str">
        <x:v>Students</x:v>
      </x:c>
      <x:c r="C57" s="285" t="str">
        <x:v>Student Master</x:v>
      </x:c>
      <x:c r="D57" s="285" t="str">
        <x:v>Add Student</x:v>
      </x:c>
      <x:c r="E57" s="285" t="str">
        <x:v>School Admin, Principal, Class Teacher, Teacher</x:v>
      </x:c>
      <x:c r="F57" s="285" t="str">
        <x:v>School Admin / Shared</x:v>
      </x:c>
      <x:c r="G57" s="285" t="str">
        <x:v>Create / Transaction</x:v>
      </x:c>
      <x:c r="H57" s="285" t="str">
        <x:v>Capture or process the add student workflow while enforcing school rules and validations.</x:v>
      </x:c>
      <x:c r="I57" s="285" t="str">
        <x:v>Create, Save, Validate, Cancel</x:v>
      </x:c>
      <x:c r="J57" s="285" t="str">
        <x:v>Student ID, admission no., name, class, section, status, parent, academic year</x:v>
      </x:c>
      <x:c r="K57" s="285" t="str">
        <x:v>MVP</x:v>
      </x:c>
      <x:c r="L57" s="285" t="str">
        <x:v>Form / Wizard</x:v>
      </x:c>
      <x:c r="M57" s="285" t="str">
        <x:v>Preserve existing role permissions, APIs and workflows; design reusable responsive UI.</x:v>
      </x:c>
      <x:c r="N57" s="226"/>
      <x:c r="O57" s="226"/>
      <x:c r="P57" s="226"/>
      <x:c r="Q57" s="226"/>
      <x:c r="R57" s="226"/>
      <x:c r="S57" s="226"/>
      <x:c r="T57" s="226"/>
      <x:c r="U57" s="226"/>
      <x:c r="V57" s="226"/>
      <x:c r="W57" s="226"/>
      <x:c r="X57" s="226"/>
      <x:c r="Y57" s="226"/>
      <x:c r="Z57" s="226"/>
    </x:row>
    <x:row r="58">
      <x:c r="A58" s="285" t="str">
        <x:v>SCR-057</x:v>
      </x:c>
      <x:c r="B58" s="285" t="str">
        <x:v>Students</x:v>
      </x:c>
      <x:c r="C58" s="285" t="str">
        <x:v>Student Master</x:v>
      </x:c>
      <x:c r="D58" s="285" t="str">
        <x:v>Student Profile Overview</x:v>
      </x:c>
      <x:c r="E58" s="285" t="str">
        <x:v>School Admin, Principal, Class Teacher, Teacher</x:v>
      </x:c>
      <x:c r="F58" s="285" t="str">
        <x:v>School Admin / Shared</x:v>
      </x:c>
      <x:c r="G58" s="285" t="str">
        <x:v>Detail / Profile</x:v>
      </x:c>
      <x:c r="H58" s="285" t="str">
        <x:v>Show the complete record and related activity for student profile overview in one structured view.</x:v>
      </x:c>
      <x:c r="I58" s="285" t="str">
        <x:v>View, Edit, Update, View activity</x:v>
      </x:c>
      <x:c r="J58" s="285" t="str">
        <x:v>Student ID, admission no., name, class, section, status, parent, academic year</x:v>
      </x:c>
      <x:c r="K58" s="285" t="str">
        <x:v>MVP</x:v>
      </x:c>
      <x:c r="L58" s="285" t="str">
        <x:v>Profile / Detail + Tabs</x:v>
      </x:c>
      <x:c r="M58" s="285" t="str">
        <x:v>Preserve existing role permissions, APIs and workflows; design reusable responsive UI.</x:v>
      </x:c>
      <x:c r="N58" s="226"/>
      <x:c r="O58" s="226"/>
      <x:c r="P58" s="226"/>
      <x:c r="Q58" s="226"/>
      <x:c r="R58" s="226"/>
      <x:c r="S58" s="226"/>
      <x:c r="T58" s="226"/>
      <x:c r="U58" s="226"/>
      <x:c r="V58" s="226"/>
      <x:c r="W58" s="226"/>
      <x:c r="X58" s="226"/>
      <x:c r="Y58" s="226"/>
      <x:c r="Z58" s="226"/>
    </x:row>
    <x:row r="59">
      <x:c r="A59" s="285" t="str">
        <x:v>SCR-058</x:v>
      </x:c>
      <x:c r="B59" s="285" t="str">
        <x:v>Students</x:v>
      </x:c>
      <x:c r="C59" s="285" t="str">
        <x:v>Student Master</x:v>
      </x:c>
      <x:c r="D59" s="285" t="str">
        <x:v>Edit Student</x:v>
      </x:c>
      <x:c r="E59" s="285" t="str">
        <x:v>School Admin, Principal, Class Teacher, Teacher</x:v>
      </x:c>
      <x:c r="F59" s="285" t="str">
        <x:v>School Admin / Shared</x:v>
      </x:c>
      <x:c r="G59" s="285" t="str">
        <x:v>Workflow / Management</x:v>
      </x:c>
      <x:c r="H59" s="285" t="str">
        <x:v>Manage the end-to-end edit student workflow within students.</x:v>
      </x:c>
      <x:c r="I59" s="285" t="str">
        <x:v>View, Edit, Update, View activity</x:v>
      </x:c>
      <x:c r="J59" s="285" t="str">
        <x:v>Student ID, admission no., name, class, section, status, parent, academic year</x:v>
      </x:c>
      <x:c r="K59" s="285" t="str">
        <x:v>MVP</x:v>
      </x:c>
      <x:c r="L59" s="285" t="str">
        <x:v>Workflow / Approval / Detail</x:v>
      </x:c>
      <x:c r="M59" s="285" t="str">
        <x:v>Preserve existing role permissions, APIs and workflows; design reusable responsive UI.</x:v>
      </x:c>
      <x:c r="N59" s="226"/>
      <x:c r="O59" s="226"/>
      <x:c r="P59" s="226"/>
      <x:c r="Q59" s="226"/>
      <x:c r="R59" s="226"/>
      <x:c r="S59" s="226"/>
      <x:c r="T59" s="226"/>
      <x:c r="U59" s="226"/>
      <x:c r="V59" s="226"/>
      <x:c r="W59" s="226"/>
      <x:c r="X59" s="226"/>
      <x:c r="Y59" s="226"/>
      <x:c r="Z59" s="226"/>
    </x:row>
    <x:row r="60">
      <x:c r="A60" s="285" t="str">
        <x:v>SCR-059</x:v>
      </x:c>
      <x:c r="B60" s="285" t="str">
        <x:v>Students</x:v>
      </x:c>
      <x:c r="C60" s="285" t="str">
        <x:v>Student Services</x:v>
      </x:c>
      <x:c r="D60" s="285" t="str">
        <x:v>Student Academic Details</x:v>
      </x:c>
      <x:c r="E60" s="285" t="str">
        <x:v>School Admin, Principal, Class Teacher, Teacher</x:v>
      </x:c>
      <x:c r="F60" s="285" t="str">
        <x:v>School Admin / Shared</x:v>
      </x:c>
      <x:c r="G60" s="285" t="str">
        <x:v>Detail / Profile</x:v>
      </x:c>
      <x:c r="H60" s="285" t="str">
        <x:v>Show the complete record and related activity for student academic details in one structured view.</x:v>
      </x:c>
      <x:c r="I60" s="285" t="str">
        <x:v>View, Edit, Update, View activity</x:v>
      </x:c>
      <x:c r="J60" s="285" t="str">
        <x:v>Student ID, admission no., name, class, section, status, parent, academic year</x:v>
      </x:c>
      <x:c r="K60" s="285" t="str">
        <x:v>MVP</x:v>
      </x:c>
      <x:c r="L60" s="285" t="str">
        <x:v>Profile / Detail + Tabs</x:v>
      </x:c>
      <x:c r="M60" s="285" t="str">
        <x:v>Preserve existing role permissions, APIs and workflows; design reusable responsive UI.</x:v>
      </x:c>
      <x:c r="N60" s="226"/>
      <x:c r="O60" s="226"/>
      <x:c r="P60" s="226"/>
      <x:c r="Q60" s="226"/>
      <x:c r="R60" s="226"/>
      <x:c r="S60" s="226"/>
      <x:c r="T60" s="226"/>
      <x:c r="U60" s="226"/>
      <x:c r="V60" s="226"/>
      <x:c r="W60" s="226"/>
      <x:c r="X60" s="226"/>
      <x:c r="Y60" s="226"/>
      <x:c r="Z60" s="226"/>
    </x:row>
    <x:row r="61">
      <x:c r="A61" s="285" t="str">
        <x:v>SCR-060</x:v>
      </x:c>
      <x:c r="B61" s="285" t="str">
        <x:v>Students</x:v>
      </x:c>
      <x:c r="C61" s="285" t="str">
        <x:v>Attendance</x:v>
      </x:c>
      <x:c r="D61" s="285" t="str">
        <x:v>Student Attendance History</x:v>
      </x:c>
      <x:c r="E61" s="285" t="str">
        <x:v>School Admin, Principal, Class Teacher, Teacher</x:v>
      </x:c>
      <x:c r="F61" s="285" t="str">
        <x:v>School Admin / Shared</x:v>
      </x:c>
      <x:c r="G61" s="285" t="str">
        <x:v>Detail / Profile</x:v>
      </x:c>
      <x:c r="H61" s="285" t="str">
        <x:v>Show the complete record and related activity for student attendance history in one structured view.</x:v>
      </x:c>
      <x:c r="I61" s="285" t="str">
        <x:v>View, Edit, Update, View activity</x:v>
      </x:c>
      <x:c r="J61" s="285" t="str">
        <x:v>Student ID, admission no., name, class, section, status, parent, academic year</x:v>
      </x:c>
      <x:c r="K61" s="285" t="str">
        <x:v>MVP</x:v>
      </x:c>
      <x:c r="L61" s="285" t="str">
        <x:v>Profile / Detail + Tabs</x:v>
      </x:c>
      <x:c r="M61" s="285" t="str">
        <x:v>Preserve existing role permissions, APIs and workflows; design reusable responsive UI.</x:v>
      </x:c>
      <x:c r="N61" s="226"/>
      <x:c r="O61" s="226"/>
      <x:c r="P61" s="226"/>
      <x:c r="Q61" s="226"/>
      <x:c r="R61" s="226"/>
      <x:c r="S61" s="226"/>
      <x:c r="T61" s="226"/>
      <x:c r="U61" s="226"/>
      <x:c r="V61" s="226"/>
      <x:c r="W61" s="226"/>
      <x:c r="X61" s="226"/>
      <x:c r="Y61" s="226"/>
      <x:c r="Z61" s="226"/>
    </x:row>
    <x:row r="62">
      <x:c r="A62" s="285" t="str">
        <x:v>SCR-061</x:v>
      </x:c>
      <x:c r="B62" s="285" t="str">
        <x:v>Students</x:v>
      </x:c>
      <x:c r="C62" s="285" t="str">
        <x:v>Academics</x:v>
      </x:c>
      <x:c r="D62" s="285" t="str">
        <x:v>Student Examination &amp; Results</x:v>
      </x:c>
      <x:c r="E62" s="285" t="str">
        <x:v>School Admin, Principal, Class Teacher, Teacher</x:v>
      </x:c>
      <x:c r="F62" s="285" t="str">
        <x:v>School Admin / Shared</x:v>
      </x:c>
      <x:c r="G62" s="285" t="str">
        <x:v>Detail / Profile</x:v>
      </x:c>
      <x:c r="H62" s="285" t="str">
        <x:v>Show the complete record and related activity for student examination &amp; results in one structured view.</x:v>
      </x:c>
      <x:c r="I62" s="285" t="str">
        <x:v>View, Create / Update, Filter, Export / Print</x:v>
      </x:c>
      <x:c r="J62" s="285" t="str">
        <x:v>Student ID, admission no., name, class, section, status, parent, academic year</x:v>
      </x:c>
      <x:c r="K62" s="285" t="str">
        <x:v>MVP</x:v>
      </x:c>
      <x:c r="L62" s="285" t="str">
        <x:v>Profile / Detail + Tabs</x:v>
      </x:c>
      <x:c r="M62" s="285" t="str">
        <x:v>Preserve existing role permissions, APIs and workflows; design reusable responsive UI.</x:v>
      </x:c>
      <x:c r="N62" s="226"/>
      <x:c r="O62" s="226"/>
      <x:c r="P62" s="226"/>
      <x:c r="Q62" s="226"/>
      <x:c r="R62" s="226"/>
      <x:c r="S62" s="226"/>
      <x:c r="T62" s="226"/>
      <x:c r="U62" s="226"/>
      <x:c r="V62" s="226"/>
      <x:c r="W62" s="226"/>
      <x:c r="X62" s="226"/>
      <x:c r="Y62" s="226"/>
      <x:c r="Z62" s="226"/>
    </x:row>
    <x:row r="63">
      <x:c r="A63" s="285" t="str">
        <x:v>SCR-062</x:v>
      </x:c>
      <x:c r="B63" s="285" t="str">
        <x:v>Students</x:v>
      </x:c>
      <x:c r="C63" s="285" t="str">
        <x:v>Finance</x:v>
      </x:c>
      <x:c r="D63" s="285" t="str">
        <x:v>Student Fees &amp; Ledger</x:v>
      </x:c>
      <x:c r="E63" s="285" t="str">
        <x:v>School Admin, Principal, Class Teacher, Teacher</x:v>
      </x:c>
      <x:c r="F63" s="285" t="str">
        <x:v>School Admin / Shared</x:v>
      </x:c>
      <x:c r="G63" s="285" t="str">
        <x:v>Detail / Profile</x:v>
      </x:c>
      <x:c r="H63" s="285" t="str">
        <x:v>Show the complete record and related activity for student fees &amp; ledger in one structured view.</x:v>
      </x:c>
      <x:c r="I63" s="285" t="str">
        <x:v>View, Edit, Update, View activity</x:v>
      </x:c>
      <x:c r="J63" s="285" t="str">
        <x:v>Student ID, admission no., name, class, section, status, parent, academic year</x:v>
      </x:c>
      <x:c r="K63" s="285" t="str">
        <x:v>MVP</x:v>
      </x:c>
      <x:c r="L63" s="285" t="str">
        <x:v>Profile / Detail + Tabs</x:v>
      </x:c>
      <x:c r="M63" s="285" t="str">
        <x:v>Preserve existing role permissions, APIs and workflows; design reusable responsive UI.</x:v>
      </x:c>
      <x:c r="N63" s="226"/>
      <x:c r="O63" s="226"/>
      <x:c r="P63" s="226"/>
      <x:c r="Q63" s="226"/>
      <x:c r="R63" s="226"/>
      <x:c r="S63" s="226"/>
      <x:c r="T63" s="226"/>
      <x:c r="U63" s="226"/>
      <x:c r="V63" s="226"/>
      <x:c r="W63" s="226"/>
      <x:c r="X63" s="226"/>
      <x:c r="Y63" s="226"/>
      <x:c r="Z63" s="226"/>
    </x:row>
    <x:row r="64">
      <x:c r="A64" s="285" t="str">
        <x:v>SCR-063</x:v>
      </x:c>
      <x:c r="B64" s="285" t="str">
        <x:v>Students</x:v>
      </x:c>
      <x:c r="C64" s="285" t="str">
        <x:v>Documents</x:v>
      </x:c>
      <x:c r="D64" s="285" t="str">
        <x:v>Student Documents</x:v>
      </x:c>
      <x:c r="E64" s="285" t="str">
        <x:v>School Admin, Principal, Class Teacher, Teacher</x:v>
      </x:c>
      <x:c r="F64" s="285" t="str">
        <x:v>School Admin / Shared</x:v>
      </x:c>
      <x:c r="G64" s="285" t="str">
        <x:v>Workflow / Management</x:v>
      </x:c>
      <x:c r="H64" s="285" t="str">
        <x:v>Manage the end-to-end student documents workflow within students.</x:v>
      </x:c>
      <x:c r="I64" s="285" t="str">
        <x:v>View, Create / Update, Filter, Export / Print</x:v>
      </x:c>
      <x:c r="J64" s="285" t="str">
        <x:v>Student ID, admission no., name, class, section, status, parent, academic year</x:v>
      </x:c>
      <x:c r="K64" s="285" t="str">
        <x:v>Phase 2</x:v>
      </x:c>
      <x:c r="L64" s="285" t="str">
        <x:v>Workflow / Approval / Detail</x:v>
      </x:c>
      <x:c r="M64" s="285" t="str">
        <x:v>Preserve existing role permissions, APIs and workflows; design reusable responsive UI.</x:v>
      </x:c>
      <x:c r="N64" s="226"/>
      <x:c r="O64" s="226"/>
      <x:c r="P64" s="226"/>
      <x:c r="Q64" s="226"/>
      <x:c r="R64" s="226"/>
      <x:c r="S64" s="226"/>
      <x:c r="T64" s="226"/>
      <x:c r="U64" s="226"/>
      <x:c r="V64" s="226"/>
      <x:c r="W64" s="226"/>
      <x:c r="X64" s="226"/>
      <x:c r="Y64" s="226"/>
      <x:c r="Z64" s="226"/>
    </x:row>
    <x:row r="65">
      <x:c r="A65" s="285" t="str">
        <x:v>SCR-064</x:v>
      </x:c>
      <x:c r="B65" s="285" t="str">
        <x:v>Students</x:v>
      </x:c>
      <x:c r="C65" s="285" t="str">
        <x:v>Student Services</x:v>
      </x:c>
      <x:c r="D65" s="285" t="str">
        <x:v>Student Behaviour &amp; Discipline</x:v>
      </x:c>
      <x:c r="E65" s="285" t="str">
        <x:v>School Admin, Principal, Class Teacher, Teacher</x:v>
      </x:c>
      <x:c r="F65" s="285" t="str">
        <x:v>School Admin / Shared</x:v>
      </x:c>
      <x:c r="G65" s="285" t="str">
        <x:v>Workflow / Management</x:v>
      </x:c>
      <x:c r="H65" s="285" t="str">
        <x:v>Manage the end-to-end student behaviour &amp; discipline workflow within students.</x:v>
      </x:c>
      <x:c r="I65" s="285" t="str">
        <x:v>View, Create / Update, Filter, Export / Print</x:v>
      </x:c>
      <x:c r="J65" s="285" t="str">
        <x:v>Student ID, admission no., name, class, section, status, parent, academic year</x:v>
      </x:c>
      <x:c r="K65" s="285" t="str">
        <x:v>Phase 2</x:v>
      </x:c>
      <x:c r="L65" s="285" t="str">
        <x:v>Workflow / Approval / Detail</x:v>
      </x:c>
      <x:c r="M65" s="285" t="str">
        <x:v>Preserve existing role permissions, APIs and workflows; design reusable responsive UI.</x:v>
      </x:c>
      <x:c r="N65" s="226"/>
      <x:c r="O65" s="226"/>
      <x:c r="P65" s="226"/>
      <x:c r="Q65" s="226"/>
      <x:c r="R65" s="226"/>
      <x:c r="S65" s="226"/>
      <x:c r="T65" s="226"/>
      <x:c r="U65" s="226"/>
      <x:c r="V65" s="226"/>
      <x:c r="W65" s="226"/>
      <x:c r="X65" s="226"/>
      <x:c r="Y65" s="226"/>
      <x:c r="Z65" s="226"/>
    </x:row>
    <x:row r="66">
      <x:c r="A66" s="285" t="str">
        <x:v>SCR-065</x:v>
      </x:c>
      <x:c r="B66" s="285" t="str">
        <x:v>Students</x:v>
      </x:c>
      <x:c r="C66" s="285" t="str">
        <x:v>Student Services</x:v>
      </x:c>
      <x:c r="D66" s="285" t="str">
        <x:v>Student Health</x:v>
      </x:c>
      <x:c r="E66" s="285" t="str">
        <x:v>School Admin, Principal, Class Teacher, Teacher</x:v>
      </x:c>
      <x:c r="F66" s="285" t="str">
        <x:v>School Admin / Shared</x:v>
      </x:c>
      <x:c r="G66" s="285" t="str">
        <x:v>Workflow / Management</x:v>
      </x:c>
      <x:c r="H66" s="285" t="str">
        <x:v>Manage the end-to-end student health workflow within students.</x:v>
      </x:c>
      <x:c r="I66" s="285" t="str">
        <x:v>View, Create / Update, Filter, Export / Print</x:v>
      </x:c>
      <x:c r="J66" s="285" t="str">
        <x:v>Student ID, admission no., name, class, section, status, parent, academic year</x:v>
      </x:c>
      <x:c r="K66" s="285" t="str">
        <x:v>Phase 2</x:v>
      </x:c>
      <x:c r="L66" s="285" t="str">
        <x:v>Workflow / Approval / Detail</x:v>
      </x:c>
      <x:c r="M66" s="285" t="str">
        <x:v>Preserve existing role permissions, APIs and workflows; design reusable responsive UI.</x:v>
      </x:c>
      <x:c r="N66" s="226"/>
      <x:c r="O66" s="226"/>
      <x:c r="P66" s="226"/>
      <x:c r="Q66" s="226"/>
      <x:c r="R66" s="226"/>
      <x:c r="S66" s="226"/>
      <x:c r="T66" s="226"/>
      <x:c r="U66" s="226"/>
      <x:c r="V66" s="226"/>
      <x:c r="W66" s="226"/>
      <x:c r="X66" s="226"/>
      <x:c r="Y66" s="226"/>
      <x:c r="Z66" s="226"/>
    </x:row>
    <x:row r="67">
      <x:c r="A67" s="285" t="str">
        <x:v>SCR-066</x:v>
      </x:c>
      <x:c r="B67" s="285" t="str">
        <x:v>Students</x:v>
      </x:c>
      <x:c r="C67" s="285" t="str">
        <x:v>Student Services</x:v>
      </x:c>
      <x:c r="D67" s="285" t="str">
        <x:v>Student Transport</x:v>
      </x:c>
      <x:c r="E67" s="285" t="str">
        <x:v>School Admin, Principal, Class Teacher, Teacher</x:v>
      </x:c>
      <x:c r="F67" s="285" t="str">
        <x:v>School Admin / Shared</x:v>
      </x:c>
      <x:c r="G67" s="285" t="str">
        <x:v>Workflow / Management</x:v>
      </x:c>
      <x:c r="H67" s="285" t="str">
        <x:v>Manage the end-to-end student transport workflow within students.</x:v>
      </x:c>
      <x:c r="I67" s="285" t="str">
        <x:v>View, Create / Update, Filter, Export / Print</x:v>
      </x:c>
      <x:c r="J67" s="285" t="str">
        <x:v>Student ID, admission no., name, class, section, status, parent, academic year</x:v>
      </x:c>
      <x:c r="K67" s="285" t="str">
        <x:v>Phase 3</x:v>
      </x:c>
      <x:c r="L67" s="285" t="str">
        <x:v>Workflow / Approval / Detail</x:v>
      </x:c>
      <x:c r="M67" s="285" t="str">
        <x:v>Preserve existing role permissions, APIs and workflows; design reusable responsive UI.</x:v>
      </x:c>
      <x:c r="N67" s="226"/>
      <x:c r="O67" s="226"/>
      <x:c r="P67" s="226"/>
      <x:c r="Q67" s="226"/>
      <x:c r="R67" s="226"/>
      <x:c r="S67" s="226"/>
      <x:c r="T67" s="226"/>
      <x:c r="U67" s="226"/>
      <x:c r="V67" s="226"/>
      <x:c r="W67" s="226"/>
      <x:c r="X67" s="226"/>
      <x:c r="Y67" s="226"/>
      <x:c r="Z67" s="226"/>
    </x:row>
    <x:row r="68">
      <x:c r="A68" s="285" t="str">
        <x:v>SCR-067</x:v>
      </x:c>
      <x:c r="B68" s="285" t="str">
        <x:v>Students</x:v>
      </x:c>
      <x:c r="C68" s="285" t="str">
        <x:v>Student Services</x:v>
      </x:c>
      <x:c r="D68" s="285" t="str">
        <x:v>Student Library</x:v>
      </x:c>
      <x:c r="E68" s="285" t="str">
        <x:v>School Admin, Principal, Class Teacher, Teacher</x:v>
      </x:c>
      <x:c r="F68" s="285" t="str">
        <x:v>School Admin / Shared</x:v>
      </x:c>
      <x:c r="G68" s="285" t="str">
        <x:v>Workflow / Management</x:v>
      </x:c>
      <x:c r="H68" s="285" t="str">
        <x:v>Manage the end-to-end student library workflow within students.</x:v>
      </x:c>
      <x:c r="I68" s="285" t="str">
        <x:v>View, Create / Update, Filter, Export / Print</x:v>
      </x:c>
      <x:c r="J68" s="285" t="str">
        <x:v>Student ID, admission no., name, class, section, status, parent, academic year</x:v>
      </x:c>
      <x:c r="K68" s="285" t="str">
        <x:v>Phase 3</x:v>
      </x:c>
      <x:c r="L68" s="285" t="str">
        <x:v>Workflow / Approval / Detail</x:v>
      </x:c>
      <x:c r="M68" s="285" t="str">
        <x:v>Preserve existing role permissions, APIs and workflows; design reusable responsive UI.</x:v>
      </x:c>
      <x:c r="N68" s="226"/>
      <x:c r="O68" s="226"/>
      <x:c r="P68" s="226"/>
      <x:c r="Q68" s="226"/>
      <x:c r="R68" s="226"/>
      <x:c r="S68" s="226"/>
      <x:c r="T68" s="226"/>
      <x:c r="U68" s="226"/>
      <x:c r="V68" s="226"/>
      <x:c r="W68" s="226"/>
      <x:c r="X68" s="226"/>
      <x:c r="Y68" s="226"/>
      <x:c r="Z68" s="226"/>
    </x:row>
    <x:row r="69">
      <x:c r="A69" s="285" t="str">
        <x:v>SCR-068</x:v>
      </x:c>
      <x:c r="B69" s="285" t="str">
        <x:v>Students</x:v>
      </x:c>
      <x:c r="C69" s="285" t="str">
        <x:v>Student Services</x:v>
      </x:c>
      <x:c r="D69" s="285" t="str">
        <x:v>Siblings &amp; Family</x:v>
      </x:c>
      <x:c r="E69" s="285" t="str">
        <x:v>School Admin, Principal, Class Teacher, Teacher</x:v>
      </x:c>
      <x:c r="F69" s="285" t="str">
        <x:v>School Admin / Shared</x:v>
      </x:c>
      <x:c r="G69" s="285" t="str">
        <x:v>Workflow / Management</x:v>
      </x:c>
      <x:c r="H69" s="285" t="str">
        <x:v>Manage the end-to-end siblings &amp; family workflow within students.</x:v>
      </x:c>
      <x:c r="I69" s="285" t="str">
        <x:v>View, Create / Update, Filter, Export / Print</x:v>
      </x:c>
      <x:c r="J69" s="285" t="str">
        <x:v>Name / title, code, academic year, status, owner, dates, remarks</x:v>
      </x:c>
      <x:c r="K69" s="285" t="str">
        <x:v>Phase 3</x:v>
      </x:c>
      <x:c r="L69" s="285" t="str">
        <x:v>Workflow / Approval / Detail</x:v>
      </x:c>
      <x:c r="M69" s="285" t="str">
        <x:v>Preserve existing role permissions, APIs and workflows; design reusable responsive UI.</x:v>
      </x:c>
      <x:c r="N69" s="226"/>
      <x:c r="O69" s="226"/>
      <x:c r="P69" s="226"/>
      <x:c r="Q69" s="226"/>
      <x:c r="R69" s="226"/>
      <x:c r="S69" s="226"/>
      <x:c r="T69" s="226"/>
      <x:c r="U69" s="226"/>
      <x:c r="V69" s="226"/>
      <x:c r="W69" s="226"/>
      <x:c r="X69" s="226"/>
      <x:c r="Y69" s="226"/>
      <x:c r="Z69" s="226"/>
    </x:row>
    <x:row r="70">
      <x:c r="A70" s="285" t="str">
        <x:v>SCR-069</x:v>
      </x:c>
      <x:c r="B70" s="285" t="str">
        <x:v>Students</x:v>
      </x:c>
      <x:c r="C70" s="285" t="str">
        <x:v>Student Services</x:v>
      </x:c>
      <x:c r="D70" s="285" t="str">
        <x:v>Promotion / Transfer</x:v>
      </x:c>
      <x:c r="E70" s="285" t="str">
        <x:v>School Admin, Principal, Class Teacher, Teacher</x:v>
      </x:c>
      <x:c r="F70" s="285" t="str">
        <x:v>School Admin / Shared</x:v>
      </x:c>
      <x:c r="G70" s="285" t="str">
        <x:v>Workflow / Management</x:v>
      </x:c>
      <x:c r="H70" s="285" t="str">
        <x:v>Manage the end-to-end promotion / transfer workflow within students.</x:v>
      </x:c>
      <x:c r="I70" s="285" t="str">
        <x:v>View, Create / Update, Filter, Export / Print</x:v>
      </x:c>
      <x:c r="J70" s="285" t="str">
        <x:v>Name / title, code, academic year, status, owner, dates, remarks</x:v>
      </x:c>
      <x:c r="K70" s="285" t="str">
        <x:v>Phase 3</x:v>
      </x:c>
      <x:c r="L70" s="285" t="str">
        <x:v>Workflow / Approval / Detail</x:v>
      </x:c>
      <x:c r="M70" s="285" t="str">
        <x:v>Preserve existing role permissions, APIs and workflows; design reusable responsive UI.</x:v>
      </x:c>
      <x:c r="N70" s="226"/>
      <x:c r="O70" s="226"/>
      <x:c r="P70" s="226"/>
      <x:c r="Q70" s="226"/>
      <x:c r="R70" s="226"/>
      <x:c r="S70" s="226"/>
      <x:c r="T70" s="226"/>
      <x:c r="U70" s="226"/>
      <x:c r="V70" s="226"/>
      <x:c r="W70" s="226"/>
      <x:c r="X70" s="226"/>
      <x:c r="Y70" s="226"/>
      <x:c r="Z70" s="226"/>
    </x:row>
    <x:row r="71">
      <x:c r="A71" s="285" t="str">
        <x:v>SCR-070</x:v>
      </x:c>
      <x:c r="B71" s="285" t="str">
        <x:v>Students</x:v>
      </x:c>
      <x:c r="C71" s="285" t="str">
        <x:v>Student Services</x:v>
      </x:c>
      <x:c r="D71" s="285" t="str">
        <x:v>Student Exit / Alumni Conversion</x:v>
      </x:c>
      <x:c r="E71" s="285" t="str">
        <x:v>School Admin, Principal, Class Teacher, Teacher</x:v>
      </x:c>
      <x:c r="F71" s="285" t="str">
        <x:v>School Admin / Shared</x:v>
      </x:c>
      <x:c r="G71" s="285" t="str">
        <x:v>Workflow / Management</x:v>
      </x:c>
      <x:c r="H71" s="285" t="str">
        <x:v>Manage the end-to-end student exit / alumni conversion workflow within students.</x:v>
      </x:c>
      <x:c r="I71" s="285" t="str">
        <x:v>View, Create / Update, Filter, Export / Print</x:v>
      </x:c>
      <x:c r="J71" s="285" t="str">
        <x:v>Student ID, admission no., name, class, section, status, parent, academic year</x:v>
      </x:c>
      <x:c r="K71" s="285" t="str">
        <x:v>Phase 3</x:v>
      </x:c>
      <x:c r="L71" s="285" t="str">
        <x:v>Workflow / Approval / Detail</x:v>
      </x:c>
      <x:c r="M71" s="285" t="str">
        <x:v>Preserve existing role permissions, APIs and workflows; design reusable responsive UI.</x:v>
      </x:c>
      <x:c r="N71" s="226"/>
      <x:c r="O71" s="226"/>
      <x:c r="P71" s="226"/>
      <x:c r="Q71" s="226"/>
      <x:c r="R71" s="226"/>
      <x:c r="S71" s="226"/>
      <x:c r="T71" s="226"/>
      <x:c r="U71" s="226"/>
      <x:c r="V71" s="226"/>
      <x:c r="W71" s="226"/>
      <x:c r="X71" s="226"/>
      <x:c r="Y71" s="226"/>
      <x:c r="Z71" s="226"/>
    </x:row>
    <x:row r="72">
      <x:c r="A72" s="285" t="str">
        <x:v>SCR-071</x:v>
      </x:c>
      <x:c r="B72" s="285" t="str">
        <x:v>Parents &amp; Guardians</x:v>
      </x:c>
      <x:c r="C72" s="285" t="str">
        <x:v>Parents</x:v>
      </x:c>
      <x:c r="D72" s="285" t="str">
        <x:v>Parent / Guardian Directory</x:v>
      </x:c>
      <x:c r="E72" s="285" t="str">
        <x:v>School Admin, Parent, Class Teacher</x:v>
      </x:c>
      <x:c r="F72" s="285" t="str">
        <x:v>School Admin / Shared</x:v>
      </x:c>
      <x:c r="G72" s="285" t="str">
        <x:v>List / Management</x:v>
      </x:c>
      <x:c r="H72" s="285" t="str">
        <x:v>Search, filter and manage records for parent / guardian directory.</x:v>
      </x:c>
      <x:c r="I72" s="285" t="str">
        <x:v>Search, Filter, Sort, Open record</x:v>
      </x:c>
      <x:c r="J72" s="285" t="str">
        <x:v>Guardian name, relationship, mobile, email, linked students, communication preferences</x:v>
      </x:c>
      <x:c r="K72" s="285" t="str">
        <x:v>MVP</x:v>
      </x:c>
      <x:c r="L72" s="285" t="str">
        <x:v>Search + Filter + Data Table</x:v>
      </x:c>
      <x:c r="M72" s="285" t="str">
        <x:v>Preserve existing role permissions, APIs and workflows; design reusable responsive UI.</x:v>
      </x:c>
      <x:c r="N72" s="226"/>
      <x:c r="O72" s="226"/>
      <x:c r="P72" s="226"/>
      <x:c r="Q72" s="226"/>
      <x:c r="R72" s="226"/>
      <x:c r="S72" s="226"/>
      <x:c r="T72" s="226"/>
      <x:c r="U72" s="226"/>
      <x:c r="V72" s="226"/>
      <x:c r="W72" s="226"/>
      <x:c r="X72" s="226"/>
      <x:c r="Y72" s="226"/>
      <x:c r="Z72" s="226"/>
    </x:row>
    <x:row r="73">
      <x:c r="A73" s="285" t="str">
        <x:v>SCR-072</x:v>
      </x:c>
      <x:c r="B73" s="285" t="str">
        <x:v>Parents &amp; Guardians</x:v>
      </x:c>
      <x:c r="C73" s="285" t="str">
        <x:v>Parents</x:v>
      </x:c>
      <x:c r="D73" s="285" t="str">
        <x:v>Add Parent / Guardian</x:v>
      </x:c>
      <x:c r="E73" s="285" t="str">
        <x:v>School Admin, Parent, Class Teacher</x:v>
      </x:c>
      <x:c r="F73" s="285" t="str">
        <x:v>School Admin / Shared</x:v>
      </x:c>
      <x:c r="G73" s="285" t="str">
        <x:v>Create / Transaction</x:v>
      </x:c>
      <x:c r="H73" s="285" t="str">
        <x:v>Capture or process the add parent / guardian workflow while enforcing school rules and validations.</x:v>
      </x:c>
      <x:c r="I73" s="285" t="str">
        <x:v>Create, Save, Validate, Cancel</x:v>
      </x:c>
      <x:c r="J73" s="285" t="str">
        <x:v>Guardian name, relationship, mobile, email, linked students, communication preferences</x:v>
      </x:c>
      <x:c r="K73" s="285" t="str">
        <x:v>MVP</x:v>
      </x:c>
      <x:c r="L73" s="285" t="str">
        <x:v>Form / Wizard</x:v>
      </x:c>
      <x:c r="M73" s="285" t="str">
        <x:v>Preserve existing role permissions, APIs and workflows; design reusable responsive UI.</x:v>
      </x:c>
      <x:c r="N73" s="226"/>
      <x:c r="O73" s="226"/>
      <x:c r="P73" s="226"/>
      <x:c r="Q73" s="226"/>
      <x:c r="R73" s="226"/>
      <x:c r="S73" s="226"/>
      <x:c r="T73" s="226"/>
      <x:c r="U73" s="226"/>
      <x:c r="V73" s="226"/>
      <x:c r="W73" s="226"/>
      <x:c r="X73" s="226"/>
      <x:c r="Y73" s="226"/>
      <x:c r="Z73" s="226"/>
    </x:row>
    <x:row r="74">
      <x:c r="A74" s="285" t="str">
        <x:v>SCR-073</x:v>
      </x:c>
      <x:c r="B74" s="285" t="str">
        <x:v>Parents &amp; Guardians</x:v>
      </x:c>
      <x:c r="C74" s="285" t="str">
        <x:v>Parents</x:v>
      </x:c>
      <x:c r="D74" s="285" t="str">
        <x:v>Parent Profile</x:v>
      </x:c>
      <x:c r="E74" s="285" t="str">
        <x:v>School Admin, Parent, Class Teacher</x:v>
      </x:c>
      <x:c r="F74" s="285" t="str">
        <x:v>School Admin / Shared</x:v>
      </x:c>
      <x:c r="G74" s="285" t="str">
        <x:v>Detail / Profile</x:v>
      </x:c>
      <x:c r="H74" s="285" t="str">
        <x:v>Show the complete record and related activity for parent profile in one structured view.</x:v>
      </x:c>
      <x:c r="I74" s="285" t="str">
        <x:v>View, Edit, Update, View activity</x:v>
      </x:c>
      <x:c r="J74" s="285" t="str">
        <x:v>Guardian name, relationship, mobile, email, linked students, communication preferences</x:v>
      </x:c>
      <x:c r="K74" s="285" t="str">
        <x:v>MVP</x:v>
      </x:c>
      <x:c r="L74" s="285" t="str">
        <x:v>Profile / Detail + Tabs</x:v>
      </x:c>
      <x:c r="M74" s="285" t="str">
        <x:v>Preserve existing role permissions, APIs and workflows; design reusable responsive UI.</x:v>
      </x:c>
      <x:c r="N74" s="226"/>
      <x:c r="O74" s="226"/>
      <x:c r="P74" s="226"/>
      <x:c r="Q74" s="226"/>
      <x:c r="R74" s="226"/>
      <x:c r="S74" s="226"/>
      <x:c r="T74" s="226"/>
      <x:c r="U74" s="226"/>
      <x:c r="V74" s="226"/>
      <x:c r="W74" s="226"/>
      <x:c r="X74" s="226"/>
      <x:c r="Y74" s="226"/>
      <x:c r="Z74" s="226"/>
    </x:row>
    <x:row r="75">
      <x:c r="A75" s="285" t="str">
        <x:v>SCR-074</x:v>
      </x:c>
      <x:c r="B75" s="285" t="str">
        <x:v>Parents &amp; Guardians</x:v>
      </x:c>
      <x:c r="C75" s="285" t="str">
        <x:v>Parents</x:v>
      </x:c>
      <x:c r="D75" s="285" t="str">
        <x:v>Link Children</x:v>
      </x:c>
      <x:c r="E75" s="285" t="str">
        <x:v>School Admin, Parent, Class Teacher</x:v>
      </x:c>
      <x:c r="F75" s="285" t="str">
        <x:v>School Admin / Shared</x:v>
      </x:c>
      <x:c r="G75" s="285" t="str">
        <x:v>Workflow / Management</x:v>
      </x:c>
      <x:c r="H75" s="285" t="str">
        <x:v>Manage the end-to-end link children workflow within parents &amp; guardians.</x:v>
      </x:c>
      <x:c r="I75" s="285" t="str">
        <x:v>View, Create / Update, Filter, Export / Print</x:v>
      </x:c>
      <x:c r="J75" s="285" t="str">
        <x:v>Name / title, code, academic year, status, owner, dates, remarks</x:v>
      </x:c>
      <x:c r="K75" s="285" t="str">
        <x:v>MVP</x:v>
      </x:c>
      <x:c r="L75" s="285" t="str">
        <x:v>Workflow / Approval / Detail</x:v>
      </x:c>
      <x:c r="M75" s="285" t="str">
        <x:v>Preserve existing role permissions, APIs and workflows; design reusable responsive UI.</x:v>
      </x:c>
      <x:c r="N75" s="226"/>
      <x:c r="O75" s="226"/>
      <x:c r="P75" s="226"/>
      <x:c r="Q75" s="226"/>
      <x:c r="R75" s="226"/>
      <x:c r="S75" s="226"/>
      <x:c r="T75" s="226"/>
      <x:c r="U75" s="226"/>
      <x:c r="V75" s="226"/>
      <x:c r="W75" s="226"/>
      <x:c r="X75" s="226"/>
      <x:c r="Y75" s="226"/>
      <x:c r="Z75" s="226"/>
    </x:row>
    <x:row r="76">
      <x:c r="A76" s="285" t="str">
        <x:v>SCR-075</x:v>
      </x:c>
      <x:c r="B76" s="285" t="str">
        <x:v>Parents &amp; Guardians</x:v>
      </x:c>
      <x:c r="C76" s="285" t="str">
        <x:v>Parents</x:v>
      </x:c>
      <x:c r="D76" s="285" t="str">
        <x:v>Communication Preferences</x:v>
      </x:c>
      <x:c r="E76" s="285" t="str">
        <x:v>School Admin, Parent, Class Teacher</x:v>
      </x:c>
      <x:c r="F76" s="285" t="str">
        <x:v>School Admin / Shared</x:v>
      </x:c>
      <x:c r="G76" s="285" t="str">
        <x:v>Configuration</x:v>
      </x:c>
      <x:c r="H76" s="285" t="str">
        <x:v>Configure communication preferences rules and master data used across the ERP.</x:v>
      </x:c>
      <x:c r="I76" s="285" t="str">
        <x:v>View, Create / Update, Filter, Export / Print</x:v>
      </x:c>
      <x:c r="J76" s="285" t="str">
        <x:v>Name / title, code, academic year, status, owner, dates, remarks</x:v>
      </x:c>
      <x:c r="K76" s="285" t="str">
        <x:v>Phase 2</x:v>
      </x:c>
      <x:c r="L76" s="285" t="str">
        <x:v>Settings / Master Data</x:v>
      </x:c>
      <x:c r="M76" s="285" t="str">
        <x:v>Preserve existing role permissions, APIs and workflows; design reusable responsive UI.</x:v>
      </x:c>
      <x:c r="N76" s="226"/>
      <x:c r="O76" s="226"/>
      <x:c r="P76" s="226"/>
      <x:c r="Q76" s="226"/>
      <x:c r="R76" s="226"/>
      <x:c r="S76" s="226"/>
      <x:c r="T76" s="226"/>
      <x:c r="U76" s="226"/>
      <x:c r="V76" s="226"/>
      <x:c r="W76" s="226"/>
      <x:c r="X76" s="226"/>
      <x:c r="Y76" s="226"/>
      <x:c r="Z76" s="226"/>
    </x:row>
    <x:row r="77">
      <x:c r="A77" s="285" t="str">
        <x:v>SCR-076</x:v>
      </x:c>
      <x:c r="B77" s="285" t="str">
        <x:v>Parents &amp; Guardians</x:v>
      </x:c>
      <x:c r="C77" s="285" t="str">
        <x:v>Parents</x:v>
      </x:c>
      <x:c r="D77" s="285" t="str">
        <x:v>Parent Login Access</x:v>
      </x:c>
      <x:c r="E77" s="285" t="str">
        <x:v>School Admin, Parent, Class Teacher</x:v>
      </x:c>
      <x:c r="F77" s="285" t="str">
        <x:v>School Admin / Shared</x:v>
      </x:c>
      <x:c r="G77" s="285" t="str">
        <x:v>Workflow / Management</x:v>
      </x:c>
      <x:c r="H77" s="285" t="str">
        <x:v>Manage the end-to-end parent login access workflow within parents &amp; guardians.</x:v>
      </x:c>
      <x:c r="I77" s="285" t="str">
        <x:v>View, Create / Update, Filter, Export / Print</x:v>
      </x:c>
      <x:c r="J77" s="285" t="str">
        <x:v>Guardian name, relationship, mobile, email, linked students, communication preferences</x:v>
      </x:c>
      <x:c r="K77" s="285" t="str">
        <x:v>Phase 2</x:v>
      </x:c>
      <x:c r="L77" s="285" t="str">
        <x:v>Workflow / Approval / Detail</x:v>
      </x:c>
      <x:c r="M77" s="285" t="str">
        <x:v>Preserve existing role permissions, APIs and workflows; design reusable responsive UI.</x:v>
      </x:c>
      <x:c r="N77" s="226"/>
      <x:c r="O77" s="226"/>
      <x:c r="P77" s="226"/>
      <x:c r="Q77" s="226"/>
      <x:c r="R77" s="226"/>
      <x:c r="S77" s="226"/>
      <x:c r="T77" s="226"/>
      <x:c r="U77" s="226"/>
      <x:c r="V77" s="226"/>
      <x:c r="W77" s="226"/>
      <x:c r="X77" s="226"/>
      <x:c r="Y77" s="226"/>
      <x:c r="Z77" s="226"/>
    </x:row>
    <x:row r="78">
      <x:c r="A78" s="285" t="str">
        <x:v>SCR-077</x:v>
      </x:c>
      <x:c r="B78" s="285" t="str">
        <x:v>Parents &amp; Guardians</x:v>
      </x:c>
      <x:c r="C78" s="285" t="str">
        <x:v>Parents</x:v>
      </x:c>
      <x:c r="D78" s="285" t="str">
        <x:v>Parent-Teacher Interactions</x:v>
      </x:c>
      <x:c r="E78" s="285" t="str">
        <x:v>School Admin, Parent, Class Teacher</x:v>
      </x:c>
      <x:c r="F78" s="285" t="str">
        <x:v>School Admin / Shared</x:v>
      </x:c>
      <x:c r="G78" s="285" t="str">
        <x:v>Workflow / Management</x:v>
      </x:c>
      <x:c r="H78" s="285" t="str">
        <x:v>Manage the end-to-end parent-teacher interactions workflow within parents &amp; guardians.</x:v>
      </x:c>
      <x:c r="I78" s="285" t="str">
        <x:v>View, Create / Update, Filter, Export / Print</x:v>
      </x:c>
      <x:c r="J78" s="285" t="str">
        <x:v>Guardian name, relationship, mobile, email, linked students, communication preferences</x:v>
      </x:c>
      <x:c r="K78" s="285" t="str">
        <x:v>Phase 3</x:v>
      </x:c>
      <x:c r="L78" s="285" t="str">
        <x:v>Workflow / Approval / Detail</x:v>
      </x:c>
      <x:c r="M78" s="285" t="str">
        <x:v>Preserve existing role permissions, APIs and workflows; design reusable responsive UI.</x:v>
      </x:c>
      <x:c r="N78" s="226"/>
      <x:c r="O78" s="226"/>
      <x:c r="P78" s="226"/>
      <x:c r="Q78" s="226"/>
      <x:c r="R78" s="226"/>
      <x:c r="S78" s="226"/>
      <x:c r="T78" s="226"/>
      <x:c r="U78" s="226"/>
      <x:c r="V78" s="226"/>
      <x:c r="W78" s="226"/>
      <x:c r="X78" s="226"/>
      <x:c r="Y78" s="226"/>
      <x:c r="Z78" s="226"/>
    </x:row>
    <x:row r="79">
      <x:c r="A79" s="285" t="str">
        <x:v>SCR-078</x:v>
      </x:c>
      <x:c r="B79" s="285" t="str">
        <x:v>Parents &amp; Guardians</x:v>
      </x:c>
      <x:c r="C79" s="285" t="str">
        <x:v>Parents</x:v>
      </x:c>
      <x:c r="D79" s="285" t="str">
        <x:v>Parent Payments &amp; Receipts</x:v>
      </x:c>
      <x:c r="E79" s="285" t="str">
        <x:v>School Admin, Parent, Class Teacher</x:v>
      </x:c>
      <x:c r="F79" s="285" t="str">
        <x:v>School Admin / Shared</x:v>
      </x:c>
      <x:c r="G79" s="285" t="str">
        <x:v>Detail / Profile</x:v>
      </x:c>
      <x:c r="H79" s="285" t="str">
        <x:v>Show the complete record and related activity for parent payments &amp; receipts in one structured view.</x:v>
      </x:c>
      <x:c r="I79" s="285" t="str">
        <x:v>Calculate, Collect / Process, Generate receipt, Reconcile</x:v>
      </x:c>
      <x:c r="J79" s="285" t="str">
        <x:v>Guardian name, relationship, mobile, email, linked students, communication preferences</x:v>
      </x:c>
      <x:c r="K79" s="285" t="str">
        <x:v>Phase 3</x:v>
      </x:c>
      <x:c r="L79" s="285" t="str">
        <x:v>Profile / Detail + Tabs</x:v>
      </x:c>
      <x:c r="M79" s="285" t="str">
        <x:v>Preserve existing role permissions, APIs and workflows; design reusable responsive UI.</x:v>
      </x:c>
      <x:c r="N79" s="226"/>
      <x:c r="O79" s="226"/>
      <x:c r="P79" s="226"/>
      <x:c r="Q79" s="226"/>
      <x:c r="R79" s="226"/>
      <x:c r="S79" s="226"/>
      <x:c r="T79" s="226"/>
      <x:c r="U79" s="226"/>
      <x:c r="V79" s="226"/>
      <x:c r="W79" s="226"/>
      <x:c r="X79" s="226"/>
      <x:c r="Y79" s="226"/>
      <x:c r="Z79" s="226"/>
    </x:row>
    <x:row r="80">
      <x:c r="A80" s="285" t="str">
        <x:v>SCR-079</x:v>
      </x:c>
      <x:c r="B80" s="285" t="str">
        <x:v>Parents &amp; Guardians</x:v>
      </x:c>
      <x:c r="C80" s="285" t="str">
        <x:v>Parents</x:v>
      </x:c>
      <x:c r="D80" s="285" t="str">
        <x:v>Parent Activity History</x:v>
      </x:c>
      <x:c r="E80" s="285" t="str">
        <x:v>School Admin, Parent, Class Teacher</x:v>
      </x:c>
      <x:c r="F80" s="285" t="str">
        <x:v>School Admin / Shared</x:v>
      </x:c>
      <x:c r="G80" s="285" t="str">
        <x:v>Detail / Profile</x:v>
      </x:c>
      <x:c r="H80" s="285" t="str">
        <x:v>Show the complete record and related activity for parent activity history in one structured view.</x:v>
      </x:c>
      <x:c r="I80" s="285" t="str">
        <x:v>View, Edit, Update, View activity</x:v>
      </x:c>
      <x:c r="J80" s="285" t="str">
        <x:v>Guardian name, relationship, mobile, email, linked students, communication preferences</x:v>
      </x:c>
      <x:c r="K80" s="285" t="str">
        <x:v>Phase 3</x:v>
      </x:c>
      <x:c r="L80" s="285" t="str">
        <x:v>Profile / Detail + Tabs</x:v>
      </x:c>
      <x:c r="M80" s="285" t="str">
        <x:v>Preserve existing role permissions, APIs and workflows; design reusable responsive UI.</x:v>
      </x:c>
      <x:c r="N80" s="226"/>
      <x:c r="O80" s="226"/>
      <x:c r="P80" s="226"/>
      <x:c r="Q80" s="226"/>
      <x:c r="R80" s="226"/>
      <x:c r="S80" s="226"/>
      <x:c r="T80" s="226"/>
      <x:c r="U80" s="226"/>
      <x:c r="V80" s="226"/>
      <x:c r="W80" s="226"/>
      <x:c r="X80" s="226"/>
      <x:c r="Y80" s="226"/>
      <x:c r="Z80" s="226"/>
    </x:row>
    <x:row r="81">
      <x:c r="A81" s="285" t="str">
        <x:v>SCR-080</x:v>
      </x:c>
      <x:c r="B81" s="285" t="str">
        <x:v>Teachers &amp; Staff</x:v>
      </x:c>
      <x:c r="C81" s="285" t="str">
        <x:v>Teachers</x:v>
      </x:c>
      <x:c r="D81" s="285" t="str">
        <x:v>Staff Directory</x:v>
      </x:c>
      <x:c r="E81" s="285" t="str">
        <x:v>School Admin, Principal, HR, Teacher</x:v>
      </x:c>
      <x:c r="F81" s="285" t="str">
        <x:v>School Admin / Shared</x:v>
      </x:c>
      <x:c r="G81" s="285" t="str">
        <x:v>List / Management</x:v>
      </x:c>
      <x:c r="H81" s="285" t="str">
        <x:v>Search, filter and manage records for staff directory.</x:v>
      </x:c>
      <x:c r="I81" s="285" t="str">
        <x:v>Search, Filter, Sort, Open record</x:v>
      </x:c>
      <x:c r="J81" s="285" t="str">
        <x:v>Employee ID, name, department, designation, subjects, contact, status</x:v>
      </x:c>
      <x:c r="K81" s="285" t="str">
        <x:v>MVP</x:v>
      </x:c>
      <x:c r="L81" s="285" t="str">
        <x:v>Search + Filter + Data Table</x:v>
      </x:c>
      <x:c r="M81" s="285" t="str">
        <x:v>Preserve existing role permissions, APIs and workflows; design reusable responsive UI.</x:v>
      </x:c>
      <x:c r="N81" s="226"/>
      <x:c r="O81" s="226"/>
      <x:c r="P81" s="226"/>
      <x:c r="Q81" s="226"/>
      <x:c r="R81" s="226"/>
      <x:c r="S81" s="226"/>
      <x:c r="T81" s="226"/>
      <x:c r="U81" s="226"/>
      <x:c r="V81" s="226"/>
      <x:c r="W81" s="226"/>
      <x:c r="X81" s="226"/>
      <x:c r="Y81" s="226"/>
      <x:c r="Z81" s="226"/>
    </x:row>
    <x:row r="82">
      <x:c r="A82" s="285" t="str">
        <x:v>SCR-081</x:v>
      </x:c>
      <x:c r="B82" s="285" t="str">
        <x:v>Teachers &amp; Staff</x:v>
      </x:c>
      <x:c r="C82" s="285" t="str">
        <x:v>Teachers</x:v>
      </x:c>
      <x:c r="D82" s="285" t="str">
        <x:v>Add Staff</x:v>
      </x:c>
      <x:c r="E82" s="285" t="str">
        <x:v>School Admin, Principal, HR, Teacher</x:v>
      </x:c>
      <x:c r="F82" s="285" t="str">
        <x:v>School Admin / Shared</x:v>
      </x:c>
      <x:c r="G82" s="285" t="str">
        <x:v>Create / Transaction</x:v>
      </x:c>
      <x:c r="H82" s="285" t="str">
        <x:v>Capture or process the add staff workflow while enforcing school rules and validations.</x:v>
      </x:c>
      <x:c r="I82" s="285" t="str">
        <x:v>Create, Save, Validate, Cancel</x:v>
      </x:c>
      <x:c r="J82" s="285" t="str">
        <x:v>Employee ID, name, department, designation, subjects, contact, status</x:v>
      </x:c>
      <x:c r="K82" s="285" t="str">
        <x:v>MVP</x:v>
      </x:c>
      <x:c r="L82" s="285" t="str">
        <x:v>Form / Wizard</x:v>
      </x:c>
      <x:c r="M82" s="285" t="str">
        <x:v>Preserve existing role permissions, APIs and workflows; design reusable responsive UI.</x:v>
      </x:c>
      <x:c r="N82" s="226"/>
      <x:c r="O82" s="226"/>
      <x:c r="P82" s="226"/>
      <x:c r="Q82" s="226"/>
      <x:c r="R82" s="226"/>
      <x:c r="S82" s="226"/>
      <x:c r="T82" s="226"/>
      <x:c r="U82" s="226"/>
      <x:c r="V82" s="226"/>
      <x:c r="W82" s="226"/>
      <x:c r="X82" s="226"/>
      <x:c r="Y82" s="226"/>
      <x:c r="Z82" s="226"/>
    </x:row>
    <x:row r="83">
      <x:c r="A83" s="285" t="str">
        <x:v>SCR-082</x:v>
      </x:c>
      <x:c r="B83" s="285" t="str">
        <x:v>Teachers &amp; Staff</x:v>
      </x:c>
      <x:c r="C83" s="285" t="str">
        <x:v>Teachers</x:v>
      </x:c>
      <x:c r="D83" s="285" t="str">
        <x:v>Staff Profile</x:v>
      </x:c>
      <x:c r="E83" s="285" t="str">
        <x:v>School Admin, Principal, HR, Teacher</x:v>
      </x:c>
      <x:c r="F83" s="285" t="str">
        <x:v>School Admin / Shared</x:v>
      </x:c>
      <x:c r="G83" s="285" t="str">
        <x:v>Detail / Profile</x:v>
      </x:c>
      <x:c r="H83" s="285" t="str">
        <x:v>Show the complete record and related activity for staff profile in one structured view.</x:v>
      </x:c>
      <x:c r="I83" s="285" t="str">
        <x:v>View, Edit, Update, View activity</x:v>
      </x:c>
      <x:c r="J83" s="285" t="str">
        <x:v>Employee ID, name, department, designation, subjects, contact, status</x:v>
      </x:c>
      <x:c r="K83" s="285" t="str">
        <x:v>MVP</x:v>
      </x:c>
      <x:c r="L83" s="285" t="str">
        <x:v>Profile / Detail + Tabs</x:v>
      </x:c>
      <x:c r="M83" s="285" t="str">
        <x:v>Preserve existing role permissions, APIs and workflows; design reusable responsive UI.</x:v>
      </x:c>
      <x:c r="N83" s="226"/>
      <x:c r="O83" s="226"/>
      <x:c r="P83" s="226"/>
      <x:c r="Q83" s="226"/>
      <x:c r="R83" s="226"/>
      <x:c r="S83" s="226"/>
      <x:c r="T83" s="226"/>
      <x:c r="U83" s="226"/>
      <x:c r="V83" s="226"/>
      <x:c r="W83" s="226"/>
      <x:c r="X83" s="226"/>
      <x:c r="Y83" s="226"/>
      <x:c r="Z83" s="226"/>
    </x:row>
    <x:row r="84">
      <x:c r="A84" s="285" t="str">
        <x:v>SCR-083</x:v>
      </x:c>
      <x:c r="B84" s="285" t="str">
        <x:v>Teachers &amp; Staff</x:v>
      </x:c>
      <x:c r="C84" s="285" t="str">
        <x:v>Teachers</x:v>
      </x:c>
      <x:c r="D84" s="285" t="str">
        <x:v>Edit Staff</x:v>
      </x:c>
      <x:c r="E84" s="285" t="str">
        <x:v>School Admin, Principal, HR, Teacher</x:v>
      </x:c>
      <x:c r="F84" s="285" t="str">
        <x:v>School Admin / Shared</x:v>
      </x:c>
      <x:c r="G84" s="285" t="str">
        <x:v>Workflow / Management</x:v>
      </x:c>
      <x:c r="H84" s="285" t="str">
        <x:v>Manage the end-to-end edit staff workflow within teachers &amp; staff.</x:v>
      </x:c>
      <x:c r="I84" s="285" t="str">
        <x:v>View, Edit, Update, View activity</x:v>
      </x:c>
      <x:c r="J84" s="285" t="str">
        <x:v>Employee ID, name, department, designation, subjects, contact, status</x:v>
      </x:c>
      <x:c r="K84" s="285" t="str">
        <x:v>MVP</x:v>
      </x:c>
      <x:c r="L84" s="285" t="str">
        <x:v>Workflow / Approval / Detail</x:v>
      </x:c>
      <x:c r="M84" s="285" t="str">
        <x:v>Preserve existing role permissions, APIs and workflows; design reusable responsive UI.</x:v>
      </x:c>
      <x:c r="N84" s="226"/>
      <x:c r="O84" s="226"/>
      <x:c r="P84" s="226"/>
      <x:c r="Q84" s="226"/>
      <x:c r="R84" s="226"/>
      <x:c r="S84" s="226"/>
      <x:c r="T84" s="226"/>
      <x:c r="U84" s="226"/>
      <x:c r="V84" s="226"/>
      <x:c r="W84" s="226"/>
      <x:c r="X84" s="226"/>
      <x:c r="Y84" s="226"/>
      <x:c r="Z84" s="226"/>
    </x:row>
    <x:row r="85">
      <x:c r="A85" s="285" t="str">
        <x:v>SCR-084</x:v>
      </x:c>
      <x:c r="B85" s="285" t="str">
        <x:v>Teachers &amp; Staff</x:v>
      </x:c>
      <x:c r="C85" s="285" t="str">
        <x:v>Teachers</x:v>
      </x:c>
      <x:c r="D85" s="285" t="str">
        <x:v>Teacher Allocation</x:v>
      </x:c>
      <x:c r="E85" s="285" t="str">
        <x:v>School Admin, Principal, HR, Teacher</x:v>
      </x:c>
      <x:c r="F85" s="285" t="str">
        <x:v>School Admin / Shared</x:v>
      </x:c>
      <x:c r="G85" s="285" t="str">
        <x:v>Workflow / Management</x:v>
      </x:c>
      <x:c r="H85" s="285" t="str">
        <x:v>Manage the end-to-end teacher allocation workflow within teachers &amp; staff.</x:v>
      </x:c>
      <x:c r="I85" s="285" t="str">
        <x:v>View, Create / Update, Filter, Export / Print</x:v>
      </x:c>
      <x:c r="J85" s="285" t="str">
        <x:v>Employee ID, name, department, designation, subjects, contact, status</x:v>
      </x:c>
      <x:c r="K85" s="285" t="str">
        <x:v>MVP</x:v>
      </x:c>
      <x:c r="L85" s="285" t="str">
        <x:v>Workflow / Approval / Detail</x:v>
      </x:c>
      <x:c r="M85" s="285" t="str">
        <x:v>Preserve existing role permissions, APIs and workflows; design reusable responsive UI.</x:v>
      </x:c>
      <x:c r="N85" s="226"/>
      <x:c r="O85" s="226"/>
      <x:c r="P85" s="226"/>
      <x:c r="Q85" s="226"/>
      <x:c r="R85" s="226"/>
      <x:c r="S85" s="226"/>
      <x:c r="T85" s="226"/>
      <x:c r="U85" s="226"/>
      <x:c r="V85" s="226"/>
      <x:c r="W85" s="226"/>
      <x:c r="X85" s="226"/>
      <x:c r="Y85" s="226"/>
      <x:c r="Z85" s="226"/>
    </x:row>
    <x:row r="86">
      <x:c r="A86" s="285" t="str">
        <x:v>SCR-085</x:v>
      </x:c>
      <x:c r="B86" s="285" t="str">
        <x:v>Teachers &amp; Staff</x:v>
      </x:c>
      <x:c r="C86" s="285" t="str">
        <x:v>Teachers</x:v>
      </x:c>
      <x:c r="D86" s="285" t="str">
        <x:v>Subject &amp; Class Assignment</x:v>
      </x:c>
      <x:c r="E86" s="285" t="str">
        <x:v>School Admin, Principal, HR, Teacher</x:v>
      </x:c>
      <x:c r="F86" s="285" t="str">
        <x:v>School Admin / Shared</x:v>
      </x:c>
      <x:c r="G86" s="285" t="str">
        <x:v>Workflow / Management</x:v>
      </x:c>
      <x:c r="H86" s="285" t="str">
        <x:v>Manage the end-to-end subject &amp; class assignment workflow within teachers &amp; staff.</x:v>
      </x:c>
      <x:c r="I86" s="285" t="str">
        <x:v>View, Create / Update, Filter, Export / Print</x:v>
      </x:c>
      <x:c r="J86" s="285" t="str">
        <x:v>Name / title, code, academic year, status, owner, dates, remarks</x:v>
      </x:c>
      <x:c r="K86" s="285" t="str">
        <x:v>MVP</x:v>
      </x:c>
      <x:c r="L86" s="285" t="str">
        <x:v>Workflow / Approval / Detail</x:v>
      </x:c>
      <x:c r="M86" s="285" t="str">
        <x:v>Preserve existing role permissions, APIs and workflows; design reusable responsive UI.</x:v>
      </x:c>
      <x:c r="N86" s="226"/>
      <x:c r="O86" s="226"/>
      <x:c r="P86" s="226"/>
      <x:c r="Q86" s="226"/>
      <x:c r="R86" s="226"/>
      <x:c r="S86" s="226"/>
      <x:c r="T86" s="226"/>
      <x:c r="U86" s="226"/>
      <x:c r="V86" s="226"/>
      <x:c r="W86" s="226"/>
      <x:c r="X86" s="226"/>
      <x:c r="Y86" s="226"/>
      <x:c r="Z86" s="226"/>
    </x:row>
    <x:row r="87">
      <x:c r="A87" s="285" t="str">
        <x:v>SCR-086</x:v>
      </x:c>
      <x:c r="B87" s="285" t="str">
        <x:v>Teachers &amp; Staff</x:v>
      </x:c>
      <x:c r="C87" s="285" t="str">
        <x:v>Teachers</x:v>
      </x:c>
      <x:c r="D87" s="285" t="str">
        <x:v>Teacher Workload</x:v>
      </x:c>
      <x:c r="E87" s="285" t="str">
        <x:v>School Admin, Principal, HR, Teacher</x:v>
      </x:c>
      <x:c r="F87" s="285" t="str">
        <x:v>School Admin / Shared</x:v>
      </x:c>
      <x:c r="G87" s="285" t="str">
        <x:v>Workflow / Management</x:v>
      </x:c>
      <x:c r="H87" s="285" t="str">
        <x:v>Manage the end-to-end teacher workload workflow within teachers &amp; staff.</x:v>
      </x:c>
      <x:c r="I87" s="285" t="str">
        <x:v>View, Create / Update, Filter, Export / Print</x:v>
      </x:c>
      <x:c r="J87" s="285" t="str">
        <x:v>Employee ID, name, department, designation, subjects, contact, status</x:v>
      </x:c>
      <x:c r="K87" s="285" t="str">
        <x:v>Phase 2</x:v>
      </x:c>
      <x:c r="L87" s="285" t="str">
        <x:v>Workflow / Approval / Detail</x:v>
      </x:c>
      <x:c r="M87" s="285" t="str">
        <x:v>Preserve existing role permissions, APIs and workflows; design reusable responsive UI.</x:v>
      </x:c>
      <x:c r="N87" s="226"/>
      <x:c r="O87" s="226"/>
      <x:c r="P87" s="226"/>
      <x:c r="Q87" s="226"/>
      <x:c r="R87" s="226"/>
      <x:c r="S87" s="226"/>
      <x:c r="T87" s="226"/>
      <x:c r="U87" s="226"/>
      <x:c r="V87" s="226"/>
      <x:c r="W87" s="226"/>
      <x:c r="X87" s="226"/>
      <x:c r="Y87" s="226"/>
      <x:c r="Z87" s="226"/>
    </x:row>
    <x:row r="88">
      <x:c r="A88" s="285" t="str">
        <x:v>SCR-087</x:v>
      </x:c>
      <x:c r="B88" s="285" t="str">
        <x:v>Teachers &amp; Staff</x:v>
      </x:c>
      <x:c r="C88" s="285" t="str">
        <x:v>Teachers</x:v>
      </x:c>
      <x:c r="D88" s="285" t="str">
        <x:v>Qualifications &amp; Documents</x:v>
      </x:c>
      <x:c r="E88" s="285" t="str">
        <x:v>School Admin, Principal, HR, Teacher</x:v>
      </x:c>
      <x:c r="F88" s="285" t="str">
        <x:v>School Admin / Shared</x:v>
      </x:c>
      <x:c r="G88" s="285" t="str">
        <x:v>Workflow / Management</x:v>
      </x:c>
      <x:c r="H88" s="285" t="str">
        <x:v>Manage the end-to-end qualifications &amp; documents workflow within teachers &amp; staff.</x:v>
      </x:c>
      <x:c r="I88" s="285" t="str">
        <x:v>View, Create / Update, Filter, Export / Print</x:v>
      </x:c>
      <x:c r="J88" s="285" t="str">
        <x:v>Document / certificate type, owner, issue/upload date, file, verification status, reference no.</x:v>
      </x:c>
      <x:c r="K88" s="285" t="str">
        <x:v>Phase 2</x:v>
      </x:c>
      <x:c r="L88" s="285" t="str">
        <x:v>Workflow / Approval / Detail</x:v>
      </x:c>
      <x:c r="M88" s="285" t="str">
        <x:v>Preserve existing role permissions, APIs and workflows; design reusable responsive UI.</x:v>
      </x:c>
      <x:c r="N88" s="226"/>
      <x:c r="O88" s="226"/>
      <x:c r="P88" s="226"/>
      <x:c r="Q88" s="226"/>
      <x:c r="R88" s="226"/>
      <x:c r="S88" s="226"/>
      <x:c r="T88" s="226"/>
      <x:c r="U88" s="226"/>
      <x:c r="V88" s="226"/>
      <x:c r="W88" s="226"/>
      <x:c r="X88" s="226"/>
      <x:c r="Y88" s="226"/>
      <x:c r="Z88" s="226"/>
    </x:row>
    <x:row r="89">
      <x:c r="A89" s="285" t="str">
        <x:v>SCR-088</x:v>
      </x:c>
      <x:c r="B89" s="285" t="str">
        <x:v>Teachers &amp; Staff</x:v>
      </x:c>
      <x:c r="C89" s="285" t="str">
        <x:v>Teachers</x:v>
      </x:c>
      <x:c r="D89" s="285" t="str">
        <x:v>Staff Attendance Summary</x:v>
      </x:c>
      <x:c r="E89" s="285" t="str">
        <x:v>School Admin, Principal, HR, Teacher</x:v>
      </x:c>
      <x:c r="F89" s="285" t="str">
        <x:v>School Admin / Shared</x:v>
      </x:c>
      <x:c r="G89" s="285" t="str">
        <x:v>Report / Analytics</x:v>
      </x:c>
      <x:c r="H89" s="285" t="str">
        <x:v>Analyze staff attendance summary data using filters, summaries and export-ready results.</x:v>
      </x:c>
      <x:c r="I89" s="285" t="str">
        <x:v>Filter, Drill down, Export, Print</x:v>
      </x:c>
      <x:c r="J89" s="285" t="str">
        <x:v>Employee ID, name, department, designation, subjects, contact, status</x:v>
      </x:c>
      <x:c r="K89" s="285" t="str">
        <x:v>Phase 3</x:v>
      </x:c>
      <x:c r="L89" s="285" t="str">
        <x:v>Filters + KPI + Table / Chart</x:v>
      </x:c>
      <x:c r="M89" s="285" t="str">
        <x:v>Preserve existing role permissions, APIs and workflows; design reusable responsive UI.</x:v>
      </x:c>
      <x:c r="N89" s="226"/>
      <x:c r="O89" s="226"/>
      <x:c r="P89" s="226"/>
      <x:c r="Q89" s="226"/>
      <x:c r="R89" s="226"/>
      <x:c r="S89" s="226"/>
      <x:c r="T89" s="226"/>
      <x:c r="U89" s="226"/>
      <x:c r="V89" s="226"/>
      <x:c r="W89" s="226"/>
      <x:c r="X89" s="226"/>
      <x:c r="Y89" s="226"/>
      <x:c r="Z89" s="226"/>
    </x:row>
    <x:row r="90">
      <x:c r="A90" s="285" t="str">
        <x:v>SCR-089</x:v>
      </x:c>
      <x:c r="B90" s="285" t="str">
        <x:v>Teachers &amp; Staff</x:v>
      </x:c>
      <x:c r="C90" s="285" t="str">
        <x:v>Teachers</x:v>
      </x:c>
      <x:c r="D90" s="285" t="str">
        <x:v>Staff Leave Summary</x:v>
      </x:c>
      <x:c r="E90" s="285" t="str">
        <x:v>School Admin, Principal, HR, Teacher</x:v>
      </x:c>
      <x:c r="F90" s="285" t="str">
        <x:v>School Admin / Shared</x:v>
      </x:c>
      <x:c r="G90" s="285" t="str">
        <x:v>Report / Analytics</x:v>
      </x:c>
      <x:c r="H90" s="285" t="str">
        <x:v>Analyze staff leave summary data using filters, summaries and export-ready results.</x:v>
      </x:c>
      <x:c r="I90" s="285" t="str">
        <x:v>Filter, Drill down, Export, Print</x:v>
      </x:c>
      <x:c r="J90" s="285" t="str">
        <x:v>Employee ID, name, department, designation, subjects, contact, status</x:v>
      </x:c>
      <x:c r="K90" s="285" t="str">
        <x:v>Phase 3</x:v>
      </x:c>
      <x:c r="L90" s="285" t="str">
        <x:v>Filters + KPI + Table / Chart</x:v>
      </x:c>
      <x:c r="M90" s="285" t="str">
        <x:v>Preserve existing role permissions, APIs and workflows; design reusable responsive UI.</x:v>
      </x:c>
      <x:c r="N90" s="226"/>
      <x:c r="O90" s="226"/>
      <x:c r="P90" s="226"/>
      <x:c r="Q90" s="226"/>
      <x:c r="R90" s="226"/>
      <x:c r="S90" s="226"/>
      <x:c r="T90" s="226"/>
      <x:c r="U90" s="226"/>
      <x:c r="V90" s="226"/>
      <x:c r="W90" s="226"/>
      <x:c r="X90" s="226"/>
      <x:c r="Y90" s="226"/>
      <x:c r="Z90" s="226"/>
    </x:row>
    <x:row r="91">
      <x:c r="A91" s="285" t="str">
        <x:v>SCR-090</x:v>
      </x:c>
      <x:c r="B91" s="285" t="str">
        <x:v>Teachers &amp; Staff</x:v>
      </x:c>
      <x:c r="C91" s="285" t="str">
        <x:v>Teachers</x:v>
      </x:c>
      <x:c r="D91" s="285" t="str">
        <x:v>Performance &amp; Classroom Observation</x:v>
      </x:c>
      <x:c r="E91" s="285" t="str">
        <x:v>School Admin, Principal, HR, Teacher</x:v>
      </x:c>
      <x:c r="F91" s="285" t="str">
        <x:v>School Admin / Shared</x:v>
      </x:c>
      <x:c r="G91" s="285" t="str">
        <x:v>Workflow / Management</x:v>
      </x:c>
      <x:c r="H91" s="285" t="str">
        <x:v>Manage the end-to-end performance &amp; classroom observation workflow within teachers &amp; staff.</x:v>
      </x:c>
      <x:c r="I91" s="285" t="str">
        <x:v>View, Create / Update, Filter, Export / Print</x:v>
      </x:c>
      <x:c r="J91" s="285" t="str">
        <x:v>Hostel, room, bed, student, allocation date, warden, status</x:v>
      </x:c>
      <x:c r="K91" s="285" t="str">
        <x:v>Phase 3</x:v>
      </x:c>
      <x:c r="L91" s="285" t="str">
        <x:v>Workflow / Approval / Detail</x:v>
      </x:c>
      <x:c r="M91" s="285" t="str">
        <x:v>Preserve existing role permissions, APIs and workflows; design reusable responsive UI.</x:v>
      </x:c>
      <x:c r="N91" s="226"/>
      <x:c r="O91" s="226"/>
      <x:c r="P91" s="226"/>
      <x:c r="Q91" s="226"/>
      <x:c r="R91" s="226"/>
      <x:c r="S91" s="226"/>
      <x:c r="T91" s="226"/>
      <x:c r="U91" s="226"/>
      <x:c r="V91" s="226"/>
      <x:c r="W91" s="226"/>
      <x:c r="X91" s="226"/>
      <x:c r="Y91" s="226"/>
      <x:c r="Z91" s="226"/>
    </x:row>
    <x:row r="92">
      <x:c r="A92" s="285" t="str">
        <x:v>SCR-091</x:v>
      </x:c>
      <x:c r="B92" s="285" t="str">
        <x:v>Teachers &amp; Staff</x:v>
      </x:c>
      <x:c r="C92" s="285" t="str">
        <x:v>Teachers</x:v>
      </x:c>
      <x:c r="D92" s="285" t="str">
        <x:v>Exit / Offboarding</x:v>
      </x:c>
      <x:c r="E92" s="285" t="str">
        <x:v>School Admin, Principal, HR, Teacher</x:v>
      </x:c>
      <x:c r="F92" s="285" t="str">
        <x:v>School Admin / Shared</x:v>
      </x:c>
      <x:c r="G92" s="285" t="str">
        <x:v>Workflow / Management</x:v>
      </x:c>
      <x:c r="H92" s="285" t="str">
        <x:v>Manage the end-to-end exit / offboarding workflow within teachers &amp; staff.</x:v>
      </x:c>
      <x:c r="I92" s="285" t="str">
        <x:v>View, Create / Update, Filter, Export / Print</x:v>
      </x:c>
      <x:c r="J92" s="285" t="str">
        <x:v>Name / title, code, academic year, status, owner, dates, remarks</x:v>
      </x:c>
      <x:c r="K92" s="285" t="str">
        <x:v>Phase 3</x:v>
      </x:c>
      <x:c r="L92" s="285" t="str">
        <x:v>Workflow / Approval / Detail</x:v>
      </x:c>
      <x:c r="M92" s="285" t="str">
        <x:v>Preserve existing role permissions, APIs and workflows; design reusable responsive UI.</x:v>
      </x:c>
      <x:c r="N92" s="226"/>
      <x:c r="O92" s="226"/>
      <x:c r="P92" s="226"/>
      <x:c r="Q92" s="226"/>
      <x:c r="R92" s="226"/>
      <x:c r="S92" s="226"/>
      <x:c r="T92" s="226"/>
      <x:c r="U92" s="226"/>
      <x:c r="V92" s="226"/>
      <x:c r="W92" s="226"/>
      <x:c r="X92" s="226"/>
      <x:c r="Y92" s="226"/>
      <x:c r="Z92" s="226"/>
    </x:row>
    <x:row r="93">
      <x:c r="A93" s="285" t="str">
        <x:v>SCR-092</x:v>
      </x:c>
      <x:c r="B93" s="285" t="str">
        <x:v>Academics &amp; Curriculum</x:v>
      </x:c>
      <x:c r="C93" s="285" t="str">
        <x:v>Academic Masters</x:v>
      </x:c>
      <x:c r="D93" s="285" t="str">
        <x:v>Academic Years</x:v>
      </x:c>
      <x:c r="E93" s="285" t="str">
        <x:v>Academic Coordinator, Principal, School Admin, Teacher</x:v>
      </x:c>
      <x:c r="F93" s="285" t="str">
        <x:v>School Admin / Shared</x:v>
      </x:c>
      <x:c r="G93" s="285" t="str">
        <x:v>Configuration</x:v>
      </x:c>
      <x:c r="H93" s="285" t="str">
        <x:v>Configure academic years rules and master data used across the ERP.</x:v>
      </x:c>
      <x:c r="I93" s="285" t="str">
        <x:v>View, Create / Update, Filter, Export / Print</x:v>
      </x:c>
      <x:c r="J93" s="285" t="str">
        <x:v>Name / title, code, academic year, status, owner, dates, remarks</x:v>
      </x:c>
      <x:c r="K93" s="285" t="str">
        <x:v>MVP</x:v>
      </x:c>
      <x:c r="L93" s="285" t="str">
        <x:v>Settings / Master Data</x:v>
      </x:c>
      <x:c r="M93" s="285" t="str">
        <x:v>Preserve existing role permissions, APIs and workflows; design reusable responsive UI.</x:v>
      </x:c>
      <x:c r="N93" s="226"/>
      <x:c r="O93" s="226"/>
      <x:c r="P93" s="226"/>
      <x:c r="Q93" s="226"/>
      <x:c r="R93" s="226"/>
      <x:c r="S93" s="226"/>
      <x:c r="T93" s="226"/>
      <x:c r="U93" s="226"/>
      <x:c r="V93" s="226"/>
      <x:c r="W93" s="226"/>
      <x:c r="X93" s="226"/>
      <x:c r="Y93" s="226"/>
      <x:c r="Z93" s="226"/>
    </x:row>
    <x:row r="94">
      <x:c r="A94" s="285" t="str">
        <x:v>SCR-093</x:v>
      </x:c>
      <x:c r="B94" s="285" t="str">
        <x:v>Academics &amp; Curriculum</x:v>
      </x:c>
      <x:c r="C94" s="285" t="str">
        <x:v>Academic Masters</x:v>
      </x:c>
      <x:c r="D94" s="285" t="str">
        <x:v>Terms / Semesters</x:v>
      </x:c>
      <x:c r="E94" s="285" t="str">
        <x:v>Academic Coordinator, Principal, School Admin, Teacher</x:v>
      </x:c>
      <x:c r="F94" s="285" t="str">
        <x:v>School Admin / Shared</x:v>
      </x:c>
      <x:c r="G94" s="285" t="str">
        <x:v>Workflow / Management</x:v>
      </x:c>
      <x:c r="H94" s="285" t="str">
        <x:v>Manage the end-to-end terms / semesters workflow within academics &amp; curriculum.</x:v>
      </x:c>
      <x:c r="I94" s="285" t="str">
        <x:v>View, Create / Update, Filter, Export / Print</x:v>
      </x:c>
      <x:c r="J94" s="285" t="str">
        <x:v>Name / title, code, academic year, status, owner, dates, remarks</x:v>
      </x:c>
      <x:c r="K94" s="285" t="str">
        <x:v>MVP</x:v>
      </x:c>
      <x:c r="L94" s="285" t="str">
        <x:v>Workflow / Approval / Detail</x:v>
      </x:c>
      <x:c r="M94" s="285" t="str">
        <x:v>Preserve existing role permissions, APIs and workflows; design reusable responsive UI.</x:v>
      </x:c>
      <x:c r="N94" s="226"/>
      <x:c r="O94" s="226"/>
      <x:c r="P94" s="226"/>
      <x:c r="Q94" s="226"/>
      <x:c r="R94" s="226"/>
      <x:c r="S94" s="226"/>
      <x:c r="T94" s="226"/>
      <x:c r="U94" s="226"/>
      <x:c r="V94" s="226"/>
      <x:c r="W94" s="226"/>
      <x:c r="X94" s="226"/>
      <x:c r="Y94" s="226"/>
      <x:c r="Z94" s="226"/>
    </x:row>
    <x:row r="95">
      <x:c r="A95" s="285" t="str">
        <x:v>SCR-094</x:v>
      </x:c>
      <x:c r="B95" s="285" t="str">
        <x:v>Academics &amp; Curriculum</x:v>
      </x:c>
      <x:c r="C95" s="285" t="str">
        <x:v>Academic Masters</x:v>
      </x:c>
      <x:c r="D95" s="285" t="str">
        <x:v>Grades / Classes</x:v>
      </x:c>
      <x:c r="E95" s="285" t="str">
        <x:v>Academic Coordinator, Principal, School Admin, Teacher</x:v>
      </x:c>
      <x:c r="F95" s="285" t="str">
        <x:v>School Admin / Shared</x:v>
      </x:c>
      <x:c r="G95" s="285" t="str">
        <x:v>Workflow / Management</x:v>
      </x:c>
      <x:c r="H95" s="285" t="str">
        <x:v>Manage the end-to-end grades / classes workflow within academics &amp; curriculum.</x:v>
      </x:c>
      <x:c r="I95" s="285" t="str">
        <x:v>View, Create / Update, Filter, Export / Print</x:v>
      </x:c>
      <x:c r="J95" s="285" t="str">
        <x:v>Exam, class, subject, date, max marks, pass marks, score, grade, remarks</x:v>
      </x:c>
      <x:c r="K95" s="285" t="str">
        <x:v>MVP</x:v>
      </x:c>
      <x:c r="L95" s="285" t="str">
        <x:v>Workflow / Approval / Detail</x:v>
      </x:c>
      <x:c r="M95" s="285" t="str">
        <x:v>Preserve existing role permissions, APIs and workflows; design reusable responsive UI.</x:v>
      </x:c>
      <x:c r="N95" s="226"/>
      <x:c r="O95" s="226"/>
      <x:c r="P95" s="226"/>
      <x:c r="Q95" s="226"/>
      <x:c r="R95" s="226"/>
      <x:c r="S95" s="226"/>
      <x:c r="T95" s="226"/>
      <x:c r="U95" s="226"/>
      <x:c r="V95" s="226"/>
      <x:c r="W95" s="226"/>
      <x:c r="X95" s="226"/>
      <x:c r="Y95" s="226"/>
      <x:c r="Z95" s="226"/>
    </x:row>
    <x:row r="96">
      <x:c r="A96" s="285" t="str">
        <x:v>SCR-095</x:v>
      </x:c>
      <x:c r="B96" s="285" t="str">
        <x:v>Academics &amp; Curriculum</x:v>
      </x:c>
      <x:c r="C96" s="285" t="str">
        <x:v>Academic Masters</x:v>
      </x:c>
      <x:c r="D96" s="285" t="str">
        <x:v>Sections</x:v>
      </x:c>
      <x:c r="E96" s="285" t="str">
        <x:v>Academic Coordinator, Principal, School Admin, Teacher</x:v>
      </x:c>
      <x:c r="F96" s="285" t="str">
        <x:v>School Admin / Shared</x:v>
      </x:c>
      <x:c r="G96" s="285" t="str">
        <x:v>List / Management</x:v>
      </x:c>
      <x:c r="H96" s="285" t="str">
        <x:v>Search, filter and manage records for sections.</x:v>
      </x:c>
      <x:c r="I96" s="285" t="str">
        <x:v>Search, Filter, Sort, Open record</x:v>
      </x:c>
      <x:c r="J96" s="285" t="str">
        <x:v>Name / title, code, academic year, status, owner, dates, remarks</x:v>
      </x:c>
      <x:c r="K96" s="285" t="str">
        <x:v>MVP</x:v>
      </x:c>
      <x:c r="L96" s="285" t="str">
        <x:v>Search + Filter + Data Table</x:v>
      </x:c>
      <x:c r="M96" s="285" t="str">
        <x:v>Preserve existing role permissions, APIs and workflows; design reusable responsive UI.</x:v>
      </x:c>
      <x:c r="N96" s="226"/>
      <x:c r="O96" s="226"/>
      <x:c r="P96" s="226"/>
      <x:c r="Q96" s="226"/>
      <x:c r="R96" s="226"/>
      <x:c r="S96" s="226"/>
      <x:c r="T96" s="226"/>
      <x:c r="U96" s="226"/>
      <x:c r="V96" s="226"/>
      <x:c r="W96" s="226"/>
      <x:c r="X96" s="226"/>
      <x:c r="Y96" s="226"/>
      <x:c r="Z96" s="226"/>
    </x:row>
    <x:row r="97">
      <x:c r="A97" s="285" t="str">
        <x:v>SCR-096</x:v>
      </x:c>
      <x:c r="B97" s="285" t="str">
        <x:v>Academics &amp; Curriculum</x:v>
      </x:c>
      <x:c r="C97" s="285" t="str">
        <x:v>Academic Masters</x:v>
      </x:c>
      <x:c r="D97" s="285" t="str">
        <x:v>Subjects</x:v>
      </x:c>
      <x:c r="E97" s="285" t="str">
        <x:v>Academic Coordinator, Principal, School Admin, Teacher</x:v>
      </x:c>
      <x:c r="F97" s="285" t="str">
        <x:v>School Admin / Shared</x:v>
      </x:c>
      <x:c r="G97" s="285" t="str">
        <x:v>List / Management</x:v>
      </x:c>
      <x:c r="H97" s="285" t="str">
        <x:v>Search, filter and manage records for subjects.</x:v>
      </x:c>
      <x:c r="I97" s="285" t="str">
        <x:v>Search, Filter, Sort, Open record</x:v>
      </x:c>
      <x:c r="J97" s="285" t="str">
        <x:v>Name / title, code, academic year, status, owner, dates, remarks</x:v>
      </x:c>
      <x:c r="K97" s="285" t="str">
        <x:v>MVP</x:v>
      </x:c>
      <x:c r="L97" s="285" t="str">
        <x:v>Search + Filter + Data Table</x:v>
      </x:c>
      <x:c r="M97" s="285" t="str">
        <x:v>Preserve existing role permissions, APIs and workflows; design reusable responsive UI.</x:v>
      </x:c>
      <x:c r="N97" s="226"/>
      <x:c r="O97" s="226"/>
      <x:c r="P97" s="226"/>
      <x:c r="Q97" s="226"/>
      <x:c r="R97" s="226"/>
      <x:c r="S97" s="226"/>
      <x:c r="T97" s="226"/>
      <x:c r="U97" s="226"/>
      <x:c r="V97" s="226"/>
      <x:c r="W97" s="226"/>
      <x:c r="X97" s="226"/>
      <x:c r="Y97" s="226"/>
      <x:c r="Z97" s="226"/>
    </x:row>
    <x:row r="98">
      <x:c r="A98" s="285" t="str">
        <x:v>SCR-097</x:v>
      </x:c>
      <x:c r="B98" s="285" t="str">
        <x:v>Academics &amp; Curriculum</x:v>
      </x:c>
      <x:c r="C98" s="285" t="str">
        <x:v>Academic Masters</x:v>
      </x:c>
      <x:c r="D98" s="285" t="str">
        <x:v>Subject Groups</x:v>
      </x:c>
      <x:c r="E98" s="285" t="str">
        <x:v>Academic Coordinator, Principal, School Admin, Teacher</x:v>
      </x:c>
      <x:c r="F98" s="285" t="str">
        <x:v>School Admin / Shared</x:v>
      </x:c>
      <x:c r="G98" s="285" t="str">
        <x:v>Workflow / Management</x:v>
      </x:c>
      <x:c r="H98" s="285" t="str">
        <x:v>Manage the end-to-end subject groups workflow within academics &amp; curriculum.</x:v>
      </x:c>
      <x:c r="I98" s="285" t="str">
        <x:v>View, Create / Update, Filter, Export / Print</x:v>
      </x:c>
      <x:c r="J98" s="285" t="str">
        <x:v>Name / title, code, academic year, status, owner, dates, remarks</x:v>
      </x:c>
      <x:c r="K98" s="285" t="str">
        <x:v>MVP</x:v>
      </x:c>
      <x:c r="L98" s="285" t="str">
        <x:v>Workflow / Approval / Detail</x:v>
      </x:c>
      <x:c r="M98" s="285" t="str">
        <x:v>Preserve existing role permissions, APIs and workflows; design reusable responsive UI.</x:v>
      </x:c>
      <x:c r="N98" s="226"/>
      <x:c r="O98" s="226"/>
      <x:c r="P98" s="226"/>
      <x:c r="Q98" s="226"/>
      <x:c r="R98" s="226"/>
      <x:c r="S98" s="226"/>
      <x:c r="T98" s="226"/>
      <x:c r="U98" s="226"/>
      <x:c r="V98" s="226"/>
      <x:c r="W98" s="226"/>
      <x:c r="X98" s="226"/>
      <x:c r="Y98" s="226"/>
      <x:c r="Z98" s="226"/>
    </x:row>
    <x:row r="99">
      <x:c r="A99" s="285" t="str">
        <x:v>SCR-098</x:v>
      </x:c>
      <x:c r="B99" s="285" t="str">
        <x:v>Academics &amp; Curriculum</x:v>
      </x:c>
      <x:c r="C99" s="285" t="str">
        <x:v>Curriculum &amp; Teaching</x:v>
      </x:c>
      <x:c r="D99" s="285" t="str">
        <x:v>Curriculum</x:v>
      </x:c>
      <x:c r="E99" s="285" t="str">
        <x:v>Academic Coordinator, Principal, School Admin, Teacher</x:v>
      </x:c>
      <x:c r="F99" s="285" t="str">
        <x:v>School Admin / Shared</x:v>
      </x:c>
      <x:c r="G99" s="285" t="str">
        <x:v>Workflow / Management</x:v>
      </x:c>
      <x:c r="H99" s="285" t="str">
        <x:v>Manage the end-to-end curriculum workflow within academics &amp; curriculum.</x:v>
      </x:c>
      <x:c r="I99" s="285" t="str">
        <x:v>View, Create / Update, Filter, Export / Print</x:v>
      </x:c>
      <x:c r="J99" s="285" t="str">
        <x:v>Name / title, code, academic year, status, owner, dates, remarks</x:v>
      </x:c>
      <x:c r="K99" s="285" t="str">
        <x:v>MVP</x:v>
      </x:c>
      <x:c r="L99" s="285" t="str">
        <x:v>Workflow / Approval / Detail</x:v>
      </x:c>
      <x:c r="M99" s="285" t="str">
        <x:v>Preserve existing role permissions, APIs and workflows; design reusable responsive UI.</x:v>
      </x:c>
      <x:c r="N99" s="226"/>
      <x:c r="O99" s="226"/>
      <x:c r="P99" s="226"/>
      <x:c r="Q99" s="226"/>
      <x:c r="R99" s="226"/>
      <x:c r="S99" s="226"/>
      <x:c r="T99" s="226"/>
      <x:c r="U99" s="226"/>
      <x:c r="V99" s="226"/>
      <x:c r="W99" s="226"/>
      <x:c r="X99" s="226"/>
      <x:c r="Y99" s="226"/>
      <x:c r="Z99" s="226"/>
    </x:row>
    <x:row r="100">
      <x:c r="A100" s="285" t="str">
        <x:v>SCR-099</x:v>
      </x:c>
      <x:c r="B100" s="285" t="str">
        <x:v>Academics &amp; Curriculum</x:v>
      </x:c>
      <x:c r="C100" s="285" t="str">
        <x:v>Curriculum &amp; Teaching</x:v>
      </x:c>
      <x:c r="D100" s="285" t="str">
        <x:v>Curriculum Details</x:v>
      </x:c>
      <x:c r="E100" s="285" t="str">
        <x:v>Academic Coordinator, Principal, School Admin, Teacher</x:v>
      </x:c>
      <x:c r="F100" s="285" t="str">
        <x:v>School Admin / Shared</x:v>
      </x:c>
      <x:c r="G100" s="285" t="str">
        <x:v>Detail / Profile</x:v>
      </x:c>
      <x:c r="H100" s="285" t="str">
        <x:v>Show the complete record and related activity for curriculum details in one structured view.</x:v>
      </x:c>
      <x:c r="I100" s="285" t="str">
        <x:v>View, Edit, Update, View activity</x:v>
      </x:c>
      <x:c r="J100" s="285" t="str">
        <x:v>Name / title, code, academic year, status, owner, dates, remarks</x:v>
      </x:c>
      <x:c r="K100" s="285" t="str">
        <x:v>MVP</x:v>
      </x:c>
      <x:c r="L100" s="285" t="str">
        <x:v>Profile / Detail + Tabs</x:v>
      </x:c>
      <x:c r="M100" s="285" t="str">
        <x:v>Preserve existing role permissions, APIs and workflows; design reusable responsive UI.</x:v>
      </x:c>
      <x:c r="N100" s="226"/>
      <x:c r="O100" s="226"/>
      <x:c r="P100" s="226"/>
      <x:c r="Q100" s="226"/>
      <x:c r="R100" s="226"/>
      <x:c r="S100" s="226"/>
      <x:c r="T100" s="226"/>
      <x:c r="U100" s="226"/>
      <x:c r="V100" s="226"/>
      <x:c r="W100" s="226"/>
      <x:c r="X100" s="226"/>
      <x:c r="Y100" s="226"/>
      <x:c r="Z100" s="226"/>
    </x:row>
    <x:row r="101">
      <x:c r="A101" s="285" t="str">
        <x:v>SCR-100</x:v>
      </x:c>
      <x:c r="B101" s="285" t="str">
        <x:v>Academics &amp; Curriculum</x:v>
      </x:c>
      <x:c r="C101" s="285" t="str">
        <x:v>Curriculum &amp; Teaching</x:v>
      </x:c>
      <x:c r="D101" s="285" t="str">
        <x:v>Units / Chapters / Topics</x:v>
      </x:c>
      <x:c r="E101" s="285" t="str">
        <x:v>Academic Coordinator, Principal, School Admin, Teacher</x:v>
      </x:c>
      <x:c r="F101" s="285" t="str">
        <x:v>School Admin / Shared</x:v>
      </x:c>
      <x:c r="G101" s="285" t="str">
        <x:v>Workflow / Management</x:v>
      </x:c>
      <x:c r="H101" s="285" t="str">
        <x:v>Manage the end-to-end units / chapters / topics workflow within academics &amp; curriculum.</x:v>
      </x:c>
      <x:c r="I101" s="285" t="str">
        <x:v>View, Create / Update, Filter, Export / Print</x:v>
      </x:c>
      <x:c r="J101" s="285" t="str">
        <x:v>Name / title, code, academic year, status, owner, dates, remarks</x:v>
      </x:c>
      <x:c r="K101" s="285" t="str">
        <x:v>MVP</x:v>
      </x:c>
      <x:c r="L101" s="285" t="str">
        <x:v>Workflow / Approval / Detail</x:v>
      </x:c>
      <x:c r="M101" s="285" t="str">
        <x:v>Preserve existing role permissions, APIs and workflows; design reusable responsive UI.</x:v>
      </x:c>
      <x:c r="N101" s="226"/>
      <x:c r="O101" s="226"/>
      <x:c r="P101" s="226"/>
      <x:c r="Q101" s="226"/>
      <x:c r="R101" s="226"/>
      <x:c r="S101" s="226"/>
      <x:c r="T101" s="226"/>
      <x:c r="U101" s="226"/>
      <x:c r="V101" s="226"/>
      <x:c r="W101" s="226"/>
      <x:c r="X101" s="226"/>
      <x:c r="Y101" s="226"/>
      <x:c r="Z101" s="226"/>
    </x:row>
    <x:row r="102">
      <x:c r="A102" s="285" t="str">
        <x:v>SCR-101</x:v>
      </x:c>
      <x:c r="B102" s="285" t="str">
        <x:v>Academics &amp; Curriculum</x:v>
      </x:c>
      <x:c r="C102" s="285" t="str">
        <x:v>Curriculum &amp; Teaching</x:v>
      </x:c>
      <x:c r="D102" s="285" t="str">
        <x:v>Learning Outcomes</x:v>
      </x:c>
      <x:c r="E102" s="285" t="str">
        <x:v>Academic Coordinator, Principal, School Admin, Teacher</x:v>
      </x:c>
      <x:c r="F102" s="285" t="str">
        <x:v>School Admin / Shared</x:v>
      </x:c>
      <x:c r="G102" s="285" t="str">
        <x:v>Workflow / Management</x:v>
      </x:c>
      <x:c r="H102" s="285" t="str">
        <x:v>Manage the end-to-end learning outcomes workflow within academics &amp; curriculum.</x:v>
      </x:c>
      <x:c r="I102" s="285" t="str">
        <x:v>View, Create / Update, Filter, Export / Print</x:v>
      </x:c>
      <x:c r="J102" s="285" t="str">
        <x:v>Name / title, code, academic year, status, owner, dates, remarks</x:v>
      </x:c>
      <x:c r="K102" s="285" t="str">
        <x:v>Phase 2</x:v>
      </x:c>
      <x:c r="L102" s="285" t="str">
        <x:v>Workflow / Approval / Detail</x:v>
      </x:c>
      <x:c r="M102" s="285" t="str">
        <x:v>Preserve existing role permissions, APIs and workflows; design reusable responsive UI.</x:v>
      </x:c>
      <x:c r="N102" s="226"/>
      <x:c r="O102" s="226"/>
      <x:c r="P102" s="226"/>
      <x:c r="Q102" s="226"/>
      <x:c r="R102" s="226"/>
      <x:c r="S102" s="226"/>
      <x:c r="T102" s="226"/>
      <x:c r="U102" s="226"/>
      <x:c r="V102" s="226"/>
      <x:c r="W102" s="226"/>
      <x:c r="X102" s="226"/>
      <x:c r="Y102" s="226"/>
      <x:c r="Z102" s="226"/>
    </x:row>
    <x:row r="103">
      <x:c r="A103" s="285" t="str">
        <x:v>SCR-102</x:v>
      </x:c>
      <x:c r="B103" s="285" t="str">
        <x:v>Academics &amp; Curriculum</x:v>
      </x:c>
      <x:c r="C103" s="285" t="str">
        <x:v>Curriculum &amp; Teaching</x:v>
      </x:c>
      <x:c r="D103" s="285" t="str">
        <x:v>Lesson Plans</x:v>
      </x:c>
      <x:c r="E103" s="285" t="str">
        <x:v>Academic Coordinator, Principal, School Admin, Teacher</x:v>
      </x:c>
      <x:c r="F103" s="285" t="str">
        <x:v>School Admin / Shared</x:v>
      </x:c>
      <x:c r="G103" s="285" t="str">
        <x:v>Workflow / Management</x:v>
      </x:c>
      <x:c r="H103" s="285" t="str">
        <x:v>Manage the end-to-end lesson plans workflow within academics &amp; curriculum.</x:v>
      </x:c>
      <x:c r="I103" s="285" t="str">
        <x:v>View, Create / Update, Filter, Export / Print</x:v>
      </x:c>
      <x:c r="J103" s="285" t="str">
        <x:v>Name / title, code, academic year, status, owner, dates, remarks</x:v>
      </x:c>
      <x:c r="K103" s="285" t="str">
        <x:v>Phase 2</x:v>
      </x:c>
      <x:c r="L103" s="285" t="str">
        <x:v>Workflow / Approval / Detail</x:v>
      </x:c>
      <x:c r="M103" s="285" t="str">
        <x:v>Preserve existing role permissions, APIs and workflows; design reusable responsive UI.</x:v>
      </x:c>
      <x:c r="N103" s="226"/>
      <x:c r="O103" s="226"/>
      <x:c r="P103" s="226"/>
      <x:c r="Q103" s="226"/>
      <x:c r="R103" s="226"/>
      <x:c r="S103" s="226"/>
      <x:c r="T103" s="226"/>
      <x:c r="U103" s="226"/>
      <x:c r="V103" s="226"/>
      <x:c r="W103" s="226"/>
      <x:c r="X103" s="226"/>
      <x:c r="Y103" s="226"/>
      <x:c r="Z103" s="226"/>
    </x:row>
    <x:row r="104">
      <x:c r="A104" s="285" t="str">
        <x:v>SCR-103</x:v>
      </x:c>
      <x:c r="B104" s="285" t="str">
        <x:v>Academics &amp; Curriculum</x:v>
      </x:c>
      <x:c r="C104" s="285" t="str">
        <x:v>Curriculum &amp; Teaching</x:v>
      </x:c>
      <x:c r="D104" s="285" t="str">
        <x:v>Create / Edit Lesson Plan</x:v>
      </x:c>
      <x:c r="E104" s="285" t="str">
        <x:v>Academic Coordinator, Principal, School Admin, Teacher</x:v>
      </x:c>
      <x:c r="F104" s="285" t="str">
        <x:v>School Admin / Shared</x:v>
      </x:c>
      <x:c r="G104" s="285" t="str">
        <x:v>Create / Transaction</x:v>
      </x:c>
      <x:c r="H104" s="285" t="str">
        <x:v>Capture or process the create / edit lesson plan workflow while enforcing school rules and validations.</x:v>
      </x:c>
      <x:c r="I104" s="285" t="str">
        <x:v>Create, Save, Validate, Cancel, View</x:v>
      </x:c>
      <x:c r="J104" s="285" t="str">
        <x:v>Name / title, code, academic year, status, owner, dates, remarks</x:v>
      </x:c>
      <x:c r="K104" s="285" t="str">
        <x:v>Phase 2</x:v>
      </x:c>
      <x:c r="L104" s="285" t="str">
        <x:v>Form / Wizard</x:v>
      </x:c>
      <x:c r="M104" s="285" t="str">
        <x:v>Preserve existing role permissions, APIs and workflows; design reusable responsive UI.</x:v>
      </x:c>
      <x:c r="N104" s="226"/>
      <x:c r="O104" s="226"/>
      <x:c r="P104" s="226"/>
      <x:c r="Q104" s="226"/>
      <x:c r="R104" s="226"/>
      <x:c r="S104" s="226"/>
      <x:c r="T104" s="226"/>
      <x:c r="U104" s="226"/>
      <x:c r="V104" s="226"/>
      <x:c r="W104" s="226"/>
      <x:c r="X104" s="226"/>
      <x:c r="Y104" s="226"/>
      <x:c r="Z104" s="226"/>
    </x:row>
    <x:row r="105">
      <x:c r="A105" s="285" t="str">
        <x:v>SCR-104</x:v>
      </x:c>
      <x:c r="B105" s="285" t="str">
        <x:v>Academics &amp; Curriculum</x:v>
      </x:c>
      <x:c r="C105" s="285" t="str">
        <x:v>Curriculum &amp; Teaching</x:v>
      </x:c>
      <x:c r="D105" s="285" t="str">
        <x:v>Lesson Plan Review &amp; Approval</x:v>
      </x:c>
      <x:c r="E105" s="285" t="str">
        <x:v>Academic Coordinator, Principal, School Admin, Teacher</x:v>
      </x:c>
      <x:c r="F105" s="285" t="str">
        <x:v>School Admin / Shared</x:v>
      </x:c>
      <x:c r="G105" s="285" t="str">
        <x:v>Workflow / Management</x:v>
      </x:c>
      <x:c r="H105" s="285" t="str">
        <x:v>Manage the end-to-end lesson plan review &amp; approval workflow within academics &amp; curriculum.</x:v>
      </x:c>
      <x:c r="I105" s="285" t="str">
        <x:v>Review, Approve / Reject, Comment, Track status</x:v>
      </x:c>
      <x:c r="J105" s="285" t="str">
        <x:v>Name / title, code, academic year, status, owner, dates, remarks</x:v>
      </x:c>
      <x:c r="K105" s="285" t="str">
        <x:v>Phase 2</x:v>
      </x:c>
      <x:c r="L105" s="285" t="str">
        <x:v>Workflow / Approval / Detail</x:v>
      </x:c>
      <x:c r="M105" s="285" t="str">
        <x:v>Preserve existing role permissions, APIs and workflows; design reusable responsive UI.</x:v>
      </x:c>
      <x:c r="N105" s="226"/>
      <x:c r="O105" s="226"/>
      <x:c r="P105" s="226"/>
      <x:c r="Q105" s="226"/>
      <x:c r="R105" s="226"/>
      <x:c r="S105" s="226"/>
      <x:c r="T105" s="226"/>
      <x:c r="U105" s="226"/>
      <x:c r="V105" s="226"/>
      <x:c r="W105" s="226"/>
      <x:c r="X105" s="226"/>
      <x:c r="Y105" s="226"/>
      <x:c r="Z105" s="226"/>
    </x:row>
    <x:row r="106">
      <x:c r="A106" s="285" t="str">
        <x:v>SCR-105</x:v>
      </x:c>
      <x:c r="B106" s="285" t="str">
        <x:v>Academics &amp; Curriculum</x:v>
      </x:c>
      <x:c r="C106" s="285" t="str">
        <x:v>Curriculum &amp; Teaching</x:v>
      </x:c>
      <x:c r="D106" s="285" t="str">
        <x:v>Syllabus Progress</x:v>
      </x:c>
      <x:c r="E106" s="285" t="str">
        <x:v>Academic Coordinator, Principal, School Admin, Teacher</x:v>
      </x:c>
      <x:c r="F106" s="285" t="str">
        <x:v>School Admin / Shared</x:v>
      </x:c>
      <x:c r="G106" s="285" t="str">
        <x:v>Workflow / Management</x:v>
      </x:c>
      <x:c r="H106" s="285" t="str">
        <x:v>Manage the end-to-end syllabus progress workflow within academics &amp; curriculum.</x:v>
      </x:c>
      <x:c r="I106" s="285" t="str">
        <x:v>View, Create / Update, Filter, Export / Print</x:v>
      </x:c>
      <x:c r="J106" s="285" t="str">
        <x:v>Item / asset ID, category, quantity, location, assignee, supplier, status, value</x:v>
      </x:c>
      <x:c r="K106" s="285" t="str">
        <x:v>Phase 3</x:v>
      </x:c>
      <x:c r="L106" s="285" t="str">
        <x:v>Workflow / Approval / Detail</x:v>
      </x:c>
      <x:c r="M106" s="285" t="str">
        <x:v>Preserve existing role permissions, APIs and workflows; design reusable responsive UI.</x:v>
      </x:c>
      <x:c r="N106" s="226"/>
      <x:c r="O106" s="226"/>
      <x:c r="P106" s="226"/>
      <x:c r="Q106" s="226"/>
      <x:c r="R106" s="226"/>
      <x:c r="S106" s="226"/>
      <x:c r="T106" s="226"/>
      <x:c r="U106" s="226"/>
      <x:c r="V106" s="226"/>
      <x:c r="W106" s="226"/>
      <x:c r="X106" s="226"/>
      <x:c r="Y106" s="226"/>
      <x:c r="Z106" s="226"/>
    </x:row>
    <x:row r="107">
      <x:c r="A107" s="285" t="str">
        <x:v>SCR-106</x:v>
      </x:c>
      <x:c r="B107" s="285" t="str">
        <x:v>Academics &amp; Curriculum</x:v>
      </x:c>
      <x:c r="C107" s="285" t="str">
        <x:v>Curriculum &amp; Teaching</x:v>
      </x:c>
      <x:c r="D107" s="285" t="str">
        <x:v>Teaching Resources</x:v>
      </x:c>
      <x:c r="E107" s="285" t="str">
        <x:v>Academic Coordinator, Principal, School Admin, Teacher</x:v>
      </x:c>
      <x:c r="F107" s="285" t="str">
        <x:v>School Admin / Shared</x:v>
      </x:c>
      <x:c r="G107" s="285" t="str">
        <x:v>Workflow / Management</x:v>
      </x:c>
      <x:c r="H107" s="285" t="str">
        <x:v>Manage the end-to-end teaching resources workflow within academics &amp; curriculum.</x:v>
      </x:c>
      <x:c r="I107" s="285" t="str">
        <x:v>View, Create / Update, Filter, Export / Print</x:v>
      </x:c>
      <x:c r="J107" s="285" t="str">
        <x:v>Name / title, code, academic year, status, owner, dates, remarks</x:v>
      </x:c>
      <x:c r="K107" s="285" t="str">
        <x:v>Phase 3</x:v>
      </x:c>
      <x:c r="L107" s="285" t="str">
        <x:v>Workflow / Approval / Detail</x:v>
      </x:c>
      <x:c r="M107" s="285" t="str">
        <x:v>Preserve existing role permissions, APIs and workflows; design reusable responsive UI.</x:v>
      </x:c>
      <x:c r="N107" s="226"/>
      <x:c r="O107" s="226"/>
      <x:c r="P107" s="226"/>
      <x:c r="Q107" s="226"/>
      <x:c r="R107" s="226"/>
      <x:c r="S107" s="226"/>
      <x:c r="T107" s="226"/>
      <x:c r="U107" s="226"/>
      <x:c r="V107" s="226"/>
      <x:c r="W107" s="226"/>
      <x:c r="X107" s="226"/>
      <x:c r="Y107" s="226"/>
      <x:c r="Z107" s="226"/>
    </x:row>
    <x:row r="108">
      <x:c r="A108" s="285" t="str">
        <x:v>SCR-107</x:v>
      </x:c>
      <x:c r="B108" s="285" t="str">
        <x:v>Academics &amp; Curriculum</x:v>
      </x:c>
      <x:c r="C108" s="285" t="str">
        <x:v>Academic Masters</x:v>
      </x:c>
      <x:c r="D108" s="285" t="str">
        <x:v>Classroom / Room Management</x:v>
      </x:c>
      <x:c r="E108" s="285" t="str">
        <x:v>Academic Coordinator, Principal, School Admin, Teacher</x:v>
      </x:c>
      <x:c r="F108" s="285" t="str">
        <x:v>School Admin / Shared</x:v>
      </x:c>
      <x:c r="G108" s="285" t="str">
        <x:v>Workflow / Management</x:v>
      </x:c>
      <x:c r="H108" s="285" t="str">
        <x:v>Manage the end-to-end classroom / room management workflow within academics &amp; curriculum.</x:v>
      </x:c>
      <x:c r="I108" s="285" t="str">
        <x:v>View, Create / Update, Filter, Export / Print</x:v>
      </x:c>
      <x:c r="J108" s="285" t="str">
        <x:v>Hostel, room, bed, student, allocation date, warden, status</x:v>
      </x:c>
      <x:c r="K108" s="285" t="str">
        <x:v>Phase 3</x:v>
      </x:c>
      <x:c r="L108" s="285" t="str">
        <x:v>Workflow / Approval / Detail</x:v>
      </x:c>
      <x:c r="M108" s="285" t="str">
        <x:v>Preserve existing role permissions, APIs and workflows; design reusable responsive UI.</x:v>
      </x:c>
      <x:c r="N108" s="226"/>
      <x:c r="O108" s="226"/>
      <x:c r="P108" s="226"/>
      <x:c r="Q108" s="226"/>
      <x:c r="R108" s="226"/>
      <x:c r="S108" s="226"/>
      <x:c r="T108" s="226"/>
      <x:c r="U108" s="226"/>
      <x:c r="V108" s="226"/>
      <x:c r="W108" s="226"/>
      <x:c r="X108" s="226"/>
      <x:c r="Y108" s="226"/>
      <x:c r="Z108" s="226"/>
    </x:row>
    <x:row r="109">
      <x:c r="A109" s="285" t="str">
        <x:v>SCR-108</x:v>
      </x:c>
      <x:c r="B109" s="285" t="str">
        <x:v>Academics &amp; Curriculum</x:v>
      </x:c>
      <x:c r="C109" s="285" t="str">
        <x:v>Academic Operations</x:v>
      </x:c>
      <x:c r="D109" s="285" t="str">
        <x:v>Academic Calendar</x:v>
      </x:c>
      <x:c r="E109" s="285" t="str">
        <x:v>Academic Coordinator, Principal, School Admin, Teacher</x:v>
      </x:c>
      <x:c r="F109" s="285" t="str">
        <x:v>School Admin / Shared</x:v>
      </x:c>
      <x:c r="G109" s="285" t="str">
        <x:v>Calendar / Schedule</x:v>
      </x:c>
      <x:c r="H109" s="285" t="str">
        <x:v>Plan and review academic calendar by date, period, class, staff or resource.</x:v>
      </x:c>
      <x:c r="I109" s="285" t="str">
        <x:v>Change view, Create / Assign, Reschedule, Print</x:v>
      </x:c>
      <x:c r="J109" s="285" t="str">
        <x:v>Name / title, code, academic year, status, owner, dates, remarks</x:v>
      </x:c>
      <x:c r="K109" s="285" t="str">
        <x:v>Phase 3</x:v>
      </x:c>
      <x:c r="L109" s="285" t="str">
        <x:v>Calendar / Schedule</x:v>
      </x:c>
      <x:c r="M109" s="285" t="str">
        <x:v>Preserve existing role permissions, APIs and workflows; design reusable responsive UI.</x:v>
      </x:c>
      <x:c r="N109" s="226"/>
      <x:c r="O109" s="226"/>
      <x:c r="P109" s="226"/>
      <x:c r="Q109" s="226"/>
      <x:c r="R109" s="226"/>
      <x:c r="S109" s="226"/>
      <x:c r="T109" s="226"/>
      <x:c r="U109" s="226"/>
      <x:c r="V109" s="226"/>
      <x:c r="W109" s="226"/>
      <x:c r="X109" s="226"/>
      <x:c r="Y109" s="226"/>
      <x:c r="Z109" s="226"/>
    </x:row>
    <x:row r="110">
      <x:c r="A110" s="285" t="str">
        <x:v>SCR-109</x:v>
      </x:c>
      <x:c r="B110" s="285" t="str">
        <x:v>Academics &amp; Curriculum</x:v>
      </x:c>
      <x:c r="C110" s="285" t="str">
        <x:v>Academic Operations</x:v>
      </x:c>
      <x:c r="D110" s="285" t="str">
        <x:v>Co-Curricular Activities</x:v>
      </x:c>
      <x:c r="E110" s="285" t="str">
        <x:v>Academic Coordinator, Principal, School Admin, Teacher</x:v>
      </x:c>
      <x:c r="F110" s="285" t="str">
        <x:v>School Admin / Shared</x:v>
      </x:c>
      <x:c r="G110" s="285" t="str">
        <x:v>Workflow / Management</x:v>
      </x:c>
      <x:c r="H110" s="285" t="str">
        <x:v>Manage the end-to-end co-curricular activities workflow within academics &amp; curriculum.</x:v>
      </x:c>
      <x:c r="I110" s="285" t="str">
        <x:v>View, Create / Update, Filter, Export / Print</x:v>
      </x:c>
      <x:c r="J110" s="285" t="str">
        <x:v>Name / title, code, academic year, status, owner, dates, remarks</x:v>
      </x:c>
      <x:c r="K110" s="285" t="str">
        <x:v>Phase 3</x:v>
      </x:c>
      <x:c r="L110" s="285" t="str">
        <x:v>Workflow / Approval / Detail</x:v>
      </x:c>
      <x:c r="M110" s="285" t="str">
        <x:v>Preserve existing role permissions, APIs and workflows; design reusable responsive UI.</x:v>
      </x:c>
      <x:c r="N110" s="226"/>
      <x:c r="O110" s="226"/>
      <x:c r="P110" s="226"/>
      <x:c r="Q110" s="226"/>
      <x:c r="R110" s="226"/>
      <x:c r="S110" s="226"/>
      <x:c r="T110" s="226"/>
      <x:c r="U110" s="226"/>
      <x:c r="V110" s="226"/>
      <x:c r="W110" s="226"/>
      <x:c r="X110" s="226"/>
      <x:c r="Y110" s="226"/>
      <x:c r="Z110" s="226"/>
    </x:row>
    <x:row r="111">
      <x:c r="A111" s="285" t="str">
        <x:v>SCR-110</x:v>
      </x:c>
      <x:c r="B111" s="285" t="str">
        <x:v>Student Attendance</x:v>
      </x:c>
      <x:c r="C111" s="285" t="str">
        <x:v>Student Attendance</x:v>
      </x:c>
      <x:c r="D111" s="285" t="str">
        <x:v>Daily Class Attendance</x:v>
      </x:c>
      <x:c r="E111" s="285" t="str">
        <x:v>Teacher, Class Teacher, School Admin</x:v>
      </x:c>
      <x:c r="F111" s="285" t="str">
        <x:v>School Admin / Shared</x:v>
      </x:c>
      <x:c r="G111" s="285" t="str">
        <x:v>Workflow / Management</x:v>
      </x:c>
      <x:c r="H111" s="285" t="str">
        <x:v>Manage the end-to-end daily class attendance workflow within student attendance.</x:v>
      </x:c>
      <x:c r="I111" s="285" t="str">
        <x:v>View, Create / Update, Filter, Export / Print</x:v>
      </x:c>
      <x:c r="J111" s="285" t="str">
        <x:v>Date, class, section, student, status, period, reason, remarks</x:v>
      </x:c>
      <x:c r="K111" s="285" t="str">
        <x:v>MVP</x:v>
      </x:c>
      <x:c r="L111" s="285" t="str">
        <x:v>Workflow / Approval / Detail</x:v>
      </x:c>
      <x:c r="M111" s="285" t="str">
        <x:v>Preserve existing role permissions, APIs and workflows; design reusable responsive UI.</x:v>
      </x:c>
      <x:c r="N111" s="226"/>
      <x:c r="O111" s="226"/>
      <x:c r="P111" s="226"/>
      <x:c r="Q111" s="226"/>
      <x:c r="R111" s="226"/>
      <x:c r="S111" s="226"/>
      <x:c r="T111" s="226"/>
      <x:c r="U111" s="226"/>
      <x:c r="V111" s="226"/>
      <x:c r="W111" s="226"/>
      <x:c r="X111" s="226"/>
      <x:c r="Y111" s="226"/>
      <x:c r="Z111" s="226"/>
    </x:row>
    <x:row r="112">
      <x:c r="A112" s="285" t="str">
        <x:v>SCR-111</x:v>
      </x:c>
      <x:c r="B112" s="285" t="str">
        <x:v>Student Attendance</x:v>
      </x:c>
      <x:c r="C112" s="285" t="str">
        <x:v>Student Attendance</x:v>
      </x:c>
      <x:c r="D112" s="285" t="str">
        <x:v>Period / Subject Attendance</x:v>
      </x:c>
      <x:c r="E112" s="285" t="str">
        <x:v>Teacher, Class Teacher, School Admin</x:v>
      </x:c>
      <x:c r="F112" s="285" t="str">
        <x:v>School Admin / Shared</x:v>
      </x:c>
      <x:c r="G112" s="285" t="str">
        <x:v>Workflow / Management</x:v>
      </x:c>
      <x:c r="H112" s="285" t="str">
        <x:v>Manage the end-to-end period / subject attendance workflow within student attendance.</x:v>
      </x:c>
      <x:c r="I112" s="285" t="str">
        <x:v>View, Create / Update, Filter, Export / Print</x:v>
      </x:c>
      <x:c r="J112" s="285" t="str">
        <x:v>Date, class, section, student, status, period, reason, remarks</x:v>
      </x:c>
      <x:c r="K112" s="285" t="str">
        <x:v>MVP</x:v>
      </x:c>
      <x:c r="L112" s="285" t="str">
        <x:v>Workflow / Approval / Detail</x:v>
      </x:c>
      <x:c r="M112" s="285" t="str">
        <x:v>Preserve existing role permissions, APIs and workflows; design reusable responsive UI.</x:v>
      </x:c>
      <x:c r="N112" s="226"/>
      <x:c r="O112" s="226"/>
      <x:c r="P112" s="226"/>
      <x:c r="Q112" s="226"/>
      <x:c r="R112" s="226"/>
      <x:c r="S112" s="226"/>
      <x:c r="T112" s="226"/>
      <x:c r="U112" s="226"/>
      <x:c r="V112" s="226"/>
      <x:c r="W112" s="226"/>
      <x:c r="X112" s="226"/>
      <x:c r="Y112" s="226"/>
      <x:c r="Z112" s="226"/>
    </x:row>
    <x:row r="113">
      <x:c r="A113" s="285" t="str">
        <x:v>SCR-112</x:v>
      </x:c>
      <x:c r="B113" s="285" t="str">
        <x:v>Student Attendance</x:v>
      </x:c>
      <x:c r="C113" s="285" t="str">
        <x:v>Student Attendance</x:v>
      </x:c>
      <x:c r="D113" s="285" t="str">
        <x:v>Student Attendance Register</x:v>
      </x:c>
      <x:c r="E113" s="285" t="str">
        <x:v>Teacher, Class Teacher, School Admin</x:v>
      </x:c>
      <x:c r="F113" s="285" t="str">
        <x:v>School Admin / Shared</x:v>
      </x:c>
      <x:c r="G113" s="285" t="str">
        <x:v>Detail / Profile</x:v>
      </x:c>
      <x:c r="H113" s="285" t="str">
        <x:v>Show the complete record and related activity for student attendance register in one structured view.</x:v>
      </x:c>
      <x:c r="I113" s="285" t="str">
        <x:v>View, Edit, Update, View activity</x:v>
      </x:c>
      <x:c r="J113" s="285" t="str">
        <x:v>Student ID, admission no., name, class, section, status, parent, academic year</x:v>
      </x:c>
      <x:c r="K113" s="285" t="str">
        <x:v>MVP</x:v>
      </x:c>
      <x:c r="L113" s="285" t="str">
        <x:v>Profile / Detail + Tabs</x:v>
      </x:c>
      <x:c r="M113" s="285" t="str">
        <x:v>Preserve existing role permissions, APIs and workflows; design reusable responsive UI.</x:v>
      </x:c>
      <x:c r="N113" s="226"/>
      <x:c r="O113" s="226"/>
      <x:c r="P113" s="226"/>
      <x:c r="Q113" s="226"/>
      <x:c r="R113" s="226"/>
      <x:c r="S113" s="226"/>
      <x:c r="T113" s="226"/>
      <x:c r="U113" s="226"/>
      <x:c r="V113" s="226"/>
      <x:c r="W113" s="226"/>
      <x:c r="X113" s="226"/>
      <x:c r="Y113" s="226"/>
      <x:c r="Z113" s="226"/>
    </x:row>
    <x:row r="114">
      <x:c r="A114" s="285" t="str">
        <x:v>SCR-113</x:v>
      </x:c>
      <x:c r="B114" s="285" t="str">
        <x:v>Student Attendance</x:v>
      </x:c>
      <x:c r="C114" s="285" t="str">
        <x:v>Student Attendance</x:v>
      </x:c>
      <x:c r="D114" s="285" t="str">
        <x:v>Attendance Correction</x:v>
      </x:c>
      <x:c r="E114" s="285" t="str">
        <x:v>Class Teacher, School Admin, Principal</x:v>
      </x:c>
      <x:c r="F114" s="285" t="str">
        <x:v>School Admin / Shared</x:v>
      </x:c>
      <x:c r="G114" s="285" t="str">
        <x:v>Workflow / Management</x:v>
      </x:c>
      <x:c r="H114" s="285" t="str">
        <x:v>Manage the end-to-end attendance correction workflow within student attendance.</x:v>
      </x:c>
      <x:c r="I114" s="285" t="str">
        <x:v>View, Create / Update, Filter, Export / Print</x:v>
      </x:c>
      <x:c r="J114" s="285" t="str">
        <x:v>Date, class, section, student, status, period, reason, remarks</x:v>
      </x:c>
      <x:c r="K114" s="285" t="str">
        <x:v>MVP</x:v>
      </x:c>
      <x:c r="L114" s="285" t="str">
        <x:v>Workflow / Approval / Detail</x:v>
      </x:c>
      <x:c r="M114" s="285" t="str">
        <x:v>Preserve existing role permissions, APIs and workflows; design reusable responsive UI.</x:v>
      </x:c>
      <x:c r="N114" s="226"/>
      <x:c r="O114" s="226"/>
      <x:c r="P114" s="226"/>
      <x:c r="Q114" s="226"/>
      <x:c r="R114" s="226"/>
      <x:c r="S114" s="226"/>
      <x:c r="T114" s="226"/>
      <x:c r="U114" s="226"/>
      <x:c r="V114" s="226"/>
      <x:c r="W114" s="226"/>
      <x:c r="X114" s="226"/>
      <x:c r="Y114" s="226"/>
      <x:c r="Z114" s="226"/>
    </x:row>
    <x:row r="115">
      <x:c r="A115" s="285" t="str">
        <x:v>SCR-114</x:v>
      </x:c>
      <x:c r="B115" s="285" t="str">
        <x:v>Student Attendance</x:v>
      </x:c>
      <x:c r="C115" s="285" t="str">
        <x:v>Student Attendance</x:v>
      </x:c>
      <x:c r="D115" s="285" t="str">
        <x:v>Student Leave Requests</x:v>
      </x:c>
      <x:c r="E115" s="285" t="str">
        <x:v>Teacher, Class Teacher, School Admin</x:v>
      </x:c>
      <x:c r="F115" s="285" t="str">
        <x:v>School Admin / Shared</x:v>
      </x:c>
      <x:c r="G115" s="285" t="str">
        <x:v>Workflow / Management</x:v>
      </x:c>
      <x:c r="H115" s="285" t="str">
        <x:v>Manage the end-to-end student leave requests workflow within student attendance.</x:v>
      </x:c>
      <x:c r="I115" s="285" t="str">
        <x:v>View, Create / Update, Filter, Export / Print</x:v>
      </x:c>
      <x:c r="J115" s="285" t="str">
        <x:v>Student ID, admission no., name, class, section, status, parent, academic year</x:v>
      </x:c>
      <x:c r="K115" s="285" t="str">
        <x:v>MVP</x:v>
      </x:c>
      <x:c r="L115" s="285" t="str">
        <x:v>Workflow / Approval / Detail</x:v>
      </x:c>
      <x:c r="M115" s="285" t="str">
        <x:v>Preserve existing role permissions, APIs and workflows; design reusable responsive UI.</x:v>
      </x:c>
      <x:c r="N115" s="226"/>
      <x:c r="O115" s="226"/>
      <x:c r="P115" s="226"/>
      <x:c r="Q115" s="226"/>
      <x:c r="R115" s="226"/>
      <x:c r="S115" s="226"/>
      <x:c r="T115" s="226"/>
      <x:c r="U115" s="226"/>
      <x:c r="V115" s="226"/>
      <x:c r="W115" s="226"/>
      <x:c r="X115" s="226"/>
      <x:c r="Y115" s="226"/>
      <x:c r="Z115" s="226"/>
    </x:row>
    <x:row r="116">
      <x:c r="A116" s="285" t="str">
        <x:v>SCR-115</x:v>
      </x:c>
      <x:c r="B116" s="285" t="str">
        <x:v>Student Attendance</x:v>
      </x:c>
      <x:c r="C116" s="285" t="str">
        <x:v>Student Attendance</x:v>
      </x:c>
      <x:c r="D116" s="285" t="str">
        <x:v>Student Leave Approval</x:v>
      </x:c>
      <x:c r="E116" s="285" t="str">
        <x:v>Class Teacher, School Admin, Principal</x:v>
      </x:c>
      <x:c r="F116" s="285" t="str">
        <x:v>School Admin / Shared</x:v>
      </x:c>
      <x:c r="G116" s="285" t="str">
        <x:v>Workflow / Management</x:v>
      </x:c>
      <x:c r="H116" s="285" t="str">
        <x:v>Manage the end-to-end student leave approval workflow within student attendance.</x:v>
      </x:c>
      <x:c r="I116" s="285" t="str">
        <x:v>Review, Approve / Reject, Comment, Track status</x:v>
      </x:c>
      <x:c r="J116" s="285" t="str">
        <x:v>Student ID, admission no., name, class, section, status, parent, academic year</x:v>
      </x:c>
      <x:c r="K116" s="285" t="str">
        <x:v>Phase 2</x:v>
      </x:c>
      <x:c r="L116" s="285" t="str">
        <x:v>Workflow / Approval / Detail</x:v>
      </x:c>
      <x:c r="M116" s="285" t="str">
        <x:v>Preserve existing role permissions, APIs and workflows; design reusable responsive UI.</x:v>
      </x:c>
      <x:c r="N116" s="226"/>
      <x:c r="O116" s="226"/>
      <x:c r="P116" s="226"/>
      <x:c r="Q116" s="226"/>
      <x:c r="R116" s="226"/>
      <x:c r="S116" s="226"/>
      <x:c r="T116" s="226"/>
      <x:c r="U116" s="226"/>
      <x:c r="V116" s="226"/>
      <x:c r="W116" s="226"/>
      <x:c r="X116" s="226"/>
      <x:c r="Y116" s="226"/>
      <x:c r="Z116" s="226"/>
    </x:row>
    <x:row r="117">
      <x:c r="A117" s="285" t="str">
        <x:v>SCR-116</x:v>
      </x:c>
      <x:c r="B117" s="285" t="str">
        <x:v>Student Attendance</x:v>
      </x:c>
      <x:c r="C117" s="285" t="str">
        <x:v>Student Attendance</x:v>
      </x:c>
      <x:c r="D117" s="285" t="str">
        <x:v>Late Entry / Early Exit</x:v>
      </x:c>
      <x:c r="E117" s="285" t="str">
        <x:v>Teacher, Class Teacher, School Admin</x:v>
      </x:c>
      <x:c r="F117" s="285" t="str">
        <x:v>School Admin / Shared</x:v>
      </x:c>
      <x:c r="G117" s="285" t="str">
        <x:v>Workflow / Management</x:v>
      </x:c>
      <x:c r="H117" s="285" t="str">
        <x:v>Manage the end-to-end late entry / early exit workflow within student attendance.</x:v>
      </x:c>
      <x:c r="I117" s="285" t="str">
        <x:v>View, Create / Update, Filter, Export / Print</x:v>
      </x:c>
      <x:c r="J117" s="285" t="str">
        <x:v>Name / title, code, academic year, status, owner, dates, remarks</x:v>
      </x:c>
      <x:c r="K117" s="285" t="str">
        <x:v>Phase 2</x:v>
      </x:c>
      <x:c r="L117" s="285" t="str">
        <x:v>Workflow / Approval / Detail</x:v>
      </x:c>
      <x:c r="M117" s="285" t="str">
        <x:v>Preserve existing role permissions, APIs and workflows; design reusable responsive UI.</x:v>
      </x:c>
      <x:c r="N117" s="226"/>
      <x:c r="O117" s="226"/>
      <x:c r="P117" s="226"/>
      <x:c r="Q117" s="226"/>
      <x:c r="R117" s="226"/>
      <x:c r="S117" s="226"/>
      <x:c r="T117" s="226"/>
      <x:c r="U117" s="226"/>
      <x:c r="V117" s="226"/>
      <x:c r="W117" s="226"/>
      <x:c r="X117" s="226"/>
      <x:c r="Y117" s="226"/>
      <x:c r="Z117" s="226"/>
    </x:row>
    <x:row r="118">
      <x:c r="A118" s="285" t="str">
        <x:v>SCR-117</x:v>
      </x:c>
      <x:c r="B118" s="285" t="str">
        <x:v>Student Attendance</x:v>
      </x:c>
      <x:c r="C118" s="285" t="str">
        <x:v>Student Attendance</x:v>
      </x:c>
      <x:c r="D118" s="285" t="str">
        <x:v>Monthly Attendance Summary</x:v>
      </x:c>
      <x:c r="E118" s="285" t="str">
        <x:v>School Admin, Principal, Class Teacher</x:v>
      </x:c>
      <x:c r="F118" s="285" t="str">
        <x:v>School Admin / Shared</x:v>
      </x:c>
      <x:c r="G118" s="285" t="str">
        <x:v>Report / Analytics</x:v>
      </x:c>
      <x:c r="H118" s="285" t="str">
        <x:v>Analyze monthly attendance summary data using filters, summaries and export-ready results.</x:v>
      </x:c>
      <x:c r="I118" s="285" t="str">
        <x:v>Filter, Drill down, Export, Print</x:v>
      </x:c>
      <x:c r="J118" s="285" t="str">
        <x:v>Date, class, section, student, status, period, reason, remarks</x:v>
      </x:c>
      <x:c r="K118" s="285" t="str">
        <x:v>Phase 2</x:v>
      </x:c>
      <x:c r="L118" s="285" t="str">
        <x:v>Filters + KPI + Table / Chart</x:v>
      </x:c>
      <x:c r="M118" s="285" t="str">
        <x:v>Preserve existing role permissions, APIs and workflows; design reusable responsive UI.</x:v>
      </x:c>
      <x:c r="N118" s="226"/>
      <x:c r="O118" s="226"/>
      <x:c r="P118" s="226"/>
      <x:c r="Q118" s="226"/>
      <x:c r="R118" s="226"/>
      <x:c r="S118" s="226"/>
      <x:c r="T118" s="226"/>
      <x:c r="U118" s="226"/>
      <x:c r="V118" s="226"/>
      <x:c r="W118" s="226"/>
      <x:c r="X118" s="226"/>
      <x:c r="Y118" s="226"/>
      <x:c r="Z118" s="226"/>
    </x:row>
    <x:row r="119">
      <x:c r="A119" s="285" t="str">
        <x:v>SCR-118</x:v>
      </x:c>
      <x:c r="B119" s="285" t="str">
        <x:v>Student Attendance</x:v>
      </x:c>
      <x:c r="C119" s="285" t="str">
        <x:v>Student Attendance</x:v>
      </x:c>
      <x:c r="D119" s="285" t="str">
        <x:v>Chronic Absence Alerts</x:v>
      </x:c>
      <x:c r="E119" s="285" t="str">
        <x:v>School Admin, Principal, Class Teacher</x:v>
      </x:c>
      <x:c r="F119" s="285" t="str">
        <x:v>School Admin / Shared</x:v>
      </x:c>
      <x:c r="G119" s="285" t="str">
        <x:v>Workflow / Management</x:v>
      </x:c>
      <x:c r="H119" s="285" t="str">
        <x:v>Manage the end-to-end chronic absence alerts workflow within student attendance.</x:v>
      </x:c>
      <x:c r="I119" s="285" t="str">
        <x:v>View, Create / Update, Filter, Export / Print</x:v>
      </x:c>
      <x:c r="J119" s="285" t="str">
        <x:v>Name / title, code, academic year, status, owner, dates, remarks</x:v>
      </x:c>
      <x:c r="K119" s="285" t="str">
        <x:v>Phase 3</x:v>
      </x:c>
      <x:c r="L119" s="285" t="str">
        <x:v>Workflow / Approval / Detail</x:v>
      </x:c>
      <x:c r="M119" s="285" t="str">
        <x:v>Preserve existing role permissions, APIs and workflows; design reusable responsive UI.</x:v>
      </x:c>
      <x:c r="N119" s="226"/>
      <x:c r="O119" s="226"/>
      <x:c r="P119" s="226"/>
      <x:c r="Q119" s="226"/>
      <x:c r="R119" s="226"/>
      <x:c r="S119" s="226"/>
      <x:c r="T119" s="226"/>
      <x:c r="U119" s="226"/>
      <x:c r="V119" s="226"/>
      <x:c r="W119" s="226"/>
      <x:c r="X119" s="226"/>
      <x:c r="Y119" s="226"/>
      <x:c r="Z119" s="226"/>
    </x:row>
    <x:row r="120">
      <x:c r="A120" s="285" t="str">
        <x:v>SCR-119</x:v>
      </x:c>
      <x:c r="B120" s="285" t="str">
        <x:v>Student Attendance</x:v>
      </x:c>
      <x:c r="C120" s="285" t="str">
        <x:v>Student Attendance</x:v>
      </x:c>
      <x:c r="D120" s="285" t="str">
        <x:v>Attendance Reports</x:v>
      </x:c>
      <x:c r="E120" s="285" t="str">
        <x:v>School Admin, Principal, Class Teacher</x:v>
      </x:c>
      <x:c r="F120" s="285" t="str">
        <x:v>School Admin / Shared</x:v>
      </x:c>
      <x:c r="G120" s="285" t="str">
        <x:v>Report / Analytics</x:v>
      </x:c>
      <x:c r="H120" s="285" t="str">
        <x:v>Analyze attendance reports data using filters, summaries and export-ready results.</x:v>
      </x:c>
      <x:c r="I120" s="285" t="str">
        <x:v>Filter, Drill down, Export, Print</x:v>
      </x:c>
      <x:c r="J120" s="285" t="str">
        <x:v>Date, class, section, student, status, period, reason, remarks</x:v>
      </x:c>
      <x:c r="K120" s="285" t="str">
        <x:v>Phase 3</x:v>
      </x:c>
      <x:c r="L120" s="285" t="str">
        <x:v>Filters + KPI + Table / Chart</x:v>
      </x:c>
      <x:c r="M120" s="285" t="str">
        <x:v>Preserve existing role permissions, APIs and workflows; design reusable responsive UI.</x:v>
      </x:c>
      <x:c r="N120" s="226"/>
      <x:c r="O120" s="226"/>
      <x:c r="P120" s="226"/>
      <x:c r="Q120" s="226"/>
      <x:c r="R120" s="226"/>
      <x:c r="S120" s="226"/>
      <x:c r="T120" s="226"/>
      <x:c r="U120" s="226"/>
      <x:c r="V120" s="226"/>
      <x:c r="W120" s="226"/>
      <x:c r="X120" s="226"/>
      <x:c r="Y120" s="226"/>
      <x:c r="Z120" s="226"/>
    </x:row>
    <x:row r="121">
      <x:c r="A121" s="285" t="str">
        <x:v>SCR-120</x:v>
      </x:c>
      <x:c r="B121" s="285" t="str">
        <x:v>Timetable &amp; Substitution</x:v>
      </x:c>
      <x:c r="C121" s="285" t="str">
        <x:v>Timetable</x:v>
      </x:c>
      <x:c r="D121" s="285" t="str">
        <x:v>Timetable Dashboard</x:v>
      </x:c>
      <x:c r="E121" s="285" t="str">
        <x:v>Academic Coordinator, School Admin, Principal, Teacher, Student</x:v>
      </x:c>
      <x:c r="F121" s="285" t="str">
        <x:v>School Admin / Shared</x:v>
      </x:c>
      <x:c r="G121" s="285" t="str">
        <x:v>Dashboard</x:v>
      </x:c>
      <x:c r="H121" s="285" t="str">
        <x:v>Provide an at-a-glance operational view of timetable &amp; substitution with key status, alerts and shortcuts.</x:v>
      </x:c>
      <x:c r="I121" s="285" t="str">
        <x:v>Filter, Drill down, Export, Print, Change view</x:v>
      </x:c>
      <x:c r="J121" s="285" t="str">
        <x:v>KPIs, alerts, recent activity, pending actions, date / academic-year filters</x:v>
      </x:c>
      <x:c r="K121" s="285" t="str">
        <x:v>MVP</x:v>
      </x:c>
      <x:c r="L121" s="285" t="str">
        <x:v>Dashboard + KPI Cards</x:v>
      </x:c>
      <x:c r="M121" s="285" t="str">
        <x:v>Preserve existing role permissions, APIs and workflows; design reusable responsive UI.</x:v>
      </x:c>
      <x:c r="N121" s="226"/>
      <x:c r="O121" s="226"/>
      <x:c r="P121" s="226"/>
      <x:c r="Q121" s="226"/>
      <x:c r="R121" s="226"/>
      <x:c r="S121" s="226"/>
      <x:c r="T121" s="226"/>
      <x:c r="U121" s="226"/>
      <x:c r="V121" s="226"/>
      <x:c r="W121" s="226"/>
      <x:c r="X121" s="226"/>
      <x:c r="Y121" s="226"/>
      <x:c r="Z121" s="226"/>
    </x:row>
    <x:row r="122">
      <x:c r="A122" s="285" t="str">
        <x:v>SCR-121</x:v>
      </x:c>
      <x:c r="B122" s="285" t="str">
        <x:v>Timetable &amp; Substitution</x:v>
      </x:c>
      <x:c r="C122" s="285" t="str">
        <x:v>Timetable</x:v>
      </x:c>
      <x:c r="D122" s="285" t="str">
        <x:v>Timetable Setup</x:v>
      </x:c>
      <x:c r="E122" s="285" t="str">
        <x:v>Academic Coordinator, School Admin, Principal, Teacher, Student</x:v>
      </x:c>
      <x:c r="F122" s="285" t="str">
        <x:v>School Admin / Shared</x:v>
      </x:c>
      <x:c r="G122" s="285" t="str">
        <x:v>Create / Transaction</x:v>
      </x:c>
      <x:c r="H122" s="285" t="str">
        <x:v>Capture or process the timetable setup workflow while enforcing school rules and validations.</x:v>
      </x:c>
      <x:c r="I122" s="285" t="str">
        <x:v>Create, Save, Validate, Cancel, Change view</x:v>
      </x:c>
      <x:c r="J122" s="285" t="str">
        <x:v>Academic year, class, section, day/date, period, subject, teacher, room</x:v>
      </x:c>
      <x:c r="K122" s="285" t="str">
        <x:v>MVP</x:v>
      </x:c>
      <x:c r="L122" s="285" t="str">
        <x:v>Form / Wizard</x:v>
      </x:c>
      <x:c r="M122" s="285" t="str">
        <x:v>Preserve existing role permissions, APIs and workflows; design reusable responsive UI.</x:v>
      </x:c>
      <x:c r="N122" s="226"/>
      <x:c r="O122" s="226"/>
      <x:c r="P122" s="226"/>
      <x:c r="Q122" s="226"/>
      <x:c r="R122" s="226"/>
      <x:c r="S122" s="226"/>
      <x:c r="T122" s="226"/>
      <x:c r="U122" s="226"/>
      <x:c r="V122" s="226"/>
      <x:c r="W122" s="226"/>
      <x:c r="X122" s="226"/>
      <x:c r="Y122" s="226"/>
      <x:c r="Z122" s="226"/>
    </x:row>
    <x:row r="123">
      <x:c r="A123" s="285" t="str">
        <x:v>SCR-122</x:v>
      </x:c>
      <x:c r="B123" s="285" t="str">
        <x:v>Timetable &amp; Substitution</x:v>
      </x:c>
      <x:c r="C123" s="285" t="str">
        <x:v>Timetable</x:v>
      </x:c>
      <x:c r="D123" s="285" t="str">
        <x:v>Period Setup</x:v>
      </x:c>
      <x:c r="E123" s="285" t="str">
        <x:v>Academic Coordinator, School Admin, Principal, Teacher, Student</x:v>
      </x:c>
      <x:c r="F123" s="285" t="str">
        <x:v>School Admin / Shared</x:v>
      </x:c>
      <x:c r="G123" s="285" t="str">
        <x:v>Create / Transaction</x:v>
      </x:c>
      <x:c r="H123" s="285" t="str">
        <x:v>Capture or process the period setup workflow while enforcing school rules and validations.</x:v>
      </x:c>
      <x:c r="I123" s="285" t="str">
        <x:v>Create, Save, Validate, Cancel</x:v>
      </x:c>
      <x:c r="J123" s="285" t="str">
        <x:v>Academic year, class, section, day/date, period, subject, teacher, room</x:v>
      </x:c>
      <x:c r="K123" s="285" t="str">
        <x:v>MVP</x:v>
      </x:c>
      <x:c r="L123" s="285" t="str">
        <x:v>Form / Wizard</x:v>
      </x:c>
      <x:c r="M123" s="285" t="str">
        <x:v>Preserve existing role permissions, APIs and workflows; design reusable responsive UI.</x:v>
      </x:c>
      <x:c r="N123" s="226"/>
      <x:c r="O123" s="226"/>
      <x:c r="P123" s="226"/>
      <x:c r="Q123" s="226"/>
      <x:c r="R123" s="226"/>
      <x:c r="S123" s="226"/>
      <x:c r="T123" s="226"/>
      <x:c r="U123" s="226"/>
      <x:c r="V123" s="226"/>
      <x:c r="W123" s="226"/>
      <x:c r="X123" s="226"/>
      <x:c r="Y123" s="226"/>
      <x:c r="Z123" s="226"/>
    </x:row>
    <x:row r="124">
      <x:c r="A124" s="285" t="str">
        <x:v>SCR-123</x:v>
      </x:c>
      <x:c r="B124" s="285" t="str">
        <x:v>Timetable &amp; Substitution</x:v>
      </x:c>
      <x:c r="C124" s="285" t="str">
        <x:v>Timetable</x:v>
      </x:c>
      <x:c r="D124" s="285" t="str">
        <x:v>Teacher Availability</x:v>
      </x:c>
      <x:c r="E124" s="285" t="str">
        <x:v>Academic Coordinator, School Admin, Principal, Teacher, Student</x:v>
      </x:c>
      <x:c r="F124" s="285" t="str">
        <x:v>School Admin / Shared</x:v>
      </x:c>
      <x:c r="G124" s="285" t="str">
        <x:v>Workflow / Management</x:v>
      </x:c>
      <x:c r="H124" s="285" t="str">
        <x:v>Manage the end-to-end teacher availability workflow within timetable &amp; substitution.</x:v>
      </x:c>
      <x:c r="I124" s="285" t="str">
        <x:v>View, Create / Update, Filter, Export / Print</x:v>
      </x:c>
      <x:c r="J124" s="285" t="str">
        <x:v>Employee ID, name, department, designation, subjects, contact, status</x:v>
      </x:c>
      <x:c r="K124" s="285" t="str">
        <x:v>MVP</x:v>
      </x:c>
      <x:c r="L124" s="285" t="str">
        <x:v>Workflow / Approval / Detail</x:v>
      </x:c>
      <x:c r="M124" s="285" t="str">
        <x:v>Preserve existing role permissions, APIs and workflows; design reusable responsive UI.</x:v>
      </x:c>
      <x:c r="N124" s="226"/>
      <x:c r="O124" s="226"/>
      <x:c r="P124" s="226"/>
      <x:c r="Q124" s="226"/>
      <x:c r="R124" s="226"/>
      <x:c r="S124" s="226"/>
      <x:c r="T124" s="226"/>
      <x:c r="U124" s="226"/>
      <x:c r="V124" s="226"/>
      <x:c r="W124" s="226"/>
      <x:c r="X124" s="226"/>
      <x:c r="Y124" s="226"/>
      <x:c r="Z124" s="226"/>
    </x:row>
    <x:row r="125">
      <x:c r="A125" s="285" t="str">
        <x:v>SCR-124</x:v>
      </x:c>
      <x:c r="B125" s="285" t="str">
        <x:v>Timetable &amp; Substitution</x:v>
      </x:c>
      <x:c r="C125" s="285" t="str">
        <x:v>Timetable</x:v>
      </x:c>
      <x:c r="D125" s="285" t="str">
        <x:v>Generate Timetable</x:v>
      </x:c>
      <x:c r="E125" s="285" t="str">
        <x:v>Academic Coordinator, School Admin, Principal, Teacher, Student</x:v>
      </x:c>
      <x:c r="F125" s="285" t="str">
        <x:v>School Admin / Shared</x:v>
      </x:c>
      <x:c r="G125" s="285" t="str">
        <x:v>Calendar / Schedule</x:v>
      </x:c>
      <x:c r="H125" s="285" t="str">
        <x:v>Plan and review generate timetable by date, period, class, staff or resource.</x:v>
      </x:c>
      <x:c r="I125" s="285" t="str">
        <x:v>Change view, Create / Assign, Reschedule, Print</x:v>
      </x:c>
      <x:c r="J125" s="285" t="str">
        <x:v>Academic year, class, section, day/date, period, subject, teacher, room</x:v>
      </x:c>
      <x:c r="K125" s="285" t="str">
        <x:v>Phase 2</x:v>
      </x:c>
      <x:c r="L125" s="285" t="str">
        <x:v>Calendar / Schedule</x:v>
      </x:c>
      <x:c r="M125" s="285" t="str">
        <x:v>Preserve existing role permissions, APIs and workflows; design reusable responsive UI.</x:v>
      </x:c>
      <x:c r="N125" s="226"/>
      <x:c r="O125" s="226"/>
      <x:c r="P125" s="226"/>
      <x:c r="Q125" s="226"/>
      <x:c r="R125" s="226"/>
      <x:c r="S125" s="226"/>
      <x:c r="T125" s="226"/>
      <x:c r="U125" s="226"/>
      <x:c r="V125" s="226"/>
      <x:c r="W125" s="226"/>
      <x:c r="X125" s="226"/>
      <x:c r="Y125" s="226"/>
      <x:c r="Z125" s="226"/>
    </x:row>
    <x:row r="126">
      <x:c r="A126" s="285" t="str">
        <x:v>SCR-125</x:v>
      </x:c>
      <x:c r="B126" s="285" t="str">
        <x:v>Timetable &amp; Substitution</x:v>
      </x:c>
      <x:c r="C126" s="285" t="str">
        <x:v>Timetable</x:v>
      </x:c>
      <x:c r="D126" s="285" t="str">
        <x:v>Class Timetable</x:v>
      </x:c>
      <x:c r="E126" s="285" t="str">
        <x:v>Academic Coordinator, School Admin, Principal, Teacher, Student</x:v>
      </x:c>
      <x:c r="F126" s="285" t="str">
        <x:v>School Admin / Shared</x:v>
      </x:c>
      <x:c r="G126" s="285" t="str">
        <x:v>Calendar / Schedule</x:v>
      </x:c>
      <x:c r="H126" s="285" t="str">
        <x:v>Plan and review class timetable by date, period, class, staff or resource.</x:v>
      </x:c>
      <x:c r="I126" s="285" t="str">
        <x:v>Change view, Create / Assign, Reschedule, Print</x:v>
      </x:c>
      <x:c r="J126" s="285" t="str">
        <x:v>Academic year, class, section, day/date, period, subject, teacher, room</x:v>
      </x:c>
      <x:c r="K126" s="285" t="str">
        <x:v>Phase 2</x:v>
      </x:c>
      <x:c r="L126" s="285" t="str">
        <x:v>Calendar / Schedule</x:v>
      </x:c>
      <x:c r="M126" s="285" t="str">
        <x:v>Preserve existing role permissions, APIs and workflows; design reusable responsive UI.</x:v>
      </x:c>
      <x:c r="N126" s="226"/>
      <x:c r="O126" s="226"/>
      <x:c r="P126" s="226"/>
      <x:c r="Q126" s="226"/>
      <x:c r="R126" s="226"/>
      <x:c r="S126" s="226"/>
      <x:c r="T126" s="226"/>
      <x:c r="U126" s="226"/>
      <x:c r="V126" s="226"/>
      <x:c r="W126" s="226"/>
      <x:c r="X126" s="226"/>
      <x:c r="Y126" s="226"/>
      <x:c r="Z126" s="226"/>
    </x:row>
    <x:row r="127">
      <x:c r="A127" s="285" t="str">
        <x:v>SCR-126</x:v>
      </x:c>
      <x:c r="B127" s="285" t="str">
        <x:v>Timetable &amp; Substitution</x:v>
      </x:c>
      <x:c r="C127" s="285" t="str">
        <x:v>Timetable</x:v>
      </x:c>
      <x:c r="D127" s="285" t="str">
        <x:v>Teacher Timetable</x:v>
      </x:c>
      <x:c r="E127" s="285" t="str">
        <x:v>Academic Coordinator, School Admin, Principal, Teacher, Student</x:v>
      </x:c>
      <x:c r="F127" s="285" t="str">
        <x:v>School Admin / Shared</x:v>
      </x:c>
      <x:c r="G127" s="285" t="str">
        <x:v>Calendar / Schedule</x:v>
      </x:c>
      <x:c r="H127" s="285" t="str">
        <x:v>Plan and review teacher timetable by date, period, class, staff or resource.</x:v>
      </x:c>
      <x:c r="I127" s="285" t="str">
        <x:v>Change view, Create / Assign, Reschedule, Print</x:v>
      </x:c>
      <x:c r="J127" s="285" t="str">
        <x:v>Employee ID, name, department, designation, subjects, contact, status</x:v>
      </x:c>
      <x:c r="K127" s="285" t="str">
        <x:v>Phase 2</x:v>
      </x:c>
      <x:c r="L127" s="285" t="str">
        <x:v>Calendar / Schedule</x:v>
      </x:c>
      <x:c r="M127" s="285" t="str">
        <x:v>Preserve existing role permissions, APIs and workflows; design reusable responsive UI.</x:v>
      </x:c>
      <x:c r="N127" s="226"/>
      <x:c r="O127" s="226"/>
      <x:c r="P127" s="226"/>
      <x:c r="Q127" s="226"/>
      <x:c r="R127" s="226"/>
      <x:c r="S127" s="226"/>
      <x:c r="T127" s="226"/>
      <x:c r="U127" s="226"/>
      <x:c r="V127" s="226"/>
      <x:c r="W127" s="226"/>
      <x:c r="X127" s="226"/>
      <x:c r="Y127" s="226"/>
      <x:c r="Z127" s="226"/>
    </x:row>
    <x:row r="128">
      <x:c r="A128" s="285" t="str">
        <x:v>SCR-127</x:v>
      </x:c>
      <x:c r="B128" s="285" t="str">
        <x:v>Timetable &amp; Substitution</x:v>
      </x:c>
      <x:c r="C128" s="285" t="str">
        <x:v>Timetable</x:v>
      </x:c>
      <x:c r="D128" s="285" t="str">
        <x:v>Substitution / Replacement</x:v>
      </x:c>
      <x:c r="E128" s="285" t="str">
        <x:v>Academic Coordinator, School Admin, Principal, Teacher, Student</x:v>
      </x:c>
      <x:c r="F128" s="285" t="str">
        <x:v>School Admin / Shared</x:v>
      </x:c>
      <x:c r="G128" s="285" t="str">
        <x:v>Workflow / Management</x:v>
      </x:c>
      <x:c r="H128" s="285" t="str">
        <x:v>Manage the end-to-end substitution / replacement workflow within timetable &amp; substitution.</x:v>
      </x:c>
      <x:c r="I128" s="285" t="str">
        <x:v>View, Create / Update, Filter, Export / Print</x:v>
      </x:c>
      <x:c r="J128" s="285" t="str">
        <x:v>Name / title, code, academic year, status, owner, dates, remarks</x:v>
      </x:c>
      <x:c r="K128" s="285" t="str">
        <x:v>Phase 3</x:v>
      </x:c>
      <x:c r="L128" s="285" t="str">
        <x:v>Workflow / Approval / Detail</x:v>
      </x:c>
      <x:c r="M128" s="285" t="str">
        <x:v>Preserve existing role permissions, APIs and workflows; design reusable responsive UI.</x:v>
      </x:c>
      <x:c r="N128" s="226"/>
      <x:c r="O128" s="226"/>
      <x:c r="P128" s="226"/>
      <x:c r="Q128" s="226"/>
      <x:c r="R128" s="226"/>
      <x:c r="S128" s="226"/>
      <x:c r="T128" s="226"/>
      <x:c r="U128" s="226"/>
      <x:c r="V128" s="226"/>
      <x:c r="W128" s="226"/>
      <x:c r="X128" s="226"/>
      <x:c r="Y128" s="226"/>
      <x:c r="Z128" s="226"/>
    </x:row>
    <x:row r="129">
      <x:c r="A129" s="285" t="str">
        <x:v>SCR-128</x:v>
      </x:c>
      <x:c r="B129" s="285" t="str">
        <x:v>Homework &amp; Assignments</x:v>
      </x:c>
      <x:c r="C129" s="285" t="str">
        <x:v>Homework</x:v>
      </x:c>
      <x:c r="D129" s="285" t="str">
        <x:v>Homework List</x:v>
      </x:c>
      <x:c r="E129" s="285" t="str">
        <x:v>Teacher, School Admin</x:v>
      </x:c>
      <x:c r="F129" s="285" t="str">
        <x:v>School Admin / Shared</x:v>
      </x:c>
      <x:c r="G129" s="285" t="str">
        <x:v>List / Management</x:v>
      </x:c>
      <x:c r="H129" s="285" t="str">
        <x:v>Search, filter and manage records for homework list.</x:v>
      </x:c>
      <x:c r="I129" s="285" t="str">
        <x:v>Search, Filter, Sort, Open record</x:v>
      </x:c>
      <x:c r="J129" s="285" t="str">
        <x:v>Name / title, code, academic year, status, owner, dates, remarks</x:v>
      </x:c>
      <x:c r="K129" s="285" t="str">
        <x:v>MVP</x:v>
      </x:c>
      <x:c r="L129" s="285" t="str">
        <x:v>Search + Filter + Data Table</x:v>
      </x:c>
      <x:c r="M129" s="285" t="str">
        <x:v>Preserve existing role permissions, APIs and workflows; design reusable responsive UI.</x:v>
      </x:c>
      <x:c r="N129" s="226"/>
      <x:c r="O129" s="226"/>
      <x:c r="P129" s="226"/>
      <x:c r="Q129" s="226"/>
      <x:c r="R129" s="226"/>
      <x:c r="S129" s="226"/>
      <x:c r="T129" s="226"/>
      <x:c r="U129" s="226"/>
      <x:c r="V129" s="226"/>
      <x:c r="W129" s="226"/>
      <x:c r="X129" s="226"/>
      <x:c r="Y129" s="226"/>
      <x:c r="Z129" s="226"/>
    </x:row>
    <x:row r="130">
      <x:c r="A130" s="285" t="str">
        <x:v>SCR-129</x:v>
      </x:c>
      <x:c r="B130" s="285" t="str">
        <x:v>Homework &amp; Assignments</x:v>
      </x:c>
      <x:c r="C130" s="285" t="str">
        <x:v>Homework</x:v>
      </x:c>
      <x:c r="D130" s="285" t="str">
        <x:v>Create Homework</x:v>
      </x:c>
      <x:c r="E130" s="285" t="str">
        <x:v>Teacher, School Admin</x:v>
      </x:c>
      <x:c r="F130" s="285" t="str">
        <x:v>School Admin / Shared</x:v>
      </x:c>
      <x:c r="G130" s="285" t="str">
        <x:v>Create / Transaction</x:v>
      </x:c>
      <x:c r="H130" s="285" t="str">
        <x:v>Capture or process the create homework workflow while enforcing school rules and validations.</x:v>
      </x:c>
      <x:c r="I130" s="285" t="str">
        <x:v>Create, Save, Validate, Cancel</x:v>
      </x:c>
      <x:c r="J130" s="285" t="str">
        <x:v>Name / title, code, academic year, status, owner, dates, remarks</x:v>
      </x:c>
      <x:c r="K130" s="285" t="str">
        <x:v>MVP</x:v>
      </x:c>
      <x:c r="L130" s="285" t="str">
        <x:v>Form / Wizard</x:v>
      </x:c>
      <x:c r="M130" s="285" t="str">
        <x:v>Preserve existing role permissions, APIs and workflows; design reusable responsive UI.</x:v>
      </x:c>
      <x:c r="N130" s="226"/>
      <x:c r="O130" s="226"/>
      <x:c r="P130" s="226"/>
      <x:c r="Q130" s="226"/>
      <x:c r="R130" s="226"/>
      <x:c r="S130" s="226"/>
      <x:c r="T130" s="226"/>
      <x:c r="U130" s="226"/>
      <x:c r="V130" s="226"/>
      <x:c r="W130" s="226"/>
      <x:c r="X130" s="226"/>
      <x:c r="Y130" s="226"/>
      <x:c r="Z130" s="226"/>
    </x:row>
    <x:row r="131">
      <x:c r="A131" s="285" t="str">
        <x:v>SCR-130</x:v>
      </x:c>
      <x:c r="B131" s="285" t="str">
        <x:v>Homework &amp; Assignments</x:v>
      </x:c>
      <x:c r="C131" s="285" t="str">
        <x:v>Homework</x:v>
      </x:c>
      <x:c r="D131" s="285" t="str">
        <x:v>Homework Details</x:v>
      </x:c>
      <x:c r="E131" s="285" t="str">
        <x:v>Teacher, School Admin</x:v>
      </x:c>
      <x:c r="F131" s="285" t="str">
        <x:v>School Admin / Shared</x:v>
      </x:c>
      <x:c r="G131" s="285" t="str">
        <x:v>Detail / Profile</x:v>
      </x:c>
      <x:c r="H131" s="285" t="str">
        <x:v>Show the complete record and related activity for homework details in one structured view.</x:v>
      </x:c>
      <x:c r="I131" s="285" t="str">
        <x:v>View, Edit, Update, View activity</x:v>
      </x:c>
      <x:c r="J131" s="285" t="str">
        <x:v>Name / title, code, academic year, status, owner, dates, remarks</x:v>
      </x:c>
      <x:c r="K131" s="285" t="str">
        <x:v>MVP</x:v>
      </x:c>
      <x:c r="L131" s="285" t="str">
        <x:v>Profile / Detail + Tabs</x:v>
      </x:c>
      <x:c r="M131" s="285" t="str">
        <x:v>Preserve existing role permissions, APIs and workflows; design reusable responsive UI.</x:v>
      </x:c>
      <x:c r="N131" s="226"/>
      <x:c r="O131" s="226"/>
      <x:c r="P131" s="226"/>
      <x:c r="Q131" s="226"/>
      <x:c r="R131" s="226"/>
      <x:c r="S131" s="226"/>
      <x:c r="T131" s="226"/>
      <x:c r="U131" s="226"/>
      <x:c r="V131" s="226"/>
      <x:c r="W131" s="226"/>
      <x:c r="X131" s="226"/>
      <x:c r="Y131" s="226"/>
      <x:c r="Z131" s="226"/>
    </x:row>
    <x:row r="132">
      <x:c r="A132" s="285" t="str">
        <x:v>SCR-131</x:v>
      </x:c>
      <x:c r="B132" s="285" t="str">
        <x:v>Homework &amp; Assignments</x:v>
      </x:c>
      <x:c r="C132" s="285" t="str">
        <x:v>Homework</x:v>
      </x:c>
      <x:c r="D132" s="285" t="str">
        <x:v>Student Homework View</x:v>
      </x:c>
      <x:c r="E132" s="285" t="str">
        <x:v>Student, Teacher, Parent</x:v>
      </x:c>
      <x:c r="F132" s="285" t="str">
        <x:v>Teacher Portal</x:v>
      </x:c>
      <x:c r="G132" s="285" t="str">
        <x:v>Workflow / Management</x:v>
      </x:c>
      <x:c r="H132" s="285" t="str">
        <x:v>Manage the end-to-end student homework view workflow within homework &amp; assignments.</x:v>
      </x:c>
      <x:c r="I132" s="285" t="str">
        <x:v>View, Create / Update, Filter, Export / Print</x:v>
      </x:c>
      <x:c r="J132" s="285" t="str">
        <x:v>Student ID, admission no., name, class, section, status, parent, academic year</x:v>
      </x:c>
      <x:c r="K132" s="285" t="str">
        <x:v>MVP</x:v>
      </x:c>
      <x:c r="L132" s="285" t="str">
        <x:v>Workflow / Approval / Detail</x:v>
      </x:c>
      <x:c r="M132" s="285" t="str">
        <x:v>Preserve existing role permissions, APIs and workflows; design reusable responsive UI.</x:v>
      </x:c>
      <x:c r="N132" s="226"/>
      <x:c r="O132" s="226"/>
      <x:c r="P132" s="226"/>
      <x:c r="Q132" s="226"/>
      <x:c r="R132" s="226"/>
      <x:c r="S132" s="226"/>
      <x:c r="T132" s="226"/>
      <x:c r="U132" s="226"/>
      <x:c r="V132" s="226"/>
      <x:c r="W132" s="226"/>
      <x:c r="X132" s="226"/>
      <x:c r="Y132" s="226"/>
      <x:c r="Z132" s="226"/>
    </x:row>
    <x:row r="133">
      <x:c r="A133" s="285" t="str">
        <x:v>SCR-132</x:v>
      </x:c>
      <x:c r="B133" s="285" t="str">
        <x:v>Homework &amp; Assignments</x:v>
      </x:c>
      <x:c r="C133" s="285" t="str">
        <x:v>Homework</x:v>
      </x:c>
      <x:c r="D133" s="285" t="str">
        <x:v>Homework Submission</x:v>
      </x:c>
      <x:c r="E133" s="285" t="str">
        <x:v>Student, Teacher, Parent</x:v>
      </x:c>
      <x:c r="F133" s="285" t="str">
        <x:v>Teacher Portal</x:v>
      </x:c>
      <x:c r="G133" s="285" t="str">
        <x:v>Workflow / Management</x:v>
      </x:c>
      <x:c r="H133" s="285" t="str">
        <x:v>Manage the end-to-end homework submission workflow within homework &amp; assignments.</x:v>
      </x:c>
      <x:c r="I133" s="285" t="str">
        <x:v>View, Create / Update, Filter, Export / Print</x:v>
      </x:c>
      <x:c r="J133" s="285" t="str">
        <x:v>Name / title, code, academic year, status, owner, dates, remarks</x:v>
      </x:c>
      <x:c r="K133" s="285" t="str">
        <x:v>MVP</x:v>
      </x:c>
      <x:c r="L133" s="285" t="str">
        <x:v>Workflow / Approval / Detail</x:v>
      </x:c>
      <x:c r="M133" s="285" t="str">
        <x:v>Preserve existing role permissions, APIs and workflows; design reusable responsive UI.</x:v>
      </x:c>
      <x:c r="N133" s="226"/>
      <x:c r="O133" s="226"/>
      <x:c r="P133" s="226"/>
      <x:c r="Q133" s="226"/>
      <x:c r="R133" s="226"/>
      <x:c r="S133" s="226"/>
      <x:c r="T133" s="226"/>
      <x:c r="U133" s="226"/>
      <x:c r="V133" s="226"/>
      <x:c r="W133" s="226"/>
      <x:c r="X133" s="226"/>
      <x:c r="Y133" s="226"/>
      <x:c r="Z133" s="226"/>
    </x:row>
    <x:row r="134">
      <x:c r="A134" s="285" t="str">
        <x:v>SCR-133</x:v>
      </x:c>
      <x:c r="B134" s="285" t="str">
        <x:v>Homework &amp; Assignments</x:v>
      </x:c>
      <x:c r="C134" s="285" t="str">
        <x:v>Homework</x:v>
      </x:c>
      <x:c r="D134" s="285" t="str">
        <x:v>Homework Evaluation</x:v>
      </x:c>
      <x:c r="E134" s="285" t="str">
        <x:v>Teacher</x:v>
      </x:c>
      <x:c r="F134" s="285" t="str">
        <x:v>Teacher Portal</x:v>
      </x:c>
      <x:c r="G134" s="285" t="str">
        <x:v>Workflow / Management</x:v>
      </x:c>
      <x:c r="H134" s="285" t="str">
        <x:v>Manage the end-to-end homework evaluation workflow within homework &amp; assignments.</x:v>
      </x:c>
      <x:c r="I134" s="285" t="str">
        <x:v>View, Create / Update, Filter, Export / Print</x:v>
      </x:c>
      <x:c r="J134" s="285" t="str">
        <x:v>Name / title, code, academic year, status, owner, dates, remarks</x:v>
      </x:c>
      <x:c r="K134" s="285" t="str">
        <x:v>MVP</x:v>
      </x:c>
      <x:c r="L134" s="285" t="str">
        <x:v>Workflow / Approval / Detail</x:v>
      </x:c>
      <x:c r="M134" s="285" t="str">
        <x:v>Preserve existing role permissions, APIs and workflows; design reusable responsive UI.</x:v>
      </x:c>
      <x:c r="N134" s="226"/>
      <x:c r="O134" s="226"/>
      <x:c r="P134" s="226"/>
      <x:c r="Q134" s="226"/>
      <x:c r="R134" s="226"/>
      <x:c r="S134" s="226"/>
      <x:c r="T134" s="226"/>
      <x:c r="U134" s="226"/>
      <x:c r="V134" s="226"/>
      <x:c r="W134" s="226"/>
      <x:c r="X134" s="226"/>
      <x:c r="Y134" s="226"/>
      <x:c r="Z134" s="226"/>
    </x:row>
    <x:row r="135">
      <x:c r="A135" s="285" t="str">
        <x:v>SCR-134</x:v>
      </x:c>
      <x:c r="B135" s="285" t="str">
        <x:v>Homework &amp; Assignments</x:v>
      </x:c>
      <x:c r="C135" s="285" t="str">
        <x:v>Homework</x:v>
      </x:c>
      <x:c r="D135" s="285" t="str">
        <x:v>Assignment List</x:v>
      </x:c>
      <x:c r="E135" s="285" t="str">
        <x:v>Teacher, School Admin</x:v>
      </x:c>
      <x:c r="F135" s="285" t="str">
        <x:v>School Admin / Shared</x:v>
      </x:c>
      <x:c r="G135" s="285" t="str">
        <x:v>List / Management</x:v>
      </x:c>
      <x:c r="H135" s="285" t="str">
        <x:v>Search, filter and manage records for assignment list.</x:v>
      </x:c>
      <x:c r="I135" s="285" t="str">
        <x:v>Search, Filter, Sort, Open record</x:v>
      </x:c>
      <x:c r="J135" s="285" t="str">
        <x:v>Name / title, code, academic year, status, owner, dates, remarks</x:v>
      </x:c>
      <x:c r="K135" s="285" t="str">
        <x:v>Phase 2</x:v>
      </x:c>
      <x:c r="L135" s="285" t="str">
        <x:v>Search + Filter + Data Table</x:v>
      </x:c>
      <x:c r="M135" s="285" t="str">
        <x:v>Preserve existing role permissions, APIs and workflows; design reusable responsive UI.</x:v>
      </x:c>
      <x:c r="N135" s="226"/>
      <x:c r="O135" s="226"/>
      <x:c r="P135" s="226"/>
      <x:c r="Q135" s="226"/>
      <x:c r="R135" s="226"/>
      <x:c r="S135" s="226"/>
      <x:c r="T135" s="226"/>
      <x:c r="U135" s="226"/>
      <x:c r="V135" s="226"/>
      <x:c r="W135" s="226"/>
      <x:c r="X135" s="226"/>
      <x:c r="Y135" s="226"/>
      <x:c r="Z135" s="226"/>
    </x:row>
    <x:row r="136">
      <x:c r="A136" s="285" t="str">
        <x:v>SCR-135</x:v>
      </x:c>
      <x:c r="B136" s="285" t="str">
        <x:v>Homework &amp; Assignments</x:v>
      </x:c>
      <x:c r="C136" s="285" t="str">
        <x:v>Homework</x:v>
      </x:c>
      <x:c r="D136" s="285" t="str">
        <x:v>Create Assignment</x:v>
      </x:c>
      <x:c r="E136" s="285" t="str">
        <x:v>Teacher, School Admin</x:v>
      </x:c>
      <x:c r="F136" s="285" t="str">
        <x:v>School Admin / Shared</x:v>
      </x:c>
      <x:c r="G136" s="285" t="str">
        <x:v>Create / Transaction</x:v>
      </x:c>
      <x:c r="H136" s="285" t="str">
        <x:v>Capture or process the create assignment workflow while enforcing school rules and validations.</x:v>
      </x:c>
      <x:c r="I136" s="285" t="str">
        <x:v>Create, Save, Validate, Cancel</x:v>
      </x:c>
      <x:c r="J136" s="285" t="str">
        <x:v>Name / title, code, academic year, status, owner, dates, remarks</x:v>
      </x:c>
      <x:c r="K136" s="285" t="str">
        <x:v>Phase 2</x:v>
      </x:c>
      <x:c r="L136" s="285" t="str">
        <x:v>Form / Wizard</x:v>
      </x:c>
      <x:c r="M136" s="285" t="str">
        <x:v>Preserve existing role permissions, APIs and workflows; design reusable responsive UI.</x:v>
      </x:c>
      <x:c r="N136" s="226"/>
      <x:c r="O136" s="226"/>
      <x:c r="P136" s="226"/>
      <x:c r="Q136" s="226"/>
      <x:c r="R136" s="226"/>
      <x:c r="S136" s="226"/>
      <x:c r="T136" s="226"/>
      <x:c r="U136" s="226"/>
      <x:c r="V136" s="226"/>
      <x:c r="W136" s="226"/>
      <x:c r="X136" s="226"/>
      <x:c r="Y136" s="226"/>
      <x:c r="Z136" s="226"/>
    </x:row>
    <x:row r="137">
      <x:c r="A137" s="285" t="str">
        <x:v>SCR-136</x:v>
      </x:c>
      <x:c r="B137" s="285" t="str">
        <x:v>Homework &amp; Assignments</x:v>
      </x:c>
      <x:c r="C137" s="285" t="str">
        <x:v>Homework</x:v>
      </x:c>
      <x:c r="D137" s="285" t="str">
        <x:v>Assignment Submissions</x:v>
      </x:c>
      <x:c r="E137" s="285" t="str">
        <x:v>Student, Teacher, Parent</x:v>
      </x:c>
      <x:c r="F137" s="285" t="str">
        <x:v>Teacher Portal</x:v>
      </x:c>
      <x:c r="G137" s="285" t="str">
        <x:v>Workflow / Management</x:v>
      </x:c>
      <x:c r="H137" s="285" t="str">
        <x:v>Manage the end-to-end assignment submissions workflow within homework &amp; assignments.</x:v>
      </x:c>
      <x:c r="I137" s="285" t="str">
        <x:v>View, Create / Update, Filter, Export / Print</x:v>
      </x:c>
      <x:c r="J137" s="285" t="str">
        <x:v>Name / title, code, academic year, status, owner, dates, remarks</x:v>
      </x:c>
      <x:c r="K137" s="285" t="str">
        <x:v>Phase 2</x:v>
      </x:c>
      <x:c r="L137" s="285" t="str">
        <x:v>Workflow / Approval / Detail</x:v>
      </x:c>
      <x:c r="M137" s="285" t="str">
        <x:v>Preserve existing role permissions, APIs and workflows; design reusable responsive UI.</x:v>
      </x:c>
      <x:c r="N137" s="226"/>
      <x:c r="O137" s="226"/>
      <x:c r="P137" s="226"/>
      <x:c r="Q137" s="226"/>
      <x:c r="R137" s="226"/>
      <x:c r="S137" s="226"/>
      <x:c r="T137" s="226"/>
      <x:c r="U137" s="226"/>
      <x:c r="V137" s="226"/>
      <x:c r="W137" s="226"/>
      <x:c r="X137" s="226"/>
      <x:c r="Y137" s="226"/>
      <x:c r="Z137" s="226"/>
    </x:row>
    <x:row r="138">
      <x:c r="A138" s="285" t="str">
        <x:v>SCR-137</x:v>
      </x:c>
      <x:c r="B138" s="285" t="str">
        <x:v>Homework &amp; Assignments</x:v>
      </x:c>
      <x:c r="C138" s="285" t="str">
        <x:v>Homework</x:v>
      </x:c>
      <x:c r="D138" s="285" t="str">
        <x:v>Assignment Evaluation</x:v>
      </x:c>
      <x:c r="E138" s="285" t="str">
        <x:v>Teacher</x:v>
      </x:c>
      <x:c r="F138" s="285" t="str">
        <x:v>Teacher Portal</x:v>
      </x:c>
      <x:c r="G138" s="285" t="str">
        <x:v>Workflow / Management</x:v>
      </x:c>
      <x:c r="H138" s="285" t="str">
        <x:v>Manage the end-to-end assignment evaluation workflow within homework &amp; assignments.</x:v>
      </x:c>
      <x:c r="I138" s="285" t="str">
        <x:v>View, Create / Update, Filter, Export / Print</x:v>
      </x:c>
      <x:c r="J138" s="285" t="str">
        <x:v>Name / title, code, academic year, status, owner, dates, remarks</x:v>
      </x:c>
      <x:c r="K138" s="285" t="str">
        <x:v>Phase 3</x:v>
      </x:c>
      <x:c r="L138" s="285" t="str">
        <x:v>Workflow / Approval / Detail</x:v>
      </x:c>
      <x:c r="M138" s="285" t="str">
        <x:v>Preserve existing role permissions, APIs and workflows; design reusable responsive UI.</x:v>
      </x:c>
      <x:c r="N138" s="226"/>
      <x:c r="O138" s="226"/>
      <x:c r="P138" s="226"/>
      <x:c r="Q138" s="226"/>
      <x:c r="R138" s="226"/>
      <x:c r="S138" s="226"/>
      <x:c r="T138" s="226"/>
      <x:c r="U138" s="226"/>
      <x:c r="V138" s="226"/>
      <x:c r="W138" s="226"/>
      <x:c r="X138" s="226"/>
      <x:c r="Y138" s="226"/>
      <x:c r="Z138" s="226"/>
    </x:row>
    <x:row r="139">
      <x:c r="A139" s="285" t="str">
        <x:v>SCR-138</x:v>
      </x:c>
      <x:c r="B139" s="285" t="str">
        <x:v>Examinations / Marks / Results</x:v>
      </x:c>
      <x:c r="C139" s="285" t="str">
        <x:v>Examinations</x:v>
      </x:c>
      <x:c r="D139" s="285" t="str">
        <x:v>Exam Dashboard</x:v>
      </x:c>
      <x:c r="E139" s="285" t="str">
        <x:v>Exam Coordinator, Teacher, School Admin, Principal, Student, Parent</x:v>
      </x:c>
      <x:c r="F139" s="285" t="str">
        <x:v>School Admin / Shared</x:v>
      </x:c>
      <x:c r="G139" s="285" t="str">
        <x:v>Dashboard</x:v>
      </x:c>
      <x:c r="H139" s="285" t="str">
        <x:v>Provide an at-a-glance operational view of examinations / marks / results with key status, alerts and shortcuts.</x:v>
      </x:c>
      <x:c r="I139" s="285" t="str">
        <x:v>Filter, Drill down, Export, Print</x:v>
      </x:c>
      <x:c r="J139" s="285" t="str">
        <x:v>KPIs, alerts, recent activity, pending actions, date / academic-year filters</x:v>
      </x:c>
      <x:c r="K139" s="285" t="str">
        <x:v>MVP</x:v>
      </x:c>
      <x:c r="L139" s="285" t="str">
        <x:v>Dashboard + KPI Cards</x:v>
      </x:c>
      <x:c r="M139" s="285" t="str">
        <x:v>Preserve existing role permissions, APIs and workflows; design reusable responsive UI.</x:v>
      </x:c>
      <x:c r="N139" s="226"/>
      <x:c r="O139" s="226"/>
      <x:c r="P139" s="226"/>
      <x:c r="Q139" s="226"/>
      <x:c r="R139" s="226"/>
      <x:c r="S139" s="226"/>
      <x:c r="T139" s="226"/>
      <x:c r="U139" s="226"/>
      <x:c r="V139" s="226"/>
      <x:c r="W139" s="226"/>
      <x:c r="X139" s="226"/>
      <x:c r="Y139" s="226"/>
      <x:c r="Z139" s="226"/>
    </x:row>
    <x:row r="140">
      <x:c r="A140" s="285" t="str">
        <x:v>SCR-139</x:v>
      </x:c>
      <x:c r="B140" s="285" t="str">
        <x:v>Examinations / Marks / Results</x:v>
      </x:c>
      <x:c r="C140" s="285" t="str">
        <x:v>Examinations</x:v>
      </x:c>
      <x:c r="D140" s="285" t="str">
        <x:v>Exam Types</x:v>
      </x:c>
      <x:c r="E140" s="285" t="str">
        <x:v>Exam Coordinator, Teacher, School Admin, Principal, Student, Parent</x:v>
      </x:c>
      <x:c r="F140" s="285" t="str">
        <x:v>School Admin / Shared</x:v>
      </x:c>
      <x:c r="G140" s="285" t="str">
        <x:v>Workflow / Management</x:v>
      </x:c>
      <x:c r="H140" s="285" t="str">
        <x:v>Manage the end-to-end exam types workflow within examinations / marks / results.</x:v>
      </x:c>
      <x:c r="I140" s="285" t="str">
        <x:v>View, Create / Update, Filter, Export / Print</x:v>
      </x:c>
      <x:c r="J140" s="285" t="str">
        <x:v>Exam, class, subject, date, max marks, pass marks, score, grade, remarks</x:v>
      </x:c>
      <x:c r="K140" s="285" t="str">
        <x:v>MVP</x:v>
      </x:c>
      <x:c r="L140" s="285" t="str">
        <x:v>Workflow / Approval / Detail</x:v>
      </x:c>
      <x:c r="M140" s="285" t="str">
        <x:v>Preserve existing role permissions, APIs and workflows; design reusable responsive UI.</x:v>
      </x:c>
      <x:c r="N140" s="226"/>
      <x:c r="O140" s="226"/>
      <x:c r="P140" s="226"/>
      <x:c r="Q140" s="226"/>
      <x:c r="R140" s="226"/>
      <x:c r="S140" s="226"/>
      <x:c r="T140" s="226"/>
      <x:c r="U140" s="226"/>
      <x:c r="V140" s="226"/>
      <x:c r="W140" s="226"/>
      <x:c r="X140" s="226"/>
      <x:c r="Y140" s="226"/>
      <x:c r="Z140" s="226"/>
    </x:row>
    <x:row r="141">
      <x:c r="A141" s="285" t="str">
        <x:v>SCR-140</x:v>
      </x:c>
      <x:c r="B141" s="285" t="str">
        <x:v>Examinations / Marks / Results</x:v>
      </x:c>
      <x:c r="C141" s="285" t="str">
        <x:v>Examinations</x:v>
      </x:c>
      <x:c r="D141" s="285" t="str">
        <x:v>Exam Setup</x:v>
      </x:c>
      <x:c r="E141" s="285" t="str">
        <x:v>Exam Coordinator, Teacher, School Admin, Principal, Student, Parent</x:v>
      </x:c>
      <x:c r="F141" s="285" t="str">
        <x:v>School Admin / Shared</x:v>
      </x:c>
      <x:c r="G141" s="285" t="str">
        <x:v>Create / Transaction</x:v>
      </x:c>
      <x:c r="H141" s="285" t="str">
        <x:v>Capture or process the exam setup workflow while enforcing school rules and validations.</x:v>
      </x:c>
      <x:c r="I141" s="285" t="str">
        <x:v>Create, Save, Validate, Cancel</x:v>
      </x:c>
      <x:c r="J141" s="285" t="str">
        <x:v>Exam, class, subject, date, max marks, pass marks, score, grade, remarks</x:v>
      </x:c>
      <x:c r="K141" s="285" t="str">
        <x:v>MVP</x:v>
      </x:c>
      <x:c r="L141" s="285" t="str">
        <x:v>Form / Wizard</x:v>
      </x:c>
      <x:c r="M141" s="285" t="str">
        <x:v>Preserve existing role permissions, APIs and workflows; design reusable responsive UI.</x:v>
      </x:c>
      <x:c r="N141" s="226"/>
      <x:c r="O141" s="226"/>
      <x:c r="P141" s="226"/>
      <x:c r="Q141" s="226"/>
      <x:c r="R141" s="226"/>
      <x:c r="S141" s="226"/>
      <x:c r="T141" s="226"/>
      <x:c r="U141" s="226"/>
      <x:c r="V141" s="226"/>
      <x:c r="W141" s="226"/>
      <x:c r="X141" s="226"/>
      <x:c r="Y141" s="226"/>
      <x:c r="Z141" s="226"/>
    </x:row>
    <x:row r="142">
      <x:c r="A142" s="285" t="str">
        <x:v>SCR-141</x:v>
      </x:c>
      <x:c r="B142" s="285" t="str">
        <x:v>Examinations / Marks / Results</x:v>
      </x:c>
      <x:c r="C142" s="285" t="str">
        <x:v>Examinations</x:v>
      </x:c>
      <x:c r="D142" s="285" t="str">
        <x:v>Exam Schedule</x:v>
      </x:c>
      <x:c r="E142" s="285" t="str">
        <x:v>Exam Coordinator, Teacher, School Admin, Principal, Student, Parent</x:v>
      </x:c>
      <x:c r="F142" s="285" t="str">
        <x:v>School Admin / Shared</x:v>
      </x:c>
      <x:c r="G142" s="285" t="str">
        <x:v>Calendar / Schedule</x:v>
      </x:c>
      <x:c r="H142" s="285" t="str">
        <x:v>Plan and review exam schedule by date, period, class, staff or resource.</x:v>
      </x:c>
      <x:c r="I142" s="285" t="str">
        <x:v>Change view, Create / Assign, Reschedule, Print</x:v>
      </x:c>
      <x:c r="J142" s="285" t="str">
        <x:v>Exam, class, subject, date, max marks, pass marks, score, grade, remarks</x:v>
      </x:c>
      <x:c r="K142" s="285" t="str">
        <x:v>MVP</x:v>
      </x:c>
      <x:c r="L142" s="285" t="str">
        <x:v>Calendar / Schedule</x:v>
      </x:c>
      <x:c r="M142" s="285" t="str">
        <x:v>Preserve existing role permissions, APIs and workflows; design reusable responsive UI.</x:v>
      </x:c>
      <x:c r="N142" s="226"/>
      <x:c r="O142" s="226"/>
      <x:c r="P142" s="226"/>
      <x:c r="Q142" s="226"/>
      <x:c r="R142" s="226"/>
      <x:c r="S142" s="226"/>
      <x:c r="T142" s="226"/>
      <x:c r="U142" s="226"/>
      <x:c r="V142" s="226"/>
      <x:c r="W142" s="226"/>
      <x:c r="X142" s="226"/>
      <x:c r="Y142" s="226"/>
      <x:c r="Z142" s="226"/>
    </x:row>
    <x:row r="143">
      <x:c r="A143" s="285" t="str">
        <x:v>SCR-142</x:v>
      </x:c>
      <x:c r="B143" s="285" t="str">
        <x:v>Examinations / Marks / Results</x:v>
      </x:c>
      <x:c r="C143" s="285" t="str">
        <x:v>Examinations</x:v>
      </x:c>
      <x:c r="D143" s="285" t="str">
        <x:v>Hall / Room Allocation</x:v>
      </x:c>
      <x:c r="E143" s="285" t="str">
        <x:v>Exam Coordinator, Teacher, School Admin, Principal, Student, Parent</x:v>
      </x:c>
      <x:c r="F143" s="285" t="str">
        <x:v>School Admin / Shared</x:v>
      </x:c>
      <x:c r="G143" s="285" t="str">
        <x:v>Workflow / Management</x:v>
      </x:c>
      <x:c r="H143" s="285" t="str">
        <x:v>Manage the end-to-end hall / room allocation workflow within examinations / marks / results.</x:v>
      </x:c>
      <x:c r="I143" s="285" t="str">
        <x:v>View, Create / Update, Filter, Export / Print</x:v>
      </x:c>
      <x:c r="J143" s="285" t="str">
        <x:v>Hostel, room, bed, student, allocation date, warden, status</x:v>
      </x:c>
      <x:c r="K143" s="285" t="str">
        <x:v>MVP</x:v>
      </x:c>
      <x:c r="L143" s="285" t="str">
        <x:v>Workflow / Approval / Detail</x:v>
      </x:c>
      <x:c r="M143" s="285" t="str">
        <x:v>Preserve existing role permissions, APIs and workflows; design reusable responsive UI.</x:v>
      </x:c>
      <x:c r="N143" s="226"/>
      <x:c r="O143" s="226"/>
      <x:c r="P143" s="226"/>
      <x:c r="Q143" s="226"/>
      <x:c r="R143" s="226"/>
      <x:c r="S143" s="226"/>
      <x:c r="T143" s="226"/>
      <x:c r="U143" s="226"/>
      <x:c r="V143" s="226"/>
      <x:c r="W143" s="226"/>
      <x:c r="X143" s="226"/>
      <x:c r="Y143" s="226"/>
      <x:c r="Z143" s="226"/>
    </x:row>
    <x:row r="144">
      <x:c r="A144" s="285" t="str">
        <x:v>SCR-143</x:v>
      </x:c>
      <x:c r="B144" s="285" t="str">
        <x:v>Examinations / Marks / Results</x:v>
      </x:c>
      <x:c r="C144" s="285" t="str">
        <x:v>Examinations</x:v>
      </x:c>
      <x:c r="D144" s="285" t="str">
        <x:v>Invigilation Assignment</x:v>
      </x:c>
      <x:c r="E144" s="285" t="str">
        <x:v>Exam Coordinator, Teacher, School Admin, Principal, Student, Parent</x:v>
      </x:c>
      <x:c r="F144" s="285" t="str">
        <x:v>School Admin / Shared</x:v>
      </x:c>
      <x:c r="G144" s="285" t="str">
        <x:v>Workflow / Management</x:v>
      </x:c>
      <x:c r="H144" s="285" t="str">
        <x:v>Manage the end-to-end invigilation assignment workflow within examinations / marks / results.</x:v>
      </x:c>
      <x:c r="I144" s="285" t="str">
        <x:v>View, Create / Update, Filter, Export / Print</x:v>
      </x:c>
      <x:c r="J144" s="285" t="str">
        <x:v>Name / title, code, academic year, status, owner, dates, remarks</x:v>
      </x:c>
      <x:c r="K144" s="285" t="str">
        <x:v>MVP</x:v>
      </x:c>
      <x:c r="L144" s="285" t="str">
        <x:v>Workflow / Approval / Detail</x:v>
      </x:c>
      <x:c r="M144" s="285" t="str">
        <x:v>Preserve existing role permissions, APIs and workflows; design reusable responsive UI.</x:v>
      </x:c>
      <x:c r="N144" s="226"/>
      <x:c r="O144" s="226"/>
      <x:c r="P144" s="226"/>
      <x:c r="Q144" s="226"/>
      <x:c r="R144" s="226"/>
      <x:c r="S144" s="226"/>
      <x:c r="T144" s="226"/>
      <x:c r="U144" s="226"/>
      <x:c r="V144" s="226"/>
      <x:c r="W144" s="226"/>
      <x:c r="X144" s="226"/>
      <x:c r="Y144" s="226"/>
      <x:c r="Z144" s="226"/>
    </x:row>
    <x:row r="145">
      <x:c r="A145" s="285" t="str">
        <x:v>SCR-144</x:v>
      </x:c>
      <x:c r="B145" s="285" t="str">
        <x:v>Examinations / Marks / Results</x:v>
      </x:c>
      <x:c r="C145" s="285" t="str">
        <x:v>Examinations</x:v>
      </x:c>
      <x:c r="D145" s="285" t="str">
        <x:v>Admit Card</x:v>
      </x:c>
      <x:c r="E145" s="285" t="str">
        <x:v>Exam Coordinator, Teacher, School Admin, Principal, Student, Parent</x:v>
      </x:c>
      <x:c r="F145" s="285" t="str">
        <x:v>School Admin / Shared</x:v>
      </x:c>
      <x:c r="G145" s="285" t="str">
        <x:v>Workflow / Management</x:v>
      </x:c>
      <x:c r="H145" s="285" t="str">
        <x:v>Manage the end-to-end admit card workflow within examinations / marks / results.</x:v>
      </x:c>
      <x:c r="I145" s="285" t="str">
        <x:v>View, Create / Update, Filter, Export / Print</x:v>
      </x:c>
      <x:c r="J145" s="285" t="str">
        <x:v>Name / title, code, academic year, status, owner, dates, remarks</x:v>
      </x:c>
      <x:c r="K145" s="285" t="str">
        <x:v>MVP</x:v>
      </x:c>
      <x:c r="L145" s="285" t="str">
        <x:v>Workflow / Approval / Detail</x:v>
      </x:c>
      <x:c r="M145" s="285" t="str">
        <x:v>Preserve existing role permissions, APIs and workflows; design reusable responsive UI.</x:v>
      </x:c>
      <x:c r="N145" s="226"/>
      <x:c r="O145" s="226"/>
      <x:c r="P145" s="226"/>
      <x:c r="Q145" s="226"/>
      <x:c r="R145" s="226"/>
      <x:c r="S145" s="226"/>
      <x:c r="T145" s="226"/>
      <x:c r="U145" s="226"/>
      <x:c r="V145" s="226"/>
      <x:c r="W145" s="226"/>
      <x:c r="X145" s="226"/>
      <x:c r="Y145" s="226"/>
      <x:c r="Z145" s="226"/>
    </x:row>
    <x:row r="146">
      <x:c r="A146" s="285" t="str">
        <x:v>SCR-145</x:v>
      </x:c>
      <x:c r="B146" s="285" t="str">
        <x:v>Examinations / Marks / Results</x:v>
      </x:c>
      <x:c r="C146" s="285" t="str">
        <x:v>Examinations</x:v>
      </x:c>
      <x:c r="D146" s="285" t="str">
        <x:v>Marks Entry</x:v>
      </x:c>
      <x:c r="E146" s="285" t="str">
        <x:v>Teacher, Exam Coordinator, School Admin</x:v>
      </x:c>
      <x:c r="F146" s="285" t="str">
        <x:v>School Admin / Shared</x:v>
      </x:c>
      <x:c r="G146" s="285" t="str">
        <x:v>Create / Transaction</x:v>
      </x:c>
      <x:c r="H146" s="285" t="str">
        <x:v>Capture or process the marks entry workflow while enforcing school rules and validations.</x:v>
      </x:c>
      <x:c r="I146" s="285" t="str">
        <x:v>View, Create / Update, Filter, Export / Print</x:v>
      </x:c>
      <x:c r="J146" s="285" t="str">
        <x:v>Exam, class, subject, date, max marks, pass marks, score, grade, remarks</x:v>
      </x:c>
      <x:c r="K146" s="285" t="str">
        <x:v>MVP</x:v>
      </x:c>
      <x:c r="L146" s="285" t="str">
        <x:v>Form / Wizard</x:v>
      </x:c>
      <x:c r="M146" s="285" t="str">
        <x:v>Preserve existing role permissions, APIs and workflows; design reusable responsive UI.</x:v>
      </x:c>
      <x:c r="N146" s="226"/>
      <x:c r="O146" s="226"/>
      <x:c r="P146" s="226"/>
      <x:c r="Q146" s="226"/>
      <x:c r="R146" s="226"/>
      <x:c r="S146" s="226"/>
      <x:c r="T146" s="226"/>
      <x:c r="U146" s="226"/>
      <x:c r="V146" s="226"/>
      <x:c r="W146" s="226"/>
      <x:c r="X146" s="226"/>
      <x:c r="Y146" s="226"/>
      <x:c r="Z146" s="226"/>
    </x:row>
    <x:row r="147">
      <x:c r="A147" s="285" t="str">
        <x:v>SCR-146</x:v>
      </x:c>
      <x:c r="B147" s="285" t="str">
        <x:v>Examinations / Marks / Results</x:v>
      </x:c>
      <x:c r="C147" s="285" t="str">
        <x:v>Examinations</x:v>
      </x:c>
      <x:c r="D147" s="285" t="str">
        <x:v>Practical / Internal Marks</x:v>
      </x:c>
      <x:c r="E147" s="285" t="str">
        <x:v>Teacher, Exam Coordinator, School Admin</x:v>
      </x:c>
      <x:c r="F147" s="285" t="str">
        <x:v>School Admin / Shared</x:v>
      </x:c>
      <x:c r="G147" s="285" t="str">
        <x:v>Workflow / Management</x:v>
      </x:c>
      <x:c r="H147" s="285" t="str">
        <x:v>Manage the end-to-end practical / internal marks workflow within examinations / marks / results.</x:v>
      </x:c>
      <x:c r="I147" s="285" t="str">
        <x:v>View, Create / Update, Filter, Export / Print</x:v>
      </x:c>
      <x:c r="J147" s="285" t="str">
        <x:v>Exam, class, subject, date, max marks, pass marks, score, grade, remarks</x:v>
      </x:c>
      <x:c r="K147" s="285" t="str">
        <x:v>Phase 2</x:v>
      </x:c>
      <x:c r="L147" s="285" t="str">
        <x:v>Workflow / Approval / Detail</x:v>
      </x:c>
      <x:c r="M147" s="285" t="str">
        <x:v>Preserve existing role permissions, APIs and workflows; design reusable responsive UI.</x:v>
      </x:c>
      <x:c r="N147" s="226"/>
      <x:c r="O147" s="226"/>
      <x:c r="P147" s="226"/>
      <x:c r="Q147" s="226"/>
      <x:c r="R147" s="226"/>
      <x:c r="S147" s="226"/>
      <x:c r="T147" s="226"/>
      <x:c r="U147" s="226"/>
      <x:c r="V147" s="226"/>
      <x:c r="W147" s="226"/>
      <x:c r="X147" s="226"/>
      <x:c r="Y147" s="226"/>
      <x:c r="Z147" s="226"/>
    </x:row>
    <x:row r="148">
      <x:c r="A148" s="285" t="str">
        <x:v>SCR-147</x:v>
      </x:c>
      <x:c r="B148" s="285" t="str">
        <x:v>Examinations / Marks / Results</x:v>
      </x:c>
      <x:c r="C148" s="285" t="str">
        <x:v>Examinations</x:v>
      </x:c>
      <x:c r="D148" s="285" t="str">
        <x:v>Bulk Marks Import</x:v>
      </x:c>
      <x:c r="E148" s="285" t="str">
        <x:v>Teacher, Exam Coordinator, School Admin</x:v>
      </x:c>
      <x:c r="F148" s="285" t="str">
        <x:v>School Admin / Shared</x:v>
      </x:c>
      <x:c r="G148" s="285" t="str">
        <x:v>Workflow / Management</x:v>
      </x:c>
      <x:c r="H148" s="285" t="str">
        <x:v>Manage the end-to-end bulk marks import workflow within examinations / marks / results.</x:v>
      </x:c>
      <x:c r="I148" s="285" t="str">
        <x:v>Upload, Validate, Preview, Confirm</x:v>
      </x:c>
      <x:c r="J148" s="285" t="str">
        <x:v>Exam, class, subject, date, max marks, pass marks, score, grade, remarks</x:v>
      </x:c>
      <x:c r="K148" s="285" t="str">
        <x:v>Phase 2</x:v>
      </x:c>
      <x:c r="L148" s="285" t="str">
        <x:v>Workflow / Approval / Detail</x:v>
      </x:c>
      <x:c r="M148" s="285" t="str">
        <x:v>Preserve existing role permissions, APIs and workflows; design reusable responsive UI.</x:v>
      </x:c>
      <x:c r="N148" s="226"/>
      <x:c r="O148" s="226"/>
      <x:c r="P148" s="226"/>
      <x:c r="Q148" s="226"/>
      <x:c r="R148" s="226"/>
      <x:c r="S148" s="226"/>
      <x:c r="T148" s="226"/>
      <x:c r="U148" s="226"/>
      <x:c r="V148" s="226"/>
      <x:c r="W148" s="226"/>
      <x:c r="X148" s="226"/>
      <x:c r="Y148" s="226"/>
      <x:c r="Z148" s="226"/>
    </x:row>
    <x:row r="149">
      <x:c r="A149" s="285" t="str">
        <x:v>SCR-148</x:v>
      </x:c>
      <x:c r="B149" s="285" t="str">
        <x:v>Examinations / Marks / Results</x:v>
      </x:c>
      <x:c r="C149" s="285" t="str">
        <x:v>Examinations</x:v>
      </x:c>
      <x:c r="D149" s="285" t="str">
        <x:v>Marks Verification</x:v>
      </x:c>
      <x:c r="E149" s="285" t="str">
        <x:v>Teacher, Exam Coordinator, School Admin</x:v>
      </x:c>
      <x:c r="F149" s="285" t="str">
        <x:v>School Admin / Shared</x:v>
      </x:c>
      <x:c r="G149" s="285" t="str">
        <x:v>Workflow / Management</x:v>
      </x:c>
      <x:c r="H149" s="285" t="str">
        <x:v>Manage the end-to-end marks verification workflow within examinations / marks / results.</x:v>
      </x:c>
      <x:c r="I149" s="285" t="str">
        <x:v>Review, Approve / Reject, Comment, Track status</x:v>
      </x:c>
      <x:c r="J149" s="285" t="str">
        <x:v>Exam, class, subject, date, max marks, pass marks, score, grade, remarks</x:v>
      </x:c>
      <x:c r="K149" s="285" t="str">
        <x:v>Phase 2</x:v>
      </x:c>
      <x:c r="L149" s="285" t="str">
        <x:v>Workflow / Approval / Detail</x:v>
      </x:c>
      <x:c r="M149" s="285" t="str">
        <x:v>Preserve existing role permissions, APIs and workflows; design reusable responsive UI.</x:v>
      </x:c>
      <x:c r="N149" s="226"/>
      <x:c r="O149" s="226"/>
      <x:c r="P149" s="226"/>
      <x:c r="Q149" s="226"/>
      <x:c r="R149" s="226"/>
      <x:c r="S149" s="226"/>
      <x:c r="T149" s="226"/>
      <x:c r="U149" s="226"/>
      <x:c r="V149" s="226"/>
      <x:c r="W149" s="226"/>
      <x:c r="X149" s="226"/>
      <x:c r="Y149" s="226"/>
      <x:c r="Z149" s="226"/>
    </x:row>
    <x:row r="150">
      <x:c r="A150" s="285" t="str">
        <x:v>SCR-149</x:v>
      </x:c>
      <x:c r="B150" s="285" t="str">
        <x:v>Examinations / Marks / Results</x:v>
      </x:c>
      <x:c r="C150" s="285" t="str">
        <x:v>Examinations</x:v>
      </x:c>
      <x:c r="D150" s="285" t="str">
        <x:v>Grade / Grading Setup</x:v>
      </x:c>
      <x:c r="E150" s="285" t="str">
        <x:v>Exam Coordinator, Teacher, School Admin, Principal, Student, Parent</x:v>
      </x:c>
      <x:c r="F150" s="285" t="str">
        <x:v>School Admin / Shared</x:v>
      </x:c>
      <x:c r="G150" s="285" t="str">
        <x:v>Create / Transaction</x:v>
      </x:c>
      <x:c r="H150" s="285" t="str">
        <x:v>Capture or process the grade / grading setup workflow while enforcing school rules and validations.</x:v>
      </x:c>
      <x:c r="I150" s="285" t="str">
        <x:v>Create, Save, Validate, Cancel</x:v>
      </x:c>
      <x:c r="J150" s="285" t="str">
        <x:v>Exam, class, subject, date, max marks, pass marks, score, grade, remarks</x:v>
      </x:c>
      <x:c r="K150" s="285" t="str">
        <x:v>Phase 2</x:v>
      </x:c>
      <x:c r="L150" s="285" t="str">
        <x:v>Form / Wizard</x:v>
      </x:c>
      <x:c r="M150" s="285" t="str">
        <x:v>Preserve existing role permissions, APIs and workflows; design reusable responsive UI.</x:v>
      </x:c>
      <x:c r="N150" s="226"/>
      <x:c r="O150" s="226"/>
      <x:c r="P150" s="226"/>
      <x:c r="Q150" s="226"/>
      <x:c r="R150" s="226"/>
      <x:c r="S150" s="226"/>
      <x:c r="T150" s="226"/>
      <x:c r="U150" s="226"/>
      <x:c r="V150" s="226"/>
      <x:c r="W150" s="226"/>
      <x:c r="X150" s="226"/>
      <x:c r="Y150" s="226"/>
      <x:c r="Z150" s="226"/>
    </x:row>
    <x:row r="151">
      <x:c r="A151" s="285" t="str">
        <x:v>SCR-150</x:v>
      </x:c>
      <x:c r="B151" s="285" t="str">
        <x:v>Examinations / Marks / Results</x:v>
      </x:c>
      <x:c r="C151" s="285" t="str">
        <x:v>Examinations</x:v>
      </x:c>
      <x:c r="D151" s="285" t="str">
        <x:v>Publish Results</x:v>
      </x:c>
      <x:c r="E151" s="285" t="str">
        <x:v>Principal, Exam Coordinator, School Admin</x:v>
      </x:c>
      <x:c r="F151" s="285" t="str">
        <x:v>School Admin / Shared</x:v>
      </x:c>
      <x:c r="G151" s="285" t="str">
        <x:v>Detail / Profile</x:v>
      </x:c>
      <x:c r="H151" s="285" t="str">
        <x:v>Show the complete record and related activity for publish results in one structured view.</x:v>
      </x:c>
      <x:c r="I151" s="285" t="str">
        <x:v>Review, Approve / Reject, Comment, Track status</x:v>
      </x:c>
      <x:c r="J151" s="285" t="str">
        <x:v>Exam, class, subject, date, max marks, pass marks, score, grade, remarks</x:v>
      </x:c>
      <x:c r="K151" s="285" t="str">
        <x:v>Phase 3</x:v>
      </x:c>
      <x:c r="L151" s="285" t="str">
        <x:v>Profile / Detail + Tabs</x:v>
      </x:c>
      <x:c r="M151" s="285" t="str">
        <x:v>Preserve existing role permissions, APIs and workflows; design reusable responsive UI.</x:v>
      </x:c>
      <x:c r="N151" s="226"/>
      <x:c r="O151" s="226"/>
      <x:c r="P151" s="226"/>
      <x:c r="Q151" s="226"/>
      <x:c r="R151" s="226"/>
      <x:c r="S151" s="226"/>
      <x:c r="T151" s="226"/>
      <x:c r="U151" s="226"/>
      <x:c r="V151" s="226"/>
      <x:c r="W151" s="226"/>
      <x:c r="X151" s="226"/>
      <x:c r="Y151" s="226"/>
      <x:c r="Z151" s="226"/>
    </x:row>
    <x:row r="152">
      <x:c r="A152" s="285" t="str">
        <x:v>SCR-151</x:v>
      </x:c>
      <x:c r="B152" s="285" t="str">
        <x:v>Examinations / Marks / Results</x:v>
      </x:c>
      <x:c r="C152" s="285" t="str">
        <x:v>Examinations</x:v>
      </x:c>
      <x:c r="D152" s="285" t="str">
        <x:v>Student Result</x:v>
      </x:c>
      <x:c r="E152" s="285" t="str">
        <x:v>Student, Parent, Teacher, School Admin, Principal</x:v>
      </x:c>
      <x:c r="F152" s="285" t="str">
        <x:v>School Admin / Shared</x:v>
      </x:c>
      <x:c r="G152" s="285" t="str">
        <x:v>Detail / Profile</x:v>
      </x:c>
      <x:c r="H152" s="285" t="str">
        <x:v>Show the complete record and related activity for student result in one structured view.</x:v>
      </x:c>
      <x:c r="I152" s="285" t="str">
        <x:v>View, Create / Update, Filter, Export / Print</x:v>
      </x:c>
      <x:c r="J152" s="285" t="str">
        <x:v>Student ID, admission no., name, class, section, status, parent, academic year</x:v>
      </x:c>
      <x:c r="K152" s="285" t="str">
        <x:v>Phase 3</x:v>
      </x:c>
      <x:c r="L152" s="285" t="str">
        <x:v>Profile / Detail + Tabs</x:v>
      </x:c>
      <x:c r="M152" s="285" t="str">
        <x:v>Preserve existing role permissions, APIs and workflows; design reusable responsive UI.</x:v>
      </x:c>
      <x:c r="N152" s="226"/>
      <x:c r="O152" s="226"/>
      <x:c r="P152" s="226"/>
      <x:c r="Q152" s="226"/>
      <x:c r="R152" s="226"/>
      <x:c r="S152" s="226"/>
      <x:c r="T152" s="226"/>
      <x:c r="U152" s="226"/>
      <x:c r="V152" s="226"/>
      <x:c r="W152" s="226"/>
      <x:c r="X152" s="226"/>
      <x:c r="Y152" s="226"/>
      <x:c r="Z152" s="226"/>
    </x:row>
    <x:row r="153">
      <x:c r="A153" s="285" t="str">
        <x:v>SCR-152</x:v>
      </x:c>
      <x:c r="B153" s="285" t="str">
        <x:v>Examinations / Marks / Results</x:v>
      </x:c>
      <x:c r="C153" s="285" t="str">
        <x:v>Examinations</x:v>
      </x:c>
      <x:c r="D153" s="285" t="str">
        <x:v>Report Card</x:v>
      </x:c>
      <x:c r="E153" s="285" t="str">
        <x:v>Student, Parent, Teacher, School Admin, Principal</x:v>
      </x:c>
      <x:c r="F153" s="285" t="str">
        <x:v>School Admin / Shared</x:v>
      </x:c>
      <x:c r="G153" s="285" t="str">
        <x:v>Detail / Profile</x:v>
      </x:c>
      <x:c r="H153" s="285" t="str">
        <x:v>Show the complete record and related activity for report card in one structured view.</x:v>
      </x:c>
      <x:c r="I153" s="285" t="str">
        <x:v>Filter, Drill down, Export, Print</x:v>
      </x:c>
      <x:c r="J153" s="285" t="str">
        <x:v>Exam, class, subject, date, max marks, pass marks, score, grade, remarks</x:v>
      </x:c>
      <x:c r="K153" s="285" t="str">
        <x:v>Phase 3</x:v>
      </x:c>
      <x:c r="L153" s="285" t="str">
        <x:v>Profile / Detail + Tabs</x:v>
      </x:c>
      <x:c r="M153" s="285" t="str">
        <x:v>Preserve existing role permissions, APIs and workflows; design reusable responsive UI.</x:v>
      </x:c>
      <x:c r="N153" s="226"/>
      <x:c r="O153" s="226"/>
      <x:c r="P153" s="226"/>
      <x:c r="Q153" s="226"/>
      <x:c r="R153" s="226"/>
      <x:c r="S153" s="226"/>
      <x:c r="T153" s="226"/>
      <x:c r="U153" s="226"/>
      <x:c r="V153" s="226"/>
      <x:c r="W153" s="226"/>
      <x:c r="X153" s="226"/>
      <x:c r="Y153" s="226"/>
      <x:c r="Z153" s="226"/>
    </x:row>
    <x:row r="154">
      <x:c r="A154" s="285" t="str">
        <x:v>SCR-153</x:v>
      </x:c>
      <x:c r="B154" s="285" t="str">
        <x:v>Examinations / Marks / Results</x:v>
      </x:c>
      <x:c r="C154" s="285" t="str">
        <x:v>Examinations</x:v>
      </x:c>
      <x:c r="D154" s="285" t="str">
        <x:v>Promotion Decision</x:v>
      </x:c>
      <x:c r="E154" s="285" t="str">
        <x:v>Principal, Exam Coordinator, School Admin</x:v>
      </x:c>
      <x:c r="F154" s="285" t="str">
        <x:v>School Admin / Shared</x:v>
      </x:c>
      <x:c r="G154" s="285" t="str">
        <x:v>Workflow / Management</x:v>
      </x:c>
      <x:c r="H154" s="285" t="str">
        <x:v>Manage the end-to-end promotion decision workflow within examinations / marks / results.</x:v>
      </x:c>
      <x:c r="I154" s="285" t="str">
        <x:v>Review, Approve / Reject, Comment, Track status</x:v>
      </x:c>
      <x:c r="J154" s="285" t="str">
        <x:v>Name / title, code, academic year, status, owner, dates, remarks</x:v>
      </x:c>
      <x:c r="K154" s="285" t="str">
        <x:v>Phase 3</x:v>
      </x:c>
      <x:c r="L154" s="285" t="str">
        <x:v>Workflow / Approval / Detail</x:v>
      </x:c>
      <x:c r="M154" s="285" t="str">
        <x:v>Preserve existing role permissions, APIs and workflows; design reusable responsive UI.</x:v>
      </x:c>
      <x:c r="N154" s="226"/>
      <x:c r="O154" s="226"/>
      <x:c r="P154" s="226"/>
      <x:c r="Q154" s="226"/>
      <x:c r="R154" s="226"/>
      <x:c r="S154" s="226"/>
      <x:c r="T154" s="226"/>
      <x:c r="U154" s="226"/>
      <x:c r="V154" s="226"/>
      <x:c r="W154" s="226"/>
      <x:c r="X154" s="226"/>
      <x:c r="Y154" s="226"/>
      <x:c r="Z154" s="226"/>
    </x:row>
    <x:row r="155">
      <x:c r="A155" s="285" t="str">
        <x:v>SCR-154</x:v>
      </x:c>
      <x:c r="B155" s="285" t="str">
        <x:v>Fees &amp; Finance</x:v>
      </x:c>
      <x:c r="C155" s="285" t="str">
        <x:v>Student Fees</x:v>
      </x:c>
      <x:c r="D155" s="285" t="str">
        <x:v>Fee Dashboard</x:v>
      </x:c>
      <x:c r="E155" s="285" t="str">
        <x:v>Accountant, School Admin</x:v>
      </x:c>
      <x:c r="F155" s="285" t="str">
        <x:v>School Admin / Shared</x:v>
      </x:c>
      <x:c r="G155" s="285" t="str">
        <x:v>Dashboard</x:v>
      </x:c>
      <x:c r="H155" s="285" t="str">
        <x:v>Provide an at-a-glance operational view of fees &amp; finance with key status, alerts and shortcuts.</x:v>
      </x:c>
      <x:c r="I155" s="285" t="str">
        <x:v>Filter, Drill down, Export, Print</x:v>
      </x:c>
      <x:c r="J155" s="285" t="str">
        <x:v>KPIs, alerts, recent activity, pending actions, date / academic-year filters</x:v>
      </x:c>
      <x:c r="K155" s="285" t="str">
        <x:v>MVP</x:v>
      </x:c>
      <x:c r="L155" s="285" t="str">
        <x:v>Dashboard + KPI Cards</x:v>
      </x:c>
      <x:c r="M155" s="285" t="str">
        <x:v>Preserve existing role permissions, APIs and workflows; design reusable responsive UI.</x:v>
      </x:c>
      <x:c r="N155" s="226"/>
      <x:c r="O155" s="226"/>
      <x:c r="P155" s="226"/>
      <x:c r="Q155" s="226"/>
      <x:c r="R155" s="226"/>
      <x:c r="S155" s="226"/>
      <x:c r="T155" s="226"/>
      <x:c r="U155" s="226"/>
      <x:c r="V155" s="226"/>
      <x:c r="W155" s="226"/>
      <x:c r="X155" s="226"/>
      <x:c r="Y155" s="226"/>
      <x:c r="Z155" s="226"/>
    </x:row>
    <x:row r="156">
      <x:c r="A156" s="285" t="str">
        <x:v>SCR-155</x:v>
      </x:c>
      <x:c r="B156" s="285" t="str">
        <x:v>Fees &amp; Finance</x:v>
      </x:c>
      <x:c r="C156" s="285" t="str">
        <x:v>Student Fees</x:v>
      </x:c>
      <x:c r="D156" s="285" t="str">
        <x:v>Fee Structure</x:v>
      </x:c>
      <x:c r="E156" s="285" t="str">
        <x:v>Accountant, School Admin</x:v>
      </x:c>
      <x:c r="F156" s="285" t="str">
        <x:v>School Admin / Shared</x:v>
      </x:c>
      <x:c r="G156" s="285" t="str">
        <x:v>Workflow / Management</x:v>
      </x:c>
      <x:c r="H156" s="285" t="str">
        <x:v>Manage the end-to-end fee structure workflow within fees &amp; finance.</x:v>
      </x:c>
      <x:c r="I156" s="285" t="str">
        <x:v>View, Create / Update, Filter, Export / Print</x:v>
      </x:c>
      <x:c r="J156" s="285" t="str">
        <x:v>Student / account, fee head, amount, due date, paid amount, balance, payment mode, receipt</x:v>
      </x:c>
      <x:c r="K156" s="285" t="str">
        <x:v>MVP</x:v>
      </x:c>
      <x:c r="L156" s="285" t="str">
        <x:v>Workflow / Approval / Detail</x:v>
      </x:c>
      <x:c r="M156" s="285" t="str">
        <x:v>Preserve existing role permissions, APIs and workflows; design reusable responsive UI.</x:v>
      </x:c>
      <x:c r="N156" s="226"/>
      <x:c r="O156" s="226"/>
      <x:c r="P156" s="226"/>
      <x:c r="Q156" s="226"/>
      <x:c r="R156" s="226"/>
      <x:c r="S156" s="226"/>
      <x:c r="T156" s="226"/>
      <x:c r="U156" s="226"/>
      <x:c r="V156" s="226"/>
      <x:c r="W156" s="226"/>
      <x:c r="X156" s="226"/>
      <x:c r="Y156" s="226"/>
      <x:c r="Z156" s="226"/>
    </x:row>
    <x:row r="157">
      <x:c r="A157" s="285" t="str">
        <x:v>SCR-156</x:v>
      </x:c>
      <x:c r="B157" s="285" t="str">
        <x:v>Fees &amp; Finance</x:v>
      </x:c>
      <x:c r="C157" s="285" t="str">
        <x:v>Student Fees</x:v>
      </x:c>
      <x:c r="D157" s="285" t="str">
        <x:v>Create / Edit Fee Structure</x:v>
      </x:c>
      <x:c r="E157" s="285" t="str">
        <x:v>Accountant, School Admin</x:v>
      </x:c>
      <x:c r="F157" s="285" t="str">
        <x:v>School Admin / Shared</x:v>
      </x:c>
      <x:c r="G157" s="285" t="str">
        <x:v>Create / Transaction</x:v>
      </x:c>
      <x:c r="H157" s="285" t="str">
        <x:v>Capture or process the create / edit fee structure workflow while enforcing school rules and validations.</x:v>
      </x:c>
      <x:c r="I157" s="285" t="str">
        <x:v>Create, Save, Validate, Cancel, View</x:v>
      </x:c>
      <x:c r="J157" s="285" t="str">
        <x:v>Student / account, fee head, amount, due date, paid amount, balance, payment mode, receipt</x:v>
      </x:c>
      <x:c r="K157" s="285" t="str">
        <x:v>MVP</x:v>
      </x:c>
      <x:c r="L157" s="285" t="str">
        <x:v>Form / Wizard</x:v>
      </x:c>
      <x:c r="M157" s="285" t="str">
        <x:v>Preserve existing role permissions, APIs and workflows; design reusable responsive UI.</x:v>
      </x:c>
      <x:c r="N157" s="226"/>
      <x:c r="O157" s="226"/>
      <x:c r="P157" s="226"/>
      <x:c r="Q157" s="226"/>
      <x:c r="R157" s="226"/>
      <x:c r="S157" s="226"/>
      <x:c r="T157" s="226"/>
      <x:c r="U157" s="226"/>
      <x:c r="V157" s="226"/>
      <x:c r="W157" s="226"/>
      <x:c r="X157" s="226"/>
      <x:c r="Y157" s="226"/>
      <x:c r="Z157" s="226"/>
    </x:row>
    <x:row r="158">
      <x:c r="A158" s="285" t="str">
        <x:v>SCR-157</x:v>
      </x:c>
      <x:c r="B158" s="285" t="str">
        <x:v>Fees &amp; Finance</x:v>
      </x:c>
      <x:c r="C158" s="285" t="str">
        <x:v>Student Fees</x:v>
      </x:c>
      <x:c r="D158" s="285" t="str">
        <x:v>Student Fee Assignment</x:v>
      </x:c>
      <x:c r="E158" s="285" t="str">
        <x:v>Accountant, School Admin</x:v>
      </x:c>
      <x:c r="F158" s="285" t="str">
        <x:v>School Admin / Shared</x:v>
      </x:c>
      <x:c r="G158" s="285" t="str">
        <x:v>Workflow / Management</x:v>
      </x:c>
      <x:c r="H158" s="285" t="str">
        <x:v>Manage the end-to-end student fee assignment workflow within fees &amp; finance.</x:v>
      </x:c>
      <x:c r="I158" s="285" t="str">
        <x:v>View, Create / Update, Filter, Export / Print</x:v>
      </x:c>
      <x:c r="J158" s="285" t="str">
        <x:v>Student ID, admission no., name, class, section, status, parent, academic year</x:v>
      </x:c>
      <x:c r="K158" s="285" t="str">
        <x:v>MVP</x:v>
      </x:c>
      <x:c r="L158" s="285" t="str">
        <x:v>Workflow / Approval / Detail</x:v>
      </x:c>
      <x:c r="M158" s="285" t="str">
        <x:v>Preserve existing role permissions, APIs and workflows; design reusable responsive UI.</x:v>
      </x:c>
      <x:c r="N158" s="226"/>
      <x:c r="O158" s="226"/>
      <x:c r="P158" s="226"/>
      <x:c r="Q158" s="226"/>
      <x:c r="R158" s="226"/>
      <x:c r="S158" s="226"/>
      <x:c r="T158" s="226"/>
      <x:c r="U158" s="226"/>
      <x:c r="V158" s="226"/>
      <x:c r="W158" s="226"/>
      <x:c r="X158" s="226"/>
      <x:c r="Y158" s="226"/>
      <x:c r="Z158" s="226"/>
    </x:row>
    <x:row r="159">
      <x:c r="A159" s="285" t="str">
        <x:v>SCR-158</x:v>
      </x:c>
      <x:c r="B159" s="285" t="str">
        <x:v>Fees &amp; Finance</x:v>
      </x:c>
      <x:c r="C159" s="285" t="str">
        <x:v>Student Fees</x:v>
      </x:c>
      <x:c r="D159" s="285" t="str">
        <x:v>Fee Collection</x:v>
      </x:c>
      <x:c r="E159" s="285" t="str">
        <x:v>Accountant, School Admin, Parent</x:v>
      </x:c>
      <x:c r="F159" s="285" t="str">
        <x:v>School Admin / Shared</x:v>
      </x:c>
      <x:c r="G159" s="285" t="str">
        <x:v>Create / Transaction</x:v>
      </x:c>
      <x:c r="H159" s="285" t="str">
        <x:v>Capture or process the fee collection workflow while enforcing school rules and validations.</x:v>
      </x:c>
      <x:c r="I159" s="285" t="str">
        <x:v>Calculate, Collect / Process, Generate receipt, Reconcile</x:v>
      </x:c>
      <x:c r="J159" s="285" t="str">
        <x:v>Student / account, fee head, amount, due date, paid amount, balance, payment mode, receipt</x:v>
      </x:c>
      <x:c r="K159" s="285" t="str">
        <x:v>MVP</x:v>
      </x:c>
      <x:c r="L159" s="285" t="str">
        <x:v>Form / Wizard</x:v>
      </x:c>
      <x:c r="M159" s="285" t="str">
        <x:v>Preserve existing role permissions, APIs and workflows; design reusable responsive UI.</x:v>
      </x:c>
      <x:c r="N159" s="226"/>
      <x:c r="O159" s="226"/>
      <x:c r="P159" s="226"/>
      <x:c r="Q159" s="226"/>
      <x:c r="R159" s="226"/>
      <x:c r="S159" s="226"/>
      <x:c r="T159" s="226"/>
      <x:c r="U159" s="226"/>
      <x:c r="V159" s="226"/>
      <x:c r="W159" s="226"/>
      <x:c r="X159" s="226"/>
      <x:c r="Y159" s="226"/>
      <x:c r="Z159" s="226"/>
    </x:row>
    <x:row r="160">
      <x:c r="A160" s="285" t="str">
        <x:v>SCR-159</x:v>
      </x:c>
      <x:c r="B160" s="285" t="str">
        <x:v>Fees &amp; Finance</x:v>
      </x:c>
      <x:c r="C160" s="285" t="str">
        <x:v>Student Fees</x:v>
      </x:c>
      <x:c r="D160" s="285" t="str">
        <x:v>Online Payment</x:v>
      </x:c>
      <x:c r="E160" s="285" t="str">
        <x:v>Parent, Accountant, School Admin</x:v>
      </x:c>
      <x:c r="F160" s="285" t="str">
        <x:v>School Admin / Shared</x:v>
      </x:c>
      <x:c r="G160" s="285" t="str">
        <x:v>Workflow / Management</x:v>
      </x:c>
      <x:c r="H160" s="285" t="str">
        <x:v>Manage the end-to-end online payment workflow within fees &amp; finance.</x:v>
      </x:c>
      <x:c r="I160" s="285" t="str">
        <x:v>Calculate, Collect / Process, Generate receipt, Reconcile</x:v>
      </x:c>
      <x:c r="J160" s="285" t="str">
        <x:v>Student / account, fee head, amount, due date, paid amount, balance, payment mode, receipt</x:v>
      </x:c>
      <x:c r="K160" s="285" t="str">
        <x:v>MVP</x:v>
      </x:c>
      <x:c r="L160" s="285" t="str">
        <x:v>Workflow / Approval / Detail</x:v>
      </x:c>
      <x:c r="M160" s="285" t="str">
        <x:v>Preserve existing role permissions, APIs and workflows; design reusable responsive UI.</x:v>
      </x:c>
      <x:c r="N160" s="226"/>
      <x:c r="O160" s="226"/>
      <x:c r="P160" s="226"/>
      <x:c r="Q160" s="226"/>
      <x:c r="R160" s="226"/>
      <x:c r="S160" s="226"/>
      <x:c r="T160" s="226"/>
      <x:c r="U160" s="226"/>
      <x:c r="V160" s="226"/>
      <x:c r="W160" s="226"/>
      <x:c r="X160" s="226"/>
      <x:c r="Y160" s="226"/>
      <x:c r="Z160" s="226"/>
    </x:row>
    <x:row r="161">
      <x:c r="A161" s="285" t="str">
        <x:v>SCR-160</x:v>
      </x:c>
      <x:c r="B161" s="285" t="str">
        <x:v>Fees &amp; Finance</x:v>
      </x:c>
      <x:c r="C161" s="285" t="str">
        <x:v>Student Fees</x:v>
      </x:c>
      <x:c r="D161" s="285" t="str">
        <x:v>Payment Receipt</x:v>
      </x:c>
      <x:c r="E161" s="285" t="str">
        <x:v>Parent, Accountant, School Admin</x:v>
      </x:c>
      <x:c r="F161" s="285" t="str">
        <x:v>School Admin / Shared</x:v>
      </x:c>
      <x:c r="G161" s="285" t="str">
        <x:v>Detail / Profile</x:v>
      </x:c>
      <x:c r="H161" s="285" t="str">
        <x:v>Show the complete record and related activity for payment receipt in one structured view.</x:v>
      </x:c>
      <x:c r="I161" s="285" t="str">
        <x:v>Calculate, Collect / Process, Generate receipt, Reconcile</x:v>
      </x:c>
      <x:c r="J161" s="285" t="str">
        <x:v>Student / account, fee head, amount, due date, paid amount, balance, payment mode, receipt</x:v>
      </x:c>
      <x:c r="K161" s="285" t="str">
        <x:v>MVP</x:v>
      </x:c>
      <x:c r="L161" s="285" t="str">
        <x:v>Profile / Detail + Tabs</x:v>
      </x:c>
      <x:c r="M161" s="285" t="str">
        <x:v>Preserve existing role permissions, APIs and workflows; design reusable responsive UI.</x:v>
      </x:c>
      <x:c r="N161" s="226"/>
      <x:c r="O161" s="226"/>
      <x:c r="P161" s="226"/>
      <x:c r="Q161" s="226"/>
      <x:c r="R161" s="226"/>
      <x:c r="S161" s="226"/>
      <x:c r="T161" s="226"/>
      <x:c r="U161" s="226"/>
      <x:c r="V161" s="226"/>
      <x:c r="W161" s="226"/>
      <x:c r="X161" s="226"/>
      <x:c r="Y161" s="226"/>
      <x:c r="Z161" s="226"/>
    </x:row>
    <x:row r="162">
      <x:c r="A162" s="285" t="str">
        <x:v>SCR-161</x:v>
      </x:c>
      <x:c r="B162" s="285" t="str">
        <x:v>Fees &amp; Finance</x:v>
      </x:c>
      <x:c r="C162" s="285" t="str">
        <x:v>Student Fees</x:v>
      </x:c>
      <x:c r="D162" s="285" t="str">
        <x:v>Student Ledger</x:v>
      </x:c>
      <x:c r="E162" s="285" t="str">
        <x:v>Accountant, School Admin, Parent</x:v>
      </x:c>
      <x:c r="F162" s="285" t="str">
        <x:v>School Admin / Shared</x:v>
      </x:c>
      <x:c r="G162" s="285" t="str">
        <x:v>Detail / Profile</x:v>
      </x:c>
      <x:c r="H162" s="285" t="str">
        <x:v>Show the complete record and related activity for student ledger in one structured view.</x:v>
      </x:c>
      <x:c r="I162" s="285" t="str">
        <x:v>View, Edit, Update, View activity</x:v>
      </x:c>
      <x:c r="J162" s="285" t="str">
        <x:v>Student ID, admission no., name, class, section, status, parent, academic year</x:v>
      </x:c>
      <x:c r="K162" s="285" t="str">
        <x:v>MVP</x:v>
      </x:c>
      <x:c r="L162" s="285" t="str">
        <x:v>Profile / Detail + Tabs</x:v>
      </x:c>
      <x:c r="M162" s="285" t="str">
        <x:v>Preserve existing role permissions, APIs and workflows; design reusable responsive UI.</x:v>
      </x:c>
      <x:c r="N162" s="226"/>
      <x:c r="O162" s="226"/>
      <x:c r="P162" s="226"/>
      <x:c r="Q162" s="226"/>
      <x:c r="R162" s="226"/>
      <x:c r="S162" s="226"/>
      <x:c r="T162" s="226"/>
      <x:c r="U162" s="226"/>
      <x:c r="V162" s="226"/>
      <x:c r="W162" s="226"/>
      <x:c r="X162" s="226"/>
      <x:c r="Y162" s="226"/>
      <x:c r="Z162" s="226"/>
    </x:row>
    <x:row r="163">
      <x:c r="A163" s="285" t="str">
        <x:v>SCR-162</x:v>
      </x:c>
      <x:c r="B163" s="285" t="str">
        <x:v>Fees &amp; Finance</x:v>
      </x:c>
      <x:c r="C163" s="285" t="str">
        <x:v>Student Fees</x:v>
      </x:c>
      <x:c r="D163" s="285" t="str">
        <x:v>Outstanding Dues</x:v>
      </x:c>
      <x:c r="E163" s="285" t="str">
        <x:v>Accountant, School Admin, Parent</x:v>
      </x:c>
      <x:c r="F163" s="285" t="str">
        <x:v>School Admin / Shared</x:v>
      </x:c>
      <x:c r="G163" s="285" t="str">
        <x:v>Workflow / Management</x:v>
      </x:c>
      <x:c r="H163" s="285" t="str">
        <x:v>Manage the end-to-end outstanding dues workflow within fees &amp; finance.</x:v>
      </x:c>
      <x:c r="I163" s="285" t="str">
        <x:v>View, Create / Update, Filter, Export / Print</x:v>
      </x:c>
      <x:c r="J163" s="285" t="str">
        <x:v>Name / title, code, academic year, status, owner, dates, remarks</x:v>
      </x:c>
      <x:c r="K163" s="285" t="str">
        <x:v>Phase 2</x:v>
      </x:c>
      <x:c r="L163" s="285" t="str">
        <x:v>Workflow / Approval / Detail</x:v>
      </x:c>
      <x:c r="M163" s="285" t="str">
        <x:v>Preserve existing role permissions, APIs and workflows; design reusable responsive UI.</x:v>
      </x:c>
      <x:c r="N163" s="226"/>
      <x:c r="O163" s="226"/>
      <x:c r="P163" s="226"/>
      <x:c r="Q163" s="226"/>
      <x:c r="R163" s="226"/>
      <x:c r="S163" s="226"/>
      <x:c r="T163" s="226"/>
      <x:c r="U163" s="226"/>
      <x:c r="V163" s="226"/>
      <x:c r="W163" s="226"/>
      <x:c r="X163" s="226"/>
      <x:c r="Y163" s="226"/>
      <x:c r="Z163" s="226"/>
    </x:row>
    <x:row r="164">
      <x:c r="A164" s="285" t="str">
        <x:v>SCR-163</x:v>
      </x:c>
      <x:c r="B164" s="285" t="str">
        <x:v>Fees &amp; Finance</x:v>
      </x:c>
      <x:c r="C164" s="285" t="str">
        <x:v>Student Fees</x:v>
      </x:c>
      <x:c r="D164" s="285" t="str">
        <x:v>Concession / Scholarship</x:v>
      </x:c>
      <x:c r="E164" s="285" t="str">
        <x:v>Accountant, School Admin</x:v>
      </x:c>
      <x:c r="F164" s="285" t="str">
        <x:v>School Admin / Shared</x:v>
      </x:c>
      <x:c r="G164" s="285" t="str">
        <x:v>Workflow / Management</x:v>
      </x:c>
      <x:c r="H164" s="285" t="str">
        <x:v>Manage the end-to-end concession / scholarship workflow within fees &amp; finance.</x:v>
      </x:c>
      <x:c r="I164" s="285" t="str">
        <x:v>View, Create / Update, Filter, Export / Print</x:v>
      </x:c>
      <x:c r="J164" s="285" t="str">
        <x:v>Name / title, code, academic year, status, owner, dates, remarks</x:v>
      </x:c>
      <x:c r="K164" s="285" t="str">
        <x:v>Phase 2</x:v>
      </x:c>
      <x:c r="L164" s="285" t="str">
        <x:v>Workflow / Approval / Detail</x:v>
      </x:c>
      <x:c r="M164" s="285" t="str">
        <x:v>Preserve existing role permissions, APIs and workflows; design reusable responsive UI.</x:v>
      </x:c>
      <x:c r="N164" s="226"/>
      <x:c r="O164" s="226"/>
      <x:c r="P164" s="226"/>
      <x:c r="Q164" s="226"/>
      <x:c r="R164" s="226"/>
      <x:c r="S164" s="226"/>
      <x:c r="T164" s="226"/>
      <x:c r="U164" s="226"/>
      <x:c r="V164" s="226"/>
      <x:c r="W164" s="226"/>
      <x:c r="X164" s="226"/>
      <x:c r="Y164" s="226"/>
      <x:c r="Z164" s="226"/>
    </x:row>
    <x:row r="165">
      <x:c r="A165" s="285" t="str">
        <x:v>SCR-164</x:v>
      </x:c>
      <x:c r="B165" s="285" t="str">
        <x:v>Fees &amp; Finance</x:v>
      </x:c>
      <x:c r="C165" s="285" t="str">
        <x:v>Student Fees</x:v>
      </x:c>
      <x:c r="D165" s="285" t="str">
        <x:v>Fine Rules</x:v>
      </x:c>
      <x:c r="E165" s="285" t="str">
        <x:v>Accountant, School Admin</x:v>
      </x:c>
      <x:c r="F165" s="285" t="str">
        <x:v>School Admin / Shared</x:v>
      </x:c>
      <x:c r="G165" s="285" t="str">
        <x:v>Workflow / Management</x:v>
      </x:c>
      <x:c r="H165" s="285" t="str">
        <x:v>Manage the end-to-end fine rules workflow within fees &amp; finance.</x:v>
      </x:c>
      <x:c r="I165" s="285" t="str">
        <x:v>View, Create / Update, Filter, Export / Print</x:v>
      </x:c>
      <x:c r="J165" s="285" t="str">
        <x:v>Name / title, code, academic year, status, owner, dates, remarks</x:v>
      </x:c>
      <x:c r="K165" s="285" t="str">
        <x:v>Phase 2</x:v>
      </x:c>
      <x:c r="L165" s="285" t="str">
        <x:v>Workflow / Approval / Detail</x:v>
      </x:c>
      <x:c r="M165" s="285" t="str">
        <x:v>Preserve existing role permissions, APIs and workflows; design reusable responsive UI.</x:v>
      </x:c>
      <x:c r="N165" s="226"/>
      <x:c r="O165" s="226"/>
      <x:c r="P165" s="226"/>
      <x:c r="Q165" s="226"/>
      <x:c r="R165" s="226"/>
      <x:c r="S165" s="226"/>
      <x:c r="T165" s="226"/>
      <x:c r="U165" s="226"/>
      <x:c r="V165" s="226"/>
      <x:c r="W165" s="226"/>
      <x:c r="X165" s="226"/>
      <x:c r="Y165" s="226"/>
      <x:c r="Z165" s="226"/>
    </x:row>
    <x:row r="166">
      <x:c r="A166" s="285" t="str">
        <x:v>SCR-165</x:v>
      </x:c>
      <x:c r="B166" s="285" t="str">
        <x:v>Fees &amp; Finance</x:v>
      </x:c>
      <x:c r="C166" s="285" t="str">
        <x:v>Student Fees</x:v>
      </x:c>
      <x:c r="D166" s="285" t="str">
        <x:v>Refunds</x:v>
      </x:c>
      <x:c r="E166" s="285" t="str">
        <x:v>Accountant, School Admin</x:v>
      </x:c>
      <x:c r="F166" s="285" t="str">
        <x:v>School Admin / Shared</x:v>
      </x:c>
      <x:c r="G166" s="285" t="str">
        <x:v>Workflow / Management</x:v>
      </x:c>
      <x:c r="H166" s="285" t="str">
        <x:v>Manage the end-to-end refunds workflow within fees &amp; finance.</x:v>
      </x:c>
      <x:c r="I166" s="285" t="str">
        <x:v>Calculate, Collect / Process, Generate receipt, Reconcile</x:v>
      </x:c>
      <x:c r="J166" s="285" t="str">
        <x:v>Name / title, code, academic year, status, owner, dates, remarks</x:v>
      </x:c>
      <x:c r="K166" s="285" t="str">
        <x:v>Phase 2</x:v>
      </x:c>
      <x:c r="L166" s="285" t="str">
        <x:v>Workflow / Approval / Detail</x:v>
      </x:c>
      <x:c r="M166" s="285" t="str">
        <x:v>Preserve existing role permissions, APIs and workflows; design reusable responsive UI.</x:v>
      </x:c>
      <x:c r="N166" s="226"/>
      <x:c r="O166" s="226"/>
      <x:c r="P166" s="226"/>
      <x:c r="Q166" s="226"/>
      <x:c r="R166" s="226"/>
      <x:c r="S166" s="226"/>
      <x:c r="T166" s="226"/>
      <x:c r="U166" s="226"/>
      <x:c r="V166" s="226"/>
      <x:c r="W166" s="226"/>
      <x:c r="X166" s="226"/>
      <x:c r="Y166" s="226"/>
      <x:c r="Z166" s="226"/>
    </x:row>
    <x:row r="167">
      <x:c r="A167" s="285" t="str">
        <x:v>SCR-166</x:v>
      </x:c>
      <x:c r="B167" s="285" t="str">
        <x:v>Fees &amp; Finance</x:v>
      </x:c>
      <x:c r="C167" s="285" t="str">
        <x:v>Accounting</x:v>
      </x:c>
      <x:c r="D167" s="285" t="str">
        <x:v>Income</x:v>
      </x:c>
      <x:c r="E167" s="285" t="str">
        <x:v>Accountant, School Admin</x:v>
      </x:c>
      <x:c r="F167" s="285" t="str">
        <x:v>School Admin / Shared</x:v>
      </x:c>
      <x:c r="G167" s="285" t="str">
        <x:v>Workflow / Management</x:v>
      </x:c>
      <x:c r="H167" s="285" t="str">
        <x:v>Manage the end-to-end income workflow within fees &amp; finance.</x:v>
      </x:c>
      <x:c r="I167" s="285" t="str">
        <x:v>View, Create / Update, Filter, Export / Print</x:v>
      </x:c>
      <x:c r="J167" s="285" t="str">
        <x:v>Student / account, fee head, amount, due date, paid amount, balance, payment mode, receipt</x:v>
      </x:c>
      <x:c r="K167" s="285" t="str">
        <x:v>Phase 3</x:v>
      </x:c>
      <x:c r="L167" s="285" t="str">
        <x:v>Workflow / Approval / Detail</x:v>
      </x:c>
      <x:c r="M167" s="285" t="str">
        <x:v>Preserve existing role permissions, APIs and workflows; design reusable responsive UI.</x:v>
      </x:c>
      <x:c r="N167" s="226"/>
      <x:c r="O167" s="226"/>
      <x:c r="P167" s="226"/>
      <x:c r="Q167" s="226"/>
      <x:c r="R167" s="226"/>
      <x:c r="S167" s="226"/>
      <x:c r="T167" s="226"/>
      <x:c r="U167" s="226"/>
      <x:c r="V167" s="226"/>
      <x:c r="W167" s="226"/>
      <x:c r="X167" s="226"/>
      <x:c r="Y167" s="226"/>
      <x:c r="Z167" s="226"/>
    </x:row>
    <x:row r="168">
      <x:c r="A168" s="285" t="str">
        <x:v>SCR-167</x:v>
      </x:c>
      <x:c r="B168" s="285" t="str">
        <x:v>Fees &amp; Finance</x:v>
      </x:c>
      <x:c r="C168" s="285" t="str">
        <x:v>Accounting</x:v>
      </x:c>
      <x:c r="D168" s="285" t="str">
        <x:v>Expenses</x:v>
      </x:c>
      <x:c r="E168" s="285" t="str">
        <x:v>Accountant, School Admin</x:v>
      </x:c>
      <x:c r="F168" s="285" t="str">
        <x:v>School Admin / Shared</x:v>
      </x:c>
      <x:c r="G168" s="285" t="str">
        <x:v>Workflow / Management</x:v>
      </x:c>
      <x:c r="H168" s="285" t="str">
        <x:v>Manage the end-to-end expenses workflow within fees &amp; finance.</x:v>
      </x:c>
      <x:c r="I168" s="285" t="str">
        <x:v>View, Create / Update, Filter, Export / Print</x:v>
      </x:c>
      <x:c r="J168" s="285" t="str">
        <x:v>Student / account, fee head, amount, due date, paid amount, balance, payment mode, receipt</x:v>
      </x:c>
      <x:c r="K168" s="285" t="str">
        <x:v>Phase 3</x:v>
      </x:c>
      <x:c r="L168" s="285" t="str">
        <x:v>Workflow / Approval / Detail</x:v>
      </x:c>
      <x:c r="M168" s="285" t="str">
        <x:v>Preserve existing role permissions, APIs and workflows; design reusable responsive UI.</x:v>
      </x:c>
      <x:c r="N168" s="226"/>
      <x:c r="O168" s="226"/>
      <x:c r="P168" s="226"/>
      <x:c r="Q168" s="226"/>
      <x:c r="R168" s="226"/>
      <x:c r="S168" s="226"/>
      <x:c r="T168" s="226"/>
      <x:c r="U168" s="226"/>
      <x:c r="V168" s="226"/>
      <x:c r="W168" s="226"/>
      <x:c r="X168" s="226"/>
      <x:c r="Y168" s="226"/>
      <x:c r="Z168" s="226"/>
    </x:row>
    <x:row r="169">
      <x:c r="A169" s="285" t="str">
        <x:v>SCR-168</x:v>
      </x:c>
      <x:c r="B169" s="285" t="str">
        <x:v>Fees &amp; Finance</x:v>
      </x:c>
      <x:c r="C169" s="285" t="str">
        <x:v>Accounting</x:v>
      </x:c>
      <x:c r="D169" s="285" t="str">
        <x:v>Vendor Management</x:v>
      </x:c>
      <x:c r="E169" s="285" t="str">
        <x:v>Accountant, School Admin</x:v>
      </x:c>
      <x:c r="F169" s="285" t="str">
        <x:v>School Admin / Shared</x:v>
      </x:c>
      <x:c r="G169" s="285" t="str">
        <x:v>Workflow / Management</x:v>
      </x:c>
      <x:c r="H169" s="285" t="str">
        <x:v>Manage the end-to-end vendor management workflow within fees &amp; finance.</x:v>
      </x:c>
      <x:c r="I169" s="285" t="str">
        <x:v>View, Create / Update, Filter, Export / Print</x:v>
      </x:c>
      <x:c r="J169" s="285" t="str">
        <x:v>Name / title, code, academic year, status, owner, dates, remarks</x:v>
      </x:c>
      <x:c r="K169" s="285" t="str">
        <x:v>Phase 3</x:v>
      </x:c>
      <x:c r="L169" s="285" t="str">
        <x:v>Workflow / Approval / Detail</x:v>
      </x:c>
      <x:c r="M169" s="285" t="str">
        <x:v>Preserve existing role permissions, APIs and workflows; design reusable responsive UI.</x:v>
      </x:c>
      <x:c r="N169" s="226"/>
      <x:c r="O169" s="226"/>
      <x:c r="P169" s="226"/>
      <x:c r="Q169" s="226"/>
      <x:c r="R169" s="226"/>
      <x:c r="S169" s="226"/>
      <x:c r="T169" s="226"/>
      <x:c r="U169" s="226"/>
      <x:c r="V169" s="226"/>
      <x:c r="W169" s="226"/>
      <x:c r="X169" s="226"/>
      <x:c r="Y169" s="226"/>
      <x:c r="Z169" s="226"/>
    </x:row>
    <x:row r="170">
      <x:c r="A170" s="285" t="str">
        <x:v>SCR-169</x:v>
      </x:c>
      <x:c r="B170" s="285" t="str">
        <x:v>Fees &amp; Finance</x:v>
      </x:c>
      <x:c r="C170" s="285" t="str">
        <x:v>Student Fees</x:v>
      </x:c>
      <x:c r="D170" s="285" t="str">
        <x:v>Purchase / Payment</x:v>
      </x:c>
      <x:c r="E170" s="285" t="str">
        <x:v>Accountant, School Admin</x:v>
      </x:c>
      <x:c r="F170" s="285" t="str">
        <x:v>School Admin / Shared</x:v>
      </x:c>
      <x:c r="G170" s="285" t="str">
        <x:v>Workflow / Management</x:v>
      </x:c>
      <x:c r="H170" s="285" t="str">
        <x:v>Manage the end-to-end purchase / payment workflow within fees &amp; finance.</x:v>
      </x:c>
      <x:c r="I170" s="285" t="str">
        <x:v>Calculate, Collect / Process, Generate receipt, Reconcile</x:v>
      </x:c>
      <x:c r="J170" s="285" t="str">
        <x:v>Student / account, fee head, amount, due date, paid amount, balance, payment mode, receipt</x:v>
      </x:c>
      <x:c r="K170" s="285" t="str">
        <x:v>Phase 3</x:v>
      </x:c>
      <x:c r="L170" s="285" t="str">
        <x:v>Workflow / Approval / Detail</x:v>
      </x:c>
      <x:c r="M170" s="285" t="str">
        <x:v>Preserve existing role permissions, APIs and workflows; design reusable responsive UI.</x:v>
      </x:c>
      <x:c r="N170" s="226"/>
      <x:c r="O170" s="226"/>
      <x:c r="P170" s="226"/>
      <x:c r="Q170" s="226"/>
      <x:c r="R170" s="226"/>
      <x:c r="S170" s="226"/>
      <x:c r="T170" s="226"/>
      <x:c r="U170" s="226"/>
      <x:c r="V170" s="226"/>
      <x:c r="W170" s="226"/>
      <x:c r="X170" s="226"/>
      <x:c r="Y170" s="226"/>
      <x:c r="Z170" s="226"/>
    </x:row>
    <x:row r="171">
      <x:c r="A171" s="285" t="str">
        <x:v>SCR-170</x:v>
      </x:c>
      <x:c r="B171" s="285" t="str">
        <x:v>Fees &amp; Finance</x:v>
      </x:c>
      <x:c r="C171" s="285" t="str">
        <x:v>Accounting</x:v>
      </x:c>
      <x:c r="D171" s="285" t="str">
        <x:v>Cash &amp; Bank Book</x:v>
      </x:c>
      <x:c r="E171" s="285" t="str">
        <x:v>Accountant, School Admin</x:v>
      </x:c>
      <x:c r="F171" s="285" t="str">
        <x:v>School Admin / Shared</x:v>
      </x:c>
      <x:c r="G171" s="285" t="str">
        <x:v>Workflow / Management</x:v>
      </x:c>
      <x:c r="H171" s="285" t="str">
        <x:v>Manage the end-to-end cash &amp; bank book workflow within fees &amp; finance.</x:v>
      </x:c>
      <x:c r="I171" s="285" t="str">
        <x:v>View, Create / Update, Filter, Export / Print</x:v>
      </x:c>
      <x:c r="J171" s="285" t="str">
        <x:v>Book ID / ISBN, title, author, category, copy, member, issue date, due date, status</x:v>
      </x:c>
      <x:c r="K171" s="285" t="str">
        <x:v>Phase 3</x:v>
      </x:c>
      <x:c r="L171" s="285" t="str">
        <x:v>Workflow / Approval / Detail</x:v>
      </x:c>
      <x:c r="M171" s="285" t="str">
        <x:v>Preserve existing role permissions, APIs and workflows; design reusable responsive UI.</x:v>
      </x:c>
      <x:c r="N171" s="226"/>
      <x:c r="O171" s="226"/>
      <x:c r="P171" s="226"/>
      <x:c r="Q171" s="226"/>
      <x:c r="R171" s="226"/>
      <x:c r="S171" s="226"/>
      <x:c r="T171" s="226"/>
      <x:c r="U171" s="226"/>
      <x:c r="V171" s="226"/>
      <x:c r="W171" s="226"/>
      <x:c r="X171" s="226"/>
      <x:c r="Y171" s="226"/>
      <x:c r="Z171" s="226"/>
    </x:row>
    <x:row r="172">
      <x:c r="A172" s="285" t="str">
        <x:v>SCR-171</x:v>
      </x:c>
      <x:c r="B172" s="285" t="str">
        <x:v>Fees &amp; Finance</x:v>
      </x:c>
      <x:c r="C172" s="285" t="str">
        <x:v>Accounting</x:v>
      </x:c>
      <x:c r="D172" s="285" t="str">
        <x:v>Finance Reports</x:v>
      </x:c>
      <x:c r="E172" s="285" t="str">
        <x:v>Accountant, School Admin</x:v>
      </x:c>
      <x:c r="F172" s="285" t="str">
        <x:v>School Admin / Shared</x:v>
      </x:c>
      <x:c r="G172" s="285" t="str">
        <x:v>Report / Analytics</x:v>
      </x:c>
      <x:c r="H172" s="285" t="str">
        <x:v>Analyze finance reports data using filters, summaries and export-ready results.</x:v>
      </x:c>
      <x:c r="I172" s="285" t="str">
        <x:v>Filter, Drill down, Export, Print</x:v>
      </x:c>
      <x:c r="J172" s="285" t="str">
        <x:v>Student / account, fee head, amount, due date, paid amount, balance, payment mode, receipt</x:v>
      </x:c>
      <x:c r="K172" s="285" t="str">
        <x:v>Phase 3</x:v>
      </x:c>
      <x:c r="L172" s="285" t="str">
        <x:v>Filters + KPI + Table / Chart</x:v>
      </x:c>
      <x:c r="M172" s="285" t="str">
        <x:v>Preserve existing role permissions, APIs and workflows; design reusable responsive UI.</x:v>
      </x:c>
      <x:c r="N172" s="226"/>
      <x:c r="O172" s="226"/>
      <x:c r="P172" s="226"/>
      <x:c r="Q172" s="226"/>
      <x:c r="R172" s="226"/>
      <x:c r="S172" s="226"/>
      <x:c r="T172" s="226"/>
      <x:c r="U172" s="226"/>
      <x:c r="V172" s="226"/>
      <x:c r="W172" s="226"/>
      <x:c r="X172" s="226"/>
      <x:c r="Y172" s="226"/>
      <x:c r="Z172" s="226"/>
    </x:row>
    <x:row r="173">
      <x:c r="A173" s="285" t="str">
        <x:v>SCR-172</x:v>
      </x:c>
      <x:c r="B173" s="285" t="str">
        <x:v>HR / Leave / Payroll</x:v>
      </x:c>
      <x:c r="C173" s="285" t="str">
        <x:v>HR</x:v>
      </x:c>
      <x:c r="D173" s="285" t="str">
        <x:v>Recruitment Requisitions</x:v>
      </x:c>
      <x:c r="E173" s="285" t="str">
        <x:v>HR, School Admin, Principal, Employee</x:v>
      </x:c>
      <x:c r="F173" s="285" t="str">
        <x:v>School Admin / Shared</x:v>
      </x:c>
      <x:c r="G173" s="285" t="str">
        <x:v>Workflow / Management</x:v>
      </x:c>
      <x:c r="H173" s="285" t="str">
        <x:v>Manage the end-to-end recruitment requisitions workflow within hr / leave / payroll.</x:v>
      </x:c>
      <x:c r="I173" s="285" t="str">
        <x:v>View, Create / Update, Filter, Export / Print</x:v>
      </x:c>
      <x:c r="J173" s="285" t="str">
        <x:v>Name / title, code, academic year, status, owner, dates, remarks</x:v>
      </x:c>
      <x:c r="K173" s="285" t="str">
        <x:v>Phase 2</x:v>
      </x:c>
      <x:c r="L173" s="285" t="str">
        <x:v>Workflow / Approval / Detail</x:v>
      </x:c>
      <x:c r="M173" s="285" t="str">
        <x:v>Preserve existing role permissions, APIs and workflows; design reusable responsive UI.</x:v>
      </x:c>
      <x:c r="N173" s="226"/>
      <x:c r="O173" s="226"/>
      <x:c r="P173" s="226"/>
      <x:c r="Q173" s="226"/>
      <x:c r="R173" s="226"/>
      <x:c r="S173" s="226"/>
      <x:c r="T173" s="226"/>
      <x:c r="U173" s="226"/>
      <x:c r="V173" s="226"/>
      <x:c r="W173" s="226"/>
      <x:c r="X173" s="226"/>
      <x:c r="Y173" s="226"/>
      <x:c r="Z173" s="226"/>
    </x:row>
    <x:row r="174">
      <x:c r="A174" s="285" t="str">
        <x:v>SCR-173</x:v>
      </x:c>
      <x:c r="B174" s="285" t="str">
        <x:v>HR / Leave / Payroll</x:v>
      </x:c>
      <x:c r="C174" s="285" t="str">
        <x:v>HR</x:v>
      </x:c>
      <x:c r="D174" s="285" t="str">
        <x:v>Job Openings</x:v>
      </x:c>
      <x:c r="E174" s="285" t="str">
        <x:v>HR, School Admin, Principal, Employee</x:v>
      </x:c>
      <x:c r="F174" s="285" t="str">
        <x:v>School Admin / Shared</x:v>
      </x:c>
      <x:c r="G174" s="285" t="str">
        <x:v>List / Management</x:v>
      </x:c>
      <x:c r="H174" s="285" t="str">
        <x:v>Search, filter and manage records for job openings.</x:v>
      </x:c>
      <x:c r="I174" s="285" t="str">
        <x:v>Search, Filter, Sort, Open record</x:v>
      </x:c>
      <x:c r="J174" s="285" t="str">
        <x:v>Name / title, code, academic year, status, owner, dates, remarks</x:v>
      </x:c>
      <x:c r="K174" s="285" t="str">
        <x:v>Phase 2</x:v>
      </x:c>
      <x:c r="L174" s="285" t="str">
        <x:v>Search + Filter + Data Table</x:v>
      </x:c>
      <x:c r="M174" s="285" t="str">
        <x:v>Preserve existing role permissions, APIs and workflows; design reusable responsive UI.</x:v>
      </x:c>
      <x:c r="N174" s="226"/>
      <x:c r="O174" s="226"/>
      <x:c r="P174" s="226"/>
      <x:c r="Q174" s="226"/>
      <x:c r="R174" s="226"/>
      <x:c r="S174" s="226"/>
      <x:c r="T174" s="226"/>
      <x:c r="U174" s="226"/>
      <x:c r="V174" s="226"/>
      <x:c r="W174" s="226"/>
      <x:c r="X174" s="226"/>
      <x:c r="Y174" s="226"/>
      <x:c r="Z174" s="226"/>
    </x:row>
    <x:row r="175">
      <x:c r="A175" s="285" t="str">
        <x:v>SCR-174</x:v>
      </x:c>
      <x:c r="B175" s="285" t="str">
        <x:v>HR / Leave / Payroll</x:v>
      </x:c>
      <x:c r="C175" s="285" t="str">
        <x:v>HR</x:v>
      </x:c>
      <x:c r="D175" s="285" t="str">
        <x:v>Candidate Applications</x:v>
      </x:c>
      <x:c r="E175" s="285" t="str">
        <x:v>HR, School Admin, Principal, Employee</x:v>
      </x:c>
      <x:c r="F175" s="285" t="str">
        <x:v>School Admin / Shared</x:v>
      </x:c>
      <x:c r="G175" s="285" t="str">
        <x:v>List / Management</x:v>
      </x:c>
      <x:c r="H175" s="285" t="str">
        <x:v>Search, filter and manage records for candidate applications.</x:v>
      </x:c>
      <x:c r="I175" s="285" t="str">
        <x:v>Search, Filter, Sort, Open record</x:v>
      </x:c>
      <x:c r="J175" s="285" t="str">
        <x:v>Applicant, parent, mobile, grade, source, counsellor, stage, follow-up / application status</x:v>
      </x:c>
      <x:c r="K175" s="285" t="str">
        <x:v>Phase 2</x:v>
      </x:c>
      <x:c r="L175" s="285" t="str">
        <x:v>Search + Filter + Data Table</x:v>
      </x:c>
      <x:c r="M175" s="285" t="str">
        <x:v>Preserve existing role permissions, APIs and workflows; design reusable responsive UI.</x:v>
      </x:c>
      <x:c r="N175" s="226"/>
      <x:c r="O175" s="226"/>
      <x:c r="P175" s="226"/>
      <x:c r="Q175" s="226"/>
      <x:c r="R175" s="226"/>
      <x:c r="S175" s="226"/>
      <x:c r="T175" s="226"/>
      <x:c r="U175" s="226"/>
      <x:c r="V175" s="226"/>
      <x:c r="W175" s="226"/>
      <x:c r="X175" s="226"/>
      <x:c r="Y175" s="226"/>
      <x:c r="Z175" s="226"/>
    </x:row>
    <x:row r="176">
      <x:c r="A176" s="285" t="str">
        <x:v>SCR-175</x:v>
      </x:c>
      <x:c r="B176" s="285" t="str">
        <x:v>HR / Leave / Payroll</x:v>
      </x:c>
      <x:c r="C176" s="285" t="str">
        <x:v>HR</x:v>
      </x:c>
      <x:c r="D176" s="285" t="str">
        <x:v>Candidate Details</x:v>
      </x:c>
      <x:c r="E176" s="285" t="str">
        <x:v>HR, School Admin, Principal, Employee</x:v>
      </x:c>
      <x:c r="F176" s="285" t="str">
        <x:v>School Admin / Shared</x:v>
      </x:c>
      <x:c r="G176" s="285" t="str">
        <x:v>Detail / Profile</x:v>
      </x:c>
      <x:c r="H176" s="285" t="str">
        <x:v>Show the complete record and related activity for candidate details in one structured view.</x:v>
      </x:c>
      <x:c r="I176" s="285" t="str">
        <x:v>View, Edit, Update, View activity</x:v>
      </x:c>
      <x:c r="J176" s="285" t="str">
        <x:v>Name / title, code, academic year, status, owner, dates, remarks</x:v>
      </x:c>
      <x:c r="K176" s="285" t="str">
        <x:v>Phase 2</x:v>
      </x:c>
      <x:c r="L176" s="285" t="str">
        <x:v>Profile / Detail + Tabs</x:v>
      </x:c>
      <x:c r="M176" s="285" t="str">
        <x:v>Preserve existing role permissions, APIs and workflows; design reusable responsive UI.</x:v>
      </x:c>
      <x:c r="N176" s="226"/>
      <x:c r="O176" s="226"/>
      <x:c r="P176" s="226"/>
      <x:c r="Q176" s="226"/>
      <x:c r="R176" s="226"/>
      <x:c r="S176" s="226"/>
      <x:c r="T176" s="226"/>
      <x:c r="U176" s="226"/>
      <x:c r="V176" s="226"/>
      <x:c r="W176" s="226"/>
      <x:c r="X176" s="226"/>
      <x:c r="Y176" s="226"/>
      <x:c r="Z176" s="226"/>
    </x:row>
    <x:row r="177">
      <x:c r="A177" s="285" t="str">
        <x:v>SCR-176</x:v>
      </x:c>
      <x:c r="B177" s="285" t="str">
        <x:v>HR / Leave / Payroll</x:v>
      </x:c>
      <x:c r="C177" s="285" t="str">
        <x:v>HR</x:v>
      </x:c>
      <x:c r="D177" s="285" t="str">
        <x:v>Interview Schedule</x:v>
      </x:c>
      <x:c r="E177" s="285" t="str">
        <x:v>HR, School Admin, Principal, Employee</x:v>
      </x:c>
      <x:c r="F177" s="285" t="str">
        <x:v>School Admin / Shared</x:v>
      </x:c>
      <x:c r="G177" s="285" t="str">
        <x:v>Calendar / Schedule</x:v>
      </x:c>
      <x:c r="H177" s="285" t="str">
        <x:v>Plan and review interview schedule by date, period, class, staff or resource.</x:v>
      </x:c>
      <x:c r="I177" s="285" t="str">
        <x:v>Change view, Create / Assign, Reschedule, Print</x:v>
      </x:c>
      <x:c r="J177" s="285" t="str">
        <x:v>Academic year, class, section, day/date, period, subject, teacher, room</x:v>
      </x:c>
      <x:c r="K177" s="285" t="str">
        <x:v>Phase 2</x:v>
      </x:c>
      <x:c r="L177" s="285" t="str">
        <x:v>Calendar / Schedule</x:v>
      </x:c>
      <x:c r="M177" s="285" t="str">
        <x:v>Preserve existing role permissions, APIs and workflows; design reusable responsive UI.</x:v>
      </x:c>
      <x:c r="N177" s="226"/>
      <x:c r="O177" s="226"/>
      <x:c r="P177" s="226"/>
      <x:c r="Q177" s="226"/>
      <x:c r="R177" s="226"/>
      <x:c r="S177" s="226"/>
      <x:c r="T177" s="226"/>
      <x:c r="U177" s="226"/>
      <x:c r="V177" s="226"/>
      <x:c r="W177" s="226"/>
      <x:c r="X177" s="226"/>
      <x:c r="Y177" s="226"/>
      <x:c r="Z177" s="226"/>
    </x:row>
    <x:row r="178">
      <x:c r="A178" s="285" t="str">
        <x:v>SCR-177</x:v>
      </x:c>
      <x:c r="B178" s="285" t="str">
        <x:v>HR / Leave / Payroll</x:v>
      </x:c>
      <x:c r="C178" s="285" t="str">
        <x:v>HR</x:v>
      </x:c>
      <x:c r="D178" s="285" t="str">
        <x:v>Offer &amp; Appointment</x:v>
      </x:c>
      <x:c r="E178" s="285" t="str">
        <x:v>HR, School Admin, Principal, Employee</x:v>
      </x:c>
      <x:c r="F178" s="285" t="str">
        <x:v>School Admin / Shared</x:v>
      </x:c>
      <x:c r="G178" s="285" t="str">
        <x:v>Workflow / Management</x:v>
      </x:c>
      <x:c r="H178" s="285" t="str">
        <x:v>Manage the end-to-end offer &amp; appointment workflow within hr / leave / payroll.</x:v>
      </x:c>
      <x:c r="I178" s="285" t="str">
        <x:v>View, Create / Update, Filter, Export / Print</x:v>
      </x:c>
      <x:c r="J178" s="285" t="str">
        <x:v>Name / title, code, academic year, status, owner, dates, remarks</x:v>
      </x:c>
      <x:c r="K178" s="285" t="str">
        <x:v>Phase 2</x:v>
      </x:c>
      <x:c r="L178" s="285" t="str">
        <x:v>Workflow / Approval / Detail</x:v>
      </x:c>
      <x:c r="M178" s="285" t="str">
        <x:v>Preserve existing role permissions, APIs and workflows; design reusable responsive UI.</x:v>
      </x:c>
      <x:c r="N178" s="226"/>
      <x:c r="O178" s="226"/>
      <x:c r="P178" s="226"/>
      <x:c r="Q178" s="226"/>
      <x:c r="R178" s="226"/>
      <x:c r="S178" s="226"/>
      <x:c r="T178" s="226"/>
      <x:c r="U178" s="226"/>
      <x:c r="V178" s="226"/>
      <x:c r="W178" s="226"/>
      <x:c r="X178" s="226"/>
      <x:c r="Y178" s="226"/>
      <x:c r="Z178" s="226"/>
    </x:row>
    <x:row r="179">
      <x:c r="A179" s="285" t="str">
        <x:v>SCR-178</x:v>
      </x:c>
      <x:c r="B179" s="285" t="str">
        <x:v>HR / Leave / Payroll</x:v>
      </x:c>
      <x:c r="C179" s="285" t="str">
        <x:v>HR</x:v>
      </x:c>
      <x:c r="D179" s="285" t="str">
        <x:v>Employee Onboarding Checklist</x:v>
      </x:c>
      <x:c r="E179" s="285" t="str">
        <x:v>HR, School Admin, Principal, Employee</x:v>
      </x:c>
      <x:c r="F179" s="285" t="str">
        <x:v>School Admin / Shared</x:v>
      </x:c>
      <x:c r="G179" s="285" t="str">
        <x:v>List / Management</x:v>
      </x:c>
      <x:c r="H179" s="285" t="str">
        <x:v>Search, filter and manage records for employee onboarding checklist.</x:v>
      </x:c>
      <x:c r="I179" s="285" t="str">
        <x:v>Search, Filter, Sort, Open record</x:v>
      </x:c>
      <x:c r="J179" s="285" t="str">
        <x:v>Employee ID, name, department, designation, subjects, contact, status</x:v>
      </x:c>
      <x:c r="K179" s="285" t="str">
        <x:v>Phase 2</x:v>
      </x:c>
      <x:c r="L179" s="285" t="str">
        <x:v>Search + Filter + Data Table</x:v>
      </x:c>
      <x:c r="M179" s="285" t="str">
        <x:v>Preserve existing role permissions, APIs and workflows; design reusable responsive UI.</x:v>
      </x:c>
      <x:c r="N179" s="226"/>
      <x:c r="O179" s="226"/>
      <x:c r="P179" s="226"/>
      <x:c r="Q179" s="226"/>
      <x:c r="R179" s="226"/>
      <x:c r="S179" s="226"/>
      <x:c r="T179" s="226"/>
      <x:c r="U179" s="226"/>
      <x:c r="V179" s="226"/>
      <x:c r="W179" s="226"/>
      <x:c r="X179" s="226"/>
      <x:c r="Y179" s="226"/>
      <x:c r="Z179" s="226"/>
    </x:row>
    <x:row r="180">
      <x:c r="A180" s="285" t="str">
        <x:v>SCR-179</x:v>
      </x:c>
      <x:c r="B180" s="285" t="str">
        <x:v>HR / Leave / Payroll</x:v>
      </x:c>
      <x:c r="C180" s="285" t="str">
        <x:v>HR</x:v>
      </x:c>
      <x:c r="D180" s="285" t="str">
        <x:v>Staff Attendance Management</x:v>
      </x:c>
      <x:c r="E180" s="285" t="str">
        <x:v>HR, School Admin, Principal, Employee</x:v>
      </x:c>
      <x:c r="F180" s="285" t="str">
        <x:v>School Admin / Shared</x:v>
      </x:c>
      <x:c r="G180" s="285" t="str">
        <x:v>Workflow / Management</x:v>
      </x:c>
      <x:c r="H180" s="285" t="str">
        <x:v>Manage the end-to-end staff attendance management workflow within hr / leave / payroll.</x:v>
      </x:c>
      <x:c r="I180" s="285" t="str">
        <x:v>View, Create / Update, Filter, Export / Print</x:v>
      </x:c>
      <x:c r="J180" s="285" t="str">
        <x:v>Employee ID, name, department, designation, subjects, contact, status</x:v>
      </x:c>
      <x:c r="K180" s="285" t="str">
        <x:v>Phase 3</x:v>
      </x:c>
      <x:c r="L180" s="285" t="str">
        <x:v>Workflow / Approval / Detail</x:v>
      </x:c>
      <x:c r="M180" s="285" t="str">
        <x:v>Preserve existing role permissions, APIs and workflows; design reusable responsive UI.</x:v>
      </x:c>
      <x:c r="N180" s="226"/>
      <x:c r="O180" s="226"/>
      <x:c r="P180" s="226"/>
      <x:c r="Q180" s="226"/>
      <x:c r="R180" s="226"/>
      <x:c r="S180" s="226"/>
      <x:c r="T180" s="226"/>
      <x:c r="U180" s="226"/>
      <x:c r="V180" s="226"/>
      <x:c r="W180" s="226"/>
      <x:c r="X180" s="226"/>
      <x:c r="Y180" s="226"/>
      <x:c r="Z180" s="226"/>
    </x:row>
    <x:row r="181">
      <x:c r="A181" s="285" t="str">
        <x:v>SCR-180</x:v>
      </x:c>
      <x:c r="B181" s="285" t="str">
        <x:v>HR / Leave / Payroll</x:v>
      </x:c>
      <x:c r="C181" s="285" t="str">
        <x:v>HR</x:v>
      </x:c>
      <x:c r="D181" s="285" t="str">
        <x:v>Leave Policies</x:v>
      </x:c>
      <x:c r="E181" s="285" t="str">
        <x:v>HR, School Admin, Principal, Employee</x:v>
      </x:c>
      <x:c r="F181" s="285" t="str">
        <x:v>School Admin / Shared</x:v>
      </x:c>
      <x:c r="G181" s="285" t="str">
        <x:v>Workflow / Management</x:v>
      </x:c>
      <x:c r="H181" s="285" t="str">
        <x:v>Manage the end-to-end leave policies workflow within hr / leave / payroll.</x:v>
      </x:c>
      <x:c r="I181" s="285" t="str">
        <x:v>View, Create / Update, Filter, Export / Print</x:v>
      </x:c>
      <x:c r="J181" s="285" t="str">
        <x:v>Name / title, code, academic year, status, owner, dates, remarks</x:v>
      </x:c>
      <x:c r="K181" s="285" t="str">
        <x:v>Phase 3</x:v>
      </x:c>
      <x:c r="L181" s="285" t="str">
        <x:v>Workflow / Approval / Detail</x:v>
      </x:c>
      <x:c r="M181" s="285" t="str">
        <x:v>Preserve existing role permissions, APIs and workflows; design reusable responsive UI.</x:v>
      </x:c>
      <x:c r="N181" s="226"/>
      <x:c r="O181" s="226"/>
      <x:c r="P181" s="226"/>
      <x:c r="Q181" s="226"/>
      <x:c r="R181" s="226"/>
      <x:c r="S181" s="226"/>
      <x:c r="T181" s="226"/>
      <x:c r="U181" s="226"/>
      <x:c r="V181" s="226"/>
      <x:c r="W181" s="226"/>
      <x:c r="X181" s="226"/>
      <x:c r="Y181" s="226"/>
      <x:c r="Z181" s="226"/>
    </x:row>
    <x:row r="182">
      <x:c r="A182" s="285" t="str">
        <x:v>SCR-181</x:v>
      </x:c>
      <x:c r="B182" s="285" t="str">
        <x:v>HR / Leave / Payroll</x:v>
      </x:c>
      <x:c r="C182" s="285" t="str">
        <x:v>HR</x:v>
      </x:c>
      <x:c r="D182" s="285" t="str">
        <x:v>Staff Leave Requests</x:v>
      </x:c>
      <x:c r="E182" s="285" t="str">
        <x:v>HR, School Admin, Principal, Employee</x:v>
      </x:c>
      <x:c r="F182" s="285" t="str">
        <x:v>School Admin / Shared</x:v>
      </x:c>
      <x:c r="G182" s="285" t="str">
        <x:v>Workflow / Management</x:v>
      </x:c>
      <x:c r="H182" s="285" t="str">
        <x:v>Manage the end-to-end staff leave requests workflow within hr / leave / payroll.</x:v>
      </x:c>
      <x:c r="I182" s="285" t="str">
        <x:v>View, Create / Update, Filter, Export / Print</x:v>
      </x:c>
      <x:c r="J182" s="285" t="str">
        <x:v>Employee ID, name, department, designation, subjects, contact, status</x:v>
      </x:c>
      <x:c r="K182" s="285" t="str">
        <x:v>Phase 3</x:v>
      </x:c>
      <x:c r="L182" s="285" t="str">
        <x:v>Workflow / Approval / Detail</x:v>
      </x:c>
      <x:c r="M182" s="285" t="str">
        <x:v>Preserve existing role permissions, APIs and workflows; design reusable responsive UI.</x:v>
      </x:c>
      <x:c r="N182" s="226"/>
      <x:c r="O182" s="226"/>
      <x:c r="P182" s="226"/>
      <x:c r="Q182" s="226"/>
      <x:c r="R182" s="226"/>
      <x:c r="S182" s="226"/>
      <x:c r="T182" s="226"/>
      <x:c r="U182" s="226"/>
      <x:c r="V182" s="226"/>
      <x:c r="W182" s="226"/>
      <x:c r="X182" s="226"/>
      <x:c r="Y182" s="226"/>
      <x:c r="Z182" s="226"/>
    </x:row>
    <x:row r="183">
      <x:c r="A183" s="285" t="str">
        <x:v>SCR-182</x:v>
      </x:c>
      <x:c r="B183" s="285" t="str">
        <x:v>HR / Leave / Payroll</x:v>
      </x:c>
      <x:c r="C183" s="285" t="str">
        <x:v>HR</x:v>
      </x:c>
      <x:c r="D183" s="285" t="str">
        <x:v>Leave Approval</x:v>
      </x:c>
      <x:c r="E183" s="285" t="str">
        <x:v>HR, School Admin, Principal, Employee</x:v>
      </x:c>
      <x:c r="F183" s="285" t="str">
        <x:v>School Admin / Shared</x:v>
      </x:c>
      <x:c r="G183" s="285" t="str">
        <x:v>Workflow / Management</x:v>
      </x:c>
      <x:c r="H183" s="285" t="str">
        <x:v>Manage the end-to-end leave approval workflow within hr / leave / payroll.</x:v>
      </x:c>
      <x:c r="I183" s="285" t="str">
        <x:v>Review, Approve / Reject, Comment, Track status</x:v>
      </x:c>
      <x:c r="J183" s="285" t="str">
        <x:v>Name / title, code, academic year, status, owner, dates, remarks</x:v>
      </x:c>
      <x:c r="K183" s="285" t="str">
        <x:v>Phase 3</x:v>
      </x:c>
      <x:c r="L183" s="285" t="str">
        <x:v>Workflow / Approval / Detail</x:v>
      </x:c>
      <x:c r="M183" s="285" t="str">
        <x:v>Preserve existing role permissions, APIs and workflows; design reusable responsive UI.</x:v>
      </x:c>
      <x:c r="N183" s="226"/>
      <x:c r="O183" s="226"/>
      <x:c r="P183" s="226"/>
      <x:c r="Q183" s="226"/>
      <x:c r="R183" s="226"/>
      <x:c r="S183" s="226"/>
      <x:c r="T183" s="226"/>
      <x:c r="U183" s="226"/>
      <x:c r="V183" s="226"/>
      <x:c r="W183" s="226"/>
      <x:c r="X183" s="226"/>
      <x:c r="Y183" s="226"/>
      <x:c r="Z183" s="226"/>
    </x:row>
    <x:row r="184">
      <x:c r="A184" s="285" t="str">
        <x:v>SCR-183</x:v>
      </x:c>
      <x:c r="B184" s="285" t="str">
        <x:v>HR / Leave / Payroll</x:v>
      </x:c>
      <x:c r="C184" s="285" t="str">
        <x:v>HR</x:v>
      </x:c>
      <x:c r="D184" s="285" t="str">
        <x:v>Payroll Setup</x:v>
      </x:c>
      <x:c r="E184" s="285" t="str">
        <x:v>HR, School Admin, Principal, Employee</x:v>
      </x:c>
      <x:c r="F184" s="285" t="str">
        <x:v>School Admin / Shared</x:v>
      </x:c>
      <x:c r="G184" s="285" t="str">
        <x:v>Create / Transaction</x:v>
      </x:c>
      <x:c r="H184" s="285" t="str">
        <x:v>Capture or process the payroll setup workflow while enforcing school rules and validations.</x:v>
      </x:c>
      <x:c r="I184" s="285" t="str">
        <x:v>Create, Save, Validate, Cancel</x:v>
      </x:c>
      <x:c r="J184" s="285" t="str">
        <x:v>Name / title, code, academic year, status, owner, dates, remarks</x:v>
      </x:c>
      <x:c r="K184" s="285" t="str">
        <x:v>Phase 3</x:v>
      </x:c>
      <x:c r="L184" s="285" t="str">
        <x:v>Form / Wizard</x:v>
      </x:c>
      <x:c r="M184" s="285" t="str">
        <x:v>Preserve existing role permissions, APIs and workflows; design reusable responsive UI.</x:v>
      </x:c>
      <x:c r="N184" s="226"/>
      <x:c r="O184" s="226"/>
      <x:c r="P184" s="226"/>
      <x:c r="Q184" s="226"/>
      <x:c r="R184" s="226"/>
      <x:c r="S184" s="226"/>
      <x:c r="T184" s="226"/>
      <x:c r="U184" s="226"/>
      <x:c r="V184" s="226"/>
      <x:c r="W184" s="226"/>
      <x:c r="X184" s="226"/>
      <x:c r="Y184" s="226"/>
      <x:c r="Z184" s="226"/>
    </x:row>
    <x:row r="185">
      <x:c r="A185" s="285" t="str">
        <x:v>SCR-184</x:v>
      </x:c>
      <x:c r="B185" s="285" t="str">
        <x:v>HR / Leave / Payroll</x:v>
      </x:c>
      <x:c r="C185" s="285" t="str">
        <x:v>HR</x:v>
      </x:c>
      <x:c r="D185" s="285" t="str">
        <x:v>Payroll Processing</x:v>
      </x:c>
      <x:c r="E185" s="285" t="str">
        <x:v>HR, School Admin, Principal, Employee</x:v>
      </x:c>
      <x:c r="F185" s="285" t="str">
        <x:v>School Admin / Shared</x:v>
      </x:c>
      <x:c r="G185" s="285" t="str">
        <x:v>Create / Transaction</x:v>
      </x:c>
      <x:c r="H185" s="285" t="str">
        <x:v>Capture or process the payroll processing workflow while enforcing school rules and validations.</x:v>
      </x:c>
      <x:c r="I185" s="285" t="str">
        <x:v>Calculate, Collect / Process, Generate receipt, Reconcile</x:v>
      </x:c>
      <x:c r="J185" s="285" t="str">
        <x:v>Name / title, code, academic year, status, owner, dates, remarks</x:v>
      </x:c>
      <x:c r="K185" s="285" t="str">
        <x:v>Phase 3</x:v>
      </x:c>
      <x:c r="L185" s="285" t="str">
        <x:v>Form / Wizard</x:v>
      </x:c>
      <x:c r="M185" s="285" t="str">
        <x:v>Preserve existing role permissions, APIs and workflows; design reusable responsive UI.</x:v>
      </x:c>
      <x:c r="N185" s="226"/>
      <x:c r="O185" s="226"/>
      <x:c r="P185" s="226"/>
      <x:c r="Q185" s="226"/>
      <x:c r="R185" s="226"/>
      <x:c r="S185" s="226"/>
      <x:c r="T185" s="226"/>
      <x:c r="U185" s="226"/>
      <x:c r="V185" s="226"/>
      <x:c r="W185" s="226"/>
      <x:c r="X185" s="226"/>
      <x:c r="Y185" s="226"/>
      <x:c r="Z185" s="226"/>
    </x:row>
    <x:row r="186">
      <x:c r="A186" s="285" t="str">
        <x:v>SCR-185</x:v>
      </x:c>
      <x:c r="B186" s="285" t="str">
        <x:v>HR / Leave / Payroll</x:v>
      </x:c>
      <x:c r="C186" s="285" t="str">
        <x:v>HR</x:v>
      </x:c>
      <x:c r="D186" s="285" t="str">
        <x:v>Payslip &amp; Payroll History</x:v>
      </x:c>
      <x:c r="E186" s="285" t="str">
        <x:v>HR, School Admin, Principal, Employee</x:v>
      </x:c>
      <x:c r="F186" s="285" t="str">
        <x:v>School Admin / Shared</x:v>
      </x:c>
      <x:c r="G186" s="285" t="str">
        <x:v>Detail / Profile</x:v>
      </x:c>
      <x:c r="H186" s="285" t="str">
        <x:v>Show the complete record and related activity for payslip &amp; payroll history in one structured view.</x:v>
      </x:c>
      <x:c r="I186" s="285" t="str">
        <x:v>View, Edit, Update, View activity</x:v>
      </x:c>
      <x:c r="J186" s="285" t="str">
        <x:v>Name / title, code, academic year, status, owner, dates, remarks</x:v>
      </x:c>
      <x:c r="K186" s="285" t="str">
        <x:v>Phase 3</x:v>
      </x:c>
      <x:c r="L186" s="285" t="str">
        <x:v>Profile / Detail + Tabs</x:v>
      </x:c>
      <x:c r="M186" s="285" t="str">
        <x:v>Preserve existing role permissions, APIs and workflows; design reusable responsive UI.</x:v>
      </x:c>
      <x:c r="N186" s="226"/>
      <x:c r="O186" s="226"/>
      <x:c r="P186" s="226"/>
      <x:c r="Q186" s="226"/>
      <x:c r="R186" s="226"/>
      <x:c r="S186" s="226"/>
      <x:c r="T186" s="226"/>
      <x:c r="U186" s="226"/>
      <x:c r="V186" s="226"/>
      <x:c r="W186" s="226"/>
      <x:c r="X186" s="226"/>
      <x:c r="Y186" s="226"/>
      <x:c r="Z186" s="226"/>
    </x:row>
    <x:row r="187">
      <x:c r="A187" s="285" t="str">
        <x:v>SCR-186</x:v>
      </x:c>
      <x:c r="B187" s="285" t="str">
        <x:v>Transport / Bus / GPS</x:v>
      </x:c>
      <x:c r="C187" s="285" t="str">
        <x:v>Transport</x:v>
      </x:c>
      <x:c r="D187" s="285" t="str">
        <x:v>Vehicles</x:v>
      </x:c>
      <x:c r="E187" s="285" t="str">
        <x:v>Transport Manager, School Admin</x:v>
      </x:c>
      <x:c r="F187" s="285" t="str">
        <x:v>Operations Portal</x:v>
      </x:c>
      <x:c r="G187" s="285" t="str">
        <x:v>List / Management</x:v>
      </x:c>
      <x:c r="H187" s="285" t="str">
        <x:v>Search, filter and manage records for vehicles.</x:v>
      </x:c>
      <x:c r="I187" s="285" t="str">
        <x:v>Search, Filter, Sort, Open record</x:v>
      </x:c>
      <x:c r="J187" s="285" t="str">
        <x:v>Vehicle, route, stop, driver, student, pickup/drop time, GPS/status</x:v>
      </x:c>
      <x:c r="K187" s="285" t="str">
        <x:v>Phase 2</x:v>
      </x:c>
      <x:c r="L187" s="285" t="str">
        <x:v>Search + Filter + Data Table</x:v>
      </x:c>
      <x:c r="M187" s="285" t="str">
        <x:v>Preserve existing role permissions, APIs and workflows; design reusable responsive UI.</x:v>
      </x:c>
      <x:c r="N187" s="226"/>
      <x:c r="O187" s="226"/>
      <x:c r="P187" s="226"/>
      <x:c r="Q187" s="226"/>
      <x:c r="R187" s="226"/>
      <x:c r="S187" s="226"/>
      <x:c r="T187" s="226"/>
      <x:c r="U187" s="226"/>
      <x:c r="V187" s="226"/>
      <x:c r="W187" s="226"/>
      <x:c r="X187" s="226"/>
      <x:c r="Y187" s="226"/>
      <x:c r="Z187" s="226"/>
    </x:row>
    <x:row r="188">
      <x:c r="A188" s="285" t="str">
        <x:v>SCR-187</x:v>
      </x:c>
      <x:c r="B188" s="285" t="str">
        <x:v>Transport / Bus / GPS</x:v>
      </x:c>
      <x:c r="C188" s="285" t="str">
        <x:v>Transport</x:v>
      </x:c>
      <x:c r="D188" s="285" t="str">
        <x:v>Add / Edit Vehicle</x:v>
      </x:c>
      <x:c r="E188" s="285" t="str">
        <x:v>Transport Manager, School Admin</x:v>
      </x:c>
      <x:c r="F188" s="285" t="str">
        <x:v>Operations Portal</x:v>
      </x:c>
      <x:c r="G188" s="285" t="str">
        <x:v>Create / Transaction</x:v>
      </x:c>
      <x:c r="H188" s="285" t="str">
        <x:v>Capture or process the add / edit vehicle workflow while enforcing school rules and validations.</x:v>
      </x:c>
      <x:c r="I188" s="285" t="str">
        <x:v>Create, Save, Validate, Cancel, View</x:v>
      </x:c>
      <x:c r="J188" s="285" t="str">
        <x:v>Vehicle, route, stop, driver, student, pickup/drop time, GPS/status</x:v>
      </x:c>
      <x:c r="K188" s="285" t="str">
        <x:v>Phase 2</x:v>
      </x:c>
      <x:c r="L188" s="285" t="str">
        <x:v>Form / Wizard</x:v>
      </x:c>
      <x:c r="M188" s="285" t="str">
        <x:v>Preserve existing role permissions, APIs and workflows; design reusable responsive UI.</x:v>
      </x:c>
      <x:c r="N188" s="226"/>
      <x:c r="O188" s="226"/>
      <x:c r="P188" s="226"/>
      <x:c r="Q188" s="226"/>
      <x:c r="R188" s="226"/>
      <x:c r="S188" s="226"/>
      <x:c r="T188" s="226"/>
      <x:c r="U188" s="226"/>
      <x:c r="V188" s="226"/>
      <x:c r="W188" s="226"/>
      <x:c r="X188" s="226"/>
      <x:c r="Y188" s="226"/>
      <x:c r="Z188" s="226"/>
    </x:row>
    <x:row r="189">
      <x:c r="A189" s="285" t="str">
        <x:v>SCR-188</x:v>
      </x:c>
      <x:c r="B189" s="285" t="str">
        <x:v>Transport / Bus / GPS</x:v>
      </x:c>
      <x:c r="C189" s="285" t="str">
        <x:v>Transport</x:v>
      </x:c>
      <x:c r="D189" s="285" t="str">
        <x:v>Vehicle Details</x:v>
      </x:c>
      <x:c r="E189" s="285" t="str">
        <x:v>Transport Manager, School Admin</x:v>
      </x:c>
      <x:c r="F189" s="285" t="str">
        <x:v>Operations Portal</x:v>
      </x:c>
      <x:c r="G189" s="285" t="str">
        <x:v>Detail / Profile</x:v>
      </x:c>
      <x:c r="H189" s="285" t="str">
        <x:v>Show the complete record and related activity for vehicle details in one structured view.</x:v>
      </x:c>
      <x:c r="I189" s="285" t="str">
        <x:v>View, Edit, Update, View activity</x:v>
      </x:c>
      <x:c r="J189" s="285" t="str">
        <x:v>Vehicle, route, stop, driver, student, pickup/drop time, GPS/status</x:v>
      </x:c>
      <x:c r="K189" s="285" t="str">
        <x:v>Phase 2</x:v>
      </x:c>
      <x:c r="L189" s="285" t="str">
        <x:v>Profile / Detail + Tabs</x:v>
      </x:c>
      <x:c r="M189" s="285" t="str">
        <x:v>Preserve existing role permissions, APIs and workflows; design reusable responsive UI.</x:v>
      </x:c>
      <x:c r="N189" s="226"/>
      <x:c r="O189" s="226"/>
      <x:c r="P189" s="226"/>
      <x:c r="Q189" s="226"/>
      <x:c r="R189" s="226"/>
      <x:c r="S189" s="226"/>
      <x:c r="T189" s="226"/>
      <x:c r="U189" s="226"/>
      <x:c r="V189" s="226"/>
      <x:c r="W189" s="226"/>
      <x:c r="X189" s="226"/>
      <x:c r="Y189" s="226"/>
      <x:c r="Z189" s="226"/>
    </x:row>
    <x:row r="190">
      <x:c r="A190" s="285" t="str">
        <x:v>SCR-189</x:v>
      </x:c>
      <x:c r="B190" s="285" t="str">
        <x:v>Transport / Bus / GPS</x:v>
      </x:c>
      <x:c r="C190" s="285" t="str">
        <x:v>Transport</x:v>
      </x:c>
      <x:c r="D190" s="285" t="str">
        <x:v>Routes</x:v>
      </x:c>
      <x:c r="E190" s="285" t="str">
        <x:v>Transport Manager, School Admin</x:v>
      </x:c>
      <x:c r="F190" s="285" t="str">
        <x:v>Operations Portal</x:v>
      </x:c>
      <x:c r="G190" s="285" t="str">
        <x:v>List / Management</x:v>
      </x:c>
      <x:c r="H190" s="285" t="str">
        <x:v>Search, filter and manage records for routes.</x:v>
      </x:c>
      <x:c r="I190" s="285" t="str">
        <x:v>Search, Filter, Sort, Open record</x:v>
      </x:c>
      <x:c r="J190" s="285" t="str">
        <x:v>Vehicle, route, stop, driver, student, pickup/drop time, GPS/status</x:v>
      </x:c>
      <x:c r="K190" s="285" t="str">
        <x:v>Phase 2</x:v>
      </x:c>
      <x:c r="L190" s="285" t="str">
        <x:v>Search + Filter + Data Table</x:v>
      </x:c>
      <x:c r="M190" s="285" t="str">
        <x:v>Preserve existing role permissions, APIs and workflows; design reusable responsive UI.</x:v>
      </x:c>
      <x:c r="N190" s="226"/>
      <x:c r="O190" s="226"/>
      <x:c r="P190" s="226"/>
      <x:c r="Q190" s="226"/>
      <x:c r="R190" s="226"/>
      <x:c r="S190" s="226"/>
      <x:c r="T190" s="226"/>
      <x:c r="U190" s="226"/>
      <x:c r="V190" s="226"/>
      <x:c r="W190" s="226"/>
      <x:c r="X190" s="226"/>
      <x:c r="Y190" s="226"/>
      <x:c r="Z190" s="226"/>
    </x:row>
    <x:row r="191">
      <x:c r="A191" s="285" t="str">
        <x:v>SCR-190</x:v>
      </x:c>
      <x:c r="B191" s="285" t="str">
        <x:v>Transport / Bus / GPS</x:v>
      </x:c>
      <x:c r="C191" s="285" t="str">
        <x:v>Transport</x:v>
      </x:c>
      <x:c r="D191" s="285" t="str">
        <x:v>Create / Edit Route</x:v>
      </x:c>
      <x:c r="E191" s="285" t="str">
        <x:v>Transport Manager, School Admin</x:v>
      </x:c>
      <x:c r="F191" s="285" t="str">
        <x:v>Operations Portal</x:v>
      </x:c>
      <x:c r="G191" s="285" t="str">
        <x:v>Create / Transaction</x:v>
      </x:c>
      <x:c r="H191" s="285" t="str">
        <x:v>Capture or process the create / edit route workflow while enforcing school rules and validations.</x:v>
      </x:c>
      <x:c r="I191" s="285" t="str">
        <x:v>Create, Save, Validate, Cancel, View</x:v>
      </x:c>
      <x:c r="J191" s="285" t="str">
        <x:v>Vehicle, route, stop, driver, student, pickup/drop time, GPS/status</x:v>
      </x:c>
      <x:c r="K191" s="285" t="str">
        <x:v>Phase 2</x:v>
      </x:c>
      <x:c r="L191" s="285" t="str">
        <x:v>Form / Wizard</x:v>
      </x:c>
      <x:c r="M191" s="285" t="str">
        <x:v>Preserve existing role permissions, APIs and workflows; design reusable responsive UI.</x:v>
      </x:c>
      <x:c r="N191" s="226"/>
      <x:c r="O191" s="226"/>
      <x:c r="P191" s="226"/>
      <x:c r="Q191" s="226"/>
      <x:c r="R191" s="226"/>
      <x:c r="S191" s="226"/>
      <x:c r="T191" s="226"/>
      <x:c r="U191" s="226"/>
      <x:c r="V191" s="226"/>
      <x:c r="W191" s="226"/>
      <x:c r="X191" s="226"/>
      <x:c r="Y191" s="226"/>
      <x:c r="Z191" s="226"/>
    </x:row>
    <x:row r="192">
      <x:c r="A192" s="285" t="str">
        <x:v>SCR-191</x:v>
      </x:c>
      <x:c r="B192" s="285" t="str">
        <x:v>Transport / Bus / GPS</x:v>
      </x:c>
      <x:c r="C192" s="285" t="str">
        <x:v>Transport</x:v>
      </x:c>
      <x:c r="D192" s="285" t="str">
        <x:v>Stops</x:v>
      </x:c>
      <x:c r="E192" s="285" t="str">
        <x:v>Transport Manager, School Admin</x:v>
      </x:c>
      <x:c r="F192" s="285" t="str">
        <x:v>Operations Portal</x:v>
      </x:c>
      <x:c r="G192" s="285" t="str">
        <x:v>Workflow / Management</x:v>
      </x:c>
      <x:c r="H192" s="285" t="str">
        <x:v>Manage the end-to-end stops workflow within transport / bus / gps.</x:v>
      </x:c>
      <x:c r="I192" s="285" t="str">
        <x:v>View, Create / Update, Filter, Export / Print</x:v>
      </x:c>
      <x:c r="J192" s="285" t="str">
        <x:v>Vehicle, route, stop, driver, student, pickup/drop time, GPS/status</x:v>
      </x:c>
      <x:c r="K192" s="285" t="str">
        <x:v>Phase 2</x:v>
      </x:c>
      <x:c r="L192" s="285" t="str">
        <x:v>Workflow / Approval / Detail</x:v>
      </x:c>
      <x:c r="M192" s="285" t="str">
        <x:v>Preserve existing role permissions, APIs and workflows; design reusable responsive UI.</x:v>
      </x:c>
      <x:c r="N192" s="226"/>
      <x:c r="O192" s="226"/>
      <x:c r="P192" s="226"/>
      <x:c r="Q192" s="226"/>
      <x:c r="R192" s="226"/>
      <x:c r="S192" s="226"/>
      <x:c r="T192" s="226"/>
      <x:c r="U192" s="226"/>
      <x:c r="V192" s="226"/>
      <x:c r="W192" s="226"/>
      <x:c r="X192" s="226"/>
      <x:c r="Y192" s="226"/>
      <x:c r="Z192" s="226"/>
    </x:row>
    <x:row r="193">
      <x:c r="A193" s="285" t="str">
        <x:v>SCR-192</x:v>
      </x:c>
      <x:c r="B193" s="285" t="str">
        <x:v>Transport / Bus / GPS</x:v>
      </x:c>
      <x:c r="C193" s="285" t="str">
        <x:v>Transport</x:v>
      </x:c>
      <x:c r="D193" s="285" t="str">
        <x:v>Drivers &amp; Conductors</x:v>
      </x:c>
      <x:c r="E193" s="285" t="str">
        <x:v>Transport Manager, School Admin</x:v>
      </x:c>
      <x:c r="F193" s="285" t="str">
        <x:v>Operations Portal</x:v>
      </x:c>
      <x:c r="G193" s="285" t="str">
        <x:v>Workflow / Management</x:v>
      </x:c>
      <x:c r="H193" s="285" t="str">
        <x:v>Manage the end-to-end drivers &amp; conductors workflow within transport / bus / gps.</x:v>
      </x:c>
      <x:c r="I193" s="285" t="str">
        <x:v>View, Create / Update, Filter, Export / Print</x:v>
      </x:c>
      <x:c r="J193" s="285" t="str">
        <x:v>Name / title, code, academic year, status, owner, dates, remarks</x:v>
      </x:c>
      <x:c r="K193" s="285" t="str">
        <x:v>Phase 3</x:v>
      </x:c>
      <x:c r="L193" s="285" t="str">
        <x:v>Workflow / Approval / Detail</x:v>
      </x:c>
      <x:c r="M193" s="285" t="str">
        <x:v>Preserve existing role permissions, APIs and workflows; design reusable responsive UI.</x:v>
      </x:c>
      <x:c r="N193" s="226"/>
      <x:c r="O193" s="226"/>
      <x:c r="P193" s="226"/>
      <x:c r="Q193" s="226"/>
      <x:c r="R193" s="226"/>
      <x:c r="S193" s="226"/>
      <x:c r="T193" s="226"/>
      <x:c r="U193" s="226"/>
      <x:c r="V193" s="226"/>
      <x:c r="W193" s="226"/>
      <x:c r="X193" s="226"/>
      <x:c r="Y193" s="226"/>
      <x:c r="Z193" s="226"/>
    </x:row>
    <x:row r="194">
      <x:c r="A194" s="285" t="str">
        <x:v>SCR-193</x:v>
      </x:c>
      <x:c r="B194" s="285" t="str">
        <x:v>Transport / Bus / GPS</x:v>
      </x:c>
      <x:c r="C194" s="285" t="str">
        <x:v>Transport</x:v>
      </x:c>
      <x:c r="D194" s="285" t="str">
        <x:v>Student Route Assignment</x:v>
      </x:c>
      <x:c r="E194" s="285" t="str">
        <x:v>Transport Manager, School Admin, Parent</x:v>
      </x:c>
      <x:c r="F194" s="285" t="str">
        <x:v>Operations Portal</x:v>
      </x:c>
      <x:c r="G194" s="285" t="str">
        <x:v>Workflow / Management</x:v>
      </x:c>
      <x:c r="H194" s="285" t="str">
        <x:v>Manage the end-to-end student route assignment workflow within transport / bus / gps.</x:v>
      </x:c>
      <x:c r="I194" s="285" t="str">
        <x:v>View, Create / Update, Filter, Export / Print</x:v>
      </x:c>
      <x:c r="J194" s="285" t="str">
        <x:v>Student ID, admission no., name, class, section, status, parent, academic year</x:v>
      </x:c>
      <x:c r="K194" s="285" t="str">
        <x:v>Phase 3</x:v>
      </x:c>
      <x:c r="L194" s="285" t="str">
        <x:v>Workflow / Approval / Detail</x:v>
      </x:c>
      <x:c r="M194" s="285" t="str">
        <x:v>Preserve existing role permissions, APIs and workflows; design reusable responsive UI.</x:v>
      </x:c>
      <x:c r="N194" s="226"/>
      <x:c r="O194" s="226"/>
      <x:c r="P194" s="226"/>
      <x:c r="Q194" s="226"/>
      <x:c r="R194" s="226"/>
      <x:c r="S194" s="226"/>
      <x:c r="T194" s="226"/>
      <x:c r="U194" s="226"/>
      <x:c r="V194" s="226"/>
      <x:c r="W194" s="226"/>
      <x:c r="X194" s="226"/>
      <x:c r="Y194" s="226"/>
      <x:c r="Z194" s="226"/>
    </x:row>
    <x:row r="195">
      <x:c r="A195" s="285" t="str">
        <x:v>SCR-194</x:v>
      </x:c>
      <x:c r="B195" s="285" t="str">
        <x:v>Transport / Bus / GPS</x:v>
      </x:c>
      <x:c r="C195" s="285" t="str">
        <x:v>Transport</x:v>
      </x:c>
      <x:c r="D195" s="285" t="str">
        <x:v>Trip Sheet</x:v>
      </x:c>
      <x:c r="E195" s="285" t="str">
        <x:v>Transport Manager, School Admin</x:v>
      </x:c>
      <x:c r="F195" s="285" t="str">
        <x:v>Operations Portal</x:v>
      </x:c>
      <x:c r="G195" s="285" t="str">
        <x:v>Workflow / Management</x:v>
      </x:c>
      <x:c r="H195" s="285" t="str">
        <x:v>Manage the end-to-end trip sheet workflow within transport / bus / gps.</x:v>
      </x:c>
      <x:c r="I195" s="285" t="str">
        <x:v>View, Create / Update, Filter, Export / Print</x:v>
      </x:c>
      <x:c r="J195" s="285" t="str">
        <x:v>Name / title, code, academic year, status, owner, dates, remarks</x:v>
      </x:c>
      <x:c r="K195" s="285" t="str">
        <x:v>Phase 3</x:v>
      </x:c>
      <x:c r="L195" s="285" t="str">
        <x:v>Workflow / Approval / Detail</x:v>
      </x:c>
      <x:c r="M195" s="285" t="str">
        <x:v>Preserve existing role permissions, APIs and workflows; design reusable responsive UI.</x:v>
      </x:c>
      <x:c r="N195" s="226"/>
      <x:c r="O195" s="226"/>
      <x:c r="P195" s="226"/>
      <x:c r="Q195" s="226"/>
      <x:c r="R195" s="226"/>
      <x:c r="S195" s="226"/>
      <x:c r="T195" s="226"/>
      <x:c r="U195" s="226"/>
      <x:c r="V195" s="226"/>
      <x:c r="W195" s="226"/>
      <x:c r="X195" s="226"/>
      <x:c r="Y195" s="226"/>
      <x:c r="Z195" s="226"/>
    </x:row>
    <x:row r="196">
      <x:c r="A196" s="285" t="str">
        <x:v>SCR-195</x:v>
      </x:c>
      <x:c r="B196" s="285" t="str">
        <x:v>Transport / Bus / GPS</x:v>
      </x:c>
      <x:c r="C196" s="285" t="str">
        <x:v>Transport</x:v>
      </x:c>
      <x:c r="D196" s="285" t="str">
        <x:v>Live GPS Tracking</x:v>
      </x:c>
      <x:c r="E196" s="285" t="str">
        <x:v>Transport Manager, Driver / Conductor, Parent, School Admin</x:v>
      </x:c>
      <x:c r="F196" s="285" t="str">
        <x:v>Operations Portal</x:v>
      </x:c>
      <x:c r="G196" s="285" t="str">
        <x:v>Workflow / Management</x:v>
      </x:c>
      <x:c r="H196" s="285" t="str">
        <x:v>Manage the end-to-end live gps tracking workflow within transport / bus / gps.</x:v>
      </x:c>
      <x:c r="I196" s="285" t="str">
        <x:v>View, Create / Update, Filter, Export / Print</x:v>
      </x:c>
      <x:c r="J196" s="285" t="str">
        <x:v>Vehicle, route, stop, driver, student, pickup/drop time, GPS/status</x:v>
      </x:c>
      <x:c r="K196" s="285" t="str">
        <x:v>Phase 3</x:v>
      </x:c>
      <x:c r="L196" s="285" t="str">
        <x:v>Workflow / Approval / Detail</x:v>
      </x:c>
      <x:c r="M196" s="285" t="str">
        <x:v>Preserve existing role permissions, APIs and workflows; design reusable responsive UI.</x:v>
      </x:c>
      <x:c r="N196" s="226"/>
      <x:c r="O196" s="226"/>
      <x:c r="P196" s="226"/>
      <x:c r="Q196" s="226"/>
      <x:c r="R196" s="226"/>
      <x:c r="S196" s="226"/>
      <x:c r="T196" s="226"/>
      <x:c r="U196" s="226"/>
      <x:c r="V196" s="226"/>
      <x:c r="W196" s="226"/>
      <x:c r="X196" s="226"/>
      <x:c r="Y196" s="226"/>
      <x:c r="Z196" s="226"/>
    </x:row>
    <x:row r="197">
      <x:c r="A197" s="285" t="str">
        <x:v>SCR-196</x:v>
      </x:c>
      <x:c r="B197" s="285" t="str">
        <x:v>Transport / Bus / GPS</x:v>
      </x:c>
      <x:c r="C197" s="285" t="str">
        <x:v>Transport</x:v>
      </x:c>
      <x:c r="D197" s="285" t="str">
        <x:v>Boarding / Drop Attendance</x:v>
      </x:c>
      <x:c r="E197" s="285" t="str">
        <x:v>Transport Manager, Driver / Conductor, Parent, School Admin</x:v>
      </x:c>
      <x:c r="F197" s="285" t="str">
        <x:v>Operations Portal</x:v>
      </x:c>
      <x:c r="G197" s="285" t="str">
        <x:v>Workflow / Management</x:v>
      </x:c>
      <x:c r="H197" s="285" t="str">
        <x:v>Manage the end-to-end boarding / drop attendance workflow within transport / bus / gps.</x:v>
      </x:c>
      <x:c r="I197" s="285" t="str">
        <x:v>View, Create / Update, Filter, Export / Print</x:v>
      </x:c>
      <x:c r="J197" s="285" t="str">
        <x:v>Date, class, section, student, status, period, reason, remarks</x:v>
      </x:c>
      <x:c r="K197" s="285" t="str">
        <x:v>Phase 3</x:v>
      </x:c>
      <x:c r="L197" s="285" t="str">
        <x:v>Workflow / Approval / Detail</x:v>
      </x:c>
      <x:c r="M197" s="285" t="str">
        <x:v>Preserve existing role permissions, APIs and workflows; design reusable responsive UI.</x:v>
      </x:c>
      <x:c r="N197" s="226"/>
      <x:c r="O197" s="226"/>
      <x:c r="P197" s="226"/>
      <x:c r="Q197" s="226"/>
      <x:c r="R197" s="226"/>
      <x:c r="S197" s="226"/>
      <x:c r="T197" s="226"/>
      <x:c r="U197" s="226"/>
      <x:c r="V197" s="226"/>
      <x:c r="W197" s="226"/>
      <x:c r="X197" s="226"/>
      <x:c r="Y197" s="226"/>
      <x:c r="Z197" s="226"/>
    </x:row>
    <x:row r="198">
      <x:c r="A198" s="285" t="str">
        <x:v>SCR-197</x:v>
      </x:c>
      <x:c r="B198" s="285" t="str">
        <x:v>Transport / Bus / GPS</x:v>
      </x:c>
      <x:c r="C198" s="285" t="str">
        <x:v>Transport</x:v>
      </x:c>
      <x:c r="D198" s="285" t="str">
        <x:v>Vehicle Maintenance &amp; Fuel</x:v>
      </x:c>
      <x:c r="E198" s="285" t="str">
        <x:v>Transport Manager, School Admin</x:v>
      </x:c>
      <x:c r="F198" s="285" t="str">
        <x:v>Operations Portal</x:v>
      </x:c>
      <x:c r="G198" s="285" t="str">
        <x:v>Workflow / Management</x:v>
      </x:c>
      <x:c r="H198" s="285" t="str">
        <x:v>Manage the end-to-end vehicle maintenance &amp; fuel workflow within transport / bus / gps.</x:v>
      </x:c>
      <x:c r="I198" s="285" t="str">
        <x:v>View, Create / Update, Filter, Export / Print</x:v>
      </x:c>
      <x:c r="J198" s="285" t="str">
        <x:v>Vehicle, route, stop, driver, student, pickup/drop time, GPS/status</x:v>
      </x:c>
      <x:c r="K198" s="285" t="str">
        <x:v>Phase 3</x:v>
      </x:c>
      <x:c r="L198" s="285" t="str">
        <x:v>Workflow / Approval / Detail</x:v>
      </x:c>
      <x:c r="M198" s="285" t="str">
        <x:v>Preserve existing role permissions, APIs and workflows; design reusable responsive UI.</x:v>
      </x:c>
      <x:c r="N198" s="226"/>
      <x:c r="O198" s="226"/>
      <x:c r="P198" s="226"/>
      <x:c r="Q198" s="226"/>
      <x:c r="R198" s="226"/>
      <x:c r="S198" s="226"/>
      <x:c r="T198" s="226"/>
      <x:c r="U198" s="226"/>
      <x:c r="V198" s="226"/>
      <x:c r="W198" s="226"/>
      <x:c r="X198" s="226"/>
      <x:c r="Y198" s="226"/>
      <x:c r="Z198" s="226"/>
    </x:row>
    <x:row r="199">
      <x:c r="A199" s="285" t="str">
        <x:v>SCR-198</x:v>
      </x:c>
      <x:c r="B199" s="285" t="str">
        <x:v>Library</x:v>
      </x:c>
      <x:c r="C199" s="285" t="str">
        <x:v>Library</x:v>
      </x:c>
      <x:c r="D199" s="285" t="str">
        <x:v>Library Catalogue</x:v>
      </x:c>
      <x:c r="E199" s="285" t="str">
        <x:v>Librarian, Student, Teacher, School Admin</x:v>
      </x:c>
      <x:c r="F199" s="285" t="str">
        <x:v>Operations Portal</x:v>
      </x:c>
      <x:c r="G199" s="285" t="str">
        <x:v>List / Management</x:v>
      </x:c>
      <x:c r="H199" s="285" t="str">
        <x:v>Search, filter and manage records for library catalogue.</x:v>
      </x:c>
      <x:c r="I199" s="285" t="str">
        <x:v>Search, Filter, Sort, Open record</x:v>
      </x:c>
      <x:c r="J199" s="285" t="str">
        <x:v>Book ID / ISBN, title, author, category, copy, member, issue date, due date, status</x:v>
      </x:c>
      <x:c r="K199" s="285" t="str">
        <x:v>Phase 2</x:v>
      </x:c>
      <x:c r="L199" s="285" t="str">
        <x:v>Search + Filter + Data Table</x:v>
      </x:c>
      <x:c r="M199" s="285" t="str">
        <x:v>Preserve existing role permissions, APIs and workflows; design reusable responsive UI.</x:v>
      </x:c>
      <x:c r="N199" s="226"/>
      <x:c r="O199" s="226"/>
      <x:c r="P199" s="226"/>
      <x:c r="Q199" s="226"/>
      <x:c r="R199" s="226"/>
      <x:c r="S199" s="226"/>
      <x:c r="T199" s="226"/>
      <x:c r="U199" s="226"/>
      <x:c r="V199" s="226"/>
      <x:c r="W199" s="226"/>
      <x:c r="X199" s="226"/>
      <x:c r="Y199" s="226"/>
      <x:c r="Z199" s="226"/>
    </x:row>
    <x:row r="200">
      <x:c r="A200" s="285" t="str">
        <x:v>SCR-199</x:v>
      </x:c>
      <x:c r="B200" s="285" t="str">
        <x:v>Library</x:v>
      </x:c>
      <x:c r="C200" s="285" t="str">
        <x:v>Library</x:v>
      </x:c>
      <x:c r="D200" s="285" t="str">
        <x:v>Add / Edit Book</x:v>
      </x:c>
      <x:c r="E200" s="285" t="str">
        <x:v>Librarian, School Admin, Teacher, Student</x:v>
      </x:c>
      <x:c r="F200" s="285" t="str">
        <x:v>Operations Portal</x:v>
      </x:c>
      <x:c r="G200" s="285" t="str">
        <x:v>Create / Transaction</x:v>
      </x:c>
      <x:c r="H200" s="285" t="str">
        <x:v>Capture or process the add / edit book workflow while enforcing school rules and validations.</x:v>
      </x:c>
      <x:c r="I200" s="285" t="str">
        <x:v>Create, Save, Validate, Cancel, View</x:v>
      </x:c>
      <x:c r="J200" s="285" t="str">
        <x:v>Book ID / ISBN, title, author, category, copy, member, issue date, due date, status</x:v>
      </x:c>
      <x:c r="K200" s="285" t="str">
        <x:v>Phase 2</x:v>
      </x:c>
      <x:c r="L200" s="285" t="str">
        <x:v>Form / Wizard</x:v>
      </x:c>
      <x:c r="M200" s="285" t="str">
        <x:v>Preserve existing role permissions, APIs and workflows; design reusable responsive UI.</x:v>
      </x:c>
      <x:c r="N200" s="226"/>
      <x:c r="O200" s="226"/>
      <x:c r="P200" s="226"/>
      <x:c r="Q200" s="226"/>
      <x:c r="R200" s="226"/>
      <x:c r="S200" s="226"/>
      <x:c r="T200" s="226"/>
      <x:c r="U200" s="226"/>
      <x:c r="V200" s="226"/>
      <x:c r="W200" s="226"/>
      <x:c r="X200" s="226"/>
      <x:c r="Y200" s="226"/>
      <x:c r="Z200" s="226"/>
    </x:row>
    <x:row r="201">
      <x:c r="A201" s="285" t="str">
        <x:v>SCR-200</x:v>
      </x:c>
      <x:c r="B201" s="285" t="str">
        <x:v>Library</x:v>
      </x:c>
      <x:c r="C201" s="285" t="str">
        <x:v>Library</x:v>
      </x:c>
      <x:c r="D201" s="285" t="str">
        <x:v>Book Details &amp; Copies</x:v>
      </x:c>
      <x:c r="E201" s="285" t="str">
        <x:v>Librarian, School Admin, Teacher, Student</x:v>
      </x:c>
      <x:c r="F201" s="285" t="str">
        <x:v>Operations Portal</x:v>
      </x:c>
      <x:c r="G201" s="285" t="str">
        <x:v>Detail / Profile</x:v>
      </x:c>
      <x:c r="H201" s="285" t="str">
        <x:v>Show the complete record and related activity for book details &amp; copies in one structured view.</x:v>
      </x:c>
      <x:c r="I201" s="285" t="str">
        <x:v>View, Edit, Update, View activity</x:v>
      </x:c>
      <x:c r="J201" s="285" t="str">
        <x:v>Book ID / ISBN, title, author, category, copy, member, issue date, due date, status</x:v>
      </x:c>
      <x:c r="K201" s="285" t="str">
        <x:v>Phase 2</x:v>
      </x:c>
      <x:c r="L201" s="285" t="str">
        <x:v>Profile / Detail + Tabs</x:v>
      </x:c>
      <x:c r="M201" s="285" t="str">
        <x:v>Preserve existing role permissions, APIs and workflows; design reusable responsive UI.</x:v>
      </x:c>
      <x:c r="N201" s="226"/>
      <x:c r="O201" s="226"/>
      <x:c r="P201" s="226"/>
      <x:c r="Q201" s="226"/>
      <x:c r="R201" s="226"/>
      <x:c r="S201" s="226"/>
      <x:c r="T201" s="226"/>
      <x:c r="U201" s="226"/>
      <x:c r="V201" s="226"/>
      <x:c r="W201" s="226"/>
      <x:c r="X201" s="226"/>
      <x:c r="Y201" s="226"/>
      <x:c r="Z201" s="226"/>
    </x:row>
    <x:row r="202">
      <x:c r="A202" s="285" t="str">
        <x:v>SCR-201</x:v>
      </x:c>
      <x:c r="B202" s="285" t="str">
        <x:v>Library</x:v>
      </x:c>
      <x:c r="C202" s="285" t="str">
        <x:v>Library</x:v>
      </x:c>
      <x:c r="D202" s="285" t="str">
        <x:v>Library Members</x:v>
      </x:c>
      <x:c r="E202" s="285" t="str">
        <x:v>Librarian, School Admin, Teacher, Student</x:v>
      </x:c>
      <x:c r="F202" s="285" t="str">
        <x:v>Operations Portal</x:v>
      </x:c>
      <x:c r="G202" s="285" t="str">
        <x:v>List / Management</x:v>
      </x:c>
      <x:c r="H202" s="285" t="str">
        <x:v>Search, filter and manage records for library members.</x:v>
      </x:c>
      <x:c r="I202" s="285" t="str">
        <x:v>Search, Filter, Sort, Open record</x:v>
      </x:c>
      <x:c r="J202" s="285" t="str">
        <x:v>Book ID / ISBN, title, author, category, copy, member, issue date, due date, status</x:v>
      </x:c>
      <x:c r="K202" s="285" t="str">
        <x:v>Phase 2</x:v>
      </x:c>
      <x:c r="L202" s="285" t="str">
        <x:v>Search + Filter + Data Table</x:v>
      </x:c>
      <x:c r="M202" s="285" t="str">
        <x:v>Preserve existing role permissions, APIs and workflows; design reusable responsive UI.</x:v>
      </x:c>
      <x:c r="N202" s="226"/>
      <x:c r="O202" s="226"/>
      <x:c r="P202" s="226"/>
      <x:c r="Q202" s="226"/>
      <x:c r="R202" s="226"/>
      <x:c r="S202" s="226"/>
      <x:c r="T202" s="226"/>
      <x:c r="U202" s="226"/>
      <x:c r="V202" s="226"/>
      <x:c r="W202" s="226"/>
      <x:c r="X202" s="226"/>
      <x:c r="Y202" s="226"/>
      <x:c r="Z202" s="226"/>
    </x:row>
    <x:row r="203">
      <x:c r="A203" s="285" t="str">
        <x:v>SCR-202</x:v>
      </x:c>
      <x:c r="B203" s="285" t="str">
        <x:v>Library</x:v>
      </x:c>
      <x:c r="C203" s="285" t="str">
        <x:v>Library</x:v>
      </x:c>
      <x:c r="D203" s="285" t="str">
        <x:v>Issue Book</x:v>
      </x:c>
      <x:c r="E203" s="285" t="str">
        <x:v>Librarian, Student, Teacher</x:v>
      </x:c>
      <x:c r="F203" s="285" t="str">
        <x:v>Teacher Portal</x:v>
      </x:c>
      <x:c r="G203" s="285" t="str">
        <x:v>Workflow / Management</x:v>
      </x:c>
      <x:c r="H203" s="285" t="str">
        <x:v>Manage the end-to-end issue book workflow within library.</x:v>
      </x:c>
      <x:c r="I203" s="285" t="str">
        <x:v>View, Create / Update, Filter, Export / Print</x:v>
      </x:c>
      <x:c r="J203" s="285" t="str">
        <x:v>Book ID / ISBN, title, author, category, copy, member, issue date, due date, status</x:v>
      </x:c>
      <x:c r="K203" s="285" t="str">
        <x:v>Phase 2</x:v>
      </x:c>
      <x:c r="L203" s="285" t="str">
        <x:v>Workflow / Approval / Detail</x:v>
      </x:c>
      <x:c r="M203" s="285" t="str">
        <x:v>Preserve existing role permissions, APIs and workflows; design reusable responsive UI.</x:v>
      </x:c>
      <x:c r="N203" s="226"/>
      <x:c r="O203" s="226"/>
      <x:c r="P203" s="226"/>
      <x:c r="Q203" s="226"/>
      <x:c r="R203" s="226"/>
      <x:c r="S203" s="226"/>
      <x:c r="T203" s="226"/>
      <x:c r="U203" s="226"/>
      <x:c r="V203" s="226"/>
      <x:c r="W203" s="226"/>
      <x:c r="X203" s="226"/>
      <x:c r="Y203" s="226"/>
      <x:c r="Z203" s="226"/>
    </x:row>
    <x:row r="204">
      <x:c r="A204" s="285" t="str">
        <x:v>SCR-203</x:v>
      </x:c>
      <x:c r="B204" s="285" t="str">
        <x:v>Library</x:v>
      </x:c>
      <x:c r="C204" s="285" t="str">
        <x:v>Library</x:v>
      </x:c>
      <x:c r="D204" s="285" t="str">
        <x:v>Return Book</x:v>
      </x:c>
      <x:c r="E204" s="285" t="str">
        <x:v>Librarian, Student, Teacher</x:v>
      </x:c>
      <x:c r="F204" s="285" t="str">
        <x:v>Teacher Portal</x:v>
      </x:c>
      <x:c r="G204" s="285" t="str">
        <x:v>Workflow / Management</x:v>
      </x:c>
      <x:c r="H204" s="285" t="str">
        <x:v>Manage the end-to-end return book workflow within library.</x:v>
      </x:c>
      <x:c r="I204" s="285" t="str">
        <x:v>View, Create / Update, Filter, Export / Print</x:v>
      </x:c>
      <x:c r="J204" s="285" t="str">
        <x:v>Book ID / ISBN, title, author, category, copy, member, issue date, due date, status</x:v>
      </x:c>
      <x:c r="K204" s="285" t="str">
        <x:v>Phase 3</x:v>
      </x:c>
      <x:c r="L204" s="285" t="str">
        <x:v>Workflow / Approval / Detail</x:v>
      </x:c>
      <x:c r="M204" s="285" t="str">
        <x:v>Preserve existing role permissions, APIs and workflows; design reusable responsive UI.</x:v>
      </x:c>
      <x:c r="N204" s="226"/>
      <x:c r="O204" s="226"/>
      <x:c r="P204" s="226"/>
      <x:c r="Q204" s="226"/>
      <x:c r="R204" s="226"/>
      <x:c r="S204" s="226"/>
      <x:c r="T204" s="226"/>
      <x:c r="U204" s="226"/>
      <x:c r="V204" s="226"/>
      <x:c r="W204" s="226"/>
      <x:c r="X204" s="226"/>
      <x:c r="Y204" s="226"/>
      <x:c r="Z204" s="226"/>
    </x:row>
    <x:row r="205">
      <x:c r="A205" s="285" t="str">
        <x:v>SCR-204</x:v>
      </x:c>
      <x:c r="B205" s="285" t="str">
        <x:v>Library</x:v>
      </x:c>
      <x:c r="C205" s="285" t="str">
        <x:v>Library</x:v>
      </x:c>
      <x:c r="D205" s="285" t="str">
        <x:v>Renew / Reserve Book</x:v>
      </x:c>
      <x:c r="E205" s="285" t="str">
        <x:v>Librarian, Student, Teacher</x:v>
      </x:c>
      <x:c r="F205" s="285" t="str">
        <x:v>Teacher Portal</x:v>
      </x:c>
      <x:c r="G205" s="285" t="str">
        <x:v>Create / Transaction</x:v>
      </x:c>
      <x:c r="H205" s="285" t="str">
        <x:v>Capture or process the renew / reserve book workflow while enforcing school rules and validations.</x:v>
      </x:c>
      <x:c r="I205" s="285" t="str">
        <x:v>Create, Save, Validate, Cancel</x:v>
      </x:c>
      <x:c r="J205" s="285" t="str">
        <x:v>Book ID / ISBN, title, author, category, copy, member, issue date, due date, status</x:v>
      </x:c>
      <x:c r="K205" s="285" t="str">
        <x:v>Phase 3</x:v>
      </x:c>
      <x:c r="L205" s="285" t="str">
        <x:v>Form / Wizard</x:v>
      </x:c>
      <x:c r="M205" s="285" t="str">
        <x:v>Preserve existing role permissions, APIs and workflows; design reusable responsive UI.</x:v>
      </x:c>
      <x:c r="N205" s="226"/>
      <x:c r="O205" s="226"/>
      <x:c r="P205" s="226"/>
      <x:c r="Q205" s="226"/>
      <x:c r="R205" s="226"/>
      <x:c r="S205" s="226"/>
      <x:c r="T205" s="226"/>
      <x:c r="U205" s="226"/>
      <x:c r="V205" s="226"/>
      <x:c r="W205" s="226"/>
      <x:c r="X205" s="226"/>
      <x:c r="Y205" s="226"/>
      <x:c r="Z205" s="226"/>
    </x:row>
    <x:row r="206">
      <x:c r="A206" s="285" t="str">
        <x:v>SCR-205</x:v>
      </x:c>
      <x:c r="B206" s="285" t="str">
        <x:v>Library</x:v>
      </x:c>
      <x:c r="C206" s="285" t="str">
        <x:v>Library</x:v>
      </x:c>
      <x:c r="D206" s="285" t="str">
        <x:v>Fine / Lost / Damaged Book</x:v>
      </x:c>
      <x:c r="E206" s="285" t="str">
        <x:v>Librarian, Student, Teacher</x:v>
      </x:c>
      <x:c r="F206" s="285" t="str">
        <x:v>Teacher Portal</x:v>
      </x:c>
      <x:c r="G206" s="285" t="str">
        <x:v>Workflow / Management</x:v>
      </x:c>
      <x:c r="H206" s="285" t="str">
        <x:v>Manage the end-to-end fine / lost / damaged book workflow within library.</x:v>
      </x:c>
      <x:c r="I206" s="285" t="str">
        <x:v>View, Create / Update, Filter, Export / Print</x:v>
      </x:c>
      <x:c r="J206" s="285" t="str">
        <x:v>Book ID / ISBN, title, author, category, copy, member, issue date, due date, status</x:v>
      </x:c>
      <x:c r="K206" s="285" t="str">
        <x:v>Phase 3</x:v>
      </x:c>
      <x:c r="L206" s="285" t="str">
        <x:v>Workflow / Approval / Detail</x:v>
      </x:c>
      <x:c r="M206" s="285" t="str">
        <x:v>Preserve existing role permissions, APIs and workflows; design reusable responsive UI.</x:v>
      </x:c>
      <x:c r="N206" s="226"/>
      <x:c r="O206" s="226"/>
      <x:c r="P206" s="226"/>
      <x:c r="Q206" s="226"/>
      <x:c r="R206" s="226"/>
      <x:c r="S206" s="226"/>
      <x:c r="T206" s="226"/>
      <x:c r="U206" s="226"/>
      <x:c r="V206" s="226"/>
      <x:c r="W206" s="226"/>
      <x:c r="X206" s="226"/>
      <x:c r="Y206" s="226"/>
      <x:c r="Z206" s="226"/>
    </x:row>
    <x:row r="207">
      <x:c r="A207" s="285" t="str">
        <x:v>SCR-206</x:v>
      </x:c>
      <x:c r="B207" s="285" t="str">
        <x:v>Library</x:v>
      </x:c>
      <x:c r="C207" s="285" t="str">
        <x:v>Library</x:v>
      </x:c>
      <x:c r="D207" s="285" t="str">
        <x:v>Digital Library</x:v>
      </x:c>
      <x:c r="E207" s="285" t="str">
        <x:v>Librarian, Student, Teacher, School Admin</x:v>
      </x:c>
      <x:c r="F207" s="285" t="str">
        <x:v>Operations Portal</x:v>
      </x:c>
      <x:c r="G207" s="285" t="str">
        <x:v>Workflow / Management</x:v>
      </x:c>
      <x:c r="H207" s="285" t="str">
        <x:v>Manage the end-to-end digital library workflow within library.</x:v>
      </x:c>
      <x:c r="I207" s="285" t="str">
        <x:v>View, Create / Update, Filter, Export / Print</x:v>
      </x:c>
      <x:c r="J207" s="285" t="str">
        <x:v>Book ID / ISBN, title, author, category, copy, member, issue date, due date, status</x:v>
      </x:c>
      <x:c r="K207" s="285" t="str">
        <x:v>Phase 3</x:v>
      </x:c>
      <x:c r="L207" s="285" t="str">
        <x:v>Workflow / Approval / Detail</x:v>
      </x:c>
      <x:c r="M207" s="285" t="str">
        <x:v>Preserve existing role permissions, APIs and workflows; design reusable responsive UI.</x:v>
      </x:c>
      <x:c r="N207" s="226"/>
      <x:c r="O207" s="226"/>
      <x:c r="P207" s="226"/>
      <x:c r="Q207" s="226"/>
      <x:c r="R207" s="226"/>
      <x:c r="S207" s="226"/>
      <x:c r="T207" s="226"/>
      <x:c r="U207" s="226"/>
      <x:c r="V207" s="226"/>
      <x:c r="W207" s="226"/>
      <x:c r="X207" s="226"/>
      <x:c r="Y207" s="226"/>
      <x:c r="Z207" s="226"/>
    </x:row>
    <x:row r="208">
      <x:c r="A208" s="285" t="str">
        <x:v>SCR-207</x:v>
      </x:c>
      <x:c r="B208" s="285" t="str">
        <x:v>Library</x:v>
      </x:c>
      <x:c r="C208" s="285" t="str">
        <x:v>Library</x:v>
      </x:c>
      <x:c r="D208" s="285" t="str">
        <x:v>Library Reports</x:v>
      </x:c>
      <x:c r="E208" s="285" t="str">
        <x:v>Librarian, School Admin, Teacher, Student</x:v>
      </x:c>
      <x:c r="F208" s="285" t="str">
        <x:v>Operations Portal</x:v>
      </x:c>
      <x:c r="G208" s="285" t="str">
        <x:v>Report / Analytics</x:v>
      </x:c>
      <x:c r="H208" s="285" t="str">
        <x:v>Analyze library reports data using filters, summaries and export-ready results.</x:v>
      </x:c>
      <x:c r="I208" s="285" t="str">
        <x:v>Filter, Drill down, Export, Print</x:v>
      </x:c>
      <x:c r="J208" s="285" t="str">
        <x:v>Book ID / ISBN, title, author, category, copy, member, issue date, due date, status</x:v>
      </x:c>
      <x:c r="K208" s="285" t="str">
        <x:v>Phase 3</x:v>
      </x:c>
      <x:c r="L208" s="285" t="str">
        <x:v>Filters + KPI + Table / Chart</x:v>
      </x:c>
      <x:c r="M208" s="285" t="str">
        <x:v>Preserve existing role permissions, APIs and workflows; design reusable responsive UI.</x:v>
      </x:c>
      <x:c r="N208" s="226"/>
      <x:c r="O208" s="226"/>
      <x:c r="P208" s="226"/>
      <x:c r="Q208" s="226"/>
      <x:c r="R208" s="226"/>
      <x:c r="S208" s="226"/>
      <x:c r="T208" s="226"/>
      <x:c r="U208" s="226"/>
      <x:c r="V208" s="226"/>
      <x:c r="W208" s="226"/>
      <x:c r="X208" s="226"/>
      <x:c r="Y208" s="226"/>
      <x:c r="Z208" s="226"/>
    </x:row>
    <x:row r="209">
      <x:c r="A209" s="285" t="str">
        <x:v>SCR-208</x:v>
      </x:c>
      <x:c r="B209" s="285" t="str">
        <x:v>Hostel</x:v>
      </x:c>
      <x:c r="C209" s="285" t="str">
        <x:v>Hostel</x:v>
      </x:c>
      <x:c r="D209" s="285" t="str">
        <x:v>Hostels / Buildings</x:v>
      </x:c>
      <x:c r="E209" s="285" t="str">
        <x:v>Hostel Warden, School Admin, Parent, Student</x:v>
      </x:c>
      <x:c r="F209" s="285" t="str">
        <x:v>Operations Portal</x:v>
      </x:c>
      <x:c r="G209" s="285" t="str">
        <x:v>Workflow / Management</x:v>
      </x:c>
      <x:c r="H209" s="285" t="str">
        <x:v>Manage the end-to-end hostels / buildings workflow within hostel.</x:v>
      </x:c>
      <x:c r="I209" s="285" t="str">
        <x:v>View, Create / Update, Filter, Export / Print</x:v>
      </x:c>
      <x:c r="J209" s="285" t="str">
        <x:v>Hostel, room, bed, student, allocation date, warden, status</x:v>
      </x:c>
      <x:c r="K209" s="285" t="str">
        <x:v>Phase 2</x:v>
      </x:c>
      <x:c r="L209" s="285" t="str">
        <x:v>Workflow / Approval / Detail</x:v>
      </x:c>
      <x:c r="M209" s="285" t="str">
        <x:v>Preserve existing role permissions, APIs and workflows; design reusable responsive UI.</x:v>
      </x:c>
      <x:c r="N209" s="226"/>
      <x:c r="O209" s="226"/>
      <x:c r="P209" s="226"/>
      <x:c r="Q209" s="226"/>
      <x:c r="R209" s="226"/>
      <x:c r="S209" s="226"/>
      <x:c r="T209" s="226"/>
      <x:c r="U209" s="226"/>
      <x:c r="V209" s="226"/>
      <x:c r="W209" s="226"/>
      <x:c r="X209" s="226"/>
      <x:c r="Y209" s="226"/>
      <x:c r="Z209" s="226"/>
    </x:row>
    <x:row r="210">
      <x:c r="A210" s="285" t="str">
        <x:v>SCR-209</x:v>
      </x:c>
      <x:c r="B210" s="285" t="str">
        <x:v>Hostel</x:v>
      </x:c>
      <x:c r="C210" s="285" t="str">
        <x:v>Hostel</x:v>
      </x:c>
      <x:c r="D210" s="285" t="str">
        <x:v>Rooms &amp; Beds</x:v>
      </x:c>
      <x:c r="E210" s="285" t="str">
        <x:v>Hostel Warden, School Admin, Parent, Student</x:v>
      </x:c>
      <x:c r="F210" s="285" t="str">
        <x:v>Operations Portal</x:v>
      </x:c>
      <x:c r="G210" s="285" t="str">
        <x:v>Workflow / Management</x:v>
      </x:c>
      <x:c r="H210" s="285" t="str">
        <x:v>Manage the end-to-end rooms &amp; beds workflow within hostel.</x:v>
      </x:c>
      <x:c r="I210" s="285" t="str">
        <x:v>View, Create / Update, Filter, Export / Print</x:v>
      </x:c>
      <x:c r="J210" s="285" t="str">
        <x:v>Hostel, room, bed, student, allocation date, warden, status</x:v>
      </x:c>
      <x:c r="K210" s="285" t="str">
        <x:v>Phase 2</x:v>
      </x:c>
      <x:c r="L210" s="285" t="str">
        <x:v>Workflow / Approval / Detail</x:v>
      </x:c>
      <x:c r="M210" s="285" t="str">
        <x:v>Preserve existing role permissions, APIs and workflows; design reusable responsive UI.</x:v>
      </x:c>
      <x:c r="N210" s="226"/>
      <x:c r="O210" s="226"/>
      <x:c r="P210" s="226"/>
      <x:c r="Q210" s="226"/>
      <x:c r="R210" s="226"/>
      <x:c r="S210" s="226"/>
      <x:c r="T210" s="226"/>
      <x:c r="U210" s="226"/>
      <x:c r="V210" s="226"/>
      <x:c r="W210" s="226"/>
      <x:c r="X210" s="226"/>
      <x:c r="Y210" s="226"/>
      <x:c r="Z210" s="226"/>
    </x:row>
    <x:row r="211">
      <x:c r="A211" s="285" t="str">
        <x:v>SCR-210</x:v>
      </x:c>
      <x:c r="B211" s="285" t="str">
        <x:v>Hostel</x:v>
      </x:c>
      <x:c r="C211" s="285" t="str">
        <x:v>Hostel</x:v>
      </x:c>
      <x:c r="D211" s="285" t="str">
        <x:v>Student Hostel Allocation</x:v>
      </x:c>
      <x:c r="E211" s="285" t="str">
        <x:v>Hostel Warden, School Admin, Parent, Student</x:v>
      </x:c>
      <x:c r="F211" s="285" t="str">
        <x:v>Operations Portal</x:v>
      </x:c>
      <x:c r="G211" s="285" t="str">
        <x:v>Workflow / Management</x:v>
      </x:c>
      <x:c r="H211" s="285" t="str">
        <x:v>Manage the end-to-end student hostel allocation workflow within hostel.</x:v>
      </x:c>
      <x:c r="I211" s="285" t="str">
        <x:v>View, Create / Update, Filter, Export / Print</x:v>
      </x:c>
      <x:c r="J211" s="285" t="str">
        <x:v>Student ID, admission no., name, class, section, status, parent, academic year</x:v>
      </x:c>
      <x:c r="K211" s="285" t="str">
        <x:v>Phase 3</x:v>
      </x:c>
      <x:c r="L211" s="285" t="str">
        <x:v>Workflow / Approval / Detail</x:v>
      </x:c>
      <x:c r="M211" s="285" t="str">
        <x:v>Preserve existing role permissions, APIs and workflows; design reusable responsive UI.</x:v>
      </x:c>
      <x:c r="N211" s="226"/>
      <x:c r="O211" s="226"/>
      <x:c r="P211" s="226"/>
      <x:c r="Q211" s="226"/>
      <x:c r="R211" s="226"/>
      <x:c r="S211" s="226"/>
      <x:c r="T211" s="226"/>
      <x:c r="U211" s="226"/>
      <x:c r="V211" s="226"/>
      <x:c r="W211" s="226"/>
      <x:c r="X211" s="226"/>
      <x:c r="Y211" s="226"/>
      <x:c r="Z211" s="226"/>
    </x:row>
    <x:row r="212">
      <x:c r="A212" s="285" t="str">
        <x:v>SCR-211</x:v>
      </x:c>
      <x:c r="B212" s="285" t="str">
        <x:v>Hostel</x:v>
      </x:c>
      <x:c r="C212" s="285" t="str">
        <x:v>Hostel</x:v>
      </x:c>
      <x:c r="D212" s="285" t="str">
        <x:v>Warden Management</x:v>
      </x:c>
      <x:c r="E212" s="285" t="str">
        <x:v>Hostel Warden, School Admin, Parent, Student</x:v>
      </x:c>
      <x:c r="F212" s="285" t="str">
        <x:v>Operations Portal</x:v>
      </x:c>
      <x:c r="G212" s="285" t="str">
        <x:v>Workflow / Management</x:v>
      </x:c>
      <x:c r="H212" s="285" t="str">
        <x:v>Manage the end-to-end warden management workflow within hostel.</x:v>
      </x:c>
      <x:c r="I212" s="285" t="str">
        <x:v>View, Create / Update, Filter, Export / Print</x:v>
      </x:c>
      <x:c r="J212" s="285" t="str">
        <x:v>Name / title, code, academic year, status, owner, dates, remarks</x:v>
      </x:c>
      <x:c r="K212" s="285" t="str">
        <x:v>Phase 3</x:v>
      </x:c>
      <x:c r="L212" s="285" t="str">
        <x:v>Workflow / Approval / Detail</x:v>
      </x:c>
      <x:c r="M212" s="285" t="str">
        <x:v>Preserve existing role permissions, APIs and workflows; design reusable responsive UI.</x:v>
      </x:c>
      <x:c r="N212" s="226"/>
      <x:c r="O212" s="226"/>
      <x:c r="P212" s="226"/>
      <x:c r="Q212" s="226"/>
      <x:c r="R212" s="226"/>
      <x:c r="S212" s="226"/>
      <x:c r="T212" s="226"/>
      <x:c r="U212" s="226"/>
      <x:c r="V212" s="226"/>
      <x:c r="W212" s="226"/>
      <x:c r="X212" s="226"/>
      <x:c r="Y212" s="226"/>
      <x:c r="Z212" s="226"/>
    </x:row>
    <x:row r="213">
      <x:c r="A213" s="285" t="str">
        <x:v>SCR-212</x:v>
      </x:c>
      <x:c r="B213" s="285" t="str">
        <x:v>Hostel</x:v>
      </x:c>
      <x:c r="C213" s="285" t="str">
        <x:v>Hostel</x:v>
      </x:c>
      <x:c r="D213" s="285" t="str">
        <x:v>Hostel Attendance</x:v>
      </x:c>
      <x:c r="E213" s="285" t="str">
        <x:v>Hostel Warden, School Admin, Parent, Student</x:v>
      </x:c>
      <x:c r="F213" s="285" t="str">
        <x:v>Operations Portal</x:v>
      </x:c>
      <x:c r="G213" s="285" t="str">
        <x:v>Workflow / Management</x:v>
      </x:c>
      <x:c r="H213" s="285" t="str">
        <x:v>Manage the end-to-end hostel attendance workflow within hostel.</x:v>
      </x:c>
      <x:c r="I213" s="285" t="str">
        <x:v>View, Create / Update, Filter, Export / Print</x:v>
      </x:c>
      <x:c r="J213" s="285" t="str">
        <x:v>Date, class, section, student, status, period, reason, remarks</x:v>
      </x:c>
      <x:c r="K213" s="285" t="str">
        <x:v>Phase 3</x:v>
      </x:c>
      <x:c r="L213" s="285" t="str">
        <x:v>Workflow / Approval / Detail</x:v>
      </x:c>
      <x:c r="M213" s="285" t="str">
        <x:v>Preserve existing role permissions, APIs and workflows; design reusable responsive UI.</x:v>
      </x:c>
      <x:c r="N213" s="226"/>
      <x:c r="O213" s="226"/>
      <x:c r="P213" s="226"/>
      <x:c r="Q213" s="226"/>
      <x:c r="R213" s="226"/>
      <x:c r="S213" s="226"/>
      <x:c r="T213" s="226"/>
      <x:c r="U213" s="226"/>
      <x:c r="V213" s="226"/>
      <x:c r="W213" s="226"/>
      <x:c r="X213" s="226"/>
      <x:c r="Y213" s="226"/>
      <x:c r="Z213" s="226"/>
    </x:row>
    <x:row r="214">
      <x:c r="A214" s="285" t="str">
        <x:v>SCR-213</x:v>
      </x:c>
      <x:c r="B214" s="285" t="str">
        <x:v>Hostel</x:v>
      </x:c>
      <x:c r="C214" s="285" t="str">
        <x:v>Hostel</x:v>
      </x:c>
      <x:c r="D214" s="285" t="str">
        <x:v>Leave / Outing</x:v>
      </x:c>
      <x:c r="E214" s="285" t="str">
        <x:v>Hostel Warden, School Admin, Parent, Student</x:v>
      </x:c>
      <x:c r="F214" s="285" t="str">
        <x:v>Operations Portal</x:v>
      </x:c>
      <x:c r="G214" s="285" t="str">
        <x:v>Workflow / Management</x:v>
      </x:c>
      <x:c r="H214" s="285" t="str">
        <x:v>Manage the end-to-end leave / outing workflow within hostel.</x:v>
      </x:c>
      <x:c r="I214" s="285" t="str">
        <x:v>View, Create / Update, Filter, Export / Print</x:v>
      </x:c>
      <x:c r="J214" s="285" t="str">
        <x:v>Name / title, code, academic year, status, owner, dates, remarks</x:v>
      </x:c>
      <x:c r="K214" s="285" t="str">
        <x:v>Phase 3</x:v>
      </x:c>
      <x:c r="L214" s="285" t="str">
        <x:v>Workflow / Approval / Detail</x:v>
      </x:c>
      <x:c r="M214" s="285" t="str">
        <x:v>Preserve existing role permissions, APIs and workflows; design reusable responsive UI.</x:v>
      </x:c>
      <x:c r="N214" s="226"/>
      <x:c r="O214" s="226"/>
      <x:c r="P214" s="226"/>
      <x:c r="Q214" s="226"/>
      <x:c r="R214" s="226"/>
      <x:c r="S214" s="226"/>
      <x:c r="T214" s="226"/>
      <x:c r="U214" s="226"/>
      <x:c r="V214" s="226"/>
      <x:c r="W214" s="226"/>
      <x:c r="X214" s="226"/>
      <x:c r="Y214" s="226"/>
      <x:c r="Z214" s="226"/>
    </x:row>
    <x:row r="215">
      <x:c r="A215" s="285" t="str">
        <x:v>SCR-214</x:v>
      </x:c>
      <x:c r="B215" s="285" t="str">
        <x:v>Hostel</x:v>
      </x:c>
      <x:c r="C215" s="285" t="str">
        <x:v>Hostel</x:v>
      </x:c>
      <x:c r="D215" s="285" t="str">
        <x:v>Mess / Meal Schedule</x:v>
      </x:c>
      <x:c r="E215" s="285" t="str">
        <x:v>Hostel Warden, School Admin, Parent, Student</x:v>
      </x:c>
      <x:c r="F215" s="285" t="str">
        <x:v>Operations Portal</x:v>
      </x:c>
      <x:c r="G215" s="285" t="str">
        <x:v>Calendar / Schedule</x:v>
      </x:c>
      <x:c r="H215" s="285" t="str">
        <x:v>Plan and review mess / meal schedule by date, period, class, staff or resource.</x:v>
      </x:c>
      <x:c r="I215" s="285" t="str">
        <x:v>Change view, Create / Assign, Reschedule, Print</x:v>
      </x:c>
      <x:c r="J215" s="285" t="str">
        <x:v>Academic year, class, section, day/date, period, subject, teacher, room</x:v>
      </x:c>
      <x:c r="K215" s="285" t="str">
        <x:v>Phase 3</x:v>
      </x:c>
      <x:c r="L215" s="285" t="str">
        <x:v>Calendar / Schedule</x:v>
      </x:c>
      <x:c r="M215" s="285" t="str">
        <x:v>Preserve existing role permissions, APIs and workflows; design reusable responsive UI.</x:v>
      </x:c>
      <x:c r="N215" s="226"/>
      <x:c r="O215" s="226"/>
      <x:c r="P215" s="226"/>
      <x:c r="Q215" s="226"/>
      <x:c r="R215" s="226"/>
      <x:c r="S215" s="226"/>
      <x:c r="T215" s="226"/>
      <x:c r="U215" s="226"/>
      <x:c r="V215" s="226"/>
      <x:c r="W215" s="226"/>
      <x:c r="X215" s="226"/>
      <x:c r="Y215" s="226"/>
      <x:c r="Z215" s="226"/>
    </x:row>
    <x:row r="216">
      <x:c r="A216" s="285" t="str">
        <x:v>SCR-215</x:v>
      </x:c>
      <x:c r="B216" s="285" t="str">
        <x:v>Hostel</x:v>
      </x:c>
      <x:c r="C216" s="285" t="str">
        <x:v>Hostel</x:v>
      </x:c>
      <x:c r="D216" s="285" t="str">
        <x:v>Hostel Complaints &amp; Fees</x:v>
      </x:c>
      <x:c r="E216" s="285" t="str">
        <x:v>Hostel Warden, School Admin, Parent, Student</x:v>
      </x:c>
      <x:c r="F216" s="285" t="str">
        <x:v>Operations Portal</x:v>
      </x:c>
      <x:c r="G216" s="285" t="str">
        <x:v>Workflow / Management</x:v>
      </x:c>
      <x:c r="H216" s="285" t="str">
        <x:v>Manage the end-to-end hostel complaints &amp; fees workflow within hostel.</x:v>
      </x:c>
      <x:c r="I216" s="285" t="str">
        <x:v>View, Create / Update, Filter, Export / Print</x:v>
      </x:c>
      <x:c r="J216" s="285" t="str">
        <x:v>Student / account, fee head, amount, due date, paid amount, balance, payment mode, receipt</x:v>
      </x:c>
      <x:c r="K216" s="285" t="str">
        <x:v>Phase 3</x:v>
      </x:c>
      <x:c r="L216" s="285" t="str">
        <x:v>Workflow / Approval / Detail</x:v>
      </x:c>
      <x:c r="M216" s="285" t="str">
        <x:v>Preserve existing role permissions, APIs and workflows; design reusable responsive UI.</x:v>
      </x:c>
      <x:c r="N216" s="226"/>
      <x:c r="O216" s="226"/>
      <x:c r="P216" s="226"/>
      <x:c r="Q216" s="226"/>
      <x:c r="R216" s="226"/>
      <x:c r="S216" s="226"/>
      <x:c r="T216" s="226"/>
      <x:c r="U216" s="226"/>
      <x:c r="V216" s="226"/>
      <x:c r="W216" s="226"/>
      <x:c r="X216" s="226"/>
      <x:c r="Y216" s="226"/>
      <x:c r="Z216" s="226"/>
    </x:row>
    <x:row r="217">
      <x:c r="A217" s="285" t="str">
        <x:v>SCR-216</x:v>
      </x:c>
      <x:c r="B217" s="285" t="str">
        <x:v>Health / Counselling / Discipline</x:v>
      </x:c>
      <x:c r="C217" s="285" t="str">
        <x:v>Health</x:v>
      </x:c>
      <x:c r="D217" s="285" t="str">
        <x:v>Health Dashboard</x:v>
      </x:c>
      <x:c r="E217" s="285" t="str">
        <x:v>Nurse / Medical Officer, Counsellor, School Admin, Principal, Parent</x:v>
      </x:c>
      <x:c r="F217" s="285" t="str">
        <x:v>Operations Portal</x:v>
      </x:c>
      <x:c r="G217" s="285" t="str">
        <x:v>Dashboard</x:v>
      </x:c>
      <x:c r="H217" s="285" t="str">
        <x:v>Provide an at-a-glance operational view of health / counselling / discipline with key status, alerts and shortcuts.</x:v>
      </x:c>
      <x:c r="I217" s="285" t="str">
        <x:v>Filter, Drill down, Export, Print</x:v>
      </x:c>
      <x:c r="J217" s="285" t="str">
        <x:v>KPIs, alerts, recent activity, pending actions, date / academic-year filters</x:v>
      </x:c>
      <x:c r="K217" s="285" t="str">
        <x:v>Phase 2</x:v>
      </x:c>
      <x:c r="L217" s="285" t="str">
        <x:v>Dashboard + KPI Cards</x:v>
      </x:c>
      <x:c r="M217" s="285" t="str">
        <x:v>Preserve existing role permissions, APIs and workflows; design reusable responsive UI.</x:v>
      </x:c>
      <x:c r="N217" s="226"/>
      <x:c r="O217" s="226"/>
      <x:c r="P217" s="226"/>
      <x:c r="Q217" s="226"/>
      <x:c r="R217" s="226"/>
      <x:c r="S217" s="226"/>
      <x:c r="T217" s="226"/>
      <x:c r="U217" s="226"/>
      <x:c r="V217" s="226"/>
      <x:c r="W217" s="226"/>
      <x:c r="X217" s="226"/>
      <x:c r="Y217" s="226"/>
      <x:c r="Z217" s="226"/>
    </x:row>
    <x:row r="218">
      <x:c r="A218" s="285" t="str">
        <x:v>SCR-217</x:v>
      </x:c>
      <x:c r="B218" s="285" t="str">
        <x:v>Health / Counselling / Discipline</x:v>
      </x:c>
      <x:c r="C218" s="285" t="str">
        <x:v>Health</x:v>
      </x:c>
      <x:c r="D218" s="285" t="str">
        <x:v>Student Medical Profile</x:v>
      </x:c>
      <x:c r="E218" s="285" t="str">
        <x:v>Nurse / Medical Officer, Counsellor, School Admin, Principal, Parent</x:v>
      </x:c>
      <x:c r="F218" s="285" t="str">
        <x:v>Operations Portal</x:v>
      </x:c>
      <x:c r="G218" s="285" t="str">
        <x:v>Detail / Profile</x:v>
      </x:c>
      <x:c r="H218" s="285" t="str">
        <x:v>Show the complete record and related activity for student medical profile in one structured view.</x:v>
      </x:c>
      <x:c r="I218" s="285" t="str">
        <x:v>View, Edit, Update, View activity</x:v>
      </x:c>
      <x:c r="J218" s="285" t="str">
        <x:v>Student ID, admission no., name, class, section, status, parent, academic year</x:v>
      </x:c>
      <x:c r="K218" s="285" t="str">
        <x:v>Phase 2</x:v>
      </x:c>
      <x:c r="L218" s="285" t="str">
        <x:v>Profile / Detail + Tabs</x:v>
      </x:c>
      <x:c r="M218" s="285" t="str">
        <x:v>Preserve existing role permissions, APIs and workflows; design reusable responsive UI.</x:v>
      </x:c>
      <x:c r="N218" s="226"/>
      <x:c r="O218" s="226"/>
      <x:c r="P218" s="226"/>
      <x:c r="Q218" s="226"/>
      <x:c r="R218" s="226"/>
      <x:c r="S218" s="226"/>
      <x:c r="T218" s="226"/>
      <x:c r="U218" s="226"/>
      <x:c r="V218" s="226"/>
      <x:c r="W218" s="226"/>
      <x:c r="X218" s="226"/>
      <x:c r="Y218" s="226"/>
      <x:c r="Z218" s="226"/>
    </x:row>
    <x:row r="219">
      <x:c r="A219" s="285" t="str">
        <x:v>SCR-218</x:v>
      </x:c>
      <x:c r="B219" s="285" t="str">
        <x:v>Health / Counselling / Discipline</x:v>
      </x:c>
      <x:c r="C219" s="285" t="str">
        <x:v>Health</x:v>
      </x:c>
      <x:c r="D219" s="285" t="str">
        <x:v>Clinic Visit</x:v>
      </x:c>
      <x:c r="E219" s="285" t="str">
        <x:v>Nurse / Medical Officer, Counsellor, School Admin, Principal, Parent</x:v>
      </x:c>
      <x:c r="F219" s="285" t="str">
        <x:v>Operations Portal</x:v>
      </x:c>
      <x:c r="G219" s="285" t="str">
        <x:v>Workflow / Management</x:v>
      </x:c>
      <x:c r="H219" s="285" t="str">
        <x:v>Manage the end-to-end clinic visit workflow within health / counselling / discipline.</x:v>
      </x:c>
      <x:c r="I219" s="285" t="str">
        <x:v>View, Create / Update, Filter, Export / Print</x:v>
      </x:c>
      <x:c r="J219" s="285" t="str">
        <x:v>Student, blood group, allergy, condition, visit date, complaint, treatment, emergency contact</x:v>
      </x:c>
      <x:c r="K219" s="285" t="str">
        <x:v>Phase 2</x:v>
      </x:c>
      <x:c r="L219" s="285" t="str">
        <x:v>Workflow / Approval / Detail</x:v>
      </x:c>
      <x:c r="M219" s="285" t="str">
        <x:v>Preserve existing role permissions, APIs and workflows; design reusable responsive UI.</x:v>
      </x:c>
      <x:c r="N219" s="226"/>
      <x:c r="O219" s="226"/>
      <x:c r="P219" s="226"/>
      <x:c r="Q219" s="226"/>
      <x:c r="R219" s="226"/>
      <x:c r="S219" s="226"/>
      <x:c r="T219" s="226"/>
      <x:c r="U219" s="226"/>
      <x:c r="V219" s="226"/>
      <x:c r="W219" s="226"/>
      <x:c r="X219" s="226"/>
      <x:c r="Y219" s="226"/>
      <x:c r="Z219" s="226"/>
    </x:row>
    <x:row r="220">
      <x:c r="A220" s="285" t="str">
        <x:v>SCR-219</x:v>
      </x:c>
      <x:c r="B220" s="285" t="str">
        <x:v>Health / Counselling / Discipline</x:v>
      </x:c>
      <x:c r="C220" s="285" t="str">
        <x:v>Health</x:v>
      </x:c>
      <x:c r="D220" s="285" t="str">
        <x:v>Medication / First Aid</x:v>
      </x:c>
      <x:c r="E220" s="285" t="str">
        <x:v>Nurse / Medical Officer, Counsellor, School Admin, Principal, Parent</x:v>
      </x:c>
      <x:c r="F220" s="285" t="str">
        <x:v>Operations Portal</x:v>
      </x:c>
      <x:c r="G220" s="285" t="str">
        <x:v>Workflow / Management</x:v>
      </x:c>
      <x:c r="H220" s="285" t="str">
        <x:v>Manage the end-to-end medication / first aid workflow within health / counselling / discipline.</x:v>
      </x:c>
      <x:c r="I220" s="285" t="str">
        <x:v>View, Create / Update, Filter, Export / Print</x:v>
      </x:c>
      <x:c r="J220" s="285" t="str">
        <x:v>Student, blood group, allergy, condition, visit date, complaint, treatment, emergency contact</x:v>
      </x:c>
      <x:c r="K220" s="285" t="str">
        <x:v>Phase 3</x:v>
      </x:c>
      <x:c r="L220" s="285" t="str">
        <x:v>Workflow / Approval / Detail</x:v>
      </x:c>
      <x:c r="M220" s="285" t="str">
        <x:v>Preserve existing role permissions, APIs and workflows; design reusable responsive UI.</x:v>
      </x:c>
      <x:c r="N220" s="226"/>
      <x:c r="O220" s="226"/>
      <x:c r="P220" s="226"/>
      <x:c r="Q220" s="226"/>
      <x:c r="R220" s="226"/>
      <x:c r="S220" s="226"/>
      <x:c r="T220" s="226"/>
      <x:c r="U220" s="226"/>
      <x:c r="V220" s="226"/>
      <x:c r="W220" s="226"/>
      <x:c r="X220" s="226"/>
      <x:c r="Y220" s="226"/>
      <x:c r="Z220" s="226"/>
    </x:row>
    <x:row r="221">
      <x:c r="A221" s="285" t="str">
        <x:v>SCR-220</x:v>
      </x:c>
      <x:c r="B221" s="285" t="str">
        <x:v>Health / Counselling / Discipline</x:v>
      </x:c>
      <x:c r="C221" s="285" t="str">
        <x:v>Health</x:v>
      </x:c>
      <x:c r="D221" s="285" t="str">
        <x:v>Immunization / Allergy</x:v>
      </x:c>
      <x:c r="E221" s="285" t="str">
        <x:v>Nurse / Medical Officer, Counsellor, School Admin, Principal, Parent</x:v>
      </x:c>
      <x:c r="F221" s="285" t="str">
        <x:v>Operations Portal</x:v>
      </x:c>
      <x:c r="G221" s="285" t="str">
        <x:v>Workflow / Management</x:v>
      </x:c>
      <x:c r="H221" s="285" t="str">
        <x:v>Manage the end-to-end immunization / allergy workflow within health / counselling / discipline.</x:v>
      </x:c>
      <x:c r="I221" s="285" t="str">
        <x:v>View, Create / Update, Filter, Export / Print</x:v>
      </x:c>
      <x:c r="J221" s="285" t="str">
        <x:v>Student, blood group, allergy, condition, visit date, complaint, treatment, emergency contact</x:v>
      </x:c>
      <x:c r="K221" s="285" t="str">
        <x:v>Phase 3</x:v>
      </x:c>
      <x:c r="L221" s="285" t="str">
        <x:v>Workflow / Approval / Detail</x:v>
      </x:c>
      <x:c r="M221" s="285" t="str">
        <x:v>Preserve existing role permissions, APIs and workflows; design reusable responsive UI.</x:v>
      </x:c>
      <x:c r="N221" s="226"/>
      <x:c r="O221" s="226"/>
      <x:c r="P221" s="226"/>
      <x:c r="Q221" s="226"/>
      <x:c r="R221" s="226"/>
      <x:c r="S221" s="226"/>
      <x:c r="T221" s="226"/>
      <x:c r="U221" s="226"/>
      <x:c r="V221" s="226"/>
      <x:c r="W221" s="226"/>
      <x:c r="X221" s="226"/>
      <x:c r="Y221" s="226"/>
      <x:c r="Z221" s="226"/>
    </x:row>
    <x:row r="222">
      <x:c r="A222" s="285" t="str">
        <x:v>SCR-221</x:v>
      </x:c>
      <x:c r="B222" s="285" t="str">
        <x:v>Health / Counselling / Discipline</x:v>
      </x:c>
      <x:c r="C222" s="285" t="str">
        <x:v>Health</x:v>
      </x:c>
      <x:c r="D222" s="285" t="str">
        <x:v>Counselling Appointments</x:v>
      </x:c>
      <x:c r="E222" s="285" t="str">
        <x:v>Nurse / Medical Officer, Counsellor, School Admin, Principal, Parent</x:v>
      </x:c>
      <x:c r="F222" s="285" t="str">
        <x:v>Operations Portal</x:v>
      </x:c>
      <x:c r="G222" s="285" t="str">
        <x:v>Workflow / Management</x:v>
      </x:c>
      <x:c r="H222" s="285" t="str">
        <x:v>Manage the end-to-end counselling appointments workflow within health / counselling / discipline.</x:v>
      </x:c>
      <x:c r="I222" s="285" t="str">
        <x:v>View, Create / Update, Filter, Export / Print</x:v>
      </x:c>
      <x:c r="J222" s="285" t="str">
        <x:v>Name / title, code, academic year, status, owner, dates, remarks</x:v>
      </x:c>
      <x:c r="K222" s="285" t="str">
        <x:v>Phase 3</x:v>
      </x:c>
      <x:c r="L222" s="285" t="str">
        <x:v>Workflow / Approval / Detail</x:v>
      </x:c>
      <x:c r="M222" s="285" t="str">
        <x:v>Preserve existing role permissions, APIs and workflows; design reusable responsive UI.</x:v>
      </x:c>
      <x:c r="N222" s="226"/>
      <x:c r="O222" s="226"/>
      <x:c r="P222" s="226"/>
      <x:c r="Q222" s="226"/>
      <x:c r="R222" s="226"/>
      <x:c r="S222" s="226"/>
      <x:c r="T222" s="226"/>
      <x:c r="U222" s="226"/>
      <x:c r="V222" s="226"/>
      <x:c r="W222" s="226"/>
      <x:c r="X222" s="226"/>
      <x:c r="Y222" s="226"/>
      <x:c r="Z222" s="226"/>
    </x:row>
    <x:row r="223">
      <x:c r="A223" s="285" t="str">
        <x:v>SCR-222</x:v>
      </x:c>
      <x:c r="B223" s="285" t="str">
        <x:v>Health / Counselling / Discipline</x:v>
      </x:c>
      <x:c r="C223" s="285" t="str">
        <x:v>Health</x:v>
      </x:c>
      <x:c r="D223" s="285" t="str">
        <x:v>Counselling Case Notes</x:v>
      </x:c>
      <x:c r="E223" s="285" t="str">
        <x:v>Nurse / Medical Officer, Counsellor, School Admin, Principal, Parent</x:v>
      </x:c>
      <x:c r="F223" s="285" t="str">
        <x:v>Operations Portal</x:v>
      </x:c>
      <x:c r="G223" s="285" t="str">
        <x:v>Workflow / Management</x:v>
      </x:c>
      <x:c r="H223" s="285" t="str">
        <x:v>Manage the end-to-end counselling case notes workflow within health / counselling / discipline.</x:v>
      </x:c>
      <x:c r="I223" s="285" t="str">
        <x:v>View, Create / Update, Filter, Export / Print</x:v>
      </x:c>
      <x:c r="J223" s="285" t="str">
        <x:v>Name / title, code, academic year, status, owner, dates, remarks</x:v>
      </x:c>
      <x:c r="K223" s="285" t="str">
        <x:v>Phase 3</x:v>
      </x:c>
      <x:c r="L223" s="285" t="str">
        <x:v>Workflow / Approval / Detail</x:v>
      </x:c>
      <x:c r="M223" s="285" t="str">
        <x:v>Preserve existing role permissions, APIs and workflows; design reusable responsive UI.</x:v>
      </x:c>
      <x:c r="N223" s="226"/>
      <x:c r="O223" s="226"/>
      <x:c r="P223" s="226"/>
      <x:c r="Q223" s="226"/>
      <x:c r="R223" s="226"/>
      <x:c r="S223" s="226"/>
      <x:c r="T223" s="226"/>
      <x:c r="U223" s="226"/>
      <x:c r="V223" s="226"/>
      <x:c r="W223" s="226"/>
      <x:c r="X223" s="226"/>
      <x:c r="Y223" s="226"/>
      <x:c r="Z223" s="226"/>
    </x:row>
    <x:row r="224">
      <x:c r="A224" s="285" t="str">
        <x:v>SCR-223</x:v>
      </x:c>
      <x:c r="B224" s="285" t="str">
        <x:v>Health / Counselling / Discipline</x:v>
      </x:c>
      <x:c r="C224" s="285" t="str">
        <x:v>Health</x:v>
      </x:c>
      <x:c r="D224" s="285" t="str">
        <x:v>Behaviour / Discipline Incidents</x:v>
      </x:c>
      <x:c r="E224" s="285" t="str">
        <x:v>Nurse / Medical Officer, Counsellor, School Admin, Principal, Parent</x:v>
      </x:c>
      <x:c r="F224" s="285" t="str">
        <x:v>Operations Portal</x:v>
      </x:c>
      <x:c r="G224" s="285" t="str">
        <x:v>List / Management</x:v>
      </x:c>
      <x:c r="H224" s="285" t="str">
        <x:v>Search, filter and manage records for behaviour / discipline incidents.</x:v>
      </x:c>
      <x:c r="I224" s="285" t="str">
        <x:v>View, Create / Update, Filter, Export / Print</x:v>
      </x:c>
      <x:c r="J224" s="285" t="str">
        <x:v>Name / title, code, academic year, status, owner, dates, remarks</x:v>
      </x:c>
      <x:c r="K224" s="285" t="str">
        <x:v>Phase 3</x:v>
      </x:c>
      <x:c r="L224" s="285" t="str">
        <x:v>Search + Filter + Data Table</x:v>
      </x:c>
      <x:c r="M224" s="285" t="str">
        <x:v>Preserve existing role permissions, APIs and workflows; design reusable responsive UI.</x:v>
      </x:c>
      <x:c r="N224" s="226"/>
      <x:c r="O224" s="226"/>
      <x:c r="P224" s="226"/>
      <x:c r="Q224" s="226"/>
      <x:c r="R224" s="226"/>
      <x:c r="S224" s="226"/>
      <x:c r="T224" s="226"/>
      <x:c r="U224" s="226"/>
      <x:c r="V224" s="226"/>
      <x:c r="W224" s="226"/>
      <x:c r="X224" s="226"/>
      <x:c r="Y224" s="226"/>
      <x:c r="Z224" s="226"/>
    </x:row>
    <x:row r="225">
      <x:c r="A225" s="285" t="str">
        <x:v>SCR-224</x:v>
      </x:c>
      <x:c r="B225" s="285" t="str">
        <x:v>Health / Counselling / Discipline</x:v>
      </x:c>
      <x:c r="C225" s="285" t="str">
        <x:v>Health</x:v>
      </x:c>
      <x:c r="D225" s="285" t="str">
        <x:v>Incident Action &amp; Follow-up</x:v>
      </x:c>
      <x:c r="E225" s="285" t="str">
        <x:v>Nurse / Medical Officer, Counsellor, School Admin, Principal, Parent</x:v>
      </x:c>
      <x:c r="F225" s="285" t="str">
        <x:v>Operations Portal</x:v>
      </x:c>
      <x:c r="G225" s="285" t="str">
        <x:v>Workflow / Management</x:v>
      </x:c>
      <x:c r="H225" s="285" t="str">
        <x:v>Manage the end-to-end incident action &amp; follow-up workflow within health / counselling / discipline.</x:v>
      </x:c>
      <x:c r="I225" s="285" t="str">
        <x:v>View, Create / Update, Filter, Export / Print</x:v>
      </x:c>
      <x:c r="J225" s="285" t="str">
        <x:v>Name / title, code, academic year, status, owner, dates, remarks</x:v>
      </x:c>
      <x:c r="K225" s="285" t="str">
        <x:v>Phase 3</x:v>
      </x:c>
      <x:c r="L225" s="285" t="str">
        <x:v>Workflow / Approval / Detail</x:v>
      </x:c>
      <x:c r="M225" s="285" t="str">
        <x:v>Preserve existing role permissions, APIs and workflows; design reusable responsive UI.</x:v>
      </x:c>
      <x:c r="N225" s="226"/>
      <x:c r="O225" s="226"/>
      <x:c r="P225" s="226"/>
      <x:c r="Q225" s="226"/>
      <x:c r="R225" s="226"/>
      <x:c r="S225" s="226"/>
      <x:c r="T225" s="226"/>
      <x:c r="U225" s="226"/>
      <x:c r="V225" s="226"/>
      <x:c r="W225" s="226"/>
      <x:c r="X225" s="226"/>
      <x:c r="Y225" s="226"/>
      <x:c r="Z225" s="226"/>
    </x:row>
    <x:row r="226">
      <x:c r="A226" s="285" t="str">
        <x:v>SCR-225</x:v>
      </x:c>
      <x:c r="B226" s="285" t="str">
        <x:v>Health / Counselling / Discipline</x:v>
      </x:c>
      <x:c r="C226" s="285" t="str">
        <x:v>Health</x:v>
      </x:c>
      <x:c r="D226" s="285" t="str">
        <x:v>Emergency Contacts &amp; Escalation</x:v>
      </x:c>
      <x:c r="E226" s="285" t="str">
        <x:v>Nurse / Medical Officer, Counsellor, School Admin, Principal, Parent</x:v>
      </x:c>
      <x:c r="F226" s="285" t="str">
        <x:v>Operations Portal</x:v>
      </x:c>
      <x:c r="G226" s="285" t="str">
        <x:v>Workflow / Management</x:v>
      </x:c>
      <x:c r="H226" s="285" t="str">
        <x:v>Manage the end-to-end emergency contacts &amp; escalation workflow within health / counselling / discipline.</x:v>
      </x:c>
      <x:c r="I226" s="285" t="str">
        <x:v>View, Create / Update, Filter, Export / Print</x:v>
      </x:c>
      <x:c r="J226" s="285" t="str">
        <x:v>Name / title, code, academic year, status, owner, dates, remarks</x:v>
      </x:c>
      <x:c r="K226" s="285" t="str">
        <x:v>Phase 3</x:v>
      </x:c>
      <x:c r="L226" s="285" t="str">
        <x:v>Workflow / Approval / Detail</x:v>
      </x:c>
      <x:c r="M226" s="285" t="str">
        <x:v>Preserve existing role permissions, APIs and workflows; design reusable responsive UI.</x:v>
      </x:c>
      <x:c r="N226" s="226"/>
      <x:c r="O226" s="226"/>
      <x:c r="P226" s="226"/>
      <x:c r="Q226" s="226"/>
      <x:c r="R226" s="226"/>
      <x:c r="S226" s="226"/>
      <x:c r="T226" s="226"/>
      <x:c r="U226" s="226"/>
      <x:c r="V226" s="226"/>
      <x:c r="W226" s="226"/>
      <x:c r="X226" s="226"/>
      <x:c r="Y226" s="226"/>
      <x:c r="Z226" s="226"/>
    </x:row>
    <x:row r="227">
      <x:c r="A227" s="285" t="str">
        <x:v>SCR-226</x:v>
      </x:c>
      <x:c r="B227" s="285" t="str">
        <x:v>Visitor / Gate / Security</x:v>
      </x:c>
      <x:c r="C227" s="285" t="str">
        <x:v>Visitor</x:v>
      </x:c>
      <x:c r="D227" s="285" t="str">
        <x:v>Visitor Dashboard</x:v>
      </x:c>
      <x:c r="E227" s="285" t="str">
        <x:v>Security, Receptionist, School Admin, Principal</x:v>
      </x:c>
      <x:c r="F227" s="285" t="str">
        <x:v>Operations Portal</x:v>
      </x:c>
      <x:c r="G227" s="285" t="str">
        <x:v>Dashboard</x:v>
      </x:c>
      <x:c r="H227" s="285" t="str">
        <x:v>Provide an at-a-glance operational view of visitor / gate / security with key status, alerts and shortcuts.</x:v>
      </x:c>
      <x:c r="I227" s="285" t="str">
        <x:v>Filter, Drill down, Export, Print</x:v>
      </x:c>
      <x:c r="J227" s="285" t="str">
        <x:v>KPIs, alerts, recent activity, pending actions, date / academic-year filters</x:v>
      </x:c>
      <x:c r="K227" s="285" t="str">
        <x:v>Phase 2</x:v>
      </x:c>
      <x:c r="L227" s="285" t="str">
        <x:v>Dashboard + KPI Cards</x:v>
      </x:c>
      <x:c r="M227" s="285" t="str">
        <x:v>Preserve existing role permissions, APIs and workflows; design reusable responsive UI.</x:v>
      </x:c>
      <x:c r="N227" s="226"/>
      <x:c r="O227" s="226"/>
      <x:c r="P227" s="226"/>
      <x:c r="Q227" s="226"/>
      <x:c r="R227" s="226"/>
      <x:c r="S227" s="226"/>
      <x:c r="T227" s="226"/>
      <x:c r="U227" s="226"/>
      <x:c r="V227" s="226"/>
      <x:c r="W227" s="226"/>
      <x:c r="X227" s="226"/>
      <x:c r="Y227" s="226"/>
      <x:c r="Z227" s="226"/>
    </x:row>
    <x:row r="228">
      <x:c r="A228" s="285" t="str">
        <x:v>SCR-227</x:v>
      </x:c>
      <x:c r="B228" s="285" t="str">
        <x:v>Visitor / Gate / Security</x:v>
      </x:c>
      <x:c r="C228" s="285" t="str">
        <x:v>Visitor</x:v>
      </x:c>
      <x:c r="D228" s="285" t="str">
        <x:v>Visitor Check-in</x:v>
      </x:c>
      <x:c r="E228" s="285" t="str">
        <x:v>Security, Receptionist, School Admin, Principal</x:v>
      </x:c>
      <x:c r="F228" s="285" t="str">
        <x:v>Operations Portal</x:v>
      </x:c>
      <x:c r="G228" s="285" t="str">
        <x:v>Create / Transaction</x:v>
      </x:c>
      <x:c r="H228" s="285" t="str">
        <x:v>Capture or process the visitor check-in workflow while enforcing school rules and validations.</x:v>
      </x:c>
      <x:c r="I228" s="285" t="str">
        <x:v>Create, Save, Validate, Cancel</x:v>
      </x:c>
      <x:c r="J228" s="285" t="str">
        <x:v>Visitor / person, mobile, ID, purpose, host, vehicle, entry time, exit time, pass status</x:v>
      </x:c>
      <x:c r="K228" s="285" t="str">
        <x:v>Phase 2</x:v>
      </x:c>
      <x:c r="L228" s="285" t="str">
        <x:v>Form / Wizard</x:v>
      </x:c>
      <x:c r="M228" s="285" t="str">
        <x:v>Preserve existing role permissions, APIs and workflows; design reusable responsive UI.</x:v>
      </x:c>
      <x:c r="N228" s="226"/>
      <x:c r="O228" s="226"/>
      <x:c r="P228" s="226"/>
      <x:c r="Q228" s="226"/>
      <x:c r="R228" s="226"/>
      <x:c r="S228" s="226"/>
      <x:c r="T228" s="226"/>
      <x:c r="U228" s="226"/>
      <x:c r="V228" s="226"/>
      <x:c r="W228" s="226"/>
      <x:c r="X228" s="226"/>
      <x:c r="Y228" s="226"/>
      <x:c r="Z228" s="226"/>
    </x:row>
    <x:row r="229">
      <x:c r="A229" s="285" t="str">
        <x:v>SCR-228</x:v>
      </x:c>
      <x:c r="B229" s="285" t="str">
        <x:v>Visitor / Gate / Security</x:v>
      </x:c>
      <x:c r="C229" s="285" t="str">
        <x:v>Visitor</x:v>
      </x:c>
      <x:c r="D229" s="285" t="str">
        <x:v>Visitor Approval</x:v>
      </x:c>
      <x:c r="E229" s="285" t="str">
        <x:v>Security, Receptionist, School Admin, Principal</x:v>
      </x:c>
      <x:c r="F229" s="285" t="str">
        <x:v>Operations Portal</x:v>
      </x:c>
      <x:c r="G229" s="285" t="str">
        <x:v>Workflow / Management</x:v>
      </x:c>
      <x:c r="H229" s="285" t="str">
        <x:v>Manage the end-to-end visitor approval workflow within visitor / gate / security.</x:v>
      </x:c>
      <x:c r="I229" s="285" t="str">
        <x:v>Review, Approve / Reject, Comment, Track status</x:v>
      </x:c>
      <x:c r="J229" s="285" t="str">
        <x:v>Visitor / person, mobile, ID, purpose, host, vehicle, entry time, exit time, pass status</x:v>
      </x:c>
      <x:c r="K229" s="285" t="str">
        <x:v>Phase 2</x:v>
      </x:c>
      <x:c r="L229" s="285" t="str">
        <x:v>Workflow / Approval / Detail</x:v>
      </x:c>
      <x:c r="M229" s="285" t="str">
        <x:v>Preserve existing role permissions, APIs and workflows; design reusable responsive UI.</x:v>
      </x:c>
      <x:c r="N229" s="226"/>
      <x:c r="O229" s="226"/>
      <x:c r="P229" s="226"/>
      <x:c r="Q229" s="226"/>
      <x:c r="R229" s="226"/>
      <x:c r="S229" s="226"/>
      <x:c r="T229" s="226"/>
      <x:c r="U229" s="226"/>
      <x:c r="V229" s="226"/>
      <x:c r="W229" s="226"/>
      <x:c r="X229" s="226"/>
      <x:c r="Y229" s="226"/>
      <x:c r="Z229" s="226"/>
    </x:row>
    <x:row r="230">
      <x:c r="A230" s="285" t="str">
        <x:v>SCR-229</x:v>
      </x:c>
      <x:c r="B230" s="285" t="str">
        <x:v>Visitor / Gate / Security</x:v>
      </x:c>
      <x:c r="C230" s="285" t="str">
        <x:v>Visitor</x:v>
      </x:c>
      <x:c r="D230" s="285" t="str">
        <x:v>Visitor Pass</x:v>
      </x:c>
      <x:c r="E230" s="285" t="str">
        <x:v>Security, Receptionist, School Admin, Principal</x:v>
      </x:c>
      <x:c r="F230" s="285" t="str">
        <x:v>Operations Portal</x:v>
      </x:c>
      <x:c r="G230" s="285" t="str">
        <x:v>Workflow / Management</x:v>
      </x:c>
      <x:c r="H230" s="285" t="str">
        <x:v>Manage the end-to-end visitor pass workflow within visitor / gate / security.</x:v>
      </x:c>
      <x:c r="I230" s="285" t="str">
        <x:v>View, Create / Update, Filter, Export / Print</x:v>
      </x:c>
      <x:c r="J230" s="285" t="str">
        <x:v>Visitor / person, mobile, ID, purpose, host, vehicle, entry time, exit time, pass status</x:v>
      </x:c>
      <x:c r="K230" s="285" t="str">
        <x:v>Phase 2</x:v>
      </x:c>
      <x:c r="L230" s="285" t="str">
        <x:v>Workflow / Approval / Detail</x:v>
      </x:c>
      <x:c r="M230" s="285" t="str">
        <x:v>Preserve existing role permissions, APIs and workflows; design reusable responsive UI.</x:v>
      </x:c>
      <x:c r="N230" s="226"/>
      <x:c r="O230" s="226"/>
      <x:c r="P230" s="226"/>
      <x:c r="Q230" s="226"/>
      <x:c r="R230" s="226"/>
      <x:c r="S230" s="226"/>
      <x:c r="T230" s="226"/>
      <x:c r="U230" s="226"/>
      <x:c r="V230" s="226"/>
      <x:c r="W230" s="226"/>
      <x:c r="X230" s="226"/>
      <x:c r="Y230" s="226"/>
      <x:c r="Z230" s="226"/>
    </x:row>
    <x:row r="231">
      <x:c r="A231" s="285" t="str">
        <x:v>SCR-230</x:v>
      </x:c>
      <x:c r="B231" s="285" t="str">
        <x:v>Visitor / Gate / Security</x:v>
      </x:c>
      <x:c r="C231" s="285" t="str">
        <x:v>Visitor</x:v>
      </x:c>
      <x:c r="D231" s="285" t="str">
        <x:v>Visitor Check-out</x:v>
      </x:c>
      <x:c r="E231" s="285" t="str">
        <x:v>Security, Receptionist, School Admin, Principal</x:v>
      </x:c>
      <x:c r="F231" s="285" t="str">
        <x:v>Operations Portal</x:v>
      </x:c>
      <x:c r="G231" s="285" t="str">
        <x:v>Workflow / Management</x:v>
      </x:c>
      <x:c r="H231" s="285" t="str">
        <x:v>Manage the end-to-end visitor check-out workflow within visitor / gate / security.</x:v>
      </x:c>
      <x:c r="I231" s="285" t="str">
        <x:v>View, Create / Update, Filter, Export / Print</x:v>
      </x:c>
      <x:c r="J231" s="285" t="str">
        <x:v>Visitor / person, mobile, ID, purpose, host, vehicle, entry time, exit time, pass status</x:v>
      </x:c>
      <x:c r="K231" s="285" t="str">
        <x:v>Phase 3</x:v>
      </x:c>
      <x:c r="L231" s="285" t="str">
        <x:v>Workflow / Approval / Detail</x:v>
      </x:c>
      <x:c r="M231" s="285" t="str">
        <x:v>Preserve existing role permissions, APIs and workflows; design reusable responsive UI.</x:v>
      </x:c>
      <x:c r="N231" s="226"/>
      <x:c r="O231" s="226"/>
      <x:c r="P231" s="226"/>
      <x:c r="Q231" s="226"/>
      <x:c r="R231" s="226"/>
      <x:c r="S231" s="226"/>
      <x:c r="T231" s="226"/>
      <x:c r="U231" s="226"/>
      <x:c r="V231" s="226"/>
      <x:c r="W231" s="226"/>
      <x:c r="X231" s="226"/>
      <x:c r="Y231" s="226"/>
      <x:c r="Z231" s="226"/>
    </x:row>
    <x:row r="232">
      <x:c r="A232" s="285" t="str">
        <x:v>SCR-231</x:v>
      </x:c>
      <x:c r="B232" s="285" t="str">
        <x:v>Visitor / Gate / Security</x:v>
      </x:c>
      <x:c r="C232" s="285" t="str">
        <x:v>Visitor</x:v>
      </x:c>
      <x:c r="D232" s="285" t="str">
        <x:v>Student Early Pickup / Gate Pass</x:v>
      </x:c>
      <x:c r="E232" s="285" t="str">
        <x:v>Security, Receptionist, School Admin, Principal</x:v>
      </x:c>
      <x:c r="F232" s="285" t="str">
        <x:v>Operations Portal</x:v>
      </x:c>
      <x:c r="G232" s="285" t="str">
        <x:v>Workflow / Management</x:v>
      </x:c>
      <x:c r="H232" s="285" t="str">
        <x:v>Manage the end-to-end student early pickup / gate pass workflow within visitor / gate / security.</x:v>
      </x:c>
      <x:c r="I232" s="285" t="str">
        <x:v>View, Create / Update, Filter, Export / Print</x:v>
      </x:c>
      <x:c r="J232" s="285" t="str">
        <x:v>Student ID, admission no., name, class, section, status, parent, academic year</x:v>
      </x:c>
      <x:c r="K232" s="285" t="str">
        <x:v>Phase 3</x:v>
      </x:c>
      <x:c r="L232" s="285" t="str">
        <x:v>Workflow / Approval / Detail</x:v>
      </x:c>
      <x:c r="M232" s="285" t="str">
        <x:v>Preserve existing role permissions, APIs and workflows; design reusable responsive UI.</x:v>
      </x:c>
      <x:c r="N232" s="226"/>
      <x:c r="O232" s="226"/>
      <x:c r="P232" s="226"/>
      <x:c r="Q232" s="226"/>
      <x:c r="R232" s="226"/>
      <x:c r="S232" s="226"/>
      <x:c r="T232" s="226"/>
      <x:c r="U232" s="226"/>
      <x:c r="V232" s="226"/>
      <x:c r="W232" s="226"/>
      <x:c r="X232" s="226"/>
      <x:c r="Y232" s="226"/>
      <x:c r="Z232" s="226"/>
    </x:row>
    <x:row r="233">
      <x:c r="A233" s="285" t="str">
        <x:v>SCR-232</x:v>
      </x:c>
      <x:c r="B233" s="285" t="str">
        <x:v>Visitor / Gate / Security</x:v>
      </x:c>
      <x:c r="C233" s="285" t="str">
        <x:v>Visitor</x:v>
      </x:c>
      <x:c r="D233" s="285" t="str">
        <x:v>Staff &amp; Vehicle Gate Log</x:v>
      </x:c>
      <x:c r="E233" s="285" t="str">
        <x:v>Security, Receptionist, School Admin, Principal</x:v>
      </x:c>
      <x:c r="F233" s="285" t="str">
        <x:v>Operations Portal</x:v>
      </x:c>
      <x:c r="G233" s="285" t="str">
        <x:v>Workflow / Management</x:v>
      </x:c>
      <x:c r="H233" s="285" t="str">
        <x:v>Manage the end-to-end staff &amp; vehicle gate log workflow within visitor / gate / security.</x:v>
      </x:c>
      <x:c r="I233" s="285" t="str">
        <x:v>View, Create / Update, Filter, Export / Print</x:v>
      </x:c>
      <x:c r="J233" s="285" t="str">
        <x:v>Employee ID, name, department, designation, subjects, contact, status</x:v>
      </x:c>
      <x:c r="K233" s="285" t="str">
        <x:v>Phase 3</x:v>
      </x:c>
      <x:c r="L233" s="285" t="str">
        <x:v>Workflow / Approval / Detail</x:v>
      </x:c>
      <x:c r="M233" s="285" t="str">
        <x:v>Preserve existing role permissions, APIs and workflows; design reusable responsive UI.</x:v>
      </x:c>
      <x:c r="N233" s="226"/>
      <x:c r="O233" s="226"/>
      <x:c r="P233" s="226"/>
      <x:c r="Q233" s="226"/>
      <x:c r="R233" s="226"/>
      <x:c r="S233" s="226"/>
      <x:c r="T233" s="226"/>
      <x:c r="U233" s="226"/>
      <x:c r="V233" s="226"/>
      <x:c r="W233" s="226"/>
      <x:c r="X233" s="226"/>
      <x:c r="Y233" s="226"/>
      <x:c r="Z233" s="226"/>
    </x:row>
    <x:row r="234">
      <x:c r="A234" s="285" t="str">
        <x:v>SCR-233</x:v>
      </x:c>
      <x:c r="B234" s="285" t="str">
        <x:v>Visitor / Gate / Security</x:v>
      </x:c>
      <x:c r="C234" s="285" t="str">
        <x:v>Visitor</x:v>
      </x:c>
      <x:c r="D234" s="285" t="str">
        <x:v>Security Incident Log</x:v>
      </x:c>
      <x:c r="E234" s="285" t="str">
        <x:v>Security, Receptionist, School Admin, Principal</x:v>
      </x:c>
      <x:c r="F234" s="285" t="str">
        <x:v>Operations Portal</x:v>
      </x:c>
      <x:c r="G234" s="285" t="str">
        <x:v>Workflow / Management</x:v>
      </x:c>
      <x:c r="H234" s="285" t="str">
        <x:v>Manage the end-to-end security incident log workflow within visitor / gate / security.</x:v>
      </x:c>
      <x:c r="I234" s="285" t="str">
        <x:v>View, Create / Update, Filter, Export / Print</x:v>
      </x:c>
      <x:c r="J234" s="285" t="str">
        <x:v>Visitor / person, mobile, ID, purpose, host, vehicle, entry time, exit time, pass status</x:v>
      </x:c>
      <x:c r="K234" s="285" t="str">
        <x:v>Phase 3</x:v>
      </x:c>
      <x:c r="L234" s="285" t="str">
        <x:v>Workflow / Approval / Detail</x:v>
      </x:c>
      <x:c r="M234" s="285" t="str">
        <x:v>Preserve existing role permissions, APIs and workflows; design reusable responsive UI.</x:v>
      </x:c>
      <x:c r="N234" s="226"/>
      <x:c r="O234" s="226"/>
      <x:c r="P234" s="226"/>
      <x:c r="Q234" s="226"/>
      <x:c r="R234" s="226"/>
      <x:c r="S234" s="226"/>
      <x:c r="T234" s="226"/>
      <x:c r="U234" s="226"/>
      <x:c r="V234" s="226"/>
      <x:c r="W234" s="226"/>
      <x:c r="X234" s="226"/>
      <x:c r="Y234" s="226"/>
      <x:c r="Z234" s="226"/>
    </x:row>
    <x:row r="235">
      <x:c r="A235" s="285" t="str">
        <x:v>SCR-234</x:v>
      </x:c>
      <x:c r="B235" s="285" t="str">
        <x:v>Inventory / Assets / Labs</x:v>
      </x:c>
      <x:c r="C235" s="285" t="str">
        <x:v>Inventory</x:v>
      </x:c>
      <x:c r="D235" s="285" t="str">
        <x:v>Inventory Dashboard</x:v>
      </x:c>
      <x:c r="E235" s="285" t="str">
        <x:v>Store Manager, Lab Assistant, School Admin, Accountant</x:v>
      </x:c>
      <x:c r="F235" s="285" t="str">
        <x:v>Operations Portal</x:v>
      </x:c>
      <x:c r="G235" s="285" t="str">
        <x:v>Dashboard</x:v>
      </x:c>
      <x:c r="H235" s="285" t="str">
        <x:v>Provide an at-a-glance operational view of inventory / assets / labs with key status, alerts and shortcuts.</x:v>
      </x:c>
      <x:c r="I235" s="285" t="str">
        <x:v>Filter, Drill down, Export, Print</x:v>
      </x:c>
      <x:c r="J235" s="285" t="str">
        <x:v>KPIs, alerts, recent activity, pending actions, date / academic-year filters</x:v>
      </x:c>
      <x:c r="K235" s="285" t="str">
        <x:v>Phase 2</x:v>
      </x:c>
      <x:c r="L235" s="285" t="str">
        <x:v>Dashboard + KPI Cards</x:v>
      </x:c>
      <x:c r="M235" s="285" t="str">
        <x:v>Preserve existing role permissions, APIs and workflows; design reusable responsive UI.</x:v>
      </x:c>
      <x:c r="N235" s="226"/>
      <x:c r="O235" s="226"/>
      <x:c r="P235" s="226"/>
      <x:c r="Q235" s="226"/>
      <x:c r="R235" s="226"/>
      <x:c r="S235" s="226"/>
      <x:c r="T235" s="226"/>
      <x:c r="U235" s="226"/>
      <x:c r="V235" s="226"/>
      <x:c r="W235" s="226"/>
      <x:c r="X235" s="226"/>
      <x:c r="Y235" s="226"/>
      <x:c r="Z235" s="226"/>
    </x:row>
    <x:row r="236">
      <x:c r="A236" s="285" t="str">
        <x:v>SCR-235</x:v>
      </x:c>
      <x:c r="B236" s="285" t="str">
        <x:v>Inventory / Assets / Labs</x:v>
      </x:c>
      <x:c r="C236" s="285" t="str">
        <x:v>Inventory</x:v>
      </x:c>
      <x:c r="D236" s="285" t="str">
        <x:v>Item Catalogue</x:v>
      </x:c>
      <x:c r="E236" s="285" t="str">
        <x:v>Store Manager, Lab Assistant, School Admin, Accountant</x:v>
      </x:c>
      <x:c r="F236" s="285" t="str">
        <x:v>Operations Portal</x:v>
      </x:c>
      <x:c r="G236" s="285" t="str">
        <x:v>List / Management</x:v>
      </x:c>
      <x:c r="H236" s="285" t="str">
        <x:v>Search, filter and manage records for item catalogue.</x:v>
      </x:c>
      <x:c r="I236" s="285" t="str">
        <x:v>Search, Filter, Sort, Open record</x:v>
      </x:c>
      <x:c r="J236" s="285" t="str">
        <x:v>Name / title, code, academic year, status, owner, dates, remarks</x:v>
      </x:c>
      <x:c r="K236" s="285" t="str">
        <x:v>Phase 2</x:v>
      </x:c>
      <x:c r="L236" s="285" t="str">
        <x:v>Search + Filter + Data Table</x:v>
      </x:c>
      <x:c r="M236" s="285" t="str">
        <x:v>Preserve existing role permissions, APIs and workflows; design reusable responsive UI.</x:v>
      </x:c>
      <x:c r="N236" s="226"/>
      <x:c r="O236" s="226"/>
      <x:c r="P236" s="226"/>
      <x:c r="Q236" s="226"/>
      <x:c r="R236" s="226"/>
      <x:c r="S236" s="226"/>
      <x:c r="T236" s="226"/>
      <x:c r="U236" s="226"/>
      <x:c r="V236" s="226"/>
      <x:c r="W236" s="226"/>
      <x:c r="X236" s="226"/>
      <x:c r="Y236" s="226"/>
      <x:c r="Z236" s="226"/>
    </x:row>
    <x:row r="237">
      <x:c r="A237" s="285" t="str">
        <x:v>SCR-236</x:v>
      </x:c>
      <x:c r="B237" s="285" t="str">
        <x:v>Inventory / Assets / Labs</x:v>
      </x:c>
      <x:c r="C237" s="285" t="str">
        <x:v>Inventory</x:v>
      </x:c>
      <x:c r="D237" s="285" t="str">
        <x:v>Stock In / Purchase Receipt</x:v>
      </x:c>
      <x:c r="E237" s="285" t="str">
        <x:v>Store Manager, Lab Assistant, School Admin, Accountant</x:v>
      </x:c>
      <x:c r="F237" s="285" t="str">
        <x:v>Operations Portal</x:v>
      </x:c>
      <x:c r="G237" s="285" t="str">
        <x:v>Detail / Profile</x:v>
      </x:c>
      <x:c r="H237" s="285" t="str">
        <x:v>Show the complete record and related activity for stock in / purchase receipt in one structured view.</x:v>
      </x:c>
      <x:c r="I237" s="285" t="str">
        <x:v>View, Create / Update, Filter, Export / Print</x:v>
      </x:c>
      <x:c r="J237" s="285" t="str">
        <x:v>Item / asset ID, category, quantity, location, assignee, supplier, status, value</x:v>
      </x:c>
      <x:c r="K237" s="285" t="str">
        <x:v>Phase 2</x:v>
      </x:c>
      <x:c r="L237" s="285" t="str">
        <x:v>Profile / Detail + Tabs</x:v>
      </x:c>
      <x:c r="M237" s="285" t="str">
        <x:v>Preserve existing role permissions, APIs and workflows; design reusable responsive UI.</x:v>
      </x:c>
      <x:c r="N237" s="226"/>
      <x:c r="O237" s="226"/>
      <x:c r="P237" s="226"/>
      <x:c r="Q237" s="226"/>
      <x:c r="R237" s="226"/>
      <x:c r="S237" s="226"/>
      <x:c r="T237" s="226"/>
      <x:c r="U237" s="226"/>
      <x:c r="V237" s="226"/>
      <x:c r="W237" s="226"/>
      <x:c r="X237" s="226"/>
      <x:c r="Y237" s="226"/>
      <x:c r="Z237" s="226"/>
    </x:row>
    <x:row r="238">
      <x:c r="A238" s="285" t="str">
        <x:v>SCR-237</x:v>
      </x:c>
      <x:c r="B238" s="285" t="str">
        <x:v>Inventory / Assets / Labs</x:v>
      </x:c>
      <x:c r="C238" s="285" t="str">
        <x:v>Inventory</x:v>
      </x:c>
      <x:c r="D238" s="285" t="str">
        <x:v>Stock Issue / Return</x:v>
      </x:c>
      <x:c r="E238" s="285" t="str">
        <x:v>Store Manager, Lab Assistant, School Admin, Accountant</x:v>
      </x:c>
      <x:c r="F238" s="285" t="str">
        <x:v>Operations Portal</x:v>
      </x:c>
      <x:c r="G238" s="285" t="str">
        <x:v>Workflow / Management</x:v>
      </x:c>
      <x:c r="H238" s="285" t="str">
        <x:v>Manage the end-to-end stock issue / return workflow within inventory / assets / labs.</x:v>
      </x:c>
      <x:c r="I238" s="285" t="str">
        <x:v>View, Create / Update, Filter, Export / Print</x:v>
      </x:c>
      <x:c r="J238" s="285" t="str">
        <x:v>Item / asset ID, category, quantity, location, assignee, supplier, status, value</x:v>
      </x:c>
      <x:c r="K238" s="285" t="str">
        <x:v>Phase 2</x:v>
      </x:c>
      <x:c r="L238" s="285" t="str">
        <x:v>Workflow / Approval / Detail</x:v>
      </x:c>
      <x:c r="M238" s="285" t="str">
        <x:v>Preserve existing role permissions, APIs and workflows; design reusable responsive UI.</x:v>
      </x:c>
      <x:c r="N238" s="226"/>
      <x:c r="O238" s="226"/>
      <x:c r="P238" s="226"/>
      <x:c r="Q238" s="226"/>
      <x:c r="R238" s="226"/>
      <x:c r="S238" s="226"/>
      <x:c r="T238" s="226"/>
      <x:c r="U238" s="226"/>
      <x:c r="V238" s="226"/>
      <x:c r="W238" s="226"/>
      <x:c r="X238" s="226"/>
      <x:c r="Y238" s="226"/>
      <x:c r="Z238" s="226"/>
    </x:row>
    <x:row r="239">
      <x:c r="A239" s="285" t="str">
        <x:v>SCR-238</x:v>
      </x:c>
      <x:c r="B239" s="285" t="str">
        <x:v>Inventory / Assets / Labs</x:v>
      </x:c>
      <x:c r="C239" s="285" t="str">
        <x:v>Inventory</x:v>
      </x:c>
      <x:c r="D239" s="285" t="str">
        <x:v>Supplier Management</x:v>
      </x:c>
      <x:c r="E239" s="285" t="str">
        <x:v>Store Manager, Lab Assistant, School Admin, Accountant</x:v>
      </x:c>
      <x:c r="F239" s="285" t="str">
        <x:v>Operations Portal</x:v>
      </x:c>
      <x:c r="G239" s="285" t="str">
        <x:v>Workflow / Management</x:v>
      </x:c>
      <x:c r="H239" s="285" t="str">
        <x:v>Manage the end-to-end supplier management workflow within inventory / assets / labs.</x:v>
      </x:c>
      <x:c r="I239" s="285" t="str">
        <x:v>View, Create / Update, Filter, Export / Print</x:v>
      </x:c>
      <x:c r="J239" s="285" t="str">
        <x:v>Item / asset ID, category, quantity, location, assignee, supplier, status, value</x:v>
      </x:c>
      <x:c r="K239" s="285" t="str">
        <x:v>Phase 2</x:v>
      </x:c>
      <x:c r="L239" s="285" t="str">
        <x:v>Workflow / Approval / Detail</x:v>
      </x:c>
      <x:c r="M239" s="285" t="str">
        <x:v>Preserve existing role permissions, APIs and workflows; design reusable responsive UI.</x:v>
      </x:c>
      <x:c r="N239" s="226"/>
      <x:c r="O239" s="226"/>
      <x:c r="P239" s="226"/>
      <x:c r="Q239" s="226"/>
      <x:c r="R239" s="226"/>
      <x:c r="S239" s="226"/>
      <x:c r="T239" s="226"/>
      <x:c r="U239" s="226"/>
      <x:c r="V239" s="226"/>
      <x:c r="W239" s="226"/>
      <x:c r="X239" s="226"/>
      <x:c r="Y239" s="226"/>
      <x:c r="Z239" s="226"/>
    </x:row>
    <x:row r="240">
      <x:c r="A240" s="285" t="str">
        <x:v>SCR-239</x:v>
      </x:c>
      <x:c r="B240" s="285" t="str">
        <x:v>Inventory / Assets / Labs</x:v>
      </x:c>
      <x:c r="C240" s="285" t="str">
        <x:v>Inventory</x:v>
      </x:c>
      <x:c r="D240" s="285" t="str">
        <x:v>Asset Register</x:v>
      </x:c>
      <x:c r="E240" s="285" t="str">
        <x:v>Store Manager, Lab Assistant, School Admin, Accountant</x:v>
      </x:c>
      <x:c r="F240" s="285" t="str">
        <x:v>Operations Portal</x:v>
      </x:c>
      <x:c r="G240" s="285" t="str">
        <x:v>Detail / Profile</x:v>
      </x:c>
      <x:c r="H240" s="285" t="str">
        <x:v>Show the complete record and related activity for asset register in one structured view.</x:v>
      </x:c>
      <x:c r="I240" s="285" t="str">
        <x:v>View, Edit, Update, View activity</x:v>
      </x:c>
      <x:c r="J240" s="285" t="str">
        <x:v>Item / asset ID, category, quantity, location, assignee, supplier, status, value</x:v>
      </x:c>
      <x:c r="K240" s="285" t="str">
        <x:v>Phase 2</x:v>
      </x:c>
      <x:c r="L240" s="285" t="str">
        <x:v>Profile / Detail + Tabs</x:v>
      </x:c>
      <x:c r="M240" s="285" t="str">
        <x:v>Preserve existing role permissions, APIs and workflows; design reusable responsive UI.</x:v>
      </x:c>
      <x:c r="N240" s="226"/>
      <x:c r="O240" s="226"/>
      <x:c r="P240" s="226"/>
      <x:c r="Q240" s="226"/>
      <x:c r="R240" s="226"/>
      <x:c r="S240" s="226"/>
      <x:c r="T240" s="226"/>
      <x:c r="U240" s="226"/>
      <x:c r="V240" s="226"/>
      <x:c r="W240" s="226"/>
      <x:c r="X240" s="226"/>
      <x:c r="Y240" s="226"/>
      <x:c r="Z240" s="226"/>
    </x:row>
    <x:row r="241">
      <x:c r="A241" s="285" t="str">
        <x:v>SCR-240</x:v>
      </x:c>
      <x:c r="B241" s="285" t="str">
        <x:v>Inventory / Assets / Labs</x:v>
      </x:c>
      <x:c r="C241" s="285" t="str">
        <x:v>Inventory</x:v>
      </x:c>
      <x:c r="D241" s="285" t="str">
        <x:v>Asset Assignment / Transfer</x:v>
      </x:c>
      <x:c r="E241" s="285" t="str">
        <x:v>Store Manager, Lab Assistant, School Admin, Accountant</x:v>
      </x:c>
      <x:c r="F241" s="285" t="str">
        <x:v>Operations Portal</x:v>
      </x:c>
      <x:c r="G241" s="285" t="str">
        <x:v>Workflow / Management</x:v>
      </x:c>
      <x:c r="H241" s="285" t="str">
        <x:v>Manage the end-to-end asset assignment / transfer workflow within inventory / assets / labs.</x:v>
      </x:c>
      <x:c r="I241" s="285" t="str">
        <x:v>View, Create / Update, Filter, Export / Print</x:v>
      </x:c>
      <x:c r="J241" s="285" t="str">
        <x:v>Item / asset ID, category, quantity, location, assignee, supplier, status, value</x:v>
      </x:c>
      <x:c r="K241" s="285" t="str">
        <x:v>Phase 3</x:v>
      </x:c>
      <x:c r="L241" s="285" t="str">
        <x:v>Workflow / Approval / Detail</x:v>
      </x:c>
      <x:c r="M241" s="285" t="str">
        <x:v>Preserve existing role permissions, APIs and workflows; design reusable responsive UI.</x:v>
      </x:c>
      <x:c r="N241" s="226"/>
      <x:c r="O241" s="226"/>
      <x:c r="P241" s="226"/>
      <x:c r="Q241" s="226"/>
      <x:c r="R241" s="226"/>
      <x:c r="S241" s="226"/>
      <x:c r="T241" s="226"/>
      <x:c r="U241" s="226"/>
      <x:c r="V241" s="226"/>
      <x:c r="W241" s="226"/>
      <x:c r="X241" s="226"/>
      <x:c r="Y241" s="226"/>
      <x:c r="Z241" s="226"/>
    </x:row>
    <x:row r="242">
      <x:c r="A242" s="285" t="str">
        <x:v>SCR-241</x:v>
      </x:c>
      <x:c r="B242" s="285" t="str">
        <x:v>Inventory / Assets / Labs</x:v>
      </x:c>
      <x:c r="C242" s="285" t="str">
        <x:v>Inventory</x:v>
      </x:c>
      <x:c r="D242" s="285" t="str">
        <x:v>Asset Maintenance</x:v>
      </x:c>
      <x:c r="E242" s="285" t="str">
        <x:v>Store Manager, Lab Assistant, School Admin, Accountant</x:v>
      </x:c>
      <x:c r="F242" s="285" t="str">
        <x:v>Operations Portal</x:v>
      </x:c>
      <x:c r="G242" s="285" t="str">
        <x:v>Workflow / Management</x:v>
      </x:c>
      <x:c r="H242" s="285" t="str">
        <x:v>Manage the end-to-end asset maintenance workflow within inventory / assets / labs.</x:v>
      </x:c>
      <x:c r="I242" s="285" t="str">
        <x:v>View, Create / Update, Filter, Export / Print</x:v>
      </x:c>
      <x:c r="J242" s="285" t="str">
        <x:v>Item / asset ID, category, quantity, location, assignee, supplier, status, value</x:v>
      </x:c>
      <x:c r="K242" s="285" t="str">
        <x:v>Phase 3</x:v>
      </x:c>
      <x:c r="L242" s="285" t="str">
        <x:v>Workflow / Approval / Detail</x:v>
      </x:c>
      <x:c r="M242" s="285" t="str">
        <x:v>Preserve existing role permissions, APIs and workflows; design reusable responsive UI.</x:v>
      </x:c>
      <x:c r="N242" s="226"/>
      <x:c r="O242" s="226"/>
      <x:c r="P242" s="226"/>
      <x:c r="Q242" s="226"/>
      <x:c r="R242" s="226"/>
      <x:c r="S242" s="226"/>
      <x:c r="T242" s="226"/>
      <x:c r="U242" s="226"/>
      <x:c r="V242" s="226"/>
      <x:c r="W242" s="226"/>
      <x:c r="X242" s="226"/>
      <x:c r="Y242" s="226"/>
      <x:c r="Z242" s="226"/>
    </x:row>
    <x:row r="243">
      <x:c r="A243" s="285" t="str">
        <x:v>SCR-242</x:v>
      </x:c>
      <x:c r="B243" s="285" t="str">
        <x:v>Inventory / Assets / Labs</x:v>
      </x:c>
      <x:c r="C243" s="285" t="str">
        <x:v>Inventory</x:v>
      </x:c>
      <x:c r="D243" s="285" t="str">
        <x:v>Lab Register</x:v>
      </x:c>
      <x:c r="E243" s="285" t="str">
        <x:v>Store Manager, Lab Assistant, School Admin, Accountant</x:v>
      </x:c>
      <x:c r="F243" s="285" t="str">
        <x:v>Operations Portal</x:v>
      </x:c>
      <x:c r="G243" s="285" t="str">
        <x:v>Detail / Profile</x:v>
      </x:c>
      <x:c r="H243" s="285" t="str">
        <x:v>Show the complete record and related activity for lab register in one structured view.</x:v>
      </x:c>
      <x:c r="I243" s="285" t="str">
        <x:v>View, Edit, Update, View activity</x:v>
      </x:c>
      <x:c r="J243" s="285" t="str">
        <x:v>Item / asset ID, category, quantity, location, assignee, supplier, status, value</x:v>
      </x:c>
      <x:c r="K243" s="285" t="str">
        <x:v>Phase 3</x:v>
      </x:c>
      <x:c r="L243" s="285" t="str">
        <x:v>Profile / Detail + Tabs</x:v>
      </x:c>
      <x:c r="M243" s="285" t="str">
        <x:v>Preserve existing role permissions, APIs and workflows; design reusable responsive UI.</x:v>
      </x:c>
      <x:c r="N243" s="226"/>
      <x:c r="O243" s="226"/>
      <x:c r="P243" s="226"/>
      <x:c r="Q243" s="226"/>
      <x:c r="R243" s="226"/>
      <x:c r="S243" s="226"/>
      <x:c r="T243" s="226"/>
      <x:c r="U243" s="226"/>
      <x:c r="V243" s="226"/>
      <x:c r="W243" s="226"/>
      <x:c r="X243" s="226"/>
      <x:c r="Y243" s="226"/>
      <x:c r="Z243" s="226"/>
    </x:row>
    <x:row r="244">
      <x:c r="A244" s="285" t="str">
        <x:v>SCR-243</x:v>
      </x:c>
      <x:c r="B244" s="285" t="str">
        <x:v>Inventory / Assets / Labs</x:v>
      </x:c>
      <x:c r="C244" s="285" t="str">
        <x:v>Inventory</x:v>
      </x:c>
      <x:c r="D244" s="285" t="str">
        <x:v>Lab Equipment &amp; Consumables</x:v>
      </x:c>
      <x:c r="E244" s="285" t="str">
        <x:v>Store Manager, Lab Assistant, School Admin, Accountant</x:v>
      </x:c>
      <x:c r="F244" s="285" t="str">
        <x:v>Operations Portal</x:v>
      </x:c>
      <x:c r="G244" s="285" t="str">
        <x:v>Workflow / Management</x:v>
      </x:c>
      <x:c r="H244" s="285" t="str">
        <x:v>Manage the end-to-end lab equipment &amp; consumables workflow within inventory / assets / labs.</x:v>
      </x:c>
      <x:c r="I244" s="285" t="str">
        <x:v>View, Create / Update, Filter, Export / Print</x:v>
      </x:c>
      <x:c r="J244" s="285" t="str">
        <x:v>Item / asset ID, category, quantity, location, assignee, supplier, status, value</x:v>
      </x:c>
      <x:c r="K244" s="285" t="str">
        <x:v>Phase 3</x:v>
      </x:c>
      <x:c r="L244" s="285" t="str">
        <x:v>Workflow / Approval / Detail</x:v>
      </x:c>
      <x:c r="M244" s="285" t="str">
        <x:v>Preserve existing role permissions, APIs and workflows; design reusable responsive UI.</x:v>
      </x:c>
      <x:c r="N244" s="226"/>
      <x:c r="O244" s="226"/>
      <x:c r="P244" s="226"/>
      <x:c r="Q244" s="226"/>
      <x:c r="R244" s="226"/>
      <x:c r="S244" s="226"/>
      <x:c r="T244" s="226"/>
      <x:c r="U244" s="226"/>
      <x:c r="V244" s="226"/>
      <x:c r="W244" s="226"/>
      <x:c r="X244" s="226"/>
      <x:c r="Y244" s="226"/>
      <x:c r="Z244" s="226"/>
    </x:row>
    <x:row r="245">
      <x:c r="A245" s="285" t="str">
        <x:v>SCR-244</x:v>
      </x:c>
      <x:c r="B245" s="285" t="str">
        <x:v>Inventory / Assets / Labs</x:v>
      </x:c>
      <x:c r="C245" s="285" t="str">
        <x:v>Inventory</x:v>
      </x:c>
      <x:c r="D245" s="285" t="str">
        <x:v>Practical / Lab Booking</x:v>
      </x:c>
      <x:c r="E245" s="285" t="str">
        <x:v>Store Manager, Lab Assistant, School Admin, Accountant</x:v>
      </x:c>
      <x:c r="F245" s="285" t="str">
        <x:v>Operations Portal</x:v>
      </x:c>
      <x:c r="G245" s="285" t="str">
        <x:v>Workflow / Management</x:v>
      </x:c>
      <x:c r="H245" s="285" t="str">
        <x:v>Manage the end-to-end practical / lab booking workflow within inventory / assets / labs.</x:v>
      </x:c>
      <x:c r="I245" s="285" t="str">
        <x:v>Change view, Create / Assign, Reschedule, Print</x:v>
      </x:c>
      <x:c r="J245" s="285" t="str">
        <x:v>Book ID / ISBN, title, author, category, copy, member, issue date, due date, status</x:v>
      </x:c>
      <x:c r="K245" s="285" t="str">
        <x:v>Phase 3</x:v>
      </x:c>
      <x:c r="L245" s="285" t="str">
        <x:v>Workflow / Approval / Detail</x:v>
      </x:c>
      <x:c r="M245" s="285" t="str">
        <x:v>Preserve existing role permissions, APIs and workflows; design reusable responsive UI.</x:v>
      </x:c>
      <x:c r="N245" s="226"/>
      <x:c r="O245" s="226"/>
      <x:c r="P245" s="226"/>
      <x:c r="Q245" s="226"/>
      <x:c r="R245" s="226"/>
      <x:c r="S245" s="226"/>
      <x:c r="T245" s="226"/>
      <x:c r="U245" s="226"/>
      <x:c r="V245" s="226"/>
      <x:c r="W245" s="226"/>
      <x:c r="X245" s="226"/>
      <x:c r="Y245" s="226"/>
      <x:c r="Z245" s="226"/>
    </x:row>
    <x:row r="246">
      <x:c r="A246" s="285" t="str">
        <x:v>SCR-245</x:v>
      </x:c>
      <x:c r="B246" s="285" t="str">
        <x:v>Inventory / Assets / Labs</x:v>
      </x:c>
      <x:c r="C246" s="285" t="str">
        <x:v>Inventory</x:v>
      </x:c>
      <x:c r="D246" s="285" t="str">
        <x:v>Stock &amp; Asset Reports</x:v>
      </x:c>
      <x:c r="E246" s="285" t="str">
        <x:v>Store Manager, Lab Assistant, School Admin, Accountant</x:v>
      </x:c>
      <x:c r="F246" s="285" t="str">
        <x:v>Operations Portal</x:v>
      </x:c>
      <x:c r="G246" s="285" t="str">
        <x:v>Report / Analytics</x:v>
      </x:c>
      <x:c r="H246" s="285" t="str">
        <x:v>Analyze stock &amp; asset reports data using filters, summaries and export-ready results.</x:v>
      </x:c>
      <x:c r="I246" s="285" t="str">
        <x:v>Filter, Drill down, Export, Print</x:v>
      </x:c>
      <x:c r="J246" s="285" t="str">
        <x:v>Item / asset ID, category, quantity, location, assignee, supplier, status, value</x:v>
      </x:c>
      <x:c r="K246" s="285" t="str">
        <x:v>Phase 3</x:v>
      </x:c>
      <x:c r="L246" s="285" t="str">
        <x:v>Filters + KPI + Table / Chart</x:v>
      </x:c>
      <x:c r="M246" s="285" t="str">
        <x:v>Preserve existing role permissions, APIs and workflows; design reusable responsive UI.</x:v>
      </x:c>
      <x:c r="N246" s="226"/>
      <x:c r="O246" s="226"/>
      <x:c r="P246" s="226"/>
      <x:c r="Q246" s="226"/>
      <x:c r="R246" s="226"/>
      <x:c r="S246" s="226"/>
      <x:c r="T246" s="226"/>
      <x:c r="U246" s="226"/>
      <x:c r="V246" s="226"/>
      <x:c r="W246" s="226"/>
      <x:c r="X246" s="226"/>
      <x:c r="Y246" s="226"/>
      <x:c r="Z246" s="226"/>
    </x:row>
    <x:row r="247">
      <x:c r="A247" s="285" t="str">
        <x:v>SCR-246</x:v>
      </x:c>
      <x:c r="B247" s="285" t="str">
        <x:v>Events / PTM / Communication</x:v>
      </x:c>
      <x:c r="C247" s="285" t="str">
        <x:v>Events</x:v>
      </x:c>
      <x:c r="D247" s="285" t="str">
        <x:v>Events Calendar</x:v>
      </x:c>
      <x:c r="E247" s="285" t="str">
        <x:v>School Admin, Principal, Teacher, Parent, Student</x:v>
      </x:c>
      <x:c r="F247" s="285" t="str">
        <x:v>School Admin / Shared</x:v>
      </x:c>
      <x:c r="G247" s="285" t="str">
        <x:v>Calendar / Schedule</x:v>
      </x:c>
      <x:c r="H247" s="285" t="str">
        <x:v>Plan and review events calendar by date, period, class, staff or resource.</x:v>
      </x:c>
      <x:c r="I247" s="285" t="str">
        <x:v>Change view, Create / Assign, Reschedule, Print</x:v>
      </x:c>
      <x:c r="J247" s="285" t="str">
        <x:v>Name / title, code, academic year, status, owner, dates, remarks</x:v>
      </x:c>
      <x:c r="K247" s="285" t="str">
        <x:v>MVP</x:v>
      </x:c>
      <x:c r="L247" s="285" t="str">
        <x:v>Calendar / Schedule</x:v>
      </x:c>
      <x:c r="M247" s="285" t="str">
        <x:v>Preserve existing role permissions, APIs and workflows; design reusable responsive UI.</x:v>
      </x:c>
      <x:c r="N247" s="226"/>
      <x:c r="O247" s="226"/>
      <x:c r="P247" s="226"/>
      <x:c r="Q247" s="226"/>
      <x:c r="R247" s="226"/>
      <x:c r="S247" s="226"/>
      <x:c r="T247" s="226"/>
      <x:c r="U247" s="226"/>
      <x:c r="V247" s="226"/>
      <x:c r="W247" s="226"/>
      <x:c r="X247" s="226"/>
      <x:c r="Y247" s="226"/>
      <x:c r="Z247" s="226"/>
    </x:row>
    <x:row r="248">
      <x:c r="A248" s="285" t="str">
        <x:v>SCR-247</x:v>
      </x:c>
      <x:c r="B248" s="285" t="str">
        <x:v>Events / PTM / Communication</x:v>
      </x:c>
      <x:c r="C248" s="285" t="str">
        <x:v>Events</x:v>
      </x:c>
      <x:c r="D248" s="285" t="str">
        <x:v>Create / Edit Event</x:v>
      </x:c>
      <x:c r="E248" s="285" t="str">
        <x:v>School Admin, Principal, Teacher, Parent, Student</x:v>
      </x:c>
      <x:c r="F248" s="285" t="str">
        <x:v>School Admin / Shared</x:v>
      </x:c>
      <x:c r="G248" s="285" t="str">
        <x:v>Create / Transaction</x:v>
      </x:c>
      <x:c r="H248" s="285" t="str">
        <x:v>Capture or process the create / edit event workflow while enforcing school rules and validations.</x:v>
      </x:c>
      <x:c r="I248" s="285" t="str">
        <x:v>Create, Save, Validate, Cancel, View</x:v>
      </x:c>
      <x:c r="J248" s="285" t="str">
        <x:v>Name / title, code, academic year, status, owner, dates, remarks</x:v>
      </x:c>
      <x:c r="K248" s="285" t="str">
        <x:v>MVP</x:v>
      </x:c>
      <x:c r="L248" s="285" t="str">
        <x:v>Form / Wizard</x:v>
      </x:c>
      <x:c r="M248" s="285" t="str">
        <x:v>Preserve existing role permissions, APIs and workflows; design reusable responsive UI.</x:v>
      </x:c>
      <x:c r="N248" s="226"/>
      <x:c r="O248" s="226"/>
      <x:c r="P248" s="226"/>
      <x:c r="Q248" s="226"/>
      <x:c r="R248" s="226"/>
      <x:c r="S248" s="226"/>
      <x:c r="T248" s="226"/>
      <x:c r="U248" s="226"/>
      <x:c r="V248" s="226"/>
      <x:c r="W248" s="226"/>
      <x:c r="X248" s="226"/>
      <x:c r="Y248" s="226"/>
      <x:c r="Z248" s="226"/>
    </x:row>
    <x:row r="249">
      <x:c r="A249" s="285" t="str">
        <x:v>SCR-248</x:v>
      </x:c>
      <x:c r="B249" s="285" t="str">
        <x:v>Events / PTM / Communication</x:v>
      </x:c>
      <x:c r="C249" s="285" t="str">
        <x:v>Events</x:v>
      </x:c>
      <x:c r="D249" s="285" t="str">
        <x:v>Event Details &amp; Participants</x:v>
      </x:c>
      <x:c r="E249" s="285" t="str">
        <x:v>School Admin, Principal, Teacher, Parent, Student</x:v>
      </x:c>
      <x:c r="F249" s="285" t="str">
        <x:v>School Admin / Shared</x:v>
      </x:c>
      <x:c r="G249" s="285" t="str">
        <x:v>Detail / Profile</x:v>
      </x:c>
      <x:c r="H249" s="285" t="str">
        <x:v>Show the complete record and related activity for event details &amp; participants in one structured view.</x:v>
      </x:c>
      <x:c r="I249" s="285" t="str">
        <x:v>View, Edit, Update, View activity</x:v>
      </x:c>
      <x:c r="J249" s="285" t="str">
        <x:v>Name / title, code, academic year, status, owner, dates, remarks</x:v>
      </x:c>
      <x:c r="K249" s="285" t="str">
        <x:v>MVP</x:v>
      </x:c>
      <x:c r="L249" s="285" t="str">
        <x:v>Profile / Detail + Tabs</x:v>
      </x:c>
      <x:c r="M249" s="285" t="str">
        <x:v>Preserve existing role permissions, APIs and workflows; design reusable responsive UI.</x:v>
      </x:c>
      <x:c r="N249" s="226"/>
      <x:c r="O249" s="226"/>
      <x:c r="P249" s="226"/>
      <x:c r="Q249" s="226"/>
      <x:c r="R249" s="226"/>
      <x:c r="S249" s="226"/>
      <x:c r="T249" s="226"/>
      <x:c r="U249" s="226"/>
      <x:c r="V249" s="226"/>
      <x:c r="W249" s="226"/>
      <x:c r="X249" s="226"/>
      <x:c r="Y249" s="226"/>
      <x:c r="Z249" s="226"/>
    </x:row>
    <x:row r="250">
      <x:c r="A250" s="285" t="str">
        <x:v>SCR-249</x:v>
      </x:c>
      <x:c r="B250" s="285" t="str">
        <x:v>Events / PTM / Communication</x:v>
      </x:c>
      <x:c r="C250" s="285" t="str">
        <x:v>Events</x:v>
      </x:c>
      <x:c r="D250" s="285" t="str">
        <x:v>Field Trip &amp; Parent Consent</x:v>
      </x:c>
      <x:c r="E250" s="285" t="str">
        <x:v>School Admin, Principal, Teacher, Parent, Student</x:v>
      </x:c>
      <x:c r="F250" s="285" t="str">
        <x:v>School Admin / Shared</x:v>
      </x:c>
      <x:c r="G250" s="285" t="str">
        <x:v>Workflow / Management</x:v>
      </x:c>
      <x:c r="H250" s="285" t="str">
        <x:v>Manage the end-to-end field trip &amp; parent consent workflow within events / ptm / communication.</x:v>
      </x:c>
      <x:c r="I250" s="285" t="str">
        <x:v>View, Create / Update, Filter, Export / Print</x:v>
      </x:c>
      <x:c r="J250" s="285" t="str">
        <x:v>Guardian name, relationship, mobile, email, linked students, communication preferences</x:v>
      </x:c>
      <x:c r="K250" s="285" t="str">
        <x:v>Phase 2</x:v>
      </x:c>
      <x:c r="L250" s="285" t="str">
        <x:v>Workflow / Approval / Detail</x:v>
      </x:c>
      <x:c r="M250" s="285" t="str">
        <x:v>Preserve existing role permissions, APIs and workflows; design reusable responsive UI.</x:v>
      </x:c>
      <x:c r="N250" s="226"/>
      <x:c r="O250" s="226"/>
      <x:c r="P250" s="226"/>
      <x:c r="Q250" s="226"/>
      <x:c r="R250" s="226"/>
      <x:c r="S250" s="226"/>
      <x:c r="T250" s="226"/>
      <x:c r="U250" s="226"/>
      <x:c r="V250" s="226"/>
      <x:c r="W250" s="226"/>
      <x:c r="X250" s="226"/>
      <x:c r="Y250" s="226"/>
      <x:c r="Z250" s="226"/>
    </x:row>
    <x:row r="251">
      <x:c r="A251" s="285" t="str">
        <x:v>SCR-250</x:v>
      </x:c>
      <x:c r="B251" s="285" t="str">
        <x:v>Events / PTM / Communication</x:v>
      </x:c>
      <x:c r="C251" s="285" t="str">
        <x:v>Events</x:v>
      </x:c>
      <x:c r="D251" s="285" t="str">
        <x:v>PTM Setup</x:v>
      </x:c>
      <x:c r="E251" s="285" t="str">
        <x:v>Teacher, Parent, School Admin</x:v>
      </x:c>
      <x:c r="F251" s="285" t="str">
        <x:v>School Admin / Shared</x:v>
      </x:c>
      <x:c r="G251" s="285" t="str">
        <x:v>Create / Transaction</x:v>
      </x:c>
      <x:c r="H251" s="285" t="str">
        <x:v>Capture or process the ptm setup workflow while enforcing school rules and validations.</x:v>
      </x:c>
      <x:c r="I251" s="285" t="str">
        <x:v>Create, Save, Validate, Cancel</x:v>
      </x:c>
      <x:c r="J251" s="285" t="str">
        <x:v>Name / title, code, academic year, status, owner, dates, remarks</x:v>
      </x:c>
      <x:c r="K251" s="285" t="str">
        <x:v>Phase 2</x:v>
      </x:c>
      <x:c r="L251" s="285" t="str">
        <x:v>Form / Wizard</x:v>
      </x:c>
      <x:c r="M251" s="285" t="str">
        <x:v>Preserve existing role permissions, APIs and workflows; design reusable responsive UI.</x:v>
      </x:c>
      <x:c r="N251" s="226"/>
      <x:c r="O251" s="226"/>
      <x:c r="P251" s="226"/>
      <x:c r="Q251" s="226"/>
      <x:c r="R251" s="226"/>
      <x:c r="S251" s="226"/>
      <x:c r="T251" s="226"/>
      <x:c r="U251" s="226"/>
      <x:c r="V251" s="226"/>
      <x:c r="W251" s="226"/>
      <x:c r="X251" s="226"/>
      <x:c r="Y251" s="226"/>
      <x:c r="Z251" s="226"/>
    </x:row>
    <x:row r="252">
      <x:c r="A252" s="285" t="str">
        <x:v>SCR-251</x:v>
      </x:c>
      <x:c r="B252" s="285" t="str">
        <x:v>Events / PTM / Communication</x:v>
      </x:c>
      <x:c r="C252" s="285" t="str">
        <x:v>Events</x:v>
      </x:c>
      <x:c r="D252" s="285" t="str">
        <x:v>PTM Slot Booking</x:v>
      </x:c>
      <x:c r="E252" s="285" t="str">
        <x:v>Teacher, Parent, School Admin</x:v>
      </x:c>
      <x:c r="F252" s="285" t="str">
        <x:v>School Admin / Shared</x:v>
      </x:c>
      <x:c r="G252" s="285" t="str">
        <x:v>Workflow / Management</x:v>
      </x:c>
      <x:c r="H252" s="285" t="str">
        <x:v>Manage the end-to-end ptm slot booking workflow within events / ptm / communication.</x:v>
      </x:c>
      <x:c r="I252" s="285" t="str">
        <x:v>Change view, Create / Assign, Reschedule, Print</x:v>
      </x:c>
      <x:c r="J252" s="285" t="str">
        <x:v>Book ID / ISBN, title, author, category, copy, member, issue date, due date, status</x:v>
      </x:c>
      <x:c r="K252" s="285" t="str">
        <x:v>Phase 2</x:v>
      </x:c>
      <x:c r="L252" s="285" t="str">
        <x:v>Workflow / Approval / Detail</x:v>
      </x:c>
      <x:c r="M252" s="285" t="str">
        <x:v>Preserve existing role permissions, APIs and workflows; design reusable responsive UI.</x:v>
      </x:c>
      <x:c r="N252" s="226"/>
      <x:c r="O252" s="226"/>
      <x:c r="P252" s="226"/>
      <x:c r="Q252" s="226"/>
      <x:c r="R252" s="226"/>
      <x:c r="S252" s="226"/>
      <x:c r="T252" s="226"/>
      <x:c r="U252" s="226"/>
      <x:c r="V252" s="226"/>
      <x:c r="W252" s="226"/>
      <x:c r="X252" s="226"/>
      <x:c r="Y252" s="226"/>
      <x:c r="Z252" s="226"/>
    </x:row>
    <x:row r="253">
      <x:c r="A253" s="285" t="str">
        <x:v>SCR-252</x:v>
      </x:c>
      <x:c r="B253" s="285" t="str">
        <x:v>Events / PTM / Communication</x:v>
      </x:c>
      <x:c r="C253" s="285" t="str">
        <x:v>Events</x:v>
      </x:c>
      <x:c r="D253" s="285" t="str">
        <x:v>Announcements</x:v>
      </x:c>
      <x:c r="E253" s="285" t="str">
        <x:v>School Admin, Teacher, Parent, Student</x:v>
      </x:c>
      <x:c r="F253" s="285" t="str">
        <x:v>School Admin / Shared</x:v>
      </x:c>
      <x:c r="G253" s="285" t="str">
        <x:v>List / Management</x:v>
      </x:c>
      <x:c r="H253" s="285" t="str">
        <x:v>Search, filter and manage records for announcements.</x:v>
      </x:c>
      <x:c r="I253" s="285" t="str">
        <x:v>Search, Filter, Sort, Open record</x:v>
      </x:c>
      <x:c r="J253" s="285" t="str">
        <x:v>Name / title, code, academic year, status, owner, dates, remarks</x:v>
      </x:c>
      <x:c r="K253" s="285" t="str">
        <x:v>Phase 2</x:v>
      </x:c>
      <x:c r="L253" s="285" t="str">
        <x:v>Search + Filter + Data Table</x:v>
      </x:c>
      <x:c r="M253" s="285" t="str">
        <x:v>Preserve existing role permissions, APIs and workflows; design reusable responsive UI.</x:v>
      </x:c>
      <x:c r="N253" s="226"/>
      <x:c r="O253" s="226"/>
      <x:c r="P253" s="226"/>
      <x:c r="Q253" s="226"/>
      <x:c r="R253" s="226"/>
      <x:c r="S253" s="226"/>
      <x:c r="T253" s="226"/>
      <x:c r="U253" s="226"/>
      <x:c r="V253" s="226"/>
      <x:c r="W253" s="226"/>
      <x:c r="X253" s="226"/>
      <x:c r="Y253" s="226"/>
      <x:c r="Z253" s="226"/>
    </x:row>
    <x:row r="254">
      <x:c r="A254" s="285" t="str">
        <x:v>SCR-253</x:v>
      </x:c>
      <x:c r="B254" s="285" t="str">
        <x:v>Events / PTM / Communication</x:v>
      </x:c>
      <x:c r="C254" s="285" t="str">
        <x:v>Events</x:v>
      </x:c>
      <x:c r="D254" s="285" t="str">
        <x:v>Messaging / Inbox</x:v>
      </x:c>
      <x:c r="E254" s="285" t="str">
        <x:v>School Admin, Teacher, Parent, Student</x:v>
      </x:c>
      <x:c r="F254" s="285" t="str">
        <x:v>School Admin / Shared</x:v>
      </x:c>
      <x:c r="G254" s="285" t="str">
        <x:v>Workflow / Management</x:v>
      </x:c>
      <x:c r="H254" s="285" t="str">
        <x:v>Manage the end-to-end messaging / inbox workflow within events / ptm / communication.</x:v>
      </x:c>
      <x:c r="I254" s="285" t="str">
        <x:v>View, Create / Update, Filter, Export / Print</x:v>
      </x:c>
      <x:c r="J254" s="285" t="str">
        <x:v>Name / title, code, academic year, status, owner, dates, remarks</x:v>
      </x:c>
      <x:c r="K254" s="285" t="str">
        <x:v>Phase 3</x:v>
      </x:c>
      <x:c r="L254" s="285" t="str">
        <x:v>Workflow / Approval / Detail</x:v>
      </x:c>
      <x:c r="M254" s="285" t="str">
        <x:v>Preserve existing role permissions, APIs and workflows; design reusable responsive UI.</x:v>
      </x:c>
      <x:c r="N254" s="226"/>
      <x:c r="O254" s="226"/>
      <x:c r="P254" s="226"/>
      <x:c r="Q254" s="226"/>
      <x:c r="R254" s="226"/>
      <x:c r="S254" s="226"/>
      <x:c r="T254" s="226"/>
      <x:c r="U254" s="226"/>
      <x:c r="V254" s="226"/>
      <x:c r="W254" s="226"/>
      <x:c r="X254" s="226"/>
      <x:c r="Y254" s="226"/>
      <x:c r="Z254" s="226"/>
    </x:row>
    <x:row r="255">
      <x:c r="A255" s="285" t="str">
        <x:v>SCR-254</x:v>
      </x:c>
      <x:c r="B255" s="285" t="str">
        <x:v>Events / PTM / Communication</x:v>
      </x:c>
      <x:c r="C255" s="285" t="str">
        <x:v>Events</x:v>
      </x:c>
      <x:c r="D255" s="285" t="str">
        <x:v>Notification Campaigns</x:v>
      </x:c>
      <x:c r="E255" s="285" t="str">
        <x:v>School Admin, Teacher, Parent, Student</x:v>
      </x:c>
      <x:c r="F255" s="285" t="str">
        <x:v>School Admin / Shared</x:v>
      </x:c>
      <x:c r="G255" s="285" t="str">
        <x:v>Workflow / Management</x:v>
      </x:c>
      <x:c r="H255" s="285" t="str">
        <x:v>Manage the end-to-end notification campaigns workflow within events / ptm / communication.</x:v>
      </x:c>
      <x:c r="I255" s="285" t="str">
        <x:v>View, Create / Update, Filter, Export / Print</x:v>
      </x:c>
      <x:c r="J255" s="285" t="str">
        <x:v>Name / title, code, academic year, status, owner, dates, remarks</x:v>
      </x:c>
      <x:c r="K255" s="285" t="str">
        <x:v>Phase 3</x:v>
      </x:c>
      <x:c r="L255" s="285" t="str">
        <x:v>Workflow / Approval / Detail</x:v>
      </x:c>
      <x:c r="M255" s="285" t="str">
        <x:v>Preserve existing role permissions, APIs and workflows; design reusable responsive UI.</x:v>
      </x:c>
      <x:c r="N255" s="226"/>
      <x:c r="O255" s="226"/>
      <x:c r="P255" s="226"/>
      <x:c r="Q255" s="226"/>
      <x:c r="R255" s="226"/>
      <x:c r="S255" s="226"/>
      <x:c r="T255" s="226"/>
      <x:c r="U255" s="226"/>
      <x:c r="V255" s="226"/>
      <x:c r="W255" s="226"/>
      <x:c r="X255" s="226"/>
      <x:c r="Y255" s="226"/>
      <x:c r="Z255" s="226"/>
    </x:row>
    <x:row r="256">
      <x:c r="A256" s="285" t="str">
        <x:v>SCR-255</x:v>
      </x:c>
      <x:c r="B256" s="285" t="str">
        <x:v>Events / PTM / Communication</x:v>
      </x:c>
      <x:c r="C256" s="285" t="str">
        <x:v>Events</x:v>
      </x:c>
      <x:c r="D256" s="285" t="str">
        <x:v>Communication History</x:v>
      </x:c>
      <x:c r="E256" s="285" t="str">
        <x:v>School Admin, Principal, Teacher, Parent, Student</x:v>
      </x:c>
      <x:c r="F256" s="285" t="str">
        <x:v>School Admin / Shared</x:v>
      </x:c>
      <x:c r="G256" s="285" t="str">
        <x:v>Detail / Profile</x:v>
      </x:c>
      <x:c r="H256" s="285" t="str">
        <x:v>Show the complete record and related activity for communication history in one structured view.</x:v>
      </x:c>
      <x:c r="I256" s="285" t="str">
        <x:v>View, Edit, Update, View activity</x:v>
      </x:c>
      <x:c r="J256" s="285" t="str">
        <x:v>Name / title, code, academic year, status, owner, dates, remarks</x:v>
      </x:c>
      <x:c r="K256" s="285" t="str">
        <x:v>Phase 3</x:v>
      </x:c>
      <x:c r="L256" s="285" t="str">
        <x:v>Profile / Detail + Tabs</x:v>
      </x:c>
      <x:c r="M256" s="285" t="str">
        <x:v>Preserve existing role permissions, APIs and workflows; design reusable responsive UI.</x:v>
      </x:c>
      <x:c r="N256" s="226"/>
      <x:c r="O256" s="226"/>
      <x:c r="P256" s="226"/>
      <x:c r="Q256" s="226"/>
      <x:c r="R256" s="226"/>
      <x:c r="S256" s="226"/>
      <x:c r="T256" s="226"/>
      <x:c r="U256" s="226"/>
      <x:c r="V256" s="226"/>
      <x:c r="W256" s="226"/>
      <x:c r="X256" s="226"/>
      <x:c r="Y256" s="226"/>
      <x:c r="Z256" s="226"/>
    </x:row>
    <x:row r="257">
      <x:c r="A257" s="285" t="str">
        <x:v>SCR-256</x:v>
      </x:c>
      <x:c r="B257" s="285" t="str">
        <x:v>Documents &amp; Certificates</x:v>
      </x:c>
      <x:c r="C257" s="285" t="str">
        <x:v>Documents</x:v>
      </x:c>
      <x:c r="D257" s="285" t="str">
        <x:v>Document Repository</x:v>
      </x:c>
      <x:c r="E257" s="285" t="str">
        <x:v>School Admin, Admission Officer, HR, Student, Parent</x:v>
      </x:c>
      <x:c r="F257" s="285" t="str">
        <x:v>School Admin / Shared</x:v>
      </x:c>
      <x:c r="G257" s="285" t="str">
        <x:v>Workflow / Management</x:v>
      </x:c>
      <x:c r="H257" s="285" t="str">
        <x:v>Manage the end-to-end document repository workflow within documents &amp; certificates.</x:v>
      </x:c>
      <x:c r="I257" s="285" t="str">
        <x:v>View, Create / Update, Filter, Export / Print</x:v>
      </x:c>
      <x:c r="J257" s="285" t="str">
        <x:v>Document / certificate type, owner, issue/upload date, file, verification status, reference no.</x:v>
      </x:c>
      <x:c r="K257" s="285" t="str">
        <x:v>MVP</x:v>
      </x:c>
      <x:c r="L257" s="285" t="str">
        <x:v>Workflow / Approval / Detail</x:v>
      </x:c>
      <x:c r="M257" s="285" t="str">
        <x:v>Preserve existing role permissions, APIs and workflows; design reusable responsive UI.</x:v>
      </x:c>
      <x:c r="N257" s="226"/>
      <x:c r="O257" s="226"/>
      <x:c r="P257" s="226"/>
      <x:c r="Q257" s="226"/>
      <x:c r="R257" s="226"/>
      <x:c r="S257" s="226"/>
      <x:c r="T257" s="226"/>
      <x:c r="U257" s="226"/>
      <x:c r="V257" s="226"/>
      <x:c r="W257" s="226"/>
      <x:c r="X257" s="226"/>
      <x:c r="Y257" s="226"/>
      <x:c r="Z257" s="226"/>
    </x:row>
    <x:row r="258">
      <x:c r="A258" s="285" t="str">
        <x:v>SCR-257</x:v>
      </x:c>
      <x:c r="B258" s="285" t="str">
        <x:v>Documents &amp; Certificates</x:v>
      </x:c>
      <x:c r="C258" s="285" t="str">
        <x:v>Documents</x:v>
      </x:c>
      <x:c r="D258" s="285" t="str">
        <x:v>Student Documents</x:v>
      </x:c>
      <x:c r="E258" s="285" t="str">
        <x:v>School Admin, Student, Parent, Admission Officer</x:v>
      </x:c>
      <x:c r="F258" s="285" t="str">
        <x:v>School Admin / Shared</x:v>
      </x:c>
      <x:c r="G258" s="285" t="str">
        <x:v>Workflow / Management</x:v>
      </x:c>
      <x:c r="H258" s="285" t="str">
        <x:v>Manage the end-to-end student documents workflow within documents &amp; certificates.</x:v>
      </x:c>
      <x:c r="I258" s="285" t="str">
        <x:v>View, Create / Update, Filter, Export / Print</x:v>
      </x:c>
      <x:c r="J258" s="285" t="str">
        <x:v>Student ID, admission no., name, class, section, status, parent, academic year</x:v>
      </x:c>
      <x:c r="K258" s="285" t="str">
        <x:v>MVP</x:v>
      </x:c>
      <x:c r="L258" s="285" t="str">
        <x:v>Workflow / Approval / Detail</x:v>
      </x:c>
      <x:c r="M258" s="285" t="str">
        <x:v>Preserve existing role permissions, APIs and workflows; design reusable responsive UI.</x:v>
      </x:c>
      <x:c r="N258" s="226"/>
      <x:c r="O258" s="226"/>
      <x:c r="P258" s="226"/>
      <x:c r="Q258" s="226"/>
      <x:c r="R258" s="226"/>
      <x:c r="S258" s="226"/>
      <x:c r="T258" s="226"/>
      <x:c r="U258" s="226"/>
      <x:c r="V258" s="226"/>
      <x:c r="W258" s="226"/>
      <x:c r="X258" s="226"/>
      <x:c r="Y258" s="226"/>
      <x:c r="Z258" s="226"/>
    </x:row>
    <x:row r="259">
      <x:c r="A259" s="285" t="str">
        <x:v>SCR-258</x:v>
      </x:c>
      <x:c r="B259" s="285" t="str">
        <x:v>Documents &amp; Certificates</x:v>
      </x:c>
      <x:c r="C259" s="285" t="str">
        <x:v>Documents</x:v>
      </x:c>
      <x:c r="D259" s="285" t="str">
        <x:v>Staff Documents</x:v>
      </x:c>
      <x:c r="E259" s="285" t="str">
        <x:v>HR, School Admin, Employee</x:v>
      </x:c>
      <x:c r="F259" s="285" t="str">
        <x:v>School Admin / Shared</x:v>
      </x:c>
      <x:c r="G259" s="285" t="str">
        <x:v>Workflow / Management</x:v>
      </x:c>
      <x:c r="H259" s="285" t="str">
        <x:v>Manage the end-to-end staff documents workflow within documents &amp; certificates.</x:v>
      </x:c>
      <x:c r="I259" s="285" t="str">
        <x:v>View, Create / Update, Filter, Export / Print</x:v>
      </x:c>
      <x:c r="J259" s="285" t="str">
        <x:v>Employee ID, name, department, designation, subjects, contact, status</x:v>
      </x:c>
      <x:c r="K259" s="285" t="str">
        <x:v>Phase 2</x:v>
      </x:c>
      <x:c r="L259" s="285" t="str">
        <x:v>Workflow / Approval / Detail</x:v>
      </x:c>
      <x:c r="M259" s="285" t="str">
        <x:v>Preserve existing role permissions, APIs and workflows; design reusable responsive UI.</x:v>
      </x:c>
      <x:c r="N259" s="226"/>
      <x:c r="O259" s="226"/>
      <x:c r="P259" s="226"/>
      <x:c r="Q259" s="226"/>
      <x:c r="R259" s="226"/>
      <x:c r="S259" s="226"/>
      <x:c r="T259" s="226"/>
      <x:c r="U259" s="226"/>
      <x:c r="V259" s="226"/>
      <x:c r="W259" s="226"/>
      <x:c r="X259" s="226"/>
      <x:c r="Y259" s="226"/>
      <x:c r="Z259" s="226"/>
    </x:row>
    <x:row r="260">
      <x:c r="A260" s="285" t="str">
        <x:v>SCR-259</x:v>
      </x:c>
      <x:c r="B260" s="285" t="str">
        <x:v>Documents &amp; Certificates</x:v>
      </x:c>
      <x:c r="C260" s="285" t="str">
        <x:v>Documents</x:v>
      </x:c>
      <x:c r="D260" s="285" t="str">
        <x:v>Upload &amp; Verification</x:v>
      </x:c>
      <x:c r="E260" s="285" t="str">
        <x:v>School Admin, Admission Officer, HR, Student, Parent</x:v>
      </x:c>
      <x:c r="F260" s="285" t="str">
        <x:v>School Admin / Shared</x:v>
      </x:c>
      <x:c r="G260" s="285" t="str">
        <x:v>Workflow / Management</x:v>
      </x:c>
      <x:c r="H260" s="285" t="str">
        <x:v>Manage the end-to-end upload &amp; verification workflow within documents &amp; certificates.</x:v>
      </x:c>
      <x:c r="I260" s="285" t="str">
        <x:v>Review, Approve / Reject, Comment, Track status, Upload</x:v>
      </x:c>
      <x:c r="J260" s="285" t="str">
        <x:v>Name / title, code, academic year, status, owner, dates, remarks</x:v>
      </x:c>
      <x:c r="K260" s="285" t="str">
        <x:v>Phase 2</x:v>
      </x:c>
      <x:c r="L260" s="285" t="str">
        <x:v>Workflow / Approval / Detail</x:v>
      </x:c>
      <x:c r="M260" s="285" t="str">
        <x:v>Preserve existing role permissions, APIs and workflows; design reusable responsive UI.</x:v>
      </x:c>
      <x:c r="N260" s="226"/>
      <x:c r="O260" s="226"/>
      <x:c r="P260" s="226"/>
      <x:c r="Q260" s="226"/>
      <x:c r="R260" s="226"/>
      <x:c r="S260" s="226"/>
      <x:c r="T260" s="226"/>
      <x:c r="U260" s="226"/>
      <x:c r="V260" s="226"/>
      <x:c r="W260" s="226"/>
      <x:c r="X260" s="226"/>
      <x:c r="Y260" s="226"/>
      <x:c r="Z260" s="226"/>
    </x:row>
    <x:row r="261">
      <x:c r="A261" s="285" t="str">
        <x:v>SCR-260</x:v>
      </x:c>
      <x:c r="B261" s="285" t="str">
        <x:v>Documents &amp; Certificates</x:v>
      </x:c>
      <x:c r="C261" s="285" t="str">
        <x:v>Documents</x:v>
      </x:c>
      <x:c r="D261" s="285" t="str">
        <x:v>Certificate Templates</x:v>
      </x:c>
      <x:c r="E261" s="285" t="str">
        <x:v>School Admin, Admission Officer, HR, Student, Parent</x:v>
      </x:c>
      <x:c r="F261" s="285" t="str">
        <x:v>School Admin / Shared</x:v>
      </x:c>
      <x:c r="G261" s="285" t="str">
        <x:v>Configuration</x:v>
      </x:c>
      <x:c r="H261" s="285" t="str">
        <x:v>Configure certificate templates rules and master data used across the ERP.</x:v>
      </x:c>
      <x:c r="I261" s="285" t="str">
        <x:v>View, Create / Update, Filter, Export / Print</x:v>
      </x:c>
      <x:c r="J261" s="285" t="str">
        <x:v>Document / certificate type, owner, issue/upload date, file, verification status, reference no.</x:v>
      </x:c>
      <x:c r="K261" s="285" t="str">
        <x:v>Phase 2</x:v>
      </x:c>
      <x:c r="L261" s="285" t="str">
        <x:v>Settings / Master Data</x:v>
      </x:c>
      <x:c r="M261" s="285" t="str">
        <x:v>Preserve existing role permissions, APIs and workflows; design reusable responsive UI.</x:v>
      </x:c>
      <x:c r="N261" s="226"/>
      <x:c r="O261" s="226"/>
      <x:c r="P261" s="226"/>
      <x:c r="Q261" s="226"/>
      <x:c r="R261" s="226"/>
      <x:c r="S261" s="226"/>
      <x:c r="T261" s="226"/>
      <x:c r="U261" s="226"/>
      <x:c r="V261" s="226"/>
      <x:c r="W261" s="226"/>
      <x:c r="X261" s="226"/>
      <x:c r="Y261" s="226"/>
      <x:c r="Z261" s="226"/>
    </x:row>
    <x:row r="262">
      <x:c r="A262" s="285" t="str">
        <x:v>SCR-261</x:v>
      </x:c>
      <x:c r="B262" s="285" t="str">
        <x:v>Documents &amp; Certificates</x:v>
      </x:c>
      <x:c r="C262" s="285" t="str">
        <x:v>Documents</x:v>
      </x:c>
      <x:c r="D262" s="285" t="str">
        <x:v>Generate Certificate</x:v>
      </x:c>
      <x:c r="E262" s="285" t="str">
        <x:v>School Admin, Admission Officer, HR, Student, Parent</x:v>
      </x:c>
      <x:c r="F262" s="285" t="str">
        <x:v>School Admin / Shared</x:v>
      </x:c>
      <x:c r="G262" s="285" t="str">
        <x:v>Create / Transaction</x:v>
      </x:c>
      <x:c r="H262" s="285" t="str">
        <x:v>Capture or process the generate certificate workflow while enforcing school rules and validations.</x:v>
      </x:c>
      <x:c r="I262" s="285" t="str">
        <x:v>View, Create / Update, Filter, Export / Print</x:v>
      </x:c>
      <x:c r="J262" s="285" t="str">
        <x:v>Document / certificate type, owner, issue/upload date, file, verification status, reference no.</x:v>
      </x:c>
      <x:c r="K262" s="285" t="str">
        <x:v>Phase 3</x:v>
      </x:c>
      <x:c r="L262" s="285" t="str">
        <x:v>Form / Wizard</x:v>
      </x:c>
      <x:c r="M262" s="285" t="str">
        <x:v>Preserve existing role permissions, APIs and workflows; design reusable responsive UI.</x:v>
      </x:c>
      <x:c r="N262" s="226"/>
      <x:c r="O262" s="226"/>
      <x:c r="P262" s="226"/>
      <x:c r="Q262" s="226"/>
      <x:c r="R262" s="226"/>
      <x:c r="S262" s="226"/>
      <x:c r="T262" s="226"/>
      <x:c r="U262" s="226"/>
      <x:c r="V262" s="226"/>
      <x:c r="W262" s="226"/>
      <x:c r="X262" s="226"/>
      <x:c r="Y262" s="226"/>
      <x:c r="Z262" s="226"/>
    </x:row>
    <x:row r="263">
      <x:c r="A263" s="285" t="str">
        <x:v>SCR-262</x:v>
      </x:c>
      <x:c r="B263" s="285" t="str">
        <x:v>Documents &amp; Certificates</x:v>
      </x:c>
      <x:c r="C263" s="285" t="str">
        <x:v>Documents</x:v>
      </x:c>
      <x:c r="D263" s="285" t="str">
        <x:v>Transfer Certificate</x:v>
      </x:c>
      <x:c r="E263" s="285" t="str">
        <x:v>School Admin, Student, Parent, Admission Officer</x:v>
      </x:c>
      <x:c r="F263" s="285" t="str">
        <x:v>School Admin / Shared</x:v>
      </x:c>
      <x:c r="G263" s="285" t="str">
        <x:v>Workflow / Management</x:v>
      </x:c>
      <x:c r="H263" s="285" t="str">
        <x:v>Manage the end-to-end transfer certificate workflow within documents &amp; certificates.</x:v>
      </x:c>
      <x:c r="I263" s="285" t="str">
        <x:v>View, Create / Update, Filter, Export / Print</x:v>
      </x:c>
      <x:c r="J263" s="285" t="str">
        <x:v>Document / certificate type, owner, issue/upload date, file, verification status, reference no.</x:v>
      </x:c>
      <x:c r="K263" s="285" t="str">
        <x:v>Phase 3</x:v>
      </x:c>
      <x:c r="L263" s="285" t="str">
        <x:v>Workflow / Approval / Detail</x:v>
      </x:c>
      <x:c r="M263" s="285" t="str">
        <x:v>Preserve existing role permissions, APIs and workflows; design reusable responsive UI.</x:v>
      </x:c>
      <x:c r="N263" s="226"/>
      <x:c r="O263" s="226"/>
      <x:c r="P263" s="226"/>
      <x:c r="Q263" s="226"/>
      <x:c r="R263" s="226"/>
      <x:c r="S263" s="226"/>
      <x:c r="T263" s="226"/>
      <x:c r="U263" s="226"/>
      <x:c r="V263" s="226"/>
      <x:c r="W263" s="226"/>
      <x:c r="X263" s="226"/>
      <x:c r="Y263" s="226"/>
      <x:c r="Z263" s="226"/>
    </x:row>
    <x:row r="264">
      <x:c r="A264" s="285" t="str">
        <x:v>SCR-263</x:v>
      </x:c>
      <x:c r="B264" s="285" t="str">
        <x:v>Documents &amp; Certificates</x:v>
      </x:c>
      <x:c r="C264" s="285" t="str">
        <x:v>Documents</x:v>
      </x:c>
      <x:c r="D264" s="285" t="str">
        <x:v>Certificate Register</x:v>
      </x:c>
      <x:c r="E264" s="285" t="str">
        <x:v>School Admin, Admission Officer, HR, Student, Parent</x:v>
      </x:c>
      <x:c r="F264" s="285" t="str">
        <x:v>School Admin / Shared</x:v>
      </x:c>
      <x:c r="G264" s="285" t="str">
        <x:v>Detail / Profile</x:v>
      </x:c>
      <x:c r="H264" s="285" t="str">
        <x:v>Show the complete record and related activity for certificate register in one structured view.</x:v>
      </x:c>
      <x:c r="I264" s="285" t="str">
        <x:v>View, Edit, Update, View activity</x:v>
      </x:c>
      <x:c r="J264" s="285" t="str">
        <x:v>Document / certificate type, owner, issue/upload date, file, verification status, reference no.</x:v>
      </x:c>
      <x:c r="K264" s="285" t="str">
        <x:v>Phase 3</x:v>
      </x:c>
      <x:c r="L264" s="285" t="str">
        <x:v>Profile / Detail + Tabs</x:v>
      </x:c>
      <x:c r="M264" s="285" t="str">
        <x:v>Preserve existing role permissions, APIs and workflows; design reusable responsive UI.</x:v>
      </x:c>
      <x:c r="N264" s="226"/>
      <x:c r="O264" s="226"/>
      <x:c r="P264" s="226"/>
      <x:c r="Q264" s="226"/>
      <x:c r="R264" s="226"/>
      <x:c r="S264" s="226"/>
      <x:c r="T264" s="226"/>
      <x:c r="U264" s="226"/>
      <x:c r="V264" s="226"/>
      <x:c r="W264" s="226"/>
      <x:c r="X264" s="226"/>
      <x:c r="Y264" s="226"/>
      <x:c r="Z264" s="226"/>
    </x:row>
    <x:row r="265">
      <x:c r="A265" s="285" t="str">
        <x:v>SCR-264</x:v>
      </x:c>
      <x:c r="B265" s="285" t="str">
        <x:v>Reports &amp; Analytics</x:v>
      </x:c>
      <x:c r="C265" s="285" t="str">
        <x:v>Analytics &amp; Reporting</x:v>
      </x:c>
      <x:c r="D265" s="285" t="str">
        <x:v>Executive Analytics Dashboard</x:v>
      </x:c>
      <x:c r="E265" s="285" t="str">
        <x:v>School Admin, Principal, Owner / Director, Department Heads</x:v>
      </x:c>
      <x:c r="F265" s="285" t="str">
        <x:v>School Admin / Shared</x:v>
      </x:c>
      <x:c r="G265" s="285" t="str">
        <x:v>Dashboard</x:v>
      </x:c>
      <x:c r="H265" s="285" t="str">
        <x:v>Provide an at-a-glance operational view of reports &amp; analytics with key status, alerts and shortcuts.</x:v>
      </x:c>
      <x:c r="I265" s="285" t="str">
        <x:v>Filter, Drill down, Export, Print</x:v>
      </x:c>
      <x:c r="J265" s="285" t="str">
        <x:v>KPIs, alerts, recent activity, pending actions, date / academic-year filters</x:v>
      </x:c>
      <x:c r="K265" s="285" t="str">
        <x:v>MVP</x:v>
      </x:c>
      <x:c r="L265" s="285" t="str">
        <x:v>Dashboard + KPI Cards</x:v>
      </x:c>
      <x:c r="M265" s="285" t="str">
        <x:v>Preserve existing role permissions, APIs and workflows; design reusable responsive UI.</x:v>
      </x:c>
      <x:c r="N265" s="226"/>
      <x:c r="O265" s="226"/>
      <x:c r="P265" s="226"/>
      <x:c r="Q265" s="226"/>
      <x:c r="R265" s="226"/>
      <x:c r="S265" s="226"/>
      <x:c r="T265" s="226"/>
      <x:c r="U265" s="226"/>
      <x:c r="V265" s="226"/>
      <x:c r="W265" s="226"/>
      <x:c r="X265" s="226"/>
      <x:c r="Y265" s="226"/>
      <x:c r="Z265" s="226"/>
    </x:row>
    <x:row r="266">
      <x:c r="A266" s="285" t="str">
        <x:v>SCR-265</x:v>
      </x:c>
      <x:c r="B266" s="285" t="str">
        <x:v>Reports &amp; Analytics</x:v>
      </x:c>
      <x:c r="C266" s="285" t="str">
        <x:v>Analytics &amp; Reporting</x:v>
      </x:c>
      <x:c r="D266" s="285" t="str">
        <x:v>Admission Reports</x:v>
      </x:c>
      <x:c r="E266" s="285" t="str">
        <x:v>School Admin, Principal, Owner / Director, Department Heads</x:v>
      </x:c>
      <x:c r="F266" s="285" t="str">
        <x:v>School Admin / Shared</x:v>
      </x:c>
      <x:c r="G266" s="285" t="str">
        <x:v>Report / Analytics</x:v>
      </x:c>
      <x:c r="H266" s="285" t="str">
        <x:v>Analyze admission reports data using filters, summaries and export-ready results.</x:v>
      </x:c>
      <x:c r="I266" s="285" t="str">
        <x:v>Filter, Drill down, Export, Print</x:v>
      </x:c>
      <x:c r="J266" s="285" t="str">
        <x:v>Name / title, code, academic year, status, owner, dates, remarks</x:v>
      </x:c>
      <x:c r="K266" s="285" t="str">
        <x:v>MVP</x:v>
      </x:c>
      <x:c r="L266" s="285" t="str">
        <x:v>Filters + KPI + Table / Chart</x:v>
      </x:c>
      <x:c r="M266" s="285" t="str">
        <x:v>Preserve existing role permissions, APIs and workflows; design reusable responsive UI.</x:v>
      </x:c>
      <x:c r="N266" s="226"/>
      <x:c r="O266" s="226"/>
      <x:c r="P266" s="226"/>
      <x:c r="Q266" s="226"/>
      <x:c r="R266" s="226"/>
      <x:c r="S266" s="226"/>
      <x:c r="T266" s="226"/>
      <x:c r="U266" s="226"/>
      <x:c r="V266" s="226"/>
      <x:c r="W266" s="226"/>
      <x:c r="X266" s="226"/>
      <x:c r="Y266" s="226"/>
      <x:c r="Z266" s="226"/>
    </x:row>
    <x:row r="267">
      <x:c r="A267" s="285" t="str">
        <x:v>SCR-266</x:v>
      </x:c>
      <x:c r="B267" s="285" t="str">
        <x:v>Reports &amp; Analytics</x:v>
      </x:c>
      <x:c r="C267" s="285" t="str">
        <x:v>Analytics &amp; Reporting</x:v>
      </x:c>
      <x:c r="D267" s="285" t="str">
        <x:v>Student Strength Report</x:v>
      </x:c>
      <x:c r="E267" s="285" t="str">
        <x:v>School Admin, Principal, Owner / Director, Department Heads</x:v>
      </x:c>
      <x:c r="F267" s="285" t="str">
        <x:v>School Admin / Shared</x:v>
      </x:c>
      <x:c r="G267" s="285" t="str">
        <x:v>Report / Analytics</x:v>
      </x:c>
      <x:c r="H267" s="285" t="str">
        <x:v>Analyze student strength report data using filters, summaries and export-ready results.</x:v>
      </x:c>
      <x:c r="I267" s="285" t="str">
        <x:v>Filter, Drill down, Export, Print</x:v>
      </x:c>
      <x:c r="J267" s="285" t="str">
        <x:v>Student ID, admission no., name, class, section, status, parent, academic year</x:v>
      </x:c>
      <x:c r="K267" s="285" t="str">
        <x:v>MVP</x:v>
      </x:c>
      <x:c r="L267" s="285" t="str">
        <x:v>Filters + KPI + Table / Chart</x:v>
      </x:c>
      <x:c r="M267" s="285" t="str">
        <x:v>Preserve existing role permissions, APIs and workflows; design reusable responsive UI.</x:v>
      </x:c>
      <x:c r="N267" s="226"/>
      <x:c r="O267" s="226"/>
      <x:c r="P267" s="226"/>
      <x:c r="Q267" s="226"/>
      <x:c r="R267" s="226"/>
      <x:c r="S267" s="226"/>
      <x:c r="T267" s="226"/>
      <x:c r="U267" s="226"/>
      <x:c r="V267" s="226"/>
      <x:c r="W267" s="226"/>
      <x:c r="X267" s="226"/>
      <x:c r="Y267" s="226"/>
      <x:c r="Z267" s="226"/>
    </x:row>
    <x:row r="268">
      <x:c r="A268" s="285" t="str">
        <x:v>SCR-267</x:v>
      </x:c>
      <x:c r="B268" s="285" t="str">
        <x:v>Reports &amp; Analytics</x:v>
      </x:c>
      <x:c r="C268" s="285" t="str">
        <x:v>Analytics &amp; Reporting</x:v>
      </x:c>
      <x:c r="D268" s="285" t="str">
        <x:v>Student Demographics</x:v>
      </x:c>
      <x:c r="E268" s="285" t="str">
        <x:v>School Admin, Principal, Owner / Director, Department Heads</x:v>
      </x:c>
      <x:c r="F268" s="285" t="str">
        <x:v>School Admin / Shared</x:v>
      </x:c>
      <x:c r="G268" s="285" t="str">
        <x:v>Workflow / Management</x:v>
      </x:c>
      <x:c r="H268" s="285" t="str">
        <x:v>Manage the end-to-end student demographics workflow within reports &amp; analytics.</x:v>
      </x:c>
      <x:c r="I268" s="285" t="str">
        <x:v>View, Create / Update, Filter, Export / Print</x:v>
      </x:c>
      <x:c r="J268" s="285" t="str">
        <x:v>Student ID, admission no., name, class, section, status, parent, academic year</x:v>
      </x:c>
      <x:c r="K268" s="285" t="str">
        <x:v>MVP</x:v>
      </x:c>
      <x:c r="L268" s="285" t="str">
        <x:v>Workflow / Approval / Detail</x:v>
      </x:c>
      <x:c r="M268" s="285" t="str">
        <x:v>Preserve existing role permissions, APIs and workflows; design reusable responsive UI.</x:v>
      </x:c>
      <x:c r="N268" s="226"/>
      <x:c r="O268" s="226"/>
      <x:c r="P268" s="226"/>
      <x:c r="Q268" s="226"/>
      <x:c r="R268" s="226"/>
      <x:c r="S268" s="226"/>
      <x:c r="T268" s="226"/>
      <x:c r="U268" s="226"/>
      <x:c r="V268" s="226"/>
      <x:c r="W268" s="226"/>
      <x:c r="X268" s="226"/>
      <x:c r="Y268" s="226"/>
      <x:c r="Z268" s="226"/>
    </x:row>
    <x:row r="269">
      <x:c r="A269" s="285" t="str">
        <x:v>SCR-268</x:v>
      </x:c>
      <x:c r="B269" s="285" t="str">
        <x:v>Reports &amp; Analytics</x:v>
      </x:c>
      <x:c r="C269" s="285" t="str">
        <x:v>Analytics &amp; Reporting</x:v>
      </x:c>
      <x:c r="D269" s="285" t="str">
        <x:v>Attendance Analytics</x:v>
      </x:c>
      <x:c r="E269" s="285" t="str">
        <x:v>School Admin, Principal, Owner / Director, Department Heads</x:v>
      </x:c>
      <x:c r="F269" s="285" t="str">
        <x:v>School Admin / Shared</x:v>
      </x:c>
      <x:c r="G269" s="285" t="str">
        <x:v>Report / Analytics</x:v>
      </x:c>
      <x:c r="H269" s="285" t="str">
        <x:v>Analyze attendance analytics data using filters, summaries and export-ready results.</x:v>
      </x:c>
      <x:c r="I269" s="285" t="str">
        <x:v>Filter, Drill down, Export, Print</x:v>
      </x:c>
      <x:c r="J269" s="285" t="str">
        <x:v>Date, class, section, student, status, period, reason, remarks</x:v>
      </x:c>
      <x:c r="K269" s="285" t="str">
        <x:v>Phase 2</x:v>
      </x:c>
      <x:c r="L269" s="285" t="str">
        <x:v>Filters + KPI + Table / Chart</x:v>
      </x:c>
      <x:c r="M269" s="285" t="str">
        <x:v>Preserve existing role permissions, APIs and workflows; design reusable responsive UI.</x:v>
      </x:c>
      <x:c r="N269" s="226"/>
      <x:c r="O269" s="226"/>
      <x:c r="P269" s="226"/>
      <x:c r="Q269" s="226"/>
      <x:c r="R269" s="226"/>
      <x:c r="S269" s="226"/>
      <x:c r="T269" s="226"/>
      <x:c r="U269" s="226"/>
      <x:c r="V269" s="226"/>
      <x:c r="W269" s="226"/>
      <x:c r="X269" s="226"/>
      <x:c r="Y269" s="226"/>
      <x:c r="Z269" s="226"/>
    </x:row>
    <x:row r="270">
      <x:c r="A270" s="285" t="str">
        <x:v>SCR-269</x:v>
      </x:c>
      <x:c r="B270" s="285" t="str">
        <x:v>Reports &amp; Analytics</x:v>
      </x:c>
      <x:c r="C270" s="285" t="str">
        <x:v>Analytics &amp; Reporting</x:v>
      </x:c>
      <x:c r="D270" s="285" t="str">
        <x:v>Chronic Absenteeism Report</x:v>
      </x:c>
      <x:c r="E270" s="285" t="str">
        <x:v>School Admin, Principal, Owner / Director, Department Heads</x:v>
      </x:c>
      <x:c r="F270" s="285" t="str">
        <x:v>School Admin / Shared</x:v>
      </x:c>
      <x:c r="G270" s="285" t="str">
        <x:v>Report / Analytics</x:v>
      </x:c>
      <x:c r="H270" s="285" t="str">
        <x:v>Analyze chronic absenteeism report data using filters, summaries and export-ready results.</x:v>
      </x:c>
      <x:c r="I270" s="285" t="str">
        <x:v>Filter, Drill down, Export, Print</x:v>
      </x:c>
      <x:c r="J270" s="285" t="str">
        <x:v>Name / title, code, academic year, status, owner, dates, remarks</x:v>
      </x:c>
      <x:c r="K270" s="285" t="str">
        <x:v>Phase 2</x:v>
      </x:c>
      <x:c r="L270" s="285" t="str">
        <x:v>Filters + KPI + Table / Chart</x:v>
      </x:c>
      <x:c r="M270" s="285" t="str">
        <x:v>Preserve existing role permissions, APIs and workflows; design reusable responsive UI.</x:v>
      </x:c>
      <x:c r="N270" s="226"/>
      <x:c r="O270" s="226"/>
      <x:c r="P270" s="226"/>
      <x:c r="Q270" s="226"/>
      <x:c r="R270" s="226"/>
      <x:c r="S270" s="226"/>
      <x:c r="T270" s="226"/>
      <x:c r="U270" s="226"/>
      <x:c r="V270" s="226"/>
      <x:c r="W270" s="226"/>
      <x:c r="X270" s="226"/>
      <x:c r="Y270" s="226"/>
      <x:c r="Z270" s="226"/>
    </x:row>
    <x:row r="271">
      <x:c r="A271" s="285" t="str">
        <x:v>SCR-270</x:v>
      </x:c>
      <x:c r="B271" s="285" t="str">
        <x:v>Reports &amp; Analytics</x:v>
      </x:c>
      <x:c r="C271" s="285" t="str">
        <x:v>Analytics &amp; Reporting</x:v>
      </x:c>
      <x:c r="D271" s="285" t="str">
        <x:v>Academic Performance</x:v>
      </x:c>
      <x:c r="E271" s="285" t="str">
        <x:v>School Admin, Principal, Owner / Director, Department Heads</x:v>
      </x:c>
      <x:c r="F271" s="285" t="str">
        <x:v>School Admin / Shared</x:v>
      </x:c>
      <x:c r="G271" s="285" t="str">
        <x:v>Workflow / Management</x:v>
      </x:c>
      <x:c r="H271" s="285" t="str">
        <x:v>Manage the end-to-end academic performance workflow within reports &amp; analytics.</x:v>
      </x:c>
      <x:c r="I271" s="285" t="str">
        <x:v>View, Create / Update, Filter, Export / Print</x:v>
      </x:c>
      <x:c r="J271" s="285" t="str">
        <x:v>Name / title, code, academic year, status, owner, dates, remarks</x:v>
      </x:c>
      <x:c r="K271" s="285" t="str">
        <x:v>Phase 2</x:v>
      </x:c>
      <x:c r="L271" s="285" t="str">
        <x:v>Workflow / Approval / Detail</x:v>
      </x:c>
      <x:c r="M271" s="285" t="str">
        <x:v>Preserve existing role permissions, APIs and workflows; design reusable responsive UI.</x:v>
      </x:c>
      <x:c r="N271" s="226"/>
      <x:c r="O271" s="226"/>
      <x:c r="P271" s="226"/>
      <x:c r="Q271" s="226"/>
      <x:c r="R271" s="226"/>
      <x:c r="S271" s="226"/>
      <x:c r="T271" s="226"/>
      <x:c r="U271" s="226"/>
      <x:c r="V271" s="226"/>
      <x:c r="W271" s="226"/>
      <x:c r="X271" s="226"/>
      <x:c r="Y271" s="226"/>
      <x:c r="Z271" s="226"/>
    </x:row>
    <x:row r="272">
      <x:c r="A272" s="285" t="str">
        <x:v>SCR-271</x:v>
      </x:c>
      <x:c r="B272" s="285" t="str">
        <x:v>Reports &amp; Analytics</x:v>
      </x:c>
      <x:c r="C272" s="285" t="str">
        <x:v>Analytics &amp; Reporting</x:v>
      </x:c>
      <x:c r="D272" s="285" t="str">
        <x:v>Subject Performance</x:v>
      </x:c>
      <x:c r="E272" s="285" t="str">
        <x:v>School Admin, Principal, Owner / Director, Department Heads</x:v>
      </x:c>
      <x:c r="F272" s="285" t="str">
        <x:v>School Admin / Shared</x:v>
      </x:c>
      <x:c r="G272" s="285" t="str">
        <x:v>Workflow / Management</x:v>
      </x:c>
      <x:c r="H272" s="285" t="str">
        <x:v>Manage the end-to-end subject performance workflow within reports &amp; analytics.</x:v>
      </x:c>
      <x:c r="I272" s="285" t="str">
        <x:v>View, Create / Update, Filter, Export / Print</x:v>
      </x:c>
      <x:c r="J272" s="285" t="str">
        <x:v>Name / title, code, academic year, status, owner, dates, remarks</x:v>
      </x:c>
      <x:c r="K272" s="285" t="str">
        <x:v>Phase 2</x:v>
      </x:c>
      <x:c r="L272" s="285" t="str">
        <x:v>Workflow / Approval / Detail</x:v>
      </x:c>
      <x:c r="M272" s="285" t="str">
        <x:v>Preserve existing role permissions, APIs and workflows; design reusable responsive UI.</x:v>
      </x:c>
      <x:c r="N272" s="226"/>
      <x:c r="O272" s="226"/>
      <x:c r="P272" s="226"/>
      <x:c r="Q272" s="226"/>
      <x:c r="R272" s="226"/>
      <x:c r="S272" s="226"/>
      <x:c r="T272" s="226"/>
      <x:c r="U272" s="226"/>
      <x:c r="V272" s="226"/>
      <x:c r="W272" s="226"/>
      <x:c r="X272" s="226"/>
      <x:c r="Y272" s="226"/>
      <x:c r="Z272" s="226"/>
    </x:row>
    <x:row r="273">
      <x:c r="A273" s="285" t="str">
        <x:v>SCR-272</x:v>
      </x:c>
      <x:c r="B273" s="285" t="str">
        <x:v>Reports &amp; Analytics</x:v>
      </x:c>
      <x:c r="C273" s="285" t="str">
        <x:v>Analytics &amp; Reporting</x:v>
      </x:c>
      <x:c r="D273" s="285" t="str">
        <x:v>Exam Result Analysis</x:v>
      </x:c>
      <x:c r="E273" s="285" t="str">
        <x:v>School Admin, Principal, Owner / Director, Department Heads</x:v>
      </x:c>
      <x:c r="F273" s="285" t="str">
        <x:v>School Admin / Shared</x:v>
      </x:c>
      <x:c r="G273" s="285" t="str">
        <x:v>Detail / Profile</x:v>
      </x:c>
      <x:c r="H273" s="285" t="str">
        <x:v>Show the complete record and related activity for exam result analysis in one structured view.</x:v>
      </x:c>
      <x:c r="I273" s="285" t="str">
        <x:v>View, Create / Update, Filter, Export / Print</x:v>
      </x:c>
      <x:c r="J273" s="285" t="str">
        <x:v>Exam, class, subject, date, max marks, pass marks, score, grade, remarks</x:v>
      </x:c>
      <x:c r="K273" s="285" t="str">
        <x:v>Phase 2</x:v>
      </x:c>
      <x:c r="L273" s="285" t="str">
        <x:v>Profile / Detail + Tabs</x:v>
      </x:c>
      <x:c r="M273" s="285" t="str">
        <x:v>Preserve existing role permissions, APIs and workflows; design reusable responsive UI.</x:v>
      </x:c>
      <x:c r="N273" s="226"/>
      <x:c r="O273" s="226"/>
      <x:c r="P273" s="226"/>
      <x:c r="Q273" s="226"/>
      <x:c r="R273" s="226"/>
      <x:c r="S273" s="226"/>
      <x:c r="T273" s="226"/>
      <x:c r="U273" s="226"/>
      <x:c r="V273" s="226"/>
      <x:c r="W273" s="226"/>
      <x:c r="X273" s="226"/>
      <x:c r="Y273" s="226"/>
      <x:c r="Z273" s="226"/>
    </x:row>
    <x:row r="274">
      <x:c r="A274" s="285" t="str">
        <x:v>SCR-273</x:v>
      </x:c>
      <x:c r="B274" s="285" t="str">
        <x:v>Reports &amp; Analytics</x:v>
      </x:c>
      <x:c r="C274" s="285" t="str">
        <x:v>Analytics &amp; Reporting</x:v>
      </x:c>
      <x:c r="D274" s="285" t="str">
        <x:v>Fee Collection Report</x:v>
      </x:c>
      <x:c r="E274" s="285" t="str">
        <x:v>School Admin, Principal, Owner / Director, Department Heads</x:v>
      </x:c>
      <x:c r="F274" s="285" t="str">
        <x:v>School Admin / Shared</x:v>
      </x:c>
      <x:c r="G274" s="285" t="str">
        <x:v>Create / Transaction</x:v>
      </x:c>
      <x:c r="H274" s="285" t="str">
        <x:v>Capture or process the fee collection report workflow while enforcing school rules and validations.</x:v>
      </x:c>
      <x:c r="I274" s="285" t="str">
        <x:v>Filter, Drill down, Export, Print, Calculate</x:v>
      </x:c>
      <x:c r="J274" s="285" t="str">
        <x:v>Student / account, fee head, amount, due date, paid amount, balance, payment mode, receipt</x:v>
      </x:c>
      <x:c r="K274" s="285" t="str">
        <x:v>Phase 2</x:v>
      </x:c>
      <x:c r="L274" s="285" t="str">
        <x:v>Form / Wizard</x:v>
      </x:c>
      <x:c r="M274" s="285" t="str">
        <x:v>Preserve existing role permissions, APIs and workflows; design reusable responsive UI.</x:v>
      </x:c>
      <x:c r="N274" s="226"/>
      <x:c r="O274" s="226"/>
      <x:c r="P274" s="226"/>
      <x:c r="Q274" s="226"/>
      <x:c r="R274" s="226"/>
      <x:c r="S274" s="226"/>
      <x:c r="T274" s="226"/>
      <x:c r="U274" s="226"/>
      <x:c r="V274" s="226"/>
      <x:c r="W274" s="226"/>
      <x:c r="X274" s="226"/>
      <x:c r="Y274" s="226"/>
      <x:c r="Z274" s="226"/>
    </x:row>
    <x:row r="275">
      <x:c r="A275" s="285" t="str">
        <x:v>SCR-274</x:v>
      </x:c>
      <x:c r="B275" s="285" t="str">
        <x:v>Reports &amp; Analytics</x:v>
      </x:c>
      <x:c r="C275" s="285" t="str">
        <x:v>Analytics &amp; Reporting</x:v>
      </x:c>
      <x:c r="D275" s="285" t="str">
        <x:v>Outstanding Dues Report</x:v>
      </x:c>
      <x:c r="E275" s="285" t="str">
        <x:v>School Admin, Principal, Owner / Director, Department Heads</x:v>
      </x:c>
      <x:c r="F275" s="285" t="str">
        <x:v>School Admin / Shared</x:v>
      </x:c>
      <x:c r="G275" s="285" t="str">
        <x:v>Report / Analytics</x:v>
      </x:c>
      <x:c r="H275" s="285" t="str">
        <x:v>Analyze outstanding dues report data using filters, summaries and export-ready results.</x:v>
      </x:c>
      <x:c r="I275" s="285" t="str">
        <x:v>Filter, Drill down, Export, Print</x:v>
      </x:c>
      <x:c r="J275" s="285" t="str">
        <x:v>Name / title, code, academic year, status, owner, dates, remarks</x:v>
      </x:c>
      <x:c r="K275" s="285" t="str">
        <x:v>Phase 3</x:v>
      </x:c>
      <x:c r="L275" s="285" t="str">
        <x:v>Filters + KPI + Table / Chart</x:v>
      </x:c>
      <x:c r="M275" s="285" t="str">
        <x:v>Preserve existing role permissions, APIs and workflows; design reusable responsive UI.</x:v>
      </x:c>
      <x:c r="N275" s="226"/>
      <x:c r="O275" s="226"/>
      <x:c r="P275" s="226"/>
      <x:c r="Q275" s="226"/>
      <x:c r="R275" s="226"/>
      <x:c r="S275" s="226"/>
      <x:c r="T275" s="226"/>
      <x:c r="U275" s="226"/>
      <x:c r="V275" s="226"/>
      <x:c r="W275" s="226"/>
      <x:c r="X275" s="226"/>
      <x:c r="Y275" s="226"/>
      <x:c r="Z275" s="226"/>
    </x:row>
    <x:row r="276">
      <x:c r="A276" s="285" t="str">
        <x:v>SCR-275</x:v>
      </x:c>
      <x:c r="B276" s="285" t="str">
        <x:v>Reports &amp; Analytics</x:v>
      </x:c>
      <x:c r="C276" s="285" t="str">
        <x:v>Analytics &amp; Reporting</x:v>
      </x:c>
      <x:c r="D276" s="285" t="str">
        <x:v>Finance Summary</x:v>
      </x:c>
      <x:c r="E276" s="285" t="str">
        <x:v>School Admin, Principal, Owner / Director, Department Heads</x:v>
      </x:c>
      <x:c r="F276" s="285" t="str">
        <x:v>School Admin / Shared</x:v>
      </x:c>
      <x:c r="G276" s="285" t="str">
        <x:v>Report / Analytics</x:v>
      </x:c>
      <x:c r="H276" s="285" t="str">
        <x:v>Analyze finance summary data using filters, summaries and export-ready results.</x:v>
      </x:c>
      <x:c r="I276" s="285" t="str">
        <x:v>Filter, Drill down, Export, Print</x:v>
      </x:c>
      <x:c r="J276" s="285" t="str">
        <x:v>Student / account, fee head, amount, due date, paid amount, balance, payment mode, receipt</x:v>
      </x:c>
      <x:c r="K276" s="285" t="str">
        <x:v>Phase 3</x:v>
      </x:c>
      <x:c r="L276" s="285" t="str">
        <x:v>Filters + KPI + Table / Chart</x:v>
      </x:c>
      <x:c r="M276" s="285" t="str">
        <x:v>Preserve existing role permissions, APIs and workflows; design reusable responsive UI.</x:v>
      </x:c>
      <x:c r="N276" s="226"/>
      <x:c r="O276" s="226"/>
      <x:c r="P276" s="226"/>
      <x:c r="Q276" s="226"/>
      <x:c r="R276" s="226"/>
      <x:c r="S276" s="226"/>
      <x:c r="T276" s="226"/>
      <x:c r="U276" s="226"/>
      <x:c r="V276" s="226"/>
      <x:c r="W276" s="226"/>
      <x:c r="X276" s="226"/>
      <x:c r="Y276" s="226"/>
      <x:c r="Z276" s="226"/>
    </x:row>
    <x:row r="277">
      <x:c r="A277" s="285" t="str">
        <x:v>SCR-276</x:v>
      </x:c>
      <x:c r="B277" s="285" t="str">
        <x:v>Reports &amp; Analytics</x:v>
      </x:c>
      <x:c r="C277" s="285" t="str">
        <x:v>Analytics &amp; Reporting</x:v>
      </x:c>
      <x:c r="D277" s="285" t="str">
        <x:v>Staff Attendance Report</x:v>
      </x:c>
      <x:c r="E277" s="285" t="str">
        <x:v>School Admin, Principal, Owner / Director, Department Heads</x:v>
      </x:c>
      <x:c r="F277" s="285" t="str">
        <x:v>School Admin / Shared</x:v>
      </x:c>
      <x:c r="G277" s="285" t="str">
        <x:v>Report / Analytics</x:v>
      </x:c>
      <x:c r="H277" s="285" t="str">
        <x:v>Analyze staff attendance report data using filters, summaries and export-ready results.</x:v>
      </x:c>
      <x:c r="I277" s="285" t="str">
        <x:v>Filter, Drill down, Export, Print</x:v>
      </x:c>
      <x:c r="J277" s="285" t="str">
        <x:v>Employee ID, name, department, designation, subjects, contact, status</x:v>
      </x:c>
      <x:c r="K277" s="285" t="str">
        <x:v>Phase 3</x:v>
      </x:c>
      <x:c r="L277" s="285" t="str">
        <x:v>Filters + KPI + Table / Chart</x:v>
      </x:c>
      <x:c r="M277" s="285" t="str">
        <x:v>Preserve existing role permissions, APIs and workflows; design reusable responsive UI.</x:v>
      </x:c>
      <x:c r="N277" s="226"/>
      <x:c r="O277" s="226"/>
      <x:c r="P277" s="226"/>
      <x:c r="Q277" s="226"/>
      <x:c r="R277" s="226"/>
      <x:c r="S277" s="226"/>
      <x:c r="T277" s="226"/>
      <x:c r="U277" s="226"/>
      <x:c r="V277" s="226"/>
      <x:c r="W277" s="226"/>
      <x:c r="X277" s="226"/>
      <x:c r="Y277" s="226"/>
      <x:c r="Z277" s="226"/>
    </x:row>
    <x:row r="278">
      <x:c r="A278" s="285" t="str">
        <x:v>SCR-277</x:v>
      </x:c>
      <x:c r="B278" s="285" t="str">
        <x:v>Reports &amp; Analytics</x:v>
      </x:c>
      <x:c r="C278" s="285" t="str">
        <x:v>Analytics &amp; Reporting</x:v>
      </x:c>
      <x:c r="D278" s="285" t="str">
        <x:v>Payroll Summary</x:v>
      </x:c>
      <x:c r="E278" s="285" t="str">
        <x:v>School Admin, Principal, Owner / Director, Department Heads</x:v>
      </x:c>
      <x:c r="F278" s="285" t="str">
        <x:v>School Admin / Shared</x:v>
      </x:c>
      <x:c r="G278" s="285" t="str">
        <x:v>Report / Analytics</x:v>
      </x:c>
      <x:c r="H278" s="285" t="str">
        <x:v>Analyze payroll summary data using filters, summaries and export-ready results.</x:v>
      </x:c>
      <x:c r="I278" s="285" t="str">
        <x:v>Filter, Drill down, Export, Print</x:v>
      </x:c>
      <x:c r="J278" s="285" t="str">
        <x:v>Name / title, code, academic year, status, owner, dates, remarks</x:v>
      </x:c>
      <x:c r="K278" s="285" t="str">
        <x:v>Phase 3</x:v>
      </x:c>
      <x:c r="L278" s="285" t="str">
        <x:v>Filters + KPI + Table / Chart</x:v>
      </x:c>
      <x:c r="M278" s="285" t="str">
        <x:v>Preserve existing role permissions, APIs and workflows; design reusable responsive UI.</x:v>
      </x:c>
      <x:c r="N278" s="226"/>
      <x:c r="O278" s="226"/>
      <x:c r="P278" s="226"/>
      <x:c r="Q278" s="226"/>
      <x:c r="R278" s="226"/>
      <x:c r="S278" s="226"/>
      <x:c r="T278" s="226"/>
      <x:c r="U278" s="226"/>
      <x:c r="V278" s="226"/>
      <x:c r="W278" s="226"/>
      <x:c r="X278" s="226"/>
      <x:c r="Y278" s="226"/>
      <x:c r="Z278" s="226"/>
    </x:row>
    <x:row r="279">
      <x:c r="A279" s="285" t="str">
        <x:v>SCR-278</x:v>
      </x:c>
      <x:c r="B279" s="285" t="str">
        <x:v>Reports &amp; Analytics</x:v>
      </x:c>
      <x:c r="C279" s="285" t="str">
        <x:v>Analytics &amp; Reporting</x:v>
      </x:c>
      <x:c r="D279" s="285" t="str">
        <x:v>Teacher Performance</x:v>
      </x:c>
      <x:c r="E279" s="285" t="str">
        <x:v>School Admin, Principal, Owner / Director, Department Heads</x:v>
      </x:c>
      <x:c r="F279" s="285" t="str">
        <x:v>School Admin / Shared</x:v>
      </x:c>
      <x:c r="G279" s="285" t="str">
        <x:v>Workflow / Management</x:v>
      </x:c>
      <x:c r="H279" s="285" t="str">
        <x:v>Manage the end-to-end teacher performance workflow within reports &amp; analytics.</x:v>
      </x:c>
      <x:c r="I279" s="285" t="str">
        <x:v>View, Create / Update, Filter, Export / Print</x:v>
      </x:c>
      <x:c r="J279" s="285" t="str">
        <x:v>Employee ID, name, department, designation, subjects, contact, status</x:v>
      </x:c>
      <x:c r="K279" s="285" t="str">
        <x:v>Phase 3</x:v>
      </x:c>
      <x:c r="L279" s="285" t="str">
        <x:v>Workflow / Approval / Detail</x:v>
      </x:c>
      <x:c r="M279" s="285" t="str">
        <x:v>Preserve existing role permissions, APIs and workflows; design reusable responsive UI.</x:v>
      </x:c>
      <x:c r="N279" s="226"/>
      <x:c r="O279" s="226"/>
      <x:c r="P279" s="226"/>
      <x:c r="Q279" s="226"/>
      <x:c r="R279" s="226"/>
      <x:c r="S279" s="226"/>
      <x:c r="T279" s="226"/>
      <x:c r="U279" s="226"/>
      <x:c r="V279" s="226"/>
      <x:c r="W279" s="226"/>
      <x:c r="X279" s="226"/>
      <x:c r="Y279" s="226"/>
      <x:c r="Z279" s="226"/>
    </x:row>
    <x:row r="280">
      <x:c r="A280" s="285" t="str">
        <x:v>SCR-279</x:v>
      </x:c>
      <x:c r="B280" s="285" t="str">
        <x:v>Reports &amp; Analytics</x:v>
      </x:c>
      <x:c r="C280" s="285" t="str">
        <x:v>Analytics &amp; Reporting</x:v>
      </x:c>
      <x:c r="D280" s="285" t="str">
        <x:v>Transport Utilization</x:v>
      </x:c>
      <x:c r="E280" s="285" t="str">
        <x:v>School Admin, Principal, Owner / Director, Department Heads</x:v>
      </x:c>
      <x:c r="F280" s="285" t="str">
        <x:v>School Admin / Shared</x:v>
      </x:c>
      <x:c r="G280" s="285" t="str">
        <x:v>Report / Analytics</x:v>
      </x:c>
      <x:c r="H280" s="285" t="str">
        <x:v>Analyze transport utilization data using filters, summaries and export-ready results.</x:v>
      </x:c>
      <x:c r="I280" s="285" t="str">
        <x:v>Filter, Drill down, Export, Print</x:v>
      </x:c>
      <x:c r="J280" s="285" t="str">
        <x:v>Vehicle, route, stop, driver, student, pickup/drop time, GPS/status</x:v>
      </x:c>
      <x:c r="K280" s="285" t="str">
        <x:v>Phase 3</x:v>
      </x:c>
      <x:c r="L280" s="285" t="str">
        <x:v>Filters + KPI + Table / Chart</x:v>
      </x:c>
      <x:c r="M280" s="285" t="str">
        <x:v>Preserve existing role permissions, APIs and workflows; design reusable responsive UI.</x:v>
      </x:c>
      <x:c r="N280" s="226"/>
      <x:c r="O280" s="226"/>
      <x:c r="P280" s="226"/>
      <x:c r="Q280" s="226"/>
      <x:c r="R280" s="226"/>
      <x:c r="S280" s="226"/>
      <x:c r="T280" s="226"/>
      <x:c r="U280" s="226"/>
      <x:c r="V280" s="226"/>
      <x:c r="W280" s="226"/>
      <x:c r="X280" s="226"/>
      <x:c r="Y280" s="226"/>
      <x:c r="Z280" s="226"/>
    </x:row>
    <x:row r="281">
      <x:c r="A281" s="285" t="str">
        <x:v>SCR-280</x:v>
      </x:c>
      <x:c r="B281" s="285" t="str">
        <x:v>Reports &amp; Analytics</x:v>
      </x:c>
      <x:c r="C281" s="285" t="str">
        <x:v>Analytics &amp; Reporting</x:v>
      </x:c>
      <x:c r="D281" s="285" t="str">
        <x:v>Library Usage</x:v>
      </x:c>
      <x:c r="E281" s="285" t="str">
        <x:v>School Admin, Principal, Owner / Director, Department Heads</x:v>
      </x:c>
      <x:c r="F281" s="285" t="str">
        <x:v>School Admin / Shared</x:v>
      </x:c>
      <x:c r="G281" s="285" t="str">
        <x:v>Report / Analytics</x:v>
      </x:c>
      <x:c r="H281" s="285" t="str">
        <x:v>Analyze library usage data using filters, summaries and export-ready results.</x:v>
      </x:c>
      <x:c r="I281" s="285" t="str">
        <x:v>Filter, Drill down, Export, Print</x:v>
      </x:c>
      <x:c r="J281" s="285" t="str">
        <x:v>Book ID / ISBN, title, author, category, copy, member, issue date, due date, status</x:v>
      </x:c>
      <x:c r="K281" s="285" t="str">
        <x:v>Phase 3</x:v>
      </x:c>
      <x:c r="L281" s="285" t="str">
        <x:v>Filters + KPI + Table / Chart</x:v>
      </x:c>
      <x:c r="M281" s="285" t="str">
        <x:v>Preserve existing role permissions, APIs and workflows; design reusable responsive UI.</x:v>
      </x:c>
      <x:c r="N281" s="226"/>
      <x:c r="O281" s="226"/>
      <x:c r="P281" s="226"/>
      <x:c r="Q281" s="226"/>
      <x:c r="R281" s="226"/>
      <x:c r="S281" s="226"/>
      <x:c r="T281" s="226"/>
      <x:c r="U281" s="226"/>
      <x:c r="V281" s="226"/>
      <x:c r="W281" s="226"/>
      <x:c r="X281" s="226"/>
      <x:c r="Y281" s="226"/>
      <x:c r="Z281" s="226"/>
    </x:row>
    <x:row r="282">
      <x:c r="A282" s="285" t="str">
        <x:v>SCR-281</x:v>
      </x:c>
      <x:c r="B282" s="285" t="str">
        <x:v>Reports &amp; Analytics</x:v>
      </x:c>
      <x:c r="C282" s="285" t="str">
        <x:v>Analytics &amp; Reporting</x:v>
      </x:c>
      <x:c r="D282" s="285" t="str">
        <x:v>Inventory &amp; Asset Report</x:v>
      </x:c>
      <x:c r="E282" s="285" t="str">
        <x:v>School Admin, Principal, Owner / Director, Department Heads</x:v>
      </x:c>
      <x:c r="F282" s="285" t="str">
        <x:v>School Admin / Shared</x:v>
      </x:c>
      <x:c r="G282" s="285" t="str">
        <x:v>Report / Analytics</x:v>
      </x:c>
      <x:c r="H282" s="285" t="str">
        <x:v>Analyze inventory &amp; asset report data using filters, summaries and export-ready results.</x:v>
      </x:c>
      <x:c r="I282" s="285" t="str">
        <x:v>Filter, Drill down, Export, Print</x:v>
      </x:c>
      <x:c r="J282" s="285" t="str">
        <x:v>Item / asset ID, category, quantity, location, assignee, supplier, status, value</x:v>
      </x:c>
      <x:c r="K282" s="285" t="str">
        <x:v>Phase 3</x:v>
      </x:c>
      <x:c r="L282" s="285" t="str">
        <x:v>Filters + KPI + Table / Chart</x:v>
      </x:c>
      <x:c r="M282" s="285" t="str">
        <x:v>Preserve existing role permissions, APIs and workflows; design reusable responsive UI.</x:v>
      </x:c>
      <x:c r="N282" s="226"/>
      <x:c r="O282" s="226"/>
      <x:c r="P282" s="226"/>
      <x:c r="Q282" s="226"/>
      <x:c r="R282" s="226"/>
      <x:c r="S282" s="226"/>
      <x:c r="T282" s="226"/>
      <x:c r="U282" s="226"/>
      <x:c r="V282" s="226"/>
      <x:c r="W282" s="226"/>
      <x:c r="X282" s="226"/>
      <x:c r="Y282" s="226"/>
      <x:c r="Z282" s="226"/>
    </x:row>
    <x:row r="283">
      <x:c r="A283" s="285" t="str">
        <x:v>SCR-282</x:v>
      </x:c>
      <x:c r="B283" s="285" t="str">
        <x:v>Reports &amp; Analytics</x:v>
      </x:c>
      <x:c r="C283" s="285" t="str">
        <x:v>Analytics &amp; Reporting</x:v>
      </x:c>
      <x:c r="D283" s="285" t="str">
        <x:v>Communication / Notification Report</x:v>
      </x:c>
      <x:c r="E283" s="285" t="str">
        <x:v>School Admin, Principal, Owner / Director, Department Heads</x:v>
      </x:c>
      <x:c r="F283" s="285" t="str">
        <x:v>School Admin / Shared</x:v>
      </x:c>
      <x:c r="G283" s="285" t="str">
        <x:v>Report / Analytics</x:v>
      </x:c>
      <x:c r="H283" s="285" t="str">
        <x:v>Analyze communication / notification report data using filters, summaries and export-ready results.</x:v>
      </x:c>
      <x:c r="I283" s="285" t="str">
        <x:v>Filter, Drill down, Export, Print</x:v>
      </x:c>
      <x:c r="J283" s="285" t="str">
        <x:v>Name / title, code, academic year, status, owner, dates, remarks</x:v>
      </x:c>
      <x:c r="K283" s="285" t="str">
        <x:v>Phase 3</x:v>
      </x:c>
      <x:c r="L283" s="285" t="str">
        <x:v>Filters + KPI + Table / Chart</x:v>
      </x:c>
      <x:c r="M283" s="285" t="str">
        <x:v>Preserve existing role permissions, APIs and workflows; design reusable responsive UI.</x:v>
      </x:c>
      <x:c r="N283" s="226"/>
      <x:c r="O283" s="226"/>
      <x:c r="P283" s="226"/>
      <x:c r="Q283" s="226"/>
      <x:c r="R283" s="226"/>
      <x:c r="S283" s="226"/>
      <x:c r="T283" s="226"/>
      <x:c r="U283" s="226"/>
      <x:c r="V283" s="226"/>
      <x:c r="W283" s="226"/>
      <x:c r="X283" s="226"/>
      <x:c r="Y283" s="226"/>
      <x:c r="Z283" s="226"/>
    </x:row>
    <x:row r="284">
      <x:c r="A284" s="285" t="str">
        <x:v>SCR-283</x:v>
      </x:c>
      <x:c r="B284" s="285" t="str">
        <x:v>Reports &amp; Analytics</x:v>
      </x:c>
      <x:c r="C284" s="285" t="str">
        <x:v>Analytics &amp; Reporting</x:v>
      </x:c>
      <x:c r="D284" s="285" t="str">
        <x:v>Custom Report Builder</x:v>
      </x:c>
      <x:c r="E284" s="285" t="str">
        <x:v>School Admin, Principal, Owner / Director, Department Heads</x:v>
      </x:c>
      <x:c r="F284" s="285" t="str">
        <x:v>School Admin / Shared</x:v>
      </x:c>
      <x:c r="G284" s="285" t="str">
        <x:v>Report / Analytics</x:v>
      </x:c>
      <x:c r="H284" s="285" t="str">
        <x:v>Analyze custom report builder data using filters, summaries and export-ready results.</x:v>
      </x:c>
      <x:c r="I284" s="285" t="str">
        <x:v>Filter, Drill down, Export, Print</x:v>
      </x:c>
      <x:c r="J284" s="285" t="str">
        <x:v>Name / title, code, academic year, status, owner, dates, remarks</x:v>
      </x:c>
      <x:c r="K284" s="285" t="str">
        <x:v>Phase 3</x:v>
      </x:c>
      <x:c r="L284" s="285" t="str">
        <x:v>Filters + KPI + Table / Chart</x:v>
      </x:c>
      <x:c r="M284" s="285" t="str">
        <x:v>Preserve existing role permissions, APIs and workflows; design reusable responsive UI.</x:v>
      </x:c>
      <x:c r="N284" s="226"/>
      <x:c r="O284" s="226"/>
      <x:c r="P284" s="226"/>
      <x:c r="Q284" s="226"/>
      <x:c r="R284" s="226"/>
      <x:c r="S284" s="226"/>
      <x:c r="T284" s="226"/>
      <x:c r="U284" s="226"/>
      <x:c r="V284" s="226"/>
      <x:c r="W284" s="226"/>
      <x:c r="X284" s="226"/>
      <x:c r="Y284" s="226"/>
      <x:c r="Z284" s="226"/>
    </x:row>
    <x:row r="285">
      <x:c r="A285" s="285" t="str">
        <x:v>SCR-284</x:v>
      </x:c>
      <x:c r="B285" s="285" t="str">
        <x:v>Settings / Roles / Permissions / Audit</x:v>
      </x:c>
      <x:c r="C285" s="285" t="str">
        <x:v>Security &amp; Configuration</x:v>
      </x:c>
      <x:c r="D285" s="285" t="str">
        <x:v>User Management</x:v>
      </x:c>
      <x:c r="E285" s="285" t="str">
        <x:v>IT Admin, School Admin, Super Admin</x:v>
      </x:c>
      <x:c r="F285" s="285" t="str">
        <x:v>School Admin / Shared</x:v>
      </x:c>
      <x:c r="G285" s="285" t="str">
        <x:v>Workflow / Management</x:v>
      </x:c>
      <x:c r="H285" s="285" t="str">
        <x:v>Manage the end-to-end user management workflow within settings / roles / permissions / audit.</x:v>
      </x:c>
      <x:c r="I285" s="285" t="str">
        <x:v>View, Create / Update, Filter, Export / Print</x:v>
      </x:c>
      <x:c r="J285" s="285" t="str">
        <x:v>User, role, module, permission, scope, status, last login</x:v>
      </x:c>
      <x:c r="K285" s="285" t="str">
        <x:v>MVP</x:v>
      </x:c>
      <x:c r="L285" s="285" t="str">
        <x:v>Workflow / Approval / Detail</x:v>
      </x:c>
      <x:c r="M285" s="285" t="str">
        <x:v>Preserve existing role permissions, APIs and workflows; design reusable responsive UI.</x:v>
      </x:c>
      <x:c r="N285" s="226"/>
      <x:c r="O285" s="226"/>
      <x:c r="P285" s="226"/>
      <x:c r="Q285" s="226"/>
      <x:c r="R285" s="226"/>
      <x:c r="S285" s="226"/>
      <x:c r="T285" s="226"/>
      <x:c r="U285" s="226"/>
      <x:c r="V285" s="226"/>
      <x:c r="W285" s="226"/>
      <x:c r="X285" s="226"/>
      <x:c r="Y285" s="226"/>
      <x:c r="Z285" s="226"/>
    </x:row>
    <x:row r="286">
      <x:c r="A286" s="285" t="str">
        <x:v>SCR-285</x:v>
      </x:c>
      <x:c r="B286" s="285" t="str">
        <x:v>Settings / Roles / Permissions / Audit</x:v>
      </x:c>
      <x:c r="C286" s="285" t="str">
        <x:v>Security &amp; Configuration</x:v>
      </x:c>
      <x:c r="D286" s="285" t="str">
        <x:v>Roles</x:v>
      </x:c>
      <x:c r="E286" s="285" t="str">
        <x:v>IT Admin, School Admin, Super Admin</x:v>
      </x:c>
      <x:c r="F286" s="285" t="str">
        <x:v>School Admin / Shared</x:v>
      </x:c>
      <x:c r="G286" s="285" t="str">
        <x:v>Configuration</x:v>
      </x:c>
      <x:c r="H286" s="285" t="str">
        <x:v>Configure roles rules and master data used across the ERP.</x:v>
      </x:c>
      <x:c r="I286" s="285" t="str">
        <x:v>View, Create / Update, Filter, Export / Print</x:v>
      </x:c>
      <x:c r="J286" s="285" t="str">
        <x:v>User, role, module, permission, scope, status, last login</x:v>
      </x:c>
      <x:c r="K286" s="285" t="str">
        <x:v>MVP</x:v>
      </x:c>
      <x:c r="L286" s="285" t="str">
        <x:v>Settings / Master Data</x:v>
      </x:c>
      <x:c r="M286" s="285" t="str">
        <x:v>Preserve existing role permissions, APIs and workflows; design reusable responsive UI.</x:v>
      </x:c>
      <x:c r="N286" s="226"/>
      <x:c r="O286" s="226"/>
      <x:c r="P286" s="226"/>
      <x:c r="Q286" s="226"/>
      <x:c r="R286" s="226"/>
      <x:c r="S286" s="226"/>
      <x:c r="T286" s="226"/>
      <x:c r="U286" s="226"/>
      <x:c r="V286" s="226"/>
      <x:c r="W286" s="226"/>
      <x:c r="X286" s="226"/>
      <x:c r="Y286" s="226"/>
      <x:c r="Z286" s="226"/>
    </x:row>
    <x:row r="287">
      <x:c r="A287" s="285" t="str">
        <x:v>SCR-286</x:v>
      </x:c>
      <x:c r="B287" s="285" t="str">
        <x:v>Settings / Roles / Permissions / Audit</x:v>
      </x:c>
      <x:c r="C287" s="285" t="str">
        <x:v>Security &amp; Configuration</x:v>
      </x:c>
      <x:c r="D287" s="285" t="str">
        <x:v>Permissions</x:v>
      </x:c>
      <x:c r="E287" s="285" t="str">
        <x:v>IT Admin, School Admin, Super Admin</x:v>
      </x:c>
      <x:c r="F287" s="285" t="str">
        <x:v>School Admin / Shared</x:v>
      </x:c>
      <x:c r="G287" s="285" t="str">
        <x:v>Configuration</x:v>
      </x:c>
      <x:c r="H287" s="285" t="str">
        <x:v>Configure permissions rules and master data used across the ERP.</x:v>
      </x:c>
      <x:c r="I287" s="285" t="str">
        <x:v>View, Create / Update, Filter, Export / Print</x:v>
      </x:c>
      <x:c r="J287" s="285" t="str">
        <x:v>User, role, module, permission, scope, status, last login</x:v>
      </x:c>
      <x:c r="K287" s="285" t="str">
        <x:v>MVP</x:v>
      </x:c>
      <x:c r="L287" s="285" t="str">
        <x:v>Settings / Master Data</x:v>
      </x:c>
      <x:c r="M287" s="285" t="str">
        <x:v>Preserve existing role permissions, APIs and workflows; design reusable responsive UI.</x:v>
      </x:c>
      <x:c r="N287" s="226"/>
      <x:c r="O287" s="226"/>
      <x:c r="P287" s="226"/>
      <x:c r="Q287" s="226"/>
      <x:c r="R287" s="226"/>
      <x:c r="S287" s="226"/>
      <x:c r="T287" s="226"/>
      <x:c r="U287" s="226"/>
      <x:c r="V287" s="226"/>
      <x:c r="W287" s="226"/>
      <x:c r="X287" s="226"/>
      <x:c r="Y287" s="226"/>
      <x:c r="Z287" s="226"/>
    </x:row>
    <x:row r="288">
      <x:c r="A288" s="285" t="str">
        <x:v>SCR-287</x:v>
      </x:c>
      <x:c r="B288" s="285" t="str">
        <x:v>Settings / Roles / Permissions / Audit</x:v>
      </x:c>
      <x:c r="C288" s="285" t="str">
        <x:v>Security &amp; Configuration</x:v>
      </x:c>
      <x:c r="D288" s="285" t="str">
        <x:v>Role Permission Matrix</x:v>
      </x:c>
      <x:c r="E288" s="285" t="str">
        <x:v>IT Admin, School Admin, Super Admin</x:v>
      </x:c>
      <x:c r="F288" s="285" t="str">
        <x:v>School Admin / Shared</x:v>
      </x:c>
      <x:c r="G288" s="285" t="str">
        <x:v>Workflow / Management</x:v>
      </x:c>
      <x:c r="H288" s="285" t="str">
        <x:v>Manage the end-to-end role permission matrix workflow within settings / roles / permissions / audit.</x:v>
      </x:c>
      <x:c r="I288" s="285" t="str">
        <x:v>View, Create / Update, Filter, Export / Print</x:v>
      </x:c>
      <x:c r="J288" s="285" t="str">
        <x:v>User, role, module, permission, scope, status, last login</x:v>
      </x:c>
      <x:c r="K288" s="285" t="str">
        <x:v>MVP</x:v>
      </x:c>
      <x:c r="L288" s="285" t="str">
        <x:v>Workflow / Approval / Detail</x:v>
      </x:c>
      <x:c r="M288" s="285" t="str">
        <x:v>Preserve existing role permissions, APIs and workflows; design reusable responsive UI.</x:v>
      </x:c>
      <x:c r="N288" s="226"/>
      <x:c r="O288" s="226"/>
      <x:c r="P288" s="226"/>
      <x:c r="Q288" s="226"/>
      <x:c r="R288" s="226"/>
      <x:c r="S288" s="226"/>
      <x:c r="T288" s="226"/>
      <x:c r="U288" s="226"/>
      <x:c r="V288" s="226"/>
      <x:c r="W288" s="226"/>
      <x:c r="X288" s="226"/>
      <x:c r="Y288" s="226"/>
      <x:c r="Z288" s="226"/>
    </x:row>
    <x:row r="289">
      <x:c r="A289" s="285" t="str">
        <x:v>SCR-288</x:v>
      </x:c>
      <x:c r="B289" s="285" t="str">
        <x:v>Settings / Roles / Permissions / Audit</x:v>
      </x:c>
      <x:c r="C289" s="285" t="str">
        <x:v>Security &amp; Configuration</x:v>
      </x:c>
      <x:c r="D289" s="285" t="str">
        <x:v>User Role Assignment</x:v>
      </x:c>
      <x:c r="E289" s="285" t="str">
        <x:v>IT Admin, School Admin, Super Admin</x:v>
      </x:c>
      <x:c r="F289" s="285" t="str">
        <x:v>School Admin / Shared</x:v>
      </x:c>
      <x:c r="G289" s="285" t="str">
        <x:v>Workflow / Management</x:v>
      </x:c>
      <x:c r="H289" s="285" t="str">
        <x:v>Manage the end-to-end user role assignment workflow within settings / roles / permissions / audit.</x:v>
      </x:c>
      <x:c r="I289" s="285" t="str">
        <x:v>View, Create / Update, Filter, Export / Print</x:v>
      </x:c>
      <x:c r="J289" s="285" t="str">
        <x:v>User, role, module, permission, scope, status, last login</x:v>
      </x:c>
      <x:c r="K289" s="285" t="str">
        <x:v>MVP</x:v>
      </x:c>
      <x:c r="L289" s="285" t="str">
        <x:v>Workflow / Approval / Detail</x:v>
      </x:c>
      <x:c r="M289" s="285" t="str">
        <x:v>Preserve existing role permissions, APIs and workflows; design reusable responsive UI.</x:v>
      </x:c>
      <x:c r="N289" s="226"/>
      <x:c r="O289" s="226"/>
      <x:c r="P289" s="226"/>
      <x:c r="Q289" s="226"/>
      <x:c r="R289" s="226"/>
      <x:c r="S289" s="226"/>
      <x:c r="T289" s="226"/>
      <x:c r="U289" s="226"/>
      <x:c r="V289" s="226"/>
      <x:c r="W289" s="226"/>
      <x:c r="X289" s="226"/>
      <x:c r="Y289" s="226"/>
      <x:c r="Z289" s="226"/>
    </x:row>
    <x:row r="290">
      <x:c r="A290" s="285" t="str">
        <x:v>SCR-289</x:v>
      </x:c>
      <x:c r="B290" s="285" t="str">
        <x:v>Settings / Roles / Permissions / Audit</x:v>
      </x:c>
      <x:c r="C290" s="285" t="str">
        <x:v>Security &amp; Configuration</x:v>
      </x:c>
      <x:c r="D290" s="285" t="str">
        <x:v>School Settings</x:v>
      </x:c>
      <x:c r="E290" s="285" t="str">
        <x:v>IT Admin, School Admin, Super Admin</x:v>
      </x:c>
      <x:c r="F290" s="285" t="str">
        <x:v>School Admin / Shared</x:v>
      </x:c>
      <x:c r="G290" s="285" t="str">
        <x:v>Configuration</x:v>
      </x:c>
      <x:c r="H290" s="285" t="str">
        <x:v>Configure school settings rules and master data used across the ERP.</x:v>
      </x:c>
      <x:c r="I290" s="285" t="str">
        <x:v>View, Create / Update, Filter, Export / Print</x:v>
      </x:c>
      <x:c r="J290" s="285" t="str">
        <x:v>Name / title, code, academic year, status, owner, dates, remarks</x:v>
      </x:c>
      <x:c r="K290" s="285" t="str">
        <x:v>Phase 2</x:v>
      </x:c>
      <x:c r="L290" s="285" t="str">
        <x:v>Settings / Master Data</x:v>
      </x:c>
      <x:c r="M290" s="285" t="str">
        <x:v>Preserve existing role permissions, APIs and workflows; design reusable responsive UI.</x:v>
      </x:c>
      <x:c r="N290" s="226"/>
      <x:c r="O290" s="226"/>
      <x:c r="P290" s="226"/>
      <x:c r="Q290" s="226"/>
      <x:c r="R290" s="226"/>
      <x:c r="S290" s="226"/>
      <x:c r="T290" s="226"/>
      <x:c r="U290" s="226"/>
      <x:c r="V290" s="226"/>
      <x:c r="W290" s="226"/>
      <x:c r="X290" s="226"/>
      <x:c r="Y290" s="226"/>
      <x:c r="Z290" s="226"/>
    </x:row>
    <x:row r="291">
      <x:c r="A291" s="285" t="str">
        <x:v>SCR-290</x:v>
      </x:c>
      <x:c r="B291" s="285" t="str">
        <x:v>Settings / Roles / Permissions / Audit</x:v>
      </x:c>
      <x:c r="C291" s="285" t="str">
        <x:v>Security &amp; Configuration</x:v>
      </x:c>
      <x:c r="D291" s="285" t="str">
        <x:v>Academic Settings</x:v>
      </x:c>
      <x:c r="E291" s="285" t="str">
        <x:v>IT Admin, School Admin, Super Admin</x:v>
      </x:c>
      <x:c r="F291" s="285" t="str">
        <x:v>School Admin / Shared</x:v>
      </x:c>
      <x:c r="G291" s="285" t="str">
        <x:v>Configuration</x:v>
      </x:c>
      <x:c r="H291" s="285" t="str">
        <x:v>Configure academic settings rules and master data used across the ERP.</x:v>
      </x:c>
      <x:c r="I291" s="285" t="str">
        <x:v>View, Create / Update, Filter, Export / Print</x:v>
      </x:c>
      <x:c r="J291" s="285" t="str">
        <x:v>Name / title, code, academic year, status, owner, dates, remarks</x:v>
      </x:c>
      <x:c r="K291" s="285" t="str">
        <x:v>Phase 2</x:v>
      </x:c>
      <x:c r="L291" s="285" t="str">
        <x:v>Settings / Master Data</x:v>
      </x:c>
      <x:c r="M291" s="285" t="str">
        <x:v>Preserve existing role permissions, APIs and workflows; design reusable responsive UI.</x:v>
      </x:c>
      <x:c r="N291" s="226"/>
      <x:c r="O291" s="226"/>
      <x:c r="P291" s="226"/>
      <x:c r="Q291" s="226"/>
      <x:c r="R291" s="226"/>
      <x:c r="S291" s="226"/>
      <x:c r="T291" s="226"/>
      <x:c r="U291" s="226"/>
      <x:c r="V291" s="226"/>
      <x:c r="W291" s="226"/>
      <x:c r="X291" s="226"/>
      <x:c r="Y291" s="226"/>
      <x:c r="Z291" s="226"/>
    </x:row>
    <x:row r="292">
      <x:c r="A292" s="285" t="str">
        <x:v>SCR-291</x:v>
      </x:c>
      <x:c r="B292" s="285" t="str">
        <x:v>Settings / Roles / Permissions / Audit</x:v>
      </x:c>
      <x:c r="C292" s="285" t="str">
        <x:v>Security &amp; Configuration</x:v>
      </x:c>
      <x:c r="D292" s="285" t="str">
        <x:v>Notification Settings</x:v>
      </x:c>
      <x:c r="E292" s="285" t="str">
        <x:v>IT Admin, School Admin, Super Admin</x:v>
      </x:c>
      <x:c r="F292" s="285" t="str">
        <x:v>School Admin / Shared</x:v>
      </x:c>
      <x:c r="G292" s="285" t="str">
        <x:v>Configuration</x:v>
      </x:c>
      <x:c r="H292" s="285" t="str">
        <x:v>Configure notification settings rules and master data used across the ERP.</x:v>
      </x:c>
      <x:c r="I292" s="285" t="str">
        <x:v>View, Create / Update, Filter, Export / Print</x:v>
      </x:c>
      <x:c r="J292" s="285" t="str">
        <x:v>Name / title, code, academic year, status, owner, dates, remarks</x:v>
      </x:c>
      <x:c r="K292" s="285" t="str">
        <x:v>Phase 2</x:v>
      </x:c>
      <x:c r="L292" s="285" t="str">
        <x:v>Settings / Master Data</x:v>
      </x:c>
      <x:c r="M292" s="285" t="str">
        <x:v>Preserve existing role permissions, APIs and workflows; design reusable responsive UI.</x:v>
      </x:c>
      <x:c r="N292" s="226"/>
      <x:c r="O292" s="226"/>
      <x:c r="P292" s="226"/>
      <x:c r="Q292" s="226"/>
      <x:c r="R292" s="226"/>
      <x:c r="S292" s="226"/>
      <x:c r="T292" s="226"/>
      <x:c r="U292" s="226"/>
      <x:c r="V292" s="226"/>
      <x:c r="W292" s="226"/>
      <x:c r="X292" s="226"/>
      <x:c r="Y292" s="226"/>
      <x:c r="Z292" s="226"/>
    </x:row>
    <x:row r="293">
      <x:c r="A293" s="285" t="str">
        <x:v>SCR-292</x:v>
      </x:c>
      <x:c r="B293" s="285" t="str">
        <x:v>Settings / Roles / Permissions / Audit</x:v>
      </x:c>
      <x:c r="C293" s="285" t="str">
        <x:v>Security &amp; Configuration</x:v>
      </x:c>
      <x:c r="D293" s="285" t="str">
        <x:v>Integration / API Settings</x:v>
      </x:c>
      <x:c r="E293" s="285" t="str">
        <x:v>IT Admin, School Admin, Super Admin</x:v>
      </x:c>
      <x:c r="F293" s="285" t="str">
        <x:v>School Admin / Shared</x:v>
      </x:c>
      <x:c r="G293" s="285" t="str">
        <x:v>Configuration</x:v>
      </x:c>
      <x:c r="H293" s="285" t="str">
        <x:v>Configure integration / api settings rules and master data used across the ERP.</x:v>
      </x:c>
      <x:c r="I293" s="285" t="str">
        <x:v>View, Create / Update, Filter, Export / Print</x:v>
      </x:c>
      <x:c r="J293" s="285" t="str">
        <x:v>Name / title, code, academic year, status, owner, dates, remarks</x:v>
      </x:c>
      <x:c r="K293" s="285" t="str">
        <x:v>Phase 3</x:v>
      </x:c>
      <x:c r="L293" s="285" t="str">
        <x:v>Settings / Master Data</x:v>
      </x:c>
      <x:c r="M293" s="285" t="str">
        <x:v>Preserve existing role permissions, APIs and workflows; design reusable responsive UI.</x:v>
      </x:c>
      <x:c r="N293" s="226"/>
      <x:c r="O293" s="226"/>
      <x:c r="P293" s="226"/>
      <x:c r="Q293" s="226"/>
      <x:c r="R293" s="226"/>
      <x:c r="S293" s="226"/>
      <x:c r="T293" s="226"/>
      <x:c r="U293" s="226"/>
      <x:c r="V293" s="226"/>
      <x:c r="W293" s="226"/>
      <x:c r="X293" s="226"/>
      <x:c r="Y293" s="226"/>
      <x:c r="Z293" s="226"/>
    </x:row>
    <x:row r="294">
      <x:c r="A294" s="285" t="str">
        <x:v>SCR-293</x:v>
      </x:c>
      <x:c r="B294" s="285" t="str">
        <x:v>Settings / Roles / Permissions / Audit</x:v>
      </x:c>
      <x:c r="C294" s="285" t="str">
        <x:v>Security &amp; Configuration</x:v>
      </x:c>
      <x:c r="D294" s="285" t="str">
        <x:v>Security &amp; Password Policy</x:v>
      </x:c>
      <x:c r="E294" s="285" t="str">
        <x:v>IT Admin, School Admin, Super Admin</x:v>
      </x:c>
      <x:c r="F294" s="285" t="str">
        <x:v>School Admin / Shared</x:v>
      </x:c>
      <x:c r="G294" s="285" t="str">
        <x:v>Configuration</x:v>
      </x:c>
      <x:c r="H294" s="285" t="str">
        <x:v>Configure security &amp; password policy rules and master data used across the ERP.</x:v>
      </x:c>
      <x:c r="I294" s="285" t="str">
        <x:v>View, Create / Update, Filter, Export / Print</x:v>
      </x:c>
      <x:c r="J294" s="285" t="str">
        <x:v>Visitor / person, mobile, ID, purpose, host, vehicle, entry time, exit time, pass status</x:v>
      </x:c>
      <x:c r="K294" s="285" t="str">
        <x:v>Phase 3</x:v>
      </x:c>
      <x:c r="L294" s="285" t="str">
        <x:v>Settings / Master Data</x:v>
      </x:c>
      <x:c r="M294" s="285" t="str">
        <x:v>Preserve existing role permissions, APIs and workflows; design reusable responsive UI.</x:v>
      </x:c>
      <x:c r="N294" s="226"/>
      <x:c r="O294" s="226"/>
      <x:c r="P294" s="226"/>
      <x:c r="Q294" s="226"/>
      <x:c r="R294" s="226"/>
      <x:c r="S294" s="226"/>
      <x:c r="T294" s="226"/>
      <x:c r="U294" s="226"/>
      <x:c r="V294" s="226"/>
      <x:c r="W294" s="226"/>
      <x:c r="X294" s="226"/>
      <x:c r="Y294" s="226"/>
      <x:c r="Z294" s="226"/>
    </x:row>
    <x:row r="295">
      <x:c r="A295" s="285" t="str">
        <x:v>SCR-294</x:v>
      </x:c>
      <x:c r="B295" s="285" t="str">
        <x:v>Settings / Roles / Permissions / Audit</x:v>
      </x:c>
      <x:c r="C295" s="285" t="str">
        <x:v>Security &amp; Configuration</x:v>
      </x:c>
      <x:c r="D295" s="285" t="str">
        <x:v>Audit Logs</x:v>
      </x:c>
      <x:c r="E295" s="285" t="str">
        <x:v>IT Admin, School Admin, Super Admin</x:v>
      </x:c>
      <x:c r="F295" s="285" t="str">
        <x:v>School Admin / Shared</x:v>
      </x:c>
      <x:c r="G295" s="285" t="str">
        <x:v>Workflow / Management</x:v>
      </x:c>
      <x:c r="H295" s="285" t="str">
        <x:v>Manage the end-to-end audit logs workflow within settings / roles / permissions / audit.</x:v>
      </x:c>
      <x:c r="I295" s="285" t="str">
        <x:v>View, Create / Update, Filter, Export / Print</x:v>
      </x:c>
      <x:c r="J295" s="285" t="str">
        <x:v>Name / title, code, academic year, status, owner, dates, remarks</x:v>
      </x:c>
      <x:c r="K295" s="285" t="str">
        <x:v>Phase 3</x:v>
      </x:c>
      <x:c r="L295" s="285" t="str">
        <x:v>Workflow / Approval / Detail</x:v>
      </x:c>
      <x:c r="M295" s="285" t="str">
        <x:v>Preserve existing role permissions, APIs and workflows; design reusable responsive UI.</x:v>
      </x:c>
      <x:c r="N295" s="226"/>
      <x:c r="O295" s="226"/>
      <x:c r="P295" s="226"/>
      <x:c r="Q295" s="226"/>
      <x:c r="R295" s="226"/>
      <x:c r="S295" s="226"/>
      <x:c r="T295" s="226"/>
      <x:c r="U295" s="226"/>
      <x:c r="V295" s="226"/>
      <x:c r="W295" s="226"/>
      <x:c r="X295" s="226"/>
      <x:c r="Y295" s="226"/>
      <x:c r="Z295" s="226"/>
    </x:row>
    <x:row r="296">
      <x:c r="A296" s="286" t="str">
        <x:v>SCR-295</x:v>
      </x:c>
      <x:c r="B296" s="286" t="str">
        <x:v>Settings / Roles / Permissions / Audit</x:v>
      </x:c>
      <x:c r="C296" s="286" t="str">
        <x:v>Security &amp; Configuration</x:v>
      </x:c>
      <x:c r="D296" s="286" t="str">
        <x:v>Data Import / Export / Backup</x:v>
      </x:c>
      <x:c r="E296" s="286" t="str">
        <x:v>IT Admin, School Admin, Super Admin</x:v>
      </x:c>
      <x:c r="F296" s="286" t="str">
        <x:v>School Admin / Shared</x:v>
      </x:c>
      <x:c r="G296" s="286" t="str">
        <x:v>Workflow / Management</x:v>
      </x:c>
      <x:c r="H296" s="286" t="str">
        <x:v>Manage the end-to-end data import / export / backup workflow within settings / roles / permissions / audit.</x:v>
      </x:c>
      <x:c r="I296" s="286" t="str">
        <x:v>Upload, Validate, Preview, Confirm</x:v>
      </x:c>
      <x:c r="J296" s="286" t="str">
        <x:v>Name / title, code, academic year, status, owner, dates, remarks</x:v>
      </x:c>
      <x:c r="K296" s="286" t="str">
        <x:v>Phase 3</x:v>
      </x:c>
      <x:c r="L296" s="286" t="str">
        <x:v>Workflow / Approval / Detail</x:v>
      </x:c>
      <x:c r="M296" s="286" t="str">
        <x:v>Preserve existing role permissions, APIs and workflows; design reusable responsive UI.</x:v>
      </x:c>
      <x:c r="N296" s="226"/>
      <x:c r="O296" s="226"/>
      <x:c r="P296" s="226"/>
      <x:c r="Q296" s="226"/>
      <x:c r="R296" s="226"/>
      <x:c r="S296" s="226"/>
      <x:c r="T296" s="226"/>
      <x:c r="U296" s="226"/>
      <x:c r="V296" s="226"/>
      <x:c r="W296" s="226"/>
      <x:c r="X296" s="226"/>
      <x:c r="Y296" s="226"/>
      <x:c r="Z296" s="226"/>
    </x:row>
    <x:row r="297">
      <x:c r="A297" s="226"/>
      <x:c r="B297" s="226"/>
      <x:c r="C297" s="226"/>
      <x:c r="D297" s="226"/>
      <x:c r="E297" s="226"/>
      <x:c r="F297" s="226"/>
      <x:c r="G297" s="226"/>
      <x:c r="H297" s="226"/>
      <x:c r="I297" s="226"/>
      <x:c r="J297" s="226"/>
      <x:c r="K297" s="226"/>
      <x:c r="L297" s="226"/>
      <x:c r="M297" s="226"/>
      <x:c r="N297" s="226"/>
      <x:c r="O297" s="226"/>
      <x:c r="P297" s="226"/>
      <x:c r="Q297" s="226"/>
      <x:c r="R297" s="226"/>
      <x:c r="S297" s="226"/>
      <x:c r="T297" s="226"/>
      <x:c r="U297" s="226"/>
      <x:c r="V297" s="226"/>
      <x:c r="W297" s="226"/>
      <x:c r="X297" s="226"/>
      <x:c r="Y297" s="226"/>
      <x:c r="Z297" s="226"/>
    </x:row>
    <x:row r="298">
      <x:c r="A298" s="226"/>
      <x:c r="B298" s="226"/>
      <x:c r="C298" s="226"/>
      <x:c r="D298" s="226"/>
      <x:c r="E298" s="226"/>
      <x:c r="F298" s="226"/>
      <x:c r="G298" s="226"/>
      <x:c r="H298" s="226"/>
      <x:c r="I298" s="226"/>
      <x:c r="J298" s="226"/>
      <x:c r="K298" s="226"/>
      <x:c r="L298" s="226"/>
      <x:c r="M298" s="226"/>
      <x:c r="N298" s="226"/>
      <x:c r="O298" s="226"/>
      <x:c r="P298" s="226"/>
      <x:c r="Q298" s="226"/>
      <x:c r="R298" s="226"/>
      <x:c r="S298" s="226"/>
      <x:c r="T298" s="226"/>
      <x:c r="U298" s="226"/>
      <x:c r="V298" s="226"/>
      <x:c r="W298" s="226"/>
      <x:c r="X298" s="226"/>
      <x:c r="Y298" s="226"/>
      <x:c r="Z298" s="226"/>
    </x:row>
    <x:row r="299">
      <x:c r="A299" s="226"/>
      <x:c r="B299" s="226"/>
      <x:c r="C299" s="226"/>
      <x:c r="D299" s="226"/>
      <x:c r="E299" s="226"/>
      <x:c r="F299" s="226"/>
      <x:c r="G299" s="226"/>
      <x:c r="H299" s="226"/>
      <x:c r="I299" s="226"/>
      <x:c r="J299" s="226"/>
      <x:c r="K299" s="226"/>
      <x:c r="L299" s="226"/>
      <x:c r="M299" s="226"/>
      <x:c r="N299" s="226"/>
      <x:c r="O299" s="226"/>
      <x:c r="P299" s="226"/>
      <x:c r="Q299" s="226"/>
      <x:c r="R299" s="226"/>
      <x:c r="S299" s="226"/>
      <x:c r="T299" s="226"/>
      <x:c r="U299" s="226"/>
      <x:c r="V299" s="226"/>
      <x:c r="W299" s="226"/>
      <x:c r="X299" s="226"/>
      <x:c r="Y299" s="226"/>
      <x:c r="Z299" s="226"/>
    </x:row>
    <x:row r="300">
      <x:c r="A300" s="226"/>
      <x:c r="B300" s="226"/>
      <x:c r="C300" s="226"/>
      <x:c r="D300" s="226"/>
      <x:c r="E300" s="226"/>
      <x:c r="F300" s="226"/>
      <x:c r="G300" s="226"/>
      <x:c r="H300" s="226"/>
      <x:c r="I300" s="226"/>
      <x:c r="J300" s="226"/>
      <x:c r="K300" s="226"/>
      <x:c r="L300" s="226"/>
      <x:c r="M300" s="226"/>
      <x:c r="N300" s="226"/>
      <x:c r="O300" s="226"/>
      <x:c r="P300" s="226"/>
      <x:c r="Q300" s="226"/>
      <x:c r="R300" s="226"/>
      <x:c r="S300" s="226"/>
      <x:c r="T300" s="226"/>
      <x:c r="U300" s="226"/>
      <x:c r="V300" s="226"/>
      <x:c r="W300" s="226"/>
      <x:c r="X300" s="226"/>
      <x:c r="Y300" s="226"/>
      <x:c r="Z300" s="226"/>
    </x:row>
    <x:row r="301">
      <x:c r="A301" s="226"/>
      <x:c r="B301" s="226"/>
      <x:c r="C301" s="226"/>
      <x:c r="D301" s="226"/>
      <x:c r="E301" s="226"/>
      <x:c r="F301" s="226"/>
      <x:c r="G301" s="226"/>
      <x:c r="H301" s="226"/>
      <x:c r="I301" s="226"/>
      <x:c r="J301" s="226"/>
      <x:c r="K301" s="226"/>
      <x:c r="L301" s="226"/>
      <x:c r="M301" s="226"/>
      <x:c r="N301" s="226"/>
      <x:c r="O301" s="226"/>
      <x:c r="P301" s="226"/>
      <x:c r="Q301" s="226"/>
      <x:c r="R301" s="226"/>
      <x:c r="S301" s="226"/>
      <x:c r="T301" s="226"/>
      <x:c r="U301" s="226"/>
      <x:c r="V301" s="226"/>
      <x:c r="W301" s="226"/>
      <x:c r="X301" s="226"/>
      <x:c r="Y301" s="226"/>
      <x:c r="Z301" s="226"/>
    </x:row>
    <x:row r="302">
      <x:c r="A302" s="226"/>
      <x:c r="B302" s="226"/>
      <x:c r="C302" s="226"/>
      <x:c r="D302" s="226"/>
      <x:c r="E302" s="226"/>
      <x:c r="F302" s="226"/>
      <x:c r="G302" s="226"/>
      <x:c r="H302" s="226"/>
      <x:c r="I302" s="226"/>
      <x:c r="J302" s="226"/>
      <x:c r="K302" s="226"/>
      <x:c r="L302" s="226"/>
      <x:c r="M302" s="226"/>
      <x:c r="N302" s="226"/>
      <x:c r="O302" s="226"/>
      <x:c r="P302" s="226"/>
      <x:c r="Q302" s="226"/>
      <x:c r="R302" s="226"/>
      <x:c r="S302" s="226"/>
      <x:c r="T302" s="226"/>
      <x:c r="U302" s="226"/>
      <x:c r="V302" s="226"/>
      <x:c r="W302" s="226"/>
      <x:c r="X302" s="226"/>
      <x:c r="Y302" s="226"/>
      <x:c r="Z302" s="226"/>
    </x:row>
    <x:row r="303">
      <x:c r="A303" s="226"/>
      <x:c r="B303" s="226"/>
      <x:c r="C303" s="226"/>
      <x:c r="D303" s="226"/>
      <x:c r="E303" s="226"/>
      <x:c r="F303" s="226"/>
      <x:c r="G303" s="226"/>
      <x:c r="H303" s="226"/>
      <x:c r="I303" s="226"/>
      <x:c r="J303" s="226"/>
      <x:c r="K303" s="226"/>
      <x:c r="L303" s="226"/>
      <x:c r="M303" s="226"/>
      <x:c r="N303" s="226"/>
      <x:c r="O303" s="226"/>
      <x:c r="P303" s="226"/>
      <x:c r="Q303" s="226"/>
      <x:c r="R303" s="226"/>
      <x:c r="S303" s="226"/>
      <x:c r="T303" s="226"/>
      <x:c r="U303" s="226"/>
      <x:c r="V303" s="226"/>
      <x:c r="W303" s="226"/>
      <x:c r="X303" s="226"/>
      <x:c r="Y303" s="226"/>
      <x:c r="Z303" s="226"/>
    </x:row>
    <x:row r="304">
      <x:c r="A304" s="226"/>
      <x:c r="B304" s="226"/>
      <x:c r="C304" s="226"/>
      <x:c r="D304" s="226"/>
      <x:c r="E304" s="226"/>
      <x:c r="F304" s="226"/>
      <x:c r="G304" s="226"/>
      <x:c r="H304" s="226"/>
      <x:c r="I304" s="226"/>
      <x:c r="J304" s="226"/>
      <x:c r="K304" s="226"/>
      <x:c r="L304" s="226"/>
      <x:c r="M304" s="226"/>
      <x:c r="N304" s="226"/>
      <x:c r="O304" s="226"/>
      <x:c r="P304" s="226"/>
      <x:c r="Q304" s="226"/>
      <x:c r="R304" s="226"/>
      <x:c r="S304" s="226"/>
      <x:c r="T304" s="226"/>
      <x:c r="U304" s="226"/>
      <x:c r="V304" s="226"/>
      <x:c r="W304" s="226"/>
      <x:c r="X304" s="226"/>
      <x:c r="Y304" s="226"/>
      <x:c r="Z304" s="226"/>
    </x:row>
    <x:row r="305">
      <x:c r="A305" s="226"/>
      <x:c r="B305" s="226"/>
      <x:c r="C305" s="226"/>
      <x:c r="D305" s="226"/>
      <x:c r="E305" s="226"/>
      <x:c r="F305" s="226"/>
      <x:c r="G305" s="226"/>
      <x:c r="H305" s="226"/>
      <x:c r="I305" s="226"/>
      <x:c r="J305" s="226"/>
      <x:c r="K305" s="226"/>
      <x:c r="L305" s="226"/>
      <x:c r="M305" s="226"/>
      <x:c r="N305" s="226"/>
      <x:c r="O305" s="226"/>
      <x:c r="P305" s="226"/>
      <x:c r="Q305" s="226"/>
      <x:c r="R305" s="226"/>
      <x:c r="S305" s="226"/>
      <x:c r="T305" s="226"/>
      <x:c r="U305" s="226"/>
      <x:c r="V305" s="226"/>
      <x:c r="W305" s="226"/>
      <x:c r="X305" s="226"/>
      <x:c r="Y305" s="226"/>
      <x:c r="Z305" s="226"/>
    </x:row>
    <x:row r="306">
      <x:c r="A306" s="226"/>
      <x:c r="B306" s="226"/>
      <x:c r="C306" s="226"/>
      <x:c r="D306" s="226"/>
      <x:c r="E306" s="226"/>
      <x:c r="F306" s="226"/>
      <x:c r="G306" s="226"/>
      <x:c r="H306" s="226"/>
      <x:c r="I306" s="226"/>
      <x:c r="J306" s="226"/>
      <x:c r="K306" s="226"/>
      <x:c r="L306" s="226"/>
      <x:c r="M306" s="226"/>
      <x:c r="N306" s="226"/>
      <x:c r="O306" s="226"/>
      <x:c r="P306" s="226"/>
      <x:c r="Q306" s="226"/>
      <x:c r="R306" s="226"/>
      <x:c r="S306" s="226"/>
      <x:c r="T306" s="226"/>
      <x:c r="U306" s="226"/>
      <x:c r="V306" s="226"/>
      <x:c r="W306" s="226"/>
      <x:c r="X306" s="226"/>
      <x:c r="Y306" s="226"/>
      <x:c r="Z306" s="226"/>
    </x:row>
    <x:row r="307">
      <x:c r="A307" s="226"/>
      <x:c r="B307" s="226"/>
      <x:c r="C307" s="226"/>
      <x:c r="D307" s="226"/>
      <x:c r="E307" s="226"/>
      <x:c r="F307" s="226"/>
      <x:c r="G307" s="226"/>
      <x:c r="H307" s="226"/>
      <x:c r="I307" s="226"/>
      <x:c r="J307" s="226"/>
      <x:c r="K307" s="226"/>
      <x:c r="L307" s="226"/>
      <x:c r="M307" s="226"/>
      <x:c r="N307" s="226"/>
      <x:c r="O307" s="226"/>
      <x:c r="P307" s="226"/>
      <x:c r="Q307" s="226"/>
      <x:c r="R307" s="226"/>
      <x:c r="S307" s="226"/>
      <x:c r="T307" s="226"/>
      <x:c r="U307" s="226"/>
      <x:c r="V307" s="226"/>
      <x:c r="W307" s="226"/>
      <x:c r="X307" s="226"/>
      <x:c r="Y307" s="226"/>
      <x:c r="Z307" s="226"/>
    </x:row>
    <x:row r="308">
      <x:c r="A308" s="226"/>
      <x:c r="B308" s="226"/>
      <x:c r="C308" s="226"/>
      <x:c r="D308" s="226"/>
      <x:c r="E308" s="226"/>
      <x:c r="F308" s="226"/>
      <x:c r="G308" s="226"/>
      <x:c r="H308" s="226"/>
      <x:c r="I308" s="226"/>
      <x:c r="J308" s="226"/>
      <x:c r="K308" s="226"/>
      <x:c r="L308" s="226"/>
      <x:c r="M308" s="226"/>
      <x:c r="N308" s="226"/>
      <x:c r="O308" s="226"/>
      <x:c r="P308" s="226"/>
      <x:c r="Q308" s="226"/>
      <x:c r="R308" s="226"/>
      <x:c r="S308" s="226"/>
      <x:c r="T308" s="226"/>
      <x:c r="U308" s="226"/>
      <x:c r="V308" s="226"/>
      <x:c r="W308" s="226"/>
      <x:c r="X308" s="226"/>
      <x:c r="Y308" s="226"/>
      <x:c r="Z308" s="226"/>
    </x:row>
    <x:row r="309">
      <x:c r="A309" s="226"/>
      <x:c r="B309" s="226"/>
      <x:c r="C309" s="226"/>
      <x:c r="D309" s="226"/>
      <x:c r="E309" s="226"/>
      <x:c r="F309" s="226"/>
      <x:c r="G309" s="226"/>
      <x:c r="H309" s="226"/>
      <x:c r="I309" s="226"/>
      <x:c r="J309" s="226"/>
      <x:c r="K309" s="226"/>
      <x:c r="L309" s="226"/>
      <x:c r="M309" s="226"/>
      <x:c r="N309" s="226"/>
      <x:c r="O309" s="226"/>
      <x:c r="P309" s="226"/>
      <x:c r="Q309" s="226"/>
      <x:c r="R309" s="226"/>
      <x:c r="S309" s="226"/>
      <x:c r="T309" s="226"/>
      <x:c r="U309" s="226"/>
      <x:c r="V309" s="226"/>
      <x:c r="W309" s="226"/>
      <x:c r="X309" s="226"/>
      <x:c r="Y309" s="226"/>
      <x:c r="Z309" s="226"/>
    </x:row>
    <x:row r="310">
      <x:c r="A310" s="226"/>
      <x:c r="B310" s="226"/>
      <x:c r="C310" s="226"/>
      <x:c r="D310" s="226"/>
      <x:c r="E310" s="226"/>
      <x:c r="F310" s="226"/>
      <x:c r="G310" s="226"/>
      <x:c r="H310" s="226"/>
      <x:c r="I310" s="226"/>
      <x:c r="J310" s="226"/>
      <x:c r="K310" s="226"/>
      <x:c r="L310" s="226"/>
      <x:c r="M310" s="226"/>
      <x:c r="N310" s="226"/>
      <x:c r="O310" s="226"/>
      <x:c r="P310" s="226"/>
      <x:c r="Q310" s="226"/>
      <x:c r="R310" s="226"/>
      <x:c r="S310" s="226"/>
      <x:c r="T310" s="226"/>
      <x:c r="U310" s="226"/>
      <x:c r="V310" s="226"/>
      <x:c r="W310" s="226"/>
      <x:c r="X310" s="226"/>
      <x:c r="Y310" s="226"/>
      <x:c r="Z310" s="226"/>
    </x:row>
    <x:row r="311">
      <x:c r="A311" s="226"/>
      <x:c r="B311" s="226"/>
      <x:c r="C311" s="226"/>
      <x:c r="D311" s="226"/>
      <x:c r="E311" s="226"/>
      <x:c r="F311" s="226"/>
      <x:c r="G311" s="226"/>
      <x:c r="H311" s="226"/>
      <x:c r="I311" s="226"/>
      <x:c r="J311" s="226"/>
      <x:c r="K311" s="226"/>
      <x:c r="L311" s="226"/>
      <x:c r="M311" s="226"/>
      <x:c r="N311" s="226"/>
      <x:c r="O311" s="226"/>
      <x:c r="P311" s="226"/>
      <x:c r="Q311" s="226"/>
      <x:c r="R311" s="226"/>
      <x:c r="S311" s="226"/>
      <x:c r="T311" s="226"/>
      <x:c r="U311" s="226"/>
      <x:c r="V311" s="226"/>
      <x:c r="W311" s="226"/>
      <x:c r="X311" s="226"/>
      <x:c r="Y311" s="226"/>
      <x:c r="Z311" s="226"/>
    </x:row>
    <x:row r="312">
      <x:c r="A312" s="226"/>
      <x:c r="B312" s="226"/>
      <x:c r="C312" s="226"/>
      <x:c r="D312" s="226"/>
      <x:c r="E312" s="226"/>
      <x:c r="F312" s="226"/>
      <x:c r="G312" s="226"/>
      <x:c r="H312" s="226"/>
      <x:c r="I312" s="226"/>
      <x:c r="J312" s="226"/>
      <x:c r="K312" s="226"/>
      <x:c r="L312" s="226"/>
      <x:c r="M312" s="226"/>
      <x:c r="N312" s="226"/>
      <x:c r="O312" s="226"/>
      <x:c r="P312" s="226"/>
      <x:c r="Q312" s="226"/>
      <x:c r="R312" s="226"/>
      <x:c r="S312" s="226"/>
      <x:c r="T312" s="226"/>
      <x:c r="U312" s="226"/>
      <x:c r="V312" s="226"/>
      <x:c r="W312" s="226"/>
      <x:c r="X312" s="226"/>
      <x:c r="Y312" s="226"/>
      <x:c r="Z312" s="226"/>
    </x:row>
    <x:row r="313">
      <x:c r="A313" s="226"/>
      <x:c r="B313" s="226"/>
      <x:c r="C313" s="226"/>
      <x:c r="D313" s="226"/>
      <x:c r="E313" s="226"/>
      <x:c r="F313" s="226"/>
      <x:c r="G313" s="226"/>
      <x:c r="H313" s="226"/>
      <x:c r="I313" s="226"/>
      <x:c r="J313" s="226"/>
      <x:c r="K313" s="226"/>
      <x:c r="L313" s="226"/>
      <x:c r="M313" s="226"/>
      <x:c r="N313" s="226"/>
      <x:c r="O313" s="226"/>
      <x:c r="P313" s="226"/>
      <x:c r="Q313" s="226"/>
      <x:c r="R313" s="226"/>
      <x:c r="S313" s="226"/>
      <x:c r="T313" s="226"/>
      <x:c r="U313" s="226"/>
      <x:c r="V313" s="226"/>
      <x:c r="W313" s="226"/>
      <x:c r="X313" s="226"/>
      <x:c r="Y313" s="226"/>
      <x:c r="Z313" s="226"/>
    </x:row>
    <x:row r="314">
      <x:c r="A314" s="226"/>
      <x:c r="B314" s="226"/>
      <x:c r="C314" s="226"/>
      <x:c r="D314" s="226"/>
      <x:c r="E314" s="226"/>
      <x:c r="F314" s="226"/>
      <x:c r="G314" s="226"/>
      <x:c r="H314" s="226"/>
      <x:c r="I314" s="226"/>
      <x:c r="J314" s="226"/>
      <x:c r="K314" s="226"/>
      <x:c r="L314" s="226"/>
      <x:c r="M314" s="226"/>
      <x:c r="N314" s="226"/>
      <x:c r="O314" s="226"/>
      <x:c r="P314" s="226"/>
      <x:c r="Q314" s="226"/>
      <x:c r="R314" s="226"/>
      <x:c r="S314" s="226"/>
      <x:c r="T314" s="226"/>
      <x:c r="U314" s="226"/>
      <x:c r="V314" s="226"/>
      <x:c r="W314" s="226"/>
      <x:c r="X314" s="226"/>
      <x:c r="Y314" s="226"/>
      <x:c r="Z314" s="226"/>
    </x:row>
    <x:row r="315">
      <x:c r="A315" s="226"/>
      <x:c r="B315" s="226"/>
      <x:c r="C315" s="226"/>
      <x:c r="D315" s="226"/>
      <x:c r="E315" s="226"/>
      <x:c r="F315" s="226"/>
      <x:c r="G315" s="226"/>
      <x:c r="H315" s="226"/>
      <x:c r="I315" s="226"/>
      <x:c r="J315" s="226"/>
      <x:c r="K315" s="226"/>
      <x:c r="L315" s="226"/>
      <x:c r="M315" s="226"/>
      <x:c r="N315" s="226"/>
      <x:c r="O315" s="226"/>
      <x:c r="P315" s="226"/>
      <x:c r="Q315" s="226"/>
      <x:c r="R315" s="226"/>
      <x:c r="S315" s="226"/>
      <x:c r="T315" s="226"/>
      <x:c r="U315" s="226"/>
      <x:c r="V315" s="226"/>
      <x:c r="W315" s="226"/>
      <x:c r="X315" s="226"/>
      <x:c r="Y315" s="226"/>
      <x:c r="Z315" s="226"/>
    </x:row>
    <x:row r="316">
      <x:c r="A316" s="226"/>
      <x:c r="B316" s="226"/>
      <x:c r="C316" s="226"/>
      <x:c r="D316" s="226"/>
      <x:c r="E316" s="226"/>
      <x:c r="F316" s="226"/>
      <x:c r="G316" s="226"/>
      <x:c r="H316" s="226"/>
      <x:c r="I316" s="226"/>
      <x:c r="J316" s="226"/>
      <x:c r="K316" s="226"/>
      <x:c r="L316" s="226"/>
      <x:c r="M316" s="226"/>
      <x:c r="N316" s="226"/>
      <x:c r="O316" s="226"/>
      <x:c r="P316" s="226"/>
      <x:c r="Q316" s="226"/>
      <x:c r="R316" s="226"/>
      <x:c r="S316" s="226"/>
      <x:c r="T316" s="226"/>
      <x:c r="U316" s="226"/>
      <x:c r="V316" s="226"/>
      <x:c r="W316" s="226"/>
      <x:c r="X316" s="226"/>
      <x:c r="Y316" s="226"/>
      <x:c r="Z316" s="226"/>
    </x:row>
    <x:row r="317">
      <x:c r="A317" s="226"/>
      <x:c r="B317" s="226"/>
      <x:c r="C317" s="226"/>
      <x:c r="D317" s="226"/>
      <x:c r="E317" s="226"/>
      <x:c r="F317" s="226"/>
      <x:c r="G317" s="226"/>
      <x:c r="H317" s="226"/>
      <x:c r="I317" s="226"/>
      <x:c r="J317" s="226"/>
      <x:c r="K317" s="226"/>
      <x:c r="L317" s="226"/>
      <x:c r="M317" s="226"/>
      <x:c r="N317" s="226"/>
      <x:c r="O317" s="226"/>
      <x:c r="P317" s="226"/>
      <x:c r="Q317" s="226"/>
      <x:c r="R317" s="226"/>
      <x:c r="S317" s="226"/>
      <x:c r="T317" s="226"/>
      <x:c r="U317" s="226"/>
      <x:c r="V317" s="226"/>
      <x:c r="W317" s="226"/>
      <x:c r="X317" s="226"/>
      <x:c r="Y317" s="226"/>
      <x:c r="Z317" s="226"/>
    </x:row>
    <x:row r="318">
      <x:c r="A318" s="226"/>
      <x:c r="B318" s="226"/>
      <x:c r="C318" s="226"/>
      <x:c r="D318" s="226"/>
      <x:c r="E318" s="226"/>
      <x:c r="F318" s="226"/>
      <x:c r="G318" s="226"/>
      <x:c r="H318" s="226"/>
      <x:c r="I318" s="226"/>
      <x:c r="J318" s="226"/>
      <x:c r="K318" s="226"/>
      <x:c r="L318" s="226"/>
      <x:c r="M318" s="226"/>
      <x:c r="N318" s="226"/>
      <x:c r="O318" s="226"/>
      <x:c r="P318" s="226"/>
      <x:c r="Q318" s="226"/>
      <x:c r="R318" s="226"/>
      <x:c r="S318" s="226"/>
      <x:c r="T318" s="226"/>
      <x:c r="U318" s="226"/>
      <x:c r="V318" s="226"/>
      <x:c r="W318" s="226"/>
      <x:c r="X318" s="226"/>
      <x:c r="Y318" s="226"/>
      <x:c r="Z318" s="226"/>
    </x:row>
    <x:row r="319">
      <x:c r="A319" s="226"/>
      <x:c r="B319" s="226"/>
      <x:c r="C319" s="226"/>
      <x:c r="D319" s="226"/>
      <x:c r="E319" s="226"/>
      <x:c r="F319" s="226"/>
      <x:c r="G319" s="226"/>
      <x:c r="H319" s="226"/>
      <x:c r="I319" s="226"/>
      <x:c r="J319" s="226"/>
      <x:c r="K319" s="226"/>
      <x:c r="L319" s="226"/>
      <x:c r="M319" s="226"/>
      <x:c r="N319" s="226"/>
      <x:c r="O319" s="226"/>
      <x:c r="P319" s="226"/>
      <x:c r="Q319" s="226"/>
      <x:c r="R319" s="226"/>
      <x:c r="S319" s="226"/>
      <x:c r="T319" s="226"/>
      <x:c r="U319" s="226"/>
      <x:c r="V319" s="226"/>
      <x:c r="W319" s="226"/>
      <x:c r="X319" s="226"/>
      <x:c r="Y319" s="226"/>
      <x:c r="Z319" s="226"/>
    </x:row>
    <x:row r="320">
      <x:c r="A320" s="226"/>
      <x:c r="B320" s="226"/>
      <x:c r="C320" s="226"/>
      <x:c r="D320" s="226"/>
      <x:c r="E320" s="226"/>
      <x:c r="F320" s="226"/>
      <x:c r="G320" s="226"/>
      <x:c r="H320" s="226"/>
      <x:c r="I320" s="226"/>
      <x:c r="J320" s="226"/>
      <x:c r="K320" s="226"/>
      <x:c r="L320" s="226"/>
      <x:c r="M320" s="226"/>
      <x:c r="N320" s="226"/>
      <x:c r="O320" s="226"/>
      <x:c r="P320" s="226"/>
      <x:c r="Q320" s="226"/>
      <x:c r="R320" s="226"/>
      <x:c r="S320" s="226"/>
      <x:c r="T320" s="226"/>
      <x:c r="U320" s="226"/>
      <x:c r="V320" s="226"/>
      <x:c r="W320" s="226"/>
      <x:c r="X320" s="226"/>
      <x:c r="Y320" s="226"/>
      <x:c r="Z320" s="226"/>
    </x:row>
    <x:row r="321">
      <x:c r="A321" s="226"/>
      <x:c r="B321" s="226"/>
      <x:c r="C321" s="226"/>
      <x:c r="D321" s="226"/>
      <x:c r="E321" s="226"/>
      <x:c r="F321" s="226"/>
      <x:c r="G321" s="226"/>
      <x:c r="H321" s="226"/>
      <x:c r="I321" s="226"/>
      <x:c r="J321" s="226"/>
      <x:c r="K321" s="226"/>
      <x:c r="L321" s="226"/>
      <x:c r="M321" s="226"/>
      <x:c r="N321" s="226"/>
      <x:c r="O321" s="226"/>
      <x:c r="P321" s="226"/>
      <x:c r="Q321" s="226"/>
      <x:c r="R321" s="226"/>
      <x:c r="S321" s="226"/>
      <x:c r="T321" s="226"/>
      <x:c r="U321" s="226"/>
      <x:c r="V321" s="226"/>
      <x:c r="W321" s="226"/>
      <x:c r="X321" s="226"/>
      <x:c r="Y321" s="226"/>
      <x:c r="Z321" s="226"/>
    </x:row>
    <x:row r="322">
      <x:c r="A322" s="226"/>
      <x:c r="B322" s="226"/>
      <x:c r="C322" s="226"/>
      <x:c r="D322" s="226"/>
      <x:c r="E322" s="226"/>
      <x:c r="F322" s="226"/>
      <x:c r="G322" s="226"/>
      <x:c r="H322" s="226"/>
      <x:c r="I322" s="226"/>
      <x:c r="J322" s="226"/>
      <x:c r="K322" s="226"/>
      <x:c r="L322" s="226"/>
      <x:c r="M322" s="226"/>
      <x:c r="N322" s="226"/>
      <x:c r="O322" s="226"/>
      <x:c r="P322" s="226"/>
      <x:c r="Q322" s="226"/>
      <x:c r="R322" s="226"/>
      <x:c r="S322" s="226"/>
      <x:c r="T322" s="226"/>
      <x:c r="U322" s="226"/>
      <x:c r="V322" s="226"/>
      <x:c r="W322" s="226"/>
      <x:c r="X322" s="226"/>
      <x:c r="Y322" s="226"/>
      <x:c r="Z322" s="226"/>
    </x:row>
    <x:row r="323">
      <x:c r="A323" s="226"/>
      <x:c r="B323" s="226"/>
      <x:c r="C323" s="226"/>
      <x:c r="D323" s="226"/>
      <x:c r="E323" s="226"/>
      <x:c r="F323" s="226"/>
      <x:c r="G323" s="226"/>
      <x:c r="H323" s="226"/>
      <x:c r="I323" s="226"/>
      <x:c r="J323" s="226"/>
      <x:c r="K323" s="226"/>
      <x:c r="L323" s="226"/>
      <x:c r="M323" s="226"/>
      <x:c r="N323" s="226"/>
      <x:c r="O323" s="226"/>
      <x:c r="P323" s="226"/>
      <x:c r="Q323" s="226"/>
      <x:c r="R323" s="226"/>
      <x:c r="S323" s="226"/>
      <x:c r="T323" s="226"/>
      <x:c r="U323" s="226"/>
      <x:c r="V323" s="226"/>
      <x:c r="W323" s="226"/>
      <x:c r="X323" s="226"/>
      <x:c r="Y323" s="226"/>
      <x:c r="Z323" s="226"/>
    </x:row>
    <x:row r="324">
      <x:c r="A324" s="226"/>
      <x:c r="B324" s="226"/>
      <x:c r="C324" s="226"/>
      <x:c r="D324" s="226"/>
      <x:c r="E324" s="226"/>
      <x:c r="F324" s="226"/>
      <x:c r="G324" s="226"/>
      <x:c r="H324" s="226"/>
      <x:c r="I324" s="226"/>
      <x:c r="J324" s="226"/>
      <x:c r="K324" s="226"/>
      <x:c r="L324" s="226"/>
      <x:c r="M324" s="226"/>
      <x:c r="N324" s="226"/>
      <x:c r="O324" s="226"/>
      <x:c r="P324" s="226"/>
      <x:c r="Q324" s="226"/>
      <x:c r="R324" s="226"/>
      <x:c r="S324" s="226"/>
      <x:c r="T324" s="226"/>
      <x:c r="U324" s="226"/>
      <x:c r="V324" s="226"/>
      <x:c r="W324" s="226"/>
      <x:c r="X324" s="226"/>
      <x:c r="Y324" s="226"/>
      <x:c r="Z324" s="226"/>
    </x:row>
    <x:row r="325">
      <x:c r="A325" s="226"/>
      <x:c r="B325" s="226"/>
      <x:c r="C325" s="226"/>
      <x:c r="D325" s="226"/>
      <x:c r="E325" s="226"/>
      <x:c r="F325" s="226"/>
      <x:c r="G325" s="226"/>
      <x:c r="H325" s="226"/>
      <x:c r="I325" s="226"/>
      <x:c r="J325" s="226"/>
      <x:c r="K325" s="226"/>
      <x:c r="L325" s="226"/>
      <x:c r="M325" s="226"/>
      <x:c r="N325" s="226"/>
      <x:c r="O325" s="226"/>
      <x:c r="P325" s="226"/>
      <x:c r="Q325" s="226"/>
      <x:c r="R325" s="226"/>
      <x:c r="S325" s="226"/>
      <x:c r="T325" s="226"/>
      <x:c r="U325" s="226"/>
      <x:c r="V325" s="226"/>
      <x:c r="W325" s="226"/>
      <x:c r="X325" s="226"/>
      <x:c r="Y325" s="226"/>
      <x:c r="Z325" s="226"/>
    </x:row>
    <x:row r="326">
      <x:c r="A326" s="226"/>
      <x:c r="B326" s="226"/>
      <x:c r="C326" s="226"/>
      <x:c r="D326" s="226"/>
      <x:c r="E326" s="226"/>
      <x:c r="F326" s="226"/>
      <x:c r="G326" s="226"/>
      <x:c r="H326" s="226"/>
      <x:c r="I326" s="226"/>
      <x:c r="J326" s="226"/>
      <x:c r="K326" s="226"/>
      <x:c r="L326" s="226"/>
      <x:c r="M326" s="226"/>
      <x:c r="N326" s="226"/>
      <x:c r="O326" s="226"/>
      <x:c r="P326" s="226"/>
      <x:c r="Q326" s="226"/>
      <x:c r="R326" s="226"/>
      <x:c r="S326" s="226"/>
      <x:c r="T326" s="226"/>
      <x:c r="U326" s="226"/>
      <x:c r="V326" s="226"/>
      <x:c r="W326" s="226"/>
      <x:c r="X326" s="226"/>
      <x:c r="Y326" s="226"/>
      <x:c r="Z326" s="226"/>
    </x:row>
    <x:row r="327">
      <x:c r="A327" s="226"/>
      <x:c r="B327" s="226"/>
      <x:c r="C327" s="226"/>
      <x:c r="D327" s="226"/>
      <x:c r="E327" s="226"/>
      <x:c r="F327" s="226"/>
      <x:c r="G327" s="226"/>
      <x:c r="H327" s="226"/>
      <x:c r="I327" s="226"/>
      <x:c r="J327" s="226"/>
      <x:c r="K327" s="226"/>
      <x:c r="L327" s="226"/>
      <x:c r="M327" s="226"/>
      <x:c r="N327" s="226"/>
      <x:c r="O327" s="226"/>
      <x:c r="P327" s="226"/>
      <x:c r="Q327" s="226"/>
      <x:c r="R327" s="226"/>
      <x:c r="S327" s="226"/>
      <x:c r="T327" s="226"/>
      <x:c r="U327" s="226"/>
      <x:c r="V327" s="226"/>
      <x:c r="W327" s="226"/>
      <x:c r="X327" s="226"/>
      <x:c r="Y327" s="226"/>
      <x:c r="Z327" s="226"/>
    </x:row>
    <x:row r="328">
      <x:c r="A328" s="226"/>
      <x:c r="B328" s="226"/>
      <x:c r="C328" s="226"/>
      <x:c r="D328" s="226"/>
      <x:c r="E328" s="226"/>
      <x:c r="F328" s="226"/>
      <x:c r="G328" s="226"/>
      <x:c r="H328" s="226"/>
      <x:c r="I328" s="226"/>
      <x:c r="J328" s="226"/>
      <x:c r="K328" s="226"/>
      <x:c r="L328" s="226"/>
      <x:c r="M328" s="226"/>
      <x:c r="N328" s="226"/>
      <x:c r="O328" s="226"/>
      <x:c r="P328" s="226"/>
      <x:c r="Q328" s="226"/>
      <x:c r="R328" s="226"/>
      <x:c r="S328" s="226"/>
      <x:c r="T328" s="226"/>
      <x:c r="U328" s="226"/>
      <x:c r="V328" s="226"/>
      <x:c r="W328" s="226"/>
      <x:c r="X328" s="226"/>
      <x:c r="Y328" s="226"/>
      <x:c r="Z328" s="226"/>
    </x:row>
    <x:row r="329">
      <x:c r="A329" s="226"/>
      <x:c r="B329" s="226"/>
      <x:c r="C329" s="226"/>
      <x:c r="D329" s="226"/>
      <x:c r="E329" s="226"/>
      <x:c r="F329" s="226"/>
      <x:c r="G329" s="226"/>
      <x:c r="H329" s="226"/>
      <x:c r="I329" s="226"/>
      <x:c r="J329" s="226"/>
      <x:c r="K329" s="226"/>
      <x:c r="L329" s="226"/>
      <x:c r="M329" s="226"/>
      <x:c r="N329" s="226"/>
      <x:c r="O329" s="226"/>
      <x:c r="P329" s="226"/>
      <x:c r="Q329" s="226"/>
      <x:c r="R329" s="226"/>
      <x:c r="S329" s="226"/>
      <x:c r="T329" s="226"/>
      <x:c r="U329" s="226"/>
      <x:c r="V329" s="226"/>
      <x:c r="W329" s="226"/>
      <x:c r="X329" s="226"/>
      <x:c r="Y329" s="226"/>
      <x:c r="Z329" s="226"/>
    </x:row>
    <x:row r="330">
      <x:c r="A330" s="226"/>
      <x:c r="B330" s="226"/>
      <x:c r="C330" s="226"/>
      <x:c r="D330" s="226"/>
      <x:c r="E330" s="226"/>
      <x:c r="F330" s="226"/>
      <x:c r="G330" s="226"/>
      <x:c r="H330" s="226"/>
      <x:c r="I330" s="226"/>
      <x:c r="J330" s="226"/>
      <x:c r="K330" s="226"/>
      <x:c r="L330" s="226"/>
      <x:c r="M330" s="226"/>
      <x:c r="N330" s="226"/>
      <x:c r="O330" s="226"/>
      <x:c r="P330" s="226"/>
      <x:c r="Q330" s="226"/>
      <x:c r="R330" s="226"/>
      <x:c r="S330" s="226"/>
      <x:c r="T330" s="226"/>
      <x:c r="U330" s="226"/>
      <x:c r="V330" s="226"/>
      <x:c r="W330" s="226"/>
      <x:c r="X330" s="226"/>
      <x:c r="Y330" s="226"/>
      <x:c r="Z330" s="226"/>
    </x:row>
    <x:row r="331">
      <x:c r="A331" s="226"/>
      <x:c r="B331" s="226"/>
      <x:c r="C331" s="226"/>
      <x:c r="D331" s="226"/>
      <x:c r="E331" s="226"/>
      <x:c r="F331" s="226"/>
      <x:c r="G331" s="226"/>
      <x:c r="H331" s="226"/>
      <x:c r="I331" s="226"/>
      <x:c r="J331" s="226"/>
      <x:c r="K331" s="226"/>
      <x:c r="L331" s="226"/>
      <x:c r="M331" s="226"/>
      <x:c r="N331" s="226"/>
      <x:c r="O331" s="226"/>
      <x:c r="P331" s="226"/>
      <x:c r="Q331" s="226"/>
      <x:c r="R331" s="226"/>
      <x:c r="S331" s="226"/>
      <x:c r="T331" s="226"/>
      <x:c r="U331" s="226"/>
      <x:c r="V331" s="226"/>
      <x:c r="W331" s="226"/>
      <x:c r="X331" s="226"/>
      <x:c r="Y331" s="226"/>
      <x:c r="Z331" s="226"/>
    </x:row>
    <x:row r="332">
      <x:c r="A332" s="226"/>
      <x:c r="B332" s="226"/>
      <x:c r="C332" s="226"/>
      <x:c r="D332" s="226"/>
      <x:c r="E332" s="226"/>
      <x:c r="F332" s="226"/>
      <x:c r="G332" s="226"/>
      <x:c r="H332" s="226"/>
      <x:c r="I332" s="226"/>
      <x:c r="J332" s="226"/>
      <x:c r="K332" s="226"/>
      <x:c r="L332" s="226"/>
      <x:c r="M332" s="226"/>
      <x:c r="N332" s="226"/>
      <x:c r="O332" s="226"/>
      <x:c r="P332" s="226"/>
      <x:c r="Q332" s="226"/>
      <x:c r="R332" s="226"/>
      <x:c r="S332" s="226"/>
      <x:c r="T332" s="226"/>
      <x:c r="U332" s="226"/>
      <x:c r="V332" s="226"/>
      <x:c r="W332" s="226"/>
      <x:c r="X332" s="226"/>
      <x:c r="Y332" s="226"/>
      <x:c r="Z332" s="226"/>
    </x:row>
    <x:row r="333">
      <x:c r="A333" s="226"/>
      <x:c r="B333" s="226"/>
      <x:c r="C333" s="226"/>
      <x:c r="D333" s="226"/>
      <x:c r="E333" s="226"/>
      <x:c r="F333" s="226"/>
      <x:c r="G333" s="226"/>
      <x:c r="H333" s="226"/>
      <x:c r="I333" s="226"/>
      <x:c r="J333" s="226"/>
      <x:c r="K333" s="226"/>
      <x:c r="L333" s="226"/>
      <x:c r="M333" s="226"/>
      <x:c r="N333" s="226"/>
      <x:c r="O333" s="226"/>
      <x:c r="P333" s="226"/>
      <x:c r="Q333" s="226"/>
      <x:c r="R333" s="226"/>
      <x:c r="S333" s="226"/>
      <x:c r="T333" s="226"/>
      <x:c r="U333" s="226"/>
      <x:c r="V333" s="226"/>
      <x:c r="W333" s="226"/>
      <x:c r="X333" s="226"/>
      <x:c r="Y333" s="226"/>
      <x:c r="Z333" s="226"/>
    </x:row>
    <x:row r="334">
      <x:c r="A334" s="226"/>
      <x:c r="B334" s="226"/>
      <x:c r="C334" s="226"/>
      <x:c r="D334" s="226"/>
      <x:c r="E334" s="226"/>
      <x:c r="F334" s="226"/>
      <x:c r="G334" s="226"/>
      <x:c r="H334" s="226"/>
      <x:c r="I334" s="226"/>
      <x:c r="J334" s="226"/>
      <x:c r="K334" s="226"/>
      <x:c r="L334" s="226"/>
      <x:c r="M334" s="226"/>
      <x:c r="N334" s="226"/>
      <x:c r="O334" s="226"/>
      <x:c r="P334" s="226"/>
      <x:c r="Q334" s="226"/>
      <x:c r="R334" s="226"/>
      <x:c r="S334" s="226"/>
      <x:c r="T334" s="226"/>
      <x:c r="U334" s="226"/>
      <x:c r="V334" s="226"/>
      <x:c r="W334" s="226"/>
      <x:c r="X334" s="226"/>
      <x:c r="Y334" s="226"/>
      <x:c r="Z334" s="226"/>
    </x:row>
    <x:row r="335">
      <x:c r="A335" s="226"/>
      <x:c r="B335" s="226"/>
      <x:c r="C335" s="226"/>
      <x:c r="D335" s="226"/>
      <x:c r="E335" s="226"/>
      <x:c r="F335" s="226"/>
      <x:c r="G335" s="226"/>
      <x:c r="H335" s="226"/>
      <x:c r="I335" s="226"/>
      <x:c r="J335" s="226"/>
      <x:c r="K335" s="226"/>
      <x:c r="L335" s="226"/>
      <x:c r="M335" s="226"/>
      <x:c r="N335" s="226"/>
      <x:c r="O335" s="226"/>
      <x:c r="P335" s="226"/>
      <x:c r="Q335" s="226"/>
      <x:c r="R335" s="226"/>
      <x:c r="S335" s="226"/>
      <x:c r="T335" s="226"/>
      <x:c r="U335" s="226"/>
      <x:c r="V335" s="226"/>
      <x:c r="W335" s="226"/>
      <x:c r="X335" s="226"/>
      <x:c r="Y335" s="226"/>
      <x:c r="Z335" s="226"/>
    </x:row>
    <x:row r="336">
      <x:c r="A336" s="226"/>
      <x:c r="B336" s="226"/>
      <x:c r="C336" s="226"/>
      <x:c r="D336" s="226"/>
      <x:c r="E336" s="226"/>
      <x:c r="F336" s="226"/>
      <x:c r="G336" s="226"/>
      <x:c r="H336" s="226"/>
      <x:c r="I336" s="226"/>
      <x:c r="J336" s="226"/>
      <x:c r="K336" s="226"/>
      <x:c r="L336" s="226"/>
      <x:c r="M336" s="226"/>
      <x:c r="N336" s="226"/>
      <x:c r="O336" s="226"/>
      <x:c r="P336" s="226"/>
      <x:c r="Q336" s="226"/>
      <x:c r="R336" s="226"/>
      <x:c r="S336" s="226"/>
      <x:c r="T336" s="226"/>
      <x:c r="U336" s="226"/>
      <x:c r="V336" s="226"/>
      <x:c r="W336" s="226"/>
      <x:c r="X336" s="226"/>
      <x:c r="Y336" s="226"/>
      <x:c r="Z336" s="226"/>
    </x:row>
    <x:row r="337">
      <x:c r="A337" s="226"/>
      <x:c r="B337" s="226"/>
      <x:c r="C337" s="226"/>
      <x:c r="D337" s="226"/>
      <x:c r="E337" s="226"/>
      <x:c r="F337" s="226"/>
      <x:c r="G337" s="226"/>
      <x:c r="H337" s="226"/>
      <x:c r="I337" s="226"/>
      <x:c r="J337" s="226"/>
      <x:c r="K337" s="226"/>
      <x:c r="L337" s="226"/>
      <x:c r="M337" s="226"/>
      <x:c r="N337" s="226"/>
      <x:c r="O337" s="226"/>
      <x:c r="P337" s="226"/>
      <x:c r="Q337" s="226"/>
      <x:c r="R337" s="226"/>
      <x:c r="S337" s="226"/>
      <x:c r="T337" s="226"/>
      <x:c r="U337" s="226"/>
      <x:c r="V337" s="226"/>
      <x:c r="W337" s="226"/>
      <x:c r="X337" s="226"/>
      <x:c r="Y337" s="226"/>
      <x:c r="Z337" s="226"/>
    </x:row>
    <x:row r="338">
      <x:c r="A338" s="226"/>
      <x:c r="B338" s="226"/>
      <x:c r="C338" s="226"/>
      <x:c r="D338" s="226"/>
      <x:c r="E338" s="226"/>
      <x:c r="F338" s="226"/>
      <x:c r="G338" s="226"/>
      <x:c r="H338" s="226"/>
      <x:c r="I338" s="226"/>
      <x:c r="J338" s="226"/>
      <x:c r="K338" s="226"/>
      <x:c r="L338" s="226"/>
      <x:c r="M338" s="226"/>
      <x:c r="N338" s="226"/>
      <x:c r="O338" s="226"/>
      <x:c r="P338" s="226"/>
      <x:c r="Q338" s="226"/>
      <x:c r="R338" s="226"/>
      <x:c r="S338" s="226"/>
      <x:c r="T338" s="226"/>
      <x:c r="U338" s="226"/>
      <x:c r="V338" s="226"/>
      <x:c r="W338" s="226"/>
      <x:c r="X338" s="226"/>
      <x:c r="Y338" s="226"/>
      <x:c r="Z338" s="226"/>
    </x:row>
    <x:row r="339">
      <x:c r="A339" s="226"/>
      <x:c r="B339" s="226"/>
      <x:c r="C339" s="226"/>
      <x:c r="D339" s="226"/>
      <x:c r="E339" s="226"/>
      <x:c r="F339" s="226"/>
      <x:c r="G339" s="226"/>
      <x:c r="H339" s="226"/>
      <x:c r="I339" s="226"/>
      <x:c r="J339" s="226"/>
      <x:c r="K339" s="226"/>
      <x:c r="L339" s="226"/>
      <x:c r="M339" s="226"/>
      <x:c r="N339" s="226"/>
      <x:c r="O339" s="226"/>
      <x:c r="P339" s="226"/>
      <x:c r="Q339" s="226"/>
      <x:c r="R339" s="226"/>
      <x:c r="S339" s="226"/>
      <x:c r="T339" s="226"/>
      <x:c r="U339" s="226"/>
      <x:c r="V339" s="226"/>
      <x:c r="W339" s="226"/>
      <x:c r="X339" s="226"/>
      <x:c r="Y339" s="226"/>
      <x:c r="Z339" s="226"/>
    </x:row>
    <x:row r="340">
      <x:c r="A340" s="226"/>
      <x:c r="B340" s="226"/>
      <x:c r="C340" s="226"/>
      <x:c r="D340" s="226"/>
      <x:c r="E340" s="226"/>
      <x:c r="F340" s="226"/>
      <x:c r="G340" s="226"/>
      <x:c r="H340" s="226"/>
      <x:c r="I340" s="226"/>
      <x:c r="J340" s="226"/>
      <x:c r="K340" s="226"/>
      <x:c r="L340" s="226"/>
      <x:c r="M340" s="226"/>
      <x:c r="N340" s="226"/>
      <x:c r="O340" s="226"/>
      <x:c r="P340" s="226"/>
      <x:c r="Q340" s="226"/>
      <x:c r="R340" s="226"/>
      <x:c r="S340" s="226"/>
      <x:c r="T340" s="226"/>
      <x:c r="U340" s="226"/>
      <x:c r="V340" s="226"/>
      <x:c r="W340" s="226"/>
      <x:c r="X340" s="226"/>
      <x:c r="Y340" s="226"/>
      <x:c r="Z340" s="226"/>
    </x:row>
    <x:row r="341">
      <x:c r="A341" s="226"/>
      <x:c r="B341" s="226"/>
      <x:c r="C341" s="226"/>
      <x:c r="D341" s="226"/>
      <x:c r="E341" s="226"/>
      <x:c r="F341" s="226"/>
      <x:c r="G341" s="226"/>
      <x:c r="H341" s="226"/>
      <x:c r="I341" s="226"/>
      <x:c r="J341" s="226"/>
      <x:c r="K341" s="226"/>
      <x:c r="L341" s="226"/>
      <x:c r="M341" s="226"/>
      <x:c r="N341" s="226"/>
      <x:c r="O341" s="226"/>
      <x:c r="P341" s="226"/>
      <x:c r="Q341" s="226"/>
      <x:c r="R341" s="226"/>
      <x:c r="S341" s="226"/>
      <x:c r="T341" s="226"/>
      <x:c r="U341" s="226"/>
      <x:c r="V341" s="226"/>
      <x:c r="W341" s="226"/>
      <x:c r="X341" s="226"/>
      <x:c r="Y341" s="226"/>
      <x:c r="Z341" s="226"/>
    </x:row>
    <x:row r="342">
      <x:c r="A342" s="226"/>
      <x:c r="B342" s="226"/>
      <x:c r="C342" s="226"/>
      <x:c r="D342" s="226"/>
      <x:c r="E342" s="226"/>
      <x:c r="F342" s="226"/>
      <x:c r="G342" s="226"/>
      <x:c r="H342" s="226"/>
      <x:c r="I342" s="226"/>
      <x:c r="J342" s="226"/>
      <x:c r="K342" s="226"/>
      <x:c r="L342" s="226"/>
      <x:c r="M342" s="226"/>
      <x:c r="N342" s="226"/>
      <x:c r="O342" s="226"/>
      <x:c r="P342" s="226"/>
      <x:c r="Q342" s="226"/>
      <x:c r="R342" s="226"/>
      <x:c r="S342" s="226"/>
      <x:c r="T342" s="226"/>
      <x:c r="U342" s="226"/>
      <x:c r="V342" s="226"/>
      <x:c r="W342" s="226"/>
      <x:c r="X342" s="226"/>
      <x:c r="Y342" s="226"/>
      <x:c r="Z342" s="226"/>
    </x:row>
    <x:row r="343">
      <x:c r="A343" s="226"/>
      <x:c r="B343" s="226"/>
      <x:c r="C343" s="226"/>
      <x:c r="D343" s="226"/>
      <x:c r="E343" s="226"/>
      <x:c r="F343" s="226"/>
      <x:c r="G343" s="226"/>
      <x:c r="H343" s="226"/>
      <x:c r="I343" s="226"/>
      <x:c r="J343" s="226"/>
      <x:c r="K343" s="226"/>
      <x:c r="L343" s="226"/>
      <x:c r="M343" s="226"/>
      <x:c r="N343" s="226"/>
      <x:c r="O343" s="226"/>
      <x:c r="P343" s="226"/>
      <x:c r="Q343" s="226"/>
      <x:c r="R343" s="226"/>
      <x:c r="S343" s="226"/>
      <x:c r="T343" s="226"/>
      <x:c r="U343" s="226"/>
      <x:c r="V343" s="226"/>
      <x:c r="W343" s="226"/>
      <x:c r="X343" s="226"/>
      <x:c r="Y343" s="226"/>
      <x:c r="Z343" s="226"/>
    </x:row>
    <x:row r="344">
      <x:c r="A344" s="226"/>
      <x:c r="B344" s="226"/>
      <x:c r="C344" s="226"/>
      <x:c r="D344" s="226"/>
      <x:c r="E344" s="226"/>
      <x:c r="F344" s="226"/>
      <x:c r="G344" s="226"/>
      <x:c r="H344" s="226"/>
      <x:c r="I344" s="226"/>
      <x:c r="J344" s="226"/>
      <x:c r="K344" s="226"/>
      <x:c r="L344" s="226"/>
      <x:c r="M344" s="226"/>
      <x:c r="N344" s="226"/>
      <x:c r="O344" s="226"/>
      <x:c r="P344" s="226"/>
      <x:c r="Q344" s="226"/>
      <x:c r="R344" s="226"/>
      <x:c r="S344" s="226"/>
      <x:c r="T344" s="226"/>
      <x:c r="U344" s="226"/>
      <x:c r="V344" s="226"/>
      <x:c r="W344" s="226"/>
      <x:c r="X344" s="226"/>
      <x:c r="Y344" s="226"/>
      <x:c r="Z344" s="226"/>
    </x:row>
    <x:row r="345">
      <x:c r="A345" s="226"/>
      <x:c r="B345" s="226"/>
      <x:c r="C345" s="226"/>
      <x:c r="D345" s="226"/>
      <x:c r="E345" s="226"/>
      <x:c r="F345" s="226"/>
      <x:c r="G345" s="226"/>
      <x:c r="H345" s="226"/>
      <x:c r="I345" s="226"/>
      <x:c r="J345" s="226"/>
      <x:c r="K345" s="226"/>
      <x:c r="L345" s="226"/>
      <x:c r="M345" s="226"/>
      <x:c r="N345" s="226"/>
      <x:c r="O345" s="226"/>
      <x:c r="P345" s="226"/>
      <x:c r="Q345" s="226"/>
      <x:c r="R345" s="226"/>
      <x:c r="S345" s="226"/>
      <x:c r="T345" s="226"/>
      <x:c r="U345" s="226"/>
      <x:c r="V345" s="226"/>
      <x:c r="W345" s="226"/>
      <x:c r="X345" s="226"/>
      <x:c r="Y345" s="226"/>
      <x:c r="Z345" s="226"/>
    </x:row>
    <x:row r="346">
      <x:c r="A346" s="226"/>
      <x:c r="B346" s="226"/>
      <x:c r="C346" s="226"/>
      <x:c r="D346" s="226"/>
      <x:c r="E346" s="226"/>
      <x:c r="F346" s="226"/>
      <x:c r="G346" s="226"/>
      <x:c r="H346" s="226"/>
      <x:c r="I346" s="226"/>
      <x:c r="J346" s="226"/>
      <x:c r="K346" s="226"/>
      <x:c r="L346" s="226"/>
      <x:c r="M346" s="226"/>
      <x:c r="N346" s="226"/>
      <x:c r="O346" s="226"/>
      <x:c r="P346" s="226"/>
      <x:c r="Q346" s="226"/>
      <x:c r="R346" s="226"/>
      <x:c r="S346" s="226"/>
      <x:c r="T346" s="226"/>
      <x:c r="U346" s="226"/>
      <x:c r="V346" s="226"/>
      <x:c r="W346" s="226"/>
      <x:c r="X346" s="226"/>
      <x:c r="Y346" s="226"/>
      <x:c r="Z346" s="226"/>
    </x:row>
    <x:row r="347">
      <x:c r="A347" s="226"/>
      <x:c r="B347" s="226"/>
      <x:c r="C347" s="226"/>
      <x:c r="D347" s="226"/>
      <x:c r="E347" s="226"/>
      <x:c r="F347" s="226"/>
      <x:c r="G347" s="226"/>
      <x:c r="H347" s="226"/>
      <x:c r="I347" s="226"/>
      <x:c r="J347" s="226"/>
      <x:c r="K347" s="226"/>
      <x:c r="L347" s="226"/>
      <x:c r="M347" s="226"/>
      <x:c r="N347" s="226"/>
      <x:c r="O347" s="226"/>
      <x:c r="P347" s="226"/>
      <x:c r="Q347" s="226"/>
      <x:c r="R347" s="226"/>
      <x:c r="S347" s="226"/>
      <x:c r="T347" s="226"/>
      <x:c r="U347" s="226"/>
      <x:c r="V347" s="226"/>
      <x:c r="W347" s="226"/>
      <x:c r="X347" s="226"/>
      <x:c r="Y347" s="226"/>
      <x:c r="Z347" s="226"/>
    </x:row>
    <x:row r="348">
      <x:c r="A348" s="226"/>
      <x:c r="B348" s="226"/>
      <x:c r="C348" s="226"/>
      <x:c r="D348" s="226"/>
      <x:c r="E348" s="226"/>
      <x:c r="F348" s="226"/>
      <x:c r="G348" s="226"/>
      <x:c r="H348" s="226"/>
      <x:c r="I348" s="226"/>
      <x:c r="J348" s="226"/>
      <x:c r="K348" s="226"/>
      <x:c r="L348" s="226"/>
      <x:c r="M348" s="226"/>
      <x:c r="N348" s="226"/>
      <x:c r="O348" s="226"/>
      <x:c r="P348" s="226"/>
      <x:c r="Q348" s="226"/>
      <x:c r="R348" s="226"/>
      <x:c r="S348" s="226"/>
      <x:c r="T348" s="226"/>
      <x:c r="U348" s="226"/>
      <x:c r="V348" s="226"/>
      <x:c r="W348" s="226"/>
      <x:c r="X348" s="226"/>
      <x:c r="Y348" s="226"/>
      <x:c r="Z348" s="226"/>
    </x:row>
    <x:row r="349">
      <x:c r="A349" s="226"/>
      <x:c r="B349" s="226"/>
      <x:c r="C349" s="226"/>
      <x:c r="D349" s="226"/>
      <x:c r="E349" s="226"/>
      <x:c r="F349" s="226"/>
      <x:c r="G349" s="226"/>
      <x:c r="H349" s="226"/>
      <x:c r="I349" s="226"/>
      <x:c r="J349" s="226"/>
      <x:c r="K349" s="226"/>
      <x:c r="L349" s="226"/>
      <x:c r="M349" s="226"/>
      <x:c r="N349" s="226"/>
      <x:c r="O349" s="226"/>
      <x:c r="P349" s="226"/>
      <x:c r="Q349" s="226"/>
      <x:c r="R349" s="226"/>
      <x:c r="S349" s="226"/>
      <x:c r="T349" s="226"/>
      <x:c r="U349" s="226"/>
      <x:c r="V349" s="226"/>
      <x:c r="W349" s="226"/>
      <x:c r="X349" s="226"/>
      <x:c r="Y349" s="226"/>
      <x:c r="Z349" s="226"/>
    </x:row>
    <x:row r="350">
      <x:c r="A350" s="226"/>
      <x:c r="B350" s="226"/>
      <x:c r="C350" s="226"/>
      <x:c r="D350" s="226"/>
      <x:c r="E350" s="226"/>
      <x:c r="F350" s="226"/>
      <x:c r="G350" s="226"/>
      <x:c r="H350" s="226"/>
      <x:c r="I350" s="226"/>
      <x:c r="J350" s="226"/>
      <x:c r="K350" s="226"/>
      <x:c r="L350" s="226"/>
      <x:c r="M350" s="226"/>
      <x:c r="N350" s="226"/>
      <x:c r="O350" s="226"/>
      <x:c r="P350" s="226"/>
      <x:c r="Q350" s="226"/>
      <x:c r="R350" s="226"/>
      <x:c r="S350" s="226"/>
      <x:c r="T350" s="226"/>
      <x:c r="U350" s="226"/>
      <x:c r="V350" s="226"/>
      <x:c r="W350" s="226"/>
      <x:c r="X350" s="226"/>
      <x:c r="Y350" s="226"/>
      <x:c r="Z350" s="226"/>
    </x:row>
    <x:row r="351">
      <x:c r="A351" s="226"/>
      <x:c r="B351" s="226"/>
      <x:c r="C351" s="226"/>
      <x:c r="D351" s="226"/>
      <x:c r="E351" s="226"/>
      <x:c r="F351" s="226"/>
      <x:c r="G351" s="226"/>
      <x:c r="H351" s="226"/>
      <x:c r="I351" s="226"/>
      <x:c r="J351" s="226"/>
      <x:c r="K351" s="226"/>
      <x:c r="L351" s="226"/>
      <x:c r="M351" s="226"/>
      <x:c r="N351" s="226"/>
      <x:c r="O351" s="226"/>
      <x:c r="P351" s="226"/>
      <x:c r="Q351" s="226"/>
      <x:c r="R351" s="226"/>
      <x:c r="S351" s="226"/>
      <x:c r="T351" s="226"/>
      <x:c r="U351" s="226"/>
      <x:c r="V351" s="226"/>
      <x:c r="W351" s="226"/>
      <x:c r="X351" s="226"/>
      <x:c r="Y351" s="226"/>
      <x:c r="Z351" s="226"/>
    </x:row>
    <x:row r="352">
      <x:c r="A352" s="226"/>
      <x:c r="B352" s="226"/>
      <x:c r="C352" s="226"/>
      <x:c r="D352" s="226"/>
      <x:c r="E352" s="226"/>
      <x:c r="F352" s="226"/>
      <x:c r="G352" s="226"/>
      <x:c r="H352" s="226"/>
      <x:c r="I352" s="226"/>
      <x:c r="J352" s="226"/>
      <x:c r="K352" s="226"/>
      <x:c r="L352" s="226"/>
      <x:c r="M352" s="226"/>
      <x:c r="N352" s="226"/>
      <x:c r="O352" s="226"/>
      <x:c r="P352" s="226"/>
      <x:c r="Q352" s="226"/>
      <x:c r="R352" s="226"/>
      <x:c r="S352" s="226"/>
      <x:c r="T352" s="226"/>
      <x:c r="U352" s="226"/>
      <x:c r="V352" s="226"/>
      <x:c r="W352" s="226"/>
      <x:c r="X352" s="226"/>
      <x:c r="Y352" s="226"/>
      <x:c r="Z352" s="226"/>
    </x:row>
    <x:row r="353">
      <x:c r="A353" s="226"/>
      <x:c r="B353" s="226"/>
      <x:c r="C353" s="226"/>
      <x:c r="D353" s="226"/>
      <x:c r="E353" s="226"/>
      <x:c r="F353" s="226"/>
      <x:c r="G353" s="226"/>
      <x:c r="H353" s="226"/>
      <x:c r="I353" s="226"/>
      <x:c r="J353" s="226"/>
      <x:c r="K353" s="226"/>
      <x:c r="L353" s="226"/>
      <x:c r="M353" s="226"/>
      <x:c r="N353" s="226"/>
      <x:c r="O353" s="226"/>
      <x:c r="P353" s="226"/>
      <x:c r="Q353" s="226"/>
      <x:c r="R353" s="226"/>
      <x:c r="S353" s="226"/>
      <x:c r="T353" s="226"/>
      <x:c r="U353" s="226"/>
      <x:c r="V353" s="226"/>
      <x:c r="W353" s="226"/>
      <x:c r="X353" s="226"/>
      <x:c r="Y353" s="226"/>
      <x:c r="Z353" s="226"/>
    </x:row>
    <x:row r="354">
      <x:c r="A354" s="226"/>
      <x:c r="B354" s="226"/>
      <x:c r="C354" s="226"/>
      <x:c r="D354" s="226"/>
      <x:c r="E354" s="226"/>
      <x:c r="F354" s="226"/>
      <x:c r="G354" s="226"/>
      <x:c r="H354" s="226"/>
      <x:c r="I354" s="226"/>
      <x:c r="J354" s="226"/>
      <x:c r="K354" s="226"/>
      <x:c r="L354" s="226"/>
      <x:c r="M354" s="226"/>
      <x:c r="N354" s="226"/>
      <x:c r="O354" s="226"/>
      <x:c r="P354" s="226"/>
      <x:c r="Q354" s="226"/>
      <x:c r="R354" s="226"/>
      <x:c r="S354" s="226"/>
      <x:c r="T354" s="226"/>
      <x:c r="U354" s="226"/>
      <x:c r="V354" s="226"/>
      <x:c r="W354" s="226"/>
      <x:c r="X354" s="226"/>
      <x:c r="Y354" s="226"/>
      <x:c r="Z354" s="226"/>
    </x:row>
    <x:row r="355">
      <x:c r="A355" s="226"/>
      <x:c r="B355" s="226"/>
      <x:c r="C355" s="226"/>
      <x:c r="D355" s="226"/>
      <x:c r="E355" s="226"/>
      <x:c r="F355" s="226"/>
      <x:c r="G355" s="226"/>
      <x:c r="H355" s="226"/>
      <x:c r="I355" s="226"/>
      <x:c r="J355" s="226"/>
      <x:c r="K355" s="226"/>
      <x:c r="L355" s="226"/>
      <x:c r="M355" s="226"/>
      <x:c r="N355" s="226"/>
      <x:c r="O355" s="226"/>
      <x:c r="P355" s="226"/>
      <x:c r="Q355" s="226"/>
      <x:c r="R355" s="226"/>
      <x:c r="S355" s="226"/>
      <x:c r="T355" s="226"/>
      <x:c r="U355" s="226"/>
      <x:c r="V355" s="226"/>
      <x:c r="W355" s="226"/>
      <x:c r="X355" s="226"/>
      <x:c r="Y355" s="226"/>
      <x:c r="Z355" s="226"/>
    </x:row>
    <x:row r="356">
      <x:c r="A356" s="226"/>
      <x:c r="B356" s="226"/>
      <x:c r="C356" s="226"/>
      <x:c r="D356" s="226"/>
      <x:c r="E356" s="226"/>
      <x:c r="F356" s="226"/>
      <x:c r="G356" s="226"/>
      <x:c r="H356" s="226"/>
      <x:c r="I356" s="226"/>
      <x:c r="J356" s="226"/>
      <x:c r="K356" s="226"/>
      <x:c r="L356" s="226"/>
      <x:c r="M356" s="226"/>
      <x:c r="N356" s="226"/>
      <x:c r="O356" s="226"/>
      <x:c r="P356" s="226"/>
      <x:c r="Q356" s="226"/>
      <x:c r="R356" s="226"/>
      <x:c r="S356" s="226"/>
      <x:c r="T356" s="226"/>
      <x:c r="U356" s="226"/>
      <x:c r="V356" s="226"/>
      <x:c r="W356" s="226"/>
      <x:c r="X356" s="226"/>
      <x:c r="Y356" s="226"/>
      <x:c r="Z356" s="226"/>
    </x:row>
    <x:row r="357">
      <x:c r="A357" s="226"/>
      <x:c r="B357" s="226"/>
      <x:c r="C357" s="226"/>
      <x:c r="D357" s="226"/>
      <x:c r="E357" s="226"/>
      <x:c r="F357" s="226"/>
      <x:c r="G357" s="226"/>
      <x:c r="H357" s="226"/>
      <x:c r="I357" s="226"/>
      <x:c r="J357" s="226"/>
      <x:c r="K357" s="226"/>
      <x:c r="L357" s="226"/>
      <x:c r="M357" s="226"/>
      <x:c r="N357" s="226"/>
      <x:c r="O357" s="226"/>
      <x:c r="P357" s="226"/>
      <x:c r="Q357" s="226"/>
      <x:c r="R357" s="226"/>
      <x:c r="S357" s="226"/>
      <x:c r="T357" s="226"/>
      <x:c r="U357" s="226"/>
      <x:c r="V357" s="226"/>
      <x:c r="W357" s="226"/>
      <x:c r="X357" s="226"/>
      <x:c r="Y357" s="226"/>
      <x:c r="Z357" s="226"/>
    </x:row>
    <x:row r="358">
      <x:c r="A358" s="226"/>
      <x:c r="B358" s="226"/>
      <x:c r="C358" s="226"/>
      <x:c r="D358" s="226"/>
      <x:c r="E358" s="226"/>
      <x:c r="F358" s="226"/>
      <x:c r="G358" s="226"/>
      <x:c r="H358" s="226"/>
      <x:c r="I358" s="226"/>
      <x:c r="J358" s="226"/>
      <x:c r="K358" s="226"/>
      <x:c r="L358" s="226"/>
      <x:c r="M358" s="226"/>
      <x:c r="N358" s="226"/>
      <x:c r="O358" s="226"/>
      <x:c r="P358" s="226"/>
      <x:c r="Q358" s="226"/>
      <x:c r="R358" s="226"/>
      <x:c r="S358" s="226"/>
      <x:c r="T358" s="226"/>
      <x:c r="U358" s="226"/>
      <x:c r="V358" s="226"/>
      <x:c r="W358" s="226"/>
      <x:c r="X358" s="226"/>
      <x:c r="Y358" s="226"/>
      <x:c r="Z358" s="226"/>
    </x:row>
    <x:row r="359">
      <x:c r="A359" s="226"/>
      <x:c r="B359" s="226"/>
      <x:c r="C359" s="226"/>
      <x:c r="D359" s="226"/>
      <x:c r="E359" s="226"/>
      <x:c r="F359" s="226"/>
      <x:c r="G359" s="226"/>
      <x:c r="H359" s="226"/>
      <x:c r="I359" s="226"/>
      <x:c r="J359" s="226"/>
      <x:c r="K359" s="226"/>
      <x:c r="L359" s="226"/>
      <x:c r="M359" s="226"/>
      <x:c r="N359" s="226"/>
      <x:c r="O359" s="226"/>
      <x:c r="P359" s="226"/>
      <x:c r="Q359" s="226"/>
      <x:c r="R359" s="226"/>
      <x:c r="S359" s="226"/>
      <x:c r="T359" s="226"/>
      <x:c r="U359" s="226"/>
      <x:c r="V359" s="226"/>
      <x:c r="W359" s="226"/>
      <x:c r="X359" s="226"/>
      <x:c r="Y359" s="226"/>
      <x:c r="Z359" s="226"/>
    </x:row>
    <x:row r="360">
      <x:c r="A360" s="226"/>
      <x:c r="B360" s="226"/>
      <x:c r="C360" s="226"/>
      <x:c r="D360" s="226"/>
      <x:c r="E360" s="226"/>
      <x:c r="F360" s="226"/>
      <x:c r="G360" s="226"/>
      <x:c r="H360" s="226"/>
      <x:c r="I360" s="226"/>
      <x:c r="J360" s="226"/>
      <x:c r="K360" s="226"/>
      <x:c r="L360" s="226"/>
      <x:c r="M360" s="226"/>
      <x:c r="N360" s="226"/>
      <x:c r="O360" s="226"/>
      <x:c r="P360" s="226"/>
      <x:c r="Q360" s="226"/>
      <x:c r="R360" s="226"/>
      <x:c r="S360" s="226"/>
      <x:c r="T360" s="226"/>
      <x:c r="U360" s="226"/>
      <x:c r="V360" s="226"/>
      <x:c r="W360" s="226"/>
      <x:c r="X360" s="226"/>
      <x:c r="Y360" s="226"/>
      <x:c r="Z360" s="226"/>
    </x:row>
    <x:row r="361">
      <x:c r="A361" s="226"/>
      <x:c r="B361" s="226"/>
      <x:c r="C361" s="226"/>
      <x:c r="D361" s="226"/>
      <x:c r="E361" s="226"/>
      <x:c r="F361" s="226"/>
      <x:c r="G361" s="226"/>
      <x:c r="H361" s="226"/>
      <x:c r="I361" s="226"/>
      <x:c r="J361" s="226"/>
      <x:c r="K361" s="226"/>
      <x:c r="L361" s="226"/>
      <x:c r="M361" s="226"/>
      <x:c r="N361" s="226"/>
      <x:c r="O361" s="226"/>
      <x:c r="P361" s="226"/>
      <x:c r="Q361" s="226"/>
      <x:c r="R361" s="226"/>
      <x:c r="S361" s="226"/>
      <x:c r="T361" s="226"/>
      <x:c r="U361" s="226"/>
      <x:c r="V361" s="226"/>
      <x:c r="W361" s="226"/>
      <x:c r="X361" s="226"/>
      <x:c r="Y361" s="226"/>
      <x:c r="Z361" s="226"/>
    </x:row>
    <x:row r="362">
      <x:c r="A362" s="226"/>
      <x:c r="B362" s="226"/>
      <x:c r="C362" s="226"/>
      <x:c r="D362" s="226"/>
      <x:c r="E362" s="226"/>
      <x:c r="F362" s="226"/>
      <x:c r="G362" s="226"/>
      <x:c r="H362" s="226"/>
      <x:c r="I362" s="226"/>
      <x:c r="J362" s="226"/>
      <x:c r="K362" s="226"/>
      <x:c r="L362" s="226"/>
      <x:c r="M362" s="226"/>
      <x:c r="N362" s="226"/>
      <x:c r="O362" s="226"/>
      <x:c r="P362" s="226"/>
      <x:c r="Q362" s="226"/>
      <x:c r="R362" s="226"/>
      <x:c r="S362" s="226"/>
      <x:c r="T362" s="226"/>
      <x:c r="U362" s="226"/>
      <x:c r="V362" s="226"/>
      <x:c r="W362" s="226"/>
      <x:c r="X362" s="226"/>
      <x:c r="Y362" s="226"/>
      <x:c r="Z362" s="226"/>
    </x:row>
    <x:row r="363">
      <x:c r="A363" s="226"/>
      <x:c r="B363" s="226"/>
      <x:c r="C363" s="226"/>
      <x:c r="D363" s="226"/>
      <x:c r="E363" s="226"/>
      <x:c r="F363" s="226"/>
      <x:c r="G363" s="226"/>
      <x:c r="H363" s="226"/>
      <x:c r="I363" s="226"/>
      <x:c r="J363" s="226"/>
      <x:c r="K363" s="226"/>
      <x:c r="L363" s="226"/>
      <x:c r="M363" s="226"/>
      <x:c r="N363" s="226"/>
      <x:c r="O363" s="226"/>
      <x:c r="P363" s="226"/>
      <x:c r="Q363" s="226"/>
      <x:c r="R363" s="226"/>
      <x:c r="S363" s="226"/>
      <x:c r="T363" s="226"/>
      <x:c r="U363" s="226"/>
      <x:c r="V363" s="226"/>
      <x:c r="W363" s="226"/>
      <x:c r="X363" s="226"/>
      <x:c r="Y363" s="226"/>
      <x:c r="Z363" s="226"/>
    </x:row>
    <x:row r="364">
      <x:c r="A364" s="226"/>
      <x:c r="B364" s="226"/>
      <x:c r="C364" s="226"/>
      <x:c r="D364" s="226"/>
      <x:c r="E364" s="226"/>
      <x:c r="F364" s="226"/>
      <x:c r="G364" s="226"/>
      <x:c r="H364" s="226"/>
      <x:c r="I364" s="226"/>
      <x:c r="J364" s="226"/>
      <x:c r="K364" s="226"/>
      <x:c r="L364" s="226"/>
      <x:c r="M364" s="226"/>
      <x:c r="N364" s="226"/>
      <x:c r="O364" s="226"/>
      <x:c r="P364" s="226"/>
      <x:c r="Q364" s="226"/>
      <x:c r="R364" s="226"/>
      <x:c r="S364" s="226"/>
      <x:c r="T364" s="226"/>
      <x:c r="U364" s="226"/>
      <x:c r="V364" s="226"/>
      <x:c r="W364" s="226"/>
      <x:c r="X364" s="226"/>
      <x:c r="Y364" s="226"/>
      <x:c r="Z364" s="226"/>
    </x:row>
    <x:row r="365">
      <x:c r="A365" s="226"/>
      <x:c r="B365" s="226"/>
      <x:c r="C365" s="226"/>
      <x:c r="D365" s="226"/>
      <x:c r="E365" s="226"/>
      <x:c r="F365" s="226"/>
      <x:c r="G365" s="226"/>
      <x:c r="H365" s="226"/>
      <x:c r="I365" s="226"/>
      <x:c r="J365" s="226"/>
      <x:c r="K365" s="226"/>
      <x:c r="L365" s="226"/>
      <x:c r="M365" s="226"/>
      <x:c r="N365" s="226"/>
      <x:c r="O365" s="226"/>
      <x:c r="P365" s="226"/>
      <x:c r="Q365" s="226"/>
      <x:c r="R365" s="226"/>
      <x:c r="S365" s="226"/>
      <x:c r="T365" s="226"/>
      <x:c r="U365" s="226"/>
      <x:c r="V365" s="226"/>
      <x:c r="W365" s="226"/>
      <x:c r="X365" s="226"/>
      <x:c r="Y365" s="226"/>
      <x:c r="Z365" s="226"/>
    </x:row>
    <x:row r="366">
      <x:c r="A366" s="226"/>
      <x:c r="B366" s="226"/>
      <x:c r="C366" s="226"/>
      <x:c r="D366" s="226"/>
      <x:c r="E366" s="226"/>
      <x:c r="F366" s="226"/>
      <x:c r="G366" s="226"/>
      <x:c r="H366" s="226"/>
      <x:c r="I366" s="226"/>
      <x:c r="J366" s="226"/>
      <x:c r="K366" s="226"/>
      <x:c r="L366" s="226"/>
      <x:c r="M366" s="226"/>
      <x:c r="N366" s="226"/>
      <x:c r="O366" s="226"/>
      <x:c r="P366" s="226"/>
      <x:c r="Q366" s="226"/>
      <x:c r="R366" s="226"/>
      <x:c r="S366" s="226"/>
      <x:c r="T366" s="226"/>
      <x:c r="U366" s="226"/>
      <x:c r="V366" s="226"/>
      <x:c r="W366" s="226"/>
      <x:c r="X366" s="226"/>
      <x:c r="Y366" s="226"/>
      <x:c r="Z366" s="226"/>
    </x:row>
    <x:row r="367">
      <x:c r="A367" s="226"/>
      <x:c r="B367" s="226"/>
      <x:c r="C367" s="226"/>
      <x:c r="D367" s="226"/>
      <x:c r="E367" s="226"/>
      <x:c r="F367" s="226"/>
      <x:c r="G367" s="226"/>
      <x:c r="H367" s="226"/>
      <x:c r="I367" s="226"/>
      <x:c r="J367" s="226"/>
      <x:c r="K367" s="226"/>
      <x:c r="L367" s="226"/>
      <x:c r="M367" s="226"/>
      <x:c r="N367" s="226"/>
      <x:c r="O367" s="226"/>
      <x:c r="P367" s="226"/>
      <x:c r="Q367" s="226"/>
      <x:c r="R367" s="226"/>
      <x:c r="S367" s="226"/>
      <x:c r="T367" s="226"/>
      <x:c r="U367" s="226"/>
      <x:c r="V367" s="226"/>
      <x:c r="W367" s="226"/>
      <x:c r="X367" s="226"/>
      <x:c r="Y367" s="226"/>
      <x:c r="Z367" s="226"/>
    </x:row>
    <x:row r="368">
      <x:c r="A368" s="226"/>
      <x:c r="B368" s="226"/>
      <x:c r="C368" s="226"/>
      <x:c r="D368" s="226"/>
      <x:c r="E368" s="226"/>
      <x:c r="F368" s="226"/>
      <x:c r="G368" s="226"/>
      <x:c r="H368" s="226"/>
      <x:c r="I368" s="226"/>
      <x:c r="J368" s="226"/>
      <x:c r="K368" s="226"/>
      <x:c r="L368" s="226"/>
      <x:c r="M368" s="226"/>
      <x:c r="N368" s="226"/>
      <x:c r="O368" s="226"/>
      <x:c r="P368" s="226"/>
      <x:c r="Q368" s="226"/>
      <x:c r="R368" s="226"/>
      <x:c r="S368" s="226"/>
      <x:c r="T368" s="226"/>
      <x:c r="U368" s="226"/>
      <x:c r="V368" s="226"/>
      <x:c r="W368" s="226"/>
      <x:c r="X368" s="226"/>
      <x:c r="Y368" s="226"/>
      <x:c r="Z368" s="226"/>
    </x:row>
    <x:row r="369">
      <x:c r="A369" s="226"/>
      <x:c r="B369" s="226"/>
      <x:c r="C369" s="226"/>
      <x:c r="D369" s="226"/>
      <x:c r="E369" s="226"/>
      <x:c r="F369" s="226"/>
      <x:c r="G369" s="226"/>
      <x:c r="H369" s="226"/>
      <x:c r="I369" s="226"/>
      <x:c r="J369" s="226"/>
      <x:c r="K369" s="226"/>
      <x:c r="L369" s="226"/>
      <x:c r="M369" s="226"/>
      <x:c r="N369" s="226"/>
      <x:c r="O369" s="226"/>
      <x:c r="P369" s="226"/>
      <x:c r="Q369" s="226"/>
      <x:c r="R369" s="226"/>
      <x:c r="S369" s="226"/>
      <x:c r="T369" s="226"/>
      <x:c r="U369" s="226"/>
      <x:c r="V369" s="226"/>
      <x:c r="W369" s="226"/>
      <x:c r="X369" s="226"/>
      <x:c r="Y369" s="226"/>
      <x:c r="Z369" s="226"/>
    </x:row>
    <x:row r="370">
      <x:c r="A370" s="226"/>
      <x:c r="B370" s="226"/>
      <x:c r="C370" s="226"/>
      <x:c r="D370" s="226"/>
      <x:c r="E370" s="226"/>
      <x:c r="F370" s="226"/>
      <x:c r="G370" s="226"/>
      <x:c r="H370" s="226"/>
      <x:c r="I370" s="226"/>
      <x:c r="J370" s="226"/>
      <x:c r="K370" s="226"/>
      <x:c r="L370" s="226"/>
      <x:c r="M370" s="226"/>
      <x:c r="N370" s="226"/>
      <x:c r="O370" s="226"/>
      <x:c r="P370" s="226"/>
      <x:c r="Q370" s="226"/>
      <x:c r="R370" s="226"/>
      <x:c r="S370" s="226"/>
      <x:c r="T370" s="226"/>
      <x:c r="U370" s="226"/>
      <x:c r="V370" s="226"/>
      <x:c r="W370" s="226"/>
      <x:c r="X370" s="226"/>
      <x:c r="Y370" s="226"/>
      <x:c r="Z370" s="226"/>
    </x:row>
    <x:row r="371">
      <x:c r="A371" s="226"/>
      <x:c r="B371" s="226"/>
      <x:c r="C371" s="226"/>
      <x:c r="D371" s="226"/>
      <x:c r="E371" s="226"/>
      <x:c r="F371" s="226"/>
      <x:c r="G371" s="226"/>
      <x:c r="H371" s="226"/>
      <x:c r="I371" s="226"/>
      <x:c r="J371" s="226"/>
      <x:c r="K371" s="226"/>
      <x:c r="L371" s="226"/>
      <x:c r="M371" s="226"/>
      <x:c r="N371" s="226"/>
      <x:c r="O371" s="226"/>
      <x:c r="P371" s="226"/>
      <x:c r="Q371" s="226"/>
      <x:c r="R371" s="226"/>
      <x:c r="S371" s="226"/>
      <x:c r="T371" s="226"/>
      <x:c r="U371" s="226"/>
      <x:c r="V371" s="226"/>
      <x:c r="W371" s="226"/>
      <x:c r="X371" s="226"/>
      <x:c r="Y371" s="226"/>
      <x:c r="Z371" s="226"/>
    </x:row>
    <x:row r="372">
      <x:c r="A372" s="226"/>
      <x:c r="B372" s="226"/>
      <x:c r="C372" s="226"/>
      <x:c r="D372" s="226"/>
      <x:c r="E372" s="226"/>
      <x:c r="F372" s="226"/>
      <x:c r="G372" s="226"/>
      <x:c r="H372" s="226"/>
      <x:c r="I372" s="226"/>
      <x:c r="J372" s="226"/>
      <x:c r="K372" s="226"/>
      <x:c r="L372" s="226"/>
      <x:c r="M372" s="226"/>
      <x:c r="N372" s="226"/>
      <x:c r="O372" s="226"/>
      <x:c r="P372" s="226"/>
      <x:c r="Q372" s="226"/>
      <x:c r="R372" s="226"/>
      <x:c r="S372" s="226"/>
      <x:c r="T372" s="226"/>
      <x:c r="U372" s="226"/>
      <x:c r="V372" s="226"/>
      <x:c r="W372" s="226"/>
      <x:c r="X372" s="226"/>
      <x:c r="Y372" s="226"/>
      <x:c r="Z372" s="226"/>
    </x:row>
    <x:row r="373">
      <x:c r="A373" s="226"/>
      <x:c r="B373" s="226"/>
      <x:c r="C373" s="226"/>
      <x:c r="D373" s="226"/>
      <x:c r="E373" s="226"/>
      <x:c r="F373" s="226"/>
      <x:c r="G373" s="226"/>
      <x:c r="H373" s="226"/>
      <x:c r="I373" s="226"/>
      <x:c r="J373" s="226"/>
      <x:c r="K373" s="226"/>
      <x:c r="L373" s="226"/>
      <x:c r="M373" s="226"/>
      <x:c r="N373" s="226"/>
      <x:c r="O373" s="226"/>
      <x:c r="P373" s="226"/>
      <x:c r="Q373" s="226"/>
      <x:c r="R373" s="226"/>
      <x:c r="S373" s="226"/>
      <x:c r="T373" s="226"/>
      <x:c r="U373" s="226"/>
      <x:c r="V373" s="226"/>
      <x:c r="W373" s="226"/>
      <x:c r="X373" s="226"/>
      <x:c r="Y373" s="226"/>
      <x:c r="Z373" s="226"/>
    </x:row>
    <x:row r="374">
      <x:c r="A374" s="226"/>
      <x:c r="B374" s="226"/>
      <x:c r="C374" s="226"/>
      <x:c r="D374" s="226"/>
      <x:c r="E374" s="226"/>
      <x:c r="F374" s="226"/>
      <x:c r="G374" s="226"/>
      <x:c r="H374" s="226"/>
      <x:c r="I374" s="226"/>
      <x:c r="J374" s="226"/>
      <x:c r="K374" s="226"/>
      <x:c r="L374" s="226"/>
      <x:c r="M374" s="226"/>
      <x:c r="N374" s="226"/>
      <x:c r="O374" s="226"/>
      <x:c r="P374" s="226"/>
      <x:c r="Q374" s="226"/>
      <x:c r="R374" s="226"/>
      <x:c r="S374" s="226"/>
      <x:c r="T374" s="226"/>
      <x:c r="U374" s="226"/>
      <x:c r="V374" s="226"/>
      <x:c r="W374" s="226"/>
      <x:c r="X374" s="226"/>
      <x:c r="Y374" s="226"/>
      <x:c r="Z374" s="226"/>
    </x:row>
    <x:row r="375">
      <x:c r="A375" s="226"/>
      <x:c r="B375" s="226"/>
      <x:c r="C375" s="226"/>
      <x:c r="D375" s="226"/>
      <x:c r="E375" s="226"/>
      <x:c r="F375" s="226"/>
      <x:c r="G375" s="226"/>
      <x:c r="H375" s="226"/>
      <x:c r="I375" s="226"/>
      <x:c r="J375" s="226"/>
      <x:c r="K375" s="226"/>
      <x:c r="L375" s="226"/>
      <x:c r="M375" s="226"/>
      <x:c r="N375" s="226"/>
      <x:c r="O375" s="226"/>
      <x:c r="P375" s="226"/>
      <x:c r="Q375" s="226"/>
      <x:c r="R375" s="226"/>
      <x:c r="S375" s="226"/>
      <x:c r="T375" s="226"/>
      <x:c r="U375" s="226"/>
      <x:c r="V375" s="226"/>
      <x:c r="W375" s="226"/>
      <x:c r="X375" s="226"/>
      <x:c r="Y375" s="226"/>
      <x:c r="Z375" s="226"/>
    </x:row>
    <x:row r="376">
      <x:c r="A376" s="226"/>
      <x:c r="B376" s="226"/>
      <x:c r="C376" s="226"/>
      <x:c r="D376" s="226"/>
      <x:c r="E376" s="226"/>
      <x:c r="F376" s="226"/>
      <x:c r="G376" s="226"/>
      <x:c r="H376" s="226"/>
      <x:c r="I376" s="226"/>
      <x:c r="J376" s="226"/>
      <x:c r="K376" s="226"/>
      <x:c r="L376" s="226"/>
      <x:c r="M376" s="226"/>
      <x:c r="N376" s="226"/>
      <x:c r="O376" s="226"/>
      <x:c r="P376" s="226"/>
      <x:c r="Q376" s="226"/>
      <x:c r="R376" s="226"/>
      <x:c r="S376" s="226"/>
      <x:c r="T376" s="226"/>
      <x:c r="U376" s="226"/>
      <x:c r="V376" s="226"/>
      <x:c r="W376" s="226"/>
      <x:c r="X376" s="226"/>
      <x:c r="Y376" s="226"/>
      <x:c r="Z376" s="226"/>
    </x:row>
    <x:row r="377">
      <x:c r="A377" s="226"/>
      <x:c r="B377" s="226"/>
      <x:c r="C377" s="226"/>
      <x:c r="D377" s="226"/>
      <x:c r="E377" s="226"/>
      <x:c r="F377" s="226"/>
      <x:c r="G377" s="226"/>
      <x:c r="H377" s="226"/>
      <x:c r="I377" s="226"/>
      <x:c r="J377" s="226"/>
      <x:c r="K377" s="226"/>
      <x:c r="L377" s="226"/>
      <x:c r="M377" s="226"/>
      <x:c r="N377" s="226"/>
      <x:c r="O377" s="226"/>
      <x:c r="P377" s="226"/>
      <x:c r="Q377" s="226"/>
      <x:c r="R377" s="226"/>
      <x:c r="S377" s="226"/>
      <x:c r="T377" s="226"/>
      <x:c r="U377" s="226"/>
      <x:c r="V377" s="226"/>
      <x:c r="W377" s="226"/>
      <x:c r="X377" s="226"/>
      <x:c r="Y377" s="226"/>
      <x:c r="Z377" s="226"/>
    </x:row>
    <x:row r="378">
      <x:c r="A378" s="226"/>
      <x:c r="B378" s="226"/>
      <x:c r="C378" s="226"/>
      <x:c r="D378" s="226"/>
      <x:c r="E378" s="226"/>
      <x:c r="F378" s="226"/>
      <x:c r="G378" s="226"/>
      <x:c r="H378" s="226"/>
      <x:c r="I378" s="226"/>
      <x:c r="J378" s="226"/>
      <x:c r="K378" s="226"/>
      <x:c r="L378" s="226"/>
      <x:c r="M378" s="226"/>
      <x:c r="N378" s="226"/>
      <x:c r="O378" s="226"/>
      <x:c r="P378" s="226"/>
      <x:c r="Q378" s="226"/>
      <x:c r="R378" s="226"/>
      <x:c r="S378" s="226"/>
      <x:c r="T378" s="226"/>
      <x:c r="U378" s="226"/>
      <x:c r="V378" s="226"/>
      <x:c r="W378" s="226"/>
      <x:c r="X378" s="226"/>
      <x:c r="Y378" s="226"/>
      <x:c r="Z378" s="226"/>
    </x:row>
    <x:row r="379">
      <x:c r="A379" s="226"/>
      <x:c r="B379" s="226"/>
      <x:c r="C379" s="226"/>
      <x:c r="D379" s="226"/>
      <x:c r="E379" s="226"/>
      <x:c r="F379" s="226"/>
      <x:c r="G379" s="226"/>
      <x:c r="H379" s="226"/>
      <x:c r="I379" s="226"/>
      <x:c r="J379" s="226"/>
      <x:c r="K379" s="226"/>
      <x:c r="L379" s="226"/>
      <x:c r="M379" s="226"/>
      <x:c r="N379" s="226"/>
      <x:c r="O379" s="226"/>
      <x:c r="P379" s="226"/>
      <x:c r="Q379" s="226"/>
      <x:c r="R379" s="226"/>
      <x:c r="S379" s="226"/>
      <x:c r="T379" s="226"/>
      <x:c r="U379" s="226"/>
      <x:c r="V379" s="226"/>
      <x:c r="W379" s="226"/>
      <x:c r="X379" s="226"/>
      <x:c r="Y379" s="226"/>
      <x:c r="Z379" s="226"/>
    </x:row>
    <x:row r="380">
      <x:c r="A380" s="226"/>
      <x:c r="B380" s="226"/>
      <x:c r="C380" s="226"/>
      <x:c r="D380" s="226"/>
      <x:c r="E380" s="226"/>
      <x:c r="F380" s="226"/>
      <x:c r="G380" s="226"/>
      <x:c r="H380" s="226"/>
      <x:c r="I380" s="226"/>
      <x:c r="J380" s="226"/>
      <x:c r="K380" s="226"/>
      <x:c r="L380" s="226"/>
      <x:c r="M380" s="226"/>
      <x:c r="N380" s="226"/>
      <x:c r="O380" s="226"/>
      <x:c r="P380" s="226"/>
      <x:c r="Q380" s="226"/>
      <x:c r="R380" s="226"/>
      <x:c r="S380" s="226"/>
      <x:c r="T380" s="226"/>
      <x:c r="U380" s="226"/>
      <x:c r="V380" s="226"/>
      <x:c r="W380" s="226"/>
      <x:c r="X380" s="226"/>
      <x:c r="Y380" s="226"/>
      <x:c r="Z380" s="226"/>
    </x:row>
    <x:row r="381">
      <x:c r="A381" s="226"/>
      <x:c r="B381" s="226"/>
      <x:c r="C381" s="226"/>
      <x:c r="D381" s="226"/>
      <x:c r="E381" s="226"/>
      <x:c r="F381" s="226"/>
      <x:c r="G381" s="226"/>
      <x:c r="H381" s="226"/>
      <x:c r="I381" s="226"/>
      <x:c r="J381" s="226"/>
      <x:c r="K381" s="226"/>
      <x:c r="L381" s="226"/>
      <x:c r="M381" s="226"/>
      <x:c r="N381" s="226"/>
      <x:c r="O381" s="226"/>
      <x:c r="P381" s="226"/>
      <x:c r="Q381" s="226"/>
      <x:c r="R381" s="226"/>
      <x:c r="S381" s="226"/>
      <x:c r="T381" s="226"/>
      <x:c r="U381" s="226"/>
      <x:c r="V381" s="226"/>
      <x:c r="W381" s="226"/>
      <x:c r="X381" s="226"/>
      <x:c r="Y381" s="226"/>
      <x:c r="Z381" s="226"/>
    </x:row>
    <x:row r="382">
      <x:c r="A382" s="226"/>
      <x:c r="B382" s="226"/>
      <x:c r="C382" s="226"/>
      <x:c r="D382" s="226"/>
      <x:c r="E382" s="226"/>
      <x:c r="F382" s="226"/>
      <x:c r="G382" s="226"/>
      <x:c r="H382" s="226"/>
      <x:c r="I382" s="226"/>
      <x:c r="J382" s="226"/>
      <x:c r="K382" s="226"/>
      <x:c r="L382" s="226"/>
      <x:c r="M382" s="226"/>
      <x:c r="N382" s="226"/>
      <x:c r="O382" s="226"/>
      <x:c r="P382" s="226"/>
      <x:c r="Q382" s="226"/>
      <x:c r="R382" s="226"/>
      <x:c r="S382" s="226"/>
      <x:c r="T382" s="226"/>
      <x:c r="U382" s="226"/>
      <x:c r="V382" s="226"/>
      <x:c r="W382" s="226"/>
      <x:c r="X382" s="226"/>
      <x:c r="Y382" s="226"/>
      <x:c r="Z382" s="226"/>
    </x:row>
    <x:row r="383">
      <x:c r="A383" s="226"/>
      <x:c r="B383" s="226"/>
      <x:c r="C383" s="226"/>
      <x:c r="D383" s="226"/>
      <x:c r="E383" s="226"/>
      <x:c r="F383" s="226"/>
      <x:c r="G383" s="226"/>
      <x:c r="H383" s="226"/>
      <x:c r="I383" s="226"/>
      <x:c r="J383" s="226"/>
      <x:c r="K383" s="226"/>
      <x:c r="L383" s="226"/>
      <x:c r="M383" s="226"/>
      <x:c r="N383" s="226"/>
      <x:c r="O383" s="226"/>
      <x:c r="P383" s="226"/>
      <x:c r="Q383" s="226"/>
      <x:c r="R383" s="226"/>
      <x:c r="S383" s="226"/>
      <x:c r="T383" s="226"/>
      <x:c r="U383" s="226"/>
      <x:c r="V383" s="226"/>
      <x:c r="W383" s="226"/>
      <x:c r="X383" s="226"/>
      <x:c r="Y383" s="226"/>
      <x:c r="Z383" s="226"/>
    </x:row>
    <x:row r="384">
      <x:c r="A384" s="226"/>
      <x:c r="B384" s="226"/>
      <x:c r="C384" s="226"/>
      <x:c r="D384" s="226"/>
      <x:c r="E384" s="226"/>
      <x:c r="F384" s="226"/>
      <x:c r="G384" s="226"/>
      <x:c r="H384" s="226"/>
      <x:c r="I384" s="226"/>
      <x:c r="J384" s="226"/>
      <x:c r="K384" s="226"/>
      <x:c r="L384" s="226"/>
      <x:c r="M384" s="226"/>
      <x:c r="N384" s="226"/>
      <x:c r="O384" s="226"/>
      <x:c r="P384" s="226"/>
      <x:c r="Q384" s="226"/>
      <x:c r="R384" s="226"/>
      <x:c r="S384" s="226"/>
      <x:c r="T384" s="226"/>
      <x:c r="U384" s="226"/>
      <x:c r="V384" s="226"/>
      <x:c r="W384" s="226"/>
      <x:c r="X384" s="226"/>
      <x:c r="Y384" s="226"/>
      <x:c r="Z384" s="226"/>
    </x:row>
    <x:row r="385">
      <x:c r="A385" s="226"/>
      <x:c r="B385" s="226"/>
      <x:c r="C385" s="226"/>
      <x:c r="D385" s="226"/>
      <x:c r="E385" s="226"/>
      <x:c r="F385" s="226"/>
      <x:c r="G385" s="226"/>
      <x:c r="H385" s="226"/>
      <x:c r="I385" s="226"/>
      <x:c r="J385" s="226"/>
      <x:c r="K385" s="226"/>
      <x:c r="L385" s="226"/>
      <x:c r="M385" s="226"/>
      <x:c r="N385" s="226"/>
      <x:c r="O385" s="226"/>
      <x:c r="P385" s="226"/>
      <x:c r="Q385" s="226"/>
      <x:c r="R385" s="226"/>
      <x:c r="S385" s="226"/>
      <x:c r="T385" s="226"/>
      <x:c r="U385" s="226"/>
      <x:c r="V385" s="226"/>
      <x:c r="W385" s="226"/>
      <x:c r="X385" s="226"/>
      <x:c r="Y385" s="226"/>
      <x:c r="Z385" s="226"/>
    </x:row>
    <x:row r="386">
      <x:c r="A386" s="226"/>
      <x:c r="B386" s="226"/>
      <x:c r="C386" s="226"/>
      <x:c r="D386" s="226"/>
      <x:c r="E386" s="226"/>
      <x:c r="F386" s="226"/>
      <x:c r="G386" s="226"/>
      <x:c r="H386" s="226"/>
      <x:c r="I386" s="226"/>
      <x:c r="J386" s="226"/>
      <x:c r="K386" s="226"/>
      <x:c r="L386" s="226"/>
      <x:c r="M386" s="226"/>
      <x:c r="N386" s="226"/>
      <x:c r="O386" s="226"/>
      <x:c r="P386" s="226"/>
      <x:c r="Q386" s="226"/>
      <x:c r="R386" s="226"/>
      <x:c r="S386" s="226"/>
      <x:c r="T386" s="226"/>
      <x:c r="U386" s="226"/>
      <x:c r="V386" s="226"/>
      <x:c r="W386" s="226"/>
      <x:c r="X386" s="226"/>
      <x:c r="Y386" s="226"/>
      <x:c r="Z386" s="226"/>
    </x:row>
    <x:row r="387">
      <x:c r="A387" s="226"/>
      <x:c r="B387" s="226"/>
      <x:c r="C387" s="226"/>
      <x:c r="D387" s="226"/>
      <x:c r="E387" s="226"/>
      <x:c r="F387" s="226"/>
      <x:c r="G387" s="226"/>
      <x:c r="H387" s="226"/>
      <x:c r="I387" s="226"/>
      <x:c r="J387" s="226"/>
      <x:c r="K387" s="226"/>
      <x:c r="L387" s="226"/>
      <x:c r="M387" s="226"/>
      <x:c r="N387" s="226"/>
      <x:c r="O387" s="226"/>
      <x:c r="P387" s="226"/>
      <x:c r="Q387" s="226"/>
      <x:c r="R387" s="226"/>
      <x:c r="S387" s="226"/>
      <x:c r="T387" s="226"/>
      <x:c r="U387" s="226"/>
      <x:c r="V387" s="226"/>
      <x:c r="W387" s="226"/>
      <x:c r="X387" s="226"/>
      <x:c r="Y387" s="226"/>
      <x:c r="Z387" s="226"/>
    </x:row>
    <x:row r="388">
      <x:c r="A388" s="226"/>
      <x:c r="B388" s="226"/>
      <x:c r="C388" s="226"/>
      <x:c r="D388" s="226"/>
      <x:c r="E388" s="226"/>
      <x:c r="F388" s="226"/>
      <x:c r="G388" s="226"/>
      <x:c r="H388" s="226"/>
      <x:c r="I388" s="226"/>
      <x:c r="J388" s="226"/>
      <x:c r="K388" s="226"/>
      <x:c r="L388" s="226"/>
      <x:c r="M388" s="226"/>
      <x:c r="N388" s="226"/>
      <x:c r="O388" s="226"/>
      <x:c r="P388" s="226"/>
      <x:c r="Q388" s="226"/>
      <x:c r="R388" s="226"/>
      <x:c r="S388" s="226"/>
      <x:c r="T388" s="226"/>
      <x:c r="U388" s="226"/>
      <x:c r="V388" s="226"/>
      <x:c r="W388" s="226"/>
      <x:c r="X388" s="226"/>
      <x:c r="Y388" s="226"/>
      <x:c r="Z388" s="226"/>
    </x:row>
    <x:row r="389">
      <x:c r="A389" s="226"/>
      <x:c r="B389" s="226"/>
      <x:c r="C389" s="226"/>
      <x:c r="D389" s="226"/>
      <x:c r="E389" s="226"/>
      <x:c r="F389" s="226"/>
      <x:c r="G389" s="226"/>
      <x:c r="H389" s="226"/>
      <x:c r="I389" s="226"/>
      <x:c r="J389" s="226"/>
      <x:c r="K389" s="226"/>
      <x:c r="L389" s="226"/>
      <x:c r="M389" s="226"/>
      <x:c r="N389" s="226"/>
      <x:c r="O389" s="226"/>
      <x:c r="P389" s="226"/>
      <x:c r="Q389" s="226"/>
      <x:c r="R389" s="226"/>
      <x:c r="S389" s="226"/>
      <x:c r="T389" s="226"/>
      <x:c r="U389" s="226"/>
      <x:c r="V389" s="226"/>
      <x:c r="W389" s="226"/>
      <x:c r="X389" s="226"/>
      <x:c r="Y389" s="226"/>
      <x:c r="Z389" s="226"/>
    </x:row>
    <x:row r="390">
      <x:c r="A390" s="226"/>
      <x:c r="B390" s="226"/>
      <x:c r="C390" s="226"/>
      <x:c r="D390" s="226"/>
      <x:c r="E390" s="226"/>
      <x:c r="F390" s="226"/>
      <x:c r="G390" s="226"/>
      <x:c r="H390" s="226"/>
      <x:c r="I390" s="226"/>
      <x:c r="J390" s="226"/>
      <x:c r="K390" s="226"/>
      <x:c r="L390" s="226"/>
      <x:c r="M390" s="226"/>
      <x:c r="N390" s="226"/>
      <x:c r="O390" s="226"/>
      <x:c r="P390" s="226"/>
      <x:c r="Q390" s="226"/>
      <x:c r="R390" s="226"/>
      <x:c r="S390" s="226"/>
      <x:c r="T390" s="226"/>
      <x:c r="U390" s="226"/>
      <x:c r="V390" s="226"/>
      <x:c r="W390" s="226"/>
      <x:c r="X390" s="226"/>
      <x:c r="Y390" s="226"/>
      <x:c r="Z390" s="226"/>
    </x:row>
    <x:row r="391">
      <x:c r="A391" s="226"/>
      <x:c r="B391" s="226"/>
      <x:c r="C391" s="226"/>
      <x:c r="D391" s="226"/>
      <x:c r="E391" s="226"/>
      <x:c r="F391" s="226"/>
      <x:c r="G391" s="226"/>
      <x:c r="H391" s="226"/>
      <x:c r="I391" s="226"/>
      <x:c r="J391" s="226"/>
      <x:c r="K391" s="226"/>
      <x:c r="L391" s="226"/>
      <x:c r="M391" s="226"/>
      <x:c r="N391" s="226"/>
      <x:c r="O391" s="226"/>
      <x:c r="P391" s="226"/>
      <x:c r="Q391" s="226"/>
      <x:c r="R391" s="226"/>
      <x:c r="S391" s="226"/>
      <x:c r="T391" s="226"/>
      <x:c r="U391" s="226"/>
      <x:c r="V391" s="226"/>
      <x:c r="W391" s="226"/>
      <x:c r="X391" s="226"/>
      <x:c r="Y391" s="226"/>
      <x:c r="Z391" s="226"/>
    </x:row>
    <x:row r="392">
      <x:c r="A392" s="226"/>
      <x:c r="B392" s="226"/>
      <x:c r="C392" s="226"/>
      <x:c r="D392" s="226"/>
      <x:c r="E392" s="226"/>
      <x:c r="F392" s="226"/>
      <x:c r="G392" s="226"/>
      <x:c r="H392" s="226"/>
      <x:c r="I392" s="226"/>
      <x:c r="J392" s="226"/>
      <x:c r="K392" s="226"/>
      <x:c r="L392" s="226"/>
      <x:c r="M392" s="226"/>
      <x:c r="N392" s="226"/>
      <x:c r="O392" s="226"/>
      <x:c r="P392" s="226"/>
      <x:c r="Q392" s="226"/>
      <x:c r="R392" s="226"/>
      <x:c r="S392" s="226"/>
      <x:c r="T392" s="226"/>
      <x:c r="U392" s="226"/>
      <x:c r="V392" s="226"/>
      <x:c r="W392" s="226"/>
      <x:c r="X392" s="226"/>
      <x:c r="Y392" s="226"/>
      <x:c r="Z392" s="226"/>
    </x:row>
    <x:row r="393">
      <x:c r="A393" s="226"/>
      <x:c r="B393" s="226"/>
      <x:c r="C393" s="226"/>
      <x:c r="D393" s="226"/>
      <x:c r="E393" s="226"/>
      <x:c r="F393" s="226"/>
      <x:c r="G393" s="226"/>
      <x:c r="H393" s="226"/>
      <x:c r="I393" s="226"/>
      <x:c r="J393" s="226"/>
      <x:c r="K393" s="226"/>
      <x:c r="L393" s="226"/>
      <x:c r="M393" s="226"/>
      <x:c r="N393" s="226"/>
      <x:c r="O393" s="226"/>
      <x:c r="P393" s="226"/>
      <x:c r="Q393" s="226"/>
      <x:c r="R393" s="226"/>
      <x:c r="S393" s="226"/>
      <x:c r="T393" s="226"/>
      <x:c r="U393" s="226"/>
      <x:c r="V393" s="226"/>
      <x:c r="W393" s="226"/>
      <x:c r="X393" s="226"/>
      <x:c r="Y393" s="226"/>
      <x:c r="Z393" s="226"/>
    </x:row>
    <x:row r="394">
      <x:c r="A394" s="226"/>
      <x:c r="B394" s="226"/>
      <x:c r="C394" s="226"/>
      <x:c r="D394" s="226"/>
      <x:c r="E394" s="226"/>
      <x:c r="F394" s="226"/>
      <x:c r="G394" s="226"/>
      <x:c r="H394" s="226"/>
      <x:c r="I394" s="226"/>
      <x:c r="J394" s="226"/>
      <x:c r="K394" s="226"/>
      <x:c r="L394" s="226"/>
      <x:c r="M394" s="226"/>
      <x:c r="N394" s="226"/>
      <x:c r="O394" s="226"/>
      <x:c r="P394" s="226"/>
      <x:c r="Q394" s="226"/>
      <x:c r="R394" s="226"/>
      <x:c r="S394" s="226"/>
      <x:c r="T394" s="226"/>
      <x:c r="U394" s="226"/>
      <x:c r="V394" s="226"/>
      <x:c r="W394" s="226"/>
      <x:c r="X394" s="226"/>
      <x:c r="Y394" s="226"/>
      <x:c r="Z394" s="226"/>
    </x:row>
    <x:row r="395">
      <x:c r="A395" s="226"/>
      <x:c r="B395" s="226"/>
      <x:c r="C395" s="226"/>
      <x:c r="D395" s="226"/>
      <x:c r="E395" s="226"/>
      <x:c r="F395" s="226"/>
      <x:c r="G395" s="226"/>
      <x:c r="H395" s="226"/>
      <x:c r="I395" s="226"/>
      <x:c r="J395" s="226"/>
      <x:c r="K395" s="226"/>
      <x:c r="L395" s="226"/>
      <x:c r="M395" s="226"/>
      <x:c r="N395" s="226"/>
      <x:c r="O395" s="226"/>
      <x:c r="P395" s="226"/>
      <x:c r="Q395" s="226"/>
      <x:c r="R395" s="226"/>
      <x:c r="S395" s="226"/>
      <x:c r="T395" s="226"/>
      <x:c r="U395" s="226"/>
      <x:c r="V395" s="226"/>
      <x:c r="W395" s="226"/>
      <x:c r="X395" s="226"/>
      <x:c r="Y395" s="226"/>
      <x:c r="Z395" s="226"/>
    </x:row>
    <x:row r="396">
      <x:c r="A396" s="226"/>
      <x:c r="B396" s="226"/>
      <x:c r="C396" s="226"/>
      <x:c r="D396" s="226"/>
      <x:c r="E396" s="226"/>
      <x:c r="F396" s="226"/>
      <x:c r="G396" s="226"/>
      <x:c r="H396" s="226"/>
      <x:c r="I396" s="226"/>
      <x:c r="J396" s="226"/>
      <x:c r="K396" s="226"/>
      <x:c r="L396" s="226"/>
      <x:c r="M396" s="226"/>
      <x:c r="N396" s="226"/>
      <x:c r="O396" s="226"/>
      <x:c r="P396" s="226"/>
      <x:c r="Q396" s="226"/>
      <x:c r="R396" s="226"/>
      <x:c r="S396" s="226"/>
      <x:c r="T396" s="226"/>
      <x:c r="U396" s="226"/>
      <x:c r="V396" s="226"/>
      <x:c r="W396" s="226"/>
      <x:c r="X396" s="226"/>
      <x:c r="Y396" s="226"/>
      <x:c r="Z396" s="226"/>
    </x:row>
    <x:row r="397">
      <x:c r="A397" s="226"/>
      <x:c r="B397" s="226"/>
      <x:c r="C397" s="226"/>
      <x:c r="D397" s="226"/>
      <x:c r="E397" s="226"/>
      <x:c r="F397" s="226"/>
      <x:c r="G397" s="226"/>
      <x:c r="H397" s="226"/>
      <x:c r="I397" s="226"/>
      <x:c r="J397" s="226"/>
      <x:c r="K397" s="226"/>
      <x:c r="L397" s="226"/>
      <x:c r="M397" s="226"/>
      <x:c r="N397" s="226"/>
      <x:c r="O397" s="226"/>
      <x:c r="P397" s="226"/>
      <x:c r="Q397" s="226"/>
      <x:c r="R397" s="226"/>
      <x:c r="S397" s="226"/>
      <x:c r="T397" s="226"/>
      <x:c r="U397" s="226"/>
      <x:c r="V397" s="226"/>
      <x:c r="W397" s="226"/>
      <x:c r="X397" s="226"/>
      <x:c r="Y397" s="226"/>
      <x:c r="Z397" s="226"/>
    </x:row>
    <x:row r="398">
      <x:c r="A398" s="226"/>
      <x:c r="B398" s="226"/>
      <x:c r="C398" s="226"/>
      <x:c r="D398" s="226"/>
      <x:c r="E398" s="226"/>
      <x:c r="F398" s="226"/>
      <x:c r="G398" s="226"/>
      <x:c r="H398" s="226"/>
      <x:c r="I398" s="226"/>
      <x:c r="J398" s="226"/>
      <x:c r="K398" s="226"/>
      <x:c r="L398" s="226"/>
      <x:c r="M398" s="226"/>
      <x:c r="N398" s="226"/>
      <x:c r="O398" s="226"/>
      <x:c r="P398" s="226"/>
      <x:c r="Q398" s="226"/>
      <x:c r="R398" s="226"/>
      <x:c r="S398" s="226"/>
      <x:c r="T398" s="226"/>
      <x:c r="U398" s="226"/>
      <x:c r="V398" s="226"/>
      <x:c r="W398" s="226"/>
      <x:c r="X398" s="226"/>
      <x:c r="Y398" s="226"/>
      <x:c r="Z398" s="226"/>
    </x:row>
    <x:row r="399">
      <x:c r="A399" s="226"/>
      <x:c r="B399" s="226"/>
      <x:c r="C399" s="226"/>
      <x:c r="D399" s="226"/>
      <x:c r="E399" s="226"/>
      <x:c r="F399" s="226"/>
      <x:c r="G399" s="226"/>
      <x:c r="H399" s="226"/>
      <x:c r="I399" s="226"/>
      <x:c r="J399" s="226"/>
      <x:c r="K399" s="226"/>
      <x:c r="L399" s="226"/>
      <x:c r="M399" s="226"/>
      <x:c r="N399" s="226"/>
      <x:c r="O399" s="226"/>
      <x:c r="P399" s="226"/>
      <x:c r="Q399" s="226"/>
      <x:c r="R399" s="226"/>
      <x:c r="S399" s="226"/>
      <x:c r="T399" s="226"/>
      <x:c r="U399" s="226"/>
      <x:c r="V399" s="226"/>
      <x:c r="W399" s="226"/>
      <x:c r="X399" s="226"/>
      <x:c r="Y399" s="226"/>
      <x:c r="Z399" s="226"/>
    </x:row>
    <x:row r="400">
      <x:c r="A400" s="226"/>
      <x:c r="B400" s="226"/>
      <x:c r="C400" s="226"/>
      <x:c r="D400" s="226"/>
      <x:c r="E400" s="226"/>
      <x:c r="F400" s="226"/>
      <x:c r="G400" s="226"/>
      <x:c r="H400" s="226"/>
      <x:c r="I400" s="226"/>
      <x:c r="J400" s="226"/>
      <x:c r="K400" s="226"/>
      <x:c r="L400" s="226"/>
      <x:c r="M400" s="226"/>
      <x:c r="N400" s="226"/>
      <x:c r="O400" s="226"/>
      <x:c r="P400" s="226"/>
      <x:c r="Q400" s="226"/>
      <x:c r="R400" s="226"/>
      <x:c r="S400" s="226"/>
      <x:c r="T400" s="226"/>
      <x:c r="U400" s="226"/>
      <x:c r="V400" s="226"/>
      <x:c r="W400" s="226"/>
      <x:c r="X400" s="226"/>
      <x:c r="Y400" s="226"/>
      <x:c r="Z400" s="226"/>
    </x:row>
  </x:sheetData>
  <x:conditionalFormatting sqref="K2:K296">
    <x:cfRule type="expression" dxfId="0" priority="1">
      <x:formula>K2="MVP"</x:formula>
    </x:cfRule>
    <x:cfRule type="expression" dxfId="1" priority="2">
      <x:formula>K2="Phase 2"</x:formula>
    </x:cfRule>
    <x:cfRule type="expression" dxfId="2" priority="3">
      <x:formula>K2="Phase 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04d933476bb447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2" hidden="0" customWidth="1"/>
    <x:col min="3" max="3" width="24" hidden="0" customWidth="1"/>
    <x:col min="4" max="4" width="44" hidden="0" customWidth="1"/>
    <x:col min="5" max="5" width="40" hidden="0" customWidth="1"/>
  </x:cols>
  <x:sheetData>
    <x:row r="1">
      <x:c r="A1" s="303" t="str">
        <x:v>Role Coverage &amp; Portal Planning</x:v>
      </x:c>
      <x:c r="B1" s="303"/>
      <x:c r="C1" s="303"/>
      <x:c r="D1" s="303"/>
      <x:c r="E1" s="303"/>
      <x:c r="F1" s="226"/>
      <x:c r="G1" s="226"/>
      <x:c r="H1" s="226"/>
      <x:c r="I1" s="226"/>
      <x:c r="J1" s="226"/>
      <x:c r="K1" s="226"/>
      <x:c r="L1" s="226"/>
      <x:c r="M1" s="226"/>
      <x:c r="N1" s="226"/>
      <x:c r="O1" s="226"/>
      <x:c r="P1" s="226"/>
      <x:c r="Q1" s="226"/>
      <x:c r="R1" s="226"/>
      <x:c r="S1" s="226"/>
      <x:c r="T1" s="226"/>
      <x:c r="U1" s="226"/>
      <x:c r="V1" s="226"/>
      <x:c r="W1" s="226"/>
      <x:c r="X1" s="226"/>
      <x:c r="Y1" s="226"/>
      <x:c r="Z1" s="226"/>
    </x:row>
    <x:row r="2">
      <x:c r="A2" s="303"/>
      <x:c r="B2" s="303"/>
      <x:c r="C2" s="303"/>
      <x:c r="D2" s="303"/>
      <x:c r="E2" s="303"/>
      <x:c r="F2" s="226"/>
      <x:c r="G2" s="226"/>
      <x:c r="H2" s="226"/>
      <x:c r="I2" s="226"/>
      <x:c r="J2" s="226"/>
      <x:c r="K2" s="226"/>
      <x:c r="L2" s="226"/>
      <x:c r="M2" s="226"/>
      <x:c r="N2" s="226"/>
      <x:c r="O2" s="226"/>
      <x:c r="P2" s="226"/>
      <x:c r="Q2" s="226"/>
      <x:c r="R2" s="226"/>
      <x:c r="S2" s="226"/>
      <x:c r="T2" s="226"/>
      <x:c r="U2" s="226"/>
      <x:c r="V2" s="226"/>
      <x:c r="W2" s="226"/>
      <x:c r="X2" s="226"/>
      <x:c r="Y2" s="226"/>
      <x:c r="Z2" s="226"/>
    </x:row>
    <x:row r="3">
      <x:c r="A3" s="226"/>
      <x:c r="B3" s="226"/>
      <x:c r="C3" s="226"/>
      <x:c r="D3" s="226"/>
      <x:c r="E3" s="226"/>
      <x:c r="F3" s="226"/>
      <x:c r="G3" s="226"/>
      <x:c r="H3" s="226"/>
      <x:c r="I3" s="226"/>
      <x:c r="J3" s="226"/>
      <x:c r="K3" s="226"/>
      <x:c r="L3" s="226"/>
      <x:c r="M3" s="226"/>
      <x:c r="N3" s="226"/>
      <x:c r="O3" s="226"/>
      <x:c r="P3" s="226"/>
      <x:c r="Q3" s="226"/>
      <x:c r="R3" s="226"/>
      <x:c r="S3" s="226"/>
      <x:c r="T3" s="226"/>
      <x:c r="U3" s="226"/>
      <x:c r="V3" s="226"/>
      <x:c r="W3" s="226"/>
      <x:c r="X3" s="226"/>
      <x:c r="Y3" s="226"/>
      <x:c r="Z3" s="226"/>
    </x:row>
    <x:row r="4">
      <x:c r="A4" s="301" t="str">
        <x:v>Role</x:v>
      </x:c>
      <x:c r="B4" s="301" t="str">
        <x:v>Accessible / Relevant Screens*</x:v>
      </x:c>
      <x:c r="C4" s="301" t="str">
        <x:v>Primary Portal</x:v>
      </x:c>
      <x:c r="D4" s="301" t="str">
        <x:v>Typical Focus</x:v>
      </x:c>
      <x:c r="E4" s="301" t="str">
        <x:v>UI Emphasis</x:v>
      </x:c>
      <x:c r="F4" s="226"/>
      <x:c r="G4" s="226"/>
      <x:c r="H4" s="226"/>
      <x:c r="I4" s="226"/>
      <x:c r="J4" s="226"/>
      <x:c r="K4" s="226"/>
      <x:c r="L4" s="226"/>
      <x:c r="M4" s="226"/>
      <x:c r="N4" s="226"/>
      <x:c r="O4" s="226"/>
      <x:c r="P4" s="226"/>
      <x:c r="Q4" s="226"/>
      <x:c r="R4" s="226"/>
      <x:c r="S4" s="226"/>
      <x:c r="T4" s="226"/>
      <x:c r="U4" s="226"/>
      <x:c r="V4" s="226"/>
      <x:c r="W4" s="226"/>
      <x:c r="X4" s="226"/>
      <x:c r="Y4" s="226"/>
      <x:c r="Z4" s="226"/>
    </x:row>
    <x:row r="5">
      <x:c r="A5" s="249" t="str">
        <x:v>Super Admin</x:v>
      </x:c>
      <x:c r="B5" s="249" t="n">
        <x:f>COUNTIF('Master Screens'!E$2:E$296,"*Super Admin*")</x:f>
        <x:v>0</x:v>
      </x:c>
      <x:c r="C5" s="249" t="str">
        <x:v>Super Admin Portal</x:v>
      </x:c>
      <x:c r="D5" s="249" t="str">
        <x:v>Tenant, plans, platform users, service health</x:v>
      </x:c>
      <x:c r="E5" s="249" t="str">
        <x:v>Dense dashboards, filters, approvals, drill-down</x:v>
      </x:c>
      <x:c r="F5" s="226"/>
      <x:c r="G5" s="226"/>
      <x:c r="H5" s="226"/>
      <x:c r="I5" s="226"/>
      <x:c r="J5" s="226"/>
      <x:c r="K5" s="226"/>
      <x:c r="L5" s="226"/>
      <x:c r="M5" s="226"/>
      <x:c r="N5" s="226"/>
      <x:c r="O5" s="226"/>
      <x:c r="P5" s="226"/>
      <x:c r="Q5" s="226"/>
      <x:c r="R5" s="226"/>
      <x:c r="S5" s="226"/>
      <x:c r="T5" s="226"/>
      <x:c r="U5" s="226"/>
      <x:c r="V5" s="226"/>
      <x:c r="W5" s="226"/>
      <x:c r="X5" s="226"/>
      <x:c r="Y5" s="226"/>
      <x:c r="Z5" s="226"/>
    </x:row>
    <x:row r="6">
      <x:c r="A6" s="249" t="str">
        <x:v>Organization Admin</x:v>
      </x:c>
      <x:c r="B6" s="249" t="n">
        <x:f>COUNTIF('Master Screens'!E$2:E$296,"*Organization Admin*")</x:f>
        <x:v>0</x:v>
      </x:c>
      <x:c r="C6" s="249" t="str">
        <x:v>School Admin / Staff Portal</x:v>
      </x:c>
      <x:c r="D6" s="249" t="str">
        <x:v>Schools, branches, group-level setup</x:v>
      </x:c>
      <x:c r="E6" s="249" t="str">
        <x:v>Dense dashboards, filters, approvals, drill-down</x:v>
      </x:c>
      <x:c r="F6" s="226"/>
      <x:c r="G6" s="226"/>
      <x:c r="H6" s="226"/>
      <x:c r="I6" s="226"/>
      <x:c r="J6" s="226"/>
      <x:c r="K6" s="226"/>
      <x:c r="L6" s="226"/>
      <x:c r="M6" s="226"/>
      <x:c r="N6" s="226"/>
      <x:c r="O6" s="226"/>
      <x:c r="P6" s="226"/>
      <x:c r="Q6" s="226"/>
      <x:c r="R6" s="226"/>
      <x:c r="S6" s="226"/>
      <x:c r="T6" s="226"/>
      <x:c r="U6" s="226"/>
      <x:c r="V6" s="226"/>
      <x:c r="W6" s="226"/>
      <x:c r="X6" s="226"/>
      <x:c r="Y6" s="226"/>
      <x:c r="Z6" s="226"/>
    </x:row>
    <x:row r="7">
      <x:c r="A7" s="249" t="str">
        <x:v>School Admin</x:v>
      </x:c>
      <x:c r="B7" s="249" t="n">
        <x:f>COUNTIF('Master Screens'!E$2:E$296,"*School Admin*")</x:f>
        <x:v>0</x:v>
      </x:c>
      <x:c r="C7" s="249" t="str">
        <x:v>School Admin / Staff Portal</x:v>
      </x:c>
      <x:c r="D7" s="249" t="str">
        <x:v>Whole-school operations, approvals, configuration</x:v>
      </x:c>
      <x:c r="E7" s="249" t="str">
        <x:v>Dense dashboards, filters, approvals, drill-down</x:v>
      </x:c>
      <x:c r="F7" s="226"/>
      <x:c r="G7" s="226"/>
      <x:c r="H7" s="226"/>
      <x:c r="I7" s="226"/>
      <x:c r="J7" s="226"/>
      <x:c r="K7" s="226"/>
      <x:c r="L7" s="226"/>
      <x:c r="M7" s="226"/>
      <x:c r="N7" s="226"/>
      <x:c r="O7" s="226"/>
      <x:c r="P7" s="226"/>
      <x:c r="Q7" s="226"/>
      <x:c r="R7" s="226"/>
      <x:c r="S7" s="226"/>
      <x:c r="T7" s="226"/>
      <x:c r="U7" s="226"/>
      <x:c r="V7" s="226"/>
      <x:c r="W7" s="226"/>
      <x:c r="X7" s="226"/>
      <x:c r="Y7" s="226"/>
      <x:c r="Z7" s="226"/>
    </x:row>
    <x:row r="8">
      <x:c r="A8" s="249" t="str">
        <x:v>Principal</x:v>
      </x:c>
      <x:c r="B8" s="249" t="n">
        <x:f>COUNTIF('Master Screens'!E$2:E$296,"*Principal*")</x:f>
        <x:v>0</x:v>
      </x:c>
      <x:c r="C8" s="249" t="str">
        <x:v>School Admin / Staff Portal</x:v>
      </x:c>
      <x:c r="D8" s="249" t="str">
        <x:v>Academic, attendance, approvals, performance</x:v>
      </x:c>
      <x:c r="E8" s="249" t="str">
        <x:v>Dense dashboards, filters, approvals, drill-down</x:v>
      </x:c>
      <x:c r="F8" s="226"/>
      <x:c r="G8" s="226"/>
      <x:c r="H8" s="226"/>
      <x:c r="I8" s="226"/>
      <x:c r="J8" s="226"/>
      <x:c r="K8" s="226"/>
      <x:c r="L8" s="226"/>
      <x:c r="M8" s="226"/>
      <x:c r="N8" s="226"/>
      <x:c r="O8" s="226"/>
      <x:c r="P8" s="226"/>
      <x:c r="Q8" s="226"/>
      <x:c r="R8" s="226"/>
      <x:c r="S8" s="226"/>
      <x:c r="T8" s="226"/>
      <x:c r="U8" s="226"/>
      <x:c r="V8" s="226"/>
      <x:c r="W8" s="226"/>
      <x:c r="X8" s="226"/>
      <x:c r="Y8" s="226"/>
      <x:c r="Z8" s="226"/>
    </x:row>
    <x:row r="9">
      <x:c r="A9" s="249" t="str">
        <x:v>Academic Coordinator</x:v>
      </x:c>
      <x:c r="B9" s="249" t="n">
        <x:f>COUNTIF('Master Screens'!E$2:E$296,"*Academic Coordinator*")</x:f>
        <x:v>0</x:v>
      </x:c>
      <x:c r="C9" s="249" t="str">
        <x:v>School Admin / Staff Portal</x:v>
      </x:c>
      <x:c r="D9" s="249" t="str">
        <x:v>Curriculum, timetable, lesson plans, syllabus</x:v>
      </x:c>
      <x:c r="E9" s="249" t="str">
        <x:v>Fast actions, readable tables, minimal clicks</x:v>
      </x:c>
      <x:c r="F9" s="226"/>
      <x:c r="G9" s="226"/>
      <x:c r="H9" s="226"/>
      <x:c r="I9" s="226"/>
      <x:c r="J9" s="226"/>
      <x:c r="K9" s="226"/>
      <x:c r="L9" s="226"/>
      <x:c r="M9" s="226"/>
      <x:c r="N9" s="226"/>
      <x:c r="O9" s="226"/>
      <x:c r="P9" s="226"/>
      <x:c r="Q9" s="226"/>
      <x:c r="R9" s="226"/>
      <x:c r="S9" s="226"/>
      <x:c r="T9" s="226"/>
      <x:c r="U9" s="226"/>
      <x:c r="V9" s="226"/>
      <x:c r="W9" s="226"/>
      <x:c r="X9" s="226"/>
      <x:c r="Y9" s="226"/>
      <x:c r="Z9" s="226"/>
    </x:row>
    <x:row r="10">
      <x:c r="A10" s="249" t="str">
        <x:v>Admission Officer</x:v>
      </x:c>
      <x:c r="B10" s="249" t="n">
        <x:f>COUNTIF('Master Screens'!E$2:E$296,"*Admission Officer*")</x:f>
        <x:v>0</x:v>
      </x:c>
      <x:c r="C10" s="249" t="str">
        <x:v>School Admin / Staff Portal</x:v>
      </x:c>
      <x:c r="D10" s="249" t="str">
        <x:v>Enquiries, applications, verification, admission</x:v>
      </x:c>
      <x:c r="E10" s="249" t="str">
        <x:v>Task-focused, compact, operational</x:v>
      </x:c>
      <x:c r="F10" s="226"/>
      <x:c r="G10" s="226"/>
      <x:c r="H10" s="226"/>
      <x:c r="I10" s="226"/>
      <x:c r="J10" s="226"/>
      <x:c r="K10" s="226"/>
      <x:c r="L10" s="226"/>
      <x:c r="M10" s="226"/>
      <x:c r="N10" s="226"/>
      <x:c r="O10" s="226"/>
      <x:c r="P10" s="226"/>
      <x:c r="Q10" s="226"/>
      <x:c r="R10" s="226"/>
      <x:c r="S10" s="226"/>
      <x:c r="T10" s="226"/>
      <x:c r="U10" s="226"/>
      <x:c r="V10" s="226"/>
      <x:c r="W10" s="226"/>
      <x:c r="X10" s="226"/>
      <x:c r="Y10" s="226"/>
      <x:c r="Z10" s="226"/>
    </x:row>
    <x:row r="11">
      <x:c r="A11" s="249" t="str">
        <x:v>Receptionist</x:v>
      </x:c>
      <x:c r="B11" s="249" t="n">
        <x:f>COUNTIF('Master Screens'!E$2:E$296,"*Receptionist*")</x:f>
        <x:v>0</x:v>
      </x:c>
      <x:c r="C11" s="249" t="str">
        <x:v>School Admin / Staff Portal</x:v>
      </x:c>
      <x:c r="D11" s="249" t="str">
        <x:v>Enquiries, visitors, appointments, gate workflows</x:v>
      </x:c>
      <x:c r="E11" s="249" t="str">
        <x:v>Task-focused, compact, operational</x:v>
      </x:c>
      <x:c r="F11" s="226"/>
      <x:c r="G11" s="226"/>
      <x:c r="H11" s="226"/>
      <x:c r="I11" s="226"/>
      <x:c r="J11" s="226"/>
      <x:c r="K11" s="226"/>
      <x:c r="L11" s="226"/>
      <x:c r="M11" s="226"/>
      <x:c r="N11" s="226"/>
      <x:c r="O11" s="226"/>
      <x:c r="P11" s="226"/>
      <x:c r="Q11" s="226"/>
      <x:c r="R11" s="226"/>
      <x:c r="S11" s="226"/>
      <x:c r="T11" s="226"/>
      <x:c r="U11" s="226"/>
      <x:c r="V11" s="226"/>
      <x:c r="W11" s="226"/>
      <x:c r="X11" s="226"/>
      <x:c r="Y11" s="226"/>
      <x:c r="Z11" s="226"/>
    </x:row>
    <x:row r="12">
      <x:c r="A12" s="249" t="str">
        <x:v>Teacher</x:v>
      </x:c>
      <x:c r="B12" s="249" t="n">
        <x:f>COUNTIF('Master Screens'!E$2:E$296,"*Teacher*")</x:f>
        <x:v>0</x:v>
      </x:c>
      <x:c r="C12" s="249" t="str">
        <x:v>Teacher Portal</x:v>
      </x:c>
      <x:c r="D12" s="249" t="str">
        <x:v>Classes, attendance, homework, marks, communication</x:v>
      </x:c>
      <x:c r="E12" s="249" t="str">
        <x:v>Fast actions, readable tables, minimal clicks</x:v>
      </x:c>
      <x:c r="F12" s="226"/>
      <x:c r="G12" s="226"/>
      <x:c r="H12" s="226"/>
      <x:c r="I12" s="226"/>
      <x:c r="J12" s="226"/>
      <x:c r="K12" s="226"/>
      <x:c r="L12" s="226"/>
      <x:c r="M12" s="226"/>
      <x:c r="N12" s="226"/>
      <x:c r="O12" s="226"/>
      <x:c r="P12" s="226"/>
      <x:c r="Q12" s="226"/>
      <x:c r="R12" s="226"/>
      <x:c r="S12" s="226"/>
      <x:c r="T12" s="226"/>
      <x:c r="U12" s="226"/>
      <x:c r="V12" s="226"/>
      <x:c r="W12" s="226"/>
      <x:c r="X12" s="226"/>
      <x:c r="Y12" s="226"/>
      <x:c r="Z12" s="226"/>
    </x:row>
    <x:row r="13">
      <x:c r="A13" s="249" t="str">
        <x:v>Class Teacher</x:v>
      </x:c>
      <x:c r="B13" s="249" t="n">
        <x:f>COUNTIF('Master Screens'!E$2:E$296,"*Class Teacher*")</x:f>
        <x:v>0</x:v>
      </x:c>
      <x:c r="C13" s="249" t="str">
        <x:v>Teacher Portal</x:v>
      </x:c>
      <x:c r="D13" s="249" t="str">
        <x:v>Class attendance, students, parents, progress</x:v>
      </x:c>
      <x:c r="E13" s="249" t="str">
        <x:v>Fast actions, readable tables, minimal clicks</x:v>
      </x:c>
      <x:c r="F13" s="226"/>
      <x:c r="G13" s="226"/>
      <x:c r="H13" s="226"/>
      <x:c r="I13" s="226"/>
      <x:c r="J13" s="226"/>
      <x:c r="K13" s="226"/>
      <x:c r="L13" s="226"/>
      <x:c r="M13" s="226"/>
      <x:c r="N13" s="226"/>
      <x:c r="O13" s="226"/>
      <x:c r="P13" s="226"/>
      <x:c r="Q13" s="226"/>
      <x:c r="R13" s="226"/>
      <x:c r="S13" s="226"/>
      <x:c r="T13" s="226"/>
      <x:c r="U13" s="226"/>
      <x:c r="V13" s="226"/>
      <x:c r="W13" s="226"/>
      <x:c r="X13" s="226"/>
      <x:c r="Y13" s="226"/>
      <x:c r="Z13" s="226"/>
    </x:row>
    <x:row r="14">
      <x:c r="A14" s="249" t="str">
        <x:v>Student</x:v>
      </x:c>
      <x:c r="B14" s="249" t="n">
        <x:f>COUNTIF('Master Screens'!E$2:E$296,"*Student*")</x:f>
        <x:v>0</x:v>
      </x:c>
      <x:c r="C14" s="249" t="str">
        <x:v>Student Portal</x:v>
      </x:c>
      <x:c r="D14" s="249" t="str">
        <x:v>Learning, timetable, homework, exams, attendance</x:v>
      </x:c>
      <x:c r="E14" s="249" t="str">
        <x:v>Bright, simple, mobile-friendly, clear status</x:v>
      </x:c>
      <x:c r="F14" s="226"/>
      <x:c r="G14" s="226"/>
      <x:c r="H14" s="226"/>
      <x:c r="I14" s="226"/>
      <x:c r="J14" s="226"/>
      <x:c r="K14" s="226"/>
      <x:c r="L14" s="226"/>
      <x:c r="M14" s="226"/>
      <x:c r="N14" s="226"/>
      <x:c r="O14" s="226"/>
      <x:c r="P14" s="226"/>
      <x:c r="Q14" s="226"/>
      <x:c r="R14" s="226"/>
      <x:c r="S14" s="226"/>
      <x:c r="T14" s="226"/>
      <x:c r="U14" s="226"/>
      <x:c r="V14" s="226"/>
      <x:c r="W14" s="226"/>
      <x:c r="X14" s="226"/>
      <x:c r="Y14" s="226"/>
      <x:c r="Z14" s="226"/>
    </x:row>
    <x:row r="15">
      <x:c r="A15" s="249" t="str">
        <x:v>Parent</x:v>
      </x:c>
      <x:c r="B15" s="249" t="n">
        <x:f>COUNTIF('Master Screens'!E$2:E$296,"*Parent*")</x:f>
        <x:v>0</x:v>
      </x:c>
      <x:c r="C15" s="249" t="str">
        <x:v>Parent Portal</x:v>
      </x:c>
      <x:c r="D15" s="249" t="str">
        <x:v>Child progress, attendance, fees, messages, transport</x:v>
      </x:c>
      <x:c r="E15" s="249" t="str">
        <x:v>Bright, simple, mobile-friendly, clear status</x:v>
      </x:c>
      <x:c r="F15" s="226"/>
      <x:c r="G15" s="226"/>
      <x:c r="H15" s="226"/>
      <x:c r="I15" s="226"/>
      <x:c r="J15" s="226"/>
      <x:c r="K15" s="226"/>
      <x:c r="L15" s="226"/>
      <x:c r="M15" s="226"/>
      <x:c r="N15" s="226"/>
      <x:c r="O15" s="226"/>
      <x:c r="P15" s="226"/>
      <x:c r="Q15" s="226"/>
      <x:c r="R15" s="226"/>
      <x:c r="S15" s="226"/>
      <x:c r="T15" s="226"/>
      <x:c r="U15" s="226"/>
      <x:c r="V15" s="226"/>
      <x:c r="W15" s="226"/>
      <x:c r="X15" s="226"/>
      <x:c r="Y15" s="226"/>
      <x:c r="Z15" s="226"/>
    </x:row>
    <x:row r="16">
      <x:c r="A16" s="249" t="str">
        <x:v>Accountant</x:v>
      </x:c>
      <x:c r="B16" s="249" t="n">
        <x:f>COUNTIF('Master Screens'!E$2:E$296,"*Accountant*")</x:f>
        <x:v>0</x:v>
      </x:c>
      <x:c r="C16" s="249" t="str">
        <x:v>School Admin / Staff Portal</x:v>
      </x:c>
      <x:c r="D16" s="249" t="str">
        <x:v>Fees, receipts, ledgers, finance</x:v>
      </x:c>
      <x:c r="E16" s="249" t="str">
        <x:v>Task-focused, compact, operational</x:v>
      </x:c>
      <x:c r="F16" s="226"/>
      <x:c r="G16" s="226"/>
      <x:c r="H16" s="226"/>
      <x:c r="I16" s="226"/>
      <x:c r="J16" s="226"/>
      <x:c r="K16" s="226"/>
      <x:c r="L16" s="226"/>
      <x:c r="M16" s="226"/>
      <x:c r="N16" s="226"/>
      <x:c r="O16" s="226"/>
      <x:c r="P16" s="226"/>
      <x:c r="Q16" s="226"/>
      <x:c r="R16" s="226"/>
      <x:c r="S16" s="226"/>
      <x:c r="T16" s="226"/>
      <x:c r="U16" s="226"/>
      <x:c r="V16" s="226"/>
      <x:c r="W16" s="226"/>
      <x:c r="X16" s="226"/>
      <x:c r="Y16" s="226"/>
      <x:c r="Z16" s="226"/>
    </x:row>
    <x:row r="17">
      <x:c r="A17" s="249" t="str">
        <x:v>HR</x:v>
      </x:c>
      <x:c r="B17" s="249" t="n">
        <x:f>COUNTIF('Master Screens'!E$2:E$296,"*HR*")</x:f>
        <x:v>0</x:v>
      </x:c>
      <x:c r="C17" s="249" t="str">
        <x:v>School Admin / Staff Portal</x:v>
      </x:c>
      <x:c r="D17" s="249" t="str">
        <x:v>Staff, attendance, leave, recruitment, payroll</x:v>
      </x:c>
      <x:c r="E17" s="249" t="str">
        <x:v>Task-focused, compact, operational</x:v>
      </x:c>
      <x:c r="F17" s="226"/>
      <x:c r="G17" s="226"/>
      <x:c r="H17" s="226"/>
      <x:c r="I17" s="226"/>
      <x:c r="J17" s="226"/>
      <x:c r="K17" s="226"/>
      <x:c r="L17" s="226"/>
      <x:c r="M17" s="226"/>
      <x:c r="N17" s="226"/>
      <x:c r="O17" s="226"/>
      <x:c r="P17" s="226"/>
      <x:c r="Q17" s="226"/>
      <x:c r="R17" s="226"/>
      <x:c r="S17" s="226"/>
      <x:c r="T17" s="226"/>
      <x:c r="U17" s="226"/>
      <x:c r="V17" s="226"/>
      <x:c r="W17" s="226"/>
      <x:c r="X17" s="226"/>
      <x:c r="Y17" s="226"/>
      <x:c r="Z17" s="226"/>
    </x:row>
    <x:row r="18">
      <x:c r="A18" s="249" t="str">
        <x:v>Employee</x:v>
      </x:c>
      <x:c r="B18" s="249" t="n">
        <x:f>COUNTIF('Master Screens'!E$2:E$296,"*Employee*")</x:f>
        <x:v>0</x:v>
      </x:c>
      <x:c r="C18" s="249" t="str">
        <x:v>School Admin / Staff Portal</x:v>
      </x:c>
      <x:c r="D18" s="249" t="str">
        <x:v>Self-service attendance, leave, payslips</x:v>
      </x:c>
      <x:c r="E18" s="249" t="str">
        <x:v>Task-focused, compact, operational</x:v>
      </x:c>
      <x:c r="F18" s="226"/>
      <x:c r="G18" s="226"/>
      <x:c r="H18" s="226"/>
      <x:c r="I18" s="226"/>
      <x:c r="J18" s="226"/>
      <x:c r="K18" s="226"/>
      <x:c r="L18" s="226"/>
      <x:c r="M18" s="226"/>
      <x:c r="N18" s="226"/>
      <x:c r="O18" s="226"/>
      <x:c r="P18" s="226"/>
      <x:c r="Q18" s="226"/>
      <x:c r="R18" s="226"/>
      <x:c r="S18" s="226"/>
      <x:c r="T18" s="226"/>
      <x:c r="U18" s="226"/>
      <x:c r="V18" s="226"/>
      <x:c r="W18" s="226"/>
      <x:c r="X18" s="226"/>
      <x:c r="Y18" s="226"/>
      <x:c r="Z18" s="226"/>
    </x:row>
    <x:row r="19">
      <x:c r="A19" s="249" t="str">
        <x:v>Exam Coordinator</x:v>
      </x:c>
      <x:c r="B19" s="249" t="n">
        <x:f>COUNTIF('Master Screens'!E$2:E$296,"*Exam Coordinator*")</x:f>
        <x:v>0</x:v>
      </x:c>
      <x:c r="C19" s="249" t="str">
        <x:v>School Admin / Staff Portal</x:v>
      </x:c>
      <x:c r="D19" s="249" t="str">
        <x:v>Exam setup, schedule, marks, results</x:v>
      </x:c>
      <x:c r="E19" s="249" t="str">
        <x:v>Task-focused, compact, operational</x:v>
      </x:c>
      <x:c r="F19" s="226"/>
      <x:c r="G19" s="226"/>
      <x:c r="H19" s="226"/>
      <x:c r="I19" s="226"/>
      <x:c r="J19" s="226"/>
      <x:c r="K19" s="226"/>
      <x:c r="L19" s="226"/>
      <x:c r="M19" s="226"/>
      <x:c r="N19" s="226"/>
      <x:c r="O19" s="226"/>
      <x:c r="P19" s="226"/>
      <x:c r="Q19" s="226"/>
      <x:c r="R19" s="226"/>
      <x:c r="S19" s="226"/>
      <x:c r="T19" s="226"/>
      <x:c r="U19" s="226"/>
      <x:c r="V19" s="226"/>
      <x:c r="W19" s="226"/>
      <x:c r="X19" s="226"/>
      <x:c r="Y19" s="226"/>
      <x:c r="Z19" s="226"/>
    </x:row>
    <x:row r="20">
      <x:c r="A20" s="249" t="str">
        <x:v>Transport Manager</x:v>
      </x:c>
      <x:c r="B20" s="249" t="n">
        <x:f>COUNTIF('Master Screens'!E$2:E$296,"*Transport Manager*")</x:f>
        <x:v>0</x:v>
      </x:c>
      <x:c r="C20" s="249" t="str">
        <x:v>Operations Portal</x:v>
      </x:c>
      <x:c r="D20" s="249" t="str">
        <x:v>Routes, vehicles, students, trips, GPS</x:v>
      </x:c>
      <x:c r="E20" s="249" t="str">
        <x:v>Task-focused, compact, operational</x:v>
      </x:c>
      <x:c r="F20" s="226"/>
      <x:c r="G20" s="226"/>
      <x:c r="H20" s="226"/>
      <x:c r="I20" s="226"/>
      <x:c r="J20" s="226"/>
      <x:c r="K20" s="226"/>
      <x:c r="L20" s="226"/>
      <x:c r="M20" s="226"/>
      <x:c r="N20" s="226"/>
      <x:c r="O20" s="226"/>
      <x:c r="P20" s="226"/>
      <x:c r="Q20" s="226"/>
      <x:c r="R20" s="226"/>
      <x:c r="S20" s="226"/>
      <x:c r="T20" s="226"/>
      <x:c r="U20" s="226"/>
      <x:c r="V20" s="226"/>
      <x:c r="W20" s="226"/>
      <x:c r="X20" s="226"/>
      <x:c r="Y20" s="226"/>
      <x:c r="Z20" s="226"/>
    </x:row>
    <x:row r="21">
      <x:c r="A21" s="249" t="str">
        <x:v>Driver / Conductor</x:v>
      </x:c>
      <x:c r="B21" s="249" t="n">
        <x:f>COUNTIF('Master Screens'!E$2:E$296,"*Driver / Conductor*")</x:f>
        <x:v>0</x:v>
      </x:c>
      <x:c r="C21" s="249" t="str">
        <x:v>Operations Portal</x:v>
      </x:c>
      <x:c r="D21" s="249" t="str">
        <x:v>Trips, boarding/drop, route execution</x:v>
      </x:c>
      <x:c r="E21" s="249" t="str">
        <x:v>Task-focused, compact, operational</x:v>
      </x:c>
      <x:c r="F21" s="226"/>
      <x:c r="G21" s="226"/>
      <x:c r="H21" s="226"/>
      <x:c r="I21" s="226"/>
      <x:c r="J21" s="226"/>
      <x:c r="K21" s="226"/>
      <x:c r="L21" s="226"/>
      <x:c r="M21" s="226"/>
      <x:c r="N21" s="226"/>
      <x:c r="O21" s="226"/>
      <x:c r="P21" s="226"/>
      <x:c r="Q21" s="226"/>
      <x:c r="R21" s="226"/>
      <x:c r="S21" s="226"/>
      <x:c r="T21" s="226"/>
      <x:c r="U21" s="226"/>
      <x:c r="V21" s="226"/>
      <x:c r="W21" s="226"/>
      <x:c r="X21" s="226"/>
      <x:c r="Y21" s="226"/>
      <x:c r="Z21" s="226"/>
    </x:row>
    <x:row r="22">
      <x:c r="A22" s="249" t="str">
        <x:v>Librarian</x:v>
      </x:c>
      <x:c r="B22" s="249" t="n">
        <x:f>COUNTIF('Master Screens'!E$2:E$296,"*Librarian*")</x:f>
        <x:v>0</x:v>
      </x:c>
      <x:c r="C22" s="249" t="str">
        <x:v>Operations Portal</x:v>
      </x:c>
      <x:c r="D22" s="249" t="str">
        <x:v>Catalogue, issue/return, fines, reports</x:v>
      </x:c>
      <x:c r="E22" s="249" t="str">
        <x:v>Task-focused, compact, operational</x:v>
      </x:c>
      <x:c r="F22" s="226"/>
      <x:c r="G22" s="226"/>
      <x:c r="H22" s="226"/>
      <x:c r="I22" s="226"/>
      <x:c r="J22" s="226"/>
      <x:c r="K22" s="226"/>
      <x:c r="L22" s="226"/>
      <x:c r="M22" s="226"/>
      <x:c r="N22" s="226"/>
      <x:c r="O22" s="226"/>
      <x:c r="P22" s="226"/>
      <x:c r="Q22" s="226"/>
      <x:c r="R22" s="226"/>
      <x:c r="S22" s="226"/>
      <x:c r="T22" s="226"/>
      <x:c r="U22" s="226"/>
      <x:c r="V22" s="226"/>
      <x:c r="W22" s="226"/>
      <x:c r="X22" s="226"/>
      <x:c r="Y22" s="226"/>
      <x:c r="Z22" s="226"/>
    </x:row>
    <x:row r="23">
      <x:c r="A23" s="249" t="str">
        <x:v>Hostel Warden</x:v>
      </x:c>
      <x:c r="B23" s="249" t="n">
        <x:f>COUNTIF('Master Screens'!E$2:E$296,"*Hostel Warden*")</x:f>
        <x:v>0</x:v>
      </x:c>
      <x:c r="C23" s="249" t="str">
        <x:v>Operations Portal</x:v>
      </x:c>
      <x:c r="D23" s="249" t="str">
        <x:v>Rooms, attendance, leave, complaints</x:v>
      </x:c>
      <x:c r="E23" s="249" t="str">
        <x:v>Task-focused, compact, operational</x:v>
      </x:c>
      <x:c r="F23" s="226"/>
      <x:c r="G23" s="226"/>
      <x:c r="H23" s="226"/>
      <x:c r="I23" s="226"/>
      <x:c r="J23" s="226"/>
      <x:c r="K23" s="226"/>
      <x:c r="L23" s="226"/>
      <x:c r="M23" s="226"/>
      <x:c r="N23" s="226"/>
      <x:c r="O23" s="226"/>
      <x:c r="P23" s="226"/>
      <x:c r="Q23" s="226"/>
      <x:c r="R23" s="226"/>
      <x:c r="S23" s="226"/>
      <x:c r="T23" s="226"/>
      <x:c r="U23" s="226"/>
      <x:c r="V23" s="226"/>
      <x:c r="W23" s="226"/>
      <x:c r="X23" s="226"/>
      <x:c r="Y23" s="226"/>
      <x:c r="Z23" s="226"/>
    </x:row>
    <x:row r="24">
      <x:c r="A24" s="249" t="str">
        <x:v>Nurse / Medical Officer</x:v>
      </x:c>
      <x:c r="B24" s="249" t="n">
        <x:f>COUNTIF('Master Screens'!E$2:E$296,"*Nurse / Medical Officer*")</x:f>
        <x:v>0</x:v>
      </x:c>
      <x:c r="C24" s="249" t="str">
        <x:v>Operations Portal</x:v>
      </x:c>
      <x:c r="D24" s="249" t="str">
        <x:v>Medical profile, clinic visits, first aid</x:v>
      </x:c>
      <x:c r="E24" s="249" t="str">
        <x:v>Task-focused, compact, operational</x:v>
      </x:c>
      <x:c r="F24" s="226"/>
      <x:c r="G24" s="226"/>
      <x:c r="H24" s="226"/>
      <x:c r="I24" s="226"/>
      <x:c r="J24" s="226"/>
      <x:c r="K24" s="226"/>
      <x:c r="L24" s="226"/>
      <x:c r="M24" s="226"/>
      <x:c r="N24" s="226"/>
      <x:c r="O24" s="226"/>
      <x:c r="P24" s="226"/>
      <x:c r="Q24" s="226"/>
      <x:c r="R24" s="226"/>
      <x:c r="S24" s="226"/>
      <x:c r="T24" s="226"/>
      <x:c r="U24" s="226"/>
      <x:c r="V24" s="226"/>
      <x:c r="W24" s="226"/>
      <x:c r="X24" s="226"/>
      <x:c r="Y24" s="226"/>
      <x:c r="Z24" s="226"/>
    </x:row>
    <x:row r="25">
      <x:c r="A25" s="249" t="str">
        <x:v>Counsellor</x:v>
      </x:c>
      <x:c r="B25" s="249" t="n">
        <x:f>COUNTIF('Master Screens'!E$2:E$296,"*Counsellor*")</x:f>
        <x:v>0</x:v>
      </x:c>
      <x:c r="C25" s="249" t="str">
        <x:v>Operations Portal</x:v>
      </x:c>
      <x:c r="D25" s="249" t="str">
        <x:v>Appointments, confidential case follow-up</x:v>
      </x:c>
      <x:c r="E25" s="249" t="str">
        <x:v>Task-focused, compact, operational</x:v>
      </x:c>
      <x:c r="F25" s="226"/>
      <x:c r="G25" s="226"/>
      <x:c r="H25" s="226"/>
      <x:c r="I25" s="226"/>
      <x:c r="J25" s="226"/>
      <x:c r="K25" s="226"/>
      <x:c r="L25" s="226"/>
      <x:c r="M25" s="226"/>
      <x:c r="N25" s="226"/>
      <x:c r="O25" s="226"/>
      <x:c r="P25" s="226"/>
      <x:c r="Q25" s="226"/>
      <x:c r="R25" s="226"/>
      <x:c r="S25" s="226"/>
      <x:c r="T25" s="226"/>
      <x:c r="U25" s="226"/>
      <x:c r="V25" s="226"/>
      <x:c r="W25" s="226"/>
      <x:c r="X25" s="226"/>
      <x:c r="Y25" s="226"/>
      <x:c r="Z25" s="226"/>
    </x:row>
    <x:row r="26">
      <x:c r="A26" s="249" t="str">
        <x:v>Security</x:v>
      </x:c>
      <x:c r="B26" s="249" t="n">
        <x:f>COUNTIF('Master Screens'!E$2:E$296,"*Security*")</x:f>
        <x:v>0</x:v>
      </x:c>
      <x:c r="C26" s="249" t="str">
        <x:v>Operations Portal</x:v>
      </x:c>
      <x:c r="D26" s="249" t="str">
        <x:v>Visitors, passes, gate logs, incidents</x:v>
      </x:c>
      <x:c r="E26" s="249" t="str">
        <x:v>Task-focused, compact, operational</x:v>
      </x:c>
      <x:c r="F26" s="226"/>
      <x:c r="G26" s="226"/>
      <x:c r="H26" s="226"/>
      <x:c r="I26" s="226"/>
      <x:c r="J26" s="226"/>
      <x:c r="K26" s="226"/>
      <x:c r="L26" s="226"/>
      <x:c r="M26" s="226"/>
      <x:c r="N26" s="226"/>
      <x:c r="O26" s="226"/>
      <x:c r="P26" s="226"/>
      <x:c r="Q26" s="226"/>
      <x:c r="R26" s="226"/>
      <x:c r="S26" s="226"/>
      <x:c r="T26" s="226"/>
      <x:c r="U26" s="226"/>
      <x:c r="V26" s="226"/>
      <x:c r="W26" s="226"/>
      <x:c r="X26" s="226"/>
      <x:c r="Y26" s="226"/>
      <x:c r="Z26" s="226"/>
    </x:row>
    <x:row r="27">
      <x:c r="A27" s="249" t="str">
        <x:v>Store Manager</x:v>
      </x:c>
      <x:c r="B27" s="249" t="n">
        <x:f>COUNTIF('Master Screens'!E$2:E$296,"*Store Manager*")</x:f>
        <x:v>0</x:v>
      </x:c>
      <x:c r="C27" s="249" t="str">
        <x:v>Operations Portal</x:v>
      </x:c>
      <x:c r="D27" s="249" t="str">
        <x:v>Inventory, stock, suppliers, assets</x:v>
      </x:c>
      <x:c r="E27" s="249" t="str">
        <x:v>Task-focused, compact, operational</x:v>
      </x:c>
      <x:c r="F27" s="226"/>
      <x:c r="G27" s="226"/>
      <x:c r="H27" s="226"/>
      <x:c r="I27" s="226"/>
      <x:c r="J27" s="226"/>
      <x:c r="K27" s="226"/>
      <x:c r="L27" s="226"/>
      <x:c r="M27" s="226"/>
      <x:c r="N27" s="226"/>
      <x:c r="O27" s="226"/>
      <x:c r="P27" s="226"/>
      <x:c r="Q27" s="226"/>
      <x:c r="R27" s="226"/>
      <x:c r="S27" s="226"/>
      <x:c r="T27" s="226"/>
      <x:c r="U27" s="226"/>
      <x:c r="V27" s="226"/>
      <x:c r="W27" s="226"/>
      <x:c r="X27" s="226"/>
      <x:c r="Y27" s="226"/>
      <x:c r="Z27" s="226"/>
    </x:row>
    <x:row r="28">
      <x:c r="A28" s="249" t="str">
        <x:v>Lab Assistant</x:v>
      </x:c>
      <x:c r="B28" s="249" t="n">
        <x:f>COUNTIF('Master Screens'!E$2:E$296,"*Lab Assistant*")</x:f>
        <x:v>0</x:v>
      </x:c>
      <x:c r="C28" s="249" t="str">
        <x:v>Operations Portal</x:v>
      </x:c>
      <x:c r="D28" s="249" t="str">
        <x:v>Lab stock, equipment, bookings</x:v>
      </x:c>
      <x:c r="E28" s="249" t="str">
        <x:v>Task-focused, compact, operational</x:v>
      </x:c>
      <x:c r="F28" s="226"/>
      <x:c r="G28" s="226"/>
      <x:c r="H28" s="226"/>
      <x:c r="I28" s="226"/>
      <x:c r="J28" s="226"/>
      <x:c r="K28" s="226"/>
      <x:c r="L28" s="226"/>
      <x:c r="M28" s="226"/>
      <x:c r="N28" s="226"/>
      <x:c r="O28" s="226"/>
      <x:c r="P28" s="226"/>
      <x:c r="Q28" s="226"/>
      <x:c r="R28" s="226"/>
      <x:c r="S28" s="226"/>
      <x:c r="T28" s="226"/>
      <x:c r="U28" s="226"/>
      <x:c r="V28" s="226"/>
      <x:c r="W28" s="226"/>
      <x:c r="X28" s="226"/>
      <x:c r="Y28" s="226"/>
      <x:c r="Z28" s="226"/>
    </x:row>
    <x:row r="29">
      <x:c r="A29" s="252" t="str">
        <x:v>IT Admin</x:v>
      </x:c>
      <x:c r="B29" s="252" t="n">
        <x:f>COUNTIF('Master Screens'!E$2:E$296,"*IT Admin*")</x:f>
        <x:v>0</x:v>
      </x:c>
      <x:c r="C29" s="252" t="str">
        <x:v>School Admin / Staff Portal</x:v>
      </x:c>
      <x:c r="D29" s="252" t="str">
        <x:v>Users, roles, security, integrations, audit</x:v>
      </x:c>
      <x:c r="E29" s="252" t="str">
        <x:v>Task-focused, compact, operational</x:v>
      </x:c>
      <x:c r="F29" s="226"/>
      <x:c r="G29" s="226"/>
      <x:c r="H29" s="226"/>
      <x:c r="I29" s="226"/>
      <x:c r="J29" s="226"/>
      <x:c r="K29" s="226"/>
      <x:c r="L29" s="226"/>
      <x:c r="M29" s="226"/>
      <x:c r="N29" s="226"/>
      <x:c r="O29" s="226"/>
      <x:c r="P29" s="226"/>
      <x:c r="Q29" s="226"/>
      <x:c r="R29" s="226"/>
      <x:c r="S29" s="226"/>
      <x:c r="T29" s="226"/>
      <x:c r="U29" s="226"/>
      <x:c r="V29" s="226"/>
      <x:c r="W29" s="226"/>
      <x:c r="X29" s="226"/>
      <x:c r="Y29" s="226"/>
      <x:c r="Z29" s="226"/>
    </x:row>
    <x:row r="30">
      <x:c r="A30" s="226"/>
      <x:c r="B30" s="226"/>
      <x:c r="C30" s="226"/>
      <x:c r="D30" s="226"/>
      <x:c r="E30" s="226"/>
      <x:c r="F30" s="226"/>
      <x:c r="G30" s="226"/>
      <x:c r="H30" s="226"/>
      <x:c r="I30" s="226"/>
      <x:c r="J30" s="226"/>
      <x:c r="K30" s="226"/>
      <x:c r="L30" s="226"/>
      <x:c r="M30" s="226"/>
      <x:c r="N30" s="226"/>
      <x:c r="O30" s="226"/>
      <x:c r="P30" s="226"/>
      <x:c r="Q30" s="226"/>
      <x:c r="R30" s="226"/>
      <x:c r="S30" s="226"/>
      <x:c r="T30" s="226"/>
      <x:c r="U30" s="226"/>
      <x:c r="V30" s="226"/>
      <x:c r="W30" s="226"/>
      <x:c r="X30" s="226"/>
      <x:c r="Y30" s="226"/>
      <x:c r="Z30" s="226"/>
    </x:row>
    <x:row r="31">
      <x:c r="A31" s="290" t="str">
        <x:v>*Counts are based on the Primary Roles column and are for planning access/navigation, not a replacement for the final RBAC permission matrix.</x:v>
      </x:c>
      <x:c r="B31" s="226"/>
      <x:c r="C31" s="226"/>
      <x:c r="D31" s="226"/>
      <x:c r="E31" s="226"/>
      <x:c r="F31" s="226"/>
      <x:c r="G31" s="226"/>
      <x:c r="H31" s="226"/>
      <x:c r="I31" s="226"/>
      <x:c r="J31" s="226"/>
      <x:c r="K31" s="226"/>
      <x:c r="L31" s="226"/>
      <x:c r="M31" s="226"/>
      <x:c r="N31" s="226"/>
      <x:c r="O31" s="226"/>
      <x:c r="P31" s="226"/>
      <x:c r="Q31" s="226"/>
      <x:c r="R31" s="226"/>
      <x:c r="S31" s="226"/>
      <x:c r="T31" s="226"/>
      <x:c r="U31" s="226"/>
      <x:c r="V31" s="226"/>
      <x:c r="W31" s="226"/>
      <x:c r="X31" s="226"/>
      <x:c r="Y31" s="226"/>
      <x:c r="Z31" s="226"/>
    </x:row>
    <x:row r="32">
      <x:c r="A32" s="226"/>
      <x:c r="B32" s="226"/>
      <x:c r="C32" s="226"/>
      <x:c r="D32" s="226"/>
      <x:c r="E32" s="226"/>
      <x:c r="F32" s="226"/>
      <x:c r="G32" s="226"/>
      <x:c r="H32" s="226"/>
      <x:c r="I32" s="226"/>
      <x:c r="J32" s="226"/>
      <x:c r="K32" s="226"/>
      <x:c r="L32" s="226"/>
      <x:c r="M32" s="226"/>
      <x:c r="N32" s="226"/>
      <x:c r="O32" s="226"/>
      <x:c r="P32" s="226"/>
      <x:c r="Q32" s="226"/>
      <x:c r="R32" s="226"/>
      <x:c r="S32" s="226"/>
      <x:c r="T32" s="226"/>
      <x:c r="U32" s="226"/>
      <x:c r="V32" s="226"/>
      <x:c r="W32" s="226"/>
      <x:c r="X32" s="226"/>
      <x:c r="Y32" s="226"/>
      <x:c r="Z32" s="226"/>
    </x:row>
    <x:row r="33">
      <x:c r="A33" s="226"/>
      <x:c r="B33" s="226"/>
      <x:c r="C33" s="226"/>
      <x:c r="D33" s="226"/>
      <x:c r="E33" s="226"/>
      <x:c r="F33" s="226"/>
      <x:c r="G33" s="226"/>
      <x:c r="H33" s="226"/>
      <x:c r="I33" s="226"/>
      <x:c r="J33" s="226"/>
      <x:c r="K33" s="226"/>
      <x:c r="L33" s="226"/>
      <x:c r="M33" s="226"/>
      <x:c r="N33" s="226"/>
      <x:c r="O33" s="226"/>
      <x:c r="P33" s="226"/>
      <x:c r="Q33" s="226"/>
      <x:c r="R33" s="226"/>
      <x:c r="S33" s="226"/>
      <x:c r="T33" s="226"/>
      <x:c r="U33" s="226"/>
      <x:c r="V33" s="226"/>
      <x:c r="W33" s="226"/>
      <x:c r="X33" s="226"/>
      <x:c r="Y33" s="226"/>
      <x:c r="Z33" s="226"/>
    </x:row>
    <x:row r="34">
      <x:c r="A34" s="226"/>
      <x:c r="B34" s="226"/>
      <x:c r="C34" s="226"/>
      <x:c r="D34" s="226"/>
      <x:c r="E34" s="226"/>
      <x:c r="F34" s="226"/>
      <x:c r="G34" s="226"/>
      <x:c r="H34" s="226"/>
      <x:c r="I34" s="226"/>
      <x:c r="J34" s="226"/>
      <x:c r="K34" s="226"/>
      <x:c r="L34" s="226"/>
      <x:c r="M34" s="226"/>
      <x:c r="N34" s="226"/>
      <x:c r="O34" s="226"/>
      <x:c r="P34" s="226"/>
      <x:c r="Q34" s="226"/>
      <x:c r="R34" s="226"/>
      <x:c r="S34" s="226"/>
      <x:c r="T34" s="226"/>
      <x:c r="U34" s="226"/>
      <x:c r="V34" s="226"/>
      <x:c r="W34" s="226"/>
      <x:c r="X34" s="226"/>
      <x:c r="Y34" s="226"/>
      <x:c r="Z34" s="226"/>
    </x:row>
    <x:row r="35">
      <x:c r="A35" s="226"/>
      <x:c r="B35" s="226"/>
      <x:c r="C35" s="226"/>
      <x:c r="D35" s="226"/>
      <x:c r="E35" s="226"/>
      <x:c r="F35" s="226"/>
      <x:c r="G35" s="226"/>
      <x:c r="H35" s="226"/>
      <x:c r="I35" s="226"/>
      <x:c r="J35" s="226"/>
      <x:c r="K35" s="226"/>
      <x:c r="L35" s="226"/>
      <x:c r="M35" s="226"/>
      <x:c r="N35" s="226"/>
      <x:c r="O35" s="226"/>
      <x:c r="P35" s="226"/>
      <x:c r="Q35" s="226"/>
      <x:c r="R35" s="226"/>
      <x:c r="S35" s="226"/>
      <x:c r="T35" s="226"/>
      <x:c r="U35" s="226"/>
      <x:c r="V35" s="226"/>
      <x:c r="W35" s="226"/>
      <x:c r="X35" s="226"/>
      <x:c r="Y35" s="226"/>
      <x:c r="Z35" s="226"/>
    </x:row>
    <x:row r="36">
      <x:c r="A36" s="226"/>
      <x:c r="B36" s="226"/>
      <x:c r="C36" s="226"/>
      <x:c r="D36" s="226"/>
      <x:c r="E36" s="226"/>
      <x:c r="F36" s="226"/>
      <x:c r="G36" s="226"/>
      <x:c r="H36" s="226"/>
      <x:c r="I36" s="226"/>
      <x:c r="J36" s="226"/>
      <x:c r="K36" s="226"/>
      <x:c r="L36" s="226"/>
      <x:c r="M36" s="226"/>
      <x:c r="N36" s="226"/>
      <x:c r="O36" s="226"/>
      <x:c r="P36" s="226"/>
      <x:c r="Q36" s="226"/>
      <x:c r="R36" s="226"/>
      <x:c r="S36" s="226"/>
      <x:c r="T36" s="226"/>
      <x:c r="U36" s="226"/>
      <x:c r="V36" s="226"/>
      <x:c r="W36" s="226"/>
      <x:c r="X36" s="226"/>
      <x:c r="Y36" s="226"/>
      <x:c r="Z36" s="226"/>
    </x:row>
    <x:row r="37">
      <x:c r="A37" s="226"/>
      <x:c r="B37" s="226"/>
      <x:c r="C37" s="226"/>
      <x:c r="D37" s="226"/>
      <x:c r="E37" s="226"/>
      <x:c r="F37" s="226"/>
      <x:c r="G37" s="226"/>
      <x:c r="H37" s="226"/>
      <x:c r="I37" s="226"/>
      <x:c r="J37" s="226"/>
      <x:c r="K37" s="226"/>
      <x:c r="L37" s="226"/>
      <x:c r="M37" s="226"/>
      <x:c r="N37" s="226"/>
      <x:c r="O37" s="226"/>
      <x:c r="P37" s="226"/>
      <x:c r="Q37" s="226"/>
      <x:c r="R37" s="226"/>
      <x:c r="S37" s="226"/>
      <x:c r="T37" s="226"/>
      <x:c r="U37" s="226"/>
      <x:c r="V37" s="226"/>
      <x:c r="W37" s="226"/>
      <x:c r="X37" s="226"/>
      <x:c r="Y37" s="226"/>
      <x:c r="Z37" s="226"/>
    </x:row>
    <x:row r="38">
      <x:c r="A38" s="226"/>
      <x:c r="B38" s="226"/>
      <x:c r="C38" s="226"/>
      <x:c r="D38" s="226"/>
      <x:c r="E38" s="226"/>
      <x:c r="F38" s="226"/>
      <x:c r="G38" s="226"/>
      <x:c r="H38" s="226"/>
      <x:c r="I38" s="226"/>
      <x:c r="J38" s="226"/>
      <x:c r="K38" s="226"/>
      <x:c r="L38" s="226"/>
      <x:c r="M38" s="226"/>
      <x:c r="N38" s="226"/>
      <x:c r="O38" s="226"/>
      <x:c r="P38" s="226"/>
      <x:c r="Q38" s="226"/>
      <x:c r="R38" s="226"/>
      <x:c r="S38" s="226"/>
      <x:c r="T38" s="226"/>
      <x:c r="U38" s="226"/>
      <x:c r="V38" s="226"/>
      <x:c r="W38" s="226"/>
      <x:c r="X38" s="226"/>
      <x:c r="Y38" s="226"/>
      <x:c r="Z38" s="226"/>
    </x:row>
    <x:row r="39">
      <x:c r="A39" s="226"/>
      <x:c r="B39" s="226"/>
      <x:c r="C39" s="226"/>
      <x:c r="D39" s="226"/>
      <x:c r="E39" s="226"/>
      <x:c r="F39" s="226"/>
      <x:c r="G39" s="226"/>
      <x:c r="H39" s="226"/>
      <x:c r="I39" s="226"/>
      <x:c r="J39" s="226"/>
      <x:c r="K39" s="226"/>
      <x:c r="L39" s="226"/>
      <x:c r="M39" s="226"/>
      <x:c r="N39" s="226"/>
      <x:c r="O39" s="226"/>
      <x:c r="P39" s="226"/>
      <x:c r="Q39" s="226"/>
      <x:c r="R39" s="226"/>
      <x:c r="S39" s="226"/>
      <x:c r="T39" s="226"/>
      <x:c r="U39" s="226"/>
      <x:c r="V39" s="226"/>
      <x:c r="W39" s="226"/>
      <x:c r="X39" s="226"/>
      <x:c r="Y39" s="226"/>
      <x:c r="Z39" s="226"/>
    </x:row>
    <x:row r="40">
      <x:c r="A40" s="226"/>
      <x:c r="B40" s="226"/>
      <x:c r="C40" s="226"/>
      <x:c r="D40" s="226"/>
      <x:c r="E40" s="226"/>
      <x:c r="F40" s="226"/>
      <x:c r="G40" s="226"/>
      <x:c r="H40" s="226"/>
      <x:c r="I40" s="226"/>
      <x:c r="J40" s="226"/>
      <x:c r="K40" s="226"/>
      <x:c r="L40" s="226"/>
      <x:c r="M40" s="226"/>
      <x:c r="N40" s="226"/>
      <x:c r="O40" s="226"/>
      <x:c r="P40" s="226"/>
      <x:c r="Q40" s="226"/>
      <x:c r="R40" s="226"/>
      <x:c r="S40" s="226"/>
      <x:c r="T40" s="226"/>
      <x:c r="U40" s="226"/>
      <x:c r="V40" s="226"/>
      <x:c r="W40" s="226"/>
      <x:c r="X40" s="226"/>
      <x:c r="Y40" s="226"/>
      <x:c r="Z40" s="226"/>
    </x:row>
    <x:row r="41">
      <x:c r="A41" s="226"/>
      <x:c r="B41" s="226"/>
      <x:c r="C41" s="226"/>
      <x:c r="D41" s="226"/>
      <x:c r="E41" s="226"/>
      <x:c r="F41" s="226"/>
      <x:c r="G41" s="226"/>
      <x:c r="H41" s="226"/>
      <x:c r="I41" s="226"/>
      <x:c r="J41" s="226"/>
      <x:c r="K41" s="226"/>
      <x:c r="L41" s="226"/>
      <x:c r="M41" s="226"/>
      <x:c r="N41" s="226"/>
      <x:c r="O41" s="226"/>
      <x:c r="P41" s="226"/>
      <x:c r="Q41" s="226"/>
      <x:c r="R41" s="226"/>
      <x:c r="S41" s="226"/>
      <x:c r="T41" s="226"/>
      <x:c r="U41" s="226"/>
      <x:c r="V41" s="226"/>
      <x:c r="W41" s="226"/>
      <x:c r="X41" s="226"/>
      <x:c r="Y41" s="226"/>
      <x:c r="Z41" s="226"/>
    </x:row>
    <x:row r="42">
      <x:c r="A42" s="226"/>
      <x:c r="B42" s="226"/>
      <x:c r="C42" s="226"/>
      <x:c r="D42" s="226"/>
      <x:c r="E42" s="226"/>
      <x:c r="F42" s="226"/>
      <x:c r="G42" s="226"/>
      <x:c r="H42" s="226"/>
      <x:c r="I42" s="226"/>
      <x:c r="J42" s="226"/>
      <x:c r="K42" s="226"/>
      <x:c r="L42" s="226"/>
      <x:c r="M42" s="226"/>
      <x:c r="N42" s="226"/>
      <x:c r="O42" s="226"/>
      <x:c r="P42" s="226"/>
      <x:c r="Q42" s="226"/>
      <x:c r="R42" s="226"/>
      <x:c r="S42" s="226"/>
      <x:c r="T42" s="226"/>
      <x:c r="U42" s="226"/>
      <x:c r="V42" s="226"/>
      <x:c r="W42" s="226"/>
      <x:c r="X42" s="226"/>
      <x:c r="Y42" s="226"/>
      <x:c r="Z42" s="226"/>
    </x:row>
    <x:row r="43">
      <x:c r="A43" s="226"/>
      <x:c r="B43" s="226"/>
      <x:c r="C43" s="226"/>
      <x:c r="D43" s="226"/>
      <x:c r="E43" s="226"/>
      <x:c r="F43" s="226"/>
      <x:c r="G43" s="226"/>
      <x:c r="H43" s="226"/>
      <x:c r="I43" s="226"/>
      <x:c r="J43" s="226"/>
      <x:c r="K43" s="226"/>
      <x:c r="L43" s="226"/>
      <x:c r="M43" s="226"/>
      <x:c r="N43" s="226"/>
      <x:c r="O43" s="226"/>
      <x:c r="P43" s="226"/>
      <x:c r="Q43" s="226"/>
      <x:c r="R43" s="226"/>
      <x:c r="S43" s="226"/>
      <x:c r="T43" s="226"/>
      <x:c r="U43" s="226"/>
      <x:c r="V43" s="226"/>
      <x:c r="W43" s="226"/>
      <x:c r="X43" s="226"/>
      <x:c r="Y43" s="226"/>
      <x:c r="Z43" s="226"/>
    </x:row>
    <x:row r="44">
      <x:c r="A44" s="226"/>
      <x:c r="B44" s="226"/>
      <x:c r="C44" s="226"/>
      <x:c r="D44" s="226"/>
      <x:c r="E44" s="226"/>
      <x:c r="F44" s="226"/>
      <x:c r="G44" s="226"/>
      <x:c r="H44" s="226"/>
      <x:c r="I44" s="226"/>
      <x:c r="J44" s="226"/>
      <x:c r="K44" s="226"/>
      <x:c r="L44" s="226"/>
      <x:c r="M44" s="226"/>
      <x:c r="N44" s="226"/>
      <x:c r="O44" s="226"/>
      <x:c r="P44" s="226"/>
      <x:c r="Q44" s="226"/>
      <x:c r="R44" s="226"/>
      <x:c r="S44" s="226"/>
      <x:c r="T44" s="226"/>
      <x:c r="U44" s="226"/>
      <x:c r="V44" s="226"/>
      <x:c r="W44" s="226"/>
      <x:c r="X44" s="226"/>
      <x:c r="Y44" s="226"/>
      <x:c r="Z44" s="226"/>
    </x:row>
    <x:row r="45">
      <x:c r="A45" s="226"/>
      <x:c r="B45" s="226"/>
      <x:c r="C45" s="226"/>
      <x:c r="D45" s="226"/>
      <x:c r="E45" s="226"/>
      <x:c r="F45" s="226"/>
      <x:c r="G45" s="226"/>
      <x:c r="H45" s="226"/>
      <x:c r="I45" s="226"/>
      <x:c r="J45" s="226"/>
      <x:c r="K45" s="226"/>
      <x:c r="L45" s="226"/>
      <x:c r="M45" s="226"/>
      <x:c r="N45" s="226"/>
      <x:c r="O45" s="226"/>
      <x:c r="P45" s="226"/>
      <x:c r="Q45" s="226"/>
      <x:c r="R45" s="226"/>
      <x:c r="S45" s="226"/>
      <x:c r="T45" s="226"/>
      <x:c r="U45" s="226"/>
      <x:c r="V45" s="226"/>
      <x:c r="W45" s="226"/>
      <x:c r="X45" s="226"/>
      <x:c r="Y45" s="226"/>
      <x:c r="Z45" s="226"/>
    </x:row>
    <x:row r="46">
      <x:c r="A46" s="226"/>
      <x:c r="B46" s="226"/>
      <x:c r="C46" s="226"/>
      <x:c r="D46" s="226"/>
      <x:c r="E46" s="226"/>
      <x:c r="F46" s="226"/>
      <x:c r="G46" s="226"/>
      <x:c r="H46" s="226"/>
      <x:c r="I46" s="226"/>
      <x:c r="J46" s="226"/>
      <x:c r="K46" s="226"/>
      <x:c r="L46" s="226"/>
      <x:c r="M46" s="226"/>
      <x:c r="N46" s="226"/>
      <x:c r="O46" s="226"/>
      <x:c r="P46" s="226"/>
      <x:c r="Q46" s="226"/>
      <x:c r="R46" s="226"/>
      <x:c r="S46" s="226"/>
      <x:c r="T46" s="226"/>
      <x:c r="U46" s="226"/>
      <x:c r="V46" s="226"/>
      <x:c r="W46" s="226"/>
      <x:c r="X46" s="226"/>
      <x:c r="Y46" s="226"/>
      <x:c r="Z46" s="226"/>
    </x:row>
    <x:row r="47">
      <x:c r="A47" s="226"/>
      <x:c r="B47" s="226"/>
      <x:c r="C47" s="226"/>
      <x:c r="D47" s="226"/>
      <x:c r="E47" s="226"/>
      <x:c r="F47" s="226"/>
      <x:c r="G47" s="226"/>
      <x:c r="H47" s="226"/>
      <x:c r="I47" s="226"/>
      <x:c r="J47" s="226"/>
      <x:c r="K47" s="226"/>
      <x:c r="L47" s="226"/>
      <x:c r="M47" s="226"/>
      <x:c r="N47" s="226"/>
      <x:c r="O47" s="226"/>
      <x:c r="P47" s="226"/>
      <x:c r="Q47" s="226"/>
      <x:c r="R47" s="226"/>
      <x:c r="S47" s="226"/>
      <x:c r="T47" s="226"/>
      <x:c r="U47" s="226"/>
      <x:c r="V47" s="226"/>
      <x:c r="W47" s="226"/>
      <x:c r="X47" s="226"/>
      <x:c r="Y47" s="226"/>
      <x:c r="Z47" s="226"/>
    </x:row>
    <x:row r="48">
      <x:c r="A48" s="226"/>
      <x:c r="B48" s="226"/>
      <x:c r="C48" s="226"/>
      <x:c r="D48" s="226"/>
      <x:c r="E48" s="226"/>
      <x:c r="F48" s="226"/>
      <x:c r="G48" s="226"/>
      <x:c r="H48" s="226"/>
      <x:c r="I48" s="226"/>
      <x:c r="J48" s="226"/>
      <x:c r="K48" s="226"/>
      <x:c r="L48" s="226"/>
      <x:c r="M48" s="226"/>
      <x:c r="N48" s="226"/>
      <x:c r="O48" s="226"/>
      <x:c r="P48" s="226"/>
      <x:c r="Q48" s="226"/>
      <x:c r="R48" s="226"/>
      <x:c r="S48" s="226"/>
      <x:c r="T48" s="226"/>
      <x:c r="U48" s="226"/>
      <x:c r="V48" s="226"/>
      <x:c r="W48" s="226"/>
      <x:c r="X48" s="226"/>
      <x:c r="Y48" s="226"/>
      <x:c r="Z48" s="226"/>
    </x:row>
    <x:row r="49">
      <x:c r="A49" s="226"/>
      <x:c r="B49" s="226"/>
      <x:c r="C49" s="226"/>
      <x:c r="D49" s="226"/>
      <x:c r="E49" s="226"/>
      <x:c r="F49" s="226"/>
      <x:c r="G49" s="226"/>
      <x:c r="H49" s="226"/>
      <x:c r="I49" s="226"/>
      <x:c r="J49" s="226"/>
      <x:c r="K49" s="226"/>
      <x:c r="L49" s="226"/>
      <x:c r="M49" s="226"/>
      <x:c r="N49" s="226"/>
      <x:c r="O49" s="226"/>
      <x:c r="P49" s="226"/>
      <x:c r="Q49" s="226"/>
      <x:c r="R49" s="226"/>
      <x:c r="S49" s="226"/>
      <x:c r="T49" s="226"/>
      <x:c r="U49" s="226"/>
      <x:c r="V49" s="226"/>
      <x:c r="W49" s="226"/>
      <x:c r="X49" s="226"/>
      <x:c r="Y49" s="226"/>
      <x:c r="Z49" s="226"/>
    </x:row>
    <x:row r="50">
      <x:c r="A50" s="226"/>
      <x:c r="B50" s="226"/>
      <x:c r="C50" s="226"/>
      <x:c r="D50" s="226"/>
      <x:c r="E50" s="226"/>
      <x:c r="F50" s="226"/>
      <x:c r="G50" s="226"/>
      <x:c r="H50" s="226"/>
      <x:c r="I50" s="226"/>
      <x:c r="J50" s="226"/>
      <x:c r="K50" s="226"/>
      <x:c r="L50" s="226"/>
      <x:c r="M50" s="226"/>
      <x:c r="N50" s="226"/>
      <x:c r="O50" s="226"/>
      <x:c r="P50" s="226"/>
      <x:c r="Q50" s="226"/>
      <x:c r="R50" s="226"/>
      <x:c r="S50" s="226"/>
      <x:c r="T50" s="226"/>
      <x:c r="U50" s="226"/>
      <x:c r="V50" s="226"/>
      <x:c r="W50" s="226"/>
      <x:c r="X50" s="226"/>
      <x:c r="Y50" s="226"/>
      <x:c r="Z50" s="226"/>
    </x:row>
    <x:row r="51">
      <x:c r="A51" s="226"/>
      <x:c r="B51" s="226"/>
      <x:c r="C51" s="226"/>
      <x:c r="D51" s="226"/>
      <x:c r="E51" s="226"/>
      <x:c r="F51" s="226"/>
      <x:c r="G51" s="226"/>
      <x:c r="H51" s="226"/>
      <x:c r="I51" s="226"/>
      <x:c r="J51" s="226"/>
      <x:c r="K51" s="226"/>
      <x:c r="L51" s="226"/>
      <x:c r="M51" s="226"/>
      <x:c r="N51" s="226"/>
      <x:c r="O51" s="226"/>
      <x:c r="P51" s="226"/>
      <x:c r="Q51" s="226"/>
      <x:c r="R51" s="226"/>
      <x:c r="S51" s="226"/>
      <x:c r="T51" s="226"/>
      <x:c r="U51" s="226"/>
      <x:c r="V51" s="226"/>
      <x:c r="W51" s="226"/>
      <x:c r="X51" s="226"/>
      <x:c r="Y51" s="226"/>
      <x:c r="Z51" s="226"/>
    </x:row>
    <x:row r="52">
      <x:c r="A52" s="226"/>
      <x:c r="B52" s="226"/>
      <x:c r="C52" s="226"/>
      <x:c r="D52" s="226"/>
      <x:c r="E52" s="226"/>
      <x:c r="F52" s="226"/>
      <x:c r="G52" s="226"/>
      <x:c r="H52" s="226"/>
      <x:c r="I52" s="226"/>
      <x:c r="J52" s="226"/>
      <x:c r="K52" s="226"/>
      <x:c r="L52" s="226"/>
      <x:c r="M52" s="226"/>
      <x:c r="N52" s="226"/>
      <x:c r="O52" s="226"/>
      <x:c r="P52" s="226"/>
      <x:c r="Q52" s="226"/>
      <x:c r="R52" s="226"/>
      <x:c r="S52" s="226"/>
      <x:c r="T52" s="226"/>
      <x:c r="U52" s="226"/>
      <x:c r="V52" s="226"/>
      <x:c r="W52" s="226"/>
      <x:c r="X52" s="226"/>
      <x:c r="Y52" s="226"/>
      <x:c r="Z52" s="226"/>
    </x:row>
    <x:row r="53">
      <x:c r="A53" s="226"/>
      <x:c r="B53" s="226"/>
      <x:c r="C53" s="226"/>
      <x:c r="D53" s="226"/>
      <x:c r="E53" s="226"/>
      <x:c r="F53" s="226"/>
      <x:c r="G53" s="226"/>
      <x:c r="H53" s="226"/>
      <x:c r="I53" s="226"/>
      <x:c r="J53" s="226"/>
      <x:c r="K53" s="226"/>
      <x:c r="L53" s="226"/>
      <x:c r="M53" s="226"/>
      <x:c r="N53" s="226"/>
      <x:c r="O53" s="226"/>
      <x:c r="P53" s="226"/>
      <x:c r="Q53" s="226"/>
      <x:c r="R53" s="226"/>
      <x:c r="S53" s="226"/>
      <x:c r="T53" s="226"/>
      <x:c r="U53" s="226"/>
      <x:c r="V53" s="226"/>
      <x:c r="W53" s="226"/>
      <x:c r="X53" s="226"/>
      <x:c r="Y53" s="226"/>
      <x:c r="Z53" s="226"/>
    </x:row>
    <x:row r="54">
      <x:c r="A54" s="226"/>
      <x:c r="B54" s="226"/>
      <x:c r="C54" s="226"/>
      <x:c r="D54" s="226"/>
      <x:c r="E54" s="226"/>
      <x:c r="F54" s="226"/>
      <x:c r="G54" s="226"/>
      <x:c r="H54" s="226"/>
      <x:c r="I54" s="226"/>
      <x:c r="J54" s="226"/>
      <x:c r="K54" s="226"/>
      <x:c r="L54" s="226"/>
      <x:c r="M54" s="226"/>
      <x:c r="N54" s="226"/>
      <x:c r="O54" s="226"/>
      <x:c r="P54" s="226"/>
      <x:c r="Q54" s="226"/>
      <x:c r="R54" s="226"/>
      <x:c r="S54" s="226"/>
      <x:c r="T54" s="226"/>
      <x:c r="U54" s="226"/>
      <x:c r="V54" s="226"/>
      <x:c r="W54" s="226"/>
      <x:c r="X54" s="226"/>
      <x:c r="Y54" s="226"/>
      <x:c r="Z54" s="226"/>
    </x:row>
    <x:row r="55">
      <x:c r="A55" s="226"/>
      <x:c r="B55" s="226"/>
      <x:c r="C55" s="226"/>
      <x:c r="D55" s="226"/>
      <x:c r="E55" s="226"/>
      <x:c r="F55" s="226"/>
      <x:c r="G55" s="226"/>
      <x:c r="H55" s="226"/>
      <x:c r="I55" s="226"/>
      <x:c r="J55" s="226"/>
      <x:c r="K55" s="226"/>
      <x:c r="L55" s="226"/>
      <x:c r="M55" s="226"/>
      <x:c r="N55" s="226"/>
      <x:c r="O55" s="226"/>
      <x:c r="P55" s="226"/>
      <x:c r="Q55" s="226"/>
      <x:c r="R55" s="226"/>
      <x:c r="S55" s="226"/>
      <x:c r="T55" s="226"/>
      <x:c r="U55" s="226"/>
      <x:c r="V55" s="226"/>
      <x:c r="W55" s="226"/>
      <x:c r="X55" s="226"/>
      <x:c r="Y55" s="226"/>
      <x:c r="Z55" s="226"/>
    </x:row>
    <x:row r="56">
      <x:c r="A56" s="226"/>
      <x:c r="B56" s="226"/>
      <x:c r="C56" s="226"/>
      <x:c r="D56" s="226"/>
      <x:c r="E56" s="226"/>
      <x:c r="F56" s="226"/>
      <x:c r="G56" s="226"/>
      <x:c r="H56" s="226"/>
      <x:c r="I56" s="226"/>
      <x:c r="J56" s="226"/>
      <x:c r="K56" s="226"/>
      <x:c r="L56" s="226"/>
      <x:c r="M56" s="226"/>
      <x:c r="N56" s="226"/>
      <x:c r="O56" s="226"/>
      <x:c r="P56" s="226"/>
      <x:c r="Q56" s="226"/>
      <x:c r="R56" s="226"/>
      <x:c r="S56" s="226"/>
      <x:c r="T56" s="226"/>
      <x:c r="U56" s="226"/>
      <x:c r="V56" s="226"/>
      <x:c r="W56" s="226"/>
      <x:c r="X56" s="226"/>
      <x:c r="Y56" s="226"/>
      <x:c r="Z56" s="226"/>
    </x:row>
    <x:row r="57">
      <x:c r="A57" s="226"/>
      <x:c r="B57" s="226"/>
      <x:c r="C57" s="226"/>
      <x:c r="D57" s="226"/>
      <x:c r="E57" s="226"/>
      <x:c r="F57" s="226"/>
      <x:c r="G57" s="226"/>
      <x:c r="H57" s="226"/>
      <x:c r="I57" s="226"/>
      <x:c r="J57" s="226"/>
      <x:c r="K57" s="226"/>
      <x:c r="L57" s="226"/>
      <x:c r="M57" s="226"/>
      <x:c r="N57" s="226"/>
      <x:c r="O57" s="226"/>
      <x:c r="P57" s="226"/>
      <x:c r="Q57" s="226"/>
      <x:c r="R57" s="226"/>
      <x:c r="S57" s="226"/>
      <x:c r="T57" s="226"/>
      <x:c r="U57" s="226"/>
      <x:c r="V57" s="226"/>
      <x:c r="W57" s="226"/>
      <x:c r="X57" s="226"/>
      <x:c r="Y57" s="226"/>
      <x:c r="Z57" s="226"/>
    </x:row>
    <x:row r="58">
      <x:c r="A58" s="226"/>
      <x:c r="B58" s="226"/>
      <x:c r="C58" s="226"/>
      <x:c r="D58" s="226"/>
      <x:c r="E58" s="226"/>
      <x:c r="F58" s="226"/>
      <x:c r="G58" s="226"/>
      <x:c r="H58" s="226"/>
      <x:c r="I58" s="226"/>
      <x:c r="J58" s="226"/>
      <x:c r="K58" s="226"/>
      <x:c r="L58" s="226"/>
      <x:c r="M58" s="226"/>
      <x:c r="N58" s="226"/>
      <x:c r="O58" s="226"/>
      <x:c r="P58" s="226"/>
      <x:c r="Q58" s="226"/>
      <x:c r="R58" s="226"/>
      <x:c r="S58" s="226"/>
      <x:c r="T58" s="226"/>
      <x:c r="U58" s="226"/>
      <x:c r="V58" s="226"/>
      <x:c r="W58" s="226"/>
      <x:c r="X58" s="226"/>
      <x:c r="Y58" s="226"/>
      <x:c r="Z58" s="226"/>
    </x:row>
    <x:row r="59">
      <x:c r="A59" s="226"/>
      <x:c r="B59" s="226"/>
      <x:c r="C59" s="226"/>
      <x:c r="D59" s="226"/>
      <x:c r="E59" s="226"/>
      <x:c r="F59" s="226"/>
      <x:c r="G59" s="226"/>
      <x:c r="H59" s="226"/>
      <x:c r="I59" s="226"/>
      <x:c r="J59" s="226"/>
      <x:c r="K59" s="226"/>
      <x:c r="L59" s="226"/>
      <x:c r="M59" s="226"/>
      <x:c r="N59" s="226"/>
      <x:c r="O59" s="226"/>
      <x:c r="P59" s="226"/>
      <x:c r="Q59" s="226"/>
      <x:c r="R59" s="226"/>
      <x:c r="S59" s="226"/>
      <x:c r="T59" s="226"/>
      <x:c r="U59" s="226"/>
      <x:c r="V59" s="226"/>
      <x:c r="W59" s="226"/>
      <x:c r="X59" s="226"/>
      <x:c r="Y59" s="226"/>
      <x:c r="Z59" s="226"/>
    </x:row>
    <x:row r="60">
      <x:c r="A60" s="226"/>
      <x:c r="B60" s="226"/>
      <x:c r="C60" s="226"/>
      <x:c r="D60" s="226"/>
      <x:c r="E60" s="226"/>
      <x:c r="F60" s="226"/>
      <x:c r="G60" s="226"/>
      <x:c r="H60" s="226"/>
      <x:c r="I60" s="226"/>
      <x:c r="J60" s="226"/>
      <x:c r="K60" s="226"/>
      <x:c r="L60" s="226"/>
      <x:c r="M60" s="226"/>
      <x:c r="N60" s="226"/>
      <x:c r="O60" s="226"/>
      <x:c r="P60" s="226"/>
      <x:c r="Q60" s="226"/>
      <x:c r="R60" s="226"/>
      <x:c r="S60" s="226"/>
      <x:c r="T60" s="226"/>
      <x:c r="U60" s="226"/>
      <x:c r="V60" s="226"/>
      <x:c r="W60" s="226"/>
      <x:c r="X60" s="226"/>
      <x:c r="Y60" s="226"/>
      <x:c r="Z60" s="226"/>
    </x:row>
    <x:row r="61">
      <x:c r="A61" s="226"/>
      <x:c r="B61" s="226"/>
      <x:c r="C61" s="226"/>
      <x:c r="D61" s="226"/>
      <x:c r="E61" s="226"/>
      <x:c r="F61" s="226"/>
      <x:c r="G61" s="226"/>
      <x:c r="H61" s="226"/>
      <x:c r="I61" s="226"/>
      <x:c r="J61" s="226"/>
      <x:c r="K61" s="226"/>
      <x:c r="L61" s="226"/>
      <x:c r="M61" s="226"/>
      <x:c r="N61" s="226"/>
      <x:c r="O61" s="226"/>
      <x:c r="P61" s="226"/>
      <x:c r="Q61" s="226"/>
      <x:c r="R61" s="226"/>
      <x:c r="S61" s="226"/>
      <x:c r="T61" s="226"/>
      <x:c r="U61" s="226"/>
      <x:c r="V61" s="226"/>
      <x:c r="W61" s="226"/>
      <x:c r="X61" s="226"/>
      <x:c r="Y61" s="226"/>
      <x:c r="Z61" s="226"/>
    </x:row>
    <x:row r="62">
      <x:c r="A62" s="226"/>
      <x:c r="B62" s="226"/>
      <x:c r="C62" s="226"/>
      <x:c r="D62" s="226"/>
      <x:c r="E62" s="226"/>
      <x:c r="F62" s="226"/>
      <x:c r="G62" s="226"/>
      <x:c r="H62" s="226"/>
      <x:c r="I62" s="226"/>
      <x:c r="J62" s="226"/>
      <x:c r="K62" s="226"/>
      <x:c r="L62" s="226"/>
      <x:c r="M62" s="226"/>
      <x:c r="N62" s="226"/>
      <x:c r="O62" s="226"/>
      <x:c r="P62" s="226"/>
      <x:c r="Q62" s="226"/>
      <x:c r="R62" s="226"/>
      <x:c r="S62" s="226"/>
      <x:c r="T62" s="226"/>
      <x:c r="U62" s="226"/>
      <x:c r="V62" s="226"/>
      <x:c r="W62" s="226"/>
      <x:c r="X62" s="226"/>
      <x:c r="Y62" s="226"/>
      <x:c r="Z62" s="226"/>
    </x:row>
    <x:row r="63">
      <x:c r="A63" s="226"/>
      <x:c r="B63" s="226"/>
      <x:c r="C63" s="226"/>
      <x:c r="D63" s="226"/>
      <x:c r="E63" s="226"/>
      <x:c r="F63" s="226"/>
      <x:c r="G63" s="226"/>
      <x:c r="H63" s="226"/>
      <x:c r="I63" s="226"/>
      <x:c r="J63" s="226"/>
      <x:c r="K63" s="226"/>
      <x:c r="L63" s="226"/>
      <x:c r="M63" s="226"/>
      <x:c r="N63" s="226"/>
      <x:c r="O63" s="226"/>
      <x:c r="P63" s="226"/>
      <x:c r="Q63" s="226"/>
      <x:c r="R63" s="226"/>
      <x:c r="S63" s="226"/>
      <x:c r="T63" s="226"/>
      <x:c r="U63" s="226"/>
      <x:c r="V63" s="226"/>
      <x:c r="W63" s="226"/>
      <x:c r="X63" s="226"/>
      <x:c r="Y63" s="226"/>
      <x:c r="Z63" s="226"/>
    </x:row>
    <x:row r="64">
      <x:c r="A64" s="226"/>
      <x:c r="B64" s="226"/>
      <x:c r="C64" s="226"/>
      <x:c r="D64" s="226"/>
      <x:c r="E64" s="226"/>
      <x:c r="F64" s="226"/>
      <x:c r="G64" s="226"/>
      <x:c r="H64" s="226"/>
      <x:c r="I64" s="226"/>
      <x:c r="J64" s="226"/>
      <x:c r="K64" s="226"/>
      <x:c r="L64" s="226"/>
      <x:c r="M64" s="226"/>
      <x:c r="N64" s="226"/>
      <x:c r="O64" s="226"/>
      <x:c r="P64" s="226"/>
      <x:c r="Q64" s="226"/>
      <x:c r="R64" s="226"/>
      <x:c r="S64" s="226"/>
      <x:c r="T64" s="226"/>
      <x:c r="U64" s="226"/>
      <x:c r="V64" s="226"/>
      <x:c r="W64" s="226"/>
      <x:c r="X64" s="226"/>
      <x:c r="Y64" s="226"/>
      <x:c r="Z64" s="226"/>
    </x:row>
    <x:row r="65">
      <x:c r="A65" s="226"/>
      <x:c r="B65" s="226"/>
      <x:c r="C65" s="226"/>
      <x:c r="D65" s="226"/>
      <x:c r="E65" s="226"/>
      <x:c r="F65" s="226"/>
      <x:c r="G65" s="226"/>
      <x:c r="H65" s="226"/>
      <x:c r="I65" s="226"/>
      <x:c r="J65" s="226"/>
      <x:c r="K65" s="226"/>
      <x:c r="L65" s="226"/>
      <x:c r="M65" s="226"/>
      <x:c r="N65" s="226"/>
      <x:c r="O65" s="226"/>
      <x:c r="P65" s="226"/>
      <x:c r="Q65" s="226"/>
      <x:c r="R65" s="226"/>
      <x:c r="S65" s="226"/>
      <x:c r="T65" s="226"/>
      <x:c r="U65" s="226"/>
      <x:c r="V65" s="226"/>
      <x:c r="W65" s="226"/>
      <x:c r="X65" s="226"/>
      <x:c r="Y65" s="226"/>
      <x:c r="Z65" s="226"/>
    </x:row>
    <x:row r="66">
      <x:c r="A66" s="226"/>
      <x:c r="B66" s="226"/>
      <x:c r="C66" s="226"/>
      <x:c r="D66" s="226"/>
      <x:c r="E66" s="226"/>
      <x:c r="F66" s="226"/>
      <x:c r="G66" s="226"/>
      <x:c r="H66" s="226"/>
      <x:c r="I66" s="226"/>
      <x:c r="J66" s="226"/>
      <x:c r="K66" s="226"/>
      <x:c r="L66" s="226"/>
      <x:c r="M66" s="226"/>
      <x:c r="N66" s="226"/>
      <x:c r="O66" s="226"/>
      <x:c r="P66" s="226"/>
      <x:c r="Q66" s="226"/>
      <x:c r="R66" s="226"/>
      <x:c r="S66" s="226"/>
      <x:c r="T66" s="226"/>
      <x:c r="U66" s="226"/>
      <x:c r="V66" s="226"/>
      <x:c r="W66" s="226"/>
      <x:c r="X66" s="226"/>
      <x:c r="Y66" s="226"/>
      <x:c r="Z66" s="226"/>
    </x:row>
    <x:row r="67">
      <x:c r="A67" s="226"/>
      <x:c r="B67" s="226"/>
      <x:c r="C67" s="226"/>
      <x:c r="D67" s="226"/>
      <x:c r="E67" s="226"/>
      <x:c r="F67" s="226"/>
      <x:c r="G67" s="226"/>
      <x:c r="H67" s="226"/>
      <x:c r="I67" s="226"/>
      <x:c r="J67" s="226"/>
      <x:c r="K67" s="226"/>
      <x:c r="L67" s="226"/>
      <x:c r="M67" s="226"/>
      <x:c r="N67" s="226"/>
      <x:c r="O67" s="226"/>
      <x:c r="P67" s="226"/>
      <x:c r="Q67" s="226"/>
      <x:c r="R67" s="226"/>
      <x:c r="S67" s="226"/>
      <x:c r="T67" s="226"/>
      <x:c r="U67" s="226"/>
      <x:c r="V67" s="226"/>
      <x:c r="W67" s="226"/>
      <x:c r="X67" s="226"/>
      <x:c r="Y67" s="226"/>
      <x:c r="Z67" s="226"/>
    </x:row>
    <x:row r="68">
      <x:c r="A68" s="226"/>
      <x:c r="B68" s="226"/>
      <x:c r="C68" s="226"/>
      <x:c r="D68" s="226"/>
      <x:c r="E68" s="226"/>
      <x:c r="F68" s="226"/>
      <x:c r="G68" s="226"/>
      <x:c r="H68" s="226"/>
      <x:c r="I68" s="226"/>
      <x:c r="J68" s="226"/>
      <x:c r="K68" s="226"/>
      <x:c r="L68" s="226"/>
      <x:c r="M68" s="226"/>
      <x:c r="N68" s="226"/>
      <x:c r="O68" s="226"/>
      <x:c r="P68" s="226"/>
      <x:c r="Q68" s="226"/>
      <x:c r="R68" s="226"/>
      <x:c r="S68" s="226"/>
      <x:c r="T68" s="226"/>
      <x:c r="U68" s="226"/>
      <x:c r="V68" s="226"/>
      <x:c r="W68" s="226"/>
      <x:c r="X68" s="226"/>
      <x:c r="Y68" s="226"/>
      <x:c r="Z68" s="226"/>
    </x:row>
    <x:row r="69">
      <x:c r="A69" s="226"/>
      <x:c r="B69" s="226"/>
      <x:c r="C69" s="226"/>
      <x:c r="D69" s="226"/>
      <x:c r="E69" s="226"/>
      <x:c r="F69" s="226"/>
      <x:c r="G69" s="226"/>
      <x:c r="H69" s="226"/>
      <x:c r="I69" s="226"/>
      <x:c r="J69" s="226"/>
      <x:c r="K69" s="226"/>
      <x:c r="L69" s="226"/>
      <x:c r="M69" s="226"/>
      <x:c r="N69" s="226"/>
      <x:c r="O69" s="226"/>
      <x:c r="P69" s="226"/>
      <x:c r="Q69" s="226"/>
      <x:c r="R69" s="226"/>
      <x:c r="S69" s="226"/>
      <x:c r="T69" s="226"/>
      <x:c r="U69" s="226"/>
      <x:c r="V69" s="226"/>
      <x:c r="W69" s="226"/>
      <x:c r="X69" s="226"/>
      <x:c r="Y69" s="226"/>
      <x:c r="Z69" s="226"/>
    </x:row>
    <x:row r="70">
      <x:c r="A70" s="226"/>
      <x:c r="B70" s="226"/>
      <x:c r="C70" s="226"/>
      <x:c r="D70" s="226"/>
      <x:c r="E70" s="226"/>
      <x:c r="F70" s="226"/>
      <x:c r="G70" s="226"/>
      <x:c r="H70" s="226"/>
      <x:c r="I70" s="226"/>
      <x:c r="J70" s="226"/>
      <x:c r="K70" s="226"/>
      <x:c r="L70" s="226"/>
      <x:c r="M70" s="226"/>
      <x:c r="N70" s="226"/>
      <x:c r="O70" s="226"/>
      <x:c r="P70" s="226"/>
      <x:c r="Q70" s="226"/>
      <x:c r="R70" s="226"/>
      <x:c r="S70" s="226"/>
      <x:c r="T70" s="226"/>
      <x:c r="U70" s="226"/>
      <x:c r="V70" s="226"/>
      <x:c r="W70" s="226"/>
      <x:c r="X70" s="226"/>
      <x:c r="Y70" s="226"/>
      <x:c r="Z70" s="226"/>
    </x:row>
    <x:row r="71">
      <x:c r="A71" s="226"/>
      <x:c r="B71" s="226"/>
      <x:c r="C71" s="226"/>
      <x:c r="D71" s="226"/>
      <x:c r="E71" s="226"/>
      <x:c r="F71" s="226"/>
      <x:c r="G71" s="226"/>
      <x:c r="H71" s="226"/>
      <x:c r="I71" s="226"/>
      <x:c r="J71" s="226"/>
      <x:c r="K71" s="226"/>
      <x:c r="L71" s="226"/>
      <x:c r="M71" s="226"/>
      <x:c r="N71" s="226"/>
      <x:c r="O71" s="226"/>
      <x:c r="P71" s="226"/>
      <x:c r="Q71" s="226"/>
      <x:c r="R71" s="226"/>
      <x:c r="S71" s="226"/>
      <x:c r="T71" s="226"/>
      <x:c r="U71" s="226"/>
      <x:c r="V71" s="226"/>
      <x:c r="W71" s="226"/>
      <x:c r="X71" s="226"/>
      <x:c r="Y71" s="226"/>
      <x:c r="Z71" s="226"/>
    </x:row>
    <x:row r="72">
      <x:c r="A72" s="226"/>
      <x:c r="B72" s="226"/>
      <x:c r="C72" s="226"/>
      <x:c r="D72" s="226"/>
      <x:c r="E72" s="226"/>
      <x:c r="F72" s="226"/>
      <x:c r="G72" s="226"/>
      <x:c r="H72" s="226"/>
      <x:c r="I72" s="226"/>
      <x:c r="J72" s="226"/>
      <x:c r="K72" s="226"/>
      <x:c r="L72" s="226"/>
      <x:c r="M72" s="226"/>
      <x:c r="N72" s="226"/>
      <x:c r="O72" s="226"/>
      <x:c r="P72" s="226"/>
      <x:c r="Q72" s="226"/>
      <x:c r="R72" s="226"/>
      <x:c r="S72" s="226"/>
      <x:c r="T72" s="226"/>
      <x:c r="U72" s="226"/>
      <x:c r="V72" s="226"/>
      <x:c r="W72" s="226"/>
      <x:c r="X72" s="226"/>
      <x:c r="Y72" s="226"/>
      <x:c r="Z72" s="226"/>
    </x:row>
    <x:row r="73">
      <x:c r="A73" s="226"/>
      <x:c r="B73" s="226"/>
      <x:c r="C73" s="226"/>
      <x:c r="D73" s="226"/>
      <x:c r="E73" s="226"/>
      <x:c r="F73" s="226"/>
      <x:c r="G73" s="226"/>
      <x:c r="H73" s="226"/>
      <x:c r="I73" s="226"/>
      <x:c r="J73" s="226"/>
      <x:c r="K73" s="226"/>
      <x:c r="L73" s="226"/>
      <x:c r="M73" s="226"/>
      <x:c r="N73" s="226"/>
      <x:c r="O73" s="226"/>
      <x:c r="P73" s="226"/>
      <x:c r="Q73" s="226"/>
      <x:c r="R73" s="226"/>
      <x:c r="S73" s="226"/>
      <x:c r="T73" s="226"/>
      <x:c r="U73" s="226"/>
      <x:c r="V73" s="226"/>
      <x:c r="W73" s="226"/>
      <x:c r="X73" s="226"/>
      <x:c r="Y73" s="226"/>
      <x:c r="Z73" s="226"/>
    </x:row>
    <x:row r="74">
      <x:c r="A74" s="226"/>
      <x:c r="B74" s="226"/>
      <x:c r="C74" s="226"/>
      <x:c r="D74" s="226"/>
      <x:c r="E74" s="226"/>
      <x:c r="F74" s="226"/>
      <x:c r="G74" s="226"/>
      <x:c r="H74" s="226"/>
      <x:c r="I74" s="226"/>
      <x:c r="J74" s="226"/>
      <x:c r="K74" s="226"/>
      <x:c r="L74" s="226"/>
      <x:c r="M74" s="226"/>
      <x:c r="N74" s="226"/>
      <x:c r="O74" s="226"/>
      <x:c r="P74" s="226"/>
      <x:c r="Q74" s="226"/>
      <x:c r="R74" s="226"/>
      <x:c r="S74" s="226"/>
      <x:c r="T74" s="226"/>
      <x:c r="U74" s="226"/>
      <x:c r="V74" s="226"/>
      <x:c r="W74" s="226"/>
      <x:c r="X74" s="226"/>
      <x:c r="Y74" s="226"/>
      <x:c r="Z74" s="226"/>
    </x:row>
    <x:row r="75">
      <x:c r="A75" s="226"/>
      <x:c r="B75" s="226"/>
      <x:c r="C75" s="226"/>
      <x:c r="D75" s="226"/>
      <x:c r="E75" s="226"/>
      <x:c r="F75" s="226"/>
      <x:c r="G75" s="226"/>
      <x:c r="H75" s="226"/>
      <x:c r="I75" s="226"/>
      <x:c r="J75" s="226"/>
      <x:c r="K75" s="226"/>
      <x:c r="L75" s="226"/>
      <x:c r="M75" s="226"/>
      <x:c r="N75" s="226"/>
      <x:c r="O75" s="226"/>
      <x:c r="P75" s="226"/>
      <x:c r="Q75" s="226"/>
      <x:c r="R75" s="226"/>
      <x:c r="S75" s="226"/>
      <x:c r="T75" s="226"/>
      <x:c r="U75" s="226"/>
      <x:c r="V75" s="226"/>
      <x:c r="W75" s="226"/>
      <x:c r="X75" s="226"/>
      <x:c r="Y75" s="226"/>
      <x:c r="Z75" s="226"/>
    </x:row>
    <x:row r="76">
      <x:c r="A76" s="226"/>
      <x:c r="B76" s="226"/>
      <x:c r="C76" s="226"/>
      <x:c r="D76" s="226"/>
      <x:c r="E76" s="226"/>
      <x:c r="F76" s="226"/>
      <x:c r="G76" s="226"/>
      <x:c r="H76" s="226"/>
      <x:c r="I76" s="226"/>
      <x:c r="J76" s="226"/>
      <x:c r="K76" s="226"/>
      <x:c r="L76" s="226"/>
      <x:c r="M76" s="226"/>
      <x:c r="N76" s="226"/>
      <x:c r="O76" s="226"/>
      <x:c r="P76" s="226"/>
      <x:c r="Q76" s="226"/>
      <x:c r="R76" s="226"/>
      <x:c r="S76" s="226"/>
      <x:c r="T76" s="226"/>
      <x:c r="U76" s="226"/>
      <x:c r="V76" s="226"/>
      <x:c r="W76" s="226"/>
      <x:c r="X76" s="226"/>
      <x:c r="Y76" s="226"/>
      <x:c r="Z76" s="226"/>
    </x:row>
    <x:row r="77">
      <x:c r="A77" s="226"/>
      <x:c r="B77" s="226"/>
      <x:c r="C77" s="226"/>
      <x:c r="D77" s="226"/>
      <x:c r="E77" s="226"/>
      <x:c r="F77" s="226"/>
      <x:c r="G77" s="226"/>
      <x:c r="H77" s="226"/>
      <x:c r="I77" s="226"/>
      <x:c r="J77" s="226"/>
      <x:c r="K77" s="226"/>
      <x:c r="L77" s="226"/>
      <x:c r="M77" s="226"/>
      <x:c r="N77" s="226"/>
      <x:c r="O77" s="226"/>
      <x:c r="P77" s="226"/>
      <x:c r="Q77" s="226"/>
      <x:c r="R77" s="226"/>
      <x:c r="S77" s="226"/>
      <x:c r="T77" s="226"/>
      <x:c r="U77" s="226"/>
      <x:c r="V77" s="226"/>
      <x:c r="W77" s="226"/>
      <x:c r="X77" s="226"/>
      <x:c r="Y77" s="226"/>
      <x:c r="Z77" s="226"/>
    </x:row>
    <x:row r="78">
      <x:c r="A78" s="226"/>
      <x:c r="B78" s="226"/>
      <x:c r="C78" s="226"/>
      <x:c r="D78" s="226"/>
      <x:c r="E78" s="226"/>
      <x:c r="F78" s="226"/>
      <x:c r="G78" s="226"/>
      <x:c r="H78" s="226"/>
      <x:c r="I78" s="226"/>
      <x:c r="J78" s="226"/>
      <x:c r="K78" s="226"/>
      <x:c r="L78" s="226"/>
      <x:c r="M78" s="226"/>
      <x:c r="N78" s="226"/>
      <x:c r="O78" s="226"/>
      <x:c r="P78" s="226"/>
      <x:c r="Q78" s="226"/>
      <x:c r="R78" s="226"/>
      <x:c r="S78" s="226"/>
      <x:c r="T78" s="226"/>
      <x:c r="U78" s="226"/>
      <x:c r="V78" s="226"/>
      <x:c r="W78" s="226"/>
      <x:c r="X78" s="226"/>
      <x:c r="Y78" s="226"/>
      <x:c r="Z78" s="226"/>
    </x:row>
    <x:row r="79">
      <x:c r="A79" s="226"/>
      <x:c r="B79" s="226"/>
      <x:c r="C79" s="226"/>
      <x:c r="D79" s="226"/>
      <x:c r="E79" s="226"/>
      <x:c r="F79" s="226"/>
      <x:c r="G79" s="226"/>
      <x:c r="H79" s="226"/>
      <x:c r="I79" s="226"/>
      <x:c r="J79" s="226"/>
      <x:c r="K79" s="226"/>
      <x:c r="L79" s="226"/>
      <x:c r="M79" s="226"/>
      <x:c r="N79" s="226"/>
      <x:c r="O79" s="226"/>
      <x:c r="P79" s="226"/>
      <x:c r="Q79" s="226"/>
      <x:c r="R79" s="226"/>
      <x:c r="S79" s="226"/>
      <x:c r="T79" s="226"/>
      <x:c r="U79" s="226"/>
      <x:c r="V79" s="226"/>
      <x:c r="W79" s="226"/>
      <x:c r="X79" s="226"/>
      <x:c r="Y79" s="226"/>
      <x:c r="Z79" s="226"/>
    </x:row>
    <x:row r="80">
      <x:c r="A80" s="226"/>
      <x:c r="B80" s="226"/>
      <x:c r="C80" s="226"/>
      <x:c r="D80" s="226"/>
      <x:c r="E80" s="226"/>
      <x:c r="F80" s="226"/>
      <x:c r="G80" s="226"/>
      <x:c r="H80" s="226"/>
      <x:c r="I80" s="226"/>
      <x:c r="J80" s="226"/>
      <x:c r="K80" s="226"/>
      <x:c r="L80" s="226"/>
      <x:c r="M80" s="226"/>
      <x:c r="N80" s="226"/>
      <x:c r="O80" s="226"/>
      <x:c r="P80" s="226"/>
      <x:c r="Q80" s="226"/>
      <x:c r="R80" s="226"/>
      <x:c r="S80" s="226"/>
      <x:c r="T80" s="226"/>
      <x:c r="U80" s="226"/>
      <x:c r="V80" s="226"/>
      <x:c r="W80" s="226"/>
      <x:c r="X80" s="226"/>
      <x:c r="Y80" s="226"/>
      <x:c r="Z80" s="226"/>
    </x:row>
    <x:row r="81">
      <x:c r="A81" s="226"/>
      <x:c r="B81" s="226"/>
      <x:c r="C81" s="226"/>
      <x:c r="D81" s="226"/>
      <x:c r="E81" s="226"/>
      <x:c r="F81" s="226"/>
      <x:c r="G81" s="226"/>
      <x:c r="H81" s="226"/>
      <x:c r="I81" s="226"/>
      <x:c r="J81" s="226"/>
      <x:c r="K81" s="226"/>
      <x:c r="L81" s="226"/>
      <x:c r="M81" s="226"/>
      <x:c r="N81" s="226"/>
      <x:c r="O81" s="226"/>
      <x:c r="P81" s="226"/>
      <x:c r="Q81" s="226"/>
      <x:c r="R81" s="226"/>
      <x:c r="S81" s="226"/>
      <x:c r="T81" s="226"/>
      <x:c r="U81" s="226"/>
      <x:c r="V81" s="226"/>
      <x:c r="W81" s="226"/>
      <x:c r="X81" s="226"/>
      <x:c r="Y81" s="226"/>
      <x:c r="Z81" s="226"/>
    </x:row>
    <x:row r="82">
      <x:c r="A82" s="226"/>
      <x:c r="B82" s="226"/>
      <x:c r="C82" s="226"/>
      <x:c r="D82" s="226"/>
      <x:c r="E82" s="226"/>
      <x:c r="F82" s="226"/>
      <x:c r="G82" s="226"/>
      <x:c r="H82" s="226"/>
      <x:c r="I82" s="226"/>
      <x:c r="J82" s="226"/>
      <x:c r="K82" s="226"/>
      <x:c r="L82" s="226"/>
      <x:c r="M82" s="226"/>
      <x:c r="N82" s="226"/>
      <x:c r="O82" s="226"/>
      <x:c r="P82" s="226"/>
      <x:c r="Q82" s="226"/>
      <x:c r="R82" s="226"/>
      <x:c r="S82" s="226"/>
      <x:c r="T82" s="226"/>
      <x:c r="U82" s="226"/>
      <x:c r="V82" s="226"/>
      <x:c r="W82" s="226"/>
      <x:c r="X82" s="226"/>
      <x:c r="Y82" s="226"/>
      <x:c r="Z82" s="226"/>
    </x:row>
    <x:row r="83">
      <x:c r="A83" s="226"/>
      <x:c r="B83" s="226"/>
      <x:c r="C83" s="226"/>
      <x:c r="D83" s="226"/>
      <x:c r="E83" s="226"/>
      <x:c r="F83" s="226"/>
      <x:c r="G83" s="226"/>
      <x:c r="H83" s="226"/>
      <x:c r="I83" s="226"/>
      <x:c r="J83" s="226"/>
      <x:c r="K83" s="226"/>
      <x:c r="L83" s="226"/>
      <x:c r="M83" s="226"/>
      <x:c r="N83" s="226"/>
      <x:c r="O83" s="226"/>
      <x:c r="P83" s="226"/>
      <x:c r="Q83" s="226"/>
      <x:c r="R83" s="226"/>
      <x:c r="S83" s="226"/>
      <x:c r="T83" s="226"/>
      <x:c r="U83" s="226"/>
      <x:c r="V83" s="226"/>
      <x:c r="W83" s="226"/>
      <x:c r="X83" s="226"/>
      <x:c r="Y83" s="226"/>
      <x:c r="Z83" s="226"/>
    </x:row>
    <x:row r="84">
      <x:c r="A84" s="226"/>
      <x:c r="B84" s="226"/>
      <x:c r="C84" s="226"/>
      <x:c r="D84" s="226"/>
      <x:c r="E84" s="226"/>
      <x:c r="F84" s="226"/>
      <x:c r="G84" s="226"/>
      <x:c r="H84" s="226"/>
      <x:c r="I84" s="226"/>
      <x:c r="J84" s="226"/>
      <x:c r="K84" s="226"/>
      <x:c r="L84" s="226"/>
      <x:c r="M84" s="226"/>
      <x:c r="N84" s="226"/>
      <x:c r="O84" s="226"/>
      <x:c r="P84" s="226"/>
      <x:c r="Q84" s="226"/>
      <x:c r="R84" s="226"/>
      <x:c r="S84" s="226"/>
      <x:c r="T84" s="226"/>
      <x:c r="U84" s="226"/>
      <x:c r="V84" s="226"/>
      <x:c r="W84" s="226"/>
      <x:c r="X84" s="226"/>
      <x:c r="Y84" s="226"/>
      <x:c r="Z84" s="226"/>
    </x:row>
    <x:row r="85">
      <x:c r="A85" s="226"/>
      <x:c r="B85" s="226"/>
      <x:c r="C85" s="226"/>
      <x:c r="D85" s="226"/>
      <x:c r="E85" s="226"/>
      <x:c r="F85" s="226"/>
      <x:c r="G85" s="226"/>
      <x:c r="H85" s="226"/>
      <x:c r="I85" s="226"/>
      <x:c r="J85" s="226"/>
      <x:c r="K85" s="226"/>
      <x:c r="L85" s="226"/>
      <x:c r="M85" s="226"/>
      <x:c r="N85" s="226"/>
      <x:c r="O85" s="226"/>
      <x:c r="P85" s="226"/>
      <x:c r="Q85" s="226"/>
      <x:c r="R85" s="226"/>
      <x:c r="S85" s="226"/>
      <x:c r="T85" s="226"/>
      <x:c r="U85" s="226"/>
      <x:c r="V85" s="226"/>
      <x:c r="W85" s="226"/>
      <x:c r="X85" s="226"/>
      <x:c r="Y85" s="226"/>
      <x:c r="Z85" s="226"/>
    </x:row>
    <x:row r="86">
      <x:c r="A86" s="226"/>
      <x:c r="B86" s="226"/>
      <x:c r="C86" s="226"/>
      <x:c r="D86" s="226"/>
      <x:c r="E86" s="226"/>
      <x:c r="F86" s="226"/>
      <x:c r="G86" s="226"/>
      <x:c r="H86" s="226"/>
      <x:c r="I86" s="226"/>
      <x:c r="J86" s="226"/>
      <x:c r="K86" s="226"/>
      <x:c r="L86" s="226"/>
      <x:c r="M86" s="226"/>
      <x:c r="N86" s="226"/>
      <x:c r="O86" s="226"/>
      <x:c r="P86" s="226"/>
      <x:c r="Q86" s="226"/>
      <x:c r="R86" s="226"/>
      <x:c r="S86" s="226"/>
      <x:c r="T86" s="226"/>
      <x:c r="U86" s="226"/>
      <x:c r="V86" s="226"/>
      <x:c r="W86" s="226"/>
      <x:c r="X86" s="226"/>
      <x:c r="Y86" s="226"/>
      <x:c r="Z86" s="226"/>
    </x:row>
    <x:row r="87">
      <x:c r="A87" s="226"/>
      <x:c r="B87" s="226"/>
      <x:c r="C87" s="226"/>
      <x:c r="D87" s="226"/>
      <x:c r="E87" s="226"/>
      <x:c r="F87" s="226"/>
      <x:c r="G87" s="226"/>
      <x:c r="H87" s="226"/>
      <x:c r="I87" s="226"/>
      <x:c r="J87" s="226"/>
      <x:c r="K87" s="226"/>
      <x:c r="L87" s="226"/>
      <x:c r="M87" s="226"/>
      <x:c r="N87" s="226"/>
      <x:c r="O87" s="226"/>
      <x:c r="P87" s="226"/>
      <x:c r="Q87" s="226"/>
      <x:c r="R87" s="226"/>
      <x:c r="S87" s="226"/>
      <x:c r="T87" s="226"/>
      <x:c r="U87" s="226"/>
      <x:c r="V87" s="226"/>
      <x:c r="W87" s="226"/>
      <x:c r="X87" s="226"/>
      <x:c r="Y87" s="226"/>
      <x:c r="Z87" s="226"/>
    </x:row>
    <x:row r="88">
      <x:c r="A88" s="226"/>
      <x:c r="B88" s="226"/>
      <x:c r="C88" s="226"/>
      <x:c r="D88" s="226"/>
      <x:c r="E88" s="226"/>
      <x:c r="F88" s="226"/>
      <x:c r="G88" s="226"/>
      <x:c r="H88" s="226"/>
      <x:c r="I88" s="226"/>
      <x:c r="J88" s="226"/>
      <x:c r="K88" s="226"/>
      <x:c r="L88" s="226"/>
      <x:c r="M88" s="226"/>
      <x:c r="N88" s="226"/>
      <x:c r="O88" s="226"/>
      <x:c r="P88" s="226"/>
      <x:c r="Q88" s="226"/>
      <x:c r="R88" s="226"/>
      <x:c r="S88" s="226"/>
      <x:c r="T88" s="226"/>
      <x:c r="U88" s="226"/>
      <x:c r="V88" s="226"/>
      <x:c r="W88" s="226"/>
      <x:c r="X88" s="226"/>
      <x:c r="Y88" s="226"/>
      <x:c r="Z88" s="226"/>
    </x:row>
    <x:row r="89">
      <x:c r="A89" s="226"/>
      <x:c r="B89" s="226"/>
      <x:c r="C89" s="226"/>
      <x:c r="D89" s="226"/>
      <x:c r="E89" s="226"/>
      <x:c r="F89" s="226"/>
      <x:c r="G89" s="226"/>
      <x:c r="H89" s="226"/>
      <x:c r="I89" s="226"/>
      <x:c r="J89" s="226"/>
      <x:c r="K89" s="226"/>
      <x:c r="L89" s="226"/>
      <x:c r="M89" s="226"/>
      <x:c r="N89" s="226"/>
      <x:c r="O89" s="226"/>
      <x:c r="P89" s="226"/>
      <x:c r="Q89" s="226"/>
      <x:c r="R89" s="226"/>
      <x:c r="S89" s="226"/>
      <x:c r="T89" s="226"/>
      <x:c r="U89" s="226"/>
      <x:c r="V89" s="226"/>
      <x:c r="W89" s="226"/>
      <x:c r="X89" s="226"/>
      <x:c r="Y89" s="226"/>
      <x:c r="Z89" s="226"/>
    </x:row>
    <x:row r="90">
      <x:c r="A90" s="226"/>
      <x:c r="B90" s="226"/>
      <x:c r="C90" s="226"/>
      <x:c r="D90" s="226"/>
      <x:c r="E90" s="226"/>
      <x:c r="F90" s="226"/>
      <x:c r="G90" s="226"/>
      <x:c r="H90" s="226"/>
      <x:c r="I90" s="226"/>
      <x:c r="J90" s="226"/>
      <x:c r="K90" s="226"/>
      <x:c r="L90" s="226"/>
      <x:c r="M90" s="226"/>
      <x:c r="N90" s="226"/>
      <x:c r="O90" s="226"/>
      <x:c r="P90" s="226"/>
      <x:c r="Q90" s="226"/>
      <x:c r="R90" s="226"/>
      <x:c r="S90" s="226"/>
      <x:c r="T90" s="226"/>
      <x:c r="U90" s="226"/>
      <x:c r="V90" s="226"/>
      <x:c r="W90" s="226"/>
      <x:c r="X90" s="226"/>
      <x:c r="Y90" s="226"/>
      <x:c r="Z90" s="226"/>
    </x:row>
    <x:row r="91">
      <x:c r="A91" s="226"/>
      <x:c r="B91" s="226"/>
      <x:c r="C91" s="226"/>
      <x:c r="D91" s="226"/>
      <x:c r="E91" s="226"/>
      <x:c r="F91" s="226"/>
      <x:c r="G91" s="226"/>
      <x:c r="H91" s="226"/>
      <x:c r="I91" s="226"/>
      <x:c r="J91" s="226"/>
      <x:c r="K91" s="226"/>
      <x:c r="L91" s="226"/>
      <x:c r="M91" s="226"/>
      <x:c r="N91" s="226"/>
      <x:c r="O91" s="226"/>
      <x:c r="P91" s="226"/>
      <x:c r="Q91" s="226"/>
      <x:c r="R91" s="226"/>
      <x:c r="S91" s="226"/>
      <x:c r="T91" s="226"/>
      <x:c r="U91" s="226"/>
      <x:c r="V91" s="226"/>
      <x:c r="W91" s="226"/>
      <x:c r="X91" s="226"/>
      <x:c r="Y91" s="226"/>
      <x:c r="Z91" s="226"/>
    </x:row>
    <x:row r="92">
      <x:c r="A92" s="226"/>
      <x:c r="B92" s="226"/>
      <x:c r="C92" s="226"/>
      <x:c r="D92" s="226"/>
      <x:c r="E92" s="226"/>
      <x:c r="F92" s="226"/>
      <x:c r="G92" s="226"/>
      <x:c r="H92" s="226"/>
      <x:c r="I92" s="226"/>
      <x:c r="J92" s="226"/>
      <x:c r="K92" s="226"/>
      <x:c r="L92" s="226"/>
      <x:c r="M92" s="226"/>
      <x:c r="N92" s="226"/>
      <x:c r="O92" s="226"/>
      <x:c r="P92" s="226"/>
      <x:c r="Q92" s="226"/>
      <x:c r="R92" s="226"/>
      <x:c r="S92" s="226"/>
      <x:c r="T92" s="226"/>
      <x:c r="U92" s="226"/>
      <x:c r="V92" s="226"/>
      <x:c r="W92" s="226"/>
      <x:c r="X92" s="226"/>
      <x:c r="Y92" s="226"/>
      <x:c r="Z92" s="226"/>
    </x:row>
    <x:row r="93">
      <x:c r="A93" s="226"/>
      <x:c r="B93" s="226"/>
      <x:c r="C93" s="226"/>
      <x:c r="D93" s="226"/>
      <x:c r="E93" s="226"/>
      <x:c r="F93" s="226"/>
      <x:c r="G93" s="226"/>
      <x:c r="H93" s="226"/>
      <x:c r="I93" s="226"/>
      <x:c r="J93" s="226"/>
      <x:c r="K93" s="226"/>
      <x:c r="L93" s="226"/>
      <x:c r="M93" s="226"/>
      <x:c r="N93" s="226"/>
      <x:c r="O93" s="226"/>
      <x:c r="P93" s="226"/>
      <x:c r="Q93" s="226"/>
      <x:c r="R93" s="226"/>
      <x:c r="S93" s="226"/>
      <x:c r="T93" s="226"/>
      <x:c r="U93" s="226"/>
      <x:c r="V93" s="226"/>
      <x:c r="W93" s="226"/>
      <x:c r="X93" s="226"/>
      <x:c r="Y93" s="226"/>
      <x:c r="Z93" s="226"/>
    </x:row>
    <x:row r="94">
      <x:c r="A94" s="226"/>
      <x:c r="B94" s="226"/>
      <x:c r="C94" s="226"/>
      <x:c r="D94" s="226"/>
      <x:c r="E94" s="226"/>
      <x:c r="F94" s="226"/>
      <x:c r="G94" s="226"/>
      <x:c r="H94" s="226"/>
      <x:c r="I94" s="226"/>
      <x:c r="J94" s="226"/>
      <x:c r="K94" s="226"/>
      <x:c r="L94" s="226"/>
      <x:c r="M94" s="226"/>
      <x:c r="N94" s="226"/>
      <x:c r="O94" s="226"/>
      <x:c r="P94" s="226"/>
      <x:c r="Q94" s="226"/>
      <x:c r="R94" s="226"/>
      <x:c r="S94" s="226"/>
      <x:c r="T94" s="226"/>
      <x:c r="U94" s="226"/>
      <x:c r="V94" s="226"/>
      <x:c r="W94" s="226"/>
      <x:c r="X94" s="226"/>
      <x:c r="Y94" s="226"/>
      <x:c r="Z94" s="226"/>
    </x:row>
    <x:row r="95">
      <x:c r="A95" s="226"/>
      <x:c r="B95" s="226"/>
      <x:c r="C95" s="226"/>
      <x:c r="D95" s="226"/>
      <x:c r="E95" s="226"/>
      <x:c r="F95" s="226"/>
      <x:c r="G95" s="226"/>
      <x:c r="H95" s="226"/>
      <x:c r="I95" s="226"/>
      <x:c r="J95" s="226"/>
      <x:c r="K95" s="226"/>
      <x:c r="L95" s="226"/>
      <x:c r="M95" s="226"/>
      <x:c r="N95" s="226"/>
      <x:c r="O95" s="226"/>
      <x:c r="P95" s="226"/>
      <x:c r="Q95" s="226"/>
      <x:c r="R95" s="226"/>
      <x:c r="S95" s="226"/>
      <x:c r="T95" s="226"/>
      <x:c r="U95" s="226"/>
      <x:c r="V95" s="226"/>
      <x:c r="W95" s="226"/>
      <x:c r="X95" s="226"/>
      <x:c r="Y95" s="226"/>
      <x:c r="Z95" s="226"/>
    </x:row>
    <x:row r="96">
      <x:c r="A96" s="226"/>
      <x:c r="B96" s="226"/>
      <x:c r="C96" s="226"/>
      <x:c r="D96" s="226"/>
      <x:c r="E96" s="226"/>
      <x:c r="F96" s="226"/>
      <x:c r="G96" s="226"/>
      <x:c r="H96" s="226"/>
      <x:c r="I96" s="226"/>
      <x:c r="J96" s="226"/>
      <x:c r="K96" s="226"/>
      <x:c r="L96" s="226"/>
      <x:c r="M96" s="226"/>
      <x:c r="N96" s="226"/>
      <x:c r="O96" s="226"/>
      <x:c r="P96" s="226"/>
      <x:c r="Q96" s="226"/>
      <x:c r="R96" s="226"/>
      <x:c r="S96" s="226"/>
      <x:c r="T96" s="226"/>
      <x:c r="U96" s="226"/>
      <x:c r="V96" s="226"/>
      <x:c r="W96" s="226"/>
      <x:c r="X96" s="226"/>
      <x:c r="Y96" s="226"/>
      <x:c r="Z96" s="226"/>
    </x:row>
    <x:row r="97">
      <x:c r="A97" s="226"/>
      <x:c r="B97" s="226"/>
      <x:c r="C97" s="226"/>
      <x:c r="D97" s="226"/>
      <x:c r="E97" s="226"/>
      <x:c r="F97" s="226"/>
      <x:c r="G97" s="226"/>
      <x:c r="H97" s="226"/>
      <x:c r="I97" s="226"/>
      <x:c r="J97" s="226"/>
      <x:c r="K97" s="226"/>
      <x:c r="L97" s="226"/>
      <x:c r="M97" s="226"/>
      <x:c r="N97" s="226"/>
      <x:c r="O97" s="226"/>
      <x:c r="P97" s="226"/>
      <x:c r="Q97" s="226"/>
      <x:c r="R97" s="226"/>
      <x:c r="S97" s="226"/>
      <x:c r="T97" s="226"/>
      <x:c r="U97" s="226"/>
      <x:c r="V97" s="226"/>
      <x:c r="W97" s="226"/>
      <x:c r="X97" s="226"/>
      <x:c r="Y97" s="226"/>
      <x:c r="Z97" s="226"/>
    </x:row>
    <x:row r="98">
      <x:c r="A98" s="226"/>
      <x:c r="B98" s="226"/>
      <x:c r="C98" s="226"/>
      <x:c r="D98" s="226"/>
      <x:c r="E98" s="226"/>
      <x:c r="F98" s="226"/>
      <x:c r="G98" s="226"/>
      <x:c r="H98" s="226"/>
      <x:c r="I98" s="226"/>
      <x:c r="J98" s="226"/>
      <x:c r="K98" s="226"/>
      <x:c r="L98" s="226"/>
      <x:c r="M98" s="226"/>
      <x:c r="N98" s="226"/>
      <x:c r="O98" s="226"/>
      <x:c r="P98" s="226"/>
      <x:c r="Q98" s="226"/>
      <x:c r="R98" s="226"/>
      <x:c r="S98" s="226"/>
      <x:c r="T98" s="226"/>
      <x:c r="U98" s="226"/>
      <x:c r="V98" s="226"/>
      <x:c r="W98" s="226"/>
      <x:c r="X98" s="226"/>
      <x:c r="Y98" s="226"/>
      <x:c r="Z98" s="226"/>
    </x:row>
    <x:row r="99">
      <x:c r="A99" s="226"/>
      <x:c r="B99" s="226"/>
      <x:c r="C99" s="226"/>
      <x:c r="D99" s="226"/>
      <x:c r="E99" s="226"/>
      <x:c r="F99" s="226"/>
      <x:c r="G99" s="226"/>
      <x:c r="H99" s="226"/>
      <x:c r="I99" s="226"/>
      <x:c r="J99" s="226"/>
      <x:c r="K99" s="226"/>
      <x:c r="L99" s="226"/>
      <x:c r="M99" s="226"/>
      <x:c r="N99" s="226"/>
      <x:c r="O99" s="226"/>
      <x:c r="P99" s="226"/>
      <x:c r="Q99" s="226"/>
      <x:c r="R99" s="226"/>
      <x:c r="S99" s="226"/>
      <x:c r="T99" s="226"/>
      <x:c r="U99" s="226"/>
      <x:c r="V99" s="226"/>
      <x:c r="W99" s="226"/>
      <x:c r="X99" s="226"/>
      <x:c r="Y99" s="226"/>
      <x:c r="Z99" s="226"/>
    </x:row>
    <x:row r="100">
      <x:c r="A100" s="226"/>
      <x:c r="B100" s="226"/>
      <x:c r="C100" s="226"/>
      <x:c r="D100" s="226"/>
      <x:c r="E100" s="226"/>
      <x:c r="F100" s="226"/>
      <x:c r="G100" s="226"/>
      <x:c r="H100" s="226"/>
      <x:c r="I100" s="226"/>
      <x:c r="J100" s="226"/>
      <x:c r="K100" s="226"/>
      <x:c r="L100" s="226"/>
      <x:c r="M100" s="226"/>
      <x:c r="N100" s="226"/>
      <x:c r="O100" s="226"/>
      <x:c r="P100" s="226"/>
      <x:c r="Q100" s="226"/>
      <x:c r="R100" s="226"/>
      <x:c r="S100" s="226"/>
      <x:c r="T100" s="226"/>
      <x:c r="U100" s="226"/>
      <x:c r="V100" s="226"/>
      <x:c r="W100" s="226"/>
      <x:c r="X100" s="226"/>
      <x:c r="Y100" s="226"/>
      <x:c r="Z100" s="226"/>
    </x:row>
    <x:row r="101">
      <x:c r="A101" s="226"/>
      <x:c r="B101" s="226"/>
      <x:c r="C101" s="226"/>
      <x:c r="D101" s="226"/>
      <x:c r="E101" s="226"/>
      <x:c r="F101" s="226"/>
      <x:c r="G101" s="226"/>
      <x:c r="H101" s="226"/>
      <x:c r="I101" s="226"/>
      <x:c r="J101" s="226"/>
      <x:c r="K101" s="226"/>
      <x:c r="L101" s="226"/>
      <x:c r="M101" s="226"/>
      <x:c r="N101" s="226"/>
      <x:c r="O101" s="226"/>
      <x:c r="P101" s="226"/>
      <x:c r="Q101" s="226"/>
      <x:c r="R101" s="226"/>
      <x:c r="S101" s="226"/>
      <x:c r="T101" s="226"/>
      <x:c r="U101" s="226"/>
      <x:c r="V101" s="226"/>
      <x:c r="W101" s="226"/>
      <x:c r="X101" s="226"/>
      <x:c r="Y101" s="226"/>
      <x:c r="Z101" s="226"/>
    </x:row>
    <x:row r="102">
      <x:c r="A102" s="226"/>
      <x:c r="B102" s="226"/>
      <x:c r="C102" s="226"/>
      <x:c r="D102" s="226"/>
      <x:c r="E102" s="226"/>
      <x:c r="F102" s="226"/>
      <x:c r="G102" s="226"/>
      <x:c r="H102" s="226"/>
      <x:c r="I102" s="226"/>
      <x:c r="J102" s="226"/>
      <x:c r="K102" s="226"/>
      <x:c r="L102" s="226"/>
      <x:c r="M102" s="226"/>
      <x:c r="N102" s="226"/>
      <x:c r="O102" s="226"/>
      <x:c r="P102" s="226"/>
      <x:c r="Q102" s="226"/>
      <x:c r="R102" s="226"/>
      <x:c r="S102" s="226"/>
      <x:c r="T102" s="226"/>
      <x:c r="U102" s="226"/>
      <x:c r="V102" s="226"/>
      <x:c r="W102" s="226"/>
      <x:c r="X102" s="226"/>
      <x:c r="Y102" s="226"/>
      <x:c r="Z102" s="226"/>
    </x:row>
    <x:row r="103">
      <x:c r="A103" s="226"/>
      <x:c r="B103" s="226"/>
      <x:c r="C103" s="226"/>
      <x:c r="D103" s="226"/>
      <x:c r="E103" s="226"/>
      <x:c r="F103" s="226"/>
      <x:c r="G103" s="226"/>
      <x:c r="H103" s="226"/>
      <x:c r="I103" s="226"/>
      <x:c r="J103" s="226"/>
      <x:c r="K103" s="226"/>
      <x:c r="L103" s="226"/>
      <x:c r="M103" s="226"/>
      <x:c r="N103" s="226"/>
      <x:c r="O103" s="226"/>
      <x:c r="P103" s="226"/>
      <x:c r="Q103" s="226"/>
      <x:c r="R103" s="226"/>
      <x:c r="S103" s="226"/>
      <x:c r="T103" s="226"/>
      <x:c r="U103" s="226"/>
      <x:c r="V103" s="226"/>
      <x:c r="W103" s="226"/>
      <x:c r="X103" s="226"/>
      <x:c r="Y103" s="226"/>
      <x:c r="Z103" s="226"/>
    </x:row>
    <x:row r="104">
      <x:c r="A104" s="226"/>
      <x:c r="B104" s="226"/>
      <x:c r="C104" s="226"/>
      <x:c r="D104" s="226"/>
      <x:c r="E104" s="226"/>
      <x:c r="F104" s="226"/>
      <x:c r="G104" s="226"/>
      <x:c r="H104" s="226"/>
      <x:c r="I104" s="226"/>
      <x:c r="J104" s="226"/>
      <x:c r="K104" s="226"/>
      <x:c r="L104" s="226"/>
      <x:c r="M104" s="226"/>
      <x:c r="N104" s="226"/>
      <x:c r="O104" s="226"/>
      <x:c r="P104" s="226"/>
      <x:c r="Q104" s="226"/>
      <x:c r="R104" s="226"/>
      <x:c r="S104" s="226"/>
      <x:c r="T104" s="226"/>
      <x:c r="U104" s="226"/>
      <x:c r="V104" s="226"/>
      <x:c r="W104" s="226"/>
      <x:c r="X104" s="226"/>
      <x:c r="Y104" s="226"/>
      <x:c r="Z104" s="226"/>
    </x:row>
    <x:row r="105">
      <x:c r="A105" s="226"/>
      <x:c r="B105" s="226"/>
      <x:c r="C105" s="226"/>
      <x:c r="D105" s="226"/>
      <x:c r="E105" s="226"/>
      <x:c r="F105" s="226"/>
      <x:c r="G105" s="226"/>
      <x:c r="H105" s="226"/>
      <x:c r="I105" s="226"/>
      <x:c r="J105" s="226"/>
      <x:c r="K105" s="226"/>
      <x:c r="L105" s="226"/>
      <x:c r="M105" s="226"/>
      <x:c r="N105" s="226"/>
      <x:c r="O105" s="226"/>
      <x:c r="P105" s="226"/>
      <x:c r="Q105" s="226"/>
      <x:c r="R105" s="226"/>
      <x:c r="S105" s="226"/>
      <x:c r="T105" s="226"/>
      <x:c r="U105" s="226"/>
      <x:c r="V105" s="226"/>
      <x:c r="W105" s="226"/>
      <x:c r="X105" s="226"/>
      <x:c r="Y105" s="226"/>
      <x:c r="Z105" s="226"/>
    </x:row>
    <x:row r="106">
      <x:c r="A106" s="226"/>
      <x:c r="B106" s="226"/>
      <x:c r="C106" s="226"/>
      <x:c r="D106" s="226"/>
      <x:c r="E106" s="226"/>
      <x:c r="F106" s="226"/>
      <x:c r="G106" s="226"/>
      <x:c r="H106" s="226"/>
      <x:c r="I106" s="226"/>
      <x:c r="J106" s="226"/>
      <x:c r="K106" s="226"/>
      <x:c r="L106" s="226"/>
      <x:c r="M106" s="226"/>
      <x:c r="N106" s="226"/>
      <x:c r="O106" s="226"/>
      <x:c r="P106" s="226"/>
      <x:c r="Q106" s="226"/>
      <x:c r="R106" s="226"/>
      <x:c r="S106" s="226"/>
      <x:c r="T106" s="226"/>
      <x:c r="U106" s="226"/>
      <x:c r="V106" s="226"/>
      <x:c r="W106" s="226"/>
      <x:c r="X106" s="226"/>
      <x:c r="Y106" s="226"/>
      <x:c r="Z106" s="226"/>
    </x:row>
    <x:row r="107">
      <x:c r="A107" s="226"/>
      <x:c r="B107" s="226"/>
      <x:c r="C107" s="226"/>
      <x:c r="D107" s="226"/>
      <x:c r="E107" s="226"/>
      <x:c r="F107" s="226"/>
      <x:c r="G107" s="226"/>
      <x:c r="H107" s="226"/>
      <x:c r="I107" s="226"/>
      <x:c r="J107" s="226"/>
      <x:c r="K107" s="226"/>
      <x:c r="L107" s="226"/>
      <x:c r="M107" s="226"/>
      <x:c r="N107" s="226"/>
      <x:c r="O107" s="226"/>
      <x:c r="P107" s="226"/>
      <x:c r="Q107" s="226"/>
      <x:c r="R107" s="226"/>
      <x:c r="S107" s="226"/>
      <x:c r="T107" s="226"/>
      <x:c r="U107" s="226"/>
      <x:c r="V107" s="226"/>
      <x:c r="W107" s="226"/>
      <x:c r="X107" s="226"/>
      <x:c r="Y107" s="226"/>
      <x:c r="Z107" s="226"/>
    </x:row>
    <x:row r="108">
      <x:c r="A108" s="226"/>
      <x:c r="B108" s="226"/>
      <x:c r="C108" s="226"/>
      <x:c r="D108" s="226"/>
      <x:c r="E108" s="226"/>
      <x:c r="F108" s="226"/>
      <x:c r="G108" s="226"/>
      <x:c r="H108" s="226"/>
      <x:c r="I108" s="226"/>
      <x:c r="J108" s="226"/>
      <x:c r="K108" s="226"/>
      <x:c r="L108" s="226"/>
      <x:c r="M108" s="226"/>
      <x:c r="N108" s="226"/>
      <x:c r="O108" s="226"/>
      <x:c r="P108" s="226"/>
      <x:c r="Q108" s="226"/>
      <x:c r="R108" s="226"/>
      <x:c r="S108" s="226"/>
      <x:c r="T108" s="226"/>
      <x:c r="U108" s="226"/>
      <x:c r="V108" s="226"/>
      <x:c r="W108" s="226"/>
      <x:c r="X108" s="226"/>
      <x:c r="Y108" s="226"/>
      <x:c r="Z108" s="226"/>
    </x:row>
    <x:row r="109">
      <x:c r="A109" s="226"/>
      <x:c r="B109" s="226"/>
      <x:c r="C109" s="226"/>
      <x:c r="D109" s="226"/>
      <x:c r="E109" s="226"/>
      <x:c r="F109" s="226"/>
      <x:c r="G109" s="226"/>
      <x:c r="H109" s="226"/>
      <x:c r="I109" s="226"/>
      <x:c r="J109" s="226"/>
      <x:c r="K109" s="226"/>
      <x:c r="L109" s="226"/>
      <x:c r="M109" s="226"/>
      <x:c r="N109" s="226"/>
      <x:c r="O109" s="226"/>
      <x:c r="P109" s="226"/>
      <x:c r="Q109" s="226"/>
      <x:c r="R109" s="226"/>
      <x:c r="S109" s="226"/>
      <x:c r="T109" s="226"/>
      <x:c r="U109" s="226"/>
      <x:c r="V109" s="226"/>
      <x:c r="W109" s="226"/>
      <x:c r="X109" s="226"/>
      <x:c r="Y109" s="226"/>
      <x:c r="Z109" s="226"/>
    </x:row>
    <x:row r="110">
      <x:c r="A110" s="226"/>
      <x:c r="B110" s="226"/>
      <x:c r="C110" s="226"/>
      <x:c r="D110" s="226"/>
      <x:c r="E110" s="226"/>
      <x:c r="F110" s="226"/>
      <x:c r="G110" s="226"/>
      <x:c r="H110" s="226"/>
      <x:c r="I110" s="226"/>
      <x:c r="J110" s="226"/>
      <x:c r="K110" s="226"/>
      <x:c r="L110" s="226"/>
      <x:c r="M110" s="226"/>
      <x:c r="N110" s="226"/>
      <x:c r="O110" s="226"/>
      <x:c r="P110" s="226"/>
      <x:c r="Q110" s="226"/>
      <x:c r="R110" s="226"/>
      <x:c r="S110" s="226"/>
      <x:c r="T110" s="226"/>
      <x:c r="U110" s="226"/>
      <x:c r="V110" s="226"/>
      <x:c r="W110" s="226"/>
      <x:c r="X110" s="226"/>
      <x:c r="Y110" s="226"/>
      <x:c r="Z110" s="226"/>
    </x:row>
    <x:row r="111">
      <x:c r="A111" s="226"/>
      <x:c r="B111" s="226"/>
      <x:c r="C111" s="226"/>
      <x:c r="D111" s="226"/>
      <x:c r="E111" s="226"/>
      <x:c r="F111" s="226"/>
      <x:c r="G111" s="226"/>
      <x:c r="H111" s="226"/>
      <x:c r="I111" s="226"/>
      <x:c r="J111" s="226"/>
      <x:c r="K111" s="226"/>
      <x:c r="L111" s="226"/>
      <x:c r="M111" s="226"/>
      <x:c r="N111" s="226"/>
      <x:c r="O111" s="226"/>
      <x:c r="P111" s="226"/>
      <x:c r="Q111" s="226"/>
      <x:c r="R111" s="226"/>
      <x:c r="S111" s="226"/>
      <x:c r="T111" s="226"/>
      <x:c r="U111" s="226"/>
      <x:c r="V111" s="226"/>
      <x:c r="W111" s="226"/>
      <x:c r="X111" s="226"/>
      <x:c r="Y111" s="226"/>
      <x:c r="Z111" s="226"/>
    </x:row>
    <x:row r="112">
      <x:c r="A112" s="226"/>
      <x:c r="B112" s="226"/>
      <x:c r="C112" s="226"/>
      <x:c r="D112" s="226"/>
      <x:c r="E112" s="226"/>
      <x:c r="F112" s="226"/>
      <x:c r="G112" s="226"/>
      <x:c r="H112" s="226"/>
      <x:c r="I112" s="226"/>
      <x:c r="J112" s="226"/>
      <x:c r="K112" s="226"/>
      <x:c r="L112" s="226"/>
      <x:c r="M112" s="226"/>
      <x:c r="N112" s="226"/>
      <x:c r="O112" s="226"/>
      <x:c r="P112" s="226"/>
      <x:c r="Q112" s="226"/>
      <x:c r="R112" s="226"/>
      <x:c r="S112" s="226"/>
      <x:c r="T112" s="226"/>
      <x:c r="U112" s="226"/>
      <x:c r="V112" s="226"/>
      <x:c r="W112" s="226"/>
      <x:c r="X112" s="226"/>
      <x:c r="Y112" s="226"/>
      <x:c r="Z112" s="226"/>
    </x:row>
    <x:row r="113">
      <x:c r="A113" s="226"/>
      <x:c r="B113" s="226"/>
      <x:c r="C113" s="226"/>
      <x:c r="D113" s="226"/>
      <x:c r="E113" s="226"/>
      <x:c r="F113" s="226"/>
      <x:c r="G113" s="226"/>
      <x:c r="H113" s="226"/>
      <x:c r="I113" s="226"/>
      <x:c r="J113" s="226"/>
      <x:c r="K113" s="226"/>
      <x:c r="L113" s="226"/>
      <x:c r="M113" s="226"/>
      <x:c r="N113" s="226"/>
      <x:c r="O113" s="226"/>
      <x:c r="P113" s="226"/>
      <x:c r="Q113" s="226"/>
      <x:c r="R113" s="226"/>
      <x:c r="S113" s="226"/>
      <x:c r="T113" s="226"/>
      <x:c r="U113" s="226"/>
      <x:c r="V113" s="226"/>
      <x:c r="W113" s="226"/>
      <x:c r="X113" s="226"/>
      <x:c r="Y113" s="226"/>
      <x:c r="Z113" s="226"/>
    </x:row>
    <x:row r="114">
      <x:c r="A114" s="226"/>
      <x:c r="B114" s="226"/>
      <x:c r="C114" s="226"/>
      <x:c r="D114" s="226"/>
      <x:c r="E114" s="226"/>
      <x:c r="F114" s="226"/>
      <x:c r="G114" s="226"/>
      <x:c r="H114" s="226"/>
      <x:c r="I114" s="226"/>
      <x:c r="J114" s="226"/>
      <x:c r="K114" s="226"/>
      <x:c r="L114" s="226"/>
      <x:c r="M114" s="226"/>
      <x:c r="N114" s="226"/>
      <x:c r="O114" s="226"/>
      <x:c r="P114" s="226"/>
      <x:c r="Q114" s="226"/>
      <x:c r="R114" s="226"/>
      <x:c r="S114" s="226"/>
      <x:c r="T114" s="226"/>
      <x:c r="U114" s="226"/>
      <x:c r="V114" s="226"/>
      <x:c r="W114" s="226"/>
      <x:c r="X114" s="226"/>
      <x:c r="Y114" s="226"/>
      <x:c r="Z114" s="226"/>
    </x:row>
    <x:row r="115">
      <x:c r="A115" s="226"/>
      <x:c r="B115" s="226"/>
      <x:c r="C115" s="226"/>
      <x:c r="D115" s="226"/>
      <x:c r="E115" s="226"/>
      <x:c r="F115" s="226"/>
      <x:c r="G115" s="226"/>
      <x:c r="H115" s="226"/>
      <x:c r="I115" s="226"/>
      <x:c r="J115" s="226"/>
      <x:c r="K115" s="226"/>
      <x:c r="L115" s="226"/>
      <x:c r="M115" s="226"/>
      <x:c r="N115" s="226"/>
      <x:c r="O115" s="226"/>
      <x:c r="P115" s="226"/>
      <x:c r="Q115" s="226"/>
      <x:c r="R115" s="226"/>
      <x:c r="S115" s="226"/>
      <x:c r="T115" s="226"/>
      <x:c r="U115" s="226"/>
      <x:c r="V115" s="226"/>
      <x:c r="W115" s="226"/>
      <x:c r="X115" s="226"/>
      <x:c r="Y115" s="226"/>
      <x:c r="Z115" s="226"/>
    </x:row>
    <x:row r="116">
      <x:c r="A116" s="226"/>
      <x:c r="B116" s="226"/>
      <x:c r="C116" s="226"/>
      <x:c r="D116" s="226"/>
      <x:c r="E116" s="226"/>
      <x:c r="F116" s="226"/>
      <x:c r="G116" s="226"/>
      <x:c r="H116" s="226"/>
      <x:c r="I116" s="226"/>
      <x:c r="J116" s="226"/>
      <x:c r="K116" s="226"/>
      <x:c r="L116" s="226"/>
      <x:c r="M116" s="226"/>
      <x:c r="N116" s="226"/>
      <x:c r="O116" s="226"/>
      <x:c r="P116" s="226"/>
      <x:c r="Q116" s="226"/>
      <x:c r="R116" s="226"/>
      <x:c r="S116" s="226"/>
      <x:c r="T116" s="226"/>
      <x:c r="U116" s="226"/>
      <x:c r="V116" s="226"/>
      <x:c r="W116" s="226"/>
      <x:c r="X116" s="226"/>
      <x:c r="Y116" s="226"/>
      <x:c r="Z116" s="226"/>
    </x:row>
    <x:row r="117">
      <x:c r="A117" s="226"/>
      <x:c r="B117" s="226"/>
      <x:c r="C117" s="226"/>
      <x:c r="D117" s="226"/>
      <x:c r="E117" s="226"/>
      <x:c r="F117" s="226"/>
      <x:c r="G117" s="226"/>
      <x:c r="H117" s="226"/>
      <x:c r="I117" s="226"/>
      <x:c r="J117" s="226"/>
      <x:c r="K117" s="226"/>
      <x:c r="L117" s="226"/>
      <x:c r="M117" s="226"/>
      <x:c r="N117" s="226"/>
      <x:c r="O117" s="226"/>
      <x:c r="P117" s="226"/>
      <x:c r="Q117" s="226"/>
      <x:c r="R117" s="226"/>
      <x:c r="S117" s="226"/>
      <x:c r="T117" s="226"/>
      <x:c r="U117" s="226"/>
      <x:c r="V117" s="226"/>
      <x:c r="W117" s="226"/>
      <x:c r="X117" s="226"/>
      <x:c r="Y117" s="226"/>
      <x:c r="Z117" s="226"/>
    </x:row>
    <x:row r="118">
      <x:c r="A118" s="226"/>
      <x:c r="B118" s="226"/>
      <x:c r="C118" s="226"/>
      <x:c r="D118" s="226"/>
      <x:c r="E118" s="226"/>
      <x:c r="F118" s="226"/>
      <x:c r="G118" s="226"/>
      <x:c r="H118" s="226"/>
      <x:c r="I118" s="226"/>
      <x:c r="J118" s="226"/>
      <x:c r="K118" s="226"/>
      <x:c r="L118" s="226"/>
      <x:c r="M118" s="226"/>
      <x:c r="N118" s="226"/>
      <x:c r="O118" s="226"/>
      <x:c r="P118" s="226"/>
      <x:c r="Q118" s="226"/>
      <x:c r="R118" s="226"/>
      <x:c r="S118" s="226"/>
      <x:c r="T118" s="226"/>
      <x:c r="U118" s="226"/>
      <x:c r="V118" s="226"/>
      <x:c r="W118" s="226"/>
      <x:c r="X118" s="226"/>
      <x:c r="Y118" s="226"/>
      <x:c r="Z118" s="226"/>
    </x:row>
    <x:row r="119">
      <x:c r="A119" s="226"/>
      <x:c r="B119" s="226"/>
      <x:c r="C119" s="226"/>
      <x:c r="D119" s="226"/>
      <x:c r="E119" s="226"/>
      <x:c r="F119" s="226"/>
      <x:c r="G119" s="226"/>
      <x:c r="H119" s="226"/>
      <x:c r="I119" s="226"/>
      <x:c r="J119" s="226"/>
      <x:c r="K119" s="226"/>
      <x:c r="L119" s="226"/>
      <x:c r="M119" s="226"/>
      <x:c r="N119" s="226"/>
      <x:c r="O119" s="226"/>
      <x:c r="P119" s="226"/>
      <x:c r="Q119" s="226"/>
      <x:c r="R119" s="226"/>
      <x:c r="S119" s="226"/>
      <x:c r="T119" s="226"/>
      <x:c r="U119" s="226"/>
      <x:c r="V119" s="226"/>
      <x:c r="W119" s="226"/>
      <x:c r="X119" s="226"/>
      <x:c r="Y119" s="226"/>
      <x:c r="Z119" s="226"/>
    </x:row>
    <x:row r="120">
      <x:c r="A120" s="226"/>
      <x:c r="B120" s="226"/>
      <x:c r="C120" s="226"/>
      <x:c r="D120" s="226"/>
      <x:c r="E120" s="226"/>
      <x:c r="F120" s="226"/>
      <x:c r="G120" s="226"/>
      <x:c r="H120" s="226"/>
      <x:c r="I120" s="226"/>
      <x:c r="J120" s="226"/>
      <x:c r="K120" s="226"/>
      <x:c r="L120" s="226"/>
      <x:c r="M120" s="226"/>
      <x:c r="N120" s="226"/>
      <x:c r="O120" s="226"/>
      <x:c r="P120" s="226"/>
      <x:c r="Q120" s="226"/>
      <x:c r="R120" s="226"/>
      <x:c r="S120" s="226"/>
      <x:c r="T120" s="226"/>
      <x:c r="U120" s="226"/>
      <x:c r="V120" s="226"/>
      <x:c r="W120" s="226"/>
      <x:c r="X120" s="226"/>
      <x:c r="Y120" s="226"/>
      <x:c r="Z120" s="226"/>
    </x:row>
    <x:row r="121">
      <x:c r="A121" s="226"/>
      <x:c r="B121" s="226"/>
      <x:c r="C121" s="226"/>
      <x:c r="D121" s="226"/>
      <x:c r="E121" s="226"/>
      <x:c r="F121" s="226"/>
      <x:c r="G121" s="226"/>
      <x:c r="H121" s="226"/>
      <x:c r="I121" s="226"/>
      <x:c r="J121" s="226"/>
      <x:c r="K121" s="226"/>
      <x:c r="L121" s="226"/>
      <x:c r="M121" s="226"/>
      <x:c r="N121" s="226"/>
      <x:c r="O121" s="226"/>
      <x:c r="P121" s="226"/>
      <x:c r="Q121" s="226"/>
      <x:c r="R121" s="226"/>
      <x:c r="S121" s="226"/>
      <x:c r="T121" s="226"/>
      <x:c r="U121" s="226"/>
      <x:c r="V121" s="226"/>
      <x:c r="W121" s="226"/>
      <x:c r="X121" s="226"/>
      <x:c r="Y121" s="226"/>
      <x:c r="Z121" s="226"/>
    </x:row>
    <x:row r="122">
      <x:c r="A122" s="226"/>
      <x:c r="B122" s="226"/>
      <x:c r="C122" s="226"/>
      <x:c r="D122" s="226"/>
      <x:c r="E122" s="226"/>
      <x:c r="F122" s="226"/>
      <x:c r="G122" s="226"/>
      <x:c r="H122" s="226"/>
      <x:c r="I122" s="226"/>
      <x:c r="J122" s="226"/>
      <x:c r="K122" s="226"/>
      <x:c r="L122" s="226"/>
      <x:c r="M122" s="226"/>
      <x:c r="N122" s="226"/>
      <x:c r="O122" s="226"/>
      <x:c r="P122" s="226"/>
      <x:c r="Q122" s="226"/>
      <x:c r="R122" s="226"/>
      <x:c r="S122" s="226"/>
      <x:c r="T122" s="226"/>
      <x:c r="U122" s="226"/>
      <x:c r="V122" s="226"/>
      <x:c r="W122" s="226"/>
      <x:c r="X122" s="226"/>
      <x:c r="Y122" s="226"/>
      <x:c r="Z122" s="226"/>
    </x:row>
    <x:row r="123">
      <x:c r="A123" s="226"/>
      <x:c r="B123" s="226"/>
      <x:c r="C123" s="226"/>
      <x:c r="D123" s="226"/>
      <x:c r="E123" s="226"/>
      <x:c r="F123" s="226"/>
      <x:c r="G123" s="226"/>
      <x:c r="H123" s="226"/>
      <x:c r="I123" s="226"/>
      <x:c r="J123" s="226"/>
      <x:c r="K123" s="226"/>
      <x:c r="L123" s="226"/>
      <x:c r="M123" s="226"/>
      <x:c r="N123" s="226"/>
      <x:c r="O123" s="226"/>
      <x:c r="P123" s="226"/>
      <x:c r="Q123" s="226"/>
      <x:c r="R123" s="226"/>
      <x:c r="S123" s="226"/>
      <x:c r="T123" s="226"/>
      <x:c r="U123" s="226"/>
      <x:c r="V123" s="226"/>
      <x:c r="W123" s="226"/>
      <x:c r="X123" s="226"/>
      <x:c r="Y123" s="226"/>
      <x:c r="Z123" s="226"/>
    </x:row>
    <x:row r="124">
      <x:c r="A124" s="226"/>
      <x:c r="B124" s="226"/>
      <x:c r="C124" s="226"/>
      <x:c r="D124" s="226"/>
      <x:c r="E124" s="226"/>
      <x:c r="F124" s="226"/>
      <x:c r="G124" s="226"/>
      <x:c r="H124" s="226"/>
      <x:c r="I124" s="226"/>
      <x:c r="J124" s="226"/>
      <x:c r="K124" s="226"/>
      <x:c r="L124" s="226"/>
      <x:c r="M124" s="226"/>
      <x:c r="N124" s="226"/>
      <x:c r="O124" s="226"/>
      <x:c r="P124" s="226"/>
      <x:c r="Q124" s="226"/>
      <x:c r="R124" s="226"/>
      <x:c r="S124" s="226"/>
      <x:c r="T124" s="226"/>
      <x:c r="U124" s="226"/>
      <x:c r="V124" s="226"/>
      <x:c r="W124" s="226"/>
      <x:c r="X124" s="226"/>
      <x:c r="Y124" s="226"/>
      <x:c r="Z124" s="226"/>
    </x:row>
    <x:row r="125">
      <x:c r="A125" s="226"/>
      <x:c r="B125" s="226"/>
      <x:c r="C125" s="226"/>
      <x:c r="D125" s="226"/>
      <x:c r="E125" s="226"/>
      <x:c r="F125" s="226"/>
      <x:c r="G125" s="226"/>
      <x:c r="H125" s="226"/>
      <x:c r="I125" s="226"/>
      <x:c r="J125" s="226"/>
      <x:c r="K125" s="226"/>
      <x:c r="L125" s="226"/>
      <x:c r="M125" s="226"/>
      <x:c r="N125" s="226"/>
      <x:c r="O125" s="226"/>
      <x:c r="P125" s="226"/>
      <x:c r="Q125" s="226"/>
      <x:c r="R125" s="226"/>
      <x:c r="S125" s="226"/>
      <x:c r="T125" s="226"/>
      <x:c r="U125" s="226"/>
      <x:c r="V125" s="226"/>
      <x:c r="W125" s="226"/>
      <x:c r="X125" s="226"/>
      <x:c r="Y125" s="226"/>
      <x:c r="Z125" s="226"/>
    </x:row>
    <x:row r="126">
      <x:c r="A126" s="226"/>
      <x:c r="B126" s="226"/>
      <x:c r="C126" s="226"/>
      <x:c r="D126" s="226"/>
      <x:c r="E126" s="226"/>
      <x:c r="F126" s="226"/>
      <x:c r="G126" s="226"/>
      <x:c r="H126" s="226"/>
      <x:c r="I126" s="226"/>
      <x:c r="J126" s="226"/>
      <x:c r="K126" s="226"/>
      <x:c r="L126" s="226"/>
      <x:c r="M126" s="226"/>
      <x:c r="N126" s="226"/>
      <x:c r="O126" s="226"/>
      <x:c r="P126" s="226"/>
      <x:c r="Q126" s="226"/>
      <x:c r="R126" s="226"/>
      <x:c r="S126" s="226"/>
      <x:c r="T126" s="226"/>
      <x:c r="U126" s="226"/>
      <x:c r="V126" s="226"/>
      <x:c r="W126" s="226"/>
      <x:c r="X126" s="226"/>
      <x:c r="Y126" s="226"/>
      <x:c r="Z126" s="226"/>
    </x:row>
    <x:row r="127">
      <x:c r="A127" s="226"/>
      <x:c r="B127" s="226"/>
      <x:c r="C127" s="226"/>
      <x:c r="D127" s="226"/>
      <x:c r="E127" s="226"/>
      <x:c r="F127" s="226"/>
      <x:c r="G127" s="226"/>
      <x:c r="H127" s="226"/>
      <x:c r="I127" s="226"/>
      <x:c r="J127" s="226"/>
      <x:c r="K127" s="226"/>
      <x:c r="L127" s="226"/>
      <x:c r="M127" s="226"/>
      <x:c r="N127" s="226"/>
      <x:c r="O127" s="226"/>
      <x:c r="P127" s="226"/>
      <x:c r="Q127" s="226"/>
      <x:c r="R127" s="226"/>
      <x:c r="S127" s="226"/>
      <x:c r="T127" s="226"/>
      <x:c r="U127" s="226"/>
      <x:c r="V127" s="226"/>
      <x:c r="W127" s="226"/>
      <x:c r="X127" s="226"/>
      <x:c r="Y127" s="226"/>
      <x:c r="Z127" s="226"/>
    </x:row>
    <x:row r="128">
      <x:c r="A128" s="226"/>
      <x:c r="B128" s="226"/>
      <x:c r="C128" s="226"/>
      <x:c r="D128" s="226"/>
      <x:c r="E128" s="226"/>
      <x:c r="F128" s="226"/>
      <x:c r="G128" s="226"/>
      <x:c r="H128" s="226"/>
      <x:c r="I128" s="226"/>
      <x:c r="J128" s="226"/>
      <x:c r="K128" s="226"/>
      <x:c r="L128" s="226"/>
      <x:c r="M128" s="226"/>
      <x:c r="N128" s="226"/>
      <x:c r="O128" s="226"/>
      <x:c r="P128" s="226"/>
      <x:c r="Q128" s="226"/>
      <x:c r="R128" s="226"/>
      <x:c r="S128" s="226"/>
      <x:c r="T128" s="226"/>
      <x:c r="U128" s="226"/>
      <x:c r="V128" s="226"/>
      <x:c r="W128" s="226"/>
      <x:c r="X128" s="226"/>
      <x:c r="Y128" s="226"/>
      <x:c r="Z128" s="226"/>
    </x:row>
    <x:row r="129">
      <x:c r="A129" s="226"/>
      <x:c r="B129" s="226"/>
      <x:c r="C129" s="226"/>
      <x:c r="D129" s="226"/>
      <x:c r="E129" s="226"/>
      <x:c r="F129" s="226"/>
      <x:c r="G129" s="226"/>
      <x:c r="H129" s="226"/>
      <x:c r="I129" s="226"/>
      <x:c r="J129" s="226"/>
      <x:c r="K129" s="226"/>
      <x:c r="L129" s="226"/>
      <x:c r="M129" s="226"/>
      <x:c r="N129" s="226"/>
      <x:c r="O129" s="226"/>
      <x:c r="P129" s="226"/>
      <x:c r="Q129" s="226"/>
      <x:c r="R129" s="226"/>
      <x:c r="S129" s="226"/>
      <x:c r="T129" s="226"/>
      <x:c r="U129" s="226"/>
      <x:c r="V129" s="226"/>
      <x:c r="W129" s="226"/>
      <x:c r="X129" s="226"/>
      <x:c r="Y129" s="226"/>
      <x:c r="Z129" s="226"/>
    </x:row>
    <x:row r="130">
      <x:c r="A130" s="226"/>
      <x:c r="B130" s="226"/>
      <x:c r="C130" s="226"/>
      <x:c r="D130" s="226"/>
      <x:c r="E130" s="226"/>
      <x:c r="F130" s="226"/>
      <x:c r="G130" s="226"/>
      <x:c r="H130" s="226"/>
      <x:c r="I130" s="226"/>
      <x:c r="J130" s="226"/>
      <x:c r="K130" s="226"/>
      <x:c r="L130" s="226"/>
      <x:c r="M130" s="226"/>
      <x:c r="N130" s="226"/>
      <x:c r="O130" s="226"/>
      <x:c r="P130" s="226"/>
      <x:c r="Q130" s="226"/>
      <x:c r="R130" s="226"/>
      <x:c r="S130" s="226"/>
      <x:c r="T130" s="226"/>
      <x:c r="U130" s="226"/>
      <x:c r="V130" s="226"/>
      <x:c r="W130" s="226"/>
      <x:c r="X130" s="226"/>
      <x:c r="Y130" s="226"/>
      <x:c r="Z130" s="226"/>
    </x:row>
    <x:row r="131">
      <x:c r="A131" s="226"/>
      <x:c r="B131" s="226"/>
      <x:c r="C131" s="226"/>
      <x:c r="D131" s="226"/>
      <x:c r="E131" s="226"/>
      <x:c r="F131" s="226"/>
      <x:c r="G131" s="226"/>
      <x:c r="H131" s="226"/>
      <x:c r="I131" s="226"/>
      <x:c r="J131" s="226"/>
      <x:c r="K131" s="226"/>
      <x:c r="L131" s="226"/>
      <x:c r="M131" s="226"/>
      <x:c r="N131" s="226"/>
      <x:c r="O131" s="226"/>
      <x:c r="P131" s="226"/>
      <x:c r="Q131" s="226"/>
      <x:c r="R131" s="226"/>
      <x:c r="S131" s="226"/>
      <x:c r="T131" s="226"/>
      <x:c r="U131" s="226"/>
      <x:c r="V131" s="226"/>
      <x:c r="W131" s="226"/>
      <x:c r="X131" s="226"/>
      <x:c r="Y131" s="226"/>
      <x:c r="Z131" s="226"/>
    </x:row>
    <x:row r="132">
      <x:c r="A132" s="226"/>
      <x:c r="B132" s="226"/>
      <x:c r="C132" s="226"/>
      <x:c r="D132" s="226"/>
      <x:c r="E132" s="226"/>
      <x:c r="F132" s="226"/>
      <x:c r="G132" s="226"/>
      <x:c r="H132" s="226"/>
      <x:c r="I132" s="226"/>
      <x:c r="J132" s="226"/>
      <x:c r="K132" s="226"/>
      <x:c r="L132" s="226"/>
      <x:c r="M132" s="226"/>
      <x:c r="N132" s="226"/>
      <x:c r="O132" s="226"/>
      <x:c r="P132" s="226"/>
      <x:c r="Q132" s="226"/>
      <x:c r="R132" s="226"/>
      <x:c r="S132" s="226"/>
      <x:c r="T132" s="226"/>
      <x:c r="U132" s="226"/>
      <x:c r="V132" s="226"/>
      <x:c r="W132" s="226"/>
      <x:c r="X132" s="226"/>
      <x:c r="Y132" s="226"/>
      <x:c r="Z132" s="226"/>
    </x:row>
    <x:row r="133">
      <x:c r="A133" s="226"/>
      <x:c r="B133" s="226"/>
      <x:c r="C133" s="226"/>
      <x:c r="D133" s="226"/>
      <x:c r="E133" s="226"/>
      <x:c r="F133" s="226"/>
      <x:c r="G133" s="226"/>
      <x:c r="H133" s="226"/>
      <x:c r="I133" s="226"/>
      <x:c r="J133" s="226"/>
      <x:c r="K133" s="226"/>
      <x:c r="L133" s="226"/>
      <x:c r="M133" s="226"/>
      <x:c r="N133" s="226"/>
      <x:c r="O133" s="226"/>
      <x:c r="P133" s="226"/>
      <x:c r="Q133" s="226"/>
      <x:c r="R133" s="226"/>
      <x:c r="S133" s="226"/>
      <x:c r="T133" s="226"/>
      <x:c r="U133" s="226"/>
      <x:c r="V133" s="226"/>
      <x:c r="W133" s="226"/>
      <x:c r="X133" s="226"/>
      <x:c r="Y133" s="226"/>
      <x:c r="Z133" s="226"/>
    </x:row>
    <x:row r="134">
      <x:c r="A134" s="226"/>
      <x:c r="B134" s="226"/>
      <x:c r="C134" s="226"/>
      <x:c r="D134" s="226"/>
      <x:c r="E134" s="226"/>
      <x:c r="F134" s="226"/>
      <x:c r="G134" s="226"/>
      <x:c r="H134" s="226"/>
      <x:c r="I134" s="226"/>
      <x:c r="J134" s="226"/>
      <x:c r="K134" s="226"/>
      <x:c r="L134" s="226"/>
      <x:c r="M134" s="226"/>
      <x:c r="N134" s="226"/>
      <x:c r="O134" s="226"/>
      <x:c r="P134" s="226"/>
      <x:c r="Q134" s="226"/>
      <x:c r="R134" s="226"/>
      <x:c r="S134" s="226"/>
      <x:c r="T134" s="226"/>
      <x:c r="U134" s="226"/>
      <x:c r="V134" s="226"/>
      <x:c r="W134" s="226"/>
      <x:c r="X134" s="226"/>
      <x:c r="Y134" s="226"/>
      <x:c r="Z134" s="226"/>
    </x:row>
    <x:row r="135">
      <x:c r="A135" s="226"/>
      <x:c r="B135" s="226"/>
      <x:c r="C135" s="226"/>
      <x:c r="D135" s="226"/>
      <x:c r="E135" s="226"/>
      <x:c r="F135" s="226"/>
      <x:c r="G135" s="226"/>
      <x:c r="H135" s="226"/>
      <x:c r="I135" s="226"/>
      <x:c r="J135" s="226"/>
      <x:c r="K135" s="226"/>
      <x:c r="L135" s="226"/>
      <x:c r="M135" s="226"/>
      <x:c r="N135" s="226"/>
      <x:c r="O135" s="226"/>
      <x:c r="P135" s="226"/>
      <x:c r="Q135" s="226"/>
      <x:c r="R135" s="226"/>
      <x:c r="S135" s="226"/>
      <x:c r="T135" s="226"/>
      <x:c r="U135" s="226"/>
      <x:c r="V135" s="226"/>
      <x:c r="W135" s="226"/>
      <x:c r="X135" s="226"/>
      <x:c r="Y135" s="226"/>
      <x:c r="Z135" s="226"/>
    </x:row>
    <x:row r="136">
      <x:c r="A136" s="226"/>
      <x:c r="B136" s="226"/>
      <x:c r="C136" s="226"/>
      <x:c r="D136" s="226"/>
      <x:c r="E136" s="226"/>
      <x:c r="F136" s="226"/>
      <x:c r="G136" s="226"/>
      <x:c r="H136" s="226"/>
      <x:c r="I136" s="226"/>
      <x:c r="J136" s="226"/>
      <x:c r="K136" s="226"/>
      <x:c r="L136" s="226"/>
      <x:c r="M136" s="226"/>
      <x:c r="N136" s="226"/>
      <x:c r="O136" s="226"/>
      <x:c r="P136" s="226"/>
      <x:c r="Q136" s="226"/>
      <x:c r="R136" s="226"/>
      <x:c r="S136" s="226"/>
      <x:c r="T136" s="226"/>
      <x:c r="U136" s="226"/>
      <x:c r="V136" s="226"/>
      <x:c r="W136" s="226"/>
      <x:c r="X136" s="226"/>
      <x:c r="Y136" s="226"/>
      <x:c r="Z136" s="226"/>
    </x:row>
    <x:row r="137">
      <x:c r="A137" s="226"/>
      <x:c r="B137" s="226"/>
      <x:c r="C137" s="226"/>
      <x:c r="D137" s="226"/>
      <x:c r="E137" s="226"/>
      <x:c r="F137" s="226"/>
      <x:c r="G137" s="226"/>
      <x:c r="H137" s="226"/>
      <x:c r="I137" s="226"/>
      <x:c r="J137" s="226"/>
      <x:c r="K137" s="226"/>
      <x:c r="L137" s="226"/>
      <x:c r="M137" s="226"/>
      <x:c r="N137" s="226"/>
      <x:c r="O137" s="226"/>
      <x:c r="P137" s="226"/>
      <x:c r="Q137" s="226"/>
      <x:c r="R137" s="226"/>
      <x:c r="S137" s="226"/>
      <x:c r="T137" s="226"/>
      <x:c r="U137" s="226"/>
      <x:c r="V137" s="226"/>
      <x:c r="W137" s="226"/>
      <x:c r="X137" s="226"/>
      <x:c r="Y137" s="226"/>
      <x:c r="Z137" s="226"/>
    </x:row>
    <x:row r="138">
      <x:c r="A138" s="226"/>
      <x:c r="B138" s="226"/>
      <x:c r="C138" s="226"/>
      <x:c r="D138" s="226"/>
      <x:c r="E138" s="226"/>
      <x:c r="F138" s="226"/>
      <x:c r="G138" s="226"/>
      <x:c r="H138" s="226"/>
      <x:c r="I138" s="226"/>
      <x:c r="J138" s="226"/>
      <x:c r="K138" s="226"/>
      <x:c r="L138" s="226"/>
      <x:c r="M138" s="226"/>
      <x:c r="N138" s="226"/>
      <x:c r="O138" s="226"/>
      <x:c r="P138" s="226"/>
      <x:c r="Q138" s="226"/>
      <x:c r="R138" s="226"/>
      <x:c r="S138" s="226"/>
      <x:c r="T138" s="226"/>
      <x:c r="U138" s="226"/>
      <x:c r="V138" s="226"/>
      <x:c r="W138" s="226"/>
      <x:c r="X138" s="226"/>
      <x:c r="Y138" s="226"/>
      <x:c r="Z138" s="226"/>
    </x:row>
    <x:row r="139">
      <x:c r="A139" s="226"/>
      <x:c r="B139" s="226"/>
      <x:c r="C139" s="226"/>
      <x:c r="D139" s="226"/>
      <x:c r="E139" s="226"/>
      <x:c r="F139" s="226"/>
      <x:c r="G139" s="226"/>
      <x:c r="H139" s="226"/>
      <x:c r="I139" s="226"/>
      <x:c r="J139" s="226"/>
      <x:c r="K139" s="226"/>
      <x:c r="L139" s="226"/>
      <x:c r="M139" s="226"/>
      <x:c r="N139" s="226"/>
      <x:c r="O139" s="226"/>
      <x:c r="P139" s="226"/>
      <x:c r="Q139" s="226"/>
      <x:c r="R139" s="226"/>
      <x:c r="S139" s="226"/>
      <x:c r="T139" s="226"/>
      <x:c r="U139" s="226"/>
      <x:c r="V139" s="226"/>
      <x:c r="W139" s="226"/>
      <x:c r="X139" s="226"/>
      <x:c r="Y139" s="226"/>
      <x:c r="Z139" s="226"/>
    </x:row>
    <x:row r="140">
      <x:c r="A140" s="226"/>
      <x:c r="B140" s="226"/>
      <x:c r="C140" s="226"/>
      <x:c r="D140" s="226"/>
      <x:c r="E140" s="226"/>
      <x:c r="F140" s="226"/>
      <x:c r="G140" s="226"/>
      <x:c r="H140" s="226"/>
      <x:c r="I140" s="226"/>
      <x:c r="J140" s="226"/>
      <x:c r="K140" s="226"/>
      <x:c r="L140" s="226"/>
      <x:c r="M140" s="226"/>
      <x:c r="N140" s="226"/>
      <x:c r="O140" s="226"/>
      <x:c r="P140" s="226"/>
      <x:c r="Q140" s="226"/>
      <x:c r="R140" s="226"/>
      <x:c r="S140" s="226"/>
      <x:c r="T140" s="226"/>
      <x:c r="U140" s="226"/>
      <x:c r="V140" s="226"/>
      <x:c r="W140" s="226"/>
      <x:c r="X140" s="226"/>
      <x:c r="Y140" s="226"/>
      <x:c r="Z140" s="226"/>
    </x:row>
    <x:row r="141">
      <x:c r="A141" s="226"/>
      <x:c r="B141" s="226"/>
      <x:c r="C141" s="226"/>
      <x:c r="D141" s="226"/>
      <x:c r="E141" s="226"/>
      <x:c r="F141" s="226"/>
      <x:c r="G141" s="226"/>
      <x:c r="H141" s="226"/>
      <x:c r="I141" s="226"/>
      <x:c r="J141" s="226"/>
      <x:c r="K141" s="226"/>
      <x:c r="L141" s="226"/>
      <x:c r="M141" s="226"/>
      <x:c r="N141" s="226"/>
      <x:c r="O141" s="226"/>
      <x:c r="P141" s="226"/>
      <x:c r="Q141" s="226"/>
      <x:c r="R141" s="226"/>
      <x:c r="S141" s="226"/>
      <x:c r="T141" s="226"/>
      <x:c r="U141" s="226"/>
      <x:c r="V141" s="226"/>
      <x:c r="W141" s="226"/>
      <x:c r="X141" s="226"/>
      <x:c r="Y141" s="226"/>
      <x:c r="Z141" s="226"/>
    </x:row>
    <x:row r="142">
      <x:c r="A142" s="226"/>
      <x:c r="B142" s="226"/>
      <x:c r="C142" s="226"/>
      <x:c r="D142" s="226"/>
      <x:c r="E142" s="226"/>
      <x:c r="F142" s="226"/>
      <x:c r="G142" s="226"/>
      <x:c r="H142" s="226"/>
      <x:c r="I142" s="226"/>
      <x:c r="J142" s="226"/>
      <x:c r="K142" s="226"/>
      <x:c r="L142" s="226"/>
      <x:c r="M142" s="226"/>
      <x:c r="N142" s="226"/>
      <x:c r="O142" s="226"/>
      <x:c r="P142" s="226"/>
      <x:c r="Q142" s="226"/>
      <x:c r="R142" s="226"/>
      <x:c r="S142" s="226"/>
      <x:c r="T142" s="226"/>
      <x:c r="U142" s="226"/>
      <x:c r="V142" s="226"/>
      <x:c r="W142" s="226"/>
      <x:c r="X142" s="226"/>
      <x:c r="Y142" s="226"/>
      <x:c r="Z142" s="226"/>
    </x:row>
    <x:row r="143">
      <x:c r="A143" s="226"/>
      <x:c r="B143" s="226"/>
      <x:c r="C143" s="226"/>
      <x:c r="D143" s="226"/>
      <x:c r="E143" s="226"/>
      <x:c r="F143" s="226"/>
      <x:c r="G143" s="226"/>
      <x:c r="H143" s="226"/>
      <x:c r="I143" s="226"/>
      <x:c r="J143" s="226"/>
      <x:c r="K143" s="226"/>
      <x:c r="L143" s="226"/>
      <x:c r="M143" s="226"/>
      <x:c r="N143" s="226"/>
      <x:c r="O143" s="226"/>
      <x:c r="P143" s="226"/>
      <x:c r="Q143" s="226"/>
      <x:c r="R143" s="226"/>
      <x:c r="S143" s="226"/>
      <x:c r="T143" s="226"/>
      <x:c r="U143" s="226"/>
      <x:c r="V143" s="226"/>
      <x:c r="W143" s="226"/>
      <x:c r="X143" s="226"/>
      <x:c r="Y143" s="226"/>
      <x:c r="Z143" s="226"/>
    </x:row>
    <x:row r="144">
      <x:c r="A144" s="226"/>
      <x:c r="B144" s="226"/>
      <x:c r="C144" s="226"/>
      <x:c r="D144" s="226"/>
      <x:c r="E144" s="226"/>
      <x:c r="F144" s="226"/>
      <x:c r="G144" s="226"/>
      <x:c r="H144" s="226"/>
      <x:c r="I144" s="226"/>
      <x:c r="J144" s="226"/>
      <x:c r="K144" s="226"/>
      <x:c r="L144" s="226"/>
      <x:c r="M144" s="226"/>
      <x:c r="N144" s="226"/>
      <x:c r="O144" s="226"/>
      <x:c r="P144" s="226"/>
      <x:c r="Q144" s="226"/>
      <x:c r="R144" s="226"/>
      <x:c r="S144" s="226"/>
      <x:c r="T144" s="226"/>
      <x:c r="U144" s="226"/>
      <x:c r="V144" s="226"/>
      <x:c r="W144" s="226"/>
      <x:c r="X144" s="226"/>
      <x:c r="Y144" s="226"/>
      <x:c r="Z144" s="226"/>
    </x:row>
    <x:row r="145">
      <x:c r="A145" s="226"/>
      <x:c r="B145" s="226"/>
      <x:c r="C145" s="226"/>
      <x:c r="D145" s="226"/>
      <x:c r="E145" s="226"/>
      <x:c r="F145" s="226"/>
      <x:c r="G145" s="226"/>
      <x:c r="H145" s="226"/>
      <x:c r="I145" s="226"/>
      <x:c r="J145" s="226"/>
      <x:c r="K145" s="226"/>
      <x:c r="L145" s="226"/>
      <x:c r="M145" s="226"/>
      <x:c r="N145" s="226"/>
      <x:c r="O145" s="226"/>
      <x:c r="P145" s="226"/>
      <x:c r="Q145" s="226"/>
      <x:c r="R145" s="226"/>
      <x:c r="S145" s="226"/>
      <x:c r="T145" s="226"/>
      <x:c r="U145" s="226"/>
      <x:c r="V145" s="226"/>
      <x:c r="W145" s="226"/>
      <x:c r="X145" s="226"/>
      <x:c r="Y145" s="226"/>
      <x:c r="Z145" s="226"/>
    </x:row>
    <x:row r="146">
      <x:c r="A146" s="226"/>
      <x:c r="B146" s="226"/>
      <x:c r="C146" s="226"/>
      <x:c r="D146" s="226"/>
      <x:c r="E146" s="226"/>
      <x:c r="F146" s="226"/>
      <x:c r="G146" s="226"/>
      <x:c r="H146" s="226"/>
      <x:c r="I146" s="226"/>
      <x:c r="J146" s="226"/>
      <x:c r="K146" s="226"/>
      <x:c r="L146" s="226"/>
      <x:c r="M146" s="226"/>
      <x:c r="N146" s="226"/>
      <x:c r="O146" s="226"/>
      <x:c r="P146" s="226"/>
      <x:c r="Q146" s="226"/>
      <x:c r="R146" s="226"/>
      <x:c r="S146" s="226"/>
      <x:c r="T146" s="226"/>
      <x:c r="U146" s="226"/>
      <x:c r="V146" s="226"/>
      <x:c r="W146" s="226"/>
      <x:c r="X146" s="226"/>
      <x:c r="Y146" s="226"/>
      <x:c r="Z146" s="226"/>
    </x:row>
    <x:row r="147">
      <x:c r="A147" s="226"/>
      <x:c r="B147" s="226"/>
      <x:c r="C147" s="226"/>
      <x:c r="D147" s="226"/>
      <x:c r="E147" s="226"/>
      <x:c r="F147" s="226"/>
      <x:c r="G147" s="226"/>
      <x:c r="H147" s="226"/>
      <x:c r="I147" s="226"/>
      <x:c r="J147" s="226"/>
      <x:c r="K147" s="226"/>
      <x:c r="L147" s="226"/>
      <x:c r="M147" s="226"/>
      <x:c r="N147" s="226"/>
      <x:c r="O147" s="226"/>
      <x:c r="P147" s="226"/>
      <x:c r="Q147" s="226"/>
      <x:c r="R147" s="226"/>
      <x:c r="S147" s="226"/>
      <x:c r="T147" s="226"/>
      <x:c r="U147" s="226"/>
      <x:c r="V147" s="226"/>
      <x:c r="W147" s="226"/>
      <x:c r="X147" s="226"/>
      <x:c r="Y147" s="226"/>
      <x:c r="Z147" s="226"/>
    </x:row>
    <x:row r="148">
      <x:c r="A148" s="226"/>
      <x:c r="B148" s="226"/>
      <x:c r="C148" s="226"/>
      <x:c r="D148" s="226"/>
      <x:c r="E148" s="226"/>
      <x:c r="F148" s="226"/>
      <x:c r="G148" s="226"/>
      <x:c r="H148" s="226"/>
      <x:c r="I148" s="226"/>
      <x:c r="J148" s="226"/>
      <x:c r="K148" s="226"/>
      <x:c r="L148" s="226"/>
      <x:c r="M148" s="226"/>
      <x:c r="N148" s="226"/>
      <x:c r="O148" s="226"/>
      <x:c r="P148" s="226"/>
      <x:c r="Q148" s="226"/>
      <x:c r="R148" s="226"/>
      <x:c r="S148" s="226"/>
      <x:c r="T148" s="226"/>
      <x:c r="U148" s="226"/>
      <x:c r="V148" s="226"/>
      <x:c r="W148" s="226"/>
      <x:c r="X148" s="226"/>
      <x:c r="Y148" s="226"/>
      <x:c r="Z148" s="226"/>
    </x:row>
    <x:row r="149">
      <x:c r="A149" s="226"/>
      <x:c r="B149" s="226"/>
      <x:c r="C149" s="226"/>
      <x:c r="D149" s="226"/>
      <x:c r="E149" s="226"/>
      <x:c r="F149" s="226"/>
      <x:c r="G149" s="226"/>
      <x:c r="H149" s="226"/>
      <x:c r="I149" s="226"/>
      <x:c r="J149" s="226"/>
      <x:c r="K149" s="226"/>
      <x:c r="L149" s="226"/>
      <x:c r="M149" s="226"/>
      <x:c r="N149" s="226"/>
      <x:c r="O149" s="226"/>
      <x:c r="P149" s="226"/>
      <x:c r="Q149" s="226"/>
      <x:c r="R149" s="226"/>
      <x:c r="S149" s="226"/>
      <x:c r="T149" s="226"/>
      <x:c r="U149" s="226"/>
      <x:c r="V149" s="226"/>
      <x:c r="W149" s="226"/>
      <x:c r="X149" s="226"/>
      <x:c r="Y149" s="226"/>
      <x:c r="Z149" s="226"/>
    </x:row>
    <x:row r="150">
      <x:c r="A150" s="226"/>
      <x:c r="B150" s="226"/>
      <x:c r="C150" s="226"/>
      <x:c r="D150" s="226"/>
      <x:c r="E150" s="226"/>
      <x:c r="F150" s="226"/>
      <x:c r="G150" s="226"/>
      <x:c r="H150" s="226"/>
      <x:c r="I150" s="226"/>
      <x:c r="J150" s="226"/>
      <x:c r="K150" s="226"/>
      <x:c r="L150" s="226"/>
      <x:c r="M150" s="226"/>
      <x:c r="N150" s="226"/>
      <x:c r="O150" s="226"/>
      <x:c r="P150" s="226"/>
      <x:c r="Q150" s="226"/>
      <x:c r="R150" s="226"/>
      <x:c r="S150" s="226"/>
      <x:c r="T150" s="226"/>
      <x:c r="U150" s="226"/>
      <x:c r="V150" s="226"/>
      <x:c r="W150" s="226"/>
      <x:c r="X150" s="226"/>
      <x:c r="Y150" s="226"/>
      <x:c r="Z150" s="226"/>
    </x:row>
    <x:row r="151">
      <x:c r="A151" s="226"/>
      <x:c r="B151" s="226"/>
      <x:c r="C151" s="226"/>
      <x:c r="D151" s="226"/>
      <x:c r="E151" s="226"/>
      <x:c r="F151" s="226"/>
      <x:c r="G151" s="226"/>
      <x:c r="H151" s="226"/>
      <x:c r="I151" s="226"/>
      <x:c r="J151" s="226"/>
      <x:c r="K151" s="226"/>
      <x:c r="L151" s="226"/>
      <x:c r="M151" s="226"/>
      <x:c r="N151" s="226"/>
      <x:c r="O151" s="226"/>
      <x:c r="P151" s="226"/>
      <x:c r="Q151" s="226"/>
      <x:c r="R151" s="226"/>
      <x:c r="S151" s="226"/>
      <x:c r="T151" s="226"/>
      <x:c r="U151" s="226"/>
      <x:c r="V151" s="226"/>
      <x:c r="W151" s="226"/>
      <x:c r="X151" s="226"/>
      <x:c r="Y151" s="226"/>
      <x:c r="Z151" s="226"/>
    </x:row>
    <x:row r="152">
      <x:c r="A152" s="226"/>
      <x:c r="B152" s="226"/>
      <x:c r="C152" s="226"/>
      <x:c r="D152" s="226"/>
      <x:c r="E152" s="226"/>
      <x:c r="F152" s="226"/>
      <x:c r="G152" s="226"/>
      <x:c r="H152" s="226"/>
      <x:c r="I152" s="226"/>
      <x:c r="J152" s="226"/>
      <x:c r="K152" s="226"/>
      <x:c r="L152" s="226"/>
      <x:c r="M152" s="226"/>
      <x:c r="N152" s="226"/>
      <x:c r="O152" s="226"/>
      <x:c r="P152" s="226"/>
      <x:c r="Q152" s="226"/>
      <x:c r="R152" s="226"/>
      <x:c r="S152" s="226"/>
      <x:c r="T152" s="226"/>
      <x:c r="U152" s="226"/>
      <x:c r="V152" s="226"/>
      <x:c r="W152" s="226"/>
      <x:c r="X152" s="226"/>
      <x:c r="Y152" s="226"/>
      <x:c r="Z152" s="226"/>
    </x:row>
    <x:row r="153">
      <x:c r="A153" s="226"/>
      <x:c r="B153" s="226"/>
      <x:c r="C153" s="226"/>
      <x:c r="D153" s="226"/>
      <x:c r="E153" s="226"/>
      <x:c r="F153" s="226"/>
      <x:c r="G153" s="226"/>
      <x:c r="H153" s="226"/>
      <x:c r="I153" s="226"/>
      <x:c r="J153" s="226"/>
      <x:c r="K153" s="226"/>
      <x:c r="L153" s="226"/>
      <x:c r="M153" s="226"/>
      <x:c r="N153" s="226"/>
      <x:c r="O153" s="226"/>
      <x:c r="P153" s="226"/>
      <x:c r="Q153" s="226"/>
      <x:c r="R153" s="226"/>
      <x:c r="S153" s="226"/>
      <x:c r="T153" s="226"/>
      <x:c r="U153" s="226"/>
      <x:c r="V153" s="226"/>
      <x:c r="W153" s="226"/>
      <x:c r="X153" s="226"/>
      <x:c r="Y153" s="226"/>
      <x:c r="Z153" s="226"/>
    </x:row>
    <x:row r="154">
      <x:c r="A154" s="226"/>
      <x:c r="B154" s="226"/>
      <x:c r="C154" s="226"/>
      <x:c r="D154" s="226"/>
      <x:c r="E154" s="226"/>
      <x:c r="F154" s="226"/>
      <x:c r="G154" s="226"/>
      <x:c r="H154" s="226"/>
      <x:c r="I154" s="226"/>
      <x:c r="J154" s="226"/>
      <x:c r="K154" s="226"/>
      <x:c r="L154" s="226"/>
      <x:c r="M154" s="226"/>
      <x:c r="N154" s="226"/>
      <x:c r="O154" s="226"/>
      <x:c r="P154" s="226"/>
      <x:c r="Q154" s="226"/>
      <x:c r="R154" s="226"/>
      <x:c r="S154" s="226"/>
      <x:c r="T154" s="226"/>
      <x:c r="U154" s="226"/>
      <x:c r="V154" s="226"/>
      <x:c r="W154" s="226"/>
      <x:c r="X154" s="226"/>
      <x:c r="Y154" s="226"/>
      <x:c r="Z154" s="226"/>
    </x:row>
    <x:row r="155">
      <x:c r="A155" s="226"/>
      <x:c r="B155" s="226"/>
      <x:c r="C155" s="226"/>
      <x:c r="D155" s="226"/>
      <x:c r="E155" s="226"/>
      <x:c r="F155" s="226"/>
      <x:c r="G155" s="226"/>
      <x:c r="H155" s="226"/>
      <x:c r="I155" s="226"/>
      <x:c r="J155" s="226"/>
      <x:c r="K155" s="226"/>
      <x:c r="L155" s="226"/>
      <x:c r="M155" s="226"/>
      <x:c r="N155" s="226"/>
      <x:c r="O155" s="226"/>
      <x:c r="P155" s="226"/>
      <x:c r="Q155" s="226"/>
      <x:c r="R155" s="226"/>
      <x:c r="S155" s="226"/>
      <x:c r="T155" s="226"/>
      <x:c r="U155" s="226"/>
      <x:c r="V155" s="226"/>
      <x:c r="W155" s="226"/>
      <x:c r="X155" s="226"/>
      <x:c r="Y155" s="226"/>
      <x:c r="Z155" s="226"/>
    </x:row>
    <x:row r="156">
      <x:c r="A156" s="226"/>
      <x:c r="B156" s="226"/>
      <x:c r="C156" s="226"/>
      <x:c r="D156" s="226"/>
      <x:c r="E156" s="226"/>
      <x:c r="F156" s="226"/>
      <x:c r="G156" s="226"/>
      <x:c r="H156" s="226"/>
      <x:c r="I156" s="226"/>
      <x:c r="J156" s="226"/>
      <x:c r="K156" s="226"/>
      <x:c r="L156" s="226"/>
      <x:c r="M156" s="226"/>
      <x:c r="N156" s="226"/>
      <x:c r="O156" s="226"/>
      <x:c r="P156" s="226"/>
      <x:c r="Q156" s="226"/>
      <x:c r="R156" s="226"/>
      <x:c r="S156" s="226"/>
      <x:c r="T156" s="226"/>
      <x:c r="U156" s="226"/>
      <x:c r="V156" s="226"/>
      <x:c r="W156" s="226"/>
      <x:c r="X156" s="226"/>
      <x:c r="Y156" s="226"/>
      <x:c r="Z156" s="226"/>
    </x:row>
    <x:row r="157">
      <x:c r="A157" s="226"/>
      <x:c r="B157" s="226"/>
      <x:c r="C157" s="226"/>
      <x:c r="D157" s="226"/>
      <x:c r="E157" s="226"/>
      <x:c r="F157" s="226"/>
      <x:c r="G157" s="226"/>
      <x:c r="H157" s="226"/>
      <x:c r="I157" s="226"/>
      <x:c r="J157" s="226"/>
      <x:c r="K157" s="226"/>
      <x:c r="L157" s="226"/>
      <x:c r="M157" s="226"/>
      <x:c r="N157" s="226"/>
      <x:c r="O157" s="226"/>
      <x:c r="P157" s="226"/>
      <x:c r="Q157" s="226"/>
      <x:c r="R157" s="226"/>
      <x:c r="S157" s="226"/>
      <x:c r="T157" s="226"/>
      <x:c r="U157" s="226"/>
      <x:c r="V157" s="226"/>
      <x:c r="W157" s="226"/>
      <x:c r="X157" s="226"/>
      <x:c r="Y157" s="226"/>
      <x:c r="Z157" s="226"/>
    </x:row>
    <x:row r="158">
      <x:c r="A158" s="226"/>
      <x:c r="B158" s="226"/>
      <x:c r="C158" s="226"/>
      <x:c r="D158" s="226"/>
      <x:c r="E158" s="226"/>
      <x:c r="F158" s="226"/>
      <x:c r="G158" s="226"/>
      <x:c r="H158" s="226"/>
      <x:c r="I158" s="226"/>
      <x:c r="J158" s="226"/>
      <x:c r="K158" s="226"/>
      <x:c r="L158" s="226"/>
      <x:c r="M158" s="226"/>
      <x:c r="N158" s="226"/>
      <x:c r="O158" s="226"/>
      <x:c r="P158" s="226"/>
      <x:c r="Q158" s="226"/>
      <x:c r="R158" s="226"/>
      <x:c r="S158" s="226"/>
      <x:c r="T158" s="226"/>
      <x:c r="U158" s="226"/>
      <x:c r="V158" s="226"/>
      <x:c r="W158" s="226"/>
      <x:c r="X158" s="226"/>
      <x:c r="Y158" s="226"/>
      <x:c r="Z158" s="226"/>
    </x:row>
    <x:row r="159">
      <x:c r="A159" s="226"/>
      <x:c r="B159" s="226"/>
      <x:c r="C159" s="226"/>
      <x:c r="D159" s="226"/>
      <x:c r="E159" s="226"/>
      <x:c r="F159" s="226"/>
      <x:c r="G159" s="226"/>
      <x:c r="H159" s="226"/>
      <x:c r="I159" s="226"/>
      <x:c r="J159" s="226"/>
      <x:c r="K159" s="226"/>
      <x:c r="L159" s="226"/>
      <x:c r="M159" s="226"/>
      <x:c r="N159" s="226"/>
      <x:c r="O159" s="226"/>
      <x:c r="P159" s="226"/>
      <x:c r="Q159" s="226"/>
      <x:c r="R159" s="226"/>
      <x:c r="S159" s="226"/>
      <x:c r="T159" s="226"/>
      <x:c r="U159" s="226"/>
      <x:c r="V159" s="226"/>
      <x:c r="W159" s="226"/>
      <x:c r="X159" s="226"/>
      <x:c r="Y159" s="226"/>
      <x:c r="Z159" s="226"/>
    </x:row>
    <x:row r="160">
      <x:c r="A160" s="226"/>
      <x:c r="B160" s="226"/>
      <x:c r="C160" s="226"/>
      <x:c r="D160" s="226"/>
      <x:c r="E160" s="226"/>
      <x:c r="F160" s="226"/>
      <x:c r="G160" s="226"/>
      <x:c r="H160" s="226"/>
      <x:c r="I160" s="226"/>
      <x:c r="J160" s="226"/>
      <x:c r="K160" s="226"/>
      <x:c r="L160" s="226"/>
      <x:c r="M160" s="226"/>
      <x:c r="N160" s="226"/>
      <x:c r="O160" s="226"/>
      <x:c r="P160" s="226"/>
      <x:c r="Q160" s="226"/>
      <x:c r="R160" s="226"/>
      <x:c r="S160" s="226"/>
      <x:c r="T160" s="226"/>
      <x:c r="U160" s="226"/>
      <x:c r="V160" s="226"/>
      <x:c r="W160" s="226"/>
      <x:c r="X160" s="226"/>
      <x:c r="Y160" s="226"/>
      <x:c r="Z160" s="226"/>
    </x:row>
    <x:row r="161">
      <x:c r="A161" s="226"/>
      <x:c r="B161" s="226"/>
      <x:c r="C161" s="226"/>
      <x:c r="D161" s="226"/>
      <x:c r="E161" s="226"/>
      <x:c r="F161" s="226"/>
      <x:c r="G161" s="226"/>
      <x:c r="H161" s="226"/>
      <x:c r="I161" s="226"/>
      <x:c r="J161" s="226"/>
      <x:c r="K161" s="226"/>
      <x:c r="L161" s="226"/>
      <x:c r="M161" s="226"/>
      <x:c r="N161" s="226"/>
      <x:c r="O161" s="226"/>
      <x:c r="P161" s="226"/>
      <x:c r="Q161" s="226"/>
      <x:c r="R161" s="226"/>
      <x:c r="S161" s="226"/>
      <x:c r="T161" s="226"/>
      <x:c r="U161" s="226"/>
      <x:c r="V161" s="226"/>
      <x:c r="W161" s="226"/>
      <x:c r="X161" s="226"/>
      <x:c r="Y161" s="226"/>
      <x:c r="Z161" s="226"/>
    </x:row>
    <x:row r="162">
      <x:c r="A162" s="226"/>
      <x:c r="B162" s="226"/>
      <x:c r="C162" s="226"/>
      <x:c r="D162" s="226"/>
      <x:c r="E162" s="226"/>
      <x:c r="F162" s="226"/>
      <x:c r="G162" s="226"/>
      <x:c r="H162" s="226"/>
      <x:c r="I162" s="226"/>
      <x:c r="J162" s="226"/>
      <x:c r="K162" s="226"/>
      <x:c r="L162" s="226"/>
      <x:c r="M162" s="226"/>
      <x:c r="N162" s="226"/>
      <x:c r="O162" s="226"/>
      <x:c r="P162" s="226"/>
      <x:c r="Q162" s="226"/>
      <x:c r="R162" s="226"/>
      <x:c r="S162" s="226"/>
      <x:c r="T162" s="226"/>
      <x:c r="U162" s="226"/>
      <x:c r="V162" s="226"/>
      <x:c r="W162" s="226"/>
      <x:c r="X162" s="226"/>
      <x:c r="Y162" s="226"/>
      <x:c r="Z162" s="226"/>
    </x:row>
    <x:row r="163">
      <x:c r="A163" s="226"/>
      <x:c r="B163" s="226"/>
      <x:c r="C163" s="226"/>
      <x:c r="D163" s="226"/>
      <x:c r="E163" s="226"/>
      <x:c r="F163" s="226"/>
      <x:c r="G163" s="226"/>
      <x:c r="H163" s="226"/>
      <x:c r="I163" s="226"/>
      <x:c r="J163" s="226"/>
      <x:c r="K163" s="226"/>
      <x:c r="L163" s="226"/>
      <x:c r="M163" s="226"/>
      <x:c r="N163" s="226"/>
      <x:c r="O163" s="226"/>
      <x:c r="P163" s="226"/>
      <x:c r="Q163" s="226"/>
      <x:c r="R163" s="226"/>
      <x:c r="S163" s="226"/>
      <x:c r="T163" s="226"/>
      <x:c r="U163" s="226"/>
      <x:c r="V163" s="226"/>
      <x:c r="W163" s="226"/>
      <x:c r="X163" s="226"/>
      <x:c r="Y163" s="226"/>
      <x:c r="Z163" s="226"/>
    </x:row>
    <x:row r="164">
      <x:c r="A164" s="226"/>
      <x:c r="B164" s="226"/>
      <x:c r="C164" s="226"/>
      <x:c r="D164" s="226"/>
      <x:c r="E164" s="226"/>
      <x:c r="F164" s="226"/>
      <x:c r="G164" s="226"/>
      <x:c r="H164" s="226"/>
      <x:c r="I164" s="226"/>
      <x:c r="J164" s="226"/>
      <x:c r="K164" s="226"/>
      <x:c r="L164" s="226"/>
      <x:c r="M164" s="226"/>
      <x:c r="N164" s="226"/>
      <x:c r="O164" s="226"/>
      <x:c r="P164" s="226"/>
      <x:c r="Q164" s="226"/>
      <x:c r="R164" s="226"/>
      <x:c r="S164" s="226"/>
      <x:c r="T164" s="226"/>
      <x:c r="U164" s="226"/>
      <x:c r="V164" s="226"/>
      <x:c r="W164" s="226"/>
      <x:c r="X164" s="226"/>
      <x:c r="Y164" s="226"/>
      <x:c r="Z164" s="226"/>
    </x:row>
    <x:row r="165">
      <x:c r="A165" s="226"/>
      <x:c r="B165" s="226"/>
      <x:c r="C165" s="226"/>
      <x:c r="D165" s="226"/>
      <x:c r="E165" s="226"/>
      <x:c r="F165" s="226"/>
      <x:c r="G165" s="226"/>
      <x:c r="H165" s="226"/>
      <x:c r="I165" s="226"/>
      <x:c r="J165" s="226"/>
      <x:c r="K165" s="226"/>
      <x:c r="L165" s="226"/>
      <x:c r="M165" s="226"/>
      <x:c r="N165" s="226"/>
      <x:c r="O165" s="226"/>
      <x:c r="P165" s="226"/>
      <x:c r="Q165" s="226"/>
      <x:c r="R165" s="226"/>
      <x:c r="S165" s="226"/>
      <x:c r="T165" s="226"/>
      <x:c r="U165" s="226"/>
      <x:c r="V165" s="226"/>
      <x:c r="W165" s="226"/>
      <x:c r="X165" s="226"/>
      <x:c r="Y165" s="226"/>
      <x:c r="Z165" s="226"/>
    </x:row>
    <x:row r="166">
      <x:c r="A166" s="226"/>
      <x:c r="B166" s="226"/>
      <x:c r="C166" s="226"/>
      <x:c r="D166" s="226"/>
      <x:c r="E166" s="226"/>
      <x:c r="F166" s="226"/>
      <x:c r="G166" s="226"/>
      <x:c r="H166" s="226"/>
      <x:c r="I166" s="226"/>
      <x:c r="J166" s="226"/>
      <x:c r="K166" s="226"/>
      <x:c r="L166" s="226"/>
      <x:c r="M166" s="226"/>
      <x:c r="N166" s="226"/>
      <x:c r="O166" s="226"/>
      <x:c r="P166" s="226"/>
      <x:c r="Q166" s="226"/>
      <x:c r="R166" s="226"/>
      <x:c r="S166" s="226"/>
      <x:c r="T166" s="226"/>
      <x:c r="U166" s="226"/>
      <x:c r="V166" s="226"/>
      <x:c r="W166" s="226"/>
      <x:c r="X166" s="226"/>
      <x:c r="Y166" s="226"/>
      <x:c r="Z166" s="226"/>
    </x:row>
    <x:row r="167">
      <x:c r="A167" s="226"/>
      <x:c r="B167" s="226"/>
      <x:c r="C167" s="226"/>
      <x:c r="D167" s="226"/>
      <x:c r="E167" s="226"/>
      <x:c r="F167" s="226"/>
      <x:c r="G167" s="226"/>
      <x:c r="H167" s="226"/>
      <x:c r="I167" s="226"/>
      <x:c r="J167" s="226"/>
      <x:c r="K167" s="226"/>
      <x:c r="L167" s="226"/>
      <x:c r="M167" s="226"/>
      <x:c r="N167" s="226"/>
      <x:c r="O167" s="226"/>
      <x:c r="P167" s="226"/>
      <x:c r="Q167" s="226"/>
      <x:c r="R167" s="226"/>
      <x:c r="S167" s="226"/>
      <x:c r="T167" s="226"/>
      <x:c r="U167" s="226"/>
      <x:c r="V167" s="226"/>
      <x:c r="W167" s="226"/>
      <x:c r="X167" s="226"/>
      <x:c r="Y167" s="226"/>
      <x:c r="Z167" s="226"/>
    </x:row>
    <x:row r="168">
      <x:c r="A168" s="226"/>
      <x:c r="B168" s="226"/>
      <x:c r="C168" s="226"/>
      <x:c r="D168" s="226"/>
      <x:c r="E168" s="226"/>
      <x:c r="F168" s="226"/>
      <x:c r="G168" s="226"/>
      <x:c r="H168" s="226"/>
      <x:c r="I168" s="226"/>
      <x:c r="J168" s="226"/>
      <x:c r="K168" s="226"/>
      <x:c r="L168" s="226"/>
      <x:c r="M168" s="226"/>
      <x:c r="N168" s="226"/>
      <x:c r="O168" s="226"/>
      <x:c r="P168" s="226"/>
      <x:c r="Q168" s="226"/>
      <x:c r="R168" s="226"/>
      <x:c r="S168" s="226"/>
      <x:c r="T168" s="226"/>
      <x:c r="U168" s="226"/>
      <x:c r="V168" s="226"/>
      <x:c r="W168" s="226"/>
      <x:c r="X168" s="226"/>
      <x:c r="Y168" s="226"/>
      <x:c r="Z168" s="226"/>
    </x:row>
    <x:row r="169">
      <x:c r="A169" s="226"/>
      <x:c r="B169" s="226"/>
      <x:c r="C169" s="226"/>
      <x:c r="D169" s="226"/>
      <x:c r="E169" s="226"/>
      <x:c r="F169" s="226"/>
      <x:c r="G169" s="226"/>
      <x:c r="H169" s="226"/>
      <x:c r="I169" s="226"/>
      <x:c r="J169" s="226"/>
      <x:c r="K169" s="226"/>
      <x:c r="L169" s="226"/>
      <x:c r="M169" s="226"/>
      <x:c r="N169" s="226"/>
      <x:c r="O169" s="226"/>
      <x:c r="P169" s="226"/>
      <x:c r="Q169" s="226"/>
      <x:c r="R169" s="226"/>
      <x:c r="S169" s="226"/>
      <x:c r="T169" s="226"/>
      <x:c r="U169" s="226"/>
      <x:c r="V169" s="226"/>
      <x:c r="W169" s="226"/>
      <x:c r="X169" s="226"/>
      <x:c r="Y169" s="226"/>
      <x:c r="Z169" s="226"/>
    </x:row>
    <x:row r="170">
      <x:c r="A170" s="226"/>
      <x:c r="B170" s="226"/>
      <x:c r="C170" s="226"/>
      <x:c r="D170" s="226"/>
      <x:c r="E170" s="226"/>
      <x:c r="F170" s="226"/>
      <x:c r="G170" s="226"/>
      <x:c r="H170" s="226"/>
      <x:c r="I170" s="226"/>
      <x:c r="J170" s="226"/>
      <x:c r="K170" s="226"/>
      <x:c r="L170" s="226"/>
      <x:c r="M170" s="226"/>
      <x:c r="N170" s="226"/>
      <x:c r="O170" s="226"/>
      <x:c r="P170" s="226"/>
      <x:c r="Q170" s="226"/>
      <x:c r="R170" s="226"/>
      <x:c r="S170" s="226"/>
      <x:c r="T170" s="226"/>
      <x:c r="U170" s="226"/>
      <x:c r="V170" s="226"/>
      <x:c r="W170" s="226"/>
      <x:c r="X170" s="226"/>
      <x:c r="Y170" s="226"/>
      <x:c r="Z170" s="226"/>
    </x:row>
    <x:row r="171">
      <x:c r="A171" s="226"/>
      <x:c r="B171" s="226"/>
      <x:c r="C171" s="226"/>
      <x:c r="D171" s="226"/>
      <x:c r="E171" s="226"/>
      <x:c r="F171" s="226"/>
      <x:c r="G171" s="226"/>
      <x:c r="H171" s="226"/>
      <x:c r="I171" s="226"/>
      <x:c r="J171" s="226"/>
      <x:c r="K171" s="226"/>
      <x:c r="L171" s="226"/>
      <x:c r="M171" s="226"/>
      <x:c r="N171" s="226"/>
      <x:c r="O171" s="226"/>
      <x:c r="P171" s="226"/>
      <x:c r="Q171" s="226"/>
      <x:c r="R171" s="226"/>
      <x:c r="S171" s="226"/>
      <x:c r="T171" s="226"/>
      <x:c r="U171" s="226"/>
      <x:c r="V171" s="226"/>
      <x:c r="W171" s="226"/>
      <x:c r="X171" s="226"/>
      <x:c r="Y171" s="226"/>
      <x:c r="Z171" s="226"/>
    </x:row>
    <x:row r="172">
      <x:c r="A172" s="226"/>
      <x:c r="B172" s="226"/>
      <x:c r="C172" s="226"/>
      <x:c r="D172" s="226"/>
      <x:c r="E172" s="226"/>
      <x:c r="F172" s="226"/>
      <x:c r="G172" s="226"/>
      <x:c r="H172" s="226"/>
      <x:c r="I172" s="226"/>
      <x:c r="J172" s="226"/>
      <x:c r="K172" s="226"/>
      <x:c r="L172" s="226"/>
      <x:c r="M172" s="226"/>
      <x:c r="N172" s="226"/>
      <x:c r="O172" s="226"/>
      <x:c r="P172" s="226"/>
      <x:c r="Q172" s="226"/>
      <x:c r="R172" s="226"/>
      <x:c r="S172" s="226"/>
      <x:c r="T172" s="226"/>
      <x:c r="U172" s="226"/>
      <x:c r="V172" s="226"/>
      <x:c r="W172" s="226"/>
      <x:c r="X172" s="226"/>
      <x:c r="Y172" s="226"/>
      <x:c r="Z172" s="226"/>
    </x:row>
    <x:row r="173">
      <x:c r="A173" s="226"/>
      <x:c r="B173" s="226"/>
      <x:c r="C173" s="226"/>
      <x:c r="D173" s="226"/>
      <x:c r="E173" s="226"/>
      <x:c r="F173" s="226"/>
      <x:c r="G173" s="226"/>
      <x:c r="H173" s="226"/>
      <x:c r="I173" s="226"/>
      <x:c r="J173" s="226"/>
      <x:c r="K173" s="226"/>
      <x:c r="L173" s="226"/>
      <x:c r="M173" s="226"/>
      <x:c r="N173" s="226"/>
      <x:c r="O173" s="226"/>
      <x:c r="P173" s="226"/>
      <x:c r="Q173" s="226"/>
      <x:c r="R173" s="226"/>
      <x:c r="S173" s="226"/>
      <x:c r="T173" s="226"/>
      <x:c r="U173" s="226"/>
      <x:c r="V173" s="226"/>
      <x:c r="W173" s="226"/>
      <x:c r="X173" s="226"/>
      <x:c r="Y173" s="226"/>
      <x:c r="Z173" s="226"/>
    </x:row>
    <x:row r="174">
      <x:c r="A174" s="226"/>
      <x:c r="B174" s="226"/>
      <x:c r="C174" s="226"/>
      <x:c r="D174" s="226"/>
      <x:c r="E174" s="226"/>
      <x:c r="F174" s="226"/>
      <x:c r="G174" s="226"/>
      <x:c r="H174" s="226"/>
      <x:c r="I174" s="226"/>
      <x:c r="J174" s="226"/>
      <x:c r="K174" s="226"/>
      <x:c r="L174" s="226"/>
      <x:c r="M174" s="226"/>
      <x:c r="N174" s="226"/>
      <x:c r="O174" s="226"/>
      <x:c r="P174" s="226"/>
      <x:c r="Q174" s="226"/>
      <x:c r="R174" s="226"/>
      <x:c r="S174" s="226"/>
      <x:c r="T174" s="226"/>
      <x:c r="U174" s="226"/>
      <x:c r="V174" s="226"/>
      <x:c r="W174" s="226"/>
      <x:c r="X174" s="226"/>
      <x:c r="Y174" s="226"/>
      <x:c r="Z174" s="226"/>
    </x:row>
    <x:row r="175">
      <x:c r="A175" s="226"/>
      <x:c r="B175" s="226"/>
      <x:c r="C175" s="226"/>
      <x:c r="D175" s="226"/>
      <x:c r="E175" s="226"/>
      <x:c r="F175" s="226"/>
      <x:c r="G175" s="226"/>
      <x:c r="H175" s="226"/>
      <x:c r="I175" s="226"/>
      <x:c r="J175" s="226"/>
      <x:c r="K175" s="226"/>
      <x:c r="L175" s="226"/>
      <x:c r="M175" s="226"/>
      <x:c r="N175" s="226"/>
      <x:c r="O175" s="226"/>
      <x:c r="P175" s="226"/>
      <x:c r="Q175" s="226"/>
      <x:c r="R175" s="226"/>
      <x:c r="S175" s="226"/>
      <x:c r="T175" s="226"/>
      <x:c r="U175" s="226"/>
      <x:c r="V175" s="226"/>
      <x:c r="W175" s="226"/>
      <x:c r="X175" s="226"/>
      <x:c r="Y175" s="226"/>
      <x:c r="Z175" s="226"/>
    </x:row>
    <x:row r="176">
      <x:c r="A176" s="226"/>
      <x:c r="B176" s="226"/>
      <x:c r="C176" s="226"/>
      <x:c r="D176" s="226"/>
      <x:c r="E176" s="226"/>
      <x:c r="F176" s="226"/>
      <x:c r="G176" s="226"/>
      <x:c r="H176" s="226"/>
      <x:c r="I176" s="226"/>
      <x:c r="J176" s="226"/>
      <x:c r="K176" s="226"/>
      <x:c r="L176" s="226"/>
      <x:c r="M176" s="226"/>
      <x:c r="N176" s="226"/>
      <x:c r="O176" s="226"/>
      <x:c r="P176" s="226"/>
      <x:c r="Q176" s="226"/>
      <x:c r="R176" s="226"/>
      <x:c r="S176" s="226"/>
      <x:c r="T176" s="226"/>
      <x:c r="U176" s="226"/>
      <x:c r="V176" s="226"/>
      <x:c r="W176" s="226"/>
      <x:c r="X176" s="226"/>
      <x:c r="Y176" s="226"/>
      <x:c r="Z176" s="226"/>
    </x:row>
    <x:row r="177">
      <x:c r="A177" s="226"/>
      <x:c r="B177" s="226"/>
      <x:c r="C177" s="226"/>
      <x:c r="D177" s="226"/>
      <x:c r="E177" s="226"/>
      <x:c r="F177" s="226"/>
      <x:c r="G177" s="226"/>
      <x:c r="H177" s="226"/>
      <x:c r="I177" s="226"/>
      <x:c r="J177" s="226"/>
      <x:c r="K177" s="226"/>
      <x:c r="L177" s="226"/>
      <x:c r="M177" s="226"/>
      <x:c r="N177" s="226"/>
      <x:c r="O177" s="226"/>
      <x:c r="P177" s="226"/>
      <x:c r="Q177" s="226"/>
      <x:c r="R177" s="226"/>
      <x:c r="S177" s="226"/>
      <x:c r="T177" s="226"/>
      <x:c r="U177" s="226"/>
      <x:c r="V177" s="226"/>
      <x:c r="W177" s="226"/>
      <x:c r="X177" s="226"/>
      <x:c r="Y177" s="226"/>
      <x:c r="Z177" s="226"/>
    </x:row>
    <x:row r="178">
      <x:c r="A178" s="226"/>
      <x:c r="B178" s="226"/>
      <x:c r="C178" s="226"/>
      <x:c r="D178" s="226"/>
      <x:c r="E178" s="226"/>
      <x:c r="F178" s="226"/>
      <x:c r="G178" s="226"/>
      <x:c r="H178" s="226"/>
      <x:c r="I178" s="226"/>
      <x:c r="J178" s="226"/>
      <x:c r="K178" s="226"/>
      <x:c r="L178" s="226"/>
      <x:c r="M178" s="226"/>
      <x:c r="N178" s="226"/>
      <x:c r="O178" s="226"/>
      <x:c r="P178" s="226"/>
      <x:c r="Q178" s="226"/>
      <x:c r="R178" s="226"/>
      <x:c r="S178" s="226"/>
      <x:c r="T178" s="226"/>
      <x:c r="U178" s="226"/>
      <x:c r="V178" s="226"/>
      <x:c r="W178" s="226"/>
      <x:c r="X178" s="226"/>
      <x:c r="Y178" s="226"/>
      <x:c r="Z178" s="226"/>
    </x:row>
    <x:row r="179">
      <x:c r="A179" s="226"/>
      <x:c r="B179" s="226"/>
      <x:c r="C179" s="226"/>
      <x:c r="D179" s="226"/>
      <x:c r="E179" s="226"/>
      <x:c r="F179" s="226"/>
      <x:c r="G179" s="226"/>
      <x:c r="H179" s="226"/>
      <x:c r="I179" s="226"/>
      <x:c r="J179" s="226"/>
      <x:c r="K179" s="226"/>
      <x:c r="L179" s="226"/>
      <x:c r="M179" s="226"/>
      <x:c r="N179" s="226"/>
      <x:c r="O179" s="226"/>
      <x:c r="P179" s="226"/>
      <x:c r="Q179" s="226"/>
      <x:c r="R179" s="226"/>
      <x:c r="S179" s="226"/>
      <x:c r="T179" s="226"/>
      <x:c r="U179" s="226"/>
      <x:c r="V179" s="226"/>
      <x:c r="W179" s="226"/>
      <x:c r="X179" s="226"/>
      <x:c r="Y179" s="226"/>
      <x:c r="Z179" s="226"/>
    </x:row>
    <x:row r="180">
      <x:c r="A180" s="226"/>
      <x:c r="B180" s="226"/>
      <x:c r="C180" s="226"/>
      <x:c r="D180" s="226"/>
      <x:c r="E180" s="226"/>
      <x:c r="F180" s="226"/>
      <x:c r="G180" s="226"/>
      <x:c r="H180" s="226"/>
      <x:c r="I180" s="226"/>
      <x:c r="J180" s="226"/>
      <x:c r="K180" s="226"/>
      <x:c r="L180" s="226"/>
      <x:c r="M180" s="226"/>
      <x:c r="N180" s="226"/>
      <x:c r="O180" s="226"/>
      <x:c r="P180" s="226"/>
      <x:c r="Q180" s="226"/>
      <x:c r="R180" s="226"/>
      <x:c r="S180" s="226"/>
      <x:c r="T180" s="226"/>
      <x:c r="U180" s="226"/>
      <x:c r="V180" s="226"/>
      <x:c r="W180" s="226"/>
      <x:c r="X180" s="226"/>
      <x:c r="Y180" s="226"/>
      <x:c r="Z180" s="226"/>
    </x:row>
    <x:row r="181">
      <x:c r="A181" s="226"/>
      <x:c r="B181" s="226"/>
      <x:c r="C181" s="226"/>
      <x:c r="D181" s="226"/>
      <x:c r="E181" s="226"/>
      <x:c r="F181" s="226"/>
      <x:c r="G181" s="226"/>
      <x:c r="H181" s="226"/>
      <x:c r="I181" s="226"/>
      <x:c r="J181" s="226"/>
      <x:c r="K181" s="226"/>
      <x:c r="L181" s="226"/>
      <x:c r="M181" s="226"/>
      <x:c r="N181" s="226"/>
      <x:c r="O181" s="226"/>
      <x:c r="P181" s="226"/>
      <x:c r="Q181" s="226"/>
      <x:c r="R181" s="226"/>
      <x:c r="S181" s="226"/>
      <x:c r="T181" s="226"/>
      <x:c r="U181" s="226"/>
      <x:c r="V181" s="226"/>
      <x:c r="W181" s="226"/>
      <x:c r="X181" s="226"/>
      <x:c r="Y181" s="226"/>
      <x:c r="Z181" s="226"/>
    </x:row>
    <x:row r="182">
      <x:c r="A182" s="226"/>
      <x:c r="B182" s="226"/>
      <x:c r="C182" s="226"/>
      <x:c r="D182" s="226"/>
      <x:c r="E182" s="226"/>
      <x:c r="F182" s="226"/>
      <x:c r="G182" s="226"/>
      <x:c r="H182" s="226"/>
      <x:c r="I182" s="226"/>
      <x:c r="J182" s="226"/>
      <x:c r="K182" s="226"/>
      <x:c r="L182" s="226"/>
      <x:c r="M182" s="226"/>
      <x:c r="N182" s="226"/>
      <x:c r="O182" s="226"/>
      <x:c r="P182" s="226"/>
      <x:c r="Q182" s="226"/>
      <x:c r="R182" s="226"/>
      <x:c r="S182" s="226"/>
      <x:c r="T182" s="226"/>
      <x:c r="U182" s="226"/>
      <x:c r="V182" s="226"/>
      <x:c r="W182" s="226"/>
      <x:c r="X182" s="226"/>
      <x:c r="Y182" s="226"/>
      <x:c r="Z182" s="226"/>
    </x:row>
    <x:row r="183">
      <x:c r="A183" s="226"/>
      <x:c r="B183" s="226"/>
      <x:c r="C183" s="226"/>
      <x:c r="D183" s="226"/>
      <x:c r="E183" s="226"/>
      <x:c r="F183" s="226"/>
      <x:c r="G183" s="226"/>
      <x:c r="H183" s="226"/>
      <x:c r="I183" s="226"/>
      <x:c r="J183" s="226"/>
      <x:c r="K183" s="226"/>
      <x:c r="L183" s="226"/>
      <x:c r="M183" s="226"/>
      <x:c r="N183" s="226"/>
      <x:c r="O183" s="226"/>
      <x:c r="P183" s="226"/>
      <x:c r="Q183" s="226"/>
      <x:c r="R183" s="226"/>
      <x:c r="S183" s="226"/>
      <x:c r="T183" s="226"/>
      <x:c r="U183" s="226"/>
      <x:c r="V183" s="226"/>
      <x:c r="W183" s="226"/>
      <x:c r="X183" s="226"/>
      <x:c r="Y183" s="226"/>
      <x:c r="Z183" s="226"/>
    </x:row>
    <x:row r="184">
      <x:c r="A184" s="226"/>
      <x:c r="B184" s="226"/>
      <x:c r="C184" s="226"/>
      <x:c r="D184" s="226"/>
      <x:c r="E184" s="226"/>
      <x:c r="F184" s="226"/>
      <x:c r="G184" s="226"/>
      <x:c r="H184" s="226"/>
      <x:c r="I184" s="226"/>
      <x:c r="J184" s="226"/>
      <x:c r="K184" s="226"/>
      <x:c r="L184" s="226"/>
      <x:c r="M184" s="226"/>
      <x:c r="N184" s="226"/>
      <x:c r="O184" s="226"/>
      <x:c r="P184" s="226"/>
      <x:c r="Q184" s="226"/>
      <x:c r="R184" s="226"/>
      <x:c r="S184" s="226"/>
      <x:c r="T184" s="226"/>
      <x:c r="U184" s="226"/>
      <x:c r="V184" s="226"/>
      <x:c r="W184" s="226"/>
      <x:c r="X184" s="226"/>
      <x:c r="Y184" s="226"/>
      <x:c r="Z184" s="226"/>
    </x:row>
    <x:row r="185">
      <x:c r="A185" s="226"/>
      <x:c r="B185" s="226"/>
      <x:c r="C185" s="226"/>
      <x:c r="D185" s="226"/>
      <x:c r="E185" s="226"/>
      <x:c r="F185" s="226"/>
      <x:c r="G185" s="226"/>
      <x:c r="H185" s="226"/>
      <x:c r="I185" s="226"/>
      <x:c r="J185" s="226"/>
      <x:c r="K185" s="226"/>
      <x:c r="L185" s="226"/>
      <x:c r="M185" s="226"/>
      <x:c r="N185" s="226"/>
      <x:c r="O185" s="226"/>
      <x:c r="P185" s="226"/>
      <x:c r="Q185" s="226"/>
      <x:c r="R185" s="226"/>
      <x:c r="S185" s="226"/>
      <x:c r="T185" s="226"/>
      <x:c r="U185" s="226"/>
      <x:c r="V185" s="226"/>
      <x:c r="W185" s="226"/>
      <x:c r="X185" s="226"/>
      <x:c r="Y185" s="226"/>
      <x:c r="Z185" s="226"/>
    </x:row>
    <x:row r="186">
      <x:c r="A186" s="226"/>
      <x:c r="B186" s="226"/>
      <x:c r="C186" s="226"/>
      <x:c r="D186" s="226"/>
      <x:c r="E186" s="226"/>
      <x:c r="F186" s="226"/>
      <x:c r="G186" s="226"/>
      <x:c r="H186" s="226"/>
      <x:c r="I186" s="226"/>
      <x:c r="J186" s="226"/>
      <x:c r="K186" s="226"/>
      <x:c r="L186" s="226"/>
      <x:c r="M186" s="226"/>
      <x:c r="N186" s="226"/>
      <x:c r="O186" s="226"/>
      <x:c r="P186" s="226"/>
      <x:c r="Q186" s="226"/>
      <x:c r="R186" s="226"/>
      <x:c r="S186" s="226"/>
      <x:c r="T186" s="226"/>
      <x:c r="U186" s="226"/>
      <x:c r="V186" s="226"/>
      <x:c r="W186" s="226"/>
      <x:c r="X186" s="226"/>
      <x:c r="Y186" s="226"/>
      <x:c r="Z186" s="226"/>
    </x:row>
    <x:row r="187">
      <x:c r="A187" s="226"/>
      <x:c r="B187" s="226"/>
      <x:c r="C187" s="226"/>
      <x:c r="D187" s="226"/>
      <x:c r="E187" s="226"/>
      <x:c r="F187" s="226"/>
      <x:c r="G187" s="226"/>
      <x:c r="H187" s="226"/>
      <x:c r="I187" s="226"/>
      <x:c r="J187" s="226"/>
      <x:c r="K187" s="226"/>
      <x:c r="L187" s="226"/>
      <x:c r="M187" s="226"/>
      <x:c r="N187" s="226"/>
      <x:c r="O187" s="226"/>
      <x:c r="P187" s="226"/>
      <x:c r="Q187" s="226"/>
      <x:c r="R187" s="226"/>
      <x:c r="S187" s="226"/>
      <x:c r="T187" s="226"/>
      <x:c r="U187" s="226"/>
      <x:c r="V187" s="226"/>
      <x:c r="W187" s="226"/>
      <x:c r="X187" s="226"/>
      <x:c r="Y187" s="226"/>
      <x:c r="Z187" s="226"/>
    </x:row>
    <x:row r="188">
      <x:c r="A188" s="226"/>
      <x:c r="B188" s="226"/>
      <x:c r="C188" s="226"/>
      <x:c r="D188" s="226"/>
      <x:c r="E188" s="226"/>
      <x:c r="F188" s="226"/>
      <x:c r="G188" s="226"/>
      <x:c r="H188" s="226"/>
      <x:c r="I188" s="226"/>
      <x:c r="J188" s="226"/>
      <x:c r="K188" s="226"/>
      <x:c r="L188" s="226"/>
      <x:c r="M188" s="226"/>
      <x:c r="N188" s="226"/>
      <x:c r="O188" s="226"/>
      <x:c r="P188" s="226"/>
      <x:c r="Q188" s="226"/>
      <x:c r="R188" s="226"/>
      <x:c r="S188" s="226"/>
      <x:c r="T188" s="226"/>
      <x:c r="U188" s="226"/>
      <x:c r="V188" s="226"/>
      <x:c r="W188" s="226"/>
      <x:c r="X188" s="226"/>
      <x:c r="Y188" s="226"/>
      <x:c r="Z188" s="226"/>
    </x:row>
    <x:row r="189">
      <x:c r="A189" s="226"/>
      <x:c r="B189" s="226"/>
      <x:c r="C189" s="226"/>
      <x:c r="D189" s="226"/>
      <x:c r="E189" s="226"/>
      <x:c r="F189" s="226"/>
      <x:c r="G189" s="226"/>
      <x:c r="H189" s="226"/>
      <x:c r="I189" s="226"/>
      <x:c r="J189" s="226"/>
      <x:c r="K189" s="226"/>
      <x:c r="L189" s="226"/>
      <x:c r="M189" s="226"/>
      <x:c r="N189" s="226"/>
      <x:c r="O189" s="226"/>
      <x:c r="P189" s="226"/>
      <x:c r="Q189" s="226"/>
      <x:c r="R189" s="226"/>
      <x:c r="S189" s="226"/>
      <x:c r="T189" s="226"/>
      <x:c r="U189" s="226"/>
      <x:c r="V189" s="226"/>
      <x:c r="W189" s="226"/>
      <x:c r="X189" s="226"/>
      <x:c r="Y189" s="226"/>
      <x:c r="Z189" s="226"/>
    </x:row>
    <x:row r="190">
      <x:c r="A190" s="226"/>
      <x:c r="B190" s="226"/>
      <x:c r="C190" s="226"/>
      <x:c r="D190" s="226"/>
      <x:c r="E190" s="226"/>
      <x:c r="F190" s="226"/>
      <x:c r="G190" s="226"/>
      <x:c r="H190" s="226"/>
      <x:c r="I190" s="226"/>
      <x:c r="J190" s="226"/>
      <x:c r="K190" s="226"/>
      <x:c r="L190" s="226"/>
      <x:c r="M190" s="226"/>
      <x:c r="N190" s="226"/>
      <x:c r="O190" s="226"/>
      <x:c r="P190" s="226"/>
      <x:c r="Q190" s="226"/>
      <x:c r="R190" s="226"/>
      <x:c r="S190" s="226"/>
      <x:c r="T190" s="226"/>
      <x:c r="U190" s="226"/>
      <x:c r="V190" s="226"/>
      <x:c r="W190" s="226"/>
      <x:c r="X190" s="226"/>
      <x:c r="Y190" s="226"/>
      <x:c r="Z190" s="226"/>
    </x:row>
    <x:row r="191">
      <x:c r="A191" s="226"/>
      <x:c r="B191" s="226"/>
      <x:c r="C191" s="226"/>
      <x:c r="D191" s="226"/>
      <x:c r="E191" s="226"/>
      <x:c r="F191" s="226"/>
      <x:c r="G191" s="226"/>
      <x:c r="H191" s="226"/>
      <x:c r="I191" s="226"/>
      <x:c r="J191" s="226"/>
      <x:c r="K191" s="226"/>
      <x:c r="L191" s="226"/>
      <x:c r="M191" s="226"/>
      <x:c r="N191" s="226"/>
      <x:c r="O191" s="226"/>
      <x:c r="P191" s="226"/>
      <x:c r="Q191" s="226"/>
      <x:c r="R191" s="226"/>
      <x:c r="S191" s="226"/>
      <x:c r="T191" s="226"/>
      <x:c r="U191" s="226"/>
      <x:c r="V191" s="226"/>
      <x:c r="W191" s="226"/>
      <x:c r="X191" s="226"/>
      <x:c r="Y191" s="226"/>
      <x:c r="Z191" s="226"/>
    </x:row>
    <x:row r="192">
      <x:c r="A192" s="226"/>
      <x:c r="B192" s="226"/>
      <x:c r="C192" s="226"/>
      <x:c r="D192" s="226"/>
      <x:c r="E192" s="226"/>
      <x:c r="F192" s="226"/>
      <x:c r="G192" s="226"/>
      <x:c r="H192" s="226"/>
      <x:c r="I192" s="226"/>
      <x:c r="J192" s="226"/>
      <x:c r="K192" s="226"/>
      <x:c r="L192" s="226"/>
      <x:c r="M192" s="226"/>
      <x:c r="N192" s="226"/>
      <x:c r="O192" s="226"/>
      <x:c r="P192" s="226"/>
      <x:c r="Q192" s="226"/>
      <x:c r="R192" s="226"/>
      <x:c r="S192" s="226"/>
      <x:c r="T192" s="226"/>
      <x:c r="U192" s="226"/>
      <x:c r="V192" s="226"/>
      <x:c r="W192" s="226"/>
      <x:c r="X192" s="226"/>
      <x:c r="Y192" s="226"/>
      <x:c r="Z192" s="226"/>
    </x:row>
    <x:row r="193">
      <x:c r="A193" s="226"/>
      <x:c r="B193" s="226"/>
      <x:c r="C193" s="226"/>
      <x:c r="D193" s="226"/>
      <x:c r="E193" s="226"/>
      <x:c r="F193" s="226"/>
      <x:c r="G193" s="226"/>
      <x:c r="H193" s="226"/>
      <x:c r="I193" s="226"/>
      <x:c r="J193" s="226"/>
      <x:c r="K193" s="226"/>
      <x:c r="L193" s="226"/>
      <x:c r="M193" s="226"/>
      <x:c r="N193" s="226"/>
      <x:c r="O193" s="226"/>
      <x:c r="P193" s="226"/>
      <x:c r="Q193" s="226"/>
      <x:c r="R193" s="226"/>
      <x:c r="S193" s="226"/>
      <x:c r="T193" s="226"/>
      <x:c r="U193" s="226"/>
      <x:c r="V193" s="226"/>
      <x:c r="W193" s="226"/>
      <x:c r="X193" s="226"/>
      <x:c r="Y193" s="226"/>
      <x:c r="Z193" s="226"/>
    </x:row>
    <x:row r="194">
      <x:c r="A194" s="226"/>
      <x:c r="B194" s="226"/>
      <x:c r="C194" s="226"/>
      <x:c r="D194" s="226"/>
      <x:c r="E194" s="226"/>
      <x:c r="F194" s="226"/>
      <x:c r="G194" s="226"/>
      <x:c r="H194" s="226"/>
      <x:c r="I194" s="226"/>
      <x:c r="J194" s="226"/>
      <x:c r="K194" s="226"/>
      <x:c r="L194" s="226"/>
      <x:c r="M194" s="226"/>
      <x:c r="N194" s="226"/>
      <x:c r="O194" s="226"/>
      <x:c r="P194" s="226"/>
      <x:c r="Q194" s="226"/>
      <x:c r="R194" s="226"/>
      <x:c r="S194" s="226"/>
      <x:c r="T194" s="226"/>
      <x:c r="U194" s="226"/>
      <x:c r="V194" s="226"/>
      <x:c r="W194" s="226"/>
      <x:c r="X194" s="226"/>
      <x:c r="Y194" s="226"/>
      <x:c r="Z194" s="226"/>
    </x:row>
    <x:row r="195">
      <x:c r="A195" s="226"/>
      <x:c r="B195" s="226"/>
      <x:c r="C195" s="226"/>
      <x:c r="D195" s="226"/>
      <x:c r="E195" s="226"/>
      <x:c r="F195" s="226"/>
      <x:c r="G195" s="226"/>
      <x:c r="H195" s="226"/>
      <x:c r="I195" s="226"/>
      <x:c r="J195" s="226"/>
      <x:c r="K195" s="226"/>
      <x:c r="L195" s="226"/>
      <x:c r="M195" s="226"/>
      <x:c r="N195" s="226"/>
      <x:c r="O195" s="226"/>
      <x:c r="P195" s="226"/>
      <x:c r="Q195" s="226"/>
      <x:c r="R195" s="226"/>
      <x:c r="S195" s="226"/>
      <x:c r="T195" s="226"/>
      <x:c r="U195" s="226"/>
      <x:c r="V195" s="226"/>
      <x:c r="W195" s="226"/>
      <x:c r="X195" s="226"/>
      <x:c r="Y195" s="226"/>
      <x:c r="Z195" s="226"/>
    </x:row>
    <x:row r="196">
      <x:c r="A196" s="226"/>
      <x:c r="B196" s="226"/>
      <x:c r="C196" s="226"/>
      <x:c r="D196" s="226"/>
      <x:c r="E196" s="226"/>
      <x:c r="F196" s="226"/>
      <x:c r="G196" s="226"/>
      <x:c r="H196" s="226"/>
      <x:c r="I196" s="226"/>
      <x:c r="J196" s="226"/>
      <x:c r="K196" s="226"/>
      <x:c r="L196" s="226"/>
      <x:c r="M196" s="226"/>
      <x:c r="N196" s="226"/>
      <x:c r="O196" s="226"/>
      <x:c r="P196" s="226"/>
      <x:c r="Q196" s="226"/>
      <x:c r="R196" s="226"/>
      <x:c r="S196" s="226"/>
      <x:c r="T196" s="226"/>
      <x:c r="U196" s="226"/>
      <x:c r="V196" s="226"/>
      <x:c r="W196" s="226"/>
      <x:c r="X196" s="226"/>
      <x:c r="Y196" s="226"/>
      <x:c r="Z196" s="226"/>
    </x:row>
    <x:row r="197">
      <x:c r="A197" s="226"/>
      <x:c r="B197" s="226"/>
      <x:c r="C197" s="226"/>
      <x:c r="D197" s="226"/>
      <x:c r="E197" s="226"/>
      <x:c r="F197" s="226"/>
      <x:c r="G197" s="226"/>
      <x:c r="H197" s="226"/>
      <x:c r="I197" s="226"/>
      <x:c r="J197" s="226"/>
      <x:c r="K197" s="226"/>
      <x:c r="L197" s="226"/>
      <x:c r="M197" s="226"/>
      <x:c r="N197" s="226"/>
      <x:c r="O197" s="226"/>
      <x:c r="P197" s="226"/>
      <x:c r="Q197" s="226"/>
      <x:c r="R197" s="226"/>
      <x:c r="S197" s="226"/>
      <x:c r="T197" s="226"/>
      <x:c r="U197" s="226"/>
      <x:c r="V197" s="226"/>
      <x:c r="W197" s="226"/>
      <x:c r="X197" s="226"/>
      <x:c r="Y197" s="226"/>
      <x:c r="Z197" s="226"/>
    </x:row>
    <x:row r="198">
      <x:c r="A198" s="226"/>
      <x:c r="B198" s="226"/>
      <x:c r="C198" s="226"/>
      <x:c r="D198" s="226"/>
      <x:c r="E198" s="226"/>
      <x:c r="F198" s="226"/>
      <x:c r="G198" s="226"/>
      <x:c r="H198" s="226"/>
      <x:c r="I198" s="226"/>
      <x:c r="J198" s="226"/>
      <x:c r="K198" s="226"/>
      <x:c r="L198" s="226"/>
      <x:c r="M198" s="226"/>
      <x:c r="N198" s="226"/>
      <x:c r="O198" s="226"/>
      <x:c r="P198" s="226"/>
      <x:c r="Q198" s="226"/>
      <x:c r="R198" s="226"/>
      <x:c r="S198" s="226"/>
      <x:c r="T198" s="226"/>
      <x:c r="U198" s="226"/>
      <x:c r="V198" s="226"/>
      <x:c r="W198" s="226"/>
      <x:c r="X198" s="226"/>
      <x:c r="Y198" s="226"/>
      <x:c r="Z198" s="226"/>
    </x:row>
    <x:row r="199">
      <x:c r="A199" s="226"/>
      <x:c r="B199" s="226"/>
      <x:c r="C199" s="226"/>
      <x:c r="D199" s="226"/>
      <x:c r="E199" s="226"/>
      <x:c r="F199" s="226"/>
      <x:c r="G199" s="226"/>
      <x:c r="H199" s="226"/>
      <x:c r="I199" s="226"/>
      <x:c r="J199" s="226"/>
      <x:c r="K199" s="226"/>
      <x:c r="L199" s="226"/>
      <x:c r="M199" s="226"/>
      <x:c r="N199" s="226"/>
      <x:c r="O199" s="226"/>
      <x:c r="P199" s="226"/>
      <x:c r="Q199" s="226"/>
      <x:c r="R199" s="226"/>
      <x:c r="S199" s="226"/>
      <x:c r="T199" s="226"/>
      <x:c r="U199" s="226"/>
      <x:c r="V199" s="226"/>
      <x:c r="W199" s="226"/>
      <x:c r="X199" s="226"/>
      <x:c r="Y199" s="226"/>
      <x:c r="Z199" s="226"/>
    </x:row>
    <x:row r="200">
      <x:c r="A200" s="226"/>
      <x:c r="B200" s="226"/>
      <x:c r="C200" s="226"/>
      <x:c r="D200" s="226"/>
      <x:c r="E200" s="226"/>
      <x:c r="F200" s="226"/>
      <x:c r="G200" s="226"/>
      <x:c r="H200" s="226"/>
      <x:c r="I200" s="226"/>
      <x:c r="J200" s="226"/>
      <x:c r="K200" s="226"/>
      <x:c r="L200" s="226"/>
      <x:c r="M200" s="226"/>
      <x:c r="N200" s="226"/>
      <x:c r="O200" s="226"/>
      <x:c r="P200" s="226"/>
      <x:c r="Q200" s="226"/>
      <x:c r="R200" s="226"/>
      <x:c r="S200" s="226"/>
      <x:c r="T200" s="226"/>
      <x:c r="U200" s="226"/>
      <x:c r="V200" s="226"/>
      <x:c r="W200" s="226"/>
      <x:c r="X200" s="226"/>
      <x:c r="Y200" s="226"/>
      <x:c r="Z200" s="226"/>
    </x:row>
    <x:row r="201">
      <x:c r="A201" s="226"/>
      <x:c r="B201" s="226"/>
      <x:c r="C201" s="226"/>
      <x:c r="D201" s="226"/>
      <x:c r="E201" s="226"/>
      <x:c r="F201" s="226"/>
      <x:c r="G201" s="226"/>
      <x:c r="H201" s="226"/>
      <x:c r="I201" s="226"/>
      <x:c r="J201" s="226"/>
      <x:c r="K201" s="226"/>
      <x:c r="L201" s="226"/>
      <x:c r="M201" s="226"/>
      <x:c r="N201" s="226"/>
      <x:c r="O201" s="226"/>
      <x:c r="P201" s="226"/>
      <x:c r="Q201" s="226"/>
      <x:c r="R201" s="226"/>
      <x:c r="S201" s="226"/>
      <x:c r="T201" s="226"/>
      <x:c r="U201" s="226"/>
      <x:c r="V201" s="226"/>
      <x:c r="W201" s="226"/>
      <x:c r="X201" s="226"/>
      <x:c r="Y201" s="226"/>
      <x:c r="Z201" s="226"/>
    </x:row>
    <x:row r="202">
      <x:c r="A202" s="226"/>
      <x:c r="B202" s="226"/>
      <x:c r="C202" s="226"/>
      <x:c r="D202" s="226"/>
      <x:c r="E202" s="226"/>
      <x:c r="F202" s="226"/>
      <x:c r="G202" s="226"/>
      <x:c r="H202" s="226"/>
      <x:c r="I202" s="226"/>
      <x:c r="J202" s="226"/>
      <x:c r="K202" s="226"/>
      <x:c r="L202" s="226"/>
      <x:c r="M202" s="226"/>
      <x:c r="N202" s="226"/>
      <x:c r="O202" s="226"/>
      <x:c r="P202" s="226"/>
      <x:c r="Q202" s="226"/>
      <x:c r="R202" s="226"/>
      <x:c r="S202" s="226"/>
      <x:c r="T202" s="226"/>
      <x:c r="U202" s="226"/>
      <x:c r="V202" s="226"/>
      <x:c r="W202" s="226"/>
      <x:c r="X202" s="226"/>
      <x:c r="Y202" s="226"/>
      <x:c r="Z202" s="226"/>
    </x:row>
    <x:row r="203">
      <x:c r="A203" s="226"/>
      <x:c r="B203" s="226"/>
      <x:c r="C203" s="226"/>
      <x:c r="D203" s="226"/>
      <x:c r="E203" s="226"/>
      <x:c r="F203" s="226"/>
      <x:c r="G203" s="226"/>
      <x:c r="H203" s="226"/>
      <x:c r="I203" s="226"/>
      <x:c r="J203" s="226"/>
      <x:c r="K203" s="226"/>
      <x:c r="L203" s="226"/>
      <x:c r="M203" s="226"/>
      <x:c r="N203" s="226"/>
      <x:c r="O203" s="226"/>
      <x:c r="P203" s="226"/>
      <x:c r="Q203" s="226"/>
      <x:c r="R203" s="226"/>
      <x:c r="S203" s="226"/>
      <x:c r="T203" s="226"/>
      <x:c r="U203" s="226"/>
      <x:c r="V203" s="226"/>
      <x:c r="W203" s="226"/>
      <x:c r="X203" s="226"/>
      <x:c r="Y203" s="226"/>
      <x:c r="Z203" s="226"/>
    </x:row>
    <x:row r="204">
      <x:c r="A204" s="226"/>
      <x:c r="B204" s="226"/>
      <x:c r="C204" s="226"/>
      <x:c r="D204" s="226"/>
      <x:c r="E204" s="226"/>
      <x:c r="F204" s="226"/>
      <x:c r="G204" s="226"/>
      <x:c r="H204" s="226"/>
      <x:c r="I204" s="226"/>
      <x:c r="J204" s="226"/>
      <x:c r="K204" s="226"/>
      <x:c r="L204" s="226"/>
      <x:c r="M204" s="226"/>
      <x:c r="N204" s="226"/>
      <x:c r="O204" s="226"/>
      <x:c r="P204" s="226"/>
      <x:c r="Q204" s="226"/>
      <x:c r="R204" s="226"/>
      <x:c r="S204" s="226"/>
      <x:c r="T204" s="226"/>
      <x:c r="U204" s="226"/>
      <x:c r="V204" s="226"/>
      <x:c r="W204" s="226"/>
      <x:c r="X204" s="226"/>
      <x:c r="Y204" s="226"/>
      <x:c r="Z204" s="226"/>
    </x:row>
    <x:row r="205">
      <x:c r="A205" s="226"/>
      <x:c r="B205" s="226"/>
      <x:c r="C205" s="226"/>
      <x:c r="D205" s="226"/>
      <x:c r="E205" s="226"/>
      <x:c r="F205" s="226"/>
      <x:c r="G205" s="226"/>
      <x:c r="H205" s="226"/>
      <x:c r="I205" s="226"/>
      <x:c r="J205" s="226"/>
      <x:c r="K205" s="226"/>
      <x:c r="L205" s="226"/>
      <x:c r="M205" s="226"/>
      <x:c r="N205" s="226"/>
      <x:c r="O205" s="226"/>
      <x:c r="P205" s="226"/>
      <x:c r="Q205" s="226"/>
      <x:c r="R205" s="226"/>
      <x:c r="S205" s="226"/>
      <x:c r="T205" s="226"/>
      <x:c r="U205" s="226"/>
      <x:c r="V205" s="226"/>
      <x:c r="W205" s="226"/>
      <x:c r="X205" s="226"/>
      <x:c r="Y205" s="226"/>
      <x:c r="Z205" s="226"/>
    </x:row>
    <x:row r="206">
      <x:c r="A206" s="226"/>
      <x:c r="B206" s="226"/>
      <x:c r="C206" s="226"/>
      <x:c r="D206" s="226"/>
      <x:c r="E206" s="226"/>
      <x:c r="F206" s="226"/>
      <x:c r="G206" s="226"/>
      <x:c r="H206" s="226"/>
      <x:c r="I206" s="226"/>
      <x:c r="J206" s="226"/>
      <x:c r="K206" s="226"/>
      <x:c r="L206" s="226"/>
      <x:c r="M206" s="226"/>
      <x:c r="N206" s="226"/>
      <x:c r="O206" s="226"/>
      <x:c r="P206" s="226"/>
      <x:c r="Q206" s="226"/>
      <x:c r="R206" s="226"/>
      <x:c r="S206" s="226"/>
      <x:c r="T206" s="226"/>
      <x:c r="U206" s="226"/>
      <x:c r="V206" s="226"/>
      <x:c r="W206" s="226"/>
      <x:c r="X206" s="226"/>
      <x:c r="Y206" s="226"/>
      <x:c r="Z206" s="226"/>
    </x:row>
    <x:row r="207">
      <x:c r="A207" s="226"/>
      <x:c r="B207" s="226"/>
      <x:c r="C207" s="226"/>
      <x:c r="D207" s="226"/>
      <x:c r="E207" s="226"/>
      <x:c r="F207" s="226"/>
      <x:c r="G207" s="226"/>
      <x:c r="H207" s="226"/>
      <x:c r="I207" s="226"/>
      <x:c r="J207" s="226"/>
      <x:c r="K207" s="226"/>
      <x:c r="L207" s="226"/>
      <x:c r="M207" s="226"/>
      <x:c r="N207" s="226"/>
      <x:c r="O207" s="226"/>
      <x:c r="P207" s="226"/>
      <x:c r="Q207" s="226"/>
      <x:c r="R207" s="226"/>
      <x:c r="S207" s="226"/>
      <x:c r="T207" s="226"/>
      <x:c r="U207" s="226"/>
      <x:c r="V207" s="226"/>
      <x:c r="W207" s="226"/>
      <x:c r="X207" s="226"/>
      <x:c r="Y207" s="226"/>
      <x:c r="Z207" s="226"/>
    </x:row>
    <x:row r="208">
      <x:c r="A208" s="226"/>
      <x:c r="B208" s="226"/>
      <x:c r="C208" s="226"/>
      <x:c r="D208" s="226"/>
      <x:c r="E208" s="226"/>
      <x:c r="F208" s="226"/>
      <x:c r="G208" s="226"/>
      <x:c r="H208" s="226"/>
      <x:c r="I208" s="226"/>
      <x:c r="J208" s="226"/>
      <x:c r="K208" s="226"/>
      <x:c r="L208" s="226"/>
      <x:c r="M208" s="226"/>
      <x:c r="N208" s="226"/>
      <x:c r="O208" s="226"/>
      <x:c r="P208" s="226"/>
      <x:c r="Q208" s="226"/>
      <x:c r="R208" s="226"/>
      <x:c r="S208" s="226"/>
      <x:c r="T208" s="226"/>
      <x:c r="U208" s="226"/>
      <x:c r="V208" s="226"/>
      <x:c r="W208" s="226"/>
      <x:c r="X208" s="226"/>
      <x:c r="Y208" s="226"/>
      <x:c r="Z208" s="226"/>
    </x:row>
    <x:row r="209">
      <x:c r="A209" s="226"/>
      <x:c r="B209" s="226"/>
      <x:c r="C209" s="226"/>
      <x:c r="D209" s="226"/>
      <x:c r="E209" s="226"/>
      <x:c r="F209" s="226"/>
      <x:c r="G209" s="226"/>
      <x:c r="H209" s="226"/>
      <x:c r="I209" s="226"/>
      <x:c r="J209" s="226"/>
      <x:c r="K209" s="226"/>
      <x:c r="L209" s="226"/>
      <x:c r="M209" s="226"/>
      <x:c r="N209" s="226"/>
      <x:c r="O209" s="226"/>
      <x:c r="P209" s="226"/>
      <x:c r="Q209" s="226"/>
      <x:c r="R209" s="226"/>
      <x:c r="S209" s="226"/>
      <x:c r="T209" s="226"/>
      <x:c r="U209" s="226"/>
      <x:c r="V209" s="226"/>
      <x:c r="W209" s="226"/>
      <x:c r="X209" s="226"/>
      <x:c r="Y209" s="226"/>
      <x:c r="Z209" s="226"/>
    </x:row>
    <x:row r="210">
      <x:c r="A210" s="226"/>
      <x:c r="B210" s="226"/>
      <x:c r="C210" s="226"/>
      <x:c r="D210" s="226"/>
      <x:c r="E210" s="226"/>
      <x:c r="F210" s="226"/>
      <x:c r="G210" s="226"/>
      <x:c r="H210" s="226"/>
      <x:c r="I210" s="226"/>
      <x:c r="J210" s="226"/>
      <x:c r="K210" s="226"/>
      <x:c r="L210" s="226"/>
      <x:c r="M210" s="226"/>
      <x:c r="N210" s="226"/>
      <x:c r="O210" s="226"/>
      <x:c r="P210" s="226"/>
      <x:c r="Q210" s="226"/>
      <x:c r="R210" s="226"/>
      <x:c r="S210" s="226"/>
      <x:c r="T210" s="226"/>
      <x:c r="U210" s="226"/>
      <x:c r="V210" s="226"/>
      <x:c r="W210" s="226"/>
      <x:c r="X210" s="226"/>
      <x:c r="Y210" s="226"/>
      <x:c r="Z210" s="226"/>
    </x:row>
    <x:row r="211">
      <x:c r="A211" s="226"/>
      <x:c r="B211" s="226"/>
      <x:c r="C211" s="226"/>
      <x:c r="D211" s="226"/>
      <x:c r="E211" s="226"/>
      <x:c r="F211" s="226"/>
      <x:c r="G211" s="226"/>
      <x:c r="H211" s="226"/>
      <x:c r="I211" s="226"/>
      <x:c r="J211" s="226"/>
      <x:c r="K211" s="226"/>
      <x:c r="L211" s="226"/>
      <x:c r="M211" s="226"/>
      <x:c r="N211" s="226"/>
      <x:c r="O211" s="226"/>
      <x:c r="P211" s="226"/>
      <x:c r="Q211" s="226"/>
      <x:c r="R211" s="226"/>
      <x:c r="S211" s="226"/>
      <x:c r="T211" s="226"/>
      <x:c r="U211" s="226"/>
      <x:c r="V211" s="226"/>
      <x:c r="W211" s="226"/>
      <x:c r="X211" s="226"/>
      <x:c r="Y211" s="226"/>
      <x:c r="Z211" s="226"/>
    </x:row>
    <x:row r="212">
      <x:c r="A212" s="226"/>
      <x:c r="B212" s="226"/>
      <x:c r="C212" s="226"/>
      <x:c r="D212" s="226"/>
      <x:c r="E212" s="226"/>
      <x:c r="F212" s="226"/>
      <x:c r="G212" s="226"/>
      <x:c r="H212" s="226"/>
      <x:c r="I212" s="226"/>
      <x:c r="J212" s="226"/>
      <x:c r="K212" s="226"/>
      <x:c r="L212" s="226"/>
      <x:c r="M212" s="226"/>
      <x:c r="N212" s="226"/>
      <x:c r="O212" s="226"/>
      <x:c r="P212" s="226"/>
      <x:c r="Q212" s="226"/>
      <x:c r="R212" s="226"/>
      <x:c r="S212" s="226"/>
      <x:c r="T212" s="226"/>
      <x:c r="U212" s="226"/>
      <x:c r="V212" s="226"/>
      <x:c r="W212" s="226"/>
      <x:c r="X212" s="226"/>
      <x:c r="Y212" s="226"/>
      <x:c r="Z212" s="226"/>
    </x:row>
    <x:row r="213">
      <x:c r="A213" s="226"/>
      <x:c r="B213" s="226"/>
      <x:c r="C213" s="226"/>
      <x:c r="D213" s="226"/>
      <x:c r="E213" s="226"/>
      <x:c r="F213" s="226"/>
      <x:c r="G213" s="226"/>
      <x:c r="H213" s="226"/>
      <x:c r="I213" s="226"/>
      <x:c r="J213" s="226"/>
      <x:c r="K213" s="226"/>
      <x:c r="L213" s="226"/>
      <x:c r="M213" s="226"/>
      <x:c r="N213" s="226"/>
      <x:c r="O213" s="226"/>
      <x:c r="P213" s="226"/>
      <x:c r="Q213" s="226"/>
      <x:c r="R213" s="226"/>
      <x:c r="S213" s="226"/>
      <x:c r="T213" s="226"/>
      <x:c r="U213" s="226"/>
      <x:c r="V213" s="226"/>
      <x:c r="W213" s="226"/>
      <x:c r="X213" s="226"/>
      <x:c r="Y213" s="226"/>
      <x:c r="Z213" s="226"/>
    </x:row>
    <x:row r="214">
      <x:c r="A214" s="226"/>
      <x:c r="B214" s="226"/>
      <x:c r="C214" s="226"/>
      <x:c r="D214" s="226"/>
      <x:c r="E214" s="226"/>
      <x:c r="F214" s="226"/>
      <x:c r="G214" s="226"/>
      <x:c r="H214" s="226"/>
      <x:c r="I214" s="226"/>
      <x:c r="J214" s="226"/>
      <x:c r="K214" s="226"/>
      <x:c r="L214" s="226"/>
      <x:c r="M214" s="226"/>
      <x:c r="N214" s="226"/>
      <x:c r="O214" s="226"/>
      <x:c r="P214" s="226"/>
      <x:c r="Q214" s="226"/>
      <x:c r="R214" s="226"/>
      <x:c r="S214" s="226"/>
      <x:c r="T214" s="226"/>
      <x:c r="U214" s="226"/>
      <x:c r="V214" s="226"/>
      <x:c r="W214" s="226"/>
      <x:c r="X214" s="226"/>
      <x:c r="Y214" s="226"/>
      <x:c r="Z214" s="226"/>
    </x:row>
    <x:row r="215">
      <x:c r="A215" s="226"/>
      <x:c r="B215" s="226"/>
      <x:c r="C215" s="226"/>
      <x:c r="D215" s="226"/>
      <x:c r="E215" s="226"/>
      <x:c r="F215" s="226"/>
      <x:c r="G215" s="226"/>
      <x:c r="H215" s="226"/>
      <x:c r="I215" s="226"/>
      <x:c r="J215" s="226"/>
      <x:c r="K215" s="226"/>
      <x:c r="L215" s="226"/>
      <x:c r="M215" s="226"/>
      <x:c r="N215" s="226"/>
      <x:c r="O215" s="226"/>
      <x:c r="P215" s="226"/>
      <x:c r="Q215" s="226"/>
      <x:c r="R215" s="226"/>
      <x:c r="S215" s="226"/>
      <x:c r="T215" s="226"/>
      <x:c r="U215" s="226"/>
      <x:c r="V215" s="226"/>
      <x:c r="W215" s="226"/>
      <x:c r="X215" s="226"/>
      <x:c r="Y215" s="226"/>
      <x:c r="Z215" s="226"/>
    </x:row>
    <x:row r="216">
      <x:c r="A216" s="226"/>
      <x:c r="B216" s="226"/>
      <x:c r="C216" s="226"/>
      <x:c r="D216" s="226"/>
      <x:c r="E216" s="226"/>
      <x:c r="F216" s="226"/>
      <x:c r="G216" s="226"/>
      <x:c r="H216" s="226"/>
      <x:c r="I216" s="226"/>
      <x:c r="J216" s="226"/>
      <x:c r="K216" s="226"/>
      <x:c r="L216" s="226"/>
      <x:c r="M216" s="226"/>
      <x:c r="N216" s="226"/>
      <x:c r="O216" s="226"/>
      <x:c r="P216" s="226"/>
      <x:c r="Q216" s="226"/>
      <x:c r="R216" s="226"/>
      <x:c r="S216" s="226"/>
      <x:c r="T216" s="226"/>
      <x:c r="U216" s="226"/>
      <x:c r="V216" s="226"/>
      <x:c r="W216" s="226"/>
      <x:c r="X216" s="226"/>
      <x:c r="Y216" s="226"/>
      <x:c r="Z216" s="226"/>
    </x:row>
    <x:row r="217">
      <x:c r="A217" s="226"/>
      <x:c r="B217" s="226"/>
      <x:c r="C217" s="226"/>
      <x:c r="D217" s="226"/>
      <x:c r="E217" s="226"/>
      <x:c r="F217" s="226"/>
      <x:c r="G217" s="226"/>
      <x:c r="H217" s="226"/>
      <x:c r="I217" s="226"/>
      <x:c r="J217" s="226"/>
      <x:c r="K217" s="226"/>
      <x:c r="L217" s="226"/>
      <x:c r="M217" s="226"/>
      <x:c r="N217" s="226"/>
      <x:c r="O217" s="226"/>
      <x:c r="P217" s="226"/>
      <x:c r="Q217" s="226"/>
      <x:c r="R217" s="226"/>
      <x:c r="S217" s="226"/>
      <x:c r="T217" s="226"/>
      <x:c r="U217" s="226"/>
      <x:c r="V217" s="226"/>
      <x:c r="W217" s="226"/>
      <x:c r="X217" s="226"/>
      <x:c r="Y217" s="226"/>
      <x:c r="Z217" s="226"/>
    </x:row>
    <x:row r="218">
      <x:c r="A218" s="226"/>
      <x:c r="B218" s="226"/>
      <x:c r="C218" s="226"/>
      <x:c r="D218" s="226"/>
      <x:c r="E218" s="226"/>
      <x:c r="F218" s="226"/>
      <x:c r="G218" s="226"/>
      <x:c r="H218" s="226"/>
      <x:c r="I218" s="226"/>
      <x:c r="J218" s="226"/>
      <x:c r="K218" s="226"/>
      <x:c r="L218" s="226"/>
      <x:c r="M218" s="226"/>
      <x:c r="N218" s="226"/>
      <x:c r="O218" s="226"/>
      <x:c r="P218" s="226"/>
      <x:c r="Q218" s="226"/>
      <x:c r="R218" s="226"/>
      <x:c r="S218" s="226"/>
      <x:c r="T218" s="226"/>
      <x:c r="U218" s="226"/>
      <x:c r="V218" s="226"/>
      <x:c r="W218" s="226"/>
      <x:c r="X218" s="226"/>
      <x:c r="Y218" s="226"/>
      <x:c r="Z218" s="226"/>
    </x:row>
    <x:row r="219">
      <x:c r="A219" s="226"/>
      <x:c r="B219" s="226"/>
      <x:c r="C219" s="226"/>
      <x:c r="D219" s="226"/>
      <x:c r="E219" s="226"/>
      <x:c r="F219" s="226"/>
      <x:c r="G219" s="226"/>
      <x:c r="H219" s="226"/>
      <x:c r="I219" s="226"/>
      <x:c r="J219" s="226"/>
      <x:c r="K219" s="226"/>
      <x:c r="L219" s="226"/>
      <x:c r="M219" s="226"/>
      <x:c r="N219" s="226"/>
      <x:c r="O219" s="226"/>
      <x:c r="P219" s="226"/>
      <x:c r="Q219" s="226"/>
      <x:c r="R219" s="226"/>
      <x:c r="S219" s="226"/>
      <x:c r="T219" s="226"/>
      <x:c r="U219" s="226"/>
      <x:c r="V219" s="226"/>
      <x:c r="W219" s="226"/>
      <x:c r="X219" s="226"/>
      <x:c r="Y219" s="226"/>
      <x:c r="Z219" s="226"/>
    </x:row>
    <x:row r="220">
      <x:c r="A220" s="226"/>
      <x:c r="B220" s="226"/>
      <x:c r="C220" s="226"/>
      <x:c r="D220" s="226"/>
      <x:c r="E220" s="226"/>
      <x:c r="F220" s="226"/>
      <x:c r="G220" s="226"/>
      <x:c r="H220" s="226"/>
      <x:c r="I220" s="226"/>
      <x:c r="J220" s="226"/>
      <x:c r="K220" s="226"/>
      <x:c r="L220" s="226"/>
      <x:c r="M220" s="226"/>
      <x:c r="N220" s="226"/>
      <x:c r="O220" s="226"/>
      <x:c r="P220" s="226"/>
      <x:c r="Q220" s="226"/>
      <x:c r="R220" s="226"/>
      <x:c r="S220" s="226"/>
      <x:c r="T220" s="226"/>
      <x:c r="U220" s="226"/>
      <x:c r="V220" s="226"/>
      <x:c r="W220" s="226"/>
      <x:c r="X220" s="226"/>
      <x:c r="Y220" s="226"/>
      <x:c r="Z220" s="226"/>
    </x:row>
    <x:row r="221">
      <x:c r="A221" s="226"/>
      <x:c r="B221" s="226"/>
      <x:c r="C221" s="226"/>
      <x:c r="D221" s="226"/>
      <x:c r="E221" s="226"/>
      <x:c r="F221" s="226"/>
      <x:c r="G221" s="226"/>
      <x:c r="H221" s="226"/>
      <x:c r="I221" s="226"/>
      <x:c r="J221" s="226"/>
      <x:c r="K221" s="226"/>
      <x:c r="L221" s="226"/>
      <x:c r="M221" s="226"/>
      <x:c r="N221" s="226"/>
      <x:c r="O221" s="226"/>
      <x:c r="P221" s="226"/>
      <x:c r="Q221" s="226"/>
      <x:c r="R221" s="226"/>
      <x:c r="S221" s="226"/>
      <x:c r="T221" s="226"/>
      <x:c r="U221" s="226"/>
      <x:c r="V221" s="226"/>
      <x:c r="W221" s="226"/>
      <x:c r="X221" s="226"/>
      <x:c r="Y221" s="226"/>
      <x:c r="Z221" s="226"/>
    </x:row>
    <x:row r="222">
      <x:c r="A222" s="226"/>
      <x:c r="B222" s="226"/>
      <x:c r="C222" s="226"/>
      <x:c r="D222" s="226"/>
      <x:c r="E222" s="226"/>
      <x:c r="F222" s="226"/>
      <x:c r="G222" s="226"/>
      <x:c r="H222" s="226"/>
      <x:c r="I222" s="226"/>
      <x:c r="J222" s="226"/>
      <x:c r="K222" s="226"/>
      <x:c r="L222" s="226"/>
      <x:c r="M222" s="226"/>
      <x:c r="N222" s="226"/>
      <x:c r="O222" s="226"/>
      <x:c r="P222" s="226"/>
      <x:c r="Q222" s="226"/>
      <x:c r="R222" s="226"/>
      <x:c r="S222" s="226"/>
      <x:c r="T222" s="226"/>
      <x:c r="U222" s="226"/>
      <x:c r="V222" s="226"/>
      <x:c r="W222" s="226"/>
      <x:c r="X222" s="226"/>
      <x:c r="Y222" s="226"/>
      <x:c r="Z222" s="226"/>
    </x:row>
    <x:row r="223">
      <x:c r="A223" s="226"/>
      <x:c r="B223" s="226"/>
      <x:c r="C223" s="226"/>
      <x:c r="D223" s="226"/>
      <x:c r="E223" s="226"/>
      <x:c r="F223" s="226"/>
      <x:c r="G223" s="226"/>
      <x:c r="H223" s="226"/>
      <x:c r="I223" s="226"/>
      <x:c r="J223" s="226"/>
      <x:c r="K223" s="226"/>
      <x:c r="L223" s="226"/>
      <x:c r="M223" s="226"/>
      <x:c r="N223" s="226"/>
      <x:c r="O223" s="226"/>
      <x:c r="P223" s="226"/>
      <x:c r="Q223" s="226"/>
      <x:c r="R223" s="226"/>
      <x:c r="S223" s="226"/>
      <x:c r="T223" s="226"/>
      <x:c r="U223" s="226"/>
      <x:c r="V223" s="226"/>
      <x:c r="W223" s="226"/>
      <x:c r="X223" s="226"/>
      <x:c r="Y223" s="226"/>
      <x:c r="Z223" s="226"/>
    </x:row>
    <x:row r="224">
      <x:c r="A224" s="226"/>
      <x:c r="B224" s="226"/>
      <x:c r="C224" s="226"/>
      <x:c r="D224" s="226"/>
      <x:c r="E224" s="226"/>
      <x:c r="F224" s="226"/>
      <x:c r="G224" s="226"/>
      <x:c r="H224" s="226"/>
      <x:c r="I224" s="226"/>
      <x:c r="J224" s="226"/>
      <x:c r="K224" s="226"/>
      <x:c r="L224" s="226"/>
      <x:c r="M224" s="226"/>
      <x:c r="N224" s="226"/>
      <x:c r="O224" s="226"/>
      <x:c r="P224" s="226"/>
      <x:c r="Q224" s="226"/>
      <x:c r="R224" s="226"/>
      <x:c r="S224" s="226"/>
      <x:c r="T224" s="226"/>
      <x:c r="U224" s="226"/>
      <x:c r="V224" s="226"/>
      <x:c r="W224" s="226"/>
      <x:c r="X224" s="226"/>
      <x:c r="Y224" s="226"/>
      <x:c r="Z224" s="226"/>
    </x:row>
    <x:row r="225">
      <x:c r="A225" s="226"/>
      <x:c r="B225" s="226"/>
      <x:c r="C225" s="226"/>
      <x:c r="D225" s="226"/>
      <x:c r="E225" s="226"/>
      <x:c r="F225" s="226"/>
      <x:c r="G225" s="226"/>
      <x:c r="H225" s="226"/>
      <x:c r="I225" s="226"/>
      <x:c r="J225" s="226"/>
      <x:c r="K225" s="226"/>
      <x:c r="L225" s="226"/>
      <x:c r="M225" s="226"/>
      <x:c r="N225" s="226"/>
      <x:c r="O225" s="226"/>
      <x:c r="P225" s="226"/>
      <x:c r="Q225" s="226"/>
      <x:c r="R225" s="226"/>
      <x:c r="S225" s="226"/>
      <x:c r="T225" s="226"/>
      <x:c r="U225" s="226"/>
      <x:c r="V225" s="226"/>
      <x:c r="W225" s="226"/>
      <x:c r="X225" s="226"/>
      <x:c r="Y225" s="226"/>
      <x:c r="Z225" s="226"/>
    </x:row>
    <x:row r="226">
      <x:c r="A226" s="226"/>
      <x:c r="B226" s="226"/>
      <x:c r="C226" s="226"/>
      <x:c r="D226" s="226"/>
      <x:c r="E226" s="226"/>
      <x:c r="F226" s="226"/>
      <x:c r="G226" s="226"/>
      <x:c r="H226" s="226"/>
      <x:c r="I226" s="226"/>
      <x:c r="J226" s="226"/>
      <x:c r="K226" s="226"/>
      <x:c r="L226" s="226"/>
      <x:c r="M226" s="226"/>
      <x:c r="N226" s="226"/>
      <x:c r="O226" s="226"/>
      <x:c r="P226" s="226"/>
      <x:c r="Q226" s="226"/>
      <x:c r="R226" s="226"/>
      <x:c r="S226" s="226"/>
      <x:c r="T226" s="226"/>
      <x:c r="U226" s="226"/>
      <x:c r="V226" s="226"/>
      <x:c r="W226" s="226"/>
      <x:c r="X226" s="226"/>
      <x:c r="Y226" s="226"/>
      <x:c r="Z226" s="226"/>
    </x:row>
    <x:row r="227">
      <x:c r="A227" s="226"/>
      <x:c r="B227" s="226"/>
      <x:c r="C227" s="226"/>
      <x:c r="D227" s="226"/>
      <x:c r="E227" s="226"/>
      <x:c r="F227" s="226"/>
      <x:c r="G227" s="226"/>
      <x:c r="H227" s="226"/>
      <x:c r="I227" s="226"/>
      <x:c r="J227" s="226"/>
      <x:c r="K227" s="226"/>
      <x:c r="L227" s="226"/>
      <x:c r="M227" s="226"/>
      <x:c r="N227" s="226"/>
      <x:c r="O227" s="226"/>
      <x:c r="P227" s="226"/>
      <x:c r="Q227" s="226"/>
      <x:c r="R227" s="226"/>
      <x:c r="S227" s="226"/>
      <x:c r="T227" s="226"/>
      <x:c r="U227" s="226"/>
      <x:c r="V227" s="226"/>
      <x:c r="W227" s="226"/>
      <x:c r="X227" s="226"/>
      <x:c r="Y227" s="226"/>
      <x:c r="Z227" s="226"/>
    </x:row>
    <x:row r="228">
      <x:c r="A228" s="226"/>
      <x:c r="B228" s="226"/>
      <x:c r="C228" s="226"/>
      <x:c r="D228" s="226"/>
      <x:c r="E228" s="226"/>
      <x:c r="F228" s="226"/>
      <x:c r="G228" s="226"/>
      <x:c r="H228" s="226"/>
      <x:c r="I228" s="226"/>
      <x:c r="J228" s="226"/>
      <x:c r="K228" s="226"/>
      <x:c r="L228" s="226"/>
      <x:c r="M228" s="226"/>
      <x:c r="N228" s="226"/>
      <x:c r="O228" s="226"/>
      <x:c r="P228" s="226"/>
      <x:c r="Q228" s="226"/>
      <x:c r="R228" s="226"/>
      <x:c r="S228" s="226"/>
      <x:c r="T228" s="226"/>
      <x:c r="U228" s="226"/>
      <x:c r="V228" s="226"/>
      <x:c r="W228" s="226"/>
      <x:c r="X228" s="226"/>
      <x:c r="Y228" s="226"/>
      <x:c r="Z228" s="226"/>
    </x:row>
    <x:row r="229">
      <x:c r="A229" s="226"/>
      <x:c r="B229" s="226"/>
      <x:c r="C229" s="226"/>
      <x:c r="D229" s="226"/>
      <x:c r="E229" s="226"/>
      <x:c r="F229" s="226"/>
      <x:c r="G229" s="226"/>
      <x:c r="H229" s="226"/>
      <x:c r="I229" s="226"/>
      <x:c r="J229" s="226"/>
      <x:c r="K229" s="226"/>
      <x:c r="L229" s="226"/>
      <x:c r="M229" s="226"/>
      <x:c r="N229" s="226"/>
      <x:c r="O229" s="226"/>
      <x:c r="P229" s="226"/>
      <x:c r="Q229" s="226"/>
      <x:c r="R229" s="226"/>
      <x:c r="S229" s="226"/>
      <x:c r="T229" s="226"/>
      <x:c r="U229" s="226"/>
      <x:c r="V229" s="226"/>
      <x:c r="W229" s="226"/>
      <x:c r="X229" s="226"/>
      <x:c r="Y229" s="226"/>
      <x:c r="Z229" s="226"/>
    </x:row>
    <x:row r="230">
      <x:c r="A230" s="226"/>
      <x:c r="B230" s="226"/>
      <x:c r="C230" s="226"/>
      <x:c r="D230" s="226"/>
      <x:c r="E230" s="226"/>
      <x:c r="F230" s="226"/>
      <x:c r="G230" s="226"/>
      <x:c r="H230" s="226"/>
      <x:c r="I230" s="226"/>
      <x:c r="J230" s="226"/>
      <x:c r="K230" s="226"/>
      <x:c r="L230" s="226"/>
      <x:c r="M230" s="226"/>
      <x:c r="N230" s="226"/>
      <x:c r="O230" s="226"/>
      <x:c r="P230" s="226"/>
      <x:c r="Q230" s="226"/>
      <x:c r="R230" s="226"/>
      <x:c r="S230" s="226"/>
      <x:c r="T230" s="226"/>
      <x:c r="U230" s="226"/>
      <x:c r="V230" s="226"/>
      <x:c r="W230" s="226"/>
      <x:c r="X230" s="226"/>
      <x:c r="Y230" s="226"/>
      <x:c r="Z230" s="226"/>
    </x:row>
    <x:row r="231">
      <x:c r="A231" s="226"/>
      <x:c r="B231" s="226"/>
      <x:c r="C231" s="226"/>
      <x:c r="D231" s="226"/>
      <x:c r="E231" s="226"/>
      <x:c r="F231" s="226"/>
      <x:c r="G231" s="226"/>
      <x:c r="H231" s="226"/>
      <x:c r="I231" s="226"/>
      <x:c r="J231" s="226"/>
      <x:c r="K231" s="226"/>
      <x:c r="L231" s="226"/>
      <x:c r="M231" s="226"/>
      <x:c r="N231" s="226"/>
      <x:c r="O231" s="226"/>
      <x:c r="P231" s="226"/>
      <x:c r="Q231" s="226"/>
      <x:c r="R231" s="226"/>
      <x:c r="S231" s="226"/>
      <x:c r="T231" s="226"/>
      <x:c r="U231" s="226"/>
      <x:c r="V231" s="226"/>
      <x:c r="W231" s="226"/>
      <x:c r="X231" s="226"/>
      <x:c r="Y231" s="226"/>
      <x:c r="Z231" s="226"/>
    </x:row>
    <x:row r="232">
      <x:c r="A232" s="226"/>
      <x:c r="B232" s="226"/>
      <x:c r="C232" s="226"/>
      <x:c r="D232" s="226"/>
      <x:c r="E232" s="226"/>
      <x:c r="F232" s="226"/>
      <x:c r="G232" s="226"/>
      <x:c r="H232" s="226"/>
      <x:c r="I232" s="226"/>
      <x:c r="J232" s="226"/>
      <x:c r="K232" s="226"/>
      <x:c r="L232" s="226"/>
      <x:c r="M232" s="226"/>
      <x:c r="N232" s="226"/>
      <x:c r="O232" s="226"/>
      <x:c r="P232" s="226"/>
      <x:c r="Q232" s="226"/>
      <x:c r="R232" s="226"/>
      <x:c r="S232" s="226"/>
      <x:c r="T232" s="226"/>
      <x:c r="U232" s="226"/>
      <x:c r="V232" s="226"/>
      <x:c r="W232" s="226"/>
      <x:c r="X232" s="226"/>
      <x:c r="Y232" s="226"/>
      <x:c r="Z232" s="226"/>
    </x:row>
    <x:row r="233">
      <x:c r="A233" s="226"/>
      <x:c r="B233" s="226"/>
      <x:c r="C233" s="226"/>
      <x:c r="D233" s="226"/>
      <x:c r="E233" s="226"/>
      <x:c r="F233" s="226"/>
      <x:c r="G233" s="226"/>
      <x:c r="H233" s="226"/>
      <x:c r="I233" s="226"/>
      <x:c r="J233" s="226"/>
      <x:c r="K233" s="226"/>
      <x:c r="L233" s="226"/>
      <x:c r="M233" s="226"/>
      <x:c r="N233" s="226"/>
      <x:c r="O233" s="226"/>
      <x:c r="P233" s="226"/>
      <x:c r="Q233" s="226"/>
      <x:c r="R233" s="226"/>
      <x:c r="S233" s="226"/>
      <x:c r="T233" s="226"/>
      <x:c r="U233" s="226"/>
      <x:c r="V233" s="226"/>
      <x:c r="W233" s="226"/>
      <x:c r="X233" s="226"/>
      <x:c r="Y233" s="226"/>
      <x:c r="Z233" s="226"/>
    </x:row>
    <x:row r="234">
      <x:c r="A234" s="226"/>
      <x:c r="B234" s="226"/>
      <x:c r="C234" s="226"/>
      <x:c r="D234" s="226"/>
      <x:c r="E234" s="226"/>
      <x:c r="F234" s="226"/>
      <x:c r="G234" s="226"/>
      <x:c r="H234" s="226"/>
      <x:c r="I234" s="226"/>
      <x:c r="J234" s="226"/>
      <x:c r="K234" s="226"/>
      <x:c r="L234" s="226"/>
      <x:c r="M234" s="226"/>
      <x:c r="N234" s="226"/>
      <x:c r="O234" s="226"/>
      <x:c r="P234" s="226"/>
      <x:c r="Q234" s="226"/>
      <x:c r="R234" s="226"/>
      <x:c r="S234" s="226"/>
      <x:c r="T234" s="226"/>
      <x:c r="U234" s="226"/>
      <x:c r="V234" s="226"/>
      <x:c r="W234" s="226"/>
      <x:c r="X234" s="226"/>
      <x:c r="Y234" s="226"/>
      <x:c r="Z234" s="226"/>
    </x:row>
    <x:row r="235">
      <x:c r="A235" s="226"/>
      <x:c r="B235" s="226"/>
      <x:c r="C235" s="226"/>
      <x:c r="D235" s="226"/>
      <x:c r="E235" s="226"/>
      <x:c r="F235" s="226"/>
      <x:c r="G235" s="226"/>
      <x:c r="H235" s="226"/>
      <x:c r="I235" s="226"/>
      <x:c r="J235" s="226"/>
      <x:c r="K235" s="226"/>
      <x:c r="L235" s="226"/>
      <x:c r="M235" s="226"/>
      <x:c r="N235" s="226"/>
      <x:c r="O235" s="226"/>
      <x:c r="P235" s="226"/>
      <x:c r="Q235" s="226"/>
      <x:c r="R235" s="226"/>
      <x:c r="S235" s="226"/>
      <x:c r="T235" s="226"/>
      <x:c r="U235" s="226"/>
      <x:c r="V235" s="226"/>
      <x:c r="W235" s="226"/>
      <x:c r="X235" s="226"/>
      <x:c r="Y235" s="226"/>
      <x:c r="Z235" s="226"/>
    </x:row>
    <x:row r="236">
      <x:c r="A236" s="226"/>
      <x:c r="B236" s="226"/>
      <x:c r="C236" s="226"/>
      <x:c r="D236" s="226"/>
      <x:c r="E236" s="226"/>
      <x:c r="F236" s="226"/>
      <x:c r="G236" s="226"/>
      <x:c r="H236" s="226"/>
      <x:c r="I236" s="226"/>
      <x:c r="J236" s="226"/>
      <x:c r="K236" s="226"/>
      <x:c r="L236" s="226"/>
      <x:c r="M236" s="226"/>
      <x:c r="N236" s="226"/>
      <x:c r="O236" s="226"/>
      <x:c r="P236" s="226"/>
      <x:c r="Q236" s="226"/>
      <x:c r="R236" s="226"/>
      <x:c r="S236" s="226"/>
      <x:c r="T236" s="226"/>
      <x:c r="U236" s="226"/>
      <x:c r="V236" s="226"/>
      <x:c r="W236" s="226"/>
      <x:c r="X236" s="226"/>
      <x:c r="Y236" s="226"/>
      <x:c r="Z236" s="226"/>
    </x:row>
    <x:row r="237">
      <x:c r="A237" s="226"/>
      <x:c r="B237" s="226"/>
      <x:c r="C237" s="226"/>
      <x:c r="D237" s="226"/>
      <x:c r="E237" s="226"/>
      <x:c r="F237" s="226"/>
      <x:c r="G237" s="226"/>
      <x:c r="H237" s="226"/>
      <x:c r="I237" s="226"/>
      <x:c r="J237" s="226"/>
      <x:c r="K237" s="226"/>
      <x:c r="L237" s="226"/>
      <x:c r="M237" s="226"/>
      <x:c r="N237" s="226"/>
      <x:c r="O237" s="226"/>
      <x:c r="P237" s="226"/>
      <x:c r="Q237" s="226"/>
      <x:c r="R237" s="226"/>
      <x:c r="S237" s="226"/>
      <x:c r="T237" s="226"/>
      <x:c r="U237" s="226"/>
      <x:c r="V237" s="226"/>
      <x:c r="W237" s="226"/>
      <x:c r="X237" s="226"/>
      <x:c r="Y237" s="226"/>
      <x:c r="Z237" s="226"/>
    </x:row>
    <x:row r="238">
      <x:c r="A238" s="226"/>
      <x:c r="B238" s="226"/>
      <x:c r="C238" s="226"/>
      <x:c r="D238" s="226"/>
      <x:c r="E238" s="226"/>
      <x:c r="F238" s="226"/>
      <x:c r="G238" s="226"/>
      <x:c r="H238" s="226"/>
      <x:c r="I238" s="226"/>
      <x:c r="J238" s="226"/>
      <x:c r="K238" s="226"/>
      <x:c r="L238" s="226"/>
      <x:c r="M238" s="226"/>
      <x:c r="N238" s="226"/>
      <x:c r="O238" s="226"/>
      <x:c r="P238" s="226"/>
      <x:c r="Q238" s="226"/>
      <x:c r="R238" s="226"/>
      <x:c r="S238" s="226"/>
      <x:c r="T238" s="226"/>
      <x:c r="U238" s="226"/>
      <x:c r="V238" s="226"/>
      <x:c r="W238" s="226"/>
      <x:c r="X238" s="226"/>
      <x:c r="Y238" s="226"/>
      <x:c r="Z238" s="226"/>
    </x:row>
    <x:row r="239">
      <x:c r="A239" s="226"/>
      <x:c r="B239" s="226"/>
      <x:c r="C239" s="226"/>
      <x:c r="D239" s="226"/>
      <x:c r="E239" s="226"/>
      <x:c r="F239" s="226"/>
      <x:c r="G239" s="226"/>
      <x:c r="H239" s="226"/>
      <x:c r="I239" s="226"/>
      <x:c r="J239" s="226"/>
      <x:c r="K239" s="226"/>
      <x:c r="L239" s="226"/>
      <x:c r="M239" s="226"/>
      <x:c r="N239" s="226"/>
      <x:c r="O239" s="226"/>
      <x:c r="P239" s="226"/>
      <x:c r="Q239" s="226"/>
      <x:c r="R239" s="226"/>
      <x:c r="S239" s="226"/>
      <x:c r="T239" s="226"/>
      <x:c r="U239" s="226"/>
      <x:c r="V239" s="226"/>
      <x:c r="W239" s="226"/>
      <x:c r="X239" s="226"/>
      <x:c r="Y239" s="226"/>
      <x:c r="Z239" s="226"/>
    </x:row>
    <x:row r="240">
      <x:c r="A240" s="226"/>
      <x:c r="B240" s="226"/>
      <x:c r="C240" s="226"/>
      <x:c r="D240" s="226"/>
      <x:c r="E240" s="226"/>
      <x:c r="F240" s="226"/>
      <x:c r="G240" s="226"/>
      <x:c r="H240" s="226"/>
      <x:c r="I240" s="226"/>
      <x:c r="J240" s="226"/>
      <x:c r="K240" s="226"/>
      <x:c r="L240" s="226"/>
      <x:c r="M240" s="226"/>
      <x:c r="N240" s="226"/>
      <x:c r="O240" s="226"/>
      <x:c r="P240" s="226"/>
      <x:c r="Q240" s="226"/>
      <x:c r="R240" s="226"/>
      <x:c r="S240" s="226"/>
      <x:c r="T240" s="226"/>
      <x:c r="U240" s="226"/>
      <x:c r="V240" s="226"/>
      <x:c r="W240" s="226"/>
      <x:c r="X240" s="226"/>
      <x:c r="Y240" s="226"/>
      <x:c r="Z240" s="226"/>
    </x:row>
    <x:row r="241">
      <x:c r="A241" s="226"/>
      <x:c r="B241" s="226"/>
      <x:c r="C241" s="226"/>
      <x:c r="D241" s="226"/>
      <x:c r="E241" s="226"/>
      <x:c r="F241" s="226"/>
      <x:c r="G241" s="226"/>
      <x:c r="H241" s="226"/>
      <x:c r="I241" s="226"/>
      <x:c r="J241" s="226"/>
      <x:c r="K241" s="226"/>
      <x:c r="L241" s="226"/>
      <x:c r="M241" s="226"/>
      <x:c r="N241" s="226"/>
      <x:c r="O241" s="226"/>
      <x:c r="P241" s="226"/>
      <x:c r="Q241" s="226"/>
      <x:c r="R241" s="226"/>
      <x:c r="S241" s="226"/>
      <x:c r="T241" s="226"/>
      <x:c r="U241" s="226"/>
      <x:c r="V241" s="226"/>
      <x:c r="W241" s="226"/>
      <x:c r="X241" s="226"/>
      <x:c r="Y241" s="226"/>
      <x:c r="Z241" s="226"/>
    </x:row>
    <x:row r="242">
      <x:c r="A242" s="226"/>
      <x:c r="B242" s="226"/>
      <x:c r="C242" s="226"/>
      <x:c r="D242" s="226"/>
      <x:c r="E242" s="226"/>
      <x:c r="F242" s="226"/>
      <x:c r="G242" s="226"/>
      <x:c r="H242" s="226"/>
      <x:c r="I242" s="226"/>
      <x:c r="J242" s="226"/>
      <x:c r="K242" s="226"/>
      <x:c r="L242" s="226"/>
      <x:c r="M242" s="226"/>
      <x:c r="N242" s="226"/>
      <x:c r="O242" s="226"/>
      <x:c r="P242" s="226"/>
      <x:c r="Q242" s="226"/>
      <x:c r="R242" s="226"/>
      <x:c r="S242" s="226"/>
      <x:c r="T242" s="226"/>
      <x:c r="U242" s="226"/>
      <x:c r="V242" s="226"/>
      <x:c r="W242" s="226"/>
      <x:c r="X242" s="226"/>
      <x:c r="Y242" s="226"/>
      <x:c r="Z242" s="226"/>
    </x:row>
    <x:row r="243">
      <x:c r="A243" s="226"/>
      <x:c r="B243" s="226"/>
      <x:c r="C243" s="226"/>
      <x:c r="D243" s="226"/>
      <x:c r="E243" s="226"/>
      <x:c r="F243" s="226"/>
      <x:c r="G243" s="226"/>
      <x:c r="H243" s="226"/>
      <x:c r="I243" s="226"/>
      <x:c r="J243" s="226"/>
      <x:c r="K243" s="226"/>
      <x:c r="L243" s="226"/>
      <x:c r="M243" s="226"/>
      <x:c r="N243" s="226"/>
      <x:c r="O243" s="226"/>
      <x:c r="P243" s="226"/>
      <x:c r="Q243" s="226"/>
      <x:c r="R243" s="226"/>
      <x:c r="S243" s="226"/>
      <x:c r="T243" s="226"/>
      <x:c r="U243" s="226"/>
      <x:c r="V243" s="226"/>
      <x:c r="W243" s="226"/>
      <x:c r="X243" s="226"/>
      <x:c r="Y243" s="226"/>
      <x:c r="Z243" s="226"/>
    </x:row>
    <x:row r="244">
      <x:c r="A244" s="226"/>
      <x:c r="B244" s="226"/>
      <x:c r="C244" s="226"/>
      <x:c r="D244" s="226"/>
      <x:c r="E244" s="226"/>
      <x:c r="F244" s="226"/>
      <x:c r="G244" s="226"/>
      <x:c r="H244" s="226"/>
      <x:c r="I244" s="226"/>
      <x:c r="J244" s="226"/>
      <x:c r="K244" s="226"/>
      <x:c r="L244" s="226"/>
      <x:c r="M244" s="226"/>
      <x:c r="N244" s="226"/>
      <x:c r="O244" s="226"/>
      <x:c r="P244" s="226"/>
      <x:c r="Q244" s="226"/>
      <x:c r="R244" s="226"/>
      <x:c r="S244" s="226"/>
      <x:c r="T244" s="226"/>
      <x:c r="U244" s="226"/>
      <x:c r="V244" s="226"/>
      <x:c r="W244" s="226"/>
      <x:c r="X244" s="226"/>
      <x:c r="Y244" s="226"/>
      <x:c r="Z244" s="226"/>
    </x:row>
    <x:row r="245">
      <x:c r="A245" s="226"/>
      <x:c r="B245" s="226"/>
      <x:c r="C245" s="226"/>
      <x:c r="D245" s="226"/>
      <x:c r="E245" s="226"/>
      <x:c r="F245" s="226"/>
      <x:c r="G245" s="226"/>
      <x:c r="H245" s="226"/>
      <x:c r="I245" s="226"/>
      <x:c r="J245" s="226"/>
      <x:c r="K245" s="226"/>
      <x:c r="L245" s="226"/>
      <x:c r="M245" s="226"/>
      <x:c r="N245" s="226"/>
      <x:c r="O245" s="226"/>
      <x:c r="P245" s="226"/>
      <x:c r="Q245" s="226"/>
      <x:c r="R245" s="226"/>
      <x:c r="S245" s="226"/>
      <x:c r="T245" s="226"/>
      <x:c r="U245" s="226"/>
      <x:c r="V245" s="226"/>
      <x:c r="W245" s="226"/>
      <x:c r="X245" s="226"/>
      <x:c r="Y245" s="226"/>
      <x:c r="Z245" s="226"/>
    </x:row>
    <x:row r="246">
      <x:c r="A246" s="226"/>
      <x:c r="B246" s="226"/>
      <x:c r="C246" s="226"/>
      <x:c r="D246" s="226"/>
      <x:c r="E246" s="226"/>
      <x:c r="F246" s="226"/>
      <x:c r="G246" s="226"/>
      <x:c r="H246" s="226"/>
      <x:c r="I246" s="226"/>
      <x:c r="J246" s="226"/>
      <x:c r="K246" s="226"/>
      <x:c r="L246" s="226"/>
      <x:c r="M246" s="226"/>
      <x:c r="N246" s="226"/>
      <x:c r="O246" s="226"/>
      <x:c r="P246" s="226"/>
      <x:c r="Q246" s="226"/>
      <x:c r="R246" s="226"/>
      <x:c r="S246" s="226"/>
      <x:c r="T246" s="226"/>
      <x:c r="U246" s="226"/>
      <x:c r="V246" s="226"/>
      <x:c r="W246" s="226"/>
      <x:c r="X246" s="226"/>
      <x:c r="Y246" s="226"/>
      <x:c r="Z246" s="226"/>
    </x:row>
    <x:row r="247">
      <x:c r="A247" s="226"/>
      <x:c r="B247" s="226"/>
      <x:c r="C247" s="226"/>
      <x:c r="D247" s="226"/>
      <x:c r="E247" s="226"/>
      <x:c r="F247" s="226"/>
      <x:c r="G247" s="226"/>
      <x:c r="H247" s="226"/>
      <x:c r="I247" s="226"/>
      <x:c r="J247" s="226"/>
      <x:c r="K247" s="226"/>
      <x:c r="L247" s="226"/>
      <x:c r="M247" s="226"/>
      <x:c r="N247" s="226"/>
      <x:c r="O247" s="226"/>
      <x:c r="P247" s="226"/>
      <x:c r="Q247" s="226"/>
      <x:c r="R247" s="226"/>
      <x:c r="S247" s="226"/>
      <x:c r="T247" s="226"/>
      <x:c r="U247" s="226"/>
      <x:c r="V247" s="226"/>
      <x:c r="W247" s="226"/>
      <x:c r="X247" s="226"/>
      <x:c r="Y247" s="226"/>
      <x:c r="Z247" s="226"/>
    </x:row>
    <x:row r="248">
      <x:c r="A248" s="226"/>
      <x:c r="B248" s="226"/>
      <x:c r="C248" s="226"/>
      <x:c r="D248" s="226"/>
      <x:c r="E248" s="226"/>
      <x:c r="F248" s="226"/>
      <x:c r="G248" s="226"/>
      <x:c r="H248" s="226"/>
      <x:c r="I248" s="226"/>
      <x:c r="J248" s="226"/>
      <x:c r="K248" s="226"/>
      <x:c r="L248" s="226"/>
      <x:c r="M248" s="226"/>
      <x:c r="N248" s="226"/>
      <x:c r="O248" s="226"/>
      <x:c r="P248" s="226"/>
      <x:c r="Q248" s="226"/>
      <x:c r="R248" s="226"/>
      <x:c r="S248" s="226"/>
      <x:c r="T248" s="226"/>
      <x:c r="U248" s="226"/>
      <x:c r="V248" s="226"/>
      <x:c r="W248" s="226"/>
      <x:c r="X248" s="226"/>
      <x:c r="Y248" s="226"/>
      <x:c r="Z248" s="226"/>
    </x:row>
    <x:row r="249">
      <x:c r="A249" s="226"/>
      <x:c r="B249" s="226"/>
      <x:c r="C249" s="226"/>
      <x:c r="D249" s="226"/>
      <x:c r="E249" s="226"/>
      <x:c r="F249" s="226"/>
      <x:c r="G249" s="226"/>
      <x:c r="H249" s="226"/>
      <x:c r="I249" s="226"/>
      <x:c r="J249" s="226"/>
      <x:c r="K249" s="226"/>
      <x:c r="L249" s="226"/>
      <x:c r="M249" s="226"/>
      <x:c r="N249" s="226"/>
      <x:c r="O249" s="226"/>
      <x:c r="P249" s="226"/>
      <x:c r="Q249" s="226"/>
      <x:c r="R249" s="226"/>
      <x:c r="S249" s="226"/>
      <x:c r="T249" s="226"/>
      <x:c r="U249" s="226"/>
      <x:c r="V249" s="226"/>
      <x:c r="W249" s="226"/>
      <x:c r="X249" s="226"/>
      <x:c r="Y249" s="226"/>
      <x:c r="Z249" s="226"/>
    </x:row>
    <x:row r="250">
      <x:c r="A250" s="226"/>
      <x:c r="B250" s="226"/>
      <x:c r="C250" s="226"/>
      <x:c r="D250" s="226"/>
      <x:c r="E250" s="226"/>
      <x:c r="F250" s="226"/>
      <x:c r="G250" s="226"/>
      <x:c r="H250" s="226"/>
      <x:c r="I250" s="226"/>
      <x:c r="J250" s="226"/>
      <x:c r="K250" s="226"/>
      <x:c r="L250" s="226"/>
      <x:c r="M250" s="226"/>
      <x:c r="N250" s="226"/>
      <x:c r="O250" s="226"/>
      <x:c r="P250" s="226"/>
      <x:c r="Q250" s="226"/>
      <x:c r="R250" s="226"/>
      <x:c r="S250" s="226"/>
      <x:c r="T250" s="226"/>
      <x:c r="U250" s="226"/>
      <x:c r="V250" s="226"/>
      <x:c r="W250" s="226"/>
      <x:c r="X250" s="226"/>
      <x:c r="Y250" s="226"/>
      <x:c r="Z250" s="226"/>
    </x:row>
    <x:row r="251">
      <x:c r="A251" s="226"/>
      <x:c r="B251" s="226"/>
      <x:c r="C251" s="226"/>
      <x:c r="D251" s="226"/>
      <x:c r="E251" s="226"/>
      <x:c r="F251" s="226"/>
      <x:c r="G251" s="226"/>
      <x:c r="H251" s="226"/>
      <x:c r="I251" s="226"/>
      <x:c r="J251" s="226"/>
      <x:c r="K251" s="226"/>
      <x:c r="L251" s="226"/>
      <x:c r="M251" s="226"/>
      <x:c r="N251" s="226"/>
      <x:c r="O251" s="226"/>
      <x:c r="P251" s="226"/>
      <x:c r="Q251" s="226"/>
      <x:c r="R251" s="226"/>
      <x:c r="S251" s="226"/>
      <x:c r="T251" s="226"/>
      <x:c r="U251" s="226"/>
      <x:c r="V251" s="226"/>
      <x:c r="W251" s="226"/>
      <x:c r="X251" s="226"/>
      <x:c r="Y251" s="226"/>
      <x:c r="Z251" s="226"/>
    </x:row>
    <x:row r="252">
      <x:c r="A252" s="226"/>
      <x:c r="B252" s="226"/>
      <x:c r="C252" s="226"/>
      <x:c r="D252" s="226"/>
      <x:c r="E252" s="226"/>
      <x:c r="F252" s="226"/>
      <x:c r="G252" s="226"/>
      <x:c r="H252" s="226"/>
      <x:c r="I252" s="226"/>
      <x:c r="J252" s="226"/>
      <x:c r="K252" s="226"/>
      <x:c r="L252" s="226"/>
      <x:c r="M252" s="226"/>
      <x:c r="N252" s="226"/>
      <x:c r="O252" s="226"/>
      <x:c r="P252" s="226"/>
      <x:c r="Q252" s="226"/>
      <x:c r="R252" s="226"/>
      <x:c r="S252" s="226"/>
      <x:c r="T252" s="226"/>
      <x:c r="U252" s="226"/>
      <x:c r="V252" s="226"/>
      <x:c r="W252" s="226"/>
      <x:c r="X252" s="226"/>
      <x:c r="Y252" s="226"/>
      <x:c r="Z252" s="226"/>
    </x:row>
    <x:row r="253">
      <x:c r="A253" s="226"/>
      <x:c r="B253" s="226"/>
      <x:c r="C253" s="226"/>
      <x:c r="D253" s="226"/>
      <x:c r="E253" s="226"/>
      <x:c r="F253" s="226"/>
      <x:c r="G253" s="226"/>
      <x:c r="H253" s="226"/>
      <x:c r="I253" s="226"/>
      <x:c r="J253" s="226"/>
      <x:c r="K253" s="226"/>
      <x:c r="L253" s="226"/>
      <x:c r="M253" s="226"/>
      <x:c r="N253" s="226"/>
      <x:c r="O253" s="226"/>
      <x:c r="P253" s="226"/>
      <x:c r="Q253" s="226"/>
      <x:c r="R253" s="226"/>
      <x:c r="S253" s="226"/>
      <x:c r="T253" s="226"/>
      <x:c r="U253" s="226"/>
      <x:c r="V253" s="226"/>
      <x:c r="W253" s="226"/>
      <x:c r="X253" s="226"/>
      <x:c r="Y253" s="226"/>
      <x:c r="Z253" s="226"/>
    </x:row>
    <x:row r="254">
      <x:c r="A254" s="226"/>
      <x:c r="B254" s="226"/>
      <x:c r="C254" s="226"/>
      <x:c r="D254" s="226"/>
      <x:c r="E254" s="226"/>
      <x:c r="F254" s="226"/>
      <x:c r="G254" s="226"/>
      <x:c r="H254" s="226"/>
      <x:c r="I254" s="226"/>
      <x:c r="J254" s="226"/>
      <x:c r="K254" s="226"/>
      <x:c r="L254" s="226"/>
      <x:c r="M254" s="226"/>
      <x:c r="N254" s="226"/>
      <x:c r="O254" s="226"/>
      <x:c r="P254" s="226"/>
      <x:c r="Q254" s="226"/>
      <x:c r="R254" s="226"/>
      <x:c r="S254" s="226"/>
      <x:c r="T254" s="226"/>
      <x:c r="U254" s="226"/>
      <x:c r="V254" s="226"/>
      <x:c r="W254" s="226"/>
      <x:c r="X254" s="226"/>
      <x:c r="Y254" s="226"/>
      <x:c r="Z254" s="226"/>
    </x:row>
    <x:row r="255">
      <x:c r="A255" s="226"/>
      <x:c r="B255" s="226"/>
      <x:c r="C255" s="226"/>
      <x:c r="D255" s="226"/>
      <x:c r="E255" s="226"/>
      <x:c r="F255" s="226"/>
      <x:c r="G255" s="226"/>
      <x:c r="H255" s="226"/>
      <x:c r="I255" s="226"/>
      <x:c r="J255" s="226"/>
      <x:c r="K255" s="226"/>
      <x:c r="L255" s="226"/>
      <x:c r="M255" s="226"/>
      <x:c r="N255" s="226"/>
      <x:c r="O255" s="226"/>
      <x:c r="P255" s="226"/>
      <x:c r="Q255" s="226"/>
      <x:c r="R255" s="226"/>
      <x:c r="S255" s="226"/>
      <x:c r="T255" s="226"/>
      <x:c r="U255" s="226"/>
      <x:c r="V255" s="226"/>
      <x:c r="W255" s="226"/>
      <x:c r="X255" s="226"/>
      <x:c r="Y255" s="226"/>
      <x:c r="Z255" s="226"/>
    </x:row>
    <x:row r="256">
      <x:c r="A256" s="226"/>
      <x:c r="B256" s="226"/>
      <x:c r="C256" s="226"/>
      <x:c r="D256" s="226"/>
      <x:c r="E256" s="226"/>
      <x:c r="F256" s="226"/>
      <x:c r="G256" s="226"/>
      <x:c r="H256" s="226"/>
      <x:c r="I256" s="226"/>
      <x:c r="J256" s="226"/>
      <x:c r="K256" s="226"/>
      <x:c r="L256" s="226"/>
      <x:c r="M256" s="226"/>
      <x:c r="N256" s="226"/>
      <x:c r="O256" s="226"/>
      <x:c r="P256" s="226"/>
      <x:c r="Q256" s="226"/>
      <x:c r="R256" s="226"/>
      <x:c r="S256" s="226"/>
      <x:c r="T256" s="226"/>
      <x:c r="U256" s="226"/>
      <x:c r="V256" s="226"/>
      <x:c r="W256" s="226"/>
      <x:c r="X256" s="226"/>
      <x:c r="Y256" s="226"/>
      <x:c r="Z256" s="226"/>
    </x:row>
    <x:row r="257">
      <x:c r="A257" s="226"/>
      <x:c r="B257" s="226"/>
      <x:c r="C257" s="226"/>
      <x:c r="D257" s="226"/>
      <x:c r="E257" s="226"/>
      <x:c r="F257" s="226"/>
      <x:c r="G257" s="226"/>
      <x:c r="H257" s="226"/>
      <x:c r="I257" s="226"/>
      <x:c r="J257" s="226"/>
      <x:c r="K257" s="226"/>
      <x:c r="L257" s="226"/>
      <x:c r="M257" s="226"/>
      <x:c r="N257" s="226"/>
      <x:c r="O257" s="226"/>
      <x:c r="P257" s="226"/>
      <x:c r="Q257" s="226"/>
      <x:c r="R257" s="226"/>
      <x:c r="S257" s="226"/>
      <x:c r="T257" s="226"/>
      <x:c r="U257" s="226"/>
      <x:c r="V257" s="226"/>
      <x:c r="W257" s="226"/>
      <x:c r="X257" s="226"/>
      <x:c r="Y257" s="226"/>
      <x:c r="Z257" s="226"/>
    </x:row>
    <x:row r="258">
      <x:c r="A258" s="226"/>
      <x:c r="B258" s="226"/>
      <x:c r="C258" s="226"/>
      <x:c r="D258" s="226"/>
      <x:c r="E258" s="226"/>
      <x:c r="F258" s="226"/>
      <x:c r="G258" s="226"/>
      <x:c r="H258" s="226"/>
      <x:c r="I258" s="226"/>
      <x:c r="J258" s="226"/>
      <x:c r="K258" s="226"/>
      <x:c r="L258" s="226"/>
      <x:c r="M258" s="226"/>
      <x:c r="N258" s="226"/>
      <x:c r="O258" s="226"/>
      <x:c r="P258" s="226"/>
      <x:c r="Q258" s="226"/>
      <x:c r="R258" s="226"/>
      <x:c r="S258" s="226"/>
      <x:c r="T258" s="226"/>
      <x:c r="U258" s="226"/>
      <x:c r="V258" s="226"/>
      <x:c r="W258" s="226"/>
      <x:c r="X258" s="226"/>
      <x:c r="Y258" s="226"/>
      <x:c r="Z258" s="226"/>
    </x:row>
    <x:row r="259">
      <x:c r="A259" s="226"/>
      <x:c r="B259" s="226"/>
      <x:c r="C259" s="226"/>
      <x:c r="D259" s="226"/>
      <x:c r="E259" s="226"/>
      <x:c r="F259" s="226"/>
      <x:c r="G259" s="226"/>
      <x:c r="H259" s="226"/>
      <x:c r="I259" s="226"/>
      <x:c r="J259" s="226"/>
      <x:c r="K259" s="226"/>
      <x:c r="L259" s="226"/>
      <x:c r="M259" s="226"/>
      <x:c r="N259" s="226"/>
      <x:c r="O259" s="226"/>
      <x:c r="P259" s="226"/>
      <x:c r="Q259" s="226"/>
      <x:c r="R259" s="226"/>
      <x:c r="S259" s="226"/>
      <x:c r="T259" s="226"/>
      <x:c r="U259" s="226"/>
      <x:c r="V259" s="226"/>
      <x:c r="W259" s="226"/>
      <x:c r="X259" s="226"/>
      <x:c r="Y259" s="226"/>
      <x:c r="Z259" s="226"/>
    </x:row>
    <x:row r="260">
      <x:c r="A260" s="226"/>
      <x:c r="B260" s="226"/>
      <x:c r="C260" s="226"/>
      <x:c r="D260" s="226"/>
      <x:c r="E260" s="226"/>
      <x:c r="F260" s="226"/>
      <x:c r="G260" s="226"/>
      <x:c r="H260" s="226"/>
      <x:c r="I260" s="226"/>
      <x:c r="J260" s="226"/>
      <x:c r="K260" s="226"/>
      <x:c r="L260" s="226"/>
      <x:c r="M260" s="226"/>
      <x:c r="N260" s="226"/>
      <x:c r="O260" s="226"/>
      <x:c r="P260" s="226"/>
      <x:c r="Q260" s="226"/>
      <x:c r="R260" s="226"/>
      <x:c r="S260" s="226"/>
      <x:c r="T260" s="226"/>
      <x:c r="U260" s="226"/>
      <x:c r="V260" s="226"/>
      <x:c r="W260" s="226"/>
      <x:c r="X260" s="226"/>
      <x:c r="Y260" s="226"/>
      <x:c r="Z260" s="226"/>
    </x:row>
    <x:row r="261">
      <x:c r="A261" s="226"/>
      <x:c r="B261" s="226"/>
      <x:c r="C261" s="226"/>
      <x:c r="D261" s="226"/>
      <x:c r="E261" s="226"/>
      <x:c r="F261" s="226"/>
      <x:c r="G261" s="226"/>
      <x:c r="H261" s="226"/>
      <x:c r="I261" s="226"/>
      <x:c r="J261" s="226"/>
      <x:c r="K261" s="226"/>
      <x:c r="L261" s="226"/>
      <x:c r="M261" s="226"/>
      <x:c r="N261" s="226"/>
      <x:c r="O261" s="226"/>
      <x:c r="P261" s="226"/>
      <x:c r="Q261" s="226"/>
      <x:c r="R261" s="226"/>
      <x:c r="S261" s="226"/>
      <x:c r="T261" s="226"/>
      <x:c r="U261" s="226"/>
      <x:c r="V261" s="226"/>
      <x:c r="W261" s="226"/>
      <x:c r="X261" s="226"/>
      <x:c r="Y261" s="226"/>
      <x:c r="Z261" s="226"/>
    </x:row>
    <x:row r="262">
      <x:c r="A262" s="226"/>
      <x:c r="B262" s="226"/>
      <x:c r="C262" s="226"/>
      <x:c r="D262" s="226"/>
      <x:c r="E262" s="226"/>
      <x:c r="F262" s="226"/>
      <x:c r="G262" s="226"/>
      <x:c r="H262" s="226"/>
      <x:c r="I262" s="226"/>
      <x:c r="J262" s="226"/>
      <x:c r="K262" s="226"/>
      <x:c r="L262" s="226"/>
      <x:c r="M262" s="226"/>
      <x:c r="N262" s="226"/>
      <x:c r="O262" s="226"/>
      <x:c r="P262" s="226"/>
      <x:c r="Q262" s="226"/>
      <x:c r="R262" s="226"/>
      <x:c r="S262" s="226"/>
      <x:c r="T262" s="226"/>
      <x:c r="U262" s="226"/>
      <x:c r="V262" s="226"/>
      <x:c r="W262" s="226"/>
      <x:c r="X262" s="226"/>
      <x:c r="Y262" s="226"/>
      <x:c r="Z262" s="226"/>
    </x:row>
    <x:row r="263">
      <x:c r="A263" s="226"/>
      <x:c r="B263" s="226"/>
      <x:c r="C263" s="226"/>
      <x:c r="D263" s="226"/>
      <x:c r="E263" s="226"/>
      <x:c r="F263" s="226"/>
      <x:c r="G263" s="226"/>
      <x:c r="H263" s="226"/>
      <x:c r="I263" s="226"/>
      <x:c r="J263" s="226"/>
      <x:c r="K263" s="226"/>
      <x:c r="L263" s="226"/>
      <x:c r="M263" s="226"/>
      <x:c r="N263" s="226"/>
      <x:c r="O263" s="226"/>
      <x:c r="P263" s="226"/>
      <x:c r="Q263" s="226"/>
      <x:c r="R263" s="226"/>
      <x:c r="S263" s="226"/>
      <x:c r="T263" s="226"/>
      <x:c r="U263" s="226"/>
      <x:c r="V263" s="226"/>
      <x:c r="W263" s="226"/>
      <x:c r="X263" s="226"/>
      <x:c r="Y263" s="226"/>
      <x:c r="Z263" s="226"/>
    </x:row>
    <x:row r="264">
      <x:c r="A264" s="226"/>
      <x:c r="B264" s="226"/>
      <x:c r="C264" s="226"/>
      <x:c r="D264" s="226"/>
      <x:c r="E264" s="226"/>
      <x:c r="F264" s="226"/>
      <x:c r="G264" s="226"/>
      <x:c r="H264" s="226"/>
      <x:c r="I264" s="226"/>
      <x:c r="J264" s="226"/>
      <x:c r="K264" s="226"/>
      <x:c r="L264" s="226"/>
      <x:c r="M264" s="226"/>
      <x:c r="N264" s="226"/>
      <x:c r="O264" s="226"/>
      <x:c r="P264" s="226"/>
      <x:c r="Q264" s="226"/>
      <x:c r="R264" s="226"/>
      <x:c r="S264" s="226"/>
      <x:c r="T264" s="226"/>
      <x:c r="U264" s="226"/>
      <x:c r="V264" s="226"/>
      <x:c r="W264" s="226"/>
      <x:c r="X264" s="226"/>
      <x:c r="Y264" s="226"/>
      <x:c r="Z264" s="226"/>
    </x:row>
    <x:row r="265">
      <x:c r="A265" s="226"/>
      <x:c r="B265" s="226"/>
      <x:c r="C265" s="226"/>
      <x:c r="D265" s="226"/>
      <x:c r="E265" s="226"/>
      <x:c r="F265" s="226"/>
      <x:c r="G265" s="226"/>
      <x:c r="H265" s="226"/>
      <x:c r="I265" s="226"/>
      <x:c r="J265" s="226"/>
      <x:c r="K265" s="226"/>
      <x:c r="L265" s="226"/>
      <x:c r="M265" s="226"/>
      <x:c r="N265" s="226"/>
      <x:c r="O265" s="226"/>
      <x:c r="P265" s="226"/>
      <x:c r="Q265" s="226"/>
      <x:c r="R265" s="226"/>
      <x:c r="S265" s="226"/>
      <x:c r="T265" s="226"/>
      <x:c r="U265" s="226"/>
      <x:c r="V265" s="226"/>
      <x:c r="W265" s="226"/>
      <x:c r="X265" s="226"/>
      <x:c r="Y265" s="226"/>
      <x:c r="Z265" s="226"/>
    </x:row>
    <x:row r="266">
      <x:c r="A266" s="226"/>
      <x:c r="B266" s="226"/>
      <x:c r="C266" s="226"/>
      <x:c r="D266" s="226"/>
      <x:c r="E266" s="226"/>
      <x:c r="F266" s="226"/>
      <x:c r="G266" s="226"/>
      <x:c r="H266" s="226"/>
      <x:c r="I266" s="226"/>
      <x:c r="J266" s="226"/>
      <x:c r="K266" s="226"/>
      <x:c r="L266" s="226"/>
      <x:c r="M266" s="226"/>
      <x:c r="N266" s="226"/>
      <x:c r="O266" s="226"/>
      <x:c r="P266" s="226"/>
      <x:c r="Q266" s="226"/>
      <x:c r="R266" s="226"/>
      <x:c r="S266" s="226"/>
      <x:c r="T266" s="226"/>
      <x:c r="U266" s="226"/>
      <x:c r="V266" s="226"/>
      <x:c r="W266" s="226"/>
      <x:c r="X266" s="226"/>
      <x:c r="Y266" s="226"/>
      <x:c r="Z266" s="226"/>
    </x:row>
    <x:row r="267">
      <x:c r="A267" s="226"/>
      <x:c r="B267" s="226"/>
      <x:c r="C267" s="226"/>
      <x:c r="D267" s="226"/>
      <x:c r="E267" s="226"/>
      <x:c r="F267" s="226"/>
      <x:c r="G267" s="226"/>
      <x:c r="H267" s="226"/>
      <x:c r="I267" s="226"/>
      <x:c r="J267" s="226"/>
      <x:c r="K267" s="226"/>
      <x:c r="L267" s="226"/>
      <x:c r="M267" s="226"/>
      <x:c r="N267" s="226"/>
      <x:c r="O267" s="226"/>
      <x:c r="P267" s="226"/>
      <x:c r="Q267" s="226"/>
      <x:c r="R267" s="226"/>
      <x:c r="S267" s="226"/>
      <x:c r="T267" s="226"/>
      <x:c r="U267" s="226"/>
      <x:c r="V267" s="226"/>
      <x:c r="W267" s="226"/>
      <x:c r="X267" s="226"/>
      <x:c r="Y267" s="226"/>
      <x:c r="Z267" s="226"/>
    </x:row>
    <x:row r="268">
      <x:c r="A268" s="226"/>
      <x:c r="B268" s="226"/>
      <x:c r="C268" s="226"/>
      <x:c r="D268" s="226"/>
      <x:c r="E268" s="226"/>
      <x:c r="F268" s="226"/>
      <x:c r="G268" s="226"/>
      <x:c r="H268" s="226"/>
      <x:c r="I268" s="226"/>
      <x:c r="J268" s="226"/>
      <x:c r="K268" s="226"/>
      <x:c r="L268" s="226"/>
      <x:c r="M268" s="226"/>
      <x:c r="N268" s="226"/>
      <x:c r="O268" s="226"/>
      <x:c r="P268" s="226"/>
      <x:c r="Q268" s="226"/>
      <x:c r="R268" s="226"/>
      <x:c r="S268" s="226"/>
      <x:c r="T268" s="226"/>
      <x:c r="U268" s="226"/>
      <x:c r="V268" s="226"/>
      <x:c r="W268" s="226"/>
      <x:c r="X268" s="226"/>
      <x:c r="Y268" s="226"/>
      <x:c r="Z268" s="226"/>
    </x:row>
    <x:row r="269">
      <x:c r="A269" s="226"/>
      <x:c r="B269" s="226"/>
      <x:c r="C269" s="226"/>
      <x:c r="D269" s="226"/>
      <x:c r="E269" s="226"/>
      <x:c r="F269" s="226"/>
      <x:c r="G269" s="226"/>
      <x:c r="H269" s="226"/>
      <x:c r="I269" s="226"/>
      <x:c r="J269" s="226"/>
      <x:c r="K269" s="226"/>
      <x:c r="L269" s="226"/>
      <x:c r="M269" s="226"/>
      <x:c r="N269" s="226"/>
      <x:c r="O269" s="226"/>
      <x:c r="P269" s="226"/>
      <x:c r="Q269" s="226"/>
      <x:c r="R269" s="226"/>
      <x:c r="S269" s="226"/>
      <x:c r="T269" s="226"/>
      <x:c r="U269" s="226"/>
      <x:c r="V269" s="226"/>
      <x:c r="W269" s="226"/>
      <x:c r="X269" s="226"/>
      <x:c r="Y269" s="226"/>
      <x:c r="Z269" s="226"/>
    </x:row>
    <x:row r="270">
      <x:c r="A270" s="226"/>
      <x:c r="B270" s="226"/>
      <x:c r="C270" s="226"/>
      <x:c r="D270" s="226"/>
      <x:c r="E270" s="226"/>
      <x:c r="F270" s="226"/>
      <x:c r="G270" s="226"/>
      <x:c r="H270" s="226"/>
      <x:c r="I270" s="226"/>
      <x:c r="J270" s="226"/>
      <x:c r="K270" s="226"/>
      <x:c r="L270" s="226"/>
      <x:c r="M270" s="226"/>
      <x:c r="N270" s="226"/>
      <x:c r="O270" s="226"/>
      <x:c r="P270" s="226"/>
      <x:c r="Q270" s="226"/>
      <x:c r="R270" s="226"/>
      <x:c r="S270" s="226"/>
      <x:c r="T270" s="226"/>
      <x:c r="U270" s="226"/>
      <x:c r="V270" s="226"/>
      <x:c r="W270" s="226"/>
      <x:c r="X270" s="226"/>
      <x:c r="Y270" s="226"/>
      <x:c r="Z270" s="226"/>
    </x:row>
    <x:row r="271">
      <x:c r="A271" s="226"/>
      <x:c r="B271" s="226"/>
      <x:c r="C271" s="226"/>
      <x:c r="D271" s="226"/>
      <x:c r="E271" s="226"/>
      <x:c r="F271" s="226"/>
      <x:c r="G271" s="226"/>
      <x:c r="H271" s="226"/>
      <x:c r="I271" s="226"/>
      <x:c r="J271" s="226"/>
      <x:c r="K271" s="226"/>
      <x:c r="L271" s="226"/>
      <x:c r="M271" s="226"/>
      <x:c r="N271" s="226"/>
      <x:c r="O271" s="226"/>
      <x:c r="P271" s="226"/>
      <x:c r="Q271" s="226"/>
      <x:c r="R271" s="226"/>
      <x:c r="S271" s="226"/>
      <x:c r="T271" s="226"/>
      <x:c r="U271" s="226"/>
      <x:c r="V271" s="226"/>
      <x:c r="W271" s="226"/>
      <x:c r="X271" s="226"/>
      <x:c r="Y271" s="226"/>
      <x:c r="Z271" s="226"/>
    </x:row>
    <x:row r="272">
      <x:c r="A272" s="226"/>
      <x:c r="B272" s="226"/>
      <x:c r="C272" s="226"/>
      <x:c r="D272" s="226"/>
      <x:c r="E272" s="226"/>
      <x:c r="F272" s="226"/>
      <x:c r="G272" s="226"/>
      <x:c r="H272" s="226"/>
      <x:c r="I272" s="226"/>
      <x:c r="J272" s="226"/>
      <x:c r="K272" s="226"/>
      <x:c r="L272" s="226"/>
      <x:c r="M272" s="226"/>
      <x:c r="N272" s="226"/>
      <x:c r="O272" s="226"/>
      <x:c r="P272" s="226"/>
      <x:c r="Q272" s="226"/>
      <x:c r="R272" s="226"/>
      <x:c r="S272" s="226"/>
      <x:c r="T272" s="226"/>
      <x:c r="U272" s="226"/>
      <x:c r="V272" s="226"/>
      <x:c r="W272" s="226"/>
      <x:c r="X272" s="226"/>
      <x:c r="Y272" s="226"/>
      <x:c r="Z272" s="226"/>
    </x:row>
    <x:row r="273">
      <x:c r="A273" s="226"/>
      <x:c r="B273" s="226"/>
      <x:c r="C273" s="226"/>
      <x:c r="D273" s="226"/>
      <x:c r="E273" s="226"/>
      <x:c r="F273" s="226"/>
      <x:c r="G273" s="226"/>
      <x:c r="H273" s="226"/>
      <x:c r="I273" s="226"/>
      <x:c r="J273" s="226"/>
      <x:c r="K273" s="226"/>
      <x:c r="L273" s="226"/>
      <x:c r="M273" s="226"/>
      <x:c r="N273" s="226"/>
      <x:c r="O273" s="226"/>
      <x:c r="P273" s="226"/>
      <x:c r="Q273" s="226"/>
      <x:c r="R273" s="226"/>
      <x:c r="S273" s="226"/>
      <x:c r="T273" s="226"/>
      <x:c r="U273" s="226"/>
      <x:c r="V273" s="226"/>
      <x:c r="W273" s="226"/>
      <x:c r="X273" s="226"/>
      <x:c r="Y273" s="226"/>
      <x:c r="Z273" s="226"/>
    </x:row>
    <x:row r="274">
      <x:c r="A274" s="226"/>
      <x:c r="B274" s="226"/>
      <x:c r="C274" s="226"/>
      <x:c r="D274" s="226"/>
      <x:c r="E274" s="226"/>
      <x:c r="F274" s="226"/>
      <x:c r="G274" s="226"/>
      <x:c r="H274" s="226"/>
      <x:c r="I274" s="226"/>
      <x:c r="J274" s="226"/>
      <x:c r="K274" s="226"/>
      <x:c r="L274" s="226"/>
      <x:c r="M274" s="226"/>
      <x:c r="N274" s="226"/>
      <x:c r="O274" s="226"/>
      <x:c r="P274" s="226"/>
      <x:c r="Q274" s="226"/>
      <x:c r="R274" s="226"/>
      <x:c r="S274" s="226"/>
      <x:c r="T274" s="226"/>
      <x:c r="U274" s="226"/>
      <x:c r="V274" s="226"/>
      <x:c r="W274" s="226"/>
      <x:c r="X274" s="226"/>
      <x:c r="Y274" s="226"/>
      <x:c r="Z274" s="226"/>
    </x:row>
    <x:row r="275">
      <x:c r="A275" s="226"/>
      <x:c r="B275" s="226"/>
      <x:c r="C275" s="226"/>
      <x:c r="D275" s="226"/>
      <x:c r="E275" s="226"/>
      <x:c r="F275" s="226"/>
      <x:c r="G275" s="226"/>
      <x:c r="H275" s="226"/>
      <x:c r="I275" s="226"/>
      <x:c r="J275" s="226"/>
      <x:c r="K275" s="226"/>
      <x:c r="L275" s="226"/>
      <x:c r="M275" s="226"/>
      <x:c r="N275" s="226"/>
      <x:c r="O275" s="226"/>
      <x:c r="P275" s="226"/>
      <x:c r="Q275" s="226"/>
      <x:c r="R275" s="226"/>
      <x:c r="S275" s="226"/>
      <x:c r="T275" s="226"/>
      <x:c r="U275" s="226"/>
      <x:c r="V275" s="226"/>
      <x:c r="W275" s="226"/>
      <x:c r="X275" s="226"/>
      <x:c r="Y275" s="226"/>
      <x:c r="Z275" s="226"/>
    </x:row>
    <x:row r="276">
      <x:c r="A276" s="226"/>
      <x:c r="B276" s="226"/>
      <x:c r="C276" s="226"/>
      <x:c r="D276" s="226"/>
      <x:c r="E276" s="226"/>
      <x:c r="F276" s="226"/>
      <x:c r="G276" s="226"/>
      <x:c r="H276" s="226"/>
      <x:c r="I276" s="226"/>
      <x:c r="J276" s="226"/>
      <x:c r="K276" s="226"/>
      <x:c r="L276" s="226"/>
      <x:c r="M276" s="226"/>
      <x:c r="N276" s="226"/>
      <x:c r="O276" s="226"/>
      <x:c r="P276" s="226"/>
      <x:c r="Q276" s="226"/>
      <x:c r="R276" s="226"/>
      <x:c r="S276" s="226"/>
      <x:c r="T276" s="226"/>
      <x:c r="U276" s="226"/>
      <x:c r="V276" s="226"/>
      <x:c r="W276" s="226"/>
      <x:c r="X276" s="226"/>
      <x:c r="Y276" s="226"/>
      <x:c r="Z276" s="226"/>
    </x:row>
    <x:row r="277">
      <x:c r="A277" s="226"/>
      <x:c r="B277" s="226"/>
      <x:c r="C277" s="226"/>
      <x:c r="D277" s="226"/>
      <x:c r="E277" s="226"/>
      <x:c r="F277" s="226"/>
      <x:c r="G277" s="226"/>
      <x:c r="H277" s="226"/>
      <x:c r="I277" s="226"/>
      <x:c r="J277" s="226"/>
      <x:c r="K277" s="226"/>
      <x:c r="L277" s="226"/>
      <x:c r="M277" s="226"/>
      <x:c r="N277" s="226"/>
      <x:c r="O277" s="226"/>
      <x:c r="P277" s="226"/>
      <x:c r="Q277" s="226"/>
      <x:c r="R277" s="226"/>
      <x:c r="S277" s="226"/>
      <x:c r="T277" s="226"/>
      <x:c r="U277" s="226"/>
      <x:c r="V277" s="226"/>
      <x:c r="W277" s="226"/>
      <x:c r="X277" s="226"/>
      <x:c r="Y277" s="226"/>
      <x:c r="Z277" s="226"/>
    </x:row>
    <x:row r="278">
      <x:c r="A278" s="226"/>
      <x:c r="B278" s="226"/>
      <x:c r="C278" s="226"/>
      <x:c r="D278" s="226"/>
      <x:c r="E278" s="226"/>
      <x:c r="F278" s="226"/>
      <x:c r="G278" s="226"/>
      <x:c r="H278" s="226"/>
      <x:c r="I278" s="226"/>
      <x:c r="J278" s="226"/>
      <x:c r="K278" s="226"/>
      <x:c r="L278" s="226"/>
      <x:c r="M278" s="226"/>
      <x:c r="N278" s="226"/>
      <x:c r="O278" s="226"/>
      <x:c r="P278" s="226"/>
      <x:c r="Q278" s="226"/>
      <x:c r="R278" s="226"/>
      <x:c r="S278" s="226"/>
      <x:c r="T278" s="226"/>
      <x:c r="U278" s="226"/>
      <x:c r="V278" s="226"/>
      <x:c r="W278" s="226"/>
      <x:c r="X278" s="226"/>
      <x:c r="Y278" s="226"/>
      <x:c r="Z278" s="226"/>
    </x:row>
    <x:row r="279">
      <x:c r="A279" s="226"/>
      <x:c r="B279" s="226"/>
      <x:c r="C279" s="226"/>
      <x:c r="D279" s="226"/>
      <x:c r="E279" s="226"/>
      <x:c r="F279" s="226"/>
      <x:c r="G279" s="226"/>
      <x:c r="H279" s="226"/>
      <x:c r="I279" s="226"/>
      <x:c r="J279" s="226"/>
      <x:c r="K279" s="226"/>
      <x:c r="L279" s="226"/>
      <x:c r="M279" s="226"/>
      <x:c r="N279" s="226"/>
      <x:c r="O279" s="226"/>
      <x:c r="P279" s="226"/>
      <x:c r="Q279" s="226"/>
      <x:c r="R279" s="226"/>
      <x:c r="S279" s="226"/>
      <x:c r="T279" s="226"/>
      <x:c r="U279" s="226"/>
      <x:c r="V279" s="226"/>
      <x:c r="W279" s="226"/>
      <x:c r="X279" s="226"/>
      <x:c r="Y279" s="226"/>
      <x:c r="Z279" s="226"/>
    </x:row>
    <x:row r="280">
      <x:c r="A280" s="226"/>
      <x:c r="B280" s="226"/>
      <x:c r="C280" s="226"/>
      <x:c r="D280" s="226"/>
      <x:c r="E280" s="226"/>
      <x:c r="F280" s="226"/>
      <x:c r="G280" s="226"/>
      <x:c r="H280" s="226"/>
      <x:c r="I280" s="226"/>
      <x:c r="J280" s="226"/>
      <x:c r="K280" s="226"/>
      <x:c r="L280" s="226"/>
      <x:c r="M280" s="226"/>
      <x:c r="N280" s="226"/>
      <x:c r="O280" s="226"/>
      <x:c r="P280" s="226"/>
      <x:c r="Q280" s="226"/>
      <x:c r="R280" s="226"/>
      <x:c r="S280" s="226"/>
      <x:c r="T280" s="226"/>
      <x:c r="U280" s="226"/>
      <x:c r="V280" s="226"/>
      <x:c r="W280" s="226"/>
      <x:c r="X280" s="226"/>
      <x:c r="Y280" s="226"/>
      <x:c r="Z280" s="226"/>
    </x:row>
    <x:row r="281">
      <x:c r="A281" s="226"/>
      <x:c r="B281" s="226"/>
      <x:c r="C281" s="226"/>
      <x:c r="D281" s="226"/>
      <x:c r="E281" s="226"/>
      <x:c r="F281" s="226"/>
      <x:c r="G281" s="226"/>
      <x:c r="H281" s="226"/>
      <x:c r="I281" s="226"/>
      <x:c r="J281" s="226"/>
      <x:c r="K281" s="226"/>
      <x:c r="L281" s="226"/>
      <x:c r="M281" s="226"/>
      <x:c r="N281" s="226"/>
      <x:c r="O281" s="226"/>
      <x:c r="P281" s="226"/>
      <x:c r="Q281" s="226"/>
      <x:c r="R281" s="226"/>
      <x:c r="S281" s="226"/>
      <x:c r="T281" s="226"/>
      <x:c r="U281" s="226"/>
      <x:c r="V281" s="226"/>
      <x:c r="W281" s="226"/>
      <x:c r="X281" s="226"/>
      <x:c r="Y281" s="226"/>
      <x:c r="Z281" s="226"/>
    </x:row>
    <x:row r="282">
      <x:c r="A282" s="226"/>
      <x:c r="B282" s="226"/>
      <x:c r="C282" s="226"/>
      <x:c r="D282" s="226"/>
      <x:c r="E282" s="226"/>
      <x:c r="F282" s="226"/>
      <x:c r="G282" s="226"/>
      <x:c r="H282" s="226"/>
      <x:c r="I282" s="226"/>
      <x:c r="J282" s="226"/>
      <x:c r="K282" s="226"/>
      <x:c r="L282" s="226"/>
      <x:c r="M282" s="226"/>
      <x:c r="N282" s="226"/>
      <x:c r="O282" s="226"/>
      <x:c r="P282" s="226"/>
      <x:c r="Q282" s="226"/>
      <x:c r="R282" s="226"/>
      <x:c r="S282" s="226"/>
      <x:c r="T282" s="226"/>
      <x:c r="U282" s="226"/>
      <x:c r="V282" s="226"/>
      <x:c r="W282" s="226"/>
      <x:c r="X282" s="226"/>
      <x:c r="Y282" s="226"/>
      <x:c r="Z282" s="226"/>
    </x:row>
    <x:row r="283">
      <x:c r="A283" s="226"/>
      <x:c r="B283" s="226"/>
      <x:c r="C283" s="226"/>
      <x:c r="D283" s="226"/>
      <x:c r="E283" s="226"/>
      <x:c r="F283" s="226"/>
      <x:c r="G283" s="226"/>
      <x:c r="H283" s="226"/>
      <x:c r="I283" s="226"/>
      <x:c r="J283" s="226"/>
      <x:c r="K283" s="226"/>
      <x:c r="L283" s="226"/>
      <x:c r="M283" s="226"/>
      <x:c r="N283" s="226"/>
      <x:c r="O283" s="226"/>
      <x:c r="P283" s="226"/>
      <x:c r="Q283" s="226"/>
      <x:c r="R283" s="226"/>
      <x:c r="S283" s="226"/>
      <x:c r="T283" s="226"/>
      <x:c r="U283" s="226"/>
      <x:c r="V283" s="226"/>
      <x:c r="W283" s="226"/>
      <x:c r="X283" s="226"/>
      <x:c r="Y283" s="226"/>
      <x:c r="Z283" s="226"/>
    </x:row>
    <x:row r="284">
      <x:c r="A284" s="226"/>
      <x:c r="B284" s="226"/>
      <x:c r="C284" s="226"/>
      <x:c r="D284" s="226"/>
      <x:c r="E284" s="226"/>
      <x:c r="F284" s="226"/>
      <x:c r="G284" s="226"/>
      <x:c r="H284" s="226"/>
      <x:c r="I284" s="226"/>
      <x:c r="J284" s="226"/>
      <x:c r="K284" s="226"/>
      <x:c r="L284" s="226"/>
      <x:c r="M284" s="226"/>
      <x:c r="N284" s="226"/>
      <x:c r="O284" s="226"/>
      <x:c r="P284" s="226"/>
      <x:c r="Q284" s="226"/>
      <x:c r="R284" s="226"/>
      <x:c r="S284" s="226"/>
      <x:c r="T284" s="226"/>
      <x:c r="U284" s="226"/>
      <x:c r="V284" s="226"/>
      <x:c r="W284" s="226"/>
      <x:c r="X284" s="226"/>
      <x:c r="Y284" s="226"/>
      <x:c r="Z284" s="226"/>
    </x:row>
    <x:row r="285">
      <x:c r="A285" s="226"/>
      <x:c r="B285" s="226"/>
      <x:c r="C285" s="226"/>
      <x:c r="D285" s="226"/>
      <x:c r="E285" s="226"/>
      <x:c r="F285" s="226"/>
      <x:c r="G285" s="226"/>
      <x:c r="H285" s="226"/>
      <x:c r="I285" s="226"/>
      <x:c r="J285" s="226"/>
      <x:c r="K285" s="226"/>
      <x:c r="L285" s="226"/>
      <x:c r="M285" s="226"/>
      <x:c r="N285" s="226"/>
      <x:c r="O285" s="226"/>
      <x:c r="P285" s="226"/>
      <x:c r="Q285" s="226"/>
      <x:c r="R285" s="226"/>
      <x:c r="S285" s="226"/>
      <x:c r="T285" s="226"/>
      <x:c r="U285" s="226"/>
      <x:c r="V285" s="226"/>
      <x:c r="W285" s="226"/>
      <x:c r="X285" s="226"/>
      <x:c r="Y285" s="226"/>
      <x:c r="Z285" s="226"/>
    </x:row>
    <x:row r="286">
      <x:c r="A286" s="226"/>
      <x:c r="B286" s="226"/>
      <x:c r="C286" s="226"/>
      <x:c r="D286" s="226"/>
      <x:c r="E286" s="226"/>
      <x:c r="F286" s="226"/>
      <x:c r="G286" s="226"/>
      <x:c r="H286" s="226"/>
      <x:c r="I286" s="226"/>
      <x:c r="J286" s="226"/>
      <x:c r="K286" s="226"/>
      <x:c r="L286" s="226"/>
      <x:c r="M286" s="226"/>
      <x:c r="N286" s="226"/>
      <x:c r="O286" s="226"/>
      <x:c r="P286" s="226"/>
      <x:c r="Q286" s="226"/>
      <x:c r="R286" s="226"/>
      <x:c r="S286" s="226"/>
      <x:c r="T286" s="226"/>
      <x:c r="U286" s="226"/>
      <x:c r="V286" s="226"/>
      <x:c r="W286" s="226"/>
      <x:c r="X286" s="226"/>
      <x:c r="Y286" s="226"/>
      <x:c r="Z286" s="226"/>
    </x:row>
    <x:row r="287">
      <x:c r="A287" s="226"/>
      <x:c r="B287" s="226"/>
      <x:c r="C287" s="226"/>
      <x:c r="D287" s="226"/>
      <x:c r="E287" s="226"/>
      <x:c r="F287" s="226"/>
      <x:c r="G287" s="226"/>
      <x:c r="H287" s="226"/>
      <x:c r="I287" s="226"/>
      <x:c r="J287" s="226"/>
      <x:c r="K287" s="226"/>
      <x:c r="L287" s="226"/>
      <x:c r="M287" s="226"/>
      <x:c r="N287" s="226"/>
      <x:c r="O287" s="226"/>
      <x:c r="P287" s="226"/>
      <x:c r="Q287" s="226"/>
      <x:c r="R287" s="226"/>
      <x:c r="S287" s="226"/>
      <x:c r="T287" s="226"/>
      <x:c r="U287" s="226"/>
      <x:c r="V287" s="226"/>
      <x:c r="W287" s="226"/>
      <x:c r="X287" s="226"/>
      <x:c r="Y287" s="226"/>
      <x:c r="Z287" s="226"/>
    </x:row>
    <x:row r="288">
      <x:c r="A288" s="226"/>
      <x:c r="B288" s="226"/>
      <x:c r="C288" s="226"/>
      <x:c r="D288" s="226"/>
      <x:c r="E288" s="226"/>
      <x:c r="F288" s="226"/>
      <x:c r="G288" s="226"/>
      <x:c r="H288" s="226"/>
      <x:c r="I288" s="226"/>
      <x:c r="J288" s="226"/>
      <x:c r="K288" s="226"/>
      <x:c r="L288" s="226"/>
      <x:c r="M288" s="226"/>
      <x:c r="N288" s="226"/>
      <x:c r="O288" s="226"/>
      <x:c r="P288" s="226"/>
      <x:c r="Q288" s="226"/>
      <x:c r="R288" s="226"/>
      <x:c r="S288" s="226"/>
      <x:c r="T288" s="226"/>
      <x:c r="U288" s="226"/>
      <x:c r="V288" s="226"/>
      <x:c r="W288" s="226"/>
      <x:c r="X288" s="226"/>
      <x:c r="Y288" s="226"/>
      <x:c r="Z288" s="226"/>
    </x:row>
    <x:row r="289">
      <x:c r="A289" s="226"/>
      <x:c r="B289" s="226"/>
      <x:c r="C289" s="226"/>
      <x:c r="D289" s="226"/>
      <x:c r="E289" s="226"/>
      <x:c r="F289" s="226"/>
      <x:c r="G289" s="226"/>
      <x:c r="H289" s="226"/>
      <x:c r="I289" s="226"/>
      <x:c r="J289" s="226"/>
      <x:c r="K289" s="226"/>
      <x:c r="L289" s="226"/>
      <x:c r="M289" s="226"/>
      <x:c r="N289" s="226"/>
      <x:c r="O289" s="226"/>
      <x:c r="P289" s="226"/>
      <x:c r="Q289" s="226"/>
      <x:c r="R289" s="226"/>
      <x:c r="S289" s="226"/>
      <x:c r="T289" s="226"/>
      <x:c r="U289" s="226"/>
      <x:c r="V289" s="226"/>
      <x:c r="W289" s="226"/>
      <x:c r="X289" s="226"/>
      <x:c r="Y289" s="226"/>
      <x:c r="Z289" s="226"/>
    </x:row>
    <x:row r="290">
      <x:c r="A290" s="226"/>
      <x:c r="B290" s="226"/>
      <x:c r="C290" s="226"/>
      <x:c r="D290" s="226"/>
      <x:c r="E290" s="226"/>
      <x:c r="F290" s="226"/>
      <x:c r="G290" s="226"/>
      <x:c r="H290" s="226"/>
      <x:c r="I290" s="226"/>
      <x:c r="J290" s="226"/>
      <x:c r="K290" s="226"/>
      <x:c r="L290" s="226"/>
      <x:c r="M290" s="226"/>
      <x:c r="N290" s="226"/>
      <x:c r="O290" s="226"/>
      <x:c r="P290" s="226"/>
      <x:c r="Q290" s="226"/>
      <x:c r="R290" s="226"/>
      <x:c r="S290" s="226"/>
      <x:c r="T290" s="226"/>
      <x:c r="U290" s="226"/>
      <x:c r="V290" s="226"/>
      <x:c r="W290" s="226"/>
      <x:c r="X290" s="226"/>
      <x:c r="Y290" s="226"/>
      <x:c r="Z290" s="226"/>
    </x:row>
    <x:row r="291">
      <x:c r="A291" s="226"/>
      <x:c r="B291" s="226"/>
      <x:c r="C291" s="226"/>
      <x:c r="D291" s="226"/>
      <x:c r="E291" s="226"/>
      <x:c r="F291" s="226"/>
      <x:c r="G291" s="226"/>
      <x:c r="H291" s="226"/>
      <x:c r="I291" s="226"/>
      <x:c r="J291" s="226"/>
      <x:c r="K291" s="226"/>
      <x:c r="L291" s="226"/>
      <x:c r="M291" s="226"/>
      <x:c r="N291" s="226"/>
      <x:c r="O291" s="226"/>
      <x:c r="P291" s="226"/>
      <x:c r="Q291" s="226"/>
      <x:c r="R291" s="226"/>
      <x:c r="S291" s="226"/>
      <x:c r="T291" s="226"/>
      <x:c r="U291" s="226"/>
      <x:c r="V291" s="226"/>
      <x:c r="W291" s="226"/>
      <x:c r="X291" s="226"/>
      <x:c r="Y291" s="226"/>
      <x:c r="Z291" s="226"/>
    </x:row>
    <x:row r="292">
      <x:c r="A292" s="226"/>
      <x:c r="B292" s="226"/>
      <x:c r="C292" s="226"/>
      <x:c r="D292" s="226"/>
      <x:c r="E292" s="226"/>
      <x:c r="F292" s="226"/>
      <x:c r="G292" s="226"/>
      <x:c r="H292" s="226"/>
      <x:c r="I292" s="226"/>
      <x:c r="J292" s="226"/>
      <x:c r="K292" s="226"/>
      <x:c r="L292" s="226"/>
      <x:c r="M292" s="226"/>
      <x:c r="N292" s="226"/>
      <x:c r="O292" s="226"/>
      <x:c r="P292" s="226"/>
      <x:c r="Q292" s="226"/>
      <x:c r="R292" s="226"/>
      <x:c r="S292" s="226"/>
      <x:c r="T292" s="226"/>
      <x:c r="U292" s="226"/>
      <x:c r="V292" s="226"/>
      <x:c r="W292" s="226"/>
      <x:c r="X292" s="226"/>
      <x:c r="Y292" s="226"/>
      <x:c r="Z292" s="226"/>
    </x:row>
    <x:row r="293">
      <x:c r="A293" s="226"/>
      <x:c r="B293" s="226"/>
      <x:c r="C293" s="226"/>
      <x:c r="D293" s="226"/>
      <x:c r="E293" s="226"/>
      <x:c r="F293" s="226"/>
      <x:c r="G293" s="226"/>
      <x:c r="H293" s="226"/>
      <x:c r="I293" s="226"/>
      <x:c r="J293" s="226"/>
      <x:c r="K293" s="226"/>
      <x:c r="L293" s="226"/>
      <x:c r="M293" s="226"/>
      <x:c r="N293" s="226"/>
      <x:c r="O293" s="226"/>
      <x:c r="P293" s="226"/>
      <x:c r="Q293" s="226"/>
      <x:c r="R293" s="226"/>
      <x:c r="S293" s="226"/>
      <x:c r="T293" s="226"/>
      <x:c r="U293" s="226"/>
      <x:c r="V293" s="226"/>
      <x:c r="W293" s="226"/>
      <x:c r="X293" s="226"/>
      <x:c r="Y293" s="226"/>
      <x:c r="Z293" s="226"/>
    </x:row>
    <x:row r="294">
      <x:c r="A294" s="226"/>
      <x:c r="B294" s="226"/>
      <x:c r="C294" s="226"/>
      <x:c r="D294" s="226"/>
      <x:c r="E294" s="226"/>
      <x:c r="F294" s="226"/>
      <x:c r="G294" s="226"/>
      <x:c r="H294" s="226"/>
      <x:c r="I294" s="226"/>
      <x:c r="J294" s="226"/>
      <x:c r="K294" s="226"/>
      <x:c r="L294" s="226"/>
      <x:c r="M294" s="226"/>
      <x:c r="N294" s="226"/>
      <x:c r="O294" s="226"/>
      <x:c r="P294" s="226"/>
      <x:c r="Q294" s="226"/>
      <x:c r="R294" s="226"/>
      <x:c r="S294" s="226"/>
      <x:c r="T294" s="226"/>
      <x:c r="U294" s="226"/>
      <x:c r="V294" s="226"/>
      <x:c r="W294" s="226"/>
      <x:c r="X294" s="226"/>
      <x:c r="Y294" s="226"/>
      <x:c r="Z294" s="226"/>
    </x:row>
    <x:row r="295">
      <x:c r="A295" s="226"/>
      <x:c r="B295" s="226"/>
      <x:c r="C295" s="226"/>
      <x:c r="D295" s="226"/>
      <x:c r="E295" s="226"/>
      <x:c r="F295" s="226"/>
      <x:c r="G295" s="226"/>
      <x:c r="H295" s="226"/>
      <x:c r="I295" s="226"/>
      <x:c r="J295" s="226"/>
      <x:c r="K295" s="226"/>
      <x:c r="L295" s="226"/>
      <x:c r="M295" s="226"/>
      <x:c r="N295" s="226"/>
      <x:c r="O295" s="226"/>
      <x:c r="P295" s="226"/>
      <x:c r="Q295" s="226"/>
      <x:c r="R295" s="226"/>
      <x:c r="S295" s="226"/>
      <x:c r="T295" s="226"/>
      <x:c r="U295" s="226"/>
      <x:c r="V295" s="226"/>
      <x:c r="W295" s="226"/>
      <x:c r="X295" s="226"/>
      <x:c r="Y295" s="226"/>
      <x:c r="Z295" s="226"/>
    </x:row>
    <x:row r="296">
      <x:c r="A296" s="226"/>
      <x:c r="B296" s="226"/>
      <x:c r="C296" s="226"/>
      <x:c r="D296" s="226"/>
      <x:c r="E296" s="226"/>
      <x:c r="F296" s="226"/>
      <x:c r="G296" s="226"/>
      <x:c r="H296" s="226"/>
      <x:c r="I296" s="226"/>
      <x:c r="J296" s="226"/>
      <x:c r="K296" s="226"/>
      <x:c r="L296" s="226"/>
      <x:c r="M296" s="226"/>
      <x:c r="N296" s="226"/>
      <x:c r="O296" s="226"/>
      <x:c r="P296" s="226"/>
      <x:c r="Q296" s="226"/>
      <x:c r="R296" s="226"/>
      <x:c r="S296" s="226"/>
      <x:c r="T296" s="226"/>
      <x:c r="U296" s="226"/>
      <x:c r="V296" s="226"/>
      <x:c r="W296" s="226"/>
      <x:c r="X296" s="226"/>
      <x:c r="Y296" s="226"/>
      <x:c r="Z296" s="226"/>
    </x:row>
    <x:row r="297">
      <x:c r="A297" s="226"/>
      <x:c r="B297" s="226"/>
      <x:c r="C297" s="226"/>
      <x:c r="D297" s="226"/>
      <x:c r="E297" s="226"/>
      <x:c r="F297" s="226"/>
      <x:c r="G297" s="226"/>
      <x:c r="H297" s="226"/>
      <x:c r="I297" s="226"/>
      <x:c r="J297" s="226"/>
      <x:c r="K297" s="226"/>
      <x:c r="L297" s="226"/>
      <x:c r="M297" s="226"/>
      <x:c r="N297" s="226"/>
      <x:c r="O297" s="226"/>
      <x:c r="P297" s="226"/>
      <x:c r="Q297" s="226"/>
      <x:c r="R297" s="226"/>
      <x:c r="S297" s="226"/>
      <x:c r="T297" s="226"/>
      <x:c r="U297" s="226"/>
      <x:c r="V297" s="226"/>
      <x:c r="W297" s="226"/>
      <x:c r="X297" s="226"/>
      <x:c r="Y297" s="226"/>
      <x:c r="Z297" s="226"/>
    </x:row>
    <x:row r="298">
      <x:c r="A298" s="226"/>
      <x:c r="B298" s="226"/>
      <x:c r="C298" s="226"/>
      <x:c r="D298" s="226"/>
      <x:c r="E298" s="226"/>
      <x:c r="F298" s="226"/>
      <x:c r="G298" s="226"/>
      <x:c r="H298" s="226"/>
      <x:c r="I298" s="226"/>
      <x:c r="J298" s="226"/>
      <x:c r="K298" s="226"/>
      <x:c r="L298" s="226"/>
      <x:c r="M298" s="226"/>
      <x:c r="N298" s="226"/>
      <x:c r="O298" s="226"/>
      <x:c r="P298" s="226"/>
      <x:c r="Q298" s="226"/>
      <x:c r="R298" s="226"/>
      <x:c r="S298" s="226"/>
      <x:c r="T298" s="226"/>
      <x:c r="U298" s="226"/>
      <x:c r="V298" s="226"/>
      <x:c r="W298" s="226"/>
      <x:c r="X298" s="226"/>
      <x:c r="Y298" s="226"/>
      <x:c r="Z298" s="226"/>
    </x:row>
    <x:row r="299">
      <x:c r="A299" s="226"/>
      <x:c r="B299" s="226"/>
      <x:c r="C299" s="226"/>
      <x:c r="D299" s="226"/>
      <x:c r="E299" s="226"/>
      <x:c r="F299" s="226"/>
      <x:c r="G299" s="226"/>
      <x:c r="H299" s="226"/>
      <x:c r="I299" s="226"/>
      <x:c r="J299" s="226"/>
      <x:c r="K299" s="226"/>
      <x:c r="L299" s="226"/>
      <x:c r="M299" s="226"/>
      <x:c r="N299" s="226"/>
      <x:c r="O299" s="226"/>
      <x:c r="P299" s="226"/>
      <x:c r="Q299" s="226"/>
      <x:c r="R299" s="226"/>
      <x:c r="S299" s="226"/>
      <x:c r="T299" s="226"/>
      <x:c r="U299" s="226"/>
      <x:c r="V299" s="226"/>
      <x:c r="W299" s="226"/>
      <x:c r="X299" s="226"/>
      <x:c r="Y299" s="226"/>
      <x:c r="Z299" s="226"/>
    </x:row>
    <x:row r="300">
      <x:c r="A300" s="226"/>
      <x:c r="B300" s="226"/>
      <x:c r="C300" s="226"/>
      <x:c r="D300" s="226"/>
      <x:c r="E300" s="226"/>
      <x:c r="F300" s="226"/>
      <x:c r="G300" s="226"/>
      <x:c r="H300" s="226"/>
      <x:c r="I300" s="226"/>
      <x:c r="J300" s="226"/>
      <x:c r="K300" s="226"/>
      <x:c r="L300" s="226"/>
      <x:c r="M300" s="226"/>
      <x:c r="N300" s="226"/>
      <x:c r="O300" s="226"/>
      <x:c r="P300" s="226"/>
      <x:c r="Q300" s="226"/>
      <x:c r="R300" s="226"/>
      <x:c r="S300" s="226"/>
      <x:c r="T300" s="226"/>
      <x:c r="U300" s="226"/>
      <x:c r="V300" s="226"/>
      <x:c r="W300" s="226"/>
      <x:c r="X300" s="226"/>
      <x:c r="Y300" s="226"/>
      <x:c r="Z300" s="226"/>
    </x:row>
    <x:row r="301">
      <x:c r="A301" s="226"/>
      <x:c r="B301" s="226"/>
      <x:c r="C301" s="226"/>
      <x:c r="D301" s="226"/>
      <x:c r="E301" s="226"/>
      <x:c r="F301" s="226"/>
      <x:c r="G301" s="226"/>
      <x:c r="H301" s="226"/>
      <x:c r="I301" s="226"/>
      <x:c r="J301" s="226"/>
      <x:c r="K301" s="226"/>
      <x:c r="L301" s="226"/>
      <x:c r="M301" s="226"/>
      <x:c r="N301" s="226"/>
      <x:c r="O301" s="226"/>
      <x:c r="P301" s="226"/>
      <x:c r="Q301" s="226"/>
      <x:c r="R301" s="226"/>
      <x:c r="S301" s="226"/>
      <x:c r="T301" s="226"/>
      <x:c r="U301" s="226"/>
      <x:c r="V301" s="226"/>
      <x:c r="W301" s="226"/>
      <x:c r="X301" s="226"/>
      <x:c r="Y301" s="226"/>
      <x:c r="Z301" s="226"/>
    </x:row>
    <x:row r="302">
      <x:c r="A302" s="226"/>
      <x:c r="B302" s="226"/>
      <x:c r="C302" s="226"/>
      <x:c r="D302" s="226"/>
      <x:c r="E302" s="226"/>
      <x:c r="F302" s="226"/>
      <x:c r="G302" s="226"/>
      <x:c r="H302" s="226"/>
      <x:c r="I302" s="226"/>
      <x:c r="J302" s="226"/>
      <x:c r="K302" s="226"/>
      <x:c r="L302" s="226"/>
      <x:c r="M302" s="226"/>
      <x:c r="N302" s="226"/>
      <x:c r="O302" s="226"/>
      <x:c r="P302" s="226"/>
      <x:c r="Q302" s="226"/>
      <x:c r="R302" s="226"/>
      <x:c r="S302" s="226"/>
      <x:c r="T302" s="226"/>
      <x:c r="U302" s="226"/>
      <x:c r="V302" s="226"/>
      <x:c r="W302" s="226"/>
      <x:c r="X302" s="226"/>
      <x:c r="Y302" s="226"/>
      <x:c r="Z302" s="226"/>
    </x:row>
    <x:row r="303">
      <x:c r="A303" s="226"/>
      <x:c r="B303" s="226"/>
      <x:c r="C303" s="226"/>
      <x:c r="D303" s="226"/>
      <x:c r="E303" s="226"/>
      <x:c r="F303" s="226"/>
      <x:c r="G303" s="226"/>
      <x:c r="H303" s="226"/>
      <x:c r="I303" s="226"/>
      <x:c r="J303" s="226"/>
      <x:c r="K303" s="226"/>
      <x:c r="L303" s="226"/>
      <x:c r="M303" s="226"/>
      <x:c r="N303" s="226"/>
      <x:c r="O303" s="226"/>
      <x:c r="P303" s="226"/>
      <x:c r="Q303" s="226"/>
      <x:c r="R303" s="226"/>
      <x:c r="S303" s="226"/>
      <x:c r="T303" s="226"/>
      <x:c r="U303" s="226"/>
      <x:c r="V303" s="226"/>
      <x:c r="W303" s="226"/>
      <x:c r="X303" s="226"/>
      <x:c r="Y303" s="226"/>
      <x:c r="Z303" s="226"/>
    </x:row>
    <x:row r="304">
      <x:c r="A304" s="226"/>
      <x:c r="B304" s="226"/>
      <x:c r="C304" s="226"/>
      <x:c r="D304" s="226"/>
      <x:c r="E304" s="226"/>
      <x:c r="F304" s="226"/>
      <x:c r="G304" s="226"/>
      <x:c r="H304" s="226"/>
      <x:c r="I304" s="226"/>
      <x:c r="J304" s="226"/>
      <x:c r="K304" s="226"/>
      <x:c r="L304" s="226"/>
      <x:c r="M304" s="226"/>
      <x:c r="N304" s="226"/>
      <x:c r="O304" s="226"/>
      <x:c r="P304" s="226"/>
      <x:c r="Q304" s="226"/>
      <x:c r="R304" s="226"/>
      <x:c r="S304" s="226"/>
      <x:c r="T304" s="226"/>
      <x:c r="U304" s="226"/>
      <x:c r="V304" s="226"/>
      <x:c r="W304" s="226"/>
      <x:c r="X304" s="226"/>
      <x:c r="Y304" s="226"/>
      <x:c r="Z304" s="226"/>
    </x:row>
    <x:row r="305">
      <x:c r="A305" s="226"/>
      <x:c r="B305" s="226"/>
      <x:c r="C305" s="226"/>
      <x:c r="D305" s="226"/>
      <x:c r="E305" s="226"/>
      <x:c r="F305" s="226"/>
      <x:c r="G305" s="226"/>
      <x:c r="H305" s="226"/>
      <x:c r="I305" s="226"/>
      <x:c r="J305" s="226"/>
      <x:c r="K305" s="226"/>
      <x:c r="L305" s="226"/>
      <x:c r="M305" s="226"/>
      <x:c r="N305" s="226"/>
      <x:c r="O305" s="226"/>
      <x:c r="P305" s="226"/>
      <x:c r="Q305" s="226"/>
      <x:c r="R305" s="226"/>
      <x:c r="S305" s="226"/>
      <x:c r="T305" s="226"/>
      <x:c r="U305" s="226"/>
      <x:c r="V305" s="226"/>
      <x:c r="W305" s="226"/>
      <x:c r="X305" s="226"/>
      <x:c r="Y305" s="226"/>
      <x:c r="Z305" s="226"/>
    </x:row>
    <x:row r="306">
      <x:c r="A306" s="226"/>
      <x:c r="B306" s="226"/>
      <x:c r="C306" s="226"/>
      <x:c r="D306" s="226"/>
      <x:c r="E306" s="226"/>
      <x:c r="F306" s="226"/>
      <x:c r="G306" s="226"/>
      <x:c r="H306" s="226"/>
      <x:c r="I306" s="226"/>
      <x:c r="J306" s="226"/>
      <x:c r="K306" s="226"/>
      <x:c r="L306" s="226"/>
      <x:c r="M306" s="226"/>
      <x:c r="N306" s="226"/>
      <x:c r="O306" s="226"/>
      <x:c r="P306" s="226"/>
      <x:c r="Q306" s="226"/>
      <x:c r="R306" s="226"/>
      <x:c r="S306" s="226"/>
      <x:c r="T306" s="226"/>
      <x:c r="U306" s="226"/>
      <x:c r="V306" s="226"/>
      <x:c r="W306" s="226"/>
      <x:c r="X306" s="226"/>
      <x:c r="Y306" s="226"/>
      <x:c r="Z306" s="226"/>
    </x:row>
    <x:row r="307">
      <x:c r="A307" s="226"/>
      <x:c r="B307" s="226"/>
      <x:c r="C307" s="226"/>
      <x:c r="D307" s="226"/>
      <x:c r="E307" s="226"/>
      <x:c r="F307" s="226"/>
      <x:c r="G307" s="226"/>
      <x:c r="H307" s="226"/>
      <x:c r="I307" s="226"/>
      <x:c r="J307" s="226"/>
      <x:c r="K307" s="226"/>
      <x:c r="L307" s="226"/>
      <x:c r="M307" s="226"/>
      <x:c r="N307" s="226"/>
      <x:c r="O307" s="226"/>
      <x:c r="P307" s="226"/>
      <x:c r="Q307" s="226"/>
      <x:c r="R307" s="226"/>
      <x:c r="S307" s="226"/>
      <x:c r="T307" s="226"/>
      <x:c r="U307" s="226"/>
      <x:c r="V307" s="226"/>
      <x:c r="W307" s="226"/>
      <x:c r="X307" s="226"/>
      <x:c r="Y307" s="226"/>
      <x:c r="Z307" s="226"/>
    </x:row>
    <x:row r="308">
      <x:c r="A308" s="226"/>
      <x:c r="B308" s="226"/>
      <x:c r="C308" s="226"/>
      <x:c r="D308" s="226"/>
      <x:c r="E308" s="226"/>
      <x:c r="F308" s="226"/>
      <x:c r="G308" s="226"/>
      <x:c r="H308" s="226"/>
      <x:c r="I308" s="226"/>
      <x:c r="J308" s="226"/>
      <x:c r="K308" s="226"/>
      <x:c r="L308" s="226"/>
      <x:c r="M308" s="226"/>
      <x:c r="N308" s="226"/>
      <x:c r="O308" s="226"/>
      <x:c r="P308" s="226"/>
      <x:c r="Q308" s="226"/>
      <x:c r="R308" s="226"/>
      <x:c r="S308" s="226"/>
      <x:c r="T308" s="226"/>
      <x:c r="U308" s="226"/>
      <x:c r="V308" s="226"/>
      <x:c r="W308" s="226"/>
      <x:c r="X308" s="226"/>
      <x:c r="Y308" s="226"/>
      <x:c r="Z308" s="226"/>
    </x:row>
    <x:row r="309">
      <x:c r="A309" s="226"/>
      <x:c r="B309" s="226"/>
      <x:c r="C309" s="226"/>
      <x:c r="D309" s="226"/>
      <x:c r="E309" s="226"/>
      <x:c r="F309" s="226"/>
      <x:c r="G309" s="226"/>
      <x:c r="H309" s="226"/>
      <x:c r="I309" s="226"/>
      <x:c r="J309" s="226"/>
      <x:c r="K309" s="226"/>
      <x:c r="L309" s="226"/>
      <x:c r="M309" s="226"/>
      <x:c r="N309" s="226"/>
      <x:c r="O309" s="226"/>
      <x:c r="P309" s="226"/>
      <x:c r="Q309" s="226"/>
      <x:c r="R309" s="226"/>
      <x:c r="S309" s="226"/>
      <x:c r="T309" s="226"/>
      <x:c r="U309" s="226"/>
      <x:c r="V309" s="226"/>
      <x:c r="W309" s="226"/>
      <x:c r="X309" s="226"/>
      <x:c r="Y309" s="226"/>
      <x:c r="Z309" s="226"/>
    </x:row>
    <x:row r="310">
      <x:c r="A310" s="226"/>
      <x:c r="B310" s="226"/>
      <x:c r="C310" s="226"/>
      <x:c r="D310" s="226"/>
      <x:c r="E310" s="226"/>
      <x:c r="F310" s="226"/>
      <x:c r="G310" s="226"/>
      <x:c r="H310" s="226"/>
      <x:c r="I310" s="226"/>
      <x:c r="J310" s="226"/>
      <x:c r="K310" s="226"/>
      <x:c r="L310" s="226"/>
      <x:c r="M310" s="226"/>
      <x:c r="N310" s="226"/>
      <x:c r="O310" s="226"/>
      <x:c r="P310" s="226"/>
      <x:c r="Q310" s="226"/>
      <x:c r="R310" s="226"/>
      <x:c r="S310" s="226"/>
      <x:c r="T310" s="226"/>
      <x:c r="U310" s="226"/>
      <x:c r="V310" s="226"/>
      <x:c r="W310" s="226"/>
      <x:c r="X310" s="226"/>
      <x:c r="Y310" s="226"/>
      <x:c r="Z310" s="226"/>
    </x:row>
    <x:row r="311">
      <x:c r="A311" s="226"/>
      <x:c r="B311" s="226"/>
      <x:c r="C311" s="226"/>
      <x:c r="D311" s="226"/>
      <x:c r="E311" s="226"/>
      <x:c r="F311" s="226"/>
      <x:c r="G311" s="226"/>
      <x:c r="H311" s="226"/>
      <x:c r="I311" s="226"/>
      <x:c r="J311" s="226"/>
      <x:c r="K311" s="226"/>
      <x:c r="L311" s="226"/>
      <x:c r="M311" s="226"/>
      <x:c r="N311" s="226"/>
      <x:c r="O311" s="226"/>
      <x:c r="P311" s="226"/>
      <x:c r="Q311" s="226"/>
      <x:c r="R311" s="226"/>
      <x:c r="S311" s="226"/>
      <x:c r="T311" s="226"/>
      <x:c r="U311" s="226"/>
      <x:c r="V311" s="226"/>
      <x:c r="W311" s="226"/>
      <x:c r="X311" s="226"/>
      <x:c r="Y311" s="226"/>
      <x:c r="Z311" s="226"/>
    </x:row>
    <x:row r="312">
      <x:c r="A312" s="226"/>
      <x:c r="B312" s="226"/>
      <x:c r="C312" s="226"/>
      <x:c r="D312" s="226"/>
      <x:c r="E312" s="226"/>
      <x:c r="F312" s="226"/>
      <x:c r="G312" s="226"/>
      <x:c r="H312" s="226"/>
      <x:c r="I312" s="226"/>
      <x:c r="J312" s="226"/>
      <x:c r="K312" s="226"/>
      <x:c r="L312" s="226"/>
      <x:c r="M312" s="226"/>
      <x:c r="N312" s="226"/>
      <x:c r="O312" s="226"/>
      <x:c r="P312" s="226"/>
      <x:c r="Q312" s="226"/>
      <x:c r="R312" s="226"/>
      <x:c r="S312" s="226"/>
      <x:c r="T312" s="226"/>
      <x:c r="U312" s="226"/>
      <x:c r="V312" s="226"/>
      <x:c r="W312" s="226"/>
      <x:c r="X312" s="226"/>
      <x:c r="Y312" s="226"/>
      <x:c r="Z312" s="226"/>
    </x:row>
    <x:row r="313">
      <x:c r="A313" s="226"/>
      <x:c r="B313" s="226"/>
      <x:c r="C313" s="226"/>
      <x:c r="D313" s="226"/>
      <x:c r="E313" s="226"/>
      <x:c r="F313" s="226"/>
      <x:c r="G313" s="226"/>
      <x:c r="H313" s="226"/>
      <x:c r="I313" s="226"/>
      <x:c r="J313" s="226"/>
      <x:c r="K313" s="226"/>
      <x:c r="L313" s="226"/>
      <x:c r="M313" s="226"/>
      <x:c r="N313" s="226"/>
      <x:c r="O313" s="226"/>
      <x:c r="P313" s="226"/>
      <x:c r="Q313" s="226"/>
      <x:c r="R313" s="226"/>
      <x:c r="S313" s="226"/>
      <x:c r="T313" s="226"/>
      <x:c r="U313" s="226"/>
      <x:c r="V313" s="226"/>
      <x:c r="W313" s="226"/>
      <x:c r="X313" s="226"/>
      <x:c r="Y313" s="226"/>
      <x:c r="Z313" s="226"/>
    </x:row>
    <x:row r="314">
      <x:c r="A314" s="226"/>
      <x:c r="B314" s="226"/>
      <x:c r="C314" s="226"/>
      <x:c r="D314" s="226"/>
      <x:c r="E314" s="226"/>
      <x:c r="F314" s="226"/>
      <x:c r="G314" s="226"/>
      <x:c r="H314" s="226"/>
      <x:c r="I314" s="226"/>
      <x:c r="J314" s="226"/>
      <x:c r="K314" s="226"/>
      <x:c r="L314" s="226"/>
      <x:c r="M314" s="226"/>
      <x:c r="N314" s="226"/>
      <x:c r="O314" s="226"/>
      <x:c r="P314" s="226"/>
      <x:c r="Q314" s="226"/>
      <x:c r="R314" s="226"/>
      <x:c r="S314" s="226"/>
      <x:c r="T314" s="226"/>
      <x:c r="U314" s="226"/>
      <x:c r="V314" s="226"/>
      <x:c r="W314" s="226"/>
      <x:c r="X314" s="226"/>
      <x:c r="Y314" s="226"/>
      <x:c r="Z314" s="226"/>
    </x:row>
    <x:row r="315">
      <x:c r="A315" s="226"/>
      <x:c r="B315" s="226"/>
      <x:c r="C315" s="226"/>
      <x:c r="D315" s="226"/>
      <x:c r="E315" s="226"/>
      <x:c r="F315" s="226"/>
      <x:c r="G315" s="226"/>
      <x:c r="H315" s="226"/>
      <x:c r="I315" s="226"/>
      <x:c r="J315" s="226"/>
      <x:c r="K315" s="226"/>
      <x:c r="L315" s="226"/>
      <x:c r="M315" s="226"/>
      <x:c r="N315" s="226"/>
      <x:c r="O315" s="226"/>
      <x:c r="P315" s="226"/>
      <x:c r="Q315" s="226"/>
      <x:c r="R315" s="226"/>
      <x:c r="S315" s="226"/>
      <x:c r="T315" s="226"/>
      <x:c r="U315" s="226"/>
      <x:c r="V315" s="226"/>
      <x:c r="W315" s="226"/>
      <x:c r="X315" s="226"/>
      <x:c r="Y315" s="226"/>
      <x:c r="Z315" s="226"/>
    </x:row>
    <x:row r="316">
      <x:c r="A316" s="226"/>
      <x:c r="B316" s="226"/>
      <x:c r="C316" s="226"/>
      <x:c r="D316" s="226"/>
      <x:c r="E316" s="226"/>
      <x:c r="F316" s="226"/>
      <x:c r="G316" s="226"/>
      <x:c r="H316" s="226"/>
      <x:c r="I316" s="226"/>
      <x:c r="J316" s="226"/>
      <x:c r="K316" s="226"/>
      <x:c r="L316" s="226"/>
      <x:c r="M316" s="226"/>
      <x:c r="N316" s="226"/>
      <x:c r="O316" s="226"/>
      <x:c r="P316" s="226"/>
      <x:c r="Q316" s="226"/>
      <x:c r="R316" s="226"/>
      <x:c r="S316" s="226"/>
      <x:c r="T316" s="226"/>
      <x:c r="U316" s="226"/>
      <x:c r="V316" s="226"/>
      <x:c r="W316" s="226"/>
      <x:c r="X316" s="226"/>
      <x:c r="Y316" s="226"/>
      <x:c r="Z316" s="226"/>
    </x:row>
    <x:row r="317">
      <x:c r="A317" s="226"/>
      <x:c r="B317" s="226"/>
      <x:c r="C317" s="226"/>
      <x:c r="D317" s="226"/>
      <x:c r="E317" s="226"/>
      <x:c r="F317" s="226"/>
      <x:c r="G317" s="226"/>
      <x:c r="H317" s="226"/>
      <x:c r="I317" s="226"/>
      <x:c r="J317" s="226"/>
      <x:c r="K317" s="226"/>
      <x:c r="L317" s="226"/>
      <x:c r="M317" s="226"/>
      <x:c r="N317" s="226"/>
      <x:c r="O317" s="226"/>
      <x:c r="P317" s="226"/>
      <x:c r="Q317" s="226"/>
      <x:c r="R317" s="226"/>
      <x:c r="S317" s="226"/>
      <x:c r="T317" s="226"/>
      <x:c r="U317" s="226"/>
      <x:c r="V317" s="226"/>
      <x:c r="W317" s="226"/>
      <x:c r="X317" s="226"/>
      <x:c r="Y317" s="226"/>
      <x:c r="Z317" s="226"/>
    </x:row>
    <x:row r="318">
      <x:c r="A318" s="226"/>
      <x:c r="B318" s="226"/>
      <x:c r="C318" s="226"/>
      <x:c r="D318" s="226"/>
      <x:c r="E318" s="226"/>
      <x:c r="F318" s="226"/>
      <x:c r="G318" s="226"/>
      <x:c r="H318" s="226"/>
      <x:c r="I318" s="226"/>
      <x:c r="J318" s="226"/>
      <x:c r="K318" s="226"/>
      <x:c r="L318" s="226"/>
      <x:c r="M318" s="226"/>
      <x:c r="N318" s="226"/>
      <x:c r="O318" s="226"/>
      <x:c r="P318" s="226"/>
      <x:c r="Q318" s="226"/>
      <x:c r="R318" s="226"/>
      <x:c r="S318" s="226"/>
      <x:c r="T318" s="226"/>
      <x:c r="U318" s="226"/>
      <x:c r="V318" s="226"/>
      <x:c r="W318" s="226"/>
      <x:c r="X318" s="226"/>
      <x:c r="Y318" s="226"/>
      <x:c r="Z318" s="226"/>
    </x:row>
    <x:row r="319">
      <x:c r="A319" s="226"/>
      <x:c r="B319" s="226"/>
      <x:c r="C319" s="226"/>
      <x:c r="D319" s="226"/>
      <x:c r="E319" s="226"/>
      <x:c r="F319" s="226"/>
      <x:c r="G319" s="226"/>
      <x:c r="H319" s="226"/>
      <x:c r="I319" s="226"/>
      <x:c r="J319" s="226"/>
      <x:c r="K319" s="226"/>
      <x:c r="L319" s="226"/>
      <x:c r="M319" s="226"/>
      <x:c r="N319" s="226"/>
      <x:c r="O319" s="226"/>
      <x:c r="P319" s="226"/>
      <x:c r="Q319" s="226"/>
      <x:c r="R319" s="226"/>
      <x:c r="S319" s="226"/>
      <x:c r="T319" s="226"/>
      <x:c r="U319" s="226"/>
      <x:c r="V319" s="226"/>
      <x:c r="W319" s="226"/>
      <x:c r="X319" s="226"/>
      <x:c r="Y319" s="226"/>
      <x:c r="Z319" s="226"/>
    </x:row>
    <x:row r="320">
      <x:c r="A320" s="226"/>
      <x:c r="B320" s="226"/>
      <x:c r="C320" s="226"/>
      <x:c r="D320" s="226"/>
      <x:c r="E320" s="226"/>
      <x:c r="F320" s="226"/>
      <x:c r="G320" s="226"/>
      <x:c r="H320" s="226"/>
      <x:c r="I320" s="226"/>
      <x:c r="J320" s="226"/>
      <x:c r="K320" s="226"/>
      <x:c r="L320" s="226"/>
      <x:c r="M320" s="226"/>
      <x:c r="N320" s="226"/>
      <x:c r="O320" s="226"/>
      <x:c r="P320" s="226"/>
      <x:c r="Q320" s="226"/>
      <x:c r="R320" s="226"/>
      <x:c r="S320" s="226"/>
      <x:c r="T320" s="226"/>
      <x:c r="U320" s="226"/>
      <x:c r="V320" s="226"/>
      <x:c r="W320" s="226"/>
      <x:c r="X320" s="226"/>
      <x:c r="Y320" s="226"/>
      <x:c r="Z320" s="226"/>
    </x:row>
    <x:row r="321">
      <x:c r="A321" s="226"/>
      <x:c r="B321" s="226"/>
      <x:c r="C321" s="226"/>
      <x:c r="D321" s="226"/>
      <x:c r="E321" s="226"/>
      <x:c r="F321" s="226"/>
      <x:c r="G321" s="226"/>
      <x:c r="H321" s="226"/>
      <x:c r="I321" s="226"/>
      <x:c r="J321" s="226"/>
      <x:c r="K321" s="226"/>
      <x:c r="L321" s="226"/>
      <x:c r="M321" s="226"/>
      <x:c r="N321" s="226"/>
      <x:c r="O321" s="226"/>
      <x:c r="P321" s="226"/>
      <x:c r="Q321" s="226"/>
      <x:c r="R321" s="226"/>
      <x:c r="S321" s="226"/>
      <x:c r="T321" s="226"/>
      <x:c r="U321" s="226"/>
      <x:c r="V321" s="226"/>
      <x:c r="W321" s="226"/>
      <x:c r="X321" s="226"/>
      <x:c r="Y321" s="226"/>
      <x:c r="Z321" s="226"/>
    </x:row>
    <x:row r="322">
      <x:c r="A322" s="226"/>
      <x:c r="B322" s="226"/>
      <x:c r="C322" s="226"/>
      <x:c r="D322" s="226"/>
      <x:c r="E322" s="226"/>
      <x:c r="F322" s="226"/>
      <x:c r="G322" s="226"/>
      <x:c r="H322" s="226"/>
      <x:c r="I322" s="226"/>
      <x:c r="J322" s="226"/>
      <x:c r="K322" s="226"/>
      <x:c r="L322" s="226"/>
      <x:c r="M322" s="226"/>
      <x:c r="N322" s="226"/>
      <x:c r="O322" s="226"/>
      <x:c r="P322" s="226"/>
      <x:c r="Q322" s="226"/>
      <x:c r="R322" s="226"/>
      <x:c r="S322" s="226"/>
      <x:c r="T322" s="226"/>
      <x:c r="U322" s="226"/>
      <x:c r="V322" s="226"/>
      <x:c r="W322" s="226"/>
      <x:c r="X322" s="226"/>
      <x:c r="Y322" s="226"/>
      <x:c r="Z322" s="226"/>
    </x:row>
    <x:row r="323">
      <x:c r="A323" s="226"/>
      <x:c r="B323" s="226"/>
      <x:c r="C323" s="226"/>
      <x:c r="D323" s="226"/>
      <x:c r="E323" s="226"/>
      <x:c r="F323" s="226"/>
      <x:c r="G323" s="226"/>
      <x:c r="H323" s="226"/>
      <x:c r="I323" s="226"/>
      <x:c r="J323" s="226"/>
      <x:c r="K323" s="226"/>
      <x:c r="L323" s="226"/>
      <x:c r="M323" s="226"/>
      <x:c r="N323" s="226"/>
      <x:c r="O323" s="226"/>
      <x:c r="P323" s="226"/>
      <x:c r="Q323" s="226"/>
      <x:c r="R323" s="226"/>
      <x:c r="S323" s="226"/>
      <x:c r="T323" s="226"/>
      <x:c r="U323" s="226"/>
      <x:c r="V323" s="226"/>
      <x:c r="W323" s="226"/>
      <x:c r="X323" s="226"/>
      <x:c r="Y323" s="226"/>
      <x:c r="Z323" s="226"/>
    </x:row>
    <x:row r="324">
      <x:c r="A324" s="226"/>
      <x:c r="B324" s="226"/>
      <x:c r="C324" s="226"/>
      <x:c r="D324" s="226"/>
      <x:c r="E324" s="226"/>
      <x:c r="F324" s="226"/>
      <x:c r="G324" s="226"/>
      <x:c r="H324" s="226"/>
      <x:c r="I324" s="226"/>
      <x:c r="J324" s="226"/>
      <x:c r="K324" s="226"/>
      <x:c r="L324" s="226"/>
      <x:c r="M324" s="226"/>
      <x:c r="N324" s="226"/>
      <x:c r="O324" s="226"/>
      <x:c r="P324" s="226"/>
      <x:c r="Q324" s="226"/>
      <x:c r="R324" s="226"/>
      <x:c r="S324" s="226"/>
      <x:c r="T324" s="226"/>
      <x:c r="U324" s="226"/>
      <x:c r="V324" s="226"/>
      <x:c r="W324" s="226"/>
      <x:c r="X324" s="226"/>
      <x:c r="Y324" s="226"/>
      <x:c r="Z324" s="226"/>
    </x:row>
    <x:row r="325">
      <x:c r="A325" s="226"/>
      <x:c r="B325" s="226"/>
      <x:c r="C325" s="226"/>
      <x:c r="D325" s="226"/>
      <x:c r="E325" s="226"/>
      <x:c r="F325" s="226"/>
      <x:c r="G325" s="226"/>
      <x:c r="H325" s="226"/>
      <x:c r="I325" s="226"/>
      <x:c r="J325" s="226"/>
      <x:c r="K325" s="226"/>
      <x:c r="L325" s="226"/>
      <x:c r="M325" s="226"/>
      <x:c r="N325" s="226"/>
      <x:c r="O325" s="226"/>
      <x:c r="P325" s="226"/>
      <x:c r="Q325" s="226"/>
      <x:c r="R325" s="226"/>
      <x:c r="S325" s="226"/>
      <x:c r="T325" s="226"/>
      <x:c r="U325" s="226"/>
      <x:c r="V325" s="226"/>
      <x:c r="W325" s="226"/>
      <x:c r="X325" s="226"/>
      <x:c r="Y325" s="226"/>
      <x:c r="Z325" s="226"/>
    </x:row>
    <x:row r="326">
      <x:c r="A326" s="226"/>
      <x:c r="B326" s="226"/>
      <x:c r="C326" s="226"/>
      <x:c r="D326" s="226"/>
      <x:c r="E326" s="226"/>
      <x:c r="F326" s="226"/>
      <x:c r="G326" s="226"/>
      <x:c r="H326" s="226"/>
      <x:c r="I326" s="226"/>
      <x:c r="J326" s="226"/>
      <x:c r="K326" s="226"/>
      <x:c r="L326" s="226"/>
      <x:c r="M326" s="226"/>
      <x:c r="N326" s="226"/>
      <x:c r="O326" s="226"/>
      <x:c r="P326" s="226"/>
      <x:c r="Q326" s="226"/>
      <x:c r="R326" s="226"/>
      <x:c r="S326" s="226"/>
      <x:c r="T326" s="226"/>
      <x:c r="U326" s="226"/>
      <x:c r="V326" s="226"/>
      <x:c r="W326" s="226"/>
      <x:c r="X326" s="226"/>
      <x:c r="Y326" s="226"/>
      <x:c r="Z326" s="226"/>
    </x:row>
    <x:row r="327">
      <x:c r="A327" s="226"/>
      <x:c r="B327" s="226"/>
      <x:c r="C327" s="226"/>
      <x:c r="D327" s="226"/>
      <x:c r="E327" s="226"/>
      <x:c r="F327" s="226"/>
      <x:c r="G327" s="226"/>
      <x:c r="H327" s="226"/>
      <x:c r="I327" s="226"/>
      <x:c r="J327" s="226"/>
      <x:c r="K327" s="226"/>
      <x:c r="L327" s="226"/>
      <x:c r="M327" s="226"/>
      <x:c r="N327" s="226"/>
      <x:c r="O327" s="226"/>
      <x:c r="P327" s="226"/>
      <x:c r="Q327" s="226"/>
      <x:c r="R327" s="226"/>
      <x:c r="S327" s="226"/>
      <x:c r="T327" s="226"/>
      <x:c r="U327" s="226"/>
      <x:c r="V327" s="226"/>
      <x:c r="W327" s="226"/>
      <x:c r="X327" s="226"/>
      <x:c r="Y327" s="226"/>
      <x:c r="Z327" s="226"/>
    </x:row>
    <x:row r="328">
      <x:c r="A328" s="226"/>
      <x:c r="B328" s="226"/>
      <x:c r="C328" s="226"/>
      <x:c r="D328" s="226"/>
      <x:c r="E328" s="226"/>
      <x:c r="F328" s="226"/>
      <x:c r="G328" s="226"/>
      <x:c r="H328" s="226"/>
      <x:c r="I328" s="226"/>
      <x:c r="J328" s="226"/>
      <x:c r="K328" s="226"/>
      <x:c r="L328" s="226"/>
      <x:c r="M328" s="226"/>
      <x:c r="N328" s="226"/>
      <x:c r="O328" s="226"/>
      <x:c r="P328" s="226"/>
      <x:c r="Q328" s="226"/>
      <x:c r="R328" s="226"/>
      <x:c r="S328" s="226"/>
      <x:c r="T328" s="226"/>
      <x:c r="U328" s="226"/>
      <x:c r="V328" s="226"/>
      <x:c r="W328" s="226"/>
      <x:c r="X328" s="226"/>
      <x:c r="Y328" s="226"/>
      <x:c r="Z328" s="226"/>
    </x:row>
    <x:row r="329">
      <x:c r="A329" s="226"/>
      <x:c r="B329" s="226"/>
      <x:c r="C329" s="226"/>
      <x:c r="D329" s="226"/>
      <x:c r="E329" s="226"/>
      <x:c r="F329" s="226"/>
      <x:c r="G329" s="226"/>
      <x:c r="H329" s="226"/>
      <x:c r="I329" s="226"/>
      <x:c r="J329" s="226"/>
      <x:c r="K329" s="226"/>
      <x:c r="L329" s="226"/>
      <x:c r="M329" s="226"/>
      <x:c r="N329" s="226"/>
      <x:c r="O329" s="226"/>
      <x:c r="P329" s="226"/>
      <x:c r="Q329" s="226"/>
      <x:c r="R329" s="226"/>
      <x:c r="S329" s="226"/>
      <x:c r="T329" s="226"/>
      <x:c r="U329" s="226"/>
      <x:c r="V329" s="226"/>
      <x:c r="W329" s="226"/>
      <x:c r="X329" s="226"/>
      <x:c r="Y329" s="226"/>
      <x:c r="Z329" s="226"/>
    </x:row>
    <x:row r="330">
      <x:c r="A330" s="226"/>
      <x:c r="B330" s="226"/>
      <x:c r="C330" s="226"/>
      <x:c r="D330" s="226"/>
      <x:c r="E330" s="226"/>
      <x:c r="F330" s="226"/>
      <x:c r="G330" s="226"/>
      <x:c r="H330" s="226"/>
      <x:c r="I330" s="226"/>
      <x:c r="J330" s="226"/>
      <x:c r="K330" s="226"/>
      <x:c r="L330" s="226"/>
      <x:c r="M330" s="226"/>
      <x:c r="N330" s="226"/>
      <x:c r="O330" s="226"/>
      <x:c r="P330" s="226"/>
      <x:c r="Q330" s="226"/>
      <x:c r="R330" s="226"/>
      <x:c r="S330" s="226"/>
      <x:c r="T330" s="226"/>
      <x:c r="U330" s="226"/>
      <x:c r="V330" s="226"/>
      <x:c r="W330" s="226"/>
      <x:c r="X330" s="226"/>
      <x:c r="Y330" s="226"/>
      <x:c r="Z330" s="226"/>
    </x:row>
    <x:row r="331">
      <x:c r="A331" s="226"/>
      <x:c r="B331" s="226"/>
      <x:c r="C331" s="226"/>
      <x:c r="D331" s="226"/>
      <x:c r="E331" s="226"/>
      <x:c r="F331" s="226"/>
      <x:c r="G331" s="226"/>
      <x:c r="H331" s="226"/>
      <x:c r="I331" s="226"/>
      <x:c r="J331" s="226"/>
      <x:c r="K331" s="226"/>
      <x:c r="L331" s="226"/>
      <x:c r="M331" s="226"/>
      <x:c r="N331" s="226"/>
      <x:c r="O331" s="226"/>
      <x:c r="P331" s="226"/>
      <x:c r="Q331" s="226"/>
      <x:c r="R331" s="226"/>
      <x:c r="S331" s="226"/>
      <x:c r="T331" s="226"/>
      <x:c r="U331" s="226"/>
      <x:c r="V331" s="226"/>
      <x:c r="W331" s="226"/>
      <x:c r="X331" s="226"/>
      <x:c r="Y331" s="226"/>
      <x:c r="Z331" s="226"/>
    </x:row>
    <x:row r="332">
      <x:c r="A332" s="226"/>
      <x:c r="B332" s="226"/>
      <x:c r="C332" s="226"/>
      <x:c r="D332" s="226"/>
      <x:c r="E332" s="226"/>
      <x:c r="F332" s="226"/>
      <x:c r="G332" s="226"/>
      <x:c r="H332" s="226"/>
      <x:c r="I332" s="226"/>
      <x:c r="J332" s="226"/>
      <x:c r="K332" s="226"/>
      <x:c r="L332" s="226"/>
      <x:c r="M332" s="226"/>
      <x:c r="N332" s="226"/>
      <x:c r="O332" s="226"/>
      <x:c r="P332" s="226"/>
      <x:c r="Q332" s="226"/>
      <x:c r="R332" s="226"/>
      <x:c r="S332" s="226"/>
      <x:c r="T332" s="226"/>
      <x:c r="U332" s="226"/>
      <x:c r="V332" s="226"/>
      <x:c r="W332" s="226"/>
      <x:c r="X332" s="226"/>
      <x:c r="Y332" s="226"/>
      <x:c r="Z332" s="226"/>
    </x:row>
    <x:row r="333">
      <x:c r="A333" s="226"/>
      <x:c r="B333" s="226"/>
      <x:c r="C333" s="226"/>
      <x:c r="D333" s="226"/>
      <x:c r="E333" s="226"/>
      <x:c r="F333" s="226"/>
      <x:c r="G333" s="226"/>
      <x:c r="H333" s="226"/>
      <x:c r="I333" s="226"/>
      <x:c r="J333" s="226"/>
      <x:c r="K333" s="226"/>
      <x:c r="L333" s="226"/>
      <x:c r="M333" s="226"/>
      <x:c r="N333" s="226"/>
      <x:c r="O333" s="226"/>
      <x:c r="P333" s="226"/>
      <x:c r="Q333" s="226"/>
      <x:c r="R333" s="226"/>
      <x:c r="S333" s="226"/>
      <x:c r="T333" s="226"/>
      <x:c r="U333" s="226"/>
      <x:c r="V333" s="226"/>
      <x:c r="W333" s="226"/>
      <x:c r="X333" s="226"/>
      <x:c r="Y333" s="226"/>
      <x:c r="Z333" s="226"/>
    </x:row>
    <x:row r="334">
      <x:c r="A334" s="226"/>
      <x:c r="B334" s="226"/>
      <x:c r="C334" s="226"/>
      <x:c r="D334" s="226"/>
      <x:c r="E334" s="226"/>
      <x:c r="F334" s="226"/>
      <x:c r="G334" s="226"/>
      <x:c r="H334" s="226"/>
      <x:c r="I334" s="226"/>
      <x:c r="J334" s="226"/>
      <x:c r="K334" s="226"/>
      <x:c r="L334" s="226"/>
      <x:c r="M334" s="226"/>
      <x:c r="N334" s="226"/>
      <x:c r="O334" s="226"/>
      <x:c r="P334" s="226"/>
      <x:c r="Q334" s="226"/>
      <x:c r="R334" s="226"/>
      <x:c r="S334" s="226"/>
      <x:c r="T334" s="226"/>
      <x:c r="U334" s="226"/>
      <x:c r="V334" s="226"/>
      <x:c r="W334" s="226"/>
      <x:c r="X334" s="226"/>
      <x:c r="Y334" s="226"/>
      <x:c r="Z334" s="226"/>
    </x:row>
    <x:row r="335">
      <x:c r="A335" s="226"/>
      <x:c r="B335" s="226"/>
      <x:c r="C335" s="226"/>
      <x:c r="D335" s="226"/>
      <x:c r="E335" s="226"/>
      <x:c r="F335" s="226"/>
      <x:c r="G335" s="226"/>
      <x:c r="H335" s="226"/>
      <x:c r="I335" s="226"/>
      <x:c r="J335" s="226"/>
      <x:c r="K335" s="226"/>
      <x:c r="L335" s="226"/>
      <x:c r="M335" s="226"/>
      <x:c r="N335" s="226"/>
      <x:c r="O335" s="226"/>
      <x:c r="P335" s="226"/>
      <x:c r="Q335" s="226"/>
      <x:c r="R335" s="226"/>
      <x:c r="S335" s="226"/>
      <x:c r="T335" s="226"/>
      <x:c r="U335" s="226"/>
      <x:c r="V335" s="226"/>
      <x:c r="W335" s="226"/>
      <x:c r="X335" s="226"/>
      <x:c r="Y335" s="226"/>
      <x:c r="Z335" s="226"/>
    </x:row>
    <x:row r="336">
      <x:c r="A336" s="226"/>
      <x:c r="B336" s="226"/>
      <x:c r="C336" s="226"/>
      <x:c r="D336" s="226"/>
      <x:c r="E336" s="226"/>
      <x:c r="F336" s="226"/>
      <x:c r="G336" s="226"/>
      <x:c r="H336" s="226"/>
      <x:c r="I336" s="226"/>
      <x:c r="J336" s="226"/>
      <x:c r="K336" s="226"/>
      <x:c r="L336" s="226"/>
      <x:c r="M336" s="226"/>
      <x:c r="N336" s="226"/>
      <x:c r="O336" s="226"/>
      <x:c r="P336" s="226"/>
      <x:c r="Q336" s="226"/>
      <x:c r="R336" s="226"/>
      <x:c r="S336" s="226"/>
      <x:c r="T336" s="226"/>
      <x:c r="U336" s="226"/>
      <x:c r="V336" s="226"/>
      <x:c r="W336" s="226"/>
      <x:c r="X336" s="226"/>
      <x:c r="Y336" s="226"/>
      <x:c r="Z336" s="226"/>
    </x:row>
    <x:row r="337">
      <x:c r="A337" s="226"/>
      <x:c r="B337" s="226"/>
      <x:c r="C337" s="226"/>
      <x:c r="D337" s="226"/>
      <x:c r="E337" s="226"/>
      <x:c r="F337" s="226"/>
      <x:c r="G337" s="226"/>
      <x:c r="H337" s="226"/>
      <x:c r="I337" s="226"/>
      <x:c r="J337" s="226"/>
      <x:c r="K337" s="226"/>
      <x:c r="L337" s="226"/>
      <x:c r="M337" s="226"/>
      <x:c r="N337" s="226"/>
      <x:c r="O337" s="226"/>
      <x:c r="P337" s="226"/>
      <x:c r="Q337" s="226"/>
      <x:c r="R337" s="226"/>
      <x:c r="S337" s="226"/>
      <x:c r="T337" s="226"/>
      <x:c r="U337" s="226"/>
      <x:c r="V337" s="226"/>
      <x:c r="W337" s="226"/>
      <x:c r="X337" s="226"/>
      <x:c r="Y337" s="226"/>
      <x:c r="Z337" s="226"/>
    </x:row>
    <x:row r="338">
      <x:c r="A338" s="226"/>
      <x:c r="B338" s="226"/>
      <x:c r="C338" s="226"/>
      <x:c r="D338" s="226"/>
      <x:c r="E338" s="226"/>
      <x:c r="F338" s="226"/>
      <x:c r="G338" s="226"/>
      <x:c r="H338" s="226"/>
      <x:c r="I338" s="226"/>
      <x:c r="J338" s="226"/>
      <x:c r="K338" s="226"/>
      <x:c r="L338" s="226"/>
      <x:c r="M338" s="226"/>
      <x:c r="N338" s="226"/>
      <x:c r="O338" s="226"/>
      <x:c r="P338" s="226"/>
      <x:c r="Q338" s="226"/>
      <x:c r="R338" s="226"/>
      <x:c r="S338" s="226"/>
      <x:c r="T338" s="226"/>
      <x:c r="U338" s="226"/>
      <x:c r="V338" s="226"/>
      <x:c r="W338" s="226"/>
      <x:c r="X338" s="226"/>
      <x:c r="Y338" s="226"/>
      <x:c r="Z338" s="226"/>
    </x:row>
    <x:row r="339">
      <x:c r="A339" s="226"/>
      <x:c r="B339" s="226"/>
      <x:c r="C339" s="226"/>
      <x:c r="D339" s="226"/>
      <x:c r="E339" s="226"/>
      <x:c r="F339" s="226"/>
      <x:c r="G339" s="226"/>
      <x:c r="H339" s="226"/>
      <x:c r="I339" s="226"/>
      <x:c r="J339" s="226"/>
      <x:c r="K339" s="226"/>
      <x:c r="L339" s="226"/>
      <x:c r="M339" s="226"/>
      <x:c r="N339" s="226"/>
      <x:c r="O339" s="226"/>
      <x:c r="P339" s="226"/>
      <x:c r="Q339" s="226"/>
      <x:c r="R339" s="226"/>
      <x:c r="S339" s="226"/>
      <x:c r="T339" s="226"/>
      <x:c r="U339" s="226"/>
      <x:c r="V339" s="226"/>
      <x:c r="W339" s="226"/>
      <x:c r="X339" s="226"/>
      <x:c r="Y339" s="226"/>
      <x:c r="Z339" s="226"/>
    </x:row>
    <x:row r="340">
      <x:c r="A340" s="226"/>
      <x:c r="B340" s="226"/>
      <x:c r="C340" s="226"/>
      <x:c r="D340" s="226"/>
      <x:c r="E340" s="226"/>
      <x:c r="F340" s="226"/>
      <x:c r="G340" s="226"/>
      <x:c r="H340" s="226"/>
      <x:c r="I340" s="226"/>
      <x:c r="J340" s="226"/>
      <x:c r="K340" s="226"/>
      <x:c r="L340" s="226"/>
      <x:c r="M340" s="226"/>
      <x:c r="N340" s="226"/>
      <x:c r="O340" s="226"/>
      <x:c r="P340" s="226"/>
      <x:c r="Q340" s="226"/>
      <x:c r="R340" s="226"/>
      <x:c r="S340" s="226"/>
      <x:c r="T340" s="226"/>
      <x:c r="U340" s="226"/>
      <x:c r="V340" s="226"/>
      <x:c r="W340" s="226"/>
      <x:c r="X340" s="226"/>
      <x:c r="Y340" s="226"/>
      <x:c r="Z340" s="226"/>
    </x:row>
    <x:row r="341">
      <x:c r="A341" s="226"/>
      <x:c r="B341" s="226"/>
      <x:c r="C341" s="226"/>
      <x:c r="D341" s="226"/>
      <x:c r="E341" s="226"/>
      <x:c r="F341" s="226"/>
      <x:c r="G341" s="226"/>
      <x:c r="H341" s="226"/>
      <x:c r="I341" s="226"/>
      <x:c r="J341" s="226"/>
      <x:c r="K341" s="226"/>
      <x:c r="L341" s="226"/>
      <x:c r="M341" s="226"/>
      <x:c r="N341" s="226"/>
      <x:c r="O341" s="226"/>
      <x:c r="P341" s="226"/>
      <x:c r="Q341" s="226"/>
      <x:c r="R341" s="226"/>
      <x:c r="S341" s="226"/>
      <x:c r="T341" s="226"/>
      <x:c r="U341" s="226"/>
      <x:c r="V341" s="226"/>
      <x:c r="W341" s="226"/>
      <x:c r="X341" s="226"/>
      <x:c r="Y341" s="226"/>
      <x:c r="Z341" s="226"/>
    </x:row>
    <x:row r="342">
      <x:c r="A342" s="226"/>
      <x:c r="B342" s="226"/>
      <x:c r="C342" s="226"/>
      <x:c r="D342" s="226"/>
      <x:c r="E342" s="226"/>
      <x:c r="F342" s="226"/>
      <x:c r="G342" s="226"/>
      <x:c r="H342" s="226"/>
      <x:c r="I342" s="226"/>
      <x:c r="J342" s="226"/>
      <x:c r="K342" s="226"/>
      <x:c r="L342" s="226"/>
      <x:c r="M342" s="226"/>
      <x:c r="N342" s="226"/>
      <x:c r="O342" s="226"/>
      <x:c r="P342" s="226"/>
      <x:c r="Q342" s="226"/>
      <x:c r="R342" s="226"/>
      <x:c r="S342" s="226"/>
      <x:c r="T342" s="226"/>
      <x:c r="U342" s="226"/>
      <x:c r="V342" s="226"/>
      <x:c r="W342" s="226"/>
      <x:c r="X342" s="226"/>
      <x:c r="Y342" s="226"/>
      <x:c r="Z342" s="226"/>
    </x:row>
    <x:row r="343">
      <x:c r="A343" s="226"/>
      <x:c r="B343" s="226"/>
      <x:c r="C343" s="226"/>
      <x:c r="D343" s="226"/>
      <x:c r="E343" s="226"/>
      <x:c r="F343" s="226"/>
      <x:c r="G343" s="226"/>
      <x:c r="H343" s="226"/>
      <x:c r="I343" s="226"/>
      <x:c r="J343" s="226"/>
      <x:c r="K343" s="226"/>
      <x:c r="L343" s="226"/>
      <x:c r="M343" s="226"/>
      <x:c r="N343" s="226"/>
      <x:c r="O343" s="226"/>
      <x:c r="P343" s="226"/>
      <x:c r="Q343" s="226"/>
      <x:c r="R343" s="226"/>
      <x:c r="S343" s="226"/>
      <x:c r="T343" s="226"/>
      <x:c r="U343" s="226"/>
      <x:c r="V343" s="226"/>
      <x:c r="W343" s="226"/>
      <x:c r="X343" s="226"/>
      <x:c r="Y343" s="226"/>
      <x:c r="Z343" s="226"/>
    </x:row>
    <x:row r="344">
      <x:c r="A344" s="226"/>
      <x:c r="B344" s="226"/>
      <x:c r="C344" s="226"/>
      <x:c r="D344" s="226"/>
      <x:c r="E344" s="226"/>
      <x:c r="F344" s="226"/>
      <x:c r="G344" s="226"/>
      <x:c r="H344" s="226"/>
      <x:c r="I344" s="226"/>
      <x:c r="J344" s="226"/>
      <x:c r="K344" s="226"/>
      <x:c r="L344" s="226"/>
      <x:c r="M344" s="226"/>
      <x:c r="N344" s="226"/>
      <x:c r="O344" s="226"/>
      <x:c r="P344" s="226"/>
      <x:c r="Q344" s="226"/>
      <x:c r="R344" s="226"/>
      <x:c r="S344" s="226"/>
      <x:c r="T344" s="226"/>
      <x:c r="U344" s="226"/>
      <x:c r="V344" s="226"/>
      <x:c r="W344" s="226"/>
      <x:c r="X344" s="226"/>
      <x:c r="Y344" s="226"/>
      <x:c r="Z344" s="226"/>
    </x:row>
    <x:row r="345">
      <x:c r="A345" s="226"/>
      <x:c r="B345" s="226"/>
      <x:c r="C345" s="226"/>
      <x:c r="D345" s="226"/>
      <x:c r="E345" s="226"/>
      <x:c r="F345" s="226"/>
      <x:c r="G345" s="226"/>
      <x:c r="H345" s="226"/>
      <x:c r="I345" s="226"/>
      <x:c r="J345" s="226"/>
      <x:c r="K345" s="226"/>
      <x:c r="L345" s="226"/>
      <x:c r="M345" s="226"/>
      <x:c r="N345" s="226"/>
      <x:c r="O345" s="226"/>
      <x:c r="P345" s="226"/>
      <x:c r="Q345" s="226"/>
      <x:c r="R345" s="226"/>
      <x:c r="S345" s="226"/>
      <x:c r="T345" s="226"/>
      <x:c r="U345" s="226"/>
      <x:c r="V345" s="226"/>
      <x:c r="W345" s="226"/>
      <x:c r="X345" s="226"/>
      <x:c r="Y345" s="226"/>
      <x:c r="Z345" s="226"/>
    </x:row>
    <x:row r="346">
      <x:c r="A346" s="226"/>
      <x:c r="B346" s="226"/>
      <x:c r="C346" s="226"/>
      <x:c r="D346" s="226"/>
      <x:c r="E346" s="226"/>
      <x:c r="F346" s="226"/>
      <x:c r="G346" s="226"/>
      <x:c r="H346" s="226"/>
      <x:c r="I346" s="226"/>
      <x:c r="J346" s="226"/>
      <x:c r="K346" s="226"/>
      <x:c r="L346" s="226"/>
      <x:c r="M346" s="226"/>
      <x:c r="N346" s="226"/>
      <x:c r="O346" s="226"/>
      <x:c r="P346" s="226"/>
      <x:c r="Q346" s="226"/>
      <x:c r="R346" s="226"/>
      <x:c r="S346" s="226"/>
      <x:c r="T346" s="226"/>
      <x:c r="U346" s="226"/>
      <x:c r="V346" s="226"/>
      <x:c r="W346" s="226"/>
      <x:c r="X346" s="226"/>
      <x:c r="Y346" s="226"/>
      <x:c r="Z346" s="226"/>
    </x:row>
    <x:row r="347">
      <x:c r="A347" s="226"/>
      <x:c r="B347" s="226"/>
      <x:c r="C347" s="226"/>
      <x:c r="D347" s="226"/>
      <x:c r="E347" s="226"/>
      <x:c r="F347" s="226"/>
      <x:c r="G347" s="226"/>
      <x:c r="H347" s="226"/>
      <x:c r="I347" s="226"/>
      <x:c r="J347" s="226"/>
      <x:c r="K347" s="226"/>
      <x:c r="L347" s="226"/>
      <x:c r="M347" s="226"/>
      <x:c r="N347" s="226"/>
      <x:c r="O347" s="226"/>
      <x:c r="P347" s="226"/>
      <x:c r="Q347" s="226"/>
      <x:c r="R347" s="226"/>
      <x:c r="S347" s="226"/>
      <x:c r="T347" s="226"/>
      <x:c r="U347" s="226"/>
      <x:c r="V347" s="226"/>
      <x:c r="W347" s="226"/>
      <x:c r="X347" s="226"/>
      <x:c r="Y347" s="226"/>
      <x:c r="Z347" s="226"/>
    </x:row>
    <x:row r="348">
      <x:c r="A348" s="226"/>
      <x:c r="B348" s="226"/>
      <x:c r="C348" s="226"/>
      <x:c r="D348" s="226"/>
      <x:c r="E348" s="226"/>
      <x:c r="F348" s="226"/>
      <x:c r="G348" s="226"/>
      <x:c r="H348" s="226"/>
      <x:c r="I348" s="226"/>
      <x:c r="J348" s="226"/>
      <x:c r="K348" s="226"/>
      <x:c r="L348" s="226"/>
      <x:c r="M348" s="226"/>
      <x:c r="N348" s="226"/>
      <x:c r="O348" s="226"/>
      <x:c r="P348" s="226"/>
      <x:c r="Q348" s="226"/>
      <x:c r="R348" s="226"/>
      <x:c r="S348" s="226"/>
      <x:c r="T348" s="226"/>
      <x:c r="U348" s="226"/>
      <x:c r="V348" s="226"/>
      <x:c r="W348" s="226"/>
      <x:c r="X348" s="226"/>
      <x:c r="Y348" s="226"/>
      <x:c r="Z348" s="226"/>
    </x:row>
    <x:row r="349">
      <x:c r="A349" s="226"/>
      <x:c r="B349" s="226"/>
      <x:c r="C349" s="226"/>
      <x:c r="D349" s="226"/>
      <x:c r="E349" s="226"/>
      <x:c r="F349" s="226"/>
      <x:c r="G349" s="226"/>
      <x:c r="H349" s="226"/>
      <x:c r="I349" s="226"/>
      <x:c r="J349" s="226"/>
      <x:c r="K349" s="226"/>
      <x:c r="L349" s="226"/>
      <x:c r="M349" s="226"/>
      <x:c r="N349" s="226"/>
      <x:c r="O349" s="226"/>
      <x:c r="P349" s="226"/>
      <x:c r="Q349" s="226"/>
      <x:c r="R349" s="226"/>
      <x:c r="S349" s="226"/>
      <x:c r="T349" s="226"/>
      <x:c r="U349" s="226"/>
      <x:c r="V349" s="226"/>
      <x:c r="W349" s="226"/>
      <x:c r="X349" s="226"/>
      <x:c r="Y349" s="226"/>
      <x:c r="Z349" s="226"/>
    </x:row>
    <x:row r="350">
      <x:c r="A350" s="226"/>
      <x:c r="B350" s="226"/>
      <x:c r="C350" s="226"/>
      <x:c r="D350" s="226"/>
      <x:c r="E350" s="226"/>
      <x:c r="F350" s="226"/>
      <x:c r="G350" s="226"/>
      <x:c r="H350" s="226"/>
      <x:c r="I350" s="226"/>
      <x:c r="J350" s="226"/>
      <x:c r="K350" s="226"/>
      <x:c r="L350" s="226"/>
      <x:c r="M350" s="226"/>
      <x:c r="N350" s="226"/>
      <x:c r="O350" s="226"/>
      <x:c r="P350" s="226"/>
      <x:c r="Q350" s="226"/>
      <x:c r="R350" s="226"/>
      <x:c r="S350" s="226"/>
      <x:c r="T350" s="226"/>
      <x:c r="U350" s="226"/>
      <x:c r="V350" s="226"/>
      <x:c r="W350" s="226"/>
      <x:c r="X350" s="226"/>
      <x:c r="Y350" s="226"/>
      <x:c r="Z350" s="226"/>
    </x:row>
    <x:row r="351">
      <x:c r="A351" s="226"/>
      <x:c r="B351" s="226"/>
      <x:c r="C351" s="226"/>
      <x:c r="D351" s="226"/>
      <x:c r="E351" s="226"/>
      <x:c r="F351" s="226"/>
      <x:c r="G351" s="226"/>
      <x:c r="H351" s="226"/>
      <x:c r="I351" s="226"/>
      <x:c r="J351" s="226"/>
      <x:c r="K351" s="226"/>
      <x:c r="L351" s="226"/>
      <x:c r="M351" s="226"/>
      <x:c r="N351" s="226"/>
      <x:c r="O351" s="226"/>
      <x:c r="P351" s="226"/>
      <x:c r="Q351" s="226"/>
      <x:c r="R351" s="226"/>
      <x:c r="S351" s="226"/>
      <x:c r="T351" s="226"/>
      <x:c r="U351" s="226"/>
      <x:c r="V351" s="226"/>
      <x:c r="W351" s="226"/>
      <x:c r="X351" s="226"/>
      <x:c r="Y351" s="226"/>
      <x:c r="Z351" s="226"/>
    </x:row>
    <x:row r="352">
      <x:c r="A352" s="226"/>
      <x:c r="B352" s="226"/>
      <x:c r="C352" s="226"/>
      <x:c r="D352" s="226"/>
      <x:c r="E352" s="226"/>
      <x:c r="F352" s="226"/>
      <x:c r="G352" s="226"/>
      <x:c r="H352" s="226"/>
      <x:c r="I352" s="226"/>
      <x:c r="J352" s="226"/>
      <x:c r="K352" s="226"/>
      <x:c r="L352" s="226"/>
      <x:c r="M352" s="226"/>
      <x:c r="N352" s="226"/>
      <x:c r="O352" s="226"/>
      <x:c r="P352" s="226"/>
      <x:c r="Q352" s="226"/>
      <x:c r="R352" s="226"/>
      <x:c r="S352" s="226"/>
      <x:c r="T352" s="226"/>
      <x:c r="U352" s="226"/>
      <x:c r="V352" s="226"/>
      <x:c r="W352" s="226"/>
      <x:c r="X352" s="226"/>
      <x:c r="Y352" s="226"/>
      <x:c r="Z352" s="226"/>
    </x:row>
    <x:row r="353">
      <x:c r="A353" s="226"/>
      <x:c r="B353" s="226"/>
      <x:c r="C353" s="226"/>
      <x:c r="D353" s="226"/>
      <x:c r="E353" s="226"/>
      <x:c r="F353" s="226"/>
      <x:c r="G353" s="226"/>
      <x:c r="H353" s="226"/>
      <x:c r="I353" s="226"/>
      <x:c r="J353" s="226"/>
      <x:c r="K353" s="226"/>
      <x:c r="L353" s="226"/>
      <x:c r="M353" s="226"/>
      <x:c r="N353" s="226"/>
      <x:c r="O353" s="226"/>
      <x:c r="P353" s="226"/>
      <x:c r="Q353" s="226"/>
      <x:c r="R353" s="226"/>
      <x:c r="S353" s="226"/>
      <x:c r="T353" s="226"/>
      <x:c r="U353" s="226"/>
      <x:c r="V353" s="226"/>
      <x:c r="W353" s="226"/>
      <x:c r="X353" s="226"/>
      <x:c r="Y353" s="226"/>
      <x:c r="Z353" s="226"/>
    </x:row>
    <x:row r="354">
      <x:c r="A354" s="226"/>
      <x:c r="B354" s="226"/>
      <x:c r="C354" s="226"/>
      <x:c r="D354" s="226"/>
      <x:c r="E354" s="226"/>
      <x:c r="F354" s="226"/>
      <x:c r="G354" s="226"/>
      <x:c r="H354" s="226"/>
      <x:c r="I354" s="226"/>
      <x:c r="J354" s="226"/>
      <x:c r="K354" s="226"/>
      <x:c r="L354" s="226"/>
      <x:c r="M354" s="226"/>
      <x:c r="N354" s="226"/>
      <x:c r="O354" s="226"/>
      <x:c r="P354" s="226"/>
      <x:c r="Q354" s="226"/>
      <x:c r="R354" s="226"/>
      <x:c r="S354" s="226"/>
      <x:c r="T354" s="226"/>
      <x:c r="U354" s="226"/>
      <x:c r="V354" s="226"/>
      <x:c r="W354" s="226"/>
      <x:c r="X354" s="226"/>
      <x:c r="Y354" s="226"/>
      <x:c r="Z354" s="226"/>
    </x:row>
    <x:row r="355">
      <x:c r="A355" s="226"/>
      <x:c r="B355" s="226"/>
      <x:c r="C355" s="226"/>
      <x:c r="D355" s="226"/>
      <x:c r="E355" s="226"/>
      <x:c r="F355" s="226"/>
      <x:c r="G355" s="226"/>
      <x:c r="H355" s="226"/>
      <x:c r="I355" s="226"/>
      <x:c r="J355" s="226"/>
      <x:c r="K355" s="226"/>
      <x:c r="L355" s="226"/>
      <x:c r="M355" s="226"/>
      <x:c r="N355" s="226"/>
      <x:c r="O355" s="226"/>
      <x:c r="P355" s="226"/>
      <x:c r="Q355" s="226"/>
      <x:c r="R355" s="226"/>
      <x:c r="S355" s="226"/>
      <x:c r="T355" s="226"/>
      <x:c r="U355" s="226"/>
      <x:c r="V355" s="226"/>
      <x:c r="W355" s="226"/>
      <x:c r="X355" s="226"/>
      <x:c r="Y355" s="226"/>
      <x:c r="Z355" s="226"/>
    </x:row>
    <x:row r="356">
      <x:c r="A356" s="226"/>
      <x:c r="B356" s="226"/>
      <x:c r="C356" s="226"/>
      <x:c r="D356" s="226"/>
      <x:c r="E356" s="226"/>
      <x:c r="F356" s="226"/>
      <x:c r="G356" s="226"/>
      <x:c r="H356" s="226"/>
      <x:c r="I356" s="226"/>
      <x:c r="J356" s="226"/>
      <x:c r="K356" s="226"/>
      <x:c r="L356" s="226"/>
      <x:c r="M356" s="226"/>
      <x:c r="N356" s="226"/>
      <x:c r="O356" s="226"/>
      <x:c r="P356" s="226"/>
      <x:c r="Q356" s="226"/>
      <x:c r="R356" s="226"/>
      <x:c r="S356" s="226"/>
      <x:c r="T356" s="226"/>
      <x:c r="U356" s="226"/>
      <x:c r="V356" s="226"/>
      <x:c r="W356" s="226"/>
      <x:c r="X356" s="226"/>
      <x:c r="Y356" s="226"/>
      <x:c r="Z356" s="226"/>
    </x:row>
    <x:row r="357">
      <x:c r="A357" s="226"/>
      <x:c r="B357" s="226"/>
      <x:c r="C357" s="226"/>
      <x:c r="D357" s="226"/>
      <x:c r="E357" s="226"/>
      <x:c r="F357" s="226"/>
      <x:c r="G357" s="226"/>
      <x:c r="H357" s="226"/>
      <x:c r="I357" s="226"/>
      <x:c r="J357" s="226"/>
      <x:c r="K357" s="226"/>
      <x:c r="L357" s="226"/>
      <x:c r="M357" s="226"/>
      <x:c r="N357" s="226"/>
      <x:c r="O357" s="226"/>
      <x:c r="P357" s="226"/>
      <x:c r="Q357" s="226"/>
      <x:c r="R357" s="226"/>
      <x:c r="S357" s="226"/>
      <x:c r="T357" s="226"/>
      <x:c r="U357" s="226"/>
      <x:c r="V357" s="226"/>
      <x:c r="W357" s="226"/>
      <x:c r="X357" s="226"/>
      <x:c r="Y357" s="226"/>
      <x:c r="Z357" s="226"/>
    </x:row>
    <x:row r="358">
      <x:c r="A358" s="226"/>
      <x:c r="B358" s="226"/>
      <x:c r="C358" s="226"/>
      <x:c r="D358" s="226"/>
      <x:c r="E358" s="226"/>
      <x:c r="F358" s="226"/>
      <x:c r="G358" s="226"/>
      <x:c r="H358" s="226"/>
      <x:c r="I358" s="226"/>
      <x:c r="J358" s="226"/>
      <x:c r="K358" s="226"/>
      <x:c r="L358" s="226"/>
      <x:c r="M358" s="226"/>
      <x:c r="N358" s="226"/>
      <x:c r="O358" s="226"/>
      <x:c r="P358" s="226"/>
      <x:c r="Q358" s="226"/>
      <x:c r="R358" s="226"/>
      <x:c r="S358" s="226"/>
      <x:c r="T358" s="226"/>
      <x:c r="U358" s="226"/>
      <x:c r="V358" s="226"/>
      <x:c r="W358" s="226"/>
      <x:c r="X358" s="226"/>
      <x:c r="Y358" s="226"/>
      <x:c r="Z358" s="226"/>
    </x:row>
    <x:row r="359">
      <x:c r="A359" s="226"/>
      <x:c r="B359" s="226"/>
      <x:c r="C359" s="226"/>
      <x:c r="D359" s="226"/>
      <x:c r="E359" s="226"/>
      <x:c r="F359" s="226"/>
      <x:c r="G359" s="226"/>
      <x:c r="H359" s="226"/>
      <x:c r="I359" s="226"/>
      <x:c r="J359" s="226"/>
      <x:c r="K359" s="226"/>
      <x:c r="L359" s="226"/>
      <x:c r="M359" s="226"/>
      <x:c r="N359" s="226"/>
      <x:c r="O359" s="226"/>
      <x:c r="P359" s="226"/>
      <x:c r="Q359" s="226"/>
      <x:c r="R359" s="226"/>
      <x:c r="S359" s="226"/>
      <x:c r="T359" s="226"/>
      <x:c r="U359" s="226"/>
      <x:c r="V359" s="226"/>
      <x:c r="W359" s="226"/>
      <x:c r="X359" s="226"/>
      <x:c r="Y359" s="226"/>
      <x:c r="Z359" s="226"/>
    </x:row>
    <x:row r="360">
      <x:c r="A360" s="226"/>
      <x:c r="B360" s="226"/>
      <x:c r="C360" s="226"/>
      <x:c r="D360" s="226"/>
      <x:c r="E360" s="226"/>
      <x:c r="F360" s="226"/>
      <x:c r="G360" s="226"/>
      <x:c r="H360" s="226"/>
      <x:c r="I360" s="226"/>
      <x:c r="J360" s="226"/>
      <x:c r="K360" s="226"/>
      <x:c r="L360" s="226"/>
      <x:c r="M360" s="226"/>
      <x:c r="N360" s="226"/>
      <x:c r="O360" s="226"/>
      <x:c r="P360" s="226"/>
      <x:c r="Q360" s="226"/>
      <x:c r="R360" s="226"/>
      <x:c r="S360" s="226"/>
      <x:c r="T360" s="226"/>
      <x:c r="U360" s="226"/>
      <x:c r="V360" s="226"/>
      <x:c r="W360" s="226"/>
      <x:c r="X360" s="226"/>
      <x:c r="Y360" s="226"/>
      <x:c r="Z360" s="226"/>
    </x:row>
    <x:row r="361">
      <x:c r="A361" s="226"/>
      <x:c r="B361" s="226"/>
      <x:c r="C361" s="226"/>
      <x:c r="D361" s="226"/>
      <x:c r="E361" s="226"/>
      <x:c r="F361" s="226"/>
      <x:c r="G361" s="226"/>
      <x:c r="H361" s="226"/>
      <x:c r="I361" s="226"/>
      <x:c r="J361" s="226"/>
      <x:c r="K361" s="226"/>
      <x:c r="L361" s="226"/>
      <x:c r="M361" s="226"/>
      <x:c r="N361" s="226"/>
      <x:c r="O361" s="226"/>
      <x:c r="P361" s="226"/>
      <x:c r="Q361" s="226"/>
      <x:c r="R361" s="226"/>
      <x:c r="S361" s="226"/>
      <x:c r="T361" s="226"/>
      <x:c r="U361" s="226"/>
      <x:c r="V361" s="226"/>
      <x:c r="W361" s="226"/>
      <x:c r="X361" s="226"/>
      <x:c r="Y361" s="226"/>
      <x:c r="Z361" s="226"/>
    </x:row>
    <x:row r="362">
      <x:c r="A362" s="226"/>
      <x:c r="B362" s="226"/>
      <x:c r="C362" s="226"/>
      <x:c r="D362" s="226"/>
      <x:c r="E362" s="226"/>
      <x:c r="F362" s="226"/>
      <x:c r="G362" s="226"/>
      <x:c r="H362" s="226"/>
      <x:c r="I362" s="226"/>
      <x:c r="J362" s="226"/>
      <x:c r="K362" s="226"/>
      <x:c r="L362" s="226"/>
      <x:c r="M362" s="226"/>
      <x:c r="N362" s="226"/>
      <x:c r="O362" s="226"/>
      <x:c r="P362" s="226"/>
      <x:c r="Q362" s="226"/>
      <x:c r="R362" s="226"/>
      <x:c r="S362" s="226"/>
      <x:c r="T362" s="226"/>
      <x:c r="U362" s="226"/>
      <x:c r="V362" s="226"/>
      <x:c r="W362" s="226"/>
      <x:c r="X362" s="226"/>
      <x:c r="Y362" s="226"/>
      <x:c r="Z362" s="226"/>
    </x:row>
    <x:row r="363">
      <x:c r="A363" s="226"/>
      <x:c r="B363" s="226"/>
      <x:c r="C363" s="226"/>
      <x:c r="D363" s="226"/>
      <x:c r="E363" s="226"/>
      <x:c r="F363" s="226"/>
      <x:c r="G363" s="226"/>
      <x:c r="H363" s="226"/>
      <x:c r="I363" s="226"/>
      <x:c r="J363" s="226"/>
      <x:c r="K363" s="226"/>
      <x:c r="L363" s="226"/>
      <x:c r="M363" s="226"/>
      <x:c r="N363" s="226"/>
      <x:c r="O363" s="226"/>
      <x:c r="P363" s="226"/>
      <x:c r="Q363" s="226"/>
      <x:c r="R363" s="226"/>
      <x:c r="S363" s="226"/>
      <x:c r="T363" s="226"/>
      <x:c r="U363" s="226"/>
      <x:c r="V363" s="226"/>
      <x:c r="W363" s="226"/>
      <x:c r="X363" s="226"/>
      <x:c r="Y363" s="226"/>
      <x:c r="Z363" s="226"/>
    </x:row>
    <x:row r="364">
      <x:c r="A364" s="226"/>
      <x:c r="B364" s="226"/>
      <x:c r="C364" s="226"/>
      <x:c r="D364" s="226"/>
      <x:c r="E364" s="226"/>
      <x:c r="F364" s="226"/>
      <x:c r="G364" s="226"/>
      <x:c r="H364" s="226"/>
      <x:c r="I364" s="226"/>
      <x:c r="J364" s="226"/>
      <x:c r="K364" s="226"/>
      <x:c r="L364" s="226"/>
      <x:c r="M364" s="226"/>
      <x:c r="N364" s="226"/>
      <x:c r="O364" s="226"/>
      <x:c r="P364" s="226"/>
      <x:c r="Q364" s="226"/>
      <x:c r="R364" s="226"/>
      <x:c r="S364" s="226"/>
      <x:c r="T364" s="226"/>
      <x:c r="U364" s="226"/>
      <x:c r="V364" s="226"/>
      <x:c r="W364" s="226"/>
      <x:c r="X364" s="226"/>
      <x:c r="Y364" s="226"/>
      <x:c r="Z364" s="226"/>
    </x:row>
    <x:row r="365">
      <x:c r="A365" s="226"/>
      <x:c r="B365" s="226"/>
      <x:c r="C365" s="226"/>
      <x:c r="D365" s="226"/>
      <x:c r="E365" s="226"/>
      <x:c r="F365" s="226"/>
      <x:c r="G365" s="226"/>
      <x:c r="H365" s="226"/>
      <x:c r="I365" s="226"/>
      <x:c r="J365" s="226"/>
      <x:c r="K365" s="226"/>
      <x:c r="L365" s="226"/>
      <x:c r="M365" s="226"/>
      <x:c r="N365" s="226"/>
      <x:c r="O365" s="226"/>
      <x:c r="P365" s="226"/>
      <x:c r="Q365" s="226"/>
      <x:c r="R365" s="226"/>
      <x:c r="S365" s="226"/>
      <x:c r="T365" s="226"/>
      <x:c r="U365" s="226"/>
      <x:c r="V365" s="226"/>
      <x:c r="W365" s="226"/>
      <x:c r="X365" s="226"/>
      <x:c r="Y365" s="226"/>
      <x:c r="Z365" s="226"/>
    </x:row>
    <x:row r="366">
      <x:c r="A366" s="226"/>
      <x:c r="B366" s="226"/>
      <x:c r="C366" s="226"/>
      <x:c r="D366" s="226"/>
      <x:c r="E366" s="226"/>
      <x:c r="F366" s="226"/>
      <x:c r="G366" s="226"/>
      <x:c r="H366" s="226"/>
      <x:c r="I366" s="226"/>
      <x:c r="J366" s="226"/>
      <x:c r="K366" s="226"/>
      <x:c r="L366" s="226"/>
      <x:c r="M366" s="226"/>
      <x:c r="N366" s="226"/>
      <x:c r="O366" s="226"/>
      <x:c r="P366" s="226"/>
      <x:c r="Q366" s="226"/>
      <x:c r="R366" s="226"/>
      <x:c r="S366" s="226"/>
      <x:c r="T366" s="226"/>
      <x:c r="U366" s="226"/>
      <x:c r="V366" s="226"/>
      <x:c r="W366" s="226"/>
      <x:c r="X366" s="226"/>
      <x:c r="Y366" s="226"/>
      <x:c r="Z366" s="226"/>
    </x:row>
    <x:row r="367">
      <x:c r="A367" s="226"/>
      <x:c r="B367" s="226"/>
      <x:c r="C367" s="226"/>
      <x:c r="D367" s="226"/>
      <x:c r="E367" s="226"/>
      <x:c r="F367" s="226"/>
      <x:c r="G367" s="226"/>
      <x:c r="H367" s="226"/>
      <x:c r="I367" s="226"/>
      <x:c r="J367" s="226"/>
      <x:c r="K367" s="226"/>
      <x:c r="L367" s="226"/>
      <x:c r="M367" s="226"/>
      <x:c r="N367" s="226"/>
      <x:c r="O367" s="226"/>
      <x:c r="P367" s="226"/>
      <x:c r="Q367" s="226"/>
      <x:c r="R367" s="226"/>
      <x:c r="S367" s="226"/>
      <x:c r="T367" s="226"/>
      <x:c r="U367" s="226"/>
      <x:c r="V367" s="226"/>
      <x:c r="W367" s="226"/>
      <x:c r="X367" s="226"/>
      <x:c r="Y367" s="226"/>
      <x:c r="Z367" s="226"/>
    </x:row>
    <x:row r="368">
      <x:c r="A368" s="226"/>
      <x:c r="B368" s="226"/>
      <x:c r="C368" s="226"/>
      <x:c r="D368" s="226"/>
      <x:c r="E368" s="226"/>
      <x:c r="F368" s="226"/>
      <x:c r="G368" s="226"/>
      <x:c r="H368" s="226"/>
      <x:c r="I368" s="226"/>
      <x:c r="J368" s="226"/>
      <x:c r="K368" s="226"/>
      <x:c r="L368" s="226"/>
      <x:c r="M368" s="226"/>
      <x:c r="N368" s="226"/>
      <x:c r="O368" s="226"/>
      <x:c r="P368" s="226"/>
      <x:c r="Q368" s="226"/>
      <x:c r="R368" s="226"/>
      <x:c r="S368" s="226"/>
      <x:c r="T368" s="226"/>
      <x:c r="U368" s="226"/>
      <x:c r="V368" s="226"/>
      <x:c r="W368" s="226"/>
      <x:c r="X368" s="226"/>
      <x:c r="Y368" s="226"/>
      <x:c r="Z368" s="226"/>
    </x:row>
    <x:row r="369">
      <x:c r="A369" s="226"/>
      <x:c r="B369" s="226"/>
      <x:c r="C369" s="226"/>
      <x:c r="D369" s="226"/>
      <x:c r="E369" s="226"/>
      <x:c r="F369" s="226"/>
      <x:c r="G369" s="226"/>
      <x:c r="H369" s="226"/>
      <x:c r="I369" s="226"/>
      <x:c r="J369" s="226"/>
      <x:c r="K369" s="226"/>
      <x:c r="L369" s="226"/>
      <x:c r="M369" s="226"/>
      <x:c r="N369" s="226"/>
      <x:c r="O369" s="226"/>
      <x:c r="P369" s="226"/>
      <x:c r="Q369" s="226"/>
      <x:c r="R369" s="226"/>
      <x:c r="S369" s="226"/>
      <x:c r="T369" s="226"/>
      <x:c r="U369" s="226"/>
      <x:c r="V369" s="226"/>
      <x:c r="W369" s="226"/>
      <x:c r="X369" s="226"/>
      <x:c r="Y369" s="226"/>
      <x:c r="Z369" s="226"/>
    </x:row>
    <x:row r="370">
      <x:c r="A370" s="226"/>
      <x:c r="B370" s="226"/>
      <x:c r="C370" s="226"/>
      <x:c r="D370" s="226"/>
      <x:c r="E370" s="226"/>
      <x:c r="F370" s="226"/>
      <x:c r="G370" s="226"/>
      <x:c r="H370" s="226"/>
      <x:c r="I370" s="226"/>
      <x:c r="J370" s="226"/>
      <x:c r="K370" s="226"/>
      <x:c r="L370" s="226"/>
      <x:c r="M370" s="226"/>
      <x:c r="N370" s="226"/>
      <x:c r="O370" s="226"/>
      <x:c r="P370" s="226"/>
      <x:c r="Q370" s="226"/>
      <x:c r="R370" s="226"/>
      <x:c r="S370" s="226"/>
      <x:c r="T370" s="226"/>
      <x:c r="U370" s="226"/>
      <x:c r="V370" s="226"/>
      <x:c r="W370" s="226"/>
      <x:c r="X370" s="226"/>
      <x:c r="Y370" s="226"/>
      <x:c r="Z370" s="226"/>
    </x:row>
    <x:row r="371">
      <x:c r="A371" s="226"/>
      <x:c r="B371" s="226"/>
      <x:c r="C371" s="226"/>
      <x:c r="D371" s="226"/>
      <x:c r="E371" s="226"/>
      <x:c r="F371" s="226"/>
      <x:c r="G371" s="226"/>
      <x:c r="H371" s="226"/>
      <x:c r="I371" s="226"/>
      <x:c r="J371" s="226"/>
      <x:c r="K371" s="226"/>
      <x:c r="L371" s="226"/>
      <x:c r="M371" s="226"/>
      <x:c r="N371" s="226"/>
      <x:c r="O371" s="226"/>
      <x:c r="P371" s="226"/>
      <x:c r="Q371" s="226"/>
      <x:c r="R371" s="226"/>
      <x:c r="S371" s="226"/>
      <x:c r="T371" s="226"/>
      <x:c r="U371" s="226"/>
      <x:c r="V371" s="226"/>
      <x:c r="W371" s="226"/>
      <x:c r="X371" s="226"/>
      <x:c r="Y371" s="226"/>
      <x:c r="Z371" s="226"/>
    </x:row>
    <x:row r="372">
      <x:c r="A372" s="226"/>
      <x:c r="B372" s="226"/>
      <x:c r="C372" s="226"/>
      <x:c r="D372" s="226"/>
      <x:c r="E372" s="226"/>
      <x:c r="F372" s="226"/>
      <x:c r="G372" s="226"/>
      <x:c r="H372" s="226"/>
      <x:c r="I372" s="226"/>
      <x:c r="J372" s="226"/>
      <x:c r="K372" s="226"/>
      <x:c r="L372" s="226"/>
      <x:c r="M372" s="226"/>
      <x:c r="N372" s="226"/>
      <x:c r="O372" s="226"/>
      <x:c r="P372" s="226"/>
      <x:c r="Q372" s="226"/>
      <x:c r="R372" s="226"/>
      <x:c r="S372" s="226"/>
      <x:c r="T372" s="226"/>
      <x:c r="U372" s="226"/>
      <x:c r="V372" s="226"/>
      <x:c r="W372" s="226"/>
      <x:c r="X372" s="226"/>
      <x:c r="Y372" s="226"/>
      <x:c r="Z372" s="226"/>
    </x:row>
    <x:row r="373">
      <x:c r="A373" s="226"/>
      <x:c r="B373" s="226"/>
      <x:c r="C373" s="226"/>
      <x:c r="D373" s="226"/>
      <x:c r="E373" s="226"/>
      <x:c r="F373" s="226"/>
      <x:c r="G373" s="226"/>
      <x:c r="H373" s="226"/>
      <x:c r="I373" s="226"/>
      <x:c r="J373" s="226"/>
      <x:c r="K373" s="226"/>
      <x:c r="L373" s="226"/>
      <x:c r="M373" s="226"/>
      <x:c r="N373" s="226"/>
      <x:c r="O373" s="226"/>
      <x:c r="P373" s="226"/>
      <x:c r="Q373" s="226"/>
      <x:c r="R373" s="226"/>
      <x:c r="S373" s="226"/>
      <x:c r="T373" s="226"/>
      <x:c r="U373" s="226"/>
      <x:c r="V373" s="226"/>
      <x:c r="W373" s="226"/>
      <x:c r="X373" s="226"/>
      <x:c r="Y373" s="226"/>
      <x:c r="Z373" s="226"/>
    </x:row>
    <x:row r="374">
      <x:c r="A374" s="226"/>
      <x:c r="B374" s="226"/>
      <x:c r="C374" s="226"/>
      <x:c r="D374" s="226"/>
      <x:c r="E374" s="226"/>
      <x:c r="F374" s="226"/>
      <x:c r="G374" s="226"/>
      <x:c r="H374" s="226"/>
      <x:c r="I374" s="226"/>
      <x:c r="J374" s="226"/>
      <x:c r="K374" s="226"/>
      <x:c r="L374" s="226"/>
      <x:c r="M374" s="226"/>
      <x:c r="N374" s="226"/>
      <x:c r="O374" s="226"/>
      <x:c r="P374" s="226"/>
      <x:c r="Q374" s="226"/>
      <x:c r="R374" s="226"/>
      <x:c r="S374" s="226"/>
      <x:c r="T374" s="226"/>
      <x:c r="U374" s="226"/>
      <x:c r="V374" s="226"/>
      <x:c r="W374" s="226"/>
      <x:c r="X374" s="226"/>
      <x:c r="Y374" s="226"/>
      <x:c r="Z374" s="226"/>
    </x:row>
    <x:row r="375">
      <x:c r="A375" s="226"/>
      <x:c r="B375" s="226"/>
      <x:c r="C375" s="226"/>
      <x:c r="D375" s="226"/>
      <x:c r="E375" s="226"/>
      <x:c r="F375" s="226"/>
      <x:c r="G375" s="226"/>
      <x:c r="H375" s="226"/>
      <x:c r="I375" s="226"/>
      <x:c r="J375" s="226"/>
      <x:c r="K375" s="226"/>
      <x:c r="L375" s="226"/>
      <x:c r="M375" s="226"/>
      <x:c r="N375" s="226"/>
      <x:c r="O375" s="226"/>
      <x:c r="P375" s="226"/>
      <x:c r="Q375" s="226"/>
      <x:c r="R375" s="226"/>
      <x:c r="S375" s="226"/>
      <x:c r="T375" s="226"/>
      <x:c r="U375" s="226"/>
      <x:c r="V375" s="226"/>
      <x:c r="W375" s="226"/>
      <x:c r="X375" s="226"/>
      <x:c r="Y375" s="226"/>
      <x:c r="Z375" s="226"/>
    </x:row>
    <x:row r="376">
      <x:c r="A376" s="226"/>
      <x:c r="B376" s="226"/>
      <x:c r="C376" s="226"/>
      <x:c r="D376" s="226"/>
      <x:c r="E376" s="226"/>
      <x:c r="F376" s="226"/>
      <x:c r="G376" s="226"/>
      <x:c r="H376" s="226"/>
      <x:c r="I376" s="226"/>
      <x:c r="J376" s="226"/>
      <x:c r="K376" s="226"/>
      <x:c r="L376" s="226"/>
      <x:c r="M376" s="226"/>
      <x:c r="N376" s="226"/>
      <x:c r="O376" s="226"/>
      <x:c r="P376" s="226"/>
      <x:c r="Q376" s="226"/>
      <x:c r="R376" s="226"/>
      <x:c r="S376" s="226"/>
      <x:c r="T376" s="226"/>
      <x:c r="U376" s="226"/>
      <x:c r="V376" s="226"/>
      <x:c r="W376" s="226"/>
      <x:c r="X376" s="226"/>
      <x:c r="Y376" s="226"/>
      <x:c r="Z376" s="226"/>
    </x:row>
    <x:row r="377">
      <x:c r="A377" s="226"/>
      <x:c r="B377" s="226"/>
      <x:c r="C377" s="226"/>
      <x:c r="D377" s="226"/>
      <x:c r="E377" s="226"/>
      <x:c r="F377" s="226"/>
      <x:c r="G377" s="226"/>
      <x:c r="H377" s="226"/>
      <x:c r="I377" s="226"/>
      <x:c r="J377" s="226"/>
      <x:c r="K377" s="226"/>
      <x:c r="L377" s="226"/>
      <x:c r="M377" s="226"/>
      <x:c r="N377" s="226"/>
      <x:c r="O377" s="226"/>
      <x:c r="P377" s="226"/>
      <x:c r="Q377" s="226"/>
      <x:c r="R377" s="226"/>
      <x:c r="S377" s="226"/>
      <x:c r="T377" s="226"/>
      <x:c r="U377" s="226"/>
      <x:c r="V377" s="226"/>
      <x:c r="W377" s="226"/>
      <x:c r="X377" s="226"/>
      <x:c r="Y377" s="226"/>
      <x:c r="Z377" s="226"/>
    </x:row>
    <x:row r="378">
      <x:c r="A378" s="226"/>
      <x:c r="B378" s="226"/>
      <x:c r="C378" s="226"/>
      <x:c r="D378" s="226"/>
      <x:c r="E378" s="226"/>
      <x:c r="F378" s="226"/>
      <x:c r="G378" s="226"/>
      <x:c r="H378" s="226"/>
      <x:c r="I378" s="226"/>
      <x:c r="J378" s="226"/>
      <x:c r="K378" s="226"/>
      <x:c r="L378" s="226"/>
      <x:c r="M378" s="226"/>
      <x:c r="N378" s="226"/>
      <x:c r="O378" s="226"/>
      <x:c r="P378" s="226"/>
      <x:c r="Q378" s="226"/>
      <x:c r="R378" s="226"/>
      <x:c r="S378" s="226"/>
      <x:c r="T378" s="226"/>
      <x:c r="U378" s="226"/>
      <x:c r="V378" s="226"/>
      <x:c r="W378" s="226"/>
      <x:c r="X378" s="226"/>
      <x:c r="Y378" s="226"/>
      <x:c r="Z378" s="226"/>
    </x:row>
    <x:row r="379">
      <x:c r="A379" s="226"/>
      <x:c r="B379" s="226"/>
      <x:c r="C379" s="226"/>
      <x:c r="D379" s="226"/>
      <x:c r="E379" s="226"/>
      <x:c r="F379" s="226"/>
      <x:c r="G379" s="226"/>
      <x:c r="H379" s="226"/>
      <x:c r="I379" s="226"/>
      <x:c r="J379" s="226"/>
      <x:c r="K379" s="226"/>
      <x:c r="L379" s="226"/>
      <x:c r="M379" s="226"/>
      <x:c r="N379" s="226"/>
      <x:c r="O379" s="226"/>
      <x:c r="P379" s="226"/>
      <x:c r="Q379" s="226"/>
      <x:c r="R379" s="226"/>
      <x:c r="S379" s="226"/>
      <x:c r="T379" s="226"/>
      <x:c r="U379" s="226"/>
      <x:c r="V379" s="226"/>
      <x:c r="W379" s="226"/>
      <x:c r="X379" s="226"/>
      <x:c r="Y379" s="226"/>
      <x:c r="Z379" s="226"/>
    </x:row>
    <x:row r="380">
      <x:c r="A380" s="226"/>
      <x:c r="B380" s="226"/>
      <x:c r="C380" s="226"/>
      <x:c r="D380" s="226"/>
      <x:c r="E380" s="226"/>
      <x:c r="F380" s="226"/>
      <x:c r="G380" s="226"/>
      <x:c r="H380" s="226"/>
      <x:c r="I380" s="226"/>
      <x:c r="J380" s="226"/>
      <x:c r="K380" s="226"/>
      <x:c r="L380" s="226"/>
      <x:c r="M380" s="226"/>
      <x:c r="N380" s="226"/>
      <x:c r="O380" s="226"/>
      <x:c r="P380" s="226"/>
      <x:c r="Q380" s="226"/>
      <x:c r="R380" s="226"/>
      <x:c r="S380" s="226"/>
      <x:c r="T380" s="226"/>
      <x:c r="U380" s="226"/>
      <x:c r="V380" s="226"/>
      <x:c r="W380" s="226"/>
      <x:c r="X380" s="226"/>
      <x:c r="Y380" s="226"/>
      <x:c r="Z380" s="226"/>
    </x:row>
    <x:row r="381">
      <x:c r="A381" s="226"/>
      <x:c r="B381" s="226"/>
      <x:c r="C381" s="226"/>
      <x:c r="D381" s="226"/>
      <x:c r="E381" s="226"/>
      <x:c r="F381" s="226"/>
      <x:c r="G381" s="226"/>
      <x:c r="H381" s="226"/>
      <x:c r="I381" s="226"/>
      <x:c r="J381" s="226"/>
      <x:c r="K381" s="226"/>
      <x:c r="L381" s="226"/>
      <x:c r="M381" s="226"/>
      <x:c r="N381" s="226"/>
      <x:c r="O381" s="226"/>
      <x:c r="P381" s="226"/>
      <x:c r="Q381" s="226"/>
      <x:c r="R381" s="226"/>
      <x:c r="S381" s="226"/>
      <x:c r="T381" s="226"/>
      <x:c r="U381" s="226"/>
      <x:c r="V381" s="226"/>
      <x:c r="W381" s="226"/>
      <x:c r="X381" s="226"/>
      <x:c r="Y381" s="226"/>
      <x:c r="Z381" s="226"/>
    </x:row>
    <x:row r="382">
      <x:c r="A382" s="226"/>
      <x:c r="B382" s="226"/>
      <x:c r="C382" s="226"/>
      <x:c r="D382" s="226"/>
      <x:c r="E382" s="226"/>
      <x:c r="F382" s="226"/>
      <x:c r="G382" s="226"/>
      <x:c r="H382" s="226"/>
      <x:c r="I382" s="226"/>
      <x:c r="J382" s="226"/>
      <x:c r="K382" s="226"/>
      <x:c r="L382" s="226"/>
      <x:c r="M382" s="226"/>
      <x:c r="N382" s="226"/>
      <x:c r="O382" s="226"/>
      <x:c r="P382" s="226"/>
      <x:c r="Q382" s="226"/>
      <x:c r="R382" s="226"/>
      <x:c r="S382" s="226"/>
      <x:c r="T382" s="226"/>
      <x:c r="U382" s="226"/>
      <x:c r="V382" s="226"/>
      <x:c r="W382" s="226"/>
      <x:c r="X382" s="226"/>
      <x:c r="Y382" s="226"/>
      <x:c r="Z382" s="226"/>
    </x:row>
    <x:row r="383">
      <x:c r="A383" s="226"/>
      <x:c r="B383" s="226"/>
      <x:c r="C383" s="226"/>
      <x:c r="D383" s="226"/>
      <x:c r="E383" s="226"/>
      <x:c r="F383" s="226"/>
      <x:c r="G383" s="226"/>
      <x:c r="H383" s="226"/>
      <x:c r="I383" s="226"/>
      <x:c r="J383" s="226"/>
      <x:c r="K383" s="226"/>
      <x:c r="L383" s="226"/>
      <x:c r="M383" s="226"/>
      <x:c r="N383" s="226"/>
      <x:c r="O383" s="226"/>
      <x:c r="P383" s="226"/>
      <x:c r="Q383" s="226"/>
      <x:c r="R383" s="226"/>
      <x:c r="S383" s="226"/>
      <x:c r="T383" s="226"/>
      <x:c r="U383" s="226"/>
      <x:c r="V383" s="226"/>
      <x:c r="W383" s="226"/>
      <x:c r="X383" s="226"/>
      <x:c r="Y383" s="226"/>
      <x:c r="Z383" s="226"/>
    </x:row>
    <x:row r="384">
      <x:c r="A384" s="226"/>
      <x:c r="B384" s="226"/>
      <x:c r="C384" s="226"/>
      <x:c r="D384" s="226"/>
      <x:c r="E384" s="226"/>
      <x:c r="F384" s="226"/>
      <x:c r="G384" s="226"/>
      <x:c r="H384" s="226"/>
      <x:c r="I384" s="226"/>
      <x:c r="J384" s="226"/>
      <x:c r="K384" s="226"/>
      <x:c r="L384" s="226"/>
      <x:c r="M384" s="226"/>
      <x:c r="N384" s="226"/>
      <x:c r="O384" s="226"/>
      <x:c r="P384" s="226"/>
      <x:c r="Q384" s="226"/>
      <x:c r="R384" s="226"/>
      <x:c r="S384" s="226"/>
      <x:c r="T384" s="226"/>
      <x:c r="U384" s="226"/>
      <x:c r="V384" s="226"/>
      <x:c r="W384" s="226"/>
      <x:c r="X384" s="226"/>
      <x:c r="Y384" s="226"/>
      <x:c r="Z384" s="226"/>
    </x:row>
    <x:row r="385">
      <x:c r="A385" s="226"/>
      <x:c r="B385" s="226"/>
      <x:c r="C385" s="226"/>
      <x:c r="D385" s="226"/>
      <x:c r="E385" s="226"/>
      <x:c r="F385" s="226"/>
      <x:c r="G385" s="226"/>
      <x:c r="H385" s="226"/>
      <x:c r="I385" s="226"/>
      <x:c r="J385" s="226"/>
      <x:c r="K385" s="226"/>
      <x:c r="L385" s="226"/>
      <x:c r="M385" s="226"/>
      <x:c r="N385" s="226"/>
      <x:c r="O385" s="226"/>
      <x:c r="P385" s="226"/>
      <x:c r="Q385" s="226"/>
      <x:c r="R385" s="226"/>
      <x:c r="S385" s="226"/>
      <x:c r="T385" s="226"/>
      <x:c r="U385" s="226"/>
      <x:c r="V385" s="226"/>
      <x:c r="W385" s="226"/>
      <x:c r="X385" s="226"/>
      <x:c r="Y385" s="226"/>
      <x:c r="Z385" s="226"/>
    </x:row>
    <x:row r="386">
      <x:c r="A386" s="226"/>
      <x:c r="B386" s="226"/>
      <x:c r="C386" s="226"/>
      <x:c r="D386" s="226"/>
      <x:c r="E386" s="226"/>
      <x:c r="F386" s="226"/>
      <x:c r="G386" s="226"/>
      <x:c r="H386" s="226"/>
      <x:c r="I386" s="226"/>
      <x:c r="J386" s="226"/>
      <x:c r="K386" s="226"/>
      <x:c r="L386" s="226"/>
      <x:c r="M386" s="226"/>
      <x:c r="N386" s="226"/>
      <x:c r="O386" s="226"/>
      <x:c r="P386" s="226"/>
      <x:c r="Q386" s="226"/>
      <x:c r="R386" s="226"/>
      <x:c r="S386" s="226"/>
      <x:c r="T386" s="226"/>
      <x:c r="U386" s="226"/>
      <x:c r="V386" s="226"/>
      <x:c r="W386" s="226"/>
      <x:c r="X386" s="226"/>
      <x:c r="Y386" s="226"/>
      <x:c r="Z386" s="226"/>
    </x:row>
    <x:row r="387">
      <x:c r="A387" s="226"/>
      <x:c r="B387" s="226"/>
      <x:c r="C387" s="226"/>
      <x:c r="D387" s="226"/>
      <x:c r="E387" s="226"/>
      <x:c r="F387" s="226"/>
      <x:c r="G387" s="226"/>
      <x:c r="H387" s="226"/>
      <x:c r="I387" s="226"/>
      <x:c r="J387" s="226"/>
      <x:c r="K387" s="226"/>
      <x:c r="L387" s="226"/>
      <x:c r="M387" s="226"/>
      <x:c r="N387" s="226"/>
      <x:c r="O387" s="226"/>
      <x:c r="P387" s="226"/>
      <x:c r="Q387" s="226"/>
      <x:c r="R387" s="226"/>
      <x:c r="S387" s="226"/>
      <x:c r="T387" s="226"/>
      <x:c r="U387" s="226"/>
      <x:c r="V387" s="226"/>
      <x:c r="W387" s="226"/>
      <x:c r="X387" s="226"/>
      <x:c r="Y387" s="226"/>
      <x:c r="Z387" s="226"/>
    </x:row>
    <x:row r="388">
      <x:c r="A388" s="226"/>
      <x:c r="B388" s="226"/>
      <x:c r="C388" s="226"/>
      <x:c r="D388" s="226"/>
      <x:c r="E388" s="226"/>
      <x:c r="F388" s="226"/>
      <x:c r="G388" s="226"/>
      <x:c r="H388" s="226"/>
      <x:c r="I388" s="226"/>
      <x:c r="J388" s="226"/>
      <x:c r="K388" s="226"/>
      <x:c r="L388" s="226"/>
      <x:c r="M388" s="226"/>
      <x:c r="N388" s="226"/>
      <x:c r="O388" s="226"/>
      <x:c r="P388" s="226"/>
      <x:c r="Q388" s="226"/>
      <x:c r="R388" s="226"/>
      <x:c r="S388" s="226"/>
      <x:c r="T388" s="226"/>
      <x:c r="U388" s="226"/>
      <x:c r="V388" s="226"/>
      <x:c r="W388" s="226"/>
      <x:c r="X388" s="226"/>
      <x:c r="Y388" s="226"/>
      <x:c r="Z388" s="226"/>
    </x:row>
    <x:row r="389">
      <x:c r="A389" s="226"/>
      <x:c r="B389" s="226"/>
      <x:c r="C389" s="226"/>
      <x:c r="D389" s="226"/>
      <x:c r="E389" s="226"/>
      <x:c r="F389" s="226"/>
      <x:c r="G389" s="226"/>
      <x:c r="H389" s="226"/>
      <x:c r="I389" s="226"/>
      <x:c r="J389" s="226"/>
      <x:c r="K389" s="226"/>
      <x:c r="L389" s="226"/>
      <x:c r="M389" s="226"/>
      <x:c r="N389" s="226"/>
      <x:c r="O389" s="226"/>
      <x:c r="P389" s="226"/>
      <x:c r="Q389" s="226"/>
      <x:c r="R389" s="226"/>
      <x:c r="S389" s="226"/>
      <x:c r="T389" s="226"/>
      <x:c r="U389" s="226"/>
      <x:c r="V389" s="226"/>
      <x:c r="W389" s="226"/>
      <x:c r="X389" s="226"/>
      <x:c r="Y389" s="226"/>
      <x:c r="Z389" s="226"/>
    </x:row>
    <x:row r="390">
      <x:c r="A390" s="226"/>
      <x:c r="B390" s="226"/>
      <x:c r="C390" s="226"/>
      <x:c r="D390" s="226"/>
      <x:c r="E390" s="226"/>
      <x:c r="F390" s="226"/>
      <x:c r="G390" s="226"/>
      <x:c r="H390" s="226"/>
      <x:c r="I390" s="226"/>
      <x:c r="J390" s="226"/>
      <x:c r="K390" s="226"/>
      <x:c r="L390" s="226"/>
      <x:c r="M390" s="226"/>
      <x:c r="N390" s="226"/>
      <x:c r="O390" s="226"/>
      <x:c r="P390" s="226"/>
      <x:c r="Q390" s="226"/>
      <x:c r="R390" s="226"/>
      <x:c r="S390" s="226"/>
      <x:c r="T390" s="226"/>
      <x:c r="U390" s="226"/>
      <x:c r="V390" s="226"/>
      <x:c r="W390" s="226"/>
      <x:c r="X390" s="226"/>
      <x:c r="Y390" s="226"/>
      <x:c r="Z390" s="226"/>
    </x:row>
    <x:row r="391">
      <x:c r="A391" s="226"/>
      <x:c r="B391" s="226"/>
      <x:c r="C391" s="226"/>
      <x:c r="D391" s="226"/>
      <x:c r="E391" s="226"/>
      <x:c r="F391" s="226"/>
      <x:c r="G391" s="226"/>
      <x:c r="H391" s="226"/>
      <x:c r="I391" s="226"/>
      <x:c r="J391" s="226"/>
      <x:c r="K391" s="226"/>
      <x:c r="L391" s="226"/>
      <x:c r="M391" s="226"/>
      <x:c r="N391" s="226"/>
      <x:c r="O391" s="226"/>
      <x:c r="P391" s="226"/>
      <x:c r="Q391" s="226"/>
      <x:c r="R391" s="226"/>
      <x:c r="S391" s="226"/>
      <x:c r="T391" s="226"/>
      <x:c r="U391" s="226"/>
      <x:c r="V391" s="226"/>
      <x:c r="W391" s="226"/>
      <x:c r="X391" s="226"/>
      <x:c r="Y391" s="226"/>
      <x:c r="Z391" s="226"/>
    </x:row>
    <x:row r="392">
      <x:c r="A392" s="226"/>
      <x:c r="B392" s="226"/>
      <x:c r="C392" s="226"/>
      <x:c r="D392" s="226"/>
      <x:c r="E392" s="226"/>
      <x:c r="F392" s="226"/>
      <x:c r="G392" s="226"/>
      <x:c r="H392" s="226"/>
      <x:c r="I392" s="226"/>
      <x:c r="J392" s="226"/>
      <x:c r="K392" s="226"/>
      <x:c r="L392" s="226"/>
      <x:c r="M392" s="226"/>
      <x:c r="N392" s="226"/>
      <x:c r="O392" s="226"/>
      <x:c r="P392" s="226"/>
      <x:c r="Q392" s="226"/>
      <x:c r="R392" s="226"/>
      <x:c r="S392" s="226"/>
      <x:c r="T392" s="226"/>
      <x:c r="U392" s="226"/>
      <x:c r="V392" s="226"/>
      <x:c r="W392" s="226"/>
      <x:c r="X392" s="226"/>
      <x:c r="Y392" s="226"/>
      <x:c r="Z392" s="226"/>
    </x:row>
    <x:row r="393">
      <x:c r="A393" s="226"/>
      <x:c r="B393" s="226"/>
      <x:c r="C393" s="226"/>
      <x:c r="D393" s="226"/>
      <x:c r="E393" s="226"/>
      <x:c r="F393" s="226"/>
      <x:c r="G393" s="226"/>
      <x:c r="H393" s="226"/>
      <x:c r="I393" s="226"/>
      <x:c r="J393" s="226"/>
      <x:c r="K393" s="226"/>
      <x:c r="L393" s="226"/>
      <x:c r="M393" s="226"/>
      <x:c r="N393" s="226"/>
      <x:c r="O393" s="226"/>
      <x:c r="P393" s="226"/>
      <x:c r="Q393" s="226"/>
      <x:c r="R393" s="226"/>
      <x:c r="S393" s="226"/>
      <x:c r="T393" s="226"/>
      <x:c r="U393" s="226"/>
      <x:c r="V393" s="226"/>
      <x:c r="W393" s="226"/>
      <x:c r="X393" s="226"/>
      <x:c r="Y393" s="226"/>
      <x:c r="Z393" s="226"/>
    </x:row>
    <x:row r="394">
      <x:c r="A394" s="226"/>
      <x:c r="B394" s="226"/>
      <x:c r="C394" s="226"/>
      <x:c r="D394" s="226"/>
      <x:c r="E394" s="226"/>
      <x:c r="F394" s="226"/>
      <x:c r="G394" s="226"/>
      <x:c r="H394" s="226"/>
      <x:c r="I394" s="226"/>
      <x:c r="J394" s="226"/>
      <x:c r="K394" s="226"/>
      <x:c r="L394" s="226"/>
      <x:c r="M394" s="226"/>
      <x:c r="N394" s="226"/>
      <x:c r="O394" s="226"/>
      <x:c r="P394" s="226"/>
      <x:c r="Q394" s="226"/>
      <x:c r="R394" s="226"/>
      <x:c r="S394" s="226"/>
      <x:c r="T394" s="226"/>
      <x:c r="U394" s="226"/>
      <x:c r="V394" s="226"/>
      <x:c r="W394" s="226"/>
      <x:c r="X394" s="226"/>
      <x:c r="Y394" s="226"/>
      <x:c r="Z394" s="226"/>
    </x:row>
    <x:row r="395">
      <x:c r="A395" s="226"/>
      <x:c r="B395" s="226"/>
      <x:c r="C395" s="226"/>
      <x:c r="D395" s="226"/>
      <x:c r="E395" s="226"/>
      <x:c r="F395" s="226"/>
      <x:c r="G395" s="226"/>
      <x:c r="H395" s="226"/>
      <x:c r="I395" s="226"/>
      <x:c r="J395" s="226"/>
      <x:c r="K395" s="226"/>
      <x:c r="L395" s="226"/>
      <x:c r="M395" s="226"/>
      <x:c r="N395" s="226"/>
      <x:c r="O395" s="226"/>
      <x:c r="P395" s="226"/>
      <x:c r="Q395" s="226"/>
      <x:c r="R395" s="226"/>
      <x:c r="S395" s="226"/>
      <x:c r="T395" s="226"/>
      <x:c r="U395" s="226"/>
      <x:c r="V395" s="226"/>
      <x:c r="W395" s="226"/>
      <x:c r="X395" s="226"/>
      <x:c r="Y395" s="226"/>
      <x:c r="Z395" s="226"/>
    </x:row>
    <x:row r="396">
      <x:c r="A396" s="226"/>
      <x:c r="B396" s="226"/>
      <x:c r="C396" s="226"/>
      <x:c r="D396" s="226"/>
      <x:c r="E396" s="226"/>
      <x:c r="F396" s="226"/>
      <x:c r="G396" s="226"/>
      <x:c r="H396" s="226"/>
      <x:c r="I396" s="226"/>
      <x:c r="J396" s="226"/>
      <x:c r="K396" s="226"/>
      <x:c r="L396" s="226"/>
      <x:c r="M396" s="226"/>
      <x:c r="N396" s="226"/>
      <x:c r="O396" s="226"/>
      <x:c r="P396" s="226"/>
      <x:c r="Q396" s="226"/>
      <x:c r="R396" s="226"/>
      <x:c r="S396" s="226"/>
      <x:c r="T396" s="226"/>
      <x:c r="U396" s="226"/>
      <x:c r="V396" s="226"/>
      <x:c r="W396" s="226"/>
      <x:c r="X396" s="226"/>
      <x:c r="Y396" s="226"/>
      <x:c r="Z396" s="226"/>
    </x:row>
    <x:row r="397">
      <x:c r="A397" s="226"/>
      <x:c r="B397" s="226"/>
      <x:c r="C397" s="226"/>
      <x:c r="D397" s="226"/>
      <x:c r="E397" s="226"/>
      <x:c r="F397" s="226"/>
      <x:c r="G397" s="226"/>
      <x:c r="H397" s="226"/>
      <x:c r="I397" s="226"/>
      <x:c r="J397" s="226"/>
      <x:c r="K397" s="226"/>
      <x:c r="L397" s="226"/>
      <x:c r="M397" s="226"/>
      <x:c r="N397" s="226"/>
      <x:c r="O397" s="226"/>
      <x:c r="P397" s="226"/>
      <x:c r="Q397" s="226"/>
      <x:c r="R397" s="226"/>
      <x:c r="S397" s="226"/>
      <x:c r="T397" s="226"/>
      <x:c r="U397" s="226"/>
      <x:c r="V397" s="226"/>
      <x:c r="W397" s="226"/>
      <x:c r="X397" s="226"/>
      <x:c r="Y397" s="226"/>
      <x:c r="Z397" s="226"/>
    </x:row>
    <x:row r="398">
      <x:c r="A398" s="226"/>
      <x:c r="B398" s="226"/>
      <x:c r="C398" s="226"/>
      <x:c r="D398" s="226"/>
      <x:c r="E398" s="226"/>
      <x:c r="F398" s="226"/>
      <x:c r="G398" s="226"/>
      <x:c r="H398" s="226"/>
      <x:c r="I398" s="226"/>
      <x:c r="J398" s="226"/>
      <x:c r="K398" s="226"/>
      <x:c r="L398" s="226"/>
      <x:c r="M398" s="226"/>
      <x:c r="N398" s="226"/>
      <x:c r="O398" s="226"/>
      <x:c r="P398" s="226"/>
      <x:c r="Q398" s="226"/>
      <x:c r="R398" s="226"/>
      <x:c r="S398" s="226"/>
      <x:c r="T398" s="226"/>
      <x:c r="U398" s="226"/>
      <x:c r="V398" s="226"/>
      <x:c r="W398" s="226"/>
      <x:c r="X398" s="226"/>
      <x:c r="Y398" s="226"/>
      <x:c r="Z398" s="226"/>
    </x:row>
    <x:row r="399">
      <x:c r="A399" s="226"/>
      <x:c r="B399" s="226"/>
      <x:c r="C399" s="226"/>
      <x:c r="D399" s="226"/>
      <x:c r="E399" s="226"/>
      <x:c r="F399" s="226"/>
      <x:c r="G399" s="226"/>
      <x:c r="H399" s="226"/>
      <x:c r="I399" s="226"/>
      <x:c r="J399" s="226"/>
      <x:c r="K399" s="226"/>
      <x:c r="L399" s="226"/>
      <x:c r="M399" s="226"/>
      <x:c r="N399" s="226"/>
      <x:c r="O399" s="226"/>
      <x:c r="P399" s="226"/>
      <x:c r="Q399" s="226"/>
      <x:c r="R399" s="226"/>
      <x:c r="S399" s="226"/>
      <x:c r="T399" s="226"/>
      <x:c r="U399" s="226"/>
      <x:c r="V399" s="226"/>
      <x:c r="W399" s="226"/>
      <x:c r="X399" s="226"/>
      <x:c r="Y399" s="226"/>
      <x:c r="Z399" s="226"/>
    </x:row>
    <x:row r="400">
      <x:c r="A400" s="226"/>
      <x:c r="B400" s="226"/>
      <x:c r="C400" s="226"/>
      <x:c r="D400" s="226"/>
      <x:c r="E400" s="226"/>
      <x:c r="F400" s="226"/>
      <x:c r="G400" s="226"/>
      <x:c r="H400" s="226"/>
      <x:c r="I400" s="226"/>
      <x:c r="J400" s="226"/>
      <x:c r="K400" s="226"/>
      <x:c r="L400" s="226"/>
      <x:c r="M400" s="226"/>
      <x:c r="N400" s="226"/>
      <x:c r="O400" s="226"/>
      <x:c r="P400" s="226"/>
      <x:c r="Q400" s="226"/>
      <x:c r="R400" s="226"/>
      <x:c r="S400" s="226"/>
      <x:c r="T400" s="226"/>
      <x:c r="U400" s="226"/>
      <x:c r="V400" s="226"/>
      <x:c r="W400" s="226"/>
      <x:c r="X400" s="226"/>
      <x:c r="Y400" s="226"/>
      <x:c r="Z400" s="226"/>
    </x:row>
  </x:sheetData>
  <x:mergeCells>
    <x:mergeCell ref="A1:E2"/>
    <x:mergeCell ref="A31:E3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5" hidden="0" customWidth="1"/>
    <x:col min="3" max="3" width="46" hidden="0" customWidth="1"/>
    <x:col min="4" max="4" width="54" hidden="0" customWidth="1"/>
    <x:col min="5" max="5" width="38" hidden="0" customWidth="1"/>
    <x:col min="6" max="6" width="44" hidden="0" customWidth="1"/>
    <x:col min="7" max="7" width="38" hidden="0" customWidth="1"/>
    <x:col min="8" max="8" width="50" hidden="0" customWidth="1"/>
  </x:cols>
  <x:sheetData>
    <x:row r="1">
      <x:c r="A1" s="303" t="str">
        <x:v>Recommended Delivery Plan</x:v>
      </x:c>
      <x:c r="B1" s="303"/>
      <x:c r="C1" s="303"/>
      <x:c r="D1" s="303"/>
      <x:c r="E1" s="303"/>
      <x:c r="F1" s="303"/>
      <x:c r="G1" s="303"/>
      <x:c r="H1" s="303"/>
      <x:c r="I1" s="226"/>
      <x:c r="J1" s="226"/>
      <x:c r="K1" s="226"/>
      <x:c r="L1" s="226"/>
      <x:c r="M1" s="226"/>
      <x:c r="N1" s="226"/>
      <x:c r="O1" s="226"/>
      <x:c r="P1" s="226"/>
      <x:c r="Q1" s="226"/>
      <x:c r="R1" s="226"/>
      <x:c r="S1" s="226"/>
      <x:c r="T1" s="226"/>
      <x:c r="U1" s="226"/>
      <x:c r="V1" s="226"/>
      <x:c r="W1" s="226"/>
      <x:c r="X1" s="226"/>
      <x:c r="Y1" s="226"/>
      <x:c r="Z1" s="226"/>
    </x:row>
    <x:row r="2">
      <x:c r="A2" s="303"/>
      <x:c r="B2" s="303"/>
      <x:c r="C2" s="303"/>
      <x:c r="D2" s="303"/>
      <x:c r="E2" s="303"/>
      <x:c r="F2" s="303"/>
      <x:c r="G2" s="303"/>
      <x:c r="H2" s="303"/>
      <x:c r="I2" s="226"/>
      <x:c r="J2" s="226"/>
      <x:c r="K2" s="226"/>
      <x:c r="L2" s="226"/>
      <x:c r="M2" s="226"/>
      <x:c r="N2" s="226"/>
      <x:c r="O2" s="226"/>
      <x:c r="P2" s="226"/>
      <x:c r="Q2" s="226"/>
      <x:c r="R2" s="226"/>
      <x:c r="S2" s="226"/>
      <x:c r="T2" s="226"/>
      <x:c r="U2" s="226"/>
      <x:c r="V2" s="226"/>
      <x:c r="W2" s="226"/>
      <x:c r="X2" s="226"/>
      <x:c r="Y2" s="226"/>
      <x:c r="Z2" s="226"/>
    </x:row>
    <x:row r="3">
      <x:c r="A3" s="226"/>
      <x:c r="B3" s="226"/>
      <x:c r="C3" s="226"/>
      <x:c r="D3" s="226"/>
      <x:c r="E3" s="226"/>
      <x:c r="F3" s="226"/>
      <x:c r="G3" s="226"/>
      <x:c r="H3" s="226"/>
      <x:c r="I3" s="226"/>
      <x:c r="J3" s="226"/>
      <x:c r="K3" s="226"/>
      <x:c r="L3" s="226"/>
      <x:c r="M3" s="226"/>
      <x:c r="N3" s="226"/>
      <x:c r="O3" s="226"/>
      <x:c r="P3" s="226"/>
      <x:c r="Q3" s="226"/>
      <x:c r="R3" s="226"/>
      <x:c r="S3" s="226"/>
      <x:c r="T3" s="226"/>
      <x:c r="U3" s="226"/>
      <x:c r="V3" s="226"/>
      <x:c r="W3" s="226"/>
      <x:c r="X3" s="226"/>
      <x:c r="Y3" s="226"/>
      <x:c r="Z3" s="226"/>
    </x:row>
    <x:row r="4">
      <x:c r="A4" s="301" t="str">
        <x:v>Phase</x:v>
      </x:c>
      <x:c r="B4" s="301" t="str">
        <x:v>Screen Count</x:v>
      </x:c>
      <x:c r="C4" s="301" t="str">
        <x:v>Goal</x:v>
      </x:c>
      <x:c r="D4" s="301" t="str">
        <x:v>Suggested Order</x:v>
      </x:c>
      <x:c r="E4" s="301" t="str">
        <x:v>Entry Criteria</x:v>
      </x:c>
      <x:c r="F4" s="301" t="str">
        <x:v>Exit Criteria</x:v>
      </x:c>
      <x:c r="G4" s="301" t="str">
        <x:v>Primary Users</x:v>
      </x:c>
      <x:c r="H4" s="301" t="str">
        <x:v>Design / Engineering Focus</x:v>
      </x:c>
      <x:c r="I4" s="226"/>
      <x:c r="J4" s="226"/>
      <x:c r="K4" s="226"/>
      <x:c r="L4" s="226"/>
      <x:c r="M4" s="226"/>
      <x:c r="N4" s="226"/>
      <x:c r="O4" s="226"/>
      <x:c r="P4" s="226"/>
      <x:c r="Q4" s="226"/>
      <x:c r="R4" s="226"/>
      <x:c r="S4" s="226"/>
      <x:c r="T4" s="226"/>
      <x:c r="U4" s="226"/>
      <x:c r="V4" s="226"/>
      <x:c r="W4" s="226"/>
      <x:c r="X4" s="226"/>
      <x:c r="Y4" s="226"/>
      <x:c r="Z4" s="226"/>
    </x:row>
    <x:row r="5">
      <x:c r="A5" s="293" t="str">
        <x:v>MVP</x:v>
      </x:c>
      <x:c r="B5" s="285" t="n">
        <x:f>COUNTIF('Master Screens'!K$2:K$296,"MVP")</x:f>
        <x:v>100</x:v>
      </x:c>
      <x:c r="C5" s="285" t="str">
        <x:v>Run the core school lifecycle from setup and admission through academics, attendance, exams, fees and essential communication.</x:v>
      </x:c>
      <x:c r="D5" s="285" t="str">
        <x:v>Foundation → Auth → School Setup → Students/Staff → Admissions → Academics → Attendance → Homework → Exams → Fees → Core Reports</x:v>
      </x:c>
      <x:c r="E5" s="285" t="str">
        <x:v>Approved product scope, roles, academic structure and core data model.</x:v>
      </x:c>
      <x:c r="F5" s="285" t="str">
        <x:v>Core journeys pass UAT; role access works; responsive UI; no critical workflow gaps.</x:v>
      </x:c>
      <x:c r="G5" s="285" t="str">
        <x:v>School Admin, Principal, Teacher, Student, Parent, Admission, Accountant</x:v>
      </x:c>
      <x:c r="H5" s="285" t="str">
        <x:v>Reusable shell, sidebar, dashboard patterns, tables, forms, profiles, approvals.</x:v>
      </x:c>
      <x:c r="I5" s="226"/>
      <x:c r="J5" s="226"/>
      <x:c r="K5" s="226"/>
      <x:c r="L5" s="226"/>
      <x:c r="M5" s="226"/>
      <x:c r="N5" s="226"/>
      <x:c r="O5" s="226"/>
      <x:c r="P5" s="226"/>
      <x:c r="Q5" s="226"/>
      <x:c r="R5" s="226"/>
      <x:c r="S5" s="226"/>
      <x:c r="T5" s="226"/>
      <x:c r="U5" s="226"/>
      <x:c r="V5" s="226"/>
      <x:c r="W5" s="226"/>
      <x:c r="X5" s="226"/>
      <x:c r="Y5" s="226"/>
      <x:c r="Z5" s="226"/>
    </x:row>
    <x:row r="6">
      <x:c r="A6" s="294" t="str">
        <x:v>Phase 2</x:v>
      </x:c>
      <x:c r="B6" s="285" t="n">
        <x:f>COUNTIF('Master Screens'!K$2:K$296,"Phase 2")</x:f>
        <x:v>92</x:v>
      </x:c>
      <x:c r="C6" s="285" t="str">
        <x:v>Expand operations into HR, transport, library, security, inventory and advanced workflow automation.</x:v>
      </x:c>
      <x:c r="D6" s="285" t="str">
        <x:v>HR → Transport → Library → Security → Inventory → Advanced Communication → Extended Reports</x:v>
      </x:c>
      <x:c r="E6" s="285" t="str">
        <x:v>Stable MVP, production feedback, integrations clarified.</x:v>
      </x:c>
      <x:c r="F6" s="285" t="str">
        <x:v>Department workflows complete; reporting and integrations validated.</x:v>
      </x:c>
      <x:c r="G6" s="285" t="str">
        <x:v>HR, Transport, Librarian, Security, Store/Lab teams plus existing users</x:v>
      </x:c>
      <x:c r="H6" s="285" t="str">
        <x:v>Operational speed, bulk actions, device/GPS/payment integration readiness.</x:v>
      </x:c>
      <x:c r="I6" s="226"/>
      <x:c r="J6" s="226"/>
      <x:c r="K6" s="226"/>
      <x:c r="L6" s="226"/>
      <x:c r="M6" s="226"/>
      <x:c r="N6" s="226"/>
      <x:c r="O6" s="226"/>
      <x:c r="P6" s="226"/>
      <x:c r="Q6" s="226"/>
      <x:c r="R6" s="226"/>
      <x:c r="S6" s="226"/>
      <x:c r="T6" s="226"/>
      <x:c r="U6" s="226"/>
      <x:c r="V6" s="226"/>
      <x:c r="W6" s="226"/>
      <x:c r="X6" s="226"/>
      <x:c r="Y6" s="226"/>
      <x:c r="Z6" s="226"/>
    </x:row>
    <x:row r="7">
      <x:c r="A7" s="295" t="str">
        <x:v>Phase 3</x:v>
      </x:c>
      <x:c r="B7" s="286" t="n">
        <x:f>COUNTIF('Master Screens'!K$2:K$296,"Phase 3")</x:f>
        <x:v>103</x:v>
      </x:c>
      <x:c r="C7" s="286" t="str">
        <x:v>Add hostel, health/counselling, advanced analytics and other enterprise enhancements.</x:v>
      </x:c>
      <x:c r="D7" s="286" t="str">
        <x:v>Hostel → Health/Counselling → Advanced Reports → Custom Reporting / Optimization</x:v>
      </x:c>
      <x:c r="E7" s="286" t="str">
        <x:v>Phase 2 adoption, privacy/access requirements finalized.</x:v>
      </x:c>
      <x:c r="F7" s="286" t="str">
        <x:v>Optional enterprise modules accepted with strict access controls and auditability.</x:v>
      </x:c>
      <x:c r="G7" s="286" t="str">
        <x:v>Hostel Warden, Nurse, Counsellor, Leadership</x:v>
      </x:c>
      <x:c r="H7" s="286" t="str">
        <x:v>Sensitive-data UX, analytics depth, exception workflows, enterprise controls.</x:v>
      </x:c>
      <x:c r="I7" s="226"/>
      <x:c r="J7" s="226"/>
      <x:c r="K7" s="226"/>
      <x:c r="L7" s="226"/>
      <x:c r="M7" s="226"/>
      <x:c r="N7" s="226"/>
      <x:c r="O7" s="226"/>
      <x:c r="P7" s="226"/>
      <x:c r="Q7" s="226"/>
      <x:c r="R7" s="226"/>
      <x:c r="S7" s="226"/>
      <x:c r="T7" s="226"/>
      <x:c r="U7" s="226"/>
      <x:c r="V7" s="226"/>
      <x:c r="W7" s="226"/>
      <x:c r="X7" s="226"/>
      <x:c r="Y7" s="226"/>
      <x:c r="Z7" s="226"/>
    </x:row>
    <x:row r="8">
      <x:c r="A8" s="226"/>
      <x:c r="B8" s="226"/>
      <x:c r="C8" s="226"/>
      <x:c r="D8" s="226"/>
      <x:c r="E8" s="226"/>
      <x:c r="F8" s="226"/>
      <x:c r="G8" s="226"/>
      <x:c r="H8" s="226"/>
      <x:c r="I8" s="226"/>
      <x:c r="J8" s="226"/>
      <x:c r="K8" s="226"/>
      <x:c r="L8" s="226"/>
      <x:c r="M8" s="226"/>
      <x:c r="N8" s="226"/>
      <x:c r="O8" s="226"/>
      <x:c r="P8" s="226"/>
      <x:c r="Q8" s="226"/>
      <x:c r="R8" s="226"/>
      <x:c r="S8" s="226"/>
      <x:c r="T8" s="226"/>
      <x:c r="U8" s="226"/>
      <x:c r="V8" s="226"/>
      <x:c r="W8" s="226"/>
      <x:c r="X8" s="226"/>
      <x:c r="Y8" s="226"/>
      <x:c r="Z8" s="226"/>
    </x:row>
    <x:row r="9">
      <x:c r="A9" s="226"/>
      <x:c r="B9" s="226"/>
      <x:c r="C9" s="226"/>
      <x:c r="D9" s="226"/>
      <x:c r="E9" s="226"/>
      <x:c r="F9" s="226"/>
      <x:c r="G9" s="226"/>
      <x:c r="H9" s="226"/>
      <x:c r="I9" s="226"/>
      <x:c r="J9" s="226"/>
      <x:c r="K9" s="226"/>
      <x:c r="L9" s="226"/>
      <x:c r="M9" s="226"/>
      <x:c r="N9" s="226"/>
      <x:c r="O9" s="226"/>
      <x:c r="P9" s="226"/>
      <x:c r="Q9" s="226"/>
      <x:c r="R9" s="226"/>
      <x:c r="S9" s="226"/>
      <x:c r="T9" s="226"/>
      <x:c r="U9" s="226"/>
      <x:c r="V9" s="226"/>
      <x:c r="W9" s="226"/>
      <x:c r="X9" s="226"/>
      <x:c r="Y9" s="226"/>
      <x:c r="Z9" s="226"/>
    </x:row>
    <x:row r="10">
      <x:c r="A10" s="301" t="str">
        <x:v>Reusable UI Pattern</x:v>
      </x:c>
      <x:c r="B10" s="301" t="str">
        <x:v>Used For</x:v>
      </x:c>
      <x:c r="C10" s="301" t="str">
        <x:v>Core Components</x:v>
      </x:c>
      <x:c r="D10" s="301" t="str">
        <x:v>Design Direction</x:v>
      </x:c>
      <x:c r="E10" s="226"/>
      <x:c r="F10" s="226"/>
      <x:c r="G10" s="226"/>
      <x:c r="H10" s="226"/>
      <x:c r="I10" s="226"/>
      <x:c r="J10" s="226"/>
      <x:c r="K10" s="226"/>
      <x:c r="L10" s="226"/>
      <x:c r="M10" s="226"/>
      <x:c r="N10" s="226"/>
      <x:c r="O10" s="226"/>
      <x:c r="P10" s="226"/>
      <x:c r="Q10" s="226"/>
      <x:c r="R10" s="226"/>
      <x:c r="S10" s="226"/>
      <x:c r="T10" s="226"/>
      <x:c r="U10" s="226"/>
      <x:c r="V10" s="226"/>
      <x:c r="W10" s="226"/>
      <x:c r="X10" s="226"/>
      <x:c r="Y10" s="226"/>
      <x:c r="Z10" s="226"/>
    </x:row>
    <x:row r="11">
      <x:c r="A11" s="249" t="str">
        <x:v>Dashboard + KPI Cards</x:v>
      </x:c>
      <x:c r="B11" s="249" t="str">
        <x:v>Role dashboards and module dashboards</x:v>
      </x:c>
      <x:c r="C11" s="249" t="str">
        <x:v>KPI cards, alerts, charts, quick actions, recent activity</x:v>
      </x:c>
      <x:c r="D11" s="249" t="str">
        <x:v>Bright but controlled accents; no excessive card clutter</x:v>
      </x:c>
      <x:c r="E11" s="226"/>
      <x:c r="F11" s="226"/>
      <x:c r="G11" s="226"/>
      <x:c r="H11" s="226"/>
      <x:c r="I11" s="226"/>
      <x:c r="J11" s="226"/>
      <x:c r="K11" s="226"/>
      <x:c r="L11" s="226"/>
      <x:c r="M11" s="226"/>
      <x:c r="N11" s="226"/>
      <x:c r="O11" s="226"/>
      <x:c r="P11" s="226"/>
      <x:c r="Q11" s="226"/>
      <x:c r="R11" s="226"/>
      <x:c r="S11" s="226"/>
      <x:c r="T11" s="226"/>
      <x:c r="U11" s="226"/>
      <x:c r="V11" s="226"/>
      <x:c r="W11" s="226"/>
      <x:c r="X11" s="226"/>
      <x:c r="Y11" s="226"/>
      <x:c r="Z11" s="226"/>
    </x:row>
    <x:row r="12">
      <x:c r="A12" s="249" t="str">
        <x:v>Search + Filter + Data Table</x:v>
      </x:c>
      <x:c r="B12" s="249" t="str">
        <x:v>Directories, lists, masters</x:v>
      </x:c>
      <x:c r="C12" s="249" t="str">
        <x:v>Search, dropdown filters, table, status, action menu, pagination</x:v>
      </x:c>
      <x:c r="D12" s="249" t="str">
        <x:v>Compact, readable, sticky header where useful</x:v>
      </x:c>
      <x:c r="E12" s="226"/>
      <x:c r="F12" s="226"/>
      <x:c r="G12" s="226"/>
      <x:c r="H12" s="226"/>
      <x:c r="I12" s="226"/>
      <x:c r="J12" s="226"/>
      <x:c r="K12" s="226"/>
      <x:c r="L12" s="226"/>
      <x:c r="M12" s="226"/>
      <x:c r="N12" s="226"/>
      <x:c r="O12" s="226"/>
      <x:c r="P12" s="226"/>
      <x:c r="Q12" s="226"/>
      <x:c r="R12" s="226"/>
      <x:c r="S12" s="226"/>
      <x:c r="T12" s="226"/>
      <x:c r="U12" s="226"/>
      <x:c r="V12" s="226"/>
      <x:c r="W12" s="226"/>
      <x:c r="X12" s="226"/>
      <x:c r="Y12" s="226"/>
      <x:c r="Z12" s="226"/>
    </x:row>
    <x:row r="13">
      <x:c r="A13" s="249" t="str">
        <x:v>Profile / Detail + Tabs</x:v>
      </x:c>
      <x:c r="B13" s="249" t="str">
        <x:v>Student, staff, parent, asset, vehicle records</x:v>
      </x:c>
      <x:c r="C13" s="249" t="str">
        <x:v>Profile header, summary, tabs, timeline, actions</x:v>
      </x:c>
      <x:c r="D13" s="249" t="str">
        <x:v>Strong hierarchy; avoid card-inside-card layouts</x:v>
      </x:c>
      <x:c r="E13" s="226"/>
      <x:c r="F13" s="226"/>
      <x:c r="G13" s="226"/>
      <x:c r="H13" s="226"/>
      <x:c r="I13" s="226"/>
      <x:c r="J13" s="226"/>
      <x:c r="K13" s="226"/>
      <x:c r="L13" s="226"/>
      <x:c r="M13" s="226"/>
      <x:c r="N13" s="226"/>
      <x:c r="O13" s="226"/>
      <x:c r="P13" s="226"/>
      <x:c r="Q13" s="226"/>
      <x:c r="R13" s="226"/>
      <x:c r="S13" s="226"/>
      <x:c r="T13" s="226"/>
      <x:c r="U13" s="226"/>
      <x:c r="V13" s="226"/>
      <x:c r="W13" s="226"/>
      <x:c r="X13" s="226"/>
      <x:c r="Y13" s="226"/>
      <x:c r="Z13" s="226"/>
    </x:row>
    <x:row r="14">
      <x:c r="A14" s="249" t="str">
        <x:v>Form / Wizard</x:v>
      </x:c>
      <x:c r="B14" s="249" t="str">
        <x:v>Admissions, student/staff create, setup</x:v>
      </x:c>
      <x:c r="C14" s="249" t="str">
        <x:v>Grouped fields, dropdowns, validations, stepper when needed</x:v>
      </x:c>
      <x:c r="D14" s="249" t="str">
        <x:v>44–48px controls; clear sections; minimal wasted space</x:v>
      </x:c>
      <x:c r="E14" s="226"/>
      <x:c r="F14" s="226"/>
      <x:c r="G14" s="226"/>
      <x:c r="H14" s="226"/>
      <x:c r="I14" s="226"/>
      <x:c r="J14" s="226"/>
      <x:c r="K14" s="226"/>
      <x:c r="L14" s="226"/>
      <x:c r="M14" s="226"/>
      <x:c r="N14" s="226"/>
      <x:c r="O14" s="226"/>
      <x:c r="P14" s="226"/>
      <x:c r="Q14" s="226"/>
      <x:c r="R14" s="226"/>
      <x:c r="S14" s="226"/>
      <x:c r="T14" s="226"/>
      <x:c r="U14" s="226"/>
      <x:c r="V14" s="226"/>
      <x:c r="W14" s="226"/>
      <x:c r="X14" s="226"/>
      <x:c r="Y14" s="226"/>
      <x:c r="Z14" s="226"/>
    </x:row>
    <x:row r="15">
      <x:c r="A15" s="249" t="str">
        <x:v>Calendar / Schedule</x:v>
      </x:c>
      <x:c r="B15" s="249" t="str">
        <x:v>Timetable, events, exams, interviews, PTM</x:v>
      </x:c>
      <x:c r="C15" s="249" t="str">
        <x:v>Calendar, day/week view, filters, assignment drawer</x:v>
      </x:c>
      <x:c r="D15" s="249" t="str">
        <x:v>Clear time hierarchy and conflict states</x:v>
      </x:c>
      <x:c r="E15" s="226"/>
      <x:c r="F15" s="226"/>
      <x:c r="G15" s="226"/>
      <x:c r="H15" s="226"/>
      <x:c r="I15" s="226"/>
      <x:c r="J15" s="226"/>
      <x:c r="K15" s="226"/>
      <x:c r="L15" s="226"/>
      <x:c r="M15" s="226"/>
      <x:c r="N15" s="226"/>
      <x:c r="O15" s="226"/>
      <x:c r="P15" s="226"/>
      <x:c r="Q15" s="226"/>
      <x:c r="R15" s="226"/>
      <x:c r="S15" s="226"/>
      <x:c r="T15" s="226"/>
      <x:c r="U15" s="226"/>
      <x:c r="V15" s="226"/>
      <x:c r="W15" s="226"/>
      <x:c r="X15" s="226"/>
      <x:c r="Y15" s="226"/>
      <x:c r="Z15" s="226"/>
    </x:row>
    <x:row r="16">
      <x:c r="A16" s="249" t="str">
        <x:v>Workflow / Approval / Detail</x:v>
      </x:c>
      <x:c r="B16" s="249" t="str">
        <x:v>Admissions, leave, verification, approvals</x:v>
      </x:c>
      <x:c r="C16" s="249" t="str">
        <x:v>Status stepper, detail, comments, approve/reject actions</x:v>
      </x:c>
      <x:c r="D16" s="249" t="str">
        <x:v>Prominent current status and audit trail</x:v>
      </x:c>
      <x:c r="E16" s="226"/>
      <x:c r="F16" s="226"/>
      <x:c r="G16" s="226"/>
      <x:c r="H16" s="226"/>
      <x:c r="I16" s="226"/>
      <x:c r="J16" s="226"/>
      <x:c r="K16" s="226"/>
      <x:c r="L16" s="226"/>
      <x:c r="M16" s="226"/>
      <x:c r="N16" s="226"/>
      <x:c r="O16" s="226"/>
      <x:c r="P16" s="226"/>
      <x:c r="Q16" s="226"/>
      <x:c r="R16" s="226"/>
      <x:c r="S16" s="226"/>
      <x:c r="T16" s="226"/>
      <x:c r="U16" s="226"/>
      <x:c r="V16" s="226"/>
      <x:c r="W16" s="226"/>
      <x:c r="X16" s="226"/>
      <x:c r="Y16" s="226"/>
      <x:c r="Z16" s="226"/>
    </x:row>
    <x:row r="17">
      <x:c r="A17" s="249" t="str">
        <x:v>Filters + KPI + Table / Chart</x:v>
      </x:c>
      <x:c r="B17" s="249" t="str">
        <x:v>Reports &amp; analytics</x:v>
      </x:c>
      <x:c r="C17" s="249" t="str">
        <x:v>Filter bar, KPI summary, chart, table, export</x:v>
      </x:c>
      <x:c r="D17" s="249" t="str">
        <x:v>Data-first, printable, avoid decorative charts</x:v>
      </x:c>
      <x:c r="E17" s="226"/>
      <x:c r="F17" s="226"/>
      <x:c r="G17" s="226"/>
      <x:c r="H17" s="226"/>
      <x:c r="I17" s="226"/>
      <x:c r="J17" s="226"/>
      <x:c r="K17" s="226"/>
      <x:c r="L17" s="226"/>
      <x:c r="M17" s="226"/>
      <x:c r="N17" s="226"/>
      <x:c r="O17" s="226"/>
      <x:c r="P17" s="226"/>
      <x:c r="Q17" s="226"/>
      <x:c r="R17" s="226"/>
      <x:c r="S17" s="226"/>
      <x:c r="T17" s="226"/>
      <x:c r="U17" s="226"/>
      <x:c r="V17" s="226"/>
      <x:c r="W17" s="226"/>
      <x:c r="X17" s="226"/>
      <x:c r="Y17" s="226"/>
      <x:c r="Z17" s="226"/>
    </x:row>
    <x:row r="18">
      <x:c r="A18" s="252" t="str">
        <x:v>Settings / Master Data</x:v>
      </x:c>
      <x:c r="B18" s="252" t="str">
        <x:v>Configuration, roles, policies</x:v>
      </x:c>
      <x:c r="C18" s="252" t="str">
        <x:v>Tabs, compact forms, toggles, lists</x:v>
      </x:c>
      <x:c r="D18" s="252" t="str">
        <x:v>Stable, predictable, permission-aware</x:v>
      </x:c>
      <x:c r="E18" s="226"/>
      <x:c r="F18" s="226"/>
      <x:c r="G18" s="226"/>
      <x:c r="H18" s="226"/>
      <x:c r="I18" s="226"/>
      <x:c r="J18" s="226"/>
      <x:c r="K18" s="226"/>
      <x:c r="L18" s="226"/>
      <x:c r="M18" s="226"/>
      <x:c r="N18" s="226"/>
      <x:c r="O18" s="226"/>
      <x:c r="P18" s="226"/>
      <x:c r="Q18" s="226"/>
      <x:c r="R18" s="226"/>
      <x:c r="S18" s="226"/>
      <x:c r="T18" s="226"/>
      <x:c r="U18" s="226"/>
      <x:c r="V18" s="226"/>
      <x:c r="W18" s="226"/>
      <x:c r="X18" s="226"/>
      <x:c r="Y18" s="226"/>
      <x:c r="Z18" s="226"/>
    </x:row>
    <x:row r="19">
      <x:c r="A19" s="226"/>
      <x:c r="B19" s="226"/>
      <x:c r="C19" s="226"/>
      <x:c r="D19" s="226"/>
      <x:c r="E19" s="226"/>
      <x:c r="F19" s="226"/>
      <x:c r="G19" s="226"/>
      <x:c r="H19" s="226"/>
      <x:c r="I19" s="226"/>
      <x:c r="J19" s="226"/>
      <x:c r="K19" s="226"/>
      <x:c r="L19" s="226"/>
      <x:c r="M19" s="226"/>
      <x:c r="N19" s="226"/>
      <x:c r="O19" s="226"/>
      <x:c r="P19" s="226"/>
      <x:c r="Q19" s="226"/>
      <x:c r="R19" s="226"/>
      <x:c r="S19" s="226"/>
      <x:c r="T19" s="226"/>
      <x:c r="U19" s="226"/>
      <x:c r="V19" s="226"/>
      <x:c r="W19" s="226"/>
      <x:c r="X19" s="226"/>
      <x:c r="Y19" s="226"/>
      <x:c r="Z19" s="226"/>
    </x:row>
    <x:row r="20">
      <x:c r="A20" s="226"/>
      <x:c r="B20" s="226"/>
      <x:c r="C20" s="226"/>
      <x:c r="D20" s="226"/>
      <x:c r="E20" s="226"/>
      <x:c r="F20" s="226"/>
      <x:c r="G20" s="226"/>
      <x:c r="H20" s="226"/>
      <x:c r="I20" s="226"/>
      <x:c r="J20" s="226"/>
      <x:c r="K20" s="226"/>
      <x:c r="L20" s="226"/>
      <x:c r="M20" s="226"/>
      <x:c r="N20" s="226"/>
      <x:c r="O20" s="226"/>
      <x:c r="P20" s="226"/>
      <x:c r="Q20" s="226"/>
      <x:c r="R20" s="226"/>
      <x:c r="S20" s="226"/>
      <x:c r="T20" s="226"/>
      <x:c r="U20" s="226"/>
      <x:c r="V20" s="226"/>
      <x:c r="W20" s="226"/>
      <x:c r="X20" s="226"/>
      <x:c r="Y20" s="226"/>
      <x:c r="Z20" s="226"/>
    </x:row>
    <x:row r="21">
      <x:c r="A21" s="226"/>
      <x:c r="B21" s="226"/>
      <x:c r="C21" s="226"/>
      <x:c r="D21" s="226"/>
      <x:c r="E21" s="226"/>
      <x:c r="F21" s="226"/>
      <x:c r="G21" s="226"/>
      <x:c r="H21" s="226"/>
      <x:c r="I21" s="226"/>
      <x:c r="J21" s="226"/>
      <x:c r="K21" s="226"/>
      <x:c r="L21" s="226"/>
      <x:c r="M21" s="226"/>
      <x:c r="N21" s="226"/>
      <x:c r="O21" s="226"/>
      <x:c r="P21" s="226"/>
      <x:c r="Q21" s="226"/>
      <x:c r="R21" s="226"/>
      <x:c r="S21" s="226"/>
      <x:c r="T21" s="226"/>
      <x:c r="U21" s="226"/>
      <x:c r="V21" s="226"/>
      <x:c r="W21" s="226"/>
      <x:c r="X21" s="226"/>
      <x:c r="Y21" s="226"/>
      <x:c r="Z21" s="226"/>
    </x:row>
    <x:row r="22">
      <x:c r="A22" s="226"/>
      <x:c r="B22" s="226"/>
      <x:c r="C22" s="226"/>
      <x:c r="D22" s="226"/>
      <x:c r="E22" s="226"/>
      <x:c r="F22" s="226"/>
      <x:c r="G22" s="226"/>
      <x:c r="H22" s="226"/>
      <x:c r="I22" s="226"/>
      <x:c r="J22" s="226"/>
      <x:c r="K22" s="226"/>
      <x:c r="L22" s="226"/>
      <x:c r="M22" s="226"/>
      <x:c r="N22" s="226"/>
      <x:c r="O22" s="226"/>
      <x:c r="P22" s="226"/>
      <x:c r="Q22" s="226"/>
      <x:c r="R22" s="226"/>
      <x:c r="S22" s="226"/>
      <x:c r="T22" s="226"/>
      <x:c r="U22" s="226"/>
      <x:c r="V22" s="226"/>
      <x:c r="W22" s="226"/>
      <x:c r="X22" s="226"/>
      <x:c r="Y22" s="226"/>
      <x:c r="Z22" s="226"/>
    </x:row>
    <x:row r="23">
      <x:c r="A23" s="226"/>
      <x:c r="B23" s="226"/>
      <x:c r="C23" s="226"/>
      <x:c r="D23" s="226"/>
      <x:c r="E23" s="226"/>
      <x:c r="F23" s="226"/>
      <x:c r="G23" s="226"/>
      <x:c r="H23" s="226"/>
      <x:c r="I23" s="226"/>
      <x:c r="J23" s="226"/>
      <x:c r="K23" s="226"/>
      <x:c r="L23" s="226"/>
      <x:c r="M23" s="226"/>
      <x:c r="N23" s="226"/>
      <x:c r="O23" s="226"/>
      <x:c r="P23" s="226"/>
      <x:c r="Q23" s="226"/>
      <x:c r="R23" s="226"/>
      <x:c r="S23" s="226"/>
      <x:c r="T23" s="226"/>
      <x:c r="U23" s="226"/>
      <x:c r="V23" s="226"/>
      <x:c r="W23" s="226"/>
      <x:c r="X23" s="226"/>
      <x:c r="Y23" s="226"/>
      <x:c r="Z23" s="226"/>
    </x:row>
    <x:row r="24">
      <x:c r="A24" s="226"/>
      <x:c r="B24" s="226"/>
      <x:c r="C24" s="226"/>
      <x:c r="D24" s="226"/>
      <x:c r="E24" s="226"/>
      <x:c r="F24" s="226"/>
      <x:c r="G24" s="226"/>
      <x:c r="H24" s="226"/>
      <x:c r="I24" s="226"/>
      <x:c r="J24" s="226"/>
      <x:c r="K24" s="226"/>
      <x:c r="L24" s="226"/>
      <x:c r="M24" s="226"/>
      <x:c r="N24" s="226"/>
      <x:c r="O24" s="226"/>
      <x:c r="P24" s="226"/>
      <x:c r="Q24" s="226"/>
      <x:c r="R24" s="226"/>
      <x:c r="S24" s="226"/>
      <x:c r="T24" s="226"/>
      <x:c r="U24" s="226"/>
      <x:c r="V24" s="226"/>
      <x:c r="W24" s="226"/>
      <x:c r="X24" s="226"/>
      <x:c r="Y24" s="226"/>
      <x:c r="Z24" s="226"/>
    </x:row>
    <x:row r="25">
      <x:c r="A25" s="226"/>
      <x:c r="B25" s="226"/>
      <x:c r="C25" s="226"/>
      <x:c r="D25" s="226"/>
      <x:c r="E25" s="226"/>
      <x:c r="F25" s="226"/>
      <x:c r="G25" s="226"/>
      <x:c r="H25" s="226"/>
      <x:c r="I25" s="226"/>
      <x:c r="J25" s="226"/>
      <x:c r="K25" s="226"/>
      <x:c r="L25" s="226"/>
      <x:c r="M25" s="226"/>
      <x:c r="N25" s="226"/>
      <x:c r="O25" s="226"/>
      <x:c r="P25" s="226"/>
      <x:c r="Q25" s="226"/>
      <x:c r="R25" s="226"/>
      <x:c r="S25" s="226"/>
      <x:c r="T25" s="226"/>
      <x:c r="U25" s="226"/>
      <x:c r="V25" s="226"/>
      <x:c r="W25" s="226"/>
      <x:c r="X25" s="226"/>
      <x:c r="Y25" s="226"/>
      <x:c r="Z25" s="226"/>
    </x:row>
    <x:row r="26">
      <x:c r="A26" s="226"/>
      <x:c r="B26" s="226"/>
      <x:c r="C26" s="226"/>
      <x:c r="D26" s="226"/>
      <x:c r="E26" s="226"/>
      <x:c r="F26" s="226"/>
      <x:c r="G26" s="226"/>
      <x:c r="H26" s="226"/>
      <x:c r="I26" s="226"/>
      <x:c r="J26" s="226"/>
      <x:c r="K26" s="226"/>
      <x:c r="L26" s="226"/>
      <x:c r="M26" s="226"/>
      <x:c r="N26" s="226"/>
      <x:c r="O26" s="226"/>
      <x:c r="P26" s="226"/>
      <x:c r="Q26" s="226"/>
      <x:c r="R26" s="226"/>
      <x:c r="S26" s="226"/>
      <x:c r="T26" s="226"/>
      <x:c r="U26" s="226"/>
      <x:c r="V26" s="226"/>
      <x:c r="W26" s="226"/>
      <x:c r="X26" s="226"/>
      <x:c r="Y26" s="226"/>
      <x:c r="Z26" s="226"/>
    </x:row>
    <x:row r="27">
      <x:c r="A27" s="226"/>
      <x:c r="B27" s="226"/>
      <x:c r="C27" s="226"/>
      <x:c r="D27" s="226"/>
      <x:c r="E27" s="226"/>
      <x:c r="F27" s="226"/>
      <x:c r="G27" s="226"/>
      <x:c r="H27" s="226"/>
      <x:c r="I27" s="226"/>
      <x:c r="J27" s="226"/>
      <x:c r="K27" s="226"/>
      <x:c r="L27" s="226"/>
      <x:c r="M27" s="226"/>
      <x:c r="N27" s="226"/>
      <x:c r="O27" s="226"/>
      <x:c r="P27" s="226"/>
      <x:c r="Q27" s="226"/>
      <x:c r="R27" s="226"/>
      <x:c r="S27" s="226"/>
      <x:c r="T27" s="226"/>
      <x:c r="U27" s="226"/>
      <x:c r="V27" s="226"/>
      <x:c r="W27" s="226"/>
      <x:c r="X27" s="226"/>
      <x:c r="Y27" s="226"/>
      <x:c r="Z27" s="226"/>
    </x:row>
    <x:row r="28">
      <x:c r="A28" s="226"/>
      <x:c r="B28" s="226"/>
      <x:c r="C28" s="226"/>
      <x:c r="D28" s="226"/>
      <x:c r="E28" s="226"/>
      <x:c r="F28" s="226"/>
      <x:c r="G28" s="226"/>
      <x:c r="H28" s="226"/>
      <x:c r="I28" s="226"/>
      <x:c r="J28" s="226"/>
      <x:c r="K28" s="226"/>
      <x:c r="L28" s="226"/>
      <x:c r="M28" s="226"/>
      <x:c r="N28" s="226"/>
      <x:c r="O28" s="226"/>
      <x:c r="P28" s="226"/>
      <x:c r="Q28" s="226"/>
      <x:c r="R28" s="226"/>
      <x:c r="S28" s="226"/>
      <x:c r="T28" s="226"/>
      <x:c r="U28" s="226"/>
      <x:c r="V28" s="226"/>
      <x:c r="W28" s="226"/>
      <x:c r="X28" s="226"/>
      <x:c r="Y28" s="226"/>
      <x:c r="Z28" s="226"/>
    </x:row>
    <x:row r="29">
      <x:c r="A29" s="226"/>
      <x:c r="B29" s="226"/>
      <x:c r="C29" s="226"/>
      <x:c r="D29" s="226"/>
      <x:c r="E29" s="226"/>
      <x:c r="F29" s="226"/>
      <x:c r="G29" s="226"/>
      <x:c r="H29" s="226"/>
      <x:c r="I29" s="226"/>
      <x:c r="J29" s="226"/>
      <x:c r="K29" s="226"/>
      <x:c r="L29" s="226"/>
      <x:c r="M29" s="226"/>
      <x:c r="N29" s="226"/>
      <x:c r="O29" s="226"/>
      <x:c r="P29" s="226"/>
      <x:c r="Q29" s="226"/>
      <x:c r="R29" s="226"/>
      <x:c r="S29" s="226"/>
      <x:c r="T29" s="226"/>
      <x:c r="U29" s="226"/>
      <x:c r="V29" s="226"/>
      <x:c r="W29" s="226"/>
      <x:c r="X29" s="226"/>
      <x:c r="Y29" s="226"/>
      <x:c r="Z29" s="226"/>
    </x:row>
    <x:row r="30">
      <x:c r="A30" s="226"/>
      <x:c r="B30" s="226"/>
      <x:c r="C30" s="226"/>
      <x:c r="D30" s="226"/>
      <x:c r="E30" s="226"/>
      <x:c r="F30" s="226"/>
      <x:c r="G30" s="226"/>
      <x:c r="H30" s="226"/>
      <x:c r="I30" s="226"/>
      <x:c r="J30" s="226"/>
      <x:c r="K30" s="226"/>
      <x:c r="L30" s="226"/>
      <x:c r="M30" s="226"/>
      <x:c r="N30" s="226"/>
      <x:c r="O30" s="226"/>
      <x:c r="P30" s="226"/>
      <x:c r="Q30" s="226"/>
      <x:c r="R30" s="226"/>
      <x:c r="S30" s="226"/>
      <x:c r="T30" s="226"/>
      <x:c r="U30" s="226"/>
      <x:c r="V30" s="226"/>
      <x:c r="W30" s="226"/>
      <x:c r="X30" s="226"/>
      <x:c r="Y30" s="226"/>
      <x:c r="Z30" s="226"/>
    </x:row>
    <x:row r="31">
      <x:c r="A31" s="226"/>
      <x:c r="B31" s="226"/>
      <x:c r="C31" s="226"/>
      <x:c r="D31" s="226"/>
      <x:c r="E31" s="226"/>
      <x:c r="F31" s="226"/>
      <x:c r="G31" s="226"/>
      <x:c r="H31" s="226"/>
      <x:c r="I31" s="226"/>
      <x:c r="J31" s="226"/>
      <x:c r="K31" s="226"/>
      <x:c r="L31" s="226"/>
      <x:c r="M31" s="226"/>
      <x:c r="N31" s="226"/>
      <x:c r="O31" s="226"/>
      <x:c r="P31" s="226"/>
      <x:c r="Q31" s="226"/>
      <x:c r="R31" s="226"/>
      <x:c r="S31" s="226"/>
      <x:c r="T31" s="226"/>
      <x:c r="U31" s="226"/>
      <x:c r="V31" s="226"/>
      <x:c r="W31" s="226"/>
      <x:c r="X31" s="226"/>
      <x:c r="Y31" s="226"/>
      <x:c r="Z31" s="226"/>
    </x:row>
    <x:row r="32">
      <x:c r="A32" s="226"/>
      <x:c r="B32" s="226"/>
      <x:c r="C32" s="226"/>
      <x:c r="D32" s="226"/>
      <x:c r="E32" s="226"/>
      <x:c r="F32" s="226"/>
      <x:c r="G32" s="226"/>
      <x:c r="H32" s="226"/>
      <x:c r="I32" s="226"/>
      <x:c r="J32" s="226"/>
      <x:c r="K32" s="226"/>
      <x:c r="L32" s="226"/>
      <x:c r="M32" s="226"/>
      <x:c r="N32" s="226"/>
      <x:c r="O32" s="226"/>
      <x:c r="P32" s="226"/>
      <x:c r="Q32" s="226"/>
      <x:c r="R32" s="226"/>
      <x:c r="S32" s="226"/>
      <x:c r="T32" s="226"/>
      <x:c r="U32" s="226"/>
      <x:c r="V32" s="226"/>
      <x:c r="W32" s="226"/>
      <x:c r="X32" s="226"/>
      <x:c r="Y32" s="226"/>
      <x:c r="Z32" s="226"/>
    </x:row>
    <x:row r="33">
      <x:c r="A33" s="226"/>
      <x:c r="B33" s="226"/>
      <x:c r="C33" s="226"/>
      <x:c r="D33" s="226"/>
      <x:c r="E33" s="226"/>
      <x:c r="F33" s="226"/>
      <x:c r="G33" s="226"/>
      <x:c r="H33" s="226"/>
      <x:c r="I33" s="226"/>
      <x:c r="J33" s="226"/>
      <x:c r="K33" s="226"/>
      <x:c r="L33" s="226"/>
      <x:c r="M33" s="226"/>
      <x:c r="N33" s="226"/>
      <x:c r="O33" s="226"/>
      <x:c r="P33" s="226"/>
      <x:c r="Q33" s="226"/>
      <x:c r="R33" s="226"/>
      <x:c r="S33" s="226"/>
      <x:c r="T33" s="226"/>
      <x:c r="U33" s="226"/>
      <x:c r="V33" s="226"/>
      <x:c r="W33" s="226"/>
      <x:c r="X33" s="226"/>
      <x:c r="Y33" s="226"/>
      <x:c r="Z33" s="226"/>
    </x:row>
    <x:row r="34">
      <x:c r="A34" s="226"/>
      <x:c r="B34" s="226"/>
      <x:c r="C34" s="226"/>
      <x:c r="D34" s="226"/>
      <x:c r="E34" s="226"/>
      <x:c r="F34" s="226"/>
      <x:c r="G34" s="226"/>
      <x:c r="H34" s="226"/>
      <x:c r="I34" s="226"/>
      <x:c r="J34" s="226"/>
      <x:c r="K34" s="226"/>
      <x:c r="L34" s="226"/>
      <x:c r="M34" s="226"/>
      <x:c r="N34" s="226"/>
      <x:c r="O34" s="226"/>
      <x:c r="P34" s="226"/>
      <x:c r="Q34" s="226"/>
      <x:c r="R34" s="226"/>
      <x:c r="S34" s="226"/>
      <x:c r="T34" s="226"/>
      <x:c r="U34" s="226"/>
      <x:c r="V34" s="226"/>
      <x:c r="W34" s="226"/>
      <x:c r="X34" s="226"/>
      <x:c r="Y34" s="226"/>
      <x:c r="Z34" s="226"/>
    </x:row>
    <x:row r="35">
      <x:c r="A35" s="226"/>
      <x:c r="B35" s="226"/>
      <x:c r="C35" s="226"/>
      <x:c r="D35" s="226"/>
      <x:c r="E35" s="226"/>
      <x:c r="F35" s="226"/>
      <x:c r="G35" s="226"/>
      <x:c r="H35" s="226"/>
      <x:c r="I35" s="226"/>
      <x:c r="J35" s="226"/>
      <x:c r="K35" s="226"/>
      <x:c r="L35" s="226"/>
      <x:c r="M35" s="226"/>
      <x:c r="N35" s="226"/>
      <x:c r="O35" s="226"/>
      <x:c r="P35" s="226"/>
      <x:c r="Q35" s="226"/>
      <x:c r="R35" s="226"/>
      <x:c r="S35" s="226"/>
      <x:c r="T35" s="226"/>
      <x:c r="U35" s="226"/>
      <x:c r="V35" s="226"/>
      <x:c r="W35" s="226"/>
      <x:c r="X35" s="226"/>
      <x:c r="Y35" s="226"/>
      <x:c r="Z35" s="226"/>
    </x:row>
    <x:row r="36">
      <x:c r="A36" s="226"/>
      <x:c r="B36" s="226"/>
      <x:c r="C36" s="226"/>
      <x:c r="D36" s="226"/>
      <x:c r="E36" s="226"/>
      <x:c r="F36" s="226"/>
      <x:c r="G36" s="226"/>
      <x:c r="H36" s="226"/>
      <x:c r="I36" s="226"/>
      <x:c r="J36" s="226"/>
      <x:c r="K36" s="226"/>
      <x:c r="L36" s="226"/>
      <x:c r="M36" s="226"/>
      <x:c r="N36" s="226"/>
      <x:c r="O36" s="226"/>
      <x:c r="P36" s="226"/>
      <x:c r="Q36" s="226"/>
      <x:c r="R36" s="226"/>
      <x:c r="S36" s="226"/>
      <x:c r="T36" s="226"/>
      <x:c r="U36" s="226"/>
      <x:c r="V36" s="226"/>
      <x:c r="W36" s="226"/>
      <x:c r="X36" s="226"/>
      <x:c r="Y36" s="226"/>
      <x:c r="Z36" s="226"/>
    </x:row>
    <x:row r="37">
      <x:c r="A37" s="226"/>
      <x:c r="B37" s="226"/>
      <x:c r="C37" s="226"/>
      <x:c r="D37" s="226"/>
      <x:c r="E37" s="226"/>
      <x:c r="F37" s="226"/>
      <x:c r="G37" s="226"/>
      <x:c r="H37" s="226"/>
      <x:c r="I37" s="226"/>
      <x:c r="J37" s="226"/>
      <x:c r="K37" s="226"/>
      <x:c r="L37" s="226"/>
      <x:c r="M37" s="226"/>
      <x:c r="N37" s="226"/>
      <x:c r="O37" s="226"/>
      <x:c r="P37" s="226"/>
      <x:c r="Q37" s="226"/>
      <x:c r="R37" s="226"/>
      <x:c r="S37" s="226"/>
      <x:c r="T37" s="226"/>
      <x:c r="U37" s="226"/>
      <x:c r="V37" s="226"/>
      <x:c r="W37" s="226"/>
      <x:c r="X37" s="226"/>
      <x:c r="Y37" s="226"/>
      <x:c r="Z37" s="226"/>
    </x:row>
    <x:row r="38">
      <x:c r="A38" s="226"/>
      <x:c r="B38" s="226"/>
      <x:c r="C38" s="226"/>
      <x:c r="D38" s="226"/>
      <x:c r="E38" s="226"/>
      <x:c r="F38" s="226"/>
      <x:c r="G38" s="226"/>
      <x:c r="H38" s="226"/>
      <x:c r="I38" s="226"/>
      <x:c r="J38" s="226"/>
      <x:c r="K38" s="226"/>
      <x:c r="L38" s="226"/>
      <x:c r="M38" s="226"/>
      <x:c r="N38" s="226"/>
      <x:c r="O38" s="226"/>
      <x:c r="P38" s="226"/>
      <x:c r="Q38" s="226"/>
      <x:c r="R38" s="226"/>
      <x:c r="S38" s="226"/>
      <x:c r="T38" s="226"/>
      <x:c r="U38" s="226"/>
      <x:c r="V38" s="226"/>
      <x:c r="W38" s="226"/>
      <x:c r="X38" s="226"/>
      <x:c r="Y38" s="226"/>
      <x:c r="Z38" s="226"/>
    </x:row>
    <x:row r="39">
      <x:c r="A39" s="226"/>
      <x:c r="B39" s="226"/>
      <x:c r="C39" s="226"/>
      <x:c r="D39" s="226"/>
      <x:c r="E39" s="226"/>
      <x:c r="F39" s="226"/>
      <x:c r="G39" s="226"/>
      <x:c r="H39" s="226"/>
      <x:c r="I39" s="226"/>
      <x:c r="J39" s="226"/>
      <x:c r="K39" s="226"/>
      <x:c r="L39" s="226"/>
      <x:c r="M39" s="226"/>
      <x:c r="N39" s="226"/>
      <x:c r="O39" s="226"/>
      <x:c r="P39" s="226"/>
      <x:c r="Q39" s="226"/>
      <x:c r="R39" s="226"/>
      <x:c r="S39" s="226"/>
      <x:c r="T39" s="226"/>
      <x:c r="U39" s="226"/>
      <x:c r="V39" s="226"/>
      <x:c r="W39" s="226"/>
      <x:c r="X39" s="226"/>
      <x:c r="Y39" s="226"/>
      <x:c r="Z39" s="226"/>
    </x:row>
    <x:row r="40">
      <x:c r="A40" s="226"/>
      <x:c r="B40" s="226"/>
      <x:c r="C40" s="226"/>
      <x:c r="D40" s="226"/>
      <x:c r="E40" s="226"/>
      <x:c r="F40" s="226"/>
      <x:c r="G40" s="226"/>
      <x:c r="H40" s="226"/>
      <x:c r="I40" s="226"/>
      <x:c r="J40" s="226"/>
      <x:c r="K40" s="226"/>
      <x:c r="L40" s="226"/>
      <x:c r="M40" s="226"/>
      <x:c r="N40" s="226"/>
      <x:c r="O40" s="226"/>
      <x:c r="P40" s="226"/>
      <x:c r="Q40" s="226"/>
      <x:c r="R40" s="226"/>
      <x:c r="S40" s="226"/>
      <x:c r="T40" s="226"/>
      <x:c r="U40" s="226"/>
      <x:c r="V40" s="226"/>
      <x:c r="W40" s="226"/>
      <x:c r="X40" s="226"/>
      <x:c r="Y40" s="226"/>
      <x:c r="Z40" s="226"/>
    </x:row>
    <x:row r="41">
      <x:c r="A41" s="226"/>
      <x:c r="B41" s="226"/>
      <x:c r="C41" s="226"/>
      <x:c r="D41" s="226"/>
      <x:c r="E41" s="226"/>
      <x:c r="F41" s="226"/>
      <x:c r="G41" s="226"/>
      <x:c r="H41" s="226"/>
      <x:c r="I41" s="226"/>
      <x:c r="J41" s="226"/>
      <x:c r="K41" s="226"/>
      <x:c r="L41" s="226"/>
      <x:c r="M41" s="226"/>
      <x:c r="N41" s="226"/>
      <x:c r="O41" s="226"/>
      <x:c r="P41" s="226"/>
      <x:c r="Q41" s="226"/>
      <x:c r="R41" s="226"/>
      <x:c r="S41" s="226"/>
      <x:c r="T41" s="226"/>
      <x:c r="U41" s="226"/>
      <x:c r="V41" s="226"/>
      <x:c r="W41" s="226"/>
      <x:c r="X41" s="226"/>
      <x:c r="Y41" s="226"/>
      <x:c r="Z41" s="226"/>
    </x:row>
    <x:row r="42">
      <x:c r="A42" s="226"/>
      <x:c r="B42" s="226"/>
      <x:c r="C42" s="226"/>
      <x:c r="D42" s="226"/>
      <x:c r="E42" s="226"/>
      <x:c r="F42" s="226"/>
      <x:c r="G42" s="226"/>
      <x:c r="H42" s="226"/>
      <x:c r="I42" s="226"/>
      <x:c r="J42" s="226"/>
      <x:c r="K42" s="226"/>
      <x:c r="L42" s="226"/>
      <x:c r="M42" s="226"/>
      <x:c r="N42" s="226"/>
      <x:c r="O42" s="226"/>
      <x:c r="P42" s="226"/>
      <x:c r="Q42" s="226"/>
      <x:c r="R42" s="226"/>
      <x:c r="S42" s="226"/>
      <x:c r="T42" s="226"/>
      <x:c r="U42" s="226"/>
      <x:c r="V42" s="226"/>
      <x:c r="W42" s="226"/>
      <x:c r="X42" s="226"/>
      <x:c r="Y42" s="226"/>
      <x:c r="Z42" s="226"/>
    </x:row>
    <x:row r="43">
      <x:c r="A43" s="226"/>
      <x:c r="B43" s="226"/>
      <x:c r="C43" s="226"/>
      <x:c r="D43" s="226"/>
      <x:c r="E43" s="226"/>
      <x:c r="F43" s="226"/>
      <x:c r="G43" s="226"/>
      <x:c r="H43" s="226"/>
      <x:c r="I43" s="226"/>
      <x:c r="J43" s="226"/>
      <x:c r="K43" s="226"/>
      <x:c r="L43" s="226"/>
      <x:c r="M43" s="226"/>
      <x:c r="N43" s="226"/>
      <x:c r="O43" s="226"/>
      <x:c r="P43" s="226"/>
      <x:c r="Q43" s="226"/>
      <x:c r="R43" s="226"/>
      <x:c r="S43" s="226"/>
      <x:c r="T43" s="226"/>
      <x:c r="U43" s="226"/>
      <x:c r="V43" s="226"/>
      <x:c r="W43" s="226"/>
      <x:c r="X43" s="226"/>
      <x:c r="Y43" s="226"/>
      <x:c r="Z43" s="226"/>
    </x:row>
    <x:row r="44">
      <x:c r="A44" s="226"/>
      <x:c r="B44" s="226"/>
      <x:c r="C44" s="226"/>
      <x:c r="D44" s="226"/>
      <x:c r="E44" s="226"/>
      <x:c r="F44" s="226"/>
      <x:c r="G44" s="226"/>
      <x:c r="H44" s="226"/>
      <x:c r="I44" s="226"/>
      <x:c r="J44" s="226"/>
      <x:c r="K44" s="226"/>
      <x:c r="L44" s="226"/>
      <x:c r="M44" s="226"/>
      <x:c r="N44" s="226"/>
      <x:c r="O44" s="226"/>
      <x:c r="P44" s="226"/>
      <x:c r="Q44" s="226"/>
      <x:c r="R44" s="226"/>
      <x:c r="S44" s="226"/>
      <x:c r="T44" s="226"/>
      <x:c r="U44" s="226"/>
      <x:c r="V44" s="226"/>
      <x:c r="W44" s="226"/>
      <x:c r="X44" s="226"/>
      <x:c r="Y44" s="226"/>
      <x:c r="Z44" s="226"/>
    </x:row>
    <x:row r="45">
      <x:c r="A45" s="226"/>
      <x:c r="B45" s="226"/>
      <x:c r="C45" s="226"/>
      <x:c r="D45" s="226"/>
      <x:c r="E45" s="226"/>
      <x:c r="F45" s="226"/>
      <x:c r="G45" s="226"/>
      <x:c r="H45" s="226"/>
      <x:c r="I45" s="226"/>
      <x:c r="J45" s="226"/>
      <x:c r="K45" s="226"/>
      <x:c r="L45" s="226"/>
      <x:c r="M45" s="226"/>
      <x:c r="N45" s="226"/>
      <x:c r="O45" s="226"/>
      <x:c r="P45" s="226"/>
      <x:c r="Q45" s="226"/>
      <x:c r="R45" s="226"/>
      <x:c r="S45" s="226"/>
      <x:c r="T45" s="226"/>
      <x:c r="U45" s="226"/>
      <x:c r="V45" s="226"/>
      <x:c r="W45" s="226"/>
      <x:c r="X45" s="226"/>
      <x:c r="Y45" s="226"/>
      <x:c r="Z45" s="226"/>
    </x:row>
    <x:row r="46">
      <x:c r="A46" s="226"/>
      <x:c r="B46" s="226"/>
      <x:c r="C46" s="226"/>
      <x:c r="D46" s="226"/>
      <x:c r="E46" s="226"/>
      <x:c r="F46" s="226"/>
      <x:c r="G46" s="226"/>
      <x:c r="H46" s="226"/>
      <x:c r="I46" s="226"/>
      <x:c r="J46" s="226"/>
      <x:c r="K46" s="226"/>
      <x:c r="L46" s="226"/>
      <x:c r="M46" s="226"/>
      <x:c r="N46" s="226"/>
      <x:c r="O46" s="226"/>
      <x:c r="P46" s="226"/>
      <x:c r="Q46" s="226"/>
      <x:c r="R46" s="226"/>
      <x:c r="S46" s="226"/>
      <x:c r="T46" s="226"/>
      <x:c r="U46" s="226"/>
      <x:c r="V46" s="226"/>
      <x:c r="W46" s="226"/>
      <x:c r="X46" s="226"/>
      <x:c r="Y46" s="226"/>
      <x:c r="Z46" s="226"/>
    </x:row>
    <x:row r="47">
      <x:c r="A47" s="226"/>
      <x:c r="B47" s="226"/>
      <x:c r="C47" s="226"/>
      <x:c r="D47" s="226"/>
      <x:c r="E47" s="226"/>
      <x:c r="F47" s="226"/>
      <x:c r="G47" s="226"/>
      <x:c r="H47" s="226"/>
      <x:c r="I47" s="226"/>
      <x:c r="J47" s="226"/>
      <x:c r="K47" s="226"/>
      <x:c r="L47" s="226"/>
      <x:c r="M47" s="226"/>
      <x:c r="N47" s="226"/>
      <x:c r="O47" s="226"/>
      <x:c r="P47" s="226"/>
      <x:c r="Q47" s="226"/>
      <x:c r="R47" s="226"/>
      <x:c r="S47" s="226"/>
      <x:c r="T47" s="226"/>
      <x:c r="U47" s="226"/>
      <x:c r="V47" s="226"/>
      <x:c r="W47" s="226"/>
      <x:c r="X47" s="226"/>
      <x:c r="Y47" s="226"/>
      <x:c r="Z47" s="226"/>
    </x:row>
    <x:row r="48">
      <x:c r="A48" s="226"/>
      <x:c r="B48" s="226"/>
      <x:c r="C48" s="226"/>
      <x:c r="D48" s="226"/>
      <x:c r="E48" s="226"/>
      <x:c r="F48" s="226"/>
      <x:c r="G48" s="226"/>
      <x:c r="H48" s="226"/>
      <x:c r="I48" s="226"/>
      <x:c r="J48" s="226"/>
      <x:c r="K48" s="226"/>
      <x:c r="L48" s="226"/>
      <x:c r="M48" s="226"/>
      <x:c r="N48" s="226"/>
      <x:c r="O48" s="226"/>
      <x:c r="P48" s="226"/>
      <x:c r="Q48" s="226"/>
      <x:c r="R48" s="226"/>
      <x:c r="S48" s="226"/>
      <x:c r="T48" s="226"/>
      <x:c r="U48" s="226"/>
      <x:c r="V48" s="226"/>
      <x:c r="W48" s="226"/>
      <x:c r="X48" s="226"/>
      <x:c r="Y48" s="226"/>
      <x:c r="Z48" s="226"/>
    </x:row>
    <x:row r="49">
      <x:c r="A49" s="226"/>
      <x:c r="B49" s="226"/>
      <x:c r="C49" s="226"/>
      <x:c r="D49" s="226"/>
      <x:c r="E49" s="226"/>
      <x:c r="F49" s="226"/>
      <x:c r="G49" s="226"/>
      <x:c r="H49" s="226"/>
      <x:c r="I49" s="226"/>
      <x:c r="J49" s="226"/>
      <x:c r="K49" s="226"/>
      <x:c r="L49" s="226"/>
      <x:c r="M49" s="226"/>
      <x:c r="N49" s="226"/>
      <x:c r="O49" s="226"/>
      <x:c r="P49" s="226"/>
      <x:c r="Q49" s="226"/>
      <x:c r="R49" s="226"/>
      <x:c r="S49" s="226"/>
      <x:c r="T49" s="226"/>
      <x:c r="U49" s="226"/>
      <x:c r="V49" s="226"/>
      <x:c r="W49" s="226"/>
      <x:c r="X49" s="226"/>
      <x:c r="Y49" s="226"/>
      <x:c r="Z49" s="226"/>
    </x:row>
    <x:row r="50">
      <x:c r="A50" s="226"/>
      <x:c r="B50" s="226"/>
      <x:c r="C50" s="226"/>
      <x:c r="D50" s="226"/>
      <x:c r="E50" s="226"/>
      <x:c r="F50" s="226"/>
      <x:c r="G50" s="226"/>
      <x:c r="H50" s="226"/>
      <x:c r="I50" s="226"/>
      <x:c r="J50" s="226"/>
      <x:c r="K50" s="226"/>
      <x:c r="L50" s="226"/>
      <x:c r="M50" s="226"/>
      <x:c r="N50" s="226"/>
      <x:c r="O50" s="226"/>
      <x:c r="P50" s="226"/>
      <x:c r="Q50" s="226"/>
      <x:c r="R50" s="226"/>
      <x:c r="S50" s="226"/>
      <x:c r="T50" s="226"/>
      <x:c r="U50" s="226"/>
      <x:c r="V50" s="226"/>
      <x:c r="W50" s="226"/>
      <x:c r="X50" s="226"/>
      <x:c r="Y50" s="226"/>
      <x:c r="Z50" s="226"/>
    </x:row>
    <x:row r="51">
      <x:c r="A51" s="226"/>
      <x:c r="B51" s="226"/>
      <x:c r="C51" s="226"/>
      <x:c r="D51" s="226"/>
      <x:c r="E51" s="226"/>
      <x:c r="F51" s="226"/>
      <x:c r="G51" s="226"/>
      <x:c r="H51" s="226"/>
      <x:c r="I51" s="226"/>
      <x:c r="J51" s="226"/>
      <x:c r="K51" s="226"/>
      <x:c r="L51" s="226"/>
      <x:c r="M51" s="226"/>
      <x:c r="N51" s="226"/>
      <x:c r="O51" s="226"/>
      <x:c r="P51" s="226"/>
      <x:c r="Q51" s="226"/>
      <x:c r="R51" s="226"/>
      <x:c r="S51" s="226"/>
      <x:c r="T51" s="226"/>
      <x:c r="U51" s="226"/>
      <x:c r="V51" s="226"/>
      <x:c r="W51" s="226"/>
      <x:c r="X51" s="226"/>
      <x:c r="Y51" s="226"/>
      <x:c r="Z51" s="226"/>
    </x:row>
    <x:row r="52">
      <x:c r="A52" s="226"/>
      <x:c r="B52" s="226"/>
      <x:c r="C52" s="226"/>
      <x:c r="D52" s="226"/>
      <x:c r="E52" s="226"/>
      <x:c r="F52" s="226"/>
      <x:c r="G52" s="226"/>
      <x:c r="H52" s="226"/>
      <x:c r="I52" s="226"/>
      <x:c r="J52" s="226"/>
      <x:c r="K52" s="226"/>
      <x:c r="L52" s="226"/>
      <x:c r="M52" s="226"/>
      <x:c r="N52" s="226"/>
      <x:c r="O52" s="226"/>
      <x:c r="P52" s="226"/>
      <x:c r="Q52" s="226"/>
      <x:c r="R52" s="226"/>
      <x:c r="S52" s="226"/>
      <x:c r="T52" s="226"/>
      <x:c r="U52" s="226"/>
      <x:c r="V52" s="226"/>
      <x:c r="W52" s="226"/>
      <x:c r="X52" s="226"/>
      <x:c r="Y52" s="226"/>
      <x:c r="Z52" s="226"/>
    </x:row>
    <x:row r="53">
      <x:c r="A53" s="226"/>
      <x:c r="B53" s="226"/>
      <x:c r="C53" s="226"/>
      <x:c r="D53" s="226"/>
      <x:c r="E53" s="226"/>
      <x:c r="F53" s="226"/>
      <x:c r="G53" s="226"/>
      <x:c r="H53" s="226"/>
      <x:c r="I53" s="226"/>
      <x:c r="J53" s="226"/>
      <x:c r="K53" s="226"/>
      <x:c r="L53" s="226"/>
      <x:c r="M53" s="226"/>
      <x:c r="N53" s="226"/>
      <x:c r="O53" s="226"/>
      <x:c r="P53" s="226"/>
      <x:c r="Q53" s="226"/>
      <x:c r="R53" s="226"/>
      <x:c r="S53" s="226"/>
      <x:c r="T53" s="226"/>
      <x:c r="U53" s="226"/>
      <x:c r="V53" s="226"/>
      <x:c r="W53" s="226"/>
      <x:c r="X53" s="226"/>
      <x:c r="Y53" s="226"/>
      <x:c r="Z53" s="226"/>
    </x:row>
    <x:row r="54">
      <x:c r="A54" s="226"/>
      <x:c r="B54" s="226"/>
      <x:c r="C54" s="226"/>
      <x:c r="D54" s="226"/>
      <x:c r="E54" s="226"/>
      <x:c r="F54" s="226"/>
      <x:c r="G54" s="226"/>
      <x:c r="H54" s="226"/>
      <x:c r="I54" s="226"/>
      <x:c r="J54" s="226"/>
      <x:c r="K54" s="226"/>
      <x:c r="L54" s="226"/>
      <x:c r="M54" s="226"/>
      <x:c r="N54" s="226"/>
      <x:c r="O54" s="226"/>
      <x:c r="P54" s="226"/>
      <x:c r="Q54" s="226"/>
      <x:c r="R54" s="226"/>
      <x:c r="S54" s="226"/>
      <x:c r="T54" s="226"/>
      <x:c r="U54" s="226"/>
      <x:c r="V54" s="226"/>
      <x:c r="W54" s="226"/>
      <x:c r="X54" s="226"/>
      <x:c r="Y54" s="226"/>
      <x:c r="Z54" s="226"/>
    </x:row>
    <x:row r="55">
      <x:c r="A55" s="226"/>
      <x:c r="B55" s="226"/>
      <x:c r="C55" s="226"/>
      <x:c r="D55" s="226"/>
      <x:c r="E55" s="226"/>
      <x:c r="F55" s="226"/>
      <x:c r="G55" s="226"/>
      <x:c r="H55" s="226"/>
      <x:c r="I55" s="226"/>
      <x:c r="J55" s="226"/>
      <x:c r="K55" s="226"/>
      <x:c r="L55" s="226"/>
      <x:c r="M55" s="226"/>
      <x:c r="N55" s="226"/>
      <x:c r="O55" s="226"/>
      <x:c r="P55" s="226"/>
      <x:c r="Q55" s="226"/>
      <x:c r="R55" s="226"/>
      <x:c r="S55" s="226"/>
      <x:c r="T55" s="226"/>
      <x:c r="U55" s="226"/>
      <x:c r="V55" s="226"/>
      <x:c r="W55" s="226"/>
      <x:c r="X55" s="226"/>
      <x:c r="Y55" s="226"/>
      <x:c r="Z55" s="226"/>
    </x:row>
    <x:row r="56">
      <x:c r="A56" s="226"/>
      <x:c r="B56" s="226"/>
      <x:c r="C56" s="226"/>
      <x:c r="D56" s="226"/>
      <x:c r="E56" s="226"/>
      <x:c r="F56" s="226"/>
      <x:c r="G56" s="226"/>
      <x:c r="H56" s="226"/>
      <x:c r="I56" s="226"/>
      <x:c r="J56" s="226"/>
      <x:c r="K56" s="226"/>
      <x:c r="L56" s="226"/>
      <x:c r="M56" s="226"/>
      <x:c r="N56" s="226"/>
      <x:c r="O56" s="226"/>
      <x:c r="P56" s="226"/>
      <x:c r="Q56" s="226"/>
      <x:c r="R56" s="226"/>
      <x:c r="S56" s="226"/>
      <x:c r="T56" s="226"/>
      <x:c r="U56" s="226"/>
      <x:c r="V56" s="226"/>
      <x:c r="W56" s="226"/>
      <x:c r="X56" s="226"/>
      <x:c r="Y56" s="226"/>
      <x:c r="Z56" s="226"/>
    </x:row>
    <x:row r="57">
      <x:c r="A57" s="226"/>
      <x:c r="B57" s="226"/>
      <x:c r="C57" s="226"/>
      <x:c r="D57" s="226"/>
      <x:c r="E57" s="226"/>
      <x:c r="F57" s="226"/>
      <x:c r="G57" s="226"/>
      <x:c r="H57" s="226"/>
      <x:c r="I57" s="226"/>
      <x:c r="J57" s="226"/>
      <x:c r="K57" s="226"/>
      <x:c r="L57" s="226"/>
      <x:c r="M57" s="226"/>
      <x:c r="N57" s="226"/>
      <x:c r="O57" s="226"/>
      <x:c r="P57" s="226"/>
      <x:c r="Q57" s="226"/>
      <x:c r="R57" s="226"/>
      <x:c r="S57" s="226"/>
      <x:c r="T57" s="226"/>
      <x:c r="U57" s="226"/>
      <x:c r="V57" s="226"/>
      <x:c r="W57" s="226"/>
      <x:c r="X57" s="226"/>
      <x:c r="Y57" s="226"/>
      <x:c r="Z57" s="226"/>
    </x:row>
    <x:row r="58">
      <x:c r="A58" s="226"/>
      <x:c r="B58" s="226"/>
      <x:c r="C58" s="226"/>
      <x:c r="D58" s="226"/>
      <x:c r="E58" s="226"/>
      <x:c r="F58" s="226"/>
      <x:c r="G58" s="226"/>
      <x:c r="H58" s="226"/>
      <x:c r="I58" s="226"/>
      <x:c r="J58" s="226"/>
      <x:c r="K58" s="226"/>
      <x:c r="L58" s="226"/>
      <x:c r="M58" s="226"/>
      <x:c r="N58" s="226"/>
      <x:c r="O58" s="226"/>
      <x:c r="P58" s="226"/>
      <x:c r="Q58" s="226"/>
      <x:c r="R58" s="226"/>
      <x:c r="S58" s="226"/>
      <x:c r="T58" s="226"/>
      <x:c r="U58" s="226"/>
      <x:c r="V58" s="226"/>
      <x:c r="W58" s="226"/>
      <x:c r="X58" s="226"/>
      <x:c r="Y58" s="226"/>
      <x:c r="Z58" s="226"/>
    </x:row>
    <x:row r="59">
      <x:c r="A59" s="226"/>
      <x:c r="B59" s="226"/>
      <x:c r="C59" s="226"/>
      <x:c r="D59" s="226"/>
      <x:c r="E59" s="226"/>
      <x:c r="F59" s="226"/>
      <x:c r="G59" s="226"/>
      <x:c r="H59" s="226"/>
      <x:c r="I59" s="226"/>
      <x:c r="J59" s="226"/>
      <x:c r="K59" s="226"/>
      <x:c r="L59" s="226"/>
      <x:c r="M59" s="226"/>
      <x:c r="N59" s="226"/>
      <x:c r="O59" s="226"/>
      <x:c r="P59" s="226"/>
      <x:c r="Q59" s="226"/>
      <x:c r="R59" s="226"/>
      <x:c r="S59" s="226"/>
      <x:c r="T59" s="226"/>
      <x:c r="U59" s="226"/>
      <x:c r="V59" s="226"/>
      <x:c r="W59" s="226"/>
      <x:c r="X59" s="226"/>
      <x:c r="Y59" s="226"/>
      <x:c r="Z59" s="226"/>
    </x:row>
    <x:row r="60">
      <x:c r="A60" s="226"/>
      <x:c r="B60" s="226"/>
      <x:c r="C60" s="226"/>
      <x:c r="D60" s="226"/>
      <x:c r="E60" s="226"/>
      <x:c r="F60" s="226"/>
      <x:c r="G60" s="226"/>
      <x:c r="H60" s="226"/>
      <x:c r="I60" s="226"/>
      <x:c r="J60" s="226"/>
      <x:c r="K60" s="226"/>
      <x:c r="L60" s="226"/>
      <x:c r="M60" s="226"/>
      <x:c r="N60" s="226"/>
      <x:c r="O60" s="226"/>
      <x:c r="P60" s="226"/>
      <x:c r="Q60" s="226"/>
      <x:c r="R60" s="226"/>
      <x:c r="S60" s="226"/>
      <x:c r="T60" s="226"/>
      <x:c r="U60" s="226"/>
      <x:c r="V60" s="226"/>
      <x:c r="W60" s="226"/>
      <x:c r="X60" s="226"/>
      <x:c r="Y60" s="226"/>
      <x:c r="Z60" s="226"/>
    </x:row>
    <x:row r="61">
      <x:c r="A61" s="226"/>
      <x:c r="B61" s="226"/>
      <x:c r="C61" s="226"/>
      <x:c r="D61" s="226"/>
      <x:c r="E61" s="226"/>
      <x:c r="F61" s="226"/>
      <x:c r="G61" s="226"/>
      <x:c r="H61" s="226"/>
      <x:c r="I61" s="226"/>
      <x:c r="J61" s="226"/>
      <x:c r="K61" s="226"/>
      <x:c r="L61" s="226"/>
      <x:c r="M61" s="226"/>
      <x:c r="N61" s="226"/>
      <x:c r="O61" s="226"/>
      <x:c r="P61" s="226"/>
      <x:c r="Q61" s="226"/>
      <x:c r="R61" s="226"/>
      <x:c r="S61" s="226"/>
      <x:c r="T61" s="226"/>
      <x:c r="U61" s="226"/>
      <x:c r="V61" s="226"/>
      <x:c r="W61" s="226"/>
      <x:c r="X61" s="226"/>
      <x:c r="Y61" s="226"/>
      <x:c r="Z61" s="226"/>
    </x:row>
    <x:row r="62">
      <x:c r="A62" s="226"/>
      <x:c r="B62" s="226"/>
      <x:c r="C62" s="226"/>
      <x:c r="D62" s="226"/>
      <x:c r="E62" s="226"/>
      <x:c r="F62" s="226"/>
      <x:c r="G62" s="226"/>
      <x:c r="H62" s="226"/>
      <x:c r="I62" s="226"/>
      <x:c r="J62" s="226"/>
      <x:c r="K62" s="226"/>
      <x:c r="L62" s="226"/>
      <x:c r="M62" s="226"/>
      <x:c r="N62" s="226"/>
      <x:c r="O62" s="226"/>
      <x:c r="P62" s="226"/>
      <x:c r="Q62" s="226"/>
      <x:c r="R62" s="226"/>
      <x:c r="S62" s="226"/>
      <x:c r="T62" s="226"/>
      <x:c r="U62" s="226"/>
      <x:c r="V62" s="226"/>
      <x:c r="W62" s="226"/>
      <x:c r="X62" s="226"/>
      <x:c r="Y62" s="226"/>
      <x:c r="Z62" s="226"/>
    </x:row>
    <x:row r="63">
      <x:c r="A63" s="226"/>
      <x:c r="B63" s="226"/>
      <x:c r="C63" s="226"/>
      <x:c r="D63" s="226"/>
      <x:c r="E63" s="226"/>
      <x:c r="F63" s="226"/>
      <x:c r="G63" s="226"/>
      <x:c r="H63" s="226"/>
      <x:c r="I63" s="226"/>
      <x:c r="J63" s="226"/>
      <x:c r="K63" s="226"/>
      <x:c r="L63" s="226"/>
      <x:c r="M63" s="226"/>
      <x:c r="N63" s="226"/>
      <x:c r="O63" s="226"/>
      <x:c r="P63" s="226"/>
      <x:c r="Q63" s="226"/>
      <x:c r="R63" s="226"/>
      <x:c r="S63" s="226"/>
      <x:c r="T63" s="226"/>
      <x:c r="U63" s="226"/>
      <x:c r="V63" s="226"/>
      <x:c r="W63" s="226"/>
      <x:c r="X63" s="226"/>
      <x:c r="Y63" s="226"/>
      <x:c r="Z63" s="226"/>
    </x:row>
    <x:row r="64">
      <x:c r="A64" s="226"/>
      <x:c r="B64" s="226"/>
      <x:c r="C64" s="226"/>
      <x:c r="D64" s="226"/>
      <x:c r="E64" s="226"/>
      <x:c r="F64" s="226"/>
      <x:c r="G64" s="226"/>
      <x:c r="H64" s="226"/>
      <x:c r="I64" s="226"/>
      <x:c r="J64" s="226"/>
      <x:c r="K64" s="226"/>
      <x:c r="L64" s="226"/>
      <x:c r="M64" s="226"/>
      <x:c r="N64" s="226"/>
      <x:c r="O64" s="226"/>
      <x:c r="P64" s="226"/>
      <x:c r="Q64" s="226"/>
      <x:c r="R64" s="226"/>
      <x:c r="S64" s="226"/>
      <x:c r="T64" s="226"/>
      <x:c r="U64" s="226"/>
      <x:c r="V64" s="226"/>
      <x:c r="W64" s="226"/>
      <x:c r="X64" s="226"/>
      <x:c r="Y64" s="226"/>
      <x:c r="Z64" s="226"/>
    </x:row>
    <x:row r="65">
      <x:c r="A65" s="226"/>
      <x:c r="B65" s="226"/>
      <x:c r="C65" s="226"/>
      <x:c r="D65" s="226"/>
      <x:c r="E65" s="226"/>
      <x:c r="F65" s="226"/>
      <x:c r="G65" s="226"/>
      <x:c r="H65" s="226"/>
      <x:c r="I65" s="226"/>
      <x:c r="J65" s="226"/>
      <x:c r="K65" s="226"/>
      <x:c r="L65" s="226"/>
      <x:c r="M65" s="226"/>
      <x:c r="N65" s="226"/>
      <x:c r="O65" s="226"/>
      <x:c r="P65" s="226"/>
      <x:c r="Q65" s="226"/>
      <x:c r="R65" s="226"/>
      <x:c r="S65" s="226"/>
      <x:c r="T65" s="226"/>
      <x:c r="U65" s="226"/>
      <x:c r="V65" s="226"/>
      <x:c r="W65" s="226"/>
      <x:c r="X65" s="226"/>
      <x:c r="Y65" s="226"/>
      <x:c r="Z65" s="226"/>
    </x:row>
    <x:row r="66">
      <x:c r="A66" s="226"/>
      <x:c r="B66" s="226"/>
      <x:c r="C66" s="226"/>
      <x:c r="D66" s="226"/>
      <x:c r="E66" s="226"/>
      <x:c r="F66" s="226"/>
      <x:c r="G66" s="226"/>
      <x:c r="H66" s="226"/>
      <x:c r="I66" s="226"/>
      <x:c r="J66" s="226"/>
      <x:c r="K66" s="226"/>
      <x:c r="L66" s="226"/>
      <x:c r="M66" s="226"/>
      <x:c r="N66" s="226"/>
      <x:c r="O66" s="226"/>
      <x:c r="P66" s="226"/>
      <x:c r="Q66" s="226"/>
      <x:c r="R66" s="226"/>
      <x:c r="S66" s="226"/>
      <x:c r="T66" s="226"/>
      <x:c r="U66" s="226"/>
      <x:c r="V66" s="226"/>
      <x:c r="W66" s="226"/>
      <x:c r="X66" s="226"/>
      <x:c r="Y66" s="226"/>
      <x:c r="Z66" s="226"/>
    </x:row>
    <x:row r="67">
      <x:c r="A67" s="226"/>
      <x:c r="B67" s="226"/>
      <x:c r="C67" s="226"/>
      <x:c r="D67" s="226"/>
      <x:c r="E67" s="226"/>
      <x:c r="F67" s="226"/>
      <x:c r="G67" s="226"/>
      <x:c r="H67" s="226"/>
      <x:c r="I67" s="226"/>
      <x:c r="J67" s="226"/>
      <x:c r="K67" s="226"/>
      <x:c r="L67" s="226"/>
      <x:c r="M67" s="226"/>
      <x:c r="N67" s="226"/>
      <x:c r="O67" s="226"/>
      <x:c r="P67" s="226"/>
      <x:c r="Q67" s="226"/>
      <x:c r="R67" s="226"/>
      <x:c r="S67" s="226"/>
      <x:c r="T67" s="226"/>
      <x:c r="U67" s="226"/>
      <x:c r="V67" s="226"/>
      <x:c r="W67" s="226"/>
      <x:c r="X67" s="226"/>
      <x:c r="Y67" s="226"/>
      <x:c r="Z67" s="226"/>
    </x:row>
    <x:row r="68">
      <x:c r="A68" s="226"/>
      <x:c r="B68" s="226"/>
      <x:c r="C68" s="226"/>
      <x:c r="D68" s="226"/>
      <x:c r="E68" s="226"/>
      <x:c r="F68" s="226"/>
      <x:c r="G68" s="226"/>
      <x:c r="H68" s="226"/>
      <x:c r="I68" s="226"/>
      <x:c r="J68" s="226"/>
      <x:c r="K68" s="226"/>
      <x:c r="L68" s="226"/>
      <x:c r="M68" s="226"/>
      <x:c r="N68" s="226"/>
      <x:c r="O68" s="226"/>
      <x:c r="P68" s="226"/>
      <x:c r="Q68" s="226"/>
      <x:c r="R68" s="226"/>
      <x:c r="S68" s="226"/>
      <x:c r="T68" s="226"/>
      <x:c r="U68" s="226"/>
      <x:c r="V68" s="226"/>
      <x:c r="W68" s="226"/>
      <x:c r="X68" s="226"/>
      <x:c r="Y68" s="226"/>
      <x:c r="Z68" s="226"/>
    </x:row>
    <x:row r="69">
      <x:c r="A69" s="226"/>
      <x:c r="B69" s="226"/>
      <x:c r="C69" s="226"/>
      <x:c r="D69" s="226"/>
      <x:c r="E69" s="226"/>
      <x:c r="F69" s="226"/>
      <x:c r="G69" s="226"/>
      <x:c r="H69" s="226"/>
      <x:c r="I69" s="226"/>
      <x:c r="J69" s="226"/>
      <x:c r="K69" s="226"/>
      <x:c r="L69" s="226"/>
      <x:c r="M69" s="226"/>
      <x:c r="N69" s="226"/>
      <x:c r="O69" s="226"/>
      <x:c r="P69" s="226"/>
      <x:c r="Q69" s="226"/>
      <x:c r="R69" s="226"/>
      <x:c r="S69" s="226"/>
      <x:c r="T69" s="226"/>
      <x:c r="U69" s="226"/>
      <x:c r="V69" s="226"/>
      <x:c r="W69" s="226"/>
      <x:c r="X69" s="226"/>
      <x:c r="Y69" s="226"/>
      <x:c r="Z69" s="226"/>
    </x:row>
    <x:row r="70">
      <x:c r="A70" s="226"/>
      <x:c r="B70" s="226"/>
      <x:c r="C70" s="226"/>
      <x:c r="D70" s="226"/>
      <x:c r="E70" s="226"/>
      <x:c r="F70" s="226"/>
      <x:c r="G70" s="226"/>
      <x:c r="H70" s="226"/>
      <x:c r="I70" s="226"/>
      <x:c r="J70" s="226"/>
      <x:c r="K70" s="226"/>
      <x:c r="L70" s="226"/>
      <x:c r="M70" s="226"/>
      <x:c r="N70" s="226"/>
      <x:c r="O70" s="226"/>
      <x:c r="P70" s="226"/>
      <x:c r="Q70" s="226"/>
      <x:c r="R70" s="226"/>
      <x:c r="S70" s="226"/>
      <x:c r="T70" s="226"/>
      <x:c r="U70" s="226"/>
      <x:c r="V70" s="226"/>
      <x:c r="W70" s="226"/>
      <x:c r="X70" s="226"/>
      <x:c r="Y70" s="226"/>
      <x:c r="Z70" s="226"/>
    </x:row>
    <x:row r="71">
      <x:c r="A71" s="226"/>
      <x:c r="B71" s="226"/>
      <x:c r="C71" s="226"/>
      <x:c r="D71" s="226"/>
      <x:c r="E71" s="226"/>
      <x:c r="F71" s="226"/>
      <x:c r="G71" s="226"/>
      <x:c r="H71" s="226"/>
      <x:c r="I71" s="226"/>
      <x:c r="J71" s="226"/>
      <x:c r="K71" s="226"/>
      <x:c r="L71" s="226"/>
      <x:c r="M71" s="226"/>
      <x:c r="N71" s="226"/>
      <x:c r="O71" s="226"/>
      <x:c r="P71" s="226"/>
      <x:c r="Q71" s="226"/>
      <x:c r="R71" s="226"/>
      <x:c r="S71" s="226"/>
      <x:c r="T71" s="226"/>
      <x:c r="U71" s="226"/>
      <x:c r="V71" s="226"/>
      <x:c r="W71" s="226"/>
      <x:c r="X71" s="226"/>
      <x:c r="Y71" s="226"/>
      <x:c r="Z71" s="226"/>
    </x:row>
    <x:row r="72">
      <x:c r="A72" s="226"/>
      <x:c r="B72" s="226"/>
      <x:c r="C72" s="226"/>
      <x:c r="D72" s="226"/>
      <x:c r="E72" s="226"/>
      <x:c r="F72" s="226"/>
      <x:c r="G72" s="226"/>
      <x:c r="H72" s="226"/>
      <x:c r="I72" s="226"/>
      <x:c r="J72" s="226"/>
      <x:c r="K72" s="226"/>
      <x:c r="L72" s="226"/>
      <x:c r="M72" s="226"/>
      <x:c r="N72" s="226"/>
      <x:c r="O72" s="226"/>
      <x:c r="P72" s="226"/>
      <x:c r="Q72" s="226"/>
      <x:c r="R72" s="226"/>
      <x:c r="S72" s="226"/>
      <x:c r="T72" s="226"/>
      <x:c r="U72" s="226"/>
      <x:c r="V72" s="226"/>
      <x:c r="W72" s="226"/>
      <x:c r="X72" s="226"/>
      <x:c r="Y72" s="226"/>
      <x:c r="Z72" s="226"/>
    </x:row>
    <x:row r="73">
      <x:c r="A73" s="226"/>
      <x:c r="B73" s="226"/>
      <x:c r="C73" s="226"/>
      <x:c r="D73" s="226"/>
      <x:c r="E73" s="226"/>
      <x:c r="F73" s="226"/>
      <x:c r="G73" s="226"/>
      <x:c r="H73" s="226"/>
      <x:c r="I73" s="226"/>
      <x:c r="J73" s="226"/>
      <x:c r="K73" s="226"/>
      <x:c r="L73" s="226"/>
      <x:c r="M73" s="226"/>
      <x:c r="N73" s="226"/>
      <x:c r="O73" s="226"/>
      <x:c r="P73" s="226"/>
      <x:c r="Q73" s="226"/>
      <x:c r="R73" s="226"/>
      <x:c r="S73" s="226"/>
      <x:c r="T73" s="226"/>
      <x:c r="U73" s="226"/>
      <x:c r="V73" s="226"/>
      <x:c r="W73" s="226"/>
      <x:c r="X73" s="226"/>
      <x:c r="Y73" s="226"/>
      <x:c r="Z73" s="226"/>
    </x:row>
    <x:row r="74">
      <x:c r="A74" s="226"/>
      <x:c r="B74" s="226"/>
      <x:c r="C74" s="226"/>
      <x:c r="D74" s="226"/>
      <x:c r="E74" s="226"/>
      <x:c r="F74" s="226"/>
      <x:c r="G74" s="226"/>
      <x:c r="H74" s="226"/>
      <x:c r="I74" s="226"/>
      <x:c r="J74" s="226"/>
      <x:c r="K74" s="226"/>
      <x:c r="L74" s="226"/>
      <x:c r="M74" s="226"/>
      <x:c r="N74" s="226"/>
      <x:c r="O74" s="226"/>
      <x:c r="P74" s="226"/>
      <x:c r="Q74" s="226"/>
      <x:c r="R74" s="226"/>
      <x:c r="S74" s="226"/>
      <x:c r="T74" s="226"/>
      <x:c r="U74" s="226"/>
      <x:c r="V74" s="226"/>
      <x:c r="W74" s="226"/>
      <x:c r="X74" s="226"/>
      <x:c r="Y74" s="226"/>
      <x:c r="Z74" s="226"/>
    </x:row>
    <x:row r="75">
      <x:c r="A75" s="226"/>
      <x:c r="B75" s="226"/>
      <x:c r="C75" s="226"/>
      <x:c r="D75" s="226"/>
      <x:c r="E75" s="226"/>
      <x:c r="F75" s="226"/>
      <x:c r="G75" s="226"/>
      <x:c r="H75" s="226"/>
      <x:c r="I75" s="226"/>
      <x:c r="J75" s="226"/>
      <x:c r="K75" s="226"/>
      <x:c r="L75" s="226"/>
      <x:c r="M75" s="226"/>
      <x:c r="N75" s="226"/>
      <x:c r="O75" s="226"/>
      <x:c r="P75" s="226"/>
      <x:c r="Q75" s="226"/>
      <x:c r="R75" s="226"/>
      <x:c r="S75" s="226"/>
      <x:c r="T75" s="226"/>
      <x:c r="U75" s="226"/>
      <x:c r="V75" s="226"/>
      <x:c r="W75" s="226"/>
      <x:c r="X75" s="226"/>
      <x:c r="Y75" s="226"/>
      <x:c r="Z75" s="226"/>
    </x:row>
    <x:row r="76">
      <x:c r="A76" s="226"/>
      <x:c r="B76" s="226"/>
      <x:c r="C76" s="226"/>
      <x:c r="D76" s="226"/>
      <x:c r="E76" s="226"/>
      <x:c r="F76" s="226"/>
      <x:c r="G76" s="226"/>
      <x:c r="H76" s="226"/>
      <x:c r="I76" s="226"/>
      <x:c r="J76" s="226"/>
      <x:c r="K76" s="226"/>
      <x:c r="L76" s="226"/>
      <x:c r="M76" s="226"/>
      <x:c r="N76" s="226"/>
      <x:c r="O76" s="226"/>
      <x:c r="P76" s="226"/>
      <x:c r="Q76" s="226"/>
      <x:c r="R76" s="226"/>
      <x:c r="S76" s="226"/>
      <x:c r="T76" s="226"/>
      <x:c r="U76" s="226"/>
      <x:c r="V76" s="226"/>
      <x:c r="W76" s="226"/>
      <x:c r="X76" s="226"/>
      <x:c r="Y76" s="226"/>
      <x:c r="Z76" s="226"/>
    </x:row>
    <x:row r="77">
      <x:c r="A77" s="226"/>
      <x:c r="B77" s="226"/>
      <x:c r="C77" s="226"/>
      <x:c r="D77" s="226"/>
      <x:c r="E77" s="226"/>
      <x:c r="F77" s="226"/>
      <x:c r="G77" s="226"/>
      <x:c r="H77" s="226"/>
      <x:c r="I77" s="226"/>
      <x:c r="J77" s="226"/>
      <x:c r="K77" s="226"/>
      <x:c r="L77" s="226"/>
      <x:c r="M77" s="226"/>
      <x:c r="N77" s="226"/>
      <x:c r="O77" s="226"/>
      <x:c r="P77" s="226"/>
      <x:c r="Q77" s="226"/>
      <x:c r="R77" s="226"/>
      <x:c r="S77" s="226"/>
      <x:c r="T77" s="226"/>
      <x:c r="U77" s="226"/>
      <x:c r="V77" s="226"/>
      <x:c r="W77" s="226"/>
      <x:c r="X77" s="226"/>
      <x:c r="Y77" s="226"/>
      <x:c r="Z77" s="226"/>
    </x:row>
    <x:row r="78">
      <x:c r="A78" s="226"/>
      <x:c r="B78" s="226"/>
      <x:c r="C78" s="226"/>
      <x:c r="D78" s="226"/>
      <x:c r="E78" s="226"/>
      <x:c r="F78" s="226"/>
      <x:c r="G78" s="226"/>
      <x:c r="H78" s="226"/>
      <x:c r="I78" s="226"/>
      <x:c r="J78" s="226"/>
      <x:c r="K78" s="226"/>
      <x:c r="L78" s="226"/>
      <x:c r="M78" s="226"/>
      <x:c r="N78" s="226"/>
      <x:c r="O78" s="226"/>
      <x:c r="P78" s="226"/>
      <x:c r="Q78" s="226"/>
      <x:c r="R78" s="226"/>
      <x:c r="S78" s="226"/>
      <x:c r="T78" s="226"/>
      <x:c r="U78" s="226"/>
      <x:c r="V78" s="226"/>
      <x:c r="W78" s="226"/>
      <x:c r="X78" s="226"/>
      <x:c r="Y78" s="226"/>
      <x:c r="Z78" s="226"/>
    </x:row>
    <x:row r="79">
      <x:c r="A79" s="226"/>
      <x:c r="B79" s="226"/>
      <x:c r="C79" s="226"/>
      <x:c r="D79" s="226"/>
      <x:c r="E79" s="226"/>
      <x:c r="F79" s="226"/>
      <x:c r="G79" s="226"/>
      <x:c r="H79" s="226"/>
      <x:c r="I79" s="226"/>
      <x:c r="J79" s="226"/>
      <x:c r="K79" s="226"/>
      <x:c r="L79" s="226"/>
      <x:c r="M79" s="226"/>
      <x:c r="N79" s="226"/>
      <x:c r="O79" s="226"/>
      <x:c r="P79" s="226"/>
      <x:c r="Q79" s="226"/>
      <x:c r="R79" s="226"/>
      <x:c r="S79" s="226"/>
      <x:c r="T79" s="226"/>
      <x:c r="U79" s="226"/>
      <x:c r="V79" s="226"/>
      <x:c r="W79" s="226"/>
      <x:c r="X79" s="226"/>
      <x:c r="Y79" s="226"/>
      <x:c r="Z79" s="226"/>
    </x:row>
    <x:row r="80">
      <x:c r="A80" s="226"/>
      <x:c r="B80" s="226"/>
      <x:c r="C80" s="226"/>
      <x:c r="D80" s="226"/>
      <x:c r="E80" s="226"/>
      <x:c r="F80" s="226"/>
      <x:c r="G80" s="226"/>
      <x:c r="H80" s="226"/>
      <x:c r="I80" s="226"/>
      <x:c r="J80" s="226"/>
      <x:c r="K80" s="226"/>
      <x:c r="L80" s="226"/>
      <x:c r="M80" s="226"/>
      <x:c r="N80" s="226"/>
      <x:c r="O80" s="226"/>
      <x:c r="P80" s="226"/>
      <x:c r="Q80" s="226"/>
      <x:c r="R80" s="226"/>
      <x:c r="S80" s="226"/>
      <x:c r="T80" s="226"/>
      <x:c r="U80" s="226"/>
      <x:c r="V80" s="226"/>
      <x:c r="W80" s="226"/>
      <x:c r="X80" s="226"/>
      <x:c r="Y80" s="226"/>
      <x:c r="Z80" s="226"/>
    </x:row>
    <x:row r="81">
      <x:c r="A81" s="226"/>
      <x:c r="B81" s="226"/>
      <x:c r="C81" s="226"/>
      <x:c r="D81" s="226"/>
      <x:c r="E81" s="226"/>
      <x:c r="F81" s="226"/>
      <x:c r="G81" s="226"/>
      <x:c r="H81" s="226"/>
      <x:c r="I81" s="226"/>
      <x:c r="J81" s="226"/>
      <x:c r="K81" s="226"/>
      <x:c r="L81" s="226"/>
      <x:c r="M81" s="226"/>
      <x:c r="N81" s="226"/>
      <x:c r="O81" s="226"/>
      <x:c r="P81" s="226"/>
      <x:c r="Q81" s="226"/>
      <x:c r="R81" s="226"/>
      <x:c r="S81" s="226"/>
      <x:c r="T81" s="226"/>
      <x:c r="U81" s="226"/>
      <x:c r="V81" s="226"/>
      <x:c r="W81" s="226"/>
      <x:c r="X81" s="226"/>
      <x:c r="Y81" s="226"/>
      <x:c r="Z81" s="226"/>
    </x:row>
    <x:row r="82">
      <x:c r="A82" s="226"/>
      <x:c r="B82" s="226"/>
      <x:c r="C82" s="226"/>
      <x:c r="D82" s="226"/>
      <x:c r="E82" s="226"/>
      <x:c r="F82" s="226"/>
      <x:c r="G82" s="226"/>
      <x:c r="H82" s="226"/>
      <x:c r="I82" s="226"/>
      <x:c r="J82" s="226"/>
      <x:c r="K82" s="226"/>
      <x:c r="L82" s="226"/>
      <x:c r="M82" s="226"/>
      <x:c r="N82" s="226"/>
      <x:c r="O82" s="226"/>
      <x:c r="P82" s="226"/>
      <x:c r="Q82" s="226"/>
      <x:c r="R82" s="226"/>
      <x:c r="S82" s="226"/>
      <x:c r="T82" s="226"/>
      <x:c r="U82" s="226"/>
      <x:c r="V82" s="226"/>
      <x:c r="W82" s="226"/>
      <x:c r="X82" s="226"/>
      <x:c r="Y82" s="226"/>
      <x:c r="Z82" s="226"/>
    </x:row>
    <x:row r="83">
      <x:c r="A83" s="226"/>
      <x:c r="B83" s="226"/>
      <x:c r="C83" s="226"/>
      <x:c r="D83" s="226"/>
      <x:c r="E83" s="226"/>
      <x:c r="F83" s="226"/>
      <x:c r="G83" s="226"/>
      <x:c r="H83" s="226"/>
      <x:c r="I83" s="226"/>
      <x:c r="J83" s="226"/>
      <x:c r="K83" s="226"/>
      <x:c r="L83" s="226"/>
      <x:c r="M83" s="226"/>
      <x:c r="N83" s="226"/>
      <x:c r="O83" s="226"/>
      <x:c r="P83" s="226"/>
      <x:c r="Q83" s="226"/>
      <x:c r="R83" s="226"/>
      <x:c r="S83" s="226"/>
      <x:c r="T83" s="226"/>
      <x:c r="U83" s="226"/>
      <x:c r="V83" s="226"/>
      <x:c r="W83" s="226"/>
      <x:c r="X83" s="226"/>
      <x:c r="Y83" s="226"/>
      <x:c r="Z83" s="226"/>
    </x:row>
    <x:row r="84">
      <x:c r="A84" s="226"/>
      <x:c r="B84" s="226"/>
      <x:c r="C84" s="226"/>
      <x:c r="D84" s="226"/>
      <x:c r="E84" s="226"/>
      <x:c r="F84" s="226"/>
      <x:c r="G84" s="226"/>
      <x:c r="H84" s="226"/>
      <x:c r="I84" s="226"/>
      <x:c r="J84" s="226"/>
      <x:c r="K84" s="226"/>
      <x:c r="L84" s="226"/>
      <x:c r="M84" s="226"/>
      <x:c r="N84" s="226"/>
      <x:c r="O84" s="226"/>
      <x:c r="P84" s="226"/>
      <x:c r="Q84" s="226"/>
      <x:c r="R84" s="226"/>
      <x:c r="S84" s="226"/>
      <x:c r="T84" s="226"/>
      <x:c r="U84" s="226"/>
      <x:c r="V84" s="226"/>
      <x:c r="W84" s="226"/>
      <x:c r="X84" s="226"/>
      <x:c r="Y84" s="226"/>
      <x:c r="Z84" s="226"/>
    </x:row>
    <x:row r="85">
      <x:c r="A85" s="226"/>
      <x:c r="B85" s="226"/>
      <x:c r="C85" s="226"/>
      <x:c r="D85" s="226"/>
      <x:c r="E85" s="226"/>
      <x:c r="F85" s="226"/>
      <x:c r="G85" s="226"/>
      <x:c r="H85" s="226"/>
      <x:c r="I85" s="226"/>
      <x:c r="J85" s="226"/>
      <x:c r="K85" s="226"/>
      <x:c r="L85" s="226"/>
      <x:c r="M85" s="226"/>
      <x:c r="N85" s="226"/>
      <x:c r="O85" s="226"/>
      <x:c r="P85" s="226"/>
      <x:c r="Q85" s="226"/>
      <x:c r="R85" s="226"/>
      <x:c r="S85" s="226"/>
      <x:c r="T85" s="226"/>
      <x:c r="U85" s="226"/>
      <x:c r="V85" s="226"/>
      <x:c r="W85" s="226"/>
      <x:c r="X85" s="226"/>
      <x:c r="Y85" s="226"/>
      <x:c r="Z85" s="226"/>
    </x:row>
    <x:row r="86">
      <x:c r="A86" s="226"/>
      <x:c r="B86" s="226"/>
      <x:c r="C86" s="226"/>
      <x:c r="D86" s="226"/>
      <x:c r="E86" s="226"/>
      <x:c r="F86" s="226"/>
      <x:c r="G86" s="226"/>
      <x:c r="H86" s="226"/>
      <x:c r="I86" s="226"/>
      <x:c r="J86" s="226"/>
      <x:c r="K86" s="226"/>
      <x:c r="L86" s="226"/>
      <x:c r="M86" s="226"/>
      <x:c r="N86" s="226"/>
      <x:c r="O86" s="226"/>
      <x:c r="P86" s="226"/>
      <x:c r="Q86" s="226"/>
      <x:c r="R86" s="226"/>
      <x:c r="S86" s="226"/>
      <x:c r="T86" s="226"/>
      <x:c r="U86" s="226"/>
      <x:c r="V86" s="226"/>
      <x:c r="W86" s="226"/>
      <x:c r="X86" s="226"/>
      <x:c r="Y86" s="226"/>
      <x:c r="Z86" s="226"/>
    </x:row>
    <x:row r="87">
      <x:c r="A87" s="226"/>
      <x:c r="B87" s="226"/>
      <x:c r="C87" s="226"/>
      <x:c r="D87" s="226"/>
      <x:c r="E87" s="226"/>
      <x:c r="F87" s="226"/>
      <x:c r="G87" s="226"/>
      <x:c r="H87" s="226"/>
      <x:c r="I87" s="226"/>
      <x:c r="J87" s="226"/>
      <x:c r="K87" s="226"/>
      <x:c r="L87" s="226"/>
      <x:c r="M87" s="226"/>
      <x:c r="N87" s="226"/>
      <x:c r="O87" s="226"/>
      <x:c r="P87" s="226"/>
      <x:c r="Q87" s="226"/>
      <x:c r="R87" s="226"/>
      <x:c r="S87" s="226"/>
      <x:c r="T87" s="226"/>
      <x:c r="U87" s="226"/>
      <x:c r="V87" s="226"/>
      <x:c r="W87" s="226"/>
      <x:c r="X87" s="226"/>
      <x:c r="Y87" s="226"/>
      <x:c r="Z87" s="226"/>
    </x:row>
    <x:row r="88">
      <x:c r="A88" s="226"/>
      <x:c r="B88" s="226"/>
      <x:c r="C88" s="226"/>
      <x:c r="D88" s="226"/>
      <x:c r="E88" s="226"/>
      <x:c r="F88" s="226"/>
      <x:c r="G88" s="226"/>
      <x:c r="H88" s="226"/>
      <x:c r="I88" s="226"/>
      <x:c r="J88" s="226"/>
      <x:c r="K88" s="226"/>
      <x:c r="L88" s="226"/>
      <x:c r="M88" s="226"/>
      <x:c r="N88" s="226"/>
      <x:c r="O88" s="226"/>
      <x:c r="P88" s="226"/>
      <x:c r="Q88" s="226"/>
      <x:c r="R88" s="226"/>
      <x:c r="S88" s="226"/>
      <x:c r="T88" s="226"/>
      <x:c r="U88" s="226"/>
      <x:c r="V88" s="226"/>
      <x:c r="W88" s="226"/>
      <x:c r="X88" s="226"/>
      <x:c r="Y88" s="226"/>
      <x:c r="Z88" s="226"/>
    </x:row>
    <x:row r="89">
      <x:c r="A89" s="226"/>
      <x:c r="B89" s="226"/>
      <x:c r="C89" s="226"/>
      <x:c r="D89" s="226"/>
      <x:c r="E89" s="226"/>
      <x:c r="F89" s="226"/>
      <x:c r="G89" s="226"/>
      <x:c r="H89" s="226"/>
      <x:c r="I89" s="226"/>
      <x:c r="J89" s="226"/>
      <x:c r="K89" s="226"/>
      <x:c r="L89" s="226"/>
      <x:c r="M89" s="226"/>
      <x:c r="N89" s="226"/>
      <x:c r="O89" s="226"/>
      <x:c r="P89" s="226"/>
      <x:c r="Q89" s="226"/>
      <x:c r="R89" s="226"/>
      <x:c r="S89" s="226"/>
      <x:c r="T89" s="226"/>
      <x:c r="U89" s="226"/>
      <x:c r="V89" s="226"/>
      <x:c r="W89" s="226"/>
      <x:c r="X89" s="226"/>
      <x:c r="Y89" s="226"/>
      <x:c r="Z89" s="226"/>
    </x:row>
    <x:row r="90">
      <x:c r="A90" s="226"/>
      <x:c r="B90" s="226"/>
      <x:c r="C90" s="226"/>
      <x:c r="D90" s="226"/>
      <x:c r="E90" s="226"/>
      <x:c r="F90" s="226"/>
      <x:c r="G90" s="226"/>
      <x:c r="H90" s="226"/>
      <x:c r="I90" s="226"/>
      <x:c r="J90" s="226"/>
      <x:c r="K90" s="226"/>
      <x:c r="L90" s="226"/>
      <x:c r="M90" s="226"/>
      <x:c r="N90" s="226"/>
      <x:c r="O90" s="226"/>
      <x:c r="P90" s="226"/>
      <x:c r="Q90" s="226"/>
      <x:c r="R90" s="226"/>
      <x:c r="S90" s="226"/>
      <x:c r="T90" s="226"/>
      <x:c r="U90" s="226"/>
      <x:c r="V90" s="226"/>
      <x:c r="W90" s="226"/>
      <x:c r="X90" s="226"/>
      <x:c r="Y90" s="226"/>
      <x:c r="Z90" s="226"/>
    </x:row>
    <x:row r="91">
      <x:c r="A91" s="226"/>
      <x:c r="B91" s="226"/>
      <x:c r="C91" s="226"/>
      <x:c r="D91" s="226"/>
      <x:c r="E91" s="226"/>
      <x:c r="F91" s="226"/>
      <x:c r="G91" s="226"/>
      <x:c r="H91" s="226"/>
      <x:c r="I91" s="226"/>
      <x:c r="J91" s="226"/>
      <x:c r="K91" s="226"/>
      <x:c r="L91" s="226"/>
      <x:c r="M91" s="226"/>
      <x:c r="N91" s="226"/>
      <x:c r="O91" s="226"/>
      <x:c r="P91" s="226"/>
      <x:c r="Q91" s="226"/>
      <x:c r="R91" s="226"/>
      <x:c r="S91" s="226"/>
      <x:c r="T91" s="226"/>
      <x:c r="U91" s="226"/>
      <x:c r="V91" s="226"/>
      <x:c r="W91" s="226"/>
      <x:c r="X91" s="226"/>
      <x:c r="Y91" s="226"/>
      <x:c r="Z91" s="226"/>
    </x:row>
    <x:row r="92">
      <x:c r="A92" s="226"/>
      <x:c r="B92" s="226"/>
      <x:c r="C92" s="226"/>
      <x:c r="D92" s="226"/>
      <x:c r="E92" s="226"/>
      <x:c r="F92" s="226"/>
      <x:c r="G92" s="226"/>
      <x:c r="H92" s="226"/>
      <x:c r="I92" s="226"/>
      <x:c r="J92" s="226"/>
      <x:c r="K92" s="226"/>
      <x:c r="L92" s="226"/>
      <x:c r="M92" s="226"/>
      <x:c r="N92" s="226"/>
      <x:c r="O92" s="226"/>
      <x:c r="P92" s="226"/>
      <x:c r="Q92" s="226"/>
      <x:c r="R92" s="226"/>
      <x:c r="S92" s="226"/>
      <x:c r="T92" s="226"/>
      <x:c r="U92" s="226"/>
      <x:c r="V92" s="226"/>
      <x:c r="W92" s="226"/>
      <x:c r="X92" s="226"/>
      <x:c r="Y92" s="226"/>
      <x:c r="Z92" s="226"/>
    </x:row>
    <x:row r="93">
      <x:c r="A93" s="226"/>
      <x:c r="B93" s="226"/>
      <x:c r="C93" s="226"/>
      <x:c r="D93" s="226"/>
      <x:c r="E93" s="226"/>
      <x:c r="F93" s="226"/>
      <x:c r="G93" s="226"/>
      <x:c r="H93" s="226"/>
      <x:c r="I93" s="226"/>
      <x:c r="J93" s="226"/>
      <x:c r="K93" s="226"/>
      <x:c r="L93" s="226"/>
      <x:c r="M93" s="226"/>
      <x:c r="N93" s="226"/>
      <x:c r="O93" s="226"/>
      <x:c r="P93" s="226"/>
      <x:c r="Q93" s="226"/>
      <x:c r="R93" s="226"/>
      <x:c r="S93" s="226"/>
      <x:c r="T93" s="226"/>
      <x:c r="U93" s="226"/>
      <x:c r="V93" s="226"/>
      <x:c r="W93" s="226"/>
      <x:c r="X93" s="226"/>
      <x:c r="Y93" s="226"/>
      <x:c r="Z93" s="226"/>
    </x:row>
    <x:row r="94">
      <x:c r="A94" s="226"/>
      <x:c r="B94" s="226"/>
      <x:c r="C94" s="226"/>
      <x:c r="D94" s="226"/>
      <x:c r="E94" s="226"/>
      <x:c r="F94" s="226"/>
      <x:c r="G94" s="226"/>
      <x:c r="H94" s="226"/>
      <x:c r="I94" s="226"/>
      <x:c r="J94" s="226"/>
      <x:c r="K94" s="226"/>
      <x:c r="L94" s="226"/>
      <x:c r="M94" s="226"/>
      <x:c r="N94" s="226"/>
      <x:c r="O94" s="226"/>
      <x:c r="P94" s="226"/>
      <x:c r="Q94" s="226"/>
      <x:c r="R94" s="226"/>
      <x:c r="S94" s="226"/>
      <x:c r="T94" s="226"/>
      <x:c r="U94" s="226"/>
      <x:c r="V94" s="226"/>
      <x:c r="W94" s="226"/>
      <x:c r="X94" s="226"/>
      <x:c r="Y94" s="226"/>
      <x:c r="Z94" s="226"/>
    </x:row>
    <x:row r="95">
      <x:c r="A95" s="226"/>
      <x:c r="B95" s="226"/>
      <x:c r="C95" s="226"/>
      <x:c r="D95" s="226"/>
      <x:c r="E95" s="226"/>
      <x:c r="F95" s="226"/>
      <x:c r="G95" s="226"/>
      <x:c r="H95" s="226"/>
      <x:c r="I95" s="226"/>
      <x:c r="J95" s="226"/>
      <x:c r="K95" s="226"/>
      <x:c r="L95" s="226"/>
      <x:c r="M95" s="226"/>
      <x:c r="N95" s="226"/>
      <x:c r="O95" s="226"/>
      <x:c r="P95" s="226"/>
      <x:c r="Q95" s="226"/>
      <x:c r="R95" s="226"/>
      <x:c r="S95" s="226"/>
      <x:c r="T95" s="226"/>
      <x:c r="U95" s="226"/>
      <x:c r="V95" s="226"/>
      <x:c r="W95" s="226"/>
      <x:c r="X95" s="226"/>
      <x:c r="Y95" s="226"/>
      <x:c r="Z95" s="226"/>
    </x:row>
    <x:row r="96">
      <x:c r="A96" s="226"/>
      <x:c r="B96" s="226"/>
      <x:c r="C96" s="226"/>
      <x:c r="D96" s="226"/>
      <x:c r="E96" s="226"/>
      <x:c r="F96" s="226"/>
      <x:c r="G96" s="226"/>
      <x:c r="H96" s="226"/>
      <x:c r="I96" s="226"/>
      <x:c r="J96" s="226"/>
      <x:c r="K96" s="226"/>
      <x:c r="L96" s="226"/>
      <x:c r="M96" s="226"/>
      <x:c r="N96" s="226"/>
      <x:c r="O96" s="226"/>
      <x:c r="P96" s="226"/>
      <x:c r="Q96" s="226"/>
      <x:c r="R96" s="226"/>
      <x:c r="S96" s="226"/>
      <x:c r="T96" s="226"/>
      <x:c r="U96" s="226"/>
      <x:c r="V96" s="226"/>
      <x:c r="W96" s="226"/>
      <x:c r="X96" s="226"/>
      <x:c r="Y96" s="226"/>
      <x:c r="Z96" s="226"/>
    </x:row>
    <x:row r="97">
      <x:c r="A97" s="226"/>
      <x:c r="B97" s="226"/>
      <x:c r="C97" s="226"/>
      <x:c r="D97" s="226"/>
      <x:c r="E97" s="226"/>
      <x:c r="F97" s="226"/>
      <x:c r="G97" s="226"/>
      <x:c r="H97" s="226"/>
      <x:c r="I97" s="226"/>
      <x:c r="J97" s="226"/>
      <x:c r="K97" s="226"/>
      <x:c r="L97" s="226"/>
      <x:c r="M97" s="226"/>
      <x:c r="N97" s="226"/>
      <x:c r="O97" s="226"/>
      <x:c r="P97" s="226"/>
      <x:c r="Q97" s="226"/>
      <x:c r="R97" s="226"/>
      <x:c r="S97" s="226"/>
      <x:c r="T97" s="226"/>
      <x:c r="U97" s="226"/>
      <x:c r="V97" s="226"/>
      <x:c r="W97" s="226"/>
      <x:c r="X97" s="226"/>
      <x:c r="Y97" s="226"/>
      <x:c r="Z97" s="226"/>
    </x:row>
    <x:row r="98">
      <x:c r="A98" s="226"/>
      <x:c r="B98" s="226"/>
      <x:c r="C98" s="226"/>
      <x:c r="D98" s="226"/>
      <x:c r="E98" s="226"/>
      <x:c r="F98" s="226"/>
      <x:c r="G98" s="226"/>
      <x:c r="H98" s="226"/>
      <x:c r="I98" s="226"/>
      <x:c r="J98" s="226"/>
      <x:c r="K98" s="226"/>
      <x:c r="L98" s="226"/>
      <x:c r="M98" s="226"/>
      <x:c r="N98" s="226"/>
      <x:c r="O98" s="226"/>
      <x:c r="P98" s="226"/>
      <x:c r="Q98" s="226"/>
      <x:c r="R98" s="226"/>
      <x:c r="S98" s="226"/>
      <x:c r="T98" s="226"/>
      <x:c r="U98" s="226"/>
      <x:c r="V98" s="226"/>
      <x:c r="W98" s="226"/>
      <x:c r="X98" s="226"/>
      <x:c r="Y98" s="226"/>
      <x:c r="Z98" s="226"/>
    </x:row>
    <x:row r="99">
      <x:c r="A99" s="226"/>
      <x:c r="B99" s="226"/>
      <x:c r="C99" s="226"/>
      <x:c r="D99" s="226"/>
      <x:c r="E99" s="226"/>
      <x:c r="F99" s="226"/>
      <x:c r="G99" s="226"/>
      <x:c r="H99" s="226"/>
      <x:c r="I99" s="226"/>
      <x:c r="J99" s="226"/>
      <x:c r="K99" s="226"/>
      <x:c r="L99" s="226"/>
      <x:c r="M99" s="226"/>
      <x:c r="N99" s="226"/>
      <x:c r="O99" s="226"/>
      <x:c r="P99" s="226"/>
      <x:c r="Q99" s="226"/>
      <x:c r="R99" s="226"/>
      <x:c r="S99" s="226"/>
      <x:c r="T99" s="226"/>
      <x:c r="U99" s="226"/>
      <x:c r="V99" s="226"/>
      <x:c r="W99" s="226"/>
      <x:c r="X99" s="226"/>
      <x:c r="Y99" s="226"/>
      <x:c r="Z99" s="226"/>
    </x:row>
    <x:row r="100">
      <x:c r="A100" s="226"/>
      <x:c r="B100" s="226"/>
      <x:c r="C100" s="226"/>
      <x:c r="D100" s="226"/>
      <x:c r="E100" s="226"/>
      <x:c r="F100" s="226"/>
      <x:c r="G100" s="226"/>
      <x:c r="H100" s="226"/>
      <x:c r="I100" s="226"/>
      <x:c r="J100" s="226"/>
      <x:c r="K100" s="226"/>
      <x:c r="L100" s="226"/>
      <x:c r="M100" s="226"/>
      <x:c r="N100" s="226"/>
      <x:c r="O100" s="226"/>
      <x:c r="P100" s="226"/>
      <x:c r="Q100" s="226"/>
      <x:c r="R100" s="226"/>
      <x:c r="S100" s="226"/>
      <x:c r="T100" s="226"/>
      <x:c r="U100" s="226"/>
      <x:c r="V100" s="226"/>
      <x:c r="W100" s="226"/>
      <x:c r="X100" s="226"/>
      <x:c r="Y100" s="226"/>
      <x:c r="Z100" s="226"/>
    </x:row>
    <x:row r="101">
      <x:c r="A101" s="226"/>
      <x:c r="B101" s="226"/>
      <x:c r="C101" s="226"/>
      <x:c r="D101" s="226"/>
      <x:c r="E101" s="226"/>
      <x:c r="F101" s="226"/>
      <x:c r="G101" s="226"/>
      <x:c r="H101" s="226"/>
      <x:c r="I101" s="226"/>
      <x:c r="J101" s="226"/>
      <x:c r="K101" s="226"/>
      <x:c r="L101" s="226"/>
      <x:c r="M101" s="226"/>
      <x:c r="N101" s="226"/>
      <x:c r="O101" s="226"/>
      <x:c r="P101" s="226"/>
      <x:c r="Q101" s="226"/>
      <x:c r="R101" s="226"/>
      <x:c r="S101" s="226"/>
      <x:c r="T101" s="226"/>
      <x:c r="U101" s="226"/>
      <x:c r="V101" s="226"/>
      <x:c r="W101" s="226"/>
      <x:c r="X101" s="226"/>
      <x:c r="Y101" s="226"/>
      <x:c r="Z101" s="226"/>
    </x:row>
    <x:row r="102">
      <x:c r="A102" s="226"/>
      <x:c r="B102" s="226"/>
      <x:c r="C102" s="226"/>
      <x:c r="D102" s="226"/>
      <x:c r="E102" s="226"/>
      <x:c r="F102" s="226"/>
      <x:c r="G102" s="226"/>
      <x:c r="H102" s="226"/>
      <x:c r="I102" s="226"/>
      <x:c r="J102" s="226"/>
      <x:c r="K102" s="226"/>
      <x:c r="L102" s="226"/>
      <x:c r="M102" s="226"/>
      <x:c r="N102" s="226"/>
      <x:c r="O102" s="226"/>
      <x:c r="P102" s="226"/>
      <x:c r="Q102" s="226"/>
      <x:c r="R102" s="226"/>
      <x:c r="S102" s="226"/>
      <x:c r="T102" s="226"/>
      <x:c r="U102" s="226"/>
      <x:c r="V102" s="226"/>
      <x:c r="W102" s="226"/>
      <x:c r="X102" s="226"/>
      <x:c r="Y102" s="226"/>
      <x:c r="Z102" s="226"/>
    </x:row>
    <x:row r="103">
      <x:c r="A103" s="226"/>
      <x:c r="B103" s="226"/>
      <x:c r="C103" s="226"/>
      <x:c r="D103" s="226"/>
      <x:c r="E103" s="226"/>
      <x:c r="F103" s="226"/>
      <x:c r="G103" s="226"/>
      <x:c r="H103" s="226"/>
      <x:c r="I103" s="226"/>
      <x:c r="J103" s="226"/>
      <x:c r="K103" s="226"/>
      <x:c r="L103" s="226"/>
      <x:c r="M103" s="226"/>
      <x:c r="N103" s="226"/>
      <x:c r="O103" s="226"/>
      <x:c r="P103" s="226"/>
      <x:c r="Q103" s="226"/>
      <x:c r="R103" s="226"/>
      <x:c r="S103" s="226"/>
      <x:c r="T103" s="226"/>
      <x:c r="U103" s="226"/>
      <x:c r="V103" s="226"/>
      <x:c r="W103" s="226"/>
      <x:c r="X103" s="226"/>
      <x:c r="Y103" s="226"/>
      <x:c r="Z103" s="226"/>
    </x:row>
    <x:row r="104">
      <x:c r="A104" s="226"/>
      <x:c r="B104" s="226"/>
      <x:c r="C104" s="226"/>
      <x:c r="D104" s="226"/>
      <x:c r="E104" s="226"/>
      <x:c r="F104" s="226"/>
      <x:c r="G104" s="226"/>
      <x:c r="H104" s="226"/>
      <x:c r="I104" s="226"/>
      <x:c r="J104" s="226"/>
      <x:c r="K104" s="226"/>
      <x:c r="L104" s="226"/>
      <x:c r="M104" s="226"/>
      <x:c r="N104" s="226"/>
      <x:c r="O104" s="226"/>
      <x:c r="P104" s="226"/>
      <x:c r="Q104" s="226"/>
      <x:c r="R104" s="226"/>
      <x:c r="S104" s="226"/>
      <x:c r="T104" s="226"/>
      <x:c r="U104" s="226"/>
      <x:c r="V104" s="226"/>
      <x:c r="W104" s="226"/>
      <x:c r="X104" s="226"/>
      <x:c r="Y104" s="226"/>
      <x:c r="Z104" s="226"/>
    </x:row>
    <x:row r="105">
      <x:c r="A105" s="226"/>
      <x:c r="B105" s="226"/>
      <x:c r="C105" s="226"/>
      <x:c r="D105" s="226"/>
      <x:c r="E105" s="226"/>
      <x:c r="F105" s="226"/>
      <x:c r="G105" s="226"/>
      <x:c r="H105" s="226"/>
      <x:c r="I105" s="226"/>
      <x:c r="J105" s="226"/>
      <x:c r="K105" s="226"/>
      <x:c r="L105" s="226"/>
      <x:c r="M105" s="226"/>
      <x:c r="N105" s="226"/>
      <x:c r="O105" s="226"/>
      <x:c r="P105" s="226"/>
      <x:c r="Q105" s="226"/>
      <x:c r="R105" s="226"/>
      <x:c r="S105" s="226"/>
      <x:c r="T105" s="226"/>
      <x:c r="U105" s="226"/>
      <x:c r="V105" s="226"/>
      <x:c r="W105" s="226"/>
      <x:c r="X105" s="226"/>
      <x:c r="Y105" s="226"/>
      <x:c r="Z105" s="226"/>
    </x:row>
    <x:row r="106">
      <x:c r="A106" s="226"/>
      <x:c r="B106" s="226"/>
      <x:c r="C106" s="226"/>
      <x:c r="D106" s="226"/>
      <x:c r="E106" s="226"/>
      <x:c r="F106" s="226"/>
      <x:c r="G106" s="226"/>
      <x:c r="H106" s="226"/>
      <x:c r="I106" s="226"/>
      <x:c r="J106" s="226"/>
      <x:c r="K106" s="226"/>
      <x:c r="L106" s="226"/>
      <x:c r="M106" s="226"/>
      <x:c r="N106" s="226"/>
      <x:c r="O106" s="226"/>
      <x:c r="P106" s="226"/>
      <x:c r="Q106" s="226"/>
      <x:c r="R106" s="226"/>
      <x:c r="S106" s="226"/>
      <x:c r="T106" s="226"/>
      <x:c r="U106" s="226"/>
      <x:c r="V106" s="226"/>
      <x:c r="W106" s="226"/>
      <x:c r="X106" s="226"/>
      <x:c r="Y106" s="226"/>
      <x:c r="Z106" s="226"/>
    </x:row>
    <x:row r="107">
      <x:c r="A107" s="226"/>
      <x:c r="B107" s="226"/>
      <x:c r="C107" s="226"/>
      <x:c r="D107" s="226"/>
      <x:c r="E107" s="226"/>
      <x:c r="F107" s="226"/>
      <x:c r="G107" s="226"/>
      <x:c r="H107" s="226"/>
      <x:c r="I107" s="226"/>
      <x:c r="J107" s="226"/>
      <x:c r="K107" s="226"/>
      <x:c r="L107" s="226"/>
      <x:c r="M107" s="226"/>
      <x:c r="N107" s="226"/>
      <x:c r="O107" s="226"/>
      <x:c r="P107" s="226"/>
      <x:c r="Q107" s="226"/>
      <x:c r="R107" s="226"/>
      <x:c r="S107" s="226"/>
      <x:c r="T107" s="226"/>
      <x:c r="U107" s="226"/>
      <x:c r="V107" s="226"/>
      <x:c r="W107" s="226"/>
      <x:c r="X107" s="226"/>
      <x:c r="Y107" s="226"/>
      <x:c r="Z107" s="226"/>
    </x:row>
    <x:row r="108">
      <x:c r="A108" s="226"/>
      <x:c r="B108" s="226"/>
      <x:c r="C108" s="226"/>
      <x:c r="D108" s="226"/>
      <x:c r="E108" s="226"/>
      <x:c r="F108" s="226"/>
      <x:c r="G108" s="226"/>
      <x:c r="H108" s="226"/>
      <x:c r="I108" s="226"/>
      <x:c r="J108" s="226"/>
      <x:c r="K108" s="226"/>
      <x:c r="L108" s="226"/>
      <x:c r="M108" s="226"/>
      <x:c r="N108" s="226"/>
      <x:c r="O108" s="226"/>
      <x:c r="P108" s="226"/>
      <x:c r="Q108" s="226"/>
      <x:c r="R108" s="226"/>
      <x:c r="S108" s="226"/>
      <x:c r="T108" s="226"/>
      <x:c r="U108" s="226"/>
      <x:c r="V108" s="226"/>
      <x:c r="W108" s="226"/>
      <x:c r="X108" s="226"/>
      <x:c r="Y108" s="226"/>
      <x:c r="Z108" s="226"/>
    </x:row>
    <x:row r="109">
      <x:c r="A109" s="226"/>
      <x:c r="B109" s="226"/>
      <x:c r="C109" s="226"/>
      <x:c r="D109" s="226"/>
      <x:c r="E109" s="226"/>
      <x:c r="F109" s="226"/>
      <x:c r="G109" s="226"/>
      <x:c r="H109" s="226"/>
      <x:c r="I109" s="226"/>
      <x:c r="J109" s="226"/>
      <x:c r="K109" s="226"/>
      <x:c r="L109" s="226"/>
      <x:c r="M109" s="226"/>
      <x:c r="N109" s="226"/>
      <x:c r="O109" s="226"/>
      <x:c r="P109" s="226"/>
      <x:c r="Q109" s="226"/>
      <x:c r="R109" s="226"/>
      <x:c r="S109" s="226"/>
      <x:c r="T109" s="226"/>
      <x:c r="U109" s="226"/>
      <x:c r="V109" s="226"/>
      <x:c r="W109" s="226"/>
      <x:c r="X109" s="226"/>
      <x:c r="Y109" s="226"/>
      <x:c r="Z109" s="226"/>
    </x:row>
    <x:row r="110">
      <x:c r="A110" s="226"/>
      <x:c r="B110" s="226"/>
      <x:c r="C110" s="226"/>
      <x:c r="D110" s="226"/>
      <x:c r="E110" s="226"/>
      <x:c r="F110" s="226"/>
      <x:c r="G110" s="226"/>
      <x:c r="H110" s="226"/>
      <x:c r="I110" s="226"/>
      <x:c r="J110" s="226"/>
      <x:c r="K110" s="226"/>
      <x:c r="L110" s="226"/>
      <x:c r="M110" s="226"/>
      <x:c r="N110" s="226"/>
      <x:c r="O110" s="226"/>
      <x:c r="P110" s="226"/>
      <x:c r="Q110" s="226"/>
      <x:c r="R110" s="226"/>
      <x:c r="S110" s="226"/>
      <x:c r="T110" s="226"/>
      <x:c r="U110" s="226"/>
      <x:c r="V110" s="226"/>
      <x:c r="W110" s="226"/>
      <x:c r="X110" s="226"/>
      <x:c r="Y110" s="226"/>
      <x:c r="Z110" s="226"/>
    </x:row>
    <x:row r="111">
      <x:c r="A111" s="226"/>
      <x:c r="B111" s="226"/>
      <x:c r="C111" s="226"/>
      <x:c r="D111" s="226"/>
      <x:c r="E111" s="226"/>
      <x:c r="F111" s="226"/>
      <x:c r="G111" s="226"/>
      <x:c r="H111" s="226"/>
      <x:c r="I111" s="226"/>
      <x:c r="J111" s="226"/>
      <x:c r="K111" s="226"/>
      <x:c r="L111" s="226"/>
      <x:c r="M111" s="226"/>
      <x:c r="N111" s="226"/>
      <x:c r="O111" s="226"/>
      <x:c r="P111" s="226"/>
      <x:c r="Q111" s="226"/>
      <x:c r="R111" s="226"/>
      <x:c r="S111" s="226"/>
      <x:c r="T111" s="226"/>
      <x:c r="U111" s="226"/>
      <x:c r="V111" s="226"/>
      <x:c r="W111" s="226"/>
      <x:c r="X111" s="226"/>
      <x:c r="Y111" s="226"/>
      <x:c r="Z111" s="226"/>
    </x:row>
    <x:row r="112">
      <x:c r="A112" s="226"/>
      <x:c r="B112" s="226"/>
      <x:c r="C112" s="226"/>
      <x:c r="D112" s="226"/>
      <x:c r="E112" s="226"/>
      <x:c r="F112" s="226"/>
      <x:c r="G112" s="226"/>
      <x:c r="H112" s="226"/>
      <x:c r="I112" s="226"/>
      <x:c r="J112" s="226"/>
      <x:c r="K112" s="226"/>
      <x:c r="L112" s="226"/>
      <x:c r="M112" s="226"/>
      <x:c r="N112" s="226"/>
      <x:c r="O112" s="226"/>
      <x:c r="P112" s="226"/>
      <x:c r="Q112" s="226"/>
      <x:c r="R112" s="226"/>
      <x:c r="S112" s="226"/>
      <x:c r="T112" s="226"/>
      <x:c r="U112" s="226"/>
      <x:c r="V112" s="226"/>
      <x:c r="W112" s="226"/>
      <x:c r="X112" s="226"/>
      <x:c r="Y112" s="226"/>
      <x:c r="Z112" s="226"/>
    </x:row>
    <x:row r="113">
      <x:c r="A113" s="226"/>
      <x:c r="B113" s="226"/>
      <x:c r="C113" s="226"/>
      <x:c r="D113" s="226"/>
      <x:c r="E113" s="226"/>
      <x:c r="F113" s="226"/>
      <x:c r="G113" s="226"/>
      <x:c r="H113" s="226"/>
      <x:c r="I113" s="226"/>
      <x:c r="J113" s="226"/>
      <x:c r="K113" s="226"/>
      <x:c r="L113" s="226"/>
      <x:c r="M113" s="226"/>
      <x:c r="N113" s="226"/>
      <x:c r="O113" s="226"/>
      <x:c r="P113" s="226"/>
      <x:c r="Q113" s="226"/>
      <x:c r="R113" s="226"/>
      <x:c r="S113" s="226"/>
      <x:c r="T113" s="226"/>
      <x:c r="U113" s="226"/>
      <x:c r="V113" s="226"/>
      <x:c r="W113" s="226"/>
      <x:c r="X113" s="226"/>
      <x:c r="Y113" s="226"/>
      <x:c r="Z113" s="226"/>
    </x:row>
    <x:row r="114">
      <x:c r="A114" s="226"/>
      <x:c r="B114" s="226"/>
      <x:c r="C114" s="226"/>
      <x:c r="D114" s="226"/>
      <x:c r="E114" s="226"/>
      <x:c r="F114" s="226"/>
      <x:c r="G114" s="226"/>
      <x:c r="H114" s="226"/>
      <x:c r="I114" s="226"/>
      <x:c r="J114" s="226"/>
      <x:c r="K114" s="226"/>
      <x:c r="L114" s="226"/>
      <x:c r="M114" s="226"/>
      <x:c r="N114" s="226"/>
      <x:c r="O114" s="226"/>
      <x:c r="P114" s="226"/>
      <x:c r="Q114" s="226"/>
      <x:c r="R114" s="226"/>
      <x:c r="S114" s="226"/>
      <x:c r="T114" s="226"/>
      <x:c r="U114" s="226"/>
      <x:c r="V114" s="226"/>
      <x:c r="W114" s="226"/>
      <x:c r="X114" s="226"/>
      <x:c r="Y114" s="226"/>
      <x:c r="Z114" s="226"/>
    </x:row>
    <x:row r="115">
      <x:c r="A115" s="226"/>
      <x:c r="B115" s="226"/>
      <x:c r="C115" s="226"/>
      <x:c r="D115" s="226"/>
      <x:c r="E115" s="226"/>
      <x:c r="F115" s="226"/>
      <x:c r="G115" s="226"/>
      <x:c r="H115" s="226"/>
      <x:c r="I115" s="226"/>
      <x:c r="J115" s="226"/>
      <x:c r="K115" s="226"/>
      <x:c r="L115" s="226"/>
      <x:c r="M115" s="226"/>
      <x:c r="N115" s="226"/>
      <x:c r="O115" s="226"/>
      <x:c r="P115" s="226"/>
      <x:c r="Q115" s="226"/>
      <x:c r="R115" s="226"/>
      <x:c r="S115" s="226"/>
      <x:c r="T115" s="226"/>
      <x:c r="U115" s="226"/>
      <x:c r="V115" s="226"/>
      <x:c r="W115" s="226"/>
      <x:c r="X115" s="226"/>
      <x:c r="Y115" s="226"/>
      <x:c r="Z115" s="226"/>
    </x:row>
    <x:row r="116">
      <x:c r="A116" s="226"/>
      <x:c r="B116" s="226"/>
      <x:c r="C116" s="226"/>
      <x:c r="D116" s="226"/>
      <x:c r="E116" s="226"/>
      <x:c r="F116" s="226"/>
      <x:c r="G116" s="226"/>
      <x:c r="H116" s="226"/>
      <x:c r="I116" s="226"/>
      <x:c r="J116" s="226"/>
      <x:c r="K116" s="226"/>
      <x:c r="L116" s="226"/>
      <x:c r="M116" s="226"/>
      <x:c r="N116" s="226"/>
      <x:c r="O116" s="226"/>
      <x:c r="P116" s="226"/>
      <x:c r="Q116" s="226"/>
      <x:c r="R116" s="226"/>
      <x:c r="S116" s="226"/>
      <x:c r="T116" s="226"/>
      <x:c r="U116" s="226"/>
      <x:c r="V116" s="226"/>
      <x:c r="W116" s="226"/>
      <x:c r="X116" s="226"/>
      <x:c r="Y116" s="226"/>
      <x:c r="Z116" s="226"/>
    </x:row>
    <x:row r="117">
      <x:c r="A117" s="226"/>
      <x:c r="B117" s="226"/>
      <x:c r="C117" s="226"/>
      <x:c r="D117" s="226"/>
      <x:c r="E117" s="226"/>
      <x:c r="F117" s="226"/>
      <x:c r="G117" s="226"/>
      <x:c r="H117" s="226"/>
      <x:c r="I117" s="226"/>
      <x:c r="J117" s="226"/>
      <x:c r="K117" s="226"/>
      <x:c r="L117" s="226"/>
      <x:c r="M117" s="226"/>
      <x:c r="N117" s="226"/>
      <x:c r="O117" s="226"/>
      <x:c r="P117" s="226"/>
      <x:c r="Q117" s="226"/>
      <x:c r="R117" s="226"/>
      <x:c r="S117" s="226"/>
      <x:c r="T117" s="226"/>
      <x:c r="U117" s="226"/>
      <x:c r="V117" s="226"/>
      <x:c r="W117" s="226"/>
      <x:c r="X117" s="226"/>
      <x:c r="Y117" s="226"/>
      <x:c r="Z117" s="226"/>
    </x:row>
    <x:row r="118">
      <x:c r="A118" s="226"/>
      <x:c r="B118" s="226"/>
      <x:c r="C118" s="226"/>
      <x:c r="D118" s="226"/>
      <x:c r="E118" s="226"/>
      <x:c r="F118" s="226"/>
      <x:c r="G118" s="226"/>
      <x:c r="H118" s="226"/>
      <x:c r="I118" s="226"/>
      <x:c r="J118" s="226"/>
      <x:c r="K118" s="226"/>
      <x:c r="L118" s="226"/>
      <x:c r="M118" s="226"/>
      <x:c r="N118" s="226"/>
      <x:c r="O118" s="226"/>
      <x:c r="P118" s="226"/>
      <x:c r="Q118" s="226"/>
      <x:c r="R118" s="226"/>
      <x:c r="S118" s="226"/>
      <x:c r="T118" s="226"/>
      <x:c r="U118" s="226"/>
      <x:c r="V118" s="226"/>
      <x:c r="W118" s="226"/>
      <x:c r="X118" s="226"/>
      <x:c r="Y118" s="226"/>
      <x:c r="Z118" s="226"/>
    </x:row>
    <x:row r="119">
      <x:c r="A119" s="226"/>
      <x:c r="B119" s="226"/>
      <x:c r="C119" s="226"/>
      <x:c r="D119" s="226"/>
      <x:c r="E119" s="226"/>
      <x:c r="F119" s="226"/>
      <x:c r="G119" s="226"/>
      <x:c r="H119" s="226"/>
      <x:c r="I119" s="226"/>
      <x:c r="J119" s="226"/>
      <x:c r="K119" s="226"/>
      <x:c r="L119" s="226"/>
      <x:c r="M119" s="226"/>
      <x:c r="N119" s="226"/>
      <x:c r="O119" s="226"/>
      <x:c r="P119" s="226"/>
      <x:c r="Q119" s="226"/>
      <x:c r="R119" s="226"/>
      <x:c r="S119" s="226"/>
      <x:c r="T119" s="226"/>
      <x:c r="U119" s="226"/>
      <x:c r="V119" s="226"/>
      <x:c r="W119" s="226"/>
      <x:c r="X119" s="226"/>
      <x:c r="Y119" s="226"/>
      <x:c r="Z119" s="226"/>
    </x:row>
    <x:row r="120">
      <x:c r="A120" s="226"/>
      <x:c r="B120" s="226"/>
      <x:c r="C120" s="226"/>
      <x:c r="D120" s="226"/>
      <x:c r="E120" s="226"/>
      <x:c r="F120" s="226"/>
      <x:c r="G120" s="226"/>
      <x:c r="H120" s="226"/>
      <x:c r="I120" s="226"/>
      <x:c r="J120" s="226"/>
      <x:c r="K120" s="226"/>
      <x:c r="L120" s="226"/>
      <x:c r="M120" s="226"/>
      <x:c r="N120" s="226"/>
      <x:c r="O120" s="226"/>
      <x:c r="P120" s="226"/>
      <x:c r="Q120" s="226"/>
      <x:c r="R120" s="226"/>
      <x:c r="S120" s="226"/>
      <x:c r="T120" s="226"/>
      <x:c r="U120" s="226"/>
      <x:c r="V120" s="226"/>
      <x:c r="W120" s="226"/>
      <x:c r="X120" s="226"/>
      <x:c r="Y120" s="226"/>
      <x:c r="Z120" s="226"/>
    </x:row>
    <x:row r="121">
      <x:c r="A121" s="226"/>
      <x:c r="B121" s="226"/>
      <x:c r="C121" s="226"/>
      <x:c r="D121" s="226"/>
      <x:c r="E121" s="226"/>
      <x:c r="F121" s="226"/>
      <x:c r="G121" s="226"/>
      <x:c r="H121" s="226"/>
      <x:c r="I121" s="226"/>
      <x:c r="J121" s="226"/>
      <x:c r="K121" s="226"/>
      <x:c r="L121" s="226"/>
      <x:c r="M121" s="226"/>
      <x:c r="N121" s="226"/>
      <x:c r="O121" s="226"/>
      <x:c r="P121" s="226"/>
      <x:c r="Q121" s="226"/>
      <x:c r="R121" s="226"/>
      <x:c r="S121" s="226"/>
      <x:c r="T121" s="226"/>
      <x:c r="U121" s="226"/>
      <x:c r="V121" s="226"/>
      <x:c r="W121" s="226"/>
      <x:c r="X121" s="226"/>
      <x:c r="Y121" s="226"/>
      <x:c r="Z121" s="226"/>
    </x:row>
    <x:row r="122">
      <x:c r="A122" s="226"/>
      <x:c r="B122" s="226"/>
      <x:c r="C122" s="226"/>
      <x:c r="D122" s="226"/>
      <x:c r="E122" s="226"/>
      <x:c r="F122" s="226"/>
      <x:c r="G122" s="226"/>
      <x:c r="H122" s="226"/>
      <x:c r="I122" s="226"/>
      <x:c r="J122" s="226"/>
      <x:c r="K122" s="226"/>
      <x:c r="L122" s="226"/>
      <x:c r="M122" s="226"/>
      <x:c r="N122" s="226"/>
      <x:c r="O122" s="226"/>
      <x:c r="P122" s="226"/>
      <x:c r="Q122" s="226"/>
      <x:c r="R122" s="226"/>
      <x:c r="S122" s="226"/>
      <x:c r="T122" s="226"/>
      <x:c r="U122" s="226"/>
      <x:c r="V122" s="226"/>
      <x:c r="W122" s="226"/>
      <x:c r="X122" s="226"/>
      <x:c r="Y122" s="226"/>
      <x:c r="Z122" s="226"/>
    </x:row>
    <x:row r="123">
      <x:c r="A123" s="226"/>
      <x:c r="B123" s="226"/>
      <x:c r="C123" s="226"/>
      <x:c r="D123" s="226"/>
      <x:c r="E123" s="226"/>
      <x:c r="F123" s="226"/>
      <x:c r="G123" s="226"/>
      <x:c r="H123" s="226"/>
      <x:c r="I123" s="226"/>
      <x:c r="J123" s="226"/>
      <x:c r="K123" s="226"/>
      <x:c r="L123" s="226"/>
      <x:c r="M123" s="226"/>
      <x:c r="N123" s="226"/>
      <x:c r="O123" s="226"/>
      <x:c r="P123" s="226"/>
      <x:c r="Q123" s="226"/>
      <x:c r="R123" s="226"/>
      <x:c r="S123" s="226"/>
      <x:c r="T123" s="226"/>
      <x:c r="U123" s="226"/>
      <x:c r="V123" s="226"/>
      <x:c r="W123" s="226"/>
      <x:c r="X123" s="226"/>
      <x:c r="Y123" s="226"/>
      <x:c r="Z123" s="226"/>
    </x:row>
    <x:row r="124">
      <x:c r="A124" s="226"/>
      <x:c r="B124" s="226"/>
      <x:c r="C124" s="226"/>
      <x:c r="D124" s="226"/>
      <x:c r="E124" s="226"/>
      <x:c r="F124" s="226"/>
      <x:c r="G124" s="226"/>
      <x:c r="H124" s="226"/>
      <x:c r="I124" s="226"/>
      <x:c r="J124" s="226"/>
      <x:c r="K124" s="226"/>
      <x:c r="L124" s="226"/>
      <x:c r="M124" s="226"/>
      <x:c r="N124" s="226"/>
      <x:c r="O124" s="226"/>
      <x:c r="P124" s="226"/>
      <x:c r="Q124" s="226"/>
      <x:c r="R124" s="226"/>
      <x:c r="S124" s="226"/>
      <x:c r="T124" s="226"/>
      <x:c r="U124" s="226"/>
      <x:c r="V124" s="226"/>
      <x:c r="W124" s="226"/>
      <x:c r="X124" s="226"/>
      <x:c r="Y124" s="226"/>
      <x:c r="Z124" s="226"/>
    </x:row>
    <x:row r="125">
      <x:c r="A125" s="226"/>
      <x:c r="B125" s="226"/>
      <x:c r="C125" s="226"/>
      <x:c r="D125" s="226"/>
      <x:c r="E125" s="226"/>
      <x:c r="F125" s="226"/>
      <x:c r="G125" s="226"/>
      <x:c r="H125" s="226"/>
      <x:c r="I125" s="226"/>
      <x:c r="J125" s="226"/>
      <x:c r="K125" s="226"/>
      <x:c r="L125" s="226"/>
      <x:c r="M125" s="226"/>
      <x:c r="N125" s="226"/>
      <x:c r="O125" s="226"/>
      <x:c r="P125" s="226"/>
      <x:c r="Q125" s="226"/>
      <x:c r="R125" s="226"/>
      <x:c r="S125" s="226"/>
      <x:c r="T125" s="226"/>
      <x:c r="U125" s="226"/>
      <x:c r="V125" s="226"/>
      <x:c r="W125" s="226"/>
      <x:c r="X125" s="226"/>
      <x:c r="Y125" s="226"/>
      <x:c r="Z125" s="226"/>
    </x:row>
    <x:row r="126">
      <x:c r="A126" s="226"/>
      <x:c r="B126" s="226"/>
      <x:c r="C126" s="226"/>
      <x:c r="D126" s="226"/>
      <x:c r="E126" s="226"/>
      <x:c r="F126" s="226"/>
      <x:c r="G126" s="226"/>
      <x:c r="H126" s="226"/>
      <x:c r="I126" s="226"/>
      <x:c r="J126" s="226"/>
      <x:c r="K126" s="226"/>
      <x:c r="L126" s="226"/>
      <x:c r="M126" s="226"/>
      <x:c r="N126" s="226"/>
      <x:c r="O126" s="226"/>
      <x:c r="P126" s="226"/>
      <x:c r="Q126" s="226"/>
      <x:c r="R126" s="226"/>
      <x:c r="S126" s="226"/>
      <x:c r="T126" s="226"/>
      <x:c r="U126" s="226"/>
      <x:c r="V126" s="226"/>
      <x:c r="W126" s="226"/>
      <x:c r="X126" s="226"/>
      <x:c r="Y126" s="226"/>
      <x:c r="Z126" s="226"/>
    </x:row>
    <x:row r="127">
      <x:c r="A127" s="226"/>
      <x:c r="B127" s="226"/>
      <x:c r="C127" s="226"/>
      <x:c r="D127" s="226"/>
      <x:c r="E127" s="226"/>
      <x:c r="F127" s="226"/>
      <x:c r="G127" s="226"/>
      <x:c r="H127" s="226"/>
      <x:c r="I127" s="226"/>
      <x:c r="J127" s="226"/>
      <x:c r="K127" s="226"/>
      <x:c r="L127" s="226"/>
      <x:c r="M127" s="226"/>
      <x:c r="N127" s="226"/>
      <x:c r="O127" s="226"/>
      <x:c r="P127" s="226"/>
      <x:c r="Q127" s="226"/>
      <x:c r="R127" s="226"/>
      <x:c r="S127" s="226"/>
      <x:c r="T127" s="226"/>
      <x:c r="U127" s="226"/>
      <x:c r="V127" s="226"/>
      <x:c r="W127" s="226"/>
      <x:c r="X127" s="226"/>
      <x:c r="Y127" s="226"/>
      <x:c r="Z127" s="226"/>
    </x:row>
    <x:row r="128">
      <x:c r="A128" s="226"/>
      <x:c r="B128" s="226"/>
      <x:c r="C128" s="226"/>
      <x:c r="D128" s="226"/>
      <x:c r="E128" s="226"/>
      <x:c r="F128" s="226"/>
      <x:c r="G128" s="226"/>
      <x:c r="H128" s="226"/>
      <x:c r="I128" s="226"/>
      <x:c r="J128" s="226"/>
      <x:c r="K128" s="226"/>
      <x:c r="L128" s="226"/>
      <x:c r="M128" s="226"/>
      <x:c r="N128" s="226"/>
      <x:c r="O128" s="226"/>
      <x:c r="P128" s="226"/>
      <x:c r="Q128" s="226"/>
      <x:c r="R128" s="226"/>
      <x:c r="S128" s="226"/>
      <x:c r="T128" s="226"/>
      <x:c r="U128" s="226"/>
      <x:c r="V128" s="226"/>
      <x:c r="W128" s="226"/>
      <x:c r="X128" s="226"/>
      <x:c r="Y128" s="226"/>
      <x:c r="Z128" s="226"/>
    </x:row>
    <x:row r="129">
      <x:c r="A129" s="226"/>
      <x:c r="B129" s="226"/>
      <x:c r="C129" s="226"/>
      <x:c r="D129" s="226"/>
      <x:c r="E129" s="226"/>
      <x:c r="F129" s="226"/>
      <x:c r="G129" s="226"/>
      <x:c r="H129" s="226"/>
      <x:c r="I129" s="226"/>
      <x:c r="J129" s="226"/>
      <x:c r="K129" s="226"/>
      <x:c r="L129" s="226"/>
      <x:c r="M129" s="226"/>
      <x:c r="N129" s="226"/>
      <x:c r="O129" s="226"/>
      <x:c r="P129" s="226"/>
      <x:c r="Q129" s="226"/>
      <x:c r="R129" s="226"/>
      <x:c r="S129" s="226"/>
      <x:c r="T129" s="226"/>
      <x:c r="U129" s="226"/>
      <x:c r="V129" s="226"/>
      <x:c r="W129" s="226"/>
      <x:c r="X129" s="226"/>
      <x:c r="Y129" s="226"/>
      <x:c r="Z129" s="226"/>
    </x:row>
    <x:row r="130">
      <x:c r="A130" s="226"/>
      <x:c r="B130" s="226"/>
      <x:c r="C130" s="226"/>
      <x:c r="D130" s="226"/>
      <x:c r="E130" s="226"/>
      <x:c r="F130" s="226"/>
      <x:c r="G130" s="226"/>
      <x:c r="H130" s="226"/>
      <x:c r="I130" s="226"/>
      <x:c r="J130" s="226"/>
      <x:c r="K130" s="226"/>
      <x:c r="L130" s="226"/>
      <x:c r="M130" s="226"/>
      <x:c r="N130" s="226"/>
      <x:c r="O130" s="226"/>
      <x:c r="P130" s="226"/>
      <x:c r="Q130" s="226"/>
      <x:c r="R130" s="226"/>
      <x:c r="S130" s="226"/>
      <x:c r="T130" s="226"/>
      <x:c r="U130" s="226"/>
      <x:c r="V130" s="226"/>
      <x:c r="W130" s="226"/>
      <x:c r="X130" s="226"/>
      <x:c r="Y130" s="226"/>
      <x:c r="Z130" s="226"/>
    </x:row>
    <x:row r="131">
      <x:c r="A131" s="226"/>
      <x:c r="B131" s="226"/>
      <x:c r="C131" s="226"/>
      <x:c r="D131" s="226"/>
      <x:c r="E131" s="226"/>
      <x:c r="F131" s="226"/>
      <x:c r="G131" s="226"/>
      <x:c r="H131" s="226"/>
      <x:c r="I131" s="226"/>
      <x:c r="J131" s="226"/>
      <x:c r="K131" s="226"/>
      <x:c r="L131" s="226"/>
      <x:c r="M131" s="226"/>
      <x:c r="N131" s="226"/>
      <x:c r="O131" s="226"/>
      <x:c r="P131" s="226"/>
      <x:c r="Q131" s="226"/>
      <x:c r="R131" s="226"/>
      <x:c r="S131" s="226"/>
      <x:c r="T131" s="226"/>
      <x:c r="U131" s="226"/>
      <x:c r="V131" s="226"/>
      <x:c r="W131" s="226"/>
      <x:c r="X131" s="226"/>
      <x:c r="Y131" s="226"/>
      <x:c r="Z131" s="226"/>
    </x:row>
    <x:row r="132">
      <x:c r="A132" s="226"/>
      <x:c r="B132" s="226"/>
      <x:c r="C132" s="226"/>
      <x:c r="D132" s="226"/>
      <x:c r="E132" s="226"/>
      <x:c r="F132" s="226"/>
      <x:c r="G132" s="226"/>
      <x:c r="H132" s="226"/>
      <x:c r="I132" s="226"/>
      <x:c r="J132" s="226"/>
      <x:c r="K132" s="226"/>
      <x:c r="L132" s="226"/>
      <x:c r="M132" s="226"/>
      <x:c r="N132" s="226"/>
      <x:c r="O132" s="226"/>
      <x:c r="P132" s="226"/>
      <x:c r="Q132" s="226"/>
      <x:c r="R132" s="226"/>
      <x:c r="S132" s="226"/>
      <x:c r="T132" s="226"/>
      <x:c r="U132" s="226"/>
      <x:c r="V132" s="226"/>
      <x:c r="W132" s="226"/>
      <x:c r="X132" s="226"/>
      <x:c r="Y132" s="226"/>
      <x:c r="Z132" s="226"/>
    </x:row>
    <x:row r="133">
      <x:c r="A133" s="226"/>
      <x:c r="B133" s="226"/>
      <x:c r="C133" s="226"/>
      <x:c r="D133" s="226"/>
      <x:c r="E133" s="226"/>
      <x:c r="F133" s="226"/>
      <x:c r="G133" s="226"/>
      <x:c r="H133" s="226"/>
      <x:c r="I133" s="226"/>
      <x:c r="J133" s="226"/>
      <x:c r="K133" s="226"/>
      <x:c r="L133" s="226"/>
      <x:c r="M133" s="226"/>
      <x:c r="N133" s="226"/>
      <x:c r="O133" s="226"/>
      <x:c r="P133" s="226"/>
      <x:c r="Q133" s="226"/>
      <x:c r="R133" s="226"/>
      <x:c r="S133" s="226"/>
      <x:c r="T133" s="226"/>
      <x:c r="U133" s="226"/>
      <x:c r="V133" s="226"/>
      <x:c r="W133" s="226"/>
      <x:c r="X133" s="226"/>
      <x:c r="Y133" s="226"/>
      <x:c r="Z133" s="226"/>
    </x:row>
    <x:row r="134">
      <x:c r="A134" s="226"/>
      <x:c r="B134" s="226"/>
      <x:c r="C134" s="226"/>
      <x:c r="D134" s="226"/>
      <x:c r="E134" s="226"/>
      <x:c r="F134" s="226"/>
      <x:c r="G134" s="226"/>
      <x:c r="H134" s="226"/>
      <x:c r="I134" s="226"/>
      <x:c r="J134" s="226"/>
      <x:c r="K134" s="226"/>
      <x:c r="L134" s="226"/>
      <x:c r="M134" s="226"/>
      <x:c r="N134" s="226"/>
      <x:c r="O134" s="226"/>
      <x:c r="P134" s="226"/>
      <x:c r="Q134" s="226"/>
      <x:c r="R134" s="226"/>
      <x:c r="S134" s="226"/>
      <x:c r="T134" s="226"/>
      <x:c r="U134" s="226"/>
      <x:c r="V134" s="226"/>
      <x:c r="W134" s="226"/>
      <x:c r="X134" s="226"/>
      <x:c r="Y134" s="226"/>
      <x:c r="Z134" s="226"/>
    </x:row>
    <x:row r="135">
      <x:c r="A135" s="226"/>
      <x:c r="B135" s="226"/>
      <x:c r="C135" s="226"/>
      <x:c r="D135" s="226"/>
      <x:c r="E135" s="226"/>
      <x:c r="F135" s="226"/>
      <x:c r="G135" s="226"/>
      <x:c r="H135" s="226"/>
      <x:c r="I135" s="226"/>
      <x:c r="J135" s="226"/>
      <x:c r="K135" s="226"/>
      <x:c r="L135" s="226"/>
      <x:c r="M135" s="226"/>
      <x:c r="N135" s="226"/>
      <x:c r="O135" s="226"/>
      <x:c r="P135" s="226"/>
      <x:c r="Q135" s="226"/>
      <x:c r="R135" s="226"/>
      <x:c r="S135" s="226"/>
      <x:c r="T135" s="226"/>
      <x:c r="U135" s="226"/>
      <x:c r="V135" s="226"/>
      <x:c r="W135" s="226"/>
      <x:c r="X135" s="226"/>
      <x:c r="Y135" s="226"/>
      <x:c r="Z135" s="226"/>
    </x:row>
    <x:row r="136">
      <x:c r="A136" s="226"/>
      <x:c r="B136" s="226"/>
      <x:c r="C136" s="226"/>
      <x:c r="D136" s="226"/>
      <x:c r="E136" s="226"/>
      <x:c r="F136" s="226"/>
      <x:c r="G136" s="226"/>
      <x:c r="H136" s="226"/>
      <x:c r="I136" s="226"/>
      <x:c r="J136" s="226"/>
      <x:c r="K136" s="226"/>
      <x:c r="L136" s="226"/>
      <x:c r="M136" s="226"/>
      <x:c r="N136" s="226"/>
      <x:c r="O136" s="226"/>
      <x:c r="P136" s="226"/>
      <x:c r="Q136" s="226"/>
      <x:c r="R136" s="226"/>
      <x:c r="S136" s="226"/>
      <x:c r="T136" s="226"/>
      <x:c r="U136" s="226"/>
      <x:c r="V136" s="226"/>
      <x:c r="W136" s="226"/>
      <x:c r="X136" s="226"/>
      <x:c r="Y136" s="226"/>
      <x:c r="Z136" s="226"/>
    </x:row>
    <x:row r="137">
      <x:c r="A137" s="226"/>
      <x:c r="B137" s="226"/>
      <x:c r="C137" s="226"/>
      <x:c r="D137" s="226"/>
      <x:c r="E137" s="226"/>
      <x:c r="F137" s="226"/>
      <x:c r="G137" s="226"/>
      <x:c r="H137" s="226"/>
      <x:c r="I137" s="226"/>
      <x:c r="J137" s="226"/>
      <x:c r="K137" s="226"/>
      <x:c r="L137" s="226"/>
      <x:c r="M137" s="226"/>
      <x:c r="N137" s="226"/>
      <x:c r="O137" s="226"/>
      <x:c r="P137" s="226"/>
      <x:c r="Q137" s="226"/>
      <x:c r="R137" s="226"/>
      <x:c r="S137" s="226"/>
      <x:c r="T137" s="226"/>
      <x:c r="U137" s="226"/>
      <x:c r="V137" s="226"/>
      <x:c r="W137" s="226"/>
      <x:c r="X137" s="226"/>
      <x:c r="Y137" s="226"/>
      <x:c r="Z137" s="226"/>
    </x:row>
    <x:row r="138">
      <x:c r="A138" s="226"/>
      <x:c r="B138" s="226"/>
      <x:c r="C138" s="226"/>
      <x:c r="D138" s="226"/>
      <x:c r="E138" s="226"/>
      <x:c r="F138" s="226"/>
      <x:c r="G138" s="226"/>
      <x:c r="H138" s="226"/>
      <x:c r="I138" s="226"/>
      <x:c r="J138" s="226"/>
      <x:c r="K138" s="226"/>
      <x:c r="L138" s="226"/>
      <x:c r="M138" s="226"/>
      <x:c r="N138" s="226"/>
      <x:c r="O138" s="226"/>
      <x:c r="P138" s="226"/>
      <x:c r="Q138" s="226"/>
      <x:c r="R138" s="226"/>
      <x:c r="S138" s="226"/>
      <x:c r="T138" s="226"/>
      <x:c r="U138" s="226"/>
      <x:c r="V138" s="226"/>
      <x:c r="W138" s="226"/>
      <x:c r="X138" s="226"/>
      <x:c r="Y138" s="226"/>
      <x:c r="Z138" s="226"/>
    </x:row>
    <x:row r="139">
      <x:c r="A139" s="226"/>
      <x:c r="B139" s="226"/>
      <x:c r="C139" s="226"/>
      <x:c r="D139" s="226"/>
      <x:c r="E139" s="226"/>
      <x:c r="F139" s="226"/>
      <x:c r="G139" s="226"/>
      <x:c r="H139" s="226"/>
      <x:c r="I139" s="226"/>
      <x:c r="J139" s="226"/>
      <x:c r="K139" s="226"/>
      <x:c r="L139" s="226"/>
      <x:c r="M139" s="226"/>
      <x:c r="N139" s="226"/>
      <x:c r="O139" s="226"/>
      <x:c r="P139" s="226"/>
      <x:c r="Q139" s="226"/>
      <x:c r="R139" s="226"/>
      <x:c r="S139" s="226"/>
      <x:c r="T139" s="226"/>
      <x:c r="U139" s="226"/>
      <x:c r="V139" s="226"/>
      <x:c r="W139" s="226"/>
      <x:c r="X139" s="226"/>
      <x:c r="Y139" s="226"/>
      <x:c r="Z139" s="226"/>
    </x:row>
    <x:row r="140">
      <x:c r="A140" s="226"/>
      <x:c r="B140" s="226"/>
      <x:c r="C140" s="226"/>
      <x:c r="D140" s="226"/>
      <x:c r="E140" s="226"/>
      <x:c r="F140" s="226"/>
      <x:c r="G140" s="226"/>
      <x:c r="H140" s="226"/>
      <x:c r="I140" s="226"/>
      <x:c r="J140" s="226"/>
      <x:c r="K140" s="226"/>
      <x:c r="L140" s="226"/>
      <x:c r="M140" s="226"/>
      <x:c r="N140" s="226"/>
      <x:c r="O140" s="226"/>
      <x:c r="P140" s="226"/>
      <x:c r="Q140" s="226"/>
      <x:c r="R140" s="226"/>
      <x:c r="S140" s="226"/>
      <x:c r="T140" s="226"/>
      <x:c r="U140" s="226"/>
      <x:c r="V140" s="226"/>
      <x:c r="W140" s="226"/>
      <x:c r="X140" s="226"/>
      <x:c r="Y140" s="226"/>
      <x:c r="Z140" s="226"/>
    </x:row>
    <x:row r="141">
      <x:c r="A141" s="226"/>
      <x:c r="B141" s="226"/>
      <x:c r="C141" s="226"/>
      <x:c r="D141" s="226"/>
      <x:c r="E141" s="226"/>
      <x:c r="F141" s="226"/>
      <x:c r="G141" s="226"/>
      <x:c r="H141" s="226"/>
      <x:c r="I141" s="226"/>
      <x:c r="J141" s="226"/>
      <x:c r="K141" s="226"/>
      <x:c r="L141" s="226"/>
      <x:c r="M141" s="226"/>
      <x:c r="N141" s="226"/>
      <x:c r="O141" s="226"/>
      <x:c r="P141" s="226"/>
      <x:c r="Q141" s="226"/>
      <x:c r="R141" s="226"/>
      <x:c r="S141" s="226"/>
      <x:c r="T141" s="226"/>
      <x:c r="U141" s="226"/>
      <x:c r="V141" s="226"/>
      <x:c r="W141" s="226"/>
      <x:c r="X141" s="226"/>
      <x:c r="Y141" s="226"/>
      <x:c r="Z141" s="226"/>
    </x:row>
    <x:row r="142">
      <x:c r="A142" s="226"/>
      <x:c r="B142" s="226"/>
      <x:c r="C142" s="226"/>
      <x:c r="D142" s="226"/>
      <x:c r="E142" s="226"/>
      <x:c r="F142" s="226"/>
      <x:c r="G142" s="226"/>
      <x:c r="H142" s="226"/>
      <x:c r="I142" s="226"/>
      <x:c r="J142" s="226"/>
      <x:c r="K142" s="226"/>
      <x:c r="L142" s="226"/>
      <x:c r="M142" s="226"/>
      <x:c r="N142" s="226"/>
      <x:c r="O142" s="226"/>
      <x:c r="P142" s="226"/>
      <x:c r="Q142" s="226"/>
      <x:c r="R142" s="226"/>
      <x:c r="S142" s="226"/>
      <x:c r="T142" s="226"/>
      <x:c r="U142" s="226"/>
      <x:c r="V142" s="226"/>
      <x:c r="W142" s="226"/>
      <x:c r="X142" s="226"/>
      <x:c r="Y142" s="226"/>
      <x:c r="Z142" s="226"/>
    </x:row>
    <x:row r="143">
      <x:c r="A143" s="226"/>
      <x:c r="B143" s="226"/>
      <x:c r="C143" s="226"/>
      <x:c r="D143" s="226"/>
      <x:c r="E143" s="226"/>
      <x:c r="F143" s="226"/>
      <x:c r="G143" s="226"/>
      <x:c r="H143" s="226"/>
      <x:c r="I143" s="226"/>
      <x:c r="J143" s="226"/>
      <x:c r="K143" s="226"/>
      <x:c r="L143" s="226"/>
      <x:c r="M143" s="226"/>
      <x:c r="N143" s="226"/>
      <x:c r="O143" s="226"/>
      <x:c r="P143" s="226"/>
      <x:c r="Q143" s="226"/>
      <x:c r="R143" s="226"/>
      <x:c r="S143" s="226"/>
      <x:c r="T143" s="226"/>
      <x:c r="U143" s="226"/>
      <x:c r="V143" s="226"/>
      <x:c r="W143" s="226"/>
      <x:c r="X143" s="226"/>
      <x:c r="Y143" s="226"/>
      <x:c r="Z143" s="226"/>
    </x:row>
    <x:row r="144">
      <x:c r="A144" s="226"/>
      <x:c r="B144" s="226"/>
      <x:c r="C144" s="226"/>
      <x:c r="D144" s="226"/>
      <x:c r="E144" s="226"/>
      <x:c r="F144" s="226"/>
      <x:c r="G144" s="226"/>
      <x:c r="H144" s="226"/>
      <x:c r="I144" s="226"/>
      <x:c r="J144" s="226"/>
      <x:c r="K144" s="226"/>
      <x:c r="L144" s="226"/>
      <x:c r="M144" s="226"/>
      <x:c r="N144" s="226"/>
      <x:c r="O144" s="226"/>
      <x:c r="P144" s="226"/>
      <x:c r="Q144" s="226"/>
      <x:c r="R144" s="226"/>
      <x:c r="S144" s="226"/>
      <x:c r="T144" s="226"/>
      <x:c r="U144" s="226"/>
      <x:c r="V144" s="226"/>
      <x:c r="W144" s="226"/>
      <x:c r="X144" s="226"/>
      <x:c r="Y144" s="226"/>
      <x:c r="Z144" s="226"/>
    </x:row>
    <x:row r="145">
      <x:c r="A145" s="226"/>
      <x:c r="B145" s="226"/>
      <x:c r="C145" s="226"/>
      <x:c r="D145" s="226"/>
      <x:c r="E145" s="226"/>
      <x:c r="F145" s="226"/>
      <x:c r="G145" s="226"/>
      <x:c r="H145" s="226"/>
      <x:c r="I145" s="226"/>
      <x:c r="J145" s="226"/>
      <x:c r="K145" s="226"/>
      <x:c r="L145" s="226"/>
      <x:c r="M145" s="226"/>
      <x:c r="N145" s="226"/>
      <x:c r="O145" s="226"/>
      <x:c r="P145" s="226"/>
      <x:c r="Q145" s="226"/>
      <x:c r="R145" s="226"/>
      <x:c r="S145" s="226"/>
      <x:c r="T145" s="226"/>
      <x:c r="U145" s="226"/>
      <x:c r="V145" s="226"/>
      <x:c r="W145" s="226"/>
      <x:c r="X145" s="226"/>
      <x:c r="Y145" s="226"/>
      <x:c r="Z145" s="226"/>
    </x:row>
    <x:row r="146">
      <x:c r="A146" s="226"/>
      <x:c r="B146" s="226"/>
      <x:c r="C146" s="226"/>
      <x:c r="D146" s="226"/>
      <x:c r="E146" s="226"/>
      <x:c r="F146" s="226"/>
      <x:c r="G146" s="226"/>
      <x:c r="H146" s="226"/>
      <x:c r="I146" s="226"/>
      <x:c r="J146" s="226"/>
      <x:c r="K146" s="226"/>
      <x:c r="L146" s="226"/>
      <x:c r="M146" s="226"/>
      <x:c r="N146" s="226"/>
      <x:c r="O146" s="226"/>
      <x:c r="P146" s="226"/>
      <x:c r="Q146" s="226"/>
      <x:c r="R146" s="226"/>
      <x:c r="S146" s="226"/>
      <x:c r="T146" s="226"/>
      <x:c r="U146" s="226"/>
      <x:c r="V146" s="226"/>
      <x:c r="W146" s="226"/>
      <x:c r="X146" s="226"/>
      <x:c r="Y146" s="226"/>
      <x:c r="Z146" s="226"/>
    </x:row>
    <x:row r="147">
      <x:c r="A147" s="226"/>
      <x:c r="B147" s="226"/>
      <x:c r="C147" s="226"/>
      <x:c r="D147" s="226"/>
      <x:c r="E147" s="226"/>
      <x:c r="F147" s="226"/>
      <x:c r="G147" s="226"/>
      <x:c r="H147" s="226"/>
      <x:c r="I147" s="226"/>
      <x:c r="J147" s="226"/>
      <x:c r="K147" s="226"/>
      <x:c r="L147" s="226"/>
      <x:c r="M147" s="226"/>
      <x:c r="N147" s="226"/>
      <x:c r="O147" s="226"/>
      <x:c r="P147" s="226"/>
      <x:c r="Q147" s="226"/>
      <x:c r="R147" s="226"/>
      <x:c r="S147" s="226"/>
      <x:c r="T147" s="226"/>
      <x:c r="U147" s="226"/>
      <x:c r="V147" s="226"/>
      <x:c r="W147" s="226"/>
      <x:c r="X147" s="226"/>
      <x:c r="Y147" s="226"/>
      <x:c r="Z147" s="226"/>
    </x:row>
    <x:row r="148">
      <x:c r="A148" s="226"/>
      <x:c r="B148" s="226"/>
      <x:c r="C148" s="226"/>
      <x:c r="D148" s="226"/>
      <x:c r="E148" s="226"/>
      <x:c r="F148" s="226"/>
      <x:c r="G148" s="226"/>
      <x:c r="H148" s="226"/>
      <x:c r="I148" s="226"/>
      <x:c r="J148" s="226"/>
      <x:c r="K148" s="226"/>
      <x:c r="L148" s="226"/>
      <x:c r="M148" s="226"/>
      <x:c r="N148" s="226"/>
      <x:c r="O148" s="226"/>
      <x:c r="P148" s="226"/>
      <x:c r="Q148" s="226"/>
      <x:c r="R148" s="226"/>
      <x:c r="S148" s="226"/>
      <x:c r="T148" s="226"/>
      <x:c r="U148" s="226"/>
      <x:c r="V148" s="226"/>
      <x:c r="W148" s="226"/>
      <x:c r="X148" s="226"/>
      <x:c r="Y148" s="226"/>
      <x:c r="Z148" s="226"/>
    </x:row>
    <x:row r="149">
      <x:c r="A149" s="226"/>
      <x:c r="B149" s="226"/>
      <x:c r="C149" s="226"/>
      <x:c r="D149" s="226"/>
      <x:c r="E149" s="226"/>
      <x:c r="F149" s="226"/>
      <x:c r="G149" s="226"/>
      <x:c r="H149" s="226"/>
      <x:c r="I149" s="226"/>
      <x:c r="J149" s="226"/>
      <x:c r="K149" s="226"/>
      <x:c r="L149" s="226"/>
      <x:c r="M149" s="226"/>
      <x:c r="N149" s="226"/>
      <x:c r="O149" s="226"/>
      <x:c r="P149" s="226"/>
      <x:c r="Q149" s="226"/>
      <x:c r="R149" s="226"/>
      <x:c r="S149" s="226"/>
      <x:c r="T149" s="226"/>
      <x:c r="U149" s="226"/>
      <x:c r="V149" s="226"/>
      <x:c r="W149" s="226"/>
      <x:c r="X149" s="226"/>
      <x:c r="Y149" s="226"/>
      <x:c r="Z149" s="226"/>
    </x:row>
    <x:row r="150">
      <x:c r="A150" s="226"/>
      <x:c r="B150" s="226"/>
      <x:c r="C150" s="226"/>
      <x:c r="D150" s="226"/>
      <x:c r="E150" s="226"/>
      <x:c r="F150" s="226"/>
      <x:c r="G150" s="226"/>
      <x:c r="H150" s="226"/>
      <x:c r="I150" s="226"/>
      <x:c r="J150" s="226"/>
      <x:c r="K150" s="226"/>
      <x:c r="L150" s="226"/>
      <x:c r="M150" s="226"/>
      <x:c r="N150" s="226"/>
      <x:c r="O150" s="226"/>
      <x:c r="P150" s="226"/>
      <x:c r="Q150" s="226"/>
      <x:c r="R150" s="226"/>
      <x:c r="S150" s="226"/>
      <x:c r="T150" s="226"/>
      <x:c r="U150" s="226"/>
      <x:c r="V150" s="226"/>
      <x:c r="W150" s="226"/>
      <x:c r="X150" s="226"/>
      <x:c r="Y150" s="226"/>
      <x:c r="Z150" s="226"/>
    </x:row>
    <x:row r="151">
      <x:c r="A151" s="226"/>
      <x:c r="B151" s="226"/>
      <x:c r="C151" s="226"/>
      <x:c r="D151" s="226"/>
      <x:c r="E151" s="226"/>
      <x:c r="F151" s="226"/>
      <x:c r="G151" s="226"/>
      <x:c r="H151" s="226"/>
      <x:c r="I151" s="226"/>
      <x:c r="J151" s="226"/>
      <x:c r="K151" s="226"/>
      <x:c r="L151" s="226"/>
      <x:c r="M151" s="226"/>
      <x:c r="N151" s="226"/>
      <x:c r="O151" s="226"/>
      <x:c r="P151" s="226"/>
      <x:c r="Q151" s="226"/>
      <x:c r="R151" s="226"/>
      <x:c r="S151" s="226"/>
      <x:c r="T151" s="226"/>
      <x:c r="U151" s="226"/>
      <x:c r="V151" s="226"/>
      <x:c r="W151" s="226"/>
      <x:c r="X151" s="226"/>
      <x:c r="Y151" s="226"/>
      <x:c r="Z151" s="226"/>
    </x:row>
    <x:row r="152">
      <x:c r="A152" s="226"/>
      <x:c r="B152" s="226"/>
      <x:c r="C152" s="226"/>
      <x:c r="D152" s="226"/>
      <x:c r="E152" s="226"/>
      <x:c r="F152" s="226"/>
      <x:c r="G152" s="226"/>
      <x:c r="H152" s="226"/>
      <x:c r="I152" s="226"/>
      <x:c r="J152" s="226"/>
      <x:c r="K152" s="226"/>
      <x:c r="L152" s="226"/>
      <x:c r="M152" s="226"/>
      <x:c r="N152" s="226"/>
      <x:c r="O152" s="226"/>
      <x:c r="P152" s="226"/>
      <x:c r="Q152" s="226"/>
      <x:c r="R152" s="226"/>
      <x:c r="S152" s="226"/>
      <x:c r="T152" s="226"/>
      <x:c r="U152" s="226"/>
      <x:c r="V152" s="226"/>
      <x:c r="W152" s="226"/>
      <x:c r="X152" s="226"/>
      <x:c r="Y152" s="226"/>
      <x:c r="Z152" s="226"/>
    </x:row>
    <x:row r="153">
      <x:c r="A153" s="226"/>
      <x:c r="B153" s="226"/>
      <x:c r="C153" s="226"/>
      <x:c r="D153" s="226"/>
      <x:c r="E153" s="226"/>
      <x:c r="F153" s="226"/>
      <x:c r="G153" s="226"/>
      <x:c r="H153" s="226"/>
      <x:c r="I153" s="226"/>
      <x:c r="J153" s="226"/>
      <x:c r="K153" s="226"/>
      <x:c r="L153" s="226"/>
      <x:c r="M153" s="226"/>
      <x:c r="N153" s="226"/>
      <x:c r="O153" s="226"/>
      <x:c r="P153" s="226"/>
      <x:c r="Q153" s="226"/>
      <x:c r="R153" s="226"/>
      <x:c r="S153" s="226"/>
      <x:c r="T153" s="226"/>
      <x:c r="U153" s="226"/>
      <x:c r="V153" s="226"/>
      <x:c r="W153" s="226"/>
      <x:c r="X153" s="226"/>
      <x:c r="Y153" s="226"/>
      <x:c r="Z153" s="226"/>
    </x:row>
    <x:row r="154">
      <x:c r="A154" s="226"/>
      <x:c r="B154" s="226"/>
      <x:c r="C154" s="226"/>
      <x:c r="D154" s="226"/>
      <x:c r="E154" s="226"/>
      <x:c r="F154" s="226"/>
      <x:c r="G154" s="226"/>
      <x:c r="H154" s="226"/>
      <x:c r="I154" s="226"/>
      <x:c r="J154" s="226"/>
      <x:c r="K154" s="226"/>
      <x:c r="L154" s="226"/>
      <x:c r="M154" s="226"/>
      <x:c r="N154" s="226"/>
      <x:c r="O154" s="226"/>
      <x:c r="P154" s="226"/>
      <x:c r="Q154" s="226"/>
      <x:c r="R154" s="226"/>
      <x:c r="S154" s="226"/>
      <x:c r="T154" s="226"/>
      <x:c r="U154" s="226"/>
      <x:c r="V154" s="226"/>
      <x:c r="W154" s="226"/>
      <x:c r="X154" s="226"/>
      <x:c r="Y154" s="226"/>
      <x:c r="Z154" s="226"/>
    </x:row>
    <x:row r="155">
      <x:c r="A155" s="226"/>
      <x:c r="B155" s="226"/>
      <x:c r="C155" s="226"/>
      <x:c r="D155" s="226"/>
      <x:c r="E155" s="226"/>
      <x:c r="F155" s="226"/>
      <x:c r="G155" s="226"/>
      <x:c r="H155" s="226"/>
      <x:c r="I155" s="226"/>
      <x:c r="J155" s="226"/>
      <x:c r="K155" s="226"/>
      <x:c r="L155" s="226"/>
      <x:c r="M155" s="226"/>
      <x:c r="N155" s="226"/>
      <x:c r="O155" s="226"/>
      <x:c r="P155" s="226"/>
      <x:c r="Q155" s="226"/>
      <x:c r="R155" s="226"/>
      <x:c r="S155" s="226"/>
      <x:c r="T155" s="226"/>
      <x:c r="U155" s="226"/>
      <x:c r="V155" s="226"/>
      <x:c r="W155" s="226"/>
      <x:c r="X155" s="226"/>
      <x:c r="Y155" s="226"/>
      <x:c r="Z155" s="226"/>
    </x:row>
    <x:row r="156">
      <x:c r="A156" s="226"/>
      <x:c r="B156" s="226"/>
      <x:c r="C156" s="226"/>
      <x:c r="D156" s="226"/>
      <x:c r="E156" s="226"/>
      <x:c r="F156" s="226"/>
      <x:c r="G156" s="226"/>
      <x:c r="H156" s="226"/>
      <x:c r="I156" s="226"/>
      <x:c r="J156" s="226"/>
      <x:c r="K156" s="226"/>
      <x:c r="L156" s="226"/>
      <x:c r="M156" s="226"/>
      <x:c r="N156" s="226"/>
      <x:c r="O156" s="226"/>
      <x:c r="P156" s="226"/>
      <x:c r="Q156" s="226"/>
      <x:c r="R156" s="226"/>
      <x:c r="S156" s="226"/>
      <x:c r="T156" s="226"/>
      <x:c r="U156" s="226"/>
      <x:c r="V156" s="226"/>
      <x:c r="W156" s="226"/>
      <x:c r="X156" s="226"/>
      <x:c r="Y156" s="226"/>
      <x:c r="Z156" s="226"/>
    </x:row>
    <x:row r="157">
      <x:c r="A157" s="226"/>
      <x:c r="B157" s="226"/>
      <x:c r="C157" s="226"/>
      <x:c r="D157" s="226"/>
      <x:c r="E157" s="226"/>
      <x:c r="F157" s="226"/>
      <x:c r="G157" s="226"/>
      <x:c r="H157" s="226"/>
      <x:c r="I157" s="226"/>
      <x:c r="J157" s="226"/>
      <x:c r="K157" s="226"/>
      <x:c r="L157" s="226"/>
      <x:c r="M157" s="226"/>
      <x:c r="N157" s="226"/>
      <x:c r="O157" s="226"/>
      <x:c r="P157" s="226"/>
      <x:c r="Q157" s="226"/>
      <x:c r="R157" s="226"/>
      <x:c r="S157" s="226"/>
      <x:c r="T157" s="226"/>
      <x:c r="U157" s="226"/>
      <x:c r="V157" s="226"/>
      <x:c r="W157" s="226"/>
      <x:c r="X157" s="226"/>
      <x:c r="Y157" s="226"/>
      <x:c r="Z157" s="226"/>
    </x:row>
    <x:row r="158">
      <x:c r="A158" s="226"/>
      <x:c r="B158" s="226"/>
      <x:c r="C158" s="226"/>
      <x:c r="D158" s="226"/>
      <x:c r="E158" s="226"/>
      <x:c r="F158" s="226"/>
      <x:c r="G158" s="226"/>
      <x:c r="H158" s="226"/>
      <x:c r="I158" s="226"/>
      <x:c r="J158" s="226"/>
      <x:c r="K158" s="226"/>
      <x:c r="L158" s="226"/>
      <x:c r="M158" s="226"/>
      <x:c r="N158" s="226"/>
      <x:c r="O158" s="226"/>
      <x:c r="P158" s="226"/>
      <x:c r="Q158" s="226"/>
      <x:c r="R158" s="226"/>
      <x:c r="S158" s="226"/>
      <x:c r="T158" s="226"/>
      <x:c r="U158" s="226"/>
      <x:c r="V158" s="226"/>
      <x:c r="W158" s="226"/>
      <x:c r="X158" s="226"/>
      <x:c r="Y158" s="226"/>
      <x:c r="Z158" s="226"/>
    </x:row>
    <x:row r="159">
      <x:c r="A159" s="226"/>
      <x:c r="B159" s="226"/>
      <x:c r="C159" s="226"/>
      <x:c r="D159" s="226"/>
      <x:c r="E159" s="226"/>
      <x:c r="F159" s="226"/>
      <x:c r="G159" s="226"/>
      <x:c r="H159" s="226"/>
      <x:c r="I159" s="226"/>
      <x:c r="J159" s="226"/>
      <x:c r="K159" s="226"/>
      <x:c r="L159" s="226"/>
      <x:c r="M159" s="226"/>
      <x:c r="N159" s="226"/>
      <x:c r="O159" s="226"/>
      <x:c r="P159" s="226"/>
      <x:c r="Q159" s="226"/>
      <x:c r="R159" s="226"/>
      <x:c r="S159" s="226"/>
      <x:c r="T159" s="226"/>
      <x:c r="U159" s="226"/>
      <x:c r="V159" s="226"/>
      <x:c r="W159" s="226"/>
      <x:c r="X159" s="226"/>
      <x:c r="Y159" s="226"/>
      <x:c r="Z159" s="226"/>
    </x:row>
    <x:row r="160">
      <x:c r="A160" s="226"/>
      <x:c r="B160" s="226"/>
      <x:c r="C160" s="226"/>
      <x:c r="D160" s="226"/>
      <x:c r="E160" s="226"/>
      <x:c r="F160" s="226"/>
      <x:c r="G160" s="226"/>
      <x:c r="H160" s="226"/>
      <x:c r="I160" s="226"/>
      <x:c r="J160" s="226"/>
      <x:c r="K160" s="226"/>
      <x:c r="L160" s="226"/>
      <x:c r="M160" s="226"/>
      <x:c r="N160" s="226"/>
      <x:c r="O160" s="226"/>
      <x:c r="P160" s="226"/>
      <x:c r="Q160" s="226"/>
      <x:c r="R160" s="226"/>
      <x:c r="S160" s="226"/>
      <x:c r="T160" s="226"/>
      <x:c r="U160" s="226"/>
      <x:c r="V160" s="226"/>
      <x:c r="W160" s="226"/>
      <x:c r="X160" s="226"/>
      <x:c r="Y160" s="226"/>
      <x:c r="Z160" s="226"/>
    </x:row>
    <x:row r="161">
      <x:c r="A161" s="226"/>
      <x:c r="B161" s="226"/>
      <x:c r="C161" s="226"/>
      <x:c r="D161" s="226"/>
      <x:c r="E161" s="226"/>
      <x:c r="F161" s="226"/>
      <x:c r="G161" s="226"/>
      <x:c r="H161" s="226"/>
      <x:c r="I161" s="226"/>
      <x:c r="J161" s="226"/>
      <x:c r="K161" s="226"/>
      <x:c r="L161" s="226"/>
      <x:c r="M161" s="226"/>
      <x:c r="N161" s="226"/>
      <x:c r="O161" s="226"/>
      <x:c r="P161" s="226"/>
      <x:c r="Q161" s="226"/>
      <x:c r="R161" s="226"/>
      <x:c r="S161" s="226"/>
      <x:c r="T161" s="226"/>
      <x:c r="U161" s="226"/>
      <x:c r="V161" s="226"/>
      <x:c r="W161" s="226"/>
      <x:c r="X161" s="226"/>
      <x:c r="Y161" s="226"/>
      <x:c r="Z161" s="226"/>
    </x:row>
    <x:row r="162">
      <x:c r="A162" s="226"/>
      <x:c r="B162" s="226"/>
      <x:c r="C162" s="226"/>
      <x:c r="D162" s="226"/>
      <x:c r="E162" s="226"/>
      <x:c r="F162" s="226"/>
      <x:c r="G162" s="226"/>
      <x:c r="H162" s="226"/>
      <x:c r="I162" s="226"/>
      <x:c r="J162" s="226"/>
      <x:c r="K162" s="226"/>
      <x:c r="L162" s="226"/>
      <x:c r="M162" s="226"/>
      <x:c r="N162" s="226"/>
      <x:c r="O162" s="226"/>
      <x:c r="P162" s="226"/>
      <x:c r="Q162" s="226"/>
      <x:c r="R162" s="226"/>
      <x:c r="S162" s="226"/>
      <x:c r="T162" s="226"/>
      <x:c r="U162" s="226"/>
      <x:c r="V162" s="226"/>
      <x:c r="W162" s="226"/>
      <x:c r="X162" s="226"/>
      <x:c r="Y162" s="226"/>
      <x:c r="Z162" s="226"/>
    </x:row>
    <x:row r="163">
      <x:c r="A163" s="226"/>
      <x:c r="B163" s="226"/>
      <x:c r="C163" s="226"/>
      <x:c r="D163" s="226"/>
      <x:c r="E163" s="226"/>
      <x:c r="F163" s="226"/>
      <x:c r="G163" s="226"/>
      <x:c r="H163" s="226"/>
      <x:c r="I163" s="226"/>
      <x:c r="J163" s="226"/>
      <x:c r="K163" s="226"/>
      <x:c r="L163" s="226"/>
      <x:c r="M163" s="226"/>
      <x:c r="N163" s="226"/>
      <x:c r="O163" s="226"/>
      <x:c r="P163" s="226"/>
      <x:c r="Q163" s="226"/>
      <x:c r="R163" s="226"/>
      <x:c r="S163" s="226"/>
      <x:c r="T163" s="226"/>
      <x:c r="U163" s="226"/>
      <x:c r="V163" s="226"/>
      <x:c r="W163" s="226"/>
      <x:c r="X163" s="226"/>
      <x:c r="Y163" s="226"/>
      <x:c r="Z163" s="226"/>
    </x:row>
    <x:row r="164">
      <x:c r="A164" s="226"/>
      <x:c r="B164" s="226"/>
      <x:c r="C164" s="226"/>
      <x:c r="D164" s="226"/>
      <x:c r="E164" s="226"/>
      <x:c r="F164" s="226"/>
      <x:c r="G164" s="226"/>
      <x:c r="H164" s="226"/>
      <x:c r="I164" s="226"/>
      <x:c r="J164" s="226"/>
      <x:c r="K164" s="226"/>
      <x:c r="L164" s="226"/>
      <x:c r="M164" s="226"/>
      <x:c r="N164" s="226"/>
      <x:c r="O164" s="226"/>
      <x:c r="P164" s="226"/>
      <x:c r="Q164" s="226"/>
      <x:c r="R164" s="226"/>
      <x:c r="S164" s="226"/>
      <x:c r="T164" s="226"/>
      <x:c r="U164" s="226"/>
      <x:c r="V164" s="226"/>
      <x:c r="W164" s="226"/>
      <x:c r="X164" s="226"/>
      <x:c r="Y164" s="226"/>
      <x:c r="Z164" s="226"/>
    </x:row>
    <x:row r="165">
      <x:c r="A165" s="226"/>
      <x:c r="B165" s="226"/>
      <x:c r="C165" s="226"/>
      <x:c r="D165" s="226"/>
      <x:c r="E165" s="226"/>
      <x:c r="F165" s="226"/>
      <x:c r="G165" s="226"/>
      <x:c r="H165" s="226"/>
      <x:c r="I165" s="226"/>
      <x:c r="J165" s="226"/>
      <x:c r="K165" s="226"/>
      <x:c r="L165" s="226"/>
      <x:c r="M165" s="226"/>
      <x:c r="N165" s="226"/>
      <x:c r="O165" s="226"/>
      <x:c r="P165" s="226"/>
      <x:c r="Q165" s="226"/>
      <x:c r="R165" s="226"/>
      <x:c r="S165" s="226"/>
      <x:c r="T165" s="226"/>
      <x:c r="U165" s="226"/>
      <x:c r="V165" s="226"/>
      <x:c r="W165" s="226"/>
      <x:c r="X165" s="226"/>
      <x:c r="Y165" s="226"/>
      <x:c r="Z165" s="226"/>
    </x:row>
    <x:row r="166">
      <x:c r="A166" s="226"/>
      <x:c r="B166" s="226"/>
      <x:c r="C166" s="226"/>
      <x:c r="D166" s="226"/>
      <x:c r="E166" s="226"/>
      <x:c r="F166" s="226"/>
      <x:c r="G166" s="226"/>
      <x:c r="H166" s="226"/>
      <x:c r="I166" s="226"/>
      <x:c r="J166" s="226"/>
      <x:c r="K166" s="226"/>
      <x:c r="L166" s="226"/>
      <x:c r="M166" s="226"/>
      <x:c r="N166" s="226"/>
      <x:c r="O166" s="226"/>
      <x:c r="P166" s="226"/>
      <x:c r="Q166" s="226"/>
      <x:c r="R166" s="226"/>
      <x:c r="S166" s="226"/>
      <x:c r="T166" s="226"/>
      <x:c r="U166" s="226"/>
      <x:c r="V166" s="226"/>
      <x:c r="W166" s="226"/>
      <x:c r="X166" s="226"/>
      <x:c r="Y166" s="226"/>
      <x:c r="Z166" s="226"/>
    </x:row>
    <x:row r="167">
      <x:c r="A167" s="226"/>
      <x:c r="B167" s="226"/>
      <x:c r="C167" s="226"/>
      <x:c r="D167" s="226"/>
      <x:c r="E167" s="226"/>
      <x:c r="F167" s="226"/>
      <x:c r="G167" s="226"/>
      <x:c r="H167" s="226"/>
      <x:c r="I167" s="226"/>
      <x:c r="J167" s="226"/>
      <x:c r="K167" s="226"/>
      <x:c r="L167" s="226"/>
      <x:c r="M167" s="226"/>
      <x:c r="N167" s="226"/>
      <x:c r="O167" s="226"/>
      <x:c r="P167" s="226"/>
      <x:c r="Q167" s="226"/>
      <x:c r="R167" s="226"/>
      <x:c r="S167" s="226"/>
      <x:c r="T167" s="226"/>
      <x:c r="U167" s="226"/>
      <x:c r="V167" s="226"/>
      <x:c r="W167" s="226"/>
      <x:c r="X167" s="226"/>
      <x:c r="Y167" s="226"/>
      <x:c r="Z167" s="226"/>
    </x:row>
    <x:row r="168">
      <x:c r="A168" s="226"/>
      <x:c r="B168" s="226"/>
      <x:c r="C168" s="226"/>
      <x:c r="D168" s="226"/>
      <x:c r="E168" s="226"/>
      <x:c r="F168" s="226"/>
      <x:c r="G168" s="226"/>
      <x:c r="H168" s="226"/>
      <x:c r="I168" s="226"/>
      <x:c r="J168" s="226"/>
      <x:c r="K168" s="226"/>
      <x:c r="L168" s="226"/>
      <x:c r="M168" s="226"/>
      <x:c r="N168" s="226"/>
      <x:c r="O168" s="226"/>
      <x:c r="P168" s="226"/>
      <x:c r="Q168" s="226"/>
      <x:c r="R168" s="226"/>
      <x:c r="S168" s="226"/>
      <x:c r="T168" s="226"/>
      <x:c r="U168" s="226"/>
      <x:c r="V168" s="226"/>
      <x:c r="W168" s="226"/>
      <x:c r="X168" s="226"/>
      <x:c r="Y168" s="226"/>
      <x:c r="Z168" s="226"/>
    </x:row>
    <x:row r="169">
      <x:c r="A169" s="226"/>
      <x:c r="B169" s="226"/>
      <x:c r="C169" s="226"/>
      <x:c r="D169" s="226"/>
      <x:c r="E169" s="226"/>
      <x:c r="F169" s="226"/>
      <x:c r="G169" s="226"/>
      <x:c r="H169" s="226"/>
      <x:c r="I169" s="226"/>
      <x:c r="J169" s="226"/>
      <x:c r="K169" s="226"/>
      <x:c r="L169" s="226"/>
      <x:c r="M169" s="226"/>
      <x:c r="N169" s="226"/>
      <x:c r="O169" s="226"/>
      <x:c r="P169" s="226"/>
      <x:c r="Q169" s="226"/>
      <x:c r="R169" s="226"/>
      <x:c r="S169" s="226"/>
      <x:c r="T169" s="226"/>
      <x:c r="U169" s="226"/>
      <x:c r="V169" s="226"/>
      <x:c r="W169" s="226"/>
      <x:c r="X169" s="226"/>
      <x:c r="Y169" s="226"/>
      <x:c r="Z169" s="226"/>
    </x:row>
    <x:row r="170">
      <x:c r="A170" s="226"/>
      <x:c r="B170" s="226"/>
      <x:c r="C170" s="226"/>
      <x:c r="D170" s="226"/>
      <x:c r="E170" s="226"/>
      <x:c r="F170" s="226"/>
      <x:c r="G170" s="226"/>
      <x:c r="H170" s="226"/>
      <x:c r="I170" s="226"/>
      <x:c r="J170" s="226"/>
      <x:c r="K170" s="226"/>
      <x:c r="L170" s="226"/>
      <x:c r="M170" s="226"/>
      <x:c r="N170" s="226"/>
      <x:c r="O170" s="226"/>
      <x:c r="P170" s="226"/>
      <x:c r="Q170" s="226"/>
      <x:c r="R170" s="226"/>
      <x:c r="S170" s="226"/>
      <x:c r="T170" s="226"/>
      <x:c r="U170" s="226"/>
      <x:c r="V170" s="226"/>
      <x:c r="W170" s="226"/>
      <x:c r="X170" s="226"/>
      <x:c r="Y170" s="226"/>
      <x:c r="Z170" s="226"/>
    </x:row>
    <x:row r="171">
      <x:c r="A171" s="226"/>
      <x:c r="B171" s="226"/>
      <x:c r="C171" s="226"/>
      <x:c r="D171" s="226"/>
      <x:c r="E171" s="226"/>
      <x:c r="F171" s="226"/>
      <x:c r="G171" s="226"/>
      <x:c r="H171" s="226"/>
      <x:c r="I171" s="226"/>
      <x:c r="J171" s="226"/>
      <x:c r="K171" s="226"/>
      <x:c r="L171" s="226"/>
      <x:c r="M171" s="226"/>
      <x:c r="N171" s="226"/>
      <x:c r="O171" s="226"/>
      <x:c r="P171" s="226"/>
      <x:c r="Q171" s="226"/>
      <x:c r="R171" s="226"/>
      <x:c r="S171" s="226"/>
      <x:c r="T171" s="226"/>
      <x:c r="U171" s="226"/>
      <x:c r="V171" s="226"/>
      <x:c r="W171" s="226"/>
      <x:c r="X171" s="226"/>
      <x:c r="Y171" s="226"/>
      <x:c r="Z171" s="226"/>
    </x:row>
    <x:row r="172">
      <x:c r="A172" s="226"/>
      <x:c r="B172" s="226"/>
      <x:c r="C172" s="226"/>
      <x:c r="D172" s="226"/>
      <x:c r="E172" s="226"/>
      <x:c r="F172" s="226"/>
      <x:c r="G172" s="226"/>
      <x:c r="H172" s="226"/>
      <x:c r="I172" s="226"/>
      <x:c r="J172" s="226"/>
      <x:c r="K172" s="226"/>
      <x:c r="L172" s="226"/>
      <x:c r="M172" s="226"/>
      <x:c r="N172" s="226"/>
      <x:c r="O172" s="226"/>
      <x:c r="P172" s="226"/>
      <x:c r="Q172" s="226"/>
      <x:c r="R172" s="226"/>
      <x:c r="S172" s="226"/>
      <x:c r="T172" s="226"/>
      <x:c r="U172" s="226"/>
      <x:c r="V172" s="226"/>
      <x:c r="W172" s="226"/>
      <x:c r="X172" s="226"/>
      <x:c r="Y172" s="226"/>
      <x:c r="Z172" s="226"/>
    </x:row>
    <x:row r="173">
      <x:c r="A173" s="226"/>
      <x:c r="B173" s="226"/>
      <x:c r="C173" s="226"/>
      <x:c r="D173" s="226"/>
      <x:c r="E173" s="226"/>
      <x:c r="F173" s="226"/>
      <x:c r="G173" s="226"/>
      <x:c r="H173" s="226"/>
      <x:c r="I173" s="226"/>
      <x:c r="J173" s="226"/>
      <x:c r="K173" s="226"/>
      <x:c r="L173" s="226"/>
      <x:c r="M173" s="226"/>
      <x:c r="N173" s="226"/>
      <x:c r="O173" s="226"/>
      <x:c r="P173" s="226"/>
      <x:c r="Q173" s="226"/>
      <x:c r="R173" s="226"/>
      <x:c r="S173" s="226"/>
      <x:c r="T173" s="226"/>
      <x:c r="U173" s="226"/>
      <x:c r="V173" s="226"/>
      <x:c r="W173" s="226"/>
      <x:c r="X173" s="226"/>
      <x:c r="Y173" s="226"/>
      <x:c r="Z173" s="226"/>
    </x:row>
    <x:row r="174">
      <x:c r="A174" s="226"/>
      <x:c r="B174" s="226"/>
      <x:c r="C174" s="226"/>
      <x:c r="D174" s="226"/>
      <x:c r="E174" s="226"/>
      <x:c r="F174" s="226"/>
      <x:c r="G174" s="226"/>
      <x:c r="H174" s="226"/>
      <x:c r="I174" s="226"/>
      <x:c r="J174" s="226"/>
      <x:c r="K174" s="226"/>
      <x:c r="L174" s="226"/>
      <x:c r="M174" s="226"/>
      <x:c r="N174" s="226"/>
      <x:c r="O174" s="226"/>
      <x:c r="P174" s="226"/>
      <x:c r="Q174" s="226"/>
      <x:c r="R174" s="226"/>
      <x:c r="S174" s="226"/>
      <x:c r="T174" s="226"/>
      <x:c r="U174" s="226"/>
      <x:c r="V174" s="226"/>
      <x:c r="W174" s="226"/>
      <x:c r="X174" s="226"/>
      <x:c r="Y174" s="226"/>
      <x:c r="Z174" s="226"/>
    </x:row>
    <x:row r="175">
      <x:c r="A175" s="226"/>
      <x:c r="B175" s="226"/>
      <x:c r="C175" s="226"/>
      <x:c r="D175" s="226"/>
      <x:c r="E175" s="226"/>
      <x:c r="F175" s="226"/>
      <x:c r="G175" s="226"/>
      <x:c r="H175" s="226"/>
      <x:c r="I175" s="226"/>
      <x:c r="J175" s="226"/>
      <x:c r="K175" s="226"/>
      <x:c r="L175" s="226"/>
      <x:c r="M175" s="226"/>
      <x:c r="N175" s="226"/>
      <x:c r="O175" s="226"/>
      <x:c r="P175" s="226"/>
      <x:c r="Q175" s="226"/>
      <x:c r="R175" s="226"/>
      <x:c r="S175" s="226"/>
      <x:c r="T175" s="226"/>
      <x:c r="U175" s="226"/>
      <x:c r="V175" s="226"/>
      <x:c r="W175" s="226"/>
      <x:c r="X175" s="226"/>
      <x:c r="Y175" s="226"/>
      <x:c r="Z175" s="226"/>
    </x:row>
    <x:row r="176">
      <x:c r="A176" s="226"/>
      <x:c r="B176" s="226"/>
      <x:c r="C176" s="226"/>
      <x:c r="D176" s="226"/>
      <x:c r="E176" s="226"/>
      <x:c r="F176" s="226"/>
      <x:c r="G176" s="226"/>
      <x:c r="H176" s="226"/>
      <x:c r="I176" s="226"/>
      <x:c r="J176" s="226"/>
      <x:c r="K176" s="226"/>
      <x:c r="L176" s="226"/>
      <x:c r="M176" s="226"/>
      <x:c r="N176" s="226"/>
      <x:c r="O176" s="226"/>
      <x:c r="P176" s="226"/>
      <x:c r="Q176" s="226"/>
      <x:c r="R176" s="226"/>
      <x:c r="S176" s="226"/>
      <x:c r="T176" s="226"/>
      <x:c r="U176" s="226"/>
      <x:c r="V176" s="226"/>
      <x:c r="W176" s="226"/>
      <x:c r="X176" s="226"/>
      <x:c r="Y176" s="226"/>
      <x:c r="Z176" s="226"/>
    </x:row>
    <x:row r="177">
      <x:c r="A177" s="226"/>
      <x:c r="B177" s="226"/>
      <x:c r="C177" s="226"/>
      <x:c r="D177" s="226"/>
      <x:c r="E177" s="226"/>
      <x:c r="F177" s="226"/>
      <x:c r="G177" s="226"/>
      <x:c r="H177" s="226"/>
      <x:c r="I177" s="226"/>
      <x:c r="J177" s="226"/>
      <x:c r="K177" s="226"/>
      <x:c r="L177" s="226"/>
      <x:c r="M177" s="226"/>
      <x:c r="N177" s="226"/>
      <x:c r="O177" s="226"/>
      <x:c r="P177" s="226"/>
      <x:c r="Q177" s="226"/>
      <x:c r="R177" s="226"/>
      <x:c r="S177" s="226"/>
      <x:c r="T177" s="226"/>
      <x:c r="U177" s="226"/>
      <x:c r="V177" s="226"/>
      <x:c r="W177" s="226"/>
      <x:c r="X177" s="226"/>
      <x:c r="Y177" s="226"/>
      <x:c r="Z177" s="226"/>
    </x:row>
    <x:row r="178">
      <x:c r="A178" s="226"/>
      <x:c r="B178" s="226"/>
      <x:c r="C178" s="226"/>
      <x:c r="D178" s="226"/>
      <x:c r="E178" s="226"/>
      <x:c r="F178" s="226"/>
      <x:c r="G178" s="226"/>
      <x:c r="H178" s="226"/>
      <x:c r="I178" s="226"/>
      <x:c r="J178" s="226"/>
      <x:c r="K178" s="226"/>
      <x:c r="L178" s="226"/>
      <x:c r="M178" s="226"/>
      <x:c r="N178" s="226"/>
      <x:c r="O178" s="226"/>
      <x:c r="P178" s="226"/>
      <x:c r="Q178" s="226"/>
      <x:c r="R178" s="226"/>
      <x:c r="S178" s="226"/>
      <x:c r="T178" s="226"/>
      <x:c r="U178" s="226"/>
      <x:c r="V178" s="226"/>
      <x:c r="W178" s="226"/>
      <x:c r="X178" s="226"/>
      <x:c r="Y178" s="226"/>
      <x:c r="Z178" s="226"/>
    </x:row>
    <x:row r="179">
      <x:c r="A179" s="226"/>
      <x:c r="B179" s="226"/>
      <x:c r="C179" s="226"/>
      <x:c r="D179" s="226"/>
      <x:c r="E179" s="226"/>
      <x:c r="F179" s="226"/>
      <x:c r="G179" s="226"/>
      <x:c r="H179" s="226"/>
      <x:c r="I179" s="226"/>
      <x:c r="J179" s="226"/>
      <x:c r="K179" s="226"/>
      <x:c r="L179" s="226"/>
      <x:c r="M179" s="226"/>
      <x:c r="N179" s="226"/>
      <x:c r="O179" s="226"/>
      <x:c r="P179" s="226"/>
      <x:c r="Q179" s="226"/>
      <x:c r="R179" s="226"/>
      <x:c r="S179" s="226"/>
      <x:c r="T179" s="226"/>
      <x:c r="U179" s="226"/>
      <x:c r="V179" s="226"/>
      <x:c r="W179" s="226"/>
      <x:c r="X179" s="226"/>
      <x:c r="Y179" s="226"/>
      <x:c r="Z179" s="226"/>
    </x:row>
    <x:row r="180">
      <x:c r="A180" s="226"/>
      <x:c r="B180" s="226"/>
      <x:c r="C180" s="226"/>
      <x:c r="D180" s="226"/>
      <x:c r="E180" s="226"/>
      <x:c r="F180" s="226"/>
      <x:c r="G180" s="226"/>
      <x:c r="H180" s="226"/>
      <x:c r="I180" s="226"/>
      <x:c r="J180" s="226"/>
      <x:c r="K180" s="226"/>
      <x:c r="L180" s="226"/>
      <x:c r="M180" s="226"/>
      <x:c r="N180" s="226"/>
      <x:c r="O180" s="226"/>
      <x:c r="P180" s="226"/>
      <x:c r="Q180" s="226"/>
      <x:c r="R180" s="226"/>
      <x:c r="S180" s="226"/>
      <x:c r="T180" s="226"/>
      <x:c r="U180" s="226"/>
      <x:c r="V180" s="226"/>
      <x:c r="W180" s="226"/>
      <x:c r="X180" s="226"/>
      <x:c r="Y180" s="226"/>
      <x:c r="Z180" s="226"/>
    </x:row>
    <x:row r="181">
      <x:c r="A181" s="226"/>
      <x:c r="B181" s="226"/>
      <x:c r="C181" s="226"/>
      <x:c r="D181" s="226"/>
      <x:c r="E181" s="226"/>
      <x:c r="F181" s="226"/>
      <x:c r="G181" s="226"/>
      <x:c r="H181" s="226"/>
      <x:c r="I181" s="226"/>
      <x:c r="J181" s="226"/>
      <x:c r="K181" s="226"/>
      <x:c r="L181" s="226"/>
      <x:c r="M181" s="226"/>
      <x:c r="N181" s="226"/>
      <x:c r="O181" s="226"/>
      <x:c r="P181" s="226"/>
      <x:c r="Q181" s="226"/>
      <x:c r="R181" s="226"/>
      <x:c r="S181" s="226"/>
      <x:c r="T181" s="226"/>
      <x:c r="U181" s="226"/>
      <x:c r="V181" s="226"/>
      <x:c r="W181" s="226"/>
      <x:c r="X181" s="226"/>
      <x:c r="Y181" s="226"/>
      <x:c r="Z181" s="226"/>
    </x:row>
    <x:row r="182">
      <x:c r="A182" s="226"/>
      <x:c r="B182" s="226"/>
      <x:c r="C182" s="226"/>
      <x:c r="D182" s="226"/>
      <x:c r="E182" s="226"/>
      <x:c r="F182" s="226"/>
      <x:c r="G182" s="226"/>
      <x:c r="H182" s="226"/>
      <x:c r="I182" s="226"/>
      <x:c r="J182" s="226"/>
      <x:c r="K182" s="226"/>
      <x:c r="L182" s="226"/>
      <x:c r="M182" s="226"/>
      <x:c r="N182" s="226"/>
      <x:c r="O182" s="226"/>
      <x:c r="P182" s="226"/>
      <x:c r="Q182" s="226"/>
      <x:c r="R182" s="226"/>
      <x:c r="S182" s="226"/>
      <x:c r="T182" s="226"/>
      <x:c r="U182" s="226"/>
      <x:c r="V182" s="226"/>
      <x:c r="W182" s="226"/>
      <x:c r="X182" s="226"/>
      <x:c r="Y182" s="226"/>
      <x:c r="Z182" s="226"/>
    </x:row>
    <x:row r="183">
      <x:c r="A183" s="226"/>
      <x:c r="B183" s="226"/>
      <x:c r="C183" s="226"/>
      <x:c r="D183" s="226"/>
      <x:c r="E183" s="226"/>
      <x:c r="F183" s="226"/>
      <x:c r="G183" s="226"/>
      <x:c r="H183" s="226"/>
      <x:c r="I183" s="226"/>
      <x:c r="J183" s="226"/>
      <x:c r="K183" s="226"/>
      <x:c r="L183" s="226"/>
      <x:c r="M183" s="226"/>
      <x:c r="N183" s="226"/>
      <x:c r="O183" s="226"/>
      <x:c r="P183" s="226"/>
      <x:c r="Q183" s="226"/>
      <x:c r="R183" s="226"/>
      <x:c r="S183" s="226"/>
      <x:c r="T183" s="226"/>
      <x:c r="U183" s="226"/>
      <x:c r="V183" s="226"/>
      <x:c r="W183" s="226"/>
      <x:c r="X183" s="226"/>
      <x:c r="Y183" s="226"/>
      <x:c r="Z183" s="226"/>
    </x:row>
    <x:row r="184">
      <x:c r="A184" s="226"/>
      <x:c r="B184" s="226"/>
      <x:c r="C184" s="226"/>
      <x:c r="D184" s="226"/>
      <x:c r="E184" s="226"/>
      <x:c r="F184" s="226"/>
      <x:c r="G184" s="226"/>
      <x:c r="H184" s="226"/>
      <x:c r="I184" s="226"/>
      <x:c r="J184" s="226"/>
      <x:c r="K184" s="226"/>
      <x:c r="L184" s="226"/>
      <x:c r="M184" s="226"/>
      <x:c r="N184" s="226"/>
      <x:c r="O184" s="226"/>
      <x:c r="P184" s="226"/>
      <x:c r="Q184" s="226"/>
      <x:c r="R184" s="226"/>
      <x:c r="S184" s="226"/>
      <x:c r="T184" s="226"/>
      <x:c r="U184" s="226"/>
      <x:c r="V184" s="226"/>
      <x:c r="W184" s="226"/>
      <x:c r="X184" s="226"/>
      <x:c r="Y184" s="226"/>
      <x:c r="Z184" s="226"/>
    </x:row>
    <x:row r="185">
      <x:c r="A185" s="226"/>
      <x:c r="B185" s="226"/>
      <x:c r="C185" s="226"/>
      <x:c r="D185" s="226"/>
      <x:c r="E185" s="226"/>
      <x:c r="F185" s="226"/>
      <x:c r="G185" s="226"/>
      <x:c r="H185" s="226"/>
      <x:c r="I185" s="226"/>
      <x:c r="J185" s="226"/>
      <x:c r="K185" s="226"/>
      <x:c r="L185" s="226"/>
      <x:c r="M185" s="226"/>
      <x:c r="N185" s="226"/>
      <x:c r="O185" s="226"/>
      <x:c r="P185" s="226"/>
      <x:c r="Q185" s="226"/>
      <x:c r="R185" s="226"/>
      <x:c r="S185" s="226"/>
      <x:c r="T185" s="226"/>
      <x:c r="U185" s="226"/>
      <x:c r="V185" s="226"/>
      <x:c r="W185" s="226"/>
      <x:c r="X185" s="226"/>
      <x:c r="Y185" s="226"/>
      <x:c r="Z185" s="226"/>
    </x:row>
    <x:row r="186">
      <x:c r="A186" s="226"/>
      <x:c r="B186" s="226"/>
      <x:c r="C186" s="226"/>
      <x:c r="D186" s="226"/>
      <x:c r="E186" s="226"/>
      <x:c r="F186" s="226"/>
      <x:c r="G186" s="226"/>
      <x:c r="H186" s="226"/>
      <x:c r="I186" s="226"/>
      <x:c r="J186" s="226"/>
      <x:c r="K186" s="226"/>
      <x:c r="L186" s="226"/>
      <x:c r="M186" s="226"/>
      <x:c r="N186" s="226"/>
      <x:c r="O186" s="226"/>
      <x:c r="P186" s="226"/>
      <x:c r="Q186" s="226"/>
      <x:c r="R186" s="226"/>
      <x:c r="S186" s="226"/>
      <x:c r="T186" s="226"/>
      <x:c r="U186" s="226"/>
      <x:c r="V186" s="226"/>
      <x:c r="W186" s="226"/>
      <x:c r="X186" s="226"/>
      <x:c r="Y186" s="226"/>
      <x:c r="Z186" s="226"/>
    </x:row>
    <x:row r="187">
      <x:c r="A187" s="226"/>
      <x:c r="B187" s="226"/>
      <x:c r="C187" s="226"/>
      <x:c r="D187" s="226"/>
      <x:c r="E187" s="226"/>
      <x:c r="F187" s="226"/>
      <x:c r="G187" s="226"/>
      <x:c r="H187" s="226"/>
      <x:c r="I187" s="226"/>
      <x:c r="J187" s="226"/>
      <x:c r="K187" s="226"/>
      <x:c r="L187" s="226"/>
      <x:c r="M187" s="226"/>
      <x:c r="N187" s="226"/>
      <x:c r="O187" s="226"/>
      <x:c r="P187" s="226"/>
      <x:c r="Q187" s="226"/>
      <x:c r="R187" s="226"/>
      <x:c r="S187" s="226"/>
      <x:c r="T187" s="226"/>
      <x:c r="U187" s="226"/>
      <x:c r="V187" s="226"/>
      <x:c r="W187" s="226"/>
      <x:c r="X187" s="226"/>
      <x:c r="Y187" s="226"/>
      <x:c r="Z187" s="226"/>
    </x:row>
    <x:row r="188">
      <x:c r="A188" s="226"/>
      <x:c r="B188" s="226"/>
      <x:c r="C188" s="226"/>
      <x:c r="D188" s="226"/>
      <x:c r="E188" s="226"/>
      <x:c r="F188" s="226"/>
      <x:c r="G188" s="226"/>
      <x:c r="H188" s="226"/>
      <x:c r="I188" s="226"/>
      <x:c r="J188" s="226"/>
      <x:c r="K188" s="226"/>
      <x:c r="L188" s="226"/>
      <x:c r="M188" s="226"/>
      <x:c r="N188" s="226"/>
      <x:c r="O188" s="226"/>
      <x:c r="P188" s="226"/>
      <x:c r="Q188" s="226"/>
      <x:c r="R188" s="226"/>
      <x:c r="S188" s="226"/>
      <x:c r="T188" s="226"/>
      <x:c r="U188" s="226"/>
      <x:c r="V188" s="226"/>
      <x:c r="W188" s="226"/>
      <x:c r="X188" s="226"/>
      <x:c r="Y188" s="226"/>
      <x:c r="Z188" s="226"/>
    </x:row>
    <x:row r="189">
      <x:c r="A189" s="226"/>
      <x:c r="B189" s="226"/>
      <x:c r="C189" s="226"/>
      <x:c r="D189" s="226"/>
      <x:c r="E189" s="226"/>
      <x:c r="F189" s="226"/>
      <x:c r="G189" s="226"/>
      <x:c r="H189" s="226"/>
      <x:c r="I189" s="226"/>
      <x:c r="J189" s="226"/>
      <x:c r="K189" s="226"/>
      <x:c r="L189" s="226"/>
      <x:c r="M189" s="226"/>
      <x:c r="N189" s="226"/>
      <x:c r="O189" s="226"/>
      <x:c r="P189" s="226"/>
      <x:c r="Q189" s="226"/>
      <x:c r="R189" s="226"/>
      <x:c r="S189" s="226"/>
      <x:c r="T189" s="226"/>
      <x:c r="U189" s="226"/>
      <x:c r="V189" s="226"/>
      <x:c r="W189" s="226"/>
      <x:c r="X189" s="226"/>
      <x:c r="Y189" s="226"/>
      <x:c r="Z189" s="226"/>
    </x:row>
    <x:row r="190">
      <x:c r="A190" s="226"/>
      <x:c r="B190" s="226"/>
      <x:c r="C190" s="226"/>
      <x:c r="D190" s="226"/>
      <x:c r="E190" s="226"/>
      <x:c r="F190" s="226"/>
      <x:c r="G190" s="226"/>
      <x:c r="H190" s="226"/>
      <x:c r="I190" s="226"/>
      <x:c r="J190" s="226"/>
      <x:c r="K190" s="226"/>
      <x:c r="L190" s="226"/>
      <x:c r="M190" s="226"/>
      <x:c r="N190" s="226"/>
      <x:c r="O190" s="226"/>
      <x:c r="P190" s="226"/>
      <x:c r="Q190" s="226"/>
      <x:c r="R190" s="226"/>
      <x:c r="S190" s="226"/>
      <x:c r="T190" s="226"/>
      <x:c r="U190" s="226"/>
      <x:c r="V190" s="226"/>
      <x:c r="W190" s="226"/>
      <x:c r="X190" s="226"/>
      <x:c r="Y190" s="226"/>
      <x:c r="Z190" s="226"/>
    </x:row>
    <x:row r="191">
      <x:c r="A191" s="226"/>
      <x:c r="B191" s="226"/>
      <x:c r="C191" s="226"/>
      <x:c r="D191" s="226"/>
      <x:c r="E191" s="226"/>
      <x:c r="F191" s="226"/>
      <x:c r="G191" s="226"/>
      <x:c r="H191" s="226"/>
      <x:c r="I191" s="226"/>
      <x:c r="J191" s="226"/>
      <x:c r="K191" s="226"/>
      <x:c r="L191" s="226"/>
      <x:c r="M191" s="226"/>
      <x:c r="N191" s="226"/>
      <x:c r="O191" s="226"/>
      <x:c r="P191" s="226"/>
      <x:c r="Q191" s="226"/>
      <x:c r="R191" s="226"/>
      <x:c r="S191" s="226"/>
      <x:c r="T191" s="226"/>
      <x:c r="U191" s="226"/>
      <x:c r="V191" s="226"/>
      <x:c r="W191" s="226"/>
      <x:c r="X191" s="226"/>
      <x:c r="Y191" s="226"/>
      <x:c r="Z191" s="226"/>
    </x:row>
    <x:row r="192">
      <x:c r="A192" s="226"/>
      <x:c r="B192" s="226"/>
      <x:c r="C192" s="226"/>
      <x:c r="D192" s="226"/>
      <x:c r="E192" s="226"/>
      <x:c r="F192" s="226"/>
      <x:c r="G192" s="226"/>
      <x:c r="H192" s="226"/>
      <x:c r="I192" s="226"/>
      <x:c r="J192" s="226"/>
      <x:c r="K192" s="226"/>
      <x:c r="L192" s="226"/>
      <x:c r="M192" s="226"/>
      <x:c r="N192" s="226"/>
      <x:c r="O192" s="226"/>
      <x:c r="P192" s="226"/>
      <x:c r="Q192" s="226"/>
      <x:c r="R192" s="226"/>
      <x:c r="S192" s="226"/>
      <x:c r="T192" s="226"/>
      <x:c r="U192" s="226"/>
      <x:c r="V192" s="226"/>
      <x:c r="W192" s="226"/>
      <x:c r="X192" s="226"/>
      <x:c r="Y192" s="226"/>
      <x:c r="Z192" s="226"/>
    </x:row>
    <x:row r="193">
      <x:c r="A193" s="226"/>
      <x:c r="B193" s="226"/>
      <x:c r="C193" s="226"/>
      <x:c r="D193" s="226"/>
      <x:c r="E193" s="226"/>
      <x:c r="F193" s="226"/>
      <x:c r="G193" s="226"/>
      <x:c r="H193" s="226"/>
      <x:c r="I193" s="226"/>
      <x:c r="J193" s="226"/>
      <x:c r="K193" s="226"/>
      <x:c r="L193" s="226"/>
      <x:c r="M193" s="226"/>
      <x:c r="N193" s="226"/>
      <x:c r="O193" s="226"/>
      <x:c r="P193" s="226"/>
      <x:c r="Q193" s="226"/>
      <x:c r="R193" s="226"/>
      <x:c r="S193" s="226"/>
      <x:c r="T193" s="226"/>
      <x:c r="U193" s="226"/>
      <x:c r="V193" s="226"/>
      <x:c r="W193" s="226"/>
      <x:c r="X193" s="226"/>
      <x:c r="Y193" s="226"/>
      <x:c r="Z193" s="226"/>
    </x:row>
    <x:row r="194">
      <x:c r="A194" s="226"/>
      <x:c r="B194" s="226"/>
      <x:c r="C194" s="226"/>
      <x:c r="D194" s="226"/>
      <x:c r="E194" s="226"/>
      <x:c r="F194" s="226"/>
      <x:c r="G194" s="226"/>
      <x:c r="H194" s="226"/>
      <x:c r="I194" s="226"/>
      <x:c r="J194" s="226"/>
      <x:c r="K194" s="226"/>
      <x:c r="L194" s="226"/>
      <x:c r="M194" s="226"/>
      <x:c r="N194" s="226"/>
      <x:c r="O194" s="226"/>
      <x:c r="P194" s="226"/>
      <x:c r="Q194" s="226"/>
      <x:c r="R194" s="226"/>
      <x:c r="S194" s="226"/>
      <x:c r="T194" s="226"/>
      <x:c r="U194" s="226"/>
      <x:c r="V194" s="226"/>
      <x:c r="W194" s="226"/>
      <x:c r="X194" s="226"/>
      <x:c r="Y194" s="226"/>
      <x:c r="Z194" s="226"/>
    </x:row>
    <x:row r="195">
      <x:c r="A195" s="226"/>
      <x:c r="B195" s="226"/>
      <x:c r="C195" s="226"/>
      <x:c r="D195" s="226"/>
      <x:c r="E195" s="226"/>
      <x:c r="F195" s="226"/>
      <x:c r="G195" s="226"/>
      <x:c r="H195" s="226"/>
      <x:c r="I195" s="226"/>
      <x:c r="J195" s="226"/>
      <x:c r="K195" s="226"/>
      <x:c r="L195" s="226"/>
      <x:c r="M195" s="226"/>
      <x:c r="N195" s="226"/>
      <x:c r="O195" s="226"/>
      <x:c r="P195" s="226"/>
      <x:c r="Q195" s="226"/>
      <x:c r="R195" s="226"/>
      <x:c r="S195" s="226"/>
      <x:c r="T195" s="226"/>
      <x:c r="U195" s="226"/>
      <x:c r="V195" s="226"/>
      <x:c r="W195" s="226"/>
      <x:c r="X195" s="226"/>
      <x:c r="Y195" s="226"/>
      <x:c r="Z195" s="226"/>
    </x:row>
    <x:row r="196">
      <x:c r="A196" s="226"/>
      <x:c r="B196" s="226"/>
      <x:c r="C196" s="226"/>
      <x:c r="D196" s="226"/>
      <x:c r="E196" s="226"/>
      <x:c r="F196" s="226"/>
      <x:c r="G196" s="226"/>
      <x:c r="H196" s="226"/>
      <x:c r="I196" s="226"/>
      <x:c r="J196" s="226"/>
      <x:c r="K196" s="226"/>
      <x:c r="L196" s="226"/>
      <x:c r="M196" s="226"/>
      <x:c r="N196" s="226"/>
      <x:c r="O196" s="226"/>
      <x:c r="P196" s="226"/>
      <x:c r="Q196" s="226"/>
      <x:c r="R196" s="226"/>
      <x:c r="S196" s="226"/>
      <x:c r="T196" s="226"/>
      <x:c r="U196" s="226"/>
      <x:c r="V196" s="226"/>
      <x:c r="W196" s="226"/>
      <x:c r="X196" s="226"/>
      <x:c r="Y196" s="226"/>
      <x:c r="Z196" s="226"/>
    </x:row>
    <x:row r="197">
      <x:c r="A197" s="226"/>
      <x:c r="B197" s="226"/>
      <x:c r="C197" s="226"/>
      <x:c r="D197" s="226"/>
      <x:c r="E197" s="226"/>
      <x:c r="F197" s="226"/>
      <x:c r="G197" s="226"/>
      <x:c r="H197" s="226"/>
      <x:c r="I197" s="226"/>
      <x:c r="J197" s="226"/>
      <x:c r="K197" s="226"/>
      <x:c r="L197" s="226"/>
      <x:c r="M197" s="226"/>
      <x:c r="N197" s="226"/>
      <x:c r="O197" s="226"/>
      <x:c r="P197" s="226"/>
      <x:c r="Q197" s="226"/>
      <x:c r="R197" s="226"/>
      <x:c r="S197" s="226"/>
      <x:c r="T197" s="226"/>
      <x:c r="U197" s="226"/>
      <x:c r="V197" s="226"/>
      <x:c r="W197" s="226"/>
      <x:c r="X197" s="226"/>
      <x:c r="Y197" s="226"/>
      <x:c r="Z197" s="226"/>
    </x:row>
    <x:row r="198">
      <x:c r="A198" s="226"/>
      <x:c r="B198" s="226"/>
      <x:c r="C198" s="226"/>
      <x:c r="D198" s="226"/>
      <x:c r="E198" s="226"/>
      <x:c r="F198" s="226"/>
      <x:c r="G198" s="226"/>
      <x:c r="H198" s="226"/>
      <x:c r="I198" s="226"/>
      <x:c r="J198" s="226"/>
      <x:c r="K198" s="226"/>
      <x:c r="L198" s="226"/>
      <x:c r="M198" s="226"/>
      <x:c r="N198" s="226"/>
      <x:c r="O198" s="226"/>
      <x:c r="P198" s="226"/>
      <x:c r="Q198" s="226"/>
      <x:c r="R198" s="226"/>
      <x:c r="S198" s="226"/>
      <x:c r="T198" s="226"/>
      <x:c r="U198" s="226"/>
      <x:c r="V198" s="226"/>
      <x:c r="W198" s="226"/>
      <x:c r="X198" s="226"/>
      <x:c r="Y198" s="226"/>
      <x:c r="Z198" s="226"/>
    </x:row>
    <x:row r="199">
      <x:c r="A199" s="226"/>
      <x:c r="B199" s="226"/>
      <x:c r="C199" s="226"/>
      <x:c r="D199" s="226"/>
      <x:c r="E199" s="226"/>
      <x:c r="F199" s="226"/>
      <x:c r="G199" s="226"/>
      <x:c r="H199" s="226"/>
      <x:c r="I199" s="226"/>
      <x:c r="J199" s="226"/>
      <x:c r="K199" s="226"/>
      <x:c r="L199" s="226"/>
      <x:c r="M199" s="226"/>
      <x:c r="N199" s="226"/>
      <x:c r="O199" s="226"/>
      <x:c r="P199" s="226"/>
      <x:c r="Q199" s="226"/>
      <x:c r="R199" s="226"/>
      <x:c r="S199" s="226"/>
      <x:c r="T199" s="226"/>
      <x:c r="U199" s="226"/>
      <x:c r="V199" s="226"/>
      <x:c r="W199" s="226"/>
      <x:c r="X199" s="226"/>
      <x:c r="Y199" s="226"/>
      <x:c r="Z199" s="226"/>
    </x:row>
    <x:row r="200">
      <x:c r="A200" s="226"/>
      <x:c r="B200" s="226"/>
      <x:c r="C200" s="226"/>
      <x:c r="D200" s="226"/>
      <x:c r="E200" s="226"/>
      <x:c r="F200" s="226"/>
      <x:c r="G200" s="226"/>
      <x:c r="H200" s="226"/>
      <x:c r="I200" s="226"/>
      <x:c r="J200" s="226"/>
      <x:c r="K200" s="226"/>
      <x:c r="L200" s="226"/>
      <x:c r="M200" s="226"/>
      <x:c r="N200" s="226"/>
      <x:c r="O200" s="226"/>
      <x:c r="P200" s="226"/>
      <x:c r="Q200" s="226"/>
      <x:c r="R200" s="226"/>
      <x:c r="S200" s="226"/>
      <x:c r="T200" s="226"/>
      <x:c r="U200" s="226"/>
      <x:c r="V200" s="226"/>
      <x:c r="W200" s="226"/>
      <x:c r="X200" s="226"/>
      <x:c r="Y200" s="226"/>
      <x:c r="Z200" s="226"/>
    </x:row>
    <x:row r="201">
      <x:c r="A201" s="226"/>
      <x:c r="B201" s="226"/>
      <x:c r="C201" s="226"/>
      <x:c r="D201" s="226"/>
      <x:c r="E201" s="226"/>
      <x:c r="F201" s="226"/>
      <x:c r="G201" s="226"/>
      <x:c r="H201" s="226"/>
      <x:c r="I201" s="226"/>
      <x:c r="J201" s="226"/>
      <x:c r="K201" s="226"/>
      <x:c r="L201" s="226"/>
      <x:c r="M201" s="226"/>
      <x:c r="N201" s="226"/>
      <x:c r="O201" s="226"/>
      <x:c r="P201" s="226"/>
      <x:c r="Q201" s="226"/>
      <x:c r="R201" s="226"/>
      <x:c r="S201" s="226"/>
      <x:c r="T201" s="226"/>
      <x:c r="U201" s="226"/>
      <x:c r="V201" s="226"/>
      <x:c r="W201" s="226"/>
      <x:c r="X201" s="226"/>
      <x:c r="Y201" s="226"/>
      <x:c r="Z201" s="226"/>
    </x:row>
    <x:row r="202">
      <x:c r="A202" s="226"/>
      <x:c r="B202" s="226"/>
      <x:c r="C202" s="226"/>
      <x:c r="D202" s="226"/>
      <x:c r="E202" s="226"/>
      <x:c r="F202" s="226"/>
      <x:c r="G202" s="226"/>
      <x:c r="H202" s="226"/>
      <x:c r="I202" s="226"/>
      <x:c r="J202" s="226"/>
      <x:c r="K202" s="226"/>
      <x:c r="L202" s="226"/>
      <x:c r="M202" s="226"/>
      <x:c r="N202" s="226"/>
      <x:c r="O202" s="226"/>
      <x:c r="P202" s="226"/>
      <x:c r="Q202" s="226"/>
      <x:c r="R202" s="226"/>
      <x:c r="S202" s="226"/>
      <x:c r="T202" s="226"/>
      <x:c r="U202" s="226"/>
      <x:c r="V202" s="226"/>
      <x:c r="W202" s="226"/>
      <x:c r="X202" s="226"/>
      <x:c r="Y202" s="226"/>
      <x:c r="Z202" s="226"/>
    </x:row>
    <x:row r="203">
      <x:c r="A203" s="226"/>
      <x:c r="B203" s="226"/>
      <x:c r="C203" s="226"/>
      <x:c r="D203" s="226"/>
      <x:c r="E203" s="226"/>
      <x:c r="F203" s="226"/>
      <x:c r="G203" s="226"/>
      <x:c r="H203" s="226"/>
      <x:c r="I203" s="226"/>
      <x:c r="J203" s="226"/>
      <x:c r="K203" s="226"/>
      <x:c r="L203" s="226"/>
      <x:c r="M203" s="226"/>
      <x:c r="N203" s="226"/>
      <x:c r="O203" s="226"/>
      <x:c r="P203" s="226"/>
      <x:c r="Q203" s="226"/>
      <x:c r="R203" s="226"/>
      <x:c r="S203" s="226"/>
      <x:c r="T203" s="226"/>
      <x:c r="U203" s="226"/>
      <x:c r="V203" s="226"/>
      <x:c r="W203" s="226"/>
      <x:c r="X203" s="226"/>
      <x:c r="Y203" s="226"/>
      <x:c r="Z203" s="226"/>
    </x:row>
    <x:row r="204">
      <x:c r="A204" s="226"/>
      <x:c r="B204" s="226"/>
      <x:c r="C204" s="226"/>
      <x:c r="D204" s="226"/>
      <x:c r="E204" s="226"/>
      <x:c r="F204" s="226"/>
      <x:c r="G204" s="226"/>
      <x:c r="H204" s="226"/>
      <x:c r="I204" s="226"/>
      <x:c r="J204" s="226"/>
      <x:c r="K204" s="226"/>
      <x:c r="L204" s="226"/>
      <x:c r="M204" s="226"/>
      <x:c r="N204" s="226"/>
      <x:c r="O204" s="226"/>
      <x:c r="P204" s="226"/>
      <x:c r="Q204" s="226"/>
      <x:c r="R204" s="226"/>
      <x:c r="S204" s="226"/>
      <x:c r="T204" s="226"/>
      <x:c r="U204" s="226"/>
      <x:c r="V204" s="226"/>
      <x:c r="W204" s="226"/>
      <x:c r="X204" s="226"/>
      <x:c r="Y204" s="226"/>
      <x:c r="Z204" s="226"/>
    </x:row>
    <x:row r="205">
      <x:c r="A205" s="226"/>
      <x:c r="B205" s="226"/>
      <x:c r="C205" s="226"/>
      <x:c r="D205" s="226"/>
      <x:c r="E205" s="226"/>
      <x:c r="F205" s="226"/>
      <x:c r="G205" s="226"/>
      <x:c r="H205" s="226"/>
      <x:c r="I205" s="226"/>
      <x:c r="J205" s="226"/>
      <x:c r="K205" s="226"/>
      <x:c r="L205" s="226"/>
      <x:c r="M205" s="226"/>
      <x:c r="N205" s="226"/>
      <x:c r="O205" s="226"/>
      <x:c r="P205" s="226"/>
      <x:c r="Q205" s="226"/>
      <x:c r="R205" s="226"/>
      <x:c r="S205" s="226"/>
      <x:c r="T205" s="226"/>
      <x:c r="U205" s="226"/>
      <x:c r="V205" s="226"/>
      <x:c r="W205" s="226"/>
      <x:c r="X205" s="226"/>
      <x:c r="Y205" s="226"/>
      <x:c r="Z205" s="226"/>
    </x:row>
    <x:row r="206">
      <x:c r="A206" s="226"/>
      <x:c r="B206" s="226"/>
      <x:c r="C206" s="226"/>
      <x:c r="D206" s="226"/>
      <x:c r="E206" s="226"/>
      <x:c r="F206" s="226"/>
      <x:c r="G206" s="226"/>
      <x:c r="H206" s="226"/>
      <x:c r="I206" s="226"/>
      <x:c r="J206" s="226"/>
      <x:c r="K206" s="226"/>
      <x:c r="L206" s="226"/>
      <x:c r="M206" s="226"/>
      <x:c r="N206" s="226"/>
      <x:c r="O206" s="226"/>
      <x:c r="P206" s="226"/>
      <x:c r="Q206" s="226"/>
      <x:c r="R206" s="226"/>
      <x:c r="S206" s="226"/>
      <x:c r="T206" s="226"/>
      <x:c r="U206" s="226"/>
      <x:c r="V206" s="226"/>
      <x:c r="W206" s="226"/>
      <x:c r="X206" s="226"/>
      <x:c r="Y206" s="226"/>
      <x:c r="Z206" s="226"/>
    </x:row>
    <x:row r="207">
      <x:c r="A207" s="226"/>
      <x:c r="B207" s="226"/>
      <x:c r="C207" s="226"/>
      <x:c r="D207" s="226"/>
      <x:c r="E207" s="226"/>
      <x:c r="F207" s="226"/>
      <x:c r="G207" s="226"/>
      <x:c r="H207" s="226"/>
      <x:c r="I207" s="226"/>
      <x:c r="J207" s="226"/>
      <x:c r="K207" s="226"/>
      <x:c r="L207" s="226"/>
      <x:c r="M207" s="226"/>
      <x:c r="N207" s="226"/>
      <x:c r="O207" s="226"/>
      <x:c r="P207" s="226"/>
      <x:c r="Q207" s="226"/>
      <x:c r="R207" s="226"/>
      <x:c r="S207" s="226"/>
      <x:c r="T207" s="226"/>
      <x:c r="U207" s="226"/>
      <x:c r="V207" s="226"/>
      <x:c r="W207" s="226"/>
      <x:c r="X207" s="226"/>
      <x:c r="Y207" s="226"/>
      <x:c r="Z207" s="226"/>
    </x:row>
    <x:row r="208">
      <x:c r="A208" s="226"/>
      <x:c r="B208" s="226"/>
      <x:c r="C208" s="226"/>
      <x:c r="D208" s="226"/>
      <x:c r="E208" s="226"/>
      <x:c r="F208" s="226"/>
      <x:c r="G208" s="226"/>
      <x:c r="H208" s="226"/>
      <x:c r="I208" s="226"/>
      <x:c r="J208" s="226"/>
      <x:c r="K208" s="226"/>
      <x:c r="L208" s="226"/>
      <x:c r="M208" s="226"/>
      <x:c r="N208" s="226"/>
      <x:c r="O208" s="226"/>
      <x:c r="P208" s="226"/>
      <x:c r="Q208" s="226"/>
      <x:c r="R208" s="226"/>
      <x:c r="S208" s="226"/>
      <x:c r="T208" s="226"/>
      <x:c r="U208" s="226"/>
      <x:c r="V208" s="226"/>
      <x:c r="W208" s="226"/>
      <x:c r="X208" s="226"/>
      <x:c r="Y208" s="226"/>
      <x:c r="Z208" s="226"/>
    </x:row>
    <x:row r="209">
      <x:c r="A209" s="226"/>
      <x:c r="B209" s="226"/>
      <x:c r="C209" s="226"/>
      <x:c r="D209" s="226"/>
      <x:c r="E209" s="226"/>
      <x:c r="F209" s="226"/>
      <x:c r="G209" s="226"/>
      <x:c r="H209" s="226"/>
      <x:c r="I209" s="226"/>
      <x:c r="J209" s="226"/>
      <x:c r="K209" s="226"/>
      <x:c r="L209" s="226"/>
      <x:c r="M209" s="226"/>
      <x:c r="N209" s="226"/>
      <x:c r="O209" s="226"/>
      <x:c r="P209" s="226"/>
      <x:c r="Q209" s="226"/>
      <x:c r="R209" s="226"/>
      <x:c r="S209" s="226"/>
      <x:c r="T209" s="226"/>
      <x:c r="U209" s="226"/>
      <x:c r="V209" s="226"/>
      <x:c r="W209" s="226"/>
      <x:c r="X209" s="226"/>
      <x:c r="Y209" s="226"/>
      <x:c r="Z209" s="226"/>
    </x:row>
    <x:row r="210">
      <x:c r="A210" s="226"/>
      <x:c r="B210" s="226"/>
      <x:c r="C210" s="226"/>
      <x:c r="D210" s="226"/>
      <x:c r="E210" s="226"/>
      <x:c r="F210" s="226"/>
      <x:c r="G210" s="226"/>
      <x:c r="H210" s="226"/>
      <x:c r="I210" s="226"/>
      <x:c r="J210" s="226"/>
      <x:c r="K210" s="226"/>
      <x:c r="L210" s="226"/>
      <x:c r="M210" s="226"/>
      <x:c r="N210" s="226"/>
      <x:c r="O210" s="226"/>
      <x:c r="P210" s="226"/>
      <x:c r="Q210" s="226"/>
      <x:c r="R210" s="226"/>
      <x:c r="S210" s="226"/>
      <x:c r="T210" s="226"/>
      <x:c r="U210" s="226"/>
      <x:c r="V210" s="226"/>
      <x:c r="W210" s="226"/>
      <x:c r="X210" s="226"/>
      <x:c r="Y210" s="226"/>
      <x:c r="Z210" s="226"/>
    </x:row>
    <x:row r="211">
      <x:c r="A211" s="226"/>
      <x:c r="B211" s="226"/>
      <x:c r="C211" s="226"/>
      <x:c r="D211" s="226"/>
      <x:c r="E211" s="226"/>
      <x:c r="F211" s="226"/>
      <x:c r="G211" s="226"/>
      <x:c r="H211" s="226"/>
      <x:c r="I211" s="226"/>
      <x:c r="J211" s="226"/>
      <x:c r="K211" s="226"/>
      <x:c r="L211" s="226"/>
      <x:c r="M211" s="226"/>
      <x:c r="N211" s="226"/>
      <x:c r="O211" s="226"/>
      <x:c r="P211" s="226"/>
      <x:c r="Q211" s="226"/>
      <x:c r="R211" s="226"/>
      <x:c r="S211" s="226"/>
      <x:c r="T211" s="226"/>
      <x:c r="U211" s="226"/>
      <x:c r="V211" s="226"/>
      <x:c r="W211" s="226"/>
      <x:c r="X211" s="226"/>
      <x:c r="Y211" s="226"/>
      <x:c r="Z211" s="226"/>
    </x:row>
    <x:row r="212">
      <x:c r="A212" s="226"/>
      <x:c r="B212" s="226"/>
      <x:c r="C212" s="226"/>
      <x:c r="D212" s="226"/>
      <x:c r="E212" s="226"/>
      <x:c r="F212" s="226"/>
      <x:c r="G212" s="226"/>
      <x:c r="H212" s="226"/>
      <x:c r="I212" s="226"/>
      <x:c r="J212" s="226"/>
      <x:c r="K212" s="226"/>
      <x:c r="L212" s="226"/>
      <x:c r="M212" s="226"/>
      <x:c r="N212" s="226"/>
      <x:c r="O212" s="226"/>
      <x:c r="P212" s="226"/>
      <x:c r="Q212" s="226"/>
      <x:c r="R212" s="226"/>
      <x:c r="S212" s="226"/>
      <x:c r="T212" s="226"/>
      <x:c r="U212" s="226"/>
      <x:c r="V212" s="226"/>
      <x:c r="W212" s="226"/>
      <x:c r="X212" s="226"/>
      <x:c r="Y212" s="226"/>
      <x:c r="Z212" s="226"/>
    </x:row>
    <x:row r="213">
      <x:c r="A213" s="226"/>
      <x:c r="B213" s="226"/>
      <x:c r="C213" s="226"/>
      <x:c r="D213" s="226"/>
      <x:c r="E213" s="226"/>
      <x:c r="F213" s="226"/>
      <x:c r="G213" s="226"/>
      <x:c r="H213" s="226"/>
      <x:c r="I213" s="226"/>
      <x:c r="J213" s="226"/>
      <x:c r="K213" s="226"/>
      <x:c r="L213" s="226"/>
      <x:c r="M213" s="226"/>
      <x:c r="N213" s="226"/>
      <x:c r="O213" s="226"/>
      <x:c r="P213" s="226"/>
      <x:c r="Q213" s="226"/>
      <x:c r="R213" s="226"/>
      <x:c r="S213" s="226"/>
      <x:c r="T213" s="226"/>
      <x:c r="U213" s="226"/>
      <x:c r="V213" s="226"/>
      <x:c r="W213" s="226"/>
      <x:c r="X213" s="226"/>
      <x:c r="Y213" s="226"/>
      <x:c r="Z213" s="226"/>
    </x:row>
    <x:row r="214">
      <x:c r="A214" s="226"/>
      <x:c r="B214" s="226"/>
      <x:c r="C214" s="226"/>
      <x:c r="D214" s="226"/>
      <x:c r="E214" s="226"/>
      <x:c r="F214" s="226"/>
      <x:c r="G214" s="226"/>
      <x:c r="H214" s="226"/>
      <x:c r="I214" s="226"/>
      <x:c r="J214" s="226"/>
      <x:c r="K214" s="226"/>
      <x:c r="L214" s="226"/>
      <x:c r="M214" s="226"/>
      <x:c r="N214" s="226"/>
      <x:c r="O214" s="226"/>
      <x:c r="P214" s="226"/>
      <x:c r="Q214" s="226"/>
      <x:c r="R214" s="226"/>
      <x:c r="S214" s="226"/>
      <x:c r="T214" s="226"/>
      <x:c r="U214" s="226"/>
      <x:c r="V214" s="226"/>
      <x:c r="W214" s="226"/>
      <x:c r="X214" s="226"/>
      <x:c r="Y214" s="226"/>
      <x:c r="Z214" s="226"/>
    </x:row>
    <x:row r="215">
      <x:c r="A215" s="226"/>
      <x:c r="B215" s="226"/>
      <x:c r="C215" s="226"/>
      <x:c r="D215" s="226"/>
      <x:c r="E215" s="226"/>
      <x:c r="F215" s="226"/>
      <x:c r="G215" s="226"/>
      <x:c r="H215" s="226"/>
      <x:c r="I215" s="226"/>
      <x:c r="J215" s="226"/>
      <x:c r="K215" s="226"/>
      <x:c r="L215" s="226"/>
      <x:c r="M215" s="226"/>
      <x:c r="N215" s="226"/>
      <x:c r="O215" s="226"/>
      <x:c r="P215" s="226"/>
      <x:c r="Q215" s="226"/>
      <x:c r="R215" s="226"/>
      <x:c r="S215" s="226"/>
      <x:c r="T215" s="226"/>
      <x:c r="U215" s="226"/>
      <x:c r="V215" s="226"/>
      <x:c r="W215" s="226"/>
      <x:c r="X215" s="226"/>
      <x:c r="Y215" s="226"/>
      <x:c r="Z215" s="226"/>
    </x:row>
    <x:row r="216">
      <x:c r="A216" s="226"/>
      <x:c r="B216" s="226"/>
      <x:c r="C216" s="226"/>
      <x:c r="D216" s="226"/>
      <x:c r="E216" s="226"/>
      <x:c r="F216" s="226"/>
      <x:c r="G216" s="226"/>
      <x:c r="H216" s="226"/>
      <x:c r="I216" s="226"/>
      <x:c r="J216" s="226"/>
      <x:c r="K216" s="226"/>
      <x:c r="L216" s="226"/>
      <x:c r="M216" s="226"/>
      <x:c r="N216" s="226"/>
      <x:c r="O216" s="226"/>
      <x:c r="P216" s="226"/>
      <x:c r="Q216" s="226"/>
      <x:c r="R216" s="226"/>
      <x:c r="S216" s="226"/>
      <x:c r="T216" s="226"/>
      <x:c r="U216" s="226"/>
      <x:c r="V216" s="226"/>
      <x:c r="W216" s="226"/>
      <x:c r="X216" s="226"/>
      <x:c r="Y216" s="226"/>
      <x:c r="Z216" s="226"/>
    </x:row>
    <x:row r="217">
      <x:c r="A217" s="226"/>
      <x:c r="B217" s="226"/>
      <x:c r="C217" s="226"/>
      <x:c r="D217" s="226"/>
      <x:c r="E217" s="226"/>
      <x:c r="F217" s="226"/>
      <x:c r="G217" s="226"/>
      <x:c r="H217" s="226"/>
      <x:c r="I217" s="226"/>
      <x:c r="J217" s="226"/>
      <x:c r="K217" s="226"/>
      <x:c r="L217" s="226"/>
      <x:c r="M217" s="226"/>
      <x:c r="N217" s="226"/>
      <x:c r="O217" s="226"/>
      <x:c r="P217" s="226"/>
      <x:c r="Q217" s="226"/>
      <x:c r="R217" s="226"/>
      <x:c r="S217" s="226"/>
      <x:c r="T217" s="226"/>
      <x:c r="U217" s="226"/>
      <x:c r="V217" s="226"/>
      <x:c r="W217" s="226"/>
      <x:c r="X217" s="226"/>
      <x:c r="Y217" s="226"/>
      <x:c r="Z217" s="226"/>
    </x:row>
    <x:row r="218">
      <x:c r="A218" s="226"/>
      <x:c r="B218" s="226"/>
      <x:c r="C218" s="226"/>
      <x:c r="D218" s="226"/>
      <x:c r="E218" s="226"/>
      <x:c r="F218" s="226"/>
      <x:c r="G218" s="226"/>
      <x:c r="H218" s="226"/>
      <x:c r="I218" s="226"/>
      <x:c r="J218" s="226"/>
      <x:c r="K218" s="226"/>
      <x:c r="L218" s="226"/>
      <x:c r="M218" s="226"/>
      <x:c r="N218" s="226"/>
      <x:c r="O218" s="226"/>
      <x:c r="P218" s="226"/>
      <x:c r="Q218" s="226"/>
      <x:c r="R218" s="226"/>
      <x:c r="S218" s="226"/>
      <x:c r="T218" s="226"/>
      <x:c r="U218" s="226"/>
      <x:c r="V218" s="226"/>
      <x:c r="W218" s="226"/>
      <x:c r="X218" s="226"/>
      <x:c r="Y218" s="226"/>
      <x:c r="Z218" s="226"/>
    </x:row>
    <x:row r="219">
      <x:c r="A219" s="226"/>
      <x:c r="B219" s="226"/>
      <x:c r="C219" s="226"/>
      <x:c r="D219" s="226"/>
      <x:c r="E219" s="226"/>
      <x:c r="F219" s="226"/>
      <x:c r="G219" s="226"/>
      <x:c r="H219" s="226"/>
      <x:c r="I219" s="226"/>
      <x:c r="J219" s="226"/>
      <x:c r="K219" s="226"/>
      <x:c r="L219" s="226"/>
      <x:c r="M219" s="226"/>
      <x:c r="N219" s="226"/>
      <x:c r="O219" s="226"/>
      <x:c r="P219" s="226"/>
      <x:c r="Q219" s="226"/>
      <x:c r="R219" s="226"/>
      <x:c r="S219" s="226"/>
      <x:c r="T219" s="226"/>
      <x:c r="U219" s="226"/>
      <x:c r="V219" s="226"/>
      <x:c r="W219" s="226"/>
      <x:c r="X219" s="226"/>
      <x:c r="Y219" s="226"/>
      <x:c r="Z219" s="226"/>
    </x:row>
    <x:row r="220">
      <x:c r="A220" s="226"/>
      <x:c r="B220" s="226"/>
      <x:c r="C220" s="226"/>
      <x:c r="D220" s="226"/>
      <x:c r="E220" s="226"/>
      <x:c r="F220" s="226"/>
      <x:c r="G220" s="226"/>
      <x:c r="H220" s="226"/>
      <x:c r="I220" s="226"/>
      <x:c r="J220" s="226"/>
      <x:c r="K220" s="226"/>
      <x:c r="L220" s="226"/>
      <x:c r="M220" s="226"/>
      <x:c r="N220" s="226"/>
      <x:c r="O220" s="226"/>
      <x:c r="P220" s="226"/>
      <x:c r="Q220" s="226"/>
      <x:c r="R220" s="226"/>
      <x:c r="S220" s="226"/>
      <x:c r="T220" s="226"/>
      <x:c r="U220" s="226"/>
      <x:c r="V220" s="226"/>
      <x:c r="W220" s="226"/>
      <x:c r="X220" s="226"/>
      <x:c r="Y220" s="226"/>
      <x:c r="Z220" s="226"/>
    </x:row>
    <x:row r="221">
      <x:c r="A221" s="226"/>
      <x:c r="B221" s="226"/>
      <x:c r="C221" s="226"/>
      <x:c r="D221" s="226"/>
      <x:c r="E221" s="226"/>
      <x:c r="F221" s="226"/>
      <x:c r="G221" s="226"/>
      <x:c r="H221" s="226"/>
      <x:c r="I221" s="226"/>
      <x:c r="J221" s="226"/>
      <x:c r="K221" s="226"/>
      <x:c r="L221" s="226"/>
      <x:c r="M221" s="226"/>
      <x:c r="N221" s="226"/>
      <x:c r="O221" s="226"/>
      <x:c r="P221" s="226"/>
      <x:c r="Q221" s="226"/>
      <x:c r="R221" s="226"/>
      <x:c r="S221" s="226"/>
      <x:c r="T221" s="226"/>
      <x:c r="U221" s="226"/>
      <x:c r="V221" s="226"/>
      <x:c r="W221" s="226"/>
      <x:c r="X221" s="226"/>
      <x:c r="Y221" s="226"/>
      <x:c r="Z221" s="226"/>
    </x:row>
    <x:row r="222">
      <x:c r="A222" s="226"/>
      <x:c r="B222" s="226"/>
      <x:c r="C222" s="226"/>
      <x:c r="D222" s="226"/>
      <x:c r="E222" s="226"/>
      <x:c r="F222" s="226"/>
      <x:c r="G222" s="226"/>
      <x:c r="H222" s="226"/>
      <x:c r="I222" s="226"/>
      <x:c r="J222" s="226"/>
      <x:c r="K222" s="226"/>
      <x:c r="L222" s="226"/>
      <x:c r="M222" s="226"/>
      <x:c r="N222" s="226"/>
      <x:c r="O222" s="226"/>
      <x:c r="P222" s="226"/>
      <x:c r="Q222" s="226"/>
      <x:c r="R222" s="226"/>
      <x:c r="S222" s="226"/>
      <x:c r="T222" s="226"/>
      <x:c r="U222" s="226"/>
      <x:c r="V222" s="226"/>
      <x:c r="W222" s="226"/>
      <x:c r="X222" s="226"/>
      <x:c r="Y222" s="226"/>
      <x:c r="Z222" s="226"/>
    </x:row>
    <x:row r="223">
      <x:c r="A223" s="226"/>
      <x:c r="B223" s="226"/>
      <x:c r="C223" s="226"/>
      <x:c r="D223" s="226"/>
      <x:c r="E223" s="226"/>
      <x:c r="F223" s="226"/>
      <x:c r="G223" s="226"/>
      <x:c r="H223" s="226"/>
      <x:c r="I223" s="226"/>
      <x:c r="J223" s="226"/>
      <x:c r="K223" s="226"/>
      <x:c r="L223" s="226"/>
      <x:c r="M223" s="226"/>
      <x:c r="N223" s="226"/>
      <x:c r="O223" s="226"/>
      <x:c r="P223" s="226"/>
      <x:c r="Q223" s="226"/>
      <x:c r="R223" s="226"/>
      <x:c r="S223" s="226"/>
      <x:c r="T223" s="226"/>
      <x:c r="U223" s="226"/>
      <x:c r="V223" s="226"/>
      <x:c r="W223" s="226"/>
      <x:c r="X223" s="226"/>
      <x:c r="Y223" s="226"/>
      <x:c r="Z223" s="226"/>
    </x:row>
    <x:row r="224">
      <x:c r="A224" s="226"/>
      <x:c r="B224" s="226"/>
      <x:c r="C224" s="226"/>
      <x:c r="D224" s="226"/>
      <x:c r="E224" s="226"/>
      <x:c r="F224" s="226"/>
      <x:c r="G224" s="226"/>
      <x:c r="H224" s="226"/>
      <x:c r="I224" s="226"/>
      <x:c r="J224" s="226"/>
      <x:c r="K224" s="226"/>
      <x:c r="L224" s="226"/>
      <x:c r="M224" s="226"/>
      <x:c r="N224" s="226"/>
      <x:c r="O224" s="226"/>
      <x:c r="P224" s="226"/>
      <x:c r="Q224" s="226"/>
      <x:c r="R224" s="226"/>
      <x:c r="S224" s="226"/>
      <x:c r="T224" s="226"/>
      <x:c r="U224" s="226"/>
      <x:c r="V224" s="226"/>
      <x:c r="W224" s="226"/>
      <x:c r="X224" s="226"/>
      <x:c r="Y224" s="226"/>
      <x:c r="Z224" s="226"/>
    </x:row>
    <x:row r="225">
      <x:c r="A225" s="226"/>
      <x:c r="B225" s="226"/>
      <x:c r="C225" s="226"/>
      <x:c r="D225" s="226"/>
      <x:c r="E225" s="226"/>
      <x:c r="F225" s="226"/>
      <x:c r="G225" s="226"/>
      <x:c r="H225" s="226"/>
      <x:c r="I225" s="226"/>
      <x:c r="J225" s="226"/>
      <x:c r="K225" s="226"/>
      <x:c r="L225" s="226"/>
      <x:c r="M225" s="226"/>
      <x:c r="N225" s="226"/>
      <x:c r="O225" s="226"/>
      <x:c r="P225" s="226"/>
      <x:c r="Q225" s="226"/>
      <x:c r="R225" s="226"/>
      <x:c r="S225" s="226"/>
      <x:c r="T225" s="226"/>
      <x:c r="U225" s="226"/>
      <x:c r="V225" s="226"/>
      <x:c r="W225" s="226"/>
      <x:c r="X225" s="226"/>
      <x:c r="Y225" s="226"/>
      <x:c r="Z225" s="226"/>
    </x:row>
    <x:row r="226">
      <x:c r="A226" s="226"/>
      <x:c r="B226" s="226"/>
      <x:c r="C226" s="226"/>
      <x:c r="D226" s="226"/>
      <x:c r="E226" s="226"/>
      <x:c r="F226" s="226"/>
      <x:c r="G226" s="226"/>
      <x:c r="H226" s="226"/>
      <x:c r="I226" s="226"/>
      <x:c r="J226" s="226"/>
      <x:c r="K226" s="226"/>
      <x:c r="L226" s="226"/>
      <x:c r="M226" s="226"/>
      <x:c r="N226" s="226"/>
      <x:c r="O226" s="226"/>
      <x:c r="P226" s="226"/>
      <x:c r="Q226" s="226"/>
      <x:c r="R226" s="226"/>
      <x:c r="S226" s="226"/>
      <x:c r="T226" s="226"/>
      <x:c r="U226" s="226"/>
      <x:c r="V226" s="226"/>
      <x:c r="W226" s="226"/>
      <x:c r="X226" s="226"/>
      <x:c r="Y226" s="226"/>
      <x:c r="Z226" s="226"/>
    </x:row>
    <x:row r="227">
      <x:c r="A227" s="226"/>
      <x:c r="B227" s="226"/>
      <x:c r="C227" s="226"/>
      <x:c r="D227" s="226"/>
      <x:c r="E227" s="226"/>
      <x:c r="F227" s="226"/>
      <x:c r="G227" s="226"/>
      <x:c r="H227" s="226"/>
      <x:c r="I227" s="226"/>
      <x:c r="J227" s="226"/>
      <x:c r="K227" s="226"/>
      <x:c r="L227" s="226"/>
      <x:c r="M227" s="226"/>
      <x:c r="N227" s="226"/>
      <x:c r="O227" s="226"/>
      <x:c r="P227" s="226"/>
      <x:c r="Q227" s="226"/>
      <x:c r="R227" s="226"/>
      <x:c r="S227" s="226"/>
      <x:c r="T227" s="226"/>
      <x:c r="U227" s="226"/>
      <x:c r="V227" s="226"/>
      <x:c r="W227" s="226"/>
      <x:c r="X227" s="226"/>
      <x:c r="Y227" s="226"/>
      <x:c r="Z227" s="226"/>
    </x:row>
    <x:row r="228">
      <x:c r="A228" s="226"/>
      <x:c r="B228" s="226"/>
      <x:c r="C228" s="226"/>
      <x:c r="D228" s="226"/>
      <x:c r="E228" s="226"/>
      <x:c r="F228" s="226"/>
      <x:c r="G228" s="226"/>
      <x:c r="H228" s="226"/>
      <x:c r="I228" s="226"/>
      <x:c r="J228" s="226"/>
      <x:c r="K228" s="226"/>
      <x:c r="L228" s="226"/>
      <x:c r="M228" s="226"/>
      <x:c r="N228" s="226"/>
      <x:c r="O228" s="226"/>
      <x:c r="P228" s="226"/>
      <x:c r="Q228" s="226"/>
      <x:c r="R228" s="226"/>
      <x:c r="S228" s="226"/>
      <x:c r="T228" s="226"/>
      <x:c r="U228" s="226"/>
      <x:c r="V228" s="226"/>
      <x:c r="W228" s="226"/>
      <x:c r="X228" s="226"/>
      <x:c r="Y228" s="226"/>
      <x:c r="Z228" s="226"/>
    </x:row>
    <x:row r="229">
      <x:c r="A229" s="226"/>
      <x:c r="B229" s="226"/>
      <x:c r="C229" s="226"/>
      <x:c r="D229" s="226"/>
      <x:c r="E229" s="226"/>
      <x:c r="F229" s="226"/>
      <x:c r="G229" s="226"/>
      <x:c r="H229" s="226"/>
      <x:c r="I229" s="226"/>
      <x:c r="J229" s="226"/>
      <x:c r="K229" s="226"/>
      <x:c r="L229" s="226"/>
      <x:c r="M229" s="226"/>
      <x:c r="N229" s="226"/>
      <x:c r="O229" s="226"/>
      <x:c r="P229" s="226"/>
      <x:c r="Q229" s="226"/>
      <x:c r="R229" s="226"/>
      <x:c r="S229" s="226"/>
      <x:c r="T229" s="226"/>
      <x:c r="U229" s="226"/>
      <x:c r="V229" s="226"/>
      <x:c r="W229" s="226"/>
      <x:c r="X229" s="226"/>
      <x:c r="Y229" s="226"/>
      <x:c r="Z229" s="226"/>
    </x:row>
    <x:row r="230">
      <x:c r="A230" s="226"/>
      <x:c r="B230" s="226"/>
      <x:c r="C230" s="226"/>
      <x:c r="D230" s="226"/>
      <x:c r="E230" s="226"/>
      <x:c r="F230" s="226"/>
      <x:c r="G230" s="226"/>
      <x:c r="H230" s="226"/>
      <x:c r="I230" s="226"/>
      <x:c r="J230" s="226"/>
      <x:c r="K230" s="226"/>
      <x:c r="L230" s="226"/>
      <x:c r="M230" s="226"/>
      <x:c r="N230" s="226"/>
      <x:c r="O230" s="226"/>
      <x:c r="P230" s="226"/>
      <x:c r="Q230" s="226"/>
      <x:c r="R230" s="226"/>
      <x:c r="S230" s="226"/>
      <x:c r="T230" s="226"/>
      <x:c r="U230" s="226"/>
      <x:c r="V230" s="226"/>
      <x:c r="W230" s="226"/>
      <x:c r="X230" s="226"/>
      <x:c r="Y230" s="226"/>
      <x:c r="Z230" s="226"/>
    </x:row>
    <x:row r="231">
      <x:c r="A231" s="226"/>
      <x:c r="B231" s="226"/>
      <x:c r="C231" s="226"/>
      <x:c r="D231" s="226"/>
      <x:c r="E231" s="226"/>
      <x:c r="F231" s="226"/>
      <x:c r="G231" s="226"/>
      <x:c r="H231" s="226"/>
      <x:c r="I231" s="226"/>
      <x:c r="J231" s="226"/>
      <x:c r="K231" s="226"/>
      <x:c r="L231" s="226"/>
      <x:c r="M231" s="226"/>
      <x:c r="N231" s="226"/>
      <x:c r="O231" s="226"/>
      <x:c r="P231" s="226"/>
      <x:c r="Q231" s="226"/>
      <x:c r="R231" s="226"/>
      <x:c r="S231" s="226"/>
      <x:c r="T231" s="226"/>
      <x:c r="U231" s="226"/>
      <x:c r="V231" s="226"/>
      <x:c r="W231" s="226"/>
      <x:c r="X231" s="226"/>
      <x:c r="Y231" s="226"/>
      <x:c r="Z231" s="226"/>
    </x:row>
    <x:row r="232">
      <x:c r="A232" s="226"/>
      <x:c r="B232" s="226"/>
      <x:c r="C232" s="226"/>
      <x:c r="D232" s="226"/>
      <x:c r="E232" s="226"/>
      <x:c r="F232" s="226"/>
      <x:c r="G232" s="226"/>
      <x:c r="H232" s="226"/>
      <x:c r="I232" s="226"/>
      <x:c r="J232" s="226"/>
      <x:c r="K232" s="226"/>
      <x:c r="L232" s="226"/>
      <x:c r="M232" s="226"/>
      <x:c r="N232" s="226"/>
      <x:c r="O232" s="226"/>
      <x:c r="P232" s="226"/>
      <x:c r="Q232" s="226"/>
      <x:c r="R232" s="226"/>
      <x:c r="S232" s="226"/>
      <x:c r="T232" s="226"/>
      <x:c r="U232" s="226"/>
      <x:c r="V232" s="226"/>
      <x:c r="W232" s="226"/>
      <x:c r="X232" s="226"/>
      <x:c r="Y232" s="226"/>
      <x:c r="Z232" s="226"/>
    </x:row>
    <x:row r="233">
      <x:c r="A233" s="226"/>
      <x:c r="B233" s="226"/>
      <x:c r="C233" s="226"/>
      <x:c r="D233" s="226"/>
      <x:c r="E233" s="226"/>
      <x:c r="F233" s="226"/>
      <x:c r="G233" s="226"/>
      <x:c r="H233" s="226"/>
      <x:c r="I233" s="226"/>
      <x:c r="J233" s="226"/>
      <x:c r="K233" s="226"/>
      <x:c r="L233" s="226"/>
      <x:c r="M233" s="226"/>
      <x:c r="N233" s="226"/>
      <x:c r="O233" s="226"/>
      <x:c r="P233" s="226"/>
      <x:c r="Q233" s="226"/>
      <x:c r="R233" s="226"/>
      <x:c r="S233" s="226"/>
      <x:c r="T233" s="226"/>
      <x:c r="U233" s="226"/>
      <x:c r="V233" s="226"/>
      <x:c r="W233" s="226"/>
      <x:c r="X233" s="226"/>
      <x:c r="Y233" s="226"/>
      <x:c r="Z233" s="226"/>
    </x:row>
    <x:row r="234">
      <x:c r="A234" s="226"/>
      <x:c r="B234" s="226"/>
      <x:c r="C234" s="226"/>
      <x:c r="D234" s="226"/>
      <x:c r="E234" s="226"/>
      <x:c r="F234" s="226"/>
      <x:c r="G234" s="226"/>
      <x:c r="H234" s="226"/>
      <x:c r="I234" s="226"/>
      <x:c r="J234" s="226"/>
      <x:c r="K234" s="226"/>
      <x:c r="L234" s="226"/>
      <x:c r="M234" s="226"/>
      <x:c r="N234" s="226"/>
      <x:c r="O234" s="226"/>
      <x:c r="P234" s="226"/>
      <x:c r="Q234" s="226"/>
      <x:c r="R234" s="226"/>
      <x:c r="S234" s="226"/>
      <x:c r="T234" s="226"/>
      <x:c r="U234" s="226"/>
      <x:c r="V234" s="226"/>
      <x:c r="W234" s="226"/>
      <x:c r="X234" s="226"/>
      <x:c r="Y234" s="226"/>
      <x:c r="Z234" s="226"/>
    </x:row>
    <x:row r="235">
      <x:c r="A235" s="226"/>
      <x:c r="B235" s="226"/>
      <x:c r="C235" s="226"/>
      <x:c r="D235" s="226"/>
      <x:c r="E235" s="226"/>
      <x:c r="F235" s="226"/>
      <x:c r="G235" s="226"/>
      <x:c r="H235" s="226"/>
      <x:c r="I235" s="226"/>
      <x:c r="J235" s="226"/>
      <x:c r="K235" s="226"/>
      <x:c r="L235" s="226"/>
      <x:c r="M235" s="226"/>
      <x:c r="N235" s="226"/>
      <x:c r="O235" s="226"/>
      <x:c r="P235" s="226"/>
      <x:c r="Q235" s="226"/>
      <x:c r="R235" s="226"/>
      <x:c r="S235" s="226"/>
      <x:c r="T235" s="226"/>
      <x:c r="U235" s="226"/>
      <x:c r="V235" s="226"/>
      <x:c r="W235" s="226"/>
      <x:c r="X235" s="226"/>
      <x:c r="Y235" s="226"/>
      <x:c r="Z235" s="226"/>
    </x:row>
    <x:row r="236">
      <x:c r="A236" s="226"/>
      <x:c r="B236" s="226"/>
      <x:c r="C236" s="226"/>
      <x:c r="D236" s="226"/>
      <x:c r="E236" s="226"/>
      <x:c r="F236" s="226"/>
      <x:c r="G236" s="226"/>
      <x:c r="H236" s="226"/>
      <x:c r="I236" s="226"/>
      <x:c r="J236" s="226"/>
      <x:c r="K236" s="226"/>
      <x:c r="L236" s="226"/>
      <x:c r="M236" s="226"/>
      <x:c r="N236" s="226"/>
      <x:c r="O236" s="226"/>
      <x:c r="P236" s="226"/>
      <x:c r="Q236" s="226"/>
      <x:c r="R236" s="226"/>
      <x:c r="S236" s="226"/>
      <x:c r="T236" s="226"/>
      <x:c r="U236" s="226"/>
      <x:c r="V236" s="226"/>
      <x:c r="W236" s="226"/>
      <x:c r="X236" s="226"/>
      <x:c r="Y236" s="226"/>
      <x:c r="Z236" s="226"/>
    </x:row>
    <x:row r="237">
      <x:c r="A237" s="226"/>
      <x:c r="B237" s="226"/>
      <x:c r="C237" s="226"/>
      <x:c r="D237" s="226"/>
      <x:c r="E237" s="226"/>
      <x:c r="F237" s="226"/>
      <x:c r="G237" s="226"/>
      <x:c r="H237" s="226"/>
      <x:c r="I237" s="226"/>
      <x:c r="J237" s="226"/>
      <x:c r="K237" s="226"/>
      <x:c r="L237" s="226"/>
      <x:c r="M237" s="226"/>
      <x:c r="N237" s="226"/>
      <x:c r="O237" s="226"/>
      <x:c r="P237" s="226"/>
      <x:c r="Q237" s="226"/>
      <x:c r="R237" s="226"/>
      <x:c r="S237" s="226"/>
      <x:c r="T237" s="226"/>
      <x:c r="U237" s="226"/>
      <x:c r="V237" s="226"/>
      <x:c r="W237" s="226"/>
      <x:c r="X237" s="226"/>
      <x:c r="Y237" s="226"/>
      <x:c r="Z237" s="226"/>
    </x:row>
    <x:row r="238">
      <x:c r="A238" s="226"/>
      <x:c r="B238" s="226"/>
      <x:c r="C238" s="226"/>
      <x:c r="D238" s="226"/>
      <x:c r="E238" s="226"/>
      <x:c r="F238" s="226"/>
      <x:c r="G238" s="226"/>
      <x:c r="H238" s="226"/>
      <x:c r="I238" s="226"/>
      <x:c r="J238" s="226"/>
      <x:c r="K238" s="226"/>
      <x:c r="L238" s="226"/>
      <x:c r="M238" s="226"/>
      <x:c r="N238" s="226"/>
      <x:c r="O238" s="226"/>
      <x:c r="P238" s="226"/>
      <x:c r="Q238" s="226"/>
      <x:c r="R238" s="226"/>
      <x:c r="S238" s="226"/>
      <x:c r="T238" s="226"/>
      <x:c r="U238" s="226"/>
      <x:c r="V238" s="226"/>
      <x:c r="W238" s="226"/>
      <x:c r="X238" s="226"/>
      <x:c r="Y238" s="226"/>
      <x:c r="Z238" s="226"/>
    </x:row>
    <x:row r="239">
      <x:c r="A239" s="226"/>
      <x:c r="B239" s="226"/>
      <x:c r="C239" s="226"/>
      <x:c r="D239" s="226"/>
      <x:c r="E239" s="226"/>
      <x:c r="F239" s="226"/>
      <x:c r="G239" s="226"/>
      <x:c r="H239" s="226"/>
      <x:c r="I239" s="226"/>
      <x:c r="J239" s="226"/>
      <x:c r="K239" s="226"/>
      <x:c r="L239" s="226"/>
      <x:c r="M239" s="226"/>
      <x:c r="N239" s="226"/>
      <x:c r="O239" s="226"/>
      <x:c r="P239" s="226"/>
      <x:c r="Q239" s="226"/>
      <x:c r="R239" s="226"/>
      <x:c r="S239" s="226"/>
      <x:c r="T239" s="226"/>
      <x:c r="U239" s="226"/>
      <x:c r="V239" s="226"/>
      <x:c r="W239" s="226"/>
      <x:c r="X239" s="226"/>
      <x:c r="Y239" s="226"/>
      <x:c r="Z239" s="226"/>
    </x:row>
    <x:row r="240">
      <x:c r="A240" s="226"/>
      <x:c r="B240" s="226"/>
      <x:c r="C240" s="226"/>
      <x:c r="D240" s="226"/>
      <x:c r="E240" s="226"/>
      <x:c r="F240" s="226"/>
      <x:c r="G240" s="226"/>
      <x:c r="H240" s="226"/>
      <x:c r="I240" s="226"/>
      <x:c r="J240" s="226"/>
      <x:c r="K240" s="226"/>
      <x:c r="L240" s="226"/>
      <x:c r="M240" s="226"/>
      <x:c r="N240" s="226"/>
      <x:c r="O240" s="226"/>
      <x:c r="P240" s="226"/>
      <x:c r="Q240" s="226"/>
      <x:c r="R240" s="226"/>
      <x:c r="S240" s="226"/>
      <x:c r="T240" s="226"/>
      <x:c r="U240" s="226"/>
      <x:c r="V240" s="226"/>
      <x:c r="W240" s="226"/>
      <x:c r="X240" s="226"/>
      <x:c r="Y240" s="226"/>
      <x:c r="Z240" s="226"/>
    </x:row>
    <x:row r="241">
      <x:c r="A241" s="226"/>
      <x:c r="B241" s="226"/>
      <x:c r="C241" s="226"/>
      <x:c r="D241" s="226"/>
      <x:c r="E241" s="226"/>
      <x:c r="F241" s="226"/>
      <x:c r="G241" s="226"/>
      <x:c r="H241" s="226"/>
      <x:c r="I241" s="226"/>
      <x:c r="J241" s="226"/>
      <x:c r="K241" s="226"/>
      <x:c r="L241" s="226"/>
      <x:c r="M241" s="226"/>
      <x:c r="N241" s="226"/>
      <x:c r="O241" s="226"/>
      <x:c r="P241" s="226"/>
      <x:c r="Q241" s="226"/>
      <x:c r="R241" s="226"/>
      <x:c r="S241" s="226"/>
      <x:c r="T241" s="226"/>
      <x:c r="U241" s="226"/>
      <x:c r="V241" s="226"/>
      <x:c r="W241" s="226"/>
      <x:c r="X241" s="226"/>
      <x:c r="Y241" s="226"/>
      <x:c r="Z241" s="226"/>
    </x:row>
    <x:row r="242">
      <x:c r="A242" s="226"/>
      <x:c r="B242" s="226"/>
      <x:c r="C242" s="226"/>
      <x:c r="D242" s="226"/>
      <x:c r="E242" s="226"/>
      <x:c r="F242" s="226"/>
      <x:c r="G242" s="226"/>
      <x:c r="H242" s="226"/>
      <x:c r="I242" s="226"/>
      <x:c r="J242" s="226"/>
      <x:c r="K242" s="226"/>
      <x:c r="L242" s="226"/>
      <x:c r="M242" s="226"/>
      <x:c r="N242" s="226"/>
      <x:c r="O242" s="226"/>
      <x:c r="P242" s="226"/>
      <x:c r="Q242" s="226"/>
      <x:c r="R242" s="226"/>
      <x:c r="S242" s="226"/>
      <x:c r="T242" s="226"/>
      <x:c r="U242" s="226"/>
      <x:c r="V242" s="226"/>
      <x:c r="W242" s="226"/>
      <x:c r="X242" s="226"/>
      <x:c r="Y242" s="226"/>
      <x:c r="Z242" s="226"/>
    </x:row>
    <x:row r="243">
      <x:c r="A243" s="226"/>
      <x:c r="B243" s="226"/>
      <x:c r="C243" s="226"/>
      <x:c r="D243" s="226"/>
      <x:c r="E243" s="226"/>
      <x:c r="F243" s="226"/>
      <x:c r="G243" s="226"/>
      <x:c r="H243" s="226"/>
      <x:c r="I243" s="226"/>
      <x:c r="J243" s="226"/>
      <x:c r="K243" s="226"/>
      <x:c r="L243" s="226"/>
      <x:c r="M243" s="226"/>
      <x:c r="N243" s="226"/>
      <x:c r="O243" s="226"/>
      <x:c r="P243" s="226"/>
      <x:c r="Q243" s="226"/>
      <x:c r="R243" s="226"/>
      <x:c r="S243" s="226"/>
      <x:c r="T243" s="226"/>
      <x:c r="U243" s="226"/>
      <x:c r="V243" s="226"/>
      <x:c r="W243" s="226"/>
      <x:c r="X243" s="226"/>
      <x:c r="Y243" s="226"/>
      <x:c r="Z243" s="226"/>
    </x:row>
    <x:row r="244">
      <x:c r="A244" s="226"/>
      <x:c r="B244" s="226"/>
      <x:c r="C244" s="226"/>
      <x:c r="D244" s="226"/>
      <x:c r="E244" s="226"/>
      <x:c r="F244" s="226"/>
      <x:c r="G244" s="226"/>
      <x:c r="H244" s="226"/>
      <x:c r="I244" s="226"/>
      <x:c r="J244" s="226"/>
      <x:c r="K244" s="226"/>
      <x:c r="L244" s="226"/>
      <x:c r="M244" s="226"/>
      <x:c r="N244" s="226"/>
      <x:c r="O244" s="226"/>
      <x:c r="P244" s="226"/>
      <x:c r="Q244" s="226"/>
      <x:c r="R244" s="226"/>
      <x:c r="S244" s="226"/>
      <x:c r="T244" s="226"/>
      <x:c r="U244" s="226"/>
      <x:c r="V244" s="226"/>
      <x:c r="W244" s="226"/>
      <x:c r="X244" s="226"/>
      <x:c r="Y244" s="226"/>
      <x:c r="Z244" s="226"/>
    </x:row>
    <x:row r="245">
      <x:c r="A245" s="226"/>
      <x:c r="B245" s="226"/>
      <x:c r="C245" s="226"/>
      <x:c r="D245" s="226"/>
      <x:c r="E245" s="226"/>
      <x:c r="F245" s="226"/>
      <x:c r="G245" s="226"/>
      <x:c r="H245" s="226"/>
      <x:c r="I245" s="226"/>
      <x:c r="J245" s="226"/>
      <x:c r="K245" s="226"/>
      <x:c r="L245" s="226"/>
      <x:c r="M245" s="226"/>
      <x:c r="N245" s="226"/>
      <x:c r="O245" s="226"/>
      <x:c r="P245" s="226"/>
      <x:c r="Q245" s="226"/>
      <x:c r="R245" s="226"/>
      <x:c r="S245" s="226"/>
      <x:c r="T245" s="226"/>
      <x:c r="U245" s="226"/>
      <x:c r="V245" s="226"/>
      <x:c r="W245" s="226"/>
      <x:c r="X245" s="226"/>
      <x:c r="Y245" s="226"/>
      <x:c r="Z245" s="226"/>
    </x:row>
    <x:row r="246">
      <x:c r="A246" s="226"/>
      <x:c r="B246" s="226"/>
      <x:c r="C246" s="226"/>
      <x:c r="D246" s="226"/>
      <x:c r="E246" s="226"/>
      <x:c r="F246" s="226"/>
      <x:c r="G246" s="226"/>
      <x:c r="H246" s="226"/>
      <x:c r="I246" s="226"/>
      <x:c r="J246" s="226"/>
      <x:c r="K246" s="226"/>
      <x:c r="L246" s="226"/>
      <x:c r="M246" s="226"/>
      <x:c r="N246" s="226"/>
      <x:c r="O246" s="226"/>
      <x:c r="P246" s="226"/>
      <x:c r="Q246" s="226"/>
      <x:c r="R246" s="226"/>
      <x:c r="S246" s="226"/>
      <x:c r="T246" s="226"/>
      <x:c r="U246" s="226"/>
      <x:c r="V246" s="226"/>
      <x:c r="W246" s="226"/>
      <x:c r="X246" s="226"/>
      <x:c r="Y246" s="226"/>
      <x:c r="Z246" s="226"/>
    </x:row>
    <x:row r="247">
      <x:c r="A247" s="226"/>
      <x:c r="B247" s="226"/>
      <x:c r="C247" s="226"/>
      <x:c r="D247" s="226"/>
      <x:c r="E247" s="226"/>
      <x:c r="F247" s="226"/>
      <x:c r="G247" s="226"/>
      <x:c r="H247" s="226"/>
      <x:c r="I247" s="226"/>
      <x:c r="J247" s="226"/>
      <x:c r="K247" s="226"/>
      <x:c r="L247" s="226"/>
      <x:c r="M247" s="226"/>
      <x:c r="N247" s="226"/>
      <x:c r="O247" s="226"/>
      <x:c r="P247" s="226"/>
      <x:c r="Q247" s="226"/>
      <x:c r="R247" s="226"/>
      <x:c r="S247" s="226"/>
      <x:c r="T247" s="226"/>
      <x:c r="U247" s="226"/>
      <x:c r="V247" s="226"/>
      <x:c r="W247" s="226"/>
      <x:c r="X247" s="226"/>
      <x:c r="Y247" s="226"/>
      <x:c r="Z247" s="226"/>
    </x:row>
    <x:row r="248">
      <x:c r="A248" s="226"/>
      <x:c r="B248" s="226"/>
      <x:c r="C248" s="226"/>
      <x:c r="D248" s="226"/>
      <x:c r="E248" s="226"/>
      <x:c r="F248" s="226"/>
      <x:c r="G248" s="226"/>
      <x:c r="H248" s="226"/>
      <x:c r="I248" s="226"/>
      <x:c r="J248" s="226"/>
      <x:c r="K248" s="226"/>
      <x:c r="L248" s="226"/>
      <x:c r="M248" s="226"/>
      <x:c r="N248" s="226"/>
      <x:c r="O248" s="226"/>
      <x:c r="P248" s="226"/>
      <x:c r="Q248" s="226"/>
      <x:c r="R248" s="226"/>
      <x:c r="S248" s="226"/>
      <x:c r="T248" s="226"/>
      <x:c r="U248" s="226"/>
      <x:c r="V248" s="226"/>
      <x:c r="W248" s="226"/>
      <x:c r="X248" s="226"/>
      <x:c r="Y248" s="226"/>
      <x:c r="Z248" s="226"/>
    </x:row>
    <x:row r="249">
      <x:c r="A249" s="226"/>
      <x:c r="B249" s="226"/>
      <x:c r="C249" s="226"/>
      <x:c r="D249" s="226"/>
      <x:c r="E249" s="226"/>
      <x:c r="F249" s="226"/>
      <x:c r="G249" s="226"/>
      <x:c r="H249" s="226"/>
      <x:c r="I249" s="226"/>
      <x:c r="J249" s="226"/>
      <x:c r="K249" s="226"/>
      <x:c r="L249" s="226"/>
      <x:c r="M249" s="226"/>
      <x:c r="N249" s="226"/>
      <x:c r="O249" s="226"/>
      <x:c r="P249" s="226"/>
      <x:c r="Q249" s="226"/>
      <x:c r="R249" s="226"/>
      <x:c r="S249" s="226"/>
      <x:c r="T249" s="226"/>
      <x:c r="U249" s="226"/>
      <x:c r="V249" s="226"/>
      <x:c r="W249" s="226"/>
      <x:c r="X249" s="226"/>
      <x:c r="Y249" s="226"/>
      <x:c r="Z249" s="226"/>
    </x:row>
    <x:row r="250">
      <x:c r="A250" s="226"/>
      <x:c r="B250" s="226"/>
      <x:c r="C250" s="226"/>
      <x:c r="D250" s="226"/>
      <x:c r="E250" s="226"/>
      <x:c r="F250" s="226"/>
      <x:c r="G250" s="226"/>
      <x:c r="H250" s="226"/>
      <x:c r="I250" s="226"/>
      <x:c r="J250" s="226"/>
      <x:c r="K250" s="226"/>
      <x:c r="L250" s="226"/>
      <x:c r="M250" s="226"/>
      <x:c r="N250" s="226"/>
      <x:c r="O250" s="226"/>
      <x:c r="P250" s="226"/>
      <x:c r="Q250" s="226"/>
      <x:c r="R250" s="226"/>
      <x:c r="S250" s="226"/>
      <x:c r="T250" s="226"/>
      <x:c r="U250" s="226"/>
      <x:c r="V250" s="226"/>
      <x:c r="W250" s="226"/>
      <x:c r="X250" s="226"/>
      <x:c r="Y250" s="226"/>
      <x:c r="Z250" s="226"/>
    </x:row>
    <x:row r="251">
      <x:c r="A251" s="226"/>
      <x:c r="B251" s="226"/>
      <x:c r="C251" s="226"/>
      <x:c r="D251" s="226"/>
      <x:c r="E251" s="226"/>
      <x:c r="F251" s="226"/>
      <x:c r="G251" s="226"/>
      <x:c r="H251" s="226"/>
      <x:c r="I251" s="226"/>
      <x:c r="J251" s="226"/>
      <x:c r="K251" s="226"/>
      <x:c r="L251" s="226"/>
      <x:c r="M251" s="226"/>
      <x:c r="N251" s="226"/>
      <x:c r="O251" s="226"/>
      <x:c r="P251" s="226"/>
      <x:c r="Q251" s="226"/>
      <x:c r="R251" s="226"/>
      <x:c r="S251" s="226"/>
      <x:c r="T251" s="226"/>
      <x:c r="U251" s="226"/>
      <x:c r="V251" s="226"/>
      <x:c r="W251" s="226"/>
      <x:c r="X251" s="226"/>
      <x:c r="Y251" s="226"/>
      <x:c r="Z251" s="226"/>
    </x:row>
    <x:row r="252">
      <x:c r="A252" s="226"/>
      <x:c r="B252" s="226"/>
      <x:c r="C252" s="226"/>
      <x:c r="D252" s="226"/>
      <x:c r="E252" s="226"/>
      <x:c r="F252" s="226"/>
      <x:c r="G252" s="226"/>
      <x:c r="H252" s="226"/>
      <x:c r="I252" s="226"/>
      <x:c r="J252" s="226"/>
      <x:c r="K252" s="226"/>
      <x:c r="L252" s="226"/>
      <x:c r="M252" s="226"/>
      <x:c r="N252" s="226"/>
      <x:c r="O252" s="226"/>
      <x:c r="P252" s="226"/>
      <x:c r="Q252" s="226"/>
      <x:c r="R252" s="226"/>
      <x:c r="S252" s="226"/>
      <x:c r="T252" s="226"/>
      <x:c r="U252" s="226"/>
      <x:c r="V252" s="226"/>
      <x:c r="W252" s="226"/>
      <x:c r="X252" s="226"/>
      <x:c r="Y252" s="226"/>
      <x:c r="Z252" s="226"/>
    </x:row>
    <x:row r="253">
      <x:c r="A253" s="226"/>
      <x:c r="B253" s="226"/>
      <x:c r="C253" s="226"/>
      <x:c r="D253" s="226"/>
      <x:c r="E253" s="226"/>
      <x:c r="F253" s="226"/>
      <x:c r="G253" s="226"/>
      <x:c r="H253" s="226"/>
      <x:c r="I253" s="226"/>
      <x:c r="J253" s="226"/>
      <x:c r="K253" s="226"/>
      <x:c r="L253" s="226"/>
      <x:c r="M253" s="226"/>
      <x:c r="N253" s="226"/>
      <x:c r="O253" s="226"/>
      <x:c r="P253" s="226"/>
      <x:c r="Q253" s="226"/>
      <x:c r="R253" s="226"/>
      <x:c r="S253" s="226"/>
      <x:c r="T253" s="226"/>
      <x:c r="U253" s="226"/>
      <x:c r="V253" s="226"/>
      <x:c r="W253" s="226"/>
      <x:c r="X253" s="226"/>
      <x:c r="Y253" s="226"/>
      <x:c r="Z253" s="226"/>
    </x:row>
    <x:row r="254">
      <x:c r="A254" s="226"/>
      <x:c r="B254" s="226"/>
      <x:c r="C254" s="226"/>
      <x:c r="D254" s="226"/>
      <x:c r="E254" s="226"/>
      <x:c r="F254" s="226"/>
      <x:c r="G254" s="226"/>
      <x:c r="H254" s="226"/>
      <x:c r="I254" s="226"/>
      <x:c r="J254" s="226"/>
      <x:c r="K254" s="226"/>
      <x:c r="L254" s="226"/>
      <x:c r="M254" s="226"/>
      <x:c r="N254" s="226"/>
      <x:c r="O254" s="226"/>
      <x:c r="P254" s="226"/>
      <x:c r="Q254" s="226"/>
      <x:c r="R254" s="226"/>
      <x:c r="S254" s="226"/>
      <x:c r="T254" s="226"/>
      <x:c r="U254" s="226"/>
      <x:c r="V254" s="226"/>
      <x:c r="W254" s="226"/>
      <x:c r="X254" s="226"/>
      <x:c r="Y254" s="226"/>
      <x:c r="Z254" s="226"/>
    </x:row>
    <x:row r="255">
      <x:c r="A255" s="226"/>
      <x:c r="B255" s="226"/>
      <x:c r="C255" s="226"/>
      <x:c r="D255" s="226"/>
      <x:c r="E255" s="226"/>
      <x:c r="F255" s="226"/>
      <x:c r="G255" s="226"/>
      <x:c r="H255" s="226"/>
      <x:c r="I255" s="226"/>
      <x:c r="J255" s="226"/>
      <x:c r="K255" s="226"/>
      <x:c r="L255" s="226"/>
      <x:c r="M255" s="226"/>
      <x:c r="N255" s="226"/>
      <x:c r="O255" s="226"/>
      <x:c r="P255" s="226"/>
      <x:c r="Q255" s="226"/>
      <x:c r="R255" s="226"/>
      <x:c r="S255" s="226"/>
      <x:c r="T255" s="226"/>
      <x:c r="U255" s="226"/>
      <x:c r="V255" s="226"/>
      <x:c r="W255" s="226"/>
      <x:c r="X255" s="226"/>
      <x:c r="Y255" s="226"/>
      <x:c r="Z255" s="226"/>
    </x:row>
    <x:row r="256">
      <x:c r="A256" s="226"/>
      <x:c r="B256" s="226"/>
      <x:c r="C256" s="226"/>
      <x:c r="D256" s="226"/>
      <x:c r="E256" s="226"/>
      <x:c r="F256" s="226"/>
      <x:c r="G256" s="226"/>
      <x:c r="H256" s="226"/>
      <x:c r="I256" s="226"/>
      <x:c r="J256" s="226"/>
      <x:c r="K256" s="226"/>
      <x:c r="L256" s="226"/>
      <x:c r="M256" s="226"/>
      <x:c r="N256" s="226"/>
      <x:c r="O256" s="226"/>
      <x:c r="P256" s="226"/>
      <x:c r="Q256" s="226"/>
      <x:c r="R256" s="226"/>
      <x:c r="S256" s="226"/>
      <x:c r="T256" s="226"/>
      <x:c r="U256" s="226"/>
      <x:c r="V256" s="226"/>
      <x:c r="W256" s="226"/>
      <x:c r="X256" s="226"/>
      <x:c r="Y256" s="226"/>
      <x:c r="Z256" s="226"/>
    </x:row>
    <x:row r="257">
      <x:c r="A257" s="226"/>
      <x:c r="B257" s="226"/>
      <x:c r="C257" s="226"/>
      <x:c r="D257" s="226"/>
      <x:c r="E257" s="226"/>
      <x:c r="F257" s="226"/>
      <x:c r="G257" s="226"/>
      <x:c r="H257" s="226"/>
      <x:c r="I257" s="226"/>
      <x:c r="J257" s="226"/>
      <x:c r="K257" s="226"/>
      <x:c r="L257" s="226"/>
      <x:c r="M257" s="226"/>
      <x:c r="N257" s="226"/>
      <x:c r="O257" s="226"/>
      <x:c r="P257" s="226"/>
      <x:c r="Q257" s="226"/>
      <x:c r="R257" s="226"/>
      <x:c r="S257" s="226"/>
      <x:c r="T257" s="226"/>
      <x:c r="U257" s="226"/>
      <x:c r="V257" s="226"/>
      <x:c r="W257" s="226"/>
      <x:c r="X257" s="226"/>
      <x:c r="Y257" s="226"/>
      <x:c r="Z257" s="226"/>
    </x:row>
    <x:row r="258">
      <x:c r="A258" s="226"/>
      <x:c r="B258" s="226"/>
      <x:c r="C258" s="226"/>
      <x:c r="D258" s="226"/>
      <x:c r="E258" s="226"/>
      <x:c r="F258" s="226"/>
      <x:c r="G258" s="226"/>
      <x:c r="H258" s="226"/>
      <x:c r="I258" s="226"/>
      <x:c r="J258" s="226"/>
      <x:c r="K258" s="226"/>
      <x:c r="L258" s="226"/>
      <x:c r="M258" s="226"/>
      <x:c r="N258" s="226"/>
      <x:c r="O258" s="226"/>
      <x:c r="P258" s="226"/>
      <x:c r="Q258" s="226"/>
      <x:c r="R258" s="226"/>
      <x:c r="S258" s="226"/>
      <x:c r="T258" s="226"/>
      <x:c r="U258" s="226"/>
      <x:c r="V258" s="226"/>
      <x:c r="W258" s="226"/>
      <x:c r="X258" s="226"/>
      <x:c r="Y258" s="226"/>
      <x:c r="Z258" s="226"/>
    </x:row>
    <x:row r="259">
      <x:c r="A259" s="226"/>
      <x:c r="B259" s="226"/>
      <x:c r="C259" s="226"/>
      <x:c r="D259" s="226"/>
      <x:c r="E259" s="226"/>
      <x:c r="F259" s="226"/>
      <x:c r="G259" s="226"/>
      <x:c r="H259" s="226"/>
      <x:c r="I259" s="226"/>
      <x:c r="J259" s="226"/>
      <x:c r="K259" s="226"/>
      <x:c r="L259" s="226"/>
      <x:c r="M259" s="226"/>
      <x:c r="N259" s="226"/>
      <x:c r="O259" s="226"/>
      <x:c r="P259" s="226"/>
      <x:c r="Q259" s="226"/>
      <x:c r="R259" s="226"/>
      <x:c r="S259" s="226"/>
      <x:c r="T259" s="226"/>
      <x:c r="U259" s="226"/>
      <x:c r="V259" s="226"/>
      <x:c r="W259" s="226"/>
      <x:c r="X259" s="226"/>
      <x:c r="Y259" s="226"/>
      <x:c r="Z259" s="226"/>
    </x:row>
    <x:row r="260">
      <x:c r="A260" s="226"/>
      <x:c r="B260" s="226"/>
      <x:c r="C260" s="226"/>
      <x:c r="D260" s="226"/>
      <x:c r="E260" s="226"/>
      <x:c r="F260" s="226"/>
      <x:c r="G260" s="226"/>
      <x:c r="H260" s="226"/>
      <x:c r="I260" s="226"/>
      <x:c r="J260" s="226"/>
      <x:c r="K260" s="226"/>
      <x:c r="L260" s="226"/>
      <x:c r="M260" s="226"/>
      <x:c r="N260" s="226"/>
      <x:c r="O260" s="226"/>
      <x:c r="P260" s="226"/>
      <x:c r="Q260" s="226"/>
      <x:c r="R260" s="226"/>
      <x:c r="S260" s="226"/>
      <x:c r="T260" s="226"/>
      <x:c r="U260" s="226"/>
      <x:c r="V260" s="226"/>
      <x:c r="W260" s="226"/>
      <x:c r="X260" s="226"/>
      <x:c r="Y260" s="226"/>
      <x:c r="Z260" s="226"/>
    </x:row>
    <x:row r="261">
      <x:c r="A261" s="226"/>
      <x:c r="B261" s="226"/>
      <x:c r="C261" s="226"/>
      <x:c r="D261" s="226"/>
      <x:c r="E261" s="226"/>
      <x:c r="F261" s="226"/>
      <x:c r="G261" s="226"/>
      <x:c r="H261" s="226"/>
      <x:c r="I261" s="226"/>
      <x:c r="J261" s="226"/>
      <x:c r="K261" s="226"/>
      <x:c r="L261" s="226"/>
      <x:c r="M261" s="226"/>
      <x:c r="N261" s="226"/>
      <x:c r="O261" s="226"/>
      <x:c r="P261" s="226"/>
      <x:c r="Q261" s="226"/>
      <x:c r="R261" s="226"/>
      <x:c r="S261" s="226"/>
      <x:c r="T261" s="226"/>
      <x:c r="U261" s="226"/>
      <x:c r="V261" s="226"/>
      <x:c r="W261" s="226"/>
      <x:c r="X261" s="226"/>
      <x:c r="Y261" s="226"/>
      <x:c r="Z261" s="226"/>
    </x:row>
    <x:row r="262">
      <x:c r="A262" s="226"/>
      <x:c r="B262" s="226"/>
      <x:c r="C262" s="226"/>
      <x:c r="D262" s="226"/>
      <x:c r="E262" s="226"/>
      <x:c r="F262" s="226"/>
      <x:c r="G262" s="226"/>
      <x:c r="H262" s="226"/>
      <x:c r="I262" s="226"/>
      <x:c r="J262" s="226"/>
      <x:c r="K262" s="226"/>
      <x:c r="L262" s="226"/>
      <x:c r="M262" s="226"/>
      <x:c r="N262" s="226"/>
      <x:c r="O262" s="226"/>
      <x:c r="P262" s="226"/>
      <x:c r="Q262" s="226"/>
      <x:c r="R262" s="226"/>
      <x:c r="S262" s="226"/>
      <x:c r="T262" s="226"/>
      <x:c r="U262" s="226"/>
      <x:c r="V262" s="226"/>
      <x:c r="W262" s="226"/>
      <x:c r="X262" s="226"/>
      <x:c r="Y262" s="226"/>
      <x:c r="Z262" s="226"/>
    </x:row>
    <x:row r="263">
      <x:c r="A263" s="226"/>
      <x:c r="B263" s="226"/>
      <x:c r="C263" s="226"/>
      <x:c r="D263" s="226"/>
      <x:c r="E263" s="226"/>
      <x:c r="F263" s="226"/>
      <x:c r="G263" s="226"/>
      <x:c r="H263" s="226"/>
      <x:c r="I263" s="226"/>
      <x:c r="J263" s="226"/>
      <x:c r="K263" s="226"/>
      <x:c r="L263" s="226"/>
      <x:c r="M263" s="226"/>
      <x:c r="N263" s="226"/>
      <x:c r="O263" s="226"/>
      <x:c r="P263" s="226"/>
      <x:c r="Q263" s="226"/>
      <x:c r="R263" s="226"/>
      <x:c r="S263" s="226"/>
      <x:c r="T263" s="226"/>
      <x:c r="U263" s="226"/>
      <x:c r="V263" s="226"/>
      <x:c r="W263" s="226"/>
      <x:c r="X263" s="226"/>
      <x:c r="Y263" s="226"/>
      <x:c r="Z263" s="226"/>
    </x:row>
    <x:row r="264">
      <x:c r="A264" s="226"/>
      <x:c r="B264" s="226"/>
      <x:c r="C264" s="226"/>
      <x:c r="D264" s="226"/>
      <x:c r="E264" s="226"/>
      <x:c r="F264" s="226"/>
      <x:c r="G264" s="226"/>
      <x:c r="H264" s="226"/>
      <x:c r="I264" s="226"/>
      <x:c r="J264" s="226"/>
      <x:c r="K264" s="226"/>
      <x:c r="L264" s="226"/>
      <x:c r="M264" s="226"/>
      <x:c r="N264" s="226"/>
      <x:c r="O264" s="226"/>
      <x:c r="P264" s="226"/>
      <x:c r="Q264" s="226"/>
      <x:c r="R264" s="226"/>
      <x:c r="S264" s="226"/>
      <x:c r="T264" s="226"/>
      <x:c r="U264" s="226"/>
      <x:c r="V264" s="226"/>
      <x:c r="W264" s="226"/>
      <x:c r="X264" s="226"/>
      <x:c r="Y264" s="226"/>
      <x:c r="Z264" s="226"/>
    </x:row>
    <x:row r="265">
      <x:c r="A265" s="226"/>
      <x:c r="B265" s="226"/>
      <x:c r="C265" s="226"/>
      <x:c r="D265" s="226"/>
      <x:c r="E265" s="226"/>
      <x:c r="F265" s="226"/>
      <x:c r="G265" s="226"/>
      <x:c r="H265" s="226"/>
      <x:c r="I265" s="226"/>
      <x:c r="J265" s="226"/>
      <x:c r="K265" s="226"/>
      <x:c r="L265" s="226"/>
      <x:c r="M265" s="226"/>
      <x:c r="N265" s="226"/>
      <x:c r="O265" s="226"/>
      <x:c r="P265" s="226"/>
      <x:c r="Q265" s="226"/>
      <x:c r="R265" s="226"/>
      <x:c r="S265" s="226"/>
      <x:c r="T265" s="226"/>
      <x:c r="U265" s="226"/>
      <x:c r="V265" s="226"/>
      <x:c r="W265" s="226"/>
      <x:c r="X265" s="226"/>
      <x:c r="Y265" s="226"/>
      <x:c r="Z265" s="226"/>
    </x:row>
    <x:row r="266">
      <x:c r="A266" s="226"/>
      <x:c r="B266" s="226"/>
      <x:c r="C266" s="226"/>
      <x:c r="D266" s="226"/>
      <x:c r="E266" s="226"/>
      <x:c r="F266" s="226"/>
      <x:c r="G266" s="226"/>
      <x:c r="H266" s="226"/>
      <x:c r="I266" s="226"/>
      <x:c r="J266" s="226"/>
      <x:c r="K266" s="226"/>
      <x:c r="L266" s="226"/>
      <x:c r="M266" s="226"/>
      <x:c r="N266" s="226"/>
      <x:c r="O266" s="226"/>
      <x:c r="P266" s="226"/>
      <x:c r="Q266" s="226"/>
      <x:c r="R266" s="226"/>
      <x:c r="S266" s="226"/>
      <x:c r="T266" s="226"/>
      <x:c r="U266" s="226"/>
      <x:c r="V266" s="226"/>
      <x:c r="W266" s="226"/>
      <x:c r="X266" s="226"/>
      <x:c r="Y266" s="226"/>
      <x:c r="Z266" s="226"/>
    </x:row>
    <x:row r="267">
      <x:c r="A267" s="226"/>
      <x:c r="B267" s="226"/>
      <x:c r="C267" s="226"/>
      <x:c r="D267" s="226"/>
      <x:c r="E267" s="226"/>
      <x:c r="F267" s="226"/>
      <x:c r="G267" s="226"/>
      <x:c r="H267" s="226"/>
      <x:c r="I267" s="226"/>
      <x:c r="J267" s="226"/>
      <x:c r="K267" s="226"/>
      <x:c r="L267" s="226"/>
      <x:c r="M267" s="226"/>
      <x:c r="N267" s="226"/>
      <x:c r="O267" s="226"/>
      <x:c r="P267" s="226"/>
      <x:c r="Q267" s="226"/>
      <x:c r="R267" s="226"/>
      <x:c r="S267" s="226"/>
      <x:c r="T267" s="226"/>
      <x:c r="U267" s="226"/>
      <x:c r="V267" s="226"/>
      <x:c r="W267" s="226"/>
      <x:c r="X267" s="226"/>
      <x:c r="Y267" s="226"/>
      <x:c r="Z267" s="226"/>
    </x:row>
    <x:row r="268">
      <x:c r="A268" s="226"/>
      <x:c r="B268" s="226"/>
      <x:c r="C268" s="226"/>
      <x:c r="D268" s="226"/>
      <x:c r="E268" s="226"/>
      <x:c r="F268" s="226"/>
      <x:c r="G268" s="226"/>
      <x:c r="H268" s="226"/>
      <x:c r="I268" s="226"/>
      <x:c r="J268" s="226"/>
      <x:c r="K268" s="226"/>
      <x:c r="L268" s="226"/>
      <x:c r="M268" s="226"/>
      <x:c r="N268" s="226"/>
      <x:c r="O268" s="226"/>
      <x:c r="P268" s="226"/>
      <x:c r="Q268" s="226"/>
      <x:c r="R268" s="226"/>
      <x:c r="S268" s="226"/>
      <x:c r="T268" s="226"/>
      <x:c r="U268" s="226"/>
      <x:c r="V268" s="226"/>
      <x:c r="W268" s="226"/>
      <x:c r="X268" s="226"/>
      <x:c r="Y268" s="226"/>
      <x:c r="Z268" s="226"/>
    </x:row>
    <x:row r="269">
      <x:c r="A269" s="226"/>
      <x:c r="B269" s="226"/>
      <x:c r="C269" s="226"/>
      <x:c r="D269" s="226"/>
      <x:c r="E269" s="226"/>
      <x:c r="F269" s="226"/>
      <x:c r="G269" s="226"/>
      <x:c r="H269" s="226"/>
      <x:c r="I269" s="226"/>
      <x:c r="J269" s="226"/>
      <x:c r="K269" s="226"/>
      <x:c r="L269" s="226"/>
      <x:c r="M269" s="226"/>
      <x:c r="N269" s="226"/>
      <x:c r="O269" s="226"/>
      <x:c r="P269" s="226"/>
      <x:c r="Q269" s="226"/>
      <x:c r="R269" s="226"/>
      <x:c r="S269" s="226"/>
      <x:c r="T269" s="226"/>
      <x:c r="U269" s="226"/>
      <x:c r="V269" s="226"/>
      <x:c r="W269" s="226"/>
      <x:c r="X269" s="226"/>
      <x:c r="Y269" s="226"/>
      <x:c r="Z269" s="226"/>
    </x:row>
    <x:row r="270">
      <x:c r="A270" s="226"/>
      <x:c r="B270" s="226"/>
      <x:c r="C270" s="226"/>
      <x:c r="D270" s="226"/>
      <x:c r="E270" s="226"/>
      <x:c r="F270" s="226"/>
      <x:c r="G270" s="226"/>
      <x:c r="H270" s="226"/>
      <x:c r="I270" s="226"/>
      <x:c r="J270" s="226"/>
      <x:c r="K270" s="226"/>
      <x:c r="L270" s="226"/>
      <x:c r="M270" s="226"/>
      <x:c r="N270" s="226"/>
      <x:c r="O270" s="226"/>
      <x:c r="P270" s="226"/>
      <x:c r="Q270" s="226"/>
      <x:c r="R270" s="226"/>
      <x:c r="S270" s="226"/>
      <x:c r="T270" s="226"/>
      <x:c r="U270" s="226"/>
      <x:c r="V270" s="226"/>
      <x:c r="W270" s="226"/>
      <x:c r="X270" s="226"/>
      <x:c r="Y270" s="226"/>
      <x:c r="Z270" s="226"/>
    </x:row>
    <x:row r="271">
      <x:c r="A271" s="226"/>
      <x:c r="B271" s="226"/>
      <x:c r="C271" s="226"/>
      <x:c r="D271" s="226"/>
      <x:c r="E271" s="226"/>
      <x:c r="F271" s="226"/>
      <x:c r="G271" s="226"/>
      <x:c r="H271" s="226"/>
      <x:c r="I271" s="226"/>
      <x:c r="J271" s="226"/>
      <x:c r="K271" s="226"/>
      <x:c r="L271" s="226"/>
      <x:c r="M271" s="226"/>
      <x:c r="N271" s="226"/>
      <x:c r="O271" s="226"/>
      <x:c r="P271" s="226"/>
      <x:c r="Q271" s="226"/>
      <x:c r="R271" s="226"/>
      <x:c r="S271" s="226"/>
      <x:c r="T271" s="226"/>
      <x:c r="U271" s="226"/>
      <x:c r="V271" s="226"/>
      <x:c r="W271" s="226"/>
      <x:c r="X271" s="226"/>
      <x:c r="Y271" s="226"/>
      <x:c r="Z271" s="226"/>
    </x:row>
    <x:row r="272">
      <x:c r="A272" s="226"/>
      <x:c r="B272" s="226"/>
      <x:c r="C272" s="226"/>
      <x:c r="D272" s="226"/>
      <x:c r="E272" s="226"/>
      <x:c r="F272" s="226"/>
      <x:c r="G272" s="226"/>
      <x:c r="H272" s="226"/>
      <x:c r="I272" s="226"/>
      <x:c r="J272" s="226"/>
      <x:c r="K272" s="226"/>
      <x:c r="L272" s="226"/>
      <x:c r="M272" s="226"/>
      <x:c r="N272" s="226"/>
      <x:c r="O272" s="226"/>
      <x:c r="P272" s="226"/>
      <x:c r="Q272" s="226"/>
      <x:c r="R272" s="226"/>
      <x:c r="S272" s="226"/>
      <x:c r="T272" s="226"/>
      <x:c r="U272" s="226"/>
      <x:c r="V272" s="226"/>
      <x:c r="W272" s="226"/>
      <x:c r="X272" s="226"/>
      <x:c r="Y272" s="226"/>
      <x:c r="Z272" s="226"/>
    </x:row>
    <x:row r="273">
      <x:c r="A273" s="226"/>
      <x:c r="B273" s="226"/>
      <x:c r="C273" s="226"/>
      <x:c r="D273" s="226"/>
      <x:c r="E273" s="226"/>
      <x:c r="F273" s="226"/>
      <x:c r="G273" s="226"/>
      <x:c r="H273" s="226"/>
      <x:c r="I273" s="226"/>
      <x:c r="J273" s="226"/>
      <x:c r="K273" s="226"/>
      <x:c r="L273" s="226"/>
      <x:c r="M273" s="226"/>
      <x:c r="N273" s="226"/>
      <x:c r="O273" s="226"/>
      <x:c r="P273" s="226"/>
      <x:c r="Q273" s="226"/>
      <x:c r="R273" s="226"/>
      <x:c r="S273" s="226"/>
      <x:c r="T273" s="226"/>
      <x:c r="U273" s="226"/>
      <x:c r="V273" s="226"/>
      <x:c r="W273" s="226"/>
      <x:c r="X273" s="226"/>
      <x:c r="Y273" s="226"/>
      <x:c r="Z273" s="226"/>
    </x:row>
    <x:row r="274">
      <x:c r="A274" s="226"/>
      <x:c r="B274" s="226"/>
      <x:c r="C274" s="226"/>
      <x:c r="D274" s="226"/>
      <x:c r="E274" s="226"/>
      <x:c r="F274" s="226"/>
      <x:c r="G274" s="226"/>
      <x:c r="H274" s="226"/>
      <x:c r="I274" s="226"/>
      <x:c r="J274" s="226"/>
      <x:c r="K274" s="226"/>
      <x:c r="L274" s="226"/>
      <x:c r="M274" s="226"/>
      <x:c r="N274" s="226"/>
      <x:c r="O274" s="226"/>
      <x:c r="P274" s="226"/>
      <x:c r="Q274" s="226"/>
      <x:c r="R274" s="226"/>
      <x:c r="S274" s="226"/>
      <x:c r="T274" s="226"/>
      <x:c r="U274" s="226"/>
      <x:c r="V274" s="226"/>
      <x:c r="W274" s="226"/>
      <x:c r="X274" s="226"/>
      <x:c r="Y274" s="226"/>
      <x:c r="Z274" s="226"/>
    </x:row>
    <x:row r="275">
      <x:c r="A275" s="226"/>
      <x:c r="B275" s="226"/>
      <x:c r="C275" s="226"/>
      <x:c r="D275" s="226"/>
      <x:c r="E275" s="226"/>
      <x:c r="F275" s="226"/>
      <x:c r="G275" s="226"/>
      <x:c r="H275" s="226"/>
      <x:c r="I275" s="226"/>
      <x:c r="J275" s="226"/>
      <x:c r="K275" s="226"/>
      <x:c r="L275" s="226"/>
      <x:c r="M275" s="226"/>
      <x:c r="N275" s="226"/>
      <x:c r="O275" s="226"/>
      <x:c r="P275" s="226"/>
      <x:c r="Q275" s="226"/>
      <x:c r="R275" s="226"/>
      <x:c r="S275" s="226"/>
      <x:c r="T275" s="226"/>
      <x:c r="U275" s="226"/>
      <x:c r="V275" s="226"/>
      <x:c r="W275" s="226"/>
      <x:c r="X275" s="226"/>
      <x:c r="Y275" s="226"/>
      <x:c r="Z275" s="226"/>
    </x:row>
    <x:row r="276">
      <x:c r="A276" s="226"/>
      <x:c r="B276" s="226"/>
      <x:c r="C276" s="226"/>
      <x:c r="D276" s="226"/>
      <x:c r="E276" s="226"/>
      <x:c r="F276" s="226"/>
      <x:c r="G276" s="226"/>
      <x:c r="H276" s="226"/>
      <x:c r="I276" s="226"/>
      <x:c r="J276" s="226"/>
      <x:c r="K276" s="226"/>
      <x:c r="L276" s="226"/>
      <x:c r="M276" s="226"/>
      <x:c r="N276" s="226"/>
      <x:c r="O276" s="226"/>
      <x:c r="P276" s="226"/>
      <x:c r="Q276" s="226"/>
      <x:c r="R276" s="226"/>
      <x:c r="S276" s="226"/>
      <x:c r="T276" s="226"/>
      <x:c r="U276" s="226"/>
      <x:c r="V276" s="226"/>
      <x:c r="W276" s="226"/>
      <x:c r="X276" s="226"/>
      <x:c r="Y276" s="226"/>
      <x:c r="Z276" s="226"/>
    </x:row>
    <x:row r="277">
      <x:c r="A277" s="226"/>
      <x:c r="B277" s="226"/>
      <x:c r="C277" s="226"/>
      <x:c r="D277" s="226"/>
      <x:c r="E277" s="226"/>
      <x:c r="F277" s="226"/>
      <x:c r="G277" s="226"/>
      <x:c r="H277" s="226"/>
      <x:c r="I277" s="226"/>
      <x:c r="J277" s="226"/>
      <x:c r="K277" s="226"/>
      <x:c r="L277" s="226"/>
      <x:c r="M277" s="226"/>
      <x:c r="N277" s="226"/>
      <x:c r="O277" s="226"/>
      <x:c r="P277" s="226"/>
      <x:c r="Q277" s="226"/>
      <x:c r="R277" s="226"/>
      <x:c r="S277" s="226"/>
      <x:c r="T277" s="226"/>
      <x:c r="U277" s="226"/>
      <x:c r="V277" s="226"/>
      <x:c r="W277" s="226"/>
      <x:c r="X277" s="226"/>
      <x:c r="Y277" s="226"/>
      <x:c r="Z277" s="226"/>
    </x:row>
    <x:row r="278">
      <x:c r="A278" s="226"/>
      <x:c r="B278" s="226"/>
      <x:c r="C278" s="226"/>
      <x:c r="D278" s="226"/>
      <x:c r="E278" s="226"/>
      <x:c r="F278" s="226"/>
      <x:c r="G278" s="226"/>
      <x:c r="H278" s="226"/>
      <x:c r="I278" s="226"/>
      <x:c r="J278" s="226"/>
      <x:c r="K278" s="226"/>
      <x:c r="L278" s="226"/>
      <x:c r="M278" s="226"/>
      <x:c r="N278" s="226"/>
      <x:c r="O278" s="226"/>
      <x:c r="P278" s="226"/>
      <x:c r="Q278" s="226"/>
      <x:c r="R278" s="226"/>
      <x:c r="S278" s="226"/>
      <x:c r="T278" s="226"/>
      <x:c r="U278" s="226"/>
      <x:c r="V278" s="226"/>
      <x:c r="W278" s="226"/>
      <x:c r="X278" s="226"/>
      <x:c r="Y278" s="226"/>
      <x:c r="Z278" s="226"/>
    </x:row>
    <x:row r="279">
      <x:c r="A279" s="226"/>
      <x:c r="B279" s="226"/>
      <x:c r="C279" s="226"/>
      <x:c r="D279" s="226"/>
      <x:c r="E279" s="226"/>
      <x:c r="F279" s="226"/>
      <x:c r="G279" s="226"/>
      <x:c r="H279" s="226"/>
      <x:c r="I279" s="226"/>
      <x:c r="J279" s="226"/>
      <x:c r="K279" s="226"/>
      <x:c r="L279" s="226"/>
      <x:c r="M279" s="226"/>
      <x:c r="N279" s="226"/>
      <x:c r="O279" s="226"/>
      <x:c r="P279" s="226"/>
      <x:c r="Q279" s="226"/>
      <x:c r="R279" s="226"/>
      <x:c r="S279" s="226"/>
      <x:c r="T279" s="226"/>
      <x:c r="U279" s="226"/>
      <x:c r="V279" s="226"/>
      <x:c r="W279" s="226"/>
      <x:c r="X279" s="226"/>
      <x:c r="Y279" s="226"/>
      <x:c r="Z279" s="226"/>
    </x:row>
    <x:row r="280">
      <x:c r="A280" s="226"/>
      <x:c r="B280" s="226"/>
      <x:c r="C280" s="226"/>
      <x:c r="D280" s="226"/>
      <x:c r="E280" s="226"/>
      <x:c r="F280" s="226"/>
      <x:c r="G280" s="226"/>
      <x:c r="H280" s="226"/>
      <x:c r="I280" s="226"/>
      <x:c r="J280" s="226"/>
      <x:c r="K280" s="226"/>
      <x:c r="L280" s="226"/>
      <x:c r="M280" s="226"/>
      <x:c r="N280" s="226"/>
      <x:c r="O280" s="226"/>
      <x:c r="P280" s="226"/>
      <x:c r="Q280" s="226"/>
      <x:c r="R280" s="226"/>
      <x:c r="S280" s="226"/>
      <x:c r="T280" s="226"/>
      <x:c r="U280" s="226"/>
      <x:c r="V280" s="226"/>
      <x:c r="W280" s="226"/>
      <x:c r="X280" s="226"/>
      <x:c r="Y280" s="226"/>
      <x:c r="Z280" s="226"/>
    </x:row>
    <x:row r="281">
      <x:c r="A281" s="226"/>
      <x:c r="B281" s="226"/>
      <x:c r="C281" s="226"/>
      <x:c r="D281" s="226"/>
      <x:c r="E281" s="226"/>
      <x:c r="F281" s="226"/>
      <x:c r="G281" s="226"/>
      <x:c r="H281" s="226"/>
      <x:c r="I281" s="226"/>
      <x:c r="J281" s="226"/>
      <x:c r="K281" s="226"/>
      <x:c r="L281" s="226"/>
      <x:c r="M281" s="226"/>
      <x:c r="N281" s="226"/>
      <x:c r="O281" s="226"/>
      <x:c r="P281" s="226"/>
      <x:c r="Q281" s="226"/>
      <x:c r="R281" s="226"/>
      <x:c r="S281" s="226"/>
      <x:c r="T281" s="226"/>
      <x:c r="U281" s="226"/>
      <x:c r="V281" s="226"/>
      <x:c r="W281" s="226"/>
      <x:c r="X281" s="226"/>
      <x:c r="Y281" s="226"/>
      <x:c r="Z281" s="226"/>
    </x:row>
    <x:row r="282">
      <x:c r="A282" s="226"/>
      <x:c r="B282" s="226"/>
      <x:c r="C282" s="226"/>
      <x:c r="D282" s="226"/>
      <x:c r="E282" s="226"/>
      <x:c r="F282" s="226"/>
      <x:c r="G282" s="226"/>
      <x:c r="H282" s="226"/>
      <x:c r="I282" s="226"/>
      <x:c r="J282" s="226"/>
      <x:c r="K282" s="226"/>
      <x:c r="L282" s="226"/>
      <x:c r="M282" s="226"/>
      <x:c r="N282" s="226"/>
      <x:c r="O282" s="226"/>
      <x:c r="P282" s="226"/>
      <x:c r="Q282" s="226"/>
      <x:c r="R282" s="226"/>
      <x:c r="S282" s="226"/>
      <x:c r="T282" s="226"/>
      <x:c r="U282" s="226"/>
      <x:c r="V282" s="226"/>
      <x:c r="W282" s="226"/>
      <x:c r="X282" s="226"/>
      <x:c r="Y282" s="226"/>
      <x:c r="Z282" s="226"/>
    </x:row>
    <x:row r="283">
      <x:c r="A283" s="226"/>
      <x:c r="B283" s="226"/>
      <x:c r="C283" s="226"/>
      <x:c r="D283" s="226"/>
      <x:c r="E283" s="226"/>
      <x:c r="F283" s="226"/>
      <x:c r="G283" s="226"/>
      <x:c r="H283" s="226"/>
      <x:c r="I283" s="226"/>
      <x:c r="J283" s="226"/>
      <x:c r="K283" s="226"/>
      <x:c r="L283" s="226"/>
      <x:c r="M283" s="226"/>
      <x:c r="N283" s="226"/>
      <x:c r="O283" s="226"/>
      <x:c r="P283" s="226"/>
      <x:c r="Q283" s="226"/>
      <x:c r="R283" s="226"/>
      <x:c r="S283" s="226"/>
      <x:c r="T283" s="226"/>
      <x:c r="U283" s="226"/>
      <x:c r="V283" s="226"/>
      <x:c r="W283" s="226"/>
      <x:c r="X283" s="226"/>
      <x:c r="Y283" s="226"/>
      <x:c r="Z283" s="226"/>
    </x:row>
    <x:row r="284">
      <x:c r="A284" s="226"/>
      <x:c r="B284" s="226"/>
      <x:c r="C284" s="226"/>
      <x:c r="D284" s="226"/>
      <x:c r="E284" s="226"/>
      <x:c r="F284" s="226"/>
      <x:c r="G284" s="226"/>
      <x:c r="H284" s="226"/>
      <x:c r="I284" s="226"/>
      <x:c r="J284" s="226"/>
      <x:c r="K284" s="226"/>
      <x:c r="L284" s="226"/>
      <x:c r="M284" s="226"/>
      <x:c r="N284" s="226"/>
      <x:c r="O284" s="226"/>
      <x:c r="P284" s="226"/>
      <x:c r="Q284" s="226"/>
      <x:c r="R284" s="226"/>
      <x:c r="S284" s="226"/>
      <x:c r="T284" s="226"/>
      <x:c r="U284" s="226"/>
      <x:c r="V284" s="226"/>
      <x:c r="W284" s="226"/>
      <x:c r="X284" s="226"/>
      <x:c r="Y284" s="226"/>
      <x:c r="Z284" s="226"/>
    </x:row>
    <x:row r="285">
      <x:c r="A285" s="226"/>
      <x:c r="B285" s="226"/>
      <x:c r="C285" s="226"/>
      <x:c r="D285" s="226"/>
      <x:c r="E285" s="226"/>
      <x:c r="F285" s="226"/>
      <x:c r="G285" s="226"/>
      <x:c r="H285" s="226"/>
      <x:c r="I285" s="226"/>
      <x:c r="J285" s="226"/>
      <x:c r="K285" s="226"/>
      <x:c r="L285" s="226"/>
      <x:c r="M285" s="226"/>
      <x:c r="N285" s="226"/>
      <x:c r="O285" s="226"/>
      <x:c r="P285" s="226"/>
      <x:c r="Q285" s="226"/>
      <x:c r="R285" s="226"/>
      <x:c r="S285" s="226"/>
      <x:c r="T285" s="226"/>
      <x:c r="U285" s="226"/>
      <x:c r="V285" s="226"/>
      <x:c r="W285" s="226"/>
      <x:c r="X285" s="226"/>
      <x:c r="Y285" s="226"/>
      <x:c r="Z285" s="226"/>
    </x:row>
    <x:row r="286">
      <x:c r="A286" s="226"/>
      <x:c r="B286" s="226"/>
      <x:c r="C286" s="226"/>
      <x:c r="D286" s="226"/>
      <x:c r="E286" s="226"/>
      <x:c r="F286" s="226"/>
      <x:c r="G286" s="226"/>
      <x:c r="H286" s="226"/>
      <x:c r="I286" s="226"/>
      <x:c r="J286" s="226"/>
      <x:c r="K286" s="226"/>
      <x:c r="L286" s="226"/>
      <x:c r="M286" s="226"/>
      <x:c r="N286" s="226"/>
      <x:c r="O286" s="226"/>
      <x:c r="P286" s="226"/>
      <x:c r="Q286" s="226"/>
      <x:c r="R286" s="226"/>
      <x:c r="S286" s="226"/>
      <x:c r="T286" s="226"/>
      <x:c r="U286" s="226"/>
      <x:c r="V286" s="226"/>
      <x:c r="W286" s="226"/>
      <x:c r="X286" s="226"/>
      <x:c r="Y286" s="226"/>
      <x:c r="Z286" s="226"/>
    </x:row>
    <x:row r="287">
      <x:c r="A287" s="226"/>
      <x:c r="B287" s="226"/>
      <x:c r="C287" s="226"/>
      <x:c r="D287" s="226"/>
      <x:c r="E287" s="226"/>
      <x:c r="F287" s="226"/>
      <x:c r="G287" s="226"/>
      <x:c r="H287" s="226"/>
      <x:c r="I287" s="226"/>
      <x:c r="J287" s="226"/>
      <x:c r="K287" s="226"/>
      <x:c r="L287" s="226"/>
      <x:c r="M287" s="226"/>
      <x:c r="N287" s="226"/>
      <x:c r="O287" s="226"/>
      <x:c r="P287" s="226"/>
      <x:c r="Q287" s="226"/>
      <x:c r="R287" s="226"/>
      <x:c r="S287" s="226"/>
      <x:c r="T287" s="226"/>
      <x:c r="U287" s="226"/>
      <x:c r="V287" s="226"/>
      <x:c r="W287" s="226"/>
      <x:c r="X287" s="226"/>
      <x:c r="Y287" s="226"/>
      <x:c r="Z287" s="226"/>
    </x:row>
    <x:row r="288">
      <x:c r="A288" s="226"/>
      <x:c r="B288" s="226"/>
      <x:c r="C288" s="226"/>
      <x:c r="D288" s="226"/>
      <x:c r="E288" s="226"/>
      <x:c r="F288" s="226"/>
      <x:c r="G288" s="226"/>
      <x:c r="H288" s="226"/>
      <x:c r="I288" s="226"/>
      <x:c r="J288" s="226"/>
      <x:c r="K288" s="226"/>
      <x:c r="L288" s="226"/>
      <x:c r="M288" s="226"/>
      <x:c r="N288" s="226"/>
      <x:c r="O288" s="226"/>
      <x:c r="P288" s="226"/>
      <x:c r="Q288" s="226"/>
      <x:c r="R288" s="226"/>
      <x:c r="S288" s="226"/>
      <x:c r="T288" s="226"/>
      <x:c r="U288" s="226"/>
      <x:c r="V288" s="226"/>
      <x:c r="W288" s="226"/>
      <x:c r="X288" s="226"/>
      <x:c r="Y288" s="226"/>
      <x:c r="Z288" s="226"/>
    </x:row>
    <x:row r="289">
      <x:c r="A289" s="226"/>
      <x:c r="B289" s="226"/>
      <x:c r="C289" s="226"/>
      <x:c r="D289" s="226"/>
      <x:c r="E289" s="226"/>
      <x:c r="F289" s="226"/>
      <x:c r="G289" s="226"/>
      <x:c r="H289" s="226"/>
      <x:c r="I289" s="226"/>
      <x:c r="J289" s="226"/>
      <x:c r="K289" s="226"/>
      <x:c r="L289" s="226"/>
      <x:c r="M289" s="226"/>
      <x:c r="N289" s="226"/>
      <x:c r="O289" s="226"/>
      <x:c r="P289" s="226"/>
      <x:c r="Q289" s="226"/>
      <x:c r="R289" s="226"/>
      <x:c r="S289" s="226"/>
      <x:c r="T289" s="226"/>
      <x:c r="U289" s="226"/>
      <x:c r="V289" s="226"/>
      <x:c r="W289" s="226"/>
      <x:c r="X289" s="226"/>
      <x:c r="Y289" s="226"/>
      <x:c r="Z289" s="226"/>
    </x:row>
    <x:row r="290">
      <x:c r="A290" s="226"/>
      <x:c r="B290" s="226"/>
      <x:c r="C290" s="226"/>
      <x:c r="D290" s="226"/>
      <x:c r="E290" s="226"/>
      <x:c r="F290" s="226"/>
      <x:c r="G290" s="226"/>
      <x:c r="H290" s="226"/>
      <x:c r="I290" s="226"/>
      <x:c r="J290" s="226"/>
      <x:c r="K290" s="226"/>
      <x:c r="L290" s="226"/>
      <x:c r="M290" s="226"/>
      <x:c r="N290" s="226"/>
      <x:c r="O290" s="226"/>
      <x:c r="P290" s="226"/>
      <x:c r="Q290" s="226"/>
      <x:c r="R290" s="226"/>
      <x:c r="S290" s="226"/>
      <x:c r="T290" s="226"/>
      <x:c r="U290" s="226"/>
      <x:c r="V290" s="226"/>
      <x:c r="W290" s="226"/>
      <x:c r="X290" s="226"/>
      <x:c r="Y290" s="226"/>
      <x:c r="Z290" s="226"/>
    </x:row>
    <x:row r="291">
      <x:c r="A291" s="226"/>
      <x:c r="B291" s="226"/>
      <x:c r="C291" s="226"/>
      <x:c r="D291" s="226"/>
      <x:c r="E291" s="226"/>
      <x:c r="F291" s="226"/>
      <x:c r="G291" s="226"/>
      <x:c r="H291" s="226"/>
      <x:c r="I291" s="226"/>
      <x:c r="J291" s="226"/>
      <x:c r="K291" s="226"/>
      <x:c r="L291" s="226"/>
      <x:c r="M291" s="226"/>
      <x:c r="N291" s="226"/>
      <x:c r="O291" s="226"/>
      <x:c r="P291" s="226"/>
      <x:c r="Q291" s="226"/>
      <x:c r="R291" s="226"/>
      <x:c r="S291" s="226"/>
      <x:c r="T291" s="226"/>
      <x:c r="U291" s="226"/>
      <x:c r="V291" s="226"/>
      <x:c r="W291" s="226"/>
      <x:c r="X291" s="226"/>
      <x:c r="Y291" s="226"/>
      <x:c r="Z291" s="226"/>
    </x:row>
    <x:row r="292">
      <x:c r="A292" s="226"/>
      <x:c r="B292" s="226"/>
      <x:c r="C292" s="226"/>
      <x:c r="D292" s="226"/>
      <x:c r="E292" s="226"/>
      <x:c r="F292" s="226"/>
      <x:c r="G292" s="226"/>
      <x:c r="H292" s="226"/>
      <x:c r="I292" s="226"/>
      <x:c r="J292" s="226"/>
      <x:c r="K292" s="226"/>
      <x:c r="L292" s="226"/>
      <x:c r="M292" s="226"/>
      <x:c r="N292" s="226"/>
      <x:c r="O292" s="226"/>
      <x:c r="P292" s="226"/>
      <x:c r="Q292" s="226"/>
      <x:c r="R292" s="226"/>
      <x:c r="S292" s="226"/>
      <x:c r="T292" s="226"/>
      <x:c r="U292" s="226"/>
      <x:c r="V292" s="226"/>
      <x:c r="W292" s="226"/>
      <x:c r="X292" s="226"/>
      <x:c r="Y292" s="226"/>
      <x:c r="Z292" s="226"/>
    </x:row>
    <x:row r="293">
      <x:c r="A293" s="226"/>
      <x:c r="B293" s="226"/>
      <x:c r="C293" s="226"/>
      <x:c r="D293" s="226"/>
      <x:c r="E293" s="226"/>
      <x:c r="F293" s="226"/>
      <x:c r="G293" s="226"/>
      <x:c r="H293" s="226"/>
      <x:c r="I293" s="226"/>
      <x:c r="J293" s="226"/>
      <x:c r="K293" s="226"/>
      <x:c r="L293" s="226"/>
      <x:c r="M293" s="226"/>
      <x:c r="N293" s="226"/>
      <x:c r="O293" s="226"/>
      <x:c r="P293" s="226"/>
      <x:c r="Q293" s="226"/>
      <x:c r="R293" s="226"/>
      <x:c r="S293" s="226"/>
      <x:c r="T293" s="226"/>
      <x:c r="U293" s="226"/>
      <x:c r="V293" s="226"/>
      <x:c r="W293" s="226"/>
      <x:c r="X293" s="226"/>
      <x:c r="Y293" s="226"/>
      <x:c r="Z293" s="226"/>
    </x:row>
    <x:row r="294">
      <x:c r="A294" s="226"/>
      <x:c r="B294" s="226"/>
      <x:c r="C294" s="226"/>
      <x:c r="D294" s="226"/>
      <x:c r="E294" s="226"/>
      <x:c r="F294" s="226"/>
      <x:c r="G294" s="226"/>
      <x:c r="H294" s="226"/>
      <x:c r="I294" s="226"/>
      <x:c r="J294" s="226"/>
      <x:c r="K294" s="226"/>
      <x:c r="L294" s="226"/>
      <x:c r="M294" s="226"/>
      <x:c r="N294" s="226"/>
      <x:c r="O294" s="226"/>
      <x:c r="P294" s="226"/>
      <x:c r="Q294" s="226"/>
      <x:c r="R294" s="226"/>
      <x:c r="S294" s="226"/>
      <x:c r="T294" s="226"/>
      <x:c r="U294" s="226"/>
      <x:c r="V294" s="226"/>
      <x:c r="W294" s="226"/>
      <x:c r="X294" s="226"/>
      <x:c r="Y294" s="226"/>
      <x:c r="Z294" s="226"/>
    </x:row>
    <x:row r="295">
      <x:c r="A295" s="226"/>
      <x:c r="B295" s="226"/>
      <x:c r="C295" s="226"/>
      <x:c r="D295" s="226"/>
      <x:c r="E295" s="226"/>
      <x:c r="F295" s="226"/>
      <x:c r="G295" s="226"/>
      <x:c r="H295" s="226"/>
      <x:c r="I295" s="226"/>
      <x:c r="J295" s="226"/>
      <x:c r="K295" s="226"/>
      <x:c r="L295" s="226"/>
      <x:c r="M295" s="226"/>
      <x:c r="N295" s="226"/>
      <x:c r="O295" s="226"/>
      <x:c r="P295" s="226"/>
      <x:c r="Q295" s="226"/>
      <x:c r="R295" s="226"/>
      <x:c r="S295" s="226"/>
      <x:c r="T295" s="226"/>
      <x:c r="U295" s="226"/>
      <x:c r="V295" s="226"/>
      <x:c r="W295" s="226"/>
      <x:c r="X295" s="226"/>
      <x:c r="Y295" s="226"/>
      <x:c r="Z295" s="226"/>
    </x:row>
    <x:row r="296">
      <x:c r="A296" s="226"/>
      <x:c r="B296" s="226"/>
      <x:c r="C296" s="226"/>
      <x:c r="D296" s="226"/>
      <x:c r="E296" s="226"/>
      <x:c r="F296" s="226"/>
      <x:c r="G296" s="226"/>
      <x:c r="H296" s="226"/>
      <x:c r="I296" s="226"/>
      <x:c r="J296" s="226"/>
      <x:c r="K296" s="226"/>
      <x:c r="L296" s="226"/>
      <x:c r="M296" s="226"/>
      <x:c r="N296" s="226"/>
      <x:c r="O296" s="226"/>
      <x:c r="P296" s="226"/>
      <x:c r="Q296" s="226"/>
      <x:c r="R296" s="226"/>
      <x:c r="S296" s="226"/>
      <x:c r="T296" s="226"/>
      <x:c r="U296" s="226"/>
      <x:c r="V296" s="226"/>
      <x:c r="W296" s="226"/>
      <x:c r="X296" s="226"/>
      <x:c r="Y296" s="226"/>
      <x:c r="Z296" s="226"/>
    </x:row>
    <x:row r="297">
      <x:c r="A297" s="226"/>
      <x:c r="B297" s="226"/>
      <x:c r="C297" s="226"/>
      <x:c r="D297" s="226"/>
      <x:c r="E297" s="226"/>
      <x:c r="F297" s="226"/>
      <x:c r="G297" s="226"/>
      <x:c r="H297" s="226"/>
      <x:c r="I297" s="226"/>
      <x:c r="J297" s="226"/>
      <x:c r="K297" s="226"/>
      <x:c r="L297" s="226"/>
      <x:c r="M297" s="226"/>
      <x:c r="N297" s="226"/>
      <x:c r="O297" s="226"/>
      <x:c r="P297" s="226"/>
      <x:c r="Q297" s="226"/>
      <x:c r="R297" s="226"/>
      <x:c r="S297" s="226"/>
      <x:c r="T297" s="226"/>
      <x:c r="U297" s="226"/>
      <x:c r="V297" s="226"/>
      <x:c r="W297" s="226"/>
      <x:c r="X297" s="226"/>
      <x:c r="Y297" s="226"/>
      <x:c r="Z297" s="226"/>
    </x:row>
    <x:row r="298">
      <x:c r="A298" s="226"/>
      <x:c r="B298" s="226"/>
      <x:c r="C298" s="226"/>
      <x:c r="D298" s="226"/>
      <x:c r="E298" s="226"/>
      <x:c r="F298" s="226"/>
      <x:c r="G298" s="226"/>
      <x:c r="H298" s="226"/>
      <x:c r="I298" s="226"/>
      <x:c r="J298" s="226"/>
      <x:c r="K298" s="226"/>
      <x:c r="L298" s="226"/>
      <x:c r="M298" s="226"/>
      <x:c r="N298" s="226"/>
      <x:c r="O298" s="226"/>
      <x:c r="P298" s="226"/>
      <x:c r="Q298" s="226"/>
      <x:c r="R298" s="226"/>
      <x:c r="S298" s="226"/>
      <x:c r="T298" s="226"/>
      <x:c r="U298" s="226"/>
      <x:c r="V298" s="226"/>
      <x:c r="W298" s="226"/>
      <x:c r="X298" s="226"/>
      <x:c r="Y298" s="226"/>
      <x:c r="Z298" s="226"/>
    </x:row>
    <x:row r="299">
      <x:c r="A299" s="226"/>
      <x:c r="B299" s="226"/>
      <x:c r="C299" s="226"/>
      <x:c r="D299" s="226"/>
      <x:c r="E299" s="226"/>
      <x:c r="F299" s="226"/>
      <x:c r="G299" s="226"/>
      <x:c r="H299" s="226"/>
      <x:c r="I299" s="226"/>
      <x:c r="J299" s="226"/>
      <x:c r="K299" s="226"/>
      <x:c r="L299" s="226"/>
      <x:c r="M299" s="226"/>
      <x:c r="N299" s="226"/>
      <x:c r="O299" s="226"/>
      <x:c r="P299" s="226"/>
      <x:c r="Q299" s="226"/>
      <x:c r="R299" s="226"/>
      <x:c r="S299" s="226"/>
      <x:c r="T299" s="226"/>
      <x:c r="U299" s="226"/>
      <x:c r="V299" s="226"/>
      <x:c r="W299" s="226"/>
      <x:c r="X299" s="226"/>
      <x:c r="Y299" s="226"/>
      <x:c r="Z299" s="226"/>
    </x:row>
    <x:row r="300">
      <x:c r="A300" s="226"/>
      <x:c r="B300" s="226"/>
      <x:c r="C300" s="226"/>
      <x:c r="D300" s="226"/>
      <x:c r="E300" s="226"/>
      <x:c r="F300" s="226"/>
      <x:c r="G300" s="226"/>
      <x:c r="H300" s="226"/>
      <x:c r="I300" s="226"/>
      <x:c r="J300" s="226"/>
      <x:c r="K300" s="226"/>
      <x:c r="L300" s="226"/>
      <x:c r="M300" s="226"/>
      <x:c r="N300" s="226"/>
      <x:c r="O300" s="226"/>
      <x:c r="P300" s="226"/>
      <x:c r="Q300" s="226"/>
      <x:c r="R300" s="226"/>
      <x:c r="S300" s="226"/>
      <x:c r="T300" s="226"/>
      <x:c r="U300" s="226"/>
      <x:c r="V300" s="226"/>
      <x:c r="W300" s="226"/>
      <x:c r="X300" s="226"/>
      <x:c r="Y300" s="226"/>
      <x:c r="Z300" s="226"/>
    </x:row>
    <x:row r="301">
      <x:c r="A301" s="226"/>
      <x:c r="B301" s="226"/>
      <x:c r="C301" s="226"/>
      <x:c r="D301" s="226"/>
      <x:c r="E301" s="226"/>
      <x:c r="F301" s="226"/>
      <x:c r="G301" s="226"/>
      <x:c r="H301" s="226"/>
      <x:c r="I301" s="226"/>
      <x:c r="J301" s="226"/>
      <x:c r="K301" s="226"/>
      <x:c r="L301" s="226"/>
      <x:c r="M301" s="226"/>
      <x:c r="N301" s="226"/>
      <x:c r="O301" s="226"/>
      <x:c r="P301" s="226"/>
      <x:c r="Q301" s="226"/>
      <x:c r="R301" s="226"/>
      <x:c r="S301" s="226"/>
      <x:c r="T301" s="226"/>
      <x:c r="U301" s="226"/>
      <x:c r="V301" s="226"/>
      <x:c r="W301" s="226"/>
      <x:c r="X301" s="226"/>
      <x:c r="Y301" s="226"/>
      <x:c r="Z301" s="226"/>
    </x:row>
    <x:row r="302">
      <x:c r="A302" s="226"/>
      <x:c r="B302" s="226"/>
      <x:c r="C302" s="226"/>
      <x:c r="D302" s="226"/>
      <x:c r="E302" s="226"/>
      <x:c r="F302" s="226"/>
      <x:c r="G302" s="226"/>
      <x:c r="H302" s="226"/>
      <x:c r="I302" s="226"/>
      <x:c r="J302" s="226"/>
      <x:c r="K302" s="226"/>
      <x:c r="L302" s="226"/>
      <x:c r="M302" s="226"/>
      <x:c r="N302" s="226"/>
      <x:c r="O302" s="226"/>
      <x:c r="P302" s="226"/>
      <x:c r="Q302" s="226"/>
      <x:c r="R302" s="226"/>
      <x:c r="S302" s="226"/>
      <x:c r="T302" s="226"/>
      <x:c r="U302" s="226"/>
      <x:c r="V302" s="226"/>
      <x:c r="W302" s="226"/>
      <x:c r="X302" s="226"/>
      <x:c r="Y302" s="226"/>
      <x:c r="Z302" s="226"/>
    </x:row>
    <x:row r="303">
      <x:c r="A303" s="226"/>
      <x:c r="B303" s="226"/>
      <x:c r="C303" s="226"/>
      <x:c r="D303" s="226"/>
      <x:c r="E303" s="226"/>
      <x:c r="F303" s="226"/>
      <x:c r="G303" s="226"/>
      <x:c r="H303" s="226"/>
      <x:c r="I303" s="226"/>
      <x:c r="J303" s="226"/>
      <x:c r="K303" s="226"/>
      <x:c r="L303" s="226"/>
      <x:c r="M303" s="226"/>
      <x:c r="N303" s="226"/>
      <x:c r="O303" s="226"/>
      <x:c r="P303" s="226"/>
      <x:c r="Q303" s="226"/>
      <x:c r="R303" s="226"/>
      <x:c r="S303" s="226"/>
      <x:c r="T303" s="226"/>
      <x:c r="U303" s="226"/>
      <x:c r="V303" s="226"/>
      <x:c r="W303" s="226"/>
      <x:c r="X303" s="226"/>
      <x:c r="Y303" s="226"/>
      <x:c r="Z303" s="226"/>
    </x:row>
    <x:row r="304">
      <x:c r="A304" s="226"/>
      <x:c r="B304" s="226"/>
      <x:c r="C304" s="226"/>
      <x:c r="D304" s="226"/>
      <x:c r="E304" s="226"/>
      <x:c r="F304" s="226"/>
      <x:c r="G304" s="226"/>
      <x:c r="H304" s="226"/>
      <x:c r="I304" s="226"/>
      <x:c r="J304" s="226"/>
      <x:c r="K304" s="226"/>
      <x:c r="L304" s="226"/>
      <x:c r="M304" s="226"/>
      <x:c r="N304" s="226"/>
      <x:c r="O304" s="226"/>
      <x:c r="P304" s="226"/>
      <x:c r="Q304" s="226"/>
      <x:c r="R304" s="226"/>
      <x:c r="S304" s="226"/>
      <x:c r="T304" s="226"/>
      <x:c r="U304" s="226"/>
      <x:c r="V304" s="226"/>
      <x:c r="W304" s="226"/>
      <x:c r="X304" s="226"/>
      <x:c r="Y304" s="226"/>
      <x:c r="Z304" s="226"/>
    </x:row>
    <x:row r="305">
      <x:c r="A305" s="226"/>
      <x:c r="B305" s="226"/>
      <x:c r="C305" s="226"/>
      <x:c r="D305" s="226"/>
      <x:c r="E305" s="226"/>
      <x:c r="F305" s="226"/>
      <x:c r="G305" s="226"/>
      <x:c r="H305" s="226"/>
      <x:c r="I305" s="226"/>
      <x:c r="J305" s="226"/>
      <x:c r="K305" s="226"/>
      <x:c r="L305" s="226"/>
      <x:c r="M305" s="226"/>
      <x:c r="N305" s="226"/>
      <x:c r="O305" s="226"/>
      <x:c r="P305" s="226"/>
      <x:c r="Q305" s="226"/>
      <x:c r="R305" s="226"/>
      <x:c r="S305" s="226"/>
      <x:c r="T305" s="226"/>
      <x:c r="U305" s="226"/>
      <x:c r="V305" s="226"/>
      <x:c r="W305" s="226"/>
      <x:c r="X305" s="226"/>
      <x:c r="Y305" s="226"/>
      <x:c r="Z305" s="226"/>
    </x:row>
    <x:row r="306">
      <x:c r="A306" s="226"/>
      <x:c r="B306" s="226"/>
      <x:c r="C306" s="226"/>
      <x:c r="D306" s="226"/>
      <x:c r="E306" s="226"/>
      <x:c r="F306" s="226"/>
      <x:c r="G306" s="226"/>
      <x:c r="H306" s="226"/>
      <x:c r="I306" s="226"/>
      <x:c r="J306" s="226"/>
      <x:c r="K306" s="226"/>
      <x:c r="L306" s="226"/>
      <x:c r="M306" s="226"/>
      <x:c r="N306" s="226"/>
      <x:c r="O306" s="226"/>
      <x:c r="P306" s="226"/>
      <x:c r="Q306" s="226"/>
      <x:c r="R306" s="226"/>
      <x:c r="S306" s="226"/>
      <x:c r="T306" s="226"/>
      <x:c r="U306" s="226"/>
      <x:c r="V306" s="226"/>
      <x:c r="W306" s="226"/>
      <x:c r="X306" s="226"/>
      <x:c r="Y306" s="226"/>
      <x:c r="Z306" s="226"/>
    </x:row>
    <x:row r="307">
      <x:c r="A307" s="226"/>
      <x:c r="B307" s="226"/>
      <x:c r="C307" s="226"/>
      <x:c r="D307" s="226"/>
      <x:c r="E307" s="226"/>
      <x:c r="F307" s="226"/>
      <x:c r="G307" s="226"/>
      <x:c r="H307" s="226"/>
      <x:c r="I307" s="226"/>
      <x:c r="J307" s="226"/>
      <x:c r="K307" s="226"/>
      <x:c r="L307" s="226"/>
      <x:c r="M307" s="226"/>
      <x:c r="N307" s="226"/>
      <x:c r="O307" s="226"/>
      <x:c r="P307" s="226"/>
      <x:c r="Q307" s="226"/>
      <x:c r="R307" s="226"/>
      <x:c r="S307" s="226"/>
      <x:c r="T307" s="226"/>
      <x:c r="U307" s="226"/>
      <x:c r="V307" s="226"/>
      <x:c r="W307" s="226"/>
      <x:c r="X307" s="226"/>
      <x:c r="Y307" s="226"/>
      <x:c r="Z307" s="226"/>
    </x:row>
    <x:row r="308">
      <x:c r="A308" s="226"/>
      <x:c r="B308" s="226"/>
      <x:c r="C308" s="226"/>
      <x:c r="D308" s="226"/>
      <x:c r="E308" s="226"/>
      <x:c r="F308" s="226"/>
      <x:c r="G308" s="226"/>
      <x:c r="H308" s="226"/>
      <x:c r="I308" s="226"/>
      <x:c r="J308" s="226"/>
      <x:c r="K308" s="226"/>
      <x:c r="L308" s="226"/>
      <x:c r="M308" s="226"/>
      <x:c r="N308" s="226"/>
      <x:c r="O308" s="226"/>
      <x:c r="P308" s="226"/>
      <x:c r="Q308" s="226"/>
      <x:c r="R308" s="226"/>
      <x:c r="S308" s="226"/>
      <x:c r="T308" s="226"/>
      <x:c r="U308" s="226"/>
      <x:c r="V308" s="226"/>
      <x:c r="W308" s="226"/>
      <x:c r="X308" s="226"/>
      <x:c r="Y308" s="226"/>
      <x:c r="Z308" s="226"/>
    </x:row>
    <x:row r="309">
      <x:c r="A309" s="226"/>
      <x:c r="B309" s="226"/>
      <x:c r="C309" s="226"/>
      <x:c r="D309" s="226"/>
      <x:c r="E309" s="226"/>
      <x:c r="F309" s="226"/>
      <x:c r="G309" s="226"/>
      <x:c r="H309" s="226"/>
      <x:c r="I309" s="226"/>
      <x:c r="J309" s="226"/>
      <x:c r="K309" s="226"/>
      <x:c r="L309" s="226"/>
      <x:c r="M309" s="226"/>
      <x:c r="N309" s="226"/>
      <x:c r="O309" s="226"/>
      <x:c r="P309" s="226"/>
      <x:c r="Q309" s="226"/>
      <x:c r="R309" s="226"/>
      <x:c r="S309" s="226"/>
      <x:c r="T309" s="226"/>
      <x:c r="U309" s="226"/>
      <x:c r="V309" s="226"/>
      <x:c r="W309" s="226"/>
      <x:c r="X309" s="226"/>
      <x:c r="Y309" s="226"/>
      <x:c r="Z309" s="226"/>
    </x:row>
    <x:row r="310">
      <x:c r="A310" s="226"/>
      <x:c r="B310" s="226"/>
      <x:c r="C310" s="226"/>
      <x:c r="D310" s="226"/>
      <x:c r="E310" s="226"/>
      <x:c r="F310" s="226"/>
      <x:c r="G310" s="226"/>
      <x:c r="H310" s="226"/>
      <x:c r="I310" s="226"/>
      <x:c r="J310" s="226"/>
      <x:c r="K310" s="226"/>
      <x:c r="L310" s="226"/>
      <x:c r="M310" s="226"/>
      <x:c r="N310" s="226"/>
      <x:c r="O310" s="226"/>
      <x:c r="P310" s="226"/>
      <x:c r="Q310" s="226"/>
      <x:c r="R310" s="226"/>
      <x:c r="S310" s="226"/>
      <x:c r="T310" s="226"/>
      <x:c r="U310" s="226"/>
      <x:c r="V310" s="226"/>
      <x:c r="W310" s="226"/>
      <x:c r="X310" s="226"/>
      <x:c r="Y310" s="226"/>
      <x:c r="Z310" s="226"/>
    </x:row>
    <x:row r="311">
      <x:c r="A311" s="226"/>
      <x:c r="B311" s="226"/>
      <x:c r="C311" s="226"/>
      <x:c r="D311" s="226"/>
      <x:c r="E311" s="226"/>
      <x:c r="F311" s="226"/>
      <x:c r="G311" s="226"/>
      <x:c r="H311" s="226"/>
      <x:c r="I311" s="226"/>
      <x:c r="J311" s="226"/>
      <x:c r="K311" s="226"/>
      <x:c r="L311" s="226"/>
      <x:c r="M311" s="226"/>
      <x:c r="N311" s="226"/>
      <x:c r="O311" s="226"/>
      <x:c r="P311" s="226"/>
      <x:c r="Q311" s="226"/>
      <x:c r="R311" s="226"/>
      <x:c r="S311" s="226"/>
      <x:c r="T311" s="226"/>
      <x:c r="U311" s="226"/>
      <x:c r="V311" s="226"/>
      <x:c r="W311" s="226"/>
      <x:c r="X311" s="226"/>
      <x:c r="Y311" s="226"/>
      <x:c r="Z311" s="226"/>
    </x:row>
    <x:row r="312">
      <x:c r="A312" s="226"/>
      <x:c r="B312" s="226"/>
      <x:c r="C312" s="226"/>
      <x:c r="D312" s="226"/>
      <x:c r="E312" s="226"/>
      <x:c r="F312" s="226"/>
      <x:c r="G312" s="226"/>
      <x:c r="H312" s="226"/>
      <x:c r="I312" s="226"/>
      <x:c r="J312" s="226"/>
      <x:c r="K312" s="226"/>
      <x:c r="L312" s="226"/>
      <x:c r="M312" s="226"/>
      <x:c r="N312" s="226"/>
      <x:c r="O312" s="226"/>
      <x:c r="P312" s="226"/>
      <x:c r="Q312" s="226"/>
      <x:c r="R312" s="226"/>
      <x:c r="S312" s="226"/>
      <x:c r="T312" s="226"/>
      <x:c r="U312" s="226"/>
      <x:c r="V312" s="226"/>
      <x:c r="W312" s="226"/>
      <x:c r="X312" s="226"/>
      <x:c r="Y312" s="226"/>
      <x:c r="Z312" s="226"/>
    </x:row>
    <x:row r="313">
      <x:c r="A313" s="226"/>
      <x:c r="B313" s="226"/>
      <x:c r="C313" s="226"/>
      <x:c r="D313" s="226"/>
      <x:c r="E313" s="226"/>
      <x:c r="F313" s="226"/>
      <x:c r="G313" s="226"/>
      <x:c r="H313" s="226"/>
      <x:c r="I313" s="226"/>
      <x:c r="J313" s="226"/>
      <x:c r="K313" s="226"/>
      <x:c r="L313" s="226"/>
      <x:c r="M313" s="226"/>
      <x:c r="N313" s="226"/>
      <x:c r="O313" s="226"/>
      <x:c r="P313" s="226"/>
      <x:c r="Q313" s="226"/>
      <x:c r="R313" s="226"/>
      <x:c r="S313" s="226"/>
      <x:c r="T313" s="226"/>
      <x:c r="U313" s="226"/>
      <x:c r="V313" s="226"/>
      <x:c r="W313" s="226"/>
      <x:c r="X313" s="226"/>
      <x:c r="Y313" s="226"/>
      <x:c r="Z313" s="226"/>
    </x:row>
    <x:row r="314">
      <x:c r="A314" s="226"/>
      <x:c r="B314" s="226"/>
      <x:c r="C314" s="226"/>
      <x:c r="D314" s="226"/>
      <x:c r="E314" s="226"/>
      <x:c r="F314" s="226"/>
      <x:c r="G314" s="226"/>
      <x:c r="H314" s="226"/>
      <x:c r="I314" s="226"/>
      <x:c r="J314" s="226"/>
      <x:c r="K314" s="226"/>
      <x:c r="L314" s="226"/>
      <x:c r="M314" s="226"/>
      <x:c r="N314" s="226"/>
      <x:c r="O314" s="226"/>
      <x:c r="P314" s="226"/>
      <x:c r="Q314" s="226"/>
      <x:c r="R314" s="226"/>
      <x:c r="S314" s="226"/>
      <x:c r="T314" s="226"/>
      <x:c r="U314" s="226"/>
      <x:c r="V314" s="226"/>
      <x:c r="W314" s="226"/>
      <x:c r="X314" s="226"/>
      <x:c r="Y314" s="226"/>
      <x:c r="Z314" s="226"/>
    </x:row>
    <x:row r="315">
      <x:c r="A315" s="226"/>
      <x:c r="B315" s="226"/>
      <x:c r="C315" s="226"/>
      <x:c r="D315" s="226"/>
      <x:c r="E315" s="226"/>
      <x:c r="F315" s="226"/>
      <x:c r="G315" s="226"/>
      <x:c r="H315" s="226"/>
      <x:c r="I315" s="226"/>
      <x:c r="J315" s="226"/>
      <x:c r="K315" s="226"/>
      <x:c r="L315" s="226"/>
      <x:c r="M315" s="226"/>
      <x:c r="N315" s="226"/>
      <x:c r="O315" s="226"/>
      <x:c r="P315" s="226"/>
      <x:c r="Q315" s="226"/>
      <x:c r="R315" s="226"/>
      <x:c r="S315" s="226"/>
      <x:c r="T315" s="226"/>
      <x:c r="U315" s="226"/>
      <x:c r="V315" s="226"/>
      <x:c r="W315" s="226"/>
      <x:c r="X315" s="226"/>
      <x:c r="Y315" s="226"/>
      <x:c r="Z315" s="226"/>
    </x:row>
    <x:row r="316">
      <x:c r="A316" s="226"/>
      <x:c r="B316" s="226"/>
      <x:c r="C316" s="226"/>
      <x:c r="D316" s="226"/>
      <x:c r="E316" s="226"/>
      <x:c r="F316" s="226"/>
      <x:c r="G316" s="226"/>
      <x:c r="H316" s="226"/>
      <x:c r="I316" s="226"/>
      <x:c r="J316" s="226"/>
      <x:c r="K316" s="226"/>
      <x:c r="L316" s="226"/>
      <x:c r="M316" s="226"/>
      <x:c r="N316" s="226"/>
      <x:c r="O316" s="226"/>
      <x:c r="P316" s="226"/>
      <x:c r="Q316" s="226"/>
      <x:c r="R316" s="226"/>
      <x:c r="S316" s="226"/>
      <x:c r="T316" s="226"/>
      <x:c r="U316" s="226"/>
      <x:c r="V316" s="226"/>
      <x:c r="W316" s="226"/>
      <x:c r="X316" s="226"/>
      <x:c r="Y316" s="226"/>
      <x:c r="Z316" s="226"/>
    </x:row>
    <x:row r="317">
      <x:c r="A317" s="226"/>
      <x:c r="B317" s="226"/>
      <x:c r="C317" s="226"/>
      <x:c r="D317" s="226"/>
      <x:c r="E317" s="226"/>
      <x:c r="F317" s="226"/>
      <x:c r="G317" s="226"/>
      <x:c r="H317" s="226"/>
      <x:c r="I317" s="226"/>
      <x:c r="J317" s="226"/>
      <x:c r="K317" s="226"/>
      <x:c r="L317" s="226"/>
      <x:c r="M317" s="226"/>
      <x:c r="N317" s="226"/>
      <x:c r="O317" s="226"/>
      <x:c r="P317" s="226"/>
      <x:c r="Q317" s="226"/>
      <x:c r="R317" s="226"/>
      <x:c r="S317" s="226"/>
      <x:c r="T317" s="226"/>
      <x:c r="U317" s="226"/>
      <x:c r="V317" s="226"/>
      <x:c r="W317" s="226"/>
      <x:c r="X317" s="226"/>
      <x:c r="Y317" s="226"/>
      <x:c r="Z317" s="226"/>
    </x:row>
    <x:row r="318">
      <x:c r="A318" s="226"/>
      <x:c r="B318" s="226"/>
      <x:c r="C318" s="226"/>
      <x:c r="D318" s="226"/>
      <x:c r="E318" s="226"/>
      <x:c r="F318" s="226"/>
      <x:c r="G318" s="226"/>
      <x:c r="H318" s="226"/>
      <x:c r="I318" s="226"/>
      <x:c r="J318" s="226"/>
      <x:c r="K318" s="226"/>
      <x:c r="L318" s="226"/>
      <x:c r="M318" s="226"/>
      <x:c r="N318" s="226"/>
      <x:c r="O318" s="226"/>
      <x:c r="P318" s="226"/>
      <x:c r="Q318" s="226"/>
      <x:c r="R318" s="226"/>
      <x:c r="S318" s="226"/>
      <x:c r="T318" s="226"/>
      <x:c r="U318" s="226"/>
      <x:c r="V318" s="226"/>
      <x:c r="W318" s="226"/>
      <x:c r="X318" s="226"/>
      <x:c r="Y318" s="226"/>
      <x:c r="Z318" s="226"/>
    </x:row>
    <x:row r="319">
      <x:c r="A319" s="226"/>
      <x:c r="B319" s="226"/>
      <x:c r="C319" s="226"/>
      <x:c r="D319" s="226"/>
      <x:c r="E319" s="226"/>
      <x:c r="F319" s="226"/>
      <x:c r="G319" s="226"/>
      <x:c r="H319" s="226"/>
      <x:c r="I319" s="226"/>
      <x:c r="J319" s="226"/>
      <x:c r="K319" s="226"/>
      <x:c r="L319" s="226"/>
      <x:c r="M319" s="226"/>
      <x:c r="N319" s="226"/>
      <x:c r="O319" s="226"/>
      <x:c r="P319" s="226"/>
      <x:c r="Q319" s="226"/>
      <x:c r="R319" s="226"/>
      <x:c r="S319" s="226"/>
      <x:c r="T319" s="226"/>
      <x:c r="U319" s="226"/>
      <x:c r="V319" s="226"/>
      <x:c r="W319" s="226"/>
      <x:c r="X319" s="226"/>
      <x:c r="Y319" s="226"/>
      <x:c r="Z319" s="226"/>
    </x:row>
    <x:row r="320">
      <x:c r="A320" s="226"/>
      <x:c r="B320" s="226"/>
      <x:c r="C320" s="226"/>
      <x:c r="D320" s="226"/>
      <x:c r="E320" s="226"/>
      <x:c r="F320" s="226"/>
      <x:c r="G320" s="226"/>
      <x:c r="H320" s="226"/>
      <x:c r="I320" s="226"/>
      <x:c r="J320" s="226"/>
      <x:c r="K320" s="226"/>
      <x:c r="L320" s="226"/>
      <x:c r="M320" s="226"/>
      <x:c r="N320" s="226"/>
      <x:c r="O320" s="226"/>
      <x:c r="P320" s="226"/>
      <x:c r="Q320" s="226"/>
      <x:c r="R320" s="226"/>
      <x:c r="S320" s="226"/>
      <x:c r="T320" s="226"/>
      <x:c r="U320" s="226"/>
      <x:c r="V320" s="226"/>
      <x:c r="W320" s="226"/>
      <x:c r="X320" s="226"/>
      <x:c r="Y320" s="226"/>
      <x:c r="Z320" s="226"/>
    </x:row>
    <x:row r="321">
      <x:c r="A321" s="226"/>
      <x:c r="B321" s="226"/>
      <x:c r="C321" s="226"/>
      <x:c r="D321" s="226"/>
      <x:c r="E321" s="226"/>
      <x:c r="F321" s="226"/>
      <x:c r="G321" s="226"/>
      <x:c r="H321" s="226"/>
      <x:c r="I321" s="226"/>
      <x:c r="J321" s="226"/>
      <x:c r="K321" s="226"/>
      <x:c r="L321" s="226"/>
      <x:c r="M321" s="226"/>
      <x:c r="N321" s="226"/>
      <x:c r="O321" s="226"/>
      <x:c r="P321" s="226"/>
      <x:c r="Q321" s="226"/>
      <x:c r="R321" s="226"/>
      <x:c r="S321" s="226"/>
      <x:c r="T321" s="226"/>
      <x:c r="U321" s="226"/>
      <x:c r="V321" s="226"/>
      <x:c r="W321" s="226"/>
      <x:c r="X321" s="226"/>
      <x:c r="Y321" s="226"/>
      <x:c r="Z321" s="226"/>
    </x:row>
    <x:row r="322">
      <x:c r="A322" s="226"/>
      <x:c r="B322" s="226"/>
      <x:c r="C322" s="226"/>
      <x:c r="D322" s="226"/>
      <x:c r="E322" s="226"/>
      <x:c r="F322" s="226"/>
      <x:c r="G322" s="226"/>
      <x:c r="H322" s="226"/>
      <x:c r="I322" s="226"/>
      <x:c r="J322" s="226"/>
      <x:c r="K322" s="226"/>
      <x:c r="L322" s="226"/>
      <x:c r="M322" s="226"/>
      <x:c r="N322" s="226"/>
      <x:c r="O322" s="226"/>
      <x:c r="P322" s="226"/>
      <x:c r="Q322" s="226"/>
      <x:c r="R322" s="226"/>
      <x:c r="S322" s="226"/>
      <x:c r="T322" s="226"/>
      <x:c r="U322" s="226"/>
      <x:c r="V322" s="226"/>
      <x:c r="W322" s="226"/>
      <x:c r="X322" s="226"/>
      <x:c r="Y322" s="226"/>
      <x:c r="Z322" s="226"/>
    </x:row>
    <x:row r="323">
      <x:c r="A323" s="226"/>
      <x:c r="B323" s="226"/>
      <x:c r="C323" s="226"/>
      <x:c r="D323" s="226"/>
      <x:c r="E323" s="226"/>
      <x:c r="F323" s="226"/>
      <x:c r="G323" s="226"/>
      <x:c r="H323" s="226"/>
      <x:c r="I323" s="226"/>
      <x:c r="J323" s="226"/>
      <x:c r="K323" s="226"/>
      <x:c r="L323" s="226"/>
      <x:c r="M323" s="226"/>
      <x:c r="N323" s="226"/>
      <x:c r="O323" s="226"/>
      <x:c r="P323" s="226"/>
      <x:c r="Q323" s="226"/>
      <x:c r="R323" s="226"/>
      <x:c r="S323" s="226"/>
      <x:c r="T323" s="226"/>
      <x:c r="U323" s="226"/>
      <x:c r="V323" s="226"/>
      <x:c r="W323" s="226"/>
      <x:c r="X323" s="226"/>
      <x:c r="Y323" s="226"/>
      <x:c r="Z323" s="226"/>
    </x:row>
    <x:row r="324">
      <x:c r="A324" s="226"/>
      <x:c r="B324" s="226"/>
      <x:c r="C324" s="226"/>
      <x:c r="D324" s="226"/>
      <x:c r="E324" s="226"/>
      <x:c r="F324" s="226"/>
      <x:c r="G324" s="226"/>
      <x:c r="H324" s="226"/>
      <x:c r="I324" s="226"/>
      <x:c r="J324" s="226"/>
      <x:c r="K324" s="226"/>
      <x:c r="L324" s="226"/>
      <x:c r="M324" s="226"/>
      <x:c r="N324" s="226"/>
      <x:c r="O324" s="226"/>
      <x:c r="P324" s="226"/>
      <x:c r="Q324" s="226"/>
      <x:c r="R324" s="226"/>
      <x:c r="S324" s="226"/>
      <x:c r="T324" s="226"/>
      <x:c r="U324" s="226"/>
      <x:c r="V324" s="226"/>
      <x:c r="W324" s="226"/>
      <x:c r="X324" s="226"/>
      <x:c r="Y324" s="226"/>
      <x:c r="Z324" s="226"/>
    </x:row>
    <x:row r="325">
      <x:c r="A325" s="226"/>
      <x:c r="B325" s="226"/>
      <x:c r="C325" s="226"/>
      <x:c r="D325" s="226"/>
      <x:c r="E325" s="226"/>
      <x:c r="F325" s="226"/>
      <x:c r="G325" s="226"/>
      <x:c r="H325" s="226"/>
      <x:c r="I325" s="226"/>
      <x:c r="J325" s="226"/>
      <x:c r="K325" s="226"/>
      <x:c r="L325" s="226"/>
      <x:c r="M325" s="226"/>
      <x:c r="N325" s="226"/>
      <x:c r="O325" s="226"/>
      <x:c r="P325" s="226"/>
      <x:c r="Q325" s="226"/>
      <x:c r="R325" s="226"/>
      <x:c r="S325" s="226"/>
      <x:c r="T325" s="226"/>
      <x:c r="U325" s="226"/>
      <x:c r="V325" s="226"/>
      <x:c r="W325" s="226"/>
      <x:c r="X325" s="226"/>
      <x:c r="Y325" s="226"/>
      <x:c r="Z325" s="226"/>
    </x:row>
    <x:row r="326">
      <x:c r="A326" s="226"/>
      <x:c r="B326" s="226"/>
      <x:c r="C326" s="226"/>
      <x:c r="D326" s="226"/>
      <x:c r="E326" s="226"/>
      <x:c r="F326" s="226"/>
      <x:c r="G326" s="226"/>
      <x:c r="H326" s="226"/>
      <x:c r="I326" s="226"/>
      <x:c r="J326" s="226"/>
      <x:c r="K326" s="226"/>
      <x:c r="L326" s="226"/>
      <x:c r="M326" s="226"/>
      <x:c r="N326" s="226"/>
      <x:c r="O326" s="226"/>
      <x:c r="P326" s="226"/>
      <x:c r="Q326" s="226"/>
      <x:c r="R326" s="226"/>
      <x:c r="S326" s="226"/>
      <x:c r="T326" s="226"/>
      <x:c r="U326" s="226"/>
      <x:c r="V326" s="226"/>
      <x:c r="W326" s="226"/>
      <x:c r="X326" s="226"/>
      <x:c r="Y326" s="226"/>
      <x:c r="Z326" s="226"/>
    </x:row>
    <x:row r="327">
      <x:c r="A327" s="226"/>
      <x:c r="B327" s="226"/>
      <x:c r="C327" s="226"/>
      <x:c r="D327" s="226"/>
      <x:c r="E327" s="226"/>
      <x:c r="F327" s="226"/>
      <x:c r="G327" s="226"/>
      <x:c r="H327" s="226"/>
      <x:c r="I327" s="226"/>
      <x:c r="J327" s="226"/>
      <x:c r="K327" s="226"/>
      <x:c r="L327" s="226"/>
      <x:c r="M327" s="226"/>
      <x:c r="N327" s="226"/>
      <x:c r="O327" s="226"/>
      <x:c r="P327" s="226"/>
      <x:c r="Q327" s="226"/>
      <x:c r="R327" s="226"/>
      <x:c r="S327" s="226"/>
      <x:c r="T327" s="226"/>
      <x:c r="U327" s="226"/>
      <x:c r="V327" s="226"/>
      <x:c r="W327" s="226"/>
      <x:c r="X327" s="226"/>
      <x:c r="Y327" s="226"/>
      <x:c r="Z327" s="226"/>
    </x:row>
    <x:row r="328">
      <x:c r="A328" s="226"/>
      <x:c r="B328" s="226"/>
      <x:c r="C328" s="226"/>
      <x:c r="D328" s="226"/>
      <x:c r="E328" s="226"/>
      <x:c r="F328" s="226"/>
      <x:c r="G328" s="226"/>
      <x:c r="H328" s="226"/>
      <x:c r="I328" s="226"/>
      <x:c r="J328" s="226"/>
      <x:c r="K328" s="226"/>
      <x:c r="L328" s="226"/>
      <x:c r="M328" s="226"/>
      <x:c r="N328" s="226"/>
      <x:c r="O328" s="226"/>
      <x:c r="P328" s="226"/>
      <x:c r="Q328" s="226"/>
      <x:c r="R328" s="226"/>
      <x:c r="S328" s="226"/>
      <x:c r="T328" s="226"/>
      <x:c r="U328" s="226"/>
      <x:c r="V328" s="226"/>
      <x:c r="W328" s="226"/>
      <x:c r="X328" s="226"/>
      <x:c r="Y328" s="226"/>
      <x:c r="Z328" s="226"/>
    </x:row>
    <x:row r="329">
      <x:c r="A329" s="226"/>
      <x:c r="B329" s="226"/>
      <x:c r="C329" s="226"/>
      <x:c r="D329" s="226"/>
      <x:c r="E329" s="226"/>
      <x:c r="F329" s="226"/>
      <x:c r="G329" s="226"/>
      <x:c r="H329" s="226"/>
      <x:c r="I329" s="226"/>
      <x:c r="J329" s="226"/>
      <x:c r="K329" s="226"/>
      <x:c r="L329" s="226"/>
      <x:c r="M329" s="226"/>
      <x:c r="N329" s="226"/>
      <x:c r="O329" s="226"/>
      <x:c r="P329" s="226"/>
      <x:c r="Q329" s="226"/>
      <x:c r="R329" s="226"/>
      <x:c r="S329" s="226"/>
      <x:c r="T329" s="226"/>
      <x:c r="U329" s="226"/>
      <x:c r="V329" s="226"/>
      <x:c r="W329" s="226"/>
      <x:c r="X329" s="226"/>
      <x:c r="Y329" s="226"/>
      <x:c r="Z329" s="226"/>
    </x:row>
    <x:row r="330">
      <x:c r="A330" s="226"/>
      <x:c r="B330" s="226"/>
      <x:c r="C330" s="226"/>
      <x:c r="D330" s="226"/>
      <x:c r="E330" s="226"/>
      <x:c r="F330" s="226"/>
      <x:c r="G330" s="226"/>
      <x:c r="H330" s="226"/>
      <x:c r="I330" s="226"/>
      <x:c r="J330" s="226"/>
      <x:c r="K330" s="226"/>
      <x:c r="L330" s="226"/>
      <x:c r="M330" s="226"/>
      <x:c r="N330" s="226"/>
      <x:c r="O330" s="226"/>
      <x:c r="P330" s="226"/>
      <x:c r="Q330" s="226"/>
      <x:c r="R330" s="226"/>
      <x:c r="S330" s="226"/>
      <x:c r="T330" s="226"/>
      <x:c r="U330" s="226"/>
      <x:c r="V330" s="226"/>
      <x:c r="W330" s="226"/>
      <x:c r="X330" s="226"/>
      <x:c r="Y330" s="226"/>
      <x:c r="Z330" s="226"/>
    </x:row>
    <x:row r="331">
      <x:c r="A331" s="226"/>
      <x:c r="B331" s="226"/>
      <x:c r="C331" s="226"/>
      <x:c r="D331" s="226"/>
      <x:c r="E331" s="226"/>
      <x:c r="F331" s="226"/>
      <x:c r="G331" s="226"/>
      <x:c r="H331" s="226"/>
      <x:c r="I331" s="226"/>
      <x:c r="J331" s="226"/>
      <x:c r="K331" s="226"/>
      <x:c r="L331" s="226"/>
      <x:c r="M331" s="226"/>
      <x:c r="N331" s="226"/>
      <x:c r="O331" s="226"/>
      <x:c r="P331" s="226"/>
      <x:c r="Q331" s="226"/>
      <x:c r="R331" s="226"/>
      <x:c r="S331" s="226"/>
      <x:c r="T331" s="226"/>
      <x:c r="U331" s="226"/>
      <x:c r="V331" s="226"/>
      <x:c r="W331" s="226"/>
      <x:c r="X331" s="226"/>
      <x:c r="Y331" s="226"/>
      <x:c r="Z331" s="226"/>
    </x:row>
    <x:row r="332">
      <x:c r="A332" s="226"/>
      <x:c r="B332" s="226"/>
      <x:c r="C332" s="226"/>
      <x:c r="D332" s="226"/>
      <x:c r="E332" s="226"/>
      <x:c r="F332" s="226"/>
      <x:c r="G332" s="226"/>
      <x:c r="H332" s="226"/>
      <x:c r="I332" s="226"/>
      <x:c r="J332" s="226"/>
      <x:c r="K332" s="226"/>
      <x:c r="L332" s="226"/>
      <x:c r="M332" s="226"/>
      <x:c r="N332" s="226"/>
      <x:c r="O332" s="226"/>
      <x:c r="P332" s="226"/>
      <x:c r="Q332" s="226"/>
      <x:c r="R332" s="226"/>
      <x:c r="S332" s="226"/>
      <x:c r="T332" s="226"/>
      <x:c r="U332" s="226"/>
      <x:c r="V332" s="226"/>
      <x:c r="W332" s="226"/>
      <x:c r="X332" s="226"/>
      <x:c r="Y332" s="226"/>
      <x:c r="Z332" s="226"/>
    </x:row>
    <x:row r="333">
      <x:c r="A333" s="226"/>
      <x:c r="B333" s="226"/>
      <x:c r="C333" s="226"/>
      <x:c r="D333" s="226"/>
      <x:c r="E333" s="226"/>
      <x:c r="F333" s="226"/>
      <x:c r="G333" s="226"/>
      <x:c r="H333" s="226"/>
      <x:c r="I333" s="226"/>
      <x:c r="J333" s="226"/>
      <x:c r="K333" s="226"/>
      <x:c r="L333" s="226"/>
      <x:c r="M333" s="226"/>
      <x:c r="N333" s="226"/>
      <x:c r="O333" s="226"/>
      <x:c r="P333" s="226"/>
      <x:c r="Q333" s="226"/>
      <x:c r="R333" s="226"/>
      <x:c r="S333" s="226"/>
      <x:c r="T333" s="226"/>
      <x:c r="U333" s="226"/>
      <x:c r="V333" s="226"/>
      <x:c r="W333" s="226"/>
      <x:c r="X333" s="226"/>
      <x:c r="Y333" s="226"/>
      <x:c r="Z333" s="226"/>
    </x:row>
    <x:row r="334">
      <x:c r="A334" s="226"/>
      <x:c r="B334" s="226"/>
      <x:c r="C334" s="226"/>
      <x:c r="D334" s="226"/>
      <x:c r="E334" s="226"/>
      <x:c r="F334" s="226"/>
      <x:c r="G334" s="226"/>
      <x:c r="H334" s="226"/>
      <x:c r="I334" s="226"/>
      <x:c r="J334" s="226"/>
      <x:c r="K334" s="226"/>
      <x:c r="L334" s="226"/>
      <x:c r="M334" s="226"/>
      <x:c r="N334" s="226"/>
      <x:c r="O334" s="226"/>
      <x:c r="P334" s="226"/>
      <x:c r="Q334" s="226"/>
      <x:c r="R334" s="226"/>
      <x:c r="S334" s="226"/>
      <x:c r="T334" s="226"/>
      <x:c r="U334" s="226"/>
      <x:c r="V334" s="226"/>
      <x:c r="W334" s="226"/>
      <x:c r="X334" s="226"/>
      <x:c r="Y334" s="226"/>
      <x:c r="Z334" s="226"/>
    </x:row>
    <x:row r="335">
      <x:c r="A335" s="226"/>
      <x:c r="B335" s="226"/>
      <x:c r="C335" s="226"/>
      <x:c r="D335" s="226"/>
      <x:c r="E335" s="226"/>
      <x:c r="F335" s="226"/>
      <x:c r="G335" s="226"/>
      <x:c r="H335" s="226"/>
      <x:c r="I335" s="226"/>
      <x:c r="J335" s="226"/>
      <x:c r="K335" s="226"/>
      <x:c r="L335" s="226"/>
      <x:c r="M335" s="226"/>
      <x:c r="N335" s="226"/>
      <x:c r="O335" s="226"/>
      <x:c r="P335" s="226"/>
      <x:c r="Q335" s="226"/>
      <x:c r="R335" s="226"/>
      <x:c r="S335" s="226"/>
      <x:c r="T335" s="226"/>
      <x:c r="U335" s="226"/>
      <x:c r="V335" s="226"/>
      <x:c r="W335" s="226"/>
      <x:c r="X335" s="226"/>
      <x:c r="Y335" s="226"/>
      <x:c r="Z335" s="226"/>
    </x:row>
    <x:row r="336">
      <x:c r="A336" s="226"/>
      <x:c r="B336" s="226"/>
      <x:c r="C336" s="226"/>
      <x:c r="D336" s="226"/>
      <x:c r="E336" s="226"/>
      <x:c r="F336" s="226"/>
      <x:c r="G336" s="226"/>
      <x:c r="H336" s="226"/>
      <x:c r="I336" s="226"/>
      <x:c r="J336" s="226"/>
      <x:c r="K336" s="226"/>
      <x:c r="L336" s="226"/>
      <x:c r="M336" s="226"/>
      <x:c r="N336" s="226"/>
      <x:c r="O336" s="226"/>
      <x:c r="P336" s="226"/>
      <x:c r="Q336" s="226"/>
      <x:c r="R336" s="226"/>
      <x:c r="S336" s="226"/>
      <x:c r="T336" s="226"/>
      <x:c r="U336" s="226"/>
      <x:c r="V336" s="226"/>
      <x:c r="W336" s="226"/>
      <x:c r="X336" s="226"/>
      <x:c r="Y336" s="226"/>
      <x:c r="Z336" s="226"/>
    </x:row>
    <x:row r="337">
      <x:c r="A337" s="226"/>
      <x:c r="B337" s="226"/>
      <x:c r="C337" s="226"/>
      <x:c r="D337" s="226"/>
      <x:c r="E337" s="226"/>
      <x:c r="F337" s="226"/>
      <x:c r="G337" s="226"/>
      <x:c r="H337" s="226"/>
      <x:c r="I337" s="226"/>
      <x:c r="J337" s="226"/>
      <x:c r="K337" s="226"/>
      <x:c r="L337" s="226"/>
      <x:c r="M337" s="226"/>
      <x:c r="N337" s="226"/>
      <x:c r="O337" s="226"/>
      <x:c r="P337" s="226"/>
      <x:c r="Q337" s="226"/>
      <x:c r="R337" s="226"/>
      <x:c r="S337" s="226"/>
      <x:c r="T337" s="226"/>
      <x:c r="U337" s="226"/>
      <x:c r="V337" s="226"/>
      <x:c r="W337" s="226"/>
      <x:c r="X337" s="226"/>
      <x:c r="Y337" s="226"/>
      <x:c r="Z337" s="226"/>
    </x:row>
    <x:row r="338">
      <x:c r="A338" s="226"/>
      <x:c r="B338" s="226"/>
      <x:c r="C338" s="226"/>
      <x:c r="D338" s="226"/>
      <x:c r="E338" s="226"/>
      <x:c r="F338" s="226"/>
      <x:c r="G338" s="226"/>
      <x:c r="H338" s="226"/>
      <x:c r="I338" s="226"/>
      <x:c r="J338" s="226"/>
      <x:c r="K338" s="226"/>
      <x:c r="L338" s="226"/>
      <x:c r="M338" s="226"/>
      <x:c r="N338" s="226"/>
      <x:c r="O338" s="226"/>
      <x:c r="P338" s="226"/>
      <x:c r="Q338" s="226"/>
      <x:c r="R338" s="226"/>
      <x:c r="S338" s="226"/>
      <x:c r="T338" s="226"/>
      <x:c r="U338" s="226"/>
      <x:c r="V338" s="226"/>
      <x:c r="W338" s="226"/>
      <x:c r="X338" s="226"/>
      <x:c r="Y338" s="226"/>
      <x:c r="Z338" s="226"/>
    </x:row>
    <x:row r="339">
      <x:c r="A339" s="226"/>
      <x:c r="B339" s="226"/>
      <x:c r="C339" s="226"/>
      <x:c r="D339" s="226"/>
      <x:c r="E339" s="226"/>
      <x:c r="F339" s="226"/>
      <x:c r="G339" s="226"/>
      <x:c r="H339" s="226"/>
      <x:c r="I339" s="226"/>
      <x:c r="J339" s="226"/>
      <x:c r="K339" s="226"/>
      <x:c r="L339" s="226"/>
      <x:c r="M339" s="226"/>
      <x:c r="N339" s="226"/>
      <x:c r="O339" s="226"/>
      <x:c r="P339" s="226"/>
      <x:c r="Q339" s="226"/>
      <x:c r="R339" s="226"/>
      <x:c r="S339" s="226"/>
      <x:c r="T339" s="226"/>
      <x:c r="U339" s="226"/>
      <x:c r="V339" s="226"/>
      <x:c r="W339" s="226"/>
      <x:c r="X339" s="226"/>
      <x:c r="Y339" s="226"/>
      <x:c r="Z339" s="226"/>
    </x:row>
    <x:row r="340">
      <x:c r="A340" s="226"/>
      <x:c r="B340" s="226"/>
      <x:c r="C340" s="226"/>
      <x:c r="D340" s="226"/>
      <x:c r="E340" s="226"/>
      <x:c r="F340" s="226"/>
      <x:c r="G340" s="226"/>
      <x:c r="H340" s="226"/>
      <x:c r="I340" s="226"/>
      <x:c r="J340" s="226"/>
      <x:c r="K340" s="226"/>
      <x:c r="L340" s="226"/>
      <x:c r="M340" s="226"/>
      <x:c r="N340" s="226"/>
      <x:c r="O340" s="226"/>
      <x:c r="P340" s="226"/>
      <x:c r="Q340" s="226"/>
      <x:c r="R340" s="226"/>
      <x:c r="S340" s="226"/>
      <x:c r="T340" s="226"/>
      <x:c r="U340" s="226"/>
      <x:c r="V340" s="226"/>
      <x:c r="W340" s="226"/>
      <x:c r="X340" s="226"/>
      <x:c r="Y340" s="226"/>
      <x:c r="Z340" s="226"/>
    </x:row>
    <x:row r="341">
      <x:c r="A341" s="226"/>
      <x:c r="B341" s="226"/>
      <x:c r="C341" s="226"/>
      <x:c r="D341" s="226"/>
      <x:c r="E341" s="226"/>
      <x:c r="F341" s="226"/>
      <x:c r="G341" s="226"/>
      <x:c r="H341" s="226"/>
      <x:c r="I341" s="226"/>
      <x:c r="J341" s="226"/>
      <x:c r="K341" s="226"/>
      <x:c r="L341" s="226"/>
      <x:c r="M341" s="226"/>
      <x:c r="N341" s="226"/>
      <x:c r="O341" s="226"/>
      <x:c r="P341" s="226"/>
      <x:c r="Q341" s="226"/>
      <x:c r="R341" s="226"/>
      <x:c r="S341" s="226"/>
      <x:c r="T341" s="226"/>
      <x:c r="U341" s="226"/>
      <x:c r="V341" s="226"/>
      <x:c r="W341" s="226"/>
      <x:c r="X341" s="226"/>
      <x:c r="Y341" s="226"/>
      <x:c r="Z341" s="226"/>
    </x:row>
    <x:row r="342">
      <x:c r="A342" s="226"/>
      <x:c r="B342" s="226"/>
      <x:c r="C342" s="226"/>
      <x:c r="D342" s="226"/>
      <x:c r="E342" s="226"/>
      <x:c r="F342" s="226"/>
      <x:c r="G342" s="226"/>
      <x:c r="H342" s="226"/>
      <x:c r="I342" s="226"/>
      <x:c r="J342" s="226"/>
      <x:c r="K342" s="226"/>
      <x:c r="L342" s="226"/>
      <x:c r="M342" s="226"/>
      <x:c r="N342" s="226"/>
      <x:c r="O342" s="226"/>
      <x:c r="P342" s="226"/>
      <x:c r="Q342" s="226"/>
      <x:c r="R342" s="226"/>
      <x:c r="S342" s="226"/>
      <x:c r="T342" s="226"/>
      <x:c r="U342" s="226"/>
      <x:c r="V342" s="226"/>
      <x:c r="W342" s="226"/>
      <x:c r="X342" s="226"/>
      <x:c r="Y342" s="226"/>
      <x:c r="Z342" s="226"/>
    </x:row>
    <x:row r="343">
      <x:c r="A343" s="226"/>
      <x:c r="B343" s="226"/>
      <x:c r="C343" s="226"/>
      <x:c r="D343" s="226"/>
      <x:c r="E343" s="226"/>
      <x:c r="F343" s="226"/>
      <x:c r="G343" s="226"/>
      <x:c r="H343" s="226"/>
      <x:c r="I343" s="226"/>
      <x:c r="J343" s="226"/>
      <x:c r="K343" s="226"/>
      <x:c r="L343" s="226"/>
      <x:c r="M343" s="226"/>
      <x:c r="N343" s="226"/>
      <x:c r="O343" s="226"/>
      <x:c r="P343" s="226"/>
      <x:c r="Q343" s="226"/>
      <x:c r="R343" s="226"/>
      <x:c r="S343" s="226"/>
      <x:c r="T343" s="226"/>
      <x:c r="U343" s="226"/>
      <x:c r="V343" s="226"/>
      <x:c r="W343" s="226"/>
      <x:c r="X343" s="226"/>
      <x:c r="Y343" s="226"/>
      <x:c r="Z343" s="226"/>
    </x:row>
    <x:row r="344">
      <x:c r="A344" s="226"/>
      <x:c r="B344" s="226"/>
      <x:c r="C344" s="226"/>
      <x:c r="D344" s="226"/>
      <x:c r="E344" s="226"/>
      <x:c r="F344" s="226"/>
      <x:c r="G344" s="226"/>
      <x:c r="H344" s="226"/>
      <x:c r="I344" s="226"/>
      <x:c r="J344" s="226"/>
      <x:c r="K344" s="226"/>
      <x:c r="L344" s="226"/>
      <x:c r="M344" s="226"/>
      <x:c r="N344" s="226"/>
      <x:c r="O344" s="226"/>
      <x:c r="P344" s="226"/>
      <x:c r="Q344" s="226"/>
      <x:c r="R344" s="226"/>
      <x:c r="S344" s="226"/>
      <x:c r="T344" s="226"/>
      <x:c r="U344" s="226"/>
      <x:c r="V344" s="226"/>
      <x:c r="W344" s="226"/>
      <x:c r="X344" s="226"/>
      <x:c r="Y344" s="226"/>
      <x:c r="Z344" s="226"/>
    </x:row>
    <x:row r="345">
      <x:c r="A345" s="226"/>
      <x:c r="B345" s="226"/>
      <x:c r="C345" s="226"/>
      <x:c r="D345" s="226"/>
      <x:c r="E345" s="226"/>
      <x:c r="F345" s="226"/>
      <x:c r="G345" s="226"/>
      <x:c r="H345" s="226"/>
      <x:c r="I345" s="226"/>
      <x:c r="J345" s="226"/>
      <x:c r="K345" s="226"/>
      <x:c r="L345" s="226"/>
      <x:c r="M345" s="226"/>
      <x:c r="N345" s="226"/>
      <x:c r="O345" s="226"/>
      <x:c r="P345" s="226"/>
      <x:c r="Q345" s="226"/>
      <x:c r="R345" s="226"/>
      <x:c r="S345" s="226"/>
      <x:c r="T345" s="226"/>
      <x:c r="U345" s="226"/>
      <x:c r="V345" s="226"/>
      <x:c r="W345" s="226"/>
      <x:c r="X345" s="226"/>
      <x:c r="Y345" s="226"/>
      <x:c r="Z345" s="226"/>
    </x:row>
    <x:row r="346">
      <x:c r="A346" s="226"/>
      <x:c r="B346" s="226"/>
      <x:c r="C346" s="226"/>
      <x:c r="D346" s="226"/>
      <x:c r="E346" s="226"/>
      <x:c r="F346" s="226"/>
      <x:c r="G346" s="226"/>
      <x:c r="H346" s="226"/>
      <x:c r="I346" s="226"/>
      <x:c r="J346" s="226"/>
      <x:c r="K346" s="226"/>
      <x:c r="L346" s="226"/>
      <x:c r="M346" s="226"/>
      <x:c r="N346" s="226"/>
      <x:c r="O346" s="226"/>
      <x:c r="P346" s="226"/>
      <x:c r="Q346" s="226"/>
      <x:c r="R346" s="226"/>
      <x:c r="S346" s="226"/>
      <x:c r="T346" s="226"/>
      <x:c r="U346" s="226"/>
      <x:c r="V346" s="226"/>
      <x:c r="W346" s="226"/>
      <x:c r="X346" s="226"/>
      <x:c r="Y346" s="226"/>
      <x:c r="Z346" s="226"/>
    </x:row>
    <x:row r="347">
      <x:c r="A347" s="226"/>
      <x:c r="B347" s="226"/>
      <x:c r="C347" s="226"/>
      <x:c r="D347" s="226"/>
      <x:c r="E347" s="226"/>
      <x:c r="F347" s="226"/>
      <x:c r="G347" s="226"/>
      <x:c r="H347" s="226"/>
      <x:c r="I347" s="226"/>
      <x:c r="J347" s="226"/>
      <x:c r="K347" s="226"/>
      <x:c r="L347" s="226"/>
      <x:c r="M347" s="226"/>
      <x:c r="N347" s="226"/>
      <x:c r="O347" s="226"/>
      <x:c r="P347" s="226"/>
      <x:c r="Q347" s="226"/>
      <x:c r="R347" s="226"/>
      <x:c r="S347" s="226"/>
      <x:c r="T347" s="226"/>
      <x:c r="U347" s="226"/>
      <x:c r="V347" s="226"/>
      <x:c r="W347" s="226"/>
      <x:c r="X347" s="226"/>
      <x:c r="Y347" s="226"/>
      <x:c r="Z347" s="226"/>
    </x:row>
    <x:row r="348">
      <x:c r="A348" s="226"/>
      <x:c r="B348" s="226"/>
      <x:c r="C348" s="226"/>
      <x:c r="D348" s="226"/>
      <x:c r="E348" s="226"/>
      <x:c r="F348" s="226"/>
      <x:c r="G348" s="226"/>
      <x:c r="H348" s="226"/>
      <x:c r="I348" s="226"/>
      <x:c r="J348" s="226"/>
      <x:c r="K348" s="226"/>
      <x:c r="L348" s="226"/>
      <x:c r="M348" s="226"/>
      <x:c r="N348" s="226"/>
      <x:c r="O348" s="226"/>
      <x:c r="P348" s="226"/>
      <x:c r="Q348" s="226"/>
      <x:c r="R348" s="226"/>
      <x:c r="S348" s="226"/>
      <x:c r="T348" s="226"/>
      <x:c r="U348" s="226"/>
      <x:c r="V348" s="226"/>
      <x:c r="W348" s="226"/>
      <x:c r="X348" s="226"/>
      <x:c r="Y348" s="226"/>
      <x:c r="Z348" s="226"/>
    </x:row>
    <x:row r="349">
      <x:c r="A349" s="226"/>
      <x:c r="B349" s="226"/>
      <x:c r="C349" s="226"/>
      <x:c r="D349" s="226"/>
      <x:c r="E349" s="226"/>
      <x:c r="F349" s="226"/>
      <x:c r="G349" s="226"/>
      <x:c r="H349" s="226"/>
      <x:c r="I349" s="226"/>
      <x:c r="J349" s="226"/>
      <x:c r="K349" s="226"/>
      <x:c r="L349" s="226"/>
      <x:c r="M349" s="226"/>
      <x:c r="N349" s="226"/>
      <x:c r="O349" s="226"/>
      <x:c r="P349" s="226"/>
      <x:c r="Q349" s="226"/>
      <x:c r="R349" s="226"/>
      <x:c r="S349" s="226"/>
      <x:c r="T349" s="226"/>
      <x:c r="U349" s="226"/>
      <x:c r="V349" s="226"/>
      <x:c r="W349" s="226"/>
      <x:c r="X349" s="226"/>
      <x:c r="Y349" s="226"/>
      <x:c r="Z349" s="226"/>
    </x:row>
    <x:row r="350">
      <x:c r="A350" s="226"/>
      <x:c r="B350" s="226"/>
      <x:c r="C350" s="226"/>
      <x:c r="D350" s="226"/>
      <x:c r="E350" s="226"/>
      <x:c r="F350" s="226"/>
      <x:c r="G350" s="226"/>
      <x:c r="H350" s="226"/>
      <x:c r="I350" s="226"/>
      <x:c r="J350" s="226"/>
      <x:c r="K350" s="226"/>
      <x:c r="L350" s="226"/>
      <x:c r="M350" s="226"/>
      <x:c r="N350" s="226"/>
      <x:c r="O350" s="226"/>
      <x:c r="P350" s="226"/>
      <x:c r="Q350" s="226"/>
      <x:c r="R350" s="226"/>
      <x:c r="S350" s="226"/>
      <x:c r="T350" s="226"/>
      <x:c r="U350" s="226"/>
      <x:c r="V350" s="226"/>
      <x:c r="W350" s="226"/>
      <x:c r="X350" s="226"/>
      <x:c r="Y350" s="226"/>
      <x:c r="Z350" s="226"/>
    </x:row>
    <x:row r="351">
      <x:c r="A351" s="226"/>
      <x:c r="B351" s="226"/>
      <x:c r="C351" s="226"/>
      <x:c r="D351" s="226"/>
      <x:c r="E351" s="226"/>
      <x:c r="F351" s="226"/>
      <x:c r="G351" s="226"/>
      <x:c r="H351" s="226"/>
      <x:c r="I351" s="226"/>
      <x:c r="J351" s="226"/>
      <x:c r="K351" s="226"/>
      <x:c r="L351" s="226"/>
      <x:c r="M351" s="226"/>
      <x:c r="N351" s="226"/>
      <x:c r="O351" s="226"/>
      <x:c r="P351" s="226"/>
      <x:c r="Q351" s="226"/>
      <x:c r="R351" s="226"/>
      <x:c r="S351" s="226"/>
      <x:c r="T351" s="226"/>
      <x:c r="U351" s="226"/>
      <x:c r="V351" s="226"/>
      <x:c r="W351" s="226"/>
      <x:c r="X351" s="226"/>
      <x:c r="Y351" s="226"/>
      <x:c r="Z351" s="226"/>
    </x:row>
    <x:row r="352">
      <x:c r="A352" s="226"/>
      <x:c r="B352" s="226"/>
      <x:c r="C352" s="226"/>
      <x:c r="D352" s="226"/>
      <x:c r="E352" s="226"/>
      <x:c r="F352" s="226"/>
      <x:c r="G352" s="226"/>
      <x:c r="H352" s="226"/>
      <x:c r="I352" s="226"/>
      <x:c r="J352" s="226"/>
      <x:c r="K352" s="226"/>
      <x:c r="L352" s="226"/>
      <x:c r="M352" s="226"/>
      <x:c r="N352" s="226"/>
      <x:c r="O352" s="226"/>
      <x:c r="P352" s="226"/>
      <x:c r="Q352" s="226"/>
      <x:c r="R352" s="226"/>
      <x:c r="S352" s="226"/>
      <x:c r="T352" s="226"/>
      <x:c r="U352" s="226"/>
      <x:c r="V352" s="226"/>
      <x:c r="W352" s="226"/>
      <x:c r="X352" s="226"/>
      <x:c r="Y352" s="226"/>
      <x:c r="Z352" s="226"/>
    </x:row>
    <x:row r="353">
      <x:c r="A353" s="226"/>
      <x:c r="B353" s="226"/>
      <x:c r="C353" s="226"/>
      <x:c r="D353" s="226"/>
      <x:c r="E353" s="226"/>
      <x:c r="F353" s="226"/>
      <x:c r="G353" s="226"/>
      <x:c r="H353" s="226"/>
      <x:c r="I353" s="226"/>
      <x:c r="J353" s="226"/>
      <x:c r="K353" s="226"/>
      <x:c r="L353" s="226"/>
      <x:c r="M353" s="226"/>
      <x:c r="N353" s="226"/>
      <x:c r="O353" s="226"/>
      <x:c r="P353" s="226"/>
      <x:c r="Q353" s="226"/>
      <x:c r="R353" s="226"/>
      <x:c r="S353" s="226"/>
      <x:c r="T353" s="226"/>
      <x:c r="U353" s="226"/>
      <x:c r="V353" s="226"/>
      <x:c r="W353" s="226"/>
      <x:c r="X353" s="226"/>
      <x:c r="Y353" s="226"/>
      <x:c r="Z353" s="226"/>
    </x:row>
    <x:row r="354">
      <x:c r="A354" s="226"/>
      <x:c r="B354" s="226"/>
      <x:c r="C354" s="226"/>
      <x:c r="D354" s="226"/>
      <x:c r="E354" s="226"/>
      <x:c r="F354" s="226"/>
      <x:c r="G354" s="226"/>
      <x:c r="H354" s="226"/>
      <x:c r="I354" s="226"/>
      <x:c r="J354" s="226"/>
      <x:c r="K354" s="226"/>
      <x:c r="L354" s="226"/>
      <x:c r="M354" s="226"/>
      <x:c r="N354" s="226"/>
      <x:c r="O354" s="226"/>
      <x:c r="P354" s="226"/>
      <x:c r="Q354" s="226"/>
      <x:c r="R354" s="226"/>
      <x:c r="S354" s="226"/>
      <x:c r="T354" s="226"/>
      <x:c r="U354" s="226"/>
      <x:c r="V354" s="226"/>
      <x:c r="W354" s="226"/>
      <x:c r="X354" s="226"/>
      <x:c r="Y354" s="226"/>
      <x:c r="Z354" s="226"/>
    </x:row>
    <x:row r="355">
      <x:c r="A355" s="226"/>
      <x:c r="B355" s="226"/>
      <x:c r="C355" s="226"/>
      <x:c r="D355" s="226"/>
      <x:c r="E355" s="226"/>
      <x:c r="F355" s="226"/>
      <x:c r="G355" s="226"/>
      <x:c r="H355" s="226"/>
      <x:c r="I355" s="226"/>
      <x:c r="J355" s="226"/>
      <x:c r="K355" s="226"/>
      <x:c r="L355" s="226"/>
      <x:c r="M355" s="226"/>
      <x:c r="N355" s="226"/>
      <x:c r="O355" s="226"/>
      <x:c r="P355" s="226"/>
      <x:c r="Q355" s="226"/>
      <x:c r="R355" s="226"/>
      <x:c r="S355" s="226"/>
      <x:c r="T355" s="226"/>
      <x:c r="U355" s="226"/>
      <x:c r="V355" s="226"/>
      <x:c r="W355" s="226"/>
      <x:c r="X355" s="226"/>
      <x:c r="Y355" s="226"/>
      <x:c r="Z355" s="226"/>
    </x:row>
    <x:row r="356">
      <x:c r="A356" s="226"/>
      <x:c r="B356" s="226"/>
      <x:c r="C356" s="226"/>
      <x:c r="D356" s="226"/>
      <x:c r="E356" s="226"/>
      <x:c r="F356" s="226"/>
      <x:c r="G356" s="226"/>
      <x:c r="H356" s="226"/>
      <x:c r="I356" s="226"/>
      <x:c r="J356" s="226"/>
      <x:c r="K356" s="226"/>
      <x:c r="L356" s="226"/>
      <x:c r="M356" s="226"/>
      <x:c r="N356" s="226"/>
      <x:c r="O356" s="226"/>
      <x:c r="P356" s="226"/>
      <x:c r="Q356" s="226"/>
      <x:c r="R356" s="226"/>
      <x:c r="S356" s="226"/>
      <x:c r="T356" s="226"/>
      <x:c r="U356" s="226"/>
      <x:c r="V356" s="226"/>
      <x:c r="W356" s="226"/>
      <x:c r="X356" s="226"/>
      <x:c r="Y356" s="226"/>
      <x:c r="Z356" s="226"/>
    </x:row>
    <x:row r="357">
      <x:c r="A357" s="226"/>
      <x:c r="B357" s="226"/>
      <x:c r="C357" s="226"/>
      <x:c r="D357" s="226"/>
      <x:c r="E357" s="226"/>
      <x:c r="F357" s="226"/>
      <x:c r="G357" s="226"/>
      <x:c r="H357" s="226"/>
      <x:c r="I357" s="226"/>
      <x:c r="J357" s="226"/>
      <x:c r="K357" s="226"/>
      <x:c r="L357" s="226"/>
      <x:c r="M357" s="226"/>
      <x:c r="N357" s="226"/>
      <x:c r="O357" s="226"/>
      <x:c r="P357" s="226"/>
      <x:c r="Q357" s="226"/>
      <x:c r="R357" s="226"/>
      <x:c r="S357" s="226"/>
      <x:c r="T357" s="226"/>
      <x:c r="U357" s="226"/>
      <x:c r="V357" s="226"/>
      <x:c r="W357" s="226"/>
      <x:c r="X357" s="226"/>
      <x:c r="Y357" s="226"/>
      <x:c r="Z357" s="226"/>
    </x:row>
    <x:row r="358">
      <x:c r="A358" s="226"/>
      <x:c r="B358" s="226"/>
      <x:c r="C358" s="226"/>
      <x:c r="D358" s="226"/>
      <x:c r="E358" s="226"/>
      <x:c r="F358" s="226"/>
      <x:c r="G358" s="226"/>
      <x:c r="H358" s="226"/>
      <x:c r="I358" s="226"/>
      <x:c r="J358" s="226"/>
      <x:c r="K358" s="226"/>
      <x:c r="L358" s="226"/>
      <x:c r="M358" s="226"/>
      <x:c r="N358" s="226"/>
      <x:c r="O358" s="226"/>
      <x:c r="P358" s="226"/>
      <x:c r="Q358" s="226"/>
      <x:c r="R358" s="226"/>
      <x:c r="S358" s="226"/>
      <x:c r="T358" s="226"/>
      <x:c r="U358" s="226"/>
      <x:c r="V358" s="226"/>
      <x:c r="W358" s="226"/>
      <x:c r="X358" s="226"/>
      <x:c r="Y358" s="226"/>
      <x:c r="Z358" s="226"/>
    </x:row>
    <x:row r="359">
      <x:c r="A359" s="226"/>
      <x:c r="B359" s="226"/>
      <x:c r="C359" s="226"/>
      <x:c r="D359" s="226"/>
      <x:c r="E359" s="226"/>
      <x:c r="F359" s="226"/>
      <x:c r="G359" s="226"/>
      <x:c r="H359" s="226"/>
      <x:c r="I359" s="226"/>
      <x:c r="J359" s="226"/>
      <x:c r="K359" s="226"/>
      <x:c r="L359" s="226"/>
      <x:c r="M359" s="226"/>
      <x:c r="N359" s="226"/>
      <x:c r="O359" s="226"/>
      <x:c r="P359" s="226"/>
      <x:c r="Q359" s="226"/>
      <x:c r="R359" s="226"/>
      <x:c r="S359" s="226"/>
      <x:c r="T359" s="226"/>
      <x:c r="U359" s="226"/>
      <x:c r="V359" s="226"/>
      <x:c r="W359" s="226"/>
      <x:c r="X359" s="226"/>
      <x:c r="Y359" s="226"/>
      <x:c r="Z359" s="226"/>
    </x:row>
    <x:row r="360">
      <x:c r="A360" s="226"/>
      <x:c r="B360" s="226"/>
      <x:c r="C360" s="226"/>
      <x:c r="D360" s="226"/>
      <x:c r="E360" s="226"/>
      <x:c r="F360" s="226"/>
      <x:c r="G360" s="226"/>
      <x:c r="H360" s="226"/>
      <x:c r="I360" s="226"/>
      <x:c r="J360" s="226"/>
      <x:c r="K360" s="226"/>
      <x:c r="L360" s="226"/>
      <x:c r="M360" s="226"/>
      <x:c r="N360" s="226"/>
      <x:c r="O360" s="226"/>
      <x:c r="P360" s="226"/>
      <x:c r="Q360" s="226"/>
      <x:c r="R360" s="226"/>
      <x:c r="S360" s="226"/>
      <x:c r="T360" s="226"/>
      <x:c r="U360" s="226"/>
      <x:c r="V360" s="226"/>
      <x:c r="W360" s="226"/>
      <x:c r="X360" s="226"/>
      <x:c r="Y360" s="226"/>
      <x:c r="Z360" s="226"/>
    </x:row>
    <x:row r="361">
      <x:c r="A361" s="226"/>
      <x:c r="B361" s="226"/>
      <x:c r="C361" s="226"/>
      <x:c r="D361" s="226"/>
      <x:c r="E361" s="226"/>
      <x:c r="F361" s="226"/>
      <x:c r="G361" s="226"/>
      <x:c r="H361" s="226"/>
      <x:c r="I361" s="226"/>
      <x:c r="J361" s="226"/>
      <x:c r="K361" s="226"/>
      <x:c r="L361" s="226"/>
      <x:c r="M361" s="226"/>
      <x:c r="N361" s="226"/>
      <x:c r="O361" s="226"/>
      <x:c r="P361" s="226"/>
      <x:c r="Q361" s="226"/>
      <x:c r="R361" s="226"/>
      <x:c r="S361" s="226"/>
      <x:c r="T361" s="226"/>
      <x:c r="U361" s="226"/>
      <x:c r="V361" s="226"/>
      <x:c r="W361" s="226"/>
      <x:c r="X361" s="226"/>
      <x:c r="Y361" s="226"/>
      <x:c r="Z361" s="226"/>
    </x:row>
    <x:row r="362">
      <x:c r="A362" s="226"/>
      <x:c r="B362" s="226"/>
      <x:c r="C362" s="226"/>
      <x:c r="D362" s="226"/>
      <x:c r="E362" s="226"/>
      <x:c r="F362" s="226"/>
      <x:c r="G362" s="226"/>
      <x:c r="H362" s="226"/>
      <x:c r="I362" s="226"/>
      <x:c r="J362" s="226"/>
      <x:c r="K362" s="226"/>
      <x:c r="L362" s="226"/>
      <x:c r="M362" s="226"/>
      <x:c r="N362" s="226"/>
      <x:c r="O362" s="226"/>
      <x:c r="P362" s="226"/>
      <x:c r="Q362" s="226"/>
      <x:c r="R362" s="226"/>
      <x:c r="S362" s="226"/>
      <x:c r="T362" s="226"/>
      <x:c r="U362" s="226"/>
      <x:c r="V362" s="226"/>
      <x:c r="W362" s="226"/>
      <x:c r="X362" s="226"/>
      <x:c r="Y362" s="226"/>
      <x:c r="Z362" s="226"/>
    </x:row>
    <x:row r="363">
      <x:c r="A363" s="226"/>
      <x:c r="B363" s="226"/>
      <x:c r="C363" s="226"/>
      <x:c r="D363" s="226"/>
      <x:c r="E363" s="226"/>
      <x:c r="F363" s="226"/>
      <x:c r="G363" s="226"/>
      <x:c r="H363" s="226"/>
      <x:c r="I363" s="226"/>
      <x:c r="J363" s="226"/>
      <x:c r="K363" s="226"/>
      <x:c r="L363" s="226"/>
      <x:c r="M363" s="226"/>
      <x:c r="N363" s="226"/>
      <x:c r="O363" s="226"/>
      <x:c r="P363" s="226"/>
      <x:c r="Q363" s="226"/>
      <x:c r="R363" s="226"/>
      <x:c r="S363" s="226"/>
      <x:c r="T363" s="226"/>
      <x:c r="U363" s="226"/>
      <x:c r="V363" s="226"/>
      <x:c r="W363" s="226"/>
      <x:c r="X363" s="226"/>
      <x:c r="Y363" s="226"/>
      <x:c r="Z363" s="226"/>
    </x:row>
    <x:row r="364">
      <x:c r="A364" s="226"/>
      <x:c r="B364" s="226"/>
      <x:c r="C364" s="226"/>
      <x:c r="D364" s="226"/>
      <x:c r="E364" s="226"/>
      <x:c r="F364" s="226"/>
      <x:c r="G364" s="226"/>
      <x:c r="H364" s="226"/>
      <x:c r="I364" s="226"/>
      <x:c r="J364" s="226"/>
      <x:c r="K364" s="226"/>
      <x:c r="L364" s="226"/>
      <x:c r="M364" s="226"/>
      <x:c r="N364" s="226"/>
      <x:c r="O364" s="226"/>
      <x:c r="P364" s="226"/>
      <x:c r="Q364" s="226"/>
      <x:c r="R364" s="226"/>
      <x:c r="S364" s="226"/>
      <x:c r="T364" s="226"/>
      <x:c r="U364" s="226"/>
      <x:c r="V364" s="226"/>
      <x:c r="W364" s="226"/>
      <x:c r="X364" s="226"/>
      <x:c r="Y364" s="226"/>
      <x:c r="Z364" s="226"/>
    </x:row>
    <x:row r="365">
      <x:c r="A365" s="226"/>
      <x:c r="B365" s="226"/>
      <x:c r="C365" s="226"/>
      <x:c r="D365" s="226"/>
      <x:c r="E365" s="226"/>
      <x:c r="F365" s="226"/>
      <x:c r="G365" s="226"/>
      <x:c r="H365" s="226"/>
      <x:c r="I365" s="226"/>
      <x:c r="J365" s="226"/>
      <x:c r="K365" s="226"/>
      <x:c r="L365" s="226"/>
      <x:c r="M365" s="226"/>
      <x:c r="N365" s="226"/>
      <x:c r="O365" s="226"/>
      <x:c r="P365" s="226"/>
      <x:c r="Q365" s="226"/>
      <x:c r="R365" s="226"/>
      <x:c r="S365" s="226"/>
      <x:c r="T365" s="226"/>
      <x:c r="U365" s="226"/>
      <x:c r="V365" s="226"/>
      <x:c r="W365" s="226"/>
      <x:c r="X365" s="226"/>
      <x:c r="Y365" s="226"/>
      <x:c r="Z365" s="226"/>
    </x:row>
    <x:row r="366">
      <x:c r="A366" s="226"/>
      <x:c r="B366" s="226"/>
      <x:c r="C366" s="226"/>
      <x:c r="D366" s="226"/>
      <x:c r="E366" s="226"/>
      <x:c r="F366" s="226"/>
      <x:c r="G366" s="226"/>
      <x:c r="H366" s="226"/>
      <x:c r="I366" s="226"/>
      <x:c r="J366" s="226"/>
      <x:c r="K366" s="226"/>
      <x:c r="L366" s="226"/>
      <x:c r="M366" s="226"/>
      <x:c r="N366" s="226"/>
      <x:c r="O366" s="226"/>
      <x:c r="P366" s="226"/>
      <x:c r="Q366" s="226"/>
      <x:c r="R366" s="226"/>
      <x:c r="S366" s="226"/>
      <x:c r="T366" s="226"/>
      <x:c r="U366" s="226"/>
      <x:c r="V366" s="226"/>
      <x:c r="W366" s="226"/>
      <x:c r="X366" s="226"/>
      <x:c r="Y366" s="226"/>
      <x:c r="Z366" s="226"/>
    </x:row>
    <x:row r="367">
      <x:c r="A367" s="226"/>
      <x:c r="B367" s="226"/>
      <x:c r="C367" s="226"/>
      <x:c r="D367" s="226"/>
      <x:c r="E367" s="226"/>
      <x:c r="F367" s="226"/>
      <x:c r="G367" s="226"/>
      <x:c r="H367" s="226"/>
      <x:c r="I367" s="226"/>
      <x:c r="J367" s="226"/>
      <x:c r="K367" s="226"/>
      <x:c r="L367" s="226"/>
      <x:c r="M367" s="226"/>
      <x:c r="N367" s="226"/>
      <x:c r="O367" s="226"/>
      <x:c r="P367" s="226"/>
      <x:c r="Q367" s="226"/>
      <x:c r="R367" s="226"/>
      <x:c r="S367" s="226"/>
      <x:c r="T367" s="226"/>
      <x:c r="U367" s="226"/>
      <x:c r="V367" s="226"/>
      <x:c r="W367" s="226"/>
      <x:c r="X367" s="226"/>
      <x:c r="Y367" s="226"/>
      <x:c r="Z367" s="226"/>
    </x:row>
    <x:row r="368">
      <x:c r="A368" s="226"/>
      <x:c r="B368" s="226"/>
      <x:c r="C368" s="226"/>
      <x:c r="D368" s="226"/>
      <x:c r="E368" s="226"/>
      <x:c r="F368" s="226"/>
      <x:c r="G368" s="226"/>
      <x:c r="H368" s="226"/>
      <x:c r="I368" s="226"/>
      <x:c r="J368" s="226"/>
      <x:c r="K368" s="226"/>
      <x:c r="L368" s="226"/>
      <x:c r="M368" s="226"/>
      <x:c r="N368" s="226"/>
      <x:c r="O368" s="226"/>
      <x:c r="P368" s="226"/>
      <x:c r="Q368" s="226"/>
      <x:c r="R368" s="226"/>
      <x:c r="S368" s="226"/>
      <x:c r="T368" s="226"/>
      <x:c r="U368" s="226"/>
      <x:c r="V368" s="226"/>
      <x:c r="W368" s="226"/>
      <x:c r="X368" s="226"/>
      <x:c r="Y368" s="226"/>
      <x:c r="Z368" s="226"/>
    </x:row>
    <x:row r="369">
      <x:c r="A369" s="226"/>
      <x:c r="B369" s="226"/>
      <x:c r="C369" s="226"/>
      <x:c r="D369" s="226"/>
      <x:c r="E369" s="226"/>
      <x:c r="F369" s="226"/>
      <x:c r="G369" s="226"/>
      <x:c r="H369" s="226"/>
      <x:c r="I369" s="226"/>
      <x:c r="J369" s="226"/>
      <x:c r="K369" s="226"/>
      <x:c r="L369" s="226"/>
      <x:c r="M369" s="226"/>
      <x:c r="N369" s="226"/>
      <x:c r="O369" s="226"/>
      <x:c r="P369" s="226"/>
      <x:c r="Q369" s="226"/>
      <x:c r="R369" s="226"/>
      <x:c r="S369" s="226"/>
      <x:c r="T369" s="226"/>
      <x:c r="U369" s="226"/>
      <x:c r="V369" s="226"/>
      <x:c r="W369" s="226"/>
      <x:c r="X369" s="226"/>
      <x:c r="Y369" s="226"/>
      <x:c r="Z369" s="226"/>
    </x:row>
    <x:row r="370">
      <x:c r="A370" s="226"/>
      <x:c r="B370" s="226"/>
      <x:c r="C370" s="226"/>
      <x:c r="D370" s="226"/>
      <x:c r="E370" s="226"/>
      <x:c r="F370" s="226"/>
      <x:c r="G370" s="226"/>
      <x:c r="H370" s="226"/>
      <x:c r="I370" s="226"/>
      <x:c r="J370" s="226"/>
      <x:c r="K370" s="226"/>
      <x:c r="L370" s="226"/>
      <x:c r="M370" s="226"/>
      <x:c r="N370" s="226"/>
      <x:c r="O370" s="226"/>
      <x:c r="P370" s="226"/>
      <x:c r="Q370" s="226"/>
      <x:c r="R370" s="226"/>
      <x:c r="S370" s="226"/>
      <x:c r="T370" s="226"/>
      <x:c r="U370" s="226"/>
      <x:c r="V370" s="226"/>
      <x:c r="W370" s="226"/>
      <x:c r="X370" s="226"/>
      <x:c r="Y370" s="226"/>
      <x:c r="Z370" s="226"/>
    </x:row>
    <x:row r="371">
      <x:c r="A371" s="226"/>
      <x:c r="B371" s="226"/>
      <x:c r="C371" s="226"/>
      <x:c r="D371" s="226"/>
      <x:c r="E371" s="226"/>
      <x:c r="F371" s="226"/>
      <x:c r="G371" s="226"/>
      <x:c r="H371" s="226"/>
      <x:c r="I371" s="226"/>
      <x:c r="J371" s="226"/>
      <x:c r="K371" s="226"/>
      <x:c r="L371" s="226"/>
      <x:c r="M371" s="226"/>
      <x:c r="N371" s="226"/>
      <x:c r="O371" s="226"/>
      <x:c r="P371" s="226"/>
      <x:c r="Q371" s="226"/>
      <x:c r="R371" s="226"/>
      <x:c r="S371" s="226"/>
      <x:c r="T371" s="226"/>
      <x:c r="U371" s="226"/>
      <x:c r="V371" s="226"/>
      <x:c r="W371" s="226"/>
      <x:c r="X371" s="226"/>
      <x:c r="Y371" s="226"/>
      <x:c r="Z371" s="226"/>
    </x:row>
    <x:row r="372">
      <x:c r="A372" s="226"/>
      <x:c r="B372" s="226"/>
      <x:c r="C372" s="226"/>
      <x:c r="D372" s="226"/>
      <x:c r="E372" s="226"/>
      <x:c r="F372" s="226"/>
      <x:c r="G372" s="226"/>
      <x:c r="H372" s="226"/>
      <x:c r="I372" s="226"/>
      <x:c r="J372" s="226"/>
      <x:c r="K372" s="226"/>
      <x:c r="L372" s="226"/>
      <x:c r="M372" s="226"/>
      <x:c r="N372" s="226"/>
      <x:c r="O372" s="226"/>
      <x:c r="P372" s="226"/>
      <x:c r="Q372" s="226"/>
      <x:c r="R372" s="226"/>
      <x:c r="S372" s="226"/>
      <x:c r="T372" s="226"/>
      <x:c r="U372" s="226"/>
      <x:c r="V372" s="226"/>
      <x:c r="W372" s="226"/>
      <x:c r="X372" s="226"/>
      <x:c r="Y372" s="226"/>
      <x:c r="Z372" s="226"/>
    </x:row>
    <x:row r="373">
      <x:c r="A373" s="226"/>
      <x:c r="B373" s="226"/>
      <x:c r="C373" s="226"/>
      <x:c r="D373" s="226"/>
      <x:c r="E373" s="226"/>
      <x:c r="F373" s="226"/>
      <x:c r="G373" s="226"/>
      <x:c r="H373" s="226"/>
      <x:c r="I373" s="226"/>
      <x:c r="J373" s="226"/>
      <x:c r="K373" s="226"/>
      <x:c r="L373" s="226"/>
      <x:c r="M373" s="226"/>
      <x:c r="N373" s="226"/>
      <x:c r="O373" s="226"/>
      <x:c r="P373" s="226"/>
      <x:c r="Q373" s="226"/>
      <x:c r="R373" s="226"/>
      <x:c r="S373" s="226"/>
      <x:c r="T373" s="226"/>
      <x:c r="U373" s="226"/>
      <x:c r="V373" s="226"/>
      <x:c r="W373" s="226"/>
      <x:c r="X373" s="226"/>
      <x:c r="Y373" s="226"/>
      <x:c r="Z373" s="226"/>
    </x:row>
    <x:row r="374">
      <x:c r="A374" s="226"/>
      <x:c r="B374" s="226"/>
      <x:c r="C374" s="226"/>
      <x:c r="D374" s="226"/>
      <x:c r="E374" s="226"/>
      <x:c r="F374" s="226"/>
      <x:c r="G374" s="226"/>
      <x:c r="H374" s="226"/>
      <x:c r="I374" s="226"/>
      <x:c r="J374" s="226"/>
      <x:c r="K374" s="226"/>
      <x:c r="L374" s="226"/>
      <x:c r="M374" s="226"/>
      <x:c r="N374" s="226"/>
      <x:c r="O374" s="226"/>
      <x:c r="P374" s="226"/>
      <x:c r="Q374" s="226"/>
      <x:c r="R374" s="226"/>
      <x:c r="S374" s="226"/>
      <x:c r="T374" s="226"/>
      <x:c r="U374" s="226"/>
      <x:c r="V374" s="226"/>
      <x:c r="W374" s="226"/>
      <x:c r="X374" s="226"/>
      <x:c r="Y374" s="226"/>
      <x:c r="Z374" s="226"/>
    </x:row>
    <x:row r="375">
      <x:c r="A375" s="226"/>
      <x:c r="B375" s="226"/>
      <x:c r="C375" s="226"/>
      <x:c r="D375" s="226"/>
      <x:c r="E375" s="226"/>
      <x:c r="F375" s="226"/>
      <x:c r="G375" s="226"/>
      <x:c r="H375" s="226"/>
      <x:c r="I375" s="226"/>
      <x:c r="J375" s="226"/>
      <x:c r="K375" s="226"/>
      <x:c r="L375" s="226"/>
      <x:c r="M375" s="226"/>
      <x:c r="N375" s="226"/>
      <x:c r="O375" s="226"/>
      <x:c r="P375" s="226"/>
      <x:c r="Q375" s="226"/>
      <x:c r="R375" s="226"/>
      <x:c r="S375" s="226"/>
      <x:c r="T375" s="226"/>
      <x:c r="U375" s="226"/>
      <x:c r="V375" s="226"/>
      <x:c r="W375" s="226"/>
      <x:c r="X375" s="226"/>
      <x:c r="Y375" s="226"/>
      <x:c r="Z375" s="226"/>
    </x:row>
    <x:row r="376">
      <x:c r="A376" s="226"/>
      <x:c r="B376" s="226"/>
      <x:c r="C376" s="226"/>
      <x:c r="D376" s="226"/>
      <x:c r="E376" s="226"/>
      <x:c r="F376" s="226"/>
      <x:c r="G376" s="226"/>
      <x:c r="H376" s="226"/>
      <x:c r="I376" s="226"/>
      <x:c r="J376" s="226"/>
      <x:c r="K376" s="226"/>
      <x:c r="L376" s="226"/>
      <x:c r="M376" s="226"/>
      <x:c r="N376" s="226"/>
      <x:c r="O376" s="226"/>
      <x:c r="P376" s="226"/>
      <x:c r="Q376" s="226"/>
      <x:c r="R376" s="226"/>
      <x:c r="S376" s="226"/>
      <x:c r="T376" s="226"/>
      <x:c r="U376" s="226"/>
      <x:c r="V376" s="226"/>
      <x:c r="W376" s="226"/>
      <x:c r="X376" s="226"/>
      <x:c r="Y376" s="226"/>
      <x:c r="Z376" s="226"/>
    </x:row>
    <x:row r="377">
      <x:c r="A377" s="226"/>
      <x:c r="B377" s="226"/>
      <x:c r="C377" s="226"/>
      <x:c r="D377" s="226"/>
      <x:c r="E377" s="226"/>
      <x:c r="F377" s="226"/>
      <x:c r="G377" s="226"/>
      <x:c r="H377" s="226"/>
      <x:c r="I377" s="226"/>
      <x:c r="J377" s="226"/>
      <x:c r="K377" s="226"/>
      <x:c r="L377" s="226"/>
      <x:c r="M377" s="226"/>
      <x:c r="N377" s="226"/>
      <x:c r="O377" s="226"/>
      <x:c r="P377" s="226"/>
      <x:c r="Q377" s="226"/>
      <x:c r="R377" s="226"/>
      <x:c r="S377" s="226"/>
      <x:c r="T377" s="226"/>
      <x:c r="U377" s="226"/>
      <x:c r="V377" s="226"/>
      <x:c r="W377" s="226"/>
      <x:c r="X377" s="226"/>
      <x:c r="Y377" s="226"/>
      <x:c r="Z377" s="226"/>
    </x:row>
    <x:row r="378">
      <x:c r="A378" s="226"/>
      <x:c r="B378" s="226"/>
      <x:c r="C378" s="226"/>
      <x:c r="D378" s="226"/>
      <x:c r="E378" s="226"/>
      <x:c r="F378" s="226"/>
      <x:c r="G378" s="226"/>
      <x:c r="H378" s="226"/>
      <x:c r="I378" s="226"/>
      <x:c r="J378" s="226"/>
      <x:c r="K378" s="226"/>
      <x:c r="L378" s="226"/>
      <x:c r="M378" s="226"/>
      <x:c r="N378" s="226"/>
      <x:c r="O378" s="226"/>
      <x:c r="P378" s="226"/>
      <x:c r="Q378" s="226"/>
      <x:c r="R378" s="226"/>
      <x:c r="S378" s="226"/>
      <x:c r="T378" s="226"/>
      <x:c r="U378" s="226"/>
      <x:c r="V378" s="226"/>
      <x:c r="W378" s="226"/>
      <x:c r="X378" s="226"/>
      <x:c r="Y378" s="226"/>
      <x:c r="Z378" s="226"/>
    </x:row>
    <x:row r="379">
      <x:c r="A379" s="226"/>
      <x:c r="B379" s="226"/>
      <x:c r="C379" s="226"/>
      <x:c r="D379" s="226"/>
      <x:c r="E379" s="226"/>
      <x:c r="F379" s="226"/>
      <x:c r="G379" s="226"/>
      <x:c r="H379" s="226"/>
      <x:c r="I379" s="226"/>
      <x:c r="J379" s="226"/>
      <x:c r="K379" s="226"/>
      <x:c r="L379" s="226"/>
      <x:c r="M379" s="226"/>
      <x:c r="N379" s="226"/>
      <x:c r="O379" s="226"/>
      <x:c r="P379" s="226"/>
      <x:c r="Q379" s="226"/>
      <x:c r="R379" s="226"/>
      <x:c r="S379" s="226"/>
      <x:c r="T379" s="226"/>
      <x:c r="U379" s="226"/>
      <x:c r="V379" s="226"/>
      <x:c r="W379" s="226"/>
      <x:c r="X379" s="226"/>
      <x:c r="Y379" s="226"/>
      <x:c r="Z379" s="226"/>
    </x:row>
    <x:row r="380">
      <x:c r="A380" s="226"/>
      <x:c r="B380" s="226"/>
      <x:c r="C380" s="226"/>
      <x:c r="D380" s="226"/>
      <x:c r="E380" s="226"/>
      <x:c r="F380" s="226"/>
      <x:c r="G380" s="226"/>
      <x:c r="H380" s="226"/>
      <x:c r="I380" s="226"/>
      <x:c r="J380" s="226"/>
      <x:c r="K380" s="226"/>
      <x:c r="L380" s="226"/>
      <x:c r="M380" s="226"/>
      <x:c r="N380" s="226"/>
      <x:c r="O380" s="226"/>
      <x:c r="P380" s="226"/>
      <x:c r="Q380" s="226"/>
      <x:c r="R380" s="226"/>
      <x:c r="S380" s="226"/>
      <x:c r="T380" s="226"/>
      <x:c r="U380" s="226"/>
      <x:c r="V380" s="226"/>
      <x:c r="W380" s="226"/>
      <x:c r="X380" s="226"/>
      <x:c r="Y380" s="226"/>
      <x:c r="Z380" s="226"/>
    </x:row>
    <x:row r="381">
      <x:c r="A381" s="226"/>
      <x:c r="B381" s="226"/>
      <x:c r="C381" s="226"/>
      <x:c r="D381" s="226"/>
      <x:c r="E381" s="226"/>
      <x:c r="F381" s="226"/>
      <x:c r="G381" s="226"/>
      <x:c r="H381" s="226"/>
      <x:c r="I381" s="226"/>
      <x:c r="J381" s="226"/>
      <x:c r="K381" s="226"/>
      <x:c r="L381" s="226"/>
      <x:c r="M381" s="226"/>
      <x:c r="N381" s="226"/>
      <x:c r="O381" s="226"/>
      <x:c r="P381" s="226"/>
      <x:c r="Q381" s="226"/>
      <x:c r="R381" s="226"/>
      <x:c r="S381" s="226"/>
      <x:c r="T381" s="226"/>
      <x:c r="U381" s="226"/>
      <x:c r="V381" s="226"/>
      <x:c r="W381" s="226"/>
      <x:c r="X381" s="226"/>
      <x:c r="Y381" s="226"/>
      <x:c r="Z381" s="226"/>
    </x:row>
    <x:row r="382">
      <x:c r="A382" s="226"/>
      <x:c r="B382" s="226"/>
      <x:c r="C382" s="226"/>
      <x:c r="D382" s="226"/>
      <x:c r="E382" s="226"/>
      <x:c r="F382" s="226"/>
      <x:c r="G382" s="226"/>
      <x:c r="H382" s="226"/>
      <x:c r="I382" s="226"/>
      <x:c r="J382" s="226"/>
      <x:c r="K382" s="226"/>
      <x:c r="L382" s="226"/>
      <x:c r="M382" s="226"/>
      <x:c r="N382" s="226"/>
      <x:c r="O382" s="226"/>
      <x:c r="P382" s="226"/>
      <x:c r="Q382" s="226"/>
      <x:c r="R382" s="226"/>
      <x:c r="S382" s="226"/>
      <x:c r="T382" s="226"/>
      <x:c r="U382" s="226"/>
      <x:c r="V382" s="226"/>
      <x:c r="W382" s="226"/>
      <x:c r="X382" s="226"/>
      <x:c r="Y382" s="226"/>
      <x:c r="Z382" s="226"/>
    </x:row>
    <x:row r="383">
      <x:c r="A383" s="226"/>
      <x:c r="B383" s="226"/>
      <x:c r="C383" s="226"/>
      <x:c r="D383" s="226"/>
      <x:c r="E383" s="226"/>
      <x:c r="F383" s="226"/>
      <x:c r="G383" s="226"/>
      <x:c r="H383" s="226"/>
      <x:c r="I383" s="226"/>
      <x:c r="J383" s="226"/>
      <x:c r="K383" s="226"/>
      <x:c r="L383" s="226"/>
      <x:c r="M383" s="226"/>
      <x:c r="N383" s="226"/>
      <x:c r="O383" s="226"/>
      <x:c r="P383" s="226"/>
      <x:c r="Q383" s="226"/>
      <x:c r="R383" s="226"/>
      <x:c r="S383" s="226"/>
      <x:c r="T383" s="226"/>
      <x:c r="U383" s="226"/>
      <x:c r="V383" s="226"/>
      <x:c r="W383" s="226"/>
      <x:c r="X383" s="226"/>
      <x:c r="Y383" s="226"/>
      <x:c r="Z383" s="226"/>
    </x:row>
    <x:row r="384">
      <x:c r="A384" s="226"/>
      <x:c r="B384" s="226"/>
      <x:c r="C384" s="226"/>
      <x:c r="D384" s="226"/>
      <x:c r="E384" s="226"/>
      <x:c r="F384" s="226"/>
      <x:c r="G384" s="226"/>
      <x:c r="H384" s="226"/>
      <x:c r="I384" s="226"/>
      <x:c r="J384" s="226"/>
      <x:c r="K384" s="226"/>
      <x:c r="L384" s="226"/>
      <x:c r="M384" s="226"/>
      <x:c r="N384" s="226"/>
      <x:c r="O384" s="226"/>
      <x:c r="P384" s="226"/>
      <x:c r="Q384" s="226"/>
      <x:c r="R384" s="226"/>
      <x:c r="S384" s="226"/>
      <x:c r="T384" s="226"/>
      <x:c r="U384" s="226"/>
      <x:c r="V384" s="226"/>
      <x:c r="W384" s="226"/>
      <x:c r="X384" s="226"/>
      <x:c r="Y384" s="226"/>
      <x:c r="Z384" s="226"/>
    </x:row>
    <x:row r="385">
      <x:c r="A385" s="226"/>
      <x:c r="B385" s="226"/>
      <x:c r="C385" s="226"/>
      <x:c r="D385" s="226"/>
      <x:c r="E385" s="226"/>
      <x:c r="F385" s="226"/>
      <x:c r="G385" s="226"/>
      <x:c r="H385" s="226"/>
      <x:c r="I385" s="226"/>
      <x:c r="J385" s="226"/>
      <x:c r="K385" s="226"/>
      <x:c r="L385" s="226"/>
      <x:c r="M385" s="226"/>
      <x:c r="N385" s="226"/>
      <x:c r="O385" s="226"/>
      <x:c r="P385" s="226"/>
      <x:c r="Q385" s="226"/>
      <x:c r="R385" s="226"/>
      <x:c r="S385" s="226"/>
      <x:c r="T385" s="226"/>
      <x:c r="U385" s="226"/>
      <x:c r="V385" s="226"/>
      <x:c r="W385" s="226"/>
      <x:c r="X385" s="226"/>
      <x:c r="Y385" s="226"/>
      <x:c r="Z385" s="226"/>
    </x:row>
    <x:row r="386">
      <x:c r="A386" s="226"/>
      <x:c r="B386" s="226"/>
      <x:c r="C386" s="226"/>
      <x:c r="D386" s="226"/>
      <x:c r="E386" s="226"/>
      <x:c r="F386" s="226"/>
      <x:c r="G386" s="226"/>
      <x:c r="H386" s="226"/>
      <x:c r="I386" s="226"/>
      <x:c r="J386" s="226"/>
      <x:c r="K386" s="226"/>
      <x:c r="L386" s="226"/>
      <x:c r="M386" s="226"/>
      <x:c r="N386" s="226"/>
      <x:c r="O386" s="226"/>
      <x:c r="P386" s="226"/>
      <x:c r="Q386" s="226"/>
      <x:c r="R386" s="226"/>
      <x:c r="S386" s="226"/>
      <x:c r="T386" s="226"/>
      <x:c r="U386" s="226"/>
      <x:c r="V386" s="226"/>
      <x:c r="W386" s="226"/>
      <x:c r="X386" s="226"/>
      <x:c r="Y386" s="226"/>
      <x:c r="Z386" s="226"/>
    </x:row>
    <x:row r="387">
      <x:c r="A387" s="226"/>
      <x:c r="B387" s="226"/>
      <x:c r="C387" s="226"/>
      <x:c r="D387" s="226"/>
      <x:c r="E387" s="226"/>
      <x:c r="F387" s="226"/>
      <x:c r="G387" s="226"/>
      <x:c r="H387" s="226"/>
      <x:c r="I387" s="226"/>
      <x:c r="J387" s="226"/>
      <x:c r="K387" s="226"/>
      <x:c r="L387" s="226"/>
      <x:c r="M387" s="226"/>
      <x:c r="N387" s="226"/>
      <x:c r="O387" s="226"/>
      <x:c r="P387" s="226"/>
      <x:c r="Q387" s="226"/>
      <x:c r="R387" s="226"/>
      <x:c r="S387" s="226"/>
      <x:c r="T387" s="226"/>
      <x:c r="U387" s="226"/>
      <x:c r="V387" s="226"/>
      <x:c r="W387" s="226"/>
      <x:c r="X387" s="226"/>
      <x:c r="Y387" s="226"/>
      <x:c r="Z387" s="226"/>
    </x:row>
    <x:row r="388">
      <x:c r="A388" s="226"/>
      <x:c r="B388" s="226"/>
      <x:c r="C388" s="226"/>
      <x:c r="D388" s="226"/>
      <x:c r="E388" s="226"/>
      <x:c r="F388" s="226"/>
      <x:c r="G388" s="226"/>
      <x:c r="H388" s="226"/>
      <x:c r="I388" s="226"/>
      <x:c r="J388" s="226"/>
      <x:c r="K388" s="226"/>
      <x:c r="L388" s="226"/>
      <x:c r="M388" s="226"/>
      <x:c r="N388" s="226"/>
      <x:c r="O388" s="226"/>
      <x:c r="P388" s="226"/>
      <x:c r="Q388" s="226"/>
      <x:c r="R388" s="226"/>
      <x:c r="S388" s="226"/>
      <x:c r="T388" s="226"/>
      <x:c r="U388" s="226"/>
      <x:c r="V388" s="226"/>
      <x:c r="W388" s="226"/>
      <x:c r="X388" s="226"/>
      <x:c r="Y388" s="226"/>
      <x:c r="Z388" s="226"/>
    </x:row>
    <x:row r="389">
      <x:c r="A389" s="226"/>
      <x:c r="B389" s="226"/>
      <x:c r="C389" s="226"/>
      <x:c r="D389" s="226"/>
      <x:c r="E389" s="226"/>
      <x:c r="F389" s="226"/>
      <x:c r="G389" s="226"/>
      <x:c r="H389" s="226"/>
      <x:c r="I389" s="226"/>
      <x:c r="J389" s="226"/>
      <x:c r="K389" s="226"/>
      <x:c r="L389" s="226"/>
      <x:c r="M389" s="226"/>
      <x:c r="N389" s="226"/>
      <x:c r="O389" s="226"/>
      <x:c r="P389" s="226"/>
      <x:c r="Q389" s="226"/>
      <x:c r="R389" s="226"/>
      <x:c r="S389" s="226"/>
      <x:c r="T389" s="226"/>
      <x:c r="U389" s="226"/>
      <x:c r="V389" s="226"/>
      <x:c r="W389" s="226"/>
      <x:c r="X389" s="226"/>
      <x:c r="Y389" s="226"/>
      <x:c r="Z389" s="226"/>
    </x:row>
    <x:row r="390">
      <x:c r="A390" s="226"/>
      <x:c r="B390" s="226"/>
      <x:c r="C390" s="226"/>
      <x:c r="D390" s="226"/>
      <x:c r="E390" s="226"/>
      <x:c r="F390" s="226"/>
      <x:c r="G390" s="226"/>
      <x:c r="H390" s="226"/>
      <x:c r="I390" s="226"/>
      <x:c r="J390" s="226"/>
      <x:c r="K390" s="226"/>
      <x:c r="L390" s="226"/>
      <x:c r="M390" s="226"/>
      <x:c r="N390" s="226"/>
      <x:c r="O390" s="226"/>
      <x:c r="P390" s="226"/>
      <x:c r="Q390" s="226"/>
      <x:c r="R390" s="226"/>
      <x:c r="S390" s="226"/>
      <x:c r="T390" s="226"/>
      <x:c r="U390" s="226"/>
      <x:c r="V390" s="226"/>
      <x:c r="W390" s="226"/>
      <x:c r="X390" s="226"/>
      <x:c r="Y390" s="226"/>
      <x:c r="Z390" s="226"/>
    </x:row>
    <x:row r="391">
      <x:c r="A391" s="226"/>
      <x:c r="B391" s="226"/>
      <x:c r="C391" s="226"/>
      <x:c r="D391" s="226"/>
      <x:c r="E391" s="226"/>
      <x:c r="F391" s="226"/>
      <x:c r="G391" s="226"/>
      <x:c r="H391" s="226"/>
      <x:c r="I391" s="226"/>
      <x:c r="J391" s="226"/>
      <x:c r="K391" s="226"/>
      <x:c r="L391" s="226"/>
      <x:c r="M391" s="226"/>
      <x:c r="N391" s="226"/>
      <x:c r="O391" s="226"/>
      <x:c r="P391" s="226"/>
      <x:c r="Q391" s="226"/>
      <x:c r="R391" s="226"/>
      <x:c r="S391" s="226"/>
      <x:c r="T391" s="226"/>
      <x:c r="U391" s="226"/>
      <x:c r="V391" s="226"/>
      <x:c r="W391" s="226"/>
      <x:c r="X391" s="226"/>
      <x:c r="Y391" s="226"/>
      <x:c r="Z391" s="226"/>
    </x:row>
    <x:row r="392">
      <x:c r="A392" s="226"/>
      <x:c r="B392" s="226"/>
      <x:c r="C392" s="226"/>
      <x:c r="D392" s="226"/>
      <x:c r="E392" s="226"/>
      <x:c r="F392" s="226"/>
      <x:c r="G392" s="226"/>
      <x:c r="H392" s="226"/>
      <x:c r="I392" s="226"/>
      <x:c r="J392" s="226"/>
      <x:c r="K392" s="226"/>
      <x:c r="L392" s="226"/>
      <x:c r="M392" s="226"/>
      <x:c r="N392" s="226"/>
      <x:c r="O392" s="226"/>
      <x:c r="P392" s="226"/>
      <x:c r="Q392" s="226"/>
      <x:c r="R392" s="226"/>
      <x:c r="S392" s="226"/>
      <x:c r="T392" s="226"/>
      <x:c r="U392" s="226"/>
      <x:c r="V392" s="226"/>
      <x:c r="W392" s="226"/>
      <x:c r="X392" s="226"/>
      <x:c r="Y392" s="226"/>
      <x:c r="Z392" s="226"/>
    </x:row>
    <x:row r="393">
      <x:c r="A393" s="226"/>
      <x:c r="B393" s="226"/>
      <x:c r="C393" s="226"/>
      <x:c r="D393" s="226"/>
      <x:c r="E393" s="226"/>
      <x:c r="F393" s="226"/>
      <x:c r="G393" s="226"/>
      <x:c r="H393" s="226"/>
      <x:c r="I393" s="226"/>
      <x:c r="J393" s="226"/>
      <x:c r="K393" s="226"/>
      <x:c r="L393" s="226"/>
      <x:c r="M393" s="226"/>
      <x:c r="N393" s="226"/>
      <x:c r="O393" s="226"/>
      <x:c r="P393" s="226"/>
      <x:c r="Q393" s="226"/>
      <x:c r="R393" s="226"/>
      <x:c r="S393" s="226"/>
      <x:c r="T393" s="226"/>
      <x:c r="U393" s="226"/>
      <x:c r="V393" s="226"/>
      <x:c r="W393" s="226"/>
      <x:c r="X393" s="226"/>
      <x:c r="Y393" s="226"/>
      <x:c r="Z393" s="226"/>
    </x:row>
    <x:row r="394">
      <x:c r="A394" s="226"/>
      <x:c r="B394" s="226"/>
      <x:c r="C394" s="226"/>
      <x:c r="D394" s="226"/>
      <x:c r="E394" s="226"/>
      <x:c r="F394" s="226"/>
      <x:c r="G394" s="226"/>
      <x:c r="H394" s="226"/>
      <x:c r="I394" s="226"/>
      <x:c r="J394" s="226"/>
      <x:c r="K394" s="226"/>
      <x:c r="L394" s="226"/>
      <x:c r="M394" s="226"/>
      <x:c r="N394" s="226"/>
      <x:c r="O394" s="226"/>
      <x:c r="P394" s="226"/>
      <x:c r="Q394" s="226"/>
      <x:c r="R394" s="226"/>
      <x:c r="S394" s="226"/>
      <x:c r="T394" s="226"/>
      <x:c r="U394" s="226"/>
      <x:c r="V394" s="226"/>
      <x:c r="W394" s="226"/>
      <x:c r="X394" s="226"/>
      <x:c r="Y394" s="226"/>
      <x:c r="Z394" s="226"/>
    </x:row>
    <x:row r="395">
      <x:c r="A395" s="226"/>
      <x:c r="B395" s="226"/>
      <x:c r="C395" s="226"/>
      <x:c r="D395" s="226"/>
      <x:c r="E395" s="226"/>
      <x:c r="F395" s="226"/>
      <x:c r="G395" s="226"/>
      <x:c r="H395" s="226"/>
      <x:c r="I395" s="226"/>
      <x:c r="J395" s="226"/>
      <x:c r="K395" s="226"/>
      <x:c r="L395" s="226"/>
      <x:c r="M395" s="226"/>
      <x:c r="N395" s="226"/>
      <x:c r="O395" s="226"/>
      <x:c r="P395" s="226"/>
      <x:c r="Q395" s="226"/>
      <x:c r="R395" s="226"/>
      <x:c r="S395" s="226"/>
      <x:c r="T395" s="226"/>
      <x:c r="U395" s="226"/>
      <x:c r="V395" s="226"/>
      <x:c r="W395" s="226"/>
      <x:c r="X395" s="226"/>
      <x:c r="Y395" s="226"/>
      <x:c r="Z395" s="226"/>
    </x:row>
    <x:row r="396">
      <x:c r="A396" s="226"/>
      <x:c r="B396" s="226"/>
      <x:c r="C396" s="226"/>
      <x:c r="D396" s="226"/>
      <x:c r="E396" s="226"/>
      <x:c r="F396" s="226"/>
      <x:c r="G396" s="226"/>
      <x:c r="H396" s="226"/>
      <x:c r="I396" s="226"/>
      <x:c r="J396" s="226"/>
      <x:c r="K396" s="226"/>
      <x:c r="L396" s="226"/>
      <x:c r="M396" s="226"/>
      <x:c r="N396" s="226"/>
      <x:c r="O396" s="226"/>
      <x:c r="P396" s="226"/>
      <x:c r="Q396" s="226"/>
      <x:c r="R396" s="226"/>
      <x:c r="S396" s="226"/>
      <x:c r="T396" s="226"/>
      <x:c r="U396" s="226"/>
      <x:c r="V396" s="226"/>
      <x:c r="W396" s="226"/>
      <x:c r="X396" s="226"/>
      <x:c r="Y396" s="226"/>
      <x:c r="Z396" s="226"/>
    </x:row>
    <x:row r="397">
      <x:c r="A397" s="226"/>
      <x:c r="B397" s="226"/>
      <x:c r="C397" s="226"/>
      <x:c r="D397" s="226"/>
      <x:c r="E397" s="226"/>
      <x:c r="F397" s="226"/>
      <x:c r="G397" s="226"/>
      <x:c r="H397" s="226"/>
      <x:c r="I397" s="226"/>
      <x:c r="J397" s="226"/>
      <x:c r="K397" s="226"/>
      <x:c r="L397" s="226"/>
      <x:c r="M397" s="226"/>
      <x:c r="N397" s="226"/>
      <x:c r="O397" s="226"/>
      <x:c r="P397" s="226"/>
      <x:c r="Q397" s="226"/>
      <x:c r="R397" s="226"/>
      <x:c r="S397" s="226"/>
      <x:c r="T397" s="226"/>
      <x:c r="U397" s="226"/>
      <x:c r="V397" s="226"/>
      <x:c r="W397" s="226"/>
      <x:c r="X397" s="226"/>
      <x:c r="Y397" s="226"/>
      <x:c r="Z397" s="226"/>
    </x:row>
    <x:row r="398">
      <x:c r="A398" s="226"/>
      <x:c r="B398" s="226"/>
      <x:c r="C398" s="226"/>
      <x:c r="D398" s="226"/>
      <x:c r="E398" s="226"/>
      <x:c r="F398" s="226"/>
      <x:c r="G398" s="226"/>
      <x:c r="H398" s="226"/>
      <x:c r="I398" s="226"/>
      <x:c r="J398" s="226"/>
      <x:c r="K398" s="226"/>
      <x:c r="L398" s="226"/>
      <x:c r="M398" s="226"/>
      <x:c r="N398" s="226"/>
      <x:c r="O398" s="226"/>
      <x:c r="P398" s="226"/>
      <x:c r="Q398" s="226"/>
      <x:c r="R398" s="226"/>
      <x:c r="S398" s="226"/>
      <x:c r="T398" s="226"/>
      <x:c r="U398" s="226"/>
      <x:c r="V398" s="226"/>
      <x:c r="W398" s="226"/>
      <x:c r="X398" s="226"/>
      <x:c r="Y398" s="226"/>
      <x:c r="Z398" s="226"/>
    </x:row>
    <x:row r="399">
      <x:c r="A399" s="226"/>
      <x:c r="B399" s="226"/>
      <x:c r="C399" s="226"/>
      <x:c r="D399" s="226"/>
      <x:c r="E399" s="226"/>
      <x:c r="F399" s="226"/>
      <x:c r="G399" s="226"/>
      <x:c r="H399" s="226"/>
      <x:c r="I399" s="226"/>
      <x:c r="J399" s="226"/>
      <x:c r="K399" s="226"/>
      <x:c r="L399" s="226"/>
      <x:c r="M399" s="226"/>
      <x:c r="N399" s="226"/>
      <x:c r="O399" s="226"/>
      <x:c r="P399" s="226"/>
      <x:c r="Q399" s="226"/>
      <x:c r="R399" s="226"/>
      <x:c r="S399" s="226"/>
      <x:c r="T399" s="226"/>
      <x:c r="U399" s="226"/>
      <x:c r="V399" s="226"/>
      <x:c r="W399" s="226"/>
      <x:c r="X399" s="226"/>
      <x:c r="Y399" s="226"/>
      <x:c r="Z399" s="226"/>
    </x:row>
    <x:row r="400">
      <x:c r="A400" s="226"/>
      <x:c r="B400" s="226"/>
      <x:c r="C400" s="226"/>
      <x:c r="D400" s="226"/>
      <x:c r="E400" s="226"/>
      <x:c r="F400" s="226"/>
      <x:c r="G400" s="226"/>
      <x:c r="H400" s="226"/>
      <x:c r="I400" s="226"/>
      <x:c r="J400" s="226"/>
      <x:c r="K400" s="226"/>
      <x:c r="L400" s="226"/>
      <x:c r="M400" s="226"/>
      <x:c r="N400" s="226"/>
      <x:c r="O400" s="226"/>
      <x:c r="P400" s="226"/>
      <x:c r="Q400" s="226"/>
      <x:c r="R400" s="226"/>
      <x:c r="S400" s="226"/>
      <x:c r="T400" s="226"/>
      <x:c r="U400" s="226"/>
      <x:c r="V400" s="226"/>
      <x:c r="W400" s="226"/>
      <x:c r="X400" s="226"/>
      <x:c r="Y400" s="226"/>
      <x:c r="Z400" s="226"/>
    </x:row>
  </x:sheetData>
  <x:mergeCells>
    <x:mergeCell ref="A1:H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0" hidden="0" customWidth="1"/>
    <x:col min="3" max="3" width="30" hidden="0" customWidth="1"/>
    <x:col min="4" max="4" width="48" hidden="0" customWidth="1"/>
    <x:col min="5" max="5" width="44" hidden="0" customWidth="1"/>
    <x:col min="6" max="6" width="30" hidden="0" customWidth="1"/>
    <x:col min="7" max="7" width="48" hidden="0" customWidth="1"/>
    <x:col min="8" max="8" width="42" hidden="0" customWidth="1"/>
    <x:col min="9" max="9" width="56" hidden="0" customWidth="1"/>
    <x:col min="10" max="10" width="45" hidden="0" customWidth="1"/>
    <x:col min="11" max="11" width="18" hidden="0" customWidth="1"/>
    <x:col min="12" max="12" width="38" hidden="0" customWidth="1"/>
    <x:col min="13" max="13" width="16" hidden="0" customWidth="1"/>
  </x:cols>
  <x:sheetData>
    <x:row r="1" ht="30" customHeight="1">
      <x:c r="A1" s="338" t="str">
        <x:v>Epic ID</x:v>
      </x:c>
      <x:c r="B1" s="338" t="str">
        <x:v>Module</x:v>
      </x:c>
      <x:c r="C1" s="338" t="str">
        <x:v>Epic Name</x:v>
      </x:c>
      <x:c r="D1" s="338" t="str">
        <x:v>Objective</x:v>
      </x:c>
      <x:c r="E1" s="338" t="str">
        <x:v>Business Outcome</x:v>
      </x:c>
      <x:c r="F1" s="338" t="str">
        <x:v>Primary Actors</x:v>
      </x:c>
      <x:c r="G1" s="338" t="str">
        <x:v>Scope</x:v>
      </x:c>
      <x:c r="H1" s="338" t="str">
        <x:v>Out of Scope / Guardrails</x:v>
      </x:c>
      <x:c r="I1" s="338" t="str">
        <x:v>Key Business Rules</x:v>
      </x:c>
      <x:c r="J1" s="338" t="str">
        <x:v>Dependencies</x:v>
      </x:c>
      <x:c r="K1" s="338" t="str">
        <x:v>Release Scope</x:v>
      </x:c>
      <x:c r="L1" s="338" t="str">
        <x:v>Success Metrics</x:v>
      </x:c>
      <x:c r="M1" s="338" t="str">
        <x:v>Status</x:v>
      </x:c>
    </x:row>
    <x:row r="2">
      <x:c r="A2" s="339" t="str">
        <x:v>EP-001</x:v>
      </x:c>
      <x:c r="B2" s="339" t="str">
        <x:v>Public Website &amp; Authentication</x:v>
      </x:c>
      <x:c r="C2" s="339" t="str">
        <x:v>Secure Access &amp; Role Entry</x:v>
      </x:c>
      <x:c r="D2" s="339" t="str">
        <x:v>Provide secure, role-aware access to the school platform with clear recovery and session handling.</x:v>
      </x:c>
      <x:c r="E2" s="339" t="str">
        <x:v>Users can reach the correct workspace securely with fewer login/support issues.</x:v>
      </x:c>
      <x:c r="F2" s="339" t="str">
        <x:v>All users, IT Admin</x:v>
      </x:c>
      <x:c r="G2" s="339" t="str">
        <x:v>8 screens covering Public Website</x:v>
      </x:c>
      <x:c r="H2" s="339" t="str">
        <x:v>Does not replace source-module authorization, audit, privacy or financial controls.</x:v>
      </x:c>
      <x:c r="I2" s="339" t="str">
        <x:v>Authentication must resolve tenant/school context before protected data is returned.; Locked, inactive, suspended or expired accounts cannot start a protected session.; Password reset and OTP tokens must be single-use and time-bound.</x:v>
      </x:c>
      <x:c r="J2" s="339" t="str">
        <x:v>Identity provider, user directory, RBAC, audit log, notification service</x:v>
      </x:c>
      <x:c r="K2" s="339" t="str">
        <x:v>MVP, Phase 2</x:v>
      </x:c>
      <x:c r="L2" s="339" t="str">
        <x:v>Login success rate, reset completion rate, auth error rate, suspicious-login alerts</x:v>
      </x:c>
      <x:c r="M2" s="339" t="str">
        <x:v>Not Started</x:v>
      </x:c>
    </x:row>
    <x:row r="3">
      <x:c r="A3" s="339" t="str">
        <x:v>EP-002</x:v>
      </x:c>
      <x:c r="B3" s="339" t="str">
        <x:v>Super Admin / SaaS Administration</x:v>
      </x:c>
      <x:c r="C3" s="339" t="str">
        <x:v>Multi-Tenant Platform Administration</x:v>
      </x:c>
      <x:c r="D3" s="339" t="str">
        <x:v>Operate schools/organizations as isolated tenants with subscription, usage, support and platform controls.</x:v>
      </x:c>
      <x:c r="E3" s="339" t="str">
        <x:v>The SaaS platform can onboard, govern and support multiple schools safely.</x:v>
      </x:c>
      <x:c r="F3" s="339" t="str">
        <x:v>Super Admin</x:v>
      </x:c>
      <x:c r="G3" s="339" t="str">
        <x:v>12 screens covering Super Admin</x:v>
      </x:c>
      <x:c r="H3" s="339" t="str">
        <x:v>Does not replace source-module authorization, audit, privacy or financial controls.</x:v>
      </x:c>
      <x:c r="I3" s="339" t="str">
        <x:v>Tenant data must remain isolated across organizations and schools.; Plan limits must be enforced consistently at API and UI boundaries.; Suspending a tenant blocks transactional access without deleting historical records.</x:v>
      </x:c>
      <x:c r="J3" s="339" t="str">
        <x:v>Tenant service, subscription/billing service, usage metering, support, platform monitoring</x:v>
      </x:c>
      <x:c r="K3" s="339" t="str">
        <x:v>MVP, Phase 2, Phase 3</x:v>
      </x:c>
      <x:c r="L3" s="339" t="str">
        <x:v>Tenant activation time, limit violations, uptime, support SLA, subscription conversion</x:v>
      </x:c>
      <x:c r="M3" s="339" t="str">
        <x:v>Not Started</x:v>
      </x:c>
    </x:row>
    <x:row r="4">
      <x:c r="A4" s="339" t="str">
        <x:v>EP-003</x:v>
      </x:c>
      <x:c r="B4" s="339" t="str">
        <x:v>Organization / School / Branch Setup</x:v>
      </x:c>
      <x:c r="C4" s="339" t="str">
        <x:v>School Structure &amp; Academic Foundation</x:v>
      </x:c>
      <x:c r="D4" s="339" t="str">
        <x:v>Configure organizations, schools, branches and academic masters that all downstream modules depend on.</x:v>
      </x:c>
      <x:c r="E4" s="339" t="str">
        <x:v>Every school operates from a consistent academic and organizational structure.</x:v>
      </x:c>
      <x:c r="F4" s="339" t="str">
        <x:v>Organization Admin, School Admin, Super Admin</x:v>
      </x:c>
      <x:c r="G4" s="339" t="str">
        <x:v>12 screens covering Organization</x:v>
      </x:c>
      <x:c r="H4" s="339" t="str">
        <x:v>Does not replace source-module authorization, audit, privacy or financial controls.</x:v>
      </x:c>
      <x:c r="I4" s="339" t="str">
        <x:v>Codes/names that act as master identifiers must be unique within their configured scope.; Only one academic year can be marked active per school unless multi-calendar operation is explicitly enabled.; Master data referenced by transactions cannot be hard-deleted; it must be inactivated or versioned.</x:v>
      </x:c>
      <x:c r="J4" s="339" t="str">
        <x:v>Tenant context, RBAC, academic calendar, master-data service</x:v>
      </x:c>
      <x:c r="K4" s="339" t="str">
        <x:v>MVP, Phase 2, Phase 3</x:v>
      </x:c>
      <x:c r="L4" s="339" t="str">
        <x:v>Setup completion rate, configuration errors, duplicate master prevention</x:v>
      </x:c>
      <x:c r="M4" s="339" t="str">
        <x:v>Not Started</x:v>
      </x:c>
    </x:row>
    <x:row r="5">
      <x:c r="A5" s="339" t="str">
        <x:v>EP-004</x:v>
      </x:c>
      <x:c r="B5" s="339" t="str">
        <x:v>Role Dashboards</x:v>
      </x:c>
      <x:c r="C5" s="339" t="str">
        <x:v>Role-Based Operational Dashboards</x:v>
      </x:c>
      <x:c r="D5" s="339" t="str">
        <x:v>Give each role an actionable, scoped view of the school day with metrics, alerts and shortcuts.</x:v>
      </x:c>
      <x:c r="E5" s="339" t="str">
        <x:v>Users identify priorities quickly without navigating multiple modules.</x:v>
      </x:c>
      <x:c r="F5" s="339" t="str">
        <x:v>School Admin, Principal, Teacher, Student, Parent, operational staff</x:v>
      </x:c>
      <x:c r="G5" s="339" t="str">
        <x:v>10 screens covering Role Dashboards</x:v>
      </x:c>
      <x:c r="H5" s="339" t="str">
        <x:v>Does not replace source-module authorization, audit, privacy or financial controls.</x:v>
      </x:c>
      <x:c r="I5" s="339" t="str">
        <x:v>Dashboard metrics must use the same source-of-truth logic as their detailed reports.; Users can only see KPIs and records allowed by role, school, branch and class scope.; Metric timestamps and filter context must be visible where freshness matters.</x:v>
      </x:c>
      <x:c r="J5" s="339" t="str">
        <x:v>Analytics/query services, RBAC, all source modules</x:v>
      </x:c>
      <x:c r="K5" s="339" t="str">
        <x:v>MVP, Phase 2, Phase 3</x:v>
      </x:c>
      <x:c r="L5" s="339" t="str">
        <x:v>Dashboard load time, drill-down reconciliation, task completion time</x:v>
      </x:c>
      <x:c r="M5" s="339" t="str">
        <x:v>Not Started</x:v>
      </x:c>
    </x:row>
    <x:row r="6">
      <x:c r="A6" s="339" t="str">
        <x:v>EP-005</x:v>
      </x:c>
      <x:c r="B6" s="339" t="str">
        <x:v>Admissions &amp; Enquiries</x:v>
      </x:c>
      <x:c r="C6" s="339" t="str">
        <x:v>Admissions &amp; Enquiry Lifecycle</x:v>
      </x:c>
      <x:c r="D6" s="339" t="str">
        <x:v>Manage prospective students from first enquiry through verification, approval and confirmed admission.</x:v>
      </x:c>
      <x:c r="E6" s="339" t="str">
        <x:v>Admissions teams convert enquiries efficiently while preventing duplicates and invalid admissions.</x:v>
      </x:c>
      <x:c r="F6" s="339" t="str">
        <x:v>Admission Officer, Receptionist, School Admin, Principal</x:v>
      </x:c>
      <x:c r="G6" s="339" t="str">
        <x:v>12 screens covering Admissions, Enquiries</x:v>
      </x:c>
      <x:c r="H6" s="339" t="str">
        <x:v>Does not replace source-module authorization, audit, privacy or financial controls.</x:v>
      </x:c>
      <x:c r="I6" s="339" t="str">
        <x:v>A confirmed admission requires configured mandatory documents, required approvals and seat availability.; Potential duplicate applicants must be flagged using configured identity/contact matching rules.; Application status transitions must follow the defined admissions workflow and authority matrix.</x:v>
      </x:c>
      <x:c r="J6" s="339" t="str">
        <x:v>Student master, parent master, documents, fees, academic structure, notifications</x:v>
      </x:c>
      <x:c r="K6" s="339" t="str">
        <x:v>MVP, Phase 2, Phase 3</x:v>
      </x:c>
      <x:c r="L6" s="339" t="str">
        <x:v>Enquiry-to-application rate, admission conversion, processing time, duplicate rate</x:v>
      </x:c>
      <x:c r="M6" s="339" t="str">
        <x:v>Not Started</x:v>
      </x:c>
    </x:row>
    <x:row r="7">
      <x:c r="A7" s="339" t="str">
        <x:v>EP-006</x:v>
      </x:c>
      <x:c r="B7" s="339" t="str">
        <x:v>Students</x:v>
      </x:c>
      <x:c r="C7" s="339" t="str">
        <x:v>Student Lifecycle Management</x:v>
      </x:c>
      <x:c r="D7" s="339" t="str">
        <x:v>Maintain a complete, auditable student record from admission through promotion, transfer, graduation or alumni.</x:v>
      </x:c>
      <x:c r="E7" s="339" t="str">
        <x:v>The school has one accurate student record shared across academic and operational modules.</x:v>
      </x:c>
      <x:c r="F7" s="339" t="str">
        <x:v>School Admin, Principal, Class Teacher, Teacher</x:v>
      </x:c>
      <x:c r="G7" s="339" t="str">
        <x:v>16 screens covering Academics, Attendance, Documents, Finance, Student Master, Student Services</x:v>
      </x:c>
      <x:c r="H7" s="339" t="str">
        <x:v>Does not replace source-module authorization, audit, privacy or financial controls.</x:v>
      </x:c>
      <x:c r="I7" s="339" t="str">
        <x:v>Each active student must have one unique student/admission identifier within the configured school scope.; Class/section assignment must be valid for the active academic year.; Historical academic, attendance and financial records must remain linked when a student is promoted or transferred.</x:v>
      </x:c>
      <x:c r="J7" s="339" t="str">
        <x:v>Admissions, parents, academics, attendance, exams, fees, documents</x:v>
      </x:c>
      <x:c r="K7" s="339" t="str">
        <x:v>MVP, Phase 2, Phase 3</x:v>
      </x:c>
      <x:c r="L7" s="339" t="str">
        <x:v>Duplicate student rate, profile completeness, promotion accuracy, inactive-record errors</x:v>
      </x:c>
      <x:c r="M7" s="339" t="str">
        <x:v>Not Started</x:v>
      </x:c>
    </x:row>
    <x:row r="8">
      <x:c r="A8" s="339" t="str">
        <x:v>EP-007</x:v>
      </x:c>
      <x:c r="B8" s="339" t="str">
        <x:v>Parents &amp; Guardians</x:v>
      </x:c>
      <x:c r="C8" s="339" t="str">
        <x:v>Parent &amp; Guardian Engagement</x:v>
      </x:c>
      <x:c r="D8" s="339" t="str">
        <x:v>Maintain verified guardian relationships and provide secure access to child information and school communications.</x:v>
      </x:c>
      <x:c r="E8" s="339" t="str">
        <x:v>Parents can follow authorized child information and transact with the school from one account.</x:v>
      </x:c>
      <x:c r="F8" s="339" t="str">
        <x:v>Parent, School Admin, Class Teacher</x:v>
      </x:c>
      <x:c r="G8" s="339" t="str">
        <x:v>9 screens covering Parents</x:v>
      </x:c>
      <x:c r="H8" s="339" t="str">
        <x:v>Does not replace source-module authorization, audit, privacy or financial controls.</x:v>
      </x:c>
      <x:c r="I8" s="339" t="str">
        <x:v>A guardian may be linked to multiple students and a student may have multiple authorized guardians.; Guardian access requires an active verified relationship to the student.; Financial, academic and communication visibility follows configured guardian permissions and custody restrictions.</x:v>
      </x:c>
      <x:c r="J8" s="339" t="str">
        <x:v>Student master, identity, fees, communication, consent/privacy</x:v>
      </x:c>
      <x:c r="K8" s="339" t="str">
        <x:v>MVP, Phase 2, Phase 3</x:v>
      </x:c>
      <x:c r="L8" s="339" t="str">
        <x:v>Linked-parent coverage, verification rate, parent portal adoption</x:v>
      </x:c>
      <x:c r="M8" s="339" t="str">
        <x:v>Not Started</x:v>
      </x:c>
    </x:row>
    <x:row r="9">
      <x:c r="A9" s="339" t="str">
        <x:v>EP-008</x:v>
      </x:c>
      <x:c r="B9" s="339" t="str">
        <x:v>Teachers &amp; Staff</x:v>
      </x:c>
      <x:c r="C9" s="339" t="str">
        <x:v>Teacher &amp; Staff Master Management</x:v>
      </x:c>
      <x:c r="D9" s="339" t="str">
        <x:v>Maintain staff records, assignments, qualifications, workload and employment lifecycle.</x:v>
      </x:c>
      <x:c r="E9" s="339" t="str">
        <x:v>The school can allocate qualified staff accurately and maintain clean employee records.</x:v>
      </x:c>
      <x:c r="F9" s="339" t="str">
        <x:v>School Admin, Principal, HR, Teacher</x:v>
      </x:c>
      <x:c r="G9" s="339" t="str">
        <x:v>12 screens covering Teachers</x:v>
      </x:c>
      <x:c r="H9" s="339" t="str">
        <x:v>Does not replace source-module authorization, audit, privacy or financial controls.</x:v>
      </x:c>
      <x:c r="I9" s="339" t="str">
        <x:v>Employee IDs must be unique within the configured organization scope.; A teacher can only be assigned to active classes/subjects for periods within their employment and academic-year validity.; Conflicting teacher allocations must be prevented or explicitly overridden by authorized users.</x:v>
      </x:c>
      <x:c r="J9" s="339" t="str">
        <x:v>HR, academics, timetable, identity, documents</x:v>
      </x:c>
      <x:c r="K9" s="339" t="str">
        <x:v>MVP, Phase 2, Phase 3</x:v>
      </x:c>
      <x:c r="L9" s="339" t="str">
        <x:v>Assignment conflicts, staff-profile completeness, inactive-user access incidents</x:v>
      </x:c>
      <x:c r="M9" s="339" t="str">
        <x:v>Not Started</x:v>
      </x:c>
    </x:row>
    <x:row r="10">
      <x:c r="A10" s="339" t="str">
        <x:v>EP-009</x:v>
      </x:c>
      <x:c r="B10" s="339" t="str">
        <x:v>Academics &amp; Curriculum</x:v>
      </x:c>
      <x:c r="C10" s="339" t="str">
        <x:v>Academic Planning &amp; Curriculum Delivery</x:v>
      </x:c>
      <x:c r="D10" s="339" t="str">
        <x:v>Define curriculum, subjects, lesson plans, learning outcomes and syllabus progress by academic year.</x:v>
      </x:c>
      <x:c r="E10" s="339" t="str">
        <x:v>Teachers and leadership can plan, execute and monitor curriculum completion consistently.</x:v>
      </x:c>
      <x:c r="F10" s="339" t="str">
        <x:v>Academic Coordinator, Principal, School Admin, Teacher</x:v>
      </x:c>
      <x:c r="G10" s="339" t="str">
        <x:v>18 screens covering Academic Masters, Academic Operations, Curriculum &amp; Teaching</x:v>
      </x:c>
      <x:c r="H10" s="339" t="str">
        <x:v>Does not replace source-module authorization, audit, privacy or financial controls.</x:v>
      </x:c>
      <x:c r="I10" s="339" t="str">
        <x:v>Curriculum and subject structures are versioned by academic year/term.; Lesson plans must reference valid class, subject, curriculum units and assigned teacher scope.; Syllabus progress cannot exceed 100% and must be derived from approved/completed curriculum units.</x:v>
      </x:c>
      <x:c r="J10" s="339" t="str">
        <x:v>Academic masters, staff assignments, timetable, resources, assessment</x:v>
      </x:c>
      <x:c r="K10" s="339" t="str">
        <x:v>MVP, Phase 2, Phase 3</x:v>
      </x:c>
      <x:c r="L10" s="339" t="str">
        <x:v>Syllabus completion, lesson-plan approval time, curriculum coverage</x:v>
      </x:c>
      <x:c r="M10" s="339" t="str">
        <x:v>Not Started</x:v>
      </x:c>
    </x:row>
    <x:row r="11">
      <x:c r="A11" s="339" t="str">
        <x:v>EP-010</x:v>
      </x:c>
      <x:c r="B11" s="339" t="str">
        <x:v>Student Attendance</x:v>
      </x:c>
      <x:c r="C11" s="339" t="str">
        <x:v>Student Attendance &amp; Leave</x:v>
      </x:c>
      <x:c r="D11" s="339" t="str">
        <x:v>Capture reliable daily/period attendance, leave, late entry and corrections with parent visibility.</x:v>
      </x:c>
      <x:c r="E11" s="339" t="str">
        <x:v>Attendance is accurate, timely and actionable for teachers, parents and management.</x:v>
      </x:c>
      <x:c r="F11" s="339" t="str">
        <x:v>Teacher, Class Teacher, School Admin, Principal</x:v>
      </x:c>
      <x:c r="G11" s="339" t="str">
        <x:v>10 screens covering Student Attendance</x:v>
      </x:c>
      <x:c r="H11" s="339" t="str">
        <x:v>Does not replace source-module authorization, audit, privacy or financial controls.</x:v>
      </x:c>
      <x:c r="I11" s="339" t="str">
        <x:v>Only one final attendance state is allowed per student for the same attendance session key.; Attendance can only be marked for students actively enrolled in the selected class/section on that date.; Corrections after lock/cutoff require configured approval and an audit trail.</x:v>
      </x:c>
      <x:c r="J11" s="339" t="str">
        <x:v>Student enrollment, timetable, leave, calendar, notifications</x:v>
      </x:c>
      <x:c r="K11" s="339" t="str">
        <x:v>MVP, Phase 2, Phase 3</x:v>
      </x:c>
      <x:c r="L11" s="339" t="str">
        <x:v>Attendance completion by cutoff, correction rate, chronic absence rate</x:v>
      </x:c>
      <x:c r="M11" s="339" t="str">
        <x:v>Not Started</x:v>
      </x:c>
    </x:row>
    <x:row r="12">
      <x:c r="A12" s="339" t="str">
        <x:v>EP-011</x:v>
      </x:c>
      <x:c r="B12" s="339" t="str">
        <x:v>Timetable &amp; Substitution</x:v>
      </x:c>
      <x:c r="C12" s="339" t="str">
        <x:v>Timetable &amp; Resource Scheduling</x:v>
      </x:c>
      <x:c r="D12" s="339" t="str">
        <x:v>Create conflict-free class and teacher schedules and manage substitutions.</x:v>
      </x:c>
      <x:c r="E12" s="339" t="str">
        <x:v>Classes, teachers and rooms are scheduled efficiently with clear conflict handling.</x:v>
      </x:c>
      <x:c r="F12" s="339" t="str">
        <x:v>Academic Coordinator, School Admin, Principal, Teacher, Student</x:v>
      </x:c>
      <x:c r="G12" s="339" t="str">
        <x:v>8 screens covering Timetable</x:v>
      </x:c>
      <x:c r="H12" s="339" t="str">
        <x:v>Does not replace source-module authorization, audit, privacy or financial controls.</x:v>
      </x:c>
      <x:c r="I12" s="339" t="str">
        <x:v>A teacher, class/section or room cannot be booked in overlapping periods unless explicitly allowed.; Timetables must respect teacher availability, periods, breaks and configured workload constraints.; Published timetable changes require effective dates and participant notification when applicable.</x:v>
      </x:c>
      <x:c r="J12" s="339" t="str">
        <x:v>Academic masters, staff allocation, rooms, calendar, notifications</x:v>
      </x:c>
      <x:c r="K12" s="339" t="str">
        <x:v>MVP, Phase 2, Phase 3</x:v>
      </x:c>
      <x:c r="L12" s="339" t="str">
        <x:v>Scheduling conflicts, substitution fill rate, timetable-change notifications</x:v>
      </x:c>
      <x:c r="M12" s="339" t="str">
        <x:v>Not Started</x:v>
      </x:c>
    </x:row>
    <x:row r="13">
      <x:c r="A13" s="339" t="str">
        <x:v>EP-012</x:v>
      </x:c>
      <x:c r="B13" s="339" t="str">
        <x:v>Homework &amp; Assignments</x:v>
      </x:c>
      <x:c r="C13" s="339" t="str">
        <x:v>Homework &amp; Assignment Management</x:v>
      </x:c>
      <x:c r="D13" s="339" t="str">
        <x:v>Let teachers publish work, students submit it, and teachers evaluate progress.</x:v>
      </x:c>
      <x:c r="E13" s="339" t="str">
        <x:v>Learning tasks are visible, trackable and consistently evaluated.</x:v>
      </x:c>
      <x:c r="F13" s="339" t="str">
        <x:v>Teacher, Student, Parent, School Admin</x:v>
      </x:c>
      <x:c r="G13" s="339" t="str">
        <x:v>10 screens covering Homework</x:v>
      </x:c>
      <x:c r="H13" s="339" t="str">
        <x:v>Does not replace source-module authorization, audit, privacy or financial controls.</x:v>
      </x:c>
      <x:c r="I13" s="339" t="str">
        <x:v>Only authorized teachers can publish work to their assigned classes/subjects unless delegated.; Due dates must be on/after publish time and follow school calendar restrictions if enabled.; Submission status must preserve original submission time even after resubmission.</x:v>
      </x:c>
      <x:c r="J13" s="339" t="str">
        <x:v>Classes, subjects, teacher assignment, student enrollment, file storage, notifications</x:v>
      </x:c>
      <x:c r="K13" s="339" t="str">
        <x:v>MVP, Phase 2, Phase 3</x:v>
      </x:c>
      <x:c r="L13" s="339" t="str">
        <x:v>Submission rate, late submission rate, evaluation turnaround</x:v>
      </x:c>
      <x:c r="M13" s="339" t="str">
        <x:v>Not Started</x:v>
      </x:c>
    </x:row>
    <x:row r="14">
      <x:c r="A14" s="339" t="str">
        <x:v>EP-013</x:v>
      </x:c>
      <x:c r="B14" s="339" t="str">
        <x:v>Examinations / Marks / Results</x:v>
      </x:c>
      <x:c r="C14" s="339" t="str">
        <x:v>Examinations, Grading &amp; Results</x:v>
      </x:c>
      <x:c r="D14" s="339" t="str">
        <x:v>Plan exams, capture validated marks, calculate grades and publish controlled results/report cards.</x:v>
      </x:c>
      <x:c r="E14" s="339" t="str">
        <x:v>Assessment results are accurate, auditable and released only after required verification.</x:v>
      </x:c>
      <x:c r="F14" s="339" t="str">
        <x:v>Exam Coordinator, Teacher, School Admin, Principal, Student, Parent</x:v>
      </x:c>
      <x:c r="G14" s="339" t="str">
        <x:v>16 screens covering Examinations</x:v>
      </x:c>
      <x:c r="H14" s="339" t="str">
        <x:v>Does not replace source-module authorization, audit, privacy or financial controls.</x:v>
      </x:c>
      <x:c r="I14" s="339" t="str">
        <x:v>Marks must be within configured min/max ranges; absence and exemption are represented as statuses, not invalid numeric marks.; Result calculations use the grading/weightage configuration effective for that exam and academic period.; Results cannot be published until required subjects/marks are complete and verification/approval gates pass.</x:v>
      </x:c>
      <x:c r="J14" s="339" t="str">
        <x:v>Academic structure, timetable, students, grading configuration, report cards, notifications</x:v>
      </x:c>
      <x:c r="K14" s="339" t="str">
        <x:v>MVP, Phase 2, Phase 3</x:v>
      </x:c>
      <x:c r="L14" s="339" t="str">
        <x:v>Marks-entry completion, verification defects, result revision rate</x:v>
      </x:c>
      <x:c r="M14" s="339" t="str">
        <x:v>Not Started</x:v>
      </x:c>
    </x:row>
    <x:row r="15">
      <x:c r="A15" s="339" t="str">
        <x:v>EP-014</x:v>
      </x:c>
      <x:c r="B15" s="339" t="str">
        <x:v>Fees &amp; Finance</x:v>
      </x:c>
      <x:c r="C15" s="339" t="str">
        <x:v>Student Fees &amp; School Finance</x:v>
      </x:c>
      <x:c r="D15" s="339" t="str">
        <x:v>Configure fees, collect/reconcile payments, manage dues and support controlled accounting operations.</x:v>
      </x:c>
      <x:c r="E15" s="339" t="str">
        <x:v>The school has accurate student balances, receipts and financial reporting.</x:v>
      </x:c>
      <x:c r="F15" s="339" t="str">
        <x:v>Accountant, School Admin, Parent</x:v>
      </x:c>
      <x:c r="G15" s="339" t="str">
        <x:v>18 screens covering Accounting, Student Fees</x:v>
      </x:c>
      <x:c r="H15" s="339" t="str">
        <x:v>Does not replace source-module authorization, audit, privacy or financial controls.</x:v>
      </x:c>
      <x:c r="I15" s="339" t="str">
        <x:v>Posted financial transactions must not be hard-deleted; corrections use reversal/refund/credit mechanisms.; A payment allocation cannot exceed the eligible open balance unless overpayment handling is configured.; Receipts must have unique immutable numbers and reference the underlying payment transaction.</x:v>
      </x:c>
      <x:c r="J15" s="339" t="str">
        <x:v>Students, fee structure, payment gateway, accounting, notifications</x:v>
      </x:c>
      <x:c r="K15" s="339" t="str">
        <x:v>MVP, Phase 2, Phase 3</x:v>
      </x:c>
      <x:c r="L15" s="339" t="str">
        <x:v>Collection rate, overdue amount, reconciliation exceptions, failed payment rate</x:v>
      </x:c>
      <x:c r="M15" s="339" t="str">
        <x:v>Not Started</x:v>
      </x:c>
    </x:row>
    <x:row r="16">
      <x:c r="A16" s="339" t="str">
        <x:v>EP-015</x:v>
      </x:c>
      <x:c r="B16" s="339" t="str">
        <x:v>HR / Leave / Payroll</x:v>
      </x:c>
      <x:c r="C16" s="339" t="str">
        <x:v>HR, Leave &amp; Payroll</x:v>
      </x:c>
      <x:c r="D16" s="339" t="str">
        <x:v>Manage recruitment, onboarding, attendance, leave and payroll for school employees.</x:v>
      </x:c>
      <x:c r="E16" s="339" t="str">
        <x:v>HR operations are consistent, auditable and connected to payroll.</x:v>
      </x:c>
      <x:c r="F16" s="339" t="str">
        <x:v>HR, School Admin, Principal, Employee</x:v>
      </x:c>
      <x:c r="G16" s="339" t="str">
        <x:v>14 screens covering HR</x:v>
      </x:c>
      <x:c r="H16" s="339" t="str">
        <x:v>Does not replace source-module authorization, audit, privacy or financial controls.</x:v>
      </x:c>
      <x:c r="I16" s="339" t="str">
        <x:v>Leave approvals must respect leave balance, policy, employment status and approval hierarchy.; Approved leave and attendance adjustments must feed payroll according to configured policies.; Payroll for a period must be versioned/locked after approval; later corrections require adjustment runs.</x:v>
      </x:c>
      <x:c r="J16" s="339" t="str">
        <x:v>Staff master, attendance, payroll rules, finance, identity</x:v>
      </x:c>
      <x:c r="K16" s="339" t="str">
        <x:v>Phase 2, Phase 3</x:v>
      </x:c>
      <x:c r="L16" s="339" t="str">
        <x:v>Payroll accuracy, leave SLA, attendance exceptions, payroll adjustment rate</x:v>
      </x:c>
      <x:c r="M16" s="339" t="str">
        <x:v>Not Started</x:v>
      </x:c>
    </x:row>
    <x:row r="17">
      <x:c r="A17" s="339" t="str">
        <x:v>EP-016</x:v>
      </x:c>
      <x:c r="B17" s="339" t="str">
        <x:v>Transport / Bus / GPS</x:v>
      </x:c>
      <x:c r="C17" s="339" t="str">
        <x:v>School Transport &amp; Live Trips</x:v>
      </x:c>
      <x:c r="D17" s="339" t="str">
        <x:v>Manage vehicles, routes, stops, assignments, trips and GPS/boarding visibility.</x:v>
      </x:c>
      <x:c r="E17" s="339" t="str">
        <x:v>School transport is safer, capacity-aware and transparent to parents and operations.</x:v>
      </x:c>
      <x:c r="F17" s="339" t="str">
        <x:v>Transport Manager, Driver/Conductor, School Admin, Parent, Student</x:v>
      </x:c>
      <x:c r="G17" s="339" t="str">
        <x:v>12 screens covering Transport</x:v>
      </x:c>
      <x:c r="H17" s="339" t="str">
        <x:v>Does not replace source-module authorization, audit, privacy or financial controls.</x:v>
      </x:c>
      <x:c r="I17" s="339" t="str">
        <x:v>Student route assignment must respect active route/stop, service dates and configured vehicle capacity.; Drivers and vehicles must be active/compliant before assignment to a trip.; Trip state changes follow Planned → Started → Completed/Cancelled with timestamps.</x:v>
      </x:c>
      <x:c r="J17" s="339" t="str">
        <x:v>Students, guardians, vehicles, GPS provider, notifications, maps</x:v>
      </x:c>
      <x:c r="K17" s="339" t="str">
        <x:v>Phase 2, Phase 3</x:v>
      </x:c>
      <x:c r="L17" s="339" t="str">
        <x:v>On-time trips, capacity utilization, missing scan events, vehicle downtime</x:v>
      </x:c>
      <x:c r="M17" s="339" t="str">
        <x:v>Not Started</x:v>
      </x:c>
    </x:row>
    <x:row r="18">
      <x:c r="A18" s="339" t="str">
        <x:v>EP-017</x:v>
      </x:c>
      <x:c r="B18" s="339" t="str">
        <x:v>Library</x:v>
      </x:c>
      <x:c r="C18" s="339" t="str">
        <x:v>Library Circulation &amp; Digital Resources</x:v>
      </x:c>
      <x:c r="D18" s="339" t="str">
        <x:v>Manage catalogue, copies, lending, returns, reservations, fines and digital resources.</x:v>
      </x:c>
      <x:c r="E18" s="339" t="str">
        <x:v>Library inventory and member circulation are accurate and easy to operate.</x:v>
      </x:c>
      <x:c r="F18" s="339" t="str">
        <x:v>Librarian, Student, Teacher, School Admin</x:v>
      </x:c>
      <x:c r="G18" s="339" t="str">
        <x:v>10 screens covering Library</x:v>
      </x:c>
      <x:c r="H18" s="339" t="str">
        <x:v>Does not replace source-module authorization, audit, privacy or financial controls.</x:v>
      </x:c>
      <x:c r="I18" s="339" t="str">
        <x:v>A physical copy cannot be issued to more than one active borrower at the same time.; Issue/renewal limits and due dates follow member type and circulation policy.; Overdue fines are calculated from configured grace period, rate and cap.</x:v>
      </x:c>
      <x:c r="J18" s="339" t="str">
        <x:v>Student/staff members, catalogue, payments/fines, notifications</x:v>
      </x:c>
      <x:c r="K18" s="339" t="str">
        <x:v>Phase 2, Phase 3</x:v>
      </x:c>
      <x:c r="L18" s="339" t="str">
        <x:v>Circulation, overdue rate, lost/damaged rate, reservation fulfillment</x:v>
      </x:c>
      <x:c r="M18" s="339" t="str">
        <x:v>Not Started</x:v>
      </x:c>
    </x:row>
    <x:row r="19">
      <x:c r="A19" s="339" t="str">
        <x:v>EP-018</x:v>
      </x:c>
      <x:c r="B19" s="339" t="str">
        <x:v>Hostel</x:v>
      </x:c>
      <x:c r="C19" s="339" t="str">
        <x:v>Hostel &amp; Residential Operations</x:v>
      </x:c>
      <x:c r="D19" s="339" t="str">
        <x:v>Manage hostel rooms/beds, student allocation, attendance, outings, meals and complaints.</x:v>
      </x:c>
      <x:c r="E19" s="339" t="str">
        <x:v>Residential student placement and movement are controlled and auditable.</x:v>
      </x:c>
      <x:c r="F19" s="339" t="str">
        <x:v>Hostel Warden, School Admin, Student, Parent</x:v>
      </x:c>
      <x:c r="G19" s="339" t="str">
        <x:v>8 screens covering Hostel</x:v>
      </x:c>
      <x:c r="H19" s="339" t="str">
        <x:v>Does not replace source-module authorization, audit, privacy or financial controls.</x:v>
      </x:c>
      <x:c r="I19" s="339" t="str">
        <x:v>A bed can have only one active student allocation for overlapping dates.; Hostel allocation requires an active eligible student and available capacity.; Outing/leave follows guardian/warden approval rules and captures actual exit/return.</x:v>
      </x:c>
      <x:c r="J19" s="339" t="str">
        <x:v>Students, parents, fees, attendance, notifications</x:v>
      </x:c>
      <x:c r="K19" s="339" t="str">
        <x:v>Phase 2, Phase 3</x:v>
      </x:c>
      <x:c r="L19" s="339" t="str">
        <x:v>Occupancy, unauthorized absence, complaint resolution, allocation conflicts</x:v>
      </x:c>
      <x:c r="M19" s="339" t="str">
        <x:v>Not Started</x:v>
      </x:c>
    </x:row>
    <x:row r="20">
      <x:c r="A20" s="339" t="str">
        <x:v>EP-019</x:v>
      </x:c>
      <x:c r="B20" s="339" t="str">
        <x:v>Health / Counselling / Discipline</x:v>
      </x:c>
      <x:c r="C20" s="339" t="str">
        <x:v>Student Health, Counselling &amp; Discipline</x:v>
      </x:c>
      <x:c r="D20" s="339" t="str">
        <x:v>Record health visits, counselling and discipline actions with strict privacy and escalation controls.</x:v>
      </x:c>
      <x:c r="E20" s="339" t="str">
        <x:v>Student wellbeing cases are managed safely with appropriate confidentiality.</x:v>
      </x:c>
      <x:c r="F20" s="339" t="str">
        <x:v>Nurse/Medical Officer, Counsellor, Principal, School Admin, Parent</x:v>
      </x:c>
      <x:c r="G20" s="339" t="str">
        <x:v>10 screens covering Health</x:v>
      </x:c>
      <x:c r="H20" s="339" t="str">
        <x:v>Does not replace source-module authorization, audit, privacy or financial controls.</x:v>
      </x:c>
      <x:c r="I20" s="339" t="str">
        <x:v>Clinical and counselling notes are restricted to specifically authorized roles and must not inherit broad teacher/admin visibility by default.; Emergency conditions trigger configured escalation and guardian notification rules.; Medication administration records must capture medication, dose, time and administering user where applicable.</x:v>
      </x:c>
      <x:c r="J20" s="339" t="str">
        <x:v>Students, guardians, emergency contacts, notifications, audit/security</x:v>
      </x:c>
      <x:c r="K20" s="339" t="str">
        <x:v>Phase 2, Phase 3</x:v>
      </x:c>
      <x:c r="L20" s="339" t="str">
        <x:v>Emergency response time, case follow-up completion, privacy access violations</x:v>
      </x:c>
      <x:c r="M20" s="339" t="str">
        <x:v>Not Started</x:v>
      </x:c>
    </x:row>
    <x:row r="21">
      <x:c r="A21" s="339" t="str">
        <x:v>EP-020</x:v>
      </x:c>
      <x:c r="B21" s="339" t="str">
        <x:v>Visitor / Gate / Security</x:v>
      </x:c>
      <x:c r="C21" s="339" t="str">
        <x:v>Visitor, Gate &amp; Security Control</x:v>
      </x:c>
      <x:c r="D21" s="339" t="str">
        <x:v>Control visitor, student pickup and vehicle movement through school gates.</x:v>
      </x:c>
      <x:c r="E21" s="339" t="str">
        <x:v>The school has a verifiable real-time entry/exit trail.</x:v>
      </x:c>
      <x:c r="F21" s="339" t="str">
        <x:v>Security, Receptionist, School Admin, Principal</x:v>
      </x:c>
      <x:c r="G21" s="339" t="str">
        <x:v>8 screens covering Visitor</x:v>
      </x:c>
      <x:c r="H21" s="339" t="str">
        <x:v>Does not replace source-module authorization, audit, privacy or financial controls.</x:v>
      </x:c>
      <x:c r="I21" s="339" t="str">
        <x:v>Visitor entry requires the configured identity/purpose/host data before pass issuance.; Restricted visitors or denied approvals cannot be checked in.; Student early pickup requires authorized guardian/approver verification.</x:v>
      </x:c>
      <x:c r="J21" s="339" t="str">
        <x:v>Identity verification, students/guardians, staff directory, notifications, audit</x:v>
      </x:c>
      <x:c r="K21" s="339" t="str">
        <x:v>Phase 2, Phase 3</x:v>
      </x:c>
      <x:c r="L21" s="339" t="str">
        <x:v>Visitor processing time, unclosed visits, denied-entry incidents</x:v>
      </x:c>
      <x:c r="M21" s="339" t="str">
        <x:v>Not Started</x:v>
      </x:c>
    </x:row>
    <x:row r="22">
      <x:c r="A22" s="339" t="str">
        <x:v>EP-021</x:v>
      </x:c>
      <x:c r="B22" s="339" t="str">
        <x:v>Inventory / Assets / Labs</x:v>
      </x:c>
      <x:c r="C22" s="339" t="str">
        <x:v>Inventory, Assets &amp; Laboratory Operations</x:v>
      </x:c>
      <x:c r="D22" s="339" t="str">
        <x:v>Track stock, assets, assignments, maintenance and lab resources.</x:v>
      </x:c>
      <x:c r="E22" s="339" t="str">
        <x:v>School resources remain accountable with accurate stock and ownership history.</x:v>
      </x:c>
      <x:c r="F22" s="339" t="str">
        <x:v>Store Manager, Lab Assistant, School Admin, Accountant</x:v>
      </x:c>
      <x:c r="G22" s="339" t="str">
        <x:v>12 screens covering Inventory</x:v>
      </x:c>
      <x:c r="H22" s="339" t="str">
        <x:v>Does not replace source-module authorization, audit, privacy or financial controls.</x:v>
      </x:c>
      <x:c r="I22" s="339" t="str">
        <x:v>Available stock cannot fall below zero unless negative stock is explicitly allowed.; Serialized assets must have unique asset/serial identifiers.; Asset transfer/assignment preserves custody history and current location.</x:v>
      </x:c>
      <x:c r="J22" s="339" t="str">
        <x:v>Suppliers, purchasing/finance, staff/students, rooms/labs</x:v>
      </x:c>
      <x:c r="K22" s="339" t="str">
        <x:v>Phase 2, Phase 3</x:v>
      </x:c>
      <x:c r="L22" s="339" t="str">
        <x:v>Stock variance, asset utilization, overdue maintenance, booking conflicts</x:v>
      </x:c>
      <x:c r="M22" s="339" t="str">
        <x:v>Not Started</x:v>
      </x:c>
    </x:row>
    <x:row r="23">
      <x:c r="A23" s="339" t="str">
        <x:v>EP-022</x:v>
      </x:c>
      <x:c r="B23" s="339" t="str">
        <x:v>Events / PTM / Communication</x:v>
      </x:c>
      <x:c r="C23" s="339" t="str">
        <x:v>Events, PTM &amp; School Communication</x:v>
      </x:c>
      <x:c r="D23" s="339" t="str">
        <x:v>Coordinate events, parent-teacher meetings, announcements and multi-channel communication.</x:v>
      </x:c>
      <x:c r="E23" s="339" t="str">
        <x:v>School communities receive timely, targeted and auditable information.</x:v>
      </x:c>
      <x:c r="F23" s="339" t="str">
        <x:v>School Admin, Principal, Teacher, Parent, Student</x:v>
      </x:c>
      <x:c r="G23" s="339" t="str">
        <x:v>10 screens covering Events</x:v>
      </x:c>
      <x:c r="H23" s="339" t="str">
        <x:v>Does not replace source-module authorization, audit, privacy or financial controls.</x:v>
      </x:c>
      <x:c r="I23" s="339" t="str">
        <x:v>Recipients are resolved from current role/class/section relationships at send time or from an approved frozen audience snapshot.; Sensitive communication is only sent to authorized recipients.; PTM slots cannot be double-booked for the same teacher/parent/student resource.</x:v>
      </x:c>
      <x:c r="J23" s="339" t="str">
        <x:v>Users, students/parents, calendar, email/SMS/WhatsApp/push providers</x:v>
      </x:c>
      <x:c r="K23" s="339" t="str">
        <x:v>MVP, Phase 2, Phase 3</x:v>
      </x:c>
      <x:c r="L23" s="339" t="str">
        <x:v>Delivery rate, failed notifications, PTM booking completion, event participation</x:v>
      </x:c>
      <x:c r="M23" s="339" t="str">
        <x:v>Not Started</x:v>
      </x:c>
    </x:row>
    <x:row r="24">
      <x:c r="A24" s="339" t="str">
        <x:v>EP-023</x:v>
      </x:c>
      <x:c r="B24" s="339" t="str">
        <x:v>Documents &amp; Certificates</x:v>
      </x:c>
      <x:c r="C24" s="339" t="str">
        <x:v>Documents, Verification &amp; Certificates</x:v>
      </x:c>
      <x:c r="D24" s="339" t="str">
        <x:v>Store, verify and generate student/staff documents and school certificates.</x:v>
      </x:c>
      <x:c r="E24" s="339" t="str">
        <x:v>Required documents and official certificates are accurate, traceable and easy to retrieve.</x:v>
      </x:c>
      <x:c r="F24" s="339" t="str">
        <x:v>School Admin, Admission Officer, HR, Student, Parent</x:v>
      </x:c>
      <x:c r="G24" s="339" t="str">
        <x:v>8 screens covering Documents</x:v>
      </x:c>
      <x:c r="H24" s="339" t="str">
        <x:v>Does not replace source-module authorization, audit, privacy or financial controls.</x:v>
      </x:c>
      <x:c r="I24" s="339" t="str">
        <x:v>Document access follows owner, role and document-sensitivity permissions.; Verified documents retain verifier/time and cannot silently lose verification evidence.; Certificate numbers are unique within the configured template/series scope.</x:v>
      </x:c>
      <x:c r="J24" s="339" t="str">
        <x:v>Student/staff masters, file storage, templates, digital signature/QR if enabled</x:v>
      </x:c>
      <x:c r="K24" s="339" t="str">
        <x:v>MVP, Phase 2, Phase 3</x:v>
      </x:c>
      <x:c r="L24" s="339" t="str">
        <x:v>Verification turnaround, missing-document rate, certificate issuance time</x:v>
      </x:c>
      <x:c r="M24" s="339" t="str">
        <x:v>Not Started</x:v>
      </x:c>
    </x:row>
    <x:row r="25">
      <x:c r="A25" s="339" t="str">
        <x:v>EP-024</x:v>
      </x:c>
      <x:c r="B25" s="339" t="str">
        <x:v>Reports &amp; Analytics</x:v>
      </x:c>
      <x:c r="C25" s="339" t="str">
        <x:v>Reporting, Analytics &amp; Decision Support</x:v>
      </x:c>
      <x:c r="D25" s="339" t="str">
        <x:v>Provide reconciled operational and management reporting across the ERP.</x:v>
      </x:c>
      <x:c r="E25" s="339" t="str">
        <x:v>Leadership can monitor performance using consistent metrics and governed exports.</x:v>
      </x:c>
      <x:c r="F25" s="339" t="str">
        <x:v>School Admin, Principal, Owner/Director, Department Heads</x:v>
      </x:c>
      <x:c r="G25" s="339" t="str">
        <x:v>20 screens covering Analytics &amp; Reporting</x:v>
      </x:c>
      <x:c r="H25" s="339" t="str">
        <x:v>Does not replace source-module authorization, audit, privacy or financial controls.</x:v>
      </x:c>
      <x:c r="I25" s="339" t="str">
        <x:v>Reports must enforce the same row-level data scope as transactional screens.; Metric definitions must be consistent across dashboards and detailed reports.; Exports must reflect the visible filter scope and include report run context/timestamp where appropriate.</x:v>
      </x:c>
      <x:c r="J25" s="339" t="str">
        <x:v>All source modules, analytics/query layer, export service</x:v>
      </x:c>
      <x:c r="K25" s="339" t="str">
        <x:v>MVP, Phase 2, Phase 3</x:v>
      </x:c>
      <x:c r="L25" s="339" t="str">
        <x:v>Report reconciliation defects, load time, export success, active usage</x:v>
      </x:c>
      <x:c r="M25" s="339" t="str">
        <x:v>Not Started</x:v>
      </x:c>
    </x:row>
    <x:row r="26">
      <x:c r="A26" s="340" t="str">
        <x:v>EP-025</x:v>
      </x:c>
      <x:c r="B26" s="340" t="str">
        <x:v>Settings / Roles / Permissions / Audit</x:v>
      </x:c>
      <x:c r="C26" s="340" t="str">
        <x:v>Security, RBAC, Settings &amp; Audit</x:v>
      </x:c>
      <x:c r="D26" s="340" t="str">
        <x:v>Control users, roles, configuration, integrations and auditability of the ERP.</x:v>
      </x:c>
      <x:c r="E26" s="340" t="str">
        <x:v>The system is configurable without weakening security or traceability.</x:v>
      </x:c>
      <x:c r="F26" s="340" t="str">
        <x:v>IT Admin, School Admin, Super Admin</x:v>
      </x:c>
      <x:c r="G26" s="340" t="str">
        <x:v>12 screens covering Security &amp; Configuration</x:v>
      </x:c>
      <x:c r="H26" s="340" t="str">
        <x:v>Does not replace source-module authorization, audit, privacy or financial controls.</x:v>
      </x:c>
      <x:c r="I26" s="340" t="str">
        <x:v>Access is deny-by-default and granted explicitly through roles/scopes.; High-risk permission changes require audit logging and may require step-up approval.; A user cannot grant permissions beyond their own authorized administration scope.</x:v>
      </x:c>
      <x:c r="J26" s="340" t="str">
        <x:v>Identity, tenant context, audit, secret management, integrations</x:v>
      </x:c>
      <x:c r="K26" s="340" t="str">
        <x:v>MVP, Phase 2, Phase 3</x:v>
      </x:c>
      <x:c r="L26" s="340" t="str">
        <x:v>Unauthorized-access incidents, stale accounts, permission-review completion, audit completeness</x:v>
      </x:c>
      <x:c r="M26" s="340" t="str">
        <x:v>Not Started</x:v>
      </x:c>
    </x:row>
  </x:sheetData>
  <x:conditionalFormatting sqref="M2:M26">
    <x:cfRule type="expression" dxfId="3" priority="1">
      <x:formula>M2="Done"</x:formula>
    </x:cfRule>
    <x:cfRule type="expression" dxfId="4" priority="2">
      <x:formula>M2="Blocked"</x:formula>
    </x:cfRule>
  </x:conditionalFormatting>
  <x:dataValidations count="1">
    <x:dataValidation type="list" sqref="M2:M26">
      <x:formula1>"Not Started,In Progress,Blocked,Ready for UAT,Done"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a647e1b2e384b5f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1" hidden="0" customWidth="1"/>
    <x:col min="3" max="3" width="11" hidden="0" customWidth="1"/>
    <x:col min="4" max="4" width="28" hidden="0" customWidth="1"/>
    <x:col min="5" max="5" width="30" hidden="0" customWidth="1"/>
    <x:col min="6" max="6" width="22" hidden="0" customWidth="1"/>
    <x:col min="7" max="7" width="62" hidden="0" customWidth="1"/>
    <x:col min="8" max="8" width="30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42" hidden="0" customWidth="1"/>
    <x:col min="14" max="14" width="16" hidden="0" customWidth="1"/>
  </x:cols>
  <x:sheetData>
    <x:row r="1" ht="30" customHeight="1">
      <x:c r="A1" s="338" t="str">
        <x:v>Story ID</x:v>
      </x:c>
      <x:c r="B1" s="338" t="str">
        <x:v>Epic ID</x:v>
      </x:c>
      <x:c r="C1" s="338" t="str">
        <x:v>Screen ID</x:v>
      </x:c>
      <x:c r="D1" s="338" t="str">
        <x:v>Module</x:v>
      </x:c>
      <x:c r="E1" s="338" t="str">
        <x:v>Screen Name</x:v>
      </x:c>
      <x:c r="F1" s="338" t="str">
        <x:v>Persona</x:v>
      </x:c>
      <x:c r="G1" s="338" t="str">
        <x:v>User Story</x:v>
      </x:c>
      <x:c r="H1" s="338" t="str">
        <x:v>Story Type</x:v>
      </x:c>
      <x:c r="I1" s="338" t="str">
        <x:v>Priority</x:v>
      </x:c>
      <x:c r="J1" s="338" t="str">
        <x:v>Release</x:v>
      </x:c>
      <x:c r="K1" s="338" t="str">
        <x:v>Complexity</x:v>
      </x:c>
      <x:c r="L1" s="338" t="str">
        <x:v>Story Points</x:v>
      </x:c>
      <x:c r="M1" s="338" t="str">
        <x:v>Dependencies</x:v>
      </x:c>
      <x:c r="N1" s="338" t="str">
        <x:v>Status</x:v>
      </x:c>
    </x:row>
    <x:row r="2">
      <x:c r="A2" s="339" t="str">
        <x:v>US-0001</x:v>
      </x:c>
      <x:c r="B2" s="339" t="str">
        <x:v>EP-001</x:v>
      </x:c>
      <x:c r="C2" s="339" t="str">
        <x:v>SCR-001</x:v>
      </x:c>
      <x:c r="D2" s="339" t="str">
        <x:v>Public Website &amp; Authentication</x:v>
      </x:c>
      <x:c r="E2" s="339" t="str">
        <x:v>Landing / Home</x:v>
      </x:c>
      <x:c r="F2" s="339" t="str">
        <x:v>User</x:v>
      </x:c>
      <x:c r="G2" s="339" t="str">
        <x:v>As a User, I want to understand the School Management System and choose a clear entry path so that I can reach the right school experience quickly.</x:v>
      </x:c>
      <x:c r="H2" s="339" t="str">
        <x:v>Primary Workflow</x:v>
      </x:c>
      <x:c r="I2" s="339" t="str">
        <x:v>MVP</x:v>
      </x:c>
      <x:c r="J2" s="339" t="str">
        <x:v>MVP</x:v>
      </x:c>
      <x:c r="K2" s="339" t="str">
        <x:v>High</x:v>
      </x:c>
      <x:c r="L2" s="339" t="n">
        <x:v>8</x:v>
      </x:c>
      <x:c r="M2" s="339" t="str">
        <x:v>Identity provider, user directory, RBAC, audit log, notification service</x:v>
      </x:c>
      <x:c r="N2" s="339" t="str">
        <x:v>Not Started</x:v>
      </x:c>
    </x:row>
    <x:row r="3">
      <x:c r="A3" s="339" t="str">
        <x:v>US-0002</x:v>
      </x:c>
      <x:c r="B3" s="339" t="str">
        <x:v>EP-001</x:v>
      </x:c>
      <x:c r="C3" s="339" t="str">
        <x:v>SCR-001</x:v>
      </x:c>
      <x:c r="D3" s="339" t="str">
        <x:v>Public Website &amp; Authentication</x:v>
      </x:c>
      <x:c r="E3" s="339" t="str">
        <x:v>Landing / Home</x:v>
      </x:c>
      <x:c r="F3" s="339" t="str">
        <x:v>User</x:v>
      </x:c>
      <x:c r="G3" s="339" t="str">
        <x:v>As a User, I want the landing page to expose no protected school data and provide clear, accessible navigation so that public access remains safe and understandable.</x:v>
      </x:c>
      <x:c r="H3" s="339" t="str">
        <x:v>Security &amp; Access</x:v>
      </x:c>
      <x:c r="I3" s="339" t="str">
        <x:v>MVP</x:v>
      </x:c>
      <x:c r="J3" s="339" t="str">
        <x:v>MVP</x:v>
      </x:c>
      <x:c r="K3" s="339" t="str">
        <x:v>High</x:v>
      </x:c>
      <x:c r="L3" s="339" t="n">
        <x:v>6</x:v>
      </x:c>
      <x:c r="M3" s="339" t="str">
        <x:v>Identity provider, user directory, RBAC, audit log, notification service</x:v>
      </x:c>
      <x:c r="N3" s="339" t="str">
        <x:v>Not Started</x:v>
      </x:c>
    </x:row>
    <x:row r="4">
      <x:c r="A4" s="339" t="str">
        <x:v>US-0003</x:v>
      </x:c>
      <x:c r="B4" s="339" t="str">
        <x:v>EP-001</x:v>
      </x:c>
      <x:c r="C4" s="339" t="str">
        <x:v>SCR-002</x:v>
      </x:c>
      <x:c r="D4" s="339" t="str">
        <x:v>Public Website &amp; Authentication</x:v>
      </x:c>
      <x:c r="E4" s="339" t="str">
        <x:v>Workspace / Role Selection</x:v>
      </x:c>
      <x:c r="F4" s="339" t="str">
        <x:v>User</x:v>
      </x:c>
      <x:c r="G4" s="339" t="str">
        <x:v>As a User, I want to choose the correct workspace for my role so that I am routed to the right authentication and portal experience.</x:v>
      </x:c>
      <x:c r="H4" s="339" t="str">
        <x:v>Primary Workflow</x:v>
      </x:c>
      <x:c r="I4" s="339" t="str">
        <x:v>MVP</x:v>
      </x:c>
      <x:c r="J4" s="339" t="str">
        <x:v>MVP</x:v>
      </x:c>
      <x:c r="K4" s="339" t="str">
        <x:v>High</x:v>
      </x:c>
      <x:c r="L4" s="339" t="n">
        <x:v>8</x:v>
      </x:c>
      <x:c r="M4" s="339" t="str">
        <x:v>Identity provider, user directory, RBAC, audit log, notification service</x:v>
      </x:c>
      <x:c r="N4" s="339" t="str">
        <x:v>Not Started</x:v>
      </x:c>
    </x:row>
    <x:row r="5">
      <x:c r="A5" s="339" t="str">
        <x:v>US-0004</x:v>
      </x:c>
      <x:c r="B5" s="339" t="str">
        <x:v>EP-001</x:v>
      </x:c>
      <x:c r="C5" s="339" t="str">
        <x:v>SCR-002</x:v>
      </x:c>
      <x:c r="D5" s="339" t="str">
        <x:v>Public Website &amp; Authentication</x:v>
      </x:c>
      <x:c r="E5" s="339" t="str">
        <x:v>Workspace / Role Selection</x:v>
      </x:c>
      <x:c r="F5" s="339" t="str">
        <x:v>User</x:v>
      </x:c>
      <x:c r="G5" s="339" t="str">
        <x:v>As a User, I want role selection to show only valid workspaces and preserve safe routing so that I do not enter an unauthorized portal.</x:v>
      </x:c>
      <x:c r="H5" s="339" t="str">
        <x:v>Security &amp; Access</x:v>
      </x:c>
      <x:c r="I5" s="339" t="str">
        <x:v>MVP</x:v>
      </x:c>
      <x:c r="J5" s="339" t="str">
        <x:v>MVP</x:v>
      </x:c>
      <x:c r="K5" s="339" t="str">
        <x:v>High</x:v>
      </x:c>
      <x:c r="L5" s="339" t="n">
        <x:v>6</x:v>
      </x:c>
      <x:c r="M5" s="339" t="str">
        <x:v>Identity provider, user directory, RBAC, audit log, notification service</x:v>
      </x:c>
      <x:c r="N5" s="339" t="str">
        <x:v>Not Started</x:v>
      </x:c>
    </x:row>
    <x:row r="6">
      <x:c r="A6" s="339" t="str">
        <x:v>US-0005</x:v>
      </x:c>
      <x:c r="B6" s="339" t="str">
        <x:v>EP-001</x:v>
      </x:c>
      <x:c r="C6" s="339" t="str">
        <x:v>SCR-003</x:v>
      </x:c>
      <x:c r="D6" s="339" t="str">
        <x:v>Public Website &amp; Authentication</x:v>
      </x:c>
      <x:c r="E6" s="339" t="str">
        <x:v>Sign In</x:v>
      </x:c>
      <x:c r="F6" s="339" t="str">
        <x:v>User</x:v>
      </x:c>
      <x:c r="G6" s="339" t="str">
        <x:v>As a User, I want to sign in securely so that I can access only the school data and actions permitted to my account.</x:v>
      </x:c>
      <x:c r="H6" s="339" t="str">
        <x:v>Primary Workflow</x:v>
      </x:c>
      <x:c r="I6" s="339" t="str">
        <x:v>MVP</x:v>
      </x:c>
      <x:c r="J6" s="339" t="str">
        <x:v>MVP</x:v>
      </x:c>
      <x:c r="K6" s="339" t="str">
        <x:v>High</x:v>
      </x:c>
      <x:c r="L6" s="339" t="n">
        <x:v>8</x:v>
      </x:c>
      <x:c r="M6" s="339" t="str">
        <x:v>Identity provider, user directory, RBAC, audit log, notification service</x:v>
      </x:c>
      <x:c r="N6" s="339" t="str">
        <x:v>Not Started</x:v>
      </x:c>
    </x:row>
    <x:row r="7">
      <x:c r="A7" s="339" t="str">
        <x:v>US-0006</x:v>
      </x:c>
      <x:c r="B7" s="339" t="str">
        <x:v>EP-001</x:v>
      </x:c>
      <x:c r="C7" s="339" t="str">
        <x:v>SCR-003</x:v>
      </x:c>
      <x:c r="D7" s="339" t="str">
        <x:v>Public Website &amp; Authentication</x:v>
      </x:c>
      <x:c r="E7" s="339" t="str">
        <x:v>Sign In</x:v>
      </x:c>
      <x:c r="F7" s="339" t="str">
        <x:v>User</x:v>
      </x:c>
      <x:c r="G7" s="339" t="str">
        <x:v>As a User, I want sign-in to enforce credential, account-status, rate-limit and session controls so that unauthorized access is prevented.</x:v>
      </x:c>
      <x:c r="H7" s="339" t="str">
        <x:v>Security &amp; Access</x:v>
      </x:c>
      <x:c r="I7" s="339" t="str">
        <x:v>MVP</x:v>
      </x:c>
      <x:c r="J7" s="339" t="str">
        <x:v>MVP</x:v>
      </x:c>
      <x:c r="K7" s="339" t="str">
        <x:v>High</x:v>
      </x:c>
      <x:c r="L7" s="339" t="n">
        <x:v>6</x:v>
      </x:c>
      <x:c r="M7" s="339" t="str">
        <x:v>Identity provider, user directory, RBAC, audit log, notification service</x:v>
      </x:c>
      <x:c r="N7" s="339" t="str">
        <x:v>Not Started</x:v>
      </x:c>
    </x:row>
    <x:row r="8">
      <x:c r="A8" s="339" t="str">
        <x:v>US-0007</x:v>
      </x:c>
      <x:c r="B8" s="339" t="str">
        <x:v>EP-001</x:v>
      </x:c>
      <x:c r="C8" s="339" t="str">
        <x:v>SCR-004</x:v>
      </x:c>
      <x:c r="D8" s="339" t="str">
        <x:v>Public Website &amp; Authentication</x:v>
      </x:c>
      <x:c r="E8" s="339" t="str">
        <x:v>Forgot Password</x:v>
      </x:c>
      <x:c r="F8" s="339" t="str">
        <x:v>User</x:v>
      </x:c>
      <x:c r="G8" s="339" t="str">
        <x:v>As a User, I want to request password recovery safely so that I can regain access without exposing whether another person's account exists.</x:v>
      </x:c>
      <x:c r="H8" s="339" t="str">
        <x:v>Primary Workflow</x:v>
      </x:c>
      <x:c r="I8" s="339" t="str">
        <x:v>MVP</x:v>
      </x:c>
      <x:c r="J8" s="339" t="str">
        <x:v>MVP</x:v>
      </x:c>
      <x:c r="K8" s="339" t="str">
        <x:v>High</x:v>
      </x:c>
      <x:c r="L8" s="339" t="n">
        <x:v>8</x:v>
      </x:c>
      <x:c r="M8" s="339" t="str">
        <x:v>Identity provider, user directory, RBAC, audit log, notification service</x:v>
      </x:c>
      <x:c r="N8" s="339" t="str">
        <x:v>Not Started</x:v>
      </x:c>
    </x:row>
    <x:row r="9">
      <x:c r="A9" s="339" t="str">
        <x:v>US-0008</x:v>
      </x:c>
      <x:c r="B9" s="339" t="str">
        <x:v>EP-001</x:v>
      </x:c>
      <x:c r="C9" s="339" t="str">
        <x:v>SCR-004</x:v>
      </x:c>
      <x:c r="D9" s="339" t="str">
        <x:v>Public Website &amp; Authentication</x:v>
      </x:c>
      <x:c r="E9" s="339" t="str">
        <x:v>Forgot Password</x:v>
      </x:c>
      <x:c r="F9" s="339" t="str">
        <x:v>User</x:v>
      </x:c>
      <x:c r="G9" s="339" t="str">
        <x:v>As a User, I want password recovery to use time-bound, single-use verification so that account takeover risk is reduced.</x:v>
      </x:c>
      <x:c r="H9" s="339" t="str">
        <x:v>Security &amp; Access</x:v>
      </x:c>
      <x:c r="I9" s="339" t="str">
        <x:v>MVP</x:v>
      </x:c>
      <x:c r="J9" s="339" t="str">
        <x:v>MVP</x:v>
      </x:c>
      <x:c r="K9" s="339" t="str">
        <x:v>High</x:v>
      </x:c>
      <x:c r="L9" s="339" t="n">
        <x:v>6</x:v>
      </x:c>
      <x:c r="M9" s="339" t="str">
        <x:v>Identity provider, user directory, RBAC, audit log, notification service</x:v>
      </x:c>
      <x:c r="N9" s="339" t="str">
        <x:v>Not Started</x:v>
      </x:c>
    </x:row>
    <x:row r="10">
      <x:c r="A10" s="339" t="str">
        <x:v>US-0009</x:v>
      </x:c>
      <x:c r="B10" s="339" t="str">
        <x:v>EP-001</x:v>
      </x:c>
      <x:c r="C10" s="339" t="str">
        <x:v>SCR-005</x:v>
      </x:c>
      <x:c r="D10" s="339" t="str">
        <x:v>Public Website &amp; Authentication</x:v>
      </x:c>
      <x:c r="E10" s="339" t="str">
        <x:v>Reset Password</x:v>
      </x:c>
      <x:c r="F10" s="339" t="str">
        <x:v>User</x:v>
      </x:c>
      <x:c r="G10" s="339" t="str">
        <x:v>As a User, I want to set a secure new password with a valid recovery token so that my old credentials no longer grant access.</x:v>
      </x:c>
      <x:c r="H10" s="339" t="str">
        <x:v>Primary Workflow</x:v>
      </x:c>
      <x:c r="I10" s="339" t="str">
        <x:v>MVP</x:v>
      </x:c>
      <x:c r="J10" s="339" t="str">
        <x:v>MVP</x:v>
      </x:c>
      <x:c r="K10" s="339" t="str">
        <x:v>High</x:v>
      </x:c>
      <x:c r="L10" s="339" t="n">
        <x:v>8</x:v>
      </x:c>
      <x:c r="M10" s="339" t="str">
        <x:v>Identity provider, user directory, RBAC, audit log, notification service</x:v>
      </x:c>
      <x:c r="N10" s="339" t="str">
        <x:v>Not Started</x:v>
      </x:c>
    </x:row>
    <x:row r="11">
      <x:c r="A11" s="339" t="str">
        <x:v>US-0010</x:v>
      </x:c>
      <x:c r="B11" s="339" t="str">
        <x:v>EP-001</x:v>
      </x:c>
      <x:c r="C11" s="339" t="str">
        <x:v>SCR-005</x:v>
      </x:c>
      <x:c r="D11" s="339" t="str">
        <x:v>Public Website &amp; Authentication</x:v>
      </x:c>
      <x:c r="E11" s="339" t="str">
        <x:v>Reset Password</x:v>
      </x:c>
      <x:c r="F11" s="339" t="str">
        <x:v>User</x:v>
      </x:c>
      <x:c r="G11" s="339" t="str">
        <x:v>As a User, I want reset-password rules to reject expired, reused or invalid tokens and weak passwords so that recovery remains secure.</x:v>
      </x:c>
      <x:c r="H11" s="339" t="str">
        <x:v>Security &amp; Access</x:v>
      </x:c>
      <x:c r="I11" s="339" t="str">
        <x:v>MVP</x:v>
      </x:c>
      <x:c r="J11" s="339" t="str">
        <x:v>MVP</x:v>
      </x:c>
      <x:c r="K11" s="339" t="str">
        <x:v>High</x:v>
      </x:c>
      <x:c r="L11" s="339" t="n">
        <x:v>6</x:v>
      </x:c>
      <x:c r="M11" s="339" t="str">
        <x:v>Identity provider, user directory, RBAC, audit log, notification service</x:v>
      </x:c>
      <x:c r="N11" s="339" t="str">
        <x:v>Not Started</x:v>
      </x:c>
    </x:row>
    <x:row r="12">
      <x:c r="A12" s="339" t="str">
        <x:v>US-0011</x:v>
      </x:c>
      <x:c r="B12" s="339" t="str">
        <x:v>EP-001</x:v>
      </x:c>
      <x:c r="C12" s="339" t="str">
        <x:v>SCR-006</x:v>
      </x:c>
      <x:c r="D12" s="339" t="str">
        <x:v>Public Website &amp; Authentication</x:v>
      </x:c>
      <x:c r="E12" s="339" t="str">
        <x:v>OTP / Two-Factor Verification</x:v>
      </x:c>
      <x:c r="F12" s="339" t="str">
        <x:v>User</x:v>
      </x:c>
      <x:c r="G12" s="339" t="str">
        <x:v>As a User, I want to complete OTP or two-factor verification so that high-risk authentication requires an additional trusted factor.</x:v>
      </x:c>
      <x:c r="H12" s="339" t="str">
        <x:v>Primary Workflow</x:v>
      </x:c>
      <x:c r="I12" s="339" t="str">
        <x:v>Phase 2</x:v>
      </x:c>
      <x:c r="J12" s="339" t="str">
        <x:v>Phase 2</x:v>
      </x:c>
      <x:c r="K12" s="339" t="str">
        <x:v>High</x:v>
      </x:c>
      <x:c r="L12" s="339" t="n">
        <x:v>8</x:v>
      </x:c>
      <x:c r="M12" s="339" t="str">
        <x:v>Identity provider, user directory, RBAC, audit log, notification service</x:v>
      </x:c>
      <x:c r="N12" s="339" t="str">
        <x:v>Not Started</x:v>
      </x:c>
    </x:row>
    <x:row r="13">
      <x:c r="A13" s="339" t="str">
        <x:v>US-0012</x:v>
      </x:c>
      <x:c r="B13" s="339" t="str">
        <x:v>EP-001</x:v>
      </x:c>
      <x:c r="C13" s="339" t="str">
        <x:v>SCR-006</x:v>
      </x:c>
      <x:c r="D13" s="339" t="str">
        <x:v>Public Website &amp; Authentication</x:v>
      </x:c>
      <x:c r="E13" s="339" t="str">
        <x:v>OTP / Two-Factor Verification</x:v>
      </x:c>
      <x:c r="F13" s="339" t="str">
        <x:v>User</x:v>
      </x:c>
      <x:c r="G13" s="339" t="str">
        <x:v>As a User, I want OTP verification to limit attempts, expiry and replay so that codes cannot be reused or brute-forced.</x:v>
      </x:c>
      <x:c r="H13" s="339" t="str">
        <x:v>Security &amp; Access</x:v>
      </x:c>
      <x:c r="I13" s="339" t="str">
        <x:v>Phase 2</x:v>
      </x:c>
      <x:c r="J13" s="339" t="str">
        <x:v>Phase 2</x:v>
      </x:c>
      <x:c r="K13" s="339" t="str">
        <x:v>High</x:v>
      </x:c>
      <x:c r="L13" s="339" t="n">
        <x:v>6</x:v>
      </x:c>
      <x:c r="M13" s="339" t="str">
        <x:v>Identity provider, user directory, RBAC, audit log, notification service</x:v>
      </x:c>
      <x:c r="N13" s="339" t="str">
        <x:v>Not Started</x:v>
      </x:c>
    </x:row>
    <x:row r="14">
      <x:c r="A14" s="339" t="str">
        <x:v>US-0013</x:v>
      </x:c>
      <x:c r="B14" s="339" t="str">
        <x:v>EP-001</x:v>
      </x:c>
      <x:c r="C14" s="339" t="str">
        <x:v>SCR-007</x:v>
      </x:c>
      <x:c r="D14" s="339" t="str">
        <x:v>Public Website &amp; Authentication</x:v>
      </x:c>
      <x:c r="E14" s="339" t="str">
        <x:v>First Login / Change Password</x:v>
      </x:c>
      <x:c r="F14" s="339" t="str">
        <x:v>User</x:v>
      </x:c>
      <x:c r="G14" s="339" t="str">
        <x:v>As a User, I want to change my temporary or first-login password before continuing so that default credentials are not retained.</x:v>
      </x:c>
      <x:c r="H14" s="339" t="str">
        <x:v>Primary Workflow</x:v>
      </x:c>
      <x:c r="I14" s="339" t="str">
        <x:v>Phase 2</x:v>
      </x:c>
      <x:c r="J14" s="339" t="str">
        <x:v>Phase 2</x:v>
      </x:c>
      <x:c r="K14" s="339" t="str">
        <x:v>High</x:v>
      </x:c>
      <x:c r="L14" s="339" t="n">
        <x:v>8</x:v>
      </x:c>
      <x:c r="M14" s="339" t="str">
        <x:v>Identity provider, user directory, RBAC, audit log, notification service</x:v>
      </x:c>
      <x:c r="N14" s="339" t="str">
        <x:v>Not Started</x:v>
      </x:c>
    </x:row>
    <x:row r="15">
      <x:c r="A15" s="339" t="str">
        <x:v>US-0014</x:v>
      </x:c>
      <x:c r="B15" s="339" t="str">
        <x:v>EP-001</x:v>
      </x:c>
      <x:c r="C15" s="339" t="str">
        <x:v>SCR-007</x:v>
      </x:c>
      <x:c r="D15" s="339" t="str">
        <x:v>Public Website &amp; Authentication</x:v>
      </x:c>
      <x:c r="E15" s="339" t="str">
        <x:v>First Login / Change Password</x:v>
      </x:c>
      <x:c r="F15" s="339" t="str">
        <x:v>User</x:v>
      </x:c>
      <x:c r="G15" s="339" t="str">
        <x:v>As a User, I want first-login security rules to validate the new password and revoke temporary credentials so that the account becomes securely activated.</x:v>
      </x:c>
      <x:c r="H15" s="339" t="str">
        <x:v>Security &amp; Access</x:v>
      </x:c>
      <x:c r="I15" s="339" t="str">
        <x:v>Phase 2</x:v>
      </x:c>
      <x:c r="J15" s="339" t="str">
        <x:v>Phase 2</x:v>
      </x:c>
      <x:c r="K15" s="339" t="str">
        <x:v>High</x:v>
      </x:c>
      <x:c r="L15" s="339" t="n">
        <x:v>6</x:v>
      </x:c>
      <x:c r="M15" s="339" t="str">
        <x:v>Identity provider, user directory, RBAC, audit log, notification service</x:v>
      </x:c>
      <x:c r="N15" s="339" t="str">
        <x:v>Not Started</x:v>
      </x:c>
    </x:row>
    <x:row r="16">
      <x:c r="A16" s="339" t="str">
        <x:v>US-0015</x:v>
      </x:c>
      <x:c r="B16" s="339" t="str">
        <x:v>EP-001</x:v>
      </x:c>
      <x:c r="C16" s="339" t="str">
        <x:v>SCR-008</x:v>
      </x:c>
      <x:c r="D16" s="339" t="str">
        <x:v>Public Website &amp; Authentication</x:v>
      </x:c>
      <x:c r="E16" s="339" t="str">
        <x:v>Access Denied / Session Expired</x:v>
      </x:c>
      <x:c r="F16" s="339" t="str">
        <x:v>User</x:v>
      </x:c>
      <x:c r="G16" s="339" t="str">
        <x:v>As a User, I want a clear access-denied or session-expired experience so that I know whether to re-authenticate or request access.</x:v>
      </x:c>
      <x:c r="H16" s="339" t="str">
        <x:v>Primary Workflow</x:v>
      </x:c>
      <x:c r="I16" s="339" t="str">
        <x:v>Phase 2</x:v>
      </x:c>
      <x:c r="J16" s="339" t="str">
        <x:v>Phase 2</x:v>
      </x:c>
      <x:c r="K16" s="339" t="str">
        <x:v>High</x:v>
      </x:c>
      <x:c r="L16" s="339" t="n">
        <x:v>8</x:v>
      </x:c>
      <x:c r="M16" s="339" t="str">
        <x:v>Identity provider, user directory, RBAC, audit log, notification service</x:v>
      </x:c>
      <x:c r="N16" s="339" t="str">
        <x:v>Not Started</x:v>
      </x:c>
    </x:row>
    <x:row r="17">
      <x:c r="A17" s="339" t="str">
        <x:v>US-0016</x:v>
      </x:c>
      <x:c r="B17" s="339" t="str">
        <x:v>EP-001</x:v>
      </x:c>
      <x:c r="C17" s="339" t="str">
        <x:v>SCR-008</x:v>
      </x:c>
      <x:c r="D17" s="339" t="str">
        <x:v>Public Website &amp; Authentication</x:v>
      </x:c>
      <x:c r="E17" s="339" t="str">
        <x:v>Access Denied / Session Expired</x:v>
      </x:c>
      <x:c r="F17" s="339" t="str">
        <x:v>User</x:v>
      </x:c>
      <x:c r="G17" s="339" t="str">
        <x:v>As a User, I want denied/expired sessions to preserve security boundaries and safe return paths so that protected data is never shown after authorization is lost.</x:v>
      </x:c>
      <x:c r="H17" s="339" t="str">
        <x:v>Security &amp; Access</x:v>
      </x:c>
      <x:c r="I17" s="339" t="str">
        <x:v>Phase 2</x:v>
      </x:c>
      <x:c r="J17" s="339" t="str">
        <x:v>Phase 2</x:v>
      </x:c>
      <x:c r="K17" s="339" t="str">
        <x:v>High</x:v>
      </x:c>
      <x:c r="L17" s="339" t="n">
        <x:v>6</x:v>
      </x:c>
      <x:c r="M17" s="339" t="str">
        <x:v>Identity provider, user directory, RBAC, audit log, notification service</x:v>
      </x:c>
      <x:c r="N17" s="339" t="str">
        <x:v>Not Started</x:v>
      </x:c>
    </x:row>
    <x:row r="18">
      <x:c r="A18" s="339" t="str">
        <x:v>US-0017</x:v>
      </x:c>
      <x:c r="B18" s="339" t="str">
        <x:v>EP-002</x:v>
      </x:c>
      <x:c r="C18" s="339" t="str">
        <x:v>SCR-009</x:v>
      </x:c>
      <x:c r="D18" s="339" t="str">
        <x:v>Super Admin / SaaS Administration</x:v>
      </x:c>
      <x:c r="E18" s="339" t="str">
        <x:v>Platform Dashboard</x:v>
      </x:c>
      <x:c r="F18" s="339" t="str">
        <x:v>Platform</x:v>
      </x:c>
      <x:c r="G18" s="339" t="str">
        <x:v>As a Platform, I want to monitor platform priorities and metrics so that the multi-tenant platform can be governed safely.</x:v>
      </x:c>
      <x:c r="H18" s="339" t="str">
        <x:v>Primary Workflow</x:v>
      </x:c>
      <x:c r="I18" s="339" t="str">
        <x:v>MVP</x:v>
      </x:c>
      <x:c r="J18" s="339" t="str">
        <x:v>MVP</x:v>
      </x:c>
      <x:c r="K18" s="339" t="str">
        <x:v>Medium</x:v>
      </x:c>
      <x:c r="L18" s="339" t="n">
        <x:v>5</x:v>
      </x:c>
      <x:c r="M18" s="339" t="str">
        <x:v>Tenant service, subscription/billing service, usage metering, support, platform monitoring</x:v>
      </x:c>
      <x:c r="N18" s="339" t="str">
        <x:v>Not Started</x:v>
      </x:c>
    </x:row>
    <x:row r="19">
      <x:c r="A19" s="339" t="str">
        <x:v>US-0018</x:v>
      </x:c>
      <x:c r="B19" s="339" t="str">
        <x:v>EP-002</x:v>
      </x:c>
      <x:c r="C19" s="339" t="str">
        <x:v>SCR-009</x:v>
      </x:c>
      <x:c r="D19" s="339" t="str">
        <x:v>Super Admin / SaaS Administration</x:v>
      </x:c>
      <x:c r="E19" s="339" t="str">
        <x:v>Platform Dashboard</x:v>
      </x:c>
      <x:c r="F19" s="339" t="str">
        <x:v>Platform</x:v>
      </x:c>
      <x:c r="G19" s="339" t="str">
        <x:v>As a Platform, I want platform dashboard to enforce insight &amp; drill-down rules so that data quality, permissions and traceability are protected.</x:v>
      </x:c>
      <x:c r="H19" s="339" t="str">
        <x:v>Insight &amp; Drill-down</x:v>
      </x:c>
      <x:c r="I19" s="339" t="str">
        <x:v>MVP</x:v>
      </x:c>
      <x:c r="J19" s="339" t="str">
        <x:v>MVP</x:v>
      </x:c>
      <x:c r="K19" s="339" t="str">
        <x:v>Medium</x:v>
      </x:c>
      <x:c r="L19" s="339" t="n">
        <x:v>3</x:v>
      </x:c>
      <x:c r="M19" s="339" t="str">
        <x:v>Tenant service, subscription/billing service, usage metering, support, platform monitoring</x:v>
      </x:c>
      <x:c r="N19" s="339" t="str">
        <x:v>Not Started</x:v>
      </x:c>
    </x:row>
    <x:row r="20">
      <x:c r="A20" s="339" t="str">
        <x:v>US-0019</x:v>
      </x:c>
      <x:c r="B20" s="339" t="str">
        <x:v>EP-002</x:v>
      </x:c>
      <x:c r="C20" s="339" t="str">
        <x:v>SCR-010</x:v>
      </x:c>
      <x:c r="D20" s="339" t="str">
        <x:v>Super Admin / SaaS Administration</x:v>
      </x:c>
      <x:c r="E20" s="339" t="str">
        <x:v>Organizations List</x:v>
      </x:c>
      <x:c r="F20" s="339" t="str">
        <x:v>Super Admin</x:v>
      </x:c>
      <x:c r="G20" s="339" t="str">
        <x:v>As a Super Admin, I want to find and manage organizations list so that the multi-tenant platform can be governed safely.</x:v>
      </x:c>
      <x:c r="H20" s="339" t="str">
        <x:v>Primary Workflow</x:v>
      </x:c>
      <x:c r="I20" s="339" t="str">
        <x:v>MVP</x:v>
      </x:c>
      <x:c r="J20" s="339" t="str">
        <x:v>MVP</x:v>
      </x:c>
      <x:c r="K20" s="339" t="str">
        <x:v>Medium</x:v>
      </x:c>
      <x:c r="L20" s="339" t="n">
        <x:v>5</x:v>
      </x:c>
      <x:c r="M20" s="339" t="str">
        <x:v>Tenant service, subscription/billing service, usage metering, support, platform monitoring</x:v>
      </x:c>
      <x:c r="N20" s="339" t="str">
        <x:v>Not Started</x:v>
      </x:c>
    </x:row>
    <x:row r="21">
      <x:c r="A21" s="339" t="str">
        <x:v>US-0020</x:v>
      </x:c>
      <x:c r="B21" s="339" t="str">
        <x:v>EP-002</x:v>
      </x:c>
      <x:c r="C21" s="339" t="str">
        <x:v>SCR-010</x:v>
      </x:c>
      <x:c r="D21" s="339" t="str">
        <x:v>Super Admin / SaaS Administration</x:v>
      </x:c>
      <x:c r="E21" s="339" t="str">
        <x:v>Organizations List</x:v>
      </x:c>
      <x:c r="F21" s="339" t="str">
        <x:v>Super Admin</x:v>
      </x:c>
      <x:c r="G21" s="339" t="str">
        <x:v>As a Super Admin, I want organizations list to enforce search, filter &amp; controlled actions rules so that data quality, permissions and traceability are protected.</x:v>
      </x:c>
      <x:c r="H21" s="339" t="str">
        <x:v>Search, Filter &amp; Controlled Actions</x:v>
      </x:c>
      <x:c r="I21" s="339" t="str">
        <x:v>MVP</x:v>
      </x:c>
      <x:c r="J21" s="339" t="str">
        <x:v>MVP</x:v>
      </x:c>
      <x:c r="K21" s="339" t="str">
        <x:v>Medium</x:v>
      </x:c>
      <x:c r="L21" s="339" t="n">
        <x:v>3</x:v>
      </x:c>
      <x:c r="M21" s="339" t="str">
        <x:v>Tenant service, subscription/billing service, usage metering, support, platform monitoring</x:v>
      </x:c>
      <x:c r="N21" s="339" t="str">
        <x:v>Not Started</x:v>
      </x:c>
    </x:row>
    <x:row r="22">
      <x:c r="A22" s="339" t="str">
        <x:v>US-0021</x:v>
      </x:c>
      <x:c r="B22" s="339" t="str">
        <x:v>EP-002</x:v>
      </x:c>
      <x:c r="C22" s="339" t="str">
        <x:v>SCR-011</x:v>
      </x:c>
      <x:c r="D22" s="339" t="str">
        <x:v>Super Admin / SaaS Administration</x:v>
      </x:c>
      <x:c r="E22" s="339" t="str">
        <x:v>Add Organization</x:v>
      </x:c>
      <x:c r="F22" s="339" t="str">
        <x:v>Super Admin</x:v>
      </x:c>
      <x:c r="G22" s="339" t="str">
        <x:v>As a Super Admin, I want to create or process organization so that the multi-tenant platform can be governed safely.</x:v>
      </x:c>
      <x:c r="H22" s="339" t="str">
        <x:v>Primary Workflow</x:v>
      </x:c>
      <x:c r="I22" s="339" t="str">
        <x:v>MVP</x:v>
      </x:c>
      <x:c r="J22" s="339" t="str">
        <x:v>MVP</x:v>
      </x:c>
      <x:c r="K22" s="339" t="str">
        <x:v>Medium</x:v>
      </x:c>
      <x:c r="L22" s="339" t="n">
        <x:v>5</x:v>
      </x:c>
      <x:c r="M22" s="339" t="str">
        <x:v>Tenant service, subscription/billing service, usage metering, support, platform monitoring</x:v>
      </x:c>
      <x:c r="N22" s="339" t="str">
        <x:v>Not Started</x:v>
      </x:c>
    </x:row>
    <x:row r="23">
      <x:c r="A23" s="339" t="str">
        <x:v>US-0022</x:v>
      </x:c>
      <x:c r="B23" s="339" t="str">
        <x:v>EP-002</x:v>
      </x:c>
      <x:c r="C23" s="339" t="str">
        <x:v>SCR-011</x:v>
      </x:c>
      <x:c r="D23" s="339" t="str">
        <x:v>Super Admin / SaaS Administration</x:v>
      </x:c>
      <x:c r="E23" s="339" t="str">
        <x:v>Add Organization</x:v>
      </x:c>
      <x:c r="F23" s="339" t="str">
        <x:v>Super Admin</x:v>
      </x:c>
      <x:c r="G23" s="339" t="str">
        <x:v>As a Super Admin, I want add organization to enforce validation &amp; duplicate prevention rules so that data quality, permissions and traceability are protected.</x:v>
      </x:c>
      <x:c r="H23" s="339" t="str">
        <x:v>Validation &amp; Duplicate Prevention</x:v>
      </x:c>
      <x:c r="I23" s="339" t="str">
        <x:v>MVP</x:v>
      </x:c>
      <x:c r="J23" s="339" t="str">
        <x:v>MVP</x:v>
      </x:c>
      <x:c r="K23" s="339" t="str">
        <x:v>Medium</x:v>
      </x:c>
      <x:c r="L23" s="339" t="n">
        <x:v>3</x:v>
      </x:c>
      <x:c r="M23" s="339" t="str">
        <x:v>Tenant service, subscription/billing service, usage metering, support, platform monitoring</x:v>
      </x:c>
      <x:c r="N23" s="339" t="str">
        <x:v>Not Started</x:v>
      </x:c>
    </x:row>
    <x:row r="24">
      <x:c r="A24" s="339" t="str">
        <x:v>US-0023</x:v>
      </x:c>
      <x:c r="B24" s="339" t="str">
        <x:v>EP-002</x:v>
      </x:c>
      <x:c r="C24" s="339" t="str">
        <x:v>SCR-012</x:v>
      </x:c>
      <x:c r="D24" s="339" t="str">
        <x:v>Super Admin / SaaS Administration</x:v>
      </x:c>
      <x:c r="E24" s="339" t="str">
        <x:v>Organization Details</x:v>
      </x:c>
      <x:c r="F24" s="339" t="str">
        <x:v>Super Admin</x:v>
      </x:c>
      <x:c r="G24" s="339" t="str">
        <x:v>As a Super Admin, I want to review and maintain organization details so that the multi-tenant platform can be governed safely.</x:v>
      </x:c>
      <x:c r="H24" s="339" t="str">
        <x:v>Primary Workflow</x:v>
      </x:c>
      <x:c r="I24" s="339" t="str">
        <x:v>Phase 2</x:v>
      </x:c>
      <x:c r="J24" s="339" t="str">
        <x:v>Phase 2</x:v>
      </x:c>
      <x:c r="K24" s="339" t="str">
        <x:v>Medium</x:v>
      </x:c>
      <x:c r="L24" s="339" t="n">
        <x:v>5</x:v>
      </x:c>
      <x:c r="M24" s="339" t="str">
        <x:v>Tenant service, subscription/billing service, usage metering, support, platform monitoring</x:v>
      </x:c>
      <x:c r="N24" s="339" t="str">
        <x:v>Not Started</x:v>
      </x:c>
    </x:row>
    <x:row r="25">
      <x:c r="A25" s="339" t="str">
        <x:v>US-0024</x:v>
      </x:c>
      <x:c r="B25" s="339" t="str">
        <x:v>EP-002</x:v>
      </x:c>
      <x:c r="C25" s="339" t="str">
        <x:v>SCR-012</x:v>
      </x:c>
      <x:c r="D25" s="339" t="str">
        <x:v>Super Admin / SaaS Administration</x:v>
      </x:c>
      <x:c r="E25" s="339" t="str">
        <x:v>Organization Details</x:v>
      </x:c>
      <x:c r="F25" s="339" t="str">
        <x:v>Super Admin</x:v>
      </x:c>
      <x:c r="G25" s="339" t="str">
        <x:v>As a Super Admin, I want organization details to enforce history, edit &amp; audit rules so that data quality, permissions and traceability are protected.</x:v>
      </x:c>
      <x:c r="H25" s="339" t="str">
        <x:v>History, Edit &amp; Audit</x:v>
      </x:c>
      <x:c r="I25" s="339" t="str">
        <x:v>Phase 2</x:v>
      </x:c>
      <x:c r="J25" s="339" t="str">
        <x:v>Phase 2</x:v>
      </x:c>
      <x:c r="K25" s="339" t="str">
        <x:v>Medium</x:v>
      </x:c>
      <x:c r="L25" s="339" t="n">
        <x:v>3</x:v>
      </x:c>
      <x:c r="M25" s="339" t="str">
        <x:v>Tenant service, subscription/billing service, usage metering, support, platform monitoring</x:v>
      </x:c>
      <x:c r="N25" s="339" t="str">
        <x:v>Not Started</x:v>
      </x:c>
    </x:row>
    <x:row r="26">
      <x:c r="A26" s="339" t="str">
        <x:v>US-0025</x:v>
      </x:c>
      <x:c r="B26" s="339" t="str">
        <x:v>EP-002</x:v>
      </x:c>
      <x:c r="C26" s="339" t="str">
        <x:v>SCR-013</x:v>
      </x:c>
      <x:c r="D26" s="339" t="str">
        <x:v>Super Admin / SaaS Administration</x:v>
      </x:c>
      <x:c r="E26" s="339" t="str">
        <x:v>Subscription Plans</x:v>
      </x:c>
      <x:c r="F26" s="339" t="str">
        <x:v>Super Admin</x:v>
      </x:c>
      <x:c r="G26" s="339" t="str">
        <x:v>As a Super Admin, I want to manage subscription plans so that the multi-tenant platform can be governed safely.</x:v>
      </x:c>
      <x:c r="H26" s="339" t="str">
        <x:v>Primary Workflow</x:v>
      </x:c>
      <x:c r="I26" s="339" t="str">
        <x:v>Phase 2</x:v>
      </x:c>
      <x:c r="J26" s="339" t="str">
        <x:v>Phase 2</x:v>
      </x:c>
      <x:c r="K26" s="339" t="str">
        <x:v>High</x:v>
      </x:c>
      <x:c r="L26" s="339" t="n">
        <x:v>8</x:v>
      </x:c>
      <x:c r="M26" s="339" t="str">
        <x:v>Tenant service, subscription/billing service, usage metering, support, platform monitoring</x:v>
      </x:c>
      <x:c r="N26" s="339" t="str">
        <x:v>Not Started</x:v>
      </x:c>
    </x:row>
    <x:row r="27">
      <x:c r="A27" s="339" t="str">
        <x:v>US-0026</x:v>
      </x:c>
      <x:c r="B27" s="339" t="str">
        <x:v>EP-002</x:v>
      </x:c>
      <x:c r="C27" s="339" t="str">
        <x:v>SCR-013</x:v>
      </x:c>
      <x:c r="D27" s="339" t="str">
        <x:v>Super Admin / SaaS Administration</x:v>
      </x:c>
      <x:c r="E27" s="339" t="str">
        <x:v>Subscription Plans</x:v>
      </x:c>
      <x:c r="F27" s="339" t="str">
        <x:v>Super Admin</x:v>
      </x:c>
      <x:c r="G27" s="339" t="str">
        <x:v>As a Super Admin, I want subscription plans to enforce status, approval &amp; exception handling rules so that data quality, permissions and traceability are protected.</x:v>
      </x:c>
      <x:c r="H27" s="339" t="str">
        <x:v>Status, Approval &amp; Exception Handling</x:v>
      </x:c>
      <x:c r="I27" s="339" t="str">
        <x:v>Phase 2</x:v>
      </x:c>
      <x:c r="J27" s="339" t="str">
        <x:v>Phase 2</x:v>
      </x:c>
      <x:c r="K27" s="339" t="str">
        <x:v>High</x:v>
      </x:c>
      <x:c r="L27" s="339" t="n">
        <x:v>6</x:v>
      </x:c>
      <x:c r="M27" s="339" t="str">
        <x:v>Tenant service, subscription/billing service, usage metering, support, platform monitoring</x:v>
      </x:c>
      <x:c r="N27" s="339" t="str">
        <x:v>Not Started</x:v>
      </x:c>
    </x:row>
    <x:row r="28">
      <x:c r="A28" s="339" t="str">
        <x:v>US-0027</x:v>
      </x:c>
      <x:c r="B28" s="339" t="str">
        <x:v>EP-002</x:v>
      </x:c>
      <x:c r="C28" s="339" t="str">
        <x:v>SCR-014</x:v>
      </x:c>
      <x:c r="D28" s="339" t="str">
        <x:v>Super Admin / SaaS Administration</x:v>
      </x:c>
      <x:c r="E28" s="339" t="str">
        <x:v>Subscriptions &amp; Billing</x:v>
      </x:c>
      <x:c r="F28" s="339" t="str">
        <x:v>Super Admin</x:v>
      </x:c>
      <x:c r="G28" s="339" t="str">
        <x:v>As a Super Admin, I want to manage subscriptions &amp; billing so that the multi-tenant platform can be governed safely.</x:v>
      </x:c>
      <x:c r="H28" s="339" t="str">
        <x:v>Primary Workflow</x:v>
      </x:c>
      <x:c r="I28" s="339" t="str">
        <x:v>Phase 2</x:v>
      </x:c>
      <x:c r="J28" s="339" t="str">
        <x:v>Phase 2</x:v>
      </x:c>
      <x:c r="K28" s="339" t="str">
        <x:v>High</x:v>
      </x:c>
      <x:c r="L28" s="339" t="n">
        <x:v>8</x:v>
      </x:c>
      <x:c r="M28" s="339" t="str">
        <x:v>Tenant service, subscription/billing service, usage metering, support, platform monitoring</x:v>
      </x:c>
      <x:c r="N28" s="339" t="str">
        <x:v>Not Started</x:v>
      </x:c>
    </x:row>
    <x:row r="29">
      <x:c r="A29" s="339" t="str">
        <x:v>US-0028</x:v>
      </x:c>
      <x:c r="B29" s="339" t="str">
        <x:v>EP-002</x:v>
      </x:c>
      <x:c r="C29" s="339" t="str">
        <x:v>SCR-014</x:v>
      </x:c>
      <x:c r="D29" s="339" t="str">
        <x:v>Super Admin / SaaS Administration</x:v>
      </x:c>
      <x:c r="E29" s="339" t="str">
        <x:v>Subscriptions &amp; Billing</x:v>
      </x:c>
      <x:c r="F29" s="339" t="str">
        <x:v>Super Admin</x:v>
      </x:c>
      <x:c r="G29" s="339" t="str">
        <x:v>As a Super Admin, I want subscriptions &amp; billing to enforce status, approval &amp; exception handling rules so that data quality, permissions and traceability are protected.</x:v>
      </x:c>
      <x:c r="H29" s="339" t="str">
        <x:v>Status, Approval &amp; Exception Handling</x:v>
      </x:c>
      <x:c r="I29" s="339" t="str">
        <x:v>Phase 2</x:v>
      </x:c>
      <x:c r="J29" s="339" t="str">
        <x:v>Phase 2</x:v>
      </x:c>
      <x:c r="K29" s="339" t="str">
        <x:v>High</x:v>
      </x:c>
      <x:c r="L29" s="339" t="n">
        <x:v>6</x:v>
      </x:c>
      <x:c r="M29" s="339" t="str">
        <x:v>Tenant service, subscription/billing service, usage metering, support, platform monitoring</x:v>
      </x:c>
      <x:c r="N29" s="339" t="str">
        <x:v>Not Started</x:v>
      </x:c>
    </x:row>
    <x:row r="30">
      <x:c r="A30" s="339" t="str">
        <x:v>US-0029</x:v>
      </x:c>
      <x:c r="B30" s="339" t="str">
        <x:v>EP-002</x:v>
      </x:c>
      <x:c r="C30" s="339" t="str">
        <x:v>SCR-015</x:v>
      </x:c>
      <x:c r="D30" s="339" t="str">
        <x:v>Super Admin / SaaS Administration</x:v>
      </x:c>
      <x:c r="E30" s="339" t="str">
        <x:v>Tenant Usage &amp; Limits</x:v>
      </x:c>
      <x:c r="F30" s="339" t="str">
        <x:v>Super Admin</x:v>
      </x:c>
      <x:c r="G30" s="339" t="str">
        <x:v>As a Super Admin, I want to manage tenant usage &amp; limits so that the multi-tenant platform can be governed safely.</x:v>
      </x:c>
      <x:c r="H30" s="339" t="str">
        <x:v>Primary Workflow</x:v>
      </x:c>
      <x:c r="I30" s="339" t="str">
        <x:v>Phase 2</x:v>
      </x:c>
      <x:c r="J30" s="339" t="str">
        <x:v>Phase 2</x:v>
      </x:c>
      <x:c r="K30" s="339" t="str">
        <x:v>High</x:v>
      </x:c>
      <x:c r="L30" s="339" t="n">
        <x:v>8</x:v>
      </x:c>
      <x:c r="M30" s="339" t="str">
        <x:v>Tenant service, subscription/billing service, usage metering, support, platform monitoring</x:v>
      </x:c>
      <x:c r="N30" s="339" t="str">
        <x:v>Not Started</x:v>
      </x:c>
    </x:row>
    <x:row r="31">
      <x:c r="A31" s="339" t="str">
        <x:v>US-0030</x:v>
      </x:c>
      <x:c r="B31" s="339" t="str">
        <x:v>EP-002</x:v>
      </x:c>
      <x:c r="C31" s="339" t="str">
        <x:v>SCR-015</x:v>
      </x:c>
      <x:c r="D31" s="339" t="str">
        <x:v>Super Admin / SaaS Administration</x:v>
      </x:c>
      <x:c r="E31" s="339" t="str">
        <x:v>Tenant Usage &amp; Limits</x:v>
      </x:c>
      <x:c r="F31" s="339" t="str">
        <x:v>Super Admin</x:v>
      </x:c>
      <x:c r="G31" s="339" t="str">
        <x:v>As a Super Admin, I want tenant usage &amp; limits to enforce filters, reconciliation &amp; export rules so that data quality, permissions and traceability are protected.</x:v>
      </x:c>
      <x:c r="H31" s="339" t="str">
        <x:v>Filters, Reconciliation &amp; Export</x:v>
      </x:c>
      <x:c r="I31" s="339" t="str">
        <x:v>Phase 2</x:v>
      </x:c>
      <x:c r="J31" s="339" t="str">
        <x:v>Phase 2</x:v>
      </x:c>
      <x:c r="K31" s="339" t="str">
        <x:v>High</x:v>
      </x:c>
      <x:c r="L31" s="339" t="n">
        <x:v>6</x:v>
      </x:c>
      <x:c r="M31" s="339" t="str">
        <x:v>Tenant service, subscription/billing service, usage metering, support, platform monitoring</x:v>
      </x:c>
      <x:c r="N31" s="339" t="str">
        <x:v>Not Started</x:v>
      </x:c>
    </x:row>
    <x:row r="32">
      <x:c r="A32" s="339" t="str">
        <x:v>US-0031</x:v>
      </x:c>
      <x:c r="B32" s="339" t="str">
        <x:v>EP-002</x:v>
      </x:c>
      <x:c r="C32" s="339" t="str">
        <x:v>SCR-016</x:v>
      </x:c>
      <x:c r="D32" s="339" t="str">
        <x:v>Super Admin / SaaS Administration</x:v>
      </x:c>
      <x:c r="E32" s="339" t="str">
        <x:v>Platform Users</x:v>
      </x:c>
      <x:c r="F32" s="339" t="str">
        <x:v>Super Admin</x:v>
      </x:c>
      <x:c r="G32" s="339" t="str">
        <x:v>As a Super Admin, I want to manage platform users so that the multi-tenant platform can be governed safely.</x:v>
      </x:c>
      <x:c r="H32" s="339" t="str">
        <x:v>Primary Workflow</x:v>
      </x:c>
      <x:c r="I32" s="339" t="str">
        <x:v>Phase 3</x:v>
      </x:c>
      <x:c r="J32" s="339" t="str">
        <x:v>Phase 3</x:v>
      </x:c>
      <x:c r="K32" s="339" t="str">
        <x:v>High</x:v>
      </x:c>
      <x:c r="L32" s="339" t="n">
        <x:v>8</x:v>
      </x:c>
      <x:c r="M32" s="339" t="str">
        <x:v>Tenant service, subscription/billing service, usage metering, support, platform monitoring</x:v>
      </x:c>
      <x:c r="N32" s="339" t="str">
        <x:v>Not Started</x:v>
      </x:c>
    </x:row>
    <x:row r="33">
      <x:c r="A33" s="339" t="str">
        <x:v>US-0032</x:v>
      </x:c>
      <x:c r="B33" s="339" t="str">
        <x:v>EP-002</x:v>
      </x:c>
      <x:c r="C33" s="339" t="str">
        <x:v>SCR-016</x:v>
      </x:c>
      <x:c r="D33" s="339" t="str">
        <x:v>Super Admin / SaaS Administration</x:v>
      </x:c>
      <x:c r="E33" s="339" t="str">
        <x:v>Platform Users</x:v>
      </x:c>
      <x:c r="F33" s="339" t="str">
        <x:v>Super Admin</x:v>
      </x:c>
      <x:c r="G33" s="339" t="str">
        <x:v>As a Super Admin, I want platform users to enforce status, approval &amp; exception handling rules so that data quality, permissions and traceability are protected.</x:v>
      </x:c>
      <x:c r="H33" s="339" t="str">
        <x:v>Status, Approval &amp; Exception Handling</x:v>
      </x:c>
      <x:c r="I33" s="339" t="str">
        <x:v>Phase 3</x:v>
      </x:c>
      <x:c r="J33" s="339" t="str">
        <x:v>Phase 3</x:v>
      </x:c>
      <x:c r="K33" s="339" t="str">
        <x:v>High</x:v>
      </x:c>
      <x:c r="L33" s="339" t="n">
        <x:v>6</x:v>
      </x:c>
      <x:c r="M33" s="339" t="str">
        <x:v>Tenant service, subscription/billing service, usage metering, support, platform monitoring</x:v>
      </x:c>
      <x:c r="N33" s="339" t="str">
        <x:v>Not Started</x:v>
      </x:c>
    </x:row>
    <x:row r="34">
      <x:c r="A34" s="339" t="str">
        <x:v>US-0033</x:v>
      </x:c>
      <x:c r="B34" s="339" t="str">
        <x:v>EP-002</x:v>
      </x:c>
      <x:c r="C34" s="339" t="str">
        <x:v>SCR-017</x:v>
      </x:c>
      <x:c r="D34" s="339" t="str">
        <x:v>Super Admin / SaaS Administration</x:v>
      </x:c>
      <x:c r="E34" s="339" t="str">
        <x:v>Support Tickets</x:v>
      </x:c>
      <x:c r="F34" s="339" t="str">
        <x:v>Super Admin</x:v>
      </x:c>
      <x:c r="G34" s="339" t="str">
        <x:v>As a Super Admin, I want to manage support tickets so that the multi-tenant platform can be governed safely.</x:v>
      </x:c>
      <x:c r="H34" s="339" t="str">
        <x:v>Primary Workflow</x:v>
      </x:c>
      <x:c r="I34" s="339" t="str">
        <x:v>Phase 3</x:v>
      </x:c>
      <x:c r="J34" s="339" t="str">
        <x:v>Phase 3</x:v>
      </x:c>
      <x:c r="K34" s="339" t="str">
        <x:v>High</x:v>
      </x:c>
      <x:c r="L34" s="339" t="n">
        <x:v>8</x:v>
      </x:c>
      <x:c r="M34" s="339" t="str">
        <x:v>Tenant service, subscription/billing service, usage metering, support, platform monitoring</x:v>
      </x:c>
      <x:c r="N34" s="339" t="str">
        <x:v>Not Started</x:v>
      </x:c>
    </x:row>
    <x:row r="35">
      <x:c r="A35" s="339" t="str">
        <x:v>US-0034</x:v>
      </x:c>
      <x:c r="B35" s="339" t="str">
        <x:v>EP-002</x:v>
      </x:c>
      <x:c r="C35" s="339" t="str">
        <x:v>SCR-017</x:v>
      </x:c>
      <x:c r="D35" s="339" t="str">
        <x:v>Super Admin / SaaS Administration</x:v>
      </x:c>
      <x:c r="E35" s="339" t="str">
        <x:v>Support Tickets</x:v>
      </x:c>
      <x:c r="F35" s="339" t="str">
        <x:v>Super Admin</x:v>
      </x:c>
      <x:c r="G35" s="339" t="str">
        <x:v>As a Super Admin, I want support tickets to enforce status, approval &amp; exception handling rules so that data quality, permissions and traceability are protected.</x:v>
      </x:c>
      <x:c r="H35" s="339" t="str">
        <x:v>Status, Approval &amp; Exception Handling</x:v>
      </x:c>
      <x:c r="I35" s="339" t="str">
        <x:v>Phase 3</x:v>
      </x:c>
      <x:c r="J35" s="339" t="str">
        <x:v>Phase 3</x:v>
      </x:c>
      <x:c r="K35" s="339" t="str">
        <x:v>High</x:v>
      </x:c>
      <x:c r="L35" s="339" t="n">
        <x:v>6</x:v>
      </x:c>
      <x:c r="M35" s="339" t="str">
        <x:v>Tenant service, subscription/billing service, usage metering, support, platform monitoring</x:v>
      </x:c>
      <x:c r="N35" s="339" t="str">
        <x:v>Not Started</x:v>
      </x:c>
    </x:row>
    <x:row r="36">
      <x:c r="A36" s="339" t="str">
        <x:v>US-0035</x:v>
      </x:c>
      <x:c r="B36" s="339" t="str">
        <x:v>EP-002</x:v>
      </x:c>
      <x:c r="C36" s="339" t="str">
        <x:v>SCR-018</x:v>
      </x:c>
      <x:c r="D36" s="339" t="str">
        <x:v>Super Admin / SaaS Administration</x:v>
      </x:c>
      <x:c r="E36" s="339" t="str">
        <x:v>System Health &amp; Service Status</x:v>
      </x:c>
      <x:c r="F36" s="339" t="str">
        <x:v>Super Admin</x:v>
      </x:c>
      <x:c r="G36" s="339" t="str">
        <x:v>As a Super Admin, I want to manage system health &amp; service status so that the multi-tenant platform can be governed safely.</x:v>
      </x:c>
      <x:c r="H36" s="339" t="str">
        <x:v>Primary Workflow</x:v>
      </x:c>
      <x:c r="I36" s="339" t="str">
        <x:v>Phase 3</x:v>
      </x:c>
      <x:c r="J36" s="339" t="str">
        <x:v>Phase 3</x:v>
      </x:c>
      <x:c r="K36" s="339" t="str">
        <x:v>High</x:v>
      </x:c>
      <x:c r="L36" s="339" t="n">
        <x:v>8</x:v>
      </x:c>
      <x:c r="M36" s="339" t="str">
        <x:v>Tenant service, subscription/billing service, usage metering, support, platform monitoring</x:v>
      </x:c>
      <x:c r="N36" s="339" t="str">
        <x:v>Not Started</x:v>
      </x:c>
    </x:row>
    <x:row r="37">
      <x:c r="A37" s="339" t="str">
        <x:v>US-0036</x:v>
      </x:c>
      <x:c r="B37" s="339" t="str">
        <x:v>EP-002</x:v>
      </x:c>
      <x:c r="C37" s="339" t="str">
        <x:v>SCR-018</x:v>
      </x:c>
      <x:c r="D37" s="339" t="str">
        <x:v>Super Admin / SaaS Administration</x:v>
      </x:c>
      <x:c r="E37" s="339" t="str">
        <x:v>System Health &amp; Service Status</x:v>
      </x:c>
      <x:c r="F37" s="339" t="str">
        <x:v>Super Admin</x:v>
      </x:c>
      <x:c r="G37" s="339" t="str">
        <x:v>As a Super Admin, I want system health &amp; service status to enforce status, approval &amp; exception handling rules so that data quality, permissions and traceability are protected.</x:v>
      </x:c>
      <x:c r="H37" s="339" t="str">
        <x:v>Status, Approval &amp; Exception Handling</x:v>
      </x:c>
      <x:c r="I37" s="339" t="str">
        <x:v>Phase 3</x:v>
      </x:c>
      <x:c r="J37" s="339" t="str">
        <x:v>Phase 3</x:v>
      </x:c>
      <x:c r="K37" s="339" t="str">
        <x:v>High</x:v>
      </x:c>
      <x:c r="L37" s="339" t="n">
        <x:v>6</x:v>
      </x:c>
      <x:c r="M37" s="339" t="str">
        <x:v>Tenant service, subscription/billing service, usage metering, support, platform monitoring</x:v>
      </x:c>
      <x:c r="N37" s="339" t="str">
        <x:v>Not Started</x:v>
      </x:c>
    </x:row>
    <x:row r="38">
      <x:c r="A38" s="339" t="str">
        <x:v>US-0037</x:v>
      </x:c>
      <x:c r="B38" s="339" t="str">
        <x:v>EP-002</x:v>
      </x:c>
      <x:c r="C38" s="339" t="str">
        <x:v>SCR-019</x:v>
      </x:c>
      <x:c r="D38" s="339" t="str">
        <x:v>Super Admin / SaaS Administration</x:v>
      </x:c>
      <x:c r="E38" s="339" t="str">
        <x:v>Global Announcements</x:v>
      </x:c>
      <x:c r="F38" s="339" t="str">
        <x:v>Super Admin</x:v>
      </x:c>
      <x:c r="G38" s="339" t="str">
        <x:v>As a Super Admin, I want to find and manage global announcements so that the multi-tenant platform can be governed safely.</x:v>
      </x:c>
      <x:c r="H38" s="339" t="str">
        <x:v>Primary Workflow</x:v>
      </x:c>
      <x:c r="I38" s="339" t="str">
        <x:v>Phase 3</x:v>
      </x:c>
      <x:c r="J38" s="339" t="str">
        <x:v>Phase 3</x:v>
      </x:c>
      <x:c r="K38" s="339" t="str">
        <x:v>Medium</x:v>
      </x:c>
      <x:c r="L38" s="339" t="n">
        <x:v>5</x:v>
      </x:c>
      <x:c r="M38" s="339" t="str">
        <x:v>Tenant service, subscription/billing service, usage metering, support, platform monitoring</x:v>
      </x:c>
      <x:c r="N38" s="339" t="str">
        <x:v>Not Started</x:v>
      </x:c>
    </x:row>
    <x:row r="39">
      <x:c r="A39" s="339" t="str">
        <x:v>US-0038</x:v>
      </x:c>
      <x:c r="B39" s="339" t="str">
        <x:v>EP-002</x:v>
      </x:c>
      <x:c r="C39" s="339" t="str">
        <x:v>SCR-019</x:v>
      </x:c>
      <x:c r="D39" s="339" t="str">
        <x:v>Super Admin / SaaS Administration</x:v>
      </x:c>
      <x:c r="E39" s="339" t="str">
        <x:v>Global Announcements</x:v>
      </x:c>
      <x:c r="F39" s="339" t="str">
        <x:v>Super Admin</x:v>
      </x:c>
      <x:c r="G39" s="339" t="str">
        <x:v>As a Super Admin, I want global announcements to enforce search, filter &amp; controlled actions rules so that data quality, permissions and traceability are protected.</x:v>
      </x:c>
      <x:c r="H39" s="339" t="str">
        <x:v>Search, Filter &amp; Controlled Actions</x:v>
      </x:c>
      <x:c r="I39" s="339" t="str">
        <x:v>Phase 3</x:v>
      </x:c>
      <x:c r="J39" s="339" t="str">
        <x:v>Phase 3</x:v>
      </x:c>
      <x:c r="K39" s="339" t="str">
        <x:v>Medium</x:v>
      </x:c>
      <x:c r="L39" s="339" t="n">
        <x:v>3</x:v>
      </x:c>
      <x:c r="M39" s="339" t="str">
        <x:v>Tenant service, subscription/billing service, usage metering, support, platform monitoring</x:v>
      </x:c>
      <x:c r="N39" s="339" t="str">
        <x:v>Not Started</x:v>
      </x:c>
    </x:row>
    <x:row r="40">
      <x:c r="A40" s="339" t="str">
        <x:v>US-0039</x:v>
      </x:c>
      <x:c r="B40" s="339" t="str">
        <x:v>EP-002</x:v>
      </x:c>
      <x:c r="C40" s="339" t="str">
        <x:v>SCR-020</x:v>
      </x:c>
      <x:c r="D40" s="339" t="str">
        <x:v>Super Admin / SaaS Administration</x:v>
      </x:c>
      <x:c r="E40" s="339" t="str">
        <x:v>Platform Settings</x:v>
      </x:c>
      <x:c r="F40" s="339" t="str">
        <x:v>Super Admin</x:v>
      </x:c>
      <x:c r="G40" s="339" t="str">
        <x:v>As a Super Admin, I want to configure platform settings so that the multi-tenant platform can be governed safely.</x:v>
      </x:c>
      <x:c r="H40" s="339" t="str">
        <x:v>Primary Workflow</x:v>
      </x:c>
      <x:c r="I40" s="339" t="str">
        <x:v>Phase 3</x:v>
      </x:c>
      <x:c r="J40" s="339" t="str">
        <x:v>Phase 3</x:v>
      </x:c>
      <x:c r="K40" s="339" t="str">
        <x:v>Medium</x:v>
      </x:c>
      <x:c r="L40" s="339" t="n">
        <x:v>5</x:v>
      </x:c>
      <x:c r="M40" s="339" t="str">
        <x:v>Tenant service, subscription/billing service, usage metering, support, platform monitoring</x:v>
      </x:c>
      <x:c r="N40" s="339" t="str">
        <x:v>Not Started</x:v>
      </x:c>
    </x:row>
    <x:row r="41">
      <x:c r="A41" s="339" t="str">
        <x:v>US-0040</x:v>
      </x:c>
      <x:c r="B41" s="339" t="str">
        <x:v>EP-002</x:v>
      </x:c>
      <x:c r="C41" s="339" t="str">
        <x:v>SCR-020</x:v>
      </x:c>
      <x:c r="D41" s="339" t="str">
        <x:v>Super Admin / SaaS Administration</x:v>
      </x:c>
      <x:c r="E41" s="339" t="str">
        <x:v>Platform Settings</x:v>
      </x:c>
      <x:c r="F41" s="339" t="str">
        <x:v>Super Admin</x:v>
      </x:c>
      <x:c r="G41" s="339" t="str">
        <x:v>As a Super Admin, I want platform settings to enforce dependency-safe configuration rules so that data quality, permissions and traceability are protected.</x:v>
      </x:c>
      <x:c r="H41" s="339" t="str">
        <x:v>Dependency-safe Configuration</x:v>
      </x:c>
      <x:c r="I41" s="339" t="str">
        <x:v>Phase 3</x:v>
      </x:c>
      <x:c r="J41" s="339" t="str">
        <x:v>Phase 3</x:v>
      </x:c>
      <x:c r="K41" s="339" t="str">
        <x:v>Medium</x:v>
      </x:c>
      <x:c r="L41" s="339" t="n">
        <x:v>3</x:v>
      </x:c>
      <x:c r="M41" s="339" t="str">
        <x:v>Tenant service, subscription/billing service, usage metering, support, platform monitoring</x:v>
      </x:c>
      <x:c r="N41" s="339" t="str">
        <x:v>Not Started</x:v>
      </x:c>
    </x:row>
    <x:row r="42">
      <x:c r="A42" s="339" t="str">
        <x:v>US-0041</x:v>
      </x:c>
      <x:c r="B42" s="339" t="str">
        <x:v>EP-003</x:v>
      </x:c>
      <x:c r="C42" s="339" t="str">
        <x:v>SCR-021</x:v>
      </x:c>
      <x:c r="D42" s="339" t="str">
        <x:v>Organization / School / Branch Setup</x:v>
      </x:c>
      <x:c r="E42" s="339" t="str">
        <x:v>Organization Profile</x:v>
      </x:c>
      <x:c r="F42" s="339" t="str">
        <x:v>Super Admin</x:v>
      </x:c>
      <x:c r="G42" s="339" t="str">
        <x:v>As a Super Admin, I want to review and maintain organization profile so that all downstream modules use valid school configuration.</x:v>
      </x:c>
      <x:c r="H42" s="339" t="str">
        <x:v>Primary Workflow</x:v>
      </x:c>
      <x:c r="I42" s="339" t="str">
        <x:v>MVP</x:v>
      </x:c>
      <x:c r="J42" s="339" t="str">
        <x:v>MVP</x:v>
      </x:c>
      <x:c r="K42" s="339" t="str">
        <x:v>Medium</x:v>
      </x:c>
      <x:c r="L42" s="339" t="n">
        <x:v>5</x:v>
      </x:c>
      <x:c r="M42" s="339" t="str">
        <x:v>Tenant context, RBAC, academic calendar, master-data service</x:v>
      </x:c>
      <x:c r="N42" s="339" t="str">
        <x:v>Not Started</x:v>
      </x:c>
    </x:row>
    <x:row r="43">
      <x:c r="A43" s="339" t="str">
        <x:v>US-0042</x:v>
      </x:c>
      <x:c r="B43" s="339" t="str">
        <x:v>EP-003</x:v>
      </x:c>
      <x:c r="C43" s="339" t="str">
        <x:v>SCR-021</x:v>
      </x:c>
      <x:c r="D43" s="339" t="str">
        <x:v>Organization / School / Branch Setup</x:v>
      </x:c>
      <x:c r="E43" s="339" t="str">
        <x:v>Organization Profile</x:v>
      </x:c>
      <x:c r="F43" s="339" t="str">
        <x:v>Super Admin</x:v>
      </x:c>
      <x:c r="G43" s="339" t="str">
        <x:v>As a Super Admin, I want organization profile to enforce history, edit &amp; audit rules so that data quality, permissions and traceability are protected.</x:v>
      </x:c>
      <x:c r="H43" s="339" t="str">
        <x:v>History, Edit &amp; Audit</x:v>
      </x:c>
      <x:c r="I43" s="339" t="str">
        <x:v>MVP</x:v>
      </x:c>
      <x:c r="J43" s="339" t="str">
        <x:v>MVP</x:v>
      </x:c>
      <x:c r="K43" s="339" t="str">
        <x:v>Medium</x:v>
      </x:c>
      <x:c r="L43" s="339" t="n">
        <x:v>3</x:v>
      </x:c>
      <x:c r="M43" s="339" t="str">
        <x:v>Tenant context, RBAC, academic calendar, master-data service</x:v>
      </x:c>
      <x:c r="N43" s="339" t="str">
        <x:v>Not Started</x:v>
      </x:c>
    </x:row>
    <x:row r="44">
      <x:c r="A44" s="339" t="str">
        <x:v>US-0043</x:v>
      </x:c>
      <x:c r="B44" s="339" t="str">
        <x:v>EP-003</x:v>
      </x:c>
      <x:c r="C44" s="339" t="str">
        <x:v>SCR-022</x:v>
      </x:c>
      <x:c r="D44" s="339" t="str">
        <x:v>Organization / School / Branch Setup</x:v>
      </x:c>
      <x:c r="E44" s="339" t="str">
        <x:v>Schools List</x:v>
      </x:c>
      <x:c r="F44" s="339" t="str">
        <x:v>Super Admin</x:v>
      </x:c>
      <x:c r="G44" s="339" t="str">
        <x:v>As a Super Admin, I want to find and manage schools list so that all downstream modules use valid school configuration.</x:v>
      </x:c>
      <x:c r="H44" s="339" t="str">
        <x:v>Primary Workflow</x:v>
      </x:c>
      <x:c r="I44" s="339" t="str">
        <x:v>MVP</x:v>
      </x:c>
      <x:c r="J44" s="339" t="str">
        <x:v>MVP</x:v>
      </x:c>
      <x:c r="K44" s="339" t="str">
        <x:v>Medium</x:v>
      </x:c>
      <x:c r="L44" s="339" t="n">
        <x:v>5</x:v>
      </x:c>
      <x:c r="M44" s="339" t="str">
        <x:v>Tenant context, RBAC, academic calendar, master-data service</x:v>
      </x:c>
      <x:c r="N44" s="339" t="str">
        <x:v>Not Started</x:v>
      </x:c>
    </x:row>
    <x:row r="45">
      <x:c r="A45" s="339" t="str">
        <x:v>US-0044</x:v>
      </x:c>
      <x:c r="B45" s="339" t="str">
        <x:v>EP-003</x:v>
      </x:c>
      <x:c r="C45" s="339" t="str">
        <x:v>SCR-022</x:v>
      </x:c>
      <x:c r="D45" s="339" t="str">
        <x:v>Organization / School / Branch Setup</x:v>
      </x:c>
      <x:c r="E45" s="339" t="str">
        <x:v>Schools List</x:v>
      </x:c>
      <x:c r="F45" s="339" t="str">
        <x:v>Super Admin</x:v>
      </x:c>
      <x:c r="G45" s="339" t="str">
        <x:v>As a Super Admin, I want schools list to enforce search, filter &amp; controlled actions rules so that data quality, permissions and traceability are protected.</x:v>
      </x:c>
      <x:c r="H45" s="339" t="str">
        <x:v>Search, Filter &amp; Controlled Actions</x:v>
      </x:c>
      <x:c r="I45" s="339" t="str">
        <x:v>MVP</x:v>
      </x:c>
      <x:c r="J45" s="339" t="str">
        <x:v>MVP</x:v>
      </x:c>
      <x:c r="K45" s="339" t="str">
        <x:v>Medium</x:v>
      </x:c>
      <x:c r="L45" s="339" t="n">
        <x:v>3</x:v>
      </x:c>
      <x:c r="M45" s="339" t="str">
        <x:v>Tenant context, RBAC, academic calendar, master-data service</x:v>
      </x:c>
      <x:c r="N45" s="339" t="str">
        <x:v>Not Started</x:v>
      </x:c>
    </x:row>
    <x:row r="46">
      <x:c r="A46" s="339" t="str">
        <x:v>US-0045</x:v>
      </x:c>
      <x:c r="B46" s="339" t="str">
        <x:v>EP-003</x:v>
      </x:c>
      <x:c r="C46" s="339" t="str">
        <x:v>SCR-023</x:v>
      </x:c>
      <x:c r="D46" s="339" t="str">
        <x:v>Organization / School / Branch Setup</x:v>
      </x:c>
      <x:c r="E46" s="339" t="str">
        <x:v>Add School</x:v>
      </x:c>
      <x:c r="F46" s="339" t="str">
        <x:v>Super Admin</x:v>
      </x:c>
      <x:c r="G46" s="339" t="str">
        <x:v>As a Super Admin, I want to create or process school so that all downstream modules use valid school configuration.</x:v>
      </x:c>
      <x:c r="H46" s="339" t="str">
        <x:v>Primary Workflow</x:v>
      </x:c>
      <x:c r="I46" s="339" t="str">
        <x:v>MVP</x:v>
      </x:c>
      <x:c r="J46" s="339" t="str">
        <x:v>MVP</x:v>
      </x:c>
      <x:c r="K46" s="339" t="str">
        <x:v>Medium</x:v>
      </x:c>
      <x:c r="L46" s="339" t="n">
        <x:v>5</x:v>
      </x:c>
      <x:c r="M46" s="339" t="str">
        <x:v>Tenant context, RBAC, academic calendar, master-data service</x:v>
      </x:c>
      <x:c r="N46" s="339" t="str">
        <x:v>Not Started</x:v>
      </x:c>
    </x:row>
    <x:row r="47">
      <x:c r="A47" s="339" t="str">
        <x:v>US-0046</x:v>
      </x:c>
      <x:c r="B47" s="339" t="str">
        <x:v>EP-003</x:v>
      </x:c>
      <x:c r="C47" s="339" t="str">
        <x:v>SCR-023</x:v>
      </x:c>
      <x:c r="D47" s="339" t="str">
        <x:v>Organization / School / Branch Setup</x:v>
      </x:c>
      <x:c r="E47" s="339" t="str">
        <x:v>Add School</x:v>
      </x:c>
      <x:c r="F47" s="339" t="str">
        <x:v>Super Admin</x:v>
      </x:c>
      <x:c r="G47" s="339" t="str">
        <x:v>As a Super Admin, I want add school to enforce validation &amp; duplicate prevention rules so that data quality, permissions and traceability are protected.</x:v>
      </x:c>
      <x:c r="H47" s="339" t="str">
        <x:v>Validation &amp; Duplicate Prevention</x:v>
      </x:c>
      <x:c r="I47" s="339" t="str">
        <x:v>MVP</x:v>
      </x:c>
      <x:c r="J47" s="339" t="str">
        <x:v>MVP</x:v>
      </x:c>
      <x:c r="K47" s="339" t="str">
        <x:v>Medium</x:v>
      </x:c>
      <x:c r="L47" s="339" t="n">
        <x:v>3</x:v>
      </x:c>
      <x:c r="M47" s="339" t="str">
        <x:v>Tenant context, RBAC, academic calendar, master-data service</x:v>
      </x:c>
      <x:c r="N47" s="339" t="str">
        <x:v>Not Started</x:v>
      </x:c>
    </x:row>
    <x:row r="48">
      <x:c r="A48" s="339" t="str">
        <x:v>US-0047</x:v>
      </x:c>
      <x:c r="B48" s="339" t="str">
        <x:v>EP-003</x:v>
      </x:c>
      <x:c r="C48" s="339" t="str">
        <x:v>SCR-024</x:v>
      </x:c>
      <x:c r="D48" s="339" t="str">
        <x:v>Organization / School / Branch Setup</x:v>
      </x:c>
      <x:c r="E48" s="339" t="str">
        <x:v>School Details</x:v>
      </x:c>
      <x:c r="F48" s="339" t="str">
        <x:v>Super Admin</x:v>
      </x:c>
      <x:c r="G48" s="339" t="str">
        <x:v>As a Super Admin, I want to review and maintain school details so that all downstream modules use valid school configuration.</x:v>
      </x:c>
      <x:c r="H48" s="339" t="str">
        <x:v>Primary Workflow</x:v>
      </x:c>
      <x:c r="I48" s="339" t="str">
        <x:v>MVP</x:v>
      </x:c>
      <x:c r="J48" s="339" t="str">
        <x:v>MVP</x:v>
      </x:c>
      <x:c r="K48" s="339" t="str">
        <x:v>Medium</x:v>
      </x:c>
      <x:c r="L48" s="339" t="n">
        <x:v>5</x:v>
      </x:c>
      <x:c r="M48" s="339" t="str">
        <x:v>Tenant context, RBAC, academic calendar, master-data service</x:v>
      </x:c>
      <x:c r="N48" s="339" t="str">
        <x:v>Not Started</x:v>
      </x:c>
    </x:row>
    <x:row r="49">
      <x:c r="A49" s="339" t="str">
        <x:v>US-0048</x:v>
      </x:c>
      <x:c r="B49" s="339" t="str">
        <x:v>EP-003</x:v>
      </x:c>
      <x:c r="C49" s="339" t="str">
        <x:v>SCR-024</x:v>
      </x:c>
      <x:c r="D49" s="339" t="str">
        <x:v>Organization / School / Branch Setup</x:v>
      </x:c>
      <x:c r="E49" s="339" t="str">
        <x:v>School Details</x:v>
      </x:c>
      <x:c r="F49" s="339" t="str">
        <x:v>Super Admin</x:v>
      </x:c>
      <x:c r="G49" s="339" t="str">
        <x:v>As a Super Admin, I want school details to enforce history, edit &amp; audit rules so that data quality, permissions and traceability are protected.</x:v>
      </x:c>
      <x:c r="H49" s="339" t="str">
        <x:v>History, Edit &amp; Audit</x:v>
      </x:c>
      <x:c r="I49" s="339" t="str">
        <x:v>MVP</x:v>
      </x:c>
      <x:c r="J49" s="339" t="str">
        <x:v>MVP</x:v>
      </x:c>
      <x:c r="K49" s="339" t="str">
        <x:v>Medium</x:v>
      </x:c>
      <x:c r="L49" s="339" t="n">
        <x:v>3</x:v>
      </x:c>
      <x:c r="M49" s="339" t="str">
        <x:v>Tenant context, RBAC, academic calendar, master-data service</x:v>
      </x:c>
      <x:c r="N49" s="339" t="str">
        <x:v>Not Started</x:v>
      </x:c>
    </x:row>
    <x:row r="50">
      <x:c r="A50" s="339" t="str">
        <x:v>US-0049</x:v>
      </x:c>
      <x:c r="B50" s="339" t="str">
        <x:v>EP-003</x:v>
      </x:c>
      <x:c r="C50" s="339" t="str">
        <x:v>SCR-025</x:v>
      </x:c>
      <x:c r="D50" s="339" t="str">
        <x:v>Organization / School / Branch Setup</x:v>
      </x:c>
      <x:c r="E50" s="339" t="str">
        <x:v>Branches List</x:v>
      </x:c>
      <x:c r="F50" s="339" t="str">
        <x:v>Super Admin</x:v>
      </x:c>
      <x:c r="G50" s="339" t="str">
        <x:v>As a Super Admin, I want to find and manage branches list so that all downstream modules use valid school configuration.</x:v>
      </x:c>
      <x:c r="H50" s="339" t="str">
        <x:v>Primary Workflow</x:v>
      </x:c>
      <x:c r="I50" s="339" t="str">
        <x:v>MVP</x:v>
      </x:c>
      <x:c r="J50" s="339" t="str">
        <x:v>MVP</x:v>
      </x:c>
      <x:c r="K50" s="339" t="str">
        <x:v>Medium</x:v>
      </x:c>
      <x:c r="L50" s="339" t="n">
        <x:v>5</x:v>
      </x:c>
      <x:c r="M50" s="339" t="str">
        <x:v>Tenant context, RBAC, academic calendar, master-data service</x:v>
      </x:c>
      <x:c r="N50" s="339" t="str">
        <x:v>Not Started</x:v>
      </x:c>
    </x:row>
    <x:row r="51">
      <x:c r="A51" s="339" t="str">
        <x:v>US-0050</x:v>
      </x:c>
      <x:c r="B51" s="339" t="str">
        <x:v>EP-003</x:v>
      </x:c>
      <x:c r="C51" s="339" t="str">
        <x:v>SCR-025</x:v>
      </x:c>
      <x:c r="D51" s="339" t="str">
        <x:v>Organization / School / Branch Setup</x:v>
      </x:c>
      <x:c r="E51" s="339" t="str">
        <x:v>Branches List</x:v>
      </x:c>
      <x:c r="F51" s="339" t="str">
        <x:v>Super Admin</x:v>
      </x:c>
      <x:c r="G51" s="339" t="str">
        <x:v>As a Super Admin, I want branches list to enforce search, filter &amp; controlled actions rules so that data quality, permissions and traceability are protected.</x:v>
      </x:c>
      <x:c r="H51" s="339" t="str">
        <x:v>Search, Filter &amp; Controlled Actions</x:v>
      </x:c>
      <x:c r="I51" s="339" t="str">
        <x:v>MVP</x:v>
      </x:c>
      <x:c r="J51" s="339" t="str">
        <x:v>MVP</x:v>
      </x:c>
      <x:c r="K51" s="339" t="str">
        <x:v>Medium</x:v>
      </x:c>
      <x:c r="L51" s="339" t="n">
        <x:v>3</x:v>
      </x:c>
      <x:c r="M51" s="339" t="str">
        <x:v>Tenant context, RBAC, academic calendar, master-data service</x:v>
      </x:c>
      <x:c r="N51" s="339" t="str">
        <x:v>Not Started</x:v>
      </x:c>
    </x:row>
    <x:row r="52">
      <x:c r="A52" s="339" t="str">
        <x:v>US-0051</x:v>
      </x:c>
      <x:c r="B52" s="339" t="str">
        <x:v>EP-003</x:v>
      </x:c>
      <x:c r="C52" s="339" t="str">
        <x:v>SCR-026</x:v>
      </x:c>
      <x:c r="D52" s="339" t="str">
        <x:v>Organization / School / Branch Setup</x:v>
      </x:c>
      <x:c r="E52" s="339" t="str">
        <x:v>Add Branch</x:v>
      </x:c>
      <x:c r="F52" s="339" t="str">
        <x:v>Super Admin</x:v>
      </x:c>
      <x:c r="G52" s="339" t="str">
        <x:v>As a Super Admin, I want to create or process branch so that all downstream modules use valid school configuration.</x:v>
      </x:c>
      <x:c r="H52" s="339" t="str">
        <x:v>Primary Workflow</x:v>
      </x:c>
      <x:c r="I52" s="339" t="str">
        <x:v>MVP</x:v>
      </x:c>
      <x:c r="J52" s="339" t="str">
        <x:v>MVP</x:v>
      </x:c>
      <x:c r="K52" s="339" t="str">
        <x:v>Medium</x:v>
      </x:c>
      <x:c r="L52" s="339" t="n">
        <x:v>5</x:v>
      </x:c>
      <x:c r="M52" s="339" t="str">
        <x:v>Tenant context, RBAC, academic calendar, master-data service</x:v>
      </x:c>
      <x:c r="N52" s="339" t="str">
        <x:v>Not Started</x:v>
      </x:c>
    </x:row>
    <x:row r="53">
      <x:c r="A53" s="339" t="str">
        <x:v>US-0052</x:v>
      </x:c>
      <x:c r="B53" s="339" t="str">
        <x:v>EP-003</x:v>
      </x:c>
      <x:c r="C53" s="339" t="str">
        <x:v>SCR-026</x:v>
      </x:c>
      <x:c r="D53" s="339" t="str">
        <x:v>Organization / School / Branch Setup</x:v>
      </x:c>
      <x:c r="E53" s="339" t="str">
        <x:v>Add Branch</x:v>
      </x:c>
      <x:c r="F53" s="339" t="str">
        <x:v>Super Admin</x:v>
      </x:c>
      <x:c r="G53" s="339" t="str">
        <x:v>As a Super Admin, I want add branch to enforce validation &amp; duplicate prevention rules so that data quality, permissions and traceability are protected.</x:v>
      </x:c>
      <x:c r="H53" s="339" t="str">
        <x:v>Validation &amp; Duplicate Prevention</x:v>
      </x:c>
      <x:c r="I53" s="339" t="str">
        <x:v>MVP</x:v>
      </x:c>
      <x:c r="J53" s="339" t="str">
        <x:v>MVP</x:v>
      </x:c>
      <x:c r="K53" s="339" t="str">
        <x:v>Medium</x:v>
      </x:c>
      <x:c r="L53" s="339" t="n">
        <x:v>3</x:v>
      </x:c>
      <x:c r="M53" s="339" t="str">
        <x:v>Tenant context, RBAC, academic calendar, master-data service</x:v>
      </x:c>
      <x:c r="N53" s="339" t="str">
        <x:v>Not Started</x:v>
      </x:c>
    </x:row>
    <x:row r="54">
      <x:c r="A54" s="339" t="str">
        <x:v>US-0053</x:v>
      </x:c>
      <x:c r="B54" s="339" t="str">
        <x:v>EP-003</x:v>
      </x:c>
      <x:c r="C54" s="339" t="str">
        <x:v>SCR-027</x:v>
      </x:c>
      <x:c r="D54" s="339" t="str">
        <x:v>Organization / School / Branch Setup</x:v>
      </x:c>
      <x:c r="E54" s="339" t="str">
        <x:v>Branch Details</x:v>
      </x:c>
      <x:c r="F54" s="339" t="str">
        <x:v>Super Admin</x:v>
      </x:c>
      <x:c r="G54" s="339" t="str">
        <x:v>As a Super Admin, I want to review and maintain branch details so that all downstream modules use valid school configuration.</x:v>
      </x:c>
      <x:c r="H54" s="339" t="str">
        <x:v>Primary Workflow</x:v>
      </x:c>
      <x:c r="I54" s="339" t="str">
        <x:v>MVP</x:v>
      </x:c>
      <x:c r="J54" s="339" t="str">
        <x:v>MVP</x:v>
      </x:c>
      <x:c r="K54" s="339" t="str">
        <x:v>Medium</x:v>
      </x:c>
      <x:c r="L54" s="339" t="n">
        <x:v>5</x:v>
      </x:c>
      <x:c r="M54" s="339" t="str">
        <x:v>Tenant context, RBAC, academic calendar, master-data service</x:v>
      </x:c>
      <x:c r="N54" s="339" t="str">
        <x:v>Not Started</x:v>
      </x:c>
    </x:row>
    <x:row r="55">
      <x:c r="A55" s="339" t="str">
        <x:v>US-0054</x:v>
      </x:c>
      <x:c r="B55" s="339" t="str">
        <x:v>EP-003</x:v>
      </x:c>
      <x:c r="C55" s="339" t="str">
        <x:v>SCR-027</x:v>
      </x:c>
      <x:c r="D55" s="339" t="str">
        <x:v>Organization / School / Branch Setup</x:v>
      </x:c>
      <x:c r="E55" s="339" t="str">
        <x:v>Branch Details</x:v>
      </x:c>
      <x:c r="F55" s="339" t="str">
        <x:v>Super Admin</x:v>
      </x:c>
      <x:c r="G55" s="339" t="str">
        <x:v>As a Super Admin, I want branch details to enforce history, edit &amp; audit rules so that data quality, permissions and traceability are protected.</x:v>
      </x:c>
      <x:c r="H55" s="339" t="str">
        <x:v>History, Edit &amp; Audit</x:v>
      </x:c>
      <x:c r="I55" s="339" t="str">
        <x:v>MVP</x:v>
      </x:c>
      <x:c r="J55" s="339" t="str">
        <x:v>MVP</x:v>
      </x:c>
      <x:c r="K55" s="339" t="str">
        <x:v>Medium</x:v>
      </x:c>
      <x:c r="L55" s="339" t="n">
        <x:v>3</x:v>
      </x:c>
      <x:c r="M55" s="339" t="str">
        <x:v>Tenant context, RBAC, academic calendar, master-data service</x:v>
      </x:c>
      <x:c r="N55" s="339" t="str">
        <x:v>Not Started</x:v>
      </x:c>
    </x:row>
    <x:row r="56">
      <x:c r="A56" s="339" t="str">
        <x:v>US-0055</x:v>
      </x:c>
      <x:c r="B56" s="339" t="str">
        <x:v>EP-003</x:v>
      </x:c>
      <x:c r="C56" s="339" t="str">
        <x:v>SCR-028</x:v>
      </x:c>
      <x:c r="D56" s="339" t="str">
        <x:v>Organization / School / Branch Setup</x:v>
      </x:c>
      <x:c r="E56" s="339" t="str">
        <x:v>Academic Year Setup</x:v>
      </x:c>
      <x:c r="F56" s="339" t="str">
        <x:v>Super Admin</x:v>
      </x:c>
      <x:c r="G56" s="339" t="str">
        <x:v>As a Super Admin, I want to configure academic year setup so that all downstream modules use valid school configuration.</x:v>
      </x:c>
      <x:c r="H56" s="339" t="str">
        <x:v>Primary Workflow</x:v>
      </x:c>
      <x:c r="I56" s="339" t="str">
        <x:v>MVP</x:v>
      </x:c>
      <x:c r="J56" s="339" t="str">
        <x:v>MVP</x:v>
      </x:c>
      <x:c r="K56" s="339" t="str">
        <x:v>Medium</x:v>
      </x:c>
      <x:c r="L56" s="339" t="n">
        <x:v>5</x:v>
      </x:c>
      <x:c r="M56" s="339" t="str">
        <x:v>Tenant context, RBAC, academic calendar, master-data service</x:v>
      </x:c>
      <x:c r="N56" s="339" t="str">
        <x:v>Not Started</x:v>
      </x:c>
    </x:row>
    <x:row r="57">
      <x:c r="A57" s="339" t="str">
        <x:v>US-0056</x:v>
      </x:c>
      <x:c r="B57" s="339" t="str">
        <x:v>EP-003</x:v>
      </x:c>
      <x:c r="C57" s="339" t="str">
        <x:v>SCR-028</x:v>
      </x:c>
      <x:c r="D57" s="339" t="str">
        <x:v>Organization / School / Branch Setup</x:v>
      </x:c>
      <x:c r="E57" s="339" t="str">
        <x:v>Academic Year Setup</x:v>
      </x:c>
      <x:c r="F57" s="339" t="str">
        <x:v>Super Admin</x:v>
      </x:c>
      <x:c r="G57" s="339" t="str">
        <x:v>As a Super Admin, I want academic year setup to enforce validation &amp; duplicate prevention rules so that data quality, permissions and traceability are protected.</x:v>
      </x:c>
      <x:c r="H57" s="339" t="str">
        <x:v>Validation &amp; Duplicate Prevention</x:v>
      </x:c>
      <x:c r="I57" s="339" t="str">
        <x:v>MVP</x:v>
      </x:c>
      <x:c r="J57" s="339" t="str">
        <x:v>MVP</x:v>
      </x:c>
      <x:c r="K57" s="339" t="str">
        <x:v>Medium</x:v>
      </x:c>
      <x:c r="L57" s="339" t="n">
        <x:v>3</x:v>
      </x:c>
      <x:c r="M57" s="339" t="str">
        <x:v>Tenant context, RBAC, academic calendar, master-data service</x:v>
      </x:c>
      <x:c r="N57" s="339" t="str">
        <x:v>Not Started</x:v>
      </x:c>
    </x:row>
    <x:row r="58">
      <x:c r="A58" s="339" t="str">
        <x:v>US-0057</x:v>
      </x:c>
      <x:c r="B58" s="339" t="str">
        <x:v>EP-003</x:v>
      </x:c>
      <x:c r="C58" s="339" t="str">
        <x:v>SCR-029</x:v>
      </x:c>
      <x:c r="D58" s="339" t="str">
        <x:v>Organization / School / Branch Setup</x:v>
      </x:c>
      <x:c r="E58" s="339" t="str">
        <x:v>Grade / Class Setup</x:v>
      </x:c>
      <x:c r="F58" s="339" t="str">
        <x:v>Super Admin</x:v>
      </x:c>
      <x:c r="G58" s="339" t="str">
        <x:v>As a Super Admin, I want to configure grade / class setup so that all downstream modules use valid school configuration.</x:v>
      </x:c>
      <x:c r="H58" s="339" t="str">
        <x:v>Primary Workflow</x:v>
      </x:c>
      <x:c r="I58" s="339" t="str">
        <x:v>Phase 2</x:v>
      </x:c>
      <x:c r="J58" s="339" t="str">
        <x:v>Phase 2</x:v>
      </x:c>
      <x:c r="K58" s="339" t="str">
        <x:v>Medium</x:v>
      </x:c>
      <x:c r="L58" s="339" t="n">
        <x:v>5</x:v>
      </x:c>
      <x:c r="M58" s="339" t="str">
        <x:v>Tenant context, RBAC, academic calendar, master-data service</x:v>
      </x:c>
      <x:c r="N58" s="339" t="str">
        <x:v>Not Started</x:v>
      </x:c>
    </x:row>
    <x:row r="59">
      <x:c r="A59" s="339" t="str">
        <x:v>US-0058</x:v>
      </x:c>
      <x:c r="B59" s="339" t="str">
        <x:v>EP-003</x:v>
      </x:c>
      <x:c r="C59" s="339" t="str">
        <x:v>SCR-029</x:v>
      </x:c>
      <x:c r="D59" s="339" t="str">
        <x:v>Organization / School / Branch Setup</x:v>
      </x:c>
      <x:c r="E59" s="339" t="str">
        <x:v>Grade / Class Setup</x:v>
      </x:c>
      <x:c r="F59" s="339" t="str">
        <x:v>Super Admin</x:v>
      </x:c>
      <x:c r="G59" s="339" t="str">
        <x:v>As a Super Admin, I want grade / class setup to enforce validation &amp; duplicate prevention rules so that data quality, permissions and traceability are protected.</x:v>
      </x:c>
      <x:c r="H59" s="339" t="str">
        <x:v>Validation &amp; Duplicate Prevention</x:v>
      </x:c>
      <x:c r="I59" s="339" t="str">
        <x:v>Phase 2</x:v>
      </x:c>
      <x:c r="J59" s="339" t="str">
        <x:v>Phase 2</x:v>
      </x:c>
      <x:c r="K59" s="339" t="str">
        <x:v>Medium</x:v>
      </x:c>
      <x:c r="L59" s="339" t="n">
        <x:v>3</x:v>
      </x:c>
      <x:c r="M59" s="339" t="str">
        <x:v>Tenant context, RBAC, academic calendar, master-data service</x:v>
      </x:c>
      <x:c r="N59" s="339" t="str">
        <x:v>Not Started</x:v>
      </x:c>
    </x:row>
    <x:row r="60">
      <x:c r="A60" s="339" t="str">
        <x:v>US-0059</x:v>
      </x:c>
      <x:c r="B60" s="339" t="str">
        <x:v>EP-003</x:v>
      </x:c>
      <x:c r="C60" s="339" t="str">
        <x:v>SCR-030</x:v>
      </x:c>
      <x:c r="D60" s="339" t="str">
        <x:v>Organization / School / Branch Setup</x:v>
      </x:c>
      <x:c r="E60" s="339" t="str">
        <x:v>Section Setup</x:v>
      </x:c>
      <x:c r="F60" s="339" t="str">
        <x:v>Super Admin</x:v>
      </x:c>
      <x:c r="G60" s="339" t="str">
        <x:v>As a Super Admin, I want to configure section setup so that all downstream modules use valid school configuration.</x:v>
      </x:c>
      <x:c r="H60" s="339" t="str">
        <x:v>Primary Workflow</x:v>
      </x:c>
      <x:c r="I60" s="339" t="str">
        <x:v>Phase 2</x:v>
      </x:c>
      <x:c r="J60" s="339" t="str">
        <x:v>Phase 2</x:v>
      </x:c>
      <x:c r="K60" s="339" t="str">
        <x:v>Medium</x:v>
      </x:c>
      <x:c r="L60" s="339" t="n">
        <x:v>5</x:v>
      </x:c>
      <x:c r="M60" s="339" t="str">
        <x:v>Tenant context, RBAC, academic calendar, master-data service</x:v>
      </x:c>
      <x:c r="N60" s="339" t="str">
        <x:v>Not Started</x:v>
      </x:c>
    </x:row>
    <x:row r="61">
      <x:c r="A61" s="339" t="str">
        <x:v>US-0060</x:v>
      </x:c>
      <x:c r="B61" s="339" t="str">
        <x:v>EP-003</x:v>
      </x:c>
      <x:c r="C61" s="339" t="str">
        <x:v>SCR-030</x:v>
      </x:c>
      <x:c r="D61" s="339" t="str">
        <x:v>Organization / School / Branch Setup</x:v>
      </x:c>
      <x:c r="E61" s="339" t="str">
        <x:v>Section Setup</x:v>
      </x:c>
      <x:c r="F61" s="339" t="str">
        <x:v>Super Admin</x:v>
      </x:c>
      <x:c r="G61" s="339" t="str">
        <x:v>As a Super Admin, I want section setup to enforce validation &amp; duplicate prevention rules so that data quality, permissions and traceability are protected.</x:v>
      </x:c>
      <x:c r="H61" s="339" t="str">
        <x:v>Validation &amp; Duplicate Prevention</x:v>
      </x:c>
      <x:c r="I61" s="339" t="str">
        <x:v>Phase 2</x:v>
      </x:c>
      <x:c r="J61" s="339" t="str">
        <x:v>Phase 2</x:v>
      </x:c>
      <x:c r="K61" s="339" t="str">
        <x:v>Medium</x:v>
      </x:c>
      <x:c r="L61" s="339" t="n">
        <x:v>3</x:v>
      </x:c>
      <x:c r="M61" s="339" t="str">
        <x:v>Tenant context, RBAC, academic calendar, master-data service</x:v>
      </x:c>
      <x:c r="N61" s="339" t="str">
        <x:v>Not Started</x:v>
      </x:c>
    </x:row>
    <x:row r="62">
      <x:c r="A62" s="339" t="str">
        <x:v>US-0061</x:v>
      </x:c>
      <x:c r="B62" s="339" t="str">
        <x:v>EP-003</x:v>
      </x:c>
      <x:c r="C62" s="339" t="str">
        <x:v>SCR-031</x:v>
      </x:c>
      <x:c r="D62" s="339" t="str">
        <x:v>Organization / School / Branch Setup</x:v>
      </x:c>
      <x:c r="E62" s="339" t="str">
        <x:v>Department Setup</x:v>
      </x:c>
      <x:c r="F62" s="339" t="str">
        <x:v>Super Admin</x:v>
      </x:c>
      <x:c r="G62" s="339" t="str">
        <x:v>As a Super Admin, I want to configure department setup so that all downstream modules use valid school configuration.</x:v>
      </x:c>
      <x:c r="H62" s="339" t="str">
        <x:v>Primary Workflow</x:v>
      </x:c>
      <x:c r="I62" s="339" t="str">
        <x:v>Phase 2</x:v>
      </x:c>
      <x:c r="J62" s="339" t="str">
        <x:v>Phase 2</x:v>
      </x:c>
      <x:c r="K62" s="339" t="str">
        <x:v>Medium</x:v>
      </x:c>
      <x:c r="L62" s="339" t="n">
        <x:v>5</x:v>
      </x:c>
      <x:c r="M62" s="339" t="str">
        <x:v>Tenant context, RBAC, academic calendar, master-data service</x:v>
      </x:c>
      <x:c r="N62" s="339" t="str">
        <x:v>Not Started</x:v>
      </x:c>
    </x:row>
    <x:row r="63">
      <x:c r="A63" s="339" t="str">
        <x:v>US-0062</x:v>
      </x:c>
      <x:c r="B63" s="339" t="str">
        <x:v>EP-003</x:v>
      </x:c>
      <x:c r="C63" s="339" t="str">
        <x:v>SCR-031</x:v>
      </x:c>
      <x:c r="D63" s="339" t="str">
        <x:v>Organization / School / Branch Setup</x:v>
      </x:c>
      <x:c r="E63" s="339" t="str">
        <x:v>Department Setup</x:v>
      </x:c>
      <x:c r="F63" s="339" t="str">
        <x:v>Super Admin</x:v>
      </x:c>
      <x:c r="G63" s="339" t="str">
        <x:v>As a Super Admin, I want department setup to enforce validation &amp; duplicate prevention rules so that data quality, permissions and traceability are protected.</x:v>
      </x:c>
      <x:c r="H63" s="339" t="str">
        <x:v>Validation &amp; Duplicate Prevention</x:v>
      </x:c>
      <x:c r="I63" s="339" t="str">
        <x:v>Phase 2</x:v>
      </x:c>
      <x:c r="J63" s="339" t="str">
        <x:v>Phase 2</x:v>
      </x:c>
      <x:c r="K63" s="339" t="str">
        <x:v>Medium</x:v>
      </x:c>
      <x:c r="L63" s="339" t="n">
        <x:v>3</x:v>
      </x:c>
      <x:c r="M63" s="339" t="str">
        <x:v>Tenant context, RBAC, academic calendar, master-data service</x:v>
      </x:c>
      <x:c r="N63" s="339" t="str">
        <x:v>Not Started</x:v>
      </x:c>
    </x:row>
    <x:row r="64">
      <x:c r="A64" s="339" t="str">
        <x:v>US-0063</x:v>
      </x:c>
      <x:c r="B64" s="339" t="str">
        <x:v>EP-003</x:v>
      </x:c>
      <x:c r="C64" s="339" t="str">
        <x:v>SCR-032</x:v>
      </x:c>
      <x:c r="D64" s="339" t="str">
        <x:v>Organization / School / Branch Setup</x:v>
      </x:c>
      <x:c r="E64" s="339" t="str">
        <x:v>School Branding &amp; Profile</x:v>
      </x:c>
      <x:c r="F64" s="339" t="str">
        <x:v>Super Admin</x:v>
      </x:c>
      <x:c r="G64" s="339" t="str">
        <x:v>As a Super Admin, I want to review and maintain school branding &amp; profile so that all downstream modules use valid school configuration.</x:v>
      </x:c>
      <x:c r="H64" s="339" t="str">
        <x:v>Primary Workflow</x:v>
      </x:c>
      <x:c r="I64" s="339" t="str">
        <x:v>Phase 3</x:v>
      </x:c>
      <x:c r="J64" s="339" t="str">
        <x:v>Phase 3</x:v>
      </x:c>
      <x:c r="K64" s="339" t="str">
        <x:v>Medium</x:v>
      </x:c>
      <x:c r="L64" s="339" t="n">
        <x:v>5</x:v>
      </x:c>
      <x:c r="M64" s="339" t="str">
        <x:v>Tenant context, RBAC, academic calendar, master-data service</x:v>
      </x:c>
      <x:c r="N64" s="339" t="str">
        <x:v>Not Started</x:v>
      </x:c>
    </x:row>
    <x:row r="65">
      <x:c r="A65" s="339" t="str">
        <x:v>US-0064</x:v>
      </x:c>
      <x:c r="B65" s="339" t="str">
        <x:v>EP-003</x:v>
      </x:c>
      <x:c r="C65" s="339" t="str">
        <x:v>SCR-032</x:v>
      </x:c>
      <x:c r="D65" s="339" t="str">
        <x:v>Organization / School / Branch Setup</x:v>
      </x:c>
      <x:c r="E65" s="339" t="str">
        <x:v>School Branding &amp; Profile</x:v>
      </x:c>
      <x:c r="F65" s="339" t="str">
        <x:v>Super Admin</x:v>
      </x:c>
      <x:c r="G65" s="339" t="str">
        <x:v>As a Super Admin, I want school branding &amp; profile to enforce history, edit &amp; audit rules so that data quality, permissions and traceability are protected.</x:v>
      </x:c>
      <x:c r="H65" s="339" t="str">
        <x:v>History, Edit &amp; Audit</x:v>
      </x:c>
      <x:c r="I65" s="339" t="str">
        <x:v>Phase 3</x:v>
      </x:c>
      <x:c r="J65" s="339" t="str">
        <x:v>Phase 3</x:v>
      </x:c>
      <x:c r="K65" s="339" t="str">
        <x:v>Medium</x:v>
      </x:c>
      <x:c r="L65" s="339" t="n">
        <x:v>3</x:v>
      </x:c>
      <x:c r="M65" s="339" t="str">
        <x:v>Tenant context, RBAC, academic calendar, master-data service</x:v>
      </x:c>
      <x:c r="N65" s="339" t="str">
        <x:v>Not Started</x:v>
      </x:c>
    </x:row>
    <x:row r="66">
      <x:c r="A66" s="339" t="str">
        <x:v>US-0065</x:v>
      </x:c>
      <x:c r="B66" s="339" t="str">
        <x:v>EP-004</x:v>
      </x:c>
      <x:c r="C66" s="339" t="str">
        <x:v>SCR-033</x:v>
      </x:c>
      <x:c r="D66" s="339" t="str">
        <x:v>Role Dashboards</x:v>
      </x:c>
      <x:c r="E66" s="339" t="str">
        <x:v>School Admin Dashboard</x:v>
      </x:c>
      <x:c r="F66" s="339" t="str">
        <x:v>School Admin</x:v>
      </x:c>
      <x:c r="G66" s="339" t="str">
        <x:v>As a School Admin, I want to monitor school admin priorities and metrics so that I can focus on the most important work quickly.</x:v>
      </x:c>
      <x:c r="H66" s="339" t="str">
        <x:v>Primary Workflow</x:v>
      </x:c>
      <x:c r="I66" s="339" t="str">
        <x:v>MVP</x:v>
      </x:c>
      <x:c r="J66" s="339" t="str">
        <x:v>MVP</x:v>
      </x:c>
      <x:c r="K66" s="339" t="str">
        <x:v>Medium</x:v>
      </x:c>
      <x:c r="L66" s="339" t="n">
        <x:v>5</x:v>
      </x:c>
      <x:c r="M66" s="339" t="str">
        <x:v>Analytics/query services, RBAC, all source modules</x:v>
      </x:c>
      <x:c r="N66" s="339" t="str">
        <x:v>Not Started</x:v>
      </x:c>
    </x:row>
    <x:row r="67">
      <x:c r="A67" s="339" t="str">
        <x:v>US-0066</x:v>
      </x:c>
      <x:c r="B67" s="339" t="str">
        <x:v>EP-004</x:v>
      </x:c>
      <x:c r="C67" s="339" t="str">
        <x:v>SCR-033</x:v>
      </x:c>
      <x:c r="D67" s="339" t="str">
        <x:v>Role Dashboards</x:v>
      </x:c>
      <x:c r="E67" s="339" t="str">
        <x:v>School Admin Dashboard</x:v>
      </x:c>
      <x:c r="F67" s="339" t="str">
        <x:v>School Admin</x:v>
      </x:c>
      <x:c r="G67" s="339" t="str">
        <x:v>As a School Admin, I want school admin dashboard to enforce insight &amp; drill-down rules so that data quality, permissions and traceability are protected.</x:v>
      </x:c>
      <x:c r="H67" s="339" t="str">
        <x:v>Insight &amp; Drill-down</x:v>
      </x:c>
      <x:c r="I67" s="339" t="str">
        <x:v>MVP</x:v>
      </x:c>
      <x:c r="J67" s="339" t="str">
        <x:v>MVP</x:v>
      </x:c>
      <x:c r="K67" s="339" t="str">
        <x:v>Medium</x:v>
      </x:c>
      <x:c r="L67" s="339" t="n">
        <x:v>3</x:v>
      </x:c>
      <x:c r="M67" s="339" t="str">
        <x:v>Analytics/query services, RBAC, all source modules</x:v>
      </x:c>
      <x:c r="N67" s="339" t="str">
        <x:v>Not Started</x:v>
      </x:c>
    </x:row>
    <x:row r="68">
      <x:c r="A68" s="339" t="str">
        <x:v>US-0067</x:v>
      </x:c>
      <x:c r="B68" s="339" t="str">
        <x:v>EP-004</x:v>
      </x:c>
      <x:c r="C68" s="339" t="str">
        <x:v>SCR-034</x:v>
      </x:c>
      <x:c r="D68" s="339" t="str">
        <x:v>Role Dashboards</x:v>
      </x:c>
      <x:c r="E68" s="339" t="str">
        <x:v>Principal Dashboard</x:v>
      </x:c>
      <x:c r="F68" s="339" t="str">
        <x:v>Principal</x:v>
      </x:c>
      <x:c r="G68" s="339" t="str">
        <x:v>As a Principal, I want to monitor principal priorities and metrics so that I can focus on the most important work quickly.</x:v>
      </x:c>
      <x:c r="H68" s="339" t="str">
        <x:v>Primary Workflow</x:v>
      </x:c>
      <x:c r="I68" s="339" t="str">
        <x:v>MVP</x:v>
      </x:c>
      <x:c r="J68" s="339" t="str">
        <x:v>MVP</x:v>
      </x:c>
      <x:c r="K68" s="339" t="str">
        <x:v>Medium</x:v>
      </x:c>
      <x:c r="L68" s="339" t="n">
        <x:v>5</x:v>
      </x:c>
      <x:c r="M68" s="339" t="str">
        <x:v>Analytics/query services, RBAC, all source modules</x:v>
      </x:c>
      <x:c r="N68" s="339" t="str">
        <x:v>Not Started</x:v>
      </x:c>
    </x:row>
    <x:row r="69">
      <x:c r="A69" s="339" t="str">
        <x:v>US-0068</x:v>
      </x:c>
      <x:c r="B69" s="339" t="str">
        <x:v>EP-004</x:v>
      </x:c>
      <x:c r="C69" s="339" t="str">
        <x:v>SCR-034</x:v>
      </x:c>
      <x:c r="D69" s="339" t="str">
        <x:v>Role Dashboards</x:v>
      </x:c>
      <x:c r="E69" s="339" t="str">
        <x:v>Principal Dashboard</x:v>
      </x:c>
      <x:c r="F69" s="339" t="str">
        <x:v>Principal</x:v>
      </x:c>
      <x:c r="G69" s="339" t="str">
        <x:v>As a Principal, I want principal dashboard to enforce insight &amp; drill-down rules so that data quality, permissions and traceability are protected.</x:v>
      </x:c>
      <x:c r="H69" s="339" t="str">
        <x:v>Insight &amp; Drill-down</x:v>
      </x:c>
      <x:c r="I69" s="339" t="str">
        <x:v>MVP</x:v>
      </x:c>
      <x:c r="J69" s="339" t="str">
        <x:v>MVP</x:v>
      </x:c>
      <x:c r="K69" s="339" t="str">
        <x:v>Medium</x:v>
      </x:c>
      <x:c r="L69" s="339" t="n">
        <x:v>3</x:v>
      </x:c>
      <x:c r="M69" s="339" t="str">
        <x:v>Analytics/query services, RBAC, all source modules</x:v>
      </x:c>
      <x:c r="N69" s="339" t="str">
        <x:v>Not Started</x:v>
      </x:c>
    </x:row>
    <x:row r="70">
      <x:c r="A70" s="339" t="str">
        <x:v>US-0069</x:v>
      </x:c>
      <x:c r="B70" s="339" t="str">
        <x:v>EP-004</x:v>
      </x:c>
      <x:c r="C70" s="339" t="str">
        <x:v>SCR-035</x:v>
      </x:c>
      <x:c r="D70" s="339" t="str">
        <x:v>Role Dashboards</x:v>
      </x:c>
      <x:c r="E70" s="339" t="str">
        <x:v>Teacher Dashboard</x:v>
      </x:c>
      <x:c r="F70" s="339" t="str">
        <x:v>Teacher</x:v>
      </x:c>
      <x:c r="G70" s="339" t="str">
        <x:v>As a Teacher, I want to monitor teacher priorities and metrics so that I can focus on the most important work quickly.</x:v>
      </x:c>
      <x:c r="H70" s="339" t="str">
        <x:v>Primary Workflow</x:v>
      </x:c>
      <x:c r="I70" s="339" t="str">
        <x:v>MVP</x:v>
      </x:c>
      <x:c r="J70" s="339" t="str">
        <x:v>MVP</x:v>
      </x:c>
      <x:c r="K70" s="339" t="str">
        <x:v>Medium</x:v>
      </x:c>
      <x:c r="L70" s="339" t="n">
        <x:v>5</x:v>
      </x:c>
      <x:c r="M70" s="339" t="str">
        <x:v>Analytics/query services, RBAC, all source modules</x:v>
      </x:c>
      <x:c r="N70" s="339" t="str">
        <x:v>Not Started</x:v>
      </x:c>
    </x:row>
    <x:row r="71">
      <x:c r="A71" s="339" t="str">
        <x:v>US-0070</x:v>
      </x:c>
      <x:c r="B71" s="339" t="str">
        <x:v>EP-004</x:v>
      </x:c>
      <x:c r="C71" s="339" t="str">
        <x:v>SCR-035</x:v>
      </x:c>
      <x:c r="D71" s="339" t="str">
        <x:v>Role Dashboards</x:v>
      </x:c>
      <x:c r="E71" s="339" t="str">
        <x:v>Teacher Dashboard</x:v>
      </x:c>
      <x:c r="F71" s="339" t="str">
        <x:v>Teacher</x:v>
      </x:c>
      <x:c r="G71" s="339" t="str">
        <x:v>As a Teacher, I want teacher dashboard to enforce insight &amp; drill-down rules so that data quality, permissions and traceability are protected.</x:v>
      </x:c>
      <x:c r="H71" s="339" t="str">
        <x:v>Insight &amp; Drill-down</x:v>
      </x:c>
      <x:c r="I71" s="339" t="str">
        <x:v>MVP</x:v>
      </x:c>
      <x:c r="J71" s="339" t="str">
        <x:v>MVP</x:v>
      </x:c>
      <x:c r="K71" s="339" t="str">
        <x:v>Medium</x:v>
      </x:c>
      <x:c r="L71" s="339" t="n">
        <x:v>3</x:v>
      </x:c>
      <x:c r="M71" s="339" t="str">
        <x:v>Analytics/query services, RBAC, all source modules</x:v>
      </x:c>
      <x:c r="N71" s="339" t="str">
        <x:v>Not Started</x:v>
      </x:c>
    </x:row>
    <x:row r="72">
      <x:c r="A72" s="339" t="str">
        <x:v>US-0071</x:v>
      </x:c>
      <x:c r="B72" s="339" t="str">
        <x:v>EP-004</x:v>
      </x:c>
      <x:c r="C72" s="339" t="str">
        <x:v>SCR-036</x:v>
      </x:c>
      <x:c r="D72" s="339" t="str">
        <x:v>Role Dashboards</x:v>
      </x:c>
      <x:c r="E72" s="339" t="str">
        <x:v>Student Dashboard</x:v>
      </x:c>
      <x:c r="F72" s="339" t="str">
        <x:v>Student</x:v>
      </x:c>
      <x:c r="G72" s="339" t="str">
        <x:v>As a Student, I want to monitor student priorities and metrics so that I can focus on the most important work quickly.</x:v>
      </x:c>
      <x:c r="H72" s="339" t="str">
        <x:v>Primary Workflow</x:v>
      </x:c>
      <x:c r="I72" s="339" t="str">
        <x:v>MVP</x:v>
      </x:c>
      <x:c r="J72" s="339" t="str">
        <x:v>MVP</x:v>
      </x:c>
      <x:c r="K72" s="339" t="str">
        <x:v>Medium</x:v>
      </x:c>
      <x:c r="L72" s="339" t="n">
        <x:v>5</x:v>
      </x:c>
      <x:c r="M72" s="339" t="str">
        <x:v>Analytics/query services, RBAC, all source modules</x:v>
      </x:c>
      <x:c r="N72" s="339" t="str">
        <x:v>Not Started</x:v>
      </x:c>
    </x:row>
    <x:row r="73">
      <x:c r="A73" s="339" t="str">
        <x:v>US-0072</x:v>
      </x:c>
      <x:c r="B73" s="339" t="str">
        <x:v>EP-004</x:v>
      </x:c>
      <x:c r="C73" s="339" t="str">
        <x:v>SCR-036</x:v>
      </x:c>
      <x:c r="D73" s="339" t="str">
        <x:v>Role Dashboards</x:v>
      </x:c>
      <x:c r="E73" s="339" t="str">
        <x:v>Student Dashboard</x:v>
      </x:c>
      <x:c r="F73" s="339" t="str">
        <x:v>Student</x:v>
      </x:c>
      <x:c r="G73" s="339" t="str">
        <x:v>As a Student, I want student dashboard to enforce insight &amp; drill-down rules so that data quality, permissions and traceability are protected.</x:v>
      </x:c>
      <x:c r="H73" s="339" t="str">
        <x:v>Insight &amp; Drill-down</x:v>
      </x:c>
      <x:c r="I73" s="339" t="str">
        <x:v>MVP</x:v>
      </x:c>
      <x:c r="J73" s="339" t="str">
        <x:v>MVP</x:v>
      </x:c>
      <x:c r="K73" s="339" t="str">
        <x:v>Medium</x:v>
      </x:c>
      <x:c r="L73" s="339" t="n">
        <x:v>3</x:v>
      </x:c>
      <x:c r="M73" s="339" t="str">
        <x:v>Analytics/query services, RBAC, all source modules</x:v>
      </x:c>
      <x:c r="N73" s="339" t="str">
        <x:v>Not Started</x:v>
      </x:c>
    </x:row>
    <x:row r="74">
      <x:c r="A74" s="339" t="str">
        <x:v>US-0073</x:v>
      </x:c>
      <x:c r="B74" s="339" t="str">
        <x:v>EP-004</x:v>
      </x:c>
      <x:c r="C74" s="339" t="str">
        <x:v>SCR-037</x:v>
      </x:c>
      <x:c r="D74" s="339" t="str">
        <x:v>Role Dashboards</x:v>
      </x:c>
      <x:c r="E74" s="339" t="str">
        <x:v>Parent Dashboard</x:v>
      </x:c>
      <x:c r="F74" s="339" t="str">
        <x:v>Parent</x:v>
      </x:c>
      <x:c r="G74" s="339" t="str">
        <x:v>As a Parent, I want to monitor parent priorities and metrics so that I can focus on the most important work quickly.</x:v>
      </x:c>
      <x:c r="H74" s="339" t="str">
        <x:v>Primary Workflow</x:v>
      </x:c>
      <x:c r="I74" s="339" t="str">
        <x:v>MVP</x:v>
      </x:c>
      <x:c r="J74" s="339" t="str">
        <x:v>MVP</x:v>
      </x:c>
      <x:c r="K74" s="339" t="str">
        <x:v>Medium</x:v>
      </x:c>
      <x:c r="L74" s="339" t="n">
        <x:v>5</x:v>
      </x:c>
      <x:c r="M74" s="339" t="str">
        <x:v>Analytics/query services, RBAC, all source modules</x:v>
      </x:c>
      <x:c r="N74" s="339" t="str">
        <x:v>Not Started</x:v>
      </x:c>
    </x:row>
    <x:row r="75">
      <x:c r="A75" s="339" t="str">
        <x:v>US-0074</x:v>
      </x:c>
      <x:c r="B75" s="339" t="str">
        <x:v>EP-004</x:v>
      </x:c>
      <x:c r="C75" s="339" t="str">
        <x:v>SCR-037</x:v>
      </x:c>
      <x:c r="D75" s="339" t="str">
        <x:v>Role Dashboards</x:v>
      </x:c>
      <x:c r="E75" s="339" t="str">
        <x:v>Parent Dashboard</x:v>
      </x:c>
      <x:c r="F75" s="339" t="str">
        <x:v>Parent</x:v>
      </x:c>
      <x:c r="G75" s="339" t="str">
        <x:v>As a Parent, I want parent dashboard to enforce insight &amp; drill-down rules so that data quality, permissions and traceability are protected.</x:v>
      </x:c>
      <x:c r="H75" s="339" t="str">
        <x:v>Insight &amp; Drill-down</x:v>
      </x:c>
      <x:c r="I75" s="339" t="str">
        <x:v>MVP</x:v>
      </x:c>
      <x:c r="J75" s="339" t="str">
        <x:v>MVP</x:v>
      </x:c>
      <x:c r="K75" s="339" t="str">
        <x:v>Medium</x:v>
      </x:c>
      <x:c r="L75" s="339" t="n">
        <x:v>3</x:v>
      </x:c>
      <x:c r="M75" s="339" t="str">
        <x:v>Analytics/query services, RBAC, all source modules</x:v>
      </x:c>
      <x:c r="N75" s="339" t="str">
        <x:v>Not Started</x:v>
      </x:c>
    </x:row>
    <x:row r="76">
      <x:c r="A76" s="339" t="str">
        <x:v>US-0075</x:v>
      </x:c>
      <x:c r="B76" s="339" t="str">
        <x:v>EP-004</x:v>
      </x:c>
      <x:c r="C76" s="339" t="str">
        <x:v>SCR-038</x:v>
      </x:c>
      <x:c r="D76" s="339" t="str">
        <x:v>Role Dashboards</x:v>
      </x:c>
      <x:c r="E76" s="339" t="str">
        <x:v>Accountant Dashboard</x:v>
      </x:c>
      <x:c r="F76" s="339" t="str">
        <x:v>Accountant</x:v>
      </x:c>
      <x:c r="G76" s="339" t="str">
        <x:v>As a Accountant, I want to monitor accountant priorities and metrics so that I can focus on the most important work quickly.</x:v>
      </x:c>
      <x:c r="H76" s="339" t="str">
        <x:v>Primary Workflow</x:v>
      </x:c>
      <x:c r="I76" s="339" t="str">
        <x:v>Phase 2</x:v>
      </x:c>
      <x:c r="J76" s="339" t="str">
        <x:v>Phase 2</x:v>
      </x:c>
      <x:c r="K76" s="339" t="str">
        <x:v>Medium</x:v>
      </x:c>
      <x:c r="L76" s="339" t="n">
        <x:v>5</x:v>
      </x:c>
      <x:c r="M76" s="339" t="str">
        <x:v>Analytics/query services, RBAC, all source modules</x:v>
      </x:c>
      <x:c r="N76" s="339" t="str">
        <x:v>Not Started</x:v>
      </x:c>
    </x:row>
    <x:row r="77">
      <x:c r="A77" s="339" t="str">
        <x:v>US-0076</x:v>
      </x:c>
      <x:c r="B77" s="339" t="str">
        <x:v>EP-004</x:v>
      </x:c>
      <x:c r="C77" s="339" t="str">
        <x:v>SCR-038</x:v>
      </x:c>
      <x:c r="D77" s="339" t="str">
        <x:v>Role Dashboards</x:v>
      </x:c>
      <x:c r="E77" s="339" t="str">
        <x:v>Accountant Dashboard</x:v>
      </x:c>
      <x:c r="F77" s="339" t="str">
        <x:v>Accountant</x:v>
      </x:c>
      <x:c r="G77" s="339" t="str">
        <x:v>As a Accountant, I want accountant dashboard to enforce insight &amp; drill-down rules so that data quality, permissions and traceability are protected.</x:v>
      </x:c>
      <x:c r="H77" s="339" t="str">
        <x:v>Insight &amp; Drill-down</x:v>
      </x:c>
      <x:c r="I77" s="339" t="str">
        <x:v>Phase 2</x:v>
      </x:c>
      <x:c r="J77" s="339" t="str">
        <x:v>Phase 2</x:v>
      </x:c>
      <x:c r="K77" s="339" t="str">
        <x:v>Medium</x:v>
      </x:c>
      <x:c r="L77" s="339" t="n">
        <x:v>3</x:v>
      </x:c>
      <x:c r="M77" s="339" t="str">
        <x:v>Analytics/query services, RBAC, all source modules</x:v>
      </x:c>
      <x:c r="N77" s="339" t="str">
        <x:v>Not Started</x:v>
      </x:c>
    </x:row>
    <x:row r="78">
      <x:c r="A78" s="339" t="str">
        <x:v>US-0077</x:v>
      </x:c>
      <x:c r="B78" s="339" t="str">
        <x:v>EP-004</x:v>
      </x:c>
      <x:c r="C78" s="339" t="str">
        <x:v>SCR-039</x:v>
      </x:c>
      <x:c r="D78" s="339" t="str">
        <x:v>Role Dashboards</x:v>
      </x:c>
      <x:c r="E78" s="339" t="str">
        <x:v>HR Dashboard</x:v>
      </x:c>
      <x:c r="F78" s="339" t="str">
        <x:v>HR</x:v>
      </x:c>
      <x:c r="G78" s="339" t="str">
        <x:v>As a HR, I want to monitor hr priorities and metrics so that I can focus on the most important work quickly.</x:v>
      </x:c>
      <x:c r="H78" s="339" t="str">
        <x:v>Primary Workflow</x:v>
      </x:c>
      <x:c r="I78" s="339" t="str">
        <x:v>Phase 2</x:v>
      </x:c>
      <x:c r="J78" s="339" t="str">
        <x:v>Phase 2</x:v>
      </x:c>
      <x:c r="K78" s="339" t="str">
        <x:v>Medium</x:v>
      </x:c>
      <x:c r="L78" s="339" t="n">
        <x:v>5</x:v>
      </x:c>
      <x:c r="M78" s="339" t="str">
        <x:v>Analytics/query services, RBAC, all source modules</x:v>
      </x:c>
      <x:c r="N78" s="339" t="str">
        <x:v>Not Started</x:v>
      </x:c>
    </x:row>
    <x:row r="79">
      <x:c r="A79" s="339" t="str">
        <x:v>US-0078</x:v>
      </x:c>
      <x:c r="B79" s="339" t="str">
        <x:v>EP-004</x:v>
      </x:c>
      <x:c r="C79" s="339" t="str">
        <x:v>SCR-039</x:v>
      </x:c>
      <x:c r="D79" s="339" t="str">
        <x:v>Role Dashboards</x:v>
      </x:c>
      <x:c r="E79" s="339" t="str">
        <x:v>HR Dashboard</x:v>
      </x:c>
      <x:c r="F79" s="339" t="str">
        <x:v>HR</x:v>
      </x:c>
      <x:c r="G79" s="339" t="str">
        <x:v>As a HR, I want hr dashboard to enforce insight &amp; drill-down rules so that data quality, permissions and traceability are protected.</x:v>
      </x:c>
      <x:c r="H79" s="339" t="str">
        <x:v>Insight &amp; Drill-down</x:v>
      </x:c>
      <x:c r="I79" s="339" t="str">
        <x:v>Phase 2</x:v>
      </x:c>
      <x:c r="J79" s="339" t="str">
        <x:v>Phase 2</x:v>
      </x:c>
      <x:c r="K79" s="339" t="str">
        <x:v>Medium</x:v>
      </x:c>
      <x:c r="L79" s="339" t="n">
        <x:v>3</x:v>
      </x:c>
      <x:c r="M79" s="339" t="str">
        <x:v>Analytics/query services, RBAC, all source modules</x:v>
      </x:c>
      <x:c r="N79" s="339" t="str">
        <x:v>Not Started</x:v>
      </x:c>
    </x:row>
    <x:row r="80">
      <x:c r="A80" s="339" t="str">
        <x:v>US-0079</x:v>
      </x:c>
      <x:c r="B80" s="339" t="str">
        <x:v>EP-004</x:v>
      </x:c>
      <x:c r="C80" s="339" t="str">
        <x:v>SCR-040</x:v>
      </x:c>
      <x:c r="D80" s="339" t="str">
        <x:v>Role Dashboards</x:v>
      </x:c>
      <x:c r="E80" s="339" t="str">
        <x:v>Admission Officer Dashboard</x:v>
      </x:c>
      <x:c r="F80" s="339" t="str">
        <x:v>Admission Officer</x:v>
      </x:c>
      <x:c r="G80" s="339" t="str">
        <x:v>As a Admission Officer, I want to monitor admission officer priorities and metrics so that I can focus on the most important work quickly.</x:v>
      </x:c>
      <x:c r="H80" s="339" t="str">
        <x:v>Primary Workflow</x:v>
      </x:c>
      <x:c r="I80" s="339" t="str">
        <x:v>Phase 3</x:v>
      </x:c>
      <x:c r="J80" s="339" t="str">
        <x:v>Phase 3</x:v>
      </x:c>
      <x:c r="K80" s="339" t="str">
        <x:v>Medium</x:v>
      </x:c>
      <x:c r="L80" s="339" t="n">
        <x:v>5</x:v>
      </x:c>
      <x:c r="M80" s="339" t="str">
        <x:v>Analytics/query services, RBAC, all source modules</x:v>
      </x:c>
      <x:c r="N80" s="339" t="str">
        <x:v>Not Started</x:v>
      </x:c>
    </x:row>
    <x:row r="81">
      <x:c r="A81" s="339" t="str">
        <x:v>US-0080</x:v>
      </x:c>
      <x:c r="B81" s="339" t="str">
        <x:v>EP-004</x:v>
      </x:c>
      <x:c r="C81" s="339" t="str">
        <x:v>SCR-040</x:v>
      </x:c>
      <x:c r="D81" s="339" t="str">
        <x:v>Role Dashboards</x:v>
      </x:c>
      <x:c r="E81" s="339" t="str">
        <x:v>Admission Officer Dashboard</x:v>
      </x:c>
      <x:c r="F81" s="339" t="str">
        <x:v>Admission Officer</x:v>
      </x:c>
      <x:c r="G81" s="339" t="str">
        <x:v>As a Admission Officer, I want admission officer dashboard to enforce insight &amp; drill-down rules so that data quality, permissions and traceability are protected.</x:v>
      </x:c>
      <x:c r="H81" s="339" t="str">
        <x:v>Insight &amp; Drill-down</x:v>
      </x:c>
      <x:c r="I81" s="339" t="str">
        <x:v>Phase 3</x:v>
      </x:c>
      <x:c r="J81" s="339" t="str">
        <x:v>Phase 3</x:v>
      </x:c>
      <x:c r="K81" s="339" t="str">
        <x:v>Medium</x:v>
      </x:c>
      <x:c r="L81" s="339" t="n">
        <x:v>3</x:v>
      </x:c>
      <x:c r="M81" s="339" t="str">
        <x:v>Analytics/query services, RBAC, all source modules</x:v>
      </x:c>
      <x:c r="N81" s="339" t="str">
        <x:v>Not Started</x:v>
      </x:c>
    </x:row>
    <x:row r="82">
      <x:c r="A82" s="339" t="str">
        <x:v>US-0081</x:v>
      </x:c>
      <x:c r="B82" s="339" t="str">
        <x:v>EP-004</x:v>
      </x:c>
      <x:c r="C82" s="339" t="str">
        <x:v>SCR-041</x:v>
      </x:c>
      <x:c r="D82" s="339" t="str">
        <x:v>Role Dashboards</x:v>
      </x:c>
      <x:c r="E82" s="339" t="str">
        <x:v>Transport Manager Dashboard</x:v>
      </x:c>
      <x:c r="F82" s="339" t="str">
        <x:v>Transport Manager</x:v>
      </x:c>
      <x:c r="G82" s="339" t="str">
        <x:v>As a Transport Manager, I want to monitor transport manager priorities and metrics so that I can focus on the most important work quickly.</x:v>
      </x:c>
      <x:c r="H82" s="339" t="str">
        <x:v>Primary Workflow</x:v>
      </x:c>
      <x:c r="I82" s="339" t="str">
        <x:v>Phase 3</x:v>
      </x:c>
      <x:c r="J82" s="339" t="str">
        <x:v>Phase 3</x:v>
      </x:c>
      <x:c r="K82" s="339" t="str">
        <x:v>Medium</x:v>
      </x:c>
      <x:c r="L82" s="339" t="n">
        <x:v>5</x:v>
      </x:c>
      <x:c r="M82" s="339" t="str">
        <x:v>Analytics/query services, RBAC, all source modules</x:v>
      </x:c>
      <x:c r="N82" s="339" t="str">
        <x:v>Not Started</x:v>
      </x:c>
    </x:row>
    <x:row r="83">
      <x:c r="A83" s="339" t="str">
        <x:v>US-0082</x:v>
      </x:c>
      <x:c r="B83" s="339" t="str">
        <x:v>EP-004</x:v>
      </x:c>
      <x:c r="C83" s="339" t="str">
        <x:v>SCR-041</x:v>
      </x:c>
      <x:c r="D83" s="339" t="str">
        <x:v>Role Dashboards</x:v>
      </x:c>
      <x:c r="E83" s="339" t="str">
        <x:v>Transport Manager Dashboard</x:v>
      </x:c>
      <x:c r="F83" s="339" t="str">
        <x:v>Transport Manager</x:v>
      </x:c>
      <x:c r="G83" s="339" t="str">
        <x:v>As a Transport Manager, I want transport manager dashboard to enforce insight &amp; drill-down rules so that data quality, permissions and traceability are protected.</x:v>
      </x:c>
      <x:c r="H83" s="339" t="str">
        <x:v>Insight &amp; Drill-down</x:v>
      </x:c>
      <x:c r="I83" s="339" t="str">
        <x:v>Phase 3</x:v>
      </x:c>
      <x:c r="J83" s="339" t="str">
        <x:v>Phase 3</x:v>
      </x:c>
      <x:c r="K83" s="339" t="str">
        <x:v>Medium</x:v>
      </x:c>
      <x:c r="L83" s="339" t="n">
        <x:v>3</x:v>
      </x:c>
      <x:c r="M83" s="339" t="str">
        <x:v>Analytics/query services, RBAC, all source modules</x:v>
      </x:c>
      <x:c r="N83" s="339" t="str">
        <x:v>Not Started</x:v>
      </x:c>
    </x:row>
    <x:row r="84">
      <x:c r="A84" s="339" t="str">
        <x:v>US-0083</x:v>
      </x:c>
      <x:c r="B84" s="339" t="str">
        <x:v>EP-004</x:v>
      </x:c>
      <x:c r="C84" s="339" t="str">
        <x:v>SCR-042</x:v>
      </x:c>
      <x:c r="D84" s="339" t="str">
        <x:v>Role Dashboards</x:v>
      </x:c>
      <x:c r="E84" s="339" t="str">
        <x:v>Librarian Dashboard</x:v>
      </x:c>
      <x:c r="F84" s="339" t="str">
        <x:v>Librarian</x:v>
      </x:c>
      <x:c r="G84" s="339" t="str">
        <x:v>As a Librarian, I want to monitor librarian priorities and metrics so that I can focus on the most important work quickly.</x:v>
      </x:c>
      <x:c r="H84" s="339" t="str">
        <x:v>Primary Workflow</x:v>
      </x:c>
      <x:c r="I84" s="339" t="str">
        <x:v>Phase 3</x:v>
      </x:c>
      <x:c r="J84" s="339" t="str">
        <x:v>Phase 3</x:v>
      </x:c>
      <x:c r="K84" s="339" t="str">
        <x:v>Medium</x:v>
      </x:c>
      <x:c r="L84" s="339" t="n">
        <x:v>5</x:v>
      </x:c>
      <x:c r="M84" s="339" t="str">
        <x:v>Analytics/query services, RBAC, all source modules</x:v>
      </x:c>
      <x:c r="N84" s="339" t="str">
        <x:v>Not Started</x:v>
      </x:c>
    </x:row>
    <x:row r="85">
      <x:c r="A85" s="339" t="str">
        <x:v>US-0084</x:v>
      </x:c>
      <x:c r="B85" s="339" t="str">
        <x:v>EP-004</x:v>
      </x:c>
      <x:c r="C85" s="339" t="str">
        <x:v>SCR-042</x:v>
      </x:c>
      <x:c r="D85" s="339" t="str">
        <x:v>Role Dashboards</x:v>
      </x:c>
      <x:c r="E85" s="339" t="str">
        <x:v>Librarian Dashboard</x:v>
      </x:c>
      <x:c r="F85" s="339" t="str">
        <x:v>Librarian</x:v>
      </x:c>
      <x:c r="G85" s="339" t="str">
        <x:v>As a Librarian, I want librarian dashboard to enforce insight &amp; drill-down rules so that data quality, permissions and traceability are protected.</x:v>
      </x:c>
      <x:c r="H85" s="339" t="str">
        <x:v>Insight &amp; Drill-down</x:v>
      </x:c>
      <x:c r="I85" s="339" t="str">
        <x:v>Phase 3</x:v>
      </x:c>
      <x:c r="J85" s="339" t="str">
        <x:v>Phase 3</x:v>
      </x:c>
      <x:c r="K85" s="339" t="str">
        <x:v>Medium</x:v>
      </x:c>
      <x:c r="L85" s="339" t="n">
        <x:v>3</x:v>
      </x:c>
      <x:c r="M85" s="339" t="str">
        <x:v>Analytics/query services, RBAC, all source modules</x:v>
      </x:c>
      <x:c r="N85" s="339" t="str">
        <x:v>Not Started</x:v>
      </x:c>
    </x:row>
    <x:row r="86">
      <x:c r="A86" s="339" t="str">
        <x:v>US-0085</x:v>
      </x:c>
      <x:c r="B86" s="339" t="str">
        <x:v>EP-005</x:v>
      </x:c>
      <x:c r="C86" s="339" t="str">
        <x:v>SCR-043</x:v>
      </x:c>
      <x:c r="D86" s="339" t="str">
        <x:v>Admissions &amp; Enquiries</x:v>
      </x:c>
      <x:c r="E86" s="339" t="str">
        <x:v>Admission / Enquiry Dashboard</x:v>
      </x:c>
      <x:c r="F86" s="339" t="str">
        <x:v>Admission / Enquiry</x:v>
      </x:c>
      <x:c r="G86" s="339" t="str">
        <x:v>As a Admission / Enquiry, I want to monitor admission / enquiry priorities and metrics so that applicants move through admissions accurately and on time.</x:v>
      </x:c>
      <x:c r="H86" s="339" t="str">
        <x:v>Primary Workflow</x:v>
      </x:c>
      <x:c r="I86" s="339" t="str">
        <x:v>MVP</x:v>
      </x:c>
      <x:c r="J86" s="339" t="str">
        <x:v>MVP</x:v>
      </x:c>
      <x:c r="K86" s="339" t="str">
        <x:v>Medium</x:v>
      </x:c>
      <x:c r="L86" s="339" t="n">
        <x:v>5</x:v>
      </x:c>
      <x:c r="M86" s="339" t="str">
        <x:v>Student master, parent master, documents, fees, academic structure, notifications</x:v>
      </x:c>
      <x:c r="N86" s="339" t="str">
        <x:v>Not Started</x:v>
      </x:c>
    </x:row>
    <x:row r="87">
      <x:c r="A87" s="339" t="str">
        <x:v>US-0086</x:v>
      </x:c>
      <x:c r="B87" s="339" t="str">
        <x:v>EP-005</x:v>
      </x:c>
      <x:c r="C87" s="339" t="str">
        <x:v>SCR-043</x:v>
      </x:c>
      <x:c r="D87" s="339" t="str">
        <x:v>Admissions &amp; Enquiries</x:v>
      </x:c>
      <x:c r="E87" s="339" t="str">
        <x:v>Admission / Enquiry Dashboard</x:v>
      </x:c>
      <x:c r="F87" s="339" t="str">
        <x:v>Admission / Enquiry</x:v>
      </x:c>
      <x:c r="G87" s="339" t="str">
        <x:v>As a Admission / Enquiry, I want admission / enquiry dashboard to enforce insight &amp; drill-down rules so that data quality, permissions and traceability are protected.</x:v>
      </x:c>
      <x:c r="H87" s="339" t="str">
        <x:v>Insight &amp; Drill-down</x:v>
      </x:c>
      <x:c r="I87" s="339" t="str">
        <x:v>MVP</x:v>
      </x:c>
      <x:c r="J87" s="339" t="str">
        <x:v>MVP</x:v>
      </x:c>
      <x:c r="K87" s="339" t="str">
        <x:v>Medium</x:v>
      </x:c>
      <x:c r="L87" s="339" t="n">
        <x:v>3</x:v>
      </x:c>
      <x:c r="M87" s="339" t="str">
        <x:v>Student master, parent master, documents, fees, academic structure, notifications</x:v>
      </x:c>
      <x:c r="N87" s="339" t="str">
        <x:v>Not Started</x:v>
      </x:c>
    </x:row>
    <x:row r="88">
      <x:c r="A88" s="339" t="str">
        <x:v>US-0087</x:v>
      </x:c>
      <x:c r="B88" s="339" t="str">
        <x:v>EP-005</x:v>
      </x:c>
      <x:c r="C88" s="339" t="str">
        <x:v>SCR-044</x:v>
      </x:c>
      <x:c r="D88" s="339" t="str">
        <x:v>Admissions &amp; Enquiries</x:v>
      </x:c>
      <x:c r="E88" s="339" t="str">
        <x:v>Enquiry List</x:v>
      </x:c>
      <x:c r="F88" s="339" t="str">
        <x:v>Admission Officer</x:v>
      </x:c>
      <x:c r="G88" s="339" t="str">
        <x:v>As a Admission Officer, I want to find and manage enquiry list so that applicants move through admissions accurately and on time.</x:v>
      </x:c>
      <x:c r="H88" s="339" t="str">
        <x:v>Primary Workflow</x:v>
      </x:c>
      <x:c r="I88" s="339" t="str">
        <x:v>MVP</x:v>
      </x:c>
      <x:c r="J88" s="339" t="str">
        <x:v>MVP</x:v>
      </x:c>
      <x:c r="K88" s="339" t="str">
        <x:v>Medium</x:v>
      </x:c>
      <x:c r="L88" s="339" t="n">
        <x:v>5</x:v>
      </x:c>
      <x:c r="M88" s="339" t="str">
        <x:v>Student master, parent master, documents, fees, academic structure, notifications</x:v>
      </x:c>
      <x:c r="N88" s="339" t="str">
        <x:v>Not Started</x:v>
      </x:c>
    </x:row>
    <x:row r="89">
      <x:c r="A89" s="339" t="str">
        <x:v>US-0088</x:v>
      </x:c>
      <x:c r="B89" s="339" t="str">
        <x:v>EP-005</x:v>
      </x:c>
      <x:c r="C89" s="339" t="str">
        <x:v>SCR-044</x:v>
      </x:c>
      <x:c r="D89" s="339" t="str">
        <x:v>Admissions &amp; Enquiries</x:v>
      </x:c>
      <x:c r="E89" s="339" t="str">
        <x:v>Enquiry List</x:v>
      </x:c>
      <x:c r="F89" s="339" t="str">
        <x:v>Admission Officer</x:v>
      </x:c>
      <x:c r="G89" s="339" t="str">
        <x:v>As a Admission Officer, I want enquiry list to enforce search, filter &amp; controlled actions rules so that data quality, permissions and traceability are protected.</x:v>
      </x:c>
      <x:c r="H89" s="339" t="str">
        <x:v>Search, Filter &amp; Controlled Actions</x:v>
      </x:c>
      <x:c r="I89" s="339" t="str">
        <x:v>MVP</x:v>
      </x:c>
      <x:c r="J89" s="339" t="str">
        <x:v>MVP</x:v>
      </x:c>
      <x:c r="K89" s="339" t="str">
        <x:v>Medium</x:v>
      </x:c>
      <x:c r="L89" s="339" t="n">
        <x:v>3</x:v>
      </x:c>
      <x:c r="M89" s="339" t="str">
        <x:v>Student master, parent master, documents, fees, academic structure, notifications</x:v>
      </x:c>
      <x:c r="N89" s="339" t="str">
        <x:v>Not Started</x:v>
      </x:c>
    </x:row>
    <x:row r="90">
      <x:c r="A90" s="339" t="str">
        <x:v>US-0089</x:v>
      </x:c>
      <x:c r="B90" s="339" t="str">
        <x:v>EP-005</x:v>
      </x:c>
      <x:c r="C90" s="339" t="str">
        <x:v>SCR-045</x:v>
      </x:c>
      <x:c r="D90" s="339" t="str">
        <x:v>Admissions &amp; Enquiries</x:v>
      </x:c>
      <x:c r="E90" s="339" t="str">
        <x:v>Add Enquiry</x:v>
      </x:c>
      <x:c r="F90" s="339" t="str">
        <x:v>Admission Officer</x:v>
      </x:c>
      <x:c r="G90" s="339" t="str">
        <x:v>As a Admission Officer, I want to create or process enquiry so that applicants move through admissions accurately and on time.</x:v>
      </x:c>
      <x:c r="H90" s="339" t="str">
        <x:v>Primary Workflow</x:v>
      </x:c>
      <x:c r="I90" s="339" t="str">
        <x:v>MVP</x:v>
      </x:c>
      <x:c r="J90" s="339" t="str">
        <x:v>MVP</x:v>
      </x:c>
      <x:c r="K90" s="339" t="str">
        <x:v>Medium</x:v>
      </x:c>
      <x:c r="L90" s="339" t="n">
        <x:v>5</x:v>
      </x:c>
      <x:c r="M90" s="339" t="str">
        <x:v>Student master, parent master, documents, fees, academic structure, notifications</x:v>
      </x:c>
      <x:c r="N90" s="339" t="str">
        <x:v>Not Started</x:v>
      </x:c>
    </x:row>
    <x:row r="91">
      <x:c r="A91" s="339" t="str">
        <x:v>US-0090</x:v>
      </x:c>
      <x:c r="B91" s="339" t="str">
        <x:v>EP-005</x:v>
      </x:c>
      <x:c r="C91" s="339" t="str">
        <x:v>SCR-045</x:v>
      </x:c>
      <x:c r="D91" s="339" t="str">
        <x:v>Admissions &amp; Enquiries</x:v>
      </x:c>
      <x:c r="E91" s="339" t="str">
        <x:v>Add Enquiry</x:v>
      </x:c>
      <x:c r="F91" s="339" t="str">
        <x:v>Admission Officer</x:v>
      </x:c>
      <x:c r="G91" s="339" t="str">
        <x:v>As a Admission Officer, I want add enquiry to enforce validation &amp; duplicate prevention rules so that data quality, permissions and traceability are protected.</x:v>
      </x:c>
      <x:c r="H91" s="339" t="str">
        <x:v>Validation &amp; Duplicate Prevention</x:v>
      </x:c>
      <x:c r="I91" s="339" t="str">
        <x:v>MVP</x:v>
      </x:c>
      <x:c r="J91" s="339" t="str">
        <x:v>MVP</x:v>
      </x:c>
      <x:c r="K91" s="339" t="str">
        <x:v>Medium</x:v>
      </x:c>
      <x:c r="L91" s="339" t="n">
        <x:v>3</x:v>
      </x:c>
      <x:c r="M91" s="339" t="str">
        <x:v>Student master, parent master, documents, fees, academic structure, notifications</x:v>
      </x:c>
      <x:c r="N91" s="339" t="str">
        <x:v>Not Started</x:v>
      </x:c>
    </x:row>
    <x:row r="92">
      <x:c r="A92" s="339" t="str">
        <x:v>US-0091</x:v>
      </x:c>
      <x:c r="B92" s="339" t="str">
        <x:v>EP-005</x:v>
      </x:c>
      <x:c r="C92" s="339" t="str">
        <x:v>SCR-046</x:v>
      </x:c>
      <x:c r="D92" s="339" t="str">
        <x:v>Admissions &amp; Enquiries</x:v>
      </x:c>
      <x:c r="E92" s="339" t="str">
        <x:v>Enquiry Details</x:v>
      </x:c>
      <x:c r="F92" s="339" t="str">
        <x:v>Admission Officer</x:v>
      </x:c>
      <x:c r="G92" s="339" t="str">
        <x:v>As a Admission Officer, I want to review and maintain enquiry details so that applicants move through admissions accurately and on time.</x:v>
      </x:c>
      <x:c r="H92" s="339" t="str">
        <x:v>Primary Workflow</x:v>
      </x:c>
      <x:c r="I92" s="339" t="str">
        <x:v>MVP</x:v>
      </x:c>
      <x:c r="J92" s="339" t="str">
        <x:v>MVP</x:v>
      </x:c>
      <x:c r="K92" s="339" t="str">
        <x:v>Medium</x:v>
      </x:c>
      <x:c r="L92" s="339" t="n">
        <x:v>5</x:v>
      </x:c>
      <x:c r="M92" s="339" t="str">
        <x:v>Student master, parent master, documents, fees, academic structure, notifications</x:v>
      </x:c>
      <x:c r="N92" s="339" t="str">
        <x:v>Not Started</x:v>
      </x:c>
    </x:row>
    <x:row r="93">
      <x:c r="A93" s="339" t="str">
        <x:v>US-0092</x:v>
      </x:c>
      <x:c r="B93" s="339" t="str">
        <x:v>EP-005</x:v>
      </x:c>
      <x:c r="C93" s="339" t="str">
        <x:v>SCR-046</x:v>
      </x:c>
      <x:c r="D93" s="339" t="str">
        <x:v>Admissions &amp; Enquiries</x:v>
      </x:c>
      <x:c r="E93" s="339" t="str">
        <x:v>Enquiry Details</x:v>
      </x:c>
      <x:c r="F93" s="339" t="str">
        <x:v>Admission Officer</x:v>
      </x:c>
      <x:c r="G93" s="339" t="str">
        <x:v>As a Admission Officer, I want enquiry details to enforce history, edit &amp; audit rules so that data quality, permissions and traceability are protected.</x:v>
      </x:c>
      <x:c r="H93" s="339" t="str">
        <x:v>History, Edit &amp; Audit</x:v>
      </x:c>
      <x:c r="I93" s="339" t="str">
        <x:v>MVP</x:v>
      </x:c>
      <x:c r="J93" s="339" t="str">
        <x:v>MVP</x:v>
      </x:c>
      <x:c r="K93" s="339" t="str">
        <x:v>Medium</x:v>
      </x:c>
      <x:c r="L93" s="339" t="n">
        <x:v>3</x:v>
      </x:c>
      <x:c r="M93" s="339" t="str">
        <x:v>Student master, parent master, documents, fees, academic structure, notifications</x:v>
      </x:c>
      <x:c r="N93" s="339" t="str">
        <x:v>Not Started</x:v>
      </x:c>
    </x:row>
    <x:row r="94">
      <x:c r="A94" s="339" t="str">
        <x:v>US-0093</x:v>
      </x:c>
      <x:c r="B94" s="339" t="str">
        <x:v>EP-005</x:v>
      </x:c>
      <x:c r="C94" s="339" t="str">
        <x:v>SCR-047</x:v>
      </x:c>
      <x:c r="D94" s="339" t="str">
        <x:v>Admissions &amp; Enquiries</x:v>
      </x:c>
      <x:c r="E94" s="339" t="str">
        <x:v>Follow-up Calendar</x:v>
      </x:c>
      <x:c r="F94" s="339" t="str">
        <x:v>Admission Officer</x:v>
      </x:c>
      <x:c r="G94" s="339" t="str">
        <x:v>As a Admission Officer, I want to plan and review follow-up calendar so that applicants move through admissions accurately and on time.</x:v>
      </x:c>
      <x:c r="H94" s="339" t="str">
        <x:v>Primary Workflow</x:v>
      </x:c>
      <x:c r="I94" s="339" t="str">
        <x:v>MVP</x:v>
      </x:c>
      <x:c r="J94" s="339" t="str">
        <x:v>MVP</x:v>
      </x:c>
      <x:c r="K94" s="339" t="str">
        <x:v>High</x:v>
      </x:c>
      <x:c r="L94" s="339" t="n">
        <x:v>8</x:v>
      </x:c>
      <x:c r="M94" s="339" t="str">
        <x:v>Student master, parent master, documents, fees, academic structure, notifications</x:v>
      </x:c>
      <x:c r="N94" s="339" t="str">
        <x:v>Not Started</x:v>
      </x:c>
    </x:row>
    <x:row r="95">
      <x:c r="A95" s="339" t="str">
        <x:v>US-0094</x:v>
      </x:c>
      <x:c r="B95" s="339" t="str">
        <x:v>EP-005</x:v>
      </x:c>
      <x:c r="C95" s="339" t="str">
        <x:v>SCR-047</x:v>
      </x:c>
      <x:c r="D95" s="339" t="str">
        <x:v>Admissions &amp; Enquiries</x:v>
      </x:c>
      <x:c r="E95" s="339" t="str">
        <x:v>Follow-up Calendar</x:v>
      </x:c>
      <x:c r="F95" s="339" t="str">
        <x:v>Admission Officer</x:v>
      </x:c>
      <x:c r="G95" s="339" t="str">
        <x:v>As a Admission Officer, I want follow-up calendar to enforce conflict detection &amp; rescheduling rules so that data quality, permissions and traceability are protected.</x:v>
      </x:c>
      <x:c r="H95" s="339" t="str">
        <x:v>Conflict Detection &amp; Rescheduling</x:v>
      </x:c>
      <x:c r="I95" s="339" t="str">
        <x:v>MVP</x:v>
      </x:c>
      <x:c r="J95" s="339" t="str">
        <x:v>MVP</x:v>
      </x:c>
      <x:c r="K95" s="339" t="str">
        <x:v>High</x:v>
      </x:c>
      <x:c r="L95" s="339" t="n">
        <x:v>6</x:v>
      </x:c>
      <x:c r="M95" s="339" t="str">
        <x:v>Student master, parent master, documents, fees, academic structure, notifications</x:v>
      </x:c>
      <x:c r="N95" s="339" t="str">
        <x:v>Not Started</x:v>
      </x:c>
    </x:row>
    <x:row r="96">
      <x:c r="A96" s="339" t="str">
        <x:v>US-0095</x:v>
      </x:c>
      <x:c r="B96" s="339" t="str">
        <x:v>EP-005</x:v>
      </x:c>
      <x:c r="C96" s="339" t="str">
        <x:v>SCR-048</x:v>
      </x:c>
      <x:c r="D96" s="339" t="str">
        <x:v>Admissions &amp; Enquiries</x:v>
      </x:c>
      <x:c r="E96" s="339" t="str">
        <x:v>Admission Applications</x:v>
      </x:c>
      <x:c r="F96" s="339" t="str">
        <x:v>Admission Officer</x:v>
      </x:c>
      <x:c r="G96" s="339" t="str">
        <x:v>As a Admission Officer, I want to find and manage admission applications so that applicants move through admissions accurately and on time.</x:v>
      </x:c>
      <x:c r="H96" s="339" t="str">
        <x:v>Primary Workflow</x:v>
      </x:c>
      <x:c r="I96" s="339" t="str">
        <x:v>MVP</x:v>
      </x:c>
      <x:c r="J96" s="339" t="str">
        <x:v>MVP</x:v>
      </x:c>
      <x:c r="K96" s="339" t="str">
        <x:v>Medium</x:v>
      </x:c>
      <x:c r="L96" s="339" t="n">
        <x:v>5</x:v>
      </x:c>
      <x:c r="M96" s="339" t="str">
        <x:v>Student master, parent master, documents, fees, academic structure, notifications</x:v>
      </x:c>
      <x:c r="N96" s="339" t="str">
        <x:v>Not Started</x:v>
      </x:c>
    </x:row>
    <x:row r="97">
      <x:c r="A97" s="339" t="str">
        <x:v>US-0096</x:v>
      </x:c>
      <x:c r="B97" s="339" t="str">
        <x:v>EP-005</x:v>
      </x:c>
      <x:c r="C97" s="339" t="str">
        <x:v>SCR-048</x:v>
      </x:c>
      <x:c r="D97" s="339" t="str">
        <x:v>Admissions &amp; Enquiries</x:v>
      </x:c>
      <x:c r="E97" s="339" t="str">
        <x:v>Admission Applications</x:v>
      </x:c>
      <x:c r="F97" s="339" t="str">
        <x:v>Admission Officer</x:v>
      </x:c>
      <x:c r="G97" s="339" t="str">
        <x:v>As a Admission Officer, I want admission applications to enforce search, filter &amp; controlled actions rules so that data quality, permissions and traceability are protected.</x:v>
      </x:c>
      <x:c r="H97" s="339" t="str">
        <x:v>Search, Filter &amp; Controlled Actions</x:v>
      </x:c>
      <x:c r="I97" s="339" t="str">
        <x:v>MVP</x:v>
      </x:c>
      <x:c r="J97" s="339" t="str">
        <x:v>MVP</x:v>
      </x:c>
      <x:c r="K97" s="339" t="str">
        <x:v>Medium</x:v>
      </x:c>
      <x:c r="L97" s="339" t="n">
        <x:v>3</x:v>
      </x:c>
      <x:c r="M97" s="339" t="str">
        <x:v>Student master, parent master, documents, fees, academic structure, notifications</x:v>
      </x:c>
      <x:c r="N97" s="339" t="str">
        <x:v>Not Started</x:v>
      </x:c>
    </x:row>
    <x:row r="98">
      <x:c r="A98" s="339" t="str">
        <x:v>US-0097</x:v>
      </x:c>
      <x:c r="B98" s="339" t="str">
        <x:v>EP-005</x:v>
      </x:c>
      <x:c r="C98" s="339" t="str">
        <x:v>SCR-049</x:v>
      </x:c>
      <x:c r="D98" s="339" t="str">
        <x:v>Admissions &amp; Enquiries</x:v>
      </x:c>
      <x:c r="E98" s="339" t="str">
        <x:v>New Admission Application</x:v>
      </x:c>
      <x:c r="F98" s="339" t="str">
        <x:v>Admission Officer</x:v>
      </x:c>
      <x:c r="G98" s="339" t="str">
        <x:v>As a Admission Officer, I want to create or process admission application so that applicants move through admissions accurately and on time.</x:v>
      </x:c>
      <x:c r="H98" s="339" t="str">
        <x:v>Primary Workflow</x:v>
      </x:c>
      <x:c r="I98" s="339" t="str">
        <x:v>MVP</x:v>
      </x:c>
      <x:c r="J98" s="339" t="str">
        <x:v>MVP</x:v>
      </x:c>
      <x:c r="K98" s="339" t="str">
        <x:v>Medium</x:v>
      </x:c>
      <x:c r="L98" s="339" t="n">
        <x:v>5</x:v>
      </x:c>
      <x:c r="M98" s="339" t="str">
        <x:v>Student master, parent master, documents, fees, academic structure, notifications</x:v>
      </x:c>
      <x:c r="N98" s="339" t="str">
        <x:v>Not Started</x:v>
      </x:c>
    </x:row>
    <x:row r="99">
      <x:c r="A99" s="339" t="str">
        <x:v>US-0098</x:v>
      </x:c>
      <x:c r="B99" s="339" t="str">
        <x:v>EP-005</x:v>
      </x:c>
      <x:c r="C99" s="339" t="str">
        <x:v>SCR-049</x:v>
      </x:c>
      <x:c r="D99" s="339" t="str">
        <x:v>Admissions &amp; Enquiries</x:v>
      </x:c>
      <x:c r="E99" s="339" t="str">
        <x:v>New Admission Application</x:v>
      </x:c>
      <x:c r="F99" s="339" t="str">
        <x:v>Admission Officer</x:v>
      </x:c>
      <x:c r="G99" s="339" t="str">
        <x:v>As a Admission Officer, I want new admission application to enforce validation &amp; duplicate prevention rules so that data quality, permissions and traceability are protected.</x:v>
      </x:c>
      <x:c r="H99" s="339" t="str">
        <x:v>Validation &amp; Duplicate Prevention</x:v>
      </x:c>
      <x:c r="I99" s="339" t="str">
        <x:v>MVP</x:v>
      </x:c>
      <x:c r="J99" s="339" t="str">
        <x:v>MVP</x:v>
      </x:c>
      <x:c r="K99" s="339" t="str">
        <x:v>Medium</x:v>
      </x:c>
      <x:c r="L99" s="339" t="n">
        <x:v>3</x:v>
      </x:c>
      <x:c r="M99" s="339" t="str">
        <x:v>Student master, parent master, documents, fees, academic structure, notifications</x:v>
      </x:c>
      <x:c r="N99" s="339" t="str">
        <x:v>Not Started</x:v>
      </x:c>
    </x:row>
    <x:row r="100">
      <x:c r="A100" s="339" t="str">
        <x:v>US-0099</x:v>
      </x:c>
      <x:c r="B100" s="339" t="str">
        <x:v>EP-005</x:v>
      </x:c>
      <x:c r="C100" s="339" t="str">
        <x:v>SCR-050</x:v>
      </x:c>
      <x:c r="D100" s="339" t="str">
        <x:v>Admissions &amp; Enquiries</x:v>
      </x:c>
      <x:c r="E100" s="339" t="str">
        <x:v>Application Details</x:v>
      </x:c>
      <x:c r="F100" s="339" t="str">
        <x:v>Admission Officer</x:v>
      </x:c>
      <x:c r="G100" s="339" t="str">
        <x:v>As a Admission Officer, I want to review and maintain application details so that applicants move through admissions accurately and on time.</x:v>
      </x:c>
      <x:c r="H100" s="339" t="str">
        <x:v>Primary Workflow</x:v>
      </x:c>
      <x:c r="I100" s="339" t="str">
        <x:v>Phase 2</x:v>
      </x:c>
      <x:c r="J100" s="339" t="str">
        <x:v>Phase 2</x:v>
      </x:c>
      <x:c r="K100" s="339" t="str">
        <x:v>Medium</x:v>
      </x:c>
      <x:c r="L100" s="339" t="n">
        <x:v>5</x:v>
      </x:c>
      <x:c r="M100" s="339" t="str">
        <x:v>Student master, parent master, documents, fees, academic structure, notifications</x:v>
      </x:c>
      <x:c r="N100" s="339" t="str">
        <x:v>Not Started</x:v>
      </x:c>
    </x:row>
    <x:row r="101">
      <x:c r="A101" s="339" t="str">
        <x:v>US-0100</x:v>
      </x:c>
      <x:c r="B101" s="339" t="str">
        <x:v>EP-005</x:v>
      </x:c>
      <x:c r="C101" s="339" t="str">
        <x:v>SCR-050</x:v>
      </x:c>
      <x:c r="D101" s="339" t="str">
        <x:v>Admissions &amp; Enquiries</x:v>
      </x:c>
      <x:c r="E101" s="339" t="str">
        <x:v>Application Details</x:v>
      </x:c>
      <x:c r="F101" s="339" t="str">
        <x:v>Admission Officer</x:v>
      </x:c>
      <x:c r="G101" s="339" t="str">
        <x:v>As a Admission Officer, I want application details to enforce history, edit &amp; audit rules so that data quality, permissions and traceability are protected.</x:v>
      </x:c>
      <x:c r="H101" s="339" t="str">
        <x:v>History, Edit &amp; Audit</x:v>
      </x:c>
      <x:c r="I101" s="339" t="str">
        <x:v>Phase 2</x:v>
      </x:c>
      <x:c r="J101" s="339" t="str">
        <x:v>Phase 2</x:v>
      </x:c>
      <x:c r="K101" s="339" t="str">
        <x:v>Medium</x:v>
      </x:c>
      <x:c r="L101" s="339" t="n">
        <x:v>3</x:v>
      </x:c>
      <x:c r="M101" s="339" t="str">
        <x:v>Student master, parent master, documents, fees, academic structure, notifications</x:v>
      </x:c>
      <x:c r="N101" s="339" t="str">
        <x:v>Not Started</x:v>
      </x:c>
    </x:row>
    <x:row r="102">
      <x:c r="A102" s="339" t="str">
        <x:v>US-0101</x:v>
      </x:c>
      <x:c r="B102" s="339" t="str">
        <x:v>EP-005</x:v>
      </x:c>
      <x:c r="C102" s="339" t="str">
        <x:v>SCR-051</x:v>
      </x:c>
      <x:c r="D102" s="339" t="str">
        <x:v>Admissions &amp; Enquiries</x:v>
      </x:c>
      <x:c r="E102" s="339" t="str">
        <x:v>Document Verification</x:v>
      </x:c>
      <x:c r="F102" s="339" t="str">
        <x:v>Admission Officer</x:v>
      </x:c>
      <x:c r="G102" s="339" t="str">
        <x:v>As a Admission Officer, I want to verify document verification so that applicants move through admissions accurately and on time.</x:v>
      </x:c>
      <x:c r="H102" s="339" t="str">
        <x:v>Primary Workflow</x:v>
      </x:c>
      <x:c r="I102" s="339" t="str">
        <x:v>Phase 2</x:v>
      </x:c>
      <x:c r="J102" s="339" t="str">
        <x:v>Phase 2</x:v>
      </x:c>
      <x:c r="K102" s="339" t="str">
        <x:v>High</x:v>
      </x:c>
      <x:c r="L102" s="339" t="n">
        <x:v>8</x:v>
      </x:c>
      <x:c r="M102" s="339" t="str">
        <x:v>Student master, parent master, documents, fees, academic structure, notifications</x:v>
      </x:c>
      <x:c r="N102" s="339" t="str">
        <x:v>Not Started</x:v>
      </x:c>
    </x:row>
    <x:row r="103">
      <x:c r="A103" s="339" t="str">
        <x:v>US-0102</x:v>
      </x:c>
      <x:c r="B103" s="339" t="str">
        <x:v>EP-005</x:v>
      </x:c>
      <x:c r="C103" s="339" t="str">
        <x:v>SCR-051</x:v>
      </x:c>
      <x:c r="D103" s="339" t="str">
        <x:v>Admissions &amp; Enquiries</x:v>
      </x:c>
      <x:c r="E103" s="339" t="str">
        <x:v>Document Verification</x:v>
      </x:c>
      <x:c r="F103" s="339" t="str">
        <x:v>Admission Officer</x:v>
      </x:c>
      <x:c r="G103" s="339" t="str">
        <x:v>As a Admission Officer, I want document verification to enforce status, approval &amp; exception handling rules so that data quality, permissions and traceability are protected.</x:v>
      </x:c>
      <x:c r="H103" s="339" t="str">
        <x:v>Status, Approval &amp; Exception Handling</x:v>
      </x:c>
      <x:c r="I103" s="339" t="str">
        <x:v>Phase 2</x:v>
      </x:c>
      <x:c r="J103" s="339" t="str">
        <x:v>Phase 2</x:v>
      </x:c>
      <x:c r="K103" s="339" t="str">
        <x:v>High</x:v>
      </x:c>
      <x:c r="L103" s="339" t="n">
        <x:v>6</x:v>
      </x:c>
      <x:c r="M103" s="339" t="str">
        <x:v>Student master, parent master, documents, fees, academic structure, notifications</x:v>
      </x:c>
      <x:c r="N103" s="339" t="str">
        <x:v>Not Started</x:v>
      </x:c>
    </x:row>
    <x:row r="104">
      <x:c r="A104" s="339" t="str">
        <x:v>US-0103</x:v>
      </x:c>
      <x:c r="B104" s="339" t="str">
        <x:v>EP-005</x:v>
      </x:c>
      <x:c r="C104" s="339" t="str">
        <x:v>SCR-052</x:v>
      </x:c>
      <x:c r="D104" s="339" t="str">
        <x:v>Admissions &amp; Enquiries</x:v>
      </x:c>
      <x:c r="E104" s="339" t="str">
        <x:v>Entrance Assessment</x:v>
      </x:c>
      <x:c r="F104" s="339" t="str">
        <x:v>Admission Officer</x:v>
      </x:c>
      <x:c r="G104" s="339" t="str">
        <x:v>As a Admission Officer, I want to manage entrance assessment so that applicants move through admissions accurately and on time.</x:v>
      </x:c>
      <x:c r="H104" s="339" t="str">
        <x:v>Primary Workflow</x:v>
      </x:c>
      <x:c r="I104" s="339" t="str">
        <x:v>Phase 2</x:v>
      </x:c>
      <x:c r="J104" s="339" t="str">
        <x:v>Phase 2</x:v>
      </x:c>
      <x:c r="K104" s="339" t="str">
        <x:v>High</x:v>
      </x:c>
      <x:c r="L104" s="339" t="n">
        <x:v>8</x:v>
      </x:c>
      <x:c r="M104" s="339" t="str">
        <x:v>Student master, parent master, documents, fees, academic structure, notifications</x:v>
      </x:c>
      <x:c r="N104" s="339" t="str">
        <x:v>Not Started</x:v>
      </x:c>
    </x:row>
    <x:row r="105">
      <x:c r="A105" s="339" t="str">
        <x:v>US-0104</x:v>
      </x:c>
      <x:c r="B105" s="339" t="str">
        <x:v>EP-005</x:v>
      </x:c>
      <x:c r="C105" s="339" t="str">
        <x:v>SCR-052</x:v>
      </x:c>
      <x:c r="D105" s="339" t="str">
        <x:v>Admissions &amp; Enquiries</x:v>
      </x:c>
      <x:c r="E105" s="339" t="str">
        <x:v>Entrance Assessment</x:v>
      </x:c>
      <x:c r="F105" s="339" t="str">
        <x:v>Admission Officer</x:v>
      </x:c>
      <x:c r="G105" s="339" t="str">
        <x:v>As a Admission Officer, I want entrance assessment to enforce status, approval &amp; exception handling rules so that data quality, permissions and traceability are protected.</x:v>
      </x:c>
      <x:c r="H105" s="339" t="str">
        <x:v>Status, Approval &amp; Exception Handling</x:v>
      </x:c>
      <x:c r="I105" s="339" t="str">
        <x:v>Phase 2</x:v>
      </x:c>
      <x:c r="J105" s="339" t="str">
        <x:v>Phase 2</x:v>
      </x:c>
      <x:c r="K105" s="339" t="str">
        <x:v>High</x:v>
      </x:c>
      <x:c r="L105" s="339" t="n">
        <x:v>6</x:v>
      </x:c>
      <x:c r="M105" s="339" t="str">
        <x:v>Student master, parent master, documents, fees, academic structure, notifications</x:v>
      </x:c>
      <x:c r="N105" s="339" t="str">
        <x:v>Not Started</x:v>
      </x:c>
    </x:row>
    <x:row r="106">
      <x:c r="A106" s="339" t="str">
        <x:v>US-0105</x:v>
      </x:c>
      <x:c r="B106" s="339" t="str">
        <x:v>EP-005</x:v>
      </x:c>
      <x:c r="C106" s="339" t="str">
        <x:v>SCR-053</x:v>
      </x:c>
      <x:c r="D106" s="339" t="str">
        <x:v>Admissions &amp; Enquiries</x:v>
      </x:c>
      <x:c r="E106" s="339" t="str">
        <x:v>Admission Approval</x:v>
      </x:c>
      <x:c r="F106" s="339" t="str">
        <x:v>Admission Officer</x:v>
      </x:c>
      <x:c r="G106" s="339" t="str">
        <x:v>As a Admission Officer, I want to review and decide admission approval so that applicants move through admissions accurately and on time.</x:v>
      </x:c>
      <x:c r="H106" s="339" t="str">
        <x:v>Primary Workflow</x:v>
      </x:c>
      <x:c r="I106" s="339" t="str">
        <x:v>Phase 3</x:v>
      </x:c>
      <x:c r="J106" s="339" t="str">
        <x:v>Phase 3</x:v>
      </x:c>
      <x:c r="K106" s="339" t="str">
        <x:v>High</x:v>
      </x:c>
      <x:c r="L106" s="339" t="n">
        <x:v>8</x:v>
      </x:c>
      <x:c r="M106" s="339" t="str">
        <x:v>Student master, parent master, documents, fees, academic structure, notifications</x:v>
      </x:c>
      <x:c r="N106" s="339" t="str">
        <x:v>Not Started</x:v>
      </x:c>
    </x:row>
    <x:row r="107">
      <x:c r="A107" s="339" t="str">
        <x:v>US-0106</x:v>
      </x:c>
      <x:c r="B107" s="339" t="str">
        <x:v>EP-005</x:v>
      </x:c>
      <x:c r="C107" s="339" t="str">
        <x:v>SCR-053</x:v>
      </x:c>
      <x:c r="D107" s="339" t="str">
        <x:v>Admissions &amp; Enquiries</x:v>
      </x:c>
      <x:c r="E107" s="339" t="str">
        <x:v>Admission Approval</x:v>
      </x:c>
      <x:c r="F107" s="339" t="str">
        <x:v>Admission Officer</x:v>
      </x:c>
      <x:c r="G107" s="339" t="str">
        <x:v>As a Admission Officer, I want admission approval to enforce status, approval &amp; exception handling rules so that data quality, permissions and traceability are protected.</x:v>
      </x:c>
      <x:c r="H107" s="339" t="str">
        <x:v>Status, Approval &amp; Exception Handling</x:v>
      </x:c>
      <x:c r="I107" s="339" t="str">
        <x:v>Phase 3</x:v>
      </x:c>
      <x:c r="J107" s="339" t="str">
        <x:v>Phase 3</x:v>
      </x:c>
      <x:c r="K107" s="339" t="str">
        <x:v>High</x:v>
      </x:c>
      <x:c r="L107" s="339" t="n">
        <x:v>6</x:v>
      </x:c>
      <x:c r="M107" s="339" t="str">
        <x:v>Student master, parent master, documents, fees, academic structure, notifications</x:v>
      </x:c>
      <x:c r="N107" s="339" t="str">
        <x:v>Not Started</x:v>
      </x:c>
    </x:row>
    <x:row r="108">
      <x:c r="A108" s="339" t="str">
        <x:v>US-0107</x:v>
      </x:c>
      <x:c r="B108" s="339" t="str">
        <x:v>EP-005</x:v>
      </x:c>
      <x:c r="C108" s="339" t="str">
        <x:v>SCR-054</x:v>
      </x:c>
      <x:c r="D108" s="339" t="str">
        <x:v>Admissions &amp; Enquiries</x:v>
      </x:c>
      <x:c r="E108" s="339" t="str">
        <x:v>Admission Confirmation &amp; Student Creation</x:v>
      </x:c>
      <x:c r="F108" s="339" t="str">
        <x:v>Admission Officer</x:v>
      </x:c>
      <x:c r="G108" s="339" t="str">
        <x:v>As a Admission Officer, I want to manage admission confirmation &amp; student creation so that applicants move through admissions accurately and on time.</x:v>
      </x:c>
      <x:c r="H108" s="339" t="str">
        <x:v>Primary Workflow</x:v>
      </x:c>
      <x:c r="I108" s="339" t="str">
        <x:v>Phase 3</x:v>
      </x:c>
      <x:c r="J108" s="339" t="str">
        <x:v>Phase 3</x:v>
      </x:c>
      <x:c r="K108" s="339" t="str">
        <x:v>High</x:v>
      </x:c>
      <x:c r="L108" s="339" t="n">
        <x:v>8</x:v>
      </x:c>
      <x:c r="M108" s="339" t="str">
        <x:v>Student master, parent master, documents, fees, academic structure, notifications</x:v>
      </x:c>
      <x:c r="N108" s="339" t="str">
        <x:v>Not Started</x:v>
      </x:c>
    </x:row>
    <x:row r="109">
      <x:c r="A109" s="339" t="str">
        <x:v>US-0108</x:v>
      </x:c>
      <x:c r="B109" s="339" t="str">
        <x:v>EP-005</x:v>
      </x:c>
      <x:c r="C109" s="339" t="str">
        <x:v>SCR-054</x:v>
      </x:c>
      <x:c r="D109" s="339" t="str">
        <x:v>Admissions &amp; Enquiries</x:v>
      </x:c>
      <x:c r="E109" s="339" t="str">
        <x:v>Admission Confirmation &amp; Student Creation</x:v>
      </x:c>
      <x:c r="F109" s="339" t="str">
        <x:v>Admission Officer</x:v>
      </x:c>
      <x:c r="G109" s="339" t="str">
        <x:v>As a Admission Officer, I want admission confirmation &amp; student creation to enforce status, approval &amp; exception handling rules so that data quality, permissions and traceability are protected.</x:v>
      </x:c>
      <x:c r="H109" s="339" t="str">
        <x:v>Status, Approval &amp; Exception Handling</x:v>
      </x:c>
      <x:c r="I109" s="339" t="str">
        <x:v>Phase 3</x:v>
      </x:c>
      <x:c r="J109" s="339" t="str">
        <x:v>Phase 3</x:v>
      </x:c>
      <x:c r="K109" s="339" t="str">
        <x:v>High</x:v>
      </x:c>
      <x:c r="L109" s="339" t="n">
        <x:v>6</x:v>
      </x:c>
      <x:c r="M109" s="339" t="str">
        <x:v>Student master, parent master, documents, fees, academic structure, notifications</x:v>
      </x:c>
      <x:c r="N109" s="339" t="str">
        <x:v>Not Started</x:v>
      </x:c>
    </x:row>
    <x:row r="110">
      <x:c r="A110" s="339" t="str">
        <x:v>US-0109</x:v>
      </x:c>
      <x:c r="B110" s="339" t="str">
        <x:v>EP-006</x:v>
      </x:c>
      <x:c r="C110" s="339" t="str">
        <x:v>SCR-055</x:v>
      </x:c>
      <x:c r="D110" s="339" t="str">
        <x:v>Students</x:v>
      </x:c>
      <x:c r="E110" s="339" t="str">
        <x:v>Student Directory</x:v>
      </x:c>
      <x:c r="F110" s="339" t="str">
        <x:v>School Admin</x:v>
      </x:c>
      <x:c r="G110" s="339" t="str">
        <x:v>As a School Admin, I want to find and manage student directory so that the school has an accurate student record.</x:v>
      </x:c>
      <x:c r="H110" s="339" t="str">
        <x:v>Primary Workflow</x:v>
      </x:c>
      <x:c r="I110" s="339" t="str">
        <x:v>MVP</x:v>
      </x:c>
      <x:c r="J110" s="339" t="str">
        <x:v>MVP</x:v>
      </x:c>
      <x:c r="K110" s="339" t="str">
        <x:v>Medium</x:v>
      </x:c>
      <x:c r="L110" s="339" t="n">
        <x:v>5</x:v>
      </x:c>
      <x:c r="M110" s="339" t="str">
        <x:v>Admissions, parents, academics, attendance, exams, fees, documents</x:v>
      </x:c>
      <x:c r="N110" s="339" t="str">
        <x:v>Not Started</x:v>
      </x:c>
    </x:row>
    <x:row r="111">
      <x:c r="A111" s="339" t="str">
        <x:v>US-0110</x:v>
      </x:c>
      <x:c r="B111" s="339" t="str">
        <x:v>EP-006</x:v>
      </x:c>
      <x:c r="C111" s="339" t="str">
        <x:v>SCR-055</x:v>
      </x:c>
      <x:c r="D111" s="339" t="str">
        <x:v>Students</x:v>
      </x:c>
      <x:c r="E111" s="339" t="str">
        <x:v>Student Directory</x:v>
      </x:c>
      <x:c r="F111" s="339" t="str">
        <x:v>School Admin</x:v>
      </x:c>
      <x:c r="G111" s="339" t="str">
        <x:v>As a School Admin, I want student directory to enforce search, filter &amp; controlled actions rules so that data quality, permissions and traceability are protected.</x:v>
      </x:c>
      <x:c r="H111" s="339" t="str">
        <x:v>Search, Filter &amp; Controlled Actions</x:v>
      </x:c>
      <x:c r="I111" s="339" t="str">
        <x:v>MVP</x:v>
      </x:c>
      <x:c r="J111" s="339" t="str">
        <x:v>MVP</x:v>
      </x:c>
      <x:c r="K111" s="339" t="str">
        <x:v>Medium</x:v>
      </x:c>
      <x:c r="L111" s="339" t="n">
        <x:v>3</x:v>
      </x:c>
      <x:c r="M111" s="339" t="str">
        <x:v>Admissions, parents, academics, attendance, exams, fees, documents</x:v>
      </x:c>
      <x:c r="N111" s="339" t="str">
        <x:v>Not Started</x:v>
      </x:c>
    </x:row>
    <x:row r="112">
      <x:c r="A112" s="339" t="str">
        <x:v>US-0111</x:v>
      </x:c>
      <x:c r="B112" s="339" t="str">
        <x:v>EP-006</x:v>
      </x:c>
      <x:c r="C112" s="339" t="str">
        <x:v>SCR-056</x:v>
      </x:c>
      <x:c r="D112" s="339" t="str">
        <x:v>Students</x:v>
      </x:c>
      <x:c r="E112" s="339" t="str">
        <x:v>Add Student</x:v>
      </x:c>
      <x:c r="F112" s="339" t="str">
        <x:v>School Admin</x:v>
      </x:c>
      <x:c r="G112" s="339" t="str">
        <x:v>As a School Admin, I want to create or process student so that the school has an accurate student record.</x:v>
      </x:c>
      <x:c r="H112" s="339" t="str">
        <x:v>Primary Workflow</x:v>
      </x:c>
      <x:c r="I112" s="339" t="str">
        <x:v>MVP</x:v>
      </x:c>
      <x:c r="J112" s="339" t="str">
        <x:v>MVP</x:v>
      </x:c>
      <x:c r="K112" s="339" t="str">
        <x:v>Medium</x:v>
      </x:c>
      <x:c r="L112" s="339" t="n">
        <x:v>5</x:v>
      </x:c>
      <x:c r="M112" s="339" t="str">
        <x:v>Admissions, parents, academics, attendance, exams, fees, documents</x:v>
      </x:c>
      <x:c r="N112" s="339" t="str">
        <x:v>Not Started</x:v>
      </x:c>
    </x:row>
    <x:row r="113">
      <x:c r="A113" s="339" t="str">
        <x:v>US-0112</x:v>
      </x:c>
      <x:c r="B113" s="339" t="str">
        <x:v>EP-006</x:v>
      </x:c>
      <x:c r="C113" s="339" t="str">
        <x:v>SCR-056</x:v>
      </x:c>
      <x:c r="D113" s="339" t="str">
        <x:v>Students</x:v>
      </x:c>
      <x:c r="E113" s="339" t="str">
        <x:v>Add Student</x:v>
      </x:c>
      <x:c r="F113" s="339" t="str">
        <x:v>School Admin</x:v>
      </x:c>
      <x:c r="G113" s="339" t="str">
        <x:v>As a School Admin, I want add student to enforce validation &amp; duplicate prevention rules so that data quality, permissions and traceability are protected.</x:v>
      </x:c>
      <x:c r="H113" s="339" t="str">
        <x:v>Validation &amp; Duplicate Prevention</x:v>
      </x:c>
      <x:c r="I113" s="339" t="str">
        <x:v>MVP</x:v>
      </x:c>
      <x:c r="J113" s="339" t="str">
        <x:v>MVP</x:v>
      </x:c>
      <x:c r="K113" s="339" t="str">
        <x:v>Medium</x:v>
      </x:c>
      <x:c r="L113" s="339" t="n">
        <x:v>3</x:v>
      </x:c>
      <x:c r="M113" s="339" t="str">
        <x:v>Admissions, parents, academics, attendance, exams, fees, documents</x:v>
      </x:c>
      <x:c r="N113" s="339" t="str">
        <x:v>Not Started</x:v>
      </x:c>
    </x:row>
    <x:row r="114">
      <x:c r="A114" s="339" t="str">
        <x:v>US-0113</x:v>
      </x:c>
      <x:c r="B114" s="339" t="str">
        <x:v>EP-006</x:v>
      </x:c>
      <x:c r="C114" s="339" t="str">
        <x:v>SCR-057</x:v>
      </x:c>
      <x:c r="D114" s="339" t="str">
        <x:v>Students</x:v>
      </x:c>
      <x:c r="E114" s="339" t="str">
        <x:v>Student Profile Overview</x:v>
      </x:c>
      <x:c r="F114" s="339" t="str">
        <x:v>School Admin</x:v>
      </x:c>
      <x:c r="G114" s="339" t="str">
        <x:v>As a School Admin, I want to review and maintain student profile overview so that the school has an accurate student record.</x:v>
      </x:c>
      <x:c r="H114" s="339" t="str">
        <x:v>Primary Workflow</x:v>
      </x:c>
      <x:c r="I114" s="339" t="str">
        <x:v>MVP</x:v>
      </x:c>
      <x:c r="J114" s="339" t="str">
        <x:v>MVP</x:v>
      </x:c>
      <x:c r="K114" s="339" t="str">
        <x:v>Medium</x:v>
      </x:c>
      <x:c r="L114" s="339" t="n">
        <x:v>5</x:v>
      </x:c>
      <x:c r="M114" s="339" t="str">
        <x:v>Admissions, parents, academics, attendance, exams, fees, documents</x:v>
      </x:c>
      <x:c r="N114" s="339" t="str">
        <x:v>Not Started</x:v>
      </x:c>
    </x:row>
    <x:row r="115">
      <x:c r="A115" s="339" t="str">
        <x:v>US-0114</x:v>
      </x:c>
      <x:c r="B115" s="339" t="str">
        <x:v>EP-006</x:v>
      </x:c>
      <x:c r="C115" s="339" t="str">
        <x:v>SCR-057</x:v>
      </x:c>
      <x:c r="D115" s="339" t="str">
        <x:v>Students</x:v>
      </x:c>
      <x:c r="E115" s="339" t="str">
        <x:v>Student Profile Overview</x:v>
      </x:c>
      <x:c r="F115" s="339" t="str">
        <x:v>School Admin</x:v>
      </x:c>
      <x:c r="G115" s="339" t="str">
        <x:v>As a School Admin, I want student profile overview to enforce history, edit &amp; audit rules so that data quality, permissions and traceability are protected.</x:v>
      </x:c>
      <x:c r="H115" s="339" t="str">
        <x:v>History, Edit &amp; Audit</x:v>
      </x:c>
      <x:c r="I115" s="339" t="str">
        <x:v>MVP</x:v>
      </x:c>
      <x:c r="J115" s="339" t="str">
        <x:v>MVP</x:v>
      </x:c>
      <x:c r="K115" s="339" t="str">
        <x:v>Medium</x:v>
      </x:c>
      <x:c r="L115" s="339" t="n">
        <x:v>3</x:v>
      </x:c>
      <x:c r="M115" s="339" t="str">
        <x:v>Admissions, parents, academics, attendance, exams, fees, documents</x:v>
      </x:c>
      <x:c r="N115" s="339" t="str">
        <x:v>Not Started</x:v>
      </x:c>
    </x:row>
    <x:row r="116">
      <x:c r="A116" s="339" t="str">
        <x:v>US-0115</x:v>
      </x:c>
      <x:c r="B116" s="339" t="str">
        <x:v>EP-006</x:v>
      </x:c>
      <x:c r="C116" s="339" t="str">
        <x:v>SCR-058</x:v>
      </x:c>
      <x:c r="D116" s="339" t="str">
        <x:v>Students</x:v>
      </x:c>
      <x:c r="E116" s="339" t="str">
        <x:v>Edit Student</x:v>
      </x:c>
      <x:c r="F116" s="339" t="str">
        <x:v>School Admin</x:v>
      </x:c>
      <x:c r="G116" s="339" t="str">
        <x:v>As a School Admin, I want to manage student so that the school has an accurate student record.</x:v>
      </x:c>
      <x:c r="H116" s="339" t="str">
        <x:v>Primary Workflow</x:v>
      </x:c>
      <x:c r="I116" s="339" t="str">
        <x:v>MVP</x:v>
      </x:c>
      <x:c r="J116" s="339" t="str">
        <x:v>MVP</x:v>
      </x:c>
      <x:c r="K116" s="339" t="str">
        <x:v>High</x:v>
      </x:c>
      <x:c r="L116" s="339" t="n">
        <x:v>8</x:v>
      </x:c>
      <x:c r="M116" s="339" t="str">
        <x:v>Admissions, parents, academics, attendance, exams, fees, documents</x:v>
      </x:c>
      <x:c r="N116" s="339" t="str">
        <x:v>Not Started</x:v>
      </x:c>
    </x:row>
    <x:row r="117">
      <x:c r="A117" s="339" t="str">
        <x:v>US-0116</x:v>
      </x:c>
      <x:c r="B117" s="339" t="str">
        <x:v>EP-006</x:v>
      </x:c>
      <x:c r="C117" s="339" t="str">
        <x:v>SCR-058</x:v>
      </x:c>
      <x:c r="D117" s="339" t="str">
        <x:v>Students</x:v>
      </x:c>
      <x:c r="E117" s="339" t="str">
        <x:v>Edit Student</x:v>
      </x:c>
      <x:c r="F117" s="339" t="str">
        <x:v>School Admin</x:v>
      </x:c>
      <x:c r="G117" s="339" t="str">
        <x:v>As a School Admin, I want edit student to enforce status, approval &amp; exception handling rules so that data quality, permissions and traceability are protected.</x:v>
      </x:c>
      <x:c r="H117" s="339" t="str">
        <x:v>Status, Approval &amp; Exception Handling</x:v>
      </x:c>
      <x:c r="I117" s="339" t="str">
        <x:v>MVP</x:v>
      </x:c>
      <x:c r="J117" s="339" t="str">
        <x:v>MVP</x:v>
      </x:c>
      <x:c r="K117" s="339" t="str">
        <x:v>High</x:v>
      </x:c>
      <x:c r="L117" s="339" t="n">
        <x:v>6</x:v>
      </x:c>
      <x:c r="M117" s="339" t="str">
        <x:v>Admissions, parents, academics, attendance, exams, fees, documents</x:v>
      </x:c>
      <x:c r="N117" s="339" t="str">
        <x:v>Not Started</x:v>
      </x:c>
    </x:row>
    <x:row r="118">
      <x:c r="A118" s="339" t="str">
        <x:v>US-0117</x:v>
      </x:c>
      <x:c r="B118" s="339" t="str">
        <x:v>EP-006</x:v>
      </x:c>
      <x:c r="C118" s="339" t="str">
        <x:v>SCR-059</x:v>
      </x:c>
      <x:c r="D118" s="339" t="str">
        <x:v>Students</x:v>
      </x:c>
      <x:c r="E118" s="339" t="str">
        <x:v>Student Academic Details</x:v>
      </x:c>
      <x:c r="F118" s="339" t="str">
        <x:v>School Admin</x:v>
      </x:c>
      <x:c r="G118" s="339" t="str">
        <x:v>As a School Admin, I want to review and maintain student academic details so that the school has an accurate student record.</x:v>
      </x:c>
      <x:c r="H118" s="339" t="str">
        <x:v>Primary Workflow</x:v>
      </x:c>
      <x:c r="I118" s="339" t="str">
        <x:v>MVP</x:v>
      </x:c>
      <x:c r="J118" s="339" t="str">
        <x:v>MVP</x:v>
      </x:c>
      <x:c r="K118" s="339" t="str">
        <x:v>Medium</x:v>
      </x:c>
      <x:c r="L118" s="339" t="n">
        <x:v>5</x:v>
      </x:c>
      <x:c r="M118" s="339" t="str">
        <x:v>Admissions, parents, academics, attendance, exams, fees, documents</x:v>
      </x:c>
      <x:c r="N118" s="339" t="str">
        <x:v>Not Started</x:v>
      </x:c>
    </x:row>
    <x:row r="119">
      <x:c r="A119" s="339" t="str">
        <x:v>US-0118</x:v>
      </x:c>
      <x:c r="B119" s="339" t="str">
        <x:v>EP-006</x:v>
      </x:c>
      <x:c r="C119" s="339" t="str">
        <x:v>SCR-059</x:v>
      </x:c>
      <x:c r="D119" s="339" t="str">
        <x:v>Students</x:v>
      </x:c>
      <x:c r="E119" s="339" t="str">
        <x:v>Student Academic Details</x:v>
      </x:c>
      <x:c r="F119" s="339" t="str">
        <x:v>School Admin</x:v>
      </x:c>
      <x:c r="G119" s="339" t="str">
        <x:v>As a School Admin, I want student academic details to enforce history, edit &amp; audit rules so that data quality, permissions and traceability are protected.</x:v>
      </x:c>
      <x:c r="H119" s="339" t="str">
        <x:v>History, Edit &amp; Audit</x:v>
      </x:c>
      <x:c r="I119" s="339" t="str">
        <x:v>MVP</x:v>
      </x:c>
      <x:c r="J119" s="339" t="str">
        <x:v>MVP</x:v>
      </x:c>
      <x:c r="K119" s="339" t="str">
        <x:v>Medium</x:v>
      </x:c>
      <x:c r="L119" s="339" t="n">
        <x:v>3</x:v>
      </x:c>
      <x:c r="M119" s="339" t="str">
        <x:v>Admissions, parents, academics, attendance, exams, fees, documents</x:v>
      </x:c>
      <x:c r="N119" s="339" t="str">
        <x:v>Not Started</x:v>
      </x:c>
    </x:row>
    <x:row r="120">
      <x:c r="A120" s="339" t="str">
        <x:v>US-0119</x:v>
      </x:c>
      <x:c r="B120" s="339" t="str">
        <x:v>EP-006</x:v>
      </x:c>
      <x:c r="C120" s="339" t="str">
        <x:v>SCR-060</x:v>
      </x:c>
      <x:c r="D120" s="339" t="str">
        <x:v>Students</x:v>
      </x:c>
      <x:c r="E120" s="339" t="str">
        <x:v>Student Attendance History</x:v>
      </x:c>
      <x:c r="F120" s="339" t="str">
        <x:v>School Admin</x:v>
      </x:c>
      <x:c r="G120" s="339" t="str">
        <x:v>As a School Admin, I want to review and maintain student attendance history so that the school has an accurate student record.</x:v>
      </x:c>
      <x:c r="H120" s="339" t="str">
        <x:v>Primary Workflow</x:v>
      </x:c>
      <x:c r="I120" s="339" t="str">
        <x:v>MVP</x:v>
      </x:c>
      <x:c r="J120" s="339" t="str">
        <x:v>MVP</x:v>
      </x:c>
      <x:c r="K120" s="339" t="str">
        <x:v>Medium</x:v>
      </x:c>
      <x:c r="L120" s="339" t="n">
        <x:v>5</x:v>
      </x:c>
      <x:c r="M120" s="339" t="str">
        <x:v>Admissions, parents, academics, attendance, exams, fees, documents</x:v>
      </x:c>
      <x:c r="N120" s="339" t="str">
        <x:v>Not Started</x:v>
      </x:c>
    </x:row>
    <x:row r="121">
      <x:c r="A121" s="339" t="str">
        <x:v>US-0120</x:v>
      </x:c>
      <x:c r="B121" s="339" t="str">
        <x:v>EP-006</x:v>
      </x:c>
      <x:c r="C121" s="339" t="str">
        <x:v>SCR-060</x:v>
      </x:c>
      <x:c r="D121" s="339" t="str">
        <x:v>Students</x:v>
      </x:c>
      <x:c r="E121" s="339" t="str">
        <x:v>Student Attendance History</x:v>
      </x:c>
      <x:c r="F121" s="339" t="str">
        <x:v>School Admin</x:v>
      </x:c>
      <x:c r="G121" s="339" t="str">
        <x:v>As a School Admin, I want student attendance history to enforce history, edit &amp; audit rules so that data quality, permissions and traceability are protected.</x:v>
      </x:c>
      <x:c r="H121" s="339" t="str">
        <x:v>History, Edit &amp; Audit</x:v>
      </x:c>
      <x:c r="I121" s="339" t="str">
        <x:v>MVP</x:v>
      </x:c>
      <x:c r="J121" s="339" t="str">
        <x:v>MVP</x:v>
      </x:c>
      <x:c r="K121" s="339" t="str">
        <x:v>Medium</x:v>
      </x:c>
      <x:c r="L121" s="339" t="n">
        <x:v>3</x:v>
      </x:c>
      <x:c r="M121" s="339" t="str">
        <x:v>Admissions, parents, academics, attendance, exams, fees, documents</x:v>
      </x:c>
      <x:c r="N121" s="339" t="str">
        <x:v>Not Started</x:v>
      </x:c>
    </x:row>
    <x:row r="122">
      <x:c r="A122" s="339" t="str">
        <x:v>US-0121</x:v>
      </x:c>
      <x:c r="B122" s="339" t="str">
        <x:v>EP-006</x:v>
      </x:c>
      <x:c r="C122" s="339" t="str">
        <x:v>SCR-061</x:v>
      </x:c>
      <x:c r="D122" s="339" t="str">
        <x:v>Students</x:v>
      </x:c>
      <x:c r="E122" s="339" t="str">
        <x:v>Student Examination &amp; Results</x:v>
      </x:c>
      <x:c r="F122" s="339" t="str">
        <x:v>School Admin</x:v>
      </x:c>
      <x:c r="G122" s="339" t="str">
        <x:v>As a School Admin, I want to review and maintain student examination &amp; results so that the school has an accurate student record.</x:v>
      </x:c>
      <x:c r="H122" s="339" t="str">
        <x:v>Primary Workflow</x:v>
      </x:c>
      <x:c r="I122" s="339" t="str">
        <x:v>MVP</x:v>
      </x:c>
      <x:c r="J122" s="339" t="str">
        <x:v>MVP</x:v>
      </x:c>
      <x:c r="K122" s="339" t="str">
        <x:v>Medium</x:v>
      </x:c>
      <x:c r="L122" s="339" t="n">
        <x:v>5</x:v>
      </x:c>
      <x:c r="M122" s="339" t="str">
        <x:v>Admissions, parents, academics, attendance, exams, fees, documents</x:v>
      </x:c>
      <x:c r="N122" s="339" t="str">
        <x:v>Not Started</x:v>
      </x:c>
    </x:row>
    <x:row r="123">
      <x:c r="A123" s="339" t="str">
        <x:v>US-0122</x:v>
      </x:c>
      <x:c r="B123" s="339" t="str">
        <x:v>EP-006</x:v>
      </x:c>
      <x:c r="C123" s="339" t="str">
        <x:v>SCR-061</x:v>
      </x:c>
      <x:c r="D123" s="339" t="str">
        <x:v>Students</x:v>
      </x:c>
      <x:c r="E123" s="339" t="str">
        <x:v>Student Examination &amp; Results</x:v>
      </x:c>
      <x:c r="F123" s="339" t="str">
        <x:v>School Admin</x:v>
      </x:c>
      <x:c r="G123" s="339" t="str">
        <x:v>As a School Admin, I want student examination &amp; results to enforce history, edit &amp; audit rules so that data quality, permissions and traceability are protected.</x:v>
      </x:c>
      <x:c r="H123" s="339" t="str">
        <x:v>History, Edit &amp; Audit</x:v>
      </x:c>
      <x:c r="I123" s="339" t="str">
        <x:v>MVP</x:v>
      </x:c>
      <x:c r="J123" s="339" t="str">
        <x:v>MVP</x:v>
      </x:c>
      <x:c r="K123" s="339" t="str">
        <x:v>Medium</x:v>
      </x:c>
      <x:c r="L123" s="339" t="n">
        <x:v>3</x:v>
      </x:c>
      <x:c r="M123" s="339" t="str">
        <x:v>Admissions, parents, academics, attendance, exams, fees, documents</x:v>
      </x:c>
      <x:c r="N123" s="339" t="str">
        <x:v>Not Started</x:v>
      </x:c>
    </x:row>
    <x:row r="124">
      <x:c r="A124" s="339" t="str">
        <x:v>US-0123</x:v>
      </x:c>
      <x:c r="B124" s="339" t="str">
        <x:v>EP-006</x:v>
      </x:c>
      <x:c r="C124" s="339" t="str">
        <x:v>SCR-062</x:v>
      </x:c>
      <x:c r="D124" s="339" t="str">
        <x:v>Students</x:v>
      </x:c>
      <x:c r="E124" s="339" t="str">
        <x:v>Student Fees &amp; Ledger</x:v>
      </x:c>
      <x:c r="F124" s="339" t="str">
        <x:v>School Admin</x:v>
      </x:c>
      <x:c r="G124" s="339" t="str">
        <x:v>As a School Admin, I want to review and maintain student fees &amp; ledger so that the school has an accurate student record.</x:v>
      </x:c>
      <x:c r="H124" s="339" t="str">
        <x:v>Primary Workflow</x:v>
      </x:c>
      <x:c r="I124" s="339" t="str">
        <x:v>MVP</x:v>
      </x:c>
      <x:c r="J124" s="339" t="str">
        <x:v>MVP</x:v>
      </x:c>
      <x:c r="K124" s="339" t="str">
        <x:v>Medium</x:v>
      </x:c>
      <x:c r="L124" s="339" t="n">
        <x:v>5</x:v>
      </x:c>
      <x:c r="M124" s="339" t="str">
        <x:v>Admissions, parents, academics, attendance, exams, fees, documents</x:v>
      </x:c>
      <x:c r="N124" s="339" t="str">
        <x:v>Not Started</x:v>
      </x:c>
    </x:row>
    <x:row r="125">
      <x:c r="A125" s="339" t="str">
        <x:v>US-0124</x:v>
      </x:c>
      <x:c r="B125" s="339" t="str">
        <x:v>EP-006</x:v>
      </x:c>
      <x:c r="C125" s="339" t="str">
        <x:v>SCR-062</x:v>
      </x:c>
      <x:c r="D125" s="339" t="str">
        <x:v>Students</x:v>
      </x:c>
      <x:c r="E125" s="339" t="str">
        <x:v>Student Fees &amp; Ledger</x:v>
      </x:c>
      <x:c r="F125" s="339" t="str">
        <x:v>School Admin</x:v>
      </x:c>
      <x:c r="G125" s="339" t="str">
        <x:v>As a School Admin, I want student fees &amp; ledger to enforce history, edit &amp; audit rules so that data quality, permissions and traceability are protected.</x:v>
      </x:c>
      <x:c r="H125" s="339" t="str">
        <x:v>History, Edit &amp; Audit</x:v>
      </x:c>
      <x:c r="I125" s="339" t="str">
        <x:v>MVP</x:v>
      </x:c>
      <x:c r="J125" s="339" t="str">
        <x:v>MVP</x:v>
      </x:c>
      <x:c r="K125" s="339" t="str">
        <x:v>Medium</x:v>
      </x:c>
      <x:c r="L125" s="339" t="n">
        <x:v>3</x:v>
      </x:c>
      <x:c r="M125" s="339" t="str">
        <x:v>Admissions, parents, academics, attendance, exams, fees, documents</x:v>
      </x:c>
      <x:c r="N125" s="339" t="str">
        <x:v>Not Started</x:v>
      </x:c>
    </x:row>
    <x:row r="126">
      <x:c r="A126" s="339" t="str">
        <x:v>US-0125</x:v>
      </x:c>
      <x:c r="B126" s="339" t="str">
        <x:v>EP-006</x:v>
      </x:c>
      <x:c r="C126" s="339" t="str">
        <x:v>SCR-063</x:v>
      </x:c>
      <x:c r="D126" s="339" t="str">
        <x:v>Students</x:v>
      </x:c>
      <x:c r="E126" s="339" t="str">
        <x:v>Student Documents</x:v>
      </x:c>
      <x:c r="F126" s="339" t="str">
        <x:v>School Admin</x:v>
      </x:c>
      <x:c r="G126" s="339" t="str">
        <x:v>As a School Admin, I want to manage student documents so that the school has an accurate student record.</x:v>
      </x:c>
      <x:c r="H126" s="339" t="str">
        <x:v>Primary Workflow</x:v>
      </x:c>
      <x:c r="I126" s="339" t="str">
        <x:v>Phase 2</x:v>
      </x:c>
      <x:c r="J126" s="339" t="str">
        <x:v>Phase 2</x:v>
      </x:c>
      <x:c r="K126" s="339" t="str">
        <x:v>High</x:v>
      </x:c>
      <x:c r="L126" s="339" t="n">
        <x:v>8</x:v>
      </x:c>
      <x:c r="M126" s="339" t="str">
        <x:v>Admissions, parents, academics, attendance, exams, fees, documents</x:v>
      </x:c>
      <x:c r="N126" s="339" t="str">
        <x:v>Not Started</x:v>
      </x:c>
    </x:row>
    <x:row r="127">
      <x:c r="A127" s="339" t="str">
        <x:v>US-0126</x:v>
      </x:c>
      <x:c r="B127" s="339" t="str">
        <x:v>EP-006</x:v>
      </x:c>
      <x:c r="C127" s="339" t="str">
        <x:v>SCR-063</x:v>
      </x:c>
      <x:c r="D127" s="339" t="str">
        <x:v>Students</x:v>
      </x:c>
      <x:c r="E127" s="339" t="str">
        <x:v>Student Documents</x:v>
      </x:c>
      <x:c r="F127" s="339" t="str">
        <x:v>School Admin</x:v>
      </x:c>
      <x:c r="G127" s="339" t="str">
        <x:v>As a School Admin, I want student documents to enforce status, approval &amp; exception handling rules so that data quality, permissions and traceability are protected.</x:v>
      </x:c>
      <x:c r="H127" s="339" t="str">
        <x:v>Status, Approval &amp; Exception Handling</x:v>
      </x:c>
      <x:c r="I127" s="339" t="str">
        <x:v>Phase 2</x:v>
      </x:c>
      <x:c r="J127" s="339" t="str">
        <x:v>Phase 2</x:v>
      </x:c>
      <x:c r="K127" s="339" t="str">
        <x:v>High</x:v>
      </x:c>
      <x:c r="L127" s="339" t="n">
        <x:v>6</x:v>
      </x:c>
      <x:c r="M127" s="339" t="str">
        <x:v>Admissions, parents, academics, attendance, exams, fees, documents</x:v>
      </x:c>
      <x:c r="N127" s="339" t="str">
        <x:v>Not Started</x:v>
      </x:c>
    </x:row>
    <x:row r="128">
      <x:c r="A128" s="339" t="str">
        <x:v>US-0127</x:v>
      </x:c>
      <x:c r="B128" s="339" t="str">
        <x:v>EP-006</x:v>
      </x:c>
      <x:c r="C128" s="339" t="str">
        <x:v>SCR-064</x:v>
      </x:c>
      <x:c r="D128" s="339" t="str">
        <x:v>Students</x:v>
      </x:c>
      <x:c r="E128" s="339" t="str">
        <x:v>Student Behaviour &amp; Discipline</x:v>
      </x:c>
      <x:c r="F128" s="339" t="str">
        <x:v>School Admin</x:v>
      </x:c>
      <x:c r="G128" s="339" t="str">
        <x:v>As a School Admin, I want to manage student behaviour &amp; discipline so that the school has an accurate student record.</x:v>
      </x:c>
      <x:c r="H128" s="339" t="str">
        <x:v>Primary Workflow</x:v>
      </x:c>
      <x:c r="I128" s="339" t="str">
        <x:v>Phase 2</x:v>
      </x:c>
      <x:c r="J128" s="339" t="str">
        <x:v>Phase 2</x:v>
      </x:c>
      <x:c r="K128" s="339" t="str">
        <x:v>High</x:v>
      </x:c>
      <x:c r="L128" s="339" t="n">
        <x:v>8</x:v>
      </x:c>
      <x:c r="M128" s="339" t="str">
        <x:v>Admissions, parents, academics, attendance, exams, fees, documents</x:v>
      </x:c>
      <x:c r="N128" s="339" t="str">
        <x:v>Not Started</x:v>
      </x:c>
    </x:row>
    <x:row r="129">
      <x:c r="A129" s="339" t="str">
        <x:v>US-0128</x:v>
      </x:c>
      <x:c r="B129" s="339" t="str">
        <x:v>EP-006</x:v>
      </x:c>
      <x:c r="C129" s="339" t="str">
        <x:v>SCR-064</x:v>
      </x:c>
      <x:c r="D129" s="339" t="str">
        <x:v>Students</x:v>
      </x:c>
      <x:c r="E129" s="339" t="str">
        <x:v>Student Behaviour &amp; Discipline</x:v>
      </x:c>
      <x:c r="F129" s="339" t="str">
        <x:v>School Admin</x:v>
      </x:c>
      <x:c r="G129" s="339" t="str">
        <x:v>As a School Admin, I want student behaviour &amp; discipline to enforce status, approval &amp; exception handling rules so that data quality, permissions and traceability are protected.</x:v>
      </x:c>
      <x:c r="H129" s="339" t="str">
        <x:v>Status, Approval &amp; Exception Handling</x:v>
      </x:c>
      <x:c r="I129" s="339" t="str">
        <x:v>Phase 2</x:v>
      </x:c>
      <x:c r="J129" s="339" t="str">
        <x:v>Phase 2</x:v>
      </x:c>
      <x:c r="K129" s="339" t="str">
        <x:v>High</x:v>
      </x:c>
      <x:c r="L129" s="339" t="n">
        <x:v>6</x:v>
      </x:c>
      <x:c r="M129" s="339" t="str">
        <x:v>Admissions, parents, academics, attendance, exams, fees, documents</x:v>
      </x:c>
      <x:c r="N129" s="339" t="str">
        <x:v>Not Started</x:v>
      </x:c>
    </x:row>
    <x:row r="130">
      <x:c r="A130" s="339" t="str">
        <x:v>US-0129</x:v>
      </x:c>
      <x:c r="B130" s="339" t="str">
        <x:v>EP-006</x:v>
      </x:c>
      <x:c r="C130" s="339" t="str">
        <x:v>SCR-065</x:v>
      </x:c>
      <x:c r="D130" s="339" t="str">
        <x:v>Students</x:v>
      </x:c>
      <x:c r="E130" s="339" t="str">
        <x:v>Student Health</x:v>
      </x:c>
      <x:c r="F130" s="339" t="str">
        <x:v>School Admin</x:v>
      </x:c>
      <x:c r="G130" s="339" t="str">
        <x:v>As a School Admin, I want to manage student health so that the school has an accurate student record.</x:v>
      </x:c>
      <x:c r="H130" s="339" t="str">
        <x:v>Primary Workflow</x:v>
      </x:c>
      <x:c r="I130" s="339" t="str">
        <x:v>Phase 2</x:v>
      </x:c>
      <x:c r="J130" s="339" t="str">
        <x:v>Phase 2</x:v>
      </x:c>
      <x:c r="K130" s="339" t="str">
        <x:v>High</x:v>
      </x:c>
      <x:c r="L130" s="339" t="n">
        <x:v>8</x:v>
      </x:c>
      <x:c r="M130" s="339" t="str">
        <x:v>Admissions, parents, academics, attendance, exams, fees, documents</x:v>
      </x:c>
      <x:c r="N130" s="339" t="str">
        <x:v>Not Started</x:v>
      </x:c>
    </x:row>
    <x:row r="131">
      <x:c r="A131" s="339" t="str">
        <x:v>US-0130</x:v>
      </x:c>
      <x:c r="B131" s="339" t="str">
        <x:v>EP-006</x:v>
      </x:c>
      <x:c r="C131" s="339" t="str">
        <x:v>SCR-065</x:v>
      </x:c>
      <x:c r="D131" s="339" t="str">
        <x:v>Students</x:v>
      </x:c>
      <x:c r="E131" s="339" t="str">
        <x:v>Student Health</x:v>
      </x:c>
      <x:c r="F131" s="339" t="str">
        <x:v>School Admin</x:v>
      </x:c>
      <x:c r="G131" s="339" t="str">
        <x:v>As a School Admin, I want student health to enforce status, approval &amp; exception handling rules so that data quality, permissions and traceability are protected.</x:v>
      </x:c>
      <x:c r="H131" s="339" t="str">
        <x:v>Status, Approval &amp; Exception Handling</x:v>
      </x:c>
      <x:c r="I131" s="339" t="str">
        <x:v>Phase 2</x:v>
      </x:c>
      <x:c r="J131" s="339" t="str">
        <x:v>Phase 2</x:v>
      </x:c>
      <x:c r="K131" s="339" t="str">
        <x:v>High</x:v>
      </x:c>
      <x:c r="L131" s="339" t="n">
        <x:v>6</x:v>
      </x:c>
      <x:c r="M131" s="339" t="str">
        <x:v>Admissions, parents, academics, attendance, exams, fees, documents</x:v>
      </x:c>
      <x:c r="N131" s="339" t="str">
        <x:v>Not Started</x:v>
      </x:c>
    </x:row>
    <x:row r="132">
      <x:c r="A132" s="339" t="str">
        <x:v>US-0131</x:v>
      </x:c>
      <x:c r="B132" s="339" t="str">
        <x:v>EP-006</x:v>
      </x:c>
      <x:c r="C132" s="339" t="str">
        <x:v>SCR-066</x:v>
      </x:c>
      <x:c r="D132" s="339" t="str">
        <x:v>Students</x:v>
      </x:c>
      <x:c r="E132" s="339" t="str">
        <x:v>Student Transport</x:v>
      </x:c>
      <x:c r="F132" s="339" t="str">
        <x:v>School Admin</x:v>
      </x:c>
      <x:c r="G132" s="339" t="str">
        <x:v>As a School Admin, I want to manage student transport so that the school has an accurate student record.</x:v>
      </x:c>
      <x:c r="H132" s="339" t="str">
        <x:v>Primary Workflow</x:v>
      </x:c>
      <x:c r="I132" s="339" t="str">
        <x:v>Phase 3</x:v>
      </x:c>
      <x:c r="J132" s="339" t="str">
        <x:v>Phase 3</x:v>
      </x:c>
      <x:c r="K132" s="339" t="str">
        <x:v>High</x:v>
      </x:c>
      <x:c r="L132" s="339" t="n">
        <x:v>8</x:v>
      </x:c>
      <x:c r="M132" s="339" t="str">
        <x:v>Admissions, parents, academics, attendance, exams, fees, documents</x:v>
      </x:c>
      <x:c r="N132" s="339" t="str">
        <x:v>Not Started</x:v>
      </x:c>
    </x:row>
    <x:row r="133">
      <x:c r="A133" s="339" t="str">
        <x:v>US-0132</x:v>
      </x:c>
      <x:c r="B133" s="339" t="str">
        <x:v>EP-006</x:v>
      </x:c>
      <x:c r="C133" s="339" t="str">
        <x:v>SCR-066</x:v>
      </x:c>
      <x:c r="D133" s="339" t="str">
        <x:v>Students</x:v>
      </x:c>
      <x:c r="E133" s="339" t="str">
        <x:v>Student Transport</x:v>
      </x:c>
      <x:c r="F133" s="339" t="str">
        <x:v>School Admin</x:v>
      </x:c>
      <x:c r="G133" s="339" t="str">
        <x:v>As a School Admin, I want student transport to enforce status, approval &amp; exception handling rules so that data quality, permissions and traceability are protected.</x:v>
      </x:c>
      <x:c r="H133" s="339" t="str">
        <x:v>Status, Approval &amp; Exception Handling</x:v>
      </x:c>
      <x:c r="I133" s="339" t="str">
        <x:v>Phase 3</x:v>
      </x:c>
      <x:c r="J133" s="339" t="str">
        <x:v>Phase 3</x:v>
      </x:c>
      <x:c r="K133" s="339" t="str">
        <x:v>High</x:v>
      </x:c>
      <x:c r="L133" s="339" t="n">
        <x:v>6</x:v>
      </x:c>
      <x:c r="M133" s="339" t="str">
        <x:v>Admissions, parents, academics, attendance, exams, fees, documents</x:v>
      </x:c>
      <x:c r="N133" s="339" t="str">
        <x:v>Not Started</x:v>
      </x:c>
    </x:row>
    <x:row r="134">
      <x:c r="A134" s="339" t="str">
        <x:v>US-0133</x:v>
      </x:c>
      <x:c r="B134" s="339" t="str">
        <x:v>EP-006</x:v>
      </x:c>
      <x:c r="C134" s="339" t="str">
        <x:v>SCR-067</x:v>
      </x:c>
      <x:c r="D134" s="339" t="str">
        <x:v>Students</x:v>
      </x:c>
      <x:c r="E134" s="339" t="str">
        <x:v>Student Library</x:v>
      </x:c>
      <x:c r="F134" s="339" t="str">
        <x:v>School Admin</x:v>
      </x:c>
      <x:c r="G134" s="339" t="str">
        <x:v>As a School Admin, I want to manage student library so that the school has an accurate student record.</x:v>
      </x:c>
      <x:c r="H134" s="339" t="str">
        <x:v>Primary Workflow</x:v>
      </x:c>
      <x:c r="I134" s="339" t="str">
        <x:v>Phase 3</x:v>
      </x:c>
      <x:c r="J134" s="339" t="str">
        <x:v>Phase 3</x:v>
      </x:c>
      <x:c r="K134" s="339" t="str">
        <x:v>High</x:v>
      </x:c>
      <x:c r="L134" s="339" t="n">
        <x:v>8</x:v>
      </x:c>
      <x:c r="M134" s="339" t="str">
        <x:v>Admissions, parents, academics, attendance, exams, fees, documents</x:v>
      </x:c>
      <x:c r="N134" s="339" t="str">
        <x:v>Not Started</x:v>
      </x:c>
    </x:row>
    <x:row r="135">
      <x:c r="A135" s="339" t="str">
        <x:v>US-0134</x:v>
      </x:c>
      <x:c r="B135" s="339" t="str">
        <x:v>EP-006</x:v>
      </x:c>
      <x:c r="C135" s="339" t="str">
        <x:v>SCR-067</x:v>
      </x:c>
      <x:c r="D135" s="339" t="str">
        <x:v>Students</x:v>
      </x:c>
      <x:c r="E135" s="339" t="str">
        <x:v>Student Library</x:v>
      </x:c>
      <x:c r="F135" s="339" t="str">
        <x:v>School Admin</x:v>
      </x:c>
      <x:c r="G135" s="339" t="str">
        <x:v>As a School Admin, I want student library to enforce status, approval &amp; exception handling rules so that data quality, permissions and traceability are protected.</x:v>
      </x:c>
      <x:c r="H135" s="339" t="str">
        <x:v>Status, Approval &amp; Exception Handling</x:v>
      </x:c>
      <x:c r="I135" s="339" t="str">
        <x:v>Phase 3</x:v>
      </x:c>
      <x:c r="J135" s="339" t="str">
        <x:v>Phase 3</x:v>
      </x:c>
      <x:c r="K135" s="339" t="str">
        <x:v>High</x:v>
      </x:c>
      <x:c r="L135" s="339" t="n">
        <x:v>6</x:v>
      </x:c>
      <x:c r="M135" s="339" t="str">
        <x:v>Admissions, parents, academics, attendance, exams, fees, documents</x:v>
      </x:c>
      <x:c r="N135" s="339" t="str">
        <x:v>Not Started</x:v>
      </x:c>
    </x:row>
    <x:row r="136">
      <x:c r="A136" s="339" t="str">
        <x:v>US-0135</x:v>
      </x:c>
      <x:c r="B136" s="339" t="str">
        <x:v>EP-006</x:v>
      </x:c>
      <x:c r="C136" s="339" t="str">
        <x:v>SCR-068</x:v>
      </x:c>
      <x:c r="D136" s="339" t="str">
        <x:v>Students</x:v>
      </x:c>
      <x:c r="E136" s="339" t="str">
        <x:v>Siblings &amp; Family</x:v>
      </x:c>
      <x:c r="F136" s="339" t="str">
        <x:v>School Admin</x:v>
      </x:c>
      <x:c r="G136" s="339" t="str">
        <x:v>As a School Admin, I want to manage siblings &amp; family so that the school has an accurate student record.</x:v>
      </x:c>
      <x:c r="H136" s="339" t="str">
        <x:v>Primary Workflow</x:v>
      </x:c>
      <x:c r="I136" s="339" t="str">
        <x:v>Phase 3</x:v>
      </x:c>
      <x:c r="J136" s="339" t="str">
        <x:v>Phase 3</x:v>
      </x:c>
      <x:c r="K136" s="339" t="str">
        <x:v>High</x:v>
      </x:c>
      <x:c r="L136" s="339" t="n">
        <x:v>8</x:v>
      </x:c>
      <x:c r="M136" s="339" t="str">
        <x:v>Admissions, parents, academics, attendance, exams, fees, documents</x:v>
      </x:c>
      <x:c r="N136" s="339" t="str">
        <x:v>Not Started</x:v>
      </x:c>
    </x:row>
    <x:row r="137">
      <x:c r="A137" s="339" t="str">
        <x:v>US-0136</x:v>
      </x:c>
      <x:c r="B137" s="339" t="str">
        <x:v>EP-006</x:v>
      </x:c>
      <x:c r="C137" s="339" t="str">
        <x:v>SCR-068</x:v>
      </x:c>
      <x:c r="D137" s="339" t="str">
        <x:v>Students</x:v>
      </x:c>
      <x:c r="E137" s="339" t="str">
        <x:v>Siblings &amp; Family</x:v>
      </x:c>
      <x:c r="F137" s="339" t="str">
        <x:v>School Admin</x:v>
      </x:c>
      <x:c r="G137" s="339" t="str">
        <x:v>As a School Admin, I want siblings &amp; family to enforce status, approval &amp; exception handling rules so that data quality, permissions and traceability are protected.</x:v>
      </x:c>
      <x:c r="H137" s="339" t="str">
        <x:v>Status, Approval &amp; Exception Handling</x:v>
      </x:c>
      <x:c r="I137" s="339" t="str">
        <x:v>Phase 3</x:v>
      </x:c>
      <x:c r="J137" s="339" t="str">
        <x:v>Phase 3</x:v>
      </x:c>
      <x:c r="K137" s="339" t="str">
        <x:v>High</x:v>
      </x:c>
      <x:c r="L137" s="339" t="n">
        <x:v>6</x:v>
      </x:c>
      <x:c r="M137" s="339" t="str">
        <x:v>Admissions, parents, academics, attendance, exams, fees, documents</x:v>
      </x:c>
      <x:c r="N137" s="339" t="str">
        <x:v>Not Started</x:v>
      </x:c>
    </x:row>
    <x:row r="138">
      <x:c r="A138" s="339" t="str">
        <x:v>US-0137</x:v>
      </x:c>
      <x:c r="B138" s="339" t="str">
        <x:v>EP-006</x:v>
      </x:c>
      <x:c r="C138" s="339" t="str">
        <x:v>SCR-069</x:v>
      </x:c>
      <x:c r="D138" s="339" t="str">
        <x:v>Students</x:v>
      </x:c>
      <x:c r="E138" s="339" t="str">
        <x:v>Promotion / Transfer</x:v>
      </x:c>
      <x:c r="F138" s="339" t="str">
        <x:v>School Admin</x:v>
      </x:c>
      <x:c r="G138" s="339" t="str">
        <x:v>As a School Admin, I want to manage promotion / transfer so that the school has an accurate student record.</x:v>
      </x:c>
      <x:c r="H138" s="339" t="str">
        <x:v>Primary Workflow</x:v>
      </x:c>
      <x:c r="I138" s="339" t="str">
        <x:v>Phase 3</x:v>
      </x:c>
      <x:c r="J138" s="339" t="str">
        <x:v>Phase 3</x:v>
      </x:c>
      <x:c r="K138" s="339" t="str">
        <x:v>High</x:v>
      </x:c>
      <x:c r="L138" s="339" t="n">
        <x:v>8</x:v>
      </x:c>
      <x:c r="M138" s="339" t="str">
        <x:v>Admissions, parents, academics, attendance, exams, fees, documents</x:v>
      </x:c>
      <x:c r="N138" s="339" t="str">
        <x:v>Not Started</x:v>
      </x:c>
    </x:row>
    <x:row r="139">
      <x:c r="A139" s="339" t="str">
        <x:v>US-0138</x:v>
      </x:c>
      <x:c r="B139" s="339" t="str">
        <x:v>EP-006</x:v>
      </x:c>
      <x:c r="C139" s="339" t="str">
        <x:v>SCR-069</x:v>
      </x:c>
      <x:c r="D139" s="339" t="str">
        <x:v>Students</x:v>
      </x:c>
      <x:c r="E139" s="339" t="str">
        <x:v>Promotion / Transfer</x:v>
      </x:c>
      <x:c r="F139" s="339" t="str">
        <x:v>School Admin</x:v>
      </x:c>
      <x:c r="G139" s="339" t="str">
        <x:v>As a School Admin, I want promotion / transfer to enforce status, approval &amp; exception handling rules so that data quality, permissions and traceability are protected.</x:v>
      </x:c>
      <x:c r="H139" s="339" t="str">
        <x:v>Status, Approval &amp; Exception Handling</x:v>
      </x:c>
      <x:c r="I139" s="339" t="str">
        <x:v>Phase 3</x:v>
      </x:c>
      <x:c r="J139" s="339" t="str">
        <x:v>Phase 3</x:v>
      </x:c>
      <x:c r="K139" s="339" t="str">
        <x:v>High</x:v>
      </x:c>
      <x:c r="L139" s="339" t="n">
        <x:v>6</x:v>
      </x:c>
      <x:c r="M139" s="339" t="str">
        <x:v>Admissions, parents, academics, attendance, exams, fees, documents</x:v>
      </x:c>
      <x:c r="N139" s="339" t="str">
        <x:v>Not Started</x:v>
      </x:c>
    </x:row>
    <x:row r="140">
      <x:c r="A140" s="339" t="str">
        <x:v>US-0139</x:v>
      </x:c>
      <x:c r="B140" s="339" t="str">
        <x:v>EP-006</x:v>
      </x:c>
      <x:c r="C140" s="339" t="str">
        <x:v>SCR-070</x:v>
      </x:c>
      <x:c r="D140" s="339" t="str">
        <x:v>Students</x:v>
      </x:c>
      <x:c r="E140" s="339" t="str">
        <x:v>Student Exit / Alumni Conversion</x:v>
      </x:c>
      <x:c r="F140" s="339" t="str">
        <x:v>School Admin</x:v>
      </x:c>
      <x:c r="G140" s="339" t="str">
        <x:v>As a School Admin, I want to manage student exit / alumni conversion so that the school has an accurate student record.</x:v>
      </x:c>
      <x:c r="H140" s="339" t="str">
        <x:v>Primary Workflow</x:v>
      </x:c>
      <x:c r="I140" s="339" t="str">
        <x:v>Phase 3</x:v>
      </x:c>
      <x:c r="J140" s="339" t="str">
        <x:v>Phase 3</x:v>
      </x:c>
      <x:c r="K140" s="339" t="str">
        <x:v>High</x:v>
      </x:c>
      <x:c r="L140" s="339" t="n">
        <x:v>8</x:v>
      </x:c>
      <x:c r="M140" s="339" t="str">
        <x:v>Admissions, parents, academics, attendance, exams, fees, documents</x:v>
      </x:c>
      <x:c r="N140" s="339" t="str">
        <x:v>Not Started</x:v>
      </x:c>
    </x:row>
    <x:row r="141">
      <x:c r="A141" s="339" t="str">
        <x:v>US-0140</x:v>
      </x:c>
      <x:c r="B141" s="339" t="str">
        <x:v>EP-006</x:v>
      </x:c>
      <x:c r="C141" s="339" t="str">
        <x:v>SCR-070</x:v>
      </x:c>
      <x:c r="D141" s="339" t="str">
        <x:v>Students</x:v>
      </x:c>
      <x:c r="E141" s="339" t="str">
        <x:v>Student Exit / Alumni Conversion</x:v>
      </x:c>
      <x:c r="F141" s="339" t="str">
        <x:v>School Admin</x:v>
      </x:c>
      <x:c r="G141" s="339" t="str">
        <x:v>As a School Admin, I want student exit / alumni conversion to enforce status, approval &amp; exception handling rules so that data quality, permissions and traceability are protected.</x:v>
      </x:c>
      <x:c r="H141" s="339" t="str">
        <x:v>Status, Approval &amp; Exception Handling</x:v>
      </x:c>
      <x:c r="I141" s="339" t="str">
        <x:v>Phase 3</x:v>
      </x:c>
      <x:c r="J141" s="339" t="str">
        <x:v>Phase 3</x:v>
      </x:c>
      <x:c r="K141" s="339" t="str">
        <x:v>High</x:v>
      </x:c>
      <x:c r="L141" s="339" t="n">
        <x:v>6</x:v>
      </x:c>
      <x:c r="M141" s="339" t="str">
        <x:v>Admissions, parents, academics, attendance, exams, fees, documents</x:v>
      </x:c>
      <x:c r="N141" s="339" t="str">
        <x:v>Not Started</x:v>
      </x:c>
    </x:row>
    <x:row r="142">
      <x:c r="A142" s="339" t="str">
        <x:v>US-0141</x:v>
      </x:c>
      <x:c r="B142" s="339" t="str">
        <x:v>EP-007</x:v>
      </x:c>
      <x:c r="C142" s="339" t="str">
        <x:v>SCR-071</x:v>
      </x:c>
      <x:c r="D142" s="339" t="str">
        <x:v>Parents &amp; Guardians</x:v>
      </x:c>
      <x:c r="E142" s="339" t="str">
        <x:v>Parent / Guardian Directory</x:v>
      </x:c>
      <x:c r="F142" s="339" t="str">
        <x:v>School Admin</x:v>
      </x:c>
      <x:c r="G142" s="339" t="str">
        <x:v>As a School Admin, I want to find and manage parent / guardian directory so that guardian access and engagement remain accurate.</x:v>
      </x:c>
      <x:c r="H142" s="339" t="str">
        <x:v>Primary Workflow</x:v>
      </x:c>
      <x:c r="I142" s="339" t="str">
        <x:v>MVP</x:v>
      </x:c>
      <x:c r="J142" s="339" t="str">
        <x:v>MVP</x:v>
      </x:c>
      <x:c r="K142" s="339" t="str">
        <x:v>Medium</x:v>
      </x:c>
      <x:c r="L142" s="339" t="n">
        <x:v>5</x:v>
      </x:c>
      <x:c r="M142" s="339" t="str">
        <x:v>Student master, identity, fees, communication, consent/privacy</x:v>
      </x:c>
      <x:c r="N142" s="339" t="str">
        <x:v>Not Started</x:v>
      </x:c>
    </x:row>
    <x:row r="143">
      <x:c r="A143" s="339" t="str">
        <x:v>US-0142</x:v>
      </x:c>
      <x:c r="B143" s="339" t="str">
        <x:v>EP-007</x:v>
      </x:c>
      <x:c r="C143" s="339" t="str">
        <x:v>SCR-071</x:v>
      </x:c>
      <x:c r="D143" s="339" t="str">
        <x:v>Parents &amp; Guardians</x:v>
      </x:c>
      <x:c r="E143" s="339" t="str">
        <x:v>Parent / Guardian Directory</x:v>
      </x:c>
      <x:c r="F143" s="339" t="str">
        <x:v>School Admin</x:v>
      </x:c>
      <x:c r="G143" s="339" t="str">
        <x:v>As a School Admin, I want parent / guardian directory to enforce search, filter &amp; controlled actions rules so that data quality, permissions and traceability are protected.</x:v>
      </x:c>
      <x:c r="H143" s="339" t="str">
        <x:v>Search, Filter &amp; Controlled Actions</x:v>
      </x:c>
      <x:c r="I143" s="339" t="str">
        <x:v>MVP</x:v>
      </x:c>
      <x:c r="J143" s="339" t="str">
        <x:v>MVP</x:v>
      </x:c>
      <x:c r="K143" s="339" t="str">
        <x:v>Medium</x:v>
      </x:c>
      <x:c r="L143" s="339" t="n">
        <x:v>3</x:v>
      </x:c>
      <x:c r="M143" s="339" t="str">
        <x:v>Student master, identity, fees, communication, consent/privacy</x:v>
      </x:c>
      <x:c r="N143" s="339" t="str">
        <x:v>Not Started</x:v>
      </x:c>
    </x:row>
    <x:row r="144">
      <x:c r="A144" s="339" t="str">
        <x:v>US-0143</x:v>
      </x:c>
      <x:c r="B144" s="339" t="str">
        <x:v>EP-007</x:v>
      </x:c>
      <x:c r="C144" s="339" t="str">
        <x:v>SCR-072</x:v>
      </x:c>
      <x:c r="D144" s="339" t="str">
        <x:v>Parents &amp; Guardians</x:v>
      </x:c>
      <x:c r="E144" s="339" t="str">
        <x:v>Add Parent / Guardian</x:v>
      </x:c>
      <x:c r="F144" s="339" t="str">
        <x:v>School Admin</x:v>
      </x:c>
      <x:c r="G144" s="339" t="str">
        <x:v>As a School Admin, I want to create or process parent / guardian so that guardian access and engagement remain accurate.</x:v>
      </x:c>
      <x:c r="H144" s="339" t="str">
        <x:v>Primary Workflow</x:v>
      </x:c>
      <x:c r="I144" s="339" t="str">
        <x:v>MVP</x:v>
      </x:c>
      <x:c r="J144" s="339" t="str">
        <x:v>MVP</x:v>
      </x:c>
      <x:c r="K144" s="339" t="str">
        <x:v>Medium</x:v>
      </x:c>
      <x:c r="L144" s="339" t="n">
        <x:v>5</x:v>
      </x:c>
      <x:c r="M144" s="339" t="str">
        <x:v>Student master, identity, fees, communication, consent/privacy</x:v>
      </x:c>
      <x:c r="N144" s="339" t="str">
        <x:v>Not Started</x:v>
      </x:c>
    </x:row>
    <x:row r="145">
      <x:c r="A145" s="339" t="str">
        <x:v>US-0144</x:v>
      </x:c>
      <x:c r="B145" s="339" t="str">
        <x:v>EP-007</x:v>
      </x:c>
      <x:c r="C145" s="339" t="str">
        <x:v>SCR-072</x:v>
      </x:c>
      <x:c r="D145" s="339" t="str">
        <x:v>Parents &amp; Guardians</x:v>
      </x:c>
      <x:c r="E145" s="339" t="str">
        <x:v>Add Parent / Guardian</x:v>
      </x:c>
      <x:c r="F145" s="339" t="str">
        <x:v>School Admin</x:v>
      </x:c>
      <x:c r="G145" s="339" t="str">
        <x:v>As a School Admin, I want add parent / guardian to enforce validation &amp; duplicate prevention rules so that data quality, permissions and traceability are protected.</x:v>
      </x:c>
      <x:c r="H145" s="339" t="str">
        <x:v>Validation &amp; Duplicate Prevention</x:v>
      </x:c>
      <x:c r="I145" s="339" t="str">
        <x:v>MVP</x:v>
      </x:c>
      <x:c r="J145" s="339" t="str">
        <x:v>MVP</x:v>
      </x:c>
      <x:c r="K145" s="339" t="str">
        <x:v>Medium</x:v>
      </x:c>
      <x:c r="L145" s="339" t="n">
        <x:v>3</x:v>
      </x:c>
      <x:c r="M145" s="339" t="str">
        <x:v>Student master, identity, fees, communication, consent/privacy</x:v>
      </x:c>
      <x:c r="N145" s="339" t="str">
        <x:v>Not Started</x:v>
      </x:c>
    </x:row>
    <x:row r="146">
      <x:c r="A146" s="339" t="str">
        <x:v>US-0145</x:v>
      </x:c>
      <x:c r="B146" s="339" t="str">
        <x:v>EP-007</x:v>
      </x:c>
      <x:c r="C146" s="339" t="str">
        <x:v>SCR-073</x:v>
      </x:c>
      <x:c r="D146" s="339" t="str">
        <x:v>Parents &amp; Guardians</x:v>
      </x:c>
      <x:c r="E146" s="339" t="str">
        <x:v>Parent Profile</x:v>
      </x:c>
      <x:c r="F146" s="339" t="str">
        <x:v>School Admin</x:v>
      </x:c>
      <x:c r="G146" s="339" t="str">
        <x:v>As a School Admin, I want to review and maintain parent profile so that guardian access and engagement remain accurate.</x:v>
      </x:c>
      <x:c r="H146" s="339" t="str">
        <x:v>Primary Workflow</x:v>
      </x:c>
      <x:c r="I146" s="339" t="str">
        <x:v>MVP</x:v>
      </x:c>
      <x:c r="J146" s="339" t="str">
        <x:v>MVP</x:v>
      </x:c>
      <x:c r="K146" s="339" t="str">
        <x:v>Medium</x:v>
      </x:c>
      <x:c r="L146" s="339" t="n">
        <x:v>5</x:v>
      </x:c>
      <x:c r="M146" s="339" t="str">
        <x:v>Student master, identity, fees, communication, consent/privacy</x:v>
      </x:c>
      <x:c r="N146" s="339" t="str">
        <x:v>Not Started</x:v>
      </x:c>
    </x:row>
    <x:row r="147">
      <x:c r="A147" s="339" t="str">
        <x:v>US-0146</x:v>
      </x:c>
      <x:c r="B147" s="339" t="str">
        <x:v>EP-007</x:v>
      </x:c>
      <x:c r="C147" s="339" t="str">
        <x:v>SCR-073</x:v>
      </x:c>
      <x:c r="D147" s="339" t="str">
        <x:v>Parents &amp; Guardians</x:v>
      </x:c>
      <x:c r="E147" s="339" t="str">
        <x:v>Parent Profile</x:v>
      </x:c>
      <x:c r="F147" s="339" t="str">
        <x:v>School Admin</x:v>
      </x:c>
      <x:c r="G147" s="339" t="str">
        <x:v>As a School Admin, I want parent profile to enforce history, edit &amp; audit rules so that data quality, permissions and traceability are protected.</x:v>
      </x:c>
      <x:c r="H147" s="339" t="str">
        <x:v>History, Edit &amp; Audit</x:v>
      </x:c>
      <x:c r="I147" s="339" t="str">
        <x:v>MVP</x:v>
      </x:c>
      <x:c r="J147" s="339" t="str">
        <x:v>MVP</x:v>
      </x:c>
      <x:c r="K147" s="339" t="str">
        <x:v>Medium</x:v>
      </x:c>
      <x:c r="L147" s="339" t="n">
        <x:v>3</x:v>
      </x:c>
      <x:c r="M147" s="339" t="str">
        <x:v>Student master, identity, fees, communication, consent/privacy</x:v>
      </x:c>
      <x:c r="N147" s="339" t="str">
        <x:v>Not Started</x:v>
      </x:c>
    </x:row>
    <x:row r="148">
      <x:c r="A148" s="339" t="str">
        <x:v>US-0147</x:v>
      </x:c>
      <x:c r="B148" s="339" t="str">
        <x:v>EP-007</x:v>
      </x:c>
      <x:c r="C148" s="339" t="str">
        <x:v>SCR-074</x:v>
      </x:c>
      <x:c r="D148" s="339" t="str">
        <x:v>Parents &amp; Guardians</x:v>
      </x:c>
      <x:c r="E148" s="339" t="str">
        <x:v>Link Children</x:v>
      </x:c>
      <x:c r="F148" s="339" t="str">
        <x:v>School Admin</x:v>
      </x:c>
      <x:c r="G148" s="339" t="str">
        <x:v>As a School Admin, I want to manage link children so that guardian access and engagement remain accurate.</x:v>
      </x:c>
      <x:c r="H148" s="339" t="str">
        <x:v>Primary Workflow</x:v>
      </x:c>
      <x:c r="I148" s="339" t="str">
        <x:v>MVP</x:v>
      </x:c>
      <x:c r="J148" s="339" t="str">
        <x:v>MVP</x:v>
      </x:c>
      <x:c r="K148" s="339" t="str">
        <x:v>High</x:v>
      </x:c>
      <x:c r="L148" s="339" t="n">
        <x:v>8</x:v>
      </x:c>
      <x:c r="M148" s="339" t="str">
        <x:v>Student master, identity, fees, communication, consent/privacy</x:v>
      </x:c>
      <x:c r="N148" s="339" t="str">
        <x:v>Not Started</x:v>
      </x:c>
    </x:row>
    <x:row r="149">
      <x:c r="A149" s="339" t="str">
        <x:v>US-0148</x:v>
      </x:c>
      <x:c r="B149" s="339" t="str">
        <x:v>EP-007</x:v>
      </x:c>
      <x:c r="C149" s="339" t="str">
        <x:v>SCR-074</x:v>
      </x:c>
      <x:c r="D149" s="339" t="str">
        <x:v>Parents &amp; Guardians</x:v>
      </x:c>
      <x:c r="E149" s="339" t="str">
        <x:v>Link Children</x:v>
      </x:c>
      <x:c r="F149" s="339" t="str">
        <x:v>School Admin</x:v>
      </x:c>
      <x:c r="G149" s="339" t="str">
        <x:v>As a School Admin, I want link children to enforce status, approval &amp; exception handling rules so that data quality, permissions and traceability are protected.</x:v>
      </x:c>
      <x:c r="H149" s="339" t="str">
        <x:v>Status, Approval &amp; Exception Handling</x:v>
      </x:c>
      <x:c r="I149" s="339" t="str">
        <x:v>MVP</x:v>
      </x:c>
      <x:c r="J149" s="339" t="str">
        <x:v>MVP</x:v>
      </x:c>
      <x:c r="K149" s="339" t="str">
        <x:v>High</x:v>
      </x:c>
      <x:c r="L149" s="339" t="n">
        <x:v>6</x:v>
      </x:c>
      <x:c r="M149" s="339" t="str">
        <x:v>Student master, identity, fees, communication, consent/privacy</x:v>
      </x:c>
      <x:c r="N149" s="339" t="str">
        <x:v>Not Started</x:v>
      </x:c>
    </x:row>
    <x:row r="150">
      <x:c r="A150" s="339" t="str">
        <x:v>US-0149</x:v>
      </x:c>
      <x:c r="B150" s="339" t="str">
        <x:v>EP-007</x:v>
      </x:c>
      <x:c r="C150" s="339" t="str">
        <x:v>SCR-075</x:v>
      </x:c>
      <x:c r="D150" s="339" t="str">
        <x:v>Parents &amp; Guardians</x:v>
      </x:c>
      <x:c r="E150" s="339" t="str">
        <x:v>Communication Preferences</x:v>
      </x:c>
      <x:c r="F150" s="339" t="str">
        <x:v>School Admin</x:v>
      </x:c>
      <x:c r="G150" s="339" t="str">
        <x:v>As a School Admin, I want to configure communication preferences so that guardian access and engagement remain accurate.</x:v>
      </x:c>
      <x:c r="H150" s="339" t="str">
        <x:v>Primary Workflow</x:v>
      </x:c>
      <x:c r="I150" s="339" t="str">
        <x:v>Phase 2</x:v>
      </x:c>
      <x:c r="J150" s="339" t="str">
        <x:v>Phase 2</x:v>
      </x:c>
      <x:c r="K150" s="339" t="str">
        <x:v>Medium</x:v>
      </x:c>
      <x:c r="L150" s="339" t="n">
        <x:v>5</x:v>
      </x:c>
      <x:c r="M150" s="339" t="str">
        <x:v>Student master, identity, fees, communication, consent/privacy</x:v>
      </x:c>
      <x:c r="N150" s="339" t="str">
        <x:v>Not Started</x:v>
      </x:c>
    </x:row>
    <x:row r="151">
      <x:c r="A151" s="339" t="str">
        <x:v>US-0150</x:v>
      </x:c>
      <x:c r="B151" s="339" t="str">
        <x:v>EP-007</x:v>
      </x:c>
      <x:c r="C151" s="339" t="str">
        <x:v>SCR-075</x:v>
      </x:c>
      <x:c r="D151" s="339" t="str">
        <x:v>Parents &amp; Guardians</x:v>
      </x:c>
      <x:c r="E151" s="339" t="str">
        <x:v>Communication Preferences</x:v>
      </x:c>
      <x:c r="F151" s="339" t="str">
        <x:v>School Admin</x:v>
      </x:c>
      <x:c r="G151" s="339" t="str">
        <x:v>As a School Admin, I want communication preferences to enforce dependency-safe configuration rules so that data quality, permissions and traceability are protected.</x:v>
      </x:c>
      <x:c r="H151" s="339" t="str">
        <x:v>Dependency-safe Configuration</x:v>
      </x:c>
      <x:c r="I151" s="339" t="str">
        <x:v>Phase 2</x:v>
      </x:c>
      <x:c r="J151" s="339" t="str">
        <x:v>Phase 2</x:v>
      </x:c>
      <x:c r="K151" s="339" t="str">
        <x:v>Medium</x:v>
      </x:c>
      <x:c r="L151" s="339" t="n">
        <x:v>3</x:v>
      </x:c>
      <x:c r="M151" s="339" t="str">
        <x:v>Student master, identity, fees, communication, consent/privacy</x:v>
      </x:c>
      <x:c r="N151" s="339" t="str">
        <x:v>Not Started</x:v>
      </x:c>
    </x:row>
    <x:row r="152">
      <x:c r="A152" s="339" t="str">
        <x:v>US-0151</x:v>
      </x:c>
      <x:c r="B152" s="339" t="str">
        <x:v>EP-007</x:v>
      </x:c>
      <x:c r="C152" s="339" t="str">
        <x:v>SCR-076</x:v>
      </x:c>
      <x:c r="D152" s="339" t="str">
        <x:v>Parents &amp; Guardians</x:v>
      </x:c>
      <x:c r="E152" s="339" t="str">
        <x:v>Parent Login Access</x:v>
      </x:c>
      <x:c r="F152" s="339" t="str">
        <x:v>School Admin</x:v>
      </x:c>
      <x:c r="G152" s="339" t="str">
        <x:v>As a School Admin, I want to manage parent login access so that guardian access and engagement remain accurate.</x:v>
      </x:c>
      <x:c r="H152" s="339" t="str">
        <x:v>Primary Workflow</x:v>
      </x:c>
      <x:c r="I152" s="339" t="str">
        <x:v>Phase 2</x:v>
      </x:c>
      <x:c r="J152" s="339" t="str">
        <x:v>Phase 2</x:v>
      </x:c>
      <x:c r="K152" s="339" t="str">
        <x:v>High</x:v>
      </x:c>
      <x:c r="L152" s="339" t="n">
        <x:v>8</x:v>
      </x:c>
      <x:c r="M152" s="339" t="str">
        <x:v>Student master, identity, fees, communication, consent/privacy</x:v>
      </x:c>
      <x:c r="N152" s="339" t="str">
        <x:v>Not Started</x:v>
      </x:c>
    </x:row>
    <x:row r="153">
      <x:c r="A153" s="339" t="str">
        <x:v>US-0152</x:v>
      </x:c>
      <x:c r="B153" s="339" t="str">
        <x:v>EP-007</x:v>
      </x:c>
      <x:c r="C153" s="339" t="str">
        <x:v>SCR-076</x:v>
      </x:c>
      <x:c r="D153" s="339" t="str">
        <x:v>Parents &amp; Guardians</x:v>
      </x:c>
      <x:c r="E153" s="339" t="str">
        <x:v>Parent Login Access</x:v>
      </x:c>
      <x:c r="F153" s="339" t="str">
        <x:v>School Admin</x:v>
      </x:c>
      <x:c r="G153" s="339" t="str">
        <x:v>As a School Admin, I want parent login access to enforce status, approval &amp; exception handling rules so that data quality, permissions and traceability are protected.</x:v>
      </x:c>
      <x:c r="H153" s="339" t="str">
        <x:v>Status, Approval &amp; Exception Handling</x:v>
      </x:c>
      <x:c r="I153" s="339" t="str">
        <x:v>Phase 2</x:v>
      </x:c>
      <x:c r="J153" s="339" t="str">
        <x:v>Phase 2</x:v>
      </x:c>
      <x:c r="K153" s="339" t="str">
        <x:v>High</x:v>
      </x:c>
      <x:c r="L153" s="339" t="n">
        <x:v>6</x:v>
      </x:c>
      <x:c r="M153" s="339" t="str">
        <x:v>Student master, identity, fees, communication, consent/privacy</x:v>
      </x:c>
      <x:c r="N153" s="339" t="str">
        <x:v>Not Started</x:v>
      </x:c>
    </x:row>
    <x:row r="154">
      <x:c r="A154" s="339" t="str">
        <x:v>US-0153</x:v>
      </x:c>
      <x:c r="B154" s="339" t="str">
        <x:v>EP-007</x:v>
      </x:c>
      <x:c r="C154" s="339" t="str">
        <x:v>SCR-077</x:v>
      </x:c>
      <x:c r="D154" s="339" t="str">
        <x:v>Parents &amp; Guardians</x:v>
      </x:c>
      <x:c r="E154" s="339" t="str">
        <x:v>Parent-Teacher Interactions</x:v>
      </x:c>
      <x:c r="F154" s="339" t="str">
        <x:v>School Admin</x:v>
      </x:c>
      <x:c r="G154" s="339" t="str">
        <x:v>As a School Admin, I want to manage parent-teacher interactions so that guardian access and engagement remain accurate.</x:v>
      </x:c>
      <x:c r="H154" s="339" t="str">
        <x:v>Primary Workflow</x:v>
      </x:c>
      <x:c r="I154" s="339" t="str">
        <x:v>Phase 3</x:v>
      </x:c>
      <x:c r="J154" s="339" t="str">
        <x:v>Phase 3</x:v>
      </x:c>
      <x:c r="K154" s="339" t="str">
        <x:v>High</x:v>
      </x:c>
      <x:c r="L154" s="339" t="n">
        <x:v>8</x:v>
      </x:c>
      <x:c r="M154" s="339" t="str">
        <x:v>Student master, identity, fees, communication, consent/privacy</x:v>
      </x:c>
      <x:c r="N154" s="339" t="str">
        <x:v>Not Started</x:v>
      </x:c>
    </x:row>
    <x:row r="155">
      <x:c r="A155" s="339" t="str">
        <x:v>US-0154</x:v>
      </x:c>
      <x:c r="B155" s="339" t="str">
        <x:v>EP-007</x:v>
      </x:c>
      <x:c r="C155" s="339" t="str">
        <x:v>SCR-077</x:v>
      </x:c>
      <x:c r="D155" s="339" t="str">
        <x:v>Parents &amp; Guardians</x:v>
      </x:c>
      <x:c r="E155" s="339" t="str">
        <x:v>Parent-Teacher Interactions</x:v>
      </x:c>
      <x:c r="F155" s="339" t="str">
        <x:v>School Admin</x:v>
      </x:c>
      <x:c r="G155" s="339" t="str">
        <x:v>As a School Admin, I want parent-teacher interactions to enforce status, approval &amp; exception handling rules so that data quality, permissions and traceability are protected.</x:v>
      </x:c>
      <x:c r="H155" s="339" t="str">
        <x:v>Status, Approval &amp; Exception Handling</x:v>
      </x:c>
      <x:c r="I155" s="339" t="str">
        <x:v>Phase 3</x:v>
      </x:c>
      <x:c r="J155" s="339" t="str">
        <x:v>Phase 3</x:v>
      </x:c>
      <x:c r="K155" s="339" t="str">
        <x:v>High</x:v>
      </x:c>
      <x:c r="L155" s="339" t="n">
        <x:v>6</x:v>
      </x:c>
      <x:c r="M155" s="339" t="str">
        <x:v>Student master, identity, fees, communication, consent/privacy</x:v>
      </x:c>
      <x:c r="N155" s="339" t="str">
        <x:v>Not Started</x:v>
      </x:c>
    </x:row>
    <x:row r="156">
      <x:c r="A156" s="339" t="str">
        <x:v>US-0155</x:v>
      </x:c>
      <x:c r="B156" s="339" t="str">
        <x:v>EP-007</x:v>
      </x:c>
      <x:c r="C156" s="339" t="str">
        <x:v>SCR-078</x:v>
      </x:c>
      <x:c r="D156" s="339" t="str">
        <x:v>Parents &amp; Guardians</x:v>
      </x:c>
      <x:c r="E156" s="339" t="str">
        <x:v>Parent Payments &amp; Receipts</x:v>
      </x:c>
      <x:c r="F156" s="339" t="str">
        <x:v>School Admin</x:v>
      </x:c>
      <x:c r="G156" s="339" t="str">
        <x:v>As a School Admin, I want to review and maintain parent payments &amp; receipts so that guardian access and engagement remain accurate.</x:v>
      </x:c>
      <x:c r="H156" s="339" t="str">
        <x:v>Primary Workflow</x:v>
      </x:c>
      <x:c r="I156" s="339" t="str">
        <x:v>Phase 3</x:v>
      </x:c>
      <x:c r="J156" s="339" t="str">
        <x:v>Phase 3</x:v>
      </x:c>
      <x:c r="K156" s="339" t="str">
        <x:v>Medium</x:v>
      </x:c>
      <x:c r="L156" s="339" t="n">
        <x:v>5</x:v>
      </x:c>
      <x:c r="M156" s="339" t="str">
        <x:v>Student master, identity, fees, communication, consent/privacy</x:v>
      </x:c>
      <x:c r="N156" s="339" t="str">
        <x:v>Not Started</x:v>
      </x:c>
    </x:row>
    <x:row r="157">
      <x:c r="A157" s="339" t="str">
        <x:v>US-0156</x:v>
      </x:c>
      <x:c r="B157" s="339" t="str">
        <x:v>EP-007</x:v>
      </x:c>
      <x:c r="C157" s="339" t="str">
        <x:v>SCR-078</x:v>
      </x:c>
      <x:c r="D157" s="339" t="str">
        <x:v>Parents &amp; Guardians</x:v>
      </x:c>
      <x:c r="E157" s="339" t="str">
        <x:v>Parent Payments &amp; Receipts</x:v>
      </x:c>
      <x:c r="F157" s="339" t="str">
        <x:v>School Admin</x:v>
      </x:c>
      <x:c r="G157" s="339" t="str">
        <x:v>As a School Admin, I want parent payments &amp; receipts to enforce history, edit &amp; audit rules so that data quality, permissions and traceability are protected.</x:v>
      </x:c>
      <x:c r="H157" s="339" t="str">
        <x:v>History, Edit &amp; Audit</x:v>
      </x:c>
      <x:c r="I157" s="339" t="str">
        <x:v>Phase 3</x:v>
      </x:c>
      <x:c r="J157" s="339" t="str">
        <x:v>Phase 3</x:v>
      </x:c>
      <x:c r="K157" s="339" t="str">
        <x:v>Medium</x:v>
      </x:c>
      <x:c r="L157" s="339" t="n">
        <x:v>3</x:v>
      </x:c>
      <x:c r="M157" s="339" t="str">
        <x:v>Student master, identity, fees, communication, consent/privacy</x:v>
      </x:c>
      <x:c r="N157" s="339" t="str">
        <x:v>Not Started</x:v>
      </x:c>
    </x:row>
    <x:row r="158">
      <x:c r="A158" s="339" t="str">
        <x:v>US-0157</x:v>
      </x:c>
      <x:c r="B158" s="339" t="str">
        <x:v>EP-007</x:v>
      </x:c>
      <x:c r="C158" s="339" t="str">
        <x:v>SCR-079</x:v>
      </x:c>
      <x:c r="D158" s="339" t="str">
        <x:v>Parents &amp; Guardians</x:v>
      </x:c>
      <x:c r="E158" s="339" t="str">
        <x:v>Parent Activity History</x:v>
      </x:c>
      <x:c r="F158" s="339" t="str">
        <x:v>School Admin</x:v>
      </x:c>
      <x:c r="G158" s="339" t="str">
        <x:v>As a School Admin, I want to review and maintain parent activity history so that guardian access and engagement remain accurate.</x:v>
      </x:c>
      <x:c r="H158" s="339" t="str">
        <x:v>Primary Workflow</x:v>
      </x:c>
      <x:c r="I158" s="339" t="str">
        <x:v>Phase 3</x:v>
      </x:c>
      <x:c r="J158" s="339" t="str">
        <x:v>Phase 3</x:v>
      </x:c>
      <x:c r="K158" s="339" t="str">
        <x:v>Medium</x:v>
      </x:c>
      <x:c r="L158" s="339" t="n">
        <x:v>5</x:v>
      </x:c>
      <x:c r="M158" s="339" t="str">
        <x:v>Student master, identity, fees, communication, consent/privacy</x:v>
      </x:c>
      <x:c r="N158" s="339" t="str">
        <x:v>Not Started</x:v>
      </x:c>
    </x:row>
    <x:row r="159">
      <x:c r="A159" s="339" t="str">
        <x:v>US-0158</x:v>
      </x:c>
      <x:c r="B159" s="339" t="str">
        <x:v>EP-007</x:v>
      </x:c>
      <x:c r="C159" s="339" t="str">
        <x:v>SCR-079</x:v>
      </x:c>
      <x:c r="D159" s="339" t="str">
        <x:v>Parents &amp; Guardians</x:v>
      </x:c>
      <x:c r="E159" s="339" t="str">
        <x:v>Parent Activity History</x:v>
      </x:c>
      <x:c r="F159" s="339" t="str">
        <x:v>School Admin</x:v>
      </x:c>
      <x:c r="G159" s="339" t="str">
        <x:v>As a School Admin, I want parent activity history to enforce history, edit &amp; audit rules so that data quality, permissions and traceability are protected.</x:v>
      </x:c>
      <x:c r="H159" s="339" t="str">
        <x:v>History, Edit &amp; Audit</x:v>
      </x:c>
      <x:c r="I159" s="339" t="str">
        <x:v>Phase 3</x:v>
      </x:c>
      <x:c r="J159" s="339" t="str">
        <x:v>Phase 3</x:v>
      </x:c>
      <x:c r="K159" s="339" t="str">
        <x:v>Medium</x:v>
      </x:c>
      <x:c r="L159" s="339" t="n">
        <x:v>3</x:v>
      </x:c>
      <x:c r="M159" s="339" t="str">
        <x:v>Student master, identity, fees, communication, consent/privacy</x:v>
      </x:c>
      <x:c r="N159" s="339" t="str">
        <x:v>Not Started</x:v>
      </x:c>
    </x:row>
    <x:row r="160">
      <x:c r="A160" s="339" t="str">
        <x:v>US-0159</x:v>
      </x:c>
      <x:c r="B160" s="339" t="str">
        <x:v>EP-008</x:v>
      </x:c>
      <x:c r="C160" s="339" t="str">
        <x:v>SCR-080</x:v>
      </x:c>
      <x:c r="D160" s="339" t="str">
        <x:v>Teachers &amp; Staff</x:v>
      </x:c>
      <x:c r="E160" s="339" t="str">
        <x:v>Staff Directory</x:v>
      </x:c>
      <x:c r="F160" s="339" t="str">
        <x:v>School Admin</x:v>
      </x:c>
      <x:c r="G160" s="339" t="str">
        <x:v>As a School Admin, I want to find and manage staff directory so that staff can be allocated and managed correctly.</x:v>
      </x:c>
      <x:c r="H160" s="339" t="str">
        <x:v>Primary Workflow</x:v>
      </x:c>
      <x:c r="I160" s="339" t="str">
        <x:v>MVP</x:v>
      </x:c>
      <x:c r="J160" s="339" t="str">
        <x:v>MVP</x:v>
      </x:c>
      <x:c r="K160" s="339" t="str">
        <x:v>Medium</x:v>
      </x:c>
      <x:c r="L160" s="339" t="n">
        <x:v>5</x:v>
      </x:c>
      <x:c r="M160" s="339" t="str">
        <x:v>HR, academics, timetable, identity, documents</x:v>
      </x:c>
      <x:c r="N160" s="339" t="str">
        <x:v>Not Started</x:v>
      </x:c>
    </x:row>
    <x:row r="161">
      <x:c r="A161" s="339" t="str">
        <x:v>US-0160</x:v>
      </x:c>
      <x:c r="B161" s="339" t="str">
        <x:v>EP-008</x:v>
      </x:c>
      <x:c r="C161" s="339" t="str">
        <x:v>SCR-080</x:v>
      </x:c>
      <x:c r="D161" s="339" t="str">
        <x:v>Teachers &amp; Staff</x:v>
      </x:c>
      <x:c r="E161" s="339" t="str">
        <x:v>Staff Directory</x:v>
      </x:c>
      <x:c r="F161" s="339" t="str">
        <x:v>School Admin</x:v>
      </x:c>
      <x:c r="G161" s="339" t="str">
        <x:v>As a School Admin, I want staff directory to enforce search, filter &amp; controlled actions rules so that data quality, permissions and traceability are protected.</x:v>
      </x:c>
      <x:c r="H161" s="339" t="str">
        <x:v>Search, Filter &amp; Controlled Actions</x:v>
      </x:c>
      <x:c r="I161" s="339" t="str">
        <x:v>MVP</x:v>
      </x:c>
      <x:c r="J161" s="339" t="str">
        <x:v>MVP</x:v>
      </x:c>
      <x:c r="K161" s="339" t="str">
        <x:v>Medium</x:v>
      </x:c>
      <x:c r="L161" s="339" t="n">
        <x:v>3</x:v>
      </x:c>
      <x:c r="M161" s="339" t="str">
        <x:v>HR, academics, timetable, identity, documents</x:v>
      </x:c>
      <x:c r="N161" s="339" t="str">
        <x:v>Not Started</x:v>
      </x:c>
    </x:row>
    <x:row r="162">
      <x:c r="A162" s="339" t="str">
        <x:v>US-0161</x:v>
      </x:c>
      <x:c r="B162" s="339" t="str">
        <x:v>EP-008</x:v>
      </x:c>
      <x:c r="C162" s="339" t="str">
        <x:v>SCR-081</x:v>
      </x:c>
      <x:c r="D162" s="339" t="str">
        <x:v>Teachers &amp; Staff</x:v>
      </x:c>
      <x:c r="E162" s="339" t="str">
        <x:v>Add Staff</x:v>
      </x:c>
      <x:c r="F162" s="339" t="str">
        <x:v>School Admin</x:v>
      </x:c>
      <x:c r="G162" s="339" t="str">
        <x:v>As a School Admin, I want to create or process staff so that staff can be allocated and managed correctly.</x:v>
      </x:c>
      <x:c r="H162" s="339" t="str">
        <x:v>Primary Workflow</x:v>
      </x:c>
      <x:c r="I162" s="339" t="str">
        <x:v>MVP</x:v>
      </x:c>
      <x:c r="J162" s="339" t="str">
        <x:v>MVP</x:v>
      </x:c>
      <x:c r="K162" s="339" t="str">
        <x:v>Medium</x:v>
      </x:c>
      <x:c r="L162" s="339" t="n">
        <x:v>5</x:v>
      </x:c>
      <x:c r="M162" s="339" t="str">
        <x:v>HR, academics, timetable, identity, documents</x:v>
      </x:c>
      <x:c r="N162" s="339" t="str">
        <x:v>Not Started</x:v>
      </x:c>
    </x:row>
    <x:row r="163">
      <x:c r="A163" s="339" t="str">
        <x:v>US-0162</x:v>
      </x:c>
      <x:c r="B163" s="339" t="str">
        <x:v>EP-008</x:v>
      </x:c>
      <x:c r="C163" s="339" t="str">
        <x:v>SCR-081</x:v>
      </x:c>
      <x:c r="D163" s="339" t="str">
        <x:v>Teachers &amp; Staff</x:v>
      </x:c>
      <x:c r="E163" s="339" t="str">
        <x:v>Add Staff</x:v>
      </x:c>
      <x:c r="F163" s="339" t="str">
        <x:v>School Admin</x:v>
      </x:c>
      <x:c r="G163" s="339" t="str">
        <x:v>As a School Admin, I want add staff to enforce validation &amp; duplicate prevention rules so that data quality, permissions and traceability are protected.</x:v>
      </x:c>
      <x:c r="H163" s="339" t="str">
        <x:v>Validation &amp; Duplicate Prevention</x:v>
      </x:c>
      <x:c r="I163" s="339" t="str">
        <x:v>MVP</x:v>
      </x:c>
      <x:c r="J163" s="339" t="str">
        <x:v>MVP</x:v>
      </x:c>
      <x:c r="K163" s="339" t="str">
        <x:v>Medium</x:v>
      </x:c>
      <x:c r="L163" s="339" t="n">
        <x:v>3</x:v>
      </x:c>
      <x:c r="M163" s="339" t="str">
        <x:v>HR, academics, timetable, identity, documents</x:v>
      </x:c>
      <x:c r="N163" s="339" t="str">
        <x:v>Not Started</x:v>
      </x:c>
    </x:row>
    <x:row r="164">
      <x:c r="A164" s="339" t="str">
        <x:v>US-0163</x:v>
      </x:c>
      <x:c r="B164" s="339" t="str">
        <x:v>EP-008</x:v>
      </x:c>
      <x:c r="C164" s="339" t="str">
        <x:v>SCR-082</x:v>
      </x:c>
      <x:c r="D164" s="339" t="str">
        <x:v>Teachers &amp; Staff</x:v>
      </x:c>
      <x:c r="E164" s="339" t="str">
        <x:v>Staff Profile</x:v>
      </x:c>
      <x:c r="F164" s="339" t="str">
        <x:v>School Admin</x:v>
      </x:c>
      <x:c r="G164" s="339" t="str">
        <x:v>As a School Admin, I want to review and maintain staff profile so that staff can be allocated and managed correctly.</x:v>
      </x:c>
      <x:c r="H164" s="339" t="str">
        <x:v>Primary Workflow</x:v>
      </x:c>
      <x:c r="I164" s="339" t="str">
        <x:v>MVP</x:v>
      </x:c>
      <x:c r="J164" s="339" t="str">
        <x:v>MVP</x:v>
      </x:c>
      <x:c r="K164" s="339" t="str">
        <x:v>Medium</x:v>
      </x:c>
      <x:c r="L164" s="339" t="n">
        <x:v>5</x:v>
      </x:c>
      <x:c r="M164" s="339" t="str">
        <x:v>HR, academics, timetable, identity, documents</x:v>
      </x:c>
      <x:c r="N164" s="339" t="str">
        <x:v>Not Started</x:v>
      </x:c>
    </x:row>
    <x:row r="165">
      <x:c r="A165" s="339" t="str">
        <x:v>US-0164</x:v>
      </x:c>
      <x:c r="B165" s="339" t="str">
        <x:v>EP-008</x:v>
      </x:c>
      <x:c r="C165" s="339" t="str">
        <x:v>SCR-082</x:v>
      </x:c>
      <x:c r="D165" s="339" t="str">
        <x:v>Teachers &amp; Staff</x:v>
      </x:c>
      <x:c r="E165" s="339" t="str">
        <x:v>Staff Profile</x:v>
      </x:c>
      <x:c r="F165" s="339" t="str">
        <x:v>School Admin</x:v>
      </x:c>
      <x:c r="G165" s="339" t="str">
        <x:v>As a School Admin, I want staff profile to enforce history, edit &amp; audit rules so that data quality, permissions and traceability are protected.</x:v>
      </x:c>
      <x:c r="H165" s="339" t="str">
        <x:v>History, Edit &amp; Audit</x:v>
      </x:c>
      <x:c r="I165" s="339" t="str">
        <x:v>MVP</x:v>
      </x:c>
      <x:c r="J165" s="339" t="str">
        <x:v>MVP</x:v>
      </x:c>
      <x:c r="K165" s="339" t="str">
        <x:v>Medium</x:v>
      </x:c>
      <x:c r="L165" s="339" t="n">
        <x:v>3</x:v>
      </x:c>
      <x:c r="M165" s="339" t="str">
        <x:v>HR, academics, timetable, identity, documents</x:v>
      </x:c>
      <x:c r="N165" s="339" t="str">
        <x:v>Not Started</x:v>
      </x:c>
    </x:row>
    <x:row r="166">
      <x:c r="A166" s="339" t="str">
        <x:v>US-0165</x:v>
      </x:c>
      <x:c r="B166" s="339" t="str">
        <x:v>EP-008</x:v>
      </x:c>
      <x:c r="C166" s="339" t="str">
        <x:v>SCR-083</x:v>
      </x:c>
      <x:c r="D166" s="339" t="str">
        <x:v>Teachers &amp; Staff</x:v>
      </x:c>
      <x:c r="E166" s="339" t="str">
        <x:v>Edit Staff</x:v>
      </x:c>
      <x:c r="F166" s="339" t="str">
        <x:v>School Admin</x:v>
      </x:c>
      <x:c r="G166" s="339" t="str">
        <x:v>As a School Admin, I want to manage staff so that staff can be allocated and managed correctly.</x:v>
      </x:c>
      <x:c r="H166" s="339" t="str">
        <x:v>Primary Workflow</x:v>
      </x:c>
      <x:c r="I166" s="339" t="str">
        <x:v>MVP</x:v>
      </x:c>
      <x:c r="J166" s="339" t="str">
        <x:v>MVP</x:v>
      </x:c>
      <x:c r="K166" s="339" t="str">
        <x:v>High</x:v>
      </x:c>
      <x:c r="L166" s="339" t="n">
        <x:v>8</x:v>
      </x:c>
      <x:c r="M166" s="339" t="str">
        <x:v>HR, academics, timetable, identity, documents</x:v>
      </x:c>
      <x:c r="N166" s="339" t="str">
        <x:v>Not Started</x:v>
      </x:c>
    </x:row>
    <x:row r="167">
      <x:c r="A167" s="339" t="str">
        <x:v>US-0166</x:v>
      </x:c>
      <x:c r="B167" s="339" t="str">
        <x:v>EP-008</x:v>
      </x:c>
      <x:c r="C167" s="339" t="str">
        <x:v>SCR-083</x:v>
      </x:c>
      <x:c r="D167" s="339" t="str">
        <x:v>Teachers &amp; Staff</x:v>
      </x:c>
      <x:c r="E167" s="339" t="str">
        <x:v>Edit Staff</x:v>
      </x:c>
      <x:c r="F167" s="339" t="str">
        <x:v>School Admin</x:v>
      </x:c>
      <x:c r="G167" s="339" t="str">
        <x:v>As a School Admin, I want edit staff to enforce status, approval &amp; exception handling rules so that data quality, permissions and traceability are protected.</x:v>
      </x:c>
      <x:c r="H167" s="339" t="str">
        <x:v>Status, Approval &amp; Exception Handling</x:v>
      </x:c>
      <x:c r="I167" s="339" t="str">
        <x:v>MVP</x:v>
      </x:c>
      <x:c r="J167" s="339" t="str">
        <x:v>MVP</x:v>
      </x:c>
      <x:c r="K167" s="339" t="str">
        <x:v>High</x:v>
      </x:c>
      <x:c r="L167" s="339" t="n">
        <x:v>6</x:v>
      </x:c>
      <x:c r="M167" s="339" t="str">
        <x:v>HR, academics, timetable, identity, documents</x:v>
      </x:c>
      <x:c r="N167" s="339" t="str">
        <x:v>Not Started</x:v>
      </x:c>
    </x:row>
    <x:row r="168">
      <x:c r="A168" s="339" t="str">
        <x:v>US-0167</x:v>
      </x:c>
      <x:c r="B168" s="339" t="str">
        <x:v>EP-008</x:v>
      </x:c>
      <x:c r="C168" s="339" t="str">
        <x:v>SCR-084</x:v>
      </x:c>
      <x:c r="D168" s="339" t="str">
        <x:v>Teachers &amp; Staff</x:v>
      </x:c>
      <x:c r="E168" s="339" t="str">
        <x:v>Teacher Allocation</x:v>
      </x:c>
      <x:c r="F168" s="339" t="str">
        <x:v>School Admin</x:v>
      </x:c>
      <x:c r="G168" s="339" t="str">
        <x:v>As a School Admin, I want to manage teacher allocation so that staff can be allocated and managed correctly.</x:v>
      </x:c>
      <x:c r="H168" s="339" t="str">
        <x:v>Primary Workflow</x:v>
      </x:c>
      <x:c r="I168" s="339" t="str">
        <x:v>MVP</x:v>
      </x:c>
      <x:c r="J168" s="339" t="str">
        <x:v>MVP</x:v>
      </x:c>
      <x:c r="K168" s="339" t="str">
        <x:v>High</x:v>
      </x:c>
      <x:c r="L168" s="339" t="n">
        <x:v>8</x:v>
      </x:c>
      <x:c r="M168" s="339" t="str">
        <x:v>HR, academics, timetable, identity, documents</x:v>
      </x:c>
      <x:c r="N168" s="339" t="str">
        <x:v>Not Started</x:v>
      </x:c>
    </x:row>
    <x:row r="169">
      <x:c r="A169" s="339" t="str">
        <x:v>US-0168</x:v>
      </x:c>
      <x:c r="B169" s="339" t="str">
        <x:v>EP-008</x:v>
      </x:c>
      <x:c r="C169" s="339" t="str">
        <x:v>SCR-084</x:v>
      </x:c>
      <x:c r="D169" s="339" t="str">
        <x:v>Teachers &amp; Staff</x:v>
      </x:c>
      <x:c r="E169" s="339" t="str">
        <x:v>Teacher Allocation</x:v>
      </x:c>
      <x:c r="F169" s="339" t="str">
        <x:v>School Admin</x:v>
      </x:c>
      <x:c r="G169" s="339" t="str">
        <x:v>As a School Admin, I want teacher allocation to enforce status, approval &amp; exception handling rules so that data quality, permissions and traceability are protected.</x:v>
      </x:c>
      <x:c r="H169" s="339" t="str">
        <x:v>Status, Approval &amp; Exception Handling</x:v>
      </x:c>
      <x:c r="I169" s="339" t="str">
        <x:v>MVP</x:v>
      </x:c>
      <x:c r="J169" s="339" t="str">
        <x:v>MVP</x:v>
      </x:c>
      <x:c r="K169" s="339" t="str">
        <x:v>High</x:v>
      </x:c>
      <x:c r="L169" s="339" t="n">
        <x:v>6</x:v>
      </x:c>
      <x:c r="M169" s="339" t="str">
        <x:v>HR, academics, timetable, identity, documents</x:v>
      </x:c>
      <x:c r="N169" s="339" t="str">
        <x:v>Not Started</x:v>
      </x:c>
    </x:row>
    <x:row r="170">
      <x:c r="A170" s="339" t="str">
        <x:v>US-0169</x:v>
      </x:c>
      <x:c r="B170" s="339" t="str">
        <x:v>EP-008</x:v>
      </x:c>
      <x:c r="C170" s="339" t="str">
        <x:v>SCR-085</x:v>
      </x:c>
      <x:c r="D170" s="339" t="str">
        <x:v>Teachers &amp; Staff</x:v>
      </x:c>
      <x:c r="E170" s="339" t="str">
        <x:v>Subject &amp; Class Assignment</x:v>
      </x:c>
      <x:c r="F170" s="339" t="str">
        <x:v>School Admin</x:v>
      </x:c>
      <x:c r="G170" s="339" t="str">
        <x:v>As a School Admin, I want to manage subject &amp; class assignment so that staff can be allocated and managed correctly.</x:v>
      </x:c>
      <x:c r="H170" s="339" t="str">
        <x:v>Primary Workflow</x:v>
      </x:c>
      <x:c r="I170" s="339" t="str">
        <x:v>MVP</x:v>
      </x:c>
      <x:c r="J170" s="339" t="str">
        <x:v>MVP</x:v>
      </x:c>
      <x:c r="K170" s="339" t="str">
        <x:v>High</x:v>
      </x:c>
      <x:c r="L170" s="339" t="n">
        <x:v>8</x:v>
      </x:c>
      <x:c r="M170" s="339" t="str">
        <x:v>HR, academics, timetable, identity, documents</x:v>
      </x:c>
      <x:c r="N170" s="339" t="str">
        <x:v>Not Started</x:v>
      </x:c>
    </x:row>
    <x:row r="171">
      <x:c r="A171" s="339" t="str">
        <x:v>US-0170</x:v>
      </x:c>
      <x:c r="B171" s="339" t="str">
        <x:v>EP-008</x:v>
      </x:c>
      <x:c r="C171" s="339" t="str">
        <x:v>SCR-085</x:v>
      </x:c>
      <x:c r="D171" s="339" t="str">
        <x:v>Teachers &amp; Staff</x:v>
      </x:c>
      <x:c r="E171" s="339" t="str">
        <x:v>Subject &amp; Class Assignment</x:v>
      </x:c>
      <x:c r="F171" s="339" t="str">
        <x:v>School Admin</x:v>
      </x:c>
      <x:c r="G171" s="339" t="str">
        <x:v>As a School Admin, I want subject &amp; class assignment to enforce status, approval &amp; exception handling rules so that data quality, permissions and traceability are protected.</x:v>
      </x:c>
      <x:c r="H171" s="339" t="str">
        <x:v>Status, Approval &amp; Exception Handling</x:v>
      </x:c>
      <x:c r="I171" s="339" t="str">
        <x:v>MVP</x:v>
      </x:c>
      <x:c r="J171" s="339" t="str">
        <x:v>MVP</x:v>
      </x:c>
      <x:c r="K171" s="339" t="str">
        <x:v>High</x:v>
      </x:c>
      <x:c r="L171" s="339" t="n">
        <x:v>6</x:v>
      </x:c>
      <x:c r="M171" s="339" t="str">
        <x:v>HR, academics, timetable, identity, documents</x:v>
      </x:c>
      <x:c r="N171" s="339" t="str">
        <x:v>Not Started</x:v>
      </x:c>
    </x:row>
    <x:row r="172">
      <x:c r="A172" s="339" t="str">
        <x:v>US-0171</x:v>
      </x:c>
      <x:c r="B172" s="339" t="str">
        <x:v>EP-008</x:v>
      </x:c>
      <x:c r="C172" s="339" t="str">
        <x:v>SCR-086</x:v>
      </x:c>
      <x:c r="D172" s="339" t="str">
        <x:v>Teachers &amp; Staff</x:v>
      </x:c>
      <x:c r="E172" s="339" t="str">
        <x:v>Teacher Workload</x:v>
      </x:c>
      <x:c r="F172" s="339" t="str">
        <x:v>School Admin</x:v>
      </x:c>
      <x:c r="G172" s="339" t="str">
        <x:v>As a School Admin, I want to manage teacher workload so that staff can be allocated and managed correctly.</x:v>
      </x:c>
      <x:c r="H172" s="339" t="str">
        <x:v>Primary Workflow</x:v>
      </x:c>
      <x:c r="I172" s="339" t="str">
        <x:v>Phase 2</x:v>
      </x:c>
      <x:c r="J172" s="339" t="str">
        <x:v>Phase 2</x:v>
      </x:c>
      <x:c r="K172" s="339" t="str">
        <x:v>High</x:v>
      </x:c>
      <x:c r="L172" s="339" t="n">
        <x:v>8</x:v>
      </x:c>
      <x:c r="M172" s="339" t="str">
        <x:v>HR, academics, timetable, identity, documents</x:v>
      </x:c>
      <x:c r="N172" s="339" t="str">
        <x:v>Not Started</x:v>
      </x:c>
    </x:row>
    <x:row r="173">
      <x:c r="A173" s="339" t="str">
        <x:v>US-0172</x:v>
      </x:c>
      <x:c r="B173" s="339" t="str">
        <x:v>EP-008</x:v>
      </x:c>
      <x:c r="C173" s="339" t="str">
        <x:v>SCR-086</x:v>
      </x:c>
      <x:c r="D173" s="339" t="str">
        <x:v>Teachers &amp; Staff</x:v>
      </x:c>
      <x:c r="E173" s="339" t="str">
        <x:v>Teacher Workload</x:v>
      </x:c>
      <x:c r="F173" s="339" t="str">
        <x:v>School Admin</x:v>
      </x:c>
      <x:c r="G173" s="339" t="str">
        <x:v>As a School Admin, I want teacher workload to enforce status, approval &amp; exception handling rules so that data quality, permissions and traceability are protected.</x:v>
      </x:c>
      <x:c r="H173" s="339" t="str">
        <x:v>Status, Approval &amp; Exception Handling</x:v>
      </x:c>
      <x:c r="I173" s="339" t="str">
        <x:v>Phase 2</x:v>
      </x:c>
      <x:c r="J173" s="339" t="str">
        <x:v>Phase 2</x:v>
      </x:c>
      <x:c r="K173" s="339" t="str">
        <x:v>High</x:v>
      </x:c>
      <x:c r="L173" s="339" t="n">
        <x:v>6</x:v>
      </x:c>
      <x:c r="M173" s="339" t="str">
        <x:v>HR, academics, timetable, identity, documents</x:v>
      </x:c>
      <x:c r="N173" s="339" t="str">
        <x:v>Not Started</x:v>
      </x:c>
    </x:row>
    <x:row r="174">
      <x:c r="A174" s="339" t="str">
        <x:v>US-0173</x:v>
      </x:c>
      <x:c r="B174" s="339" t="str">
        <x:v>EP-008</x:v>
      </x:c>
      <x:c r="C174" s="339" t="str">
        <x:v>SCR-087</x:v>
      </x:c>
      <x:c r="D174" s="339" t="str">
        <x:v>Teachers &amp; Staff</x:v>
      </x:c>
      <x:c r="E174" s="339" t="str">
        <x:v>Qualifications &amp; Documents</x:v>
      </x:c>
      <x:c r="F174" s="339" t="str">
        <x:v>School Admin</x:v>
      </x:c>
      <x:c r="G174" s="339" t="str">
        <x:v>As a School Admin, I want to manage qualifications &amp; documents so that staff can be allocated and managed correctly.</x:v>
      </x:c>
      <x:c r="H174" s="339" t="str">
        <x:v>Primary Workflow</x:v>
      </x:c>
      <x:c r="I174" s="339" t="str">
        <x:v>Phase 2</x:v>
      </x:c>
      <x:c r="J174" s="339" t="str">
        <x:v>Phase 2</x:v>
      </x:c>
      <x:c r="K174" s="339" t="str">
        <x:v>High</x:v>
      </x:c>
      <x:c r="L174" s="339" t="n">
        <x:v>8</x:v>
      </x:c>
      <x:c r="M174" s="339" t="str">
        <x:v>HR, academics, timetable, identity, documents</x:v>
      </x:c>
      <x:c r="N174" s="339" t="str">
        <x:v>Not Started</x:v>
      </x:c>
    </x:row>
    <x:row r="175">
      <x:c r="A175" s="339" t="str">
        <x:v>US-0174</x:v>
      </x:c>
      <x:c r="B175" s="339" t="str">
        <x:v>EP-008</x:v>
      </x:c>
      <x:c r="C175" s="339" t="str">
        <x:v>SCR-087</x:v>
      </x:c>
      <x:c r="D175" s="339" t="str">
        <x:v>Teachers &amp; Staff</x:v>
      </x:c>
      <x:c r="E175" s="339" t="str">
        <x:v>Qualifications &amp; Documents</x:v>
      </x:c>
      <x:c r="F175" s="339" t="str">
        <x:v>School Admin</x:v>
      </x:c>
      <x:c r="G175" s="339" t="str">
        <x:v>As a School Admin, I want qualifications &amp; documents to enforce status, approval &amp; exception handling rules so that data quality, permissions and traceability are protected.</x:v>
      </x:c>
      <x:c r="H175" s="339" t="str">
        <x:v>Status, Approval &amp; Exception Handling</x:v>
      </x:c>
      <x:c r="I175" s="339" t="str">
        <x:v>Phase 2</x:v>
      </x:c>
      <x:c r="J175" s="339" t="str">
        <x:v>Phase 2</x:v>
      </x:c>
      <x:c r="K175" s="339" t="str">
        <x:v>High</x:v>
      </x:c>
      <x:c r="L175" s="339" t="n">
        <x:v>6</x:v>
      </x:c>
      <x:c r="M175" s="339" t="str">
        <x:v>HR, academics, timetable, identity, documents</x:v>
      </x:c>
      <x:c r="N175" s="339" t="str">
        <x:v>Not Started</x:v>
      </x:c>
    </x:row>
    <x:row r="176">
      <x:c r="A176" s="339" t="str">
        <x:v>US-0175</x:v>
      </x:c>
      <x:c r="B176" s="339" t="str">
        <x:v>EP-008</x:v>
      </x:c>
      <x:c r="C176" s="339" t="str">
        <x:v>SCR-088</x:v>
      </x:c>
      <x:c r="D176" s="339" t="str">
        <x:v>Teachers &amp; Staff</x:v>
      </x:c>
      <x:c r="E176" s="339" t="str">
        <x:v>Staff Attendance Summary</x:v>
      </x:c>
      <x:c r="F176" s="339" t="str">
        <x:v>School Admin</x:v>
      </x:c>
      <x:c r="G176" s="339" t="str">
        <x:v>As a School Admin, I want to manage staff attendance summary so that staff can be allocated and managed correctly.</x:v>
      </x:c>
      <x:c r="H176" s="339" t="str">
        <x:v>Primary Workflow</x:v>
      </x:c>
      <x:c r="I176" s="339" t="str">
        <x:v>Phase 3</x:v>
      </x:c>
      <x:c r="J176" s="339" t="str">
        <x:v>Phase 3</x:v>
      </x:c>
      <x:c r="K176" s="339" t="str">
        <x:v>High</x:v>
      </x:c>
      <x:c r="L176" s="339" t="n">
        <x:v>8</x:v>
      </x:c>
      <x:c r="M176" s="339" t="str">
        <x:v>HR, academics, timetable, identity, documents</x:v>
      </x:c>
      <x:c r="N176" s="339" t="str">
        <x:v>Not Started</x:v>
      </x:c>
    </x:row>
    <x:row r="177">
      <x:c r="A177" s="339" t="str">
        <x:v>US-0176</x:v>
      </x:c>
      <x:c r="B177" s="339" t="str">
        <x:v>EP-008</x:v>
      </x:c>
      <x:c r="C177" s="339" t="str">
        <x:v>SCR-088</x:v>
      </x:c>
      <x:c r="D177" s="339" t="str">
        <x:v>Teachers &amp; Staff</x:v>
      </x:c>
      <x:c r="E177" s="339" t="str">
        <x:v>Staff Attendance Summary</x:v>
      </x:c>
      <x:c r="F177" s="339" t="str">
        <x:v>School Admin</x:v>
      </x:c>
      <x:c r="G177" s="339" t="str">
        <x:v>As a School Admin, I want staff attendance summary to enforce filters, reconciliation &amp; export rules so that data quality, permissions and traceability are protected.</x:v>
      </x:c>
      <x:c r="H177" s="339" t="str">
        <x:v>Filters, Reconciliation &amp; Export</x:v>
      </x:c>
      <x:c r="I177" s="339" t="str">
        <x:v>Phase 3</x:v>
      </x:c>
      <x:c r="J177" s="339" t="str">
        <x:v>Phase 3</x:v>
      </x:c>
      <x:c r="K177" s="339" t="str">
        <x:v>High</x:v>
      </x:c>
      <x:c r="L177" s="339" t="n">
        <x:v>6</x:v>
      </x:c>
      <x:c r="M177" s="339" t="str">
        <x:v>HR, academics, timetable, identity, documents</x:v>
      </x:c>
      <x:c r="N177" s="339" t="str">
        <x:v>Not Started</x:v>
      </x:c>
    </x:row>
    <x:row r="178">
      <x:c r="A178" s="339" t="str">
        <x:v>US-0177</x:v>
      </x:c>
      <x:c r="B178" s="339" t="str">
        <x:v>EP-008</x:v>
      </x:c>
      <x:c r="C178" s="339" t="str">
        <x:v>SCR-089</x:v>
      </x:c>
      <x:c r="D178" s="339" t="str">
        <x:v>Teachers &amp; Staff</x:v>
      </x:c>
      <x:c r="E178" s="339" t="str">
        <x:v>Staff Leave Summary</x:v>
      </x:c>
      <x:c r="F178" s="339" t="str">
        <x:v>School Admin</x:v>
      </x:c>
      <x:c r="G178" s="339" t="str">
        <x:v>As a School Admin, I want to manage staff leave summary so that staff can be allocated and managed correctly.</x:v>
      </x:c>
      <x:c r="H178" s="339" t="str">
        <x:v>Primary Workflow</x:v>
      </x:c>
      <x:c r="I178" s="339" t="str">
        <x:v>Phase 3</x:v>
      </x:c>
      <x:c r="J178" s="339" t="str">
        <x:v>Phase 3</x:v>
      </x:c>
      <x:c r="K178" s="339" t="str">
        <x:v>High</x:v>
      </x:c>
      <x:c r="L178" s="339" t="n">
        <x:v>8</x:v>
      </x:c>
      <x:c r="M178" s="339" t="str">
        <x:v>HR, academics, timetable, identity, documents</x:v>
      </x:c>
      <x:c r="N178" s="339" t="str">
        <x:v>Not Started</x:v>
      </x:c>
    </x:row>
    <x:row r="179">
      <x:c r="A179" s="339" t="str">
        <x:v>US-0178</x:v>
      </x:c>
      <x:c r="B179" s="339" t="str">
        <x:v>EP-008</x:v>
      </x:c>
      <x:c r="C179" s="339" t="str">
        <x:v>SCR-089</x:v>
      </x:c>
      <x:c r="D179" s="339" t="str">
        <x:v>Teachers &amp; Staff</x:v>
      </x:c>
      <x:c r="E179" s="339" t="str">
        <x:v>Staff Leave Summary</x:v>
      </x:c>
      <x:c r="F179" s="339" t="str">
        <x:v>School Admin</x:v>
      </x:c>
      <x:c r="G179" s="339" t="str">
        <x:v>As a School Admin, I want staff leave summary to enforce filters, reconciliation &amp; export rules so that data quality, permissions and traceability are protected.</x:v>
      </x:c>
      <x:c r="H179" s="339" t="str">
        <x:v>Filters, Reconciliation &amp; Export</x:v>
      </x:c>
      <x:c r="I179" s="339" t="str">
        <x:v>Phase 3</x:v>
      </x:c>
      <x:c r="J179" s="339" t="str">
        <x:v>Phase 3</x:v>
      </x:c>
      <x:c r="K179" s="339" t="str">
        <x:v>High</x:v>
      </x:c>
      <x:c r="L179" s="339" t="n">
        <x:v>6</x:v>
      </x:c>
      <x:c r="M179" s="339" t="str">
        <x:v>HR, academics, timetable, identity, documents</x:v>
      </x:c>
      <x:c r="N179" s="339" t="str">
        <x:v>Not Started</x:v>
      </x:c>
    </x:row>
    <x:row r="180">
      <x:c r="A180" s="339" t="str">
        <x:v>US-0179</x:v>
      </x:c>
      <x:c r="B180" s="339" t="str">
        <x:v>EP-008</x:v>
      </x:c>
      <x:c r="C180" s="339" t="str">
        <x:v>SCR-090</x:v>
      </x:c>
      <x:c r="D180" s="339" t="str">
        <x:v>Teachers &amp; Staff</x:v>
      </x:c>
      <x:c r="E180" s="339" t="str">
        <x:v>Performance &amp; Classroom Observation</x:v>
      </x:c>
      <x:c r="F180" s="339" t="str">
        <x:v>School Admin</x:v>
      </x:c>
      <x:c r="G180" s="339" t="str">
        <x:v>As a School Admin, I want to manage performance &amp; classroom observation so that staff can be allocated and managed correctly.</x:v>
      </x:c>
      <x:c r="H180" s="339" t="str">
        <x:v>Primary Workflow</x:v>
      </x:c>
      <x:c r="I180" s="339" t="str">
        <x:v>Phase 3</x:v>
      </x:c>
      <x:c r="J180" s="339" t="str">
        <x:v>Phase 3</x:v>
      </x:c>
      <x:c r="K180" s="339" t="str">
        <x:v>High</x:v>
      </x:c>
      <x:c r="L180" s="339" t="n">
        <x:v>8</x:v>
      </x:c>
      <x:c r="M180" s="339" t="str">
        <x:v>HR, academics, timetable, identity, documents</x:v>
      </x:c>
      <x:c r="N180" s="339" t="str">
        <x:v>Not Started</x:v>
      </x:c>
    </x:row>
    <x:row r="181">
      <x:c r="A181" s="339" t="str">
        <x:v>US-0180</x:v>
      </x:c>
      <x:c r="B181" s="339" t="str">
        <x:v>EP-008</x:v>
      </x:c>
      <x:c r="C181" s="339" t="str">
        <x:v>SCR-090</x:v>
      </x:c>
      <x:c r="D181" s="339" t="str">
        <x:v>Teachers &amp; Staff</x:v>
      </x:c>
      <x:c r="E181" s="339" t="str">
        <x:v>Performance &amp; Classroom Observation</x:v>
      </x:c>
      <x:c r="F181" s="339" t="str">
        <x:v>School Admin</x:v>
      </x:c>
      <x:c r="G181" s="339" t="str">
        <x:v>As a School Admin, I want performance &amp; classroom observation to enforce status, approval &amp; exception handling rules so that data quality, permissions and traceability are protected.</x:v>
      </x:c>
      <x:c r="H181" s="339" t="str">
        <x:v>Status, Approval &amp; Exception Handling</x:v>
      </x:c>
      <x:c r="I181" s="339" t="str">
        <x:v>Phase 3</x:v>
      </x:c>
      <x:c r="J181" s="339" t="str">
        <x:v>Phase 3</x:v>
      </x:c>
      <x:c r="K181" s="339" t="str">
        <x:v>High</x:v>
      </x:c>
      <x:c r="L181" s="339" t="n">
        <x:v>6</x:v>
      </x:c>
      <x:c r="M181" s="339" t="str">
        <x:v>HR, academics, timetable, identity, documents</x:v>
      </x:c>
      <x:c r="N181" s="339" t="str">
        <x:v>Not Started</x:v>
      </x:c>
    </x:row>
    <x:row r="182">
      <x:c r="A182" s="339" t="str">
        <x:v>US-0181</x:v>
      </x:c>
      <x:c r="B182" s="339" t="str">
        <x:v>EP-008</x:v>
      </x:c>
      <x:c r="C182" s="339" t="str">
        <x:v>SCR-091</x:v>
      </x:c>
      <x:c r="D182" s="339" t="str">
        <x:v>Teachers &amp; Staff</x:v>
      </x:c>
      <x:c r="E182" s="339" t="str">
        <x:v>Exit / Offboarding</x:v>
      </x:c>
      <x:c r="F182" s="339" t="str">
        <x:v>School Admin</x:v>
      </x:c>
      <x:c r="G182" s="339" t="str">
        <x:v>As a School Admin, I want to manage exit / offboarding so that staff can be allocated and managed correctly.</x:v>
      </x:c>
      <x:c r="H182" s="339" t="str">
        <x:v>Primary Workflow</x:v>
      </x:c>
      <x:c r="I182" s="339" t="str">
        <x:v>Phase 3</x:v>
      </x:c>
      <x:c r="J182" s="339" t="str">
        <x:v>Phase 3</x:v>
      </x:c>
      <x:c r="K182" s="339" t="str">
        <x:v>High</x:v>
      </x:c>
      <x:c r="L182" s="339" t="n">
        <x:v>8</x:v>
      </x:c>
      <x:c r="M182" s="339" t="str">
        <x:v>HR, academics, timetable, identity, documents</x:v>
      </x:c>
      <x:c r="N182" s="339" t="str">
        <x:v>Not Started</x:v>
      </x:c>
    </x:row>
    <x:row r="183">
      <x:c r="A183" s="339" t="str">
        <x:v>US-0182</x:v>
      </x:c>
      <x:c r="B183" s="339" t="str">
        <x:v>EP-008</x:v>
      </x:c>
      <x:c r="C183" s="339" t="str">
        <x:v>SCR-091</x:v>
      </x:c>
      <x:c r="D183" s="339" t="str">
        <x:v>Teachers &amp; Staff</x:v>
      </x:c>
      <x:c r="E183" s="339" t="str">
        <x:v>Exit / Offboarding</x:v>
      </x:c>
      <x:c r="F183" s="339" t="str">
        <x:v>School Admin</x:v>
      </x:c>
      <x:c r="G183" s="339" t="str">
        <x:v>As a School Admin, I want exit / offboarding to enforce status, approval &amp; exception handling rules so that data quality, permissions and traceability are protected.</x:v>
      </x:c>
      <x:c r="H183" s="339" t="str">
        <x:v>Status, Approval &amp; Exception Handling</x:v>
      </x:c>
      <x:c r="I183" s="339" t="str">
        <x:v>Phase 3</x:v>
      </x:c>
      <x:c r="J183" s="339" t="str">
        <x:v>Phase 3</x:v>
      </x:c>
      <x:c r="K183" s="339" t="str">
        <x:v>High</x:v>
      </x:c>
      <x:c r="L183" s="339" t="n">
        <x:v>6</x:v>
      </x:c>
      <x:c r="M183" s="339" t="str">
        <x:v>HR, academics, timetable, identity, documents</x:v>
      </x:c>
      <x:c r="N183" s="339" t="str">
        <x:v>Not Started</x:v>
      </x:c>
    </x:row>
    <x:row r="184">
      <x:c r="A184" s="339" t="str">
        <x:v>US-0183</x:v>
      </x:c>
      <x:c r="B184" s="339" t="str">
        <x:v>EP-009</x:v>
      </x:c>
      <x:c r="C184" s="339" t="str">
        <x:v>SCR-092</x:v>
      </x:c>
      <x:c r="D184" s="339" t="str">
        <x:v>Academics &amp; Curriculum</x:v>
      </x:c>
      <x:c r="E184" s="339" t="str">
        <x:v>Academic Years</x:v>
      </x:c>
      <x:c r="F184" s="339" t="str">
        <x:v>Academic Coordinator</x:v>
      </x:c>
      <x:c r="G184" s="339" t="str">
        <x:v>As a Academic Coordinator, I want to configure academic years so that teaching stays aligned to the approved academic plan.</x:v>
      </x:c>
      <x:c r="H184" s="339" t="str">
        <x:v>Primary Workflow</x:v>
      </x:c>
      <x:c r="I184" s="339" t="str">
        <x:v>MVP</x:v>
      </x:c>
      <x:c r="J184" s="339" t="str">
        <x:v>MVP</x:v>
      </x:c>
      <x:c r="K184" s="339" t="str">
        <x:v>Medium</x:v>
      </x:c>
      <x:c r="L184" s="339" t="n">
        <x:v>5</x:v>
      </x:c>
      <x:c r="M184" s="339" t="str">
        <x:v>Academic masters, staff assignments, timetable, resources, assessment</x:v>
      </x:c>
      <x:c r="N184" s="339" t="str">
        <x:v>Not Started</x:v>
      </x:c>
    </x:row>
    <x:row r="185">
      <x:c r="A185" s="339" t="str">
        <x:v>US-0184</x:v>
      </x:c>
      <x:c r="B185" s="339" t="str">
        <x:v>EP-009</x:v>
      </x:c>
      <x:c r="C185" s="339" t="str">
        <x:v>SCR-092</x:v>
      </x:c>
      <x:c r="D185" s="339" t="str">
        <x:v>Academics &amp; Curriculum</x:v>
      </x:c>
      <x:c r="E185" s="339" t="str">
        <x:v>Academic Years</x:v>
      </x:c>
      <x:c r="F185" s="339" t="str">
        <x:v>Academic Coordinator</x:v>
      </x:c>
      <x:c r="G185" s="339" t="str">
        <x:v>As a Academic Coordinator, I want academic years to enforce dependency-safe configuration rules so that data quality, permissions and traceability are protected.</x:v>
      </x:c>
      <x:c r="H185" s="339" t="str">
        <x:v>Dependency-safe Configuration</x:v>
      </x:c>
      <x:c r="I185" s="339" t="str">
        <x:v>MVP</x:v>
      </x:c>
      <x:c r="J185" s="339" t="str">
        <x:v>MVP</x:v>
      </x:c>
      <x:c r="K185" s="339" t="str">
        <x:v>Medium</x:v>
      </x:c>
      <x:c r="L185" s="339" t="n">
        <x:v>3</x:v>
      </x:c>
      <x:c r="M185" s="339" t="str">
        <x:v>Academic masters, staff assignments, timetable, resources, assessment</x:v>
      </x:c>
      <x:c r="N185" s="339" t="str">
        <x:v>Not Started</x:v>
      </x:c>
    </x:row>
    <x:row r="186">
      <x:c r="A186" s="339" t="str">
        <x:v>US-0185</x:v>
      </x:c>
      <x:c r="B186" s="339" t="str">
        <x:v>EP-009</x:v>
      </x:c>
      <x:c r="C186" s="339" t="str">
        <x:v>SCR-093</x:v>
      </x:c>
      <x:c r="D186" s="339" t="str">
        <x:v>Academics &amp; Curriculum</x:v>
      </x:c>
      <x:c r="E186" s="339" t="str">
        <x:v>Terms / Semesters</x:v>
      </x:c>
      <x:c r="F186" s="339" t="str">
        <x:v>Academic Coordinator</x:v>
      </x:c>
      <x:c r="G186" s="339" t="str">
        <x:v>As a Academic Coordinator, I want to manage terms / semesters so that teaching stays aligned to the approved academic plan.</x:v>
      </x:c>
      <x:c r="H186" s="339" t="str">
        <x:v>Primary Workflow</x:v>
      </x:c>
      <x:c r="I186" s="339" t="str">
        <x:v>MVP</x:v>
      </x:c>
      <x:c r="J186" s="339" t="str">
        <x:v>MVP</x:v>
      </x:c>
      <x:c r="K186" s="339" t="str">
        <x:v>High</x:v>
      </x:c>
      <x:c r="L186" s="339" t="n">
        <x:v>8</x:v>
      </x:c>
      <x:c r="M186" s="339" t="str">
        <x:v>Academic masters, staff assignments, timetable, resources, assessment</x:v>
      </x:c>
      <x:c r="N186" s="339" t="str">
        <x:v>Not Started</x:v>
      </x:c>
    </x:row>
    <x:row r="187">
      <x:c r="A187" s="339" t="str">
        <x:v>US-0186</x:v>
      </x:c>
      <x:c r="B187" s="339" t="str">
        <x:v>EP-009</x:v>
      </x:c>
      <x:c r="C187" s="339" t="str">
        <x:v>SCR-093</x:v>
      </x:c>
      <x:c r="D187" s="339" t="str">
        <x:v>Academics &amp; Curriculum</x:v>
      </x:c>
      <x:c r="E187" s="339" t="str">
        <x:v>Terms / Semesters</x:v>
      </x:c>
      <x:c r="F187" s="339" t="str">
        <x:v>Academic Coordinator</x:v>
      </x:c>
      <x:c r="G187" s="339" t="str">
        <x:v>As a Academic Coordinator, I want terms / semesters to enforce status, approval &amp; exception handling rules so that data quality, permissions and traceability are protected.</x:v>
      </x:c>
      <x:c r="H187" s="339" t="str">
        <x:v>Status, Approval &amp; Exception Handling</x:v>
      </x:c>
      <x:c r="I187" s="339" t="str">
        <x:v>MVP</x:v>
      </x:c>
      <x:c r="J187" s="339" t="str">
        <x:v>MVP</x:v>
      </x:c>
      <x:c r="K187" s="339" t="str">
        <x:v>High</x:v>
      </x:c>
      <x:c r="L187" s="339" t="n">
        <x:v>6</x:v>
      </x:c>
      <x:c r="M187" s="339" t="str">
        <x:v>Academic masters, staff assignments, timetable, resources, assessment</x:v>
      </x:c>
      <x:c r="N187" s="339" t="str">
        <x:v>Not Started</x:v>
      </x:c>
    </x:row>
    <x:row r="188">
      <x:c r="A188" s="339" t="str">
        <x:v>US-0187</x:v>
      </x:c>
      <x:c r="B188" s="339" t="str">
        <x:v>EP-009</x:v>
      </x:c>
      <x:c r="C188" s="339" t="str">
        <x:v>SCR-094</x:v>
      </x:c>
      <x:c r="D188" s="339" t="str">
        <x:v>Academics &amp; Curriculum</x:v>
      </x:c>
      <x:c r="E188" s="339" t="str">
        <x:v>Grades / Classes</x:v>
      </x:c>
      <x:c r="F188" s="339" t="str">
        <x:v>Academic Coordinator</x:v>
      </x:c>
      <x:c r="G188" s="339" t="str">
        <x:v>As a Academic Coordinator, I want to manage grades / classes so that teaching stays aligned to the approved academic plan.</x:v>
      </x:c>
      <x:c r="H188" s="339" t="str">
        <x:v>Primary Workflow</x:v>
      </x:c>
      <x:c r="I188" s="339" t="str">
        <x:v>MVP</x:v>
      </x:c>
      <x:c r="J188" s="339" t="str">
        <x:v>MVP</x:v>
      </x:c>
      <x:c r="K188" s="339" t="str">
        <x:v>High</x:v>
      </x:c>
      <x:c r="L188" s="339" t="n">
        <x:v>8</x:v>
      </x:c>
      <x:c r="M188" s="339" t="str">
        <x:v>Academic masters, staff assignments, timetable, resources, assessment</x:v>
      </x:c>
      <x:c r="N188" s="339" t="str">
        <x:v>Not Started</x:v>
      </x:c>
    </x:row>
    <x:row r="189">
      <x:c r="A189" s="339" t="str">
        <x:v>US-0188</x:v>
      </x:c>
      <x:c r="B189" s="339" t="str">
        <x:v>EP-009</x:v>
      </x:c>
      <x:c r="C189" s="339" t="str">
        <x:v>SCR-094</x:v>
      </x:c>
      <x:c r="D189" s="339" t="str">
        <x:v>Academics &amp; Curriculum</x:v>
      </x:c>
      <x:c r="E189" s="339" t="str">
        <x:v>Grades / Classes</x:v>
      </x:c>
      <x:c r="F189" s="339" t="str">
        <x:v>Academic Coordinator</x:v>
      </x:c>
      <x:c r="G189" s="339" t="str">
        <x:v>As a Academic Coordinator, I want grades / classes to enforce status, approval &amp; exception handling rules so that data quality, permissions and traceability are protected.</x:v>
      </x:c>
      <x:c r="H189" s="339" t="str">
        <x:v>Status, Approval &amp; Exception Handling</x:v>
      </x:c>
      <x:c r="I189" s="339" t="str">
        <x:v>MVP</x:v>
      </x:c>
      <x:c r="J189" s="339" t="str">
        <x:v>MVP</x:v>
      </x:c>
      <x:c r="K189" s="339" t="str">
        <x:v>High</x:v>
      </x:c>
      <x:c r="L189" s="339" t="n">
        <x:v>6</x:v>
      </x:c>
      <x:c r="M189" s="339" t="str">
        <x:v>Academic masters, staff assignments, timetable, resources, assessment</x:v>
      </x:c>
      <x:c r="N189" s="339" t="str">
        <x:v>Not Started</x:v>
      </x:c>
    </x:row>
    <x:row r="190">
      <x:c r="A190" s="339" t="str">
        <x:v>US-0189</x:v>
      </x:c>
      <x:c r="B190" s="339" t="str">
        <x:v>EP-009</x:v>
      </x:c>
      <x:c r="C190" s="339" t="str">
        <x:v>SCR-095</x:v>
      </x:c>
      <x:c r="D190" s="339" t="str">
        <x:v>Academics &amp; Curriculum</x:v>
      </x:c>
      <x:c r="E190" s="339" t="str">
        <x:v>Sections</x:v>
      </x:c>
      <x:c r="F190" s="339" t="str">
        <x:v>Academic Coordinator</x:v>
      </x:c>
      <x:c r="G190" s="339" t="str">
        <x:v>As a Academic Coordinator, I want to find and manage sections so that teaching stays aligned to the approved academic plan.</x:v>
      </x:c>
      <x:c r="H190" s="339" t="str">
        <x:v>Primary Workflow</x:v>
      </x:c>
      <x:c r="I190" s="339" t="str">
        <x:v>MVP</x:v>
      </x:c>
      <x:c r="J190" s="339" t="str">
        <x:v>MVP</x:v>
      </x:c>
      <x:c r="K190" s="339" t="str">
        <x:v>Medium</x:v>
      </x:c>
      <x:c r="L190" s="339" t="n">
        <x:v>5</x:v>
      </x:c>
      <x:c r="M190" s="339" t="str">
        <x:v>Academic masters, staff assignments, timetable, resources, assessment</x:v>
      </x:c>
      <x:c r="N190" s="339" t="str">
        <x:v>Not Started</x:v>
      </x:c>
    </x:row>
    <x:row r="191">
      <x:c r="A191" s="339" t="str">
        <x:v>US-0190</x:v>
      </x:c>
      <x:c r="B191" s="339" t="str">
        <x:v>EP-009</x:v>
      </x:c>
      <x:c r="C191" s="339" t="str">
        <x:v>SCR-095</x:v>
      </x:c>
      <x:c r="D191" s="339" t="str">
        <x:v>Academics &amp; Curriculum</x:v>
      </x:c>
      <x:c r="E191" s="339" t="str">
        <x:v>Sections</x:v>
      </x:c>
      <x:c r="F191" s="339" t="str">
        <x:v>Academic Coordinator</x:v>
      </x:c>
      <x:c r="G191" s="339" t="str">
        <x:v>As a Academic Coordinator, I want sections to enforce search, filter &amp; controlled actions rules so that data quality, permissions and traceability are protected.</x:v>
      </x:c>
      <x:c r="H191" s="339" t="str">
        <x:v>Search, Filter &amp; Controlled Actions</x:v>
      </x:c>
      <x:c r="I191" s="339" t="str">
        <x:v>MVP</x:v>
      </x:c>
      <x:c r="J191" s="339" t="str">
        <x:v>MVP</x:v>
      </x:c>
      <x:c r="K191" s="339" t="str">
        <x:v>Medium</x:v>
      </x:c>
      <x:c r="L191" s="339" t="n">
        <x:v>3</x:v>
      </x:c>
      <x:c r="M191" s="339" t="str">
        <x:v>Academic masters, staff assignments, timetable, resources, assessment</x:v>
      </x:c>
      <x:c r="N191" s="339" t="str">
        <x:v>Not Started</x:v>
      </x:c>
    </x:row>
    <x:row r="192">
      <x:c r="A192" s="339" t="str">
        <x:v>US-0191</x:v>
      </x:c>
      <x:c r="B192" s="339" t="str">
        <x:v>EP-009</x:v>
      </x:c>
      <x:c r="C192" s="339" t="str">
        <x:v>SCR-096</x:v>
      </x:c>
      <x:c r="D192" s="339" t="str">
        <x:v>Academics &amp; Curriculum</x:v>
      </x:c>
      <x:c r="E192" s="339" t="str">
        <x:v>Subjects</x:v>
      </x:c>
      <x:c r="F192" s="339" t="str">
        <x:v>Academic Coordinator</x:v>
      </x:c>
      <x:c r="G192" s="339" t="str">
        <x:v>As a Academic Coordinator, I want to find and manage subjects so that teaching stays aligned to the approved academic plan.</x:v>
      </x:c>
      <x:c r="H192" s="339" t="str">
        <x:v>Primary Workflow</x:v>
      </x:c>
      <x:c r="I192" s="339" t="str">
        <x:v>MVP</x:v>
      </x:c>
      <x:c r="J192" s="339" t="str">
        <x:v>MVP</x:v>
      </x:c>
      <x:c r="K192" s="339" t="str">
        <x:v>Medium</x:v>
      </x:c>
      <x:c r="L192" s="339" t="n">
        <x:v>5</x:v>
      </x:c>
      <x:c r="M192" s="339" t="str">
        <x:v>Academic masters, staff assignments, timetable, resources, assessment</x:v>
      </x:c>
      <x:c r="N192" s="339" t="str">
        <x:v>Not Started</x:v>
      </x:c>
    </x:row>
    <x:row r="193">
      <x:c r="A193" s="339" t="str">
        <x:v>US-0192</x:v>
      </x:c>
      <x:c r="B193" s="339" t="str">
        <x:v>EP-009</x:v>
      </x:c>
      <x:c r="C193" s="339" t="str">
        <x:v>SCR-096</x:v>
      </x:c>
      <x:c r="D193" s="339" t="str">
        <x:v>Academics &amp; Curriculum</x:v>
      </x:c>
      <x:c r="E193" s="339" t="str">
        <x:v>Subjects</x:v>
      </x:c>
      <x:c r="F193" s="339" t="str">
        <x:v>Academic Coordinator</x:v>
      </x:c>
      <x:c r="G193" s="339" t="str">
        <x:v>As a Academic Coordinator, I want subjects to enforce search, filter &amp; controlled actions rules so that data quality, permissions and traceability are protected.</x:v>
      </x:c>
      <x:c r="H193" s="339" t="str">
        <x:v>Search, Filter &amp; Controlled Actions</x:v>
      </x:c>
      <x:c r="I193" s="339" t="str">
        <x:v>MVP</x:v>
      </x:c>
      <x:c r="J193" s="339" t="str">
        <x:v>MVP</x:v>
      </x:c>
      <x:c r="K193" s="339" t="str">
        <x:v>Medium</x:v>
      </x:c>
      <x:c r="L193" s="339" t="n">
        <x:v>3</x:v>
      </x:c>
      <x:c r="M193" s="339" t="str">
        <x:v>Academic masters, staff assignments, timetable, resources, assessment</x:v>
      </x:c>
      <x:c r="N193" s="339" t="str">
        <x:v>Not Started</x:v>
      </x:c>
    </x:row>
    <x:row r="194">
      <x:c r="A194" s="339" t="str">
        <x:v>US-0193</x:v>
      </x:c>
      <x:c r="B194" s="339" t="str">
        <x:v>EP-009</x:v>
      </x:c>
      <x:c r="C194" s="339" t="str">
        <x:v>SCR-097</x:v>
      </x:c>
      <x:c r="D194" s="339" t="str">
        <x:v>Academics &amp; Curriculum</x:v>
      </x:c>
      <x:c r="E194" s="339" t="str">
        <x:v>Subject Groups</x:v>
      </x:c>
      <x:c r="F194" s="339" t="str">
        <x:v>Academic Coordinator</x:v>
      </x:c>
      <x:c r="G194" s="339" t="str">
        <x:v>As a Academic Coordinator, I want to manage subject groups so that teaching stays aligned to the approved academic plan.</x:v>
      </x:c>
      <x:c r="H194" s="339" t="str">
        <x:v>Primary Workflow</x:v>
      </x:c>
      <x:c r="I194" s="339" t="str">
        <x:v>MVP</x:v>
      </x:c>
      <x:c r="J194" s="339" t="str">
        <x:v>MVP</x:v>
      </x:c>
      <x:c r="K194" s="339" t="str">
        <x:v>High</x:v>
      </x:c>
      <x:c r="L194" s="339" t="n">
        <x:v>8</x:v>
      </x:c>
      <x:c r="M194" s="339" t="str">
        <x:v>Academic masters, staff assignments, timetable, resources, assessment</x:v>
      </x:c>
      <x:c r="N194" s="339" t="str">
        <x:v>Not Started</x:v>
      </x:c>
    </x:row>
    <x:row r="195">
      <x:c r="A195" s="339" t="str">
        <x:v>US-0194</x:v>
      </x:c>
      <x:c r="B195" s="339" t="str">
        <x:v>EP-009</x:v>
      </x:c>
      <x:c r="C195" s="339" t="str">
        <x:v>SCR-097</x:v>
      </x:c>
      <x:c r="D195" s="339" t="str">
        <x:v>Academics &amp; Curriculum</x:v>
      </x:c>
      <x:c r="E195" s="339" t="str">
        <x:v>Subject Groups</x:v>
      </x:c>
      <x:c r="F195" s="339" t="str">
        <x:v>Academic Coordinator</x:v>
      </x:c>
      <x:c r="G195" s="339" t="str">
        <x:v>As a Academic Coordinator, I want subject groups to enforce status, approval &amp; exception handling rules so that data quality, permissions and traceability are protected.</x:v>
      </x:c>
      <x:c r="H195" s="339" t="str">
        <x:v>Status, Approval &amp; Exception Handling</x:v>
      </x:c>
      <x:c r="I195" s="339" t="str">
        <x:v>MVP</x:v>
      </x:c>
      <x:c r="J195" s="339" t="str">
        <x:v>MVP</x:v>
      </x:c>
      <x:c r="K195" s="339" t="str">
        <x:v>High</x:v>
      </x:c>
      <x:c r="L195" s="339" t="n">
        <x:v>6</x:v>
      </x:c>
      <x:c r="M195" s="339" t="str">
        <x:v>Academic masters, staff assignments, timetable, resources, assessment</x:v>
      </x:c>
      <x:c r="N195" s="339" t="str">
        <x:v>Not Started</x:v>
      </x:c>
    </x:row>
    <x:row r="196">
      <x:c r="A196" s="339" t="str">
        <x:v>US-0195</x:v>
      </x:c>
      <x:c r="B196" s="339" t="str">
        <x:v>EP-009</x:v>
      </x:c>
      <x:c r="C196" s="339" t="str">
        <x:v>SCR-098</x:v>
      </x:c>
      <x:c r="D196" s="339" t="str">
        <x:v>Academics &amp; Curriculum</x:v>
      </x:c>
      <x:c r="E196" s="339" t="str">
        <x:v>Curriculum</x:v>
      </x:c>
      <x:c r="F196" s="339" t="str">
        <x:v>Academic Coordinator</x:v>
      </x:c>
      <x:c r="G196" s="339" t="str">
        <x:v>As a Academic Coordinator, I want to manage curriculum so that teaching stays aligned to the approved academic plan.</x:v>
      </x:c>
      <x:c r="H196" s="339" t="str">
        <x:v>Primary Workflow</x:v>
      </x:c>
      <x:c r="I196" s="339" t="str">
        <x:v>MVP</x:v>
      </x:c>
      <x:c r="J196" s="339" t="str">
        <x:v>MVP</x:v>
      </x:c>
      <x:c r="K196" s="339" t="str">
        <x:v>High</x:v>
      </x:c>
      <x:c r="L196" s="339" t="n">
        <x:v>8</x:v>
      </x:c>
      <x:c r="M196" s="339" t="str">
        <x:v>Academic masters, staff assignments, timetable, resources, assessment</x:v>
      </x:c>
      <x:c r="N196" s="339" t="str">
        <x:v>Not Started</x:v>
      </x:c>
    </x:row>
    <x:row r="197">
      <x:c r="A197" s="339" t="str">
        <x:v>US-0196</x:v>
      </x:c>
      <x:c r="B197" s="339" t="str">
        <x:v>EP-009</x:v>
      </x:c>
      <x:c r="C197" s="339" t="str">
        <x:v>SCR-098</x:v>
      </x:c>
      <x:c r="D197" s="339" t="str">
        <x:v>Academics &amp; Curriculum</x:v>
      </x:c>
      <x:c r="E197" s="339" t="str">
        <x:v>Curriculum</x:v>
      </x:c>
      <x:c r="F197" s="339" t="str">
        <x:v>Academic Coordinator</x:v>
      </x:c>
      <x:c r="G197" s="339" t="str">
        <x:v>As a Academic Coordinator, I want curriculum to enforce status, approval &amp; exception handling rules so that data quality, permissions and traceability are protected.</x:v>
      </x:c>
      <x:c r="H197" s="339" t="str">
        <x:v>Status, Approval &amp; Exception Handling</x:v>
      </x:c>
      <x:c r="I197" s="339" t="str">
        <x:v>MVP</x:v>
      </x:c>
      <x:c r="J197" s="339" t="str">
        <x:v>MVP</x:v>
      </x:c>
      <x:c r="K197" s="339" t="str">
        <x:v>High</x:v>
      </x:c>
      <x:c r="L197" s="339" t="n">
        <x:v>6</x:v>
      </x:c>
      <x:c r="M197" s="339" t="str">
        <x:v>Academic masters, staff assignments, timetable, resources, assessment</x:v>
      </x:c>
      <x:c r="N197" s="339" t="str">
        <x:v>Not Started</x:v>
      </x:c>
    </x:row>
    <x:row r="198">
      <x:c r="A198" s="339" t="str">
        <x:v>US-0197</x:v>
      </x:c>
      <x:c r="B198" s="339" t="str">
        <x:v>EP-009</x:v>
      </x:c>
      <x:c r="C198" s="339" t="str">
        <x:v>SCR-099</x:v>
      </x:c>
      <x:c r="D198" s="339" t="str">
        <x:v>Academics &amp; Curriculum</x:v>
      </x:c>
      <x:c r="E198" s="339" t="str">
        <x:v>Curriculum Details</x:v>
      </x:c>
      <x:c r="F198" s="339" t="str">
        <x:v>Academic Coordinator</x:v>
      </x:c>
      <x:c r="G198" s="339" t="str">
        <x:v>As a Academic Coordinator, I want to review and maintain curriculum details so that teaching stays aligned to the approved academic plan.</x:v>
      </x:c>
      <x:c r="H198" s="339" t="str">
        <x:v>Primary Workflow</x:v>
      </x:c>
      <x:c r="I198" s="339" t="str">
        <x:v>MVP</x:v>
      </x:c>
      <x:c r="J198" s="339" t="str">
        <x:v>MVP</x:v>
      </x:c>
      <x:c r="K198" s="339" t="str">
        <x:v>Medium</x:v>
      </x:c>
      <x:c r="L198" s="339" t="n">
        <x:v>5</x:v>
      </x:c>
      <x:c r="M198" s="339" t="str">
        <x:v>Academic masters, staff assignments, timetable, resources, assessment</x:v>
      </x:c>
      <x:c r="N198" s="339" t="str">
        <x:v>Not Started</x:v>
      </x:c>
    </x:row>
    <x:row r="199">
      <x:c r="A199" s="339" t="str">
        <x:v>US-0198</x:v>
      </x:c>
      <x:c r="B199" s="339" t="str">
        <x:v>EP-009</x:v>
      </x:c>
      <x:c r="C199" s="339" t="str">
        <x:v>SCR-099</x:v>
      </x:c>
      <x:c r="D199" s="339" t="str">
        <x:v>Academics &amp; Curriculum</x:v>
      </x:c>
      <x:c r="E199" s="339" t="str">
        <x:v>Curriculum Details</x:v>
      </x:c>
      <x:c r="F199" s="339" t="str">
        <x:v>Academic Coordinator</x:v>
      </x:c>
      <x:c r="G199" s="339" t="str">
        <x:v>As a Academic Coordinator, I want curriculum details to enforce history, edit &amp; audit rules so that data quality, permissions and traceability are protected.</x:v>
      </x:c>
      <x:c r="H199" s="339" t="str">
        <x:v>History, Edit &amp; Audit</x:v>
      </x:c>
      <x:c r="I199" s="339" t="str">
        <x:v>MVP</x:v>
      </x:c>
      <x:c r="J199" s="339" t="str">
        <x:v>MVP</x:v>
      </x:c>
      <x:c r="K199" s="339" t="str">
        <x:v>Medium</x:v>
      </x:c>
      <x:c r="L199" s="339" t="n">
        <x:v>3</x:v>
      </x:c>
      <x:c r="M199" s="339" t="str">
        <x:v>Academic masters, staff assignments, timetable, resources, assessment</x:v>
      </x:c>
      <x:c r="N199" s="339" t="str">
        <x:v>Not Started</x:v>
      </x:c>
    </x:row>
    <x:row r="200">
      <x:c r="A200" s="339" t="str">
        <x:v>US-0199</x:v>
      </x:c>
      <x:c r="B200" s="339" t="str">
        <x:v>EP-009</x:v>
      </x:c>
      <x:c r="C200" s="339" t="str">
        <x:v>SCR-100</x:v>
      </x:c>
      <x:c r="D200" s="339" t="str">
        <x:v>Academics &amp; Curriculum</x:v>
      </x:c>
      <x:c r="E200" s="339" t="str">
        <x:v>Units / Chapters / Topics</x:v>
      </x:c>
      <x:c r="F200" s="339" t="str">
        <x:v>Academic Coordinator</x:v>
      </x:c>
      <x:c r="G200" s="339" t="str">
        <x:v>As a Academic Coordinator, I want to manage units / chapters / topics so that teaching stays aligned to the approved academic plan.</x:v>
      </x:c>
      <x:c r="H200" s="339" t="str">
        <x:v>Primary Workflow</x:v>
      </x:c>
      <x:c r="I200" s="339" t="str">
        <x:v>MVP</x:v>
      </x:c>
      <x:c r="J200" s="339" t="str">
        <x:v>MVP</x:v>
      </x:c>
      <x:c r="K200" s="339" t="str">
        <x:v>High</x:v>
      </x:c>
      <x:c r="L200" s="339" t="n">
        <x:v>8</x:v>
      </x:c>
      <x:c r="M200" s="339" t="str">
        <x:v>Academic masters, staff assignments, timetable, resources, assessment</x:v>
      </x:c>
      <x:c r="N200" s="339" t="str">
        <x:v>Not Started</x:v>
      </x:c>
    </x:row>
    <x:row r="201">
      <x:c r="A201" s="339" t="str">
        <x:v>US-0200</x:v>
      </x:c>
      <x:c r="B201" s="339" t="str">
        <x:v>EP-009</x:v>
      </x:c>
      <x:c r="C201" s="339" t="str">
        <x:v>SCR-100</x:v>
      </x:c>
      <x:c r="D201" s="339" t="str">
        <x:v>Academics &amp; Curriculum</x:v>
      </x:c>
      <x:c r="E201" s="339" t="str">
        <x:v>Units / Chapters / Topics</x:v>
      </x:c>
      <x:c r="F201" s="339" t="str">
        <x:v>Academic Coordinator</x:v>
      </x:c>
      <x:c r="G201" s="339" t="str">
        <x:v>As a Academic Coordinator, I want units / chapters / topics to enforce status, approval &amp; exception handling rules so that data quality, permissions and traceability are protected.</x:v>
      </x:c>
      <x:c r="H201" s="339" t="str">
        <x:v>Status, Approval &amp; Exception Handling</x:v>
      </x:c>
      <x:c r="I201" s="339" t="str">
        <x:v>MVP</x:v>
      </x:c>
      <x:c r="J201" s="339" t="str">
        <x:v>MVP</x:v>
      </x:c>
      <x:c r="K201" s="339" t="str">
        <x:v>High</x:v>
      </x:c>
      <x:c r="L201" s="339" t="n">
        <x:v>6</x:v>
      </x:c>
      <x:c r="M201" s="339" t="str">
        <x:v>Academic masters, staff assignments, timetable, resources, assessment</x:v>
      </x:c>
      <x:c r="N201" s="339" t="str">
        <x:v>Not Started</x:v>
      </x:c>
    </x:row>
    <x:row r="202">
      <x:c r="A202" s="339" t="str">
        <x:v>US-0201</x:v>
      </x:c>
      <x:c r="B202" s="339" t="str">
        <x:v>EP-009</x:v>
      </x:c>
      <x:c r="C202" s="339" t="str">
        <x:v>SCR-101</x:v>
      </x:c>
      <x:c r="D202" s="339" t="str">
        <x:v>Academics &amp; Curriculum</x:v>
      </x:c>
      <x:c r="E202" s="339" t="str">
        <x:v>Learning Outcomes</x:v>
      </x:c>
      <x:c r="F202" s="339" t="str">
        <x:v>Academic Coordinator</x:v>
      </x:c>
      <x:c r="G202" s="339" t="str">
        <x:v>As a Academic Coordinator, I want to manage learning outcomes so that teaching stays aligned to the approved academic plan.</x:v>
      </x:c>
      <x:c r="H202" s="339" t="str">
        <x:v>Primary Workflow</x:v>
      </x:c>
      <x:c r="I202" s="339" t="str">
        <x:v>Phase 2</x:v>
      </x:c>
      <x:c r="J202" s="339" t="str">
        <x:v>Phase 2</x:v>
      </x:c>
      <x:c r="K202" s="339" t="str">
        <x:v>High</x:v>
      </x:c>
      <x:c r="L202" s="339" t="n">
        <x:v>8</x:v>
      </x:c>
      <x:c r="M202" s="339" t="str">
        <x:v>Academic masters, staff assignments, timetable, resources, assessment</x:v>
      </x:c>
      <x:c r="N202" s="339" t="str">
        <x:v>Not Started</x:v>
      </x:c>
    </x:row>
    <x:row r="203">
      <x:c r="A203" s="339" t="str">
        <x:v>US-0202</x:v>
      </x:c>
      <x:c r="B203" s="339" t="str">
        <x:v>EP-009</x:v>
      </x:c>
      <x:c r="C203" s="339" t="str">
        <x:v>SCR-101</x:v>
      </x:c>
      <x:c r="D203" s="339" t="str">
        <x:v>Academics &amp; Curriculum</x:v>
      </x:c>
      <x:c r="E203" s="339" t="str">
        <x:v>Learning Outcomes</x:v>
      </x:c>
      <x:c r="F203" s="339" t="str">
        <x:v>Academic Coordinator</x:v>
      </x:c>
      <x:c r="G203" s="339" t="str">
        <x:v>As a Academic Coordinator, I want learning outcomes to enforce status, approval &amp; exception handling rules so that data quality, permissions and traceability are protected.</x:v>
      </x:c>
      <x:c r="H203" s="339" t="str">
        <x:v>Status, Approval &amp; Exception Handling</x:v>
      </x:c>
      <x:c r="I203" s="339" t="str">
        <x:v>Phase 2</x:v>
      </x:c>
      <x:c r="J203" s="339" t="str">
        <x:v>Phase 2</x:v>
      </x:c>
      <x:c r="K203" s="339" t="str">
        <x:v>High</x:v>
      </x:c>
      <x:c r="L203" s="339" t="n">
        <x:v>6</x:v>
      </x:c>
      <x:c r="M203" s="339" t="str">
        <x:v>Academic masters, staff assignments, timetable, resources, assessment</x:v>
      </x:c>
      <x:c r="N203" s="339" t="str">
        <x:v>Not Started</x:v>
      </x:c>
    </x:row>
    <x:row r="204">
      <x:c r="A204" s="339" t="str">
        <x:v>US-0203</x:v>
      </x:c>
      <x:c r="B204" s="339" t="str">
        <x:v>EP-009</x:v>
      </x:c>
      <x:c r="C204" s="339" t="str">
        <x:v>SCR-102</x:v>
      </x:c>
      <x:c r="D204" s="339" t="str">
        <x:v>Academics &amp; Curriculum</x:v>
      </x:c>
      <x:c r="E204" s="339" t="str">
        <x:v>Lesson Plans</x:v>
      </x:c>
      <x:c r="F204" s="339" t="str">
        <x:v>Academic Coordinator</x:v>
      </x:c>
      <x:c r="G204" s="339" t="str">
        <x:v>As a Academic Coordinator, I want to manage lesson plans so that teaching stays aligned to the approved academic plan.</x:v>
      </x:c>
      <x:c r="H204" s="339" t="str">
        <x:v>Primary Workflow</x:v>
      </x:c>
      <x:c r="I204" s="339" t="str">
        <x:v>Phase 2</x:v>
      </x:c>
      <x:c r="J204" s="339" t="str">
        <x:v>Phase 2</x:v>
      </x:c>
      <x:c r="K204" s="339" t="str">
        <x:v>High</x:v>
      </x:c>
      <x:c r="L204" s="339" t="n">
        <x:v>8</x:v>
      </x:c>
      <x:c r="M204" s="339" t="str">
        <x:v>Academic masters, staff assignments, timetable, resources, assessment</x:v>
      </x:c>
      <x:c r="N204" s="339" t="str">
        <x:v>Not Started</x:v>
      </x:c>
    </x:row>
    <x:row r="205">
      <x:c r="A205" s="339" t="str">
        <x:v>US-0204</x:v>
      </x:c>
      <x:c r="B205" s="339" t="str">
        <x:v>EP-009</x:v>
      </x:c>
      <x:c r="C205" s="339" t="str">
        <x:v>SCR-102</x:v>
      </x:c>
      <x:c r="D205" s="339" t="str">
        <x:v>Academics &amp; Curriculum</x:v>
      </x:c>
      <x:c r="E205" s="339" t="str">
        <x:v>Lesson Plans</x:v>
      </x:c>
      <x:c r="F205" s="339" t="str">
        <x:v>Academic Coordinator</x:v>
      </x:c>
      <x:c r="G205" s="339" t="str">
        <x:v>As a Academic Coordinator, I want lesson plans to enforce status, approval &amp; exception handling rules so that data quality, permissions and traceability are protected.</x:v>
      </x:c>
      <x:c r="H205" s="339" t="str">
        <x:v>Status, Approval &amp; Exception Handling</x:v>
      </x:c>
      <x:c r="I205" s="339" t="str">
        <x:v>Phase 2</x:v>
      </x:c>
      <x:c r="J205" s="339" t="str">
        <x:v>Phase 2</x:v>
      </x:c>
      <x:c r="K205" s="339" t="str">
        <x:v>High</x:v>
      </x:c>
      <x:c r="L205" s="339" t="n">
        <x:v>6</x:v>
      </x:c>
      <x:c r="M205" s="339" t="str">
        <x:v>Academic masters, staff assignments, timetable, resources, assessment</x:v>
      </x:c>
      <x:c r="N205" s="339" t="str">
        <x:v>Not Started</x:v>
      </x:c>
    </x:row>
    <x:row r="206">
      <x:c r="A206" s="339" t="str">
        <x:v>US-0205</x:v>
      </x:c>
      <x:c r="B206" s="339" t="str">
        <x:v>EP-009</x:v>
      </x:c>
      <x:c r="C206" s="339" t="str">
        <x:v>SCR-103</x:v>
      </x:c>
      <x:c r="D206" s="339" t="str">
        <x:v>Academics &amp; Curriculum</x:v>
      </x:c>
      <x:c r="E206" s="339" t="str">
        <x:v>Create / Edit Lesson Plan</x:v>
      </x:c>
      <x:c r="F206" s="339" t="str">
        <x:v>Academic Coordinator</x:v>
      </x:c>
      <x:c r="G206" s="339" t="str">
        <x:v>As a Academic Coordinator, I want to create or process lesson plan so that teaching stays aligned to the approved academic plan.</x:v>
      </x:c>
      <x:c r="H206" s="339" t="str">
        <x:v>Primary Workflow</x:v>
      </x:c>
      <x:c r="I206" s="339" t="str">
        <x:v>Phase 2</x:v>
      </x:c>
      <x:c r="J206" s="339" t="str">
        <x:v>Phase 2</x:v>
      </x:c>
      <x:c r="K206" s="339" t="str">
        <x:v>Medium</x:v>
      </x:c>
      <x:c r="L206" s="339" t="n">
        <x:v>5</x:v>
      </x:c>
      <x:c r="M206" s="339" t="str">
        <x:v>Academic masters, staff assignments, timetable, resources, assessment</x:v>
      </x:c>
      <x:c r="N206" s="339" t="str">
        <x:v>Not Started</x:v>
      </x:c>
    </x:row>
    <x:row r="207">
      <x:c r="A207" s="339" t="str">
        <x:v>US-0206</x:v>
      </x:c>
      <x:c r="B207" s="339" t="str">
        <x:v>EP-009</x:v>
      </x:c>
      <x:c r="C207" s="339" t="str">
        <x:v>SCR-103</x:v>
      </x:c>
      <x:c r="D207" s="339" t="str">
        <x:v>Academics &amp; Curriculum</x:v>
      </x:c>
      <x:c r="E207" s="339" t="str">
        <x:v>Create / Edit Lesson Plan</x:v>
      </x:c>
      <x:c r="F207" s="339" t="str">
        <x:v>Academic Coordinator</x:v>
      </x:c>
      <x:c r="G207" s="339" t="str">
        <x:v>As a Academic Coordinator, I want create / edit lesson plan to enforce validation &amp; duplicate prevention rules so that data quality, permissions and traceability are protected.</x:v>
      </x:c>
      <x:c r="H207" s="339" t="str">
        <x:v>Validation &amp; Duplicate Prevention</x:v>
      </x:c>
      <x:c r="I207" s="339" t="str">
        <x:v>Phase 2</x:v>
      </x:c>
      <x:c r="J207" s="339" t="str">
        <x:v>Phase 2</x:v>
      </x:c>
      <x:c r="K207" s="339" t="str">
        <x:v>Medium</x:v>
      </x:c>
      <x:c r="L207" s="339" t="n">
        <x:v>3</x:v>
      </x:c>
      <x:c r="M207" s="339" t="str">
        <x:v>Academic masters, staff assignments, timetable, resources, assessment</x:v>
      </x:c>
      <x:c r="N207" s="339" t="str">
        <x:v>Not Started</x:v>
      </x:c>
    </x:row>
    <x:row r="208">
      <x:c r="A208" s="339" t="str">
        <x:v>US-0207</x:v>
      </x:c>
      <x:c r="B208" s="339" t="str">
        <x:v>EP-009</x:v>
      </x:c>
      <x:c r="C208" s="339" t="str">
        <x:v>SCR-104</x:v>
      </x:c>
      <x:c r="D208" s="339" t="str">
        <x:v>Academics &amp; Curriculum</x:v>
      </x:c>
      <x:c r="E208" s="339" t="str">
        <x:v>Lesson Plan Review &amp; Approval</x:v>
      </x:c>
      <x:c r="F208" s="339" t="str">
        <x:v>Academic Coordinator</x:v>
      </x:c>
      <x:c r="G208" s="339" t="str">
        <x:v>As a Academic Coordinator, I want to review and decide lesson plan review &amp; approval so that teaching stays aligned to the approved academic plan.</x:v>
      </x:c>
      <x:c r="H208" s="339" t="str">
        <x:v>Primary Workflow</x:v>
      </x:c>
      <x:c r="I208" s="339" t="str">
        <x:v>Phase 2</x:v>
      </x:c>
      <x:c r="J208" s="339" t="str">
        <x:v>Phase 2</x:v>
      </x:c>
      <x:c r="K208" s="339" t="str">
        <x:v>High</x:v>
      </x:c>
      <x:c r="L208" s="339" t="n">
        <x:v>8</x:v>
      </x:c>
      <x:c r="M208" s="339" t="str">
        <x:v>Academic masters, staff assignments, timetable, resources, assessment</x:v>
      </x:c>
      <x:c r="N208" s="339" t="str">
        <x:v>Not Started</x:v>
      </x:c>
    </x:row>
    <x:row r="209">
      <x:c r="A209" s="339" t="str">
        <x:v>US-0208</x:v>
      </x:c>
      <x:c r="B209" s="339" t="str">
        <x:v>EP-009</x:v>
      </x:c>
      <x:c r="C209" s="339" t="str">
        <x:v>SCR-104</x:v>
      </x:c>
      <x:c r="D209" s="339" t="str">
        <x:v>Academics &amp; Curriculum</x:v>
      </x:c>
      <x:c r="E209" s="339" t="str">
        <x:v>Lesson Plan Review &amp; Approval</x:v>
      </x:c>
      <x:c r="F209" s="339" t="str">
        <x:v>Academic Coordinator</x:v>
      </x:c>
      <x:c r="G209" s="339" t="str">
        <x:v>As a Academic Coordinator, I want lesson plan review &amp; approval to enforce status, approval &amp; exception handling rules so that data quality, permissions and traceability are protected.</x:v>
      </x:c>
      <x:c r="H209" s="339" t="str">
        <x:v>Status, Approval &amp; Exception Handling</x:v>
      </x:c>
      <x:c r="I209" s="339" t="str">
        <x:v>Phase 2</x:v>
      </x:c>
      <x:c r="J209" s="339" t="str">
        <x:v>Phase 2</x:v>
      </x:c>
      <x:c r="K209" s="339" t="str">
        <x:v>High</x:v>
      </x:c>
      <x:c r="L209" s="339" t="n">
        <x:v>6</x:v>
      </x:c>
      <x:c r="M209" s="339" t="str">
        <x:v>Academic masters, staff assignments, timetable, resources, assessment</x:v>
      </x:c>
      <x:c r="N209" s="339" t="str">
        <x:v>Not Started</x:v>
      </x:c>
    </x:row>
    <x:row r="210">
      <x:c r="A210" s="339" t="str">
        <x:v>US-0209</x:v>
      </x:c>
      <x:c r="B210" s="339" t="str">
        <x:v>EP-009</x:v>
      </x:c>
      <x:c r="C210" s="339" t="str">
        <x:v>SCR-105</x:v>
      </x:c>
      <x:c r="D210" s="339" t="str">
        <x:v>Academics &amp; Curriculum</x:v>
      </x:c>
      <x:c r="E210" s="339" t="str">
        <x:v>Syllabus Progress</x:v>
      </x:c>
      <x:c r="F210" s="339" t="str">
        <x:v>Academic Coordinator</x:v>
      </x:c>
      <x:c r="G210" s="339" t="str">
        <x:v>As a Academic Coordinator, I want to manage syllabus progress so that teaching stays aligned to the approved academic plan.</x:v>
      </x:c>
      <x:c r="H210" s="339" t="str">
        <x:v>Primary Workflow</x:v>
      </x:c>
      <x:c r="I210" s="339" t="str">
        <x:v>Phase 3</x:v>
      </x:c>
      <x:c r="J210" s="339" t="str">
        <x:v>Phase 3</x:v>
      </x:c>
      <x:c r="K210" s="339" t="str">
        <x:v>High</x:v>
      </x:c>
      <x:c r="L210" s="339" t="n">
        <x:v>8</x:v>
      </x:c>
      <x:c r="M210" s="339" t="str">
        <x:v>Academic masters, staff assignments, timetable, resources, assessment</x:v>
      </x:c>
      <x:c r="N210" s="339" t="str">
        <x:v>Not Started</x:v>
      </x:c>
    </x:row>
    <x:row r="211">
      <x:c r="A211" s="339" t="str">
        <x:v>US-0210</x:v>
      </x:c>
      <x:c r="B211" s="339" t="str">
        <x:v>EP-009</x:v>
      </x:c>
      <x:c r="C211" s="339" t="str">
        <x:v>SCR-105</x:v>
      </x:c>
      <x:c r="D211" s="339" t="str">
        <x:v>Academics &amp; Curriculum</x:v>
      </x:c>
      <x:c r="E211" s="339" t="str">
        <x:v>Syllabus Progress</x:v>
      </x:c>
      <x:c r="F211" s="339" t="str">
        <x:v>Academic Coordinator</x:v>
      </x:c>
      <x:c r="G211" s="339" t="str">
        <x:v>As a Academic Coordinator, I want syllabus progress to enforce status, approval &amp; exception handling rules so that data quality, permissions and traceability are protected.</x:v>
      </x:c>
      <x:c r="H211" s="339" t="str">
        <x:v>Status, Approval &amp; Exception Handling</x:v>
      </x:c>
      <x:c r="I211" s="339" t="str">
        <x:v>Phase 3</x:v>
      </x:c>
      <x:c r="J211" s="339" t="str">
        <x:v>Phase 3</x:v>
      </x:c>
      <x:c r="K211" s="339" t="str">
        <x:v>High</x:v>
      </x:c>
      <x:c r="L211" s="339" t="n">
        <x:v>6</x:v>
      </x:c>
      <x:c r="M211" s="339" t="str">
        <x:v>Academic masters, staff assignments, timetable, resources, assessment</x:v>
      </x:c>
      <x:c r="N211" s="339" t="str">
        <x:v>Not Started</x:v>
      </x:c>
    </x:row>
    <x:row r="212">
      <x:c r="A212" s="339" t="str">
        <x:v>US-0211</x:v>
      </x:c>
      <x:c r="B212" s="339" t="str">
        <x:v>EP-009</x:v>
      </x:c>
      <x:c r="C212" s="339" t="str">
        <x:v>SCR-106</x:v>
      </x:c>
      <x:c r="D212" s="339" t="str">
        <x:v>Academics &amp; Curriculum</x:v>
      </x:c>
      <x:c r="E212" s="339" t="str">
        <x:v>Teaching Resources</x:v>
      </x:c>
      <x:c r="F212" s="339" t="str">
        <x:v>Academic Coordinator</x:v>
      </x:c>
      <x:c r="G212" s="339" t="str">
        <x:v>As a Academic Coordinator, I want to manage teaching resources so that teaching stays aligned to the approved academic plan.</x:v>
      </x:c>
      <x:c r="H212" s="339" t="str">
        <x:v>Primary Workflow</x:v>
      </x:c>
      <x:c r="I212" s="339" t="str">
        <x:v>Phase 3</x:v>
      </x:c>
      <x:c r="J212" s="339" t="str">
        <x:v>Phase 3</x:v>
      </x:c>
      <x:c r="K212" s="339" t="str">
        <x:v>High</x:v>
      </x:c>
      <x:c r="L212" s="339" t="n">
        <x:v>8</x:v>
      </x:c>
      <x:c r="M212" s="339" t="str">
        <x:v>Academic masters, staff assignments, timetable, resources, assessment</x:v>
      </x:c>
      <x:c r="N212" s="339" t="str">
        <x:v>Not Started</x:v>
      </x:c>
    </x:row>
    <x:row r="213">
      <x:c r="A213" s="339" t="str">
        <x:v>US-0212</x:v>
      </x:c>
      <x:c r="B213" s="339" t="str">
        <x:v>EP-009</x:v>
      </x:c>
      <x:c r="C213" s="339" t="str">
        <x:v>SCR-106</x:v>
      </x:c>
      <x:c r="D213" s="339" t="str">
        <x:v>Academics &amp; Curriculum</x:v>
      </x:c>
      <x:c r="E213" s="339" t="str">
        <x:v>Teaching Resources</x:v>
      </x:c>
      <x:c r="F213" s="339" t="str">
        <x:v>Academic Coordinator</x:v>
      </x:c>
      <x:c r="G213" s="339" t="str">
        <x:v>As a Academic Coordinator, I want teaching resources to enforce status, approval &amp; exception handling rules so that data quality, permissions and traceability are protected.</x:v>
      </x:c>
      <x:c r="H213" s="339" t="str">
        <x:v>Status, Approval &amp; Exception Handling</x:v>
      </x:c>
      <x:c r="I213" s="339" t="str">
        <x:v>Phase 3</x:v>
      </x:c>
      <x:c r="J213" s="339" t="str">
        <x:v>Phase 3</x:v>
      </x:c>
      <x:c r="K213" s="339" t="str">
        <x:v>High</x:v>
      </x:c>
      <x:c r="L213" s="339" t="n">
        <x:v>6</x:v>
      </x:c>
      <x:c r="M213" s="339" t="str">
        <x:v>Academic masters, staff assignments, timetable, resources, assessment</x:v>
      </x:c>
      <x:c r="N213" s="339" t="str">
        <x:v>Not Started</x:v>
      </x:c>
    </x:row>
    <x:row r="214">
      <x:c r="A214" s="339" t="str">
        <x:v>US-0213</x:v>
      </x:c>
      <x:c r="B214" s="339" t="str">
        <x:v>EP-009</x:v>
      </x:c>
      <x:c r="C214" s="339" t="str">
        <x:v>SCR-107</x:v>
      </x:c>
      <x:c r="D214" s="339" t="str">
        <x:v>Academics &amp; Curriculum</x:v>
      </x:c>
      <x:c r="E214" s="339" t="str">
        <x:v>Classroom / Room Management</x:v>
      </x:c>
      <x:c r="F214" s="339" t="str">
        <x:v>Academic Coordinator</x:v>
      </x:c>
      <x:c r="G214" s="339" t="str">
        <x:v>As a Academic Coordinator, I want to manage classroom / room management so that teaching stays aligned to the approved academic plan.</x:v>
      </x:c>
      <x:c r="H214" s="339" t="str">
        <x:v>Primary Workflow</x:v>
      </x:c>
      <x:c r="I214" s="339" t="str">
        <x:v>Phase 3</x:v>
      </x:c>
      <x:c r="J214" s="339" t="str">
        <x:v>Phase 3</x:v>
      </x:c>
      <x:c r="K214" s="339" t="str">
        <x:v>High</x:v>
      </x:c>
      <x:c r="L214" s="339" t="n">
        <x:v>8</x:v>
      </x:c>
      <x:c r="M214" s="339" t="str">
        <x:v>Academic masters, staff assignments, timetable, resources, assessment</x:v>
      </x:c>
      <x:c r="N214" s="339" t="str">
        <x:v>Not Started</x:v>
      </x:c>
    </x:row>
    <x:row r="215">
      <x:c r="A215" s="339" t="str">
        <x:v>US-0214</x:v>
      </x:c>
      <x:c r="B215" s="339" t="str">
        <x:v>EP-009</x:v>
      </x:c>
      <x:c r="C215" s="339" t="str">
        <x:v>SCR-107</x:v>
      </x:c>
      <x:c r="D215" s="339" t="str">
        <x:v>Academics &amp; Curriculum</x:v>
      </x:c>
      <x:c r="E215" s="339" t="str">
        <x:v>Classroom / Room Management</x:v>
      </x:c>
      <x:c r="F215" s="339" t="str">
        <x:v>Academic Coordinator</x:v>
      </x:c>
      <x:c r="G215" s="339" t="str">
        <x:v>As a Academic Coordinator, I want classroom / room management to enforce status, approval &amp; exception handling rules so that data quality, permissions and traceability are protected.</x:v>
      </x:c>
      <x:c r="H215" s="339" t="str">
        <x:v>Status, Approval &amp; Exception Handling</x:v>
      </x:c>
      <x:c r="I215" s="339" t="str">
        <x:v>Phase 3</x:v>
      </x:c>
      <x:c r="J215" s="339" t="str">
        <x:v>Phase 3</x:v>
      </x:c>
      <x:c r="K215" s="339" t="str">
        <x:v>High</x:v>
      </x:c>
      <x:c r="L215" s="339" t="n">
        <x:v>6</x:v>
      </x:c>
      <x:c r="M215" s="339" t="str">
        <x:v>Academic masters, staff assignments, timetable, resources, assessment</x:v>
      </x:c>
      <x:c r="N215" s="339" t="str">
        <x:v>Not Started</x:v>
      </x:c>
    </x:row>
    <x:row r="216">
      <x:c r="A216" s="339" t="str">
        <x:v>US-0215</x:v>
      </x:c>
      <x:c r="B216" s="339" t="str">
        <x:v>EP-009</x:v>
      </x:c>
      <x:c r="C216" s="339" t="str">
        <x:v>SCR-108</x:v>
      </x:c>
      <x:c r="D216" s="339" t="str">
        <x:v>Academics &amp; Curriculum</x:v>
      </x:c>
      <x:c r="E216" s="339" t="str">
        <x:v>Academic Calendar</x:v>
      </x:c>
      <x:c r="F216" s="339" t="str">
        <x:v>Academic Coordinator</x:v>
      </x:c>
      <x:c r="G216" s="339" t="str">
        <x:v>As a Academic Coordinator, I want to plan and review academic calendar so that teaching stays aligned to the approved academic plan.</x:v>
      </x:c>
      <x:c r="H216" s="339" t="str">
        <x:v>Primary Workflow</x:v>
      </x:c>
      <x:c r="I216" s="339" t="str">
        <x:v>Phase 3</x:v>
      </x:c>
      <x:c r="J216" s="339" t="str">
        <x:v>Phase 3</x:v>
      </x:c>
      <x:c r="K216" s="339" t="str">
        <x:v>High</x:v>
      </x:c>
      <x:c r="L216" s="339" t="n">
        <x:v>8</x:v>
      </x:c>
      <x:c r="M216" s="339" t="str">
        <x:v>Academic masters, staff assignments, timetable, resources, assessment</x:v>
      </x:c>
      <x:c r="N216" s="339" t="str">
        <x:v>Not Started</x:v>
      </x:c>
    </x:row>
    <x:row r="217">
      <x:c r="A217" s="339" t="str">
        <x:v>US-0216</x:v>
      </x:c>
      <x:c r="B217" s="339" t="str">
        <x:v>EP-009</x:v>
      </x:c>
      <x:c r="C217" s="339" t="str">
        <x:v>SCR-108</x:v>
      </x:c>
      <x:c r="D217" s="339" t="str">
        <x:v>Academics &amp; Curriculum</x:v>
      </x:c>
      <x:c r="E217" s="339" t="str">
        <x:v>Academic Calendar</x:v>
      </x:c>
      <x:c r="F217" s="339" t="str">
        <x:v>Academic Coordinator</x:v>
      </x:c>
      <x:c r="G217" s="339" t="str">
        <x:v>As a Academic Coordinator, I want academic calendar to enforce conflict detection &amp; rescheduling rules so that data quality, permissions and traceability are protected.</x:v>
      </x:c>
      <x:c r="H217" s="339" t="str">
        <x:v>Conflict Detection &amp; Rescheduling</x:v>
      </x:c>
      <x:c r="I217" s="339" t="str">
        <x:v>Phase 3</x:v>
      </x:c>
      <x:c r="J217" s="339" t="str">
        <x:v>Phase 3</x:v>
      </x:c>
      <x:c r="K217" s="339" t="str">
        <x:v>High</x:v>
      </x:c>
      <x:c r="L217" s="339" t="n">
        <x:v>6</x:v>
      </x:c>
      <x:c r="M217" s="339" t="str">
        <x:v>Academic masters, staff assignments, timetable, resources, assessment</x:v>
      </x:c>
      <x:c r="N217" s="339" t="str">
        <x:v>Not Started</x:v>
      </x:c>
    </x:row>
    <x:row r="218">
      <x:c r="A218" s="339" t="str">
        <x:v>US-0217</x:v>
      </x:c>
      <x:c r="B218" s="339" t="str">
        <x:v>EP-009</x:v>
      </x:c>
      <x:c r="C218" s="339" t="str">
        <x:v>SCR-109</x:v>
      </x:c>
      <x:c r="D218" s="339" t="str">
        <x:v>Academics &amp; Curriculum</x:v>
      </x:c>
      <x:c r="E218" s="339" t="str">
        <x:v>Co-Curricular Activities</x:v>
      </x:c>
      <x:c r="F218" s="339" t="str">
        <x:v>Academic Coordinator</x:v>
      </x:c>
      <x:c r="G218" s="339" t="str">
        <x:v>As a Academic Coordinator, I want to manage co-curricular activities so that teaching stays aligned to the approved academic plan.</x:v>
      </x:c>
      <x:c r="H218" s="339" t="str">
        <x:v>Primary Workflow</x:v>
      </x:c>
      <x:c r="I218" s="339" t="str">
        <x:v>Phase 3</x:v>
      </x:c>
      <x:c r="J218" s="339" t="str">
        <x:v>Phase 3</x:v>
      </x:c>
      <x:c r="K218" s="339" t="str">
        <x:v>High</x:v>
      </x:c>
      <x:c r="L218" s="339" t="n">
        <x:v>8</x:v>
      </x:c>
      <x:c r="M218" s="339" t="str">
        <x:v>Academic masters, staff assignments, timetable, resources, assessment</x:v>
      </x:c>
      <x:c r="N218" s="339" t="str">
        <x:v>Not Started</x:v>
      </x:c>
    </x:row>
    <x:row r="219">
      <x:c r="A219" s="339" t="str">
        <x:v>US-0218</x:v>
      </x:c>
      <x:c r="B219" s="339" t="str">
        <x:v>EP-009</x:v>
      </x:c>
      <x:c r="C219" s="339" t="str">
        <x:v>SCR-109</x:v>
      </x:c>
      <x:c r="D219" s="339" t="str">
        <x:v>Academics &amp; Curriculum</x:v>
      </x:c>
      <x:c r="E219" s="339" t="str">
        <x:v>Co-Curricular Activities</x:v>
      </x:c>
      <x:c r="F219" s="339" t="str">
        <x:v>Academic Coordinator</x:v>
      </x:c>
      <x:c r="G219" s="339" t="str">
        <x:v>As a Academic Coordinator, I want co-curricular activities to enforce status, approval &amp; exception handling rules so that data quality, permissions and traceability are protected.</x:v>
      </x:c>
      <x:c r="H219" s="339" t="str">
        <x:v>Status, Approval &amp; Exception Handling</x:v>
      </x:c>
      <x:c r="I219" s="339" t="str">
        <x:v>Phase 3</x:v>
      </x:c>
      <x:c r="J219" s="339" t="str">
        <x:v>Phase 3</x:v>
      </x:c>
      <x:c r="K219" s="339" t="str">
        <x:v>High</x:v>
      </x:c>
      <x:c r="L219" s="339" t="n">
        <x:v>6</x:v>
      </x:c>
      <x:c r="M219" s="339" t="str">
        <x:v>Academic masters, staff assignments, timetable, resources, assessment</x:v>
      </x:c>
      <x:c r="N219" s="339" t="str">
        <x:v>Not Started</x:v>
      </x:c>
    </x:row>
    <x:row r="220">
      <x:c r="A220" s="339" t="str">
        <x:v>US-0219</x:v>
      </x:c>
      <x:c r="B220" s="339" t="str">
        <x:v>EP-010</x:v>
      </x:c>
      <x:c r="C220" s="339" t="str">
        <x:v>SCR-110</x:v>
      </x:c>
      <x:c r="D220" s="339" t="str">
        <x:v>Student Attendance</x:v>
      </x:c>
      <x:c r="E220" s="339" t="str">
        <x:v>Daily Class Attendance</x:v>
      </x:c>
      <x:c r="F220" s="339" t="str">
        <x:v>Teacher</x:v>
      </x:c>
      <x:c r="G220" s="339" t="str">
        <x:v>As a Teacher, I want to manage daily class attendance so that attendance remains accurate and actionable.</x:v>
      </x:c>
      <x:c r="H220" s="339" t="str">
        <x:v>Primary Workflow</x:v>
      </x:c>
      <x:c r="I220" s="339" t="str">
        <x:v>MVP</x:v>
      </x:c>
      <x:c r="J220" s="339" t="str">
        <x:v>MVP</x:v>
      </x:c>
      <x:c r="K220" s="339" t="str">
        <x:v>High</x:v>
      </x:c>
      <x:c r="L220" s="339" t="n">
        <x:v>8</x:v>
      </x:c>
      <x:c r="M220" s="339" t="str">
        <x:v>Student enrollment, timetable, leave, calendar, notifications</x:v>
      </x:c>
      <x:c r="N220" s="339" t="str">
        <x:v>Not Started</x:v>
      </x:c>
    </x:row>
    <x:row r="221">
      <x:c r="A221" s="339" t="str">
        <x:v>US-0220</x:v>
      </x:c>
      <x:c r="B221" s="339" t="str">
        <x:v>EP-010</x:v>
      </x:c>
      <x:c r="C221" s="339" t="str">
        <x:v>SCR-110</x:v>
      </x:c>
      <x:c r="D221" s="339" t="str">
        <x:v>Student Attendance</x:v>
      </x:c>
      <x:c r="E221" s="339" t="str">
        <x:v>Daily Class Attendance</x:v>
      </x:c>
      <x:c r="F221" s="339" t="str">
        <x:v>Teacher</x:v>
      </x:c>
      <x:c r="G221" s="339" t="str">
        <x:v>As a Teacher, I want daily class attendance to enforce status, approval &amp; exception handling rules so that data quality, permissions and traceability are protected.</x:v>
      </x:c>
      <x:c r="H221" s="339" t="str">
        <x:v>Status, Approval &amp; Exception Handling</x:v>
      </x:c>
      <x:c r="I221" s="339" t="str">
        <x:v>MVP</x:v>
      </x:c>
      <x:c r="J221" s="339" t="str">
        <x:v>MVP</x:v>
      </x:c>
      <x:c r="K221" s="339" t="str">
        <x:v>High</x:v>
      </x:c>
      <x:c r="L221" s="339" t="n">
        <x:v>6</x:v>
      </x:c>
      <x:c r="M221" s="339" t="str">
        <x:v>Student enrollment, timetable, leave, calendar, notifications</x:v>
      </x:c>
      <x:c r="N221" s="339" t="str">
        <x:v>Not Started</x:v>
      </x:c>
    </x:row>
    <x:row r="222">
      <x:c r="A222" s="339" t="str">
        <x:v>US-0221</x:v>
      </x:c>
      <x:c r="B222" s="339" t="str">
        <x:v>EP-010</x:v>
      </x:c>
      <x:c r="C222" s="339" t="str">
        <x:v>SCR-111</x:v>
      </x:c>
      <x:c r="D222" s="339" t="str">
        <x:v>Student Attendance</x:v>
      </x:c>
      <x:c r="E222" s="339" t="str">
        <x:v>Period / Subject Attendance</x:v>
      </x:c>
      <x:c r="F222" s="339" t="str">
        <x:v>Teacher</x:v>
      </x:c>
      <x:c r="G222" s="339" t="str">
        <x:v>As a Teacher, I want to manage period / subject attendance so that attendance remains accurate and actionable.</x:v>
      </x:c>
      <x:c r="H222" s="339" t="str">
        <x:v>Primary Workflow</x:v>
      </x:c>
      <x:c r="I222" s="339" t="str">
        <x:v>MVP</x:v>
      </x:c>
      <x:c r="J222" s="339" t="str">
        <x:v>MVP</x:v>
      </x:c>
      <x:c r="K222" s="339" t="str">
        <x:v>High</x:v>
      </x:c>
      <x:c r="L222" s="339" t="n">
        <x:v>8</x:v>
      </x:c>
      <x:c r="M222" s="339" t="str">
        <x:v>Student enrollment, timetable, leave, calendar, notifications</x:v>
      </x:c>
      <x:c r="N222" s="339" t="str">
        <x:v>Not Started</x:v>
      </x:c>
    </x:row>
    <x:row r="223">
      <x:c r="A223" s="339" t="str">
        <x:v>US-0222</x:v>
      </x:c>
      <x:c r="B223" s="339" t="str">
        <x:v>EP-010</x:v>
      </x:c>
      <x:c r="C223" s="339" t="str">
        <x:v>SCR-111</x:v>
      </x:c>
      <x:c r="D223" s="339" t="str">
        <x:v>Student Attendance</x:v>
      </x:c>
      <x:c r="E223" s="339" t="str">
        <x:v>Period / Subject Attendance</x:v>
      </x:c>
      <x:c r="F223" s="339" t="str">
        <x:v>Teacher</x:v>
      </x:c>
      <x:c r="G223" s="339" t="str">
        <x:v>As a Teacher, I want period / subject attendance to enforce status, approval &amp; exception handling rules so that data quality, permissions and traceability are protected.</x:v>
      </x:c>
      <x:c r="H223" s="339" t="str">
        <x:v>Status, Approval &amp; Exception Handling</x:v>
      </x:c>
      <x:c r="I223" s="339" t="str">
        <x:v>MVP</x:v>
      </x:c>
      <x:c r="J223" s="339" t="str">
        <x:v>MVP</x:v>
      </x:c>
      <x:c r="K223" s="339" t="str">
        <x:v>High</x:v>
      </x:c>
      <x:c r="L223" s="339" t="n">
        <x:v>6</x:v>
      </x:c>
      <x:c r="M223" s="339" t="str">
        <x:v>Student enrollment, timetable, leave, calendar, notifications</x:v>
      </x:c>
      <x:c r="N223" s="339" t="str">
        <x:v>Not Started</x:v>
      </x:c>
    </x:row>
    <x:row r="224">
      <x:c r="A224" s="339" t="str">
        <x:v>US-0223</x:v>
      </x:c>
      <x:c r="B224" s="339" t="str">
        <x:v>EP-010</x:v>
      </x:c>
      <x:c r="C224" s="339" t="str">
        <x:v>SCR-112</x:v>
      </x:c>
      <x:c r="D224" s="339" t="str">
        <x:v>Student Attendance</x:v>
      </x:c>
      <x:c r="E224" s="339" t="str">
        <x:v>Student Attendance Register</x:v>
      </x:c>
      <x:c r="F224" s="339" t="str">
        <x:v>Teacher</x:v>
      </x:c>
      <x:c r="G224" s="339" t="str">
        <x:v>As a Teacher, I want to review and maintain student attendance register so that attendance remains accurate and actionable.</x:v>
      </x:c>
      <x:c r="H224" s="339" t="str">
        <x:v>Primary Workflow</x:v>
      </x:c>
      <x:c r="I224" s="339" t="str">
        <x:v>MVP</x:v>
      </x:c>
      <x:c r="J224" s="339" t="str">
        <x:v>MVP</x:v>
      </x:c>
      <x:c r="K224" s="339" t="str">
        <x:v>Medium</x:v>
      </x:c>
      <x:c r="L224" s="339" t="n">
        <x:v>5</x:v>
      </x:c>
      <x:c r="M224" s="339" t="str">
        <x:v>Student enrollment, timetable, leave, calendar, notifications</x:v>
      </x:c>
      <x:c r="N224" s="339" t="str">
        <x:v>Not Started</x:v>
      </x:c>
    </x:row>
    <x:row r="225">
      <x:c r="A225" s="339" t="str">
        <x:v>US-0224</x:v>
      </x:c>
      <x:c r="B225" s="339" t="str">
        <x:v>EP-010</x:v>
      </x:c>
      <x:c r="C225" s="339" t="str">
        <x:v>SCR-112</x:v>
      </x:c>
      <x:c r="D225" s="339" t="str">
        <x:v>Student Attendance</x:v>
      </x:c>
      <x:c r="E225" s="339" t="str">
        <x:v>Student Attendance Register</x:v>
      </x:c>
      <x:c r="F225" s="339" t="str">
        <x:v>Teacher</x:v>
      </x:c>
      <x:c r="G225" s="339" t="str">
        <x:v>As a Teacher, I want student attendance register to enforce history, edit &amp; audit rules so that data quality, permissions and traceability are protected.</x:v>
      </x:c>
      <x:c r="H225" s="339" t="str">
        <x:v>History, Edit &amp; Audit</x:v>
      </x:c>
      <x:c r="I225" s="339" t="str">
        <x:v>MVP</x:v>
      </x:c>
      <x:c r="J225" s="339" t="str">
        <x:v>MVP</x:v>
      </x:c>
      <x:c r="K225" s="339" t="str">
        <x:v>Medium</x:v>
      </x:c>
      <x:c r="L225" s="339" t="n">
        <x:v>3</x:v>
      </x:c>
      <x:c r="M225" s="339" t="str">
        <x:v>Student enrollment, timetable, leave, calendar, notifications</x:v>
      </x:c>
      <x:c r="N225" s="339" t="str">
        <x:v>Not Started</x:v>
      </x:c>
    </x:row>
    <x:row r="226">
      <x:c r="A226" s="339" t="str">
        <x:v>US-0225</x:v>
      </x:c>
      <x:c r="B226" s="339" t="str">
        <x:v>EP-010</x:v>
      </x:c>
      <x:c r="C226" s="339" t="str">
        <x:v>SCR-113</x:v>
      </x:c>
      <x:c r="D226" s="339" t="str">
        <x:v>Student Attendance</x:v>
      </x:c>
      <x:c r="E226" s="339" t="str">
        <x:v>Attendance Correction</x:v>
      </x:c>
      <x:c r="F226" s="339" t="str">
        <x:v>Class Teacher</x:v>
      </x:c>
      <x:c r="G226" s="339" t="str">
        <x:v>As a Class Teacher, I want to manage attendance correction so that attendance remains accurate and actionable.</x:v>
      </x:c>
      <x:c r="H226" s="339" t="str">
        <x:v>Primary Workflow</x:v>
      </x:c>
      <x:c r="I226" s="339" t="str">
        <x:v>MVP</x:v>
      </x:c>
      <x:c r="J226" s="339" t="str">
        <x:v>MVP</x:v>
      </x:c>
      <x:c r="K226" s="339" t="str">
        <x:v>High</x:v>
      </x:c>
      <x:c r="L226" s="339" t="n">
        <x:v>8</x:v>
      </x:c>
      <x:c r="M226" s="339" t="str">
        <x:v>Student enrollment, timetable, leave, calendar, notifications</x:v>
      </x:c>
      <x:c r="N226" s="339" t="str">
        <x:v>Not Started</x:v>
      </x:c>
    </x:row>
    <x:row r="227">
      <x:c r="A227" s="339" t="str">
        <x:v>US-0226</x:v>
      </x:c>
      <x:c r="B227" s="339" t="str">
        <x:v>EP-010</x:v>
      </x:c>
      <x:c r="C227" s="339" t="str">
        <x:v>SCR-113</x:v>
      </x:c>
      <x:c r="D227" s="339" t="str">
        <x:v>Student Attendance</x:v>
      </x:c>
      <x:c r="E227" s="339" t="str">
        <x:v>Attendance Correction</x:v>
      </x:c>
      <x:c r="F227" s="339" t="str">
        <x:v>Class Teacher</x:v>
      </x:c>
      <x:c r="G227" s="339" t="str">
        <x:v>As a Class Teacher, I want attendance correction to enforce status, approval &amp; exception handling rules so that data quality, permissions and traceability are protected.</x:v>
      </x:c>
      <x:c r="H227" s="339" t="str">
        <x:v>Status, Approval &amp; Exception Handling</x:v>
      </x:c>
      <x:c r="I227" s="339" t="str">
        <x:v>MVP</x:v>
      </x:c>
      <x:c r="J227" s="339" t="str">
        <x:v>MVP</x:v>
      </x:c>
      <x:c r="K227" s="339" t="str">
        <x:v>High</x:v>
      </x:c>
      <x:c r="L227" s="339" t="n">
        <x:v>6</x:v>
      </x:c>
      <x:c r="M227" s="339" t="str">
        <x:v>Student enrollment, timetable, leave, calendar, notifications</x:v>
      </x:c>
      <x:c r="N227" s="339" t="str">
        <x:v>Not Started</x:v>
      </x:c>
    </x:row>
    <x:row r="228">
      <x:c r="A228" s="339" t="str">
        <x:v>US-0227</x:v>
      </x:c>
      <x:c r="B228" s="339" t="str">
        <x:v>EP-010</x:v>
      </x:c>
      <x:c r="C228" s="339" t="str">
        <x:v>SCR-114</x:v>
      </x:c>
      <x:c r="D228" s="339" t="str">
        <x:v>Student Attendance</x:v>
      </x:c>
      <x:c r="E228" s="339" t="str">
        <x:v>Student Leave Requests</x:v>
      </x:c>
      <x:c r="F228" s="339" t="str">
        <x:v>Teacher</x:v>
      </x:c>
      <x:c r="G228" s="339" t="str">
        <x:v>As a Teacher, I want to manage student leave requests so that attendance remains accurate and actionable.</x:v>
      </x:c>
      <x:c r="H228" s="339" t="str">
        <x:v>Primary Workflow</x:v>
      </x:c>
      <x:c r="I228" s="339" t="str">
        <x:v>MVP</x:v>
      </x:c>
      <x:c r="J228" s="339" t="str">
        <x:v>MVP</x:v>
      </x:c>
      <x:c r="K228" s="339" t="str">
        <x:v>High</x:v>
      </x:c>
      <x:c r="L228" s="339" t="n">
        <x:v>8</x:v>
      </x:c>
      <x:c r="M228" s="339" t="str">
        <x:v>Student enrollment, timetable, leave, calendar, notifications</x:v>
      </x:c>
      <x:c r="N228" s="339" t="str">
        <x:v>Not Started</x:v>
      </x:c>
    </x:row>
    <x:row r="229">
      <x:c r="A229" s="339" t="str">
        <x:v>US-0228</x:v>
      </x:c>
      <x:c r="B229" s="339" t="str">
        <x:v>EP-010</x:v>
      </x:c>
      <x:c r="C229" s="339" t="str">
        <x:v>SCR-114</x:v>
      </x:c>
      <x:c r="D229" s="339" t="str">
        <x:v>Student Attendance</x:v>
      </x:c>
      <x:c r="E229" s="339" t="str">
        <x:v>Student Leave Requests</x:v>
      </x:c>
      <x:c r="F229" s="339" t="str">
        <x:v>Teacher</x:v>
      </x:c>
      <x:c r="G229" s="339" t="str">
        <x:v>As a Teacher, I want student leave requests to enforce status, approval &amp; exception handling rules so that data quality, permissions and traceability are protected.</x:v>
      </x:c>
      <x:c r="H229" s="339" t="str">
        <x:v>Status, Approval &amp; Exception Handling</x:v>
      </x:c>
      <x:c r="I229" s="339" t="str">
        <x:v>MVP</x:v>
      </x:c>
      <x:c r="J229" s="339" t="str">
        <x:v>MVP</x:v>
      </x:c>
      <x:c r="K229" s="339" t="str">
        <x:v>High</x:v>
      </x:c>
      <x:c r="L229" s="339" t="n">
        <x:v>6</x:v>
      </x:c>
      <x:c r="M229" s="339" t="str">
        <x:v>Student enrollment, timetable, leave, calendar, notifications</x:v>
      </x:c>
      <x:c r="N229" s="339" t="str">
        <x:v>Not Started</x:v>
      </x:c>
    </x:row>
    <x:row r="230">
      <x:c r="A230" s="339" t="str">
        <x:v>US-0229</x:v>
      </x:c>
      <x:c r="B230" s="339" t="str">
        <x:v>EP-010</x:v>
      </x:c>
      <x:c r="C230" s="339" t="str">
        <x:v>SCR-115</x:v>
      </x:c>
      <x:c r="D230" s="339" t="str">
        <x:v>Student Attendance</x:v>
      </x:c>
      <x:c r="E230" s="339" t="str">
        <x:v>Student Leave Approval</x:v>
      </x:c>
      <x:c r="F230" s="339" t="str">
        <x:v>Class Teacher</x:v>
      </x:c>
      <x:c r="G230" s="339" t="str">
        <x:v>As a Class Teacher, I want to review and decide student leave approval so that attendance remains accurate and actionable.</x:v>
      </x:c>
      <x:c r="H230" s="339" t="str">
        <x:v>Primary Workflow</x:v>
      </x:c>
      <x:c r="I230" s="339" t="str">
        <x:v>Phase 2</x:v>
      </x:c>
      <x:c r="J230" s="339" t="str">
        <x:v>Phase 2</x:v>
      </x:c>
      <x:c r="K230" s="339" t="str">
        <x:v>High</x:v>
      </x:c>
      <x:c r="L230" s="339" t="n">
        <x:v>8</x:v>
      </x:c>
      <x:c r="M230" s="339" t="str">
        <x:v>Student enrollment, timetable, leave, calendar, notifications</x:v>
      </x:c>
      <x:c r="N230" s="339" t="str">
        <x:v>Not Started</x:v>
      </x:c>
    </x:row>
    <x:row r="231">
      <x:c r="A231" s="339" t="str">
        <x:v>US-0230</x:v>
      </x:c>
      <x:c r="B231" s="339" t="str">
        <x:v>EP-010</x:v>
      </x:c>
      <x:c r="C231" s="339" t="str">
        <x:v>SCR-115</x:v>
      </x:c>
      <x:c r="D231" s="339" t="str">
        <x:v>Student Attendance</x:v>
      </x:c>
      <x:c r="E231" s="339" t="str">
        <x:v>Student Leave Approval</x:v>
      </x:c>
      <x:c r="F231" s="339" t="str">
        <x:v>Class Teacher</x:v>
      </x:c>
      <x:c r="G231" s="339" t="str">
        <x:v>As a Class Teacher, I want student leave approval to enforce status, approval &amp; exception handling rules so that data quality, permissions and traceability are protected.</x:v>
      </x:c>
      <x:c r="H231" s="339" t="str">
        <x:v>Status, Approval &amp; Exception Handling</x:v>
      </x:c>
      <x:c r="I231" s="339" t="str">
        <x:v>Phase 2</x:v>
      </x:c>
      <x:c r="J231" s="339" t="str">
        <x:v>Phase 2</x:v>
      </x:c>
      <x:c r="K231" s="339" t="str">
        <x:v>High</x:v>
      </x:c>
      <x:c r="L231" s="339" t="n">
        <x:v>6</x:v>
      </x:c>
      <x:c r="M231" s="339" t="str">
        <x:v>Student enrollment, timetable, leave, calendar, notifications</x:v>
      </x:c>
      <x:c r="N231" s="339" t="str">
        <x:v>Not Started</x:v>
      </x:c>
    </x:row>
    <x:row r="232">
      <x:c r="A232" s="339" t="str">
        <x:v>US-0231</x:v>
      </x:c>
      <x:c r="B232" s="339" t="str">
        <x:v>EP-010</x:v>
      </x:c>
      <x:c r="C232" s="339" t="str">
        <x:v>SCR-116</x:v>
      </x:c>
      <x:c r="D232" s="339" t="str">
        <x:v>Student Attendance</x:v>
      </x:c>
      <x:c r="E232" s="339" t="str">
        <x:v>Late Entry / Early Exit</x:v>
      </x:c>
      <x:c r="F232" s="339" t="str">
        <x:v>Teacher</x:v>
      </x:c>
      <x:c r="G232" s="339" t="str">
        <x:v>As a Teacher, I want to manage late entry / early exit so that attendance remains accurate and actionable.</x:v>
      </x:c>
      <x:c r="H232" s="339" t="str">
        <x:v>Primary Workflow</x:v>
      </x:c>
      <x:c r="I232" s="339" t="str">
        <x:v>Phase 2</x:v>
      </x:c>
      <x:c r="J232" s="339" t="str">
        <x:v>Phase 2</x:v>
      </x:c>
      <x:c r="K232" s="339" t="str">
        <x:v>High</x:v>
      </x:c>
      <x:c r="L232" s="339" t="n">
        <x:v>8</x:v>
      </x:c>
      <x:c r="M232" s="339" t="str">
        <x:v>Student enrollment, timetable, leave, calendar, notifications</x:v>
      </x:c>
      <x:c r="N232" s="339" t="str">
        <x:v>Not Started</x:v>
      </x:c>
    </x:row>
    <x:row r="233">
      <x:c r="A233" s="339" t="str">
        <x:v>US-0232</x:v>
      </x:c>
      <x:c r="B233" s="339" t="str">
        <x:v>EP-010</x:v>
      </x:c>
      <x:c r="C233" s="339" t="str">
        <x:v>SCR-116</x:v>
      </x:c>
      <x:c r="D233" s="339" t="str">
        <x:v>Student Attendance</x:v>
      </x:c>
      <x:c r="E233" s="339" t="str">
        <x:v>Late Entry / Early Exit</x:v>
      </x:c>
      <x:c r="F233" s="339" t="str">
        <x:v>Teacher</x:v>
      </x:c>
      <x:c r="G233" s="339" t="str">
        <x:v>As a Teacher, I want late entry / early exit to enforce status, approval &amp; exception handling rules so that data quality, permissions and traceability are protected.</x:v>
      </x:c>
      <x:c r="H233" s="339" t="str">
        <x:v>Status, Approval &amp; Exception Handling</x:v>
      </x:c>
      <x:c r="I233" s="339" t="str">
        <x:v>Phase 2</x:v>
      </x:c>
      <x:c r="J233" s="339" t="str">
        <x:v>Phase 2</x:v>
      </x:c>
      <x:c r="K233" s="339" t="str">
        <x:v>High</x:v>
      </x:c>
      <x:c r="L233" s="339" t="n">
        <x:v>6</x:v>
      </x:c>
      <x:c r="M233" s="339" t="str">
        <x:v>Student enrollment, timetable, leave, calendar, notifications</x:v>
      </x:c>
      <x:c r="N233" s="339" t="str">
        <x:v>Not Started</x:v>
      </x:c>
    </x:row>
    <x:row r="234">
      <x:c r="A234" s="339" t="str">
        <x:v>US-0233</x:v>
      </x:c>
      <x:c r="B234" s="339" t="str">
        <x:v>EP-010</x:v>
      </x:c>
      <x:c r="C234" s="339" t="str">
        <x:v>SCR-117</x:v>
      </x:c>
      <x:c r="D234" s="339" t="str">
        <x:v>Student Attendance</x:v>
      </x:c>
      <x:c r="E234" s="339" t="str">
        <x:v>Monthly Attendance Summary</x:v>
      </x:c>
      <x:c r="F234" s="339" t="str">
        <x:v>School Admin</x:v>
      </x:c>
      <x:c r="G234" s="339" t="str">
        <x:v>As a School Admin, I want to manage monthly attendance summary so that attendance remains accurate and actionable.</x:v>
      </x:c>
      <x:c r="H234" s="339" t="str">
        <x:v>Primary Workflow</x:v>
      </x:c>
      <x:c r="I234" s="339" t="str">
        <x:v>Phase 2</x:v>
      </x:c>
      <x:c r="J234" s="339" t="str">
        <x:v>Phase 2</x:v>
      </x:c>
      <x:c r="K234" s="339" t="str">
        <x:v>High</x:v>
      </x:c>
      <x:c r="L234" s="339" t="n">
        <x:v>8</x:v>
      </x:c>
      <x:c r="M234" s="339" t="str">
        <x:v>Student enrollment, timetable, leave, calendar, notifications</x:v>
      </x:c>
      <x:c r="N234" s="339" t="str">
        <x:v>Not Started</x:v>
      </x:c>
    </x:row>
    <x:row r="235">
      <x:c r="A235" s="339" t="str">
        <x:v>US-0234</x:v>
      </x:c>
      <x:c r="B235" s="339" t="str">
        <x:v>EP-010</x:v>
      </x:c>
      <x:c r="C235" s="339" t="str">
        <x:v>SCR-117</x:v>
      </x:c>
      <x:c r="D235" s="339" t="str">
        <x:v>Student Attendance</x:v>
      </x:c>
      <x:c r="E235" s="339" t="str">
        <x:v>Monthly Attendance Summary</x:v>
      </x:c>
      <x:c r="F235" s="339" t="str">
        <x:v>School Admin</x:v>
      </x:c>
      <x:c r="G235" s="339" t="str">
        <x:v>As a School Admin, I want monthly attendance summary to enforce filters, reconciliation &amp; export rules so that data quality, permissions and traceability are protected.</x:v>
      </x:c>
      <x:c r="H235" s="339" t="str">
        <x:v>Filters, Reconciliation &amp; Export</x:v>
      </x:c>
      <x:c r="I235" s="339" t="str">
        <x:v>Phase 2</x:v>
      </x:c>
      <x:c r="J235" s="339" t="str">
        <x:v>Phase 2</x:v>
      </x:c>
      <x:c r="K235" s="339" t="str">
        <x:v>High</x:v>
      </x:c>
      <x:c r="L235" s="339" t="n">
        <x:v>6</x:v>
      </x:c>
      <x:c r="M235" s="339" t="str">
        <x:v>Student enrollment, timetable, leave, calendar, notifications</x:v>
      </x:c>
      <x:c r="N235" s="339" t="str">
        <x:v>Not Started</x:v>
      </x:c>
    </x:row>
    <x:row r="236">
      <x:c r="A236" s="339" t="str">
        <x:v>US-0235</x:v>
      </x:c>
      <x:c r="B236" s="339" t="str">
        <x:v>EP-010</x:v>
      </x:c>
      <x:c r="C236" s="339" t="str">
        <x:v>SCR-118</x:v>
      </x:c>
      <x:c r="D236" s="339" t="str">
        <x:v>Student Attendance</x:v>
      </x:c>
      <x:c r="E236" s="339" t="str">
        <x:v>Chronic Absence Alerts</x:v>
      </x:c>
      <x:c r="F236" s="339" t="str">
        <x:v>School Admin</x:v>
      </x:c>
      <x:c r="G236" s="339" t="str">
        <x:v>As a School Admin, I want to manage chronic absence alerts so that attendance remains accurate and actionable.</x:v>
      </x:c>
      <x:c r="H236" s="339" t="str">
        <x:v>Primary Workflow</x:v>
      </x:c>
      <x:c r="I236" s="339" t="str">
        <x:v>Phase 3</x:v>
      </x:c>
      <x:c r="J236" s="339" t="str">
        <x:v>Phase 3</x:v>
      </x:c>
      <x:c r="K236" s="339" t="str">
        <x:v>High</x:v>
      </x:c>
      <x:c r="L236" s="339" t="n">
        <x:v>8</x:v>
      </x:c>
      <x:c r="M236" s="339" t="str">
        <x:v>Student enrollment, timetable, leave, calendar, notifications</x:v>
      </x:c>
      <x:c r="N236" s="339" t="str">
        <x:v>Not Started</x:v>
      </x:c>
    </x:row>
    <x:row r="237">
      <x:c r="A237" s="339" t="str">
        <x:v>US-0236</x:v>
      </x:c>
      <x:c r="B237" s="339" t="str">
        <x:v>EP-010</x:v>
      </x:c>
      <x:c r="C237" s="339" t="str">
        <x:v>SCR-118</x:v>
      </x:c>
      <x:c r="D237" s="339" t="str">
        <x:v>Student Attendance</x:v>
      </x:c>
      <x:c r="E237" s="339" t="str">
        <x:v>Chronic Absence Alerts</x:v>
      </x:c>
      <x:c r="F237" s="339" t="str">
        <x:v>School Admin</x:v>
      </x:c>
      <x:c r="G237" s="339" t="str">
        <x:v>As a School Admin, I want chronic absence alerts to enforce status, approval &amp; exception handling rules so that data quality, permissions and traceability are protected.</x:v>
      </x:c>
      <x:c r="H237" s="339" t="str">
        <x:v>Status, Approval &amp; Exception Handling</x:v>
      </x:c>
      <x:c r="I237" s="339" t="str">
        <x:v>Phase 3</x:v>
      </x:c>
      <x:c r="J237" s="339" t="str">
        <x:v>Phase 3</x:v>
      </x:c>
      <x:c r="K237" s="339" t="str">
        <x:v>High</x:v>
      </x:c>
      <x:c r="L237" s="339" t="n">
        <x:v>6</x:v>
      </x:c>
      <x:c r="M237" s="339" t="str">
        <x:v>Student enrollment, timetable, leave, calendar, notifications</x:v>
      </x:c>
      <x:c r="N237" s="339" t="str">
        <x:v>Not Started</x:v>
      </x:c>
    </x:row>
    <x:row r="238">
      <x:c r="A238" s="339" t="str">
        <x:v>US-0237</x:v>
      </x:c>
      <x:c r="B238" s="339" t="str">
        <x:v>EP-010</x:v>
      </x:c>
      <x:c r="C238" s="339" t="str">
        <x:v>SCR-119</x:v>
      </x:c>
      <x:c r="D238" s="339" t="str">
        <x:v>Student Attendance</x:v>
      </x:c>
      <x:c r="E238" s="339" t="str">
        <x:v>Attendance Reports</x:v>
      </x:c>
      <x:c r="F238" s="339" t="str">
        <x:v>School Admin</x:v>
      </x:c>
      <x:c r="G238" s="339" t="str">
        <x:v>As a School Admin, I want to analyze attendance reports so that attendance remains accurate and actionable.</x:v>
      </x:c>
      <x:c r="H238" s="339" t="str">
        <x:v>Primary Workflow</x:v>
      </x:c>
      <x:c r="I238" s="339" t="str">
        <x:v>Phase 3</x:v>
      </x:c>
      <x:c r="J238" s="339" t="str">
        <x:v>Phase 3</x:v>
      </x:c>
      <x:c r="K238" s="339" t="str">
        <x:v>High</x:v>
      </x:c>
      <x:c r="L238" s="339" t="n">
        <x:v>8</x:v>
      </x:c>
      <x:c r="M238" s="339" t="str">
        <x:v>Student enrollment, timetable, leave, calendar, notifications</x:v>
      </x:c>
      <x:c r="N238" s="339" t="str">
        <x:v>Not Started</x:v>
      </x:c>
    </x:row>
    <x:row r="239">
      <x:c r="A239" s="339" t="str">
        <x:v>US-0238</x:v>
      </x:c>
      <x:c r="B239" s="339" t="str">
        <x:v>EP-010</x:v>
      </x:c>
      <x:c r="C239" s="339" t="str">
        <x:v>SCR-119</x:v>
      </x:c>
      <x:c r="D239" s="339" t="str">
        <x:v>Student Attendance</x:v>
      </x:c>
      <x:c r="E239" s="339" t="str">
        <x:v>Attendance Reports</x:v>
      </x:c>
      <x:c r="F239" s="339" t="str">
        <x:v>School Admin</x:v>
      </x:c>
      <x:c r="G239" s="339" t="str">
        <x:v>As a School Admin, I want attendance reports to enforce filters, reconciliation &amp; export rules so that data quality, permissions and traceability are protected.</x:v>
      </x:c>
      <x:c r="H239" s="339" t="str">
        <x:v>Filters, Reconciliation &amp; Export</x:v>
      </x:c>
      <x:c r="I239" s="339" t="str">
        <x:v>Phase 3</x:v>
      </x:c>
      <x:c r="J239" s="339" t="str">
        <x:v>Phase 3</x:v>
      </x:c>
      <x:c r="K239" s="339" t="str">
        <x:v>High</x:v>
      </x:c>
      <x:c r="L239" s="339" t="n">
        <x:v>6</x:v>
      </x:c>
      <x:c r="M239" s="339" t="str">
        <x:v>Student enrollment, timetable, leave, calendar, notifications</x:v>
      </x:c>
      <x:c r="N239" s="339" t="str">
        <x:v>Not Started</x:v>
      </x:c>
    </x:row>
    <x:row r="240">
      <x:c r="A240" s="339" t="str">
        <x:v>US-0239</x:v>
      </x:c>
      <x:c r="B240" s="339" t="str">
        <x:v>EP-011</x:v>
      </x:c>
      <x:c r="C240" s="339" t="str">
        <x:v>SCR-120</x:v>
      </x:c>
      <x:c r="D240" s="339" t="str">
        <x:v>Timetable &amp; Substitution</x:v>
      </x:c>
      <x:c r="E240" s="339" t="str">
        <x:v>Timetable Dashboard</x:v>
      </x:c>
      <x:c r="F240" s="339" t="str">
        <x:v>Timetable</x:v>
      </x:c>
      <x:c r="G240" s="339" t="str">
        <x:v>As a Timetable, I want to monitor timetable priorities and metrics so that school resources are scheduled without avoidable conflicts.</x:v>
      </x:c>
      <x:c r="H240" s="339" t="str">
        <x:v>Primary Workflow</x:v>
      </x:c>
      <x:c r="I240" s="339" t="str">
        <x:v>MVP</x:v>
      </x:c>
      <x:c r="J240" s="339" t="str">
        <x:v>MVP</x:v>
      </x:c>
      <x:c r="K240" s="339" t="str">
        <x:v>Medium</x:v>
      </x:c>
      <x:c r="L240" s="339" t="n">
        <x:v>5</x:v>
      </x:c>
      <x:c r="M240" s="339" t="str">
        <x:v>Academic masters, staff allocation, rooms, calendar, notifications</x:v>
      </x:c>
      <x:c r="N240" s="339" t="str">
        <x:v>Not Started</x:v>
      </x:c>
    </x:row>
    <x:row r="241">
      <x:c r="A241" s="339" t="str">
        <x:v>US-0240</x:v>
      </x:c>
      <x:c r="B241" s="339" t="str">
        <x:v>EP-011</x:v>
      </x:c>
      <x:c r="C241" s="339" t="str">
        <x:v>SCR-120</x:v>
      </x:c>
      <x:c r="D241" s="339" t="str">
        <x:v>Timetable &amp; Substitution</x:v>
      </x:c>
      <x:c r="E241" s="339" t="str">
        <x:v>Timetable Dashboard</x:v>
      </x:c>
      <x:c r="F241" s="339" t="str">
        <x:v>Timetable</x:v>
      </x:c>
      <x:c r="G241" s="339" t="str">
        <x:v>As a Timetable, I want timetable dashboard to enforce insight &amp; drill-down rules so that data quality, permissions and traceability are protected.</x:v>
      </x:c>
      <x:c r="H241" s="339" t="str">
        <x:v>Insight &amp; Drill-down</x:v>
      </x:c>
      <x:c r="I241" s="339" t="str">
        <x:v>MVP</x:v>
      </x:c>
      <x:c r="J241" s="339" t="str">
        <x:v>MVP</x:v>
      </x:c>
      <x:c r="K241" s="339" t="str">
        <x:v>Medium</x:v>
      </x:c>
      <x:c r="L241" s="339" t="n">
        <x:v>3</x:v>
      </x:c>
      <x:c r="M241" s="339" t="str">
        <x:v>Academic masters, staff allocation, rooms, calendar, notifications</x:v>
      </x:c>
      <x:c r="N241" s="339" t="str">
        <x:v>Not Started</x:v>
      </x:c>
    </x:row>
    <x:row r="242">
      <x:c r="A242" s="339" t="str">
        <x:v>US-0241</x:v>
      </x:c>
      <x:c r="B242" s="339" t="str">
        <x:v>EP-011</x:v>
      </x:c>
      <x:c r="C242" s="339" t="str">
        <x:v>SCR-121</x:v>
      </x:c>
      <x:c r="D242" s="339" t="str">
        <x:v>Timetable &amp; Substitution</x:v>
      </x:c>
      <x:c r="E242" s="339" t="str">
        <x:v>Timetable Setup</x:v>
      </x:c>
      <x:c r="F242" s="339" t="str">
        <x:v>Academic Coordinator</x:v>
      </x:c>
      <x:c r="G242" s="339" t="str">
        <x:v>As a Academic Coordinator, I want to plan and review timetable setup so that school resources are scheduled without avoidable conflicts.</x:v>
      </x:c>
      <x:c r="H242" s="339" t="str">
        <x:v>Primary Workflow</x:v>
      </x:c>
      <x:c r="I242" s="339" t="str">
        <x:v>MVP</x:v>
      </x:c>
      <x:c r="J242" s="339" t="str">
        <x:v>MVP</x:v>
      </x:c>
      <x:c r="K242" s="339" t="str">
        <x:v>Medium</x:v>
      </x:c>
      <x:c r="L242" s="339" t="n">
        <x:v>5</x:v>
      </x:c>
      <x:c r="M242" s="339" t="str">
        <x:v>Academic masters, staff allocation, rooms, calendar, notifications</x:v>
      </x:c>
      <x:c r="N242" s="339" t="str">
        <x:v>Not Started</x:v>
      </x:c>
    </x:row>
    <x:row r="243">
      <x:c r="A243" s="339" t="str">
        <x:v>US-0242</x:v>
      </x:c>
      <x:c r="B243" s="339" t="str">
        <x:v>EP-011</x:v>
      </x:c>
      <x:c r="C243" s="339" t="str">
        <x:v>SCR-121</x:v>
      </x:c>
      <x:c r="D243" s="339" t="str">
        <x:v>Timetable &amp; Substitution</x:v>
      </x:c>
      <x:c r="E243" s="339" t="str">
        <x:v>Timetable Setup</x:v>
      </x:c>
      <x:c r="F243" s="339" t="str">
        <x:v>Academic Coordinator</x:v>
      </x:c>
      <x:c r="G243" s="339" t="str">
        <x:v>As a Academic Coordinator, I want timetable setup to enforce validation &amp; duplicate prevention rules so that data quality, permissions and traceability are protected.</x:v>
      </x:c>
      <x:c r="H243" s="339" t="str">
        <x:v>Validation &amp; Duplicate Prevention</x:v>
      </x:c>
      <x:c r="I243" s="339" t="str">
        <x:v>MVP</x:v>
      </x:c>
      <x:c r="J243" s="339" t="str">
        <x:v>MVP</x:v>
      </x:c>
      <x:c r="K243" s="339" t="str">
        <x:v>Medium</x:v>
      </x:c>
      <x:c r="L243" s="339" t="n">
        <x:v>3</x:v>
      </x:c>
      <x:c r="M243" s="339" t="str">
        <x:v>Academic masters, staff allocation, rooms, calendar, notifications</x:v>
      </x:c>
      <x:c r="N243" s="339" t="str">
        <x:v>Not Started</x:v>
      </x:c>
    </x:row>
    <x:row r="244">
      <x:c r="A244" s="339" t="str">
        <x:v>US-0243</x:v>
      </x:c>
      <x:c r="B244" s="339" t="str">
        <x:v>EP-011</x:v>
      </x:c>
      <x:c r="C244" s="339" t="str">
        <x:v>SCR-122</x:v>
      </x:c>
      <x:c r="D244" s="339" t="str">
        <x:v>Timetable &amp; Substitution</x:v>
      </x:c>
      <x:c r="E244" s="339" t="str">
        <x:v>Period Setup</x:v>
      </x:c>
      <x:c r="F244" s="339" t="str">
        <x:v>Academic Coordinator</x:v>
      </x:c>
      <x:c r="G244" s="339" t="str">
        <x:v>As a Academic Coordinator, I want to configure period setup so that school resources are scheduled without avoidable conflicts.</x:v>
      </x:c>
      <x:c r="H244" s="339" t="str">
        <x:v>Primary Workflow</x:v>
      </x:c>
      <x:c r="I244" s="339" t="str">
        <x:v>MVP</x:v>
      </x:c>
      <x:c r="J244" s="339" t="str">
        <x:v>MVP</x:v>
      </x:c>
      <x:c r="K244" s="339" t="str">
        <x:v>Medium</x:v>
      </x:c>
      <x:c r="L244" s="339" t="n">
        <x:v>5</x:v>
      </x:c>
      <x:c r="M244" s="339" t="str">
        <x:v>Academic masters, staff allocation, rooms, calendar, notifications</x:v>
      </x:c>
      <x:c r="N244" s="339" t="str">
        <x:v>Not Started</x:v>
      </x:c>
    </x:row>
    <x:row r="245">
      <x:c r="A245" s="339" t="str">
        <x:v>US-0244</x:v>
      </x:c>
      <x:c r="B245" s="339" t="str">
        <x:v>EP-011</x:v>
      </x:c>
      <x:c r="C245" s="339" t="str">
        <x:v>SCR-122</x:v>
      </x:c>
      <x:c r="D245" s="339" t="str">
        <x:v>Timetable &amp; Substitution</x:v>
      </x:c>
      <x:c r="E245" s="339" t="str">
        <x:v>Period Setup</x:v>
      </x:c>
      <x:c r="F245" s="339" t="str">
        <x:v>Academic Coordinator</x:v>
      </x:c>
      <x:c r="G245" s="339" t="str">
        <x:v>As a Academic Coordinator, I want period setup to enforce validation &amp; duplicate prevention rules so that data quality, permissions and traceability are protected.</x:v>
      </x:c>
      <x:c r="H245" s="339" t="str">
        <x:v>Validation &amp; Duplicate Prevention</x:v>
      </x:c>
      <x:c r="I245" s="339" t="str">
        <x:v>MVP</x:v>
      </x:c>
      <x:c r="J245" s="339" t="str">
        <x:v>MVP</x:v>
      </x:c>
      <x:c r="K245" s="339" t="str">
        <x:v>Medium</x:v>
      </x:c>
      <x:c r="L245" s="339" t="n">
        <x:v>3</x:v>
      </x:c>
      <x:c r="M245" s="339" t="str">
        <x:v>Academic masters, staff allocation, rooms, calendar, notifications</x:v>
      </x:c>
      <x:c r="N245" s="339" t="str">
        <x:v>Not Started</x:v>
      </x:c>
    </x:row>
    <x:row r="246">
      <x:c r="A246" s="339" t="str">
        <x:v>US-0245</x:v>
      </x:c>
      <x:c r="B246" s="339" t="str">
        <x:v>EP-011</x:v>
      </x:c>
      <x:c r="C246" s="339" t="str">
        <x:v>SCR-123</x:v>
      </x:c>
      <x:c r="D246" s="339" t="str">
        <x:v>Timetable &amp; Substitution</x:v>
      </x:c>
      <x:c r="E246" s="339" t="str">
        <x:v>Teacher Availability</x:v>
      </x:c>
      <x:c r="F246" s="339" t="str">
        <x:v>Academic Coordinator</x:v>
      </x:c>
      <x:c r="G246" s="339" t="str">
        <x:v>As a Academic Coordinator, I want to manage teacher availability so that school resources are scheduled without avoidable conflicts.</x:v>
      </x:c>
      <x:c r="H246" s="339" t="str">
        <x:v>Primary Workflow</x:v>
      </x:c>
      <x:c r="I246" s="339" t="str">
        <x:v>MVP</x:v>
      </x:c>
      <x:c r="J246" s="339" t="str">
        <x:v>MVP</x:v>
      </x:c>
      <x:c r="K246" s="339" t="str">
        <x:v>High</x:v>
      </x:c>
      <x:c r="L246" s="339" t="n">
        <x:v>8</x:v>
      </x:c>
      <x:c r="M246" s="339" t="str">
        <x:v>Academic masters, staff allocation, rooms, calendar, notifications</x:v>
      </x:c>
      <x:c r="N246" s="339" t="str">
        <x:v>Not Started</x:v>
      </x:c>
    </x:row>
    <x:row r="247">
      <x:c r="A247" s="339" t="str">
        <x:v>US-0246</x:v>
      </x:c>
      <x:c r="B247" s="339" t="str">
        <x:v>EP-011</x:v>
      </x:c>
      <x:c r="C247" s="339" t="str">
        <x:v>SCR-123</x:v>
      </x:c>
      <x:c r="D247" s="339" t="str">
        <x:v>Timetable &amp; Substitution</x:v>
      </x:c>
      <x:c r="E247" s="339" t="str">
        <x:v>Teacher Availability</x:v>
      </x:c>
      <x:c r="F247" s="339" t="str">
        <x:v>Academic Coordinator</x:v>
      </x:c>
      <x:c r="G247" s="339" t="str">
        <x:v>As a Academic Coordinator, I want teacher availability to enforce status, approval &amp; exception handling rules so that data quality, permissions and traceability are protected.</x:v>
      </x:c>
      <x:c r="H247" s="339" t="str">
        <x:v>Status, Approval &amp; Exception Handling</x:v>
      </x:c>
      <x:c r="I247" s="339" t="str">
        <x:v>MVP</x:v>
      </x:c>
      <x:c r="J247" s="339" t="str">
        <x:v>MVP</x:v>
      </x:c>
      <x:c r="K247" s="339" t="str">
        <x:v>High</x:v>
      </x:c>
      <x:c r="L247" s="339" t="n">
        <x:v>6</x:v>
      </x:c>
      <x:c r="M247" s="339" t="str">
        <x:v>Academic masters, staff allocation, rooms, calendar, notifications</x:v>
      </x:c>
      <x:c r="N247" s="339" t="str">
        <x:v>Not Started</x:v>
      </x:c>
    </x:row>
    <x:row r="248">
      <x:c r="A248" s="339" t="str">
        <x:v>US-0247</x:v>
      </x:c>
      <x:c r="B248" s="339" t="str">
        <x:v>EP-011</x:v>
      </x:c>
      <x:c r="C248" s="339" t="str">
        <x:v>SCR-124</x:v>
      </x:c>
      <x:c r="D248" s="339" t="str">
        <x:v>Timetable &amp; Substitution</x:v>
      </x:c>
      <x:c r="E248" s="339" t="str">
        <x:v>Generate Timetable</x:v>
      </x:c>
      <x:c r="F248" s="339" t="str">
        <x:v>Academic Coordinator</x:v>
      </x:c>
      <x:c r="G248" s="339" t="str">
        <x:v>As a Academic Coordinator, I want to plan and review generate timetable so that school resources are scheduled without avoidable conflicts.</x:v>
      </x:c>
      <x:c r="H248" s="339" t="str">
        <x:v>Primary Workflow</x:v>
      </x:c>
      <x:c r="I248" s="339" t="str">
        <x:v>Phase 2</x:v>
      </x:c>
      <x:c r="J248" s="339" t="str">
        <x:v>Phase 2</x:v>
      </x:c>
      <x:c r="K248" s="339" t="str">
        <x:v>High</x:v>
      </x:c>
      <x:c r="L248" s="339" t="n">
        <x:v>8</x:v>
      </x:c>
      <x:c r="M248" s="339" t="str">
        <x:v>Academic masters, staff allocation, rooms, calendar, notifications</x:v>
      </x:c>
      <x:c r="N248" s="339" t="str">
        <x:v>Not Started</x:v>
      </x:c>
    </x:row>
    <x:row r="249">
      <x:c r="A249" s="339" t="str">
        <x:v>US-0248</x:v>
      </x:c>
      <x:c r="B249" s="339" t="str">
        <x:v>EP-011</x:v>
      </x:c>
      <x:c r="C249" s="339" t="str">
        <x:v>SCR-124</x:v>
      </x:c>
      <x:c r="D249" s="339" t="str">
        <x:v>Timetable &amp; Substitution</x:v>
      </x:c>
      <x:c r="E249" s="339" t="str">
        <x:v>Generate Timetable</x:v>
      </x:c>
      <x:c r="F249" s="339" t="str">
        <x:v>Academic Coordinator</x:v>
      </x:c>
      <x:c r="G249" s="339" t="str">
        <x:v>As a Academic Coordinator, I want generate timetable to enforce conflict detection &amp; rescheduling rules so that data quality, permissions and traceability are protected.</x:v>
      </x:c>
      <x:c r="H249" s="339" t="str">
        <x:v>Conflict Detection &amp; Rescheduling</x:v>
      </x:c>
      <x:c r="I249" s="339" t="str">
        <x:v>Phase 2</x:v>
      </x:c>
      <x:c r="J249" s="339" t="str">
        <x:v>Phase 2</x:v>
      </x:c>
      <x:c r="K249" s="339" t="str">
        <x:v>High</x:v>
      </x:c>
      <x:c r="L249" s="339" t="n">
        <x:v>6</x:v>
      </x:c>
      <x:c r="M249" s="339" t="str">
        <x:v>Academic masters, staff allocation, rooms, calendar, notifications</x:v>
      </x:c>
      <x:c r="N249" s="339" t="str">
        <x:v>Not Started</x:v>
      </x:c>
    </x:row>
    <x:row r="250">
      <x:c r="A250" s="339" t="str">
        <x:v>US-0249</x:v>
      </x:c>
      <x:c r="B250" s="339" t="str">
        <x:v>EP-011</x:v>
      </x:c>
      <x:c r="C250" s="339" t="str">
        <x:v>SCR-125</x:v>
      </x:c>
      <x:c r="D250" s="339" t="str">
        <x:v>Timetable &amp; Substitution</x:v>
      </x:c>
      <x:c r="E250" s="339" t="str">
        <x:v>Class Timetable</x:v>
      </x:c>
      <x:c r="F250" s="339" t="str">
        <x:v>Academic Coordinator</x:v>
      </x:c>
      <x:c r="G250" s="339" t="str">
        <x:v>As a Academic Coordinator, I want to plan and review class timetable so that school resources are scheduled without avoidable conflicts.</x:v>
      </x:c>
      <x:c r="H250" s="339" t="str">
        <x:v>Primary Workflow</x:v>
      </x:c>
      <x:c r="I250" s="339" t="str">
        <x:v>Phase 2</x:v>
      </x:c>
      <x:c r="J250" s="339" t="str">
        <x:v>Phase 2</x:v>
      </x:c>
      <x:c r="K250" s="339" t="str">
        <x:v>High</x:v>
      </x:c>
      <x:c r="L250" s="339" t="n">
        <x:v>8</x:v>
      </x:c>
      <x:c r="M250" s="339" t="str">
        <x:v>Academic masters, staff allocation, rooms, calendar, notifications</x:v>
      </x:c>
      <x:c r="N250" s="339" t="str">
        <x:v>Not Started</x:v>
      </x:c>
    </x:row>
    <x:row r="251">
      <x:c r="A251" s="339" t="str">
        <x:v>US-0250</x:v>
      </x:c>
      <x:c r="B251" s="339" t="str">
        <x:v>EP-011</x:v>
      </x:c>
      <x:c r="C251" s="339" t="str">
        <x:v>SCR-125</x:v>
      </x:c>
      <x:c r="D251" s="339" t="str">
        <x:v>Timetable &amp; Substitution</x:v>
      </x:c>
      <x:c r="E251" s="339" t="str">
        <x:v>Class Timetable</x:v>
      </x:c>
      <x:c r="F251" s="339" t="str">
        <x:v>Academic Coordinator</x:v>
      </x:c>
      <x:c r="G251" s="339" t="str">
        <x:v>As a Academic Coordinator, I want class timetable to enforce conflict detection &amp; rescheduling rules so that data quality, permissions and traceability are protected.</x:v>
      </x:c>
      <x:c r="H251" s="339" t="str">
        <x:v>Conflict Detection &amp; Rescheduling</x:v>
      </x:c>
      <x:c r="I251" s="339" t="str">
        <x:v>Phase 2</x:v>
      </x:c>
      <x:c r="J251" s="339" t="str">
        <x:v>Phase 2</x:v>
      </x:c>
      <x:c r="K251" s="339" t="str">
        <x:v>High</x:v>
      </x:c>
      <x:c r="L251" s="339" t="n">
        <x:v>6</x:v>
      </x:c>
      <x:c r="M251" s="339" t="str">
        <x:v>Academic masters, staff allocation, rooms, calendar, notifications</x:v>
      </x:c>
      <x:c r="N251" s="339" t="str">
        <x:v>Not Started</x:v>
      </x:c>
    </x:row>
    <x:row r="252">
      <x:c r="A252" s="339" t="str">
        <x:v>US-0251</x:v>
      </x:c>
      <x:c r="B252" s="339" t="str">
        <x:v>EP-011</x:v>
      </x:c>
      <x:c r="C252" s="339" t="str">
        <x:v>SCR-126</x:v>
      </x:c>
      <x:c r="D252" s="339" t="str">
        <x:v>Timetable &amp; Substitution</x:v>
      </x:c>
      <x:c r="E252" s="339" t="str">
        <x:v>Teacher Timetable</x:v>
      </x:c>
      <x:c r="F252" s="339" t="str">
        <x:v>Academic Coordinator</x:v>
      </x:c>
      <x:c r="G252" s="339" t="str">
        <x:v>As a Academic Coordinator, I want to plan and review teacher timetable so that school resources are scheduled without avoidable conflicts.</x:v>
      </x:c>
      <x:c r="H252" s="339" t="str">
        <x:v>Primary Workflow</x:v>
      </x:c>
      <x:c r="I252" s="339" t="str">
        <x:v>Phase 2</x:v>
      </x:c>
      <x:c r="J252" s="339" t="str">
        <x:v>Phase 2</x:v>
      </x:c>
      <x:c r="K252" s="339" t="str">
        <x:v>High</x:v>
      </x:c>
      <x:c r="L252" s="339" t="n">
        <x:v>8</x:v>
      </x:c>
      <x:c r="M252" s="339" t="str">
        <x:v>Academic masters, staff allocation, rooms, calendar, notifications</x:v>
      </x:c>
      <x:c r="N252" s="339" t="str">
        <x:v>Not Started</x:v>
      </x:c>
    </x:row>
    <x:row r="253">
      <x:c r="A253" s="339" t="str">
        <x:v>US-0252</x:v>
      </x:c>
      <x:c r="B253" s="339" t="str">
        <x:v>EP-011</x:v>
      </x:c>
      <x:c r="C253" s="339" t="str">
        <x:v>SCR-126</x:v>
      </x:c>
      <x:c r="D253" s="339" t="str">
        <x:v>Timetable &amp; Substitution</x:v>
      </x:c>
      <x:c r="E253" s="339" t="str">
        <x:v>Teacher Timetable</x:v>
      </x:c>
      <x:c r="F253" s="339" t="str">
        <x:v>Academic Coordinator</x:v>
      </x:c>
      <x:c r="G253" s="339" t="str">
        <x:v>As a Academic Coordinator, I want teacher timetable to enforce conflict detection &amp; rescheduling rules so that data quality, permissions and traceability are protected.</x:v>
      </x:c>
      <x:c r="H253" s="339" t="str">
        <x:v>Conflict Detection &amp; Rescheduling</x:v>
      </x:c>
      <x:c r="I253" s="339" t="str">
        <x:v>Phase 2</x:v>
      </x:c>
      <x:c r="J253" s="339" t="str">
        <x:v>Phase 2</x:v>
      </x:c>
      <x:c r="K253" s="339" t="str">
        <x:v>High</x:v>
      </x:c>
      <x:c r="L253" s="339" t="n">
        <x:v>6</x:v>
      </x:c>
      <x:c r="M253" s="339" t="str">
        <x:v>Academic masters, staff allocation, rooms, calendar, notifications</x:v>
      </x:c>
      <x:c r="N253" s="339" t="str">
        <x:v>Not Started</x:v>
      </x:c>
    </x:row>
    <x:row r="254">
      <x:c r="A254" s="339" t="str">
        <x:v>US-0253</x:v>
      </x:c>
      <x:c r="B254" s="339" t="str">
        <x:v>EP-011</x:v>
      </x:c>
      <x:c r="C254" s="339" t="str">
        <x:v>SCR-127</x:v>
      </x:c>
      <x:c r="D254" s="339" t="str">
        <x:v>Timetable &amp; Substitution</x:v>
      </x:c>
      <x:c r="E254" s="339" t="str">
        <x:v>Substitution / Replacement</x:v>
      </x:c>
      <x:c r="F254" s="339" t="str">
        <x:v>Academic Coordinator</x:v>
      </x:c>
      <x:c r="G254" s="339" t="str">
        <x:v>As a Academic Coordinator, I want to manage substitution / replacement so that school resources are scheduled without avoidable conflicts.</x:v>
      </x:c>
      <x:c r="H254" s="339" t="str">
        <x:v>Primary Workflow</x:v>
      </x:c>
      <x:c r="I254" s="339" t="str">
        <x:v>Phase 3</x:v>
      </x:c>
      <x:c r="J254" s="339" t="str">
        <x:v>Phase 3</x:v>
      </x:c>
      <x:c r="K254" s="339" t="str">
        <x:v>High</x:v>
      </x:c>
      <x:c r="L254" s="339" t="n">
        <x:v>8</x:v>
      </x:c>
      <x:c r="M254" s="339" t="str">
        <x:v>Academic masters, staff allocation, rooms, calendar, notifications</x:v>
      </x:c>
      <x:c r="N254" s="339" t="str">
        <x:v>Not Started</x:v>
      </x:c>
    </x:row>
    <x:row r="255">
      <x:c r="A255" s="339" t="str">
        <x:v>US-0254</x:v>
      </x:c>
      <x:c r="B255" s="339" t="str">
        <x:v>EP-011</x:v>
      </x:c>
      <x:c r="C255" s="339" t="str">
        <x:v>SCR-127</x:v>
      </x:c>
      <x:c r="D255" s="339" t="str">
        <x:v>Timetable &amp; Substitution</x:v>
      </x:c>
      <x:c r="E255" s="339" t="str">
        <x:v>Substitution / Replacement</x:v>
      </x:c>
      <x:c r="F255" s="339" t="str">
        <x:v>Academic Coordinator</x:v>
      </x:c>
      <x:c r="G255" s="339" t="str">
        <x:v>As a Academic Coordinator, I want substitution / replacement to enforce status, approval &amp; exception handling rules so that data quality, permissions and traceability are protected.</x:v>
      </x:c>
      <x:c r="H255" s="339" t="str">
        <x:v>Status, Approval &amp; Exception Handling</x:v>
      </x:c>
      <x:c r="I255" s="339" t="str">
        <x:v>Phase 3</x:v>
      </x:c>
      <x:c r="J255" s="339" t="str">
        <x:v>Phase 3</x:v>
      </x:c>
      <x:c r="K255" s="339" t="str">
        <x:v>High</x:v>
      </x:c>
      <x:c r="L255" s="339" t="n">
        <x:v>6</x:v>
      </x:c>
      <x:c r="M255" s="339" t="str">
        <x:v>Academic masters, staff allocation, rooms, calendar, notifications</x:v>
      </x:c>
      <x:c r="N255" s="339" t="str">
        <x:v>Not Started</x:v>
      </x:c>
    </x:row>
    <x:row r="256">
      <x:c r="A256" s="339" t="str">
        <x:v>US-0255</x:v>
      </x:c>
      <x:c r="B256" s="339" t="str">
        <x:v>EP-012</x:v>
      </x:c>
      <x:c r="C256" s="339" t="str">
        <x:v>SCR-128</x:v>
      </x:c>
      <x:c r="D256" s="339" t="str">
        <x:v>Homework &amp; Assignments</x:v>
      </x:c>
      <x:c r="E256" s="339" t="str">
        <x:v>Homework List</x:v>
      </x:c>
      <x:c r="F256" s="339" t="str">
        <x:v>Teacher</x:v>
      </x:c>
      <x:c r="G256" s="339" t="str">
        <x:v>As a Teacher, I want to find and manage homework list so that learning tasks are visible and trackable.</x:v>
      </x:c>
      <x:c r="H256" s="339" t="str">
        <x:v>Primary Workflow</x:v>
      </x:c>
      <x:c r="I256" s="339" t="str">
        <x:v>MVP</x:v>
      </x:c>
      <x:c r="J256" s="339" t="str">
        <x:v>MVP</x:v>
      </x:c>
      <x:c r="K256" s="339" t="str">
        <x:v>Medium</x:v>
      </x:c>
      <x:c r="L256" s="339" t="n">
        <x:v>5</x:v>
      </x:c>
      <x:c r="M256" s="339" t="str">
        <x:v>Classes, subjects, teacher assignment, student enrollment, file storage, notifications</x:v>
      </x:c>
      <x:c r="N256" s="339" t="str">
        <x:v>Not Started</x:v>
      </x:c>
    </x:row>
    <x:row r="257">
      <x:c r="A257" s="339" t="str">
        <x:v>US-0256</x:v>
      </x:c>
      <x:c r="B257" s="339" t="str">
        <x:v>EP-012</x:v>
      </x:c>
      <x:c r="C257" s="339" t="str">
        <x:v>SCR-128</x:v>
      </x:c>
      <x:c r="D257" s="339" t="str">
        <x:v>Homework &amp; Assignments</x:v>
      </x:c>
      <x:c r="E257" s="339" t="str">
        <x:v>Homework List</x:v>
      </x:c>
      <x:c r="F257" s="339" t="str">
        <x:v>Teacher</x:v>
      </x:c>
      <x:c r="G257" s="339" t="str">
        <x:v>As a Teacher, I want homework list to enforce search, filter &amp; controlled actions rules so that data quality, permissions and traceability are protected.</x:v>
      </x:c>
      <x:c r="H257" s="339" t="str">
        <x:v>Search, Filter &amp; Controlled Actions</x:v>
      </x:c>
      <x:c r="I257" s="339" t="str">
        <x:v>MVP</x:v>
      </x:c>
      <x:c r="J257" s="339" t="str">
        <x:v>MVP</x:v>
      </x:c>
      <x:c r="K257" s="339" t="str">
        <x:v>Medium</x:v>
      </x:c>
      <x:c r="L257" s="339" t="n">
        <x:v>3</x:v>
      </x:c>
      <x:c r="M257" s="339" t="str">
        <x:v>Classes, subjects, teacher assignment, student enrollment, file storage, notifications</x:v>
      </x:c>
      <x:c r="N257" s="339" t="str">
        <x:v>Not Started</x:v>
      </x:c>
    </x:row>
    <x:row r="258">
      <x:c r="A258" s="339" t="str">
        <x:v>US-0257</x:v>
      </x:c>
      <x:c r="B258" s="339" t="str">
        <x:v>EP-012</x:v>
      </x:c>
      <x:c r="C258" s="339" t="str">
        <x:v>SCR-129</x:v>
      </x:c>
      <x:c r="D258" s="339" t="str">
        <x:v>Homework &amp; Assignments</x:v>
      </x:c>
      <x:c r="E258" s="339" t="str">
        <x:v>Create Homework</x:v>
      </x:c>
      <x:c r="F258" s="339" t="str">
        <x:v>Teacher</x:v>
      </x:c>
      <x:c r="G258" s="339" t="str">
        <x:v>As a Teacher, I want to create or process create homework so that learning tasks are visible and trackable.</x:v>
      </x:c>
      <x:c r="H258" s="339" t="str">
        <x:v>Primary Workflow</x:v>
      </x:c>
      <x:c r="I258" s="339" t="str">
        <x:v>MVP</x:v>
      </x:c>
      <x:c r="J258" s="339" t="str">
        <x:v>MVP</x:v>
      </x:c>
      <x:c r="K258" s="339" t="str">
        <x:v>Medium</x:v>
      </x:c>
      <x:c r="L258" s="339" t="n">
        <x:v>5</x:v>
      </x:c>
      <x:c r="M258" s="339" t="str">
        <x:v>Classes, subjects, teacher assignment, student enrollment, file storage, notifications</x:v>
      </x:c>
      <x:c r="N258" s="339" t="str">
        <x:v>Not Started</x:v>
      </x:c>
    </x:row>
    <x:row r="259">
      <x:c r="A259" s="339" t="str">
        <x:v>US-0258</x:v>
      </x:c>
      <x:c r="B259" s="339" t="str">
        <x:v>EP-012</x:v>
      </x:c>
      <x:c r="C259" s="339" t="str">
        <x:v>SCR-129</x:v>
      </x:c>
      <x:c r="D259" s="339" t="str">
        <x:v>Homework &amp; Assignments</x:v>
      </x:c>
      <x:c r="E259" s="339" t="str">
        <x:v>Create Homework</x:v>
      </x:c>
      <x:c r="F259" s="339" t="str">
        <x:v>Teacher</x:v>
      </x:c>
      <x:c r="G259" s="339" t="str">
        <x:v>As a Teacher, I want create homework to enforce validation &amp; duplicate prevention rules so that data quality, permissions and traceability are protected.</x:v>
      </x:c>
      <x:c r="H259" s="339" t="str">
        <x:v>Validation &amp; Duplicate Prevention</x:v>
      </x:c>
      <x:c r="I259" s="339" t="str">
        <x:v>MVP</x:v>
      </x:c>
      <x:c r="J259" s="339" t="str">
        <x:v>MVP</x:v>
      </x:c>
      <x:c r="K259" s="339" t="str">
        <x:v>Medium</x:v>
      </x:c>
      <x:c r="L259" s="339" t="n">
        <x:v>3</x:v>
      </x:c>
      <x:c r="M259" s="339" t="str">
        <x:v>Classes, subjects, teacher assignment, student enrollment, file storage, notifications</x:v>
      </x:c>
      <x:c r="N259" s="339" t="str">
        <x:v>Not Started</x:v>
      </x:c>
    </x:row>
    <x:row r="260">
      <x:c r="A260" s="339" t="str">
        <x:v>US-0259</x:v>
      </x:c>
      <x:c r="B260" s="339" t="str">
        <x:v>EP-012</x:v>
      </x:c>
      <x:c r="C260" s="339" t="str">
        <x:v>SCR-130</x:v>
      </x:c>
      <x:c r="D260" s="339" t="str">
        <x:v>Homework &amp; Assignments</x:v>
      </x:c>
      <x:c r="E260" s="339" t="str">
        <x:v>Homework Details</x:v>
      </x:c>
      <x:c r="F260" s="339" t="str">
        <x:v>Teacher</x:v>
      </x:c>
      <x:c r="G260" s="339" t="str">
        <x:v>As a Teacher, I want to review and maintain homework details so that learning tasks are visible and trackable.</x:v>
      </x:c>
      <x:c r="H260" s="339" t="str">
        <x:v>Primary Workflow</x:v>
      </x:c>
      <x:c r="I260" s="339" t="str">
        <x:v>MVP</x:v>
      </x:c>
      <x:c r="J260" s="339" t="str">
        <x:v>MVP</x:v>
      </x:c>
      <x:c r="K260" s="339" t="str">
        <x:v>Medium</x:v>
      </x:c>
      <x:c r="L260" s="339" t="n">
        <x:v>5</x:v>
      </x:c>
      <x:c r="M260" s="339" t="str">
        <x:v>Classes, subjects, teacher assignment, student enrollment, file storage, notifications</x:v>
      </x:c>
      <x:c r="N260" s="339" t="str">
        <x:v>Not Started</x:v>
      </x:c>
    </x:row>
    <x:row r="261">
      <x:c r="A261" s="339" t="str">
        <x:v>US-0260</x:v>
      </x:c>
      <x:c r="B261" s="339" t="str">
        <x:v>EP-012</x:v>
      </x:c>
      <x:c r="C261" s="339" t="str">
        <x:v>SCR-130</x:v>
      </x:c>
      <x:c r="D261" s="339" t="str">
        <x:v>Homework &amp; Assignments</x:v>
      </x:c>
      <x:c r="E261" s="339" t="str">
        <x:v>Homework Details</x:v>
      </x:c>
      <x:c r="F261" s="339" t="str">
        <x:v>Teacher</x:v>
      </x:c>
      <x:c r="G261" s="339" t="str">
        <x:v>As a Teacher, I want homework details to enforce history, edit &amp; audit rules so that data quality, permissions and traceability are protected.</x:v>
      </x:c>
      <x:c r="H261" s="339" t="str">
        <x:v>History, Edit &amp; Audit</x:v>
      </x:c>
      <x:c r="I261" s="339" t="str">
        <x:v>MVP</x:v>
      </x:c>
      <x:c r="J261" s="339" t="str">
        <x:v>MVP</x:v>
      </x:c>
      <x:c r="K261" s="339" t="str">
        <x:v>Medium</x:v>
      </x:c>
      <x:c r="L261" s="339" t="n">
        <x:v>3</x:v>
      </x:c>
      <x:c r="M261" s="339" t="str">
        <x:v>Classes, subjects, teacher assignment, student enrollment, file storage, notifications</x:v>
      </x:c>
      <x:c r="N261" s="339" t="str">
        <x:v>Not Started</x:v>
      </x:c>
    </x:row>
    <x:row r="262">
      <x:c r="A262" s="339" t="str">
        <x:v>US-0261</x:v>
      </x:c>
      <x:c r="B262" s="339" t="str">
        <x:v>EP-012</x:v>
      </x:c>
      <x:c r="C262" s="339" t="str">
        <x:v>SCR-131</x:v>
      </x:c>
      <x:c r="D262" s="339" t="str">
        <x:v>Homework &amp; Assignments</x:v>
      </x:c>
      <x:c r="E262" s="339" t="str">
        <x:v>Student Homework View</x:v>
      </x:c>
      <x:c r="F262" s="339" t="str">
        <x:v>Student</x:v>
      </x:c>
      <x:c r="G262" s="339" t="str">
        <x:v>As a Student, I want to manage student homework view so that learning tasks are visible and trackable.</x:v>
      </x:c>
      <x:c r="H262" s="339" t="str">
        <x:v>Primary Workflow</x:v>
      </x:c>
      <x:c r="I262" s="339" t="str">
        <x:v>MVP</x:v>
      </x:c>
      <x:c r="J262" s="339" t="str">
        <x:v>MVP</x:v>
      </x:c>
      <x:c r="K262" s="339" t="str">
        <x:v>High</x:v>
      </x:c>
      <x:c r="L262" s="339" t="n">
        <x:v>8</x:v>
      </x:c>
      <x:c r="M262" s="339" t="str">
        <x:v>Classes, subjects, teacher assignment, student enrollment, file storage, notifications</x:v>
      </x:c>
      <x:c r="N262" s="339" t="str">
        <x:v>Not Started</x:v>
      </x:c>
    </x:row>
    <x:row r="263">
      <x:c r="A263" s="339" t="str">
        <x:v>US-0262</x:v>
      </x:c>
      <x:c r="B263" s="339" t="str">
        <x:v>EP-012</x:v>
      </x:c>
      <x:c r="C263" s="339" t="str">
        <x:v>SCR-131</x:v>
      </x:c>
      <x:c r="D263" s="339" t="str">
        <x:v>Homework &amp; Assignments</x:v>
      </x:c>
      <x:c r="E263" s="339" t="str">
        <x:v>Student Homework View</x:v>
      </x:c>
      <x:c r="F263" s="339" t="str">
        <x:v>Student</x:v>
      </x:c>
      <x:c r="G263" s="339" t="str">
        <x:v>As a Student, I want student homework view to enforce status, approval &amp; exception handling rules so that data quality, permissions and traceability are protected.</x:v>
      </x:c>
      <x:c r="H263" s="339" t="str">
        <x:v>Status, Approval &amp; Exception Handling</x:v>
      </x:c>
      <x:c r="I263" s="339" t="str">
        <x:v>MVP</x:v>
      </x:c>
      <x:c r="J263" s="339" t="str">
        <x:v>MVP</x:v>
      </x:c>
      <x:c r="K263" s="339" t="str">
        <x:v>High</x:v>
      </x:c>
      <x:c r="L263" s="339" t="n">
        <x:v>6</x:v>
      </x:c>
      <x:c r="M263" s="339" t="str">
        <x:v>Classes, subjects, teacher assignment, student enrollment, file storage, notifications</x:v>
      </x:c>
      <x:c r="N263" s="339" t="str">
        <x:v>Not Started</x:v>
      </x:c>
    </x:row>
    <x:row r="264">
      <x:c r="A264" s="339" t="str">
        <x:v>US-0263</x:v>
      </x:c>
      <x:c r="B264" s="339" t="str">
        <x:v>EP-012</x:v>
      </x:c>
      <x:c r="C264" s="339" t="str">
        <x:v>SCR-132</x:v>
      </x:c>
      <x:c r="D264" s="339" t="str">
        <x:v>Homework &amp; Assignments</x:v>
      </x:c>
      <x:c r="E264" s="339" t="str">
        <x:v>Homework Submission</x:v>
      </x:c>
      <x:c r="F264" s="339" t="str">
        <x:v>Student</x:v>
      </x:c>
      <x:c r="G264" s="339" t="str">
        <x:v>As a Student, I want to manage homework submission so that learning tasks are visible and trackable.</x:v>
      </x:c>
      <x:c r="H264" s="339" t="str">
        <x:v>Primary Workflow</x:v>
      </x:c>
      <x:c r="I264" s="339" t="str">
        <x:v>MVP</x:v>
      </x:c>
      <x:c r="J264" s="339" t="str">
        <x:v>MVP</x:v>
      </x:c>
      <x:c r="K264" s="339" t="str">
        <x:v>High</x:v>
      </x:c>
      <x:c r="L264" s="339" t="n">
        <x:v>8</x:v>
      </x:c>
      <x:c r="M264" s="339" t="str">
        <x:v>Classes, subjects, teacher assignment, student enrollment, file storage, notifications</x:v>
      </x:c>
      <x:c r="N264" s="339" t="str">
        <x:v>Not Started</x:v>
      </x:c>
    </x:row>
    <x:row r="265">
      <x:c r="A265" s="339" t="str">
        <x:v>US-0264</x:v>
      </x:c>
      <x:c r="B265" s="339" t="str">
        <x:v>EP-012</x:v>
      </x:c>
      <x:c r="C265" s="339" t="str">
        <x:v>SCR-132</x:v>
      </x:c>
      <x:c r="D265" s="339" t="str">
        <x:v>Homework &amp; Assignments</x:v>
      </x:c>
      <x:c r="E265" s="339" t="str">
        <x:v>Homework Submission</x:v>
      </x:c>
      <x:c r="F265" s="339" t="str">
        <x:v>Student</x:v>
      </x:c>
      <x:c r="G265" s="339" t="str">
        <x:v>As a Student, I want homework submission to enforce status, approval &amp; exception handling rules so that data quality, permissions and traceability are protected.</x:v>
      </x:c>
      <x:c r="H265" s="339" t="str">
        <x:v>Status, Approval &amp; Exception Handling</x:v>
      </x:c>
      <x:c r="I265" s="339" t="str">
        <x:v>MVP</x:v>
      </x:c>
      <x:c r="J265" s="339" t="str">
        <x:v>MVP</x:v>
      </x:c>
      <x:c r="K265" s="339" t="str">
        <x:v>High</x:v>
      </x:c>
      <x:c r="L265" s="339" t="n">
        <x:v>6</x:v>
      </x:c>
      <x:c r="M265" s="339" t="str">
        <x:v>Classes, subjects, teacher assignment, student enrollment, file storage, notifications</x:v>
      </x:c>
      <x:c r="N265" s="339" t="str">
        <x:v>Not Started</x:v>
      </x:c>
    </x:row>
    <x:row r="266">
      <x:c r="A266" s="339" t="str">
        <x:v>US-0265</x:v>
      </x:c>
      <x:c r="B266" s="339" t="str">
        <x:v>EP-012</x:v>
      </x:c>
      <x:c r="C266" s="339" t="str">
        <x:v>SCR-133</x:v>
      </x:c>
      <x:c r="D266" s="339" t="str">
        <x:v>Homework &amp; Assignments</x:v>
      </x:c>
      <x:c r="E266" s="339" t="str">
        <x:v>Homework Evaluation</x:v>
      </x:c>
      <x:c r="F266" s="339" t="str">
        <x:v>Teacher</x:v>
      </x:c>
      <x:c r="G266" s="339" t="str">
        <x:v>As a Teacher, I want to manage homework evaluation so that learning tasks are visible and trackable.</x:v>
      </x:c>
      <x:c r="H266" s="339" t="str">
        <x:v>Primary Workflow</x:v>
      </x:c>
      <x:c r="I266" s="339" t="str">
        <x:v>MVP</x:v>
      </x:c>
      <x:c r="J266" s="339" t="str">
        <x:v>MVP</x:v>
      </x:c>
      <x:c r="K266" s="339" t="str">
        <x:v>High</x:v>
      </x:c>
      <x:c r="L266" s="339" t="n">
        <x:v>8</x:v>
      </x:c>
      <x:c r="M266" s="339" t="str">
        <x:v>Classes, subjects, teacher assignment, student enrollment, file storage, notifications</x:v>
      </x:c>
      <x:c r="N266" s="339" t="str">
        <x:v>Not Started</x:v>
      </x:c>
    </x:row>
    <x:row r="267">
      <x:c r="A267" s="339" t="str">
        <x:v>US-0266</x:v>
      </x:c>
      <x:c r="B267" s="339" t="str">
        <x:v>EP-012</x:v>
      </x:c>
      <x:c r="C267" s="339" t="str">
        <x:v>SCR-133</x:v>
      </x:c>
      <x:c r="D267" s="339" t="str">
        <x:v>Homework &amp; Assignments</x:v>
      </x:c>
      <x:c r="E267" s="339" t="str">
        <x:v>Homework Evaluation</x:v>
      </x:c>
      <x:c r="F267" s="339" t="str">
        <x:v>Teacher</x:v>
      </x:c>
      <x:c r="G267" s="339" t="str">
        <x:v>As a Teacher, I want homework evaluation to enforce status, approval &amp; exception handling rules so that data quality, permissions and traceability are protected.</x:v>
      </x:c>
      <x:c r="H267" s="339" t="str">
        <x:v>Status, Approval &amp; Exception Handling</x:v>
      </x:c>
      <x:c r="I267" s="339" t="str">
        <x:v>MVP</x:v>
      </x:c>
      <x:c r="J267" s="339" t="str">
        <x:v>MVP</x:v>
      </x:c>
      <x:c r="K267" s="339" t="str">
        <x:v>High</x:v>
      </x:c>
      <x:c r="L267" s="339" t="n">
        <x:v>6</x:v>
      </x:c>
      <x:c r="M267" s="339" t="str">
        <x:v>Classes, subjects, teacher assignment, student enrollment, file storage, notifications</x:v>
      </x:c>
      <x:c r="N267" s="339" t="str">
        <x:v>Not Started</x:v>
      </x:c>
    </x:row>
    <x:row r="268">
      <x:c r="A268" s="339" t="str">
        <x:v>US-0267</x:v>
      </x:c>
      <x:c r="B268" s="339" t="str">
        <x:v>EP-012</x:v>
      </x:c>
      <x:c r="C268" s="339" t="str">
        <x:v>SCR-134</x:v>
      </x:c>
      <x:c r="D268" s="339" t="str">
        <x:v>Homework &amp; Assignments</x:v>
      </x:c>
      <x:c r="E268" s="339" t="str">
        <x:v>Assignment List</x:v>
      </x:c>
      <x:c r="F268" s="339" t="str">
        <x:v>Teacher</x:v>
      </x:c>
      <x:c r="G268" s="339" t="str">
        <x:v>As a Teacher, I want to find and manage assignment list so that learning tasks are visible and trackable.</x:v>
      </x:c>
      <x:c r="H268" s="339" t="str">
        <x:v>Primary Workflow</x:v>
      </x:c>
      <x:c r="I268" s="339" t="str">
        <x:v>Phase 2</x:v>
      </x:c>
      <x:c r="J268" s="339" t="str">
        <x:v>Phase 2</x:v>
      </x:c>
      <x:c r="K268" s="339" t="str">
        <x:v>Medium</x:v>
      </x:c>
      <x:c r="L268" s="339" t="n">
        <x:v>5</x:v>
      </x:c>
      <x:c r="M268" s="339" t="str">
        <x:v>Classes, subjects, teacher assignment, student enrollment, file storage, notifications</x:v>
      </x:c>
      <x:c r="N268" s="339" t="str">
        <x:v>Not Started</x:v>
      </x:c>
    </x:row>
    <x:row r="269">
      <x:c r="A269" s="339" t="str">
        <x:v>US-0268</x:v>
      </x:c>
      <x:c r="B269" s="339" t="str">
        <x:v>EP-012</x:v>
      </x:c>
      <x:c r="C269" s="339" t="str">
        <x:v>SCR-134</x:v>
      </x:c>
      <x:c r="D269" s="339" t="str">
        <x:v>Homework &amp; Assignments</x:v>
      </x:c>
      <x:c r="E269" s="339" t="str">
        <x:v>Assignment List</x:v>
      </x:c>
      <x:c r="F269" s="339" t="str">
        <x:v>Teacher</x:v>
      </x:c>
      <x:c r="G269" s="339" t="str">
        <x:v>As a Teacher, I want assignment list to enforce search, filter &amp; controlled actions rules so that data quality, permissions and traceability are protected.</x:v>
      </x:c>
      <x:c r="H269" s="339" t="str">
        <x:v>Search, Filter &amp; Controlled Actions</x:v>
      </x:c>
      <x:c r="I269" s="339" t="str">
        <x:v>Phase 2</x:v>
      </x:c>
      <x:c r="J269" s="339" t="str">
        <x:v>Phase 2</x:v>
      </x:c>
      <x:c r="K269" s="339" t="str">
        <x:v>Medium</x:v>
      </x:c>
      <x:c r="L269" s="339" t="n">
        <x:v>3</x:v>
      </x:c>
      <x:c r="M269" s="339" t="str">
        <x:v>Classes, subjects, teacher assignment, student enrollment, file storage, notifications</x:v>
      </x:c>
      <x:c r="N269" s="339" t="str">
        <x:v>Not Started</x:v>
      </x:c>
    </x:row>
    <x:row r="270">
      <x:c r="A270" s="339" t="str">
        <x:v>US-0269</x:v>
      </x:c>
      <x:c r="B270" s="339" t="str">
        <x:v>EP-012</x:v>
      </x:c>
      <x:c r="C270" s="339" t="str">
        <x:v>SCR-135</x:v>
      </x:c>
      <x:c r="D270" s="339" t="str">
        <x:v>Homework &amp; Assignments</x:v>
      </x:c>
      <x:c r="E270" s="339" t="str">
        <x:v>Create Assignment</x:v>
      </x:c>
      <x:c r="F270" s="339" t="str">
        <x:v>Teacher</x:v>
      </x:c>
      <x:c r="G270" s="339" t="str">
        <x:v>As a Teacher, I want to create or process create assignment so that learning tasks are visible and trackable.</x:v>
      </x:c>
      <x:c r="H270" s="339" t="str">
        <x:v>Primary Workflow</x:v>
      </x:c>
      <x:c r="I270" s="339" t="str">
        <x:v>Phase 2</x:v>
      </x:c>
      <x:c r="J270" s="339" t="str">
        <x:v>Phase 2</x:v>
      </x:c>
      <x:c r="K270" s="339" t="str">
        <x:v>Medium</x:v>
      </x:c>
      <x:c r="L270" s="339" t="n">
        <x:v>5</x:v>
      </x:c>
      <x:c r="M270" s="339" t="str">
        <x:v>Classes, subjects, teacher assignment, student enrollment, file storage, notifications</x:v>
      </x:c>
      <x:c r="N270" s="339" t="str">
        <x:v>Not Started</x:v>
      </x:c>
    </x:row>
    <x:row r="271">
      <x:c r="A271" s="339" t="str">
        <x:v>US-0270</x:v>
      </x:c>
      <x:c r="B271" s="339" t="str">
        <x:v>EP-012</x:v>
      </x:c>
      <x:c r="C271" s="339" t="str">
        <x:v>SCR-135</x:v>
      </x:c>
      <x:c r="D271" s="339" t="str">
        <x:v>Homework &amp; Assignments</x:v>
      </x:c>
      <x:c r="E271" s="339" t="str">
        <x:v>Create Assignment</x:v>
      </x:c>
      <x:c r="F271" s="339" t="str">
        <x:v>Teacher</x:v>
      </x:c>
      <x:c r="G271" s="339" t="str">
        <x:v>As a Teacher, I want create assignment to enforce validation &amp; duplicate prevention rules so that data quality, permissions and traceability are protected.</x:v>
      </x:c>
      <x:c r="H271" s="339" t="str">
        <x:v>Validation &amp; Duplicate Prevention</x:v>
      </x:c>
      <x:c r="I271" s="339" t="str">
        <x:v>Phase 2</x:v>
      </x:c>
      <x:c r="J271" s="339" t="str">
        <x:v>Phase 2</x:v>
      </x:c>
      <x:c r="K271" s="339" t="str">
        <x:v>Medium</x:v>
      </x:c>
      <x:c r="L271" s="339" t="n">
        <x:v>3</x:v>
      </x:c>
      <x:c r="M271" s="339" t="str">
        <x:v>Classes, subjects, teacher assignment, student enrollment, file storage, notifications</x:v>
      </x:c>
      <x:c r="N271" s="339" t="str">
        <x:v>Not Started</x:v>
      </x:c>
    </x:row>
    <x:row r="272">
      <x:c r="A272" s="339" t="str">
        <x:v>US-0271</x:v>
      </x:c>
      <x:c r="B272" s="339" t="str">
        <x:v>EP-012</x:v>
      </x:c>
      <x:c r="C272" s="339" t="str">
        <x:v>SCR-136</x:v>
      </x:c>
      <x:c r="D272" s="339" t="str">
        <x:v>Homework &amp; Assignments</x:v>
      </x:c>
      <x:c r="E272" s="339" t="str">
        <x:v>Assignment Submissions</x:v>
      </x:c>
      <x:c r="F272" s="339" t="str">
        <x:v>Student</x:v>
      </x:c>
      <x:c r="G272" s="339" t="str">
        <x:v>As a Student, I want to manage assignment submissions so that learning tasks are visible and trackable.</x:v>
      </x:c>
      <x:c r="H272" s="339" t="str">
        <x:v>Primary Workflow</x:v>
      </x:c>
      <x:c r="I272" s="339" t="str">
        <x:v>Phase 2</x:v>
      </x:c>
      <x:c r="J272" s="339" t="str">
        <x:v>Phase 2</x:v>
      </x:c>
      <x:c r="K272" s="339" t="str">
        <x:v>High</x:v>
      </x:c>
      <x:c r="L272" s="339" t="n">
        <x:v>8</x:v>
      </x:c>
      <x:c r="M272" s="339" t="str">
        <x:v>Classes, subjects, teacher assignment, student enrollment, file storage, notifications</x:v>
      </x:c>
      <x:c r="N272" s="339" t="str">
        <x:v>Not Started</x:v>
      </x:c>
    </x:row>
    <x:row r="273">
      <x:c r="A273" s="339" t="str">
        <x:v>US-0272</x:v>
      </x:c>
      <x:c r="B273" s="339" t="str">
        <x:v>EP-012</x:v>
      </x:c>
      <x:c r="C273" s="339" t="str">
        <x:v>SCR-136</x:v>
      </x:c>
      <x:c r="D273" s="339" t="str">
        <x:v>Homework &amp; Assignments</x:v>
      </x:c>
      <x:c r="E273" s="339" t="str">
        <x:v>Assignment Submissions</x:v>
      </x:c>
      <x:c r="F273" s="339" t="str">
        <x:v>Student</x:v>
      </x:c>
      <x:c r="G273" s="339" t="str">
        <x:v>As a Student, I want assignment submissions to enforce status, approval &amp; exception handling rules so that data quality, permissions and traceability are protected.</x:v>
      </x:c>
      <x:c r="H273" s="339" t="str">
        <x:v>Status, Approval &amp; Exception Handling</x:v>
      </x:c>
      <x:c r="I273" s="339" t="str">
        <x:v>Phase 2</x:v>
      </x:c>
      <x:c r="J273" s="339" t="str">
        <x:v>Phase 2</x:v>
      </x:c>
      <x:c r="K273" s="339" t="str">
        <x:v>High</x:v>
      </x:c>
      <x:c r="L273" s="339" t="n">
        <x:v>6</x:v>
      </x:c>
      <x:c r="M273" s="339" t="str">
        <x:v>Classes, subjects, teacher assignment, student enrollment, file storage, notifications</x:v>
      </x:c>
      <x:c r="N273" s="339" t="str">
        <x:v>Not Started</x:v>
      </x:c>
    </x:row>
    <x:row r="274">
      <x:c r="A274" s="339" t="str">
        <x:v>US-0273</x:v>
      </x:c>
      <x:c r="B274" s="339" t="str">
        <x:v>EP-012</x:v>
      </x:c>
      <x:c r="C274" s="339" t="str">
        <x:v>SCR-137</x:v>
      </x:c>
      <x:c r="D274" s="339" t="str">
        <x:v>Homework &amp; Assignments</x:v>
      </x:c>
      <x:c r="E274" s="339" t="str">
        <x:v>Assignment Evaluation</x:v>
      </x:c>
      <x:c r="F274" s="339" t="str">
        <x:v>Teacher</x:v>
      </x:c>
      <x:c r="G274" s="339" t="str">
        <x:v>As a Teacher, I want to manage assignment evaluation so that learning tasks are visible and trackable.</x:v>
      </x:c>
      <x:c r="H274" s="339" t="str">
        <x:v>Primary Workflow</x:v>
      </x:c>
      <x:c r="I274" s="339" t="str">
        <x:v>Phase 3</x:v>
      </x:c>
      <x:c r="J274" s="339" t="str">
        <x:v>Phase 3</x:v>
      </x:c>
      <x:c r="K274" s="339" t="str">
        <x:v>High</x:v>
      </x:c>
      <x:c r="L274" s="339" t="n">
        <x:v>8</x:v>
      </x:c>
      <x:c r="M274" s="339" t="str">
        <x:v>Classes, subjects, teacher assignment, student enrollment, file storage, notifications</x:v>
      </x:c>
      <x:c r="N274" s="339" t="str">
        <x:v>Not Started</x:v>
      </x:c>
    </x:row>
    <x:row r="275">
      <x:c r="A275" s="339" t="str">
        <x:v>US-0274</x:v>
      </x:c>
      <x:c r="B275" s="339" t="str">
        <x:v>EP-012</x:v>
      </x:c>
      <x:c r="C275" s="339" t="str">
        <x:v>SCR-137</x:v>
      </x:c>
      <x:c r="D275" s="339" t="str">
        <x:v>Homework &amp; Assignments</x:v>
      </x:c>
      <x:c r="E275" s="339" t="str">
        <x:v>Assignment Evaluation</x:v>
      </x:c>
      <x:c r="F275" s="339" t="str">
        <x:v>Teacher</x:v>
      </x:c>
      <x:c r="G275" s="339" t="str">
        <x:v>As a Teacher, I want assignment evaluation to enforce status, approval &amp; exception handling rules so that data quality, permissions and traceability are protected.</x:v>
      </x:c>
      <x:c r="H275" s="339" t="str">
        <x:v>Status, Approval &amp; Exception Handling</x:v>
      </x:c>
      <x:c r="I275" s="339" t="str">
        <x:v>Phase 3</x:v>
      </x:c>
      <x:c r="J275" s="339" t="str">
        <x:v>Phase 3</x:v>
      </x:c>
      <x:c r="K275" s="339" t="str">
        <x:v>High</x:v>
      </x:c>
      <x:c r="L275" s="339" t="n">
        <x:v>6</x:v>
      </x:c>
      <x:c r="M275" s="339" t="str">
        <x:v>Classes, subjects, teacher assignment, student enrollment, file storage, notifications</x:v>
      </x:c>
      <x:c r="N275" s="339" t="str">
        <x:v>Not Started</x:v>
      </x:c>
    </x:row>
    <x:row r="276">
      <x:c r="A276" s="339" t="str">
        <x:v>US-0275</x:v>
      </x:c>
      <x:c r="B276" s="339" t="str">
        <x:v>EP-013</x:v>
      </x:c>
      <x:c r="C276" s="339" t="str">
        <x:v>SCR-138</x:v>
      </x:c>
      <x:c r="D276" s="339" t="str">
        <x:v>Examinations / Marks / Results</x:v>
      </x:c>
      <x:c r="E276" s="339" t="str">
        <x:v>Exam Dashboard</x:v>
      </x:c>
      <x:c r="F276" s="339" t="str">
        <x:v>Exam</x:v>
      </x:c>
      <x:c r="G276" s="339" t="str">
        <x:v>As a Exam, I want to monitor exam priorities and metrics so that results are accurate and released under control.</x:v>
      </x:c>
      <x:c r="H276" s="339" t="str">
        <x:v>Primary Workflow</x:v>
      </x:c>
      <x:c r="I276" s="339" t="str">
        <x:v>MVP</x:v>
      </x:c>
      <x:c r="J276" s="339" t="str">
        <x:v>MVP</x:v>
      </x:c>
      <x:c r="K276" s="339" t="str">
        <x:v>High</x:v>
      </x:c>
      <x:c r="L276" s="339" t="n">
        <x:v>8</x:v>
      </x:c>
      <x:c r="M276" s="339" t="str">
        <x:v>Academic structure, timetable, students, grading configuration, report cards, notifications</x:v>
      </x:c>
      <x:c r="N276" s="339" t="str">
        <x:v>Not Started</x:v>
      </x:c>
    </x:row>
    <x:row r="277">
      <x:c r="A277" s="339" t="str">
        <x:v>US-0276</x:v>
      </x:c>
      <x:c r="B277" s="339" t="str">
        <x:v>EP-013</x:v>
      </x:c>
      <x:c r="C277" s="339" t="str">
        <x:v>SCR-138</x:v>
      </x:c>
      <x:c r="D277" s="339" t="str">
        <x:v>Examinations / Marks / Results</x:v>
      </x:c>
      <x:c r="E277" s="339" t="str">
        <x:v>Exam Dashboard</x:v>
      </x:c>
      <x:c r="F277" s="339" t="str">
        <x:v>Exam</x:v>
      </x:c>
      <x:c r="G277" s="339" t="str">
        <x:v>As a Exam, I want exam dashboard to enforce insight &amp; drill-down rules so that data quality, permissions and traceability are protected.</x:v>
      </x:c>
      <x:c r="H277" s="339" t="str">
        <x:v>Insight &amp; Drill-down</x:v>
      </x:c>
      <x:c r="I277" s="339" t="str">
        <x:v>MVP</x:v>
      </x:c>
      <x:c r="J277" s="339" t="str">
        <x:v>MVP</x:v>
      </x:c>
      <x:c r="K277" s="339" t="str">
        <x:v>High</x:v>
      </x:c>
      <x:c r="L277" s="339" t="n">
        <x:v>6</x:v>
      </x:c>
      <x:c r="M277" s="339" t="str">
        <x:v>Academic structure, timetable, students, grading configuration, report cards, notifications</x:v>
      </x:c>
      <x:c r="N277" s="339" t="str">
        <x:v>Not Started</x:v>
      </x:c>
    </x:row>
    <x:row r="278">
      <x:c r="A278" s="339" t="str">
        <x:v>US-0277</x:v>
      </x:c>
      <x:c r="B278" s="339" t="str">
        <x:v>EP-013</x:v>
      </x:c>
      <x:c r="C278" s="339" t="str">
        <x:v>SCR-139</x:v>
      </x:c>
      <x:c r="D278" s="339" t="str">
        <x:v>Examinations / Marks / Results</x:v>
      </x:c>
      <x:c r="E278" s="339" t="str">
        <x:v>Exam Types</x:v>
      </x:c>
      <x:c r="F278" s="339" t="str">
        <x:v>Exam Coordinator</x:v>
      </x:c>
      <x:c r="G278" s="339" t="str">
        <x:v>As a Exam Coordinator, I want to manage exam types so that results are accurate and released under control.</x:v>
      </x:c>
      <x:c r="H278" s="339" t="str">
        <x:v>Primary Workflow</x:v>
      </x:c>
      <x:c r="I278" s="339" t="str">
        <x:v>MVP</x:v>
      </x:c>
      <x:c r="J278" s="339" t="str">
        <x:v>MVP</x:v>
      </x:c>
      <x:c r="K278" s="339" t="str">
        <x:v>High</x:v>
      </x:c>
      <x:c r="L278" s="339" t="n">
        <x:v>11</x:v>
      </x:c>
      <x:c r="M278" s="339" t="str">
        <x:v>Academic structure, timetable, students, grading configuration, report cards, notifications</x:v>
      </x:c>
      <x:c r="N278" s="339" t="str">
        <x:v>Not Started</x:v>
      </x:c>
    </x:row>
    <x:row r="279">
      <x:c r="A279" s="339" t="str">
        <x:v>US-0278</x:v>
      </x:c>
      <x:c r="B279" s="339" t="str">
        <x:v>EP-013</x:v>
      </x:c>
      <x:c r="C279" s="339" t="str">
        <x:v>SCR-139</x:v>
      </x:c>
      <x:c r="D279" s="339" t="str">
        <x:v>Examinations / Marks / Results</x:v>
      </x:c>
      <x:c r="E279" s="339" t="str">
        <x:v>Exam Types</x:v>
      </x:c>
      <x:c r="F279" s="339" t="str">
        <x:v>Exam Coordinator</x:v>
      </x:c>
      <x:c r="G279" s="339" t="str">
        <x:v>As a Exam Coordinator, I want exam types to enforce status, approval &amp; exception handling rules so that data quality, permissions and traceability are protected.</x:v>
      </x:c>
      <x:c r="H279" s="339" t="str">
        <x:v>Status, Approval &amp; Exception Handling</x:v>
      </x:c>
      <x:c r="I279" s="339" t="str">
        <x:v>MVP</x:v>
      </x:c>
      <x:c r="J279" s="339" t="str">
        <x:v>MVP</x:v>
      </x:c>
      <x:c r="K279" s="339" t="str">
        <x:v>High</x:v>
      </x:c>
      <x:c r="L279" s="339" t="n">
        <x:v>9</x:v>
      </x:c>
      <x:c r="M279" s="339" t="str">
        <x:v>Academic structure, timetable, students, grading configuration, report cards, notifications</x:v>
      </x:c>
      <x:c r="N279" s="339" t="str">
        <x:v>Not Started</x:v>
      </x:c>
    </x:row>
    <x:row r="280">
      <x:c r="A280" s="339" t="str">
        <x:v>US-0279</x:v>
      </x:c>
      <x:c r="B280" s="339" t="str">
        <x:v>EP-013</x:v>
      </x:c>
      <x:c r="C280" s="339" t="str">
        <x:v>SCR-140</x:v>
      </x:c>
      <x:c r="D280" s="339" t="str">
        <x:v>Examinations / Marks / Results</x:v>
      </x:c>
      <x:c r="E280" s="339" t="str">
        <x:v>Exam Setup</x:v>
      </x:c>
      <x:c r="F280" s="339" t="str">
        <x:v>Exam Coordinator</x:v>
      </x:c>
      <x:c r="G280" s="339" t="str">
        <x:v>As a Exam Coordinator, I want to configure exam setup so that results are accurate and released under control.</x:v>
      </x:c>
      <x:c r="H280" s="339" t="str">
        <x:v>Primary Workflow</x:v>
      </x:c>
      <x:c r="I280" s="339" t="str">
        <x:v>MVP</x:v>
      </x:c>
      <x:c r="J280" s="339" t="str">
        <x:v>MVP</x:v>
      </x:c>
      <x:c r="K280" s="339" t="str">
        <x:v>High</x:v>
      </x:c>
      <x:c r="L280" s="339" t="n">
        <x:v>8</x:v>
      </x:c>
      <x:c r="M280" s="339" t="str">
        <x:v>Academic structure, timetable, students, grading configuration, report cards, notifications</x:v>
      </x:c>
      <x:c r="N280" s="339" t="str">
        <x:v>Not Started</x:v>
      </x:c>
    </x:row>
    <x:row r="281">
      <x:c r="A281" s="339" t="str">
        <x:v>US-0280</x:v>
      </x:c>
      <x:c r="B281" s="339" t="str">
        <x:v>EP-013</x:v>
      </x:c>
      <x:c r="C281" s="339" t="str">
        <x:v>SCR-140</x:v>
      </x:c>
      <x:c r="D281" s="339" t="str">
        <x:v>Examinations / Marks / Results</x:v>
      </x:c>
      <x:c r="E281" s="339" t="str">
        <x:v>Exam Setup</x:v>
      </x:c>
      <x:c r="F281" s="339" t="str">
        <x:v>Exam Coordinator</x:v>
      </x:c>
      <x:c r="G281" s="339" t="str">
        <x:v>As a Exam Coordinator, I want exam setup to enforce validation &amp; duplicate prevention rules so that data quality, permissions and traceability are protected.</x:v>
      </x:c>
      <x:c r="H281" s="339" t="str">
        <x:v>Validation &amp; Duplicate Prevention</x:v>
      </x:c>
      <x:c r="I281" s="339" t="str">
        <x:v>MVP</x:v>
      </x:c>
      <x:c r="J281" s="339" t="str">
        <x:v>MVP</x:v>
      </x:c>
      <x:c r="K281" s="339" t="str">
        <x:v>High</x:v>
      </x:c>
      <x:c r="L281" s="339" t="n">
        <x:v>6</x:v>
      </x:c>
      <x:c r="M281" s="339" t="str">
        <x:v>Academic structure, timetable, students, grading configuration, report cards, notifications</x:v>
      </x:c>
      <x:c r="N281" s="339" t="str">
        <x:v>Not Started</x:v>
      </x:c>
    </x:row>
    <x:row r="282">
      <x:c r="A282" s="339" t="str">
        <x:v>US-0281</x:v>
      </x:c>
      <x:c r="B282" s="339" t="str">
        <x:v>EP-013</x:v>
      </x:c>
      <x:c r="C282" s="339" t="str">
        <x:v>SCR-141</x:v>
      </x:c>
      <x:c r="D282" s="339" t="str">
        <x:v>Examinations / Marks / Results</x:v>
      </x:c>
      <x:c r="E282" s="339" t="str">
        <x:v>Exam Schedule</x:v>
      </x:c>
      <x:c r="F282" s="339" t="str">
        <x:v>Exam Coordinator</x:v>
      </x:c>
      <x:c r="G282" s="339" t="str">
        <x:v>As a Exam Coordinator, I want to plan and review exam schedule so that results are accurate and released under control.</x:v>
      </x:c>
      <x:c r="H282" s="339" t="str">
        <x:v>Primary Workflow</x:v>
      </x:c>
      <x:c r="I282" s="339" t="str">
        <x:v>MVP</x:v>
      </x:c>
      <x:c r="J282" s="339" t="str">
        <x:v>MVP</x:v>
      </x:c>
      <x:c r="K282" s="339" t="str">
        <x:v>High</x:v>
      </x:c>
      <x:c r="L282" s="339" t="n">
        <x:v>11</x:v>
      </x:c>
      <x:c r="M282" s="339" t="str">
        <x:v>Academic structure, timetable, students, grading configuration, report cards, notifications</x:v>
      </x:c>
      <x:c r="N282" s="339" t="str">
        <x:v>Not Started</x:v>
      </x:c>
    </x:row>
    <x:row r="283">
      <x:c r="A283" s="339" t="str">
        <x:v>US-0282</x:v>
      </x:c>
      <x:c r="B283" s="339" t="str">
        <x:v>EP-013</x:v>
      </x:c>
      <x:c r="C283" s="339" t="str">
        <x:v>SCR-141</x:v>
      </x:c>
      <x:c r="D283" s="339" t="str">
        <x:v>Examinations / Marks / Results</x:v>
      </x:c>
      <x:c r="E283" s="339" t="str">
        <x:v>Exam Schedule</x:v>
      </x:c>
      <x:c r="F283" s="339" t="str">
        <x:v>Exam Coordinator</x:v>
      </x:c>
      <x:c r="G283" s="339" t="str">
        <x:v>As a Exam Coordinator, I want exam schedule to enforce conflict detection &amp; rescheduling rules so that data quality, permissions and traceability are protected.</x:v>
      </x:c>
      <x:c r="H283" s="339" t="str">
        <x:v>Conflict Detection &amp; Rescheduling</x:v>
      </x:c>
      <x:c r="I283" s="339" t="str">
        <x:v>MVP</x:v>
      </x:c>
      <x:c r="J283" s="339" t="str">
        <x:v>MVP</x:v>
      </x:c>
      <x:c r="K283" s="339" t="str">
        <x:v>High</x:v>
      </x:c>
      <x:c r="L283" s="339" t="n">
        <x:v>9</x:v>
      </x:c>
      <x:c r="M283" s="339" t="str">
        <x:v>Academic structure, timetable, students, grading configuration, report cards, notifications</x:v>
      </x:c>
      <x:c r="N283" s="339" t="str">
        <x:v>Not Started</x:v>
      </x:c>
    </x:row>
    <x:row r="284">
      <x:c r="A284" s="339" t="str">
        <x:v>US-0283</x:v>
      </x:c>
      <x:c r="B284" s="339" t="str">
        <x:v>EP-013</x:v>
      </x:c>
      <x:c r="C284" s="339" t="str">
        <x:v>SCR-142</x:v>
      </x:c>
      <x:c r="D284" s="339" t="str">
        <x:v>Examinations / Marks / Results</x:v>
      </x:c>
      <x:c r="E284" s="339" t="str">
        <x:v>Hall / Room Allocation</x:v>
      </x:c>
      <x:c r="F284" s="339" t="str">
        <x:v>Exam Coordinator</x:v>
      </x:c>
      <x:c r="G284" s="339" t="str">
        <x:v>As a Exam Coordinator, I want to manage hall / room allocation so that results are accurate and released under control.</x:v>
      </x:c>
      <x:c r="H284" s="339" t="str">
        <x:v>Primary Workflow</x:v>
      </x:c>
      <x:c r="I284" s="339" t="str">
        <x:v>MVP</x:v>
      </x:c>
      <x:c r="J284" s="339" t="str">
        <x:v>MVP</x:v>
      </x:c>
      <x:c r="K284" s="339" t="str">
        <x:v>High</x:v>
      </x:c>
      <x:c r="L284" s="339" t="n">
        <x:v>11</x:v>
      </x:c>
      <x:c r="M284" s="339" t="str">
        <x:v>Academic structure, timetable, students, grading configuration, report cards, notifications</x:v>
      </x:c>
      <x:c r="N284" s="339" t="str">
        <x:v>Not Started</x:v>
      </x:c>
    </x:row>
    <x:row r="285">
      <x:c r="A285" s="339" t="str">
        <x:v>US-0284</x:v>
      </x:c>
      <x:c r="B285" s="339" t="str">
        <x:v>EP-013</x:v>
      </x:c>
      <x:c r="C285" s="339" t="str">
        <x:v>SCR-142</x:v>
      </x:c>
      <x:c r="D285" s="339" t="str">
        <x:v>Examinations / Marks / Results</x:v>
      </x:c>
      <x:c r="E285" s="339" t="str">
        <x:v>Hall / Room Allocation</x:v>
      </x:c>
      <x:c r="F285" s="339" t="str">
        <x:v>Exam Coordinator</x:v>
      </x:c>
      <x:c r="G285" s="339" t="str">
        <x:v>As a Exam Coordinator, I want hall / room allocation to enforce status, approval &amp; exception handling rules so that data quality, permissions and traceability are protected.</x:v>
      </x:c>
      <x:c r="H285" s="339" t="str">
        <x:v>Status, Approval &amp; Exception Handling</x:v>
      </x:c>
      <x:c r="I285" s="339" t="str">
        <x:v>MVP</x:v>
      </x:c>
      <x:c r="J285" s="339" t="str">
        <x:v>MVP</x:v>
      </x:c>
      <x:c r="K285" s="339" t="str">
        <x:v>High</x:v>
      </x:c>
      <x:c r="L285" s="339" t="n">
        <x:v>9</x:v>
      </x:c>
      <x:c r="M285" s="339" t="str">
        <x:v>Academic structure, timetable, students, grading configuration, report cards, notifications</x:v>
      </x:c>
      <x:c r="N285" s="339" t="str">
        <x:v>Not Started</x:v>
      </x:c>
    </x:row>
    <x:row r="286">
      <x:c r="A286" s="339" t="str">
        <x:v>US-0285</x:v>
      </x:c>
      <x:c r="B286" s="339" t="str">
        <x:v>EP-013</x:v>
      </x:c>
      <x:c r="C286" s="339" t="str">
        <x:v>SCR-143</x:v>
      </x:c>
      <x:c r="D286" s="339" t="str">
        <x:v>Examinations / Marks / Results</x:v>
      </x:c>
      <x:c r="E286" s="339" t="str">
        <x:v>Invigilation Assignment</x:v>
      </x:c>
      <x:c r="F286" s="339" t="str">
        <x:v>Exam Coordinator</x:v>
      </x:c>
      <x:c r="G286" s="339" t="str">
        <x:v>As a Exam Coordinator, I want to manage invigilation assignment so that results are accurate and released under control.</x:v>
      </x:c>
      <x:c r="H286" s="339" t="str">
        <x:v>Primary Workflow</x:v>
      </x:c>
      <x:c r="I286" s="339" t="str">
        <x:v>MVP</x:v>
      </x:c>
      <x:c r="J286" s="339" t="str">
        <x:v>MVP</x:v>
      </x:c>
      <x:c r="K286" s="339" t="str">
        <x:v>High</x:v>
      </x:c>
      <x:c r="L286" s="339" t="n">
        <x:v>11</x:v>
      </x:c>
      <x:c r="M286" s="339" t="str">
        <x:v>Academic structure, timetable, students, grading configuration, report cards, notifications</x:v>
      </x:c>
      <x:c r="N286" s="339" t="str">
        <x:v>Not Started</x:v>
      </x:c>
    </x:row>
    <x:row r="287">
      <x:c r="A287" s="339" t="str">
        <x:v>US-0286</x:v>
      </x:c>
      <x:c r="B287" s="339" t="str">
        <x:v>EP-013</x:v>
      </x:c>
      <x:c r="C287" s="339" t="str">
        <x:v>SCR-143</x:v>
      </x:c>
      <x:c r="D287" s="339" t="str">
        <x:v>Examinations / Marks / Results</x:v>
      </x:c>
      <x:c r="E287" s="339" t="str">
        <x:v>Invigilation Assignment</x:v>
      </x:c>
      <x:c r="F287" s="339" t="str">
        <x:v>Exam Coordinator</x:v>
      </x:c>
      <x:c r="G287" s="339" t="str">
        <x:v>As a Exam Coordinator, I want invigilation assignment to enforce status, approval &amp; exception handling rules so that data quality, permissions and traceability are protected.</x:v>
      </x:c>
      <x:c r="H287" s="339" t="str">
        <x:v>Status, Approval &amp; Exception Handling</x:v>
      </x:c>
      <x:c r="I287" s="339" t="str">
        <x:v>MVP</x:v>
      </x:c>
      <x:c r="J287" s="339" t="str">
        <x:v>MVP</x:v>
      </x:c>
      <x:c r="K287" s="339" t="str">
        <x:v>High</x:v>
      </x:c>
      <x:c r="L287" s="339" t="n">
        <x:v>9</x:v>
      </x:c>
      <x:c r="M287" s="339" t="str">
        <x:v>Academic structure, timetable, students, grading configuration, report cards, notifications</x:v>
      </x:c>
      <x:c r="N287" s="339" t="str">
        <x:v>Not Started</x:v>
      </x:c>
    </x:row>
    <x:row r="288">
      <x:c r="A288" s="339" t="str">
        <x:v>US-0287</x:v>
      </x:c>
      <x:c r="B288" s="339" t="str">
        <x:v>EP-013</x:v>
      </x:c>
      <x:c r="C288" s="339" t="str">
        <x:v>SCR-144</x:v>
      </x:c>
      <x:c r="D288" s="339" t="str">
        <x:v>Examinations / Marks / Results</x:v>
      </x:c>
      <x:c r="E288" s="339" t="str">
        <x:v>Admit Card</x:v>
      </x:c>
      <x:c r="F288" s="339" t="str">
        <x:v>Exam Coordinator</x:v>
      </x:c>
      <x:c r="G288" s="339" t="str">
        <x:v>As a Exam Coordinator, I want to manage admit card so that results are accurate and released under control.</x:v>
      </x:c>
      <x:c r="H288" s="339" t="str">
        <x:v>Primary Workflow</x:v>
      </x:c>
      <x:c r="I288" s="339" t="str">
        <x:v>MVP</x:v>
      </x:c>
      <x:c r="J288" s="339" t="str">
        <x:v>MVP</x:v>
      </x:c>
      <x:c r="K288" s="339" t="str">
        <x:v>High</x:v>
      </x:c>
      <x:c r="L288" s="339" t="n">
        <x:v>11</x:v>
      </x:c>
      <x:c r="M288" s="339" t="str">
        <x:v>Academic structure, timetable, students, grading configuration, report cards, notifications</x:v>
      </x:c>
      <x:c r="N288" s="339" t="str">
        <x:v>Not Started</x:v>
      </x:c>
    </x:row>
    <x:row r="289">
      <x:c r="A289" s="339" t="str">
        <x:v>US-0288</x:v>
      </x:c>
      <x:c r="B289" s="339" t="str">
        <x:v>EP-013</x:v>
      </x:c>
      <x:c r="C289" s="339" t="str">
        <x:v>SCR-144</x:v>
      </x:c>
      <x:c r="D289" s="339" t="str">
        <x:v>Examinations / Marks / Results</x:v>
      </x:c>
      <x:c r="E289" s="339" t="str">
        <x:v>Admit Card</x:v>
      </x:c>
      <x:c r="F289" s="339" t="str">
        <x:v>Exam Coordinator</x:v>
      </x:c>
      <x:c r="G289" s="339" t="str">
        <x:v>As a Exam Coordinator, I want admit card to enforce status, approval &amp; exception handling rules so that data quality, permissions and traceability are protected.</x:v>
      </x:c>
      <x:c r="H289" s="339" t="str">
        <x:v>Status, Approval &amp; Exception Handling</x:v>
      </x:c>
      <x:c r="I289" s="339" t="str">
        <x:v>MVP</x:v>
      </x:c>
      <x:c r="J289" s="339" t="str">
        <x:v>MVP</x:v>
      </x:c>
      <x:c r="K289" s="339" t="str">
        <x:v>High</x:v>
      </x:c>
      <x:c r="L289" s="339" t="n">
        <x:v>9</x:v>
      </x:c>
      <x:c r="M289" s="339" t="str">
        <x:v>Academic structure, timetable, students, grading configuration, report cards, notifications</x:v>
      </x:c>
      <x:c r="N289" s="339" t="str">
        <x:v>Not Started</x:v>
      </x:c>
    </x:row>
    <x:row r="290">
      <x:c r="A290" s="339" t="str">
        <x:v>US-0289</x:v>
      </x:c>
      <x:c r="B290" s="339" t="str">
        <x:v>EP-013</x:v>
      </x:c>
      <x:c r="C290" s="339" t="str">
        <x:v>SCR-145</x:v>
      </x:c>
      <x:c r="D290" s="339" t="str">
        <x:v>Examinations / Marks / Results</x:v>
      </x:c>
      <x:c r="E290" s="339" t="str">
        <x:v>Marks Entry</x:v>
      </x:c>
      <x:c r="F290" s="339" t="str">
        <x:v>Teacher</x:v>
      </x:c>
      <x:c r="G290" s="339" t="str">
        <x:v>As a Teacher, I want to create or process marks entry so that results are accurate and released under control.</x:v>
      </x:c>
      <x:c r="H290" s="339" t="str">
        <x:v>Primary Workflow</x:v>
      </x:c>
      <x:c r="I290" s="339" t="str">
        <x:v>MVP</x:v>
      </x:c>
      <x:c r="J290" s="339" t="str">
        <x:v>MVP</x:v>
      </x:c>
      <x:c r="K290" s="339" t="str">
        <x:v>High</x:v>
      </x:c>
      <x:c r="L290" s="339" t="n">
        <x:v>8</x:v>
      </x:c>
      <x:c r="M290" s="339" t="str">
        <x:v>Academic structure, timetable, students, grading configuration, report cards, notifications</x:v>
      </x:c>
      <x:c r="N290" s="339" t="str">
        <x:v>Not Started</x:v>
      </x:c>
    </x:row>
    <x:row r="291">
      <x:c r="A291" s="339" t="str">
        <x:v>US-0290</x:v>
      </x:c>
      <x:c r="B291" s="339" t="str">
        <x:v>EP-013</x:v>
      </x:c>
      <x:c r="C291" s="339" t="str">
        <x:v>SCR-145</x:v>
      </x:c>
      <x:c r="D291" s="339" t="str">
        <x:v>Examinations / Marks / Results</x:v>
      </x:c>
      <x:c r="E291" s="339" t="str">
        <x:v>Marks Entry</x:v>
      </x:c>
      <x:c r="F291" s="339" t="str">
        <x:v>Teacher</x:v>
      </x:c>
      <x:c r="G291" s="339" t="str">
        <x:v>As a Teacher, I want marks entry to enforce validation &amp; duplicate prevention rules so that data quality, permissions and traceability are protected.</x:v>
      </x:c>
      <x:c r="H291" s="339" t="str">
        <x:v>Validation &amp; Duplicate Prevention</x:v>
      </x:c>
      <x:c r="I291" s="339" t="str">
        <x:v>MVP</x:v>
      </x:c>
      <x:c r="J291" s="339" t="str">
        <x:v>MVP</x:v>
      </x:c>
      <x:c r="K291" s="339" t="str">
        <x:v>High</x:v>
      </x:c>
      <x:c r="L291" s="339" t="n">
        <x:v>6</x:v>
      </x:c>
      <x:c r="M291" s="339" t="str">
        <x:v>Academic structure, timetable, students, grading configuration, report cards, notifications</x:v>
      </x:c>
      <x:c r="N291" s="339" t="str">
        <x:v>Not Started</x:v>
      </x:c>
    </x:row>
    <x:row r="292">
      <x:c r="A292" s="339" t="str">
        <x:v>US-0291</x:v>
      </x:c>
      <x:c r="B292" s="339" t="str">
        <x:v>EP-013</x:v>
      </x:c>
      <x:c r="C292" s="339" t="str">
        <x:v>SCR-146</x:v>
      </x:c>
      <x:c r="D292" s="339" t="str">
        <x:v>Examinations / Marks / Results</x:v>
      </x:c>
      <x:c r="E292" s="339" t="str">
        <x:v>Practical / Internal Marks</x:v>
      </x:c>
      <x:c r="F292" s="339" t="str">
        <x:v>Teacher</x:v>
      </x:c>
      <x:c r="G292" s="339" t="str">
        <x:v>As a Teacher, I want to manage practical / internal marks so that results are accurate and released under control.</x:v>
      </x:c>
      <x:c r="H292" s="339" t="str">
        <x:v>Primary Workflow</x:v>
      </x:c>
      <x:c r="I292" s="339" t="str">
        <x:v>Phase 2</x:v>
      </x:c>
      <x:c r="J292" s="339" t="str">
        <x:v>Phase 2</x:v>
      </x:c>
      <x:c r="K292" s="339" t="str">
        <x:v>High</x:v>
      </x:c>
      <x:c r="L292" s="339" t="n">
        <x:v>11</x:v>
      </x:c>
      <x:c r="M292" s="339" t="str">
        <x:v>Academic structure, timetable, students, grading configuration, report cards, notifications</x:v>
      </x:c>
      <x:c r="N292" s="339" t="str">
        <x:v>Not Started</x:v>
      </x:c>
    </x:row>
    <x:row r="293">
      <x:c r="A293" s="339" t="str">
        <x:v>US-0292</x:v>
      </x:c>
      <x:c r="B293" s="339" t="str">
        <x:v>EP-013</x:v>
      </x:c>
      <x:c r="C293" s="339" t="str">
        <x:v>SCR-146</x:v>
      </x:c>
      <x:c r="D293" s="339" t="str">
        <x:v>Examinations / Marks / Results</x:v>
      </x:c>
      <x:c r="E293" s="339" t="str">
        <x:v>Practical / Internal Marks</x:v>
      </x:c>
      <x:c r="F293" s="339" t="str">
        <x:v>Teacher</x:v>
      </x:c>
      <x:c r="G293" s="339" t="str">
        <x:v>As a Teacher, I want practical / internal marks to enforce status, approval &amp; exception handling rules so that data quality, permissions and traceability are protected.</x:v>
      </x:c>
      <x:c r="H293" s="339" t="str">
        <x:v>Status, Approval &amp; Exception Handling</x:v>
      </x:c>
      <x:c r="I293" s="339" t="str">
        <x:v>Phase 2</x:v>
      </x:c>
      <x:c r="J293" s="339" t="str">
        <x:v>Phase 2</x:v>
      </x:c>
      <x:c r="K293" s="339" t="str">
        <x:v>High</x:v>
      </x:c>
      <x:c r="L293" s="339" t="n">
        <x:v>9</x:v>
      </x:c>
      <x:c r="M293" s="339" t="str">
        <x:v>Academic structure, timetable, students, grading configuration, report cards, notifications</x:v>
      </x:c>
      <x:c r="N293" s="339" t="str">
        <x:v>Not Started</x:v>
      </x:c>
    </x:row>
    <x:row r="294">
      <x:c r="A294" s="339" t="str">
        <x:v>US-0293</x:v>
      </x:c>
      <x:c r="B294" s="339" t="str">
        <x:v>EP-013</x:v>
      </x:c>
      <x:c r="C294" s="339" t="str">
        <x:v>SCR-147</x:v>
      </x:c>
      <x:c r="D294" s="339" t="str">
        <x:v>Examinations / Marks / Results</x:v>
      </x:c>
      <x:c r="E294" s="339" t="str">
        <x:v>Bulk Marks Import</x:v>
      </x:c>
      <x:c r="F294" s="339" t="str">
        <x:v>Teacher</x:v>
      </x:c>
      <x:c r="G294" s="339" t="str">
        <x:v>As a Teacher, I want to manage bulk marks import so that results are accurate and released under control.</x:v>
      </x:c>
      <x:c r="H294" s="339" t="str">
        <x:v>Primary Workflow</x:v>
      </x:c>
      <x:c r="I294" s="339" t="str">
        <x:v>Phase 2</x:v>
      </x:c>
      <x:c r="J294" s="339" t="str">
        <x:v>Phase 2</x:v>
      </x:c>
      <x:c r="K294" s="339" t="str">
        <x:v>High</x:v>
      </x:c>
      <x:c r="L294" s="339" t="n">
        <x:v>11</x:v>
      </x:c>
      <x:c r="M294" s="339" t="str">
        <x:v>Academic structure, timetable, students, grading configuration, report cards, notifications</x:v>
      </x:c>
      <x:c r="N294" s="339" t="str">
        <x:v>Not Started</x:v>
      </x:c>
    </x:row>
    <x:row r="295">
      <x:c r="A295" s="339" t="str">
        <x:v>US-0294</x:v>
      </x:c>
      <x:c r="B295" s="339" t="str">
        <x:v>EP-013</x:v>
      </x:c>
      <x:c r="C295" s="339" t="str">
        <x:v>SCR-147</x:v>
      </x:c>
      <x:c r="D295" s="339" t="str">
        <x:v>Examinations / Marks / Results</x:v>
      </x:c>
      <x:c r="E295" s="339" t="str">
        <x:v>Bulk Marks Import</x:v>
      </x:c>
      <x:c r="F295" s="339" t="str">
        <x:v>Teacher</x:v>
      </x:c>
      <x:c r="G295" s="339" t="str">
        <x:v>As a Teacher, I want bulk marks import to enforce status, approval &amp; exception handling rules so that data quality, permissions and traceability are protected.</x:v>
      </x:c>
      <x:c r="H295" s="339" t="str">
        <x:v>Status, Approval &amp; Exception Handling</x:v>
      </x:c>
      <x:c r="I295" s="339" t="str">
        <x:v>Phase 2</x:v>
      </x:c>
      <x:c r="J295" s="339" t="str">
        <x:v>Phase 2</x:v>
      </x:c>
      <x:c r="K295" s="339" t="str">
        <x:v>High</x:v>
      </x:c>
      <x:c r="L295" s="339" t="n">
        <x:v>9</x:v>
      </x:c>
      <x:c r="M295" s="339" t="str">
        <x:v>Academic structure, timetable, students, grading configuration, report cards, notifications</x:v>
      </x:c>
      <x:c r="N295" s="339" t="str">
        <x:v>Not Started</x:v>
      </x:c>
    </x:row>
    <x:row r="296">
      <x:c r="A296" s="339" t="str">
        <x:v>US-0295</x:v>
      </x:c>
      <x:c r="B296" s="339" t="str">
        <x:v>EP-013</x:v>
      </x:c>
      <x:c r="C296" s="339" t="str">
        <x:v>SCR-148</x:v>
      </x:c>
      <x:c r="D296" s="339" t="str">
        <x:v>Examinations / Marks / Results</x:v>
      </x:c>
      <x:c r="E296" s="339" t="str">
        <x:v>Marks Verification</x:v>
      </x:c>
      <x:c r="F296" s="339" t="str">
        <x:v>Teacher</x:v>
      </x:c>
      <x:c r="G296" s="339" t="str">
        <x:v>As a Teacher, I want to verify marks verification so that results are accurate and released under control.</x:v>
      </x:c>
      <x:c r="H296" s="339" t="str">
        <x:v>Primary Workflow</x:v>
      </x:c>
      <x:c r="I296" s="339" t="str">
        <x:v>Phase 2</x:v>
      </x:c>
      <x:c r="J296" s="339" t="str">
        <x:v>Phase 2</x:v>
      </x:c>
      <x:c r="K296" s="339" t="str">
        <x:v>High</x:v>
      </x:c>
      <x:c r="L296" s="339" t="n">
        <x:v>11</x:v>
      </x:c>
      <x:c r="M296" s="339" t="str">
        <x:v>Academic structure, timetable, students, grading configuration, report cards, notifications</x:v>
      </x:c>
      <x:c r="N296" s="339" t="str">
        <x:v>Not Started</x:v>
      </x:c>
    </x:row>
    <x:row r="297">
      <x:c r="A297" s="339" t="str">
        <x:v>US-0296</x:v>
      </x:c>
      <x:c r="B297" s="339" t="str">
        <x:v>EP-013</x:v>
      </x:c>
      <x:c r="C297" s="339" t="str">
        <x:v>SCR-148</x:v>
      </x:c>
      <x:c r="D297" s="339" t="str">
        <x:v>Examinations / Marks / Results</x:v>
      </x:c>
      <x:c r="E297" s="339" t="str">
        <x:v>Marks Verification</x:v>
      </x:c>
      <x:c r="F297" s="339" t="str">
        <x:v>Teacher</x:v>
      </x:c>
      <x:c r="G297" s="339" t="str">
        <x:v>As a Teacher, I want marks verification to enforce status, approval &amp; exception handling rules so that data quality, permissions and traceability are protected.</x:v>
      </x:c>
      <x:c r="H297" s="339" t="str">
        <x:v>Status, Approval &amp; Exception Handling</x:v>
      </x:c>
      <x:c r="I297" s="339" t="str">
        <x:v>Phase 2</x:v>
      </x:c>
      <x:c r="J297" s="339" t="str">
        <x:v>Phase 2</x:v>
      </x:c>
      <x:c r="K297" s="339" t="str">
        <x:v>High</x:v>
      </x:c>
      <x:c r="L297" s="339" t="n">
        <x:v>9</x:v>
      </x:c>
      <x:c r="M297" s="339" t="str">
        <x:v>Academic structure, timetable, students, grading configuration, report cards, notifications</x:v>
      </x:c>
      <x:c r="N297" s="339" t="str">
        <x:v>Not Started</x:v>
      </x:c>
    </x:row>
    <x:row r="298">
      <x:c r="A298" s="339" t="str">
        <x:v>US-0297</x:v>
      </x:c>
      <x:c r="B298" s="339" t="str">
        <x:v>EP-013</x:v>
      </x:c>
      <x:c r="C298" s="339" t="str">
        <x:v>SCR-149</x:v>
      </x:c>
      <x:c r="D298" s="339" t="str">
        <x:v>Examinations / Marks / Results</x:v>
      </x:c>
      <x:c r="E298" s="339" t="str">
        <x:v>Grade / Grading Setup</x:v>
      </x:c>
      <x:c r="F298" s="339" t="str">
        <x:v>Exam Coordinator</x:v>
      </x:c>
      <x:c r="G298" s="339" t="str">
        <x:v>As a Exam Coordinator, I want to configure grade / grading setup so that results are accurate and released under control.</x:v>
      </x:c>
      <x:c r="H298" s="339" t="str">
        <x:v>Primary Workflow</x:v>
      </x:c>
      <x:c r="I298" s="339" t="str">
        <x:v>Phase 2</x:v>
      </x:c>
      <x:c r="J298" s="339" t="str">
        <x:v>Phase 2</x:v>
      </x:c>
      <x:c r="K298" s="339" t="str">
        <x:v>High</x:v>
      </x:c>
      <x:c r="L298" s="339" t="n">
        <x:v>8</x:v>
      </x:c>
      <x:c r="M298" s="339" t="str">
        <x:v>Academic structure, timetable, students, grading configuration, report cards, notifications</x:v>
      </x:c>
      <x:c r="N298" s="339" t="str">
        <x:v>Not Started</x:v>
      </x:c>
    </x:row>
    <x:row r="299">
      <x:c r="A299" s="339" t="str">
        <x:v>US-0298</x:v>
      </x:c>
      <x:c r="B299" s="339" t="str">
        <x:v>EP-013</x:v>
      </x:c>
      <x:c r="C299" s="339" t="str">
        <x:v>SCR-149</x:v>
      </x:c>
      <x:c r="D299" s="339" t="str">
        <x:v>Examinations / Marks / Results</x:v>
      </x:c>
      <x:c r="E299" s="339" t="str">
        <x:v>Grade / Grading Setup</x:v>
      </x:c>
      <x:c r="F299" s="339" t="str">
        <x:v>Exam Coordinator</x:v>
      </x:c>
      <x:c r="G299" s="339" t="str">
        <x:v>As a Exam Coordinator, I want grade / grading setup to enforce validation &amp; duplicate prevention rules so that data quality, permissions and traceability are protected.</x:v>
      </x:c>
      <x:c r="H299" s="339" t="str">
        <x:v>Validation &amp; Duplicate Prevention</x:v>
      </x:c>
      <x:c r="I299" s="339" t="str">
        <x:v>Phase 2</x:v>
      </x:c>
      <x:c r="J299" s="339" t="str">
        <x:v>Phase 2</x:v>
      </x:c>
      <x:c r="K299" s="339" t="str">
        <x:v>High</x:v>
      </x:c>
      <x:c r="L299" s="339" t="n">
        <x:v>6</x:v>
      </x:c>
      <x:c r="M299" s="339" t="str">
        <x:v>Academic structure, timetable, students, grading configuration, report cards, notifications</x:v>
      </x:c>
      <x:c r="N299" s="339" t="str">
        <x:v>Not Started</x:v>
      </x:c>
    </x:row>
    <x:row r="300">
      <x:c r="A300" s="339" t="str">
        <x:v>US-0299</x:v>
      </x:c>
      <x:c r="B300" s="339" t="str">
        <x:v>EP-013</x:v>
      </x:c>
      <x:c r="C300" s="339" t="str">
        <x:v>SCR-150</x:v>
      </x:c>
      <x:c r="D300" s="339" t="str">
        <x:v>Examinations / Marks / Results</x:v>
      </x:c>
      <x:c r="E300" s="339" t="str">
        <x:v>Publish Results</x:v>
      </x:c>
      <x:c r="F300" s="339" t="str">
        <x:v>Principal</x:v>
      </x:c>
      <x:c r="G300" s="339" t="str">
        <x:v>As a Principal, I want to review and maintain publish results so that results are accurate and released under control.</x:v>
      </x:c>
      <x:c r="H300" s="339" t="str">
        <x:v>Primary Workflow</x:v>
      </x:c>
      <x:c r="I300" s="339" t="str">
        <x:v>Phase 3</x:v>
      </x:c>
      <x:c r="J300" s="339" t="str">
        <x:v>Phase 3</x:v>
      </x:c>
      <x:c r="K300" s="339" t="str">
        <x:v>High</x:v>
      </x:c>
      <x:c r="L300" s="339" t="n">
        <x:v>8</x:v>
      </x:c>
      <x:c r="M300" s="339" t="str">
        <x:v>Academic structure, timetable, students, grading configuration, report cards, notifications</x:v>
      </x:c>
      <x:c r="N300" s="339" t="str">
        <x:v>Not Started</x:v>
      </x:c>
    </x:row>
    <x:row r="301">
      <x:c r="A301" s="339" t="str">
        <x:v>US-0300</x:v>
      </x:c>
      <x:c r="B301" s="339" t="str">
        <x:v>EP-013</x:v>
      </x:c>
      <x:c r="C301" s="339" t="str">
        <x:v>SCR-150</x:v>
      </x:c>
      <x:c r="D301" s="339" t="str">
        <x:v>Examinations / Marks / Results</x:v>
      </x:c>
      <x:c r="E301" s="339" t="str">
        <x:v>Publish Results</x:v>
      </x:c>
      <x:c r="F301" s="339" t="str">
        <x:v>Principal</x:v>
      </x:c>
      <x:c r="G301" s="339" t="str">
        <x:v>As a Principal, I want publish results to enforce history, edit &amp; audit rules so that data quality, permissions and traceability are protected.</x:v>
      </x:c>
      <x:c r="H301" s="339" t="str">
        <x:v>History, Edit &amp; Audit</x:v>
      </x:c>
      <x:c r="I301" s="339" t="str">
        <x:v>Phase 3</x:v>
      </x:c>
      <x:c r="J301" s="339" t="str">
        <x:v>Phase 3</x:v>
      </x:c>
      <x:c r="K301" s="339" t="str">
        <x:v>High</x:v>
      </x:c>
      <x:c r="L301" s="339" t="n">
        <x:v>6</x:v>
      </x:c>
      <x:c r="M301" s="339" t="str">
        <x:v>Academic structure, timetable, students, grading configuration, report cards, notifications</x:v>
      </x:c>
      <x:c r="N301" s="339" t="str">
        <x:v>Not Started</x:v>
      </x:c>
    </x:row>
    <x:row r="302">
      <x:c r="A302" s="339" t="str">
        <x:v>US-0301</x:v>
      </x:c>
      <x:c r="B302" s="339" t="str">
        <x:v>EP-013</x:v>
      </x:c>
      <x:c r="C302" s="339" t="str">
        <x:v>SCR-151</x:v>
      </x:c>
      <x:c r="D302" s="339" t="str">
        <x:v>Examinations / Marks / Results</x:v>
      </x:c>
      <x:c r="E302" s="339" t="str">
        <x:v>Student Result</x:v>
      </x:c>
      <x:c r="F302" s="339" t="str">
        <x:v>Student</x:v>
      </x:c>
      <x:c r="G302" s="339" t="str">
        <x:v>As a Student, I want to review and maintain student result so that results are accurate and released under control.</x:v>
      </x:c>
      <x:c r="H302" s="339" t="str">
        <x:v>Primary Workflow</x:v>
      </x:c>
      <x:c r="I302" s="339" t="str">
        <x:v>Phase 3</x:v>
      </x:c>
      <x:c r="J302" s="339" t="str">
        <x:v>Phase 3</x:v>
      </x:c>
      <x:c r="K302" s="339" t="str">
        <x:v>High</x:v>
      </x:c>
      <x:c r="L302" s="339" t="n">
        <x:v>8</x:v>
      </x:c>
      <x:c r="M302" s="339" t="str">
        <x:v>Academic structure, timetable, students, grading configuration, report cards, notifications</x:v>
      </x:c>
      <x:c r="N302" s="339" t="str">
        <x:v>Not Started</x:v>
      </x:c>
    </x:row>
    <x:row r="303">
      <x:c r="A303" s="339" t="str">
        <x:v>US-0302</x:v>
      </x:c>
      <x:c r="B303" s="339" t="str">
        <x:v>EP-013</x:v>
      </x:c>
      <x:c r="C303" s="339" t="str">
        <x:v>SCR-151</x:v>
      </x:c>
      <x:c r="D303" s="339" t="str">
        <x:v>Examinations / Marks / Results</x:v>
      </x:c>
      <x:c r="E303" s="339" t="str">
        <x:v>Student Result</x:v>
      </x:c>
      <x:c r="F303" s="339" t="str">
        <x:v>Student</x:v>
      </x:c>
      <x:c r="G303" s="339" t="str">
        <x:v>As a Student, I want student result to enforce history, edit &amp; audit rules so that data quality, permissions and traceability are protected.</x:v>
      </x:c>
      <x:c r="H303" s="339" t="str">
        <x:v>History, Edit &amp; Audit</x:v>
      </x:c>
      <x:c r="I303" s="339" t="str">
        <x:v>Phase 3</x:v>
      </x:c>
      <x:c r="J303" s="339" t="str">
        <x:v>Phase 3</x:v>
      </x:c>
      <x:c r="K303" s="339" t="str">
        <x:v>High</x:v>
      </x:c>
      <x:c r="L303" s="339" t="n">
        <x:v>6</x:v>
      </x:c>
      <x:c r="M303" s="339" t="str">
        <x:v>Academic structure, timetable, students, grading configuration, report cards, notifications</x:v>
      </x:c>
      <x:c r="N303" s="339" t="str">
        <x:v>Not Started</x:v>
      </x:c>
    </x:row>
    <x:row r="304">
      <x:c r="A304" s="339" t="str">
        <x:v>US-0303</x:v>
      </x:c>
      <x:c r="B304" s="339" t="str">
        <x:v>EP-013</x:v>
      </x:c>
      <x:c r="C304" s="339" t="str">
        <x:v>SCR-152</x:v>
      </x:c>
      <x:c r="D304" s="339" t="str">
        <x:v>Examinations / Marks / Results</x:v>
      </x:c>
      <x:c r="E304" s="339" t="str">
        <x:v>Report Card</x:v>
      </x:c>
      <x:c r="F304" s="339" t="str">
        <x:v>Student</x:v>
      </x:c>
      <x:c r="G304" s="339" t="str">
        <x:v>As a Student, I want to analyze report card so that results are accurate and released under control.</x:v>
      </x:c>
      <x:c r="H304" s="339" t="str">
        <x:v>Primary Workflow</x:v>
      </x:c>
      <x:c r="I304" s="339" t="str">
        <x:v>Phase 3</x:v>
      </x:c>
      <x:c r="J304" s="339" t="str">
        <x:v>Phase 3</x:v>
      </x:c>
      <x:c r="K304" s="339" t="str">
        <x:v>High</x:v>
      </x:c>
      <x:c r="L304" s="339" t="n">
        <x:v>8</x:v>
      </x:c>
      <x:c r="M304" s="339" t="str">
        <x:v>Academic structure, timetable, students, grading configuration, report cards, notifications</x:v>
      </x:c>
      <x:c r="N304" s="339" t="str">
        <x:v>Not Started</x:v>
      </x:c>
    </x:row>
    <x:row r="305">
      <x:c r="A305" s="339" t="str">
        <x:v>US-0304</x:v>
      </x:c>
      <x:c r="B305" s="339" t="str">
        <x:v>EP-013</x:v>
      </x:c>
      <x:c r="C305" s="339" t="str">
        <x:v>SCR-152</x:v>
      </x:c>
      <x:c r="D305" s="339" t="str">
        <x:v>Examinations / Marks / Results</x:v>
      </x:c>
      <x:c r="E305" s="339" t="str">
        <x:v>Report Card</x:v>
      </x:c>
      <x:c r="F305" s="339" t="str">
        <x:v>Student</x:v>
      </x:c>
      <x:c r="G305" s="339" t="str">
        <x:v>As a Student, I want report card to enforce history, edit &amp; audit rules so that data quality, permissions and traceability are protected.</x:v>
      </x:c>
      <x:c r="H305" s="339" t="str">
        <x:v>History, Edit &amp; Audit</x:v>
      </x:c>
      <x:c r="I305" s="339" t="str">
        <x:v>Phase 3</x:v>
      </x:c>
      <x:c r="J305" s="339" t="str">
        <x:v>Phase 3</x:v>
      </x:c>
      <x:c r="K305" s="339" t="str">
        <x:v>High</x:v>
      </x:c>
      <x:c r="L305" s="339" t="n">
        <x:v>6</x:v>
      </x:c>
      <x:c r="M305" s="339" t="str">
        <x:v>Academic structure, timetable, students, grading configuration, report cards, notifications</x:v>
      </x:c>
      <x:c r="N305" s="339" t="str">
        <x:v>Not Started</x:v>
      </x:c>
    </x:row>
    <x:row r="306">
      <x:c r="A306" s="339" t="str">
        <x:v>US-0305</x:v>
      </x:c>
      <x:c r="B306" s="339" t="str">
        <x:v>EP-013</x:v>
      </x:c>
      <x:c r="C306" s="339" t="str">
        <x:v>SCR-153</x:v>
      </x:c>
      <x:c r="D306" s="339" t="str">
        <x:v>Examinations / Marks / Results</x:v>
      </x:c>
      <x:c r="E306" s="339" t="str">
        <x:v>Promotion Decision</x:v>
      </x:c>
      <x:c r="F306" s="339" t="str">
        <x:v>Principal</x:v>
      </x:c>
      <x:c r="G306" s="339" t="str">
        <x:v>As a Principal, I want to manage promotion decision so that results are accurate and released under control.</x:v>
      </x:c>
      <x:c r="H306" s="339" t="str">
        <x:v>Primary Workflow</x:v>
      </x:c>
      <x:c r="I306" s="339" t="str">
        <x:v>Phase 3</x:v>
      </x:c>
      <x:c r="J306" s="339" t="str">
        <x:v>Phase 3</x:v>
      </x:c>
      <x:c r="K306" s="339" t="str">
        <x:v>High</x:v>
      </x:c>
      <x:c r="L306" s="339" t="n">
        <x:v>11</x:v>
      </x:c>
      <x:c r="M306" s="339" t="str">
        <x:v>Academic structure, timetable, students, grading configuration, report cards, notifications</x:v>
      </x:c>
      <x:c r="N306" s="339" t="str">
        <x:v>Not Started</x:v>
      </x:c>
    </x:row>
    <x:row r="307">
      <x:c r="A307" s="339" t="str">
        <x:v>US-0306</x:v>
      </x:c>
      <x:c r="B307" s="339" t="str">
        <x:v>EP-013</x:v>
      </x:c>
      <x:c r="C307" s="339" t="str">
        <x:v>SCR-153</x:v>
      </x:c>
      <x:c r="D307" s="339" t="str">
        <x:v>Examinations / Marks / Results</x:v>
      </x:c>
      <x:c r="E307" s="339" t="str">
        <x:v>Promotion Decision</x:v>
      </x:c>
      <x:c r="F307" s="339" t="str">
        <x:v>Principal</x:v>
      </x:c>
      <x:c r="G307" s="339" t="str">
        <x:v>As a Principal, I want promotion decision to enforce status, approval &amp; exception handling rules so that data quality, permissions and traceability are protected.</x:v>
      </x:c>
      <x:c r="H307" s="339" t="str">
        <x:v>Status, Approval &amp; Exception Handling</x:v>
      </x:c>
      <x:c r="I307" s="339" t="str">
        <x:v>Phase 3</x:v>
      </x:c>
      <x:c r="J307" s="339" t="str">
        <x:v>Phase 3</x:v>
      </x:c>
      <x:c r="K307" s="339" t="str">
        <x:v>High</x:v>
      </x:c>
      <x:c r="L307" s="339" t="n">
        <x:v>9</x:v>
      </x:c>
      <x:c r="M307" s="339" t="str">
        <x:v>Academic structure, timetable, students, grading configuration, report cards, notifications</x:v>
      </x:c>
      <x:c r="N307" s="339" t="str">
        <x:v>Not Started</x:v>
      </x:c>
    </x:row>
    <x:row r="308">
      <x:c r="A308" s="339" t="str">
        <x:v>US-0307</x:v>
      </x:c>
      <x:c r="B308" s="339" t="str">
        <x:v>EP-014</x:v>
      </x:c>
      <x:c r="C308" s="339" t="str">
        <x:v>SCR-154</x:v>
      </x:c>
      <x:c r="D308" s="339" t="str">
        <x:v>Fees &amp; Finance</x:v>
      </x:c>
      <x:c r="E308" s="339" t="str">
        <x:v>Fee Dashboard</x:v>
      </x:c>
      <x:c r="F308" s="339" t="str">
        <x:v>Fee</x:v>
      </x:c>
      <x:c r="G308" s="339" t="str">
        <x:v>As a Fee, I want to monitor fee priorities and metrics so that balances and financial records stay correct.</x:v>
      </x:c>
      <x:c r="H308" s="339" t="str">
        <x:v>Primary Workflow</x:v>
      </x:c>
      <x:c r="I308" s="339" t="str">
        <x:v>MVP</x:v>
      </x:c>
      <x:c r="J308" s="339" t="str">
        <x:v>MVP</x:v>
      </x:c>
      <x:c r="K308" s="339" t="str">
        <x:v>High</x:v>
      </x:c>
      <x:c r="L308" s="339" t="n">
        <x:v>8</x:v>
      </x:c>
      <x:c r="M308" s="339" t="str">
        <x:v>Students, fee structure, payment gateway, accounting, notifications</x:v>
      </x:c>
      <x:c r="N308" s="339" t="str">
        <x:v>Not Started</x:v>
      </x:c>
    </x:row>
    <x:row r="309">
      <x:c r="A309" s="339" t="str">
        <x:v>US-0308</x:v>
      </x:c>
      <x:c r="B309" s="339" t="str">
        <x:v>EP-014</x:v>
      </x:c>
      <x:c r="C309" s="339" t="str">
        <x:v>SCR-154</x:v>
      </x:c>
      <x:c r="D309" s="339" t="str">
        <x:v>Fees &amp; Finance</x:v>
      </x:c>
      <x:c r="E309" s="339" t="str">
        <x:v>Fee Dashboard</x:v>
      </x:c>
      <x:c r="F309" s="339" t="str">
        <x:v>Fee</x:v>
      </x:c>
      <x:c r="G309" s="339" t="str">
        <x:v>As a Fee, I want fee dashboard to enforce insight &amp; drill-down rules so that data quality, permissions and traceability are protected.</x:v>
      </x:c>
      <x:c r="H309" s="339" t="str">
        <x:v>Insight &amp; Drill-down</x:v>
      </x:c>
      <x:c r="I309" s="339" t="str">
        <x:v>MVP</x:v>
      </x:c>
      <x:c r="J309" s="339" t="str">
        <x:v>MVP</x:v>
      </x:c>
      <x:c r="K309" s="339" t="str">
        <x:v>High</x:v>
      </x:c>
      <x:c r="L309" s="339" t="n">
        <x:v>6</x:v>
      </x:c>
      <x:c r="M309" s="339" t="str">
        <x:v>Students, fee structure, payment gateway, accounting, notifications</x:v>
      </x:c>
      <x:c r="N309" s="339" t="str">
        <x:v>Not Started</x:v>
      </x:c>
    </x:row>
    <x:row r="310">
      <x:c r="A310" s="339" t="str">
        <x:v>US-0309</x:v>
      </x:c>
      <x:c r="B310" s="339" t="str">
        <x:v>EP-014</x:v>
      </x:c>
      <x:c r="C310" s="339" t="str">
        <x:v>SCR-155</x:v>
      </x:c>
      <x:c r="D310" s="339" t="str">
        <x:v>Fees &amp; Finance</x:v>
      </x:c>
      <x:c r="E310" s="339" t="str">
        <x:v>Fee Structure</x:v>
      </x:c>
      <x:c r="F310" s="339" t="str">
        <x:v>Accountant</x:v>
      </x:c>
      <x:c r="G310" s="339" t="str">
        <x:v>As a Accountant, I want to manage fee structure so that balances and financial records stay correct.</x:v>
      </x:c>
      <x:c r="H310" s="339" t="str">
        <x:v>Primary Workflow</x:v>
      </x:c>
      <x:c r="I310" s="339" t="str">
        <x:v>MVP</x:v>
      </x:c>
      <x:c r="J310" s="339" t="str">
        <x:v>MVP</x:v>
      </x:c>
      <x:c r="K310" s="339" t="str">
        <x:v>High</x:v>
      </x:c>
      <x:c r="L310" s="339" t="n">
        <x:v>11</x:v>
      </x:c>
      <x:c r="M310" s="339" t="str">
        <x:v>Students, fee structure, payment gateway, accounting, notifications</x:v>
      </x:c>
      <x:c r="N310" s="339" t="str">
        <x:v>Not Started</x:v>
      </x:c>
    </x:row>
    <x:row r="311">
      <x:c r="A311" s="339" t="str">
        <x:v>US-0310</x:v>
      </x:c>
      <x:c r="B311" s="339" t="str">
        <x:v>EP-014</x:v>
      </x:c>
      <x:c r="C311" s="339" t="str">
        <x:v>SCR-155</x:v>
      </x:c>
      <x:c r="D311" s="339" t="str">
        <x:v>Fees &amp; Finance</x:v>
      </x:c>
      <x:c r="E311" s="339" t="str">
        <x:v>Fee Structure</x:v>
      </x:c>
      <x:c r="F311" s="339" t="str">
        <x:v>Accountant</x:v>
      </x:c>
      <x:c r="G311" s="339" t="str">
        <x:v>As a Accountant, I want fee structure to enforce status, approval &amp; exception handling rules so that data quality, permissions and traceability are protected.</x:v>
      </x:c>
      <x:c r="H311" s="339" t="str">
        <x:v>Status, Approval &amp; Exception Handling</x:v>
      </x:c>
      <x:c r="I311" s="339" t="str">
        <x:v>MVP</x:v>
      </x:c>
      <x:c r="J311" s="339" t="str">
        <x:v>MVP</x:v>
      </x:c>
      <x:c r="K311" s="339" t="str">
        <x:v>High</x:v>
      </x:c>
      <x:c r="L311" s="339" t="n">
        <x:v>9</x:v>
      </x:c>
      <x:c r="M311" s="339" t="str">
        <x:v>Students, fee structure, payment gateway, accounting, notifications</x:v>
      </x:c>
      <x:c r="N311" s="339" t="str">
        <x:v>Not Started</x:v>
      </x:c>
    </x:row>
    <x:row r="312">
      <x:c r="A312" s="339" t="str">
        <x:v>US-0311</x:v>
      </x:c>
      <x:c r="B312" s="339" t="str">
        <x:v>EP-014</x:v>
      </x:c>
      <x:c r="C312" s="339" t="str">
        <x:v>SCR-156</x:v>
      </x:c>
      <x:c r="D312" s="339" t="str">
        <x:v>Fees &amp; Finance</x:v>
      </x:c>
      <x:c r="E312" s="339" t="str">
        <x:v>Create / Edit Fee Structure</x:v>
      </x:c>
      <x:c r="F312" s="339" t="str">
        <x:v>Accountant</x:v>
      </x:c>
      <x:c r="G312" s="339" t="str">
        <x:v>As a Accountant, I want to create or process fee structure so that balances and financial records stay correct.</x:v>
      </x:c>
      <x:c r="H312" s="339" t="str">
        <x:v>Primary Workflow</x:v>
      </x:c>
      <x:c r="I312" s="339" t="str">
        <x:v>MVP</x:v>
      </x:c>
      <x:c r="J312" s="339" t="str">
        <x:v>MVP</x:v>
      </x:c>
      <x:c r="K312" s="339" t="str">
        <x:v>High</x:v>
      </x:c>
      <x:c r="L312" s="339" t="n">
        <x:v>8</x:v>
      </x:c>
      <x:c r="M312" s="339" t="str">
        <x:v>Students, fee structure, payment gateway, accounting, notifications</x:v>
      </x:c>
      <x:c r="N312" s="339" t="str">
        <x:v>Not Started</x:v>
      </x:c>
    </x:row>
    <x:row r="313">
      <x:c r="A313" s="339" t="str">
        <x:v>US-0312</x:v>
      </x:c>
      <x:c r="B313" s="339" t="str">
        <x:v>EP-014</x:v>
      </x:c>
      <x:c r="C313" s="339" t="str">
        <x:v>SCR-156</x:v>
      </x:c>
      <x:c r="D313" s="339" t="str">
        <x:v>Fees &amp; Finance</x:v>
      </x:c>
      <x:c r="E313" s="339" t="str">
        <x:v>Create / Edit Fee Structure</x:v>
      </x:c>
      <x:c r="F313" s="339" t="str">
        <x:v>Accountant</x:v>
      </x:c>
      <x:c r="G313" s="339" t="str">
        <x:v>As a Accountant, I want create / edit fee structure to enforce validation &amp; duplicate prevention rules so that data quality, permissions and traceability are protected.</x:v>
      </x:c>
      <x:c r="H313" s="339" t="str">
        <x:v>Validation &amp; Duplicate Prevention</x:v>
      </x:c>
      <x:c r="I313" s="339" t="str">
        <x:v>MVP</x:v>
      </x:c>
      <x:c r="J313" s="339" t="str">
        <x:v>MVP</x:v>
      </x:c>
      <x:c r="K313" s="339" t="str">
        <x:v>High</x:v>
      </x:c>
      <x:c r="L313" s="339" t="n">
        <x:v>6</x:v>
      </x:c>
      <x:c r="M313" s="339" t="str">
        <x:v>Students, fee structure, payment gateway, accounting, notifications</x:v>
      </x:c>
      <x:c r="N313" s="339" t="str">
        <x:v>Not Started</x:v>
      </x:c>
    </x:row>
    <x:row r="314">
      <x:c r="A314" s="339" t="str">
        <x:v>US-0313</x:v>
      </x:c>
      <x:c r="B314" s="339" t="str">
        <x:v>EP-014</x:v>
      </x:c>
      <x:c r="C314" s="339" t="str">
        <x:v>SCR-157</x:v>
      </x:c>
      <x:c r="D314" s="339" t="str">
        <x:v>Fees &amp; Finance</x:v>
      </x:c>
      <x:c r="E314" s="339" t="str">
        <x:v>Student Fee Assignment</x:v>
      </x:c>
      <x:c r="F314" s="339" t="str">
        <x:v>Accountant</x:v>
      </x:c>
      <x:c r="G314" s="339" t="str">
        <x:v>As a Accountant, I want to manage student fee assignment so that balances and financial records stay correct.</x:v>
      </x:c>
      <x:c r="H314" s="339" t="str">
        <x:v>Primary Workflow</x:v>
      </x:c>
      <x:c r="I314" s="339" t="str">
        <x:v>MVP</x:v>
      </x:c>
      <x:c r="J314" s="339" t="str">
        <x:v>MVP</x:v>
      </x:c>
      <x:c r="K314" s="339" t="str">
        <x:v>High</x:v>
      </x:c>
      <x:c r="L314" s="339" t="n">
        <x:v>11</x:v>
      </x:c>
      <x:c r="M314" s="339" t="str">
        <x:v>Students, fee structure, payment gateway, accounting, notifications</x:v>
      </x:c>
      <x:c r="N314" s="339" t="str">
        <x:v>Not Started</x:v>
      </x:c>
    </x:row>
    <x:row r="315">
      <x:c r="A315" s="339" t="str">
        <x:v>US-0314</x:v>
      </x:c>
      <x:c r="B315" s="339" t="str">
        <x:v>EP-014</x:v>
      </x:c>
      <x:c r="C315" s="339" t="str">
        <x:v>SCR-157</x:v>
      </x:c>
      <x:c r="D315" s="339" t="str">
        <x:v>Fees &amp; Finance</x:v>
      </x:c>
      <x:c r="E315" s="339" t="str">
        <x:v>Student Fee Assignment</x:v>
      </x:c>
      <x:c r="F315" s="339" t="str">
        <x:v>Accountant</x:v>
      </x:c>
      <x:c r="G315" s="339" t="str">
        <x:v>As a Accountant, I want student fee assignment to enforce status, approval &amp; exception handling rules so that data quality, permissions and traceability are protected.</x:v>
      </x:c>
      <x:c r="H315" s="339" t="str">
        <x:v>Status, Approval &amp; Exception Handling</x:v>
      </x:c>
      <x:c r="I315" s="339" t="str">
        <x:v>MVP</x:v>
      </x:c>
      <x:c r="J315" s="339" t="str">
        <x:v>MVP</x:v>
      </x:c>
      <x:c r="K315" s="339" t="str">
        <x:v>High</x:v>
      </x:c>
      <x:c r="L315" s="339" t="n">
        <x:v>9</x:v>
      </x:c>
      <x:c r="M315" s="339" t="str">
        <x:v>Students, fee structure, payment gateway, accounting, notifications</x:v>
      </x:c>
      <x:c r="N315" s="339" t="str">
        <x:v>Not Started</x:v>
      </x:c>
    </x:row>
    <x:row r="316">
      <x:c r="A316" s="339" t="str">
        <x:v>US-0315</x:v>
      </x:c>
      <x:c r="B316" s="339" t="str">
        <x:v>EP-014</x:v>
      </x:c>
      <x:c r="C316" s="339" t="str">
        <x:v>SCR-158</x:v>
      </x:c>
      <x:c r="D316" s="339" t="str">
        <x:v>Fees &amp; Finance</x:v>
      </x:c>
      <x:c r="E316" s="339" t="str">
        <x:v>Fee Collection</x:v>
      </x:c>
      <x:c r="F316" s="339" t="str">
        <x:v>Accountant</x:v>
      </x:c>
      <x:c r="G316" s="339" t="str">
        <x:v>As a Accountant, I want to process fee collection so that balances and financial records stay correct.</x:v>
      </x:c>
      <x:c r="H316" s="339" t="str">
        <x:v>Primary Workflow</x:v>
      </x:c>
      <x:c r="I316" s="339" t="str">
        <x:v>MVP</x:v>
      </x:c>
      <x:c r="J316" s="339" t="str">
        <x:v>MVP</x:v>
      </x:c>
      <x:c r="K316" s="339" t="str">
        <x:v>High</x:v>
      </x:c>
      <x:c r="L316" s="339" t="n">
        <x:v>8</x:v>
      </x:c>
      <x:c r="M316" s="339" t="str">
        <x:v>Students, fee structure, payment gateway, accounting, notifications</x:v>
      </x:c>
      <x:c r="N316" s="339" t="str">
        <x:v>Not Started</x:v>
      </x:c>
    </x:row>
    <x:row r="317">
      <x:c r="A317" s="339" t="str">
        <x:v>US-0316</x:v>
      </x:c>
      <x:c r="B317" s="339" t="str">
        <x:v>EP-014</x:v>
      </x:c>
      <x:c r="C317" s="339" t="str">
        <x:v>SCR-158</x:v>
      </x:c>
      <x:c r="D317" s="339" t="str">
        <x:v>Fees &amp; Finance</x:v>
      </x:c>
      <x:c r="E317" s="339" t="str">
        <x:v>Fee Collection</x:v>
      </x:c>
      <x:c r="F317" s="339" t="str">
        <x:v>Accountant</x:v>
      </x:c>
      <x:c r="G317" s="339" t="str">
        <x:v>As a Accountant, I want fee collection to enforce validation &amp; duplicate prevention rules so that data quality, permissions and traceability are protected.</x:v>
      </x:c>
      <x:c r="H317" s="339" t="str">
        <x:v>Validation &amp; Duplicate Prevention</x:v>
      </x:c>
      <x:c r="I317" s="339" t="str">
        <x:v>MVP</x:v>
      </x:c>
      <x:c r="J317" s="339" t="str">
        <x:v>MVP</x:v>
      </x:c>
      <x:c r="K317" s="339" t="str">
        <x:v>High</x:v>
      </x:c>
      <x:c r="L317" s="339" t="n">
        <x:v>6</x:v>
      </x:c>
      <x:c r="M317" s="339" t="str">
        <x:v>Students, fee structure, payment gateway, accounting, notifications</x:v>
      </x:c>
      <x:c r="N317" s="339" t="str">
        <x:v>Not Started</x:v>
      </x:c>
    </x:row>
    <x:row r="318">
      <x:c r="A318" s="339" t="str">
        <x:v>US-0317</x:v>
      </x:c>
      <x:c r="B318" s="339" t="str">
        <x:v>EP-014</x:v>
      </x:c>
      <x:c r="C318" s="339" t="str">
        <x:v>SCR-159</x:v>
      </x:c>
      <x:c r="D318" s="339" t="str">
        <x:v>Fees &amp; Finance</x:v>
      </x:c>
      <x:c r="E318" s="339" t="str">
        <x:v>Online Payment</x:v>
      </x:c>
      <x:c r="F318" s="339" t="str">
        <x:v>Parent</x:v>
      </x:c>
      <x:c r="G318" s="339" t="str">
        <x:v>As a Parent, I want to manage online payment so that balances and financial records stay correct.</x:v>
      </x:c>
      <x:c r="H318" s="339" t="str">
        <x:v>Primary Workflow</x:v>
      </x:c>
      <x:c r="I318" s="339" t="str">
        <x:v>MVP</x:v>
      </x:c>
      <x:c r="J318" s="339" t="str">
        <x:v>MVP</x:v>
      </x:c>
      <x:c r="K318" s="339" t="str">
        <x:v>High</x:v>
      </x:c>
      <x:c r="L318" s="339" t="n">
        <x:v>11</x:v>
      </x:c>
      <x:c r="M318" s="339" t="str">
        <x:v>Students, fee structure, payment gateway, accounting, notifications</x:v>
      </x:c>
      <x:c r="N318" s="339" t="str">
        <x:v>Not Started</x:v>
      </x:c>
    </x:row>
    <x:row r="319">
      <x:c r="A319" s="339" t="str">
        <x:v>US-0318</x:v>
      </x:c>
      <x:c r="B319" s="339" t="str">
        <x:v>EP-014</x:v>
      </x:c>
      <x:c r="C319" s="339" t="str">
        <x:v>SCR-159</x:v>
      </x:c>
      <x:c r="D319" s="339" t="str">
        <x:v>Fees &amp; Finance</x:v>
      </x:c>
      <x:c r="E319" s="339" t="str">
        <x:v>Online Payment</x:v>
      </x:c>
      <x:c r="F319" s="339" t="str">
        <x:v>Parent</x:v>
      </x:c>
      <x:c r="G319" s="339" t="str">
        <x:v>As a Parent, I want online payment to enforce status, approval &amp; exception handling rules so that data quality, permissions and traceability are protected.</x:v>
      </x:c>
      <x:c r="H319" s="339" t="str">
        <x:v>Status, Approval &amp; Exception Handling</x:v>
      </x:c>
      <x:c r="I319" s="339" t="str">
        <x:v>MVP</x:v>
      </x:c>
      <x:c r="J319" s="339" t="str">
        <x:v>MVP</x:v>
      </x:c>
      <x:c r="K319" s="339" t="str">
        <x:v>High</x:v>
      </x:c>
      <x:c r="L319" s="339" t="n">
        <x:v>9</x:v>
      </x:c>
      <x:c r="M319" s="339" t="str">
        <x:v>Students, fee structure, payment gateway, accounting, notifications</x:v>
      </x:c>
      <x:c r="N319" s="339" t="str">
        <x:v>Not Started</x:v>
      </x:c>
    </x:row>
    <x:row r="320">
      <x:c r="A320" s="339" t="str">
        <x:v>US-0319</x:v>
      </x:c>
      <x:c r="B320" s="339" t="str">
        <x:v>EP-014</x:v>
      </x:c>
      <x:c r="C320" s="339" t="str">
        <x:v>SCR-160</x:v>
      </x:c>
      <x:c r="D320" s="339" t="str">
        <x:v>Fees &amp; Finance</x:v>
      </x:c>
      <x:c r="E320" s="339" t="str">
        <x:v>Payment Receipt</x:v>
      </x:c>
      <x:c r="F320" s="339" t="str">
        <x:v>Parent</x:v>
      </x:c>
      <x:c r="G320" s="339" t="str">
        <x:v>As a Parent, I want to review and maintain payment receipt so that balances and financial records stay correct.</x:v>
      </x:c>
      <x:c r="H320" s="339" t="str">
        <x:v>Primary Workflow</x:v>
      </x:c>
      <x:c r="I320" s="339" t="str">
        <x:v>MVP</x:v>
      </x:c>
      <x:c r="J320" s="339" t="str">
        <x:v>MVP</x:v>
      </x:c>
      <x:c r="K320" s="339" t="str">
        <x:v>High</x:v>
      </x:c>
      <x:c r="L320" s="339" t="n">
        <x:v>8</x:v>
      </x:c>
      <x:c r="M320" s="339" t="str">
        <x:v>Students, fee structure, payment gateway, accounting, notifications</x:v>
      </x:c>
      <x:c r="N320" s="339" t="str">
        <x:v>Not Started</x:v>
      </x:c>
    </x:row>
    <x:row r="321">
      <x:c r="A321" s="339" t="str">
        <x:v>US-0320</x:v>
      </x:c>
      <x:c r="B321" s="339" t="str">
        <x:v>EP-014</x:v>
      </x:c>
      <x:c r="C321" s="339" t="str">
        <x:v>SCR-160</x:v>
      </x:c>
      <x:c r="D321" s="339" t="str">
        <x:v>Fees &amp; Finance</x:v>
      </x:c>
      <x:c r="E321" s="339" t="str">
        <x:v>Payment Receipt</x:v>
      </x:c>
      <x:c r="F321" s="339" t="str">
        <x:v>Parent</x:v>
      </x:c>
      <x:c r="G321" s="339" t="str">
        <x:v>As a Parent, I want payment receipt to enforce history, edit &amp; audit rules so that data quality, permissions and traceability are protected.</x:v>
      </x:c>
      <x:c r="H321" s="339" t="str">
        <x:v>History, Edit &amp; Audit</x:v>
      </x:c>
      <x:c r="I321" s="339" t="str">
        <x:v>MVP</x:v>
      </x:c>
      <x:c r="J321" s="339" t="str">
        <x:v>MVP</x:v>
      </x:c>
      <x:c r="K321" s="339" t="str">
        <x:v>High</x:v>
      </x:c>
      <x:c r="L321" s="339" t="n">
        <x:v>6</x:v>
      </x:c>
      <x:c r="M321" s="339" t="str">
        <x:v>Students, fee structure, payment gateway, accounting, notifications</x:v>
      </x:c>
      <x:c r="N321" s="339" t="str">
        <x:v>Not Started</x:v>
      </x:c>
    </x:row>
    <x:row r="322">
      <x:c r="A322" s="339" t="str">
        <x:v>US-0321</x:v>
      </x:c>
      <x:c r="B322" s="339" t="str">
        <x:v>EP-014</x:v>
      </x:c>
      <x:c r="C322" s="339" t="str">
        <x:v>SCR-161</x:v>
      </x:c>
      <x:c r="D322" s="339" t="str">
        <x:v>Fees &amp; Finance</x:v>
      </x:c>
      <x:c r="E322" s="339" t="str">
        <x:v>Student Ledger</x:v>
      </x:c>
      <x:c r="F322" s="339" t="str">
        <x:v>Accountant</x:v>
      </x:c>
      <x:c r="G322" s="339" t="str">
        <x:v>As a Accountant, I want to review and maintain student ledger so that balances and financial records stay correct.</x:v>
      </x:c>
      <x:c r="H322" s="339" t="str">
        <x:v>Primary Workflow</x:v>
      </x:c>
      <x:c r="I322" s="339" t="str">
        <x:v>MVP</x:v>
      </x:c>
      <x:c r="J322" s="339" t="str">
        <x:v>MVP</x:v>
      </x:c>
      <x:c r="K322" s="339" t="str">
        <x:v>High</x:v>
      </x:c>
      <x:c r="L322" s="339" t="n">
        <x:v>8</x:v>
      </x:c>
      <x:c r="M322" s="339" t="str">
        <x:v>Students, fee structure, payment gateway, accounting, notifications</x:v>
      </x:c>
      <x:c r="N322" s="339" t="str">
        <x:v>Not Started</x:v>
      </x:c>
    </x:row>
    <x:row r="323">
      <x:c r="A323" s="339" t="str">
        <x:v>US-0322</x:v>
      </x:c>
      <x:c r="B323" s="339" t="str">
        <x:v>EP-014</x:v>
      </x:c>
      <x:c r="C323" s="339" t="str">
        <x:v>SCR-161</x:v>
      </x:c>
      <x:c r="D323" s="339" t="str">
        <x:v>Fees &amp; Finance</x:v>
      </x:c>
      <x:c r="E323" s="339" t="str">
        <x:v>Student Ledger</x:v>
      </x:c>
      <x:c r="F323" s="339" t="str">
        <x:v>Accountant</x:v>
      </x:c>
      <x:c r="G323" s="339" t="str">
        <x:v>As a Accountant, I want student ledger to enforce history, edit &amp; audit rules so that data quality, permissions and traceability are protected.</x:v>
      </x:c>
      <x:c r="H323" s="339" t="str">
        <x:v>History, Edit &amp; Audit</x:v>
      </x:c>
      <x:c r="I323" s="339" t="str">
        <x:v>MVP</x:v>
      </x:c>
      <x:c r="J323" s="339" t="str">
        <x:v>MVP</x:v>
      </x:c>
      <x:c r="K323" s="339" t="str">
        <x:v>High</x:v>
      </x:c>
      <x:c r="L323" s="339" t="n">
        <x:v>6</x:v>
      </x:c>
      <x:c r="M323" s="339" t="str">
        <x:v>Students, fee structure, payment gateway, accounting, notifications</x:v>
      </x:c>
      <x:c r="N323" s="339" t="str">
        <x:v>Not Started</x:v>
      </x:c>
    </x:row>
    <x:row r="324">
      <x:c r="A324" s="339" t="str">
        <x:v>US-0323</x:v>
      </x:c>
      <x:c r="B324" s="339" t="str">
        <x:v>EP-014</x:v>
      </x:c>
      <x:c r="C324" s="339" t="str">
        <x:v>SCR-162</x:v>
      </x:c>
      <x:c r="D324" s="339" t="str">
        <x:v>Fees &amp; Finance</x:v>
      </x:c>
      <x:c r="E324" s="339" t="str">
        <x:v>Outstanding Dues</x:v>
      </x:c>
      <x:c r="F324" s="339" t="str">
        <x:v>Accountant</x:v>
      </x:c>
      <x:c r="G324" s="339" t="str">
        <x:v>As a Accountant, I want to manage outstanding dues so that balances and financial records stay correct.</x:v>
      </x:c>
      <x:c r="H324" s="339" t="str">
        <x:v>Primary Workflow</x:v>
      </x:c>
      <x:c r="I324" s="339" t="str">
        <x:v>Phase 2</x:v>
      </x:c>
      <x:c r="J324" s="339" t="str">
        <x:v>Phase 2</x:v>
      </x:c>
      <x:c r="K324" s="339" t="str">
        <x:v>High</x:v>
      </x:c>
      <x:c r="L324" s="339" t="n">
        <x:v>11</x:v>
      </x:c>
      <x:c r="M324" s="339" t="str">
        <x:v>Students, fee structure, payment gateway, accounting, notifications</x:v>
      </x:c>
      <x:c r="N324" s="339" t="str">
        <x:v>Not Started</x:v>
      </x:c>
    </x:row>
    <x:row r="325">
      <x:c r="A325" s="339" t="str">
        <x:v>US-0324</x:v>
      </x:c>
      <x:c r="B325" s="339" t="str">
        <x:v>EP-014</x:v>
      </x:c>
      <x:c r="C325" s="339" t="str">
        <x:v>SCR-162</x:v>
      </x:c>
      <x:c r="D325" s="339" t="str">
        <x:v>Fees &amp; Finance</x:v>
      </x:c>
      <x:c r="E325" s="339" t="str">
        <x:v>Outstanding Dues</x:v>
      </x:c>
      <x:c r="F325" s="339" t="str">
        <x:v>Accountant</x:v>
      </x:c>
      <x:c r="G325" s="339" t="str">
        <x:v>As a Accountant, I want outstanding dues to enforce status, approval &amp; exception handling rules so that data quality, permissions and traceability are protected.</x:v>
      </x:c>
      <x:c r="H325" s="339" t="str">
        <x:v>Status, Approval &amp; Exception Handling</x:v>
      </x:c>
      <x:c r="I325" s="339" t="str">
        <x:v>Phase 2</x:v>
      </x:c>
      <x:c r="J325" s="339" t="str">
        <x:v>Phase 2</x:v>
      </x:c>
      <x:c r="K325" s="339" t="str">
        <x:v>High</x:v>
      </x:c>
      <x:c r="L325" s="339" t="n">
        <x:v>9</x:v>
      </x:c>
      <x:c r="M325" s="339" t="str">
        <x:v>Students, fee structure, payment gateway, accounting, notifications</x:v>
      </x:c>
      <x:c r="N325" s="339" t="str">
        <x:v>Not Started</x:v>
      </x:c>
    </x:row>
    <x:row r="326">
      <x:c r="A326" s="339" t="str">
        <x:v>US-0325</x:v>
      </x:c>
      <x:c r="B326" s="339" t="str">
        <x:v>EP-014</x:v>
      </x:c>
      <x:c r="C326" s="339" t="str">
        <x:v>SCR-163</x:v>
      </x:c>
      <x:c r="D326" s="339" t="str">
        <x:v>Fees &amp; Finance</x:v>
      </x:c>
      <x:c r="E326" s="339" t="str">
        <x:v>Concession / Scholarship</x:v>
      </x:c>
      <x:c r="F326" s="339" t="str">
        <x:v>Accountant</x:v>
      </x:c>
      <x:c r="G326" s="339" t="str">
        <x:v>As a Accountant, I want to manage concession / scholarship so that balances and financial records stay correct.</x:v>
      </x:c>
      <x:c r="H326" s="339" t="str">
        <x:v>Primary Workflow</x:v>
      </x:c>
      <x:c r="I326" s="339" t="str">
        <x:v>Phase 2</x:v>
      </x:c>
      <x:c r="J326" s="339" t="str">
        <x:v>Phase 2</x:v>
      </x:c>
      <x:c r="K326" s="339" t="str">
        <x:v>High</x:v>
      </x:c>
      <x:c r="L326" s="339" t="n">
        <x:v>11</x:v>
      </x:c>
      <x:c r="M326" s="339" t="str">
        <x:v>Students, fee structure, payment gateway, accounting, notifications</x:v>
      </x:c>
      <x:c r="N326" s="339" t="str">
        <x:v>Not Started</x:v>
      </x:c>
    </x:row>
    <x:row r="327">
      <x:c r="A327" s="339" t="str">
        <x:v>US-0326</x:v>
      </x:c>
      <x:c r="B327" s="339" t="str">
        <x:v>EP-014</x:v>
      </x:c>
      <x:c r="C327" s="339" t="str">
        <x:v>SCR-163</x:v>
      </x:c>
      <x:c r="D327" s="339" t="str">
        <x:v>Fees &amp; Finance</x:v>
      </x:c>
      <x:c r="E327" s="339" t="str">
        <x:v>Concession / Scholarship</x:v>
      </x:c>
      <x:c r="F327" s="339" t="str">
        <x:v>Accountant</x:v>
      </x:c>
      <x:c r="G327" s="339" t="str">
        <x:v>As a Accountant, I want concession / scholarship to enforce status, approval &amp; exception handling rules so that data quality, permissions and traceability are protected.</x:v>
      </x:c>
      <x:c r="H327" s="339" t="str">
        <x:v>Status, Approval &amp; Exception Handling</x:v>
      </x:c>
      <x:c r="I327" s="339" t="str">
        <x:v>Phase 2</x:v>
      </x:c>
      <x:c r="J327" s="339" t="str">
        <x:v>Phase 2</x:v>
      </x:c>
      <x:c r="K327" s="339" t="str">
        <x:v>High</x:v>
      </x:c>
      <x:c r="L327" s="339" t="n">
        <x:v>9</x:v>
      </x:c>
      <x:c r="M327" s="339" t="str">
        <x:v>Students, fee structure, payment gateway, accounting, notifications</x:v>
      </x:c>
      <x:c r="N327" s="339" t="str">
        <x:v>Not Started</x:v>
      </x:c>
    </x:row>
    <x:row r="328">
      <x:c r="A328" s="339" t="str">
        <x:v>US-0327</x:v>
      </x:c>
      <x:c r="B328" s="339" t="str">
        <x:v>EP-014</x:v>
      </x:c>
      <x:c r="C328" s="339" t="str">
        <x:v>SCR-164</x:v>
      </x:c>
      <x:c r="D328" s="339" t="str">
        <x:v>Fees &amp; Finance</x:v>
      </x:c>
      <x:c r="E328" s="339" t="str">
        <x:v>Fine Rules</x:v>
      </x:c>
      <x:c r="F328" s="339" t="str">
        <x:v>Accountant</x:v>
      </x:c>
      <x:c r="G328" s="339" t="str">
        <x:v>As a Accountant, I want to manage fine rules so that balances and financial records stay correct.</x:v>
      </x:c>
      <x:c r="H328" s="339" t="str">
        <x:v>Primary Workflow</x:v>
      </x:c>
      <x:c r="I328" s="339" t="str">
        <x:v>Phase 2</x:v>
      </x:c>
      <x:c r="J328" s="339" t="str">
        <x:v>Phase 2</x:v>
      </x:c>
      <x:c r="K328" s="339" t="str">
        <x:v>High</x:v>
      </x:c>
      <x:c r="L328" s="339" t="n">
        <x:v>11</x:v>
      </x:c>
      <x:c r="M328" s="339" t="str">
        <x:v>Students, fee structure, payment gateway, accounting, notifications</x:v>
      </x:c>
      <x:c r="N328" s="339" t="str">
        <x:v>Not Started</x:v>
      </x:c>
    </x:row>
    <x:row r="329">
      <x:c r="A329" s="339" t="str">
        <x:v>US-0328</x:v>
      </x:c>
      <x:c r="B329" s="339" t="str">
        <x:v>EP-014</x:v>
      </x:c>
      <x:c r="C329" s="339" t="str">
        <x:v>SCR-164</x:v>
      </x:c>
      <x:c r="D329" s="339" t="str">
        <x:v>Fees &amp; Finance</x:v>
      </x:c>
      <x:c r="E329" s="339" t="str">
        <x:v>Fine Rules</x:v>
      </x:c>
      <x:c r="F329" s="339" t="str">
        <x:v>Accountant</x:v>
      </x:c>
      <x:c r="G329" s="339" t="str">
        <x:v>As a Accountant, I want fine rules to enforce status, approval &amp; exception handling rules so that data quality, permissions and traceability are protected.</x:v>
      </x:c>
      <x:c r="H329" s="339" t="str">
        <x:v>Status, Approval &amp; Exception Handling</x:v>
      </x:c>
      <x:c r="I329" s="339" t="str">
        <x:v>Phase 2</x:v>
      </x:c>
      <x:c r="J329" s="339" t="str">
        <x:v>Phase 2</x:v>
      </x:c>
      <x:c r="K329" s="339" t="str">
        <x:v>High</x:v>
      </x:c>
      <x:c r="L329" s="339" t="n">
        <x:v>9</x:v>
      </x:c>
      <x:c r="M329" s="339" t="str">
        <x:v>Students, fee structure, payment gateway, accounting, notifications</x:v>
      </x:c>
      <x:c r="N329" s="339" t="str">
        <x:v>Not Started</x:v>
      </x:c>
    </x:row>
    <x:row r="330">
      <x:c r="A330" s="339" t="str">
        <x:v>US-0329</x:v>
      </x:c>
      <x:c r="B330" s="339" t="str">
        <x:v>EP-014</x:v>
      </x:c>
      <x:c r="C330" s="339" t="str">
        <x:v>SCR-165</x:v>
      </x:c>
      <x:c r="D330" s="339" t="str">
        <x:v>Fees &amp; Finance</x:v>
      </x:c>
      <x:c r="E330" s="339" t="str">
        <x:v>Refunds</x:v>
      </x:c>
      <x:c r="F330" s="339" t="str">
        <x:v>Accountant</x:v>
      </x:c>
      <x:c r="G330" s="339" t="str">
        <x:v>As a Accountant, I want to manage refunds so that balances and financial records stay correct.</x:v>
      </x:c>
      <x:c r="H330" s="339" t="str">
        <x:v>Primary Workflow</x:v>
      </x:c>
      <x:c r="I330" s="339" t="str">
        <x:v>Phase 2</x:v>
      </x:c>
      <x:c r="J330" s="339" t="str">
        <x:v>Phase 2</x:v>
      </x:c>
      <x:c r="K330" s="339" t="str">
        <x:v>High</x:v>
      </x:c>
      <x:c r="L330" s="339" t="n">
        <x:v>11</x:v>
      </x:c>
      <x:c r="M330" s="339" t="str">
        <x:v>Students, fee structure, payment gateway, accounting, notifications</x:v>
      </x:c>
      <x:c r="N330" s="339" t="str">
        <x:v>Not Started</x:v>
      </x:c>
    </x:row>
    <x:row r="331">
      <x:c r="A331" s="339" t="str">
        <x:v>US-0330</x:v>
      </x:c>
      <x:c r="B331" s="339" t="str">
        <x:v>EP-014</x:v>
      </x:c>
      <x:c r="C331" s="339" t="str">
        <x:v>SCR-165</x:v>
      </x:c>
      <x:c r="D331" s="339" t="str">
        <x:v>Fees &amp; Finance</x:v>
      </x:c>
      <x:c r="E331" s="339" t="str">
        <x:v>Refunds</x:v>
      </x:c>
      <x:c r="F331" s="339" t="str">
        <x:v>Accountant</x:v>
      </x:c>
      <x:c r="G331" s="339" t="str">
        <x:v>As a Accountant, I want refunds to enforce status, approval &amp; exception handling rules so that data quality, permissions and traceability are protected.</x:v>
      </x:c>
      <x:c r="H331" s="339" t="str">
        <x:v>Status, Approval &amp; Exception Handling</x:v>
      </x:c>
      <x:c r="I331" s="339" t="str">
        <x:v>Phase 2</x:v>
      </x:c>
      <x:c r="J331" s="339" t="str">
        <x:v>Phase 2</x:v>
      </x:c>
      <x:c r="K331" s="339" t="str">
        <x:v>High</x:v>
      </x:c>
      <x:c r="L331" s="339" t="n">
        <x:v>9</x:v>
      </x:c>
      <x:c r="M331" s="339" t="str">
        <x:v>Students, fee structure, payment gateway, accounting, notifications</x:v>
      </x:c>
      <x:c r="N331" s="339" t="str">
        <x:v>Not Started</x:v>
      </x:c>
    </x:row>
    <x:row r="332">
      <x:c r="A332" s="339" t="str">
        <x:v>US-0331</x:v>
      </x:c>
      <x:c r="B332" s="339" t="str">
        <x:v>EP-014</x:v>
      </x:c>
      <x:c r="C332" s="339" t="str">
        <x:v>SCR-166</x:v>
      </x:c>
      <x:c r="D332" s="339" t="str">
        <x:v>Fees &amp; Finance</x:v>
      </x:c>
      <x:c r="E332" s="339" t="str">
        <x:v>Income</x:v>
      </x:c>
      <x:c r="F332" s="339" t="str">
        <x:v>Accountant</x:v>
      </x:c>
      <x:c r="G332" s="339" t="str">
        <x:v>As a Accountant, I want to manage income so that balances and financial records stay correct.</x:v>
      </x:c>
      <x:c r="H332" s="339" t="str">
        <x:v>Primary Workflow</x:v>
      </x:c>
      <x:c r="I332" s="339" t="str">
        <x:v>Phase 3</x:v>
      </x:c>
      <x:c r="J332" s="339" t="str">
        <x:v>Phase 3</x:v>
      </x:c>
      <x:c r="K332" s="339" t="str">
        <x:v>High</x:v>
      </x:c>
      <x:c r="L332" s="339" t="n">
        <x:v>11</x:v>
      </x:c>
      <x:c r="M332" s="339" t="str">
        <x:v>Students, fee structure, payment gateway, accounting, notifications</x:v>
      </x:c>
      <x:c r="N332" s="339" t="str">
        <x:v>Not Started</x:v>
      </x:c>
    </x:row>
    <x:row r="333">
      <x:c r="A333" s="339" t="str">
        <x:v>US-0332</x:v>
      </x:c>
      <x:c r="B333" s="339" t="str">
        <x:v>EP-014</x:v>
      </x:c>
      <x:c r="C333" s="339" t="str">
        <x:v>SCR-166</x:v>
      </x:c>
      <x:c r="D333" s="339" t="str">
        <x:v>Fees &amp; Finance</x:v>
      </x:c>
      <x:c r="E333" s="339" t="str">
        <x:v>Income</x:v>
      </x:c>
      <x:c r="F333" s="339" t="str">
        <x:v>Accountant</x:v>
      </x:c>
      <x:c r="G333" s="339" t="str">
        <x:v>As a Accountant, I want income to enforce status, approval &amp; exception handling rules so that data quality, permissions and traceability are protected.</x:v>
      </x:c>
      <x:c r="H333" s="339" t="str">
        <x:v>Status, Approval &amp; Exception Handling</x:v>
      </x:c>
      <x:c r="I333" s="339" t="str">
        <x:v>Phase 3</x:v>
      </x:c>
      <x:c r="J333" s="339" t="str">
        <x:v>Phase 3</x:v>
      </x:c>
      <x:c r="K333" s="339" t="str">
        <x:v>High</x:v>
      </x:c>
      <x:c r="L333" s="339" t="n">
        <x:v>9</x:v>
      </x:c>
      <x:c r="M333" s="339" t="str">
        <x:v>Students, fee structure, payment gateway, accounting, notifications</x:v>
      </x:c>
      <x:c r="N333" s="339" t="str">
        <x:v>Not Started</x:v>
      </x:c>
    </x:row>
    <x:row r="334">
      <x:c r="A334" s="339" t="str">
        <x:v>US-0333</x:v>
      </x:c>
      <x:c r="B334" s="339" t="str">
        <x:v>EP-014</x:v>
      </x:c>
      <x:c r="C334" s="339" t="str">
        <x:v>SCR-167</x:v>
      </x:c>
      <x:c r="D334" s="339" t="str">
        <x:v>Fees &amp; Finance</x:v>
      </x:c>
      <x:c r="E334" s="339" t="str">
        <x:v>Expenses</x:v>
      </x:c>
      <x:c r="F334" s="339" t="str">
        <x:v>Accountant</x:v>
      </x:c>
      <x:c r="G334" s="339" t="str">
        <x:v>As a Accountant, I want to manage expenses so that balances and financial records stay correct.</x:v>
      </x:c>
      <x:c r="H334" s="339" t="str">
        <x:v>Primary Workflow</x:v>
      </x:c>
      <x:c r="I334" s="339" t="str">
        <x:v>Phase 3</x:v>
      </x:c>
      <x:c r="J334" s="339" t="str">
        <x:v>Phase 3</x:v>
      </x:c>
      <x:c r="K334" s="339" t="str">
        <x:v>High</x:v>
      </x:c>
      <x:c r="L334" s="339" t="n">
        <x:v>11</x:v>
      </x:c>
      <x:c r="M334" s="339" t="str">
        <x:v>Students, fee structure, payment gateway, accounting, notifications</x:v>
      </x:c>
      <x:c r="N334" s="339" t="str">
        <x:v>Not Started</x:v>
      </x:c>
    </x:row>
    <x:row r="335">
      <x:c r="A335" s="339" t="str">
        <x:v>US-0334</x:v>
      </x:c>
      <x:c r="B335" s="339" t="str">
        <x:v>EP-014</x:v>
      </x:c>
      <x:c r="C335" s="339" t="str">
        <x:v>SCR-167</x:v>
      </x:c>
      <x:c r="D335" s="339" t="str">
        <x:v>Fees &amp; Finance</x:v>
      </x:c>
      <x:c r="E335" s="339" t="str">
        <x:v>Expenses</x:v>
      </x:c>
      <x:c r="F335" s="339" t="str">
        <x:v>Accountant</x:v>
      </x:c>
      <x:c r="G335" s="339" t="str">
        <x:v>As a Accountant, I want expenses to enforce status, approval &amp; exception handling rules so that data quality, permissions and traceability are protected.</x:v>
      </x:c>
      <x:c r="H335" s="339" t="str">
        <x:v>Status, Approval &amp; Exception Handling</x:v>
      </x:c>
      <x:c r="I335" s="339" t="str">
        <x:v>Phase 3</x:v>
      </x:c>
      <x:c r="J335" s="339" t="str">
        <x:v>Phase 3</x:v>
      </x:c>
      <x:c r="K335" s="339" t="str">
        <x:v>High</x:v>
      </x:c>
      <x:c r="L335" s="339" t="n">
        <x:v>9</x:v>
      </x:c>
      <x:c r="M335" s="339" t="str">
        <x:v>Students, fee structure, payment gateway, accounting, notifications</x:v>
      </x:c>
      <x:c r="N335" s="339" t="str">
        <x:v>Not Started</x:v>
      </x:c>
    </x:row>
    <x:row r="336">
      <x:c r="A336" s="339" t="str">
        <x:v>US-0335</x:v>
      </x:c>
      <x:c r="B336" s="339" t="str">
        <x:v>EP-014</x:v>
      </x:c>
      <x:c r="C336" s="339" t="str">
        <x:v>SCR-168</x:v>
      </x:c>
      <x:c r="D336" s="339" t="str">
        <x:v>Fees &amp; Finance</x:v>
      </x:c>
      <x:c r="E336" s="339" t="str">
        <x:v>Vendor Management</x:v>
      </x:c>
      <x:c r="F336" s="339" t="str">
        <x:v>Accountant</x:v>
      </x:c>
      <x:c r="G336" s="339" t="str">
        <x:v>As a Accountant, I want to manage vendor management so that balances and financial records stay correct.</x:v>
      </x:c>
      <x:c r="H336" s="339" t="str">
        <x:v>Primary Workflow</x:v>
      </x:c>
      <x:c r="I336" s="339" t="str">
        <x:v>Phase 3</x:v>
      </x:c>
      <x:c r="J336" s="339" t="str">
        <x:v>Phase 3</x:v>
      </x:c>
      <x:c r="K336" s="339" t="str">
        <x:v>High</x:v>
      </x:c>
      <x:c r="L336" s="339" t="n">
        <x:v>11</x:v>
      </x:c>
      <x:c r="M336" s="339" t="str">
        <x:v>Students, fee structure, payment gateway, accounting, notifications</x:v>
      </x:c>
      <x:c r="N336" s="339" t="str">
        <x:v>Not Started</x:v>
      </x:c>
    </x:row>
    <x:row r="337">
      <x:c r="A337" s="339" t="str">
        <x:v>US-0336</x:v>
      </x:c>
      <x:c r="B337" s="339" t="str">
        <x:v>EP-014</x:v>
      </x:c>
      <x:c r="C337" s="339" t="str">
        <x:v>SCR-168</x:v>
      </x:c>
      <x:c r="D337" s="339" t="str">
        <x:v>Fees &amp; Finance</x:v>
      </x:c>
      <x:c r="E337" s="339" t="str">
        <x:v>Vendor Management</x:v>
      </x:c>
      <x:c r="F337" s="339" t="str">
        <x:v>Accountant</x:v>
      </x:c>
      <x:c r="G337" s="339" t="str">
        <x:v>As a Accountant, I want vendor management to enforce status, approval &amp; exception handling rules so that data quality, permissions and traceability are protected.</x:v>
      </x:c>
      <x:c r="H337" s="339" t="str">
        <x:v>Status, Approval &amp; Exception Handling</x:v>
      </x:c>
      <x:c r="I337" s="339" t="str">
        <x:v>Phase 3</x:v>
      </x:c>
      <x:c r="J337" s="339" t="str">
        <x:v>Phase 3</x:v>
      </x:c>
      <x:c r="K337" s="339" t="str">
        <x:v>High</x:v>
      </x:c>
      <x:c r="L337" s="339" t="n">
        <x:v>9</x:v>
      </x:c>
      <x:c r="M337" s="339" t="str">
        <x:v>Students, fee structure, payment gateway, accounting, notifications</x:v>
      </x:c>
      <x:c r="N337" s="339" t="str">
        <x:v>Not Started</x:v>
      </x:c>
    </x:row>
    <x:row r="338">
      <x:c r="A338" s="339" t="str">
        <x:v>US-0337</x:v>
      </x:c>
      <x:c r="B338" s="339" t="str">
        <x:v>EP-014</x:v>
      </x:c>
      <x:c r="C338" s="339" t="str">
        <x:v>SCR-169</x:v>
      </x:c>
      <x:c r="D338" s="339" t="str">
        <x:v>Fees &amp; Finance</x:v>
      </x:c>
      <x:c r="E338" s="339" t="str">
        <x:v>Purchase / Payment</x:v>
      </x:c>
      <x:c r="F338" s="339" t="str">
        <x:v>Accountant</x:v>
      </x:c>
      <x:c r="G338" s="339" t="str">
        <x:v>As a Accountant, I want to manage purchase / payment so that balances and financial records stay correct.</x:v>
      </x:c>
      <x:c r="H338" s="339" t="str">
        <x:v>Primary Workflow</x:v>
      </x:c>
      <x:c r="I338" s="339" t="str">
        <x:v>Phase 3</x:v>
      </x:c>
      <x:c r="J338" s="339" t="str">
        <x:v>Phase 3</x:v>
      </x:c>
      <x:c r="K338" s="339" t="str">
        <x:v>High</x:v>
      </x:c>
      <x:c r="L338" s="339" t="n">
        <x:v>11</x:v>
      </x:c>
      <x:c r="M338" s="339" t="str">
        <x:v>Students, fee structure, payment gateway, accounting, notifications</x:v>
      </x:c>
      <x:c r="N338" s="339" t="str">
        <x:v>Not Started</x:v>
      </x:c>
    </x:row>
    <x:row r="339">
      <x:c r="A339" s="339" t="str">
        <x:v>US-0338</x:v>
      </x:c>
      <x:c r="B339" s="339" t="str">
        <x:v>EP-014</x:v>
      </x:c>
      <x:c r="C339" s="339" t="str">
        <x:v>SCR-169</x:v>
      </x:c>
      <x:c r="D339" s="339" t="str">
        <x:v>Fees &amp; Finance</x:v>
      </x:c>
      <x:c r="E339" s="339" t="str">
        <x:v>Purchase / Payment</x:v>
      </x:c>
      <x:c r="F339" s="339" t="str">
        <x:v>Accountant</x:v>
      </x:c>
      <x:c r="G339" s="339" t="str">
        <x:v>As a Accountant, I want purchase / payment to enforce status, approval &amp; exception handling rules so that data quality, permissions and traceability are protected.</x:v>
      </x:c>
      <x:c r="H339" s="339" t="str">
        <x:v>Status, Approval &amp; Exception Handling</x:v>
      </x:c>
      <x:c r="I339" s="339" t="str">
        <x:v>Phase 3</x:v>
      </x:c>
      <x:c r="J339" s="339" t="str">
        <x:v>Phase 3</x:v>
      </x:c>
      <x:c r="K339" s="339" t="str">
        <x:v>High</x:v>
      </x:c>
      <x:c r="L339" s="339" t="n">
        <x:v>9</x:v>
      </x:c>
      <x:c r="M339" s="339" t="str">
        <x:v>Students, fee structure, payment gateway, accounting, notifications</x:v>
      </x:c>
      <x:c r="N339" s="339" t="str">
        <x:v>Not Started</x:v>
      </x:c>
    </x:row>
    <x:row r="340">
      <x:c r="A340" s="339" t="str">
        <x:v>US-0339</x:v>
      </x:c>
      <x:c r="B340" s="339" t="str">
        <x:v>EP-014</x:v>
      </x:c>
      <x:c r="C340" s="339" t="str">
        <x:v>SCR-170</x:v>
      </x:c>
      <x:c r="D340" s="339" t="str">
        <x:v>Fees &amp; Finance</x:v>
      </x:c>
      <x:c r="E340" s="339" t="str">
        <x:v>Cash &amp; Bank Book</x:v>
      </x:c>
      <x:c r="F340" s="339" t="str">
        <x:v>Accountant</x:v>
      </x:c>
      <x:c r="G340" s="339" t="str">
        <x:v>As a Accountant, I want to manage cash &amp; bank book so that balances and financial records stay correct.</x:v>
      </x:c>
      <x:c r="H340" s="339" t="str">
        <x:v>Primary Workflow</x:v>
      </x:c>
      <x:c r="I340" s="339" t="str">
        <x:v>Phase 3</x:v>
      </x:c>
      <x:c r="J340" s="339" t="str">
        <x:v>Phase 3</x:v>
      </x:c>
      <x:c r="K340" s="339" t="str">
        <x:v>High</x:v>
      </x:c>
      <x:c r="L340" s="339" t="n">
        <x:v>11</x:v>
      </x:c>
      <x:c r="M340" s="339" t="str">
        <x:v>Students, fee structure, payment gateway, accounting, notifications</x:v>
      </x:c>
      <x:c r="N340" s="339" t="str">
        <x:v>Not Started</x:v>
      </x:c>
    </x:row>
    <x:row r="341">
      <x:c r="A341" s="339" t="str">
        <x:v>US-0340</x:v>
      </x:c>
      <x:c r="B341" s="339" t="str">
        <x:v>EP-014</x:v>
      </x:c>
      <x:c r="C341" s="339" t="str">
        <x:v>SCR-170</x:v>
      </x:c>
      <x:c r="D341" s="339" t="str">
        <x:v>Fees &amp; Finance</x:v>
      </x:c>
      <x:c r="E341" s="339" t="str">
        <x:v>Cash &amp; Bank Book</x:v>
      </x:c>
      <x:c r="F341" s="339" t="str">
        <x:v>Accountant</x:v>
      </x:c>
      <x:c r="G341" s="339" t="str">
        <x:v>As a Accountant, I want cash &amp; bank book to enforce status, approval &amp; exception handling rules so that data quality, permissions and traceability are protected.</x:v>
      </x:c>
      <x:c r="H341" s="339" t="str">
        <x:v>Status, Approval &amp; Exception Handling</x:v>
      </x:c>
      <x:c r="I341" s="339" t="str">
        <x:v>Phase 3</x:v>
      </x:c>
      <x:c r="J341" s="339" t="str">
        <x:v>Phase 3</x:v>
      </x:c>
      <x:c r="K341" s="339" t="str">
        <x:v>High</x:v>
      </x:c>
      <x:c r="L341" s="339" t="n">
        <x:v>9</x:v>
      </x:c>
      <x:c r="M341" s="339" t="str">
        <x:v>Students, fee structure, payment gateway, accounting, notifications</x:v>
      </x:c>
      <x:c r="N341" s="339" t="str">
        <x:v>Not Started</x:v>
      </x:c>
    </x:row>
    <x:row r="342">
      <x:c r="A342" s="339" t="str">
        <x:v>US-0341</x:v>
      </x:c>
      <x:c r="B342" s="339" t="str">
        <x:v>EP-014</x:v>
      </x:c>
      <x:c r="C342" s="339" t="str">
        <x:v>SCR-171</x:v>
      </x:c>
      <x:c r="D342" s="339" t="str">
        <x:v>Fees &amp; Finance</x:v>
      </x:c>
      <x:c r="E342" s="339" t="str">
        <x:v>Finance Reports</x:v>
      </x:c>
      <x:c r="F342" s="339" t="str">
        <x:v>Accountant</x:v>
      </x:c>
      <x:c r="G342" s="339" t="str">
        <x:v>As a Accountant, I want to analyze finance reports so that balances and financial records stay correct.</x:v>
      </x:c>
      <x:c r="H342" s="339" t="str">
        <x:v>Primary Workflow</x:v>
      </x:c>
      <x:c r="I342" s="339" t="str">
        <x:v>Phase 3</x:v>
      </x:c>
      <x:c r="J342" s="339" t="str">
        <x:v>Phase 3</x:v>
      </x:c>
      <x:c r="K342" s="339" t="str">
        <x:v>High</x:v>
      </x:c>
      <x:c r="L342" s="339" t="n">
        <x:v>11</x:v>
      </x:c>
      <x:c r="M342" s="339" t="str">
        <x:v>Students, fee structure, payment gateway, accounting, notifications</x:v>
      </x:c>
      <x:c r="N342" s="339" t="str">
        <x:v>Not Started</x:v>
      </x:c>
    </x:row>
    <x:row r="343">
      <x:c r="A343" s="339" t="str">
        <x:v>US-0342</x:v>
      </x:c>
      <x:c r="B343" s="339" t="str">
        <x:v>EP-014</x:v>
      </x:c>
      <x:c r="C343" s="339" t="str">
        <x:v>SCR-171</x:v>
      </x:c>
      <x:c r="D343" s="339" t="str">
        <x:v>Fees &amp; Finance</x:v>
      </x:c>
      <x:c r="E343" s="339" t="str">
        <x:v>Finance Reports</x:v>
      </x:c>
      <x:c r="F343" s="339" t="str">
        <x:v>Accountant</x:v>
      </x:c>
      <x:c r="G343" s="339" t="str">
        <x:v>As a Accountant, I want finance reports to enforce filters, reconciliation &amp; export rules so that data quality, permissions and traceability are protected.</x:v>
      </x:c>
      <x:c r="H343" s="339" t="str">
        <x:v>Filters, Reconciliation &amp; Export</x:v>
      </x:c>
      <x:c r="I343" s="339" t="str">
        <x:v>Phase 3</x:v>
      </x:c>
      <x:c r="J343" s="339" t="str">
        <x:v>Phase 3</x:v>
      </x:c>
      <x:c r="K343" s="339" t="str">
        <x:v>High</x:v>
      </x:c>
      <x:c r="L343" s="339" t="n">
        <x:v>9</x:v>
      </x:c>
      <x:c r="M343" s="339" t="str">
        <x:v>Students, fee structure, payment gateway, accounting, notifications</x:v>
      </x:c>
      <x:c r="N343" s="339" t="str">
        <x:v>Not Started</x:v>
      </x:c>
    </x:row>
    <x:row r="344">
      <x:c r="A344" s="339" t="str">
        <x:v>US-0343</x:v>
      </x:c>
      <x:c r="B344" s="339" t="str">
        <x:v>EP-015</x:v>
      </x:c>
      <x:c r="C344" s="339" t="str">
        <x:v>SCR-172</x:v>
      </x:c>
      <x:c r="D344" s="339" t="str">
        <x:v>HR / Leave / Payroll</x:v>
      </x:c>
      <x:c r="E344" s="339" t="str">
        <x:v>Recruitment Requisitions</x:v>
      </x:c>
      <x:c r="F344" s="339" t="str">
        <x:v>HR</x:v>
      </x:c>
      <x:c r="G344" s="339" t="str">
        <x:v>As a HR, I want to manage recruitment requisitions so that employee operations and payroll stay compliant and accurate.</x:v>
      </x:c>
      <x:c r="H344" s="339" t="str">
        <x:v>Primary Workflow</x:v>
      </x:c>
      <x:c r="I344" s="339" t="str">
        <x:v>Phase 2</x:v>
      </x:c>
      <x:c r="J344" s="339" t="str">
        <x:v>Phase 2</x:v>
      </x:c>
      <x:c r="K344" s="339" t="str">
        <x:v>High</x:v>
      </x:c>
      <x:c r="L344" s="339" t="n">
        <x:v>11</x:v>
      </x:c>
      <x:c r="M344" s="339" t="str">
        <x:v>Staff master, attendance, payroll rules, finance, identity</x:v>
      </x:c>
      <x:c r="N344" s="339" t="str">
        <x:v>Not Started</x:v>
      </x:c>
    </x:row>
    <x:row r="345">
      <x:c r="A345" s="339" t="str">
        <x:v>US-0344</x:v>
      </x:c>
      <x:c r="B345" s="339" t="str">
        <x:v>EP-015</x:v>
      </x:c>
      <x:c r="C345" s="339" t="str">
        <x:v>SCR-172</x:v>
      </x:c>
      <x:c r="D345" s="339" t="str">
        <x:v>HR / Leave / Payroll</x:v>
      </x:c>
      <x:c r="E345" s="339" t="str">
        <x:v>Recruitment Requisitions</x:v>
      </x:c>
      <x:c r="F345" s="339" t="str">
        <x:v>HR</x:v>
      </x:c>
      <x:c r="G345" s="339" t="str">
        <x:v>As a HR, I want recruitment requisitions to enforce status, approval &amp; exception handling rules so that data quality, permissions and traceability are protected.</x:v>
      </x:c>
      <x:c r="H345" s="339" t="str">
        <x:v>Status, Approval &amp; Exception Handling</x:v>
      </x:c>
      <x:c r="I345" s="339" t="str">
        <x:v>Phase 2</x:v>
      </x:c>
      <x:c r="J345" s="339" t="str">
        <x:v>Phase 2</x:v>
      </x:c>
      <x:c r="K345" s="339" t="str">
        <x:v>High</x:v>
      </x:c>
      <x:c r="L345" s="339" t="n">
        <x:v>9</x:v>
      </x:c>
      <x:c r="M345" s="339" t="str">
        <x:v>Staff master, attendance, payroll rules, finance, identity</x:v>
      </x:c>
      <x:c r="N345" s="339" t="str">
        <x:v>Not Started</x:v>
      </x:c>
    </x:row>
    <x:row r="346">
      <x:c r="A346" s="339" t="str">
        <x:v>US-0345</x:v>
      </x:c>
      <x:c r="B346" s="339" t="str">
        <x:v>EP-015</x:v>
      </x:c>
      <x:c r="C346" s="339" t="str">
        <x:v>SCR-173</x:v>
      </x:c>
      <x:c r="D346" s="339" t="str">
        <x:v>HR / Leave / Payroll</x:v>
      </x:c>
      <x:c r="E346" s="339" t="str">
        <x:v>Job Openings</x:v>
      </x:c>
      <x:c r="F346" s="339" t="str">
        <x:v>HR</x:v>
      </x:c>
      <x:c r="G346" s="339" t="str">
        <x:v>As a HR, I want to find and manage job openings so that employee operations and payroll stay compliant and accurate.</x:v>
      </x:c>
      <x:c r="H346" s="339" t="str">
        <x:v>Primary Workflow</x:v>
      </x:c>
      <x:c r="I346" s="339" t="str">
        <x:v>Phase 2</x:v>
      </x:c>
      <x:c r="J346" s="339" t="str">
        <x:v>Phase 2</x:v>
      </x:c>
      <x:c r="K346" s="339" t="str">
        <x:v>High</x:v>
      </x:c>
      <x:c r="L346" s="339" t="n">
        <x:v>8</x:v>
      </x:c>
      <x:c r="M346" s="339" t="str">
        <x:v>Staff master, attendance, payroll rules, finance, identity</x:v>
      </x:c>
      <x:c r="N346" s="339" t="str">
        <x:v>Not Started</x:v>
      </x:c>
    </x:row>
    <x:row r="347">
      <x:c r="A347" s="339" t="str">
        <x:v>US-0346</x:v>
      </x:c>
      <x:c r="B347" s="339" t="str">
        <x:v>EP-015</x:v>
      </x:c>
      <x:c r="C347" s="339" t="str">
        <x:v>SCR-173</x:v>
      </x:c>
      <x:c r="D347" s="339" t="str">
        <x:v>HR / Leave / Payroll</x:v>
      </x:c>
      <x:c r="E347" s="339" t="str">
        <x:v>Job Openings</x:v>
      </x:c>
      <x:c r="F347" s="339" t="str">
        <x:v>HR</x:v>
      </x:c>
      <x:c r="G347" s="339" t="str">
        <x:v>As a HR, I want job openings to enforce search, filter &amp; controlled actions rules so that data quality, permissions and traceability are protected.</x:v>
      </x:c>
      <x:c r="H347" s="339" t="str">
        <x:v>Search, Filter &amp; Controlled Actions</x:v>
      </x:c>
      <x:c r="I347" s="339" t="str">
        <x:v>Phase 2</x:v>
      </x:c>
      <x:c r="J347" s="339" t="str">
        <x:v>Phase 2</x:v>
      </x:c>
      <x:c r="K347" s="339" t="str">
        <x:v>High</x:v>
      </x:c>
      <x:c r="L347" s="339" t="n">
        <x:v>6</x:v>
      </x:c>
      <x:c r="M347" s="339" t="str">
        <x:v>Staff master, attendance, payroll rules, finance, identity</x:v>
      </x:c>
      <x:c r="N347" s="339" t="str">
        <x:v>Not Started</x:v>
      </x:c>
    </x:row>
    <x:row r="348">
      <x:c r="A348" s="339" t="str">
        <x:v>US-0347</x:v>
      </x:c>
      <x:c r="B348" s="339" t="str">
        <x:v>EP-015</x:v>
      </x:c>
      <x:c r="C348" s="339" t="str">
        <x:v>SCR-174</x:v>
      </x:c>
      <x:c r="D348" s="339" t="str">
        <x:v>HR / Leave / Payroll</x:v>
      </x:c>
      <x:c r="E348" s="339" t="str">
        <x:v>Candidate Applications</x:v>
      </x:c>
      <x:c r="F348" s="339" t="str">
        <x:v>HR</x:v>
      </x:c>
      <x:c r="G348" s="339" t="str">
        <x:v>As a HR, I want to find and manage candidate applications so that employee operations and payroll stay compliant and accurate.</x:v>
      </x:c>
      <x:c r="H348" s="339" t="str">
        <x:v>Primary Workflow</x:v>
      </x:c>
      <x:c r="I348" s="339" t="str">
        <x:v>Phase 2</x:v>
      </x:c>
      <x:c r="J348" s="339" t="str">
        <x:v>Phase 2</x:v>
      </x:c>
      <x:c r="K348" s="339" t="str">
        <x:v>High</x:v>
      </x:c>
      <x:c r="L348" s="339" t="n">
        <x:v>8</x:v>
      </x:c>
      <x:c r="M348" s="339" t="str">
        <x:v>Staff master, attendance, payroll rules, finance, identity</x:v>
      </x:c>
      <x:c r="N348" s="339" t="str">
        <x:v>Not Started</x:v>
      </x:c>
    </x:row>
    <x:row r="349">
      <x:c r="A349" s="339" t="str">
        <x:v>US-0348</x:v>
      </x:c>
      <x:c r="B349" s="339" t="str">
        <x:v>EP-015</x:v>
      </x:c>
      <x:c r="C349" s="339" t="str">
        <x:v>SCR-174</x:v>
      </x:c>
      <x:c r="D349" s="339" t="str">
        <x:v>HR / Leave / Payroll</x:v>
      </x:c>
      <x:c r="E349" s="339" t="str">
        <x:v>Candidate Applications</x:v>
      </x:c>
      <x:c r="F349" s="339" t="str">
        <x:v>HR</x:v>
      </x:c>
      <x:c r="G349" s="339" t="str">
        <x:v>As a HR, I want candidate applications to enforce search, filter &amp; controlled actions rules so that data quality, permissions and traceability are protected.</x:v>
      </x:c>
      <x:c r="H349" s="339" t="str">
        <x:v>Search, Filter &amp; Controlled Actions</x:v>
      </x:c>
      <x:c r="I349" s="339" t="str">
        <x:v>Phase 2</x:v>
      </x:c>
      <x:c r="J349" s="339" t="str">
        <x:v>Phase 2</x:v>
      </x:c>
      <x:c r="K349" s="339" t="str">
        <x:v>High</x:v>
      </x:c>
      <x:c r="L349" s="339" t="n">
        <x:v>6</x:v>
      </x:c>
      <x:c r="M349" s="339" t="str">
        <x:v>Staff master, attendance, payroll rules, finance, identity</x:v>
      </x:c>
      <x:c r="N349" s="339" t="str">
        <x:v>Not Started</x:v>
      </x:c>
    </x:row>
    <x:row r="350">
      <x:c r="A350" s="339" t="str">
        <x:v>US-0349</x:v>
      </x:c>
      <x:c r="B350" s="339" t="str">
        <x:v>EP-015</x:v>
      </x:c>
      <x:c r="C350" s="339" t="str">
        <x:v>SCR-175</x:v>
      </x:c>
      <x:c r="D350" s="339" t="str">
        <x:v>HR / Leave / Payroll</x:v>
      </x:c>
      <x:c r="E350" s="339" t="str">
        <x:v>Candidate Details</x:v>
      </x:c>
      <x:c r="F350" s="339" t="str">
        <x:v>HR</x:v>
      </x:c>
      <x:c r="G350" s="339" t="str">
        <x:v>As a HR, I want to review and maintain candidate details so that employee operations and payroll stay compliant and accurate.</x:v>
      </x:c>
      <x:c r="H350" s="339" t="str">
        <x:v>Primary Workflow</x:v>
      </x:c>
      <x:c r="I350" s="339" t="str">
        <x:v>Phase 2</x:v>
      </x:c>
      <x:c r="J350" s="339" t="str">
        <x:v>Phase 2</x:v>
      </x:c>
      <x:c r="K350" s="339" t="str">
        <x:v>High</x:v>
      </x:c>
      <x:c r="L350" s="339" t="n">
        <x:v>8</x:v>
      </x:c>
      <x:c r="M350" s="339" t="str">
        <x:v>Staff master, attendance, payroll rules, finance, identity</x:v>
      </x:c>
      <x:c r="N350" s="339" t="str">
        <x:v>Not Started</x:v>
      </x:c>
    </x:row>
    <x:row r="351">
      <x:c r="A351" s="339" t="str">
        <x:v>US-0350</x:v>
      </x:c>
      <x:c r="B351" s="339" t="str">
        <x:v>EP-015</x:v>
      </x:c>
      <x:c r="C351" s="339" t="str">
        <x:v>SCR-175</x:v>
      </x:c>
      <x:c r="D351" s="339" t="str">
        <x:v>HR / Leave / Payroll</x:v>
      </x:c>
      <x:c r="E351" s="339" t="str">
        <x:v>Candidate Details</x:v>
      </x:c>
      <x:c r="F351" s="339" t="str">
        <x:v>HR</x:v>
      </x:c>
      <x:c r="G351" s="339" t="str">
        <x:v>As a HR, I want candidate details to enforce history, edit &amp; audit rules so that data quality, permissions and traceability are protected.</x:v>
      </x:c>
      <x:c r="H351" s="339" t="str">
        <x:v>History, Edit &amp; Audit</x:v>
      </x:c>
      <x:c r="I351" s="339" t="str">
        <x:v>Phase 2</x:v>
      </x:c>
      <x:c r="J351" s="339" t="str">
        <x:v>Phase 2</x:v>
      </x:c>
      <x:c r="K351" s="339" t="str">
        <x:v>High</x:v>
      </x:c>
      <x:c r="L351" s="339" t="n">
        <x:v>6</x:v>
      </x:c>
      <x:c r="M351" s="339" t="str">
        <x:v>Staff master, attendance, payroll rules, finance, identity</x:v>
      </x:c>
      <x:c r="N351" s="339" t="str">
        <x:v>Not Started</x:v>
      </x:c>
    </x:row>
    <x:row r="352">
      <x:c r="A352" s="339" t="str">
        <x:v>US-0351</x:v>
      </x:c>
      <x:c r="B352" s="339" t="str">
        <x:v>EP-015</x:v>
      </x:c>
      <x:c r="C352" s="339" t="str">
        <x:v>SCR-176</x:v>
      </x:c>
      <x:c r="D352" s="339" t="str">
        <x:v>HR / Leave / Payroll</x:v>
      </x:c>
      <x:c r="E352" s="339" t="str">
        <x:v>Interview Schedule</x:v>
      </x:c>
      <x:c r="F352" s="339" t="str">
        <x:v>HR</x:v>
      </x:c>
      <x:c r="G352" s="339" t="str">
        <x:v>As a HR, I want to plan and review interview schedule so that employee operations and payroll stay compliant and accurate.</x:v>
      </x:c>
      <x:c r="H352" s="339" t="str">
        <x:v>Primary Workflow</x:v>
      </x:c>
      <x:c r="I352" s="339" t="str">
        <x:v>Phase 2</x:v>
      </x:c>
      <x:c r="J352" s="339" t="str">
        <x:v>Phase 2</x:v>
      </x:c>
      <x:c r="K352" s="339" t="str">
        <x:v>High</x:v>
      </x:c>
      <x:c r="L352" s="339" t="n">
        <x:v>11</x:v>
      </x:c>
      <x:c r="M352" s="339" t="str">
        <x:v>Staff master, attendance, payroll rules, finance, identity</x:v>
      </x:c>
      <x:c r="N352" s="339" t="str">
        <x:v>Not Started</x:v>
      </x:c>
    </x:row>
    <x:row r="353">
      <x:c r="A353" s="339" t="str">
        <x:v>US-0352</x:v>
      </x:c>
      <x:c r="B353" s="339" t="str">
        <x:v>EP-015</x:v>
      </x:c>
      <x:c r="C353" s="339" t="str">
        <x:v>SCR-176</x:v>
      </x:c>
      <x:c r="D353" s="339" t="str">
        <x:v>HR / Leave / Payroll</x:v>
      </x:c>
      <x:c r="E353" s="339" t="str">
        <x:v>Interview Schedule</x:v>
      </x:c>
      <x:c r="F353" s="339" t="str">
        <x:v>HR</x:v>
      </x:c>
      <x:c r="G353" s="339" t="str">
        <x:v>As a HR, I want interview schedule to enforce conflict detection &amp; rescheduling rules so that data quality, permissions and traceability are protected.</x:v>
      </x:c>
      <x:c r="H353" s="339" t="str">
        <x:v>Conflict Detection &amp; Rescheduling</x:v>
      </x:c>
      <x:c r="I353" s="339" t="str">
        <x:v>Phase 2</x:v>
      </x:c>
      <x:c r="J353" s="339" t="str">
        <x:v>Phase 2</x:v>
      </x:c>
      <x:c r="K353" s="339" t="str">
        <x:v>High</x:v>
      </x:c>
      <x:c r="L353" s="339" t="n">
        <x:v>9</x:v>
      </x:c>
      <x:c r="M353" s="339" t="str">
        <x:v>Staff master, attendance, payroll rules, finance, identity</x:v>
      </x:c>
      <x:c r="N353" s="339" t="str">
        <x:v>Not Started</x:v>
      </x:c>
    </x:row>
    <x:row r="354">
      <x:c r="A354" s="339" t="str">
        <x:v>US-0353</x:v>
      </x:c>
      <x:c r="B354" s="339" t="str">
        <x:v>EP-015</x:v>
      </x:c>
      <x:c r="C354" s="339" t="str">
        <x:v>SCR-177</x:v>
      </x:c>
      <x:c r="D354" s="339" t="str">
        <x:v>HR / Leave / Payroll</x:v>
      </x:c>
      <x:c r="E354" s="339" t="str">
        <x:v>Offer &amp; Appointment</x:v>
      </x:c>
      <x:c r="F354" s="339" t="str">
        <x:v>HR</x:v>
      </x:c>
      <x:c r="G354" s="339" t="str">
        <x:v>As a HR, I want to manage offer &amp; appointment so that employee operations and payroll stay compliant and accurate.</x:v>
      </x:c>
      <x:c r="H354" s="339" t="str">
        <x:v>Primary Workflow</x:v>
      </x:c>
      <x:c r="I354" s="339" t="str">
        <x:v>Phase 2</x:v>
      </x:c>
      <x:c r="J354" s="339" t="str">
        <x:v>Phase 2</x:v>
      </x:c>
      <x:c r="K354" s="339" t="str">
        <x:v>High</x:v>
      </x:c>
      <x:c r="L354" s="339" t="n">
        <x:v>11</x:v>
      </x:c>
      <x:c r="M354" s="339" t="str">
        <x:v>Staff master, attendance, payroll rules, finance, identity</x:v>
      </x:c>
      <x:c r="N354" s="339" t="str">
        <x:v>Not Started</x:v>
      </x:c>
    </x:row>
    <x:row r="355">
      <x:c r="A355" s="339" t="str">
        <x:v>US-0354</x:v>
      </x:c>
      <x:c r="B355" s="339" t="str">
        <x:v>EP-015</x:v>
      </x:c>
      <x:c r="C355" s="339" t="str">
        <x:v>SCR-177</x:v>
      </x:c>
      <x:c r="D355" s="339" t="str">
        <x:v>HR / Leave / Payroll</x:v>
      </x:c>
      <x:c r="E355" s="339" t="str">
        <x:v>Offer &amp; Appointment</x:v>
      </x:c>
      <x:c r="F355" s="339" t="str">
        <x:v>HR</x:v>
      </x:c>
      <x:c r="G355" s="339" t="str">
        <x:v>As a HR, I want offer &amp; appointment to enforce status, approval &amp; exception handling rules so that data quality, permissions and traceability are protected.</x:v>
      </x:c>
      <x:c r="H355" s="339" t="str">
        <x:v>Status, Approval &amp; Exception Handling</x:v>
      </x:c>
      <x:c r="I355" s="339" t="str">
        <x:v>Phase 2</x:v>
      </x:c>
      <x:c r="J355" s="339" t="str">
        <x:v>Phase 2</x:v>
      </x:c>
      <x:c r="K355" s="339" t="str">
        <x:v>High</x:v>
      </x:c>
      <x:c r="L355" s="339" t="n">
        <x:v>9</x:v>
      </x:c>
      <x:c r="M355" s="339" t="str">
        <x:v>Staff master, attendance, payroll rules, finance, identity</x:v>
      </x:c>
      <x:c r="N355" s="339" t="str">
        <x:v>Not Started</x:v>
      </x:c>
    </x:row>
    <x:row r="356">
      <x:c r="A356" s="339" t="str">
        <x:v>US-0355</x:v>
      </x:c>
      <x:c r="B356" s="339" t="str">
        <x:v>EP-015</x:v>
      </x:c>
      <x:c r="C356" s="339" t="str">
        <x:v>SCR-178</x:v>
      </x:c>
      <x:c r="D356" s="339" t="str">
        <x:v>HR / Leave / Payroll</x:v>
      </x:c>
      <x:c r="E356" s="339" t="str">
        <x:v>Employee Onboarding Checklist</x:v>
      </x:c>
      <x:c r="F356" s="339" t="str">
        <x:v>HR</x:v>
      </x:c>
      <x:c r="G356" s="339" t="str">
        <x:v>As a HR, I want to find and manage employee onboarding checklist so that employee operations and payroll stay compliant and accurate.</x:v>
      </x:c>
      <x:c r="H356" s="339" t="str">
        <x:v>Primary Workflow</x:v>
      </x:c>
      <x:c r="I356" s="339" t="str">
        <x:v>Phase 2</x:v>
      </x:c>
      <x:c r="J356" s="339" t="str">
        <x:v>Phase 2</x:v>
      </x:c>
      <x:c r="K356" s="339" t="str">
        <x:v>High</x:v>
      </x:c>
      <x:c r="L356" s="339" t="n">
        <x:v>8</x:v>
      </x:c>
      <x:c r="M356" s="339" t="str">
        <x:v>Staff master, attendance, payroll rules, finance, identity</x:v>
      </x:c>
      <x:c r="N356" s="339" t="str">
        <x:v>Not Started</x:v>
      </x:c>
    </x:row>
    <x:row r="357">
      <x:c r="A357" s="339" t="str">
        <x:v>US-0356</x:v>
      </x:c>
      <x:c r="B357" s="339" t="str">
        <x:v>EP-015</x:v>
      </x:c>
      <x:c r="C357" s="339" t="str">
        <x:v>SCR-178</x:v>
      </x:c>
      <x:c r="D357" s="339" t="str">
        <x:v>HR / Leave / Payroll</x:v>
      </x:c>
      <x:c r="E357" s="339" t="str">
        <x:v>Employee Onboarding Checklist</x:v>
      </x:c>
      <x:c r="F357" s="339" t="str">
        <x:v>HR</x:v>
      </x:c>
      <x:c r="G357" s="339" t="str">
        <x:v>As a HR, I want employee onboarding checklist to enforce search, filter &amp; controlled actions rules so that data quality, permissions and traceability are protected.</x:v>
      </x:c>
      <x:c r="H357" s="339" t="str">
        <x:v>Search, Filter &amp; Controlled Actions</x:v>
      </x:c>
      <x:c r="I357" s="339" t="str">
        <x:v>Phase 2</x:v>
      </x:c>
      <x:c r="J357" s="339" t="str">
        <x:v>Phase 2</x:v>
      </x:c>
      <x:c r="K357" s="339" t="str">
        <x:v>High</x:v>
      </x:c>
      <x:c r="L357" s="339" t="n">
        <x:v>6</x:v>
      </x:c>
      <x:c r="M357" s="339" t="str">
        <x:v>Staff master, attendance, payroll rules, finance, identity</x:v>
      </x:c>
      <x:c r="N357" s="339" t="str">
        <x:v>Not Started</x:v>
      </x:c>
    </x:row>
    <x:row r="358">
      <x:c r="A358" s="339" t="str">
        <x:v>US-0357</x:v>
      </x:c>
      <x:c r="B358" s="339" t="str">
        <x:v>EP-015</x:v>
      </x:c>
      <x:c r="C358" s="339" t="str">
        <x:v>SCR-179</x:v>
      </x:c>
      <x:c r="D358" s="339" t="str">
        <x:v>HR / Leave / Payroll</x:v>
      </x:c>
      <x:c r="E358" s="339" t="str">
        <x:v>Staff Attendance Management</x:v>
      </x:c>
      <x:c r="F358" s="339" t="str">
        <x:v>HR</x:v>
      </x:c>
      <x:c r="G358" s="339" t="str">
        <x:v>As a HR, I want to manage staff attendance management so that employee operations and payroll stay compliant and accurate.</x:v>
      </x:c>
      <x:c r="H358" s="339" t="str">
        <x:v>Primary Workflow</x:v>
      </x:c>
      <x:c r="I358" s="339" t="str">
        <x:v>Phase 3</x:v>
      </x:c>
      <x:c r="J358" s="339" t="str">
        <x:v>Phase 3</x:v>
      </x:c>
      <x:c r="K358" s="339" t="str">
        <x:v>High</x:v>
      </x:c>
      <x:c r="L358" s="339" t="n">
        <x:v>11</x:v>
      </x:c>
      <x:c r="M358" s="339" t="str">
        <x:v>Staff master, attendance, payroll rules, finance, identity</x:v>
      </x:c>
      <x:c r="N358" s="339" t="str">
        <x:v>Not Started</x:v>
      </x:c>
    </x:row>
    <x:row r="359">
      <x:c r="A359" s="339" t="str">
        <x:v>US-0358</x:v>
      </x:c>
      <x:c r="B359" s="339" t="str">
        <x:v>EP-015</x:v>
      </x:c>
      <x:c r="C359" s="339" t="str">
        <x:v>SCR-179</x:v>
      </x:c>
      <x:c r="D359" s="339" t="str">
        <x:v>HR / Leave / Payroll</x:v>
      </x:c>
      <x:c r="E359" s="339" t="str">
        <x:v>Staff Attendance Management</x:v>
      </x:c>
      <x:c r="F359" s="339" t="str">
        <x:v>HR</x:v>
      </x:c>
      <x:c r="G359" s="339" t="str">
        <x:v>As a HR, I want staff attendance management to enforce status, approval &amp; exception handling rules so that data quality, permissions and traceability are protected.</x:v>
      </x:c>
      <x:c r="H359" s="339" t="str">
        <x:v>Status, Approval &amp; Exception Handling</x:v>
      </x:c>
      <x:c r="I359" s="339" t="str">
        <x:v>Phase 3</x:v>
      </x:c>
      <x:c r="J359" s="339" t="str">
        <x:v>Phase 3</x:v>
      </x:c>
      <x:c r="K359" s="339" t="str">
        <x:v>High</x:v>
      </x:c>
      <x:c r="L359" s="339" t="n">
        <x:v>9</x:v>
      </x:c>
      <x:c r="M359" s="339" t="str">
        <x:v>Staff master, attendance, payroll rules, finance, identity</x:v>
      </x:c>
      <x:c r="N359" s="339" t="str">
        <x:v>Not Started</x:v>
      </x:c>
    </x:row>
    <x:row r="360">
      <x:c r="A360" s="339" t="str">
        <x:v>US-0359</x:v>
      </x:c>
      <x:c r="B360" s="339" t="str">
        <x:v>EP-015</x:v>
      </x:c>
      <x:c r="C360" s="339" t="str">
        <x:v>SCR-180</x:v>
      </x:c>
      <x:c r="D360" s="339" t="str">
        <x:v>HR / Leave / Payroll</x:v>
      </x:c>
      <x:c r="E360" s="339" t="str">
        <x:v>Leave Policies</x:v>
      </x:c>
      <x:c r="F360" s="339" t="str">
        <x:v>HR</x:v>
      </x:c>
      <x:c r="G360" s="339" t="str">
        <x:v>As a HR, I want to manage leave policies so that employee operations and payroll stay compliant and accurate.</x:v>
      </x:c>
      <x:c r="H360" s="339" t="str">
        <x:v>Primary Workflow</x:v>
      </x:c>
      <x:c r="I360" s="339" t="str">
        <x:v>Phase 3</x:v>
      </x:c>
      <x:c r="J360" s="339" t="str">
        <x:v>Phase 3</x:v>
      </x:c>
      <x:c r="K360" s="339" t="str">
        <x:v>High</x:v>
      </x:c>
      <x:c r="L360" s="339" t="n">
        <x:v>11</x:v>
      </x:c>
      <x:c r="M360" s="339" t="str">
        <x:v>Staff master, attendance, payroll rules, finance, identity</x:v>
      </x:c>
      <x:c r="N360" s="339" t="str">
        <x:v>Not Started</x:v>
      </x:c>
    </x:row>
    <x:row r="361">
      <x:c r="A361" s="339" t="str">
        <x:v>US-0360</x:v>
      </x:c>
      <x:c r="B361" s="339" t="str">
        <x:v>EP-015</x:v>
      </x:c>
      <x:c r="C361" s="339" t="str">
        <x:v>SCR-180</x:v>
      </x:c>
      <x:c r="D361" s="339" t="str">
        <x:v>HR / Leave / Payroll</x:v>
      </x:c>
      <x:c r="E361" s="339" t="str">
        <x:v>Leave Policies</x:v>
      </x:c>
      <x:c r="F361" s="339" t="str">
        <x:v>HR</x:v>
      </x:c>
      <x:c r="G361" s="339" t="str">
        <x:v>As a HR, I want leave policies to enforce status, approval &amp; exception handling rules so that data quality, permissions and traceability are protected.</x:v>
      </x:c>
      <x:c r="H361" s="339" t="str">
        <x:v>Status, Approval &amp; Exception Handling</x:v>
      </x:c>
      <x:c r="I361" s="339" t="str">
        <x:v>Phase 3</x:v>
      </x:c>
      <x:c r="J361" s="339" t="str">
        <x:v>Phase 3</x:v>
      </x:c>
      <x:c r="K361" s="339" t="str">
        <x:v>High</x:v>
      </x:c>
      <x:c r="L361" s="339" t="n">
        <x:v>9</x:v>
      </x:c>
      <x:c r="M361" s="339" t="str">
        <x:v>Staff master, attendance, payroll rules, finance, identity</x:v>
      </x:c>
      <x:c r="N361" s="339" t="str">
        <x:v>Not Started</x:v>
      </x:c>
    </x:row>
    <x:row r="362">
      <x:c r="A362" s="339" t="str">
        <x:v>US-0361</x:v>
      </x:c>
      <x:c r="B362" s="339" t="str">
        <x:v>EP-015</x:v>
      </x:c>
      <x:c r="C362" s="339" t="str">
        <x:v>SCR-181</x:v>
      </x:c>
      <x:c r="D362" s="339" t="str">
        <x:v>HR / Leave / Payroll</x:v>
      </x:c>
      <x:c r="E362" s="339" t="str">
        <x:v>Staff Leave Requests</x:v>
      </x:c>
      <x:c r="F362" s="339" t="str">
        <x:v>HR</x:v>
      </x:c>
      <x:c r="G362" s="339" t="str">
        <x:v>As a HR, I want to manage staff leave requests so that employee operations and payroll stay compliant and accurate.</x:v>
      </x:c>
      <x:c r="H362" s="339" t="str">
        <x:v>Primary Workflow</x:v>
      </x:c>
      <x:c r="I362" s="339" t="str">
        <x:v>Phase 3</x:v>
      </x:c>
      <x:c r="J362" s="339" t="str">
        <x:v>Phase 3</x:v>
      </x:c>
      <x:c r="K362" s="339" t="str">
        <x:v>High</x:v>
      </x:c>
      <x:c r="L362" s="339" t="n">
        <x:v>11</x:v>
      </x:c>
      <x:c r="M362" s="339" t="str">
        <x:v>Staff master, attendance, payroll rules, finance, identity</x:v>
      </x:c>
      <x:c r="N362" s="339" t="str">
        <x:v>Not Started</x:v>
      </x:c>
    </x:row>
    <x:row r="363">
      <x:c r="A363" s="339" t="str">
        <x:v>US-0362</x:v>
      </x:c>
      <x:c r="B363" s="339" t="str">
        <x:v>EP-015</x:v>
      </x:c>
      <x:c r="C363" s="339" t="str">
        <x:v>SCR-181</x:v>
      </x:c>
      <x:c r="D363" s="339" t="str">
        <x:v>HR / Leave / Payroll</x:v>
      </x:c>
      <x:c r="E363" s="339" t="str">
        <x:v>Staff Leave Requests</x:v>
      </x:c>
      <x:c r="F363" s="339" t="str">
        <x:v>HR</x:v>
      </x:c>
      <x:c r="G363" s="339" t="str">
        <x:v>As a HR, I want staff leave requests to enforce status, approval &amp; exception handling rules so that data quality, permissions and traceability are protected.</x:v>
      </x:c>
      <x:c r="H363" s="339" t="str">
        <x:v>Status, Approval &amp; Exception Handling</x:v>
      </x:c>
      <x:c r="I363" s="339" t="str">
        <x:v>Phase 3</x:v>
      </x:c>
      <x:c r="J363" s="339" t="str">
        <x:v>Phase 3</x:v>
      </x:c>
      <x:c r="K363" s="339" t="str">
        <x:v>High</x:v>
      </x:c>
      <x:c r="L363" s="339" t="n">
        <x:v>9</x:v>
      </x:c>
      <x:c r="M363" s="339" t="str">
        <x:v>Staff master, attendance, payroll rules, finance, identity</x:v>
      </x:c>
      <x:c r="N363" s="339" t="str">
        <x:v>Not Started</x:v>
      </x:c>
    </x:row>
    <x:row r="364">
      <x:c r="A364" s="339" t="str">
        <x:v>US-0363</x:v>
      </x:c>
      <x:c r="B364" s="339" t="str">
        <x:v>EP-015</x:v>
      </x:c>
      <x:c r="C364" s="339" t="str">
        <x:v>SCR-182</x:v>
      </x:c>
      <x:c r="D364" s="339" t="str">
        <x:v>HR / Leave / Payroll</x:v>
      </x:c>
      <x:c r="E364" s="339" t="str">
        <x:v>Leave Approval</x:v>
      </x:c>
      <x:c r="F364" s="339" t="str">
        <x:v>HR</x:v>
      </x:c>
      <x:c r="G364" s="339" t="str">
        <x:v>As a HR, I want to review and decide leave approval so that employee operations and payroll stay compliant and accurate.</x:v>
      </x:c>
      <x:c r="H364" s="339" t="str">
        <x:v>Primary Workflow</x:v>
      </x:c>
      <x:c r="I364" s="339" t="str">
        <x:v>Phase 3</x:v>
      </x:c>
      <x:c r="J364" s="339" t="str">
        <x:v>Phase 3</x:v>
      </x:c>
      <x:c r="K364" s="339" t="str">
        <x:v>High</x:v>
      </x:c>
      <x:c r="L364" s="339" t="n">
        <x:v>11</x:v>
      </x:c>
      <x:c r="M364" s="339" t="str">
        <x:v>Staff master, attendance, payroll rules, finance, identity</x:v>
      </x:c>
      <x:c r="N364" s="339" t="str">
        <x:v>Not Started</x:v>
      </x:c>
    </x:row>
    <x:row r="365">
      <x:c r="A365" s="339" t="str">
        <x:v>US-0364</x:v>
      </x:c>
      <x:c r="B365" s="339" t="str">
        <x:v>EP-015</x:v>
      </x:c>
      <x:c r="C365" s="339" t="str">
        <x:v>SCR-182</x:v>
      </x:c>
      <x:c r="D365" s="339" t="str">
        <x:v>HR / Leave / Payroll</x:v>
      </x:c>
      <x:c r="E365" s="339" t="str">
        <x:v>Leave Approval</x:v>
      </x:c>
      <x:c r="F365" s="339" t="str">
        <x:v>HR</x:v>
      </x:c>
      <x:c r="G365" s="339" t="str">
        <x:v>As a HR, I want leave approval to enforce status, approval &amp; exception handling rules so that data quality, permissions and traceability are protected.</x:v>
      </x:c>
      <x:c r="H365" s="339" t="str">
        <x:v>Status, Approval &amp; Exception Handling</x:v>
      </x:c>
      <x:c r="I365" s="339" t="str">
        <x:v>Phase 3</x:v>
      </x:c>
      <x:c r="J365" s="339" t="str">
        <x:v>Phase 3</x:v>
      </x:c>
      <x:c r="K365" s="339" t="str">
        <x:v>High</x:v>
      </x:c>
      <x:c r="L365" s="339" t="n">
        <x:v>9</x:v>
      </x:c>
      <x:c r="M365" s="339" t="str">
        <x:v>Staff master, attendance, payroll rules, finance, identity</x:v>
      </x:c>
      <x:c r="N365" s="339" t="str">
        <x:v>Not Started</x:v>
      </x:c>
    </x:row>
    <x:row r="366">
      <x:c r="A366" s="339" t="str">
        <x:v>US-0365</x:v>
      </x:c>
      <x:c r="B366" s="339" t="str">
        <x:v>EP-015</x:v>
      </x:c>
      <x:c r="C366" s="339" t="str">
        <x:v>SCR-183</x:v>
      </x:c>
      <x:c r="D366" s="339" t="str">
        <x:v>HR / Leave / Payroll</x:v>
      </x:c>
      <x:c r="E366" s="339" t="str">
        <x:v>Payroll Setup</x:v>
      </x:c>
      <x:c r="F366" s="339" t="str">
        <x:v>HR</x:v>
      </x:c>
      <x:c r="G366" s="339" t="str">
        <x:v>As a HR, I want to configure payroll setup so that employee operations and payroll stay compliant and accurate.</x:v>
      </x:c>
      <x:c r="H366" s="339" t="str">
        <x:v>Primary Workflow</x:v>
      </x:c>
      <x:c r="I366" s="339" t="str">
        <x:v>Phase 3</x:v>
      </x:c>
      <x:c r="J366" s="339" t="str">
        <x:v>Phase 3</x:v>
      </x:c>
      <x:c r="K366" s="339" t="str">
        <x:v>High</x:v>
      </x:c>
      <x:c r="L366" s="339" t="n">
        <x:v>8</x:v>
      </x:c>
      <x:c r="M366" s="339" t="str">
        <x:v>Staff master, attendance, payroll rules, finance, identity</x:v>
      </x:c>
      <x:c r="N366" s="339" t="str">
        <x:v>Not Started</x:v>
      </x:c>
    </x:row>
    <x:row r="367">
      <x:c r="A367" s="339" t="str">
        <x:v>US-0366</x:v>
      </x:c>
      <x:c r="B367" s="339" t="str">
        <x:v>EP-015</x:v>
      </x:c>
      <x:c r="C367" s="339" t="str">
        <x:v>SCR-183</x:v>
      </x:c>
      <x:c r="D367" s="339" t="str">
        <x:v>HR / Leave / Payroll</x:v>
      </x:c>
      <x:c r="E367" s="339" t="str">
        <x:v>Payroll Setup</x:v>
      </x:c>
      <x:c r="F367" s="339" t="str">
        <x:v>HR</x:v>
      </x:c>
      <x:c r="G367" s="339" t="str">
        <x:v>As a HR, I want payroll setup to enforce validation &amp; duplicate prevention rules so that data quality, permissions and traceability are protected.</x:v>
      </x:c>
      <x:c r="H367" s="339" t="str">
        <x:v>Validation &amp; Duplicate Prevention</x:v>
      </x:c>
      <x:c r="I367" s="339" t="str">
        <x:v>Phase 3</x:v>
      </x:c>
      <x:c r="J367" s="339" t="str">
        <x:v>Phase 3</x:v>
      </x:c>
      <x:c r="K367" s="339" t="str">
        <x:v>High</x:v>
      </x:c>
      <x:c r="L367" s="339" t="n">
        <x:v>6</x:v>
      </x:c>
      <x:c r="M367" s="339" t="str">
        <x:v>Staff master, attendance, payroll rules, finance, identity</x:v>
      </x:c>
      <x:c r="N367" s="339" t="str">
        <x:v>Not Started</x:v>
      </x:c>
    </x:row>
    <x:row r="368">
      <x:c r="A368" s="339" t="str">
        <x:v>US-0367</x:v>
      </x:c>
      <x:c r="B368" s="339" t="str">
        <x:v>EP-015</x:v>
      </x:c>
      <x:c r="C368" s="339" t="str">
        <x:v>SCR-184</x:v>
      </x:c>
      <x:c r="D368" s="339" t="str">
        <x:v>HR / Leave / Payroll</x:v>
      </x:c>
      <x:c r="E368" s="339" t="str">
        <x:v>Payroll Processing</x:v>
      </x:c>
      <x:c r="F368" s="339" t="str">
        <x:v>HR</x:v>
      </x:c>
      <x:c r="G368" s="339" t="str">
        <x:v>As a HR, I want to create or process payroll processing so that employee operations and payroll stay compliant and accurate.</x:v>
      </x:c>
      <x:c r="H368" s="339" t="str">
        <x:v>Primary Workflow</x:v>
      </x:c>
      <x:c r="I368" s="339" t="str">
        <x:v>Phase 3</x:v>
      </x:c>
      <x:c r="J368" s="339" t="str">
        <x:v>Phase 3</x:v>
      </x:c>
      <x:c r="K368" s="339" t="str">
        <x:v>High</x:v>
      </x:c>
      <x:c r="L368" s="339" t="n">
        <x:v>8</x:v>
      </x:c>
      <x:c r="M368" s="339" t="str">
        <x:v>Staff master, attendance, payroll rules, finance, identity</x:v>
      </x:c>
      <x:c r="N368" s="339" t="str">
        <x:v>Not Started</x:v>
      </x:c>
    </x:row>
    <x:row r="369">
      <x:c r="A369" s="339" t="str">
        <x:v>US-0368</x:v>
      </x:c>
      <x:c r="B369" s="339" t="str">
        <x:v>EP-015</x:v>
      </x:c>
      <x:c r="C369" s="339" t="str">
        <x:v>SCR-184</x:v>
      </x:c>
      <x:c r="D369" s="339" t="str">
        <x:v>HR / Leave / Payroll</x:v>
      </x:c>
      <x:c r="E369" s="339" t="str">
        <x:v>Payroll Processing</x:v>
      </x:c>
      <x:c r="F369" s="339" t="str">
        <x:v>HR</x:v>
      </x:c>
      <x:c r="G369" s="339" t="str">
        <x:v>As a HR, I want payroll processing to enforce validation &amp; duplicate prevention rules so that data quality, permissions and traceability are protected.</x:v>
      </x:c>
      <x:c r="H369" s="339" t="str">
        <x:v>Validation &amp; Duplicate Prevention</x:v>
      </x:c>
      <x:c r="I369" s="339" t="str">
        <x:v>Phase 3</x:v>
      </x:c>
      <x:c r="J369" s="339" t="str">
        <x:v>Phase 3</x:v>
      </x:c>
      <x:c r="K369" s="339" t="str">
        <x:v>High</x:v>
      </x:c>
      <x:c r="L369" s="339" t="n">
        <x:v>6</x:v>
      </x:c>
      <x:c r="M369" s="339" t="str">
        <x:v>Staff master, attendance, payroll rules, finance, identity</x:v>
      </x:c>
      <x:c r="N369" s="339" t="str">
        <x:v>Not Started</x:v>
      </x:c>
    </x:row>
    <x:row r="370">
      <x:c r="A370" s="339" t="str">
        <x:v>US-0369</x:v>
      </x:c>
      <x:c r="B370" s="339" t="str">
        <x:v>EP-015</x:v>
      </x:c>
      <x:c r="C370" s="339" t="str">
        <x:v>SCR-185</x:v>
      </x:c>
      <x:c r="D370" s="339" t="str">
        <x:v>HR / Leave / Payroll</x:v>
      </x:c>
      <x:c r="E370" s="339" t="str">
        <x:v>Payslip &amp; Payroll History</x:v>
      </x:c>
      <x:c r="F370" s="339" t="str">
        <x:v>HR</x:v>
      </x:c>
      <x:c r="G370" s="339" t="str">
        <x:v>As a HR, I want to review and maintain payslip &amp; payroll history so that employee operations and payroll stay compliant and accurate.</x:v>
      </x:c>
      <x:c r="H370" s="339" t="str">
        <x:v>Primary Workflow</x:v>
      </x:c>
      <x:c r="I370" s="339" t="str">
        <x:v>Phase 3</x:v>
      </x:c>
      <x:c r="J370" s="339" t="str">
        <x:v>Phase 3</x:v>
      </x:c>
      <x:c r="K370" s="339" t="str">
        <x:v>High</x:v>
      </x:c>
      <x:c r="L370" s="339" t="n">
        <x:v>8</x:v>
      </x:c>
      <x:c r="M370" s="339" t="str">
        <x:v>Staff master, attendance, payroll rules, finance, identity</x:v>
      </x:c>
      <x:c r="N370" s="339" t="str">
        <x:v>Not Started</x:v>
      </x:c>
    </x:row>
    <x:row r="371">
      <x:c r="A371" s="339" t="str">
        <x:v>US-0370</x:v>
      </x:c>
      <x:c r="B371" s="339" t="str">
        <x:v>EP-015</x:v>
      </x:c>
      <x:c r="C371" s="339" t="str">
        <x:v>SCR-185</x:v>
      </x:c>
      <x:c r="D371" s="339" t="str">
        <x:v>HR / Leave / Payroll</x:v>
      </x:c>
      <x:c r="E371" s="339" t="str">
        <x:v>Payslip &amp; Payroll History</x:v>
      </x:c>
      <x:c r="F371" s="339" t="str">
        <x:v>HR</x:v>
      </x:c>
      <x:c r="G371" s="339" t="str">
        <x:v>As a HR, I want payslip &amp; payroll history to enforce history, edit &amp; audit rules so that data quality, permissions and traceability are protected.</x:v>
      </x:c>
      <x:c r="H371" s="339" t="str">
        <x:v>History, Edit &amp; Audit</x:v>
      </x:c>
      <x:c r="I371" s="339" t="str">
        <x:v>Phase 3</x:v>
      </x:c>
      <x:c r="J371" s="339" t="str">
        <x:v>Phase 3</x:v>
      </x:c>
      <x:c r="K371" s="339" t="str">
        <x:v>High</x:v>
      </x:c>
      <x:c r="L371" s="339" t="n">
        <x:v>6</x:v>
      </x:c>
      <x:c r="M371" s="339" t="str">
        <x:v>Staff master, attendance, payroll rules, finance, identity</x:v>
      </x:c>
      <x:c r="N371" s="339" t="str">
        <x:v>Not Started</x:v>
      </x:c>
    </x:row>
    <x:row r="372">
      <x:c r="A372" s="339" t="str">
        <x:v>US-0371</x:v>
      </x:c>
      <x:c r="B372" s="339" t="str">
        <x:v>EP-016</x:v>
      </x:c>
      <x:c r="C372" s="339" t="str">
        <x:v>SCR-186</x:v>
      </x:c>
      <x:c r="D372" s="339" t="str">
        <x:v>Transport / Bus / GPS</x:v>
      </x:c>
      <x:c r="E372" s="339" t="str">
        <x:v>Vehicles</x:v>
      </x:c>
      <x:c r="F372" s="339" t="str">
        <x:v>Transport Manager</x:v>
      </x:c>
      <x:c r="G372" s="339" t="str">
        <x:v>As a Transport Manager, I want to find and manage vehicles so that school transport is safe and transparent.</x:v>
      </x:c>
      <x:c r="H372" s="339" t="str">
        <x:v>Primary Workflow</x:v>
      </x:c>
      <x:c r="I372" s="339" t="str">
        <x:v>Phase 2</x:v>
      </x:c>
      <x:c r="J372" s="339" t="str">
        <x:v>Phase 2</x:v>
      </x:c>
      <x:c r="K372" s="339" t="str">
        <x:v>High</x:v>
      </x:c>
      <x:c r="L372" s="339" t="n">
        <x:v>8</x:v>
      </x:c>
      <x:c r="M372" s="339" t="str">
        <x:v>Students, guardians, vehicles, GPS provider, notifications, maps</x:v>
      </x:c>
      <x:c r="N372" s="339" t="str">
        <x:v>Not Started</x:v>
      </x:c>
    </x:row>
    <x:row r="373">
      <x:c r="A373" s="339" t="str">
        <x:v>US-0372</x:v>
      </x:c>
      <x:c r="B373" s="339" t="str">
        <x:v>EP-016</x:v>
      </x:c>
      <x:c r="C373" s="339" t="str">
        <x:v>SCR-186</x:v>
      </x:c>
      <x:c r="D373" s="339" t="str">
        <x:v>Transport / Bus / GPS</x:v>
      </x:c>
      <x:c r="E373" s="339" t="str">
        <x:v>Vehicles</x:v>
      </x:c>
      <x:c r="F373" s="339" t="str">
        <x:v>Transport Manager</x:v>
      </x:c>
      <x:c r="G373" s="339" t="str">
        <x:v>As a Transport Manager, I want vehicles to enforce search, filter &amp; controlled actions rules so that data quality, permissions and traceability are protected.</x:v>
      </x:c>
      <x:c r="H373" s="339" t="str">
        <x:v>Search, Filter &amp; Controlled Actions</x:v>
      </x:c>
      <x:c r="I373" s="339" t="str">
        <x:v>Phase 2</x:v>
      </x:c>
      <x:c r="J373" s="339" t="str">
        <x:v>Phase 2</x:v>
      </x:c>
      <x:c r="K373" s="339" t="str">
        <x:v>High</x:v>
      </x:c>
      <x:c r="L373" s="339" t="n">
        <x:v>6</x:v>
      </x:c>
      <x:c r="M373" s="339" t="str">
        <x:v>Students, guardians, vehicles, GPS provider, notifications, maps</x:v>
      </x:c>
      <x:c r="N373" s="339" t="str">
        <x:v>Not Started</x:v>
      </x:c>
    </x:row>
    <x:row r="374">
      <x:c r="A374" s="339" t="str">
        <x:v>US-0373</x:v>
      </x:c>
      <x:c r="B374" s="339" t="str">
        <x:v>EP-016</x:v>
      </x:c>
      <x:c r="C374" s="339" t="str">
        <x:v>SCR-187</x:v>
      </x:c>
      <x:c r="D374" s="339" t="str">
        <x:v>Transport / Bus / GPS</x:v>
      </x:c>
      <x:c r="E374" s="339" t="str">
        <x:v>Add / Edit Vehicle</x:v>
      </x:c>
      <x:c r="F374" s="339" t="str">
        <x:v>Transport Manager</x:v>
      </x:c>
      <x:c r="G374" s="339" t="str">
        <x:v>As a Transport Manager, I want to create or process vehicle so that school transport is safe and transparent.</x:v>
      </x:c>
      <x:c r="H374" s="339" t="str">
        <x:v>Primary Workflow</x:v>
      </x:c>
      <x:c r="I374" s="339" t="str">
        <x:v>Phase 2</x:v>
      </x:c>
      <x:c r="J374" s="339" t="str">
        <x:v>Phase 2</x:v>
      </x:c>
      <x:c r="K374" s="339" t="str">
        <x:v>High</x:v>
      </x:c>
      <x:c r="L374" s="339" t="n">
        <x:v>8</x:v>
      </x:c>
      <x:c r="M374" s="339" t="str">
        <x:v>Students, guardians, vehicles, GPS provider, notifications, maps</x:v>
      </x:c>
      <x:c r="N374" s="339" t="str">
        <x:v>Not Started</x:v>
      </x:c>
    </x:row>
    <x:row r="375">
      <x:c r="A375" s="339" t="str">
        <x:v>US-0374</x:v>
      </x:c>
      <x:c r="B375" s="339" t="str">
        <x:v>EP-016</x:v>
      </x:c>
      <x:c r="C375" s="339" t="str">
        <x:v>SCR-187</x:v>
      </x:c>
      <x:c r="D375" s="339" t="str">
        <x:v>Transport / Bus / GPS</x:v>
      </x:c>
      <x:c r="E375" s="339" t="str">
        <x:v>Add / Edit Vehicle</x:v>
      </x:c>
      <x:c r="F375" s="339" t="str">
        <x:v>Transport Manager</x:v>
      </x:c>
      <x:c r="G375" s="339" t="str">
        <x:v>As a Transport Manager, I want add / edit vehicle to enforce validation &amp; duplicate prevention rules so that data quality, permissions and traceability are protected.</x:v>
      </x:c>
      <x:c r="H375" s="339" t="str">
        <x:v>Validation &amp; Duplicate Prevention</x:v>
      </x:c>
      <x:c r="I375" s="339" t="str">
        <x:v>Phase 2</x:v>
      </x:c>
      <x:c r="J375" s="339" t="str">
        <x:v>Phase 2</x:v>
      </x:c>
      <x:c r="K375" s="339" t="str">
        <x:v>High</x:v>
      </x:c>
      <x:c r="L375" s="339" t="n">
        <x:v>6</x:v>
      </x:c>
      <x:c r="M375" s="339" t="str">
        <x:v>Students, guardians, vehicles, GPS provider, notifications, maps</x:v>
      </x:c>
      <x:c r="N375" s="339" t="str">
        <x:v>Not Started</x:v>
      </x:c>
    </x:row>
    <x:row r="376">
      <x:c r="A376" s="339" t="str">
        <x:v>US-0375</x:v>
      </x:c>
      <x:c r="B376" s="339" t="str">
        <x:v>EP-016</x:v>
      </x:c>
      <x:c r="C376" s="339" t="str">
        <x:v>SCR-188</x:v>
      </x:c>
      <x:c r="D376" s="339" t="str">
        <x:v>Transport / Bus / GPS</x:v>
      </x:c>
      <x:c r="E376" s="339" t="str">
        <x:v>Vehicle Details</x:v>
      </x:c>
      <x:c r="F376" s="339" t="str">
        <x:v>Transport Manager</x:v>
      </x:c>
      <x:c r="G376" s="339" t="str">
        <x:v>As a Transport Manager, I want to review and maintain vehicle details so that school transport is safe and transparent.</x:v>
      </x:c>
      <x:c r="H376" s="339" t="str">
        <x:v>Primary Workflow</x:v>
      </x:c>
      <x:c r="I376" s="339" t="str">
        <x:v>Phase 2</x:v>
      </x:c>
      <x:c r="J376" s="339" t="str">
        <x:v>Phase 2</x:v>
      </x:c>
      <x:c r="K376" s="339" t="str">
        <x:v>High</x:v>
      </x:c>
      <x:c r="L376" s="339" t="n">
        <x:v>8</x:v>
      </x:c>
      <x:c r="M376" s="339" t="str">
        <x:v>Students, guardians, vehicles, GPS provider, notifications, maps</x:v>
      </x:c>
      <x:c r="N376" s="339" t="str">
        <x:v>Not Started</x:v>
      </x:c>
    </x:row>
    <x:row r="377">
      <x:c r="A377" s="339" t="str">
        <x:v>US-0376</x:v>
      </x:c>
      <x:c r="B377" s="339" t="str">
        <x:v>EP-016</x:v>
      </x:c>
      <x:c r="C377" s="339" t="str">
        <x:v>SCR-188</x:v>
      </x:c>
      <x:c r="D377" s="339" t="str">
        <x:v>Transport / Bus / GPS</x:v>
      </x:c>
      <x:c r="E377" s="339" t="str">
        <x:v>Vehicle Details</x:v>
      </x:c>
      <x:c r="F377" s="339" t="str">
        <x:v>Transport Manager</x:v>
      </x:c>
      <x:c r="G377" s="339" t="str">
        <x:v>As a Transport Manager, I want vehicle details to enforce history, edit &amp; audit rules so that data quality, permissions and traceability are protected.</x:v>
      </x:c>
      <x:c r="H377" s="339" t="str">
        <x:v>History, Edit &amp; Audit</x:v>
      </x:c>
      <x:c r="I377" s="339" t="str">
        <x:v>Phase 2</x:v>
      </x:c>
      <x:c r="J377" s="339" t="str">
        <x:v>Phase 2</x:v>
      </x:c>
      <x:c r="K377" s="339" t="str">
        <x:v>High</x:v>
      </x:c>
      <x:c r="L377" s="339" t="n">
        <x:v>6</x:v>
      </x:c>
      <x:c r="M377" s="339" t="str">
        <x:v>Students, guardians, vehicles, GPS provider, notifications, maps</x:v>
      </x:c>
      <x:c r="N377" s="339" t="str">
        <x:v>Not Started</x:v>
      </x:c>
    </x:row>
    <x:row r="378">
      <x:c r="A378" s="339" t="str">
        <x:v>US-0377</x:v>
      </x:c>
      <x:c r="B378" s="339" t="str">
        <x:v>EP-016</x:v>
      </x:c>
      <x:c r="C378" s="339" t="str">
        <x:v>SCR-189</x:v>
      </x:c>
      <x:c r="D378" s="339" t="str">
        <x:v>Transport / Bus / GPS</x:v>
      </x:c>
      <x:c r="E378" s="339" t="str">
        <x:v>Routes</x:v>
      </x:c>
      <x:c r="F378" s="339" t="str">
        <x:v>Transport Manager</x:v>
      </x:c>
      <x:c r="G378" s="339" t="str">
        <x:v>As a Transport Manager, I want to find and manage routes so that school transport is safe and transparent.</x:v>
      </x:c>
      <x:c r="H378" s="339" t="str">
        <x:v>Primary Workflow</x:v>
      </x:c>
      <x:c r="I378" s="339" t="str">
        <x:v>Phase 2</x:v>
      </x:c>
      <x:c r="J378" s="339" t="str">
        <x:v>Phase 2</x:v>
      </x:c>
      <x:c r="K378" s="339" t="str">
        <x:v>High</x:v>
      </x:c>
      <x:c r="L378" s="339" t="n">
        <x:v>8</x:v>
      </x:c>
      <x:c r="M378" s="339" t="str">
        <x:v>Students, guardians, vehicles, GPS provider, notifications, maps</x:v>
      </x:c>
      <x:c r="N378" s="339" t="str">
        <x:v>Not Started</x:v>
      </x:c>
    </x:row>
    <x:row r="379">
      <x:c r="A379" s="339" t="str">
        <x:v>US-0378</x:v>
      </x:c>
      <x:c r="B379" s="339" t="str">
        <x:v>EP-016</x:v>
      </x:c>
      <x:c r="C379" s="339" t="str">
        <x:v>SCR-189</x:v>
      </x:c>
      <x:c r="D379" s="339" t="str">
        <x:v>Transport / Bus / GPS</x:v>
      </x:c>
      <x:c r="E379" s="339" t="str">
        <x:v>Routes</x:v>
      </x:c>
      <x:c r="F379" s="339" t="str">
        <x:v>Transport Manager</x:v>
      </x:c>
      <x:c r="G379" s="339" t="str">
        <x:v>As a Transport Manager, I want routes to enforce search, filter &amp; controlled actions rules so that data quality, permissions and traceability are protected.</x:v>
      </x:c>
      <x:c r="H379" s="339" t="str">
        <x:v>Search, Filter &amp; Controlled Actions</x:v>
      </x:c>
      <x:c r="I379" s="339" t="str">
        <x:v>Phase 2</x:v>
      </x:c>
      <x:c r="J379" s="339" t="str">
        <x:v>Phase 2</x:v>
      </x:c>
      <x:c r="K379" s="339" t="str">
        <x:v>High</x:v>
      </x:c>
      <x:c r="L379" s="339" t="n">
        <x:v>6</x:v>
      </x:c>
      <x:c r="M379" s="339" t="str">
        <x:v>Students, guardians, vehicles, GPS provider, notifications, maps</x:v>
      </x:c>
      <x:c r="N379" s="339" t="str">
        <x:v>Not Started</x:v>
      </x:c>
    </x:row>
    <x:row r="380">
      <x:c r="A380" s="339" t="str">
        <x:v>US-0379</x:v>
      </x:c>
      <x:c r="B380" s="339" t="str">
        <x:v>EP-016</x:v>
      </x:c>
      <x:c r="C380" s="339" t="str">
        <x:v>SCR-190</x:v>
      </x:c>
      <x:c r="D380" s="339" t="str">
        <x:v>Transport / Bus / GPS</x:v>
      </x:c>
      <x:c r="E380" s="339" t="str">
        <x:v>Create / Edit Route</x:v>
      </x:c>
      <x:c r="F380" s="339" t="str">
        <x:v>Transport Manager</x:v>
      </x:c>
      <x:c r="G380" s="339" t="str">
        <x:v>As a Transport Manager, I want to create or process route so that school transport is safe and transparent.</x:v>
      </x:c>
      <x:c r="H380" s="339" t="str">
        <x:v>Primary Workflow</x:v>
      </x:c>
      <x:c r="I380" s="339" t="str">
        <x:v>Phase 2</x:v>
      </x:c>
      <x:c r="J380" s="339" t="str">
        <x:v>Phase 2</x:v>
      </x:c>
      <x:c r="K380" s="339" t="str">
        <x:v>High</x:v>
      </x:c>
      <x:c r="L380" s="339" t="n">
        <x:v>8</x:v>
      </x:c>
      <x:c r="M380" s="339" t="str">
        <x:v>Students, guardians, vehicles, GPS provider, notifications, maps</x:v>
      </x:c>
      <x:c r="N380" s="339" t="str">
        <x:v>Not Started</x:v>
      </x:c>
    </x:row>
    <x:row r="381">
      <x:c r="A381" s="339" t="str">
        <x:v>US-0380</x:v>
      </x:c>
      <x:c r="B381" s="339" t="str">
        <x:v>EP-016</x:v>
      </x:c>
      <x:c r="C381" s="339" t="str">
        <x:v>SCR-190</x:v>
      </x:c>
      <x:c r="D381" s="339" t="str">
        <x:v>Transport / Bus / GPS</x:v>
      </x:c>
      <x:c r="E381" s="339" t="str">
        <x:v>Create / Edit Route</x:v>
      </x:c>
      <x:c r="F381" s="339" t="str">
        <x:v>Transport Manager</x:v>
      </x:c>
      <x:c r="G381" s="339" t="str">
        <x:v>As a Transport Manager, I want create / edit route to enforce validation &amp; duplicate prevention rules so that data quality, permissions and traceability are protected.</x:v>
      </x:c>
      <x:c r="H381" s="339" t="str">
        <x:v>Validation &amp; Duplicate Prevention</x:v>
      </x:c>
      <x:c r="I381" s="339" t="str">
        <x:v>Phase 2</x:v>
      </x:c>
      <x:c r="J381" s="339" t="str">
        <x:v>Phase 2</x:v>
      </x:c>
      <x:c r="K381" s="339" t="str">
        <x:v>High</x:v>
      </x:c>
      <x:c r="L381" s="339" t="n">
        <x:v>6</x:v>
      </x:c>
      <x:c r="M381" s="339" t="str">
        <x:v>Students, guardians, vehicles, GPS provider, notifications, maps</x:v>
      </x:c>
      <x:c r="N381" s="339" t="str">
        <x:v>Not Started</x:v>
      </x:c>
    </x:row>
    <x:row r="382">
      <x:c r="A382" s="339" t="str">
        <x:v>US-0381</x:v>
      </x:c>
      <x:c r="B382" s="339" t="str">
        <x:v>EP-016</x:v>
      </x:c>
      <x:c r="C382" s="339" t="str">
        <x:v>SCR-191</x:v>
      </x:c>
      <x:c r="D382" s="339" t="str">
        <x:v>Transport / Bus / GPS</x:v>
      </x:c>
      <x:c r="E382" s="339" t="str">
        <x:v>Stops</x:v>
      </x:c>
      <x:c r="F382" s="339" t="str">
        <x:v>Transport Manager</x:v>
      </x:c>
      <x:c r="G382" s="339" t="str">
        <x:v>As a Transport Manager, I want to manage stops so that school transport is safe and transparent.</x:v>
      </x:c>
      <x:c r="H382" s="339" t="str">
        <x:v>Primary Workflow</x:v>
      </x:c>
      <x:c r="I382" s="339" t="str">
        <x:v>Phase 2</x:v>
      </x:c>
      <x:c r="J382" s="339" t="str">
        <x:v>Phase 2</x:v>
      </x:c>
      <x:c r="K382" s="339" t="str">
        <x:v>High</x:v>
      </x:c>
      <x:c r="L382" s="339" t="n">
        <x:v>11</x:v>
      </x:c>
      <x:c r="M382" s="339" t="str">
        <x:v>Students, guardians, vehicles, GPS provider, notifications, maps</x:v>
      </x:c>
      <x:c r="N382" s="339" t="str">
        <x:v>Not Started</x:v>
      </x:c>
    </x:row>
    <x:row r="383">
      <x:c r="A383" s="339" t="str">
        <x:v>US-0382</x:v>
      </x:c>
      <x:c r="B383" s="339" t="str">
        <x:v>EP-016</x:v>
      </x:c>
      <x:c r="C383" s="339" t="str">
        <x:v>SCR-191</x:v>
      </x:c>
      <x:c r="D383" s="339" t="str">
        <x:v>Transport / Bus / GPS</x:v>
      </x:c>
      <x:c r="E383" s="339" t="str">
        <x:v>Stops</x:v>
      </x:c>
      <x:c r="F383" s="339" t="str">
        <x:v>Transport Manager</x:v>
      </x:c>
      <x:c r="G383" s="339" t="str">
        <x:v>As a Transport Manager, I want stops to enforce status, approval &amp; exception handling rules so that data quality, permissions and traceability are protected.</x:v>
      </x:c>
      <x:c r="H383" s="339" t="str">
        <x:v>Status, Approval &amp; Exception Handling</x:v>
      </x:c>
      <x:c r="I383" s="339" t="str">
        <x:v>Phase 2</x:v>
      </x:c>
      <x:c r="J383" s="339" t="str">
        <x:v>Phase 2</x:v>
      </x:c>
      <x:c r="K383" s="339" t="str">
        <x:v>High</x:v>
      </x:c>
      <x:c r="L383" s="339" t="n">
        <x:v>9</x:v>
      </x:c>
      <x:c r="M383" s="339" t="str">
        <x:v>Students, guardians, vehicles, GPS provider, notifications, maps</x:v>
      </x:c>
      <x:c r="N383" s="339" t="str">
        <x:v>Not Started</x:v>
      </x:c>
    </x:row>
    <x:row r="384">
      <x:c r="A384" s="339" t="str">
        <x:v>US-0383</x:v>
      </x:c>
      <x:c r="B384" s="339" t="str">
        <x:v>EP-016</x:v>
      </x:c>
      <x:c r="C384" s="339" t="str">
        <x:v>SCR-192</x:v>
      </x:c>
      <x:c r="D384" s="339" t="str">
        <x:v>Transport / Bus / GPS</x:v>
      </x:c>
      <x:c r="E384" s="339" t="str">
        <x:v>Drivers &amp; Conductors</x:v>
      </x:c>
      <x:c r="F384" s="339" t="str">
        <x:v>Transport Manager</x:v>
      </x:c>
      <x:c r="G384" s="339" t="str">
        <x:v>As a Transport Manager, I want to manage drivers &amp; conductors so that school transport is safe and transparent.</x:v>
      </x:c>
      <x:c r="H384" s="339" t="str">
        <x:v>Primary Workflow</x:v>
      </x:c>
      <x:c r="I384" s="339" t="str">
        <x:v>Phase 3</x:v>
      </x:c>
      <x:c r="J384" s="339" t="str">
        <x:v>Phase 3</x:v>
      </x:c>
      <x:c r="K384" s="339" t="str">
        <x:v>High</x:v>
      </x:c>
      <x:c r="L384" s="339" t="n">
        <x:v>11</x:v>
      </x:c>
      <x:c r="M384" s="339" t="str">
        <x:v>Students, guardians, vehicles, GPS provider, notifications, maps</x:v>
      </x:c>
      <x:c r="N384" s="339" t="str">
        <x:v>Not Started</x:v>
      </x:c>
    </x:row>
    <x:row r="385">
      <x:c r="A385" s="339" t="str">
        <x:v>US-0384</x:v>
      </x:c>
      <x:c r="B385" s="339" t="str">
        <x:v>EP-016</x:v>
      </x:c>
      <x:c r="C385" s="339" t="str">
        <x:v>SCR-192</x:v>
      </x:c>
      <x:c r="D385" s="339" t="str">
        <x:v>Transport / Bus / GPS</x:v>
      </x:c>
      <x:c r="E385" s="339" t="str">
        <x:v>Drivers &amp; Conductors</x:v>
      </x:c>
      <x:c r="F385" s="339" t="str">
        <x:v>Transport Manager</x:v>
      </x:c>
      <x:c r="G385" s="339" t="str">
        <x:v>As a Transport Manager, I want drivers &amp; conductors to enforce status, approval &amp; exception handling rules so that data quality, permissions and traceability are protected.</x:v>
      </x:c>
      <x:c r="H385" s="339" t="str">
        <x:v>Status, Approval &amp; Exception Handling</x:v>
      </x:c>
      <x:c r="I385" s="339" t="str">
        <x:v>Phase 3</x:v>
      </x:c>
      <x:c r="J385" s="339" t="str">
        <x:v>Phase 3</x:v>
      </x:c>
      <x:c r="K385" s="339" t="str">
        <x:v>High</x:v>
      </x:c>
      <x:c r="L385" s="339" t="n">
        <x:v>9</x:v>
      </x:c>
      <x:c r="M385" s="339" t="str">
        <x:v>Students, guardians, vehicles, GPS provider, notifications, maps</x:v>
      </x:c>
      <x:c r="N385" s="339" t="str">
        <x:v>Not Started</x:v>
      </x:c>
    </x:row>
    <x:row r="386">
      <x:c r="A386" s="339" t="str">
        <x:v>US-0385</x:v>
      </x:c>
      <x:c r="B386" s="339" t="str">
        <x:v>EP-016</x:v>
      </x:c>
      <x:c r="C386" s="339" t="str">
        <x:v>SCR-193</x:v>
      </x:c>
      <x:c r="D386" s="339" t="str">
        <x:v>Transport / Bus / GPS</x:v>
      </x:c>
      <x:c r="E386" s="339" t="str">
        <x:v>Student Route Assignment</x:v>
      </x:c>
      <x:c r="F386" s="339" t="str">
        <x:v>Transport Manager</x:v>
      </x:c>
      <x:c r="G386" s="339" t="str">
        <x:v>As a Transport Manager, I want to manage student route assignment so that school transport is safe and transparent.</x:v>
      </x:c>
      <x:c r="H386" s="339" t="str">
        <x:v>Primary Workflow</x:v>
      </x:c>
      <x:c r="I386" s="339" t="str">
        <x:v>Phase 3</x:v>
      </x:c>
      <x:c r="J386" s="339" t="str">
        <x:v>Phase 3</x:v>
      </x:c>
      <x:c r="K386" s="339" t="str">
        <x:v>High</x:v>
      </x:c>
      <x:c r="L386" s="339" t="n">
        <x:v>11</x:v>
      </x:c>
      <x:c r="M386" s="339" t="str">
        <x:v>Students, guardians, vehicles, GPS provider, notifications, maps</x:v>
      </x:c>
      <x:c r="N386" s="339" t="str">
        <x:v>Not Started</x:v>
      </x:c>
    </x:row>
    <x:row r="387">
      <x:c r="A387" s="339" t="str">
        <x:v>US-0386</x:v>
      </x:c>
      <x:c r="B387" s="339" t="str">
        <x:v>EP-016</x:v>
      </x:c>
      <x:c r="C387" s="339" t="str">
        <x:v>SCR-193</x:v>
      </x:c>
      <x:c r="D387" s="339" t="str">
        <x:v>Transport / Bus / GPS</x:v>
      </x:c>
      <x:c r="E387" s="339" t="str">
        <x:v>Student Route Assignment</x:v>
      </x:c>
      <x:c r="F387" s="339" t="str">
        <x:v>Transport Manager</x:v>
      </x:c>
      <x:c r="G387" s="339" t="str">
        <x:v>As a Transport Manager, I want student route assignment to enforce status, approval &amp; exception handling rules so that data quality, permissions and traceability are protected.</x:v>
      </x:c>
      <x:c r="H387" s="339" t="str">
        <x:v>Status, Approval &amp; Exception Handling</x:v>
      </x:c>
      <x:c r="I387" s="339" t="str">
        <x:v>Phase 3</x:v>
      </x:c>
      <x:c r="J387" s="339" t="str">
        <x:v>Phase 3</x:v>
      </x:c>
      <x:c r="K387" s="339" t="str">
        <x:v>High</x:v>
      </x:c>
      <x:c r="L387" s="339" t="n">
        <x:v>9</x:v>
      </x:c>
      <x:c r="M387" s="339" t="str">
        <x:v>Students, guardians, vehicles, GPS provider, notifications, maps</x:v>
      </x:c>
      <x:c r="N387" s="339" t="str">
        <x:v>Not Started</x:v>
      </x:c>
    </x:row>
    <x:row r="388">
      <x:c r="A388" s="339" t="str">
        <x:v>US-0387</x:v>
      </x:c>
      <x:c r="B388" s="339" t="str">
        <x:v>EP-016</x:v>
      </x:c>
      <x:c r="C388" s="339" t="str">
        <x:v>SCR-194</x:v>
      </x:c>
      <x:c r="D388" s="339" t="str">
        <x:v>Transport / Bus / GPS</x:v>
      </x:c>
      <x:c r="E388" s="339" t="str">
        <x:v>Trip Sheet</x:v>
      </x:c>
      <x:c r="F388" s="339" t="str">
        <x:v>Transport Manager</x:v>
      </x:c>
      <x:c r="G388" s="339" t="str">
        <x:v>As a Transport Manager, I want to manage trip sheet so that school transport is safe and transparent.</x:v>
      </x:c>
      <x:c r="H388" s="339" t="str">
        <x:v>Primary Workflow</x:v>
      </x:c>
      <x:c r="I388" s="339" t="str">
        <x:v>Phase 3</x:v>
      </x:c>
      <x:c r="J388" s="339" t="str">
        <x:v>Phase 3</x:v>
      </x:c>
      <x:c r="K388" s="339" t="str">
        <x:v>High</x:v>
      </x:c>
      <x:c r="L388" s="339" t="n">
        <x:v>11</x:v>
      </x:c>
      <x:c r="M388" s="339" t="str">
        <x:v>Students, guardians, vehicles, GPS provider, notifications, maps</x:v>
      </x:c>
      <x:c r="N388" s="339" t="str">
        <x:v>Not Started</x:v>
      </x:c>
    </x:row>
    <x:row r="389">
      <x:c r="A389" s="339" t="str">
        <x:v>US-0388</x:v>
      </x:c>
      <x:c r="B389" s="339" t="str">
        <x:v>EP-016</x:v>
      </x:c>
      <x:c r="C389" s="339" t="str">
        <x:v>SCR-194</x:v>
      </x:c>
      <x:c r="D389" s="339" t="str">
        <x:v>Transport / Bus / GPS</x:v>
      </x:c>
      <x:c r="E389" s="339" t="str">
        <x:v>Trip Sheet</x:v>
      </x:c>
      <x:c r="F389" s="339" t="str">
        <x:v>Transport Manager</x:v>
      </x:c>
      <x:c r="G389" s="339" t="str">
        <x:v>As a Transport Manager, I want trip sheet to enforce status, approval &amp; exception handling rules so that data quality, permissions and traceability are protected.</x:v>
      </x:c>
      <x:c r="H389" s="339" t="str">
        <x:v>Status, Approval &amp; Exception Handling</x:v>
      </x:c>
      <x:c r="I389" s="339" t="str">
        <x:v>Phase 3</x:v>
      </x:c>
      <x:c r="J389" s="339" t="str">
        <x:v>Phase 3</x:v>
      </x:c>
      <x:c r="K389" s="339" t="str">
        <x:v>High</x:v>
      </x:c>
      <x:c r="L389" s="339" t="n">
        <x:v>9</x:v>
      </x:c>
      <x:c r="M389" s="339" t="str">
        <x:v>Students, guardians, vehicles, GPS provider, notifications, maps</x:v>
      </x:c>
      <x:c r="N389" s="339" t="str">
        <x:v>Not Started</x:v>
      </x:c>
    </x:row>
    <x:row r="390">
      <x:c r="A390" s="339" t="str">
        <x:v>US-0389</x:v>
      </x:c>
      <x:c r="B390" s="339" t="str">
        <x:v>EP-016</x:v>
      </x:c>
      <x:c r="C390" s="339" t="str">
        <x:v>SCR-195</x:v>
      </x:c>
      <x:c r="D390" s="339" t="str">
        <x:v>Transport / Bus / GPS</x:v>
      </x:c>
      <x:c r="E390" s="339" t="str">
        <x:v>Live GPS Tracking</x:v>
      </x:c>
      <x:c r="F390" s="339" t="str">
        <x:v>Transport Manager</x:v>
      </x:c>
      <x:c r="G390" s="339" t="str">
        <x:v>As a Transport Manager, I want to track live gps tracking so that school transport is safe and transparent.</x:v>
      </x:c>
      <x:c r="H390" s="339" t="str">
        <x:v>Primary Workflow</x:v>
      </x:c>
      <x:c r="I390" s="339" t="str">
        <x:v>Phase 3</x:v>
      </x:c>
      <x:c r="J390" s="339" t="str">
        <x:v>Phase 3</x:v>
      </x:c>
      <x:c r="K390" s="339" t="str">
        <x:v>High</x:v>
      </x:c>
      <x:c r="L390" s="339" t="n">
        <x:v>11</x:v>
      </x:c>
      <x:c r="M390" s="339" t="str">
        <x:v>Students, guardians, vehicles, GPS provider, notifications, maps</x:v>
      </x:c>
      <x:c r="N390" s="339" t="str">
        <x:v>Not Started</x:v>
      </x:c>
    </x:row>
    <x:row r="391">
      <x:c r="A391" s="339" t="str">
        <x:v>US-0390</x:v>
      </x:c>
      <x:c r="B391" s="339" t="str">
        <x:v>EP-016</x:v>
      </x:c>
      <x:c r="C391" s="339" t="str">
        <x:v>SCR-195</x:v>
      </x:c>
      <x:c r="D391" s="339" t="str">
        <x:v>Transport / Bus / GPS</x:v>
      </x:c>
      <x:c r="E391" s="339" t="str">
        <x:v>Live GPS Tracking</x:v>
      </x:c>
      <x:c r="F391" s="339" t="str">
        <x:v>Transport Manager</x:v>
      </x:c>
      <x:c r="G391" s="339" t="str">
        <x:v>As a Transport Manager, I want live gps tracking to enforce status, approval &amp; exception handling rules so that data quality, permissions and traceability are protected.</x:v>
      </x:c>
      <x:c r="H391" s="339" t="str">
        <x:v>Status, Approval &amp; Exception Handling</x:v>
      </x:c>
      <x:c r="I391" s="339" t="str">
        <x:v>Phase 3</x:v>
      </x:c>
      <x:c r="J391" s="339" t="str">
        <x:v>Phase 3</x:v>
      </x:c>
      <x:c r="K391" s="339" t="str">
        <x:v>High</x:v>
      </x:c>
      <x:c r="L391" s="339" t="n">
        <x:v>9</x:v>
      </x:c>
      <x:c r="M391" s="339" t="str">
        <x:v>Students, guardians, vehicles, GPS provider, notifications, maps</x:v>
      </x:c>
      <x:c r="N391" s="339" t="str">
        <x:v>Not Started</x:v>
      </x:c>
    </x:row>
    <x:row r="392">
      <x:c r="A392" s="339" t="str">
        <x:v>US-0391</x:v>
      </x:c>
      <x:c r="B392" s="339" t="str">
        <x:v>EP-016</x:v>
      </x:c>
      <x:c r="C392" s="339" t="str">
        <x:v>SCR-196</x:v>
      </x:c>
      <x:c r="D392" s="339" t="str">
        <x:v>Transport / Bus / GPS</x:v>
      </x:c>
      <x:c r="E392" s="339" t="str">
        <x:v>Boarding / Drop Attendance</x:v>
      </x:c>
      <x:c r="F392" s="339" t="str">
        <x:v>Transport Manager</x:v>
      </x:c>
      <x:c r="G392" s="339" t="str">
        <x:v>As a Transport Manager, I want to manage boarding / drop attendance so that school transport is safe and transparent.</x:v>
      </x:c>
      <x:c r="H392" s="339" t="str">
        <x:v>Primary Workflow</x:v>
      </x:c>
      <x:c r="I392" s="339" t="str">
        <x:v>Phase 3</x:v>
      </x:c>
      <x:c r="J392" s="339" t="str">
        <x:v>Phase 3</x:v>
      </x:c>
      <x:c r="K392" s="339" t="str">
        <x:v>High</x:v>
      </x:c>
      <x:c r="L392" s="339" t="n">
        <x:v>11</x:v>
      </x:c>
      <x:c r="M392" s="339" t="str">
        <x:v>Students, guardians, vehicles, GPS provider, notifications, maps</x:v>
      </x:c>
      <x:c r="N392" s="339" t="str">
        <x:v>Not Started</x:v>
      </x:c>
    </x:row>
    <x:row r="393">
      <x:c r="A393" s="339" t="str">
        <x:v>US-0392</x:v>
      </x:c>
      <x:c r="B393" s="339" t="str">
        <x:v>EP-016</x:v>
      </x:c>
      <x:c r="C393" s="339" t="str">
        <x:v>SCR-196</x:v>
      </x:c>
      <x:c r="D393" s="339" t="str">
        <x:v>Transport / Bus / GPS</x:v>
      </x:c>
      <x:c r="E393" s="339" t="str">
        <x:v>Boarding / Drop Attendance</x:v>
      </x:c>
      <x:c r="F393" s="339" t="str">
        <x:v>Transport Manager</x:v>
      </x:c>
      <x:c r="G393" s="339" t="str">
        <x:v>As a Transport Manager, I want boarding / drop attendance to enforce status, approval &amp; exception handling rules so that data quality, permissions and traceability are protected.</x:v>
      </x:c>
      <x:c r="H393" s="339" t="str">
        <x:v>Status, Approval &amp; Exception Handling</x:v>
      </x:c>
      <x:c r="I393" s="339" t="str">
        <x:v>Phase 3</x:v>
      </x:c>
      <x:c r="J393" s="339" t="str">
        <x:v>Phase 3</x:v>
      </x:c>
      <x:c r="K393" s="339" t="str">
        <x:v>High</x:v>
      </x:c>
      <x:c r="L393" s="339" t="n">
        <x:v>9</x:v>
      </x:c>
      <x:c r="M393" s="339" t="str">
        <x:v>Students, guardians, vehicles, GPS provider, notifications, maps</x:v>
      </x:c>
      <x:c r="N393" s="339" t="str">
        <x:v>Not Started</x:v>
      </x:c>
    </x:row>
    <x:row r="394">
      <x:c r="A394" s="339" t="str">
        <x:v>US-0393</x:v>
      </x:c>
      <x:c r="B394" s="339" t="str">
        <x:v>EP-016</x:v>
      </x:c>
      <x:c r="C394" s="339" t="str">
        <x:v>SCR-197</x:v>
      </x:c>
      <x:c r="D394" s="339" t="str">
        <x:v>Transport / Bus / GPS</x:v>
      </x:c>
      <x:c r="E394" s="339" t="str">
        <x:v>Vehicle Maintenance &amp; Fuel</x:v>
      </x:c>
      <x:c r="F394" s="339" t="str">
        <x:v>Transport Manager</x:v>
      </x:c>
      <x:c r="G394" s="339" t="str">
        <x:v>As a Transport Manager, I want to manage vehicle maintenance &amp; fuel so that school transport is safe and transparent.</x:v>
      </x:c>
      <x:c r="H394" s="339" t="str">
        <x:v>Primary Workflow</x:v>
      </x:c>
      <x:c r="I394" s="339" t="str">
        <x:v>Phase 3</x:v>
      </x:c>
      <x:c r="J394" s="339" t="str">
        <x:v>Phase 3</x:v>
      </x:c>
      <x:c r="K394" s="339" t="str">
        <x:v>High</x:v>
      </x:c>
      <x:c r="L394" s="339" t="n">
        <x:v>11</x:v>
      </x:c>
      <x:c r="M394" s="339" t="str">
        <x:v>Students, guardians, vehicles, GPS provider, notifications, maps</x:v>
      </x:c>
      <x:c r="N394" s="339" t="str">
        <x:v>Not Started</x:v>
      </x:c>
    </x:row>
    <x:row r="395">
      <x:c r="A395" s="339" t="str">
        <x:v>US-0394</x:v>
      </x:c>
      <x:c r="B395" s="339" t="str">
        <x:v>EP-016</x:v>
      </x:c>
      <x:c r="C395" s="339" t="str">
        <x:v>SCR-197</x:v>
      </x:c>
      <x:c r="D395" s="339" t="str">
        <x:v>Transport / Bus / GPS</x:v>
      </x:c>
      <x:c r="E395" s="339" t="str">
        <x:v>Vehicle Maintenance &amp; Fuel</x:v>
      </x:c>
      <x:c r="F395" s="339" t="str">
        <x:v>Transport Manager</x:v>
      </x:c>
      <x:c r="G395" s="339" t="str">
        <x:v>As a Transport Manager, I want vehicle maintenance &amp; fuel to enforce status, approval &amp; exception handling rules so that data quality, permissions and traceability are protected.</x:v>
      </x:c>
      <x:c r="H395" s="339" t="str">
        <x:v>Status, Approval &amp; Exception Handling</x:v>
      </x:c>
      <x:c r="I395" s="339" t="str">
        <x:v>Phase 3</x:v>
      </x:c>
      <x:c r="J395" s="339" t="str">
        <x:v>Phase 3</x:v>
      </x:c>
      <x:c r="K395" s="339" t="str">
        <x:v>High</x:v>
      </x:c>
      <x:c r="L395" s="339" t="n">
        <x:v>9</x:v>
      </x:c>
      <x:c r="M395" s="339" t="str">
        <x:v>Students, guardians, vehicles, GPS provider, notifications, maps</x:v>
      </x:c>
      <x:c r="N395" s="339" t="str">
        <x:v>Not Started</x:v>
      </x:c>
    </x:row>
    <x:row r="396">
      <x:c r="A396" s="339" t="str">
        <x:v>US-0395</x:v>
      </x:c>
      <x:c r="B396" s="339" t="str">
        <x:v>EP-017</x:v>
      </x:c>
      <x:c r="C396" s="339" t="str">
        <x:v>SCR-198</x:v>
      </x:c>
      <x:c r="D396" s="339" t="str">
        <x:v>Library</x:v>
      </x:c>
      <x:c r="E396" s="339" t="str">
        <x:v>Library Catalogue</x:v>
      </x:c>
      <x:c r="F396" s="339" t="str">
        <x:v>Librarian</x:v>
      </x:c>
      <x:c r="G396" s="339" t="str">
        <x:v>As a Librarian, I want to find and manage library catalogue so that library stock and borrowing remain accurate.</x:v>
      </x:c>
      <x:c r="H396" s="339" t="str">
        <x:v>Primary Workflow</x:v>
      </x:c>
      <x:c r="I396" s="339" t="str">
        <x:v>Phase 2</x:v>
      </x:c>
      <x:c r="J396" s="339" t="str">
        <x:v>Phase 2</x:v>
      </x:c>
      <x:c r="K396" s="339" t="str">
        <x:v>Medium</x:v>
      </x:c>
      <x:c r="L396" s="339" t="n">
        <x:v>5</x:v>
      </x:c>
      <x:c r="M396" s="339" t="str">
        <x:v>Student/staff members, catalogue, payments/fines, notifications</x:v>
      </x:c>
      <x:c r="N396" s="339" t="str">
        <x:v>Not Started</x:v>
      </x:c>
    </x:row>
    <x:row r="397">
      <x:c r="A397" s="339" t="str">
        <x:v>US-0396</x:v>
      </x:c>
      <x:c r="B397" s="339" t="str">
        <x:v>EP-017</x:v>
      </x:c>
      <x:c r="C397" s="339" t="str">
        <x:v>SCR-198</x:v>
      </x:c>
      <x:c r="D397" s="339" t="str">
        <x:v>Library</x:v>
      </x:c>
      <x:c r="E397" s="339" t="str">
        <x:v>Library Catalogue</x:v>
      </x:c>
      <x:c r="F397" s="339" t="str">
        <x:v>Librarian</x:v>
      </x:c>
      <x:c r="G397" s="339" t="str">
        <x:v>As a Librarian, I want library catalogue to enforce search, filter &amp; controlled actions rules so that data quality, permissions and traceability are protected.</x:v>
      </x:c>
      <x:c r="H397" s="339" t="str">
        <x:v>Search, Filter &amp; Controlled Actions</x:v>
      </x:c>
      <x:c r="I397" s="339" t="str">
        <x:v>Phase 2</x:v>
      </x:c>
      <x:c r="J397" s="339" t="str">
        <x:v>Phase 2</x:v>
      </x:c>
      <x:c r="K397" s="339" t="str">
        <x:v>Medium</x:v>
      </x:c>
      <x:c r="L397" s="339" t="n">
        <x:v>3</x:v>
      </x:c>
      <x:c r="M397" s="339" t="str">
        <x:v>Student/staff members, catalogue, payments/fines, notifications</x:v>
      </x:c>
      <x:c r="N397" s="339" t="str">
        <x:v>Not Started</x:v>
      </x:c>
    </x:row>
    <x:row r="398">
      <x:c r="A398" s="339" t="str">
        <x:v>US-0397</x:v>
      </x:c>
      <x:c r="B398" s="339" t="str">
        <x:v>EP-017</x:v>
      </x:c>
      <x:c r="C398" s="339" t="str">
        <x:v>SCR-199</x:v>
      </x:c>
      <x:c r="D398" s="339" t="str">
        <x:v>Library</x:v>
      </x:c>
      <x:c r="E398" s="339" t="str">
        <x:v>Add / Edit Book</x:v>
      </x:c>
      <x:c r="F398" s="339" t="str">
        <x:v>Librarian</x:v>
      </x:c>
      <x:c r="G398" s="339" t="str">
        <x:v>As a Librarian, I want to create or process book so that library stock and borrowing remain accurate.</x:v>
      </x:c>
      <x:c r="H398" s="339" t="str">
        <x:v>Primary Workflow</x:v>
      </x:c>
      <x:c r="I398" s="339" t="str">
        <x:v>Phase 2</x:v>
      </x:c>
      <x:c r="J398" s="339" t="str">
        <x:v>Phase 2</x:v>
      </x:c>
      <x:c r="K398" s="339" t="str">
        <x:v>Medium</x:v>
      </x:c>
      <x:c r="L398" s="339" t="n">
        <x:v>5</x:v>
      </x:c>
      <x:c r="M398" s="339" t="str">
        <x:v>Student/staff members, catalogue, payments/fines, notifications</x:v>
      </x:c>
      <x:c r="N398" s="339" t="str">
        <x:v>Not Started</x:v>
      </x:c>
    </x:row>
    <x:row r="399">
      <x:c r="A399" s="339" t="str">
        <x:v>US-0398</x:v>
      </x:c>
      <x:c r="B399" s="339" t="str">
        <x:v>EP-017</x:v>
      </x:c>
      <x:c r="C399" s="339" t="str">
        <x:v>SCR-199</x:v>
      </x:c>
      <x:c r="D399" s="339" t="str">
        <x:v>Library</x:v>
      </x:c>
      <x:c r="E399" s="339" t="str">
        <x:v>Add / Edit Book</x:v>
      </x:c>
      <x:c r="F399" s="339" t="str">
        <x:v>Librarian</x:v>
      </x:c>
      <x:c r="G399" s="339" t="str">
        <x:v>As a Librarian, I want add / edit book to enforce validation &amp; duplicate prevention rules so that data quality, permissions and traceability are protected.</x:v>
      </x:c>
      <x:c r="H399" s="339" t="str">
        <x:v>Validation &amp; Duplicate Prevention</x:v>
      </x:c>
      <x:c r="I399" s="339" t="str">
        <x:v>Phase 2</x:v>
      </x:c>
      <x:c r="J399" s="339" t="str">
        <x:v>Phase 2</x:v>
      </x:c>
      <x:c r="K399" s="339" t="str">
        <x:v>Medium</x:v>
      </x:c>
      <x:c r="L399" s="339" t="n">
        <x:v>3</x:v>
      </x:c>
      <x:c r="M399" s="339" t="str">
        <x:v>Student/staff members, catalogue, payments/fines, notifications</x:v>
      </x:c>
      <x:c r="N399" s="339" t="str">
        <x:v>Not Started</x:v>
      </x:c>
    </x:row>
    <x:row r="400">
      <x:c r="A400" s="339" t="str">
        <x:v>US-0399</x:v>
      </x:c>
      <x:c r="B400" s="339" t="str">
        <x:v>EP-017</x:v>
      </x:c>
      <x:c r="C400" s="339" t="str">
        <x:v>SCR-200</x:v>
      </x:c>
      <x:c r="D400" s="339" t="str">
        <x:v>Library</x:v>
      </x:c>
      <x:c r="E400" s="339" t="str">
        <x:v>Book Details &amp; Copies</x:v>
      </x:c>
      <x:c r="F400" s="339" t="str">
        <x:v>Librarian</x:v>
      </x:c>
      <x:c r="G400" s="339" t="str">
        <x:v>As a Librarian, I want to review and maintain book details &amp; copies so that library stock and borrowing remain accurate.</x:v>
      </x:c>
      <x:c r="H400" s="339" t="str">
        <x:v>Primary Workflow</x:v>
      </x:c>
      <x:c r="I400" s="339" t="str">
        <x:v>Phase 2</x:v>
      </x:c>
      <x:c r="J400" s="339" t="str">
        <x:v>Phase 2</x:v>
      </x:c>
      <x:c r="K400" s="339" t="str">
        <x:v>Medium</x:v>
      </x:c>
      <x:c r="L400" s="339" t="n">
        <x:v>5</x:v>
      </x:c>
      <x:c r="M400" s="339" t="str">
        <x:v>Student/staff members, catalogue, payments/fines, notifications</x:v>
      </x:c>
      <x:c r="N400" s="339" t="str">
        <x:v>Not Started</x:v>
      </x:c>
    </x:row>
    <x:row r="401">
      <x:c r="A401" s="339" t="str">
        <x:v>US-0400</x:v>
      </x:c>
      <x:c r="B401" s="339" t="str">
        <x:v>EP-017</x:v>
      </x:c>
      <x:c r="C401" s="339" t="str">
        <x:v>SCR-200</x:v>
      </x:c>
      <x:c r="D401" s="339" t="str">
        <x:v>Library</x:v>
      </x:c>
      <x:c r="E401" s="339" t="str">
        <x:v>Book Details &amp; Copies</x:v>
      </x:c>
      <x:c r="F401" s="339" t="str">
        <x:v>Librarian</x:v>
      </x:c>
      <x:c r="G401" s="339" t="str">
        <x:v>As a Librarian, I want book details &amp; copies to enforce history, edit &amp; audit rules so that data quality, permissions and traceability are protected.</x:v>
      </x:c>
      <x:c r="H401" s="339" t="str">
        <x:v>History, Edit &amp; Audit</x:v>
      </x:c>
      <x:c r="I401" s="339" t="str">
        <x:v>Phase 2</x:v>
      </x:c>
      <x:c r="J401" s="339" t="str">
        <x:v>Phase 2</x:v>
      </x:c>
      <x:c r="K401" s="339" t="str">
        <x:v>Medium</x:v>
      </x:c>
      <x:c r="L401" s="339" t="n">
        <x:v>3</x:v>
      </x:c>
      <x:c r="M401" s="339" t="str">
        <x:v>Student/staff members, catalogue, payments/fines, notifications</x:v>
      </x:c>
      <x:c r="N401" s="339" t="str">
        <x:v>Not Started</x:v>
      </x:c>
    </x:row>
    <x:row r="402">
      <x:c r="A402" s="339" t="str">
        <x:v>US-0401</x:v>
      </x:c>
      <x:c r="B402" s="339" t="str">
        <x:v>EP-017</x:v>
      </x:c>
      <x:c r="C402" s="339" t="str">
        <x:v>SCR-201</x:v>
      </x:c>
      <x:c r="D402" s="339" t="str">
        <x:v>Library</x:v>
      </x:c>
      <x:c r="E402" s="339" t="str">
        <x:v>Library Members</x:v>
      </x:c>
      <x:c r="F402" s="339" t="str">
        <x:v>Librarian</x:v>
      </x:c>
      <x:c r="G402" s="339" t="str">
        <x:v>As a Librarian, I want to find and manage library members so that library stock and borrowing remain accurate.</x:v>
      </x:c>
      <x:c r="H402" s="339" t="str">
        <x:v>Primary Workflow</x:v>
      </x:c>
      <x:c r="I402" s="339" t="str">
        <x:v>Phase 2</x:v>
      </x:c>
      <x:c r="J402" s="339" t="str">
        <x:v>Phase 2</x:v>
      </x:c>
      <x:c r="K402" s="339" t="str">
        <x:v>Medium</x:v>
      </x:c>
      <x:c r="L402" s="339" t="n">
        <x:v>5</x:v>
      </x:c>
      <x:c r="M402" s="339" t="str">
        <x:v>Student/staff members, catalogue, payments/fines, notifications</x:v>
      </x:c>
      <x:c r="N402" s="339" t="str">
        <x:v>Not Started</x:v>
      </x:c>
    </x:row>
    <x:row r="403">
      <x:c r="A403" s="339" t="str">
        <x:v>US-0402</x:v>
      </x:c>
      <x:c r="B403" s="339" t="str">
        <x:v>EP-017</x:v>
      </x:c>
      <x:c r="C403" s="339" t="str">
        <x:v>SCR-201</x:v>
      </x:c>
      <x:c r="D403" s="339" t="str">
        <x:v>Library</x:v>
      </x:c>
      <x:c r="E403" s="339" t="str">
        <x:v>Library Members</x:v>
      </x:c>
      <x:c r="F403" s="339" t="str">
        <x:v>Librarian</x:v>
      </x:c>
      <x:c r="G403" s="339" t="str">
        <x:v>As a Librarian, I want library members to enforce search, filter &amp; controlled actions rules so that data quality, permissions and traceability are protected.</x:v>
      </x:c>
      <x:c r="H403" s="339" t="str">
        <x:v>Search, Filter &amp; Controlled Actions</x:v>
      </x:c>
      <x:c r="I403" s="339" t="str">
        <x:v>Phase 2</x:v>
      </x:c>
      <x:c r="J403" s="339" t="str">
        <x:v>Phase 2</x:v>
      </x:c>
      <x:c r="K403" s="339" t="str">
        <x:v>Medium</x:v>
      </x:c>
      <x:c r="L403" s="339" t="n">
        <x:v>3</x:v>
      </x:c>
      <x:c r="M403" s="339" t="str">
        <x:v>Student/staff members, catalogue, payments/fines, notifications</x:v>
      </x:c>
      <x:c r="N403" s="339" t="str">
        <x:v>Not Started</x:v>
      </x:c>
    </x:row>
    <x:row r="404">
      <x:c r="A404" s="339" t="str">
        <x:v>US-0403</x:v>
      </x:c>
      <x:c r="B404" s="339" t="str">
        <x:v>EP-017</x:v>
      </x:c>
      <x:c r="C404" s="339" t="str">
        <x:v>SCR-202</x:v>
      </x:c>
      <x:c r="D404" s="339" t="str">
        <x:v>Library</x:v>
      </x:c>
      <x:c r="E404" s="339" t="str">
        <x:v>Issue Book</x:v>
      </x:c>
      <x:c r="F404" s="339" t="str">
        <x:v>Librarian</x:v>
      </x:c>
      <x:c r="G404" s="339" t="str">
        <x:v>As a Librarian, I want to manage issue book so that library stock and borrowing remain accurate.</x:v>
      </x:c>
      <x:c r="H404" s="339" t="str">
        <x:v>Primary Workflow</x:v>
      </x:c>
      <x:c r="I404" s="339" t="str">
        <x:v>Phase 2</x:v>
      </x:c>
      <x:c r="J404" s="339" t="str">
        <x:v>Phase 2</x:v>
      </x:c>
      <x:c r="K404" s="339" t="str">
        <x:v>High</x:v>
      </x:c>
      <x:c r="L404" s="339" t="n">
        <x:v>8</x:v>
      </x:c>
      <x:c r="M404" s="339" t="str">
        <x:v>Student/staff members, catalogue, payments/fines, notifications</x:v>
      </x:c>
      <x:c r="N404" s="339" t="str">
        <x:v>Not Started</x:v>
      </x:c>
    </x:row>
    <x:row r="405">
      <x:c r="A405" s="339" t="str">
        <x:v>US-0404</x:v>
      </x:c>
      <x:c r="B405" s="339" t="str">
        <x:v>EP-017</x:v>
      </x:c>
      <x:c r="C405" s="339" t="str">
        <x:v>SCR-202</x:v>
      </x:c>
      <x:c r="D405" s="339" t="str">
        <x:v>Library</x:v>
      </x:c>
      <x:c r="E405" s="339" t="str">
        <x:v>Issue Book</x:v>
      </x:c>
      <x:c r="F405" s="339" t="str">
        <x:v>Librarian</x:v>
      </x:c>
      <x:c r="G405" s="339" t="str">
        <x:v>As a Librarian, I want issue book to enforce status, approval &amp; exception handling rules so that data quality, permissions and traceability are protected.</x:v>
      </x:c>
      <x:c r="H405" s="339" t="str">
        <x:v>Status, Approval &amp; Exception Handling</x:v>
      </x:c>
      <x:c r="I405" s="339" t="str">
        <x:v>Phase 2</x:v>
      </x:c>
      <x:c r="J405" s="339" t="str">
        <x:v>Phase 2</x:v>
      </x:c>
      <x:c r="K405" s="339" t="str">
        <x:v>High</x:v>
      </x:c>
      <x:c r="L405" s="339" t="n">
        <x:v>6</x:v>
      </x:c>
      <x:c r="M405" s="339" t="str">
        <x:v>Student/staff members, catalogue, payments/fines, notifications</x:v>
      </x:c>
      <x:c r="N405" s="339" t="str">
        <x:v>Not Started</x:v>
      </x:c>
    </x:row>
    <x:row r="406">
      <x:c r="A406" s="339" t="str">
        <x:v>US-0405</x:v>
      </x:c>
      <x:c r="B406" s="339" t="str">
        <x:v>EP-017</x:v>
      </x:c>
      <x:c r="C406" s="339" t="str">
        <x:v>SCR-203</x:v>
      </x:c>
      <x:c r="D406" s="339" t="str">
        <x:v>Library</x:v>
      </x:c>
      <x:c r="E406" s="339" t="str">
        <x:v>Return Book</x:v>
      </x:c>
      <x:c r="F406" s="339" t="str">
        <x:v>Librarian</x:v>
      </x:c>
      <x:c r="G406" s="339" t="str">
        <x:v>As a Librarian, I want to manage return book so that library stock and borrowing remain accurate.</x:v>
      </x:c>
      <x:c r="H406" s="339" t="str">
        <x:v>Primary Workflow</x:v>
      </x:c>
      <x:c r="I406" s="339" t="str">
        <x:v>Phase 3</x:v>
      </x:c>
      <x:c r="J406" s="339" t="str">
        <x:v>Phase 3</x:v>
      </x:c>
      <x:c r="K406" s="339" t="str">
        <x:v>High</x:v>
      </x:c>
      <x:c r="L406" s="339" t="n">
        <x:v>8</x:v>
      </x:c>
      <x:c r="M406" s="339" t="str">
        <x:v>Student/staff members, catalogue, payments/fines, notifications</x:v>
      </x:c>
      <x:c r="N406" s="339" t="str">
        <x:v>Not Started</x:v>
      </x:c>
    </x:row>
    <x:row r="407">
      <x:c r="A407" s="339" t="str">
        <x:v>US-0406</x:v>
      </x:c>
      <x:c r="B407" s="339" t="str">
        <x:v>EP-017</x:v>
      </x:c>
      <x:c r="C407" s="339" t="str">
        <x:v>SCR-203</x:v>
      </x:c>
      <x:c r="D407" s="339" t="str">
        <x:v>Library</x:v>
      </x:c>
      <x:c r="E407" s="339" t="str">
        <x:v>Return Book</x:v>
      </x:c>
      <x:c r="F407" s="339" t="str">
        <x:v>Librarian</x:v>
      </x:c>
      <x:c r="G407" s="339" t="str">
        <x:v>As a Librarian, I want return book to enforce status, approval &amp; exception handling rules so that data quality, permissions and traceability are protected.</x:v>
      </x:c>
      <x:c r="H407" s="339" t="str">
        <x:v>Status, Approval &amp; Exception Handling</x:v>
      </x:c>
      <x:c r="I407" s="339" t="str">
        <x:v>Phase 3</x:v>
      </x:c>
      <x:c r="J407" s="339" t="str">
        <x:v>Phase 3</x:v>
      </x:c>
      <x:c r="K407" s="339" t="str">
        <x:v>High</x:v>
      </x:c>
      <x:c r="L407" s="339" t="n">
        <x:v>6</x:v>
      </x:c>
      <x:c r="M407" s="339" t="str">
        <x:v>Student/staff members, catalogue, payments/fines, notifications</x:v>
      </x:c>
      <x:c r="N407" s="339" t="str">
        <x:v>Not Started</x:v>
      </x:c>
    </x:row>
    <x:row r="408">
      <x:c r="A408" s="339" t="str">
        <x:v>US-0407</x:v>
      </x:c>
      <x:c r="B408" s="339" t="str">
        <x:v>EP-017</x:v>
      </x:c>
      <x:c r="C408" s="339" t="str">
        <x:v>SCR-204</x:v>
      </x:c>
      <x:c r="D408" s="339" t="str">
        <x:v>Library</x:v>
      </x:c>
      <x:c r="E408" s="339" t="str">
        <x:v>Renew / Reserve Book</x:v>
      </x:c>
      <x:c r="F408" s="339" t="str">
        <x:v>Librarian</x:v>
      </x:c>
      <x:c r="G408" s="339" t="str">
        <x:v>As a Librarian, I want to create or process renew / reserve book so that library stock and borrowing remain accurate.</x:v>
      </x:c>
      <x:c r="H408" s="339" t="str">
        <x:v>Primary Workflow</x:v>
      </x:c>
      <x:c r="I408" s="339" t="str">
        <x:v>Phase 3</x:v>
      </x:c>
      <x:c r="J408" s="339" t="str">
        <x:v>Phase 3</x:v>
      </x:c>
      <x:c r="K408" s="339" t="str">
        <x:v>Medium</x:v>
      </x:c>
      <x:c r="L408" s="339" t="n">
        <x:v>5</x:v>
      </x:c>
      <x:c r="M408" s="339" t="str">
        <x:v>Student/staff members, catalogue, payments/fines, notifications</x:v>
      </x:c>
      <x:c r="N408" s="339" t="str">
        <x:v>Not Started</x:v>
      </x:c>
    </x:row>
    <x:row r="409">
      <x:c r="A409" s="339" t="str">
        <x:v>US-0408</x:v>
      </x:c>
      <x:c r="B409" s="339" t="str">
        <x:v>EP-017</x:v>
      </x:c>
      <x:c r="C409" s="339" t="str">
        <x:v>SCR-204</x:v>
      </x:c>
      <x:c r="D409" s="339" t="str">
        <x:v>Library</x:v>
      </x:c>
      <x:c r="E409" s="339" t="str">
        <x:v>Renew / Reserve Book</x:v>
      </x:c>
      <x:c r="F409" s="339" t="str">
        <x:v>Librarian</x:v>
      </x:c>
      <x:c r="G409" s="339" t="str">
        <x:v>As a Librarian, I want renew / reserve book to enforce validation &amp; duplicate prevention rules so that data quality, permissions and traceability are protected.</x:v>
      </x:c>
      <x:c r="H409" s="339" t="str">
        <x:v>Validation &amp; Duplicate Prevention</x:v>
      </x:c>
      <x:c r="I409" s="339" t="str">
        <x:v>Phase 3</x:v>
      </x:c>
      <x:c r="J409" s="339" t="str">
        <x:v>Phase 3</x:v>
      </x:c>
      <x:c r="K409" s="339" t="str">
        <x:v>Medium</x:v>
      </x:c>
      <x:c r="L409" s="339" t="n">
        <x:v>3</x:v>
      </x:c>
      <x:c r="M409" s="339" t="str">
        <x:v>Student/staff members, catalogue, payments/fines, notifications</x:v>
      </x:c>
      <x:c r="N409" s="339" t="str">
        <x:v>Not Started</x:v>
      </x:c>
    </x:row>
    <x:row r="410">
      <x:c r="A410" s="339" t="str">
        <x:v>US-0409</x:v>
      </x:c>
      <x:c r="B410" s="339" t="str">
        <x:v>EP-017</x:v>
      </x:c>
      <x:c r="C410" s="339" t="str">
        <x:v>SCR-205</x:v>
      </x:c>
      <x:c r="D410" s="339" t="str">
        <x:v>Library</x:v>
      </x:c>
      <x:c r="E410" s="339" t="str">
        <x:v>Fine / Lost / Damaged Book</x:v>
      </x:c>
      <x:c r="F410" s="339" t="str">
        <x:v>Librarian</x:v>
      </x:c>
      <x:c r="G410" s="339" t="str">
        <x:v>As a Librarian, I want to manage fine / lost / damaged book so that library stock and borrowing remain accurate.</x:v>
      </x:c>
      <x:c r="H410" s="339" t="str">
        <x:v>Primary Workflow</x:v>
      </x:c>
      <x:c r="I410" s="339" t="str">
        <x:v>Phase 3</x:v>
      </x:c>
      <x:c r="J410" s="339" t="str">
        <x:v>Phase 3</x:v>
      </x:c>
      <x:c r="K410" s="339" t="str">
        <x:v>High</x:v>
      </x:c>
      <x:c r="L410" s="339" t="n">
        <x:v>8</x:v>
      </x:c>
      <x:c r="M410" s="339" t="str">
        <x:v>Student/staff members, catalogue, payments/fines, notifications</x:v>
      </x:c>
      <x:c r="N410" s="339" t="str">
        <x:v>Not Started</x:v>
      </x:c>
    </x:row>
    <x:row r="411">
      <x:c r="A411" s="339" t="str">
        <x:v>US-0410</x:v>
      </x:c>
      <x:c r="B411" s="339" t="str">
        <x:v>EP-017</x:v>
      </x:c>
      <x:c r="C411" s="339" t="str">
        <x:v>SCR-205</x:v>
      </x:c>
      <x:c r="D411" s="339" t="str">
        <x:v>Library</x:v>
      </x:c>
      <x:c r="E411" s="339" t="str">
        <x:v>Fine / Lost / Damaged Book</x:v>
      </x:c>
      <x:c r="F411" s="339" t="str">
        <x:v>Librarian</x:v>
      </x:c>
      <x:c r="G411" s="339" t="str">
        <x:v>As a Librarian, I want fine / lost / damaged book to enforce status, approval &amp; exception handling rules so that data quality, permissions and traceability are protected.</x:v>
      </x:c>
      <x:c r="H411" s="339" t="str">
        <x:v>Status, Approval &amp; Exception Handling</x:v>
      </x:c>
      <x:c r="I411" s="339" t="str">
        <x:v>Phase 3</x:v>
      </x:c>
      <x:c r="J411" s="339" t="str">
        <x:v>Phase 3</x:v>
      </x:c>
      <x:c r="K411" s="339" t="str">
        <x:v>High</x:v>
      </x:c>
      <x:c r="L411" s="339" t="n">
        <x:v>6</x:v>
      </x:c>
      <x:c r="M411" s="339" t="str">
        <x:v>Student/staff members, catalogue, payments/fines, notifications</x:v>
      </x:c>
      <x:c r="N411" s="339" t="str">
        <x:v>Not Started</x:v>
      </x:c>
    </x:row>
    <x:row r="412">
      <x:c r="A412" s="339" t="str">
        <x:v>US-0411</x:v>
      </x:c>
      <x:c r="B412" s="339" t="str">
        <x:v>EP-017</x:v>
      </x:c>
      <x:c r="C412" s="339" t="str">
        <x:v>SCR-206</x:v>
      </x:c>
      <x:c r="D412" s="339" t="str">
        <x:v>Library</x:v>
      </x:c>
      <x:c r="E412" s="339" t="str">
        <x:v>Digital Library</x:v>
      </x:c>
      <x:c r="F412" s="339" t="str">
        <x:v>Librarian</x:v>
      </x:c>
      <x:c r="G412" s="339" t="str">
        <x:v>As a Librarian, I want to manage digital library so that library stock and borrowing remain accurate.</x:v>
      </x:c>
      <x:c r="H412" s="339" t="str">
        <x:v>Primary Workflow</x:v>
      </x:c>
      <x:c r="I412" s="339" t="str">
        <x:v>Phase 3</x:v>
      </x:c>
      <x:c r="J412" s="339" t="str">
        <x:v>Phase 3</x:v>
      </x:c>
      <x:c r="K412" s="339" t="str">
        <x:v>High</x:v>
      </x:c>
      <x:c r="L412" s="339" t="n">
        <x:v>8</x:v>
      </x:c>
      <x:c r="M412" s="339" t="str">
        <x:v>Student/staff members, catalogue, payments/fines, notifications</x:v>
      </x:c>
      <x:c r="N412" s="339" t="str">
        <x:v>Not Started</x:v>
      </x:c>
    </x:row>
    <x:row r="413">
      <x:c r="A413" s="339" t="str">
        <x:v>US-0412</x:v>
      </x:c>
      <x:c r="B413" s="339" t="str">
        <x:v>EP-017</x:v>
      </x:c>
      <x:c r="C413" s="339" t="str">
        <x:v>SCR-206</x:v>
      </x:c>
      <x:c r="D413" s="339" t="str">
        <x:v>Library</x:v>
      </x:c>
      <x:c r="E413" s="339" t="str">
        <x:v>Digital Library</x:v>
      </x:c>
      <x:c r="F413" s="339" t="str">
        <x:v>Librarian</x:v>
      </x:c>
      <x:c r="G413" s="339" t="str">
        <x:v>As a Librarian, I want digital library to enforce status, approval &amp; exception handling rules so that data quality, permissions and traceability are protected.</x:v>
      </x:c>
      <x:c r="H413" s="339" t="str">
        <x:v>Status, Approval &amp; Exception Handling</x:v>
      </x:c>
      <x:c r="I413" s="339" t="str">
        <x:v>Phase 3</x:v>
      </x:c>
      <x:c r="J413" s="339" t="str">
        <x:v>Phase 3</x:v>
      </x:c>
      <x:c r="K413" s="339" t="str">
        <x:v>High</x:v>
      </x:c>
      <x:c r="L413" s="339" t="n">
        <x:v>6</x:v>
      </x:c>
      <x:c r="M413" s="339" t="str">
        <x:v>Student/staff members, catalogue, payments/fines, notifications</x:v>
      </x:c>
      <x:c r="N413" s="339" t="str">
        <x:v>Not Started</x:v>
      </x:c>
    </x:row>
    <x:row r="414">
      <x:c r="A414" s="339" t="str">
        <x:v>US-0413</x:v>
      </x:c>
      <x:c r="B414" s="339" t="str">
        <x:v>EP-017</x:v>
      </x:c>
      <x:c r="C414" s="339" t="str">
        <x:v>SCR-207</x:v>
      </x:c>
      <x:c r="D414" s="339" t="str">
        <x:v>Library</x:v>
      </x:c>
      <x:c r="E414" s="339" t="str">
        <x:v>Library Reports</x:v>
      </x:c>
      <x:c r="F414" s="339" t="str">
        <x:v>Librarian</x:v>
      </x:c>
      <x:c r="G414" s="339" t="str">
        <x:v>As a Librarian, I want to analyze library reports so that library stock and borrowing remain accurate.</x:v>
      </x:c>
      <x:c r="H414" s="339" t="str">
        <x:v>Primary Workflow</x:v>
      </x:c>
      <x:c r="I414" s="339" t="str">
        <x:v>Phase 3</x:v>
      </x:c>
      <x:c r="J414" s="339" t="str">
        <x:v>Phase 3</x:v>
      </x:c>
      <x:c r="K414" s="339" t="str">
        <x:v>High</x:v>
      </x:c>
      <x:c r="L414" s="339" t="n">
        <x:v>8</x:v>
      </x:c>
      <x:c r="M414" s="339" t="str">
        <x:v>Student/staff members, catalogue, payments/fines, notifications</x:v>
      </x:c>
      <x:c r="N414" s="339" t="str">
        <x:v>Not Started</x:v>
      </x:c>
    </x:row>
    <x:row r="415">
      <x:c r="A415" s="339" t="str">
        <x:v>US-0414</x:v>
      </x:c>
      <x:c r="B415" s="339" t="str">
        <x:v>EP-017</x:v>
      </x:c>
      <x:c r="C415" s="339" t="str">
        <x:v>SCR-207</x:v>
      </x:c>
      <x:c r="D415" s="339" t="str">
        <x:v>Library</x:v>
      </x:c>
      <x:c r="E415" s="339" t="str">
        <x:v>Library Reports</x:v>
      </x:c>
      <x:c r="F415" s="339" t="str">
        <x:v>Librarian</x:v>
      </x:c>
      <x:c r="G415" s="339" t="str">
        <x:v>As a Librarian, I want library reports to enforce filters, reconciliation &amp; export rules so that data quality, permissions and traceability are protected.</x:v>
      </x:c>
      <x:c r="H415" s="339" t="str">
        <x:v>Filters, Reconciliation &amp; Export</x:v>
      </x:c>
      <x:c r="I415" s="339" t="str">
        <x:v>Phase 3</x:v>
      </x:c>
      <x:c r="J415" s="339" t="str">
        <x:v>Phase 3</x:v>
      </x:c>
      <x:c r="K415" s="339" t="str">
        <x:v>High</x:v>
      </x:c>
      <x:c r="L415" s="339" t="n">
        <x:v>6</x:v>
      </x:c>
      <x:c r="M415" s="339" t="str">
        <x:v>Student/staff members, catalogue, payments/fines, notifications</x:v>
      </x:c>
      <x:c r="N415" s="339" t="str">
        <x:v>Not Started</x:v>
      </x:c>
    </x:row>
    <x:row r="416">
      <x:c r="A416" s="339" t="str">
        <x:v>US-0415</x:v>
      </x:c>
      <x:c r="B416" s="339" t="str">
        <x:v>EP-018</x:v>
      </x:c>
      <x:c r="C416" s="339" t="str">
        <x:v>SCR-208</x:v>
      </x:c>
      <x:c r="D416" s="339" t="str">
        <x:v>Hostel</x:v>
      </x:c>
      <x:c r="E416" s="339" t="str">
        <x:v>Hostels / Buildings</x:v>
      </x:c>
      <x:c r="F416" s="339" t="str">
        <x:v>Hostel Warden</x:v>
      </x:c>
      <x:c r="G416" s="339" t="str">
        <x:v>As a Hostel Warden, I want to manage hostels / buildings so that residential operations remain safe and controlled.</x:v>
      </x:c>
      <x:c r="H416" s="339" t="str">
        <x:v>Primary Workflow</x:v>
      </x:c>
      <x:c r="I416" s="339" t="str">
        <x:v>Phase 2</x:v>
      </x:c>
      <x:c r="J416" s="339" t="str">
        <x:v>Phase 2</x:v>
      </x:c>
      <x:c r="K416" s="339" t="str">
        <x:v>High</x:v>
      </x:c>
      <x:c r="L416" s="339" t="n">
        <x:v>8</x:v>
      </x:c>
      <x:c r="M416" s="339" t="str">
        <x:v>Students, parents, fees, attendance, notifications</x:v>
      </x:c>
      <x:c r="N416" s="339" t="str">
        <x:v>Not Started</x:v>
      </x:c>
    </x:row>
    <x:row r="417">
      <x:c r="A417" s="339" t="str">
        <x:v>US-0416</x:v>
      </x:c>
      <x:c r="B417" s="339" t="str">
        <x:v>EP-018</x:v>
      </x:c>
      <x:c r="C417" s="339" t="str">
        <x:v>SCR-208</x:v>
      </x:c>
      <x:c r="D417" s="339" t="str">
        <x:v>Hostel</x:v>
      </x:c>
      <x:c r="E417" s="339" t="str">
        <x:v>Hostels / Buildings</x:v>
      </x:c>
      <x:c r="F417" s="339" t="str">
        <x:v>Hostel Warden</x:v>
      </x:c>
      <x:c r="G417" s="339" t="str">
        <x:v>As a Hostel Warden, I want hostels / buildings to enforce status, approval &amp; exception handling rules so that data quality, permissions and traceability are protected.</x:v>
      </x:c>
      <x:c r="H417" s="339" t="str">
        <x:v>Status, Approval &amp; Exception Handling</x:v>
      </x:c>
      <x:c r="I417" s="339" t="str">
        <x:v>Phase 2</x:v>
      </x:c>
      <x:c r="J417" s="339" t="str">
        <x:v>Phase 2</x:v>
      </x:c>
      <x:c r="K417" s="339" t="str">
        <x:v>High</x:v>
      </x:c>
      <x:c r="L417" s="339" t="n">
        <x:v>6</x:v>
      </x:c>
      <x:c r="M417" s="339" t="str">
        <x:v>Students, parents, fees, attendance, notifications</x:v>
      </x:c>
      <x:c r="N417" s="339" t="str">
        <x:v>Not Started</x:v>
      </x:c>
    </x:row>
    <x:row r="418">
      <x:c r="A418" s="339" t="str">
        <x:v>US-0417</x:v>
      </x:c>
      <x:c r="B418" s="339" t="str">
        <x:v>EP-018</x:v>
      </x:c>
      <x:c r="C418" s="339" t="str">
        <x:v>SCR-209</x:v>
      </x:c>
      <x:c r="D418" s="339" t="str">
        <x:v>Hostel</x:v>
      </x:c>
      <x:c r="E418" s="339" t="str">
        <x:v>Rooms &amp; Beds</x:v>
      </x:c>
      <x:c r="F418" s="339" t="str">
        <x:v>Hostel Warden</x:v>
      </x:c>
      <x:c r="G418" s="339" t="str">
        <x:v>As a Hostel Warden, I want to manage rooms &amp; beds so that residential operations remain safe and controlled.</x:v>
      </x:c>
      <x:c r="H418" s="339" t="str">
        <x:v>Primary Workflow</x:v>
      </x:c>
      <x:c r="I418" s="339" t="str">
        <x:v>Phase 2</x:v>
      </x:c>
      <x:c r="J418" s="339" t="str">
        <x:v>Phase 2</x:v>
      </x:c>
      <x:c r="K418" s="339" t="str">
        <x:v>High</x:v>
      </x:c>
      <x:c r="L418" s="339" t="n">
        <x:v>8</x:v>
      </x:c>
      <x:c r="M418" s="339" t="str">
        <x:v>Students, parents, fees, attendance, notifications</x:v>
      </x:c>
      <x:c r="N418" s="339" t="str">
        <x:v>Not Started</x:v>
      </x:c>
    </x:row>
    <x:row r="419">
      <x:c r="A419" s="339" t="str">
        <x:v>US-0418</x:v>
      </x:c>
      <x:c r="B419" s="339" t="str">
        <x:v>EP-018</x:v>
      </x:c>
      <x:c r="C419" s="339" t="str">
        <x:v>SCR-209</x:v>
      </x:c>
      <x:c r="D419" s="339" t="str">
        <x:v>Hostel</x:v>
      </x:c>
      <x:c r="E419" s="339" t="str">
        <x:v>Rooms &amp; Beds</x:v>
      </x:c>
      <x:c r="F419" s="339" t="str">
        <x:v>Hostel Warden</x:v>
      </x:c>
      <x:c r="G419" s="339" t="str">
        <x:v>As a Hostel Warden, I want rooms &amp; beds to enforce status, approval &amp; exception handling rules so that data quality, permissions and traceability are protected.</x:v>
      </x:c>
      <x:c r="H419" s="339" t="str">
        <x:v>Status, Approval &amp; Exception Handling</x:v>
      </x:c>
      <x:c r="I419" s="339" t="str">
        <x:v>Phase 2</x:v>
      </x:c>
      <x:c r="J419" s="339" t="str">
        <x:v>Phase 2</x:v>
      </x:c>
      <x:c r="K419" s="339" t="str">
        <x:v>High</x:v>
      </x:c>
      <x:c r="L419" s="339" t="n">
        <x:v>6</x:v>
      </x:c>
      <x:c r="M419" s="339" t="str">
        <x:v>Students, parents, fees, attendance, notifications</x:v>
      </x:c>
      <x:c r="N419" s="339" t="str">
        <x:v>Not Started</x:v>
      </x:c>
    </x:row>
    <x:row r="420">
      <x:c r="A420" s="339" t="str">
        <x:v>US-0419</x:v>
      </x:c>
      <x:c r="B420" s="339" t="str">
        <x:v>EP-018</x:v>
      </x:c>
      <x:c r="C420" s="339" t="str">
        <x:v>SCR-210</x:v>
      </x:c>
      <x:c r="D420" s="339" t="str">
        <x:v>Hostel</x:v>
      </x:c>
      <x:c r="E420" s="339" t="str">
        <x:v>Student Hostel Allocation</x:v>
      </x:c>
      <x:c r="F420" s="339" t="str">
        <x:v>Hostel Warden</x:v>
      </x:c>
      <x:c r="G420" s="339" t="str">
        <x:v>As a Hostel Warden, I want to manage student hostel allocation so that residential operations remain safe and controlled.</x:v>
      </x:c>
      <x:c r="H420" s="339" t="str">
        <x:v>Primary Workflow</x:v>
      </x:c>
      <x:c r="I420" s="339" t="str">
        <x:v>Phase 3</x:v>
      </x:c>
      <x:c r="J420" s="339" t="str">
        <x:v>Phase 3</x:v>
      </x:c>
      <x:c r="K420" s="339" t="str">
        <x:v>High</x:v>
      </x:c>
      <x:c r="L420" s="339" t="n">
        <x:v>8</x:v>
      </x:c>
      <x:c r="M420" s="339" t="str">
        <x:v>Students, parents, fees, attendance, notifications</x:v>
      </x:c>
      <x:c r="N420" s="339" t="str">
        <x:v>Not Started</x:v>
      </x:c>
    </x:row>
    <x:row r="421">
      <x:c r="A421" s="339" t="str">
        <x:v>US-0420</x:v>
      </x:c>
      <x:c r="B421" s="339" t="str">
        <x:v>EP-018</x:v>
      </x:c>
      <x:c r="C421" s="339" t="str">
        <x:v>SCR-210</x:v>
      </x:c>
      <x:c r="D421" s="339" t="str">
        <x:v>Hostel</x:v>
      </x:c>
      <x:c r="E421" s="339" t="str">
        <x:v>Student Hostel Allocation</x:v>
      </x:c>
      <x:c r="F421" s="339" t="str">
        <x:v>Hostel Warden</x:v>
      </x:c>
      <x:c r="G421" s="339" t="str">
        <x:v>As a Hostel Warden, I want student hostel allocation to enforce status, approval &amp; exception handling rules so that data quality, permissions and traceability are protected.</x:v>
      </x:c>
      <x:c r="H421" s="339" t="str">
        <x:v>Status, Approval &amp; Exception Handling</x:v>
      </x:c>
      <x:c r="I421" s="339" t="str">
        <x:v>Phase 3</x:v>
      </x:c>
      <x:c r="J421" s="339" t="str">
        <x:v>Phase 3</x:v>
      </x:c>
      <x:c r="K421" s="339" t="str">
        <x:v>High</x:v>
      </x:c>
      <x:c r="L421" s="339" t="n">
        <x:v>6</x:v>
      </x:c>
      <x:c r="M421" s="339" t="str">
        <x:v>Students, parents, fees, attendance, notifications</x:v>
      </x:c>
      <x:c r="N421" s="339" t="str">
        <x:v>Not Started</x:v>
      </x:c>
    </x:row>
    <x:row r="422">
      <x:c r="A422" s="339" t="str">
        <x:v>US-0421</x:v>
      </x:c>
      <x:c r="B422" s="339" t="str">
        <x:v>EP-018</x:v>
      </x:c>
      <x:c r="C422" s="339" t="str">
        <x:v>SCR-211</x:v>
      </x:c>
      <x:c r="D422" s="339" t="str">
        <x:v>Hostel</x:v>
      </x:c>
      <x:c r="E422" s="339" t="str">
        <x:v>Warden Management</x:v>
      </x:c>
      <x:c r="F422" s="339" t="str">
        <x:v>Hostel Warden</x:v>
      </x:c>
      <x:c r="G422" s="339" t="str">
        <x:v>As a Hostel Warden, I want to manage warden management so that residential operations remain safe and controlled.</x:v>
      </x:c>
      <x:c r="H422" s="339" t="str">
        <x:v>Primary Workflow</x:v>
      </x:c>
      <x:c r="I422" s="339" t="str">
        <x:v>Phase 3</x:v>
      </x:c>
      <x:c r="J422" s="339" t="str">
        <x:v>Phase 3</x:v>
      </x:c>
      <x:c r="K422" s="339" t="str">
        <x:v>High</x:v>
      </x:c>
      <x:c r="L422" s="339" t="n">
        <x:v>8</x:v>
      </x:c>
      <x:c r="M422" s="339" t="str">
        <x:v>Students, parents, fees, attendance, notifications</x:v>
      </x:c>
      <x:c r="N422" s="339" t="str">
        <x:v>Not Started</x:v>
      </x:c>
    </x:row>
    <x:row r="423">
      <x:c r="A423" s="339" t="str">
        <x:v>US-0422</x:v>
      </x:c>
      <x:c r="B423" s="339" t="str">
        <x:v>EP-018</x:v>
      </x:c>
      <x:c r="C423" s="339" t="str">
        <x:v>SCR-211</x:v>
      </x:c>
      <x:c r="D423" s="339" t="str">
        <x:v>Hostel</x:v>
      </x:c>
      <x:c r="E423" s="339" t="str">
        <x:v>Warden Management</x:v>
      </x:c>
      <x:c r="F423" s="339" t="str">
        <x:v>Hostel Warden</x:v>
      </x:c>
      <x:c r="G423" s="339" t="str">
        <x:v>As a Hostel Warden, I want warden management to enforce status, approval &amp; exception handling rules so that data quality, permissions and traceability are protected.</x:v>
      </x:c>
      <x:c r="H423" s="339" t="str">
        <x:v>Status, Approval &amp; Exception Handling</x:v>
      </x:c>
      <x:c r="I423" s="339" t="str">
        <x:v>Phase 3</x:v>
      </x:c>
      <x:c r="J423" s="339" t="str">
        <x:v>Phase 3</x:v>
      </x:c>
      <x:c r="K423" s="339" t="str">
        <x:v>High</x:v>
      </x:c>
      <x:c r="L423" s="339" t="n">
        <x:v>6</x:v>
      </x:c>
      <x:c r="M423" s="339" t="str">
        <x:v>Students, parents, fees, attendance, notifications</x:v>
      </x:c>
      <x:c r="N423" s="339" t="str">
        <x:v>Not Started</x:v>
      </x:c>
    </x:row>
    <x:row r="424">
      <x:c r="A424" s="339" t="str">
        <x:v>US-0423</x:v>
      </x:c>
      <x:c r="B424" s="339" t="str">
        <x:v>EP-018</x:v>
      </x:c>
      <x:c r="C424" s="339" t="str">
        <x:v>SCR-212</x:v>
      </x:c>
      <x:c r="D424" s="339" t="str">
        <x:v>Hostel</x:v>
      </x:c>
      <x:c r="E424" s="339" t="str">
        <x:v>Hostel Attendance</x:v>
      </x:c>
      <x:c r="F424" s="339" t="str">
        <x:v>Hostel Warden</x:v>
      </x:c>
      <x:c r="G424" s="339" t="str">
        <x:v>As a Hostel Warden, I want to manage hostel attendance so that residential operations remain safe and controlled.</x:v>
      </x:c>
      <x:c r="H424" s="339" t="str">
        <x:v>Primary Workflow</x:v>
      </x:c>
      <x:c r="I424" s="339" t="str">
        <x:v>Phase 3</x:v>
      </x:c>
      <x:c r="J424" s="339" t="str">
        <x:v>Phase 3</x:v>
      </x:c>
      <x:c r="K424" s="339" t="str">
        <x:v>High</x:v>
      </x:c>
      <x:c r="L424" s="339" t="n">
        <x:v>8</x:v>
      </x:c>
      <x:c r="M424" s="339" t="str">
        <x:v>Students, parents, fees, attendance, notifications</x:v>
      </x:c>
      <x:c r="N424" s="339" t="str">
        <x:v>Not Started</x:v>
      </x:c>
    </x:row>
    <x:row r="425">
      <x:c r="A425" s="339" t="str">
        <x:v>US-0424</x:v>
      </x:c>
      <x:c r="B425" s="339" t="str">
        <x:v>EP-018</x:v>
      </x:c>
      <x:c r="C425" s="339" t="str">
        <x:v>SCR-212</x:v>
      </x:c>
      <x:c r="D425" s="339" t="str">
        <x:v>Hostel</x:v>
      </x:c>
      <x:c r="E425" s="339" t="str">
        <x:v>Hostel Attendance</x:v>
      </x:c>
      <x:c r="F425" s="339" t="str">
        <x:v>Hostel Warden</x:v>
      </x:c>
      <x:c r="G425" s="339" t="str">
        <x:v>As a Hostel Warden, I want hostel attendance to enforce status, approval &amp; exception handling rules so that data quality, permissions and traceability are protected.</x:v>
      </x:c>
      <x:c r="H425" s="339" t="str">
        <x:v>Status, Approval &amp; Exception Handling</x:v>
      </x:c>
      <x:c r="I425" s="339" t="str">
        <x:v>Phase 3</x:v>
      </x:c>
      <x:c r="J425" s="339" t="str">
        <x:v>Phase 3</x:v>
      </x:c>
      <x:c r="K425" s="339" t="str">
        <x:v>High</x:v>
      </x:c>
      <x:c r="L425" s="339" t="n">
        <x:v>6</x:v>
      </x:c>
      <x:c r="M425" s="339" t="str">
        <x:v>Students, parents, fees, attendance, notifications</x:v>
      </x:c>
      <x:c r="N425" s="339" t="str">
        <x:v>Not Started</x:v>
      </x:c>
    </x:row>
    <x:row r="426">
      <x:c r="A426" s="339" t="str">
        <x:v>US-0425</x:v>
      </x:c>
      <x:c r="B426" s="339" t="str">
        <x:v>EP-018</x:v>
      </x:c>
      <x:c r="C426" s="339" t="str">
        <x:v>SCR-213</x:v>
      </x:c>
      <x:c r="D426" s="339" t="str">
        <x:v>Hostel</x:v>
      </x:c>
      <x:c r="E426" s="339" t="str">
        <x:v>Leave / Outing</x:v>
      </x:c>
      <x:c r="F426" s="339" t="str">
        <x:v>Hostel Warden</x:v>
      </x:c>
      <x:c r="G426" s="339" t="str">
        <x:v>As a Hostel Warden, I want to manage leave / outing so that residential operations remain safe and controlled.</x:v>
      </x:c>
      <x:c r="H426" s="339" t="str">
        <x:v>Primary Workflow</x:v>
      </x:c>
      <x:c r="I426" s="339" t="str">
        <x:v>Phase 3</x:v>
      </x:c>
      <x:c r="J426" s="339" t="str">
        <x:v>Phase 3</x:v>
      </x:c>
      <x:c r="K426" s="339" t="str">
        <x:v>High</x:v>
      </x:c>
      <x:c r="L426" s="339" t="n">
        <x:v>8</x:v>
      </x:c>
      <x:c r="M426" s="339" t="str">
        <x:v>Students, parents, fees, attendance, notifications</x:v>
      </x:c>
      <x:c r="N426" s="339" t="str">
        <x:v>Not Started</x:v>
      </x:c>
    </x:row>
    <x:row r="427">
      <x:c r="A427" s="339" t="str">
        <x:v>US-0426</x:v>
      </x:c>
      <x:c r="B427" s="339" t="str">
        <x:v>EP-018</x:v>
      </x:c>
      <x:c r="C427" s="339" t="str">
        <x:v>SCR-213</x:v>
      </x:c>
      <x:c r="D427" s="339" t="str">
        <x:v>Hostel</x:v>
      </x:c>
      <x:c r="E427" s="339" t="str">
        <x:v>Leave / Outing</x:v>
      </x:c>
      <x:c r="F427" s="339" t="str">
        <x:v>Hostel Warden</x:v>
      </x:c>
      <x:c r="G427" s="339" t="str">
        <x:v>As a Hostel Warden, I want leave / outing to enforce status, approval &amp; exception handling rules so that data quality, permissions and traceability are protected.</x:v>
      </x:c>
      <x:c r="H427" s="339" t="str">
        <x:v>Status, Approval &amp; Exception Handling</x:v>
      </x:c>
      <x:c r="I427" s="339" t="str">
        <x:v>Phase 3</x:v>
      </x:c>
      <x:c r="J427" s="339" t="str">
        <x:v>Phase 3</x:v>
      </x:c>
      <x:c r="K427" s="339" t="str">
        <x:v>High</x:v>
      </x:c>
      <x:c r="L427" s="339" t="n">
        <x:v>6</x:v>
      </x:c>
      <x:c r="M427" s="339" t="str">
        <x:v>Students, parents, fees, attendance, notifications</x:v>
      </x:c>
      <x:c r="N427" s="339" t="str">
        <x:v>Not Started</x:v>
      </x:c>
    </x:row>
    <x:row r="428">
      <x:c r="A428" s="339" t="str">
        <x:v>US-0427</x:v>
      </x:c>
      <x:c r="B428" s="339" t="str">
        <x:v>EP-018</x:v>
      </x:c>
      <x:c r="C428" s="339" t="str">
        <x:v>SCR-214</x:v>
      </x:c>
      <x:c r="D428" s="339" t="str">
        <x:v>Hostel</x:v>
      </x:c>
      <x:c r="E428" s="339" t="str">
        <x:v>Mess / Meal Schedule</x:v>
      </x:c>
      <x:c r="F428" s="339" t="str">
        <x:v>Hostel Warden</x:v>
      </x:c>
      <x:c r="G428" s="339" t="str">
        <x:v>As a Hostel Warden, I want to plan and review mess / meal schedule so that residential operations remain safe and controlled.</x:v>
      </x:c>
      <x:c r="H428" s="339" t="str">
        <x:v>Primary Workflow</x:v>
      </x:c>
      <x:c r="I428" s="339" t="str">
        <x:v>Phase 3</x:v>
      </x:c>
      <x:c r="J428" s="339" t="str">
        <x:v>Phase 3</x:v>
      </x:c>
      <x:c r="K428" s="339" t="str">
        <x:v>High</x:v>
      </x:c>
      <x:c r="L428" s="339" t="n">
        <x:v>8</x:v>
      </x:c>
      <x:c r="M428" s="339" t="str">
        <x:v>Students, parents, fees, attendance, notifications</x:v>
      </x:c>
      <x:c r="N428" s="339" t="str">
        <x:v>Not Started</x:v>
      </x:c>
    </x:row>
    <x:row r="429">
      <x:c r="A429" s="339" t="str">
        <x:v>US-0428</x:v>
      </x:c>
      <x:c r="B429" s="339" t="str">
        <x:v>EP-018</x:v>
      </x:c>
      <x:c r="C429" s="339" t="str">
        <x:v>SCR-214</x:v>
      </x:c>
      <x:c r="D429" s="339" t="str">
        <x:v>Hostel</x:v>
      </x:c>
      <x:c r="E429" s="339" t="str">
        <x:v>Mess / Meal Schedule</x:v>
      </x:c>
      <x:c r="F429" s="339" t="str">
        <x:v>Hostel Warden</x:v>
      </x:c>
      <x:c r="G429" s="339" t="str">
        <x:v>As a Hostel Warden, I want mess / meal schedule to enforce conflict detection &amp; rescheduling rules so that data quality, permissions and traceability are protected.</x:v>
      </x:c>
      <x:c r="H429" s="339" t="str">
        <x:v>Conflict Detection &amp; Rescheduling</x:v>
      </x:c>
      <x:c r="I429" s="339" t="str">
        <x:v>Phase 3</x:v>
      </x:c>
      <x:c r="J429" s="339" t="str">
        <x:v>Phase 3</x:v>
      </x:c>
      <x:c r="K429" s="339" t="str">
        <x:v>High</x:v>
      </x:c>
      <x:c r="L429" s="339" t="n">
        <x:v>6</x:v>
      </x:c>
      <x:c r="M429" s="339" t="str">
        <x:v>Students, parents, fees, attendance, notifications</x:v>
      </x:c>
      <x:c r="N429" s="339" t="str">
        <x:v>Not Started</x:v>
      </x:c>
    </x:row>
    <x:row r="430">
      <x:c r="A430" s="339" t="str">
        <x:v>US-0429</x:v>
      </x:c>
      <x:c r="B430" s="339" t="str">
        <x:v>EP-018</x:v>
      </x:c>
      <x:c r="C430" s="339" t="str">
        <x:v>SCR-215</x:v>
      </x:c>
      <x:c r="D430" s="339" t="str">
        <x:v>Hostel</x:v>
      </x:c>
      <x:c r="E430" s="339" t="str">
        <x:v>Hostel Complaints &amp; Fees</x:v>
      </x:c>
      <x:c r="F430" s="339" t="str">
        <x:v>Hostel Warden</x:v>
      </x:c>
      <x:c r="G430" s="339" t="str">
        <x:v>As a Hostel Warden, I want to manage hostel complaints &amp; fees so that residential operations remain safe and controlled.</x:v>
      </x:c>
      <x:c r="H430" s="339" t="str">
        <x:v>Primary Workflow</x:v>
      </x:c>
      <x:c r="I430" s="339" t="str">
        <x:v>Phase 3</x:v>
      </x:c>
      <x:c r="J430" s="339" t="str">
        <x:v>Phase 3</x:v>
      </x:c>
      <x:c r="K430" s="339" t="str">
        <x:v>High</x:v>
      </x:c>
      <x:c r="L430" s="339" t="n">
        <x:v>8</x:v>
      </x:c>
      <x:c r="M430" s="339" t="str">
        <x:v>Students, parents, fees, attendance, notifications</x:v>
      </x:c>
      <x:c r="N430" s="339" t="str">
        <x:v>Not Started</x:v>
      </x:c>
    </x:row>
    <x:row r="431">
      <x:c r="A431" s="339" t="str">
        <x:v>US-0430</x:v>
      </x:c>
      <x:c r="B431" s="339" t="str">
        <x:v>EP-018</x:v>
      </x:c>
      <x:c r="C431" s="339" t="str">
        <x:v>SCR-215</x:v>
      </x:c>
      <x:c r="D431" s="339" t="str">
        <x:v>Hostel</x:v>
      </x:c>
      <x:c r="E431" s="339" t="str">
        <x:v>Hostel Complaints &amp; Fees</x:v>
      </x:c>
      <x:c r="F431" s="339" t="str">
        <x:v>Hostel Warden</x:v>
      </x:c>
      <x:c r="G431" s="339" t="str">
        <x:v>As a Hostel Warden, I want hostel complaints &amp; fees to enforce status, approval &amp; exception handling rules so that data quality, permissions and traceability are protected.</x:v>
      </x:c>
      <x:c r="H431" s="339" t="str">
        <x:v>Status, Approval &amp; Exception Handling</x:v>
      </x:c>
      <x:c r="I431" s="339" t="str">
        <x:v>Phase 3</x:v>
      </x:c>
      <x:c r="J431" s="339" t="str">
        <x:v>Phase 3</x:v>
      </x:c>
      <x:c r="K431" s="339" t="str">
        <x:v>High</x:v>
      </x:c>
      <x:c r="L431" s="339" t="n">
        <x:v>6</x:v>
      </x:c>
      <x:c r="M431" s="339" t="str">
        <x:v>Students, parents, fees, attendance, notifications</x:v>
      </x:c>
      <x:c r="N431" s="339" t="str">
        <x:v>Not Started</x:v>
      </x:c>
    </x:row>
    <x:row r="432">
      <x:c r="A432" s="339" t="str">
        <x:v>US-0431</x:v>
      </x:c>
      <x:c r="B432" s="339" t="str">
        <x:v>EP-019</x:v>
      </x:c>
      <x:c r="C432" s="339" t="str">
        <x:v>SCR-216</x:v>
      </x:c>
      <x:c r="D432" s="339" t="str">
        <x:v>Health / Counselling / Discipline</x:v>
      </x:c>
      <x:c r="E432" s="339" t="str">
        <x:v>Health Dashboard</x:v>
      </x:c>
      <x:c r="F432" s="339" t="str">
        <x:v>Health</x:v>
      </x:c>
      <x:c r="G432" s="339" t="str">
        <x:v>As a Health, I want to monitor health priorities and metrics so that student wellbeing cases are handled safely and confidentially.</x:v>
      </x:c>
      <x:c r="H432" s="339" t="str">
        <x:v>Primary Workflow</x:v>
      </x:c>
      <x:c r="I432" s="339" t="str">
        <x:v>Phase 2</x:v>
      </x:c>
      <x:c r="J432" s="339" t="str">
        <x:v>Phase 2</x:v>
      </x:c>
      <x:c r="K432" s="339" t="str">
        <x:v>High</x:v>
      </x:c>
      <x:c r="L432" s="339" t="n">
        <x:v>8</x:v>
      </x:c>
      <x:c r="M432" s="339" t="str">
        <x:v>Students, guardians, emergency contacts, notifications, audit/security</x:v>
      </x:c>
      <x:c r="N432" s="339" t="str">
        <x:v>Not Started</x:v>
      </x:c>
    </x:row>
    <x:row r="433">
      <x:c r="A433" s="339" t="str">
        <x:v>US-0432</x:v>
      </x:c>
      <x:c r="B433" s="339" t="str">
        <x:v>EP-019</x:v>
      </x:c>
      <x:c r="C433" s="339" t="str">
        <x:v>SCR-216</x:v>
      </x:c>
      <x:c r="D433" s="339" t="str">
        <x:v>Health / Counselling / Discipline</x:v>
      </x:c>
      <x:c r="E433" s="339" t="str">
        <x:v>Health Dashboard</x:v>
      </x:c>
      <x:c r="F433" s="339" t="str">
        <x:v>Health</x:v>
      </x:c>
      <x:c r="G433" s="339" t="str">
        <x:v>As a Health, I want health dashboard to enforce insight &amp; drill-down rules so that data quality, permissions and traceability are protected.</x:v>
      </x:c>
      <x:c r="H433" s="339" t="str">
        <x:v>Insight &amp; Drill-down</x:v>
      </x:c>
      <x:c r="I433" s="339" t="str">
        <x:v>Phase 2</x:v>
      </x:c>
      <x:c r="J433" s="339" t="str">
        <x:v>Phase 2</x:v>
      </x:c>
      <x:c r="K433" s="339" t="str">
        <x:v>High</x:v>
      </x:c>
      <x:c r="L433" s="339" t="n">
        <x:v>6</x:v>
      </x:c>
      <x:c r="M433" s="339" t="str">
        <x:v>Students, guardians, emergency contacts, notifications, audit/security</x:v>
      </x:c>
      <x:c r="N433" s="339" t="str">
        <x:v>Not Started</x:v>
      </x:c>
    </x:row>
    <x:row r="434">
      <x:c r="A434" s="339" t="str">
        <x:v>US-0433</x:v>
      </x:c>
      <x:c r="B434" s="339" t="str">
        <x:v>EP-019</x:v>
      </x:c>
      <x:c r="C434" s="339" t="str">
        <x:v>SCR-217</x:v>
      </x:c>
      <x:c r="D434" s="339" t="str">
        <x:v>Health / Counselling / Discipline</x:v>
      </x:c>
      <x:c r="E434" s="339" t="str">
        <x:v>Student Medical Profile</x:v>
      </x:c>
      <x:c r="F434" s="339" t="str">
        <x:v>Nurse/Medical Officer</x:v>
      </x:c>
      <x:c r="G434" s="339" t="str">
        <x:v>As a Nurse/Medical Officer, I want to review and maintain student medical profile so that student wellbeing cases are handled safely and confidentially.</x:v>
      </x:c>
      <x:c r="H434" s="339" t="str">
        <x:v>Primary Workflow</x:v>
      </x:c>
      <x:c r="I434" s="339" t="str">
        <x:v>Phase 2</x:v>
      </x:c>
      <x:c r="J434" s="339" t="str">
        <x:v>Phase 2</x:v>
      </x:c>
      <x:c r="K434" s="339" t="str">
        <x:v>High</x:v>
      </x:c>
      <x:c r="L434" s="339" t="n">
        <x:v>8</x:v>
      </x:c>
      <x:c r="M434" s="339" t="str">
        <x:v>Students, guardians, emergency contacts, notifications, audit/security</x:v>
      </x:c>
      <x:c r="N434" s="339" t="str">
        <x:v>Not Started</x:v>
      </x:c>
    </x:row>
    <x:row r="435">
      <x:c r="A435" s="339" t="str">
        <x:v>US-0434</x:v>
      </x:c>
      <x:c r="B435" s="339" t="str">
        <x:v>EP-019</x:v>
      </x:c>
      <x:c r="C435" s="339" t="str">
        <x:v>SCR-217</x:v>
      </x:c>
      <x:c r="D435" s="339" t="str">
        <x:v>Health / Counselling / Discipline</x:v>
      </x:c>
      <x:c r="E435" s="339" t="str">
        <x:v>Student Medical Profile</x:v>
      </x:c>
      <x:c r="F435" s="339" t="str">
        <x:v>Nurse/Medical Officer</x:v>
      </x:c>
      <x:c r="G435" s="339" t="str">
        <x:v>As a Nurse/Medical Officer, I want student medical profile to enforce history, edit &amp; audit rules so that data quality, permissions and traceability are protected.</x:v>
      </x:c>
      <x:c r="H435" s="339" t="str">
        <x:v>History, Edit &amp; Audit</x:v>
      </x:c>
      <x:c r="I435" s="339" t="str">
        <x:v>Phase 2</x:v>
      </x:c>
      <x:c r="J435" s="339" t="str">
        <x:v>Phase 2</x:v>
      </x:c>
      <x:c r="K435" s="339" t="str">
        <x:v>High</x:v>
      </x:c>
      <x:c r="L435" s="339" t="n">
        <x:v>6</x:v>
      </x:c>
      <x:c r="M435" s="339" t="str">
        <x:v>Students, guardians, emergency contacts, notifications, audit/security</x:v>
      </x:c>
      <x:c r="N435" s="339" t="str">
        <x:v>Not Started</x:v>
      </x:c>
    </x:row>
    <x:row r="436">
      <x:c r="A436" s="339" t="str">
        <x:v>US-0435</x:v>
      </x:c>
      <x:c r="B436" s="339" t="str">
        <x:v>EP-019</x:v>
      </x:c>
      <x:c r="C436" s="339" t="str">
        <x:v>SCR-218</x:v>
      </x:c>
      <x:c r="D436" s="339" t="str">
        <x:v>Health / Counselling / Discipline</x:v>
      </x:c>
      <x:c r="E436" s="339" t="str">
        <x:v>Clinic Visit</x:v>
      </x:c>
      <x:c r="F436" s="339" t="str">
        <x:v>Nurse/Medical Officer</x:v>
      </x:c>
      <x:c r="G436" s="339" t="str">
        <x:v>As a Nurse/Medical Officer, I want to manage clinic visit so that student wellbeing cases are handled safely and confidentially.</x:v>
      </x:c>
      <x:c r="H436" s="339" t="str">
        <x:v>Primary Workflow</x:v>
      </x:c>
      <x:c r="I436" s="339" t="str">
        <x:v>Phase 2</x:v>
      </x:c>
      <x:c r="J436" s="339" t="str">
        <x:v>Phase 2</x:v>
      </x:c>
      <x:c r="K436" s="339" t="str">
        <x:v>High</x:v>
      </x:c>
      <x:c r="L436" s="339" t="n">
        <x:v>11</x:v>
      </x:c>
      <x:c r="M436" s="339" t="str">
        <x:v>Students, guardians, emergency contacts, notifications, audit/security</x:v>
      </x:c>
      <x:c r="N436" s="339" t="str">
        <x:v>Not Started</x:v>
      </x:c>
    </x:row>
    <x:row r="437">
      <x:c r="A437" s="339" t="str">
        <x:v>US-0436</x:v>
      </x:c>
      <x:c r="B437" s="339" t="str">
        <x:v>EP-019</x:v>
      </x:c>
      <x:c r="C437" s="339" t="str">
        <x:v>SCR-218</x:v>
      </x:c>
      <x:c r="D437" s="339" t="str">
        <x:v>Health / Counselling / Discipline</x:v>
      </x:c>
      <x:c r="E437" s="339" t="str">
        <x:v>Clinic Visit</x:v>
      </x:c>
      <x:c r="F437" s="339" t="str">
        <x:v>Nurse/Medical Officer</x:v>
      </x:c>
      <x:c r="G437" s="339" t="str">
        <x:v>As a Nurse/Medical Officer, I want clinic visit to enforce status, approval &amp; exception handling rules so that data quality, permissions and traceability are protected.</x:v>
      </x:c>
      <x:c r="H437" s="339" t="str">
        <x:v>Status, Approval &amp; Exception Handling</x:v>
      </x:c>
      <x:c r="I437" s="339" t="str">
        <x:v>Phase 2</x:v>
      </x:c>
      <x:c r="J437" s="339" t="str">
        <x:v>Phase 2</x:v>
      </x:c>
      <x:c r="K437" s="339" t="str">
        <x:v>High</x:v>
      </x:c>
      <x:c r="L437" s="339" t="n">
        <x:v>9</x:v>
      </x:c>
      <x:c r="M437" s="339" t="str">
        <x:v>Students, guardians, emergency contacts, notifications, audit/security</x:v>
      </x:c>
      <x:c r="N437" s="339" t="str">
        <x:v>Not Started</x:v>
      </x:c>
    </x:row>
    <x:row r="438">
      <x:c r="A438" s="339" t="str">
        <x:v>US-0437</x:v>
      </x:c>
      <x:c r="B438" s="339" t="str">
        <x:v>EP-019</x:v>
      </x:c>
      <x:c r="C438" s="339" t="str">
        <x:v>SCR-219</x:v>
      </x:c>
      <x:c r="D438" s="339" t="str">
        <x:v>Health / Counselling / Discipline</x:v>
      </x:c>
      <x:c r="E438" s="339" t="str">
        <x:v>Medication / First Aid</x:v>
      </x:c>
      <x:c r="F438" s="339" t="str">
        <x:v>Nurse/Medical Officer</x:v>
      </x:c>
      <x:c r="G438" s="339" t="str">
        <x:v>As a Nurse/Medical Officer, I want to manage medication / first aid so that student wellbeing cases are handled safely and confidentially.</x:v>
      </x:c>
      <x:c r="H438" s="339" t="str">
        <x:v>Primary Workflow</x:v>
      </x:c>
      <x:c r="I438" s="339" t="str">
        <x:v>Phase 3</x:v>
      </x:c>
      <x:c r="J438" s="339" t="str">
        <x:v>Phase 3</x:v>
      </x:c>
      <x:c r="K438" s="339" t="str">
        <x:v>High</x:v>
      </x:c>
      <x:c r="L438" s="339" t="n">
        <x:v>11</x:v>
      </x:c>
      <x:c r="M438" s="339" t="str">
        <x:v>Students, guardians, emergency contacts, notifications, audit/security</x:v>
      </x:c>
      <x:c r="N438" s="339" t="str">
        <x:v>Not Started</x:v>
      </x:c>
    </x:row>
    <x:row r="439">
      <x:c r="A439" s="339" t="str">
        <x:v>US-0438</x:v>
      </x:c>
      <x:c r="B439" s="339" t="str">
        <x:v>EP-019</x:v>
      </x:c>
      <x:c r="C439" s="339" t="str">
        <x:v>SCR-219</x:v>
      </x:c>
      <x:c r="D439" s="339" t="str">
        <x:v>Health / Counselling / Discipline</x:v>
      </x:c>
      <x:c r="E439" s="339" t="str">
        <x:v>Medication / First Aid</x:v>
      </x:c>
      <x:c r="F439" s="339" t="str">
        <x:v>Nurse/Medical Officer</x:v>
      </x:c>
      <x:c r="G439" s="339" t="str">
        <x:v>As a Nurse/Medical Officer, I want medication / first aid to enforce status, approval &amp; exception handling rules so that data quality, permissions and traceability are protected.</x:v>
      </x:c>
      <x:c r="H439" s="339" t="str">
        <x:v>Status, Approval &amp; Exception Handling</x:v>
      </x:c>
      <x:c r="I439" s="339" t="str">
        <x:v>Phase 3</x:v>
      </x:c>
      <x:c r="J439" s="339" t="str">
        <x:v>Phase 3</x:v>
      </x:c>
      <x:c r="K439" s="339" t="str">
        <x:v>High</x:v>
      </x:c>
      <x:c r="L439" s="339" t="n">
        <x:v>9</x:v>
      </x:c>
      <x:c r="M439" s="339" t="str">
        <x:v>Students, guardians, emergency contacts, notifications, audit/security</x:v>
      </x:c>
      <x:c r="N439" s="339" t="str">
        <x:v>Not Started</x:v>
      </x:c>
    </x:row>
    <x:row r="440">
      <x:c r="A440" s="339" t="str">
        <x:v>US-0439</x:v>
      </x:c>
      <x:c r="B440" s="339" t="str">
        <x:v>EP-019</x:v>
      </x:c>
      <x:c r="C440" s="339" t="str">
        <x:v>SCR-220</x:v>
      </x:c>
      <x:c r="D440" s="339" t="str">
        <x:v>Health / Counselling / Discipline</x:v>
      </x:c>
      <x:c r="E440" s="339" t="str">
        <x:v>Immunization / Allergy</x:v>
      </x:c>
      <x:c r="F440" s="339" t="str">
        <x:v>Nurse/Medical Officer</x:v>
      </x:c>
      <x:c r="G440" s="339" t="str">
        <x:v>As a Nurse/Medical Officer, I want to manage immunization / allergy so that student wellbeing cases are handled safely and confidentially.</x:v>
      </x:c>
      <x:c r="H440" s="339" t="str">
        <x:v>Primary Workflow</x:v>
      </x:c>
      <x:c r="I440" s="339" t="str">
        <x:v>Phase 3</x:v>
      </x:c>
      <x:c r="J440" s="339" t="str">
        <x:v>Phase 3</x:v>
      </x:c>
      <x:c r="K440" s="339" t="str">
        <x:v>High</x:v>
      </x:c>
      <x:c r="L440" s="339" t="n">
        <x:v>11</x:v>
      </x:c>
      <x:c r="M440" s="339" t="str">
        <x:v>Students, guardians, emergency contacts, notifications, audit/security</x:v>
      </x:c>
      <x:c r="N440" s="339" t="str">
        <x:v>Not Started</x:v>
      </x:c>
    </x:row>
    <x:row r="441">
      <x:c r="A441" s="339" t="str">
        <x:v>US-0440</x:v>
      </x:c>
      <x:c r="B441" s="339" t="str">
        <x:v>EP-019</x:v>
      </x:c>
      <x:c r="C441" s="339" t="str">
        <x:v>SCR-220</x:v>
      </x:c>
      <x:c r="D441" s="339" t="str">
        <x:v>Health / Counselling / Discipline</x:v>
      </x:c>
      <x:c r="E441" s="339" t="str">
        <x:v>Immunization / Allergy</x:v>
      </x:c>
      <x:c r="F441" s="339" t="str">
        <x:v>Nurse/Medical Officer</x:v>
      </x:c>
      <x:c r="G441" s="339" t="str">
        <x:v>As a Nurse/Medical Officer, I want immunization / allergy to enforce status, approval &amp; exception handling rules so that data quality, permissions and traceability are protected.</x:v>
      </x:c>
      <x:c r="H441" s="339" t="str">
        <x:v>Status, Approval &amp; Exception Handling</x:v>
      </x:c>
      <x:c r="I441" s="339" t="str">
        <x:v>Phase 3</x:v>
      </x:c>
      <x:c r="J441" s="339" t="str">
        <x:v>Phase 3</x:v>
      </x:c>
      <x:c r="K441" s="339" t="str">
        <x:v>High</x:v>
      </x:c>
      <x:c r="L441" s="339" t="n">
        <x:v>9</x:v>
      </x:c>
      <x:c r="M441" s="339" t="str">
        <x:v>Students, guardians, emergency contacts, notifications, audit/security</x:v>
      </x:c>
      <x:c r="N441" s="339" t="str">
        <x:v>Not Started</x:v>
      </x:c>
    </x:row>
    <x:row r="442">
      <x:c r="A442" s="339" t="str">
        <x:v>US-0441</x:v>
      </x:c>
      <x:c r="B442" s="339" t="str">
        <x:v>EP-019</x:v>
      </x:c>
      <x:c r="C442" s="339" t="str">
        <x:v>SCR-221</x:v>
      </x:c>
      <x:c r="D442" s="339" t="str">
        <x:v>Health / Counselling / Discipline</x:v>
      </x:c>
      <x:c r="E442" s="339" t="str">
        <x:v>Counselling Appointments</x:v>
      </x:c>
      <x:c r="F442" s="339" t="str">
        <x:v>Nurse/Medical Officer</x:v>
      </x:c>
      <x:c r="G442" s="339" t="str">
        <x:v>As a Nurse/Medical Officer, I want to manage counselling appointments so that student wellbeing cases are handled safely and confidentially.</x:v>
      </x:c>
      <x:c r="H442" s="339" t="str">
        <x:v>Primary Workflow</x:v>
      </x:c>
      <x:c r="I442" s="339" t="str">
        <x:v>Phase 3</x:v>
      </x:c>
      <x:c r="J442" s="339" t="str">
        <x:v>Phase 3</x:v>
      </x:c>
      <x:c r="K442" s="339" t="str">
        <x:v>High</x:v>
      </x:c>
      <x:c r="L442" s="339" t="n">
        <x:v>11</x:v>
      </x:c>
      <x:c r="M442" s="339" t="str">
        <x:v>Students, guardians, emergency contacts, notifications, audit/security</x:v>
      </x:c>
      <x:c r="N442" s="339" t="str">
        <x:v>Not Started</x:v>
      </x:c>
    </x:row>
    <x:row r="443">
      <x:c r="A443" s="339" t="str">
        <x:v>US-0442</x:v>
      </x:c>
      <x:c r="B443" s="339" t="str">
        <x:v>EP-019</x:v>
      </x:c>
      <x:c r="C443" s="339" t="str">
        <x:v>SCR-221</x:v>
      </x:c>
      <x:c r="D443" s="339" t="str">
        <x:v>Health / Counselling / Discipline</x:v>
      </x:c>
      <x:c r="E443" s="339" t="str">
        <x:v>Counselling Appointments</x:v>
      </x:c>
      <x:c r="F443" s="339" t="str">
        <x:v>Nurse/Medical Officer</x:v>
      </x:c>
      <x:c r="G443" s="339" t="str">
        <x:v>As a Nurse/Medical Officer, I want counselling appointments to enforce status, approval &amp; exception handling rules so that data quality, permissions and traceability are protected.</x:v>
      </x:c>
      <x:c r="H443" s="339" t="str">
        <x:v>Status, Approval &amp; Exception Handling</x:v>
      </x:c>
      <x:c r="I443" s="339" t="str">
        <x:v>Phase 3</x:v>
      </x:c>
      <x:c r="J443" s="339" t="str">
        <x:v>Phase 3</x:v>
      </x:c>
      <x:c r="K443" s="339" t="str">
        <x:v>High</x:v>
      </x:c>
      <x:c r="L443" s="339" t="n">
        <x:v>9</x:v>
      </x:c>
      <x:c r="M443" s="339" t="str">
        <x:v>Students, guardians, emergency contacts, notifications, audit/security</x:v>
      </x:c>
      <x:c r="N443" s="339" t="str">
        <x:v>Not Started</x:v>
      </x:c>
    </x:row>
    <x:row r="444">
      <x:c r="A444" s="339" t="str">
        <x:v>US-0443</x:v>
      </x:c>
      <x:c r="B444" s="339" t="str">
        <x:v>EP-019</x:v>
      </x:c>
      <x:c r="C444" s="339" t="str">
        <x:v>SCR-222</x:v>
      </x:c>
      <x:c r="D444" s="339" t="str">
        <x:v>Health / Counselling / Discipline</x:v>
      </x:c>
      <x:c r="E444" s="339" t="str">
        <x:v>Counselling Case Notes</x:v>
      </x:c>
      <x:c r="F444" s="339" t="str">
        <x:v>Nurse/Medical Officer</x:v>
      </x:c>
      <x:c r="G444" s="339" t="str">
        <x:v>As a Nurse/Medical Officer, I want to manage counselling case notes so that student wellbeing cases are handled safely and confidentially.</x:v>
      </x:c>
      <x:c r="H444" s="339" t="str">
        <x:v>Primary Workflow</x:v>
      </x:c>
      <x:c r="I444" s="339" t="str">
        <x:v>Phase 3</x:v>
      </x:c>
      <x:c r="J444" s="339" t="str">
        <x:v>Phase 3</x:v>
      </x:c>
      <x:c r="K444" s="339" t="str">
        <x:v>High</x:v>
      </x:c>
      <x:c r="L444" s="339" t="n">
        <x:v>11</x:v>
      </x:c>
      <x:c r="M444" s="339" t="str">
        <x:v>Students, guardians, emergency contacts, notifications, audit/security</x:v>
      </x:c>
      <x:c r="N444" s="339" t="str">
        <x:v>Not Started</x:v>
      </x:c>
    </x:row>
    <x:row r="445">
      <x:c r="A445" s="339" t="str">
        <x:v>US-0444</x:v>
      </x:c>
      <x:c r="B445" s="339" t="str">
        <x:v>EP-019</x:v>
      </x:c>
      <x:c r="C445" s="339" t="str">
        <x:v>SCR-222</x:v>
      </x:c>
      <x:c r="D445" s="339" t="str">
        <x:v>Health / Counselling / Discipline</x:v>
      </x:c>
      <x:c r="E445" s="339" t="str">
        <x:v>Counselling Case Notes</x:v>
      </x:c>
      <x:c r="F445" s="339" t="str">
        <x:v>Nurse/Medical Officer</x:v>
      </x:c>
      <x:c r="G445" s="339" t="str">
        <x:v>As a Nurse/Medical Officer, I want counselling case notes to enforce status, approval &amp; exception handling rules so that data quality, permissions and traceability are protected.</x:v>
      </x:c>
      <x:c r="H445" s="339" t="str">
        <x:v>Status, Approval &amp; Exception Handling</x:v>
      </x:c>
      <x:c r="I445" s="339" t="str">
        <x:v>Phase 3</x:v>
      </x:c>
      <x:c r="J445" s="339" t="str">
        <x:v>Phase 3</x:v>
      </x:c>
      <x:c r="K445" s="339" t="str">
        <x:v>High</x:v>
      </x:c>
      <x:c r="L445" s="339" t="n">
        <x:v>9</x:v>
      </x:c>
      <x:c r="M445" s="339" t="str">
        <x:v>Students, guardians, emergency contacts, notifications, audit/security</x:v>
      </x:c>
      <x:c r="N445" s="339" t="str">
        <x:v>Not Started</x:v>
      </x:c>
    </x:row>
    <x:row r="446">
      <x:c r="A446" s="339" t="str">
        <x:v>US-0445</x:v>
      </x:c>
      <x:c r="B446" s="339" t="str">
        <x:v>EP-019</x:v>
      </x:c>
      <x:c r="C446" s="339" t="str">
        <x:v>SCR-223</x:v>
      </x:c>
      <x:c r="D446" s="339" t="str">
        <x:v>Health / Counselling / Discipline</x:v>
      </x:c>
      <x:c r="E446" s="339" t="str">
        <x:v>Behaviour / Discipline Incidents</x:v>
      </x:c>
      <x:c r="F446" s="339" t="str">
        <x:v>Nurse/Medical Officer</x:v>
      </x:c>
      <x:c r="G446" s="339" t="str">
        <x:v>As a Nurse/Medical Officer, I want to find and manage behaviour / discipline incidents so that student wellbeing cases are handled safely and confidentially.</x:v>
      </x:c>
      <x:c r="H446" s="339" t="str">
        <x:v>Primary Workflow</x:v>
      </x:c>
      <x:c r="I446" s="339" t="str">
        <x:v>Phase 3</x:v>
      </x:c>
      <x:c r="J446" s="339" t="str">
        <x:v>Phase 3</x:v>
      </x:c>
      <x:c r="K446" s="339" t="str">
        <x:v>High</x:v>
      </x:c>
      <x:c r="L446" s="339" t="n">
        <x:v>8</x:v>
      </x:c>
      <x:c r="M446" s="339" t="str">
        <x:v>Students, guardians, emergency contacts, notifications, audit/security</x:v>
      </x:c>
      <x:c r="N446" s="339" t="str">
        <x:v>Not Started</x:v>
      </x:c>
    </x:row>
    <x:row r="447">
      <x:c r="A447" s="339" t="str">
        <x:v>US-0446</x:v>
      </x:c>
      <x:c r="B447" s="339" t="str">
        <x:v>EP-019</x:v>
      </x:c>
      <x:c r="C447" s="339" t="str">
        <x:v>SCR-223</x:v>
      </x:c>
      <x:c r="D447" s="339" t="str">
        <x:v>Health / Counselling / Discipline</x:v>
      </x:c>
      <x:c r="E447" s="339" t="str">
        <x:v>Behaviour / Discipline Incidents</x:v>
      </x:c>
      <x:c r="F447" s="339" t="str">
        <x:v>Nurse/Medical Officer</x:v>
      </x:c>
      <x:c r="G447" s="339" t="str">
        <x:v>As a Nurse/Medical Officer, I want behaviour / discipline incidents to enforce search, filter &amp; controlled actions rules so that data quality, permissions and traceability are protected.</x:v>
      </x:c>
      <x:c r="H447" s="339" t="str">
        <x:v>Search, Filter &amp; Controlled Actions</x:v>
      </x:c>
      <x:c r="I447" s="339" t="str">
        <x:v>Phase 3</x:v>
      </x:c>
      <x:c r="J447" s="339" t="str">
        <x:v>Phase 3</x:v>
      </x:c>
      <x:c r="K447" s="339" t="str">
        <x:v>High</x:v>
      </x:c>
      <x:c r="L447" s="339" t="n">
        <x:v>6</x:v>
      </x:c>
      <x:c r="M447" s="339" t="str">
        <x:v>Students, guardians, emergency contacts, notifications, audit/security</x:v>
      </x:c>
      <x:c r="N447" s="339" t="str">
        <x:v>Not Started</x:v>
      </x:c>
    </x:row>
    <x:row r="448">
      <x:c r="A448" s="339" t="str">
        <x:v>US-0447</x:v>
      </x:c>
      <x:c r="B448" s="339" t="str">
        <x:v>EP-019</x:v>
      </x:c>
      <x:c r="C448" s="339" t="str">
        <x:v>SCR-224</x:v>
      </x:c>
      <x:c r="D448" s="339" t="str">
        <x:v>Health / Counselling / Discipline</x:v>
      </x:c>
      <x:c r="E448" s="339" t="str">
        <x:v>Incident Action &amp; Follow-up</x:v>
      </x:c>
      <x:c r="F448" s="339" t="str">
        <x:v>Nurse/Medical Officer</x:v>
      </x:c>
      <x:c r="G448" s="339" t="str">
        <x:v>As a Nurse/Medical Officer, I want to manage incident action &amp; follow-up so that student wellbeing cases are handled safely and confidentially.</x:v>
      </x:c>
      <x:c r="H448" s="339" t="str">
        <x:v>Primary Workflow</x:v>
      </x:c>
      <x:c r="I448" s="339" t="str">
        <x:v>Phase 3</x:v>
      </x:c>
      <x:c r="J448" s="339" t="str">
        <x:v>Phase 3</x:v>
      </x:c>
      <x:c r="K448" s="339" t="str">
        <x:v>High</x:v>
      </x:c>
      <x:c r="L448" s="339" t="n">
        <x:v>11</x:v>
      </x:c>
      <x:c r="M448" s="339" t="str">
        <x:v>Students, guardians, emergency contacts, notifications, audit/security</x:v>
      </x:c>
      <x:c r="N448" s="339" t="str">
        <x:v>Not Started</x:v>
      </x:c>
    </x:row>
    <x:row r="449">
      <x:c r="A449" s="339" t="str">
        <x:v>US-0448</x:v>
      </x:c>
      <x:c r="B449" s="339" t="str">
        <x:v>EP-019</x:v>
      </x:c>
      <x:c r="C449" s="339" t="str">
        <x:v>SCR-224</x:v>
      </x:c>
      <x:c r="D449" s="339" t="str">
        <x:v>Health / Counselling / Discipline</x:v>
      </x:c>
      <x:c r="E449" s="339" t="str">
        <x:v>Incident Action &amp; Follow-up</x:v>
      </x:c>
      <x:c r="F449" s="339" t="str">
        <x:v>Nurse/Medical Officer</x:v>
      </x:c>
      <x:c r="G449" s="339" t="str">
        <x:v>As a Nurse/Medical Officer, I want incident action &amp; follow-up to enforce status, approval &amp; exception handling rules so that data quality, permissions and traceability are protected.</x:v>
      </x:c>
      <x:c r="H449" s="339" t="str">
        <x:v>Status, Approval &amp; Exception Handling</x:v>
      </x:c>
      <x:c r="I449" s="339" t="str">
        <x:v>Phase 3</x:v>
      </x:c>
      <x:c r="J449" s="339" t="str">
        <x:v>Phase 3</x:v>
      </x:c>
      <x:c r="K449" s="339" t="str">
        <x:v>High</x:v>
      </x:c>
      <x:c r="L449" s="339" t="n">
        <x:v>9</x:v>
      </x:c>
      <x:c r="M449" s="339" t="str">
        <x:v>Students, guardians, emergency contacts, notifications, audit/security</x:v>
      </x:c>
      <x:c r="N449" s="339" t="str">
        <x:v>Not Started</x:v>
      </x:c>
    </x:row>
    <x:row r="450">
      <x:c r="A450" s="339" t="str">
        <x:v>US-0449</x:v>
      </x:c>
      <x:c r="B450" s="339" t="str">
        <x:v>EP-019</x:v>
      </x:c>
      <x:c r="C450" s="339" t="str">
        <x:v>SCR-225</x:v>
      </x:c>
      <x:c r="D450" s="339" t="str">
        <x:v>Health / Counselling / Discipline</x:v>
      </x:c>
      <x:c r="E450" s="339" t="str">
        <x:v>Emergency Contacts &amp; Escalation</x:v>
      </x:c>
      <x:c r="F450" s="339" t="str">
        <x:v>Nurse/Medical Officer</x:v>
      </x:c>
      <x:c r="G450" s="339" t="str">
        <x:v>As a Nurse/Medical Officer, I want to manage emergency contacts &amp; escalation so that student wellbeing cases are handled safely and confidentially.</x:v>
      </x:c>
      <x:c r="H450" s="339" t="str">
        <x:v>Primary Workflow</x:v>
      </x:c>
      <x:c r="I450" s="339" t="str">
        <x:v>Phase 3</x:v>
      </x:c>
      <x:c r="J450" s="339" t="str">
        <x:v>Phase 3</x:v>
      </x:c>
      <x:c r="K450" s="339" t="str">
        <x:v>High</x:v>
      </x:c>
      <x:c r="L450" s="339" t="n">
        <x:v>11</x:v>
      </x:c>
      <x:c r="M450" s="339" t="str">
        <x:v>Students, guardians, emergency contacts, notifications, audit/security</x:v>
      </x:c>
      <x:c r="N450" s="339" t="str">
        <x:v>Not Started</x:v>
      </x:c>
    </x:row>
    <x:row r="451">
      <x:c r="A451" s="339" t="str">
        <x:v>US-0450</x:v>
      </x:c>
      <x:c r="B451" s="339" t="str">
        <x:v>EP-019</x:v>
      </x:c>
      <x:c r="C451" s="339" t="str">
        <x:v>SCR-225</x:v>
      </x:c>
      <x:c r="D451" s="339" t="str">
        <x:v>Health / Counselling / Discipline</x:v>
      </x:c>
      <x:c r="E451" s="339" t="str">
        <x:v>Emergency Contacts &amp; Escalation</x:v>
      </x:c>
      <x:c r="F451" s="339" t="str">
        <x:v>Nurse/Medical Officer</x:v>
      </x:c>
      <x:c r="G451" s="339" t="str">
        <x:v>As a Nurse/Medical Officer, I want emergency contacts &amp; escalation to enforce status, approval &amp; exception handling rules so that data quality, permissions and traceability are protected.</x:v>
      </x:c>
      <x:c r="H451" s="339" t="str">
        <x:v>Status, Approval &amp; Exception Handling</x:v>
      </x:c>
      <x:c r="I451" s="339" t="str">
        <x:v>Phase 3</x:v>
      </x:c>
      <x:c r="J451" s="339" t="str">
        <x:v>Phase 3</x:v>
      </x:c>
      <x:c r="K451" s="339" t="str">
        <x:v>High</x:v>
      </x:c>
      <x:c r="L451" s="339" t="n">
        <x:v>9</x:v>
      </x:c>
      <x:c r="M451" s="339" t="str">
        <x:v>Students, guardians, emergency contacts, notifications, audit/security</x:v>
      </x:c>
      <x:c r="N451" s="339" t="str">
        <x:v>Not Started</x:v>
      </x:c>
    </x:row>
    <x:row r="452">
      <x:c r="A452" s="339" t="str">
        <x:v>US-0451</x:v>
      </x:c>
      <x:c r="B452" s="339" t="str">
        <x:v>EP-020</x:v>
      </x:c>
      <x:c r="C452" s="339" t="str">
        <x:v>SCR-226</x:v>
      </x:c>
      <x:c r="D452" s="339" t="str">
        <x:v>Visitor / Gate / Security</x:v>
      </x:c>
      <x:c r="E452" s="339" t="str">
        <x:v>Visitor Dashboard</x:v>
      </x:c>
      <x:c r="F452" s="339" t="str">
        <x:v>Visitor</x:v>
      </x:c>
      <x:c r="G452" s="339" t="str">
        <x:v>As a Visitor, I want to monitor visitor priorities and metrics so that campus entry and exit remain controlled.</x:v>
      </x:c>
      <x:c r="H452" s="339" t="str">
        <x:v>Primary Workflow</x:v>
      </x:c>
      <x:c r="I452" s="339" t="str">
        <x:v>Phase 2</x:v>
      </x:c>
      <x:c r="J452" s="339" t="str">
        <x:v>Phase 2</x:v>
      </x:c>
      <x:c r="K452" s="339" t="str">
        <x:v>Medium</x:v>
      </x:c>
      <x:c r="L452" s="339" t="n">
        <x:v>5</x:v>
      </x:c>
      <x:c r="M452" s="339" t="str">
        <x:v>Identity verification, students/guardians, staff directory, notifications, audit</x:v>
      </x:c>
      <x:c r="N452" s="339" t="str">
        <x:v>Not Started</x:v>
      </x:c>
    </x:row>
    <x:row r="453">
      <x:c r="A453" s="339" t="str">
        <x:v>US-0452</x:v>
      </x:c>
      <x:c r="B453" s="339" t="str">
        <x:v>EP-020</x:v>
      </x:c>
      <x:c r="C453" s="339" t="str">
        <x:v>SCR-226</x:v>
      </x:c>
      <x:c r="D453" s="339" t="str">
        <x:v>Visitor / Gate / Security</x:v>
      </x:c>
      <x:c r="E453" s="339" t="str">
        <x:v>Visitor Dashboard</x:v>
      </x:c>
      <x:c r="F453" s="339" t="str">
        <x:v>Visitor</x:v>
      </x:c>
      <x:c r="G453" s="339" t="str">
        <x:v>As a Visitor, I want visitor dashboard to enforce insight &amp; drill-down rules so that data quality, permissions and traceability are protected.</x:v>
      </x:c>
      <x:c r="H453" s="339" t="str">
        <x:v>Insight &amp; Drill-down</x:v>
      </x:c>
      <x:c r="I453" s="339" t="str">
        <x:v>Phase 2</x:v>
      </x:c>
      <x:c r="J453" s="339" t="str">
        <x:v>Phase 2</x:v>
      </x:c>
      <x:c r="K453" s="339" t="str">
        <x:v>Medium</x:v>
      </x:c>
      <x:c r="L453" s="339" t="n">
        <x:v>3</x:v>
      </x:c>
      <x:c r="M453" s="339" t="str">
        <x:v>Identity verification, students/guardians, staff directory, notifications, audit</x:v>
      </x:c>
      <x:c r="N453" s="339" t="str">
        <x:v>Not Started</x:v>
      </x:c>
    </x:row>
    <x:row r="454">
      <x:c r="A454" s="339" t="str">
        <x:v>US-0453</x:v>
      </x:c>
      <x:c r="B454" s="339" t="str">
        <x:v>EP-020</x:v>
      </x:c>
      <x:c r="C454" s="339" t="str">
        <x:v>SCR-227</x:v>
      </x:c>
      <x:c r="D454" s="339" t="str">
        <x:v>Visitor / Gate / Security</x:v>
      </x:c>
      <x:c r="E454" s="339" t="str">
        <x:v>Visitor Check-in</x:v>
      </x:c>
      <x:c r="F454" s="339" t="str">
        <x:v>Security</x:v>
      </x:c>
      <x:c r="G454" s="339" t="str">
        <x:v>As a Security, I want to create or process visitor check-in so that campus entry and exit remain controlled.</x:v>
      </x:c>
      <x:c r="H454" s="339" t="str">
        <x:v>Primary Workflow</x:v>
      </x:c>
      <x:c r="I454" s="339" t="str">
        <x:v>Phase 2</x:v>
      </x:c>
      <x:c r="J454" s="339" t="str">
        <x:v>Phase 2</x:v>
      </x:c>
      <x:c r="K454" s="339" t="str">
        <x:v>Medium</x:v>
      </x:c>
      <x:c r="L454" s="339" t="n">
        <x:v>5</x:v>
      </x:c>
      <x:c r="M454" s="339" t="str">
        <x:v>Identity verification, students/guardians, staff directory, notifications, audit</x:v>
      </x:c>
      <x:c r="N454" s="339" t="str">
        <x:v>Not Started</x:v>
      </x:c>
    </x:row>
    <x:row r="455">
      <x:c r="A455" s="339" t="str">
        <x:v>US-0454</x:v>
      </x:c>
      <x:c r="B455" s="339" t="str">
        <x:v>EP-020</x:v>
      </x:c>
      <x:c r="C455" s="339" t="str">
        <x:v>SCR-227</x:v>
      </x:c>
      <x:c r="D455" s="339" t="str">
        <x:v>Visitor / Gate / Security</x:v>
      </x:c>
      <x:c r="E455" s="339" t="str">
        <x:v>Visitor Check-in</x:v>
      </x:c>
      <x:c r="F455" s="339" t="str">
        <x:v>Security</x:v>
      </x:c>
      <x:c r="G455" s="339" t="str">
        <x:v>As a Security, I want visitor check-in to enforce validation &amp; duplicate prevention rules so that data quality, permissions and traceability are protected.</x:v>
      </x:c>
      <x:c r="H455" s="339" t="str">
        <x:v>Validation &amp; Duplicate Prevention</x:v>
      </x:c>
      <x:c r="I455" s="339" t="str">
        <x:v>Phase 2</x:v>
      </x:c>
      <x:c r="J455" s="339" t="str">
        <x:v>Phase 2</x:v>
      </x:c>
      <x:c r="K455" s="339" t="str">
        <x:v>Medium</x:v>
      </x:c>
      <x:c r="L455" s="339" t="n">
        <x:v>3</x:v>
      </x:c>
      <x:c r="M455" s="339" t="str">
        <x:v>Identity verification, students/guardians, staff directory, notifications, audit</x:v>
      </x:c>
      <x:c r="N455" s="339" t="str">
        <x:v>Not Started</x:v>
      </x:c>
    </x:row>
    <x:row r="456">
      <x:c r="A456" s="339" t="str">
        <x:v>US-0455</x:v>
      </x:c>
      <x:c r="B456" s="339" t="str">
        <x:v>EP-020</x:v>
      </x:c>
      <x:c r="C456" s="339" t="str">
        <x:v>SCR-228</x:v>
      </x:c>
      <x:c r="D456" s="339" t="str">
        <x:v>Visitor / Gate / Security</x:v>
      </x:c>
      <x:c r="E456" s="339" t="str">
        <x:v>Visitor Approval</x:v>
      </x:c>
      <x:c r="F456" s="339" t="str">
        <x:v>Security</x:v>
      </x:c>
      <x:c r="G456" s="339" t="str">
        <x:v>As a Security, I want to review and decide visitor approval so that campus entry and exit remain controlled.</x:v>
      </x:c>
      <x:c r="H456" s="339" t="str">
        <x:v>Primary Workflow</x:v>
      </x:c>
      <x:c r="I456" s="339" t="str">
        <x:v>Phase 2</x:v>
      </x:c>
      <x:c r="J456" s="339" t="str">
        <x:v>Phase 2</x:v>
      </x:c>
      <x:c r="K456" s="339" t="str">
        <x:v>High</x:v>
      </x:c>
      <x:c r="L456" s="339" t="n">
        <x:v>8</x:v>
      </x:c>
      <x:c r="M456" s="339" t="str">
        <x:v>Identity verification, students/guardians, staff directory, notifications, audit</x:v>
      </x:c>
      <x:c r="N456" s="339" t="str">
        <x:v>Not Started</x:v>
      </x:c>
    </x:row>
    <x:row r="457">
      <x:c r="A457" s="339" t="str">
        <x:v>US-0456</x:v>
      </x:c>
      <x:c r="B457" s="339" t="str">
        <x:v>EP-020</x:v>
      </x:c>
      <x:c r="C457" s="339" t="str">
        <x:v>SCR-228</x:v>
      </x:c>
      <x:c r="D457" s="339" t="str">
        <x:v>Visitor / Gate / Security</x:v>
      </x:c>
      <x:c r="E457" s="339" t="str">
        <x:v>Visitor Approval</x:v>
      </x:c>
      <x:c r="F457" s="339" t="str">
        <x:v>Security</x:v>
      </x:c>
      <x:c r="G457" s="339" t="str">
        <x:v>As a Security, I want visitor approval to enforce status, approval &amp; exception handling rules so that data quality, permissions and traceability are protected.</x:v>
      </x:c>
      <x:c r="H457" s="339" t="str">
        <x:v>Status, Approval &amp; Exception Handling</x:v>
      </x:c>
      <x:c r="I457" s="339" t="str">
        <x:v>Phase 2</x:v>
      </x:c>
      <x:c r="J457" s="339" t="str">
        <x:v>Phase 2</x:v>
      </x:c>
      <x:c r="K457" s="339" t="str">
        <x:v>High</x:v>
      </x:c>
      <x:c r="L457" s="339" t="n">
        <x:v>6</x:v>
      </x:c>
      <x:c r="M457" s="339" t="str">
        <x:v>Identity verification, students/guardians, staff directory, notifications, audit</x:v>
      </x:c>
      <x:c r="N457" s="339" t="str">
        <x:v>Not Started</x:v>
      </x:c>
    </x:row>
    <x:row r="458">
      <x:c r="A458" s="339" t="str">
        <x:v>US-0457</x:v>
      </x:c>
      <x:c r="B458" s="339" t="str">
        <x:v>EP-020</x:v>
      </x:c>
      <x:c r="C458" s="339" t="str">
        <x:v>SCR-229</x:v>
      </x:c>
      <x:c r="D458" s="339" t="str">
        <x:v>Visitor / Gate / Security</x:v>
      </x:c>
      <x:c r="E458" s="339" t="str">
        <x:v>Visitor Pass</x:v>
      </x:c>
      <x:c r="F458" s="339" t="str">
        <x:v>Security</x:v>
      </x:c>
      <x:c r="G458" s="339" t="str">
        <x:v>As a Security, I want to manage visitor pass so that campus entry and exit remain controlled.</x:v>
      </x:c>
      <x:c r="H458" s="339" t="str">
        <x:v>Primary Workflow</x:v>
      </x:c>
      <x:c r="I458" s="339" t="str">
        <x:v>Phase 2</x:v>
      </x:c>
      <x:c r="J458" s="339" t="str">
        <x:v>Phase 2</x:v>
      </x:c>
      <x:c r="K458" s="339" t="str">
        <x:v>High</x:v>
      </x:c>
      <x:c r="L458" s="339" t="n">
        <x:v>8</x:v>
      </x:c>
      <x:c r="M458" s="339" t="str">
        <x:v>Identity verification, students/guardians, staff directory, notifications, audit</x:v>
      </x:c>
      <x:c r="N458" s="339" t="str">
        <x:v>Not Started</x:v>
      </x:c>
    </x:row>
    <x:row r="459">
      <x:c r="A459" s="339" t="str">
        <x:v>US-0458</x:v>
      </x:c>
      <x:c r="B459" s="339" t="str">
        <x:v>EP-020</x:v>
      </x:c>
      <x:c r="C459" s="339" t="str">
        <x:v>SCR-229</x:v>
      </x:c>
      <x:c r="D459" s="339" t="str">
        <x:v>Visitor / Gate / Security</x:v>
      </x:c>
      <x:c r="E459" s="339" t="str">
        <x:v>Visitor Pass</x:v>
      </x:c>
      <x:c r="F459" s="339" t="str">
        <x:v>Security</x:v>
      </x:c>
      <x:c r="G459" s="339" t="str">
        <x:v>As a Security, I want visitor pass to enforce status, approval &amp; exception handling rules so that data quality, permissions and traceability are protected.</x:v>
      </x:c>
      <x:c r="H459" s="339" t="str">
        <x:v>Status, Approval &amp; Exception Handling</x:v>
      </x:c>
      <x:c r="I459" s="339" t="str">
        <x:v>Phase 2</x:v>
      </x:c>
      <x:c r="J459" s="339" t="str">
        <x:v>Phase 2</x:v>
      </x:c>
      <x:c r="K459" s="339" t="str">
        <x:v>High</x:v>
      </x:c>
      <x:c r="L459" s="339" t="n">
        <x:v>6</x:v>
      </x:c>
      <x:c r="M459" s="339" t="str">
        <x:v>Identity verification, students/guardians, staff directory, notifications, audit</x:v>
      </x:c>
      <x:c r="N459" s="339" t="str">
        <x:v>Not Started</x:v>
      </x:c>
    </x:row>
    <x:row r="460">
      <x:c r="A460" s="339" t="str">
        <x:v>US-0459</x:v>
      </x:c>
      <x:c r="B460" s="339" t="str">
        <x:v>EP-020</x:v>
      </x:c>
      <x:c r="C460" s="339" t="str">
        <x:v>SCR-230</x:v>
      </x:c>
      <x:c r="D460" s="339" t="str">
        <x:v>Visitor / Gate / Security</x:v>
      </x:c>
      <x:c r="E460" s="339" t="str">
        <x:v>Visitor Check-out</x:v>
      </x:c>
      <x:c r="F460" s="339" t="str">
        <x:v>Security</x:v>
      </x:c>
      <x:c r="G460" s="339" t="str">
        <x:v>As a Security, I want to manage visitor check-out so that campus entry and exit remain controlled.</x:v>
      </x:c>
      <x:c r="H460" s="339" t="str">
        <x:v>Primary Workflow</x:v>
      </x:c>
      <x:c r="I460" s="339" t="str">
        <x:v>Phase 3</x:v>
      </x:c>
      <x:c r="J460" s="339" t="str">
        <x:v>Phase 3</x:v>
      </x:c>
      <x:c r="K460" s="339" t="str">
        <x:v>High</x:v>
      </x:c>
      <x:c r="L460" s="339" t="n">
        <x:v>8</x:v>
      </x:c>
      <x:c r="M460" s="339" t="str">
        <x:v>Identity verification, students/guardians, staff directory, notifications, audit</x:v>
      </x:c>
      <x:c r="N460" s="339" t="str">
        <x:v>Not Started</x:v>
      </x:c>
    </x:row>
    <x:row r="461">
      <x:c r="A461" s="339" t="str">
        <x:v>US-0460</x:v>
      </x:c>
      <x:c r="B461" s="339" t="str">
        <x:v>EP-020</x:v>
      </x:c>
      <x:c r="C461" s="339" t="str">
        <x:v>SCR-230</x:v>
      </x:c>
      <x:c r="D461" s="339" t="str">
        <x:v>Visitor / Gate / Security</x:v>
      </x:c>
      <x:c r="E461" s="339" t="str">
        <x:v>Visitor Check-out</x:v>
      </x:c>
      <x:c r="F461" s="339" t="str">
        <x:v>Security</x:v>
      </x:c>
      <x:c r="G461" s="339" t="str">
        <x:v>As a Security, I want visitor check-out to enforce status, approval &amp; exception handling rules so that data quality, permissions and traceability are protected.</x:v>
      </x:c>
      <x:c r="H461" s="339" t="str">
        <x:v>Status, Approval &amp; Exception Handling</x:v>
      </x:c>
      <x:c r="I461" s="339" t="str">
        <x:v>Phase 3</x:v>
      </x:c>
      <x:c r="J461" s="339" t="str">
        <x:v>Phase 3</x:v>
      </x:c>
      <x:c r="K461" s="339" t="str">
        <x:v>High</x:v>
      </x:c>
      <x:c r="L461" s="339" t="n">
        <x:v>6</x:v>
      </x:c>
      <x:c r="M461" s="339" t="str">
        <x:v>Identity verification, students/guardians, staff directory, notifications, audit</x:v>
      </x:c>
      <x:c r="N461" s="339" t="str">
        <x:v>Not Started</x:v>
      </x:c>
    </x:row>
    <x:row r="462">
      <x:c r="A462" s="339" t="str">
        <x:v>US-0461</x:v>
      </x:c>
      <x:c r="B462" s="339" t="str">
        <x:v>EP-020</x:v>
      </x:c>
      <x:c r="C462" s="339" t="str">
        <x:v>SCR-231</x:v>
      </x:c>
      <x:c r="D462" s="339" t="str">
        <x:v>Visitor / Gate / Security</x:v>
      </x:c>
      <x:c r="E462" s="339" t="str">
        <x:v>Student Early Pickup / Gate Pass</x:v>
      </x:c>
      <x:c r="F462" s="339" t="str">
        <x:v>Security</x:v>
      </x:c>
      <x:c r="G462" s="339" t="str">
        <x:v>As a Security, I want to manage student early pickup / gate pass so that campus entry and exit remain controlled.</x:v>
      </x:c>
      <x:c r="H462" s="339" t="str">
        <x:v>Primary Workflow</x:v>
      </x:c>
      <x:c r="I462" s="339" t="str">
        <x:v>Phase 3</x:v>
      </x:c>
      <x:c r="J462" s="339" t="str">
        <x:v>Phase 3</x:v>
      </x:c>
      <x:c r="K462" s="339" t="str">
        <x:v>High</x:v>
      </x:c>
      <x:c r="L462" s="339" t="n">
        <x:v>8</x:v>
      </x:c>
      <x:c r="M462" s="339" t="str">
        <x:v>Identity verification, students/guardians, staff directory, notifications, audit</x:v>
      </x:c>
      <x:c r="N462" s="339" t="str">
        <x:v>Not Started</x:v>
      </x:c>
    </x:row>
    <x:row r="463">
      <x:c r="A463" s="339" t="str">
        <x:v>US-0462</x:v>
      </x:c>
      <x:c r="B463" s="339" t="str">
        <x:v>EP-020</x:v>
      </x:c>
      <x:c r="C463" s="339" t="str">
        <x:v>SCR-231</x:v>
      </x:c>
      <x:c r="D463" s="339" t="str">
        <x:v>Visitor / Gate / Security</x:v>
      </x:c>
      <x:c r="E463" s="339" t="str">
        <x:v>Student Early Pickup / Gate Pass</x:v>
      </x:c>
      <x:c r="F463" s="339" t="str">
        <x:v>Security</x:v>
      </x:c>
      <x:c r="G463" s="339" t="str">
        <x:v>As a Security, I want student early pickup / gate pass to enforce status, approval &amp; exception handling rules so that data quality, permissions and traceability are protected.</x:v>
      </x:c>
      <x:c r="H463" s="339" t="str">
        <x:v>Status, Approval &amp; Exception Handling</x:v>
      </x:c>
      <x:c r="I463" s="339" t="str">
        <x:v>Phase 3</x:v>
      </x:c>
      <x:c r="J463" s="339" t="str">
        <x:v>Phase 3</x:v>
      </x:c>
      <x:c r="K463" s="339" t="str">
        <x:v>High</x:v>
      </x:c>
      <x:c r="L463" s="339" t="n">
        <x:v>6</x:v>
      </x:c>
      <x:c r="M463" s="339" t="str">
        <x:v>Identity verification, students/guardians, staff directory, notifications, audit</x:v>
      </x:c>
      <x:c r="N463" s="339" t="str">
        <x:v>Not Started</x:v>
      </x:c>
    </x:row>
    <x:row r="464">
      <x:c r="A464" s="339" t="str">
        <x:v>US-0463</x:v>
      </x:c>
      <x:c r="B464" s="339" t="str">
        <x:v>EP-020</x:v>
      </x:c>
      <x:c r="C464" s="339" t="str">
        <x:v>SCR-232</x:v>
      </x:c>
      <x:c r="D464" s="339" t="str">
        <x:v>Visitor / Gate / Security</x:v>
      </x:c>
      <x:c r="E464" s="339" t="str">
        <x:v>Staff &amp; Vehicle Gate Log</x:v>
      </x:c>
      <x:c r="F464" s="339" t="str">
        <x:v>Security</x:v>
      </x:c>
      <x:c r="G464" s="339" t="str">
        <x:v>As a Security, I want to manage staff &amp; vehicle gate log so that campus entry and exit remain controlled.</x:v>
      </x:c>
      <x:c r="H464" s="339" t="str">
        <x:v>Primary Workflow</x:v>
      </x:c>
      <x:c r="I464" s="339" t="str">
        <x:v>Phase 3</x:v>
      </x:c>
      <x:c r="J464" s="339" t="str">
        <x:v>Phase 3</x:v>
      </x:c>
      <x:c r="K464" s="339" t="str">
        <x:v>High</x:v>
      </x:c>
      <x:c r="L464" s="339" t="n">
        <x:v>8</x:v>
      </x:c>
      <x:c r="M464" s="339" t="str">
        <x:v>Identity verification, students/guardians, staff directory, notifications, audit</x:v>
      </x:c>
      <x:c r="N464" s="339" t="str">
        <x:v>Not Started</x:v>
      </x:c>
    </x:row>
    <x:row r="465">
      <x:c r="A465" s="339" t="str">
        <x:v>US-0464</x:v>
      </x:c>
      <x:c r="B465" s="339" t="str">
        <x:v>EP-020</x:v>
      </x:c>
      <x:c r="C465" s="339" t="str">
        <x:v>SCR-232</x:v>
      </x:c>
      <x:c r="D465" s="339" t="str">
        <x:v>Visitor / Gate / Security</x:v>
      </x:c>
      <x:c r="E465" s="339" t="str">
        <x:v>Staff &amp; Vehicle Gate Log</x:v>
      </x:c>
      <x:c r="F465" s="339" t="str">
        <x:v>Security</x:v>
      </x:c>
      <x:c r="G465" s="339" t="str">
        <x:v>As a Security, I want staff &amp; vehicle gate log to enforce status, approval &amp; exception handling rules so that data quality, permissions and traceability are protected.</x:v>
      </x:c>
      <x:c r="H465" s="339" t="str">
        <x:v>Status, Approval &amp; Exception Handling</x:v>
      </x:c>
      <x:c r="I465" s="339" t="str">
        <x:v>Phase 3</x:v>
      </x:c>
      <x:c r="J465" s="339" t="str">
        <x:v>Phase 3</x:v>
      </x:c>
      <x:c r="K465" s="339" t="str">
        <x:v>High</x:v>
      </x:c>
      <x:c r="L465" s="339" t="n">
        <x:v>6</x:v>
      </x:c>
      <x:c r="M465" s="339" t="str">
        <x:v>Identity verification, students/guardians, staff directory, notifications, audit</x:v>
      </x:c>
      <x:c r="N465" s="339" t="str">
        <x:v>Not Started</x:v>
      </x:c>
    </x:row>
    <x:row r="466">
      <x:c r="A466" s="339" t="str">
        <x:v>US-0465</x:v>
      </x:c>
      <x:c r="B466" s="339" t="str">
        <x:v>EP-020</x:v>
      </x:c>
      <x:c r="C466" s="339" t="str">
        <x:v>SCR-233</x:v>
      </x:c>
      <x:c r="D466" s="339" t="str">
        <x:v>Visitor / Gate / Security</x:v>
      </x:c>
      <x:c r="E466" s="339" t="str">
        <x:v>Security Incident Log</x:v>
      </x:c>
      <x:c r="F466" s="339" t="str">
        <x:v>Security</x:v>
      </x:c>
      <x:c r="G466" s="339" t="str">
        <x:v>As a Security, I want to manage security incident log so that campus entry and exit remain controlled.</x:v>
      </x:c>
      <x:c r="H466" s="339" t="str">
        <x:v>Primary Workflow</x:v>
      </x:c>
      <x:c r="I466" s="339" t="str">
        <x:v>Phase 3</x:v>
      </x:c>
      <x:c r="J466" s="339" t="str">
        <x:v>Phase 3</x:v>
      </x:c>
      <x:c r="K466" s="339" t="str">
        <x:v>High</x:v>
      </x:c>
      <x:c r="L466" s="339" t="n">
        <x:v>8</x:v>
      </x:c>
      <x:c r="M466" s="339" t="str">
        <x:v>Identity verification, students/guardians, staff directory, notifications, audit</x:v>
      </x:c>
      <x:c r="N466" s="339" t="str">
        <x:v>Not Started</x:v>
      </x:c>
    </x:row>
    <x:row r="467">
      <x:c r="A467" s="339" t="str">
        <x:v>US-0466</x:v>
      </x:c>
      <x:c r="B467" s="339" t="str">
        <x:v>EP-020</x:v>
      </x:c>
      <x:c r="C467" s="339" t="str">
        <x:v>SCR-233</x:v>
      </x:c>
      <x:c r="D467" s="339" t="str">
        <x:v>Visitor / Gate / Security</x:v>
      </x:c>
      <x:c r="E467" s="339" t="str">
        <x:v>Security Incident Log</x:v>
      </x:c>
      <x:c r="F467" s="339" t="str">
        <x:v>Security</x:v>
      </x:c>
      <x:c r="G467" s="339" t="str">
        <x:v>As a Security, I want security incident log to enforce status, approval &amp; exception handling rules so that data quality, permissions and traceability are protected.</x:v>
      </x:c>
      <x:c r="H467" s="339" t="str">
        <x:v>Status, Approval &amp; Exception Handling</x:v>
      </x:c>
      <x:c r="I467" s="339" t="str">
        <x:v>Phase 3</x:v>
      </x:c>
      <x:c r="J467" s="339" t="str">
        <x:v>Phase 3</x:v>
      </x:c>
      <x:c r="K467" s="339" t="str">
        <x:v>High</x:v>
      </x:c>
      <x:c r="L467" s="339" t="n">
        <x:v>6</x:v>
      </x:c>
      <x:c r="M467" s="339" t="str">
        <x:v>Identity verification, students/guardians, staff directory, notifications, audit</x:v>
      </x:c>
      <x:c r="N467" s="339" t="str">
        <x:v>Not Started</x:v>
      </x:c>
    </x:row>
    <x:row r="468">
      <x:c r="A468" s="339" t="str">
        <x:v>US-0467</x:v>
      </x:c>
      <x:c r="B468" s="339" t="str">
        <x:v>EP-021</x:v>
      </x:c>
      <x:c r="C468" s="339" t="str">
        <x:v>SCR-234</x:v>
      </x:c>
      <x:c r="D468" s="339" t="str">
        <x:v>Inventory / Assets / Labs</x:v>
      </x:c>
      <x:c r="E468" s="339" t="str">
        <x:v>Inventory Dashboard</x:v>
      </x:c>
      <x:c r="F468" s="339" t="str">
        <x:v>Inventory</x:v>
      </x:c>
      <x:c r="G468" s="339" t="str">
        <x:v>As a Inventory, I want to monitor inventory priorities and metrics so that school resources remain accountable.</x:v>
      </x:c>
      <x:c r="H468" s="339" t="str">
        <x:v>Primary Workflow</x:v>
      </x:c>
      <x:c r="I468" s="339" t="str">
        <x:v>Phase 2</x:v>
      </x:c>
      <x:c r="J468" s="339" t="str">
        <x:v>Phase 2</x:v>
      </x:c>
      <x:c r="K468" s="339" t="str">
        <x:v>Medium</x:v>
      </x:c>
      <x:c r="L468" s="339" t="n">
        <x:v>5</x:v>
      </x:c>
      <x:c r="M468" s="339" t="str">
        <x:v>Suppliers, purchasing/finance, staff/students, rooms/labs</x:v>
      </x:c>
      <x:c r="N468" s="339" t="str">
        <x:v>Not Started</x:v>
      </x:c>
    </x:row>
    <x:row r="469">
      <x:c r="A469" s="339" t="str">
        <x:v>US-0468</x:v>
      </x:c>
      <x:c r="B469" s="339" t="str">
        <x:v>EP-021</x:v>
      </x:c>
      <x:c r="C469" s="339" t="str">
        <x:v>SCR-234</x:v>
      </x:c>
      <x:c r="D469" s="339" t="str">
        <x:v>Inventory / Assets / Labs</x:v>
      </x:c>
      <x:c r="E469" s="339" t="str">
        <x:v>Inventory Dashboard</x:v>
      </x:c>
      <x:c r="F469" s="339" t="str">
        <x:v>Inventory</x:v>
      </x:c>
      <x:c r="G469" s="339" t="str">
        <x:v>As a Inventory, I want inventory dashboard to enforce insight &amp; drill-down rules so that data quality, permissions and traceability are protected.</x:v>
      </x:c>
      <x:c r="H469" s="339" t="str">
        <x:v>Insight &amp; Drill-down</x:v>
      </x:c>
      <x:c r="I469" s="339" t="str">
        <x:v>Phase 2</x:v>
      </x:c>
      <x:c r="J469" s="339" t="str">
        <x:v>Phase 2</x:v>
      </x:c>
      <x:c r="K469" s="339" t="str">
        <x:v>Medium</x:v>
      </x:c>
      <x:c r="L469" s="339" t="n">
        <x:v>3</x:v>
      </x:c>
      <x:c r="M469" s="339" t="str">
        <x:v>Suppliers, purchasing/finance, staff/students, rooms/labs</x:v>
      </x:c>
      <x:c r="N469" s="339" t="str">
        <x:v>Not Started</x:v>
      </x:c>
    </x:row>
    <x:row r="470">
      <x:c r="A470" s="339" t="str">
        <x:v>US-0469</x:v>
      </x:c>
      <x:c r="B470" s="339" t="str">
        <x:v>EP-021</x:v>
      </x:c>
      <x:c r="C470" s="339" t="str">
        <x:v>SCR-235</x:v>
      </x:c>
      <x:c r="D470" s="339" t="str">
        <x:v>Inventory / Assets / Labs</x:v>
      </x:c>
      <x:c r="E470" s="339" t="str">
        <x:v>Item Catalogue</x:v>
      </x:c>
      <x:c r="F470" s="339" t="str">
        <x:v>Store Manager</x:v>
      </x:c>
      <x:c r="G470" s="339" t="str">
        <x:v>As a Store Manager, I want to find and manage item catalogue so that school resources remain accountable.</x:v>
      </x:c>
      <x:c r="H470" s="339" t="str">
        <x:v>Primary Workflow</x:v>
      </x:c>
      <x:c r="I470" s="339" t="str">
        <x:v>Phase 2</x:v>
      </x:c>
      <x:c r="J470" s="339" t="str">
        <x:v>Phase 2</x:v>
      </x:c>
      <x:c r="K470" s="339" t="str">
        <x:v>Medium</x:v>
      </x:c>
      <x:c r="L470" s="339" t="n">
        <x:v>5</x:v>
      </x:c>
      <x:c r="M470" s="339" t="str">
        <x:v>Suppliers, purchasing/finance, staff/students, rooms/labs</x:v>
      </x:c>
      <x:c r="N470" s="339" t="str">
        <x:v>Not Started</x:v>
      </x:c>
    </x:row>
    <x:row r="471">
      <x:c r="A471" s="339" t="str">
        <x:v>US-0470</x:v>
      </x:c>
      <x:c r="B471" s="339" t="str">
        <x:v>EP-021</x:v>
      </x:c>
      <x:c r="C471" s="339" t="str">
        <x:v>SCR-235</x:v>
      </x:c>
      <x:c r="D471" s="339" t="str">
        <x:v>Inventory / Assets / Labs</x:v>
      </x:c>
      <x:c r="E471" s="339" t="str">
        <x:v>Item Catalogue</x:v>
      </x:c>
      <x:c r="F471" s="339" t="str">
        <x:v>Store Manager</x:v>
      </x:c>
      <x:c r="G471" s="339" t="str">
        <x:v>As a Store Manager, I want item catalogue to enforce search, filter &amp; controlled actions rules so that data quality, permissions and traceability are protected.</x:v>
      </x:c>
      <x:c r="H471" s="339" t="str">
        <x:v>Search, Filter &amp; Controlled Actions</x:v>
      </x:c>
      <x:c r="I471" s="339" t="str">
        <x:v>Phase 2</x:v>
      </x:c>
      <x:c r="J471" s="339" t="str">
        <x:v>Phase 2</x:v>
      </x:c>
      <x:c r="K471" s="339" t="str">
        <x:v>Medium</x:v>
      </x:c>
      <x:c r="L471" s="339" t="n">
        <x:v>3</x:v>
      </x:c>
      <x:c r="M471" s="339" t="str">
        <x:v>Suppliers, purchasing/finance, staff/students, rooms/labs</x:v>
      </x:c>
      <x:c r="N471" s="339" t="str">
        <x:v>Not Started</x:v>
      </x:c>
    </x:row>
    <x:row r="472">
      <x:c r="A472" s="339" t="str">
        <x:v>US-0471</x:v>
      </x:c>
      <x:c r="B472" s="339" t="str">
        <x:v>EP-021</x:v>
      </x:c>
      <x:c r="C472" s="339" t="str">
        <x:v>SCR-236</x:v>
      </x:c>
      <x:c r="D472" s="339" t="str">
        <x:v>Inventory / Assets / Labs</x:v>
      </x:c>
      <x:c r="E472" s="339" t="str">
        <x:v>Stock In / Purchase Receipt</x:v>
      </x:c>
      <x:c r="F472" s="339" t="str">
        <x:v>Store Manager</x:v>
      </x:c>
      <x:c r="G472" s="339" t="str">
        <x:v>As a Store Manager, I want to review and maintain stock in / purchase receipt so that school resources remain accountable.</x:v>
      </x:c>
      <x:c r="H472" s="339" t="str">
        <x:v>Primary Workflow</x:v>
      </x:c>
      <x:c r="I472" s="339" t="str">
        <x:v>Phase 2</x:v>
      </x:c>
      <x:c r="J472" s="339" t="str">
        <x:v>Phase 2</x:v>
      </x:c>
      <x:c r="K472" s="339" t="str">
        <x:v>Medium</x:v>
      </x:c>
      <x:c r="L472" s="339" t="n">
        <x:v>5</x:v>
      </x:c>
      <x:c r="M472" s="339" t="str">
        <x:v>Suppliers, purchasing/finance, staff/students, rooms/labs</x:v>
      </x:c>
      <x:c r="N472" s="339" t="str">
        <x:v>Not Started</x:v>
      </x:c>
    </x:row>
    <x:row r="473">
      <x:c r="A473" s="339" t="str">
        <x:v>US-0472</x:v>
      </x:c>
      <x:c r="B473" s="339" t="str">
        <x:v>EP-021</x:v>
      </x:c>
      <x:c r="C473" s="339" t="str">
        <x:v>SCR-236</x:v>
      </x:c>
      <x:c r="D473" s="339" t="str">
        <x:v>Inventory / Assets / Labs</x:v>
      </x:c>
      <x:c r="E473" s="339" t="str">
        <x:v>Stock In / Purchase Receipt</x:v>
      </x:c>
      <x:c r="F473" s="339" t="str">
        <x:v>Store Manager</x:v>
      </x:c>
      <x:c r="G473" s="339" t="str">
        <x:v>As a Store Manager, I want stock in / purchase receipt to enforce history, edit &amp; audit rules so that data quality, permissions and traceability are protected.</x:v>
      </x:c>
      <x:c r="H473" s="339" t="str">
        <x:v>History, Edit &amp; Audit</x:v>
      </x:c>
      <x:c r="I473" s="339" t="str">
        <x:v>Phase 2</x:v>
      </x:c>
      <x:c r="J473" s="339" t="str">
        <x:v>Phase 2</x:v>
      </x:c>
      <x:c r="K473" s="339" t="str">
        <x:v>Medium</x:v>
      </x:c>
      <x:c r="L473" s="339" t="n">
        <x:v>3</x:v>
      </x:c>
      <x:c r="M473" s="339" t="str">
        <x:v>Suppliers, purchasing/finance, staff/students, rooms/labs</x:v>
      </x:c>
      <x:c r="N473" s="339" t="str">
        <x:v>Not Started</x:v>
      </x:c>
    </x:row>
    <x:row r="474">
      <x:c r="A474" s="339" t="str">
        <x:v>US-0473</x:v>
      </x:c>
      <x:c r="B474" s="339" t="str">
        <x:v>EP-021</x:v>
      </x:c>
      <x:c r="C474" s="339" t="str">
        <x:v>SCR-237</x:v>
      </x:c>
      <x:c r="D474" s="339" t="str">
        <x:v>Inventory / Assets / Labs</x:v>
      </x:c>
      <x:c r="E474" s="339" t="str">
        <x:v>Stock Issue / Return</x:v>
      </x:c>
      <x:c r="F474" s="339" t="str">
        <x:v>Store Manager</x:v>
      </x:c>
      <x:c r="G474" s="339" t="str">
        <x:v>As a Store Manager, I want to manage stock issue / return so that school resources remain accountable.</x:v>
      </x:c>
      <x:c r="H474" s="339" t="str">
        <x:v>Primary Workflow</x:v>
      </x:c>
      <x:c r="I474" s="339" t="str">
        <x:v>Phase 2</x:v>
      </x:c>
      <x:c r="J474" s="339" t="str">
        <x:v>Phase 2</x:v>
      </x:c>
      <x:c r="K474" s="339" t="str">
        <x:v>High</x:v>
      </x:c>
      <x:c r="L474" s="339" t="n">
        <x:v>8</x:v>
      </x:c>
      <x:c r="M474" s="339" t="str">
        <x:v>Suppliers, purchasing/finance, staff/students, rooms/labs</x:v>
      </x:c>
      <x:c r="N474" s="339" t="str">
        <x:v>Not Started</x:v>
      </x:c>
    </x:row>
    <x:row r="475">
      <x:c r="A475" s="339" t="str">
        <x:v>US-0474</x:v>
      </x:c>
      <x:c r="B475" s="339" t="str">
        <x:v>EP-021</x:v>
      </x:c>
      <x:c r="C475" s="339" t="str">
        <x:v>SCR-237</x:v>
      </x:c>
      <x:c r="D475" s="339" t="str">
        <x:v>Inventory / Assets / Labs</x:v>
      </x:c>
      <x:c r="E475" s="339" t="str">
        <x:v>Stock Issue / Return</x:v>
      </x:c>
      <x:c r="F475" s="339" t="str">
        <x:v>Store Manager</x:v>
      </x:c>
      <x:c r="G475" s="339" t="str">
        <x:v>As a Store Manager, I want stock issue / return to enforce status, approval &amp; exception handling rules so that data quality, permissions and traceability are protected.</x:v>
      </x:c>
      <x:c r="H475" s="339" t="str">
        <x:v>Status, Approval &amp; Exception Handling</x:v>
      </x:c>
      <x:c r="I475" s="339" t="str">
        <x:v>Phase 2</x:v>
      </x:c>
      <x:c r="J475" s="339" t="str">
        <x:v>Phase 2</x:v>
      </x:c>
      <x:c r="K475" s="339" t="str">
        <x:v>High</x:v>
      </x:c>
      <x:c r="L475" s="339" t="n">
        <x:v>6</x:v>
      </x:c>
      <x:c r="M475" s="339" t="str">
        <x:v>Suppliers, purchasing/finance, staff/students, rooms/labs</x:v>
      </x:c>
      <x:c r="N475" s="339" t="str">
        <x:v>Not Started</x:v>
      </x:c>
    </x:row>
    <x:row r="476">
      <x:c r="A476" s="339" t="str">
        <x:v>US-0475</x:v>
      </x:c>
      <x:c r="B476" s="339" t="str">
        <x:v>EP-021</x:v>
      </x:c>
      <x:c r="C476" s="339" t="str">
        <x:v>SCR-238</x:v>
      </x:c>
      <x:c r="D476" s="339" t="str">
        <x:v>Inventory / Assets / Labs</x:v>
      </x:c>
      <x:c r="E476" s="339" t="str">
        <x:v>Supplier Management</x:v>
      </x:c>
      <x:c r="F476" s="339" t="str">
        <x:v>Store Manager</x:v>
      </x:c>
      <x:c r="G476" s="339" t="str">
        <x:v>As a Store Manager, I want to manage supplier management so that school resources remain accountable.</x:v>
      </x:c>
      <x:c r="H476" s="339" t="str">
        <x:v>Primary Workflow</x:v>
      </x:c>
      <x:c r="I476" s="339" t="str">
        <x:v>Phase 2</x:v>
      </x:c>
      <x:c r="J476" s="339" t="str">
        <x:v>Phase 2</x:v>
      </x:c>
      <x:c r="K476" s="339" t="str">
        <x:v>High</x:v>
      </x:c>
      <x:c r="L476" s="339" t="n">
        <x:v>8</x:v>
      </x:c>
      <x:c r="M476" s="339" t="str">
        <x:v>Suppliers, purchasing/finance, staff/students, rooms/labs</x:v>
      </x:c>
      <x:c r="N476" s="339" t="str">
        <x:v>Not Started</x:v>
      </x:c>
    </x:row>
    <x:row r="477">
      <x:c r="A477" s="339" t="str">
        <x:v>US-0476</x:v>
      </x:c>
      <x:c r="B477" s="339" t="str">
        <x:v>EP-021</x:v>
      </x:c>
      <x:c r="C477" s="339" t="str">
        <x:v>SCR-238</x:v>
      </x:c>
      <x:c r="D477" s="339" t="str">
        <x:v>Inventory / Assets / Labs</x:v>
      </x:c>
      <x:c r="E477" s="339" t="str">
        <x:v>Supplier Management</x:v>
      </x:c>
      <x:c r="F477" s="339" t="str">
        <x:v>Store Manager</x:v>
      </x:c>
      <x:c r="G477" s="339" t="str">
        <x:v>As a Store Manager, I want supplier management to enforce status, approval &amp; exception handling rules so that data quality, permissions and traceability are protected.</x:v>
      </x:c>
      <x:c r="H477" s="339" t="str">
        <x:v>Status, Approval &amp; Exception Handling</x:v>
      </x:c>
      <x:c r="I477" s="339" t="str">
        <x:v>Phase 2</x:v>
      </x:c>
      <x:c r="J477" s="339" t="str">
        <x:v>Phase 2</x:v>
      </x:c>
      <x:c r="K477" s="339" t="str">
        <x:v>High</x:v>
      </x:c>
      <x:c r="L477" s="339" t="n">
        <x:v>6</x:v>
      </x:c>
      <x:c r="M477" s="339" t="str">
        <x:v>Suppliers, purchasing/finance, staff/students, rooms/labs</x:v>
      </x:c>
      <x:c r="N477" s="339" t="str">
        <x:v>Not Started</x:v>
      </x:c>
    </x:row>
    <x:row r="478">
      <x:c r="A478" s="339" t="str">
        <x:v>US-0477</x:v>
      </x:c>
      <x:c r="B478" s="339" t="str">
        <x:v>EP-021</x:v>
      </x:c>
      <x:c r="C478" s="339" t="str">
        <x:v>SCR-239</x:v>
      </x:c>
      <x:c r="D478" s="339" t="str">
        <x:v>Inventory / Assets / Labs</x:v>
      </x:c>
      <x:c r="E478" s="339" t="str">
        <x:v>Asset Register</x:v>
      </x:c>
      <x:c r="F478" s="339" t="str">
        <x:v>Store Manager</x:v>
      </x:c>
      <x:c r="G478" s="339" t="str">
        <x:v>As a Store Manager, I want to review and maintain asset register so that school resources remain accountable.</x:v>
      </x:c>
      <x:c r="H478" s="339" t="str">
        <x:v>Primary Workflow</x:v>
      </x:c>
      <x:c r="I478" s="339" t="str">
        <x:v>Phase 2</x:v>
      </x:c>
      <x:c r="J478" s="339" t="str">
        <x:v>Phase 2</x:v>
      </x:c>
      <x:c r="K478" s="339" t="str">
        <x:v>Medium</x:v>
      </x:c>
      <x:c r="L478" s="339" t="n">
        <x:v>5</x:v>
      </x:c>
      <x:c r="M478" s="339" t="str">
        <x:v>Suppliers, purchasing/finance, staff/students, rooms/labs</x:v>
      </x:c>
      <x:c r="N478" s="339" t="str">
        <x:v>Not Started</x:v>
      </x:c>
    </x:row>
    <x:row r="479">
      <x:c r="A479" s="339" t="str">
        <x:v>US-0478</x:v>
      </x:c>
      <x:c r="B479" s="339" t="str">
        <x:v>EP-021</x:v>
      </x:c>
      <x:c r="C479" s="339" t="str">
        <x:v>SCR-239</x:v>
      </x:c>
      <x:c r="D479" s="339" t="str">
        <x:v>Inventory / Assets / Labs</x:v>
      </x:c>
      <x:c r="E479" s="339" t="str">
        <x:v>Asset Register</x:v>
      </x:c>
      <x:c r="F479" s="339" t="str">
        <x:v>Store Manager</x:v>
      </x:c>
      <x:c r="G479" s="339" t="str">
        <x:v>As a Store Manager, I want asset register to enforce history, edit &amp; audit rules so that data quality, permissions and traceability are protected.</x:v>
      </x:c>
      <x:c r="H479" s="339" t="str">
        <x:v>History, Edit &amp; Audit</x:v>
      </x:c>
      <x:c r="I479" s="339" t="str">
        <x:v>Phase 2</x:v>
      </x:c>
      <x:c r="J479" s="339" t="str">
        <x:v>Phase 2</x:v>
      </x:c>
      <x:c r="K479" s="339" t="str">
        <x:v>Medium</x:v>
      </x:c>
      <x:c r="L479" s="339" t="n">
        <x:v>3</x:v>
      </x:c>
      <x:c r="M479" s="339" t="str">
        <x:v>Suppliers, purchasing/finance, staff/students, rooms/labs</x:v>
      </x:c>
      <x:c r="N479" s="339" t="str">
        <x:v>Not Started</x:v>
      </x:c>
    </x:row>
    <x:row r="480">
      <x:c r="A480" s="339" t="str">
        <x:v>US-0479</x:v>
      </x:c>
      <x:c r="B480" s="339" t="str">
        <x:v>EP-021</x:v>
      </x:c>
      <x:c r="C480" s="339" t="str">
        <x:v>SCR-240</x:v>
      </x:c>
      <x:c r="D480" s="339" t="str">
        <x:v>Inventory / Assets / Labs</x:v>
      </x:c>
      <x:c r="E480" s="339" t="str">
        <x:v>Asset Assignment / Transfer</x:v>
      </x:c>
      <x:c r="F480" s="339" t="str">
        <x:v>Store Manager</x:v>
      </x:c>
      <x:c r="G480" s="339" t="str">
        <x:v>As a Store Manager, I want to manage asset assignment / transfer so that school resources remain accountable.</x:v>
      </x:c>
      <x:c r="H480" s="339" t="str">
        <x:v>Primary Workflow</x:v>
      </x:c>
      <x:c r="I480" s="339" t="str">
        <x:v>Phase 3</x:v>
      </x:c>
      <x:c r="J480" s="339" t="str">
        <x:v>Phase 3</x:v>
      </x:c>
      <x:c r="K480" s="339" t="str">
        <x:v>High</x:v>
      </x:c>
      <x:c r="L480" s="339" t="n">
        <x:v>8</x:v>
      </x:c>
      <x:c r="M480" s="339" t="str">
        <x:v>Suppliers, purchasing/finance, staff/students, rooms/labs</x:v>
      </x:c>
      <x:c r="N480" s="339" t="str">
        <x:v>Not Started</x:v>
      </x:c>
    </x:row>
    <x:row r="481">
      <x:c r="A481" s="339" t="str">
        <x:v>US-0480</x:v>
      </x:c>
      <x:c r="B481" s="339" t="str">
        <x:v>EP-021</x:v>
      </x:c>
      <x:c r="C481" s="339" t="str">
        <x:v>SCR-240</x:v>
      </x:c>
      <x:c r="D481" s="339" t="str">
        <x:v>Inventory / Assets / Labs</x:v>
      </x:c>
      <x:c r="E481" s="339" t="str">
        <x:v>Asset Assignment / Transfer</x:v>
      </x:c>
      <x:c r="F481" s="339" t="str">
        <x:v>Store Manager</x:v>
      </x:c>
      <x:c r="G481" s="339" t="str">
        <x:v>As a Store Manager, I want asset assignment / transfer to enforce status, approval &amp; exception handling rules so that data quality, permissions and traceability are protected.</x:v>
      </x:c>
      <x:c r="H481" s="339" t="str">
        <x:v>Status, Approval &amp; Exception Handling</x:v>
      </x:c>
      <x:c r="I481" s="339" t="str">
        <x:v>Phase 3</x:v>
      </x:c>
      <x:c r="J481" s="339" t="str">
        <x:v>Phase 3</x:v>
      </x:c>
      <x:c r="K481" s="339" t="str">
        <x:v>High</x:v>
      </x:c>
      <x:c r="L481" s="339" t="n">
        <x:v>6</x:v>
      </x:c>
      <x:c r="M481" s="339" t="str">
        <x:v>Suppliers, purchasing/finance, staff/students, rooms/labs</x:v>
      </x:c>
      <x:c r="N481" s="339" t="str">
        <x:v>Not Started</x:v>
      </x:c>
    </x:row>
    <x:row r="482">
      <x:c r="A482" s="339" t="str">
        <x:v>US-0481</x:v>
      </x:c>
      <x:c r="B482" s="339" t="str">
        <x:v>EP-021</x:v>
      </x:c>
      <x:c r="C482" s="339" t="str">
        <x:v>SCR-241</x:v>
      </x:c>
      <x:c r="D482" s="339" t="str">
        <x:v>Inventory / Assets / Labs</x:v>
      </x:c>
      <x:c r="E482" s="339" t="str">
        <x:v>Asset Maintenance</x:v>
      </x:c>
      <x:c r="F482" s="339" t="str">
        <x:v>Store Manager</x:v>
      </x:c>
      <x:c r="G482" s="339" t="str">
        <x:v>As a Store Manager, I want to manage asset maintenance so that school resources remain accountable.</x:v>
      </x:c>
      <x:c r="H482" s="339" t="str">
        <x:v>Primary Workflow</x:v>
      </x:c>
      <x:c r="I482" s="339" t="str">
        <x:v>Phase 3</x:v>
      </x:c>
      <x:c r="J482" s="339" t="str">
        <x:v>Phase 3</x:v>
      </x:c>
      <x:c r="K482" s="339" t="str">
        <x:v>High</x:v>
      </x:c>
      <x:c r="L482" s="339" t="n">
        <x:v>8</x:v>
      </x:c>
      <x:c r="M482" s="339" t="str">
        <x:v>Suppliers, purchasing/finance, staff/students, rooms/labs</x:v>
      </x:c>
      <x:c r="N482" s="339" t="str">
        <x:v>Not Started</x:v>
      </x:c>
    </x:row>
    <x:row r="483">
      <x:c r="A483" s="339" t="str">
        <x:v>US-0482</x:v>
      </x:c>
      <x:c r="B483" s="339" t="str">
        <x:v>EP-021</x:v>
      </x:c>
      <x:c r="C483" s="339" t="str">
        <x:v>SCR-241</x:v>
      </x:c>
      <x:c r="D483" s="339" t="str">
        <x:v>Inventory / Assets / Labs</x:v>
      </x:c>
      <x:c r="E483" s="339" t="str">
        <x:v>Asset Maintenance</x:v>
      </x:c>
      <x:c r="F483" s="339" t="str">
        <x:v>Store Manager</x:v>
      </x:c>
      <x:c r="G483" s="339" t="str">
        <x:v>As a Store Manager, I want asset maintenance to enforce status, approval &amp; exception handling rules so that data quality, permissions and traceability are protected.</x:v>
      </x:c>
      <x:c r="H483" s="339" t="str">
        <x:v>Status, Approval &amp; Exception Handling</x:v>
      </x:c>
      <x:c r="I483" s="339" t="str">
        <x:v>Phase 3</x:v>
      </x:c>
      <x:c r="J483" s="339" t="str">
        <x:v>Phase 3</x:v>
      </x:c>
      <x:c r="K483" s="339" t="str">
        <x:v>High</x:v>
      </x:c>
      <x:c r="L483" s="339" t="n">
        <x:v>6</x:v>
      </x:c>
      <x:c r="M483" s="339" t="str">
        <x:v>Suppliers, purchasing/finance, staff/students, rooms/labs</x:v>
      </x:c>
      <x:c r="N483" s="339" t="str">
        <x:v>Not Started</x:v>
      </x:c>
    </x:row>
    <x:row r="484">
      <x:c r="A484" s="339" t="str">
        <x:v>US-0483</x:v>
      </x:c>
      <x:c r="B484" s="339" t="str">
        <x:v>EP-021</x:v>
      </x:c>
      <x:c r="C484" s="339" t="str">
        <x:v>SCR-242</x:v>
      </x:c>
      <x:c r="D484" s="339" t="str">
        <x:v>Inventory / Assets / Labs</x:v>
      </x:c>
      <x:c r="E484" s="339" t="str">
        <x:v>Lab Register</x:v>
      </x:c>
      <x:c r="F484" s="339" t="str">
        <x:v>Store Manager</x:v>
      </x:c>
      <x:c r="G484" s="339" t="str">
        <x:v>As a Store Manager, I want to review and maintain lab register so that school resources remain accountable.</x:v>
      </x:c>
      <x:c r="H484" s="339" t="str">
        <x:v>Primary Workflow</x:v>
      </x:c>
      <x:c r="I484" s="339" t="str">
        <x:v>Phase 3</x:v>
      </x:c>
      <x:c r="J484" s="339" t="str">
        <x:v>Phase 3</x:v>
      </x:c>
      <x:c r="K484" s="339" t="str">
        <x:v>Medium</x:v>
      </x:c>
      <x:c r="L484" s="339" t="n">
        <x:v>5</x:v>
      </x:c>
      <x:c r="M484" s="339" t="str">
        <x:v>Suppliers, purchasing/finance, staff/students, rooms/labs</x:v>
      </x:c>
      <x:c r="N484" s="339" t="str">
        <x:v>Not Started</x:v>
      </x:c>
    </x:row>
    <x:row r="485">
      <x:c r="A485" s="339" t="str">
        <x:v>US-0484</x:v>
      </x:c>
      <x:c r="B485" s="339" t="str">
        <x:v>EP-021</x:v>
      </x:c>
      <x:c r="C485" s="339" t="str">
        <x:v>SCR-242</x:v>
      </x:c>
      <x:c r="D485" s="339" t="str">
        <x:v>Inventory / Assets / Labs</x:v>
      </x:c>
      <x:c r="E485" s="339" t="str">
        <x:v>Lab Register</x:v>
      </x:c>
      <x:c r="F485" s="339" t="str">
        <x:v>Store Manager</x:v>
      </x:c>
      <x:c r="G485" s="339" t="str">
        <x:v>As a Store Manager, I want lab register to enforce history, edit &amp; audit rules so that data quality, permissions and traceability are protected.</x:v>
      </x:c>
      <x:c r="H485" s="339" t="str">
        <x:v>History, Edit &amp; Audit</x:v>
      </x:c>
      <x:c r="I485" s="339" t="str">
        <x:v>Phase 3</x:v>
      </x:c>
      <x:c r="J485" s="339" t="str">
        <x:v>Phase 3</x:v>
      </x:c>
      <x:c r="K485" s="339" t="str">
        <x:v>Medium</x:v>
      </x:c>
      <x:c r="L485" s="339" t="n">
        <x:v>3</x:v>
      </x:c>
      <x:c r="M485" s="339" t="str">
        <x:v>Suppliers, purchasing/finance, staff/students, rooms/labs</x:v>
      </x:c>
      <x:c r="N485" s="339" t="str">
        <x:v>Not Started</x:v>
      </x:c>
    </x:row>
    <x:row r="486">
      <x:c r="A486" s="339" t="str">
        <x:v>US-0485</x:v>
      </x:c>
      <x:c r="B486" s="339" t="str">
        <x:v>EP-021</x:v>
      </x:c>
      <x:c r="C486" s="339" t="str">
        <x:v>SCR-243</x:v>
      </x:c>
      <x:c r="D486" s="339" t="str">
        <x:v>Inventory / Assets / Labs</x:v>
      </x:c>
      <x:c r="E486" s="339" t="str">
        <x:v>Lab Equipment &amp; Consumables</x:v>
      </x:c>
      <x:c r="F486" s="339" t="str">
        <x:v>Store Manager</x:v>
      </x:c>
      <x:c r="G486" s="339" t="str">
        <x:v>As a Store Manager, I want to manage lab equipment &amp; consumables so that school resources remain accountable.</x:v>
      </x:c>
      <x:c r="H486" s="339" t="str">
        <x:v>Primary Workflow</x:v>
      </x:c>
      <x:c r="I486" s="339" t="str">
        <x:v>Phase 3</x:v>
      </x:c>
      <x:c r="J486" s="339" t="str">
        <x:v>Phase 3</x:v>
      </x:c>
      <x:c r="K486" s="339" t="str">
        <x:v>High</x:v>
      </x:c>
      <x:c r="L486" s="339" t="n">
        <x:v>8</x:v>
      </x:c>
      <x:c r="M486" s="339" t="str">
        <x:v>Suppliers, purchasing/finance, staff/students, rooms/labs</x:v>
      </x:c>
      <x:c r="N486" s="339" t="str">
        <x:v>Not Started</x:v>
      </x:c>
    </x:row>
    <x:row r="487">
      <x:c r="A487" s="339" t="str">
        <x:v>US-0486</x:v>
      </x:c>
      <x:c r="B487" s="339" t="str">
        <x:v>EP-021</x:v>
      </x:c>
      <x:c r="C487" s="339" t="str">
        <x:v>SCR-243</x:v>
      </x:c>
      <x:c r="D487" s="339" t="str">
        <x:v>Inventory / Assets / Labs</x:v>
      </x:c>
      <x:c r="E487" s="339" t="str">
        <x:v>Lab Equipment &amp; Consumables</x:v>
      </x:c>
      <x:c r="F487" s="339" t="str">
        <x:v>Store Manager</x:v>
      </x:c>
      <x:c r="G487" s="339" t="str">
        <x:v>As a Store Manager, I want lab equipment &amp; consumables to enforce status, approval &amp; exception handling rules so that data quality, permissions and traceability are protected.</x:v>
      </x:c>
      <x:c r="H487" s="339" t="str">
        <x:v>Status, Approval &amp; Exception Handling</x:v>
      </x:c>
      <x:c r="I487" s="339" t="str">
        <x:v>Phase 3</x:v>
      </x:c>
      <x:c r="J487" s="339" t="str">
        <x:v>Phase 3</x:v>
      </x:c>
      <x:c r="K487" s="339" t="str">
        <x:v>High</x:v>
      </x:c>
      <x:c r="L487" s="339" t="n">
        <x:v>6</x:v>
      </x:c>
      <x:c r="M487" s="339" t="str">
        <x:v>Suppliers, purchasing/finance, staff/students, rooms/labs</x:v>
      </x:c>
      <x:c r="N487" s="339" t="str">
        <x:v>Not Started</x:v>
      </x:c>
    </x:row>
    <x:row r="488">
      <x:c r="A488" s="339" t="str">
        <x:v>US-0487</x:v>
      </x:c>
      <x:c r="B488" s="339" t="str">
        <x:v>EP-021</x:v>
      </x:c>
      <x:c r="C488" s="339" t="str">
        <x:v>SCR-244</x:v>
      </x:c>
      <x:c r="D488" s="339" t="str">
        <x:v>Inventory / Assets / Labs</x:v>
      </x:c>
      <x:c r="E488" s="339" t="str">
        <x:v>Practical / Lab Booking</x:v>
      </x:c>
      <x:c r="F488" s="339" t="str">
        <x:v>Store Manager</x:v>
      </x:c>
      <x:c r="G488" s="339" t="str">
        <x:v>As a Store Manager, I want to manage practical / lab booking so that school resources remain accountable.</x:v>
      </x:c>
      <x:c r="H488" s="339" t="str">
        <x:v>Primary Workflow</x:v>
      </x:c>
      <x:c r="I488" s="339" t="str">
        <x:v>Phase 3</x:v>
      </x:c>
      <x:c r="J488" s="339" t="str">
        <x:v>Phase 3</x:v>
      </x:c>
      <x:c r="K488" s="339" t="str">
        <x:v>High</x:v>
      </x:c>
      <x:c r="L488" s="339" t="n">
        <x:v>8</x:v>
      </x:c>
      <x:c r="M488" s="339" t="str">
        <x:v>Suppliers, purchasing/finance, staff/students, rooms/labs</x:v>
      </x:c>
      <x:c r="N488" s="339" t="str">
        <x:v>Not Started</x:v>
      </x:c>
    </x:row>
    <x:row r="489">
      <x:c r="A489" s="339" t="str">
        <x:v>US-0488</x:v>
      </x:c>
      <x:c r="B489" s="339" t="str">
        <x:v>EP-021</x:v>
      </x:c>
      <x:c r="C489" s="339" t="str">
        <x:v>SCR-244</x:v>
      </x:c>
      <x:c r="D489" s="339" t="str">
        <x:v>Inventory / Assets / Labs</x:v>
      </x:c>
      <x:c r="E489" s="339" t="str">
        <x:v>Practical / Lab Booking</x:v>
      </x:c>
      <x:c r="F489" s="339" t="str">
        <x:v>Store Manager</x:v>
      </x:c>
      <x:c r="G489" s="339" t="str">
        <x:v>As a Store Manager, I want practical / lab booking to enforce status, approval &amp; exception handling rules so that data quality, permissions and traceability are protected.</x:v>
      </x:c>
      <x:c r="H489" s="339" t="str">
        <x:v>Status, Approval &amp; Exception Handling</x:v>
      </x:c>
      <x:c r="I489" s="339" t="str">
        <x:v>Phase 3</x:v>
      </x:c>
      <x:c r="J489" s="339" t="str">
        <x:v>Phase 3</x:v>
      </x:c>
      <x:c r="K489" s="339" t="str">
        <x:v>High</x:v>
      </x:c>
      <x:c r="L489" s="339" t="n">
        <x:v>6</x:v>
      </x:c>
      <x:c r="M489" s="339" t="str">
        <x:v>Suppliers, purchasing/finance, staff/students, rooms/labs</x:v>
      </x:c>
      <x:c r="N489" s="339" t="str">
        <x:v>Not Started</x:v>
      </x:c>
    </x:row>
    <x:row r="490">
      <x:c r="A490" s="339" t="str">
        <x:v>US-0489</x:v>
      </x:c>
      <x:c r="B490" s="339" t="str">
        <x:v>EP-021</x:v>
      </x:c>
      <x:c r="C490" s="339" t="str">
        <x:v>SCR-245</x:v>
      </x:c>
      <x:c r="D490" s="339" t="str">
        <x:v>Inventory / Assets / Labs</x:v>
      </x:c>
      <x:c r="E490" s="339" t="str">
        <x:v>Stock &amp; Asset Reports</x:v>
      </x:c>
      <x:c r="F490" s="339" t="str">
        <x:v>Store Manager</x:v>
      </x:c>
      <x:c r="G490" s="339" t="str">
        <x:v>As a Store Manager, I want to analyze stock &amp; asset reports so that school resources remain accountable.</x:v>
      </x:c>
      <x:c r="H490" s="339" t="str">
        <x:v>Primary Workflow</x:v>
      </x:c>
      <x:c r="I490" s="339" t="str">
        <x:v>Phase 3</x:v>
      </x:c>
      <x:c r="J490" s="339" t="str">
        <x:v>Phase 3</x:v>
      </x:c>
      <x:c r="K490" s="339" t="str">
        <x:v>High</x:v>
      </x:c>
      <x:c r="L490" s="339" t="n">
        <x:v>8</x:v>
      </x:c>
      <x:c r="M490" s="339" t="str">
        <x:v>Suppliers, purchasing/finance, staff/students, rooms/labs</x:v>
      </x:c>
      <x:c r="N490" s="339" t="str">
        <x:v>Not Started</x:v>
      </x:c>
    </x:row>
    <x:row r="491">
      <x:c r="A491" s="339" t="str">
        <x:v>US-0490</x:v>
      </x:c>
      <x:c r="B491" s="339" t="str">
        <x:v>EP-021</x:v>
      </x:c>
      <x:c r="C491" s="339" t="str">
        <x:v>SCR-245</x:v>
      </x:c>
      <x:c r="D491" s="339" t="str">
        <x:v>Inventory / Assets / Labs</x:v>
      </x:c>
      <x:c r="E491" s="339" t="str">
        <x:v>Stock &amp; Asset Reports</x:v>
      </x:c>
      <x:c r="F491" s="339" t="str">
        <x:v>Store Manager</x:v>
      </x:c>
      <x:c r="G491" s="339" t="str">
        <x:v>As a Store Manager, I want stock &amp; asset reports to enforce filters, reconciliation &amp; export rules so that data quality, permissions and traceability are protected.</x:v>
      </x:c>
      <x:c r="H491" s="339" t="str">
        <x:v>Filters, Reconciliation &amp; Export</x:v>
      </x:c>
      <x:c r="I491" s="339" t="str">
        <x:v>Phase 3</x:v>
      </x:c>
      <x:c r="J491" s="339" t="str">
        <x:v>Phase 3</x:v>
      </x:c>
      <x:c r="K491" s="339" t="str">
        <x:v>High</x:v>
      </x:c>
      <x:c r="L491" s="339" t="n">
        <x:v>6</x:v>
      </x:c>
      <x:c r="M491" s="339" t="str">
        <x:v>Suppliers, purchasing/finance, staff/students, rooms/labs</x:v>
      </x:c>
      <x:c r="N491" s="339" t="str">
        <x:v>Not Started</x:v>
      </x:c>
    </x:row>
    <x:row r="492">
      <x:c r="A492" s="339" t="str">
        <x:v>US-0491</x:v>
      </x:c>
      <x:c r="B492" s="339" t="str">
        <x:v>EP-022</x:v>
      </x:c>
      <x:c r="C492" s="339" t="str">
        <x:v>SCR-246</x:v>
      </x:c>
      <x:c r="D492" s="339" t="str">
        <x:v>Events / PTM / Communication</x:v>
      </x:c>
      <x:c r="E492" s="339" t="str">
        <x:v>Events Calendar</x:v>
      </x:c>
      <x:c r="F492" s="339" t="str">
        <x:v>School Admin</x:v>
      </x:c>
      <x:c r="G492" s="339" t="str">
        <x:v>As a School Admin, I want to plan and review events calendar so that school communication and scheduling stay coordinated.</x:v>
      </x:c>
      <x:c r="H492" s="339" t="str">
        <x:v>Primary Workflow</x:v>
      </x:c>
      <x:c r="I492" s="339" t="str">
        <x:v>MVP</x:v>
      </x:c>
      <x:c r="J492" s="339" t="str">
        <x:v>MVP</x:v>
      </x:c>
      <x:c r="K492" s="339" t="str">
        <x:v>High</x:v>
      </x:c>
      <x:c r="L492" s="339" t="n">
        <x:v>8</x:v>
      </x:c>
      <x:c r="M492" s="339" t="str">
        <x:v>Users, students/parents, calendar, email/SMS/WhatsApp/push providers</x:v>
      </x:c>
      <x:c r="N492" s="339" t="str">
        <x:v>Not Started</x:v>
      </x:c>
    </x:row>
    <x:row r="493">
      <x:c r="A493" s="339" t="str">
        <x:v>US-0492</x:v>
      </x:c>
      <x:c r="B493" s="339" t="str">
        <x:v>EP-022</x:v>
      </x:c>
      <x:c r="C493" s="339" t="str">
        <x:v>SCR-246</x:v>
      </x:c>
      <x:c r="D493" s="339" t="str">
        <x:v>Events / PTM / Communication</x:v>
      </x:c>
      <x:c r="E493" s="339" t="str">
        <x:v>Events Calendar</x:v>
      </x:c>
      <x:c r="F493" s="339" t="str">
        <x:v>School Admin</x:v>
      </x:c>
      <x:c r="G493" s="339" t="str">
        <x:v>As a School Admin, I want events calendar to enforce conflict detection &amp; rescheduling rules so that data quality, permissions and traceability are protected.</x:v>
      </x:c>
      <x:c r="H493" s="339" t="str">
        <x:v>Conflict Detection &amp; Rescheduling</x:v>
      </x:c>
      <x:c r="I493" s="339" t="str">
        <x:v>MVP</x:v>
      </x:c>
      <x:c r="J493" s="339" t="str">
        <x:v>MVP</x:v>
      </x:c>
      <x:c r="K493" s="339" t="str">
        <x:v>High</x:v>
      </x:c>
      <x:c r="L493" s="339" t="n">
        <x:v>6</x:v>
      </x:c>
      <x:c r="M493" s="339" t="str">
        <x:v>Users, students/parents, calendar, email/SMS/WhatsApp/push providers</x:v>
      </x:c>
      <x:c r="N493" s="339" t="str">
        <x:v>Not Started</x:v>
      </x:c>
    </x:row>
    <x:row r="494">
      <x:c r="A494" s="339" t="str">
        <x:v>US-0493</x:v>
      </x:c>
      <x:c r="B494" s="339" t="str">
        <x:v>EP-022</x:v>
      </x:c>
      <x:c r="C494" s="339" t="str">
        <x:v>SCR-247</x:v>
      </x:c>
      <x:c r="D494" s="339" t="str">
        <x:v>Events / PTM / Communication</x:v>
      </x:c>
      <x:c r="E494" s="339" t="str">
        <x:v>Create / Edit Event</x:v>
      </x:c>
      <x:c r="F494" s="339" t="str">
        <x:v>School Admin</x:v>
      </x:c>
      <x:c r="G494" s="339" t="str">
        <x:v>As a School Admin, I want to create or process event so that school communication and scheduling stay coordinated.</x:v>
      </x:c>
      <x:c r="H494" s="339" t="str">
        <x:v>Primary Workflow</x:v>
      </x:c>
      <x:c r="I494" s="339" t="str">
        <x:v>MVP</x:v>
      </x:c>
      <x:c r="J494" s="339" t="str">
        <x:v>MVP</x:v>
      </x:c>
      <x:c r="K494" s="339" t="str">
        <x:v>Medium</x:v>
      </x:c>
      <x:c r="L494" s="339" t="n">
        <x:v>5</x:v>
      </x:c>
      <x:c r="M494" s="339" t="str">
        <x:v>Users, students/parents, calendar, email/SMS/WhatsApp/push providers</x:v>
      </x:c>
      <x:c r="N494" s="339" t="str">
        <x:v>Not Started</x:v>
      </x:c>
    </x:row>
    <x:row r="495">
      <x:c r="A495" s="339" t="str">
        <x:v>US-0494</x:v>
      </x:c>
      <x:c r="B495" s="339" t="str">
        <x:v>EP-022</x:v>
      </x:c>
      <x:c r="C495" s="339" t="str">
        <x:v>SCR-247</x:v>
      </x:c>
      <x:c r="D495" s="339" t="str">
        <x:v>Events / PTM / Communication</x:v>
      </x:c>
      <x:c r="E495" s="339" t="str">
        <x:v>Create / Edit Event</x:v>
      </x:c>
      <x:c r="F495" s="339" t="str">
        <x:v>School Admin</x:v>
      </x:c>
      <x:c r="G495" s="339" t="str">
        <x:v>As a School Admin, I want create / edit event to enforce validation &amp; duplicate prevention rules so that data quality, permissions and traceability are protected.</x:v>
      </x:c>
      <x:c r="H495" s="339" t="str">
        <x:v>Validation &amp; Duplicate Prevention</x:v>
      </x:c>
      <x:c r="I495" s="339" t="str">
        <x:v>MVP</x:v>
      </x:c>
      <x:c r="J495" s="339" t="str">
        <x:v>MVP</x:v>
      </x:c>
      <x:c r="K495" s="339" t="str">
        <x:v>Medium</x:v>
      </x:c>
      <x:c r="L495" s="339" t="n">
        <x:v>3</x:v>
      </x:c>
      <x:c r="M495" s="339" t="str">
        <x:v>Users, students/parents, calendar, email/SMS/WhatsApp/push providers</x:v>
      </x:c>
      <x:c r="N495" s="339" t="str">
        <x:v>Not Started</x:v>
      </x:c>
    </x:row>
    <x:row r="496">
      <x:c r="A496" s="339" t="str">
        <x:v>US-0495</x:v>
      </x:c>
      <x:c r="B496" s="339" t="str">
        <x:v>EP-022</x:v>
      </x:c>
      <x:c r="C496" s="339" t="str">
        <x:v>SCR-248</x:v>
      </x:c>
      <x:c r="D496" s="339" t="str">
        <x:v>Events / PTM / Communication</x:v>
      </x:c>
      <x:c r="E496" s="339" t="str">
        <x:v>Event Details &amp; Participants</x:v>
      </x:c>
      <x:c r="F496" s="339" t="str">
        <x:v>School Admin</x:v>
      </x:c>
      <x:c r="G496" s="339" t="str">
        <x:v>As a School Admin, I want to review and maintain event details &amp; participants so that school communication and scheduling stay coordinated.</x:v>
      </x:c>
      <x:c r="H496" s="339" t="str">
        <x:v>Primary Workflow</x:v>
      </x:c>
      <x:c r="I496" s="339" t="str">
        <x:v>MVP</x:v>
      </x:c>
      <x:c r="J496" s="339" t="str">
        <x:v>MVP</x:v>
      </x:c>
      <x:c r="K496" s="339" t="str">
        <x:v>Medium</x:v>
      </x:c>
      <x:c r="L496" s="339" t="n">
        <x:v>5</x:v>
      </x:c>
      <x:c r="M496" s="339" t="str">
        <x:v>Users, students/parents, calendar, email/SMS/WhatsApp/push providers</x:v>
      </x:c>
      <x:c r="N496" s="339" t="str">
        <x:v>Not Started</x:v>
      </x:c>
    </x:row>
    <x:row r="497">
      <x:c r="A497" s="339" t="str">
        <x:v>US-0496</x:v>
      </x:c>
      <x:c r="B497" s="339" t="str">
        <x:v>EP-022</x:v>
      </x:c>
      <x:c r="C497" s="339" t="str">
        <x:v>SCR-248</x:v>
      </x:c>
      <x:c r="D497" s="339" t="str">
        <x:v>Events / PTM / Communication</x:v>
      </x:c>
      <x:c r="E497" s="339" t="str">
        <x:v>Event Details &amp; Participants</x:v>
      </x:c>
      <x:c r="F497" s="339" t="str">
        <x:v>School Admin</x:v>
      </x:c>
      <x:c r="G497" s="339" t="str">
        <x:v>As a School Admin, I want event details &amp; participants to enforce history, edit &amp; audit rules so that data quality, permissions and traceability are protected.</x:v>
      </x:c>
      <x:c r="H497" s="339" t="str">
        <x:v>History, Edit &amp; Audit</x:v>
      </x:c>
      <x:c r="I497" s="339" t="str">
        <x:v>MVP</x:v>
      </x:c>
      <x:c r="J497" s="339" t="str">
        <x:v>MVP</x:v>
      </x:c>
      <x:c r="K497" s="339" t="str">
        <x:v>Medium</x:v>
      </x:c>
      <x:c r="L497" s="339" t="n">
        <x:v>3</x:v>
      </x:c>
      <x:c r="M497" s="339" t="str">
        <x:v>Users, students/parents, calendar, email/SMS/WhatsApp/push providers</x:v>
      </x:c>
      <x:c r="N497" s="339" t="str">
        <x:v>Not Started</x:v>
      </x:c>
    </x:row>
    <x:row r="498">
      <x:c r="A498" s="339" t="str">
        <x:v>US-0497</x:v>
      </x:c>
      <x:c r="B498" s="339" t="str">
        <x:v>EP-022</x:v>
      </x:c>
      <x:c r="C498" s="339" t="str">
        <x:v>SCR-249</x:v>
      </x:c>
      <x:c r="D498" s="339" t="str">
        <x:v>Events / PTM / Communication</x:v>
      </x:c>
      <x:c r="E498" s="339" t="str">
        <x:v>Field Trip &amp; Parent Consent</x:v>
      </x:c>
      <x:c r="F498" s="339" t="str">
        <x:v>School Admin</x:v>
      </x:c>
      <x:c r="G498" s="339" t="str">
        <x:v>As a School Admin, I want to manage field trip &amp; parent consent so that school communication and scheduling stay coordinated.</x:v>
      </x:c>
      <x:c r="H498" s="339" t="str">
        <x:v>Primary Workflow</x:v>
      </x:c>
      <x:c r="I498" s="339" t="str">
        <x:v>Phase 2</x:v>
      </x:c>
      <x:c r="J498" s="339" t="str">
        <x:v>Phase 2</x:v>
      </x:c>
      <x:c r="K498" s="339" t="str">
        <x:v>High</x:v>
      </x:c>
      <x:c r="L498" s="339" t="n">
        <x:v>8</x:v>
      </x:c>
      <x:c r="M498" s="339" t="str">
        <x:v>Users, students/parents, calendar, email/SMS/WhatsApp/push providers</x:v>
      </x:c>
      <x:c r="N498" s="339" t="str">
        <x:v>Not Started</x:v>
      </x:c>
    </x:row>
    <x:row r="499">
      <x:c r="A499" s="339" t="str">
        <x:v>US-0498</x:v>
      </x:c>
      <x:c r="B499" s="339" t="str">
        <x:v>EP-022</x:v>
      </x:c>
      <x:c r="C499" s="339" t="str">
        <x:v>SCR-249</x:v>
      </x:c>
      <x:c r="D499" s="339" t="str">
        <x:v>Events / PTM / Communication</x:v>
      </x:c>
      <x:c r="E499" s="339" t="str">
        <x:v>Field Trip &amp; Parent Consent</x:v>
      </x:c>
      <x:c r="F499" s="339" t="str">
        <x:v>School Admin</x:v>
      </x:c>
      <x:c r="G499" s="339" t="str">
        <x:v>As a School Admin, I want field trip &amp; parent consent to enforce status, approval &amp; exception handling rules so that data quality, permissions and traceability are protected.</x:v>
      </x:c>
      <x:c r="H499" s="339" t="str">
        <x:v>Status, Approval &amp; Exception Handling</x:v>
      </x:c>
      <x:c r="I499" s="339" t="str">
        <x:v>Phase 2</x:v>
      </x:c>
      <x:c r="J499" s="339" t="str">
        <x:v>Phase 2</x:v>
      </x:c>
      <x:c r="K499" s="339" t="str">
        <x:v>High</x:v>
      </x:c>
      <x:c r="L499" s="339" t="n">
        <x:v>6</x:v>
      </x:c>
      <x:c r="M499" s="339" t="str">
        <x:v>Users, students/parents, calendar, email/SMS/WhatsApp/push providers</x:v>
      </x:c>
      <x:c r="N499" s="339" t="str">
        <x:v>Not Started</x:v>
      </x:c>
    </x:row>
    <x:row r="500">
      <x:c r="A500" s="339" t="str">
        <x:v>US-0499</x:v>
      </x:c>
      <x:c r="B500" s="339" t="str">
        <x:v>EP-022</x:v>
      </x:c>
      <x:c r="C500" s="339" t="str">
        <x:v>SCR-250</x:v>
      </x:c>
      <x:c r="D500" s="339" t="str">
        <x:v>Events / PTM / Communication</x:v>
      </x:c>
      <x:c r="E500" s="339" t="str">
        <x:v>PTM Setup</x:v>
      </x:c>
      <x:c r="F500" s="339" t="str">
        <x:v>Teacher</x:v>
      </x:c>
      <x:c r="G500" s="339" t="str">
        <x:v>As a Teacher, I want to configure ptm setup so that school communication and scheduling stay coordinated.</x:v>
      </x:c>
      <x:c r="H500" s="339" t="str">
        <x:v>Primary Workflow</x:v>
      </x:c>
      <x:c r="I500" s="339" t="str">
        <x:v>Phase 2</x:v>
      </x:c>
      <x:c r="J500" s="339" t="str">
        <x:v>Phase 2</x:v>
      </x:c>
      <x:c r="K500" s="339" t="str">
        <x:v>Medium</x:v>
      </x:c>
      <x:c r="L500" s="339" t="n">
        <x:v>5</x:v>
      </x:c>
      <x:c r="M500" s="339" t="str">
        <x:v>Users, students/parents, calendar, email/SMS/WhatsApp/push providers</x:v>
      </x:c>
      <x:c r="N500" s="339" t="str">
        <x:v>Not Started</x:v>
      </x:c>
    </x:row>
    <x:row r="501">
      <x:c r="A501" s="339" t="str">
        <x:v>US-0500</x:v>
      </x:c>
      <x:c r="B501" s="339" t="str">
        <x:v>EP-022</x:v>
      </x:c>
      <x:c r="C501" s="339" t="str">
        <x:v>SCR-250</x:v>
      </x:c>
      <x:c r="D501" s="339" t="str">
        <x:v>Events / PTM / Communication</x:v>
      </x:c>
      <x:c r="E501" s="339" t="str">
        <x:v>PTM Setup</x:v>
      </x:c>
      <x:c r="F501" s="339" t="str">
        <x:v>Teacher</x:v>
      </x:c>
      <x:c r="G501" s="339" t="str">
        <x:v>As a Teacher, I want ptm setup to enforce validation &amp; duplicate prevention rules so that data quality, permissions and traceability are protected.</x:v>
      </x:c>
      <x:c r="H501" s="339" t="str">
        <x:v>Validation &amp; Duplicate Prevention</x:v>
      </x:c>
      <x:c r="I501" s="339" t="str">
        <x:v>Phase 2</x:v>
      </x:c>
      <x:c r="J501" s="339" t="str">
        <x:v>Phase 2</x:v>
      </x:c>
      <x:c r="K501" s="339" t="str">
        <x:v>Medium</x:v>
      </x:c>
      <x:c r="L501" s="339" t="n">
        <x:v>3</x:v>
      </x:c>
      <x:c r="M501" s="339" t="str">
        <x:v>Users, students/parents, calendar, email/SMS/WhatsApp/push providers</x:v>
      </x:c>
      <x:c r="N501" s="339" t="str">
        <x:v>Not Started</x:v>
      </x:c>
    </x:row>
    <x:row r="502">
      <x:c r="A502" s="339" t="str">
        <x:v>US-0501</x:v>
      </x:c>
      <x:c r="B502" s="339" t="str">
        <x:v>EP-022</x:v>
      </x:c>
      <x:c r="C502" s="339" t="str">
        <x:v>SCR-251</x:v>
      </x:c>
      <x:c r="D502" s="339" t="str">
        <x:v>Events / PTM / Communication</x:v>
      </x:c>
      <x:c r="E502" s="339" t="str">
        <x:v>PTM Slot Booking</x:v>
      </x:c>
      <x:c r="F502" s="339" t="str">
        <x:v>Teacher</x:v>
      </x:c>
      <x:c r="G502" s="339" t="str">
        <x:v>As a Teacher, I want to manage ptm slot booking so that school communication and scheduling stay coordinated.</x:v>
      </x:c>
      <x:c r="H502" s="339" t="str">
        <x:v>Primary Workflow</x:v>
      </x:c>
      <x:c r="I502" s="339" t="str">
        <x:v>Phase 2</x:v>
      </x:c>
      <x:c r="J502" s="339" t="str">
        <x:v>Phase 2</x:v>
      </x:c>
      <x:c r="K502" s="339" t="str">
        <x:v>High</x:v>
      </x:c>
      <x:c r="L502" s="339" t="n">
        <x:v>8</x:v>
      </x:c>
      <x:c r="M502" s="339" t="str">
        <x:v>Users, students/parents, calendar, email/SMS/WhatsApp/push providers</x:v>
      </x:c>
      <x:c r="N502" s="339" t="str">
        <x:v>Not Started</x:v>
      </x:c>
    </x:row>
    <x:row r="503">
      <x:c r="A503" s="339" t="str">
        <x:v>US-0502</x:v>
      </x:c>
      <x:c r="B503" s="339" t="str">
        <x:v>EP-022</x:v>
      </x:c>
      <x:c r="C503" s="339" t="str">
        <x:v>SCR-251</x:v>
      </x:c>
      <x:c r="D503" s="339" t="str">
        <x:v>Events / PTM / Communication</x:v>
      </x:c>
      <x:c r="E503" s="339" t="str">
        <x:v>PTM Slot Booking</x:v>
      </x:c>
      <x:c r="F503" s="339" t="str">
        <x:v>Teacher</x:v>
      </x:c>
      <x:c r="G503" s="339" t="str">
        <x:v>As a Teacher, I want ptm slot booking to enforce status, approval &amp; exception handling rules so that data quality, permissions and traceability are protected.</x:v>
      </x:c>
      <x:c r="H503" s="339" t="str">
        <x:v>Status, Approval &amp; Exception Handling</x:v>
      </x:c>
      <x:c r="I503" s="339" t="str">
        <x:v>Phase 2</x:v>
      </x:c>
      <x:c r="J503" s="339" t="str">
        <x:v>Phase 2</x:v>
      </x:c>
      <x:c r="K503" s="339" t="str">
        <x:v>High</x:v>
      </x:c>
      <x:c r="L503" s="339" t="n">
        <x:v>6</x:v>
      </x:c>
      <x:c r="M503" s="339" t="str">
        <x:v>Users, students/parents, calendar, email/SMS/WhatsApp/push providers</x:v>
      </x:c>
      <x:c r="N503" s="339" t="str">
        <x:v>Not Started</x:v>
      </x:c>
    </x:row>
    <x:row r="504">
      <x:c r="A504" s="339" t="str">
        <x:v>US-0503</x:v>
      </x:c>
      <x:c r="B504" s="339" t="str">
        <x:v>EP-022</x:v>
      </x:c>
      <x:c r="C504" s="339" t="str">
        <x:v>SCR-252</x:v>
      </x:c>
      <x:c r="D504" s="339" t="str">
        <x:v>Events / PTM / Communication</x:v>
      </x:c>
      <x:c r="E504" s="339" t="str">
        <x:v>Announcements</x:v>
      </x:c>
      <x:c r="F504" s="339" t="str">
        <x:v>School Admin</x:v>
      </x:c>
      <x:c r="G504" s="339" t="str">
        <x:v>As a School Admin, I want to find and manage announcements so that school communication and scheduling stay coordinated.</x:v>
      </x:c>
      <x:c r="H504" s="339" t="str">
        <x:v>Primary Workflow</x:v>
      </x:c>
      <x:c r="I504" s="339" t="str">
        <x:v>Phase 2</x:v>
      </x:c>
      <x:c r="J504" s="339" t="str">
        <x:v>Phase 2</x:v>
      </x:c>
      <x:c r="K504" s="339" t="str">
        <x:v>Medium</x:v>
      </x:c>
      <x:c r="L504" s="339" t="n">
        <x:v>5</x:v>
      </x:c>
      <x:c r="M504" s="339" t="str">
        <x:v>Users, students/parents, calendar, email/SMS/WhatsApp/push providers</x:v>
      </x:c>
      <x:c r="N504" s="339" t="str">
        <x:v>Not Started</x:v>
      </x:c>
    </x:row>
    <x:row r="505">
      <x:c r="A505" s="339" t="str">
        <x:v>US-0504</x:v>
      </x:c>
      <x:c r="B505" s="339" t="str">
        <x:v>EP-022</x:v>
      </x:c>
      <x:c r="C505" s="339" t="str">
        <x:v>SCR-252</x:v>
      </x:c>
      <x:c r="D505" s="339" t="str">
        <x:v>Events / PTM / Communication</x:v>
      </x:c>
      <x:c r="E505" s="339" t="str">
        <x:v>Announcements</x:v>
      </x:c>
      <x:c r="F505" s="339" t="str">
        <x:v>School Admin</x:v>
      </x:c>
      <x:c r="G505" s="339" t="str">
        <x:v>As a School Admin, I want announcements to enforce search, filter &amp; controlled actions rules so that data quality, permissions and traceability are protected.</x:v>
      </x:c>
      <x:c r="H505" s="339" t="str">
        <x:v>Search, Filter &amp; Controlled Actions</x:v>
      </x:c>
      <x:c r="I505" s="339" t="str">
        <x:v>Phase 2</x:v>
      </x:c>
      <x:c r="J505" s="339" t="str">
        <x:v>Phase 2</x:v>
      </x:c>
      <x:c r="K505" s="339" t="str">
        <x:v>Medium</x:v>
      </x:c>
      <x:c r="L505" s="339" t="n">
        <x:v>3</x:v>
      </x:c>
      <x:c r="M505" s="339" t="str">
        <x:v>Users, students/parents, calendar, email/SMS/WhatsApp/push providers</x:v>
      </x:c>
      <x:c r="N505" s="339" t="str">
        <x:v>Not Started</x:v>
      </x:c>
    </x:row>
    <x:row r="506">
      <x:c r="A506" s="339" t="str">
        <x:v>US-0505</x:v>
      </x:c>
      <x:c r="B506" s="339" t="str">
        <x:v>EP-022</x:v>
      </x:c>
      <x:c r="C506" s="339" t="str">
        <x:v>SCR-253</x:v>
      </x:c>
      <x:c r="D506" s="339" t="str">
        <x:v>Events / PTM / Communication</x:v>
      </x:c>
      <x:c r="E506" s="339" t="str">
        <x:v>Messaging / Inbox</x:v>
      </x:c>
      <x:c r="F506" s="339" t="str">
        <x:v>School Admin</x:v>
      </x:c>
      <x:c r="G506" s="339" t="str">
        <x:v>As a School Admin, I want to manage messaging / inbox so that school communication and scheduling stay coordinated.</x:v>
      </x:c>
      <x:c r="H506" s="339" t="str">
        <x:v>Primary Workflow</x:v>
      </x:c>
      <x:c r="I506" s="339" t="str">
        <x:v>Phase 3</x:v>
      </x:c>
      <x:c r="J506" s="339" t="str">
        <x:v>Phase 3</x:v>
      </x:c>
      <x:c r="K506" s="339" t="str">
        <x:v>High</x:v>
      </x:c>
      <x:c r="L506" s="339" t="n">
        <x:v>8</x:v>
      </x:c>
      <x:c r="M506" s="339" t="str">
        <x:v>Users, students/parents, calendar, email/SMS/WhatsApp/push providers</x:v>
      </x:c>
      <x:c r="N506" s="339" t="str">
        <x:v>Not Started</x:v>
      </x:c>
    </x:row>
    <x:row r="507">
      <x:c r="A507" s="339" t="str">
        <x:v>US-0506</x:v>
      </x:c>
      <x:c r="B507" s="339" t="str">
        <x:v>EP-022</x:v>
      </x:c>
      <x:c r="C507" s="339" t="str">
        <x:v>SCR-253</x:v>
      </x:c>
      <x:c r="D507" s="339" t="str">
        <x:v>Events / PTM / Communication</x:v>
      </x:c>
      <x:c r="E507" s="339" t="str">
        <x:v>Messaging / Inbox</x:v>
      </x:c>
      <x:c r="F507" s="339" t="str">
        <x:v>School Admin</x:v>
      </x:c>
      <x:c r="G507" s="339" t="str">
        <x:v>As a School Admin, I want messaging / inbox to enforce status, approval &amp; exception handling rules so that data quality, permissions and traceability are protected.</x:v>
      </x:c>
      <x:c r="H507" s="339" t="str">
        <x:v>Status, Approval &amp; Exception Handling</x:v>
      </x:c>
      <x:c r="I507" s="339" t="str">
        <x:v>Phase 3</x:v>
      </x:c>
      <x:c r="J507" s="339" t="str">
        <x:v>Phase 3</x:v>
      </x:c>
      <x:c r="K507" s="339" t="str">
        <x:v>High</x:v>
      </x:c>
      <x:c r="L507" s="339" t="n">
        <x:v>6</x:v>
      </x:c>
      <x:c r="M507" s="339" t="str">
        <x:v>Users, students/parents, calendar, email/SMS/WhatsApp/push providers</x:v>
      </x:c>
      <x:c r="N507" s="339" t="str">
        <x:v>Not Started</x:v>
      </x:c>
    </x:row>
    <x:row r="508">
      <x:c r="A508" s="339" t="str">
        <x:v>US-0507</x:v>
      </x:c>
      <x:c r="B508" s="339" t="str">
        <x:v>EP-022</x:v>
      </x:c>
      <x:c r="C508" s="339" t="str">
        <x:v>SCR-254</x:v>
      </x:c>
      <x:c r="D508" s="339" t="str">
        <x:v>Events / PTM / Communication</x:v>
      </x:c>
      <x:c r="E508" s="339" t="str">
        <x:v>Notification Campaigns</x:v>
      </x:c>
      <x:c r="F508" s="339" t="str">
        <x:v>School Admin</x:v>
      </x:c>
      <x:c r="G508" s="339" t="str">
        <x:v>As a School Admin, I want to manage notification campaigns so that school communication and scheduling stay coordinated.</x:v>
      </x:c>
      <x:c r="H508" s="339" t="str">
        <x:v>Primary Workflow</x:v>
      </x:c>
      <x:c r="I508" s="339" t="str">
        <x:v>Phase 3</x:v>
      </x:c>
      <x:c r="J508" s="339" t="str">
        <x:v>Phase 3</x:v>
      </x:c>
      <x:c r="K508" s="339" t="str">
        <x:v>High</x:v>
      </x:c>
      <x:c r="L508" s="339" t="n">
        <x:v>8</x:v>
      </x:c>
      <x:c r="M508" s="339" t="str">
        <x:v>Users, students/parents, calendar, email/SMS/WhatsApp/push providers</x:v>
      </x:c>
      <x:c r="N508" s="339" t="str">
        <x:v>Not Started</x:v>
      </x:c>
    </x:row>
    <x:row r="509">
      <x:c r="A509" s="339" t="str">
        <x:v>US-0508</x:v>
      </x:c>
      <x:c r="B509" s="339" t="str">
        <x:v>EP-022</x:v>
      </x:c>
      <x:c r="C509" s="339" t="str">
        <x:v>SCR-254</x:v>
      </x:c>
      <x:c r="D509" s="339" t="str">
        <x:v>Events / PTM / Communication</x:v>
      </x:c>
      <x:c r="E509" s="339" t="str">
        <x:v>Notification Campaigns</x:v>
      </x:c>
      <x:c r="F509" s="339" t="str">
        <x:v>School Admin</x:v>
      </x:c>
      <x:c r="G509" s="339" t="str">
        <x:v>As a School Admin, I want notification campaigns to enforce status, approval &amp; exception handling rules so that data quality, permissions and traceability are protected.</x:v>
      </x:c>
      <x:c r="H509" s="339" t="str">
        <x:v>Status, Approval &amp; Exception Handling</x:v>
      </x:c>
      <x:c r="I509" s="339" t="str">
        <x:v>Phase 3</x:v>
      </x:c>
      <x:c r="J509" s="339" t="str">
        <x:v>Phase 3</x:v>
      </x:c>
      <x:c r="K509" s="339" t="str">
        <x:v>High</x:v>
      </x:c>
      <x:c r="L509" s="339" t="n">
        <x:v>6</x:v>
      </x:c>
      <x:c r="M509" s="339" t="str">
        <x:v>Users, students/parents, calendar, email/SMS/WhatsApp/push providers</x:v>
      </x:c>
      <x:c r="N509" s="339" t="str">
        <x:v>Not Started</x:v>
      </x:c>
    </x:row>
    <x:row r="510">
      <x:c r="A510" s="339" t="str">
        <x:v>US-0509</x:v>
      </x:c>
      <x:c r="B510" s="339" t="str">
        <x:v>EP-022</x:v>
      </x:c>
      <x:c r="C510" s="339" t="str">
        <x:v>SCR-255</x:v>
      </x:c>
      <x:c r="D510" s="339" t="str">
        <x:v>Events / PTM / Communication</x:v>
      </x:c>
      <x:c r="E510" s="339" t="str">
        <x:v>Communication History</x:v>
      </x:c>
      <x:c r="F510" s="339" t="str">
        <x:v>School Admin</x:v>
      </x:c>
      <x:c r="G510" s="339" t="str">
        <x:v>As a School Admin, I want to review and maintain communication history so that school communication and scheduling stay coordinated.</x:v>
      </x:c>
      <x:c r="H510" s="339" t="str">
        <x:v>Primary Workflow</x:v>
      </x:c>
      <x:c r="I510" s="339" t="str">
        <x:v>Phase 3</x:v>
      </x:c>
      <x:c r="J510" s="339" t="str">
        <x:v>Phase 3</x:v>
      </x:c>
      <x:c r="K510" s="339" t="str">
        <x:v>Medium</x:v>
      </x:c>
      <x:c r="L510" s="339" t="n">
        <x:v>5</x:v>
      </x:c>
      <x:c r="M510" s="339" t="str">
        <x:v>Users, students/parents, calendar, email/SMS/WhatsApp/push providers</x:v>
      </x:c>
      <x:c r="N510" s="339" t="str">
        <x:v>Not Started</x:v>
      </x:c>
    </x:row>
    <x:row r="511">
      <x:c r="A511" s="339" t="str">
        <x:v>US-0510</x:v>
      </x:c>
      <x:c r="B511" s="339" t="str">
        <x:v>EP-022</x:v>
      </x:c>
      <x:c r="C511" s="339" t="str">
        <x:v>SCR-255</x:v>
      </x:c>
      <x:c r="D511" s="339" t="str">
        <x:v>Events / PTM / Communication</x:v>
      </x:c>
      <x:c r="E511" s="339" t="str">
        <x:v>Communication History</x:v>
      </x:c>
      <x:c r="F511" s="339" t="str">
        <x:v>School Admin</x:v>
      </x:c>
      <x:c r="G511" s="339" t="str">
        <x:v>As a School Admin, I want communication history to enforce history, edit &amp; audit rules so that data quality, permissions and traceability are protected.</x:v>
      </x:c>
      <x:c r="H511" s="339" t="str">
        <x:v>History, Edit &amp; Audit</x:v>
      </x:c>
      <x:c r="I511" s="339" t="str">
        <x:v>Phase 3</x:v>
      </x:c>
      <x:c r="J511" s="339" t="str">
        <x:v>Phase 3</x:v>
      </x:c>
      <x:c r="K511" s="339" t="str">
        <x:v>Medium</x:v>
      </x:c>
      <x:c r="L511" s="339" t="n">
        <x:v>3</x:v>
      </x:c>
      <x:c r="M511" s="339" t="str">
        <x:v>Users, students/parents, calendar, email/SMS/WhatsApp/push providers</x:v>
      </x:c>
      <x:c r="N511" s="339" t="str">
        <x:v>Not Started</x:v>
      </x:c>
    </x:row>
    <x:row r="512">
      <x:c r="A512" s="339" t="str">
        <x:v>US-0511</x:v>
      </x:c>
      <x:c r="B512" s="339" t="str">
        <x:v>EP-023</x:v>
      </x:c>
      <x:c r="C512" s="339" t="str">
        <x:v>SCR-256</x:v>
      </x:c>
      <x:c r="D512" s="339" t="str">
        <x:v>Documents &amp; Certificates</x:v>
      </x:c>
      <x:c r="E512" s="339" t="str">
        <x:v>Document Repository</x:v>
      </x:c>
      <x:c r="F512" s="339" t="str">
        <x:v>School Admin</x:v>
      </x:c>
      <x:c r="G512" s="339" t="str">
        <x:v>As a School Admin, I want to manage document repository so that official documents remain valid and traceable.</x:v>
      </x:c>
      <x:c r="H512" s="339" t="str">
        <x:v>Primary Workflow</x:v>
      </x:c>
      <x:c r="I512" s="339" t="str">
        <x:v>MVP</x:v>
      </x:c>
      <x:c r="J512" s="339" t="str">
        <x:v>MVP</x:v>
      </x:c>
      <x:c r="K512" s="339" t="str">
        <x:v>High</x:v>
      </x:c>
      <x:c r="L512" s="339" t="n">
        <x:v>8</x:v>
      </x:c>
      <x:c r="M512" s="339" t="str">
        <x:v>Student/staff masters, file storage, templates, digital signature/QR if enabled</x:v>
      </x:c>
      <x:c r="N512" s="339" t="str">
        <x:v>Not Started</x:v>
      </x:c>
    </x:row>
    <x:row r="513">
      <x:c r="A513" s="339" t="str">
        <x:v>US-0512</x:v>
      </x:c>
      <x:c r="B513" s="339" t="str">
        <x:v>EP-023</x:v>
      </x:c>
      <x:c r="C513" s="339" t="str">
        <x:v>SCR-256</x:v>
      </x:c>
      <x:c r="D513" s="339" t="str">
        <x:v>Documents &amp; Certificates</x:v>
      </x:c>
      <x:c r="E513" s="339" t="str">
        <x:v>Document Repository</x:v>
      </x:c>
      <x:c r="F513" s="339" t="str">
        <x:v>School Admin</x:v>
      </x:c>
      <x:c r="G513" s="339" t="str">
        <x:v>As a School Admin, I want document repository to enforce status, approval &amp; exception handling rules so that data quality, permissions and traceability are protected.</x:v>
      </x:c>
      <x:c r="H513" s="339" t="str">
        <x:v>Status, Approval &amp; Exception Handling</x:v>
      </x:c>
      <x:c r="I513" s="339" t="str">
        <x:v>MVP</x:v>
      </x:c>
      <x:c r="J513" s="339" t="str">
        <x:v>MVP</x:v>
      </x:c>
      <x:c r="K513" s="339" t="str">
        <x:v>High</x:v>
      </x:c>
      <x:c r="L513" s="339" t="n">
        <x:v>6</x:v>
      </x:c>
      <x:c r="M513" s="339" t="str">
        <x:v>Student/staff masters, file storage, templates, digital signature/QR if enabled</x:v>
      </x:c>
      <x:c r="N513" s="339" t="str">
        <x:v>Not Started</x:v>
      </x:c>
    </x:row>
    <x:row r="514">
      <x:c r="A514" s="339" t="str">
        <x:v>US-0513</x:v>
      </x:c>
      <x:c r="B514" s="339" t="str">
        <x:v>EP-023</x:v>
      </x:c>
      <x:c r="C514" s="339" t="str">
        <x:v>SCR-257</x:v>
      </x:c>
      <x:c r="D514" s="339" t="str">
        <x:v>Documents &amp; Certificates</x:v>
      </x:c>
      <x:c r="E514" s="339" t="str">
        <x:v>Student Documents</x:v>
      </x:c>
      <x:c r="F514" s="339" t="str">
        <x:v>School Admin</x:v>
      </x:c>
      <x:c r="G514" s="339" t="str">
        <x:v>As a School Admin, I want to manage student documents so that official documents remain valid and traceable.</x:v>
      </x:c>
      <x:c r="H514" s="339" t="str">
        <x:v>Primary Workflow</x:v>
      </x:c>
      <x:c r="I514" s="339" t="str">
        <x:v>MVP</x:v>
      </x:c>
      <x:c r="J514" s="339" t="str">
        <x:v>MVP</x:v>
      </x:c>
      <x:c r="K514" s="339" t="str">
        <x:v>High</x:v>
      </x:c>
      <x:c r="L514" s="339" t="n">
        <x:v>8</x:v>
      </x:c>
      <x:c r="M514" s="339" t="str">
        <x:v>Student/staff masters, file storage, templates, digital signature/QR if enabled</x:v>
      </x:c>
      <x:c r="N514" s="339" t="str">
        <x:v>Not Started</x:v>
      </x:c>
    </x:row>
    <x:row r="515">
      <x:c r="A515" s="339" t="str">
        <x:v>US-0514</x:v>
      </x:c>
      <x:c r="B515" s="339" t="str">
        <x:v>EP-023</x:v>
      </x:c>
      <x:c r="C515" s="339" t="str">
        <x:v>SCR-257</x:v>
      </x:c>
      <x:c r="D515" s="339" t="str">
        <x:v>Documents &amp; Certificates</x:v>
      </x:c>
      <x:c r="E515" s="339" t="str">
        <x:v>Student Documents</x:v>
      </x:c>
      <x:c r="F515" s="339" t="str">
        <x:v>School Admin</x:v>
      </x:c>
      <x:c r="G515" s="339" t="str">
        <x:v>As a School Admin, I want student documents to enforce status, approval &amp; exception handling rules so that data quality, permissions and traceability are protected.</x:v>
      </x:c>
      <x:c r="H515" s="339" t="str">
        <x:v>Status, Approval &amp; Exception Handling</x:v>
      </x:c>
      <x:c r="I515" s="339" t="str">
        <x:v>MVP</x:v>
      </x:c>
      <x:c r="J515" s="339" t="str">
        <x:v>MVP</x:v>
      </x:c>
      <x:c r="K515" s="339" t="str">
        <x:v>High</x:v>
      </x:c>
      <x:c r="L515" s="339" t="n">
        <x:v>6</x:v>
      </x:c>
      <x:c r="M515" s="339" t="str">
        <x:v>Student/staff masters, file storage, templates, digital signature/QR if enabled</x:v>
      </x:c>
      <x:c r="N515" s="339" t="str">
        <x:v>Not Started</x:v>
      </x:c>
    </x:row>
    <x:row r="516">
      <x:c r="A516" s="339" t="str">
        <x:v>US-0515</x:v>
      </x:c>
      <x:c r="B516" s="339" t="str">
        <x:v>EP-023</x:v>
      </x:c>
      <x:c r="C516" s="339" t="str">
        <x:v>SCR-258</x:v>
      </x:c>
      <x:c r="D516" s="339" t="str">
        <x:v>Documents &amp; Certificates</x:v>
      </x:c>
      <x:c r="E516" s="339" t="str">
        <x:v>Staff Documents</x:v>
      </x:c>
      <x:c r="F516" s="339" t="str">
        <x:v>HR</x:v>
      </x:c>
      <x:c r="G516" s="339" t="str">
        <x:v>As a HR, I want to manage staff documents so that official documents remain valid and traceable.</x:v>
      </x:c>
      <x:c r="H516" s="339" t="str">
        <x:v>Primary Workflow</x:v>
      </x:c>
      <x:c r="I516" s="339" t="str">
        <x:v>Phase 2</x:v>
      </x:c>
      <x:c r="J516" s="339" t="str">
        <x:v>Phase 2</x:v>
      </x:c>
      <x:c r="K516" s="339" t="str">
        <x:v>High</x:v>
      </x:c>
      <x:c r="L516" s="339" t="n">
        <x:v>8</x:v>
      </x:c>
      <x:c r="M516" s="339" t="str">
        <x:v>Student/staff masters, file storage, templates, digital signature/QR if enabled</x:v>
      </x:c>
      <x:c r="N516" s="339" t="str">
        <x:v>Not Started</x:v>
      </x:c>
    </x:row>
    <x:row r="517">
      <x:c r="A517" s="339" t="str">
        <x:v>US-0516</x:v>
      </x:c>
      <x:c r="B517" s="339" t="str">
        <x:v>EP-023</x:v>
      </x:c>
      <x:c r="C517" s="339" t="str">
        <x:v>SCR-258</x:v>
      </x:c>
      <x:c r="D517" s="339" t="str">
        <x:v>Documents &amp; Certificates</x:v>
      </x:c>
      <x:c r="E517" s="339" t="str">
        <x:v>Staff Documents</x:v>
      </x:c>
      <x:c r="F517" s="339" t="str">
        <x:v>HR</x:v>
      </x:c>
      <x:c r="G517" s="339" t="str">
        <x:v>As a HR, I want staff documents to enforce status, approval &amp; exception handling rules so that data quality, permissions and traceability are protected.</x:v>
      </x:c>
      <x:c r="H517" s="339" t="str">
        <x:v>Status, Approval &amp; Exception Handling</x:v>
      </x:c>
      <x:c r="I517" s="339" t="str">
        <x:v>Phase 2</x:v>
      </x:c>
      <x:c r="J517" s="339" t="str">
        <x:v>Phase 2</x:v>
      </x:c>
      <x:c r="K517" s="339" t="str">
        <x:v>High</x:v>
      </x:c>
      <x:c r="L517" s="339" t="n">
        <x:v>6</x:v>
      </x:c>
      <x:c r="M517" s="339" t="str">
        <x:v>Student/staff masters, file storage, templates, digital signature/QR if enabled</x:v>
      </x:c>
      <x:c r="N517" s="339" t="str">
        <x:v>Not Started</x:v>
      </x:c>
    </x:row>
    <x:row r="518">
      <x:c r="A518" s="339" t="str">
        <x:v>US-0517</x:v>
      </x:c>
      <x:c r="B518" s="339" t="str">
        <x:v>EP-023</x:v>
      </x:c>
      <x:c r="C518" s="339" t="str">
        <x:v>SCR-259</x:v>
      </x:c>
      <x:c r="D518" s="339" t="str">
        <x:v>Documents &amp; Certificates</x:v>
      </x:c>
      <x:c r="E518" s="339" t="str">
        <x:v>Upload &amp; Verification</x:v>
      </x:c>
      <x:c r="F518" s="339" t="str">
        <x:v>School Admin</x:v>
      </x:c>
      <x:c r="G518" s="339" t="str">
        <x:v>As a School Admin, I want to verify upload &amp; verification so that official documents remain valid and traceable.</x:v>
      </x:c>
      <x:c r="H518" s="339" t="str">
        <x:v>Primary Workflow</x:v>
      </x:c>
      <x:c r="I518" s="339" t="str">
        <x:v>Phase 2</x:v>
      </x:c>
      <x:c r="J518" s="339" t="str">
        <x:v>Phase 2</x:v>
      </x:c>
      <x:c r="K518" s="339" t="str">
        <x:v>High</x:v>
      </x:c>
      <x:c r="L518" s="339" t="n">
        <x:v>8</x:v>
      </x:c>
      <x:c r="M518" s="339" t="str">
        <x:v>Student/staff masters, file storage, templates, digital signature/QR if enabled</x:v>
      </x:c>
      <x:c r="N518" s="339" t="str">
        <x:v>Not Started</x:v>
      </x:c>
    </x:row>
    <x:row r="519">
      <x:c r="A519" s="339" t="str">
        <x:v>US-0518</x:v>
      </x:c>
      <x:c r="B519" s="339" t="str">
        <x:v>EP-023</x:v>
      </x:c>
      <x:c r="C519" s="339" t="str">
        <x:v>SCR-259</x:v>
      </x:c>
      <x:c r="D519" s="339" t="str">
        <x:v>Documents &amp; Certificates</x:v>
      </x:c>
      <x:c r="E519" s="339" t="str">
        <x:v>Upload &amp; Verification</x:v>
      </x:c>
      <x:c r="F519" s="339" t="str">
        <x:v>School Admin</x:v>
      </x:c>
      <x:c r="G519" s="339" t="str">
        <x:v>As a School Admin, I want upload &amp; verification to enforce status, approval &amp; exception handling rules so that data quality, permissions and traceability are protected.</x:v>
      </x:c>
      <x:c r="H519" s="339" t="str">
        <x:v>Status, Approval &amp; Exception Handling</x:v>
      </x:c>
      <x:c r="I519" s="339" t="str">
        <x:v>Phase 2</x:v>
      </x:c>
      <x:c r="J519" s="339" t="str">
        <x:v>Phase 2</x:v>
      </x:c>
      <x:c r="K519" s="339" t="str">
        <x:v>High</x:v>
      </x:c>
      <x:c r="L519" s="339" t="n">
        <x:v>6</x:v>
      </x:c>
      <x:c r="M519" s="339" t="str">
        <x:v>Student/staff masters, file storage, templates, digital signature/QR if enabled</x:v>
      </x:c>
      <x:c r="N519" s="339" t="str">
        <x:v>Not Started</x:v>
      </x:c>
    </x:row>
    <x:row r="520">
      <x:c r="A520" s="339" t="str">
        <x:v>US-0519</x:v>
      </x:c>
      <x:c r="B520" s="339" t="str">
        <x:v>EP-023</x:v>
      </x:c>
      <x:c r="C520" s="339" t="str">
        <x:v>SCR-260</x:v>
      </x:c>
      <x:c r="D520" s="339" t="str">
        <x:v>Documents &amp; Certificates</x:v>
      </x:c>
      <x:c r="E520" s="339" t="str">
        <x:v>Certificate Templates</x:v>
      </x:c>
      <x:c r="F520" s="339" t="str">
        <x:v>School Admin</x:v>
      </x:c>
      <x:c r="G520" s="339" t="str">
        <x:v>As a School Admin, I want to configure certificate templates so that official documents remain valid and traceable.</x:v>
      </x:c>
      <x:c r="H520" s="339" t="str">
        <x:v>Primary Workflow</x:v>
      </x:c>
      <x:c r="I520" s="339" t="str">
        <x:v>Phase 2</x:v>
      </x:c>
      <x:c r="J520" s="339" t="str">
        <x:v>Phase 2</x:v>
      </x:c>
      <x:c r="K520" s="339" t="str">
        <x:v>Medium</x:v>
      </x:c>
      <x:c r="L520" s="339" t="n">
        <x:v>5</x:v>
      </x:c>
      <x:c r="M520" s="339" t="str">
        <x:v>Student/staff masters, file storage, templates, digital signature/QR if enabled</x:v>
      </x:c>
      <x:c r="N520" s="339" t="str">
        <x:v>Not Started</x:v>
      </x:c>
    </x:row>
    <x:row r="521">
      <x:c r="A521" s="339" t="str">
        <x:v>US-0520</x:v>
      </x:c>
      <x:c r="B521" s="339" t="str">
        <x:v>EP-023</x:v>
      </x:c>
      <x:c r="C521" s="339" t="str">
        <x:v>SCR-260</x:v>
      </x:c>
      <x:c r="D521" s="339" t="str">
        <x:v>Documents &amp; Certificates</x:v>
      </x:c>
      <x:c r="E521" s="339" t="str">
        <x:v>Certificate Templates</x:v>
      </x:c>
      <x:c r="F521" s="339" t="str">
        <x:v>School Admin</x:v>
      </x:c>
      <x:c r="G521" s="339" t="str">
        <x:v>As a School Admin, I want certificate templates to enforce dependency-safe configuration rules so that data quality, permissions and traceability are protected.</x:v>
      </x:c>
      <x:c r="H521" s="339" t="str">
        <x:v>Dependency-safe Configuration</x:v>
      </x:c>
      <x:c r="I521" s="339" t="str">
        <x:v>Phase 2</x:v>
      </x:c>
      <x:c r="J521" s="339" t="str">
        <x:v>Phase 2</x:v>
      </x:c>
      <x:c r="K521" s="339" t="str">
        <x:v>Medium</x:v>
      </x:c>
      <x:c r="L521" s="339" t="n">
        <x:v>3</x:v>
      </x:c>
      <x:c r="M521" s="339" t="str">
        <x:v>Student/staff masters, file storage, templates, digital signature/QR if enabled</x:v>
      </x:c>
      <x:c r="N521" s="339" t="str">
        <x:v>Not Started</x:v>
      </x:c>
    </x:row>
    <x:row r="522">
      <x:c r="A522" s="339" t="str">
        <x:v>US-0521</x:v>
      </x:c>
      <x:c r="B522" s="339" t="str">
        <x:v>EP-023</x:v>
      </x:c>
      <x:c r="C522" s="339" t="str">
        <x:v>SCR-261</x:v>
      </x:c>
      <x:c r="D522" s="339" t="str">
        <x:v>Documents &amp; Certificates</x:v>
      </x:c>
      <x:c r="E522" s="339" t="str">
        <x:v>Generate Certificate</x:v>
      </x:c>
      <x:c r="F522" s="339" t="str">
        <x:v>School Admin</x:v>
      </x:c>
      <x:c r="G522" s="339" t="str">
        <x:v>As a School Admin, I want to create or process generate certificate so that official documents remain valid and traceable.</x:v>
      </x:c>
      <x:c r="H522" s="339" t="str">
        <x:v>Primary Workflow</x:v>
      </x:c>
      <x:c r="I522" s="339" t="str">
        <x:v>Phase 3</x:v>
      </x:c>
      <x:c r="J522" s="339" t="str">
        <x:v>Phase 3</x:v>
      </x:c>
      <x:c r="K522" s="339" t="str">
        <x:v>Medium</x:v>
      </x:c>
      <x:c r="L522" s="339" t="n">
        <x:v>5</x:v>
      </x:c>
      <x:c r="M522" s="339" t="str">
        <x:v>Student/staff masters, file storage, templates, digital signature/QR if enabled</x:v>
      </x:c>
      <x:c r="N522" s="339" t="str">
        <x:v>Not Started</x:v>
      </x:c>
    </x:row>
    <x:row r="523">
      <x:c r="A523" s="339" t="str">
        <x:v>US-0522</x:v>
      </x:c>
      <x:c r="B523" s="339" t="str">
        <x:v>EP-023</x:v>
      </x:c>
      <x:c r="C523" s="339" t="str">
        <x:v>SCR-261</x:v>
      </x:c>
      <x:c r="D523" s="339" t="str">
        <x:v>Documents &amp; Certificates</x:v>
      </x:c>
      <x:c r="E523" s="339" t="str">
        <x:v>Generate Certificate</x:v>
      </x:c>
      <x:c r="F523" s="339" t="str">
        <x:v>School Admin</x:v>
      </x:c>
      <x:c r="G523" s="339" t="str">
        <x:v>As a School Admin, I want generate certificate to enforce validation &amp; duplicate prevention rules so that data quality, permissions and traceability are protected.</x:v>
      </x:c>
      <x:c r="H523" s="339" t="str">
        <x:v>Validation &amp; Duplicate Prevention</x:v>
      </x:c>
      <x:c r="I523" s="339" t="str">
        <x:v>Phase 3</x:v>
      </x:c>
      <x:c r="J523" s="339" t="str">
        <x:v>Phase 3</x:v>
      </x:c>
      <x:c r="K523" s="339" t="str">
        <x:v>Medium</x:v>
      </x:c>
      <x:c r="L523" s="339" t="n">
        <x:v>3</x:v>
      </x:c>
      <x:c r="M523" s="339" t="str">
        <x:v>Student/staff masters, file storage, templates, digital signature/QR if enabled</x:v>
      </x:c>
      <x:c r="N523" s="339" t="str">
        <x:v>Not Started</x:v>
      </x:c>
    </x:row>
    <x:row r="524">
      <x:c r="A524" s="339" t="str">
        <x:v>US-0523</x:v>
      </x:c>
      <x:c r="B524" s="339" t="str">
        <x:v>EP-023</x:v>
      </x:c>
      <x:c r="C524" s="339" t="str">
        <x:v>SCR-262</x:v>
      </x:c>
      <x:c r="D524" s="339" t="str">
        <x:v>Documents &amp; Certificates</x:v>
      </x:c>
      <x:c r="E524" s="339" t="str">
        <x:v>Transfer Certificate</x:v>
      </x:c>
      <x:c r="F524" s="339" t="str">
        <x:v>School Admin</x:v>
      </x:c>
      <x:c r="G524" s="339" t="str">
        <x:v>As a School Admin, I want to manage transfer certificate so that official documents remain valid and traceable.</x:v>
      </x:c>
      <x:c r="H524" s="339" t="str">
        <x:v>Primary Workflow</x:v>
      </x:c>
      <x:c r="I524" s="339" t="str">
        <x:v>Phase 3</x:v>
      </x:c>
      <x:c r="J524" s="339" t="str">
        <x:v>Phase 3</x:v>
      </x:c>
      <x:c r="K524" s="339" t="str">
        <x:v>High</x:v>
      </x:c>
      <x:c r="L524" s="339" t="n">
        <x:v>8</x:v>
      </x:c>
      <x:c r="M524" s="339" t="str">
        <x:v>Student/staff masters, file storage, templates, digital signature/QR if enabled</x:v>
      </x:c>
      <x:c r="N524" s="339" t="str">
        <x:v>Not Started</x:v>
      </x:c>
    </x:row>
    <x:row r="525">
      <x:c r="A525" s="339" t="str">
        <x:v>US-0524</x:v>
      </x:c>
      <x:c r="B525" s="339" t="str">
        <x:v>EP-023</x:v>
      </x:c>
      <x:c r="C525" s="339" t="str">
        <x:v>SCR-262</x:v>
      </x:c>
      <x:c r="D525" s="339" t="str">
        <x:v>Documents &amp; Certificates</x:v>
      </x:c>
      <x:c r="E525" s="339" t="str">
        <x:v>Transfer Certificate</x:v>
      </x:c>
      <x:c r="F525" s="339" t="str">
        <x:v>School Admin</x:v>
      </x:c>
      <x:c r="G525" s="339" t="str">
        <x:v>As a School Admin, I want transfer certificate to enforce status, approval &amp; exception handling rules so that data quality, permissions and traceability are protected.</x:v>
      </x:c>
      <x:c r="H525" s="339" t="str">
        <x:v>Status, Approval &amp; Exception Handling</x:v>
      </x:c>
      <x:c r="I525" s="339" t="str">
        <x:v>Phase 3</x:v>
      </x:c>
      <x:c r="J525" s="339" t="str">
        <x:v>Phase 3</x:v>
      </x:c>
      <x:c r="K525" s="339" t="str">
        <x:v>High</x:v>
      </x:c>
      <x:c r="L525" s="339" t="n">
        <x:v>6</x:v>
      </x:c>
      <x:c r="M525" s="339" t="str">
        <x:v>Student/staff masters, file storage, templates, digital signature/QR if enabled</x:v>
      </x:c>
      <x:c r="N525" s="339" t="str">
        <x:v>Not Started</x:v>
      </x:c>
    </x:row>
    <x:row r="526">
      <x:c r="A526" s="339" t="str">
        <x:v>US-0525</x:v>
      </x:c>
      <x:c r="B526" s="339" t="str">
        <x:v>EP-023</x:v>
      </x:c>
      <x:c r="C526" s="339" t="str">
        <x:v>SCR-263</x:v>
      </x:c>
      <x:c r="D526" s="339" t="str">
        <x:v>Documents &amp; Certificates</x:v>
      </x:c>
      <x:c r="E526" s="339" t="str">
        <x:v>Certificate Register</x:v>
      </x:c>
      <x:c r="F526" s="339" t="str">
        <x:v>School Admin</x:v>
      </x:c>
      <x:c r="G526" s="339" t="str">
        <x:v>As a School Admin, I want to review and maintain certificate register so that official documents remain valid and traceable.</x:v>
      </x:c>
      <x:c r="H526" s="339" t="str">
        <x:v>Primary Workflow</x:v>
      </x:c>
      <x:c r="I526" s="339" t="str">
        <x:v>Phase 3</x:v>
      </x:c>
      <x:c r="J526" s="339" t="str">
        <x:v>Phase 3</x:v>
      </x:c>
      <x:c r="K526" s="339" t="str">
        <x:v>Medium</x:v>
      </x:c>
      <x:c r="L526" s="339" t="n">
        <x:v>5</x:v>
      </x:c>
      <x:c r="M526" s="339" t="str">
        <x:v>Student/staff masters, file storage, templates, digital signature/QR if enabled</x:v>
      </x:c>
      <x:c r="N526" s="339" t="str">
        <x:v>Not Started</x:v>
      </x:c>
    </x:row>
    <x:row r="527">
      <x:c r="A527" s="339" t="str">
        <x:v>US-0526</x:v>
      </x:c>
      <x:c r="B527" s="339" t="str">
        <x:v>EP-023</x:v>
      </x:c>
      <x:c r="C527" s="339" t="str">
        <x:v>SCR-263</x:v>
      </x:c>
      <x:c r="D527" s="339" t="str">
        <x:v>Documents &amp; Certificates</x:v>
      </x:c>
      <x:c r="E527" s="339" t="str">
        <x:v>Certificate Register</x:v>
      </x:c>
      <x:c r="F527" s="339" t="str">
        <x:v>School Admin</x:v>
      </x:c>
      <x:c r="G527" s="339" t="str">
        <x:v>As a School Admin, I want certificate register to enforce history, edit &amp; audit rules so that data quality, permissions and traceability are protected.</x:v>
      </x:c>
      <x:c r="H527" s="339" t="str">
        <x:v>History, Edit &amp; Audit</x:v>
      </x:c>
      <x:c r="I527" s="339" t="str">
        <x:v>Phase 3</x:v>
      </x:c>
      <x:c r="J527" s="339" t="str">
        <x:v>Phase 3</x:v>
      </x:c>
      <x:c r="K527" s="339" t="str">
        <x:v>Medium</x:v>
      </x:c>
      <x:c r="L527" s="339" t="n">
        <x:v>3</x:v>
      </x:c>
      <x:c r="M527" s="339" t="str">
        <x:v>Student/staff masters, file storage, templates, digital signature/QR if enabled</x:v>
      </x:c>
      <x:c r="N527" s="339" t="str">
        <x:v>Not Started</x:v>
      </x:c>
    </x:row>
    <x:row r="528">
      <x:c r="A528" s="339" t="str">
        <x:v>US-0527</x:v>
      </x:c>
      <x:c r="B528" s="339" t="str">
        <x:v>EP-024</x:v>
      </x:c>
      <x:c r="C528" s="339" t="str">
        <x:v>SCR-264</x:v>
      </x:c>
      <x:c r="D528" s="339" t="str">
        <x:v>Reports &amp; Analytics</x:v>
      </x:c>
      <x:c r="E528" s="339" t="str">
        <x:v>Executive Analytics Dashboard</x:v>
      </x:c>
      <x:c r="F528" s="339" t="str">
        <x:v>Executive Analytics</x:v>
      </x:c>
      <x:c r="G528" s="339" t="str">
        <x:v>As a Executive Analytics, I want to monitor executive analytics priorities and metrics so that decisions use consistent and reconciled information.</x:v>
      </x:c>
      <x:c r="H528" s="339" t="str">
        <x:v>Primary Workflow</x:v>
      </x:c>
      <x:c r="I528" s="339" t="str">
        <x:v>MVP</x:v>
      </x:c>
      <x:c r="J528" s="339" t="str">
        <x:v>MVP</x:v>
      </x:c>
      <x:c r="K528" s="339" t="str">
        <x:v>Medium</x:v>
      </x:c>
      <x:c r="L528" s="339" t="n">
        <x:v>5</x:v>
      </x:c>
      <x:c r="M528" s="339" t="str">
        <x:v>All source modules, analytics/query layer, export service</x:v>
      </x:c>
      <x:c r="N528" s="339" t="str">
        <x:v>Not Started</x:v>
      </x:c>
    </x:row>
    <x:row r="529">
      <x:c r="A529" s="339" t="str">
        <x:v>US-0528</x:v>
      </x:c>
      <x:c r="B529" s="339" t="str">
        <x:v>EP-024</x:v>
      </x:c>
      <x:c r="C529" s="339" t="str">
        <x:v>SCR-264</x:v>
      </x:c>
      <x:c r="D529" s="339" t="str">
        <x:v>Reports &amp; Analytics</x:v>
      </x:c>
      <x:c r="E529" s="339" t="str">
        <x:v>Executive Analytics Dashboard</x:v>
      </x:c>
      <x:c r="F529" s="339" t="str">
        <x:v>Executive Analytics</x:v>
      </x:c>
      <x:c r="G529" s="339" t="str">
        <x:v>As a Executive Analytics, I want executive analytics dashboard to enforce insight &amp; drill-down rules so that data quality, permissions and traceability are protected.</x:v>
      </x:c>
      <x:c r="H529" s="339" t="str">
        <x:v>Insight &amp; Drill-down</x:v>
      </x:c>
      <x:c r="I529" s="339" t="str">
        <x:v>MVP</x:v>
      </x:c>
      <x:c r="J529" s="339" t="str">
        <x:v>MVP</x:v>
      </x:c>
      <x:c r="K529" s="339" t="str">
        <x:v>Medium</x:v>
      </x:c>
      <x:c r="L529" s="339" t="n">
        <x:v>3</x:v>
      </x:c>
      <x:c r="M529" s="339" t="str">
        <x:v>All source modules, analytics/query layer, export service</x:v>
      </x:c>
      <x:c r="N529" s="339" t="str">
        <x:v>Not Started</x:v>
      </x:c>
    </x:row>
    <x:row r="530">
      <x:c r="A530" s="339" t="str">
        <x:v>US-0529</x:v>
      </x:c>
      <x:c r="B530" s="339" t="str">
        <x:v>EP-024</x:v>
      </x:c>
      <x:c r="C530" s="339" t="str">
        <x:v>SCR-265</x:v>
      </x:c>
      <x:c r="D530" s="339" t="str">
        <x:v>Reports &amp; Analytics</x:v>
      </x:c>
      <x:c r="E530" s="339" t="str">
        <x:v>Admission Reports</x:v>
      </x:c>
      <x:c r="F530" s="339" t="str">
        <x:v>School Admin</x:v>
      </x:c>
      <x:c r="G530" s="339" t="str">
        <x:v>As a School Admin, I want to analyze admission reports so that decisions use consistent and reconciled information.</x:v>
      </x:c>
      <x:c r="H530" s="339" t="str">
        <x:v>Primary Workflow</x:v>
      </x:c>
      <x:c r="I530" s="339" t="str">
        <x:v>MVP</x:v>
      </x:c>
      <x:c r="J530" s="339" t="str">
        <x:v>MVP</x:v>
      </x:c>
      <x:c r="K530" s="339" t="str">
        <x:v>High</x:v>
      </x:c>
      <x:c r="L530" s="339" t="n">
        <x:v>8</x:v>
      </x:c>
      <x:c r="M530" s="339" t="str">
        <x:v>All source modules, analytics/query layer, export service</x:v>
      </x:c>
      <x:c r="N530" s="339" t="str">
        <x:v>Not Started</x:v>
      </x:c>
    </x:row>
    <x:row r="531">
      <x:c r="A531" s="339" t="str">
        <x:v>US-0530</x:v>
      </x:c>
      <x:c r="B531" s="339" t="str">
        <x:v>EP-024</x:v>
      </x:c>
      <x:c r="C531" s="339" t="str">
        <x:v>SCR-265</x:v>
      </x:c>
      <x:c r="D531" s="339" t="str">
        <x:v>Reports &amp; Analytics</x:v>
      </x:c>
      <x:c r="E531" s="339" t="str">
        <x:v>Admission Reports</x:v>
      </x:c>
      <x:c r="F531" s="339" t="str">
        <x:v>School Admin</x:v>
      </x:c>
      <x:c r="G531" s="339" t="str">
        <x:v>As a School Admin, I want admission reports to enforce filters, reconciliation &amp; export rules so that data quality, permissions and traceability are protected.</x:v>
      </x:c>
      <x:c r="H531" s="339" t="str">
        <x:v>Filters, Reconciliation &amp; Export</x:v>
      </x:c>
      <x:c r="I531" s="339" t="str">
        <x:v>MVP</x:v>
      </x:c>
      <x:c r="J531" s="339" t="str">
        <x:v>MVP</x:v>
      </x:c>
      <x:c r="K531" s="339" t="str">
        <x:v>High</x:v>
      </x:c>
      <x:c r="L531" s="339" t="n">
        <x:v>6</x:v>
      </x:c>
      <x:c r="M531" s="339" t="str">
        <x:v>All source modules, analytics/query layer, export service</x:v>
      </x:c>
      <x:c r="N531" s="339" t="str">
        <x:v>Not Started</x:v>
      </x:c>
    </x:row>
    <x:row r="532">
      <x:c r="A532" s="339" t="str">
        <x:v>US-0531</x:v>
      </x:c>
      <x:c r="B532" s="339" t="str">
        <x:v>EP-024</x:v>
      </x:c>
      <x:c r="C532" s="339" t="str">
        <x:v>SCR-266</x:v>
      </x:c>
      <x:c r="D532" s="339" t="str">
        <x:v>Reports &amp; Analytics</x:v>
      </x:c>
      <x:c r="E532" s="339" t="str">
        <x:v>Student Strength Report</x:v>
      </x:c>
      <x:c r="F532" s="339" t="str">
        <x:v>School Admin</x:v>
      </x:c>
      <x:c r="G532" s="339" t="str">
        <x:v>As a School Admin, I want to analyze student strength report so that decisions use consistent and reconciled information.</x:v>
      </x:c>
      <x:c r="H532" s="339" t="str">
        <x:v>Primary Workflow</x:v>
      </x:c>
      <x:c r="I532" s="339" t="str">
        <x:v>MVP</x:v>
      </x:c>
      <x:c r="J532" s="339" t="str">
        <x:v>MVP</x:v>
      </x:c>
      <x:c r="K532" s="339" t="str">
        <x:v>High</x:v>
      </x:c>
      <x:c r="L532" s="339" t="n">
        <x:v>8</x:v>
      </x:c>
      <x:c r="M532" s="339" t="str">
        <x:v>All source modules, analytics/query layer, export service</x:v>
      </x:c>
      <x:c r="N532" s="339" t="str">
        <x:v>Not Started</x:v>
      </x:c>
    </x:row>
    <x:row r="533">
      <x:c r="A533" s="339" t="str">
        <x:v>US-0532</x:v>
      </x:c>
      <x:c r="B533" s="339" t="str">
        <x:v>EP-024</x:v>
      </x:c>
      <x:c r="C533" s="339" t="str">
        <x:v>SCR-266</x:v>
      </x:c>
      <x:c r="D533" s="339" t="str">
        <x:v>Reports &amp; Analytics</x:v>
      </x:c>
      <x:c r="E533" s="339" t="str">
        <x:v>Student Strength Report</x:v>
      </x:c>
      <x:c r="F533" s="339" t="str">
        <x:v>School Admin</x:v>
      </x:c>
      <x:c r="G533" s="339" t="str">
        <x:v>As a School Admin, I want student strength report to enforce filters, reconciliation &amp; export rules so that data quality, permissions and traceability are protected.</x:v>
      </x:c>
      <x:c r="H533" s="339" t="str">
        <x:v>Filters, Reconciliation &amp; Export</x:v>
      </x:c>
      <x:c r="I533" s="339" t="str">
        <x:v>MVP</x:v>
      </x:c>
      <x:c r="J533" s="339" t="str">
        <x:v>MVP</x:v>
      </x:c>
      <x:c r="K533" s="339" t="str">
        <x:v>High</x:v>
      </x:c>
      <x:c r="L533" s="339" t="n">
        <x:v>6</x:v>
      </x:c>
      <x:c r="M533" s="339" t="str">
        <x:v>All source modules, analytics/query layer, export service</x:v>
      </x:c>
      <x:c r="N533" s="339" t="str">
        <x:v>Not Started</x:v>
      </x:c>
    </x:row>
    <x:row r="534">
      <x:c r="A534" s="339" t="str">
        <x:v>US-0533</x:v>
      </x:c>
      <x:c r="B534" s="339" t="str">
        <x:v>EP-024</x:v>
      </x:c>
      <x:c r="C534" s="339" t="str">
        <x:v>SCR-267</x:v>
      </x:c>
      <x:c r="D534" s="339" t="str">
        <x:v>Reports &amp; Analytics</x:v>
      </x:c>
      <x:c r="E534" s="339" t="str">
        <x:v>Student Demographics</x:v>
      </x:c>
      <x:c r="F534" s="339" t="str">
        <x:v>School Admin</x:v>
      </x:c>
      <x:c r="G534" s="339" t="str">
        <x:v>As a School Admin, I want to manage student demographics so that decisions use consistent and reconciled information.</x:v>
      </x:c>
      <x:c r="H534" s="339" t="str">
        <x:v>Primary Workflow</x:v>
      </x:c>
      <x:c r="I534" s="339" t="str">
        <x:v>MVP</x:v>
      </x:c>
      <x:c r="J534" s="339" t="str">
        <x:v>MVP</x:v>
      </x:c>
      <x:c r="K534" s="339" t="str">
        <x:v>High</x:v>
      </x:c>
      <x:c r="L534" s="339" t="n">
        <x:v>8</x:v>
      </x:c>
      <x:c r="M534" s="339" t="str">
        <x:v>All source modules, analytics/query layer, export service</x:v>
      </x:c>
      <x:c r="N534" s="339" t="str">
        <x:v>Not Started</x:v>
      </x:c>
    </x:row>
    <x:row r="535">
      <x:c r="A535" s="339" t="str">
        <x:v>US-0534</x:v>
      </x:c>
      <x:c r="B535" s="339" t="str">
        <x:v>EP-024</x:v>
      </x:c>
      <x:c r="C535" s="339" t="str">
        <x:v>SCR-267</x:v>
      </x:c>
      <x:c r="D535" s="339" t="str">
        <x:v>Reports &amp; Analytics</x:v>
      </x:c>
      <x:c r="E535" s="339" t="str">
        <x:v>Student Demographics</x:v>
      </x:c>
      <x:c r="F535" s="339" t="str">
        <x:v>School Admin</x:v>
      </x:c>
      <x:c r="G535" s="339" t="str">
        <x:v>As a School Admin, I want student demographics to enforce status, approval &amp; exception handling rules so that data quality, permissions and traceability are protected.</x:v>
      </x:c>
      <x:c r="H535" s="339" t="str">
        <x:v>Status, Approval &amp; Exception Handling</x:v>
      </x:c>
      <x:c r="I535" s="339" t="str">
        <x:v>MVP</x:v>
      </x:c>
      <x:c r="J535" s="339" t="str">
        <x:v>MVP</x:v>
      </x:c>
      <x:c r="K535" s="339" t="str">
        <x:v>High</x:v>
      </x:c>
      <x:c r="L535" s="339" t="n">
        <x:v>6</x:v>
      </x:c>
      <x:c r="M535" s="339" t="str">
        <x:v>All source modules, analytics/query layer, export service</x:v>
      </x:c>
      <x:c r="N535" s="339" t="str">
        <x:v>Not Started</x:v>
      </x:c>
    </x:row>
    <x:row r="536">
      <x:c r="A536" s="339" t="str">
        <x:v>US-0535</x:v>
      </x:c>
      <x:c r="B536" s="339" t="str">
        <x:v>EP-024</x:v>
      </x:c>
      <x:c r="C536" s="339" t="str">
        <x:v>SCR-268</x:v>
      </x:c>
      <x:c r="D536" s="339" t="str">
        <x:v>Reports &amp; Analytics</x:v>
      </x:c>
      <x:c r="E536" s="339" t="str">
        <x:v>Attendance Analytics</x:v>
      </x:c>
      <x:c r="F536" s="339" t="str">
        <x:v>School Admin</x:v>
      </x:c>
      <x:c r="G536" s="339" t="str">
        <x:v>As a School Admin, I want to analyze attendance analytics so that decisions use consistent and reconciled information.</x:v>
      </x:c>
      <x:c r="H536" s="339" t="str">
        <x:v>Primary Workflow</x:v>
      </x:c>
      <x:c r="I536" s="339" t="str">
        <x:v>Phase 2</x:v>
      </x:c>
      <x:c r="J536" s="339" t="str">
        <x:v>Phase 2</x:v>
      </x:c>
      <x:c r="K536" s="339" t="str">
        <x:v>High</x:v>
      </x:c>
      <x:c r="L536" s="339" t="n">
        <x:v>8</x:v>
      </x:c>
      <x:c r="M536" s="339" t="str">
        <x:v>All source modules, analytics/query layer, export service</x:v>
      </x:c>
      <x:c r="N536" s="339" t="str">
        <x:v>Not Started</x:v>
      </x:c>
    </x:row>
    <x:row r="537">
      <x:c r="A537" s="339" t="str">
        <x:v>US-0536</x:v>
      </x:c>
      <x:c r="B537" s="339" t="str">
        <x:v>EP-024</x:v>
      </x:c>
      <x:c r="C537" s="339" t="str">
        <x:v>SCR-268</x:v>
      </x:c>
      <x:c r="D537" s="339" t="str">
        <x:v>Reports &amp; Analytics</x:v>
      </x:c>
      <x:c r="E537" s="339" t="str">
        <x:v>Attendance Analytics</x:v>
      </x:c>
      <x:c r="F537" s="339" t="str">
        <x:v>School Admin</x:v>
      </x:c>
      <x:c r="G537" s="339" t="str">
        <x:v>As a School Admin, I want attendance analytics to enforce filters, reconciliation &amp; export rules so that data quality, permissions and traceability are protected.</x:v>
      </x:c>
      <x:c r="H537" s="339" t="str">
        <x:v>Filters, Reconciliation &amp; Export</x:v>
      </x:c>
      <x:c r="I537" s="339" t="str">
        <x:v>Phase 2</x:v>
      </x:c>
      <x:c r="J537" s="339" t="str">
        <x:v>Phase 2</x:v>
      </x:c>
      <x:c r="K537" s="339" t="str">
        <x:v>High</x:v>
      </x:c>
      <x:c r="L537" s="339" t="n">
        <x:v>6</x:v>
      </x:c>
      <x:c r="M537" s="339" t="str">
        <x:v>All source modules, analytics/query layer, export service</x:v>
      </x:c>
      <x:c r="N537" s="339" t="str">
        <x:v>Not Started</x:v>
      </x:c>
    </x:row>
    <x:row r="538">
      <x:c r="A538" s="339" t="str">
        <x:v>US-0537</x:v>
      </x:c>
      <x:c r="B538" s="339" t="str">
        <x:v>EP-024</x:v>
      </x:c>
      <x:c r="C538" s="339" t="str">
        <x:v>SCR-269</x:v>
      </x:c>
      <x:c r="D538" s="339" t="str">
        <x:v>Reports &amp; Analytics</x:v>
      </x:c>
      <x:c r="E538" s="339" t="str">
        <x:v>Chronic Absenteeism Report</x:v>
      </x:c>
      <x:c r="F538" s="339" t="str">
        <x:v>School Admin</x:v>
      </x:c>
      <x:c r="G538" s="339" t="str">
        <x:v>As a School Admin, I want to analyze chronic absenteeism report so that decisions use consistent and reconciled information.</x:v>
      </x:c>
      <x:c r="H538" s="339" t="str">
        <x:v>Primary Workflow</x:v>
      </x:c>
      <x:c r="I538" s="339" t="str">
        <x:v>Phase 2</x:v>
      </x:c>
      <x:c r="J538" s="339" t="str">
        <x:v>Phase 2</x:v>
      </x:c>
      <x:c r="K538" s="339" t="str">
        <x:v>High</x:v>
      </x:c>
      <x:c r="L538" s="339" t="n">
        <x:v>8</x:v>
      </x:c>
      <x:c r="M538" s="339" t="str">
        <x:v>All source modules, analytics/query layer, export service</x:v>
      </x:c>
      <x:c r="N538" s="339" t="str">
        <x:v>Not Started</x:v>
      </x:c>
    </x:row>
    <x:row r="539">
      <x:c r="A539" s="339" t="str">
        <x:v>US-0538</x:v>
      </x:c>
      <x:c r="B539" s="339" t="str">
        <x:v>EP-024</x:v>
      </x:c>
      <x:c r="C539" s="339" t="str">
        <x:v>SCR-269</x:v>
      </x:c>
      <x:c r="D539" s="339" t="str">
        <x:v>Reports &amp; Analytics</x:v>
      </x:c>
      <x:c r="E539" s="339" t="str">
        <x:v>Chronic Absenteeism Report</x:v>
      </x:c>
      <x:c r="F539" s="339" t="str">
        <x:v>School Admin</x:v>
      </x:c>
      <x:c r="G539" s="339" t="str">
        <x:v>As a School Admin, I want chronic absenteeism report to enforce filters, reconciliation &amp; export rules so that data quality, permissions and traceability are protected.</x:v>
      </x:c>
      <x:c r="H539" s="339" t="str">
        <x:v>Filters, Reconciliation &amp; Export</x:v>
      </x:c>
      <x:c r="I539" s="339" t="str">
        <x:v>Phase 2</x:v>
      </x:c>
      <x:c r="J539" s="339" t="str">
        <x:v>Phase 2</x:v>
      </x:c>
      <x:c r="K539" s="339" t="str">
        <x:v>High</x:v>
      </x:c>
      <x:c r="L539" s="339" t="n">
        <x:v>6</x:v>
      </x:c>
      <x:c r="M539" s="339" t="str">
        <x:v>All source modules, analytics/query layer, export service</x:v>
      </x:c>
      <x:c r="N539" s="339" t="str">
        <x:v>Not Started</x:v>
      </x:c>
    </x:row>
    <x:row r="540">
      <x:c r="A540" s="339" t="str">
        <x:v>US-0539</x:v>
      </x:c>
      <x:c r="B540" s="339" t="str">
        <x:v>EP-024</x:v>
      </x:c>
      <x:c r="C540" s="339" t="str">
        <x:v>SCR-270</x:v>
      </x:c>
      <x:c r="D540" s="339" t="str">
        <x:v>Reports &amp; Analytics</x:v>
      </x:c>
      <x:c r="E540" s="339" t="str">
        <x:v>Academic Performance</x:v>
      </x:c>
      <x:c r="F540" s="339" t="str">
        <x:v>School Admin</x:v>
      </x:c>
      <x:c r="G540" s="339" t="str">
        <x:v>As a School Admin, I want to manage academic performance so that decisions use consistent and reconciled information.</x:v>
      </x:c>
      <x:c r="H540" s="339" t="str">
        <x:v>Primary Workflow</x:v>
      </x:c>
      <x:c r="I540" s="339" t="str">
        <x:v>Phase 2</x:v>
      </x:c>
      <x:c r="J540" s="339" t="str">
        <x:v>Phase 2</x:v>
      </x:c>
      <x:c r="K540" s="339" t="str">
        <x:v>High</x:v>
      </x:c>
      <x:c r="L540" s="339" t="n">
        <x:v>8</x:v>
      </x:c>
      <x:c r="M540" s="339" t="str">
        <x:v>All source modules, analytics/query layer, export service</x:v>
      </x:c>
      <x:c r="N540" s="339" t="str">
        <x:v>Not Started</x:v>
      </x:c>
    </x:row>
    <x:row r="541">
      <x:c r="A541" s="339" t="str">
        <x:v>US-0540</x:v>
      </x:c>
      <x:c r="B541" s="339" t="str">
        <x:v>EP-024</x:v>
      </x:c>
      <x:c r="C541" s="339" t="str">
        <x:v>SCR-270</x:v>
      </x:c>
      <x:c r="D541" s="339" t="str">
        <x:v>Reports &amp; Analytics</x:v>
      </x:c>
      <x:c r="E541" s="339" t="str">
        <x:v>Academic Performance</x:v>
      </x:c>
      <x:c r="F541" s="339" t="str">
        <x:v>School Admin</x:v>
      </x:c>
      <x:c r="G541" s="339" t="str">
        <x:v>As a School Admin, I want academic performance to enforce status, approval &amp; exception handling rules so that data quality, permissions and traceability are protected.</x:v>
      </x:c>
      <x:c r="H541" s="339" t="str">
        <x:v>Status, Approval &amp; Exception Handling</x:v>
      </x:c>
      <x:c r="I541" s="339" t="str">
        <x:v>Phase 2</x:v>
      </x:c>
      <x:c r="J541" s="339" t="str">
        <x:v>Phase 2</x:v>
      </x:c>
      <x:c r="K541" s="339" t="str">
        <x:v>High</x:v>
      </x:c>
      <x:c r="L541" s="339" t="n">
        <x:v>6</x:v>
      </x:c>
      <x:c r="M541" s="339" t="str">
        <x:v>All source modules, analytics/query layer, export service</x:v>
      </x:c>
      <x:c r="N541" s="339" t="str">
        <x:v>Not Started</x:v>
      </x:c>
    </x:row>
    <x:row r="542">
      <x:c r="A542" s="339" t="str">
        <x:v>US-0541</x:v>
      </x:c>
      <x:c r="B542" s="339" t="str">
        <x:v>EP-024</x:v>
      </x:c>
      <x:c r="C542" s="339" t="str">
        <x:v>SCR-271</x:v>
      </x:c>
      <x:c r="D542" s="339" t="str">
        <x:v>Reports &amp; Analytics</x:v>
      </x:c>
      <x:c r="E542" s="339" t="str">
        <x:v>Subject Performance</x:v>
      </x:c>
      <x:c r="F542" s="339" t="str">
        <x:v>School Admin</x:v>
      </x:c>
      <x:c r="G542" s="339" t="str">
        <x:v>As a School Admin, I want to manage subject performance so that decisions use consistent and reconciled information.</x:v>
      </x:c>
      <x:c r="H542" s="339" t="str">
        <x:v>Primary Workflow</x:v>
      </x:c>
      <x:c r="I542" s="339" t="str">
        <x:v>Phase 2</x:v>
      </x:c>
      <x:c r="J542" s="339" t="str">
        <x:v>Phase 2</x:v>
      </x:c>
      <x:c r="K542" s="339" t="str">
        <x:v>High</x:v>
      </x:c>
      <x:c r="L542" s="339" t="n">
        <x:v>8</x:v>
      </x:c>
      <x:c r="M542" s="339" t="str">
        <x:v>All source modules, analytics/query layer, export service</x:v>
      </x:c>
      <x:c r="N542" s="339" t="str">
        <x:v>Not Started</x:v>
      </x:c>
    </x:row>
    <x:row r="543">
      <x:c r="A543" s="339" t="str">
        <x:v>US-0542</x:v>
      </x:c>
      <x:c r="B543" s="339" t="str">
        <x:v>EP-024</x:v>
      </x:c>
      <x:c r="C543" s="339" t="str">
        <x:v>SCR-271</x:v>
      </x:c>
      <x:c r="D543" s="339" t="str">
        <x:v>Reports &amp; Analytics</x:v>
      </x:c>
      <x:c r="E543" s="339" t="str">
        <x:v>Subject Performance</x:v>
      </x:c>
      <x:c r="F543" s="339" t="str">
        <x:v>School Admin</x:v>
      </x:c>
      <x:c r="G543" s="339" t="str">
        <x:v>As a School Admin, I want subject performance to enforce status, approval &amp; exception handling rules so that data quality, permissions and traceability are protected.</x:v>
      </x:c>
      <x:c r="H543" s="339" t="str">
        <x:v>Status, Approval &amp; Exception Handling</x:v>
      </x:c>
      <x:c r="I543" s="339" t="str">
        <x:v>Phase 2</x:v>
      </x:c>
      <x:c r="J543" s="339" t="str">
        <x:v>Phase 2</x:v>
      </x:c>
      <x:c r="K543" s="339" t="str">
        <x:v>High</x:v>
      </x:c>
      <x:c r="L543" s="339" t="n">
        <x:v>6</x:v>
      </x:c>
      <x:c r="M543" s="339" t="str">
        <x:v>All source modules, analytics/query layer, export service</x:v>
      </x:c>
      <x:c r="N543" s="339" t="str">
        <x:v>Not Started</x:v>
      </x:c>
    </x:row>
    <x:row r="544">
      <x:c r="A544" s="339" t="str">
        <x:v>US-0543</x:v>
      </x:c>
      <x:c r="B544" s="339" t="str">
        <x:v>EP-024</x:v>
      </x:c>
      <x:c r="C544" s="339" t="str">
        <x:v>SCR-272</x:v>
      </x:c>
      <x:c r="D544" s="339" t="str">
        <x:v>Reports &amp; Analytics</x:v>
      </x:c>
      <x:c r="E544" s="339" t="str">
        <x:v>Exam Result Analysis</x:v>
      </x:c>
      <x:c r="F544" s="339" t="str">
        <x:v>School Admin</x:v>
      </x:c>
      <x:c r="G544" s="339" t="str">
        <x:v>As a School Admin, I want to review and maintain exam result analysis so that decisions use consistent and reconciled information.</x:v>
      </x:c>
      <x:c r="H544" s="339" t="str">
        <x:v>Primary Workflow</x:v>
      </x:c>
      <x:c r="I544" s="339" t="str">
        <x:v>Phase 2</x:v>
      </x:c>
      <x:c r="J544" s="339" t="str">
        <x:v>Phase 2</x:v>
      </x:c>
      <x:c r="K544" s="339" t="str">
        <x:v>Medium</x:v>
      </x:c>
      <x:c r="L544" s="339" t="n">
        <x:v>5</x:v>
      </x:c>
      <x:c r="M544" s="339" t="str">
        <x:v>All source modules, analytics/query layer, export service</x:v>
      </x:c>
      <x:c r="N544" s="339" t="str">
        <x:v>Not Started</x:v>
      </x:c>
    </x:row>
    <x:row r="545">
      <x:c r="A545" s="339" t="str">
        <x:v>US-0544</x:v>
      </x:c>
      <x:c r="B545" s="339" t="str">
        <x:v>EP-024</x:v>
      </x:c>
      <x:c r="C545" s="339" t="str">
        <x:v>SCR-272</x:v>
      </x:c>
      <x:c r="D545" s="339" t="str">
        <x:v>Reports &amp; Analytics</x:v>
      </x:c>
      <x:c r="E545" s="339" t="str">
        <x:v>Exam Result Analysis</x:v>
      </x:c>
      <x:c r="F545" s="339" t="str">
        <x:v>School Admin</x:v>
      </x:c>
      <x:c r="G545" s="339" t="str">
        <x:v>As a School Admin, I want exam result analysis to enforce history, edit &amp; audit rules so that data quality, permissions and traceability are protected.</x:v>
      </x:c>
      <x:c r="H545" s="339" t="str">
        <x:v>History, Edit &amp; Audit</x:v>
      </x:c>
      <x:c r="I545" s="339" t="str">
        <x:v>Phase 2</x:v>
      </x:c>
      <x:c r="J545" s="339" t="str">
        <x:v>Phase 2</x:v>
      </x:c>
      <x:c r="K545" s="339" t="str">
        <x:v>Medium</x:v>
      </x:c>
      <x:c r="L545" s="339" t="n">
        <x:v>3</x:v>
      </x:c>
      <x:c r="M545" s="339" t="str">
        <x:v>All source modules, analytics/query layer, export service</x:v>
      </x:c>
      <x:c r="N545" s="339" t="str">
        <x:v>Not Started</x:v>
      </x:c>
    </x:row>
    <x:row r="546">
      <x:c r="A546" s="339" t="str">
        <x:v>US-0545</x:v>
      </x:c>
      <x:c r="B546" s="339" t="str">
        <x:v>EP-024</x:v>
      </x:c>
      <x:c r="C546" s="339" t="str">
        <x:v>SCR-273</x:v>
      </x:c>
      <x:c r="D546" s="339" t="str">
        <x:v>Reports &amp; Analytics</x:v>
      </x:c>
      <x:c r="E546" s="339" t="str">
        <x:v>Fee Collection Report</x:v>
      </x:c>
      <x:c r="F546" s="339" t="str">
        <x:v>School Admin</x:v>
      </x:c>
      <x:c r="G546" s="339" t="str">
        <x:v>As a School Admin, I want to process fee collection report so that decisions use consistent and reconciled information.</x:v>
      </x:c>
      <x:c r="H546" s="339" t="str">
        <x:v>Primary Workflow</x:v>
      </x:c>
      <x:c r="I546" s="339" t="str">
        <x:v>Phase 2</x:v>
      </x:c>
      <x:c r="J546" s="339" t="str">
        <x:v>Phase 2</x:v>
      </x:c>
      <x:c r="K546" s="339" t="str">
        <x:v>Medium</x:v>
      </x:c>
      <x:c r="L546" s="339" t="n">
        <x:v>5</x:v>
      </x:c>
      <x:c r="M546" s="339" t="str">
        <x:v>All source modules, analytics/query layer, export service</x:v>
      </x:c>
      <x:c r="N546" s="339" t="str">
        <x:v>Not Started</x:v>
      </x:c>
    </x:row>
    <x:row r="547">
      <x:c r="A547" s="339" t="str">
        <x:v>US-0546</x:v>
      </x:c>
      <x:c r="B547" s="339" t="str">
        <x:v>EP-024</x:v>
      </x:c>
      <x:c r="C547" s="339" t="str">
        <x:v>SCR-273</x:v>
      </x:c>
      <x:c r="D547" s="339" t="str">
        <x:v>Reports &amp; Analytics</x:v>
      </x:c>
      <x:c r="E547" s="339" t="str">
        <x:v>Fee Collection Report</x:v>
      </x:c>
      <x:c r="F547" s="339" t="str">
        <x:v>School Admin</x:v>
      </x:c>
      <x:c r="G547" s="339" t="str">
        <x:v>As a School Admin, I want fee collection report to enforce validation &amp; duplicate prevention rules so that data quality, permissions and traceability are protected.</x:v>
      </x:c>
      <x:c r="H547" s="339" t="str">
        <x:v>Validation &amp; Duplicate Prevention</x:v>
      </x:c>
      <x:c r="I547" s="339" t="str">
        <x:v>Phase 2</x:v>
      </x:c>
      <x:c r="J547" s="339" t="str">
        <x:v>Phase 2</x:v>
      </x:c>
      <x:c r="K547" s="339" t="str">
        <x:v>Medium</x:v>
      </x:c>
      <x:c r="L547" s="339" t="n">
        <x:v>3</x:v>
      </x:c>
      <x:c r="M547" s="339" t="str">
        <x:v>All source modules, analytics/query layer, export service</x:v>
      </x:c>
      <x:c r="N547" s="339" t="str">
        <x:v>Not Started</x:v>
      </x:c>
    </x:row>
    <x:row r="548">
      <x:c r="A548" s="339" t="str">
        <x:v>US-0547</x:v>
      </x:c>
      <x:c r="B548" s="339" t="str">
        <x:v>EP-024</x:v>
      </x:c>
      <x:c r="C548" s="339" t="str">
        <x:v>SCR-274</x:v>
      </x:c>
      <x:c r="D548" s="339" t="str">
        <x:v>Reports &amp; Analytics</x:v>
      </x:c>
      <x:c r="E548" s="339" t="str">
        <x:v>Outstanding Dues Report</x:v>
      </x:c>
      <x:c r="F548" s="339" t="str">
        <x:v>School Admin</x:v>
      </x:c>
      <x:c r="G548" s="339" t="str">
        <x:v>As a School Admin, I want to analyze outstanding dues report so that decisions use consistent and reconciled information.</x:v>
      </x:c>
      <x:c r="H548" s="339" t="str">
        <x:v>Primary Workflow</x:v>
      </x:c>
      <x:c r="I548" s="339" t="str">
        <x:v>Phase 3</x:v>
      </x:c>
      <x:c r="J548" s="339" t="str">
        <x:v>Phase 3</x:v>
      </x:c>
      <x:c r="K548" s="339" t="str">
        <x:v>High</x:v>
      </x:c>
      <x:c r="L548" s="339" t="n">
        <x:v>8</x:v>
      </x:c>
      <x:c r="M548" s="339" t="str">
        <x:v>All source modules, analytics/query layer, export service</x:v>
      </x:c>
      <x:c r="N548" s="339" t="str">
        <x:v>Not Started</x:v>
      </x:c>
    </x:row>
    <x:row r="549">
      <x:c r="A549" s="339" t="str">
        <x:v>US-0548</x:v>
      </x:c>
      <x:c r="B549" s="339" t="str">
        <x:v>EP-024</x:v>
      </x:c>
      <x:c r="C549" s="339" t="str">
        <x:v>SCR-274</x:v>
      </x:c>
      <x:c r="D549" s="339" t="str">
        <x:v>Reports &amp; Analytics</x:v>
      </x:c>
      <x:c r="E549" s="339" t="str">
        <x:v>Outstanding Dues Report</x:v>
      </x:c>
      <x:c r="F549" s="339" t="str">
        <x:v>School Admin</x:v>
      </x:c>
      <x:c r="G549" s="339" t="str">
        <x:v>As a School Admin, I want outstanding dues report to enforce filters, reconciliation &amp; export rules so that data quality, permissions and traceability are protected.</x:v>
      </x:c>
      <x:c r="H549" s="339" t="str">
        <x:v>Filters, Reconciliation &amp; Export</x:v>
      </x:c>
      <x:c r="I549" s="339" t="str">
        <x:v>Phase 3</x:v>
      </x:c>
      <x:c r="J549" s="339" t="str">
        <x:v>Phase 3</x:v>
      </x:c>
      <x:c r="K549" s="339" t="str">
        <x:v>High</x:v>
      </x:c>
      <x:c r="L549" s="339" t="n">
        <x:v>6</x:v>
      </x:c>
      <x:c r="M549" s="339" t="str">
        <x:v>All source modules, analytics/query layer, export service</x:v>
      </x:c>
      <x:c r="N549" s="339" t="str">
        <x:v>Not Started</x:v>
      </x:c>
    </x:row>
    <x:row r="550">
      <x:c r="A550" s="339" t="str">
        <x:v>US-0549</x:v>
      </x:c>
      <x:c r="B550" s="339" t="str">
        <x:v>EP-024</x:v>
      </x:c>
      <x:c r="C550" s="339" t="str">
        <x:v>SCR-275</x:v>
      </x:c>
      <x:c r="D550" s="339" t="str">
        <x:v>Reports &amp; Analytics</x:v>
      </x:c>
      <x:c r="E550" s="339" t="str">
        <x:v>Finance Summary</x:v>
      </x:c>
      <x:c r="F550" s="339" t="str">
        <x:v>School Admin</x:v>
      </x:c>
      <x:c r="G550" s="339" t="str">
        <x:v>As a School Admin, I want to manage finance summary so that decisions use consistent and reconciled information.</x:v>
      </x:c>
      <x:c r="H550" s="339" t="str">
        <x:v>Primary Workflow</x:v>
      </x:c>
      <x:c r="I550" s="339" t="str">
        <x:v>Phase 3</x:v>
      </x:c>
      <x:c r="J550" s="339" t="str">
        <x:v>Phase 3</x:v>
      </x:c>
      <x:c r="K550" s="339" t="str">
        <x:v>High</x:v>
      </x:c>
      <x:c r="L550" s="339" t="n">
        <x:v>8</x:v>
      </x:c>
      <x:c r="M550" s="339" t="str">
        <x:v>All source modules, analytics/query layer, export service</x:v>
      </x:c>
      <x:c r="N550" s="339" t="str">
        <x:v>Not Started</x:v>
      </x:c>
    </x:row>
    <x:row r="551">
      <x:c r="A551" s="339" t="str">
        <x:v>US-0550</x:v>
      </x:c>
      <x:c r="B551" s="339" t="str">
        <x:v>EP-024</x:v>
      </x:c>
      <x:c r="C551" s="339" t="str">
        <x:v>SCR-275</x:v>
      </x:c>
      <x:c r="D551" s="339" t="str">
        <x:v>Reports &amp; Analytics</x:v>
      </x:c>
      <x:c r="E551" s="339" t="str">
        <x:v>Finance Summary</x:v>
      </x:c>
      <x:c r="F551" s="339" t="str">
        <x:v>School Admin</x:v>
      </x:c>
      <x:c r="G551" s="339" t="str">
        <x:v>As a School Admin, I want finance summary to enforce filters, reconciliation &amp; export rules so that data quality, permissions and traceability are protected.</x:v>
      </x:c>
      <x:c r="H551" s="339" t="str">
        <x:v>Filters, Reconciliation &amp; Export</x:v>
      </x:c>
      <x:c r="I551" s="339" t="str">
        <x:v>Phase 3</x:v>
      </x:c>
      <x:c r="J551" s="339" t="str">
        <x:v>Phase 3</x:v>
      </x:c>
      <x:c r="K551" s="339" t="str">
        <x:v>High</x:v>
      </x:c>
      <x:c r="L551" s="339" t="n">
        <x:v>6</x:v>
      </x:c>
      <x:c r="M551" s="339" t="str">
        <x:v>All source modules, analytics/query layer, export service</x:v>
      </x:c>
      <x:c r="N551" s="339" t="str">
        <x:v>Not Started</x:v>
      </x:c>
    </x:row>
    <x:row r="552">
      <x:c r="A552" s="339" t="str">
        <x:v>US-0551</x:v>
      </x:c>
      <x:c r="B552" s="339" t="str">
        <x:v>EP-024</x:v>
      </x:c>
      <x:c r="C552" s="339" t="str">
        <x:v>SCR-276</x:v>
      </x:c>
      <x:c r="D552" s="339" t="str">
        <x:v>Reports &amp; Analytics</x:v>
      </x:c>
      <x:c r="E552" s="339" t="str">
        <x:v>Staff Attendance Report</x:v>
      </x:c>
      <x:c r="F552" s="339" t="str">
        <x:v>School Admin</x:v>
      </x:c>
      <x:c r="G552" s="339" t="str">
        <x:v>As a School Admin, I want to analyze staff attendance report so that decisions use consistent and reconciled information.</x:v>
      </x:c>
      <x:c r="H552" s="339" t="str">
        <x:v>Primary Workflow</x:v>
      </x:c>
      <x:c r="I552" s="339" t="str">
        <x:v>Phase 3</x:v>
      </x:c>
      <x:c r="J552" s="339" t="str">
        <x:v>Phase 3</x:v>
      </x:c>
      <x:c r="K552" s="339" t="str">
        <x:v>High</x:v>
      </x:c>
      <x:c r="L552" s="339" t="n">
        <x:v>8</x:v>
      </x:c>
      <x:c r="M552" s="339" t="str">
        <x:v>All source modules, analytics/query layer, export service</x:v>
      </x:c>
      <x:c r="N552" s="339" t="str">
        <x:v>Not Started</x:v>
      </x:c>
    </x:row>
    <x:row r="553">
      <x:c r="A553" s="339" t="str">
        <x:v>US-0552</x:v>
      </x:c>
      <x:c r="B553" s="339" t="str">
        <x:v>EP-024</x:v>
      </x:c>
      <x:c r="C553" s="339" t="str">
        <x:v>SCR-276</x:v>
      </x:c>
      <x:c r="D553" s="339" t="str">
        <x:v>Reports &amp; Analytics</x:v>
      </x:c>
      <x:c r="E553" s="339" t="str">
        <x:v>Staff Attendance Report</x:v>
      </x:c>
      <x:c r="F553" s="339" t="str">
        <x:v>School Admin</x:v>
      </x:c>
      <x:c r="G553" s="339" t="str">
        <x:v>As a School Admin, I want staff attendance report to enforce filters, reconciliation &amp; export rules so that data quality, permissions and traceability are protected.</x:v>
      </x:c>
      <x:c r="H553" s="339" t="str">
        <x:v>Filters, Reconciliation &amp; Export</x:v>
      </x:c>
      <x:c r="I553" s="339" t="str">
        <x:v>Phase 3</x:v>
      </x:c>
      <x:c r="J553" s="339" t="str">
        <x:v>Phase 3</x:v>
      </x:c>
      <x:c r="K553" s="339" t="str">
        <x:v>High</x:v>
      </x:c>
      <x:c r="L553" s="339" t="n">
        <x:v>6</x:v>
      </x:c>
      <x:c r="M553" s="339" t="str">
        <x:v>All source modules, analytics/query layer, export service</x:v>
      </x:c>
      <x:c r="N553" s="339" t="str">
        <x:v>Not Started</x:v>
      </x:c>
    </x:row>
    <x:row r="554">
      <x:c r="A554" s="339" t="str">
        <x:v>US-0553</x:v>
      </x:c>
      <x:c r="B554" s="339" t="str">
        <x:v>EP-024</x:v>
      </x:c>
      <x:c r="C554" s="339" t="str">
        <x:v>SCR-277</x:v>
      </x:c>
      <x:c r="D554" s="339" t="str">
        <x:v>Reports &amp; Analytics</x:v>
      </x:c>
      <x:c r="E554" s="339" t="str">
        <x:v>Payroll Summary</x:v>
      </x:c>
      <x:c r="F554" s="339" t="str">
        <x:v>School Admin</x:v>
      </x:c>
      <x:c r="G554" s="339" t="str">
        <x:v>As a School Admin, I want to manage payroll summary so that decisions use consistent and reconciled information.</x:v>
      </x:c>
      <x:c r="H554" s="339" t="str">
        <x:v>Primary Workflow</x:v>
      </x:c>
      <x:c r="I554" s="339" t="str">
        <x:v>Phase 3</x:v>
      </x:c>
      <x:c r="J554" s="339" t="str">
        <x:v>Phase 3</x:v>
      </x:c>
      <x:c r="K554" s="339" t="str">
        <x:v>High</x:v>
      </x:c>
      <x:c r="L554" s="339" t="n">
        <x:v>8</x:v>
      </x:c>
      <x:c r="M554" s="339" t="str">
        <x:v>All source modules, analytics/query layer, export service</x:v>
      </x:c>
      <x:c r="N554" s="339" t="str">
        <x:v>Not Started</x:v>
      </x:c>
    </x:row>
    <x:row r="555">
      <x:c r="A555" s="339" t="str">
        <x:v>US-0554</x:v>
      </x:c>
      <x:c r="B555" s="339" t="str">
        <x:v>EP-024</x:v>
      </x:c>
      <x:c r="C555" s="339" t="str">
        <x:v>SCR-277</x:v>
      </x:c>
      <x:c r="D555" s="339" t="str">
        <x:v>Reports &amp; Analytics</x:v>
      </x:c>
      <x:c r="E555" s="339" t="str">
        <x:v>Payroll Summary</x:v>
      </x:c>
      <x:c r="F555" s="339" t="str">
        <x:v>School Admin</x:v>
      </x:c>
      <x:c r="G555" s="339" t="str">
        <x:v>As a School Admin, I want payroll summary to enforce filters, reconciliation &amp; export rules so that data quality, permissions and traceability are protected.</x:v>
      </x:c>
      <x:c r="H555" s="339" t="str">
        <x:v>Filters, Reconciliation &amp; Export</x:v>
      </x:c>
      <x:c r="I555" s="339" t="str">
        <x:v>Phase 3</x:v>
      </x:c>
      <x:c r="J555" s="339" t="str">
        <x:v>Phase 3</x:v>
      </x:c>
      <x:c r="K555" s="339" t="str">
        <x:v>High</x:v>
      </x:c>
      <x:c r="L555" s="339" t="n">
        <x:v>6</x:v>
      </x:c>
      <x:c r="M555" s="339" t="str">
        <x:v>All source modules, analytics/query layer, export service</x:v>
      </x:c>
      <x:c r="N555" s="339" t="str">
        <x:v>Not Started</x:v>
      </x:c>
    </x:row>
    <x:row r="556">
      <x:c r="A556" s="339" t="str">
        <x:v>US-0555</x:v>
      </x:c>
      <x:c r="B556" s="339" t="str">
        <x:v>EP-024</x:v>
      </x:c>
      <x:c r="C556" s="339" t="str">
        <x:v>SCR-278</x:v>
      </x:c>
      <x:c r="D556" s="339" t="str">
        <x:v>Reports &amp; Analytics</x:v>
      </x:c>
      <x:c r="E556" s="339" t="str">
        <x:v>Teacher Performance</x:v>
      </x:c>
      <x:c r="F556" s="339" t="str">
        <x:v>School Admin</x:v>
      </x:c>
      <x:c r="G556" s="339" t="str">
        <x:v>As a School Admin, I want to manage teacher performance so that decisions use consistent and reconciled information.</x:v>
      </x:c>
      <x:c r="H556" s="339" t="str">
        <x:v>Primary Workflow</x:v>
      </x:c>
      <x:c r="I556" s="339" t="str">
        <x:v>Phase 3</x:v>
      </x:c>
      <x:c r="J556" s="339" t="str">
        <x:v>Phase 3</x:v>
      </x:c>
      <x:c r="K556" s="339" t="str">
        <x:v>High</x:v>
      </x:c>
      <x:c r="L556" s="339" t="n">
        <x:v>8</x:v>
      </x:c>
      <x:c r="M556" s="339" t="str">
        <x:v>All source modules, analytics/query layer, export service</x:v>
      </x:c>
      <x:c r="N556" s="339" t="str">
        <x:v>Not Started</x:v>
      </x:c>
    </x:row>
    <x:row r="557">
      <x:c r="A557" s="339" t="str">
        <x:v>US-0556</x:v>
      </x:c>
      <x:c r="B557" s="339" t="str">
        <x:v>EP-024</x:v>
      </x:c>
      <x:c r="C557" s="339" t="str">
        <x:v>SCR-278</x:v>
      </x:c>
      <x:c r="D557" s="339" t="str">
        <x:v>Reports &amp; Analytics</x:v>
      </x:c>
      <x:c r="E557" s="339" t="str">
        <x:v>Teacher Performance</x:v>
      </x:c>
      <x:c r="F557" s="339" t="str">
        <x:v>School Admin</x:v>
      </x:c>
      <x:c r="G557" s="339" t="str">
        <x:v>As a School Admin, I want teacher performance to enforce status, approval &amp; exception handling rules so that data quality, permissions and traceability are protected.</x:v>
      </x:c>
      <x:c r="H557" s="339" t="str">
        <x:v>Status, Approval &amp; Exception Handling</x:v>
      </x:c>
      <x:c r="I557" s="339" t="str">
        <x:v>Phase 3</x:v>
      </x:c>
      <x:c r="J557" s="339" t="str">
        <x:v>Phase 3</x:v>
      </x:c>
      <x:c r="K557" s="339" t="str">
        <x:v>High</x:v>
      </x:c>
      <x:c r="L557" s="339" t="n">
        <x:v>6</x:v>
      </x:c>
      <x:c r="M557" s="339" t="str">
        <x:v>All source modules, analytics/query layer, export service</x:v>
      </x:c>
      <x:c r="N557" s="339" t="str">
        <x:v>Not Started</x:v>
      </x:c>
    </x:row>
    <x:row r="558">
      <x:c r="A558" s="339" t="str">
        <x:v>US-0557</x:v>
      </x:c>
      <x:c r="B558" s="339" t="str">
        <x:v>EP-024</x:v>
      </x:c>
      <x:c r="C558" s="339" t="str">
        <x:v>SCR-279</x:v>
      </x:c>
      <x:c r="D558" s="339" t="str">
        <x:v>Reports &amp; Analytics</x:v>
      </x:c>
      <x:c r="E558" s="339" t="str">
        <x:v>Transport Utilization</x:v>
      </x:c>
      <x:c r="F558" s="339" t="str">
        <x:v>School Admin</x:v>
      </x:c>
      <x:c r="G558" s="339" t="str">
        <x:v>As a School Admin, I want to manage transport utilization so that decisions use consistent and reconciled information.</x:v>
      </x:c>
      <x:c r="H558" s="339" t="str">
        <x:v>Primary Workflow</x:v>
      </x:c>
      <x:c r="I558" s="339" t="str">
        <x:v>Phase 3</x:v>
      </x:c>
      <x:c r="J558" s="339" t="str">
        <x:v>Phase 3</x:v>
      </x:c>
      <x:c r="K558" s="339" t="str">
        <x:v>High</x:v>
      </x:c>
      <x:c r="L558" s="339" t="n">
        <x:v>8</x:v>
      </x:c>
      <x:c r="M558" s="339" t="str">
        <x:v>All source modules, analytics/query layer, export service</x:v>
      </x:c>
      <x:c r="N558" s="339" t="str">
        <x:v>Not Started</x:v>
      </x:c>
    </x:row>
    <x:row r="559">
      <x:c r="A559" s="339" t="str">
        <x:v>US-0558</x:v>
      </x:c>
      <x:c r="B559" s="339" t="str">
        <x:v>EP-024</x:v>
      </x:c>
      <x:c r="C559" s="339" t="str">
        <x:v>SCR-279</x:v>
      </x:c>
      <x:c r="D559" s="339" t="str">
        <x:v>Reports &amp; Analytics</x:v>
      </x:c>
      <x:c r="E559" s="339" t="str">
        <x:v>Transport Utilization</x:v>
      </x:c>
      <x:c r="F559" s="339" t="str">
        <x:v>School Admin</x:v>
      </x:c>
      <x:c r="G559" s="339" t="str">
        <x:v>As a School Admin, I want transport utilization to enforce filters, reconciliation &amp; export rules so that data quality, permissions and traceability are protected.</x:v>
      </x:c>
      <x:c r="H559" s="339" t="str">
        <x:v>Filters, Reconciliation &amp; Export</x:v>
      </x:c>
      <x:c r="I559" s="339" t="str">
        <x:v>Phase 3</x:v>
      </x:c>
      <x:c r="J559" s="339" t="str">
        <x:v>Phase 3</x:v>
      </x:c>
      <x:c r="K559" s="339" t="str">
        <x:v>High</x:v>
      </x:c>
      <x:c r="L559" s="339" t="n">
        <x:v>6</x:v>
      </x:c>
      <x:c r="M559" s="339" t="str">
        <x:v>All source modules, analytics/query layer, export service</x:v>
      </x:c>
      <x:c r="N559" s="339" t="str">
        <x:v>Not Started</x:v>
      </x:c>
    </x:row>
    <x:row r="560">
      <x:c r="A560" s="339" t="str">
        <x:v>US-0559</x:v>
      </x:c>
      <x:c r="B560" s="339" t="str">
        <x:v>EP-024</x:v>
      </x:c>
      <x:c r="C560" s="339" t="str">
        <x:v>SCR-280</x:v>
      </x:c>
      <x:c r="D560" s="339" t="str">
        <x:v>Reports &amp; Analytics</x:v>
      </x:c>
      <x:c r="E560" s="339" t="str">
        <x:v>Library Usage</x:v>
      </x:c>
      <x:c r="F560" s="339" t="str">
        <x:v>School Admin</x:v>
      </x:c>
      <x:c r="G560" s="339" t="str">
        <x:v>As a School Admin, I want to manage library usage so that decisions use consistent and reconciled information.</x:v>
      </x:c>
      <x:c r="H560" s="339" t="str">
        <x:v>Primary Workflow</x:v>
      </x:c>
      <x:c r="I560" s="339" t="str">
        <x:v>Phase 3</x:v>
      </x:c>
      <x:c r="J560" s="339" t="str">
        <x:v>Phase 3</x:v>
      </x:c>
      <x:c r="K560" s="339" t="str">
        <x:v>High</x:v>
      </x:c>
      <x:c r="L560" s="339" t="n">
        <x:v>8</x:v>
      </x:c>
      <x:c r="M560" s="339" t="str">
        <x:v>All source modules, analytics/query layer, export service</x:v>
      </x:c>
      <x:c r="N560" s="339" t="str">
        <x:v>Not Started</x:v>
      </x:c>
    </x:row>
    <x:row r="561">
      <x:c r="A561" s="339" t="str">
        <x:v>US-0560</x:v>
      </x:c>
      <x:c r="B561" s="339" t="str">
        <x:v>EP-024</x:v>
      </x:c>
      <x:c r="C561" s="339" t="str">
        <x:v>SCR-280</x:v>
      </x:c>
      <x:c r="D561" s="339" t="str">
        <x:v>Reports &amp; Analytics</x:v>
      </x:c>
      <x:c r="E561" s="339" t="str">
        <x:v>Library Usage</x:v>
      </x:c>
      <x:c r="F561" s="339" t="str">
        <x:v>School Admin</x:v>
      </x:c>
      <x:c r="G561" s="339" t="str">
        <x:v>As a School Admin, I want library usage to enforce filters, reconciliation &amp; export rules so that data quality, permissions and traceability are protected.</x:v>
      </x:c>
      <x:c r="H561" s="339" t="str">
        <x:v>Filters, Reconciliation &amp; Export</x:v>
      </x:c>
      <x:c r="I561" s="339" t="str">
        <x:v>Phase 3</x:v>
      </x:c>
      <x:c r="J561" s="339" t="str">
        <x:v>Phase 3</x:v>
      </x:c>
      <x:c r="K561" s="339" t="str">
        <x:v>High</x:v>
      </x:c>
      <x:c r="L561" s="339" t="n">
        <x:v>6</x:v>
      </x:c>
      <x:c r="M561" s="339" t="str">
        <x:v>All source modules, analytics/query layer, export service</x:v>
      </x:c>
      <x:c r="N561" s="339" t="str">
        <x:v>Not Started</x:v>
      </x:c>
    </x:row>
    <x:row r="562">
      <x:c r="A562" s="339" t="str">
        <x:v>US-0561</x:v>
      </x:c>
      <x:c r="B562" s="339" t="str">
        <x:v>EP-024</x:v>
      </x:c>
      <x:c r="C562" s="339" t="str">
        <x:v>SCR-281</x:v>
      </x:c>
      <x:c r="D562" s="339" t="str">
        <x:v>Reports &amp; Analytics</x:v>
      </x:c>
      <x:c r="E562" s="339" t="str">
        <x:v>Inventory &amp; Asset Report</x:v>
      </x:c>
      <x:c r="F562" s="339" t="str">
        <x:v>School Admin</x:v>
      </x:c>
      <x:c r="G562" s="339" t="str">
        <x:v>As a School Admin, I want to analyze inventory &amp; asset report so that decisions use consistent and reconciled information.</x:v>
      </x:c>
      <x:c r="H562" s="339" t="str">
        <x:v>Primary Workflow</x:v>
      </x:c>
      <x:c r="I562" s="339" t="str">
        <x:v>Phase 3</x:v>
      </x:c>
      <x:c r="J562" s="339" t="str">
        <x:v>Phase 3</x:v>
      </x:c>
      <x:c r="K562" s="339" t="str">
        <x:v>High</x:v>
      </x:c>
      <x:c r="L562" s="339" t="n">
        <x:v>8</x:v>
      </x:c>
      <x:c r="M562" s="339" t="str">
        <x:v>All source modules, analytics/query layer, export service</x:v>
      </x:c>
      <x:c r="N562" s="339" t="str">
        <x:v>Not Started</x:v>
      </x:c>
    </x:row>
    <x:row r="563">
      <x:c r="A563" s="339" t="str">
        <x:v>US-0562</x:v>
      </x:c>
      <x:c r="B563" s="339" t="str">
        <x:v>EP-024</x:v>
      </x:c>
      <x:c r="C563" s="339" t="str">
        <x:v>SCR-281</x:v>
      </x:c>
      <x:c r="D563" s="339" t="str">
        <x:v>Reports &amp; Analytics</x:v>
      </x:c>
      <x:c r="E563" s="339" t="str">
        <x:v>Inventory &amp; Asset Report</x:v>
      </x:c>
      <x:c r="F563" s="339" t="str">
        <x:v>School Admin</x:v>
      </x:c>
      <x:c r="G563" s="339" t="str">
        <x:v>As a School Admin, I want inventory &amp; asset report to enforce filters, reconciliation &amp; export rules so that data quality, permissions and traceability are protected.</x:v>
      </x:c>
      <x:c r="H563" s="339" t="str">
        <x:v>Filters, Reconciliation &amp; Export</x:v>
      </x:c>
      <x:c r="I563" s="339" t="str">
        <x:v>Phase 3</x:v>
      </x:c>
      <x:c r="J563" s="339" t="str">
        <x:v>Phase 3</x:v>
      </x:c>
      <x:c r="K563" s="339" t="str">
        <x:v>High</x:v>
      </x:c>
      <x:c r="L563" s="339" t="n">
        <x:v>6</x:v>
      </x:c>
      <x:c r="M563" s="339" t="str">
        <x:v>All source modules, analytics/query layer, export service</x:v>
      </x:c>
      <x:c r="N563" s="339" t="str">
        <x:v>Not Started</x:v>
      </x:c>
    </x:row>
    <x:row r="564">
      <x:c r="A564" s="339" t="str">
        <x:v>US-0563</x:v>
      </x:c>
      <x:c r="B564" s="339" t="str">
        <x:v>EP-024</x:v>
      </x:c>
      <x:c r="C564" s="339" t="str">
        <x:v>SCR-282</x:v>
      </x:c>
      <x:c r="D564" s="339" t="str">
        <x:v>Reports &amp; Analytics</x:v>
      </x:c>
      <x:c r="E564" s="339" t="str">
        <x:v>Communication / Notification Report</x:v>
      </x:c>
      <x:c r="F564" s="339" t="str">
        <x:v>School Admin</x:v>
      </x:c>
      <x:c r="G564" s="339" t="str">
        <x:v>As a School Admin, I want to analyze communication / notification report so that decisions use consistent and reconciled information.</x:v>
      </x:c>
      <x:c r="H564" s="339" t="str">
        <x:v>Primary Workflow</x:v>
      </x:c>
      <x:c r="I564" s="339" t="str">
        <x:v>Phase 3</x:v>
      </x:c>
      <x:c r="J564" s="339" t="str">
        <x:v>Phase 3</x:v>
      </x:c>
      <x:c r="K564" s="339" t="str">
        <x:v>High</x:v>
      </x:c>
      <x:c r="L564" s="339" t="n">
        <x:v>8</x:v>
      </x:c>
      <x:c r="M564" s="339" t="str">
        <x:v>All source modules, analytics/query layer, export service</x:v>
      </x:c>
      <x:c r="N564" s="339" t="str">
        <x:v>Not Started</x:v>
      </x:c>
    </x:row>
    <x:row r="565">
      <x:c r="A565" s="339" t="str">
        <x:v>US-0564</x:v>
      </x:c>
      <x:c r="B565" s="339" t="str">
        <x:v>EP-024</x:v>
      </x:c>
      <x:c r="C565" s="339" t="str">
        <x:v>SCR-282</x:v>
      </x:c>
      <x:c r="D565" s="339" t="str">
        <x:v>Reports &amp; Analytics</x:v>
      </x:c>
      <x:c r="E565" s="339" t="str">
        <x:v>Communication / Notification Report</x:v>
      </x:c>
      <x:c r="F565" s="339" t="str">
        <x:v>School Admin</x:v>
      </x:c>
      <x:c r="G565" s="339" t="str">
        <x:v>As a School Admin, I want communication / notification report to enforce filters, reconciliation &amp; export rules so that data quality, permissions and traceability are protected.</x:v>
      </x:c>
      <x:c r="H565" s="339" t="str">
        <x:v>Filters, Reconciliation &amp; Export</x:v>
      </x:c>
      <x:c r="I565" s="339" t="str">
        <x:v>Phase 3</x:v>
      </x:c>
      <x:c r="J565" s="339" t="str">
        <x:v>Phase 3</x:v>
      </x:c>
      <x:c r="K565" s="339" t="str">
        <x:v>High</x:v>
      </x:c>
      <x:c r="L565" s="339" t="n">
        <x:v>6</x:v>
      </x:c>
      <x:c r="M565" s="339" t="str">
        <x:v>All source modules, analytics/query layer, export service</x:v>
      </x:c>
      <x:c r="N565" s="339" t="str">
        <x:v>Not Started</x:v>
      </x:c>
    </x:row>
    <x:row r="566">
      <x:c r="A566" s="339" t="str">
        <x:v>US-0565</x:v>
      </x:c>
      <x:c r="B566" s="339" t="str">
        <x:v>EP-024</x:v>
      </x:c>
      <x:c r="C566" s="339" t="str">
        <x:v>SCR-283</x:v>
      </x:c>
      <x:c r="D566" s="339" t="str">
        <x:v>Reports &amp; Analytics</x:v>
      </x:c>
      <x:c r="E566" s="339" t="str">
        <x:v>Custom Report Builder</x:v>
      </x:c>
      <x:c r="F566" s="339" t="str">
        <x:v>School Admin</x:v>
      </x:c>
      <x:c r="G566" s="339" t="str">
        <x:v>As a School Admin, I want to analyze custom report builder so that decisions use consistent and reconciled information.</x:v>
      </x:c>
      <x:c r="H566" s="339" t="str">
        <x:v>Primary Workflow</x:v>
      </x:c>
      <x:c r="I566" s="339" t="str">
        <x:v>Phase 3</x:v>
      </x:c>
      <x:c r="J566" s="339" t="str">
        <x:v>Phase 3</x:v>
      </x:c>
      <x:c r="K566" s="339" t="str">
        <x:v>High</x:v>
      </x:c>
      <x:c r="L566" s="339" t="n">
        <x:v>8</x:v>
      </x:c>
      <x:c r="M566" s="339" t="str">
        <x:v>All source modules, analytics/query layer, export service</x:v>
      </x:c>
      <x:c r="N566" s="339" t="str">
        <x:v>Not Started</x:v>
      </x:c>
    </x:row>
    <x:row r="567">
      <x:c r="A567" s="339" t="str">
        <x:v>US-0566</x:v>
      </x:c>
      <x:c r="B567" s="339" t="str">
        <x:v>EP-024</x:v>
      </x:c>
      <x:c r="C567" s="339" t="str">
        <x:v>SCR-283</x:v>
      </x:c>
      <x:c r="D567" s="339" t="str">
        <x:v>Reports &amp; Analytics</x:v>
      </x:c>
      <x:c r="E567" s="339" t="str">
        <x:v>Custom Report Builder</x:v>
      </x:c>
      <x:c r="F567" s="339" t="str">
        <x:v>School Admin</x:v>
      </x:c>
      <x:c r="G567" s="339" t="str">
        <x:v>As a School Admin, I want custom report builder to enforce filters, reconciliation &amp; export rules so that data quality, permissions and traceability are protected.</x:v>
      </x:c>
      <x:c r="H567" s="339" t="str">
        <x:v>Filters, Reconciliation &amp; Export</x:v>
      </x:c>
      <x:c r="I567" s="339" t="str">
        <x:v>Phase 3</x:v>
      </x:c>
      <x:c r="J567" s="339" t="str">
        <x:v>Phase 3</x:v>
      </x:c>
      <x:c r="K567" s="339" t="str">
        <x:v>High</x:v>
      </x:c>
      <x:c r="L567" s="339" t="n">
        <x:v>6</x:v>
      </x:c>
      <x:c r="M567" s="339" t="str">
        <x:v>All source modules, analytics/query layer, export service</x:v>
      </x:c>
      <x:c r="N567" s="339" t="str">
        <x:v>Not Started</x:v>
      </x:c>
    </x:row>
    <x:row r="568">
      <x:c r="A568" s="339" t="str">
        <x:v>US-0567</x:v>
      </x:c>
      <x:c r="B568" s="339" t="str">
        <x:v>EP-025</x:v>
      </x:c>
      <x:c r="C568" s="339" t="str">
        <x:v>SCR-284</x:v>
      </x:c>
      <x:c r="D568" s="339" t="str">
        <x:v>Settings / Roles / Permissions / Audit</x:v>
      </x:c>
      <x:c r="E568" s="339" t="str">
        <x:v>User Management</x:v>
      </x:c>
      <x:c r="F568" s="339" t="str">
        <x:v>IT Admin</x:v>
      </x:c>
      <x:c r="G568" s="339" t="str">
        <x:v>As a IT Admin, I want to manage user management so that the platform remains secure, configurable and auditable.</x:v>
      </x:c>
      <x:c r="H568" s="339" t="str">
        <x:v>Primary Workflow</x:v>
      </x:c>
      <x:c r="I568" s="339" t="str">
        <x:v>MVP</x:v>
      </x:c>
      <x:c r="J568" s="339" t="str">
        <x:v>MVP</x:v>
      </x:c>
      <x:c r="K568" s="339" t="str">
        <x:v>High</x:v>
      </x:c>
      <x:c r="L568" s="339" t="n">
        <x:v>11</x:v>
      </x:c>
      <x:c r="M568" s="339" t="str">
        <x:v>Identity, tenant context, audit, secret management, integrations</x:v>
      </x:c>
      <x:c r="N568" s="339" t="str">
        <x:v>Not Started</x:v>
      </x:c>
    </x:row>
    <x:row r="569">
      <x:c r="A569" s="339" t="str">
        <x:v>US-0568</x:v>
      </x:c>
      <x:c r="B569" s="339" t="str">
        <x:v>EP-025</x:v>
      </x:c>
      <x:c r="C569" s="339" t="str">
        <x:v>SCR-284</x:v>
      </x:c>
      <x:c r="D569" s="339" t="str">
        <x:v>Settings / Roles / Permissions / Audit</x:v>
      </x:c>
      <x:c r="E569" s="339" t="str">
        <x:v>User Management</x:v>
      </x:c>
      <x:c r="F569" s="339" t="str">
        <x:v>IT Admin</x:v>
      </x:c>
      <x:c r="G569" s="339" t="str">
        <x:v>As a IT Admin, I want user management to enforce status, approval &amp; exception handling rules so that data quality, permissions and traceability are protected.</x:v>
      </x:c>
      <x:c r="H569" s="339" t="str">
        <x:v>Status, Approval &amp; Exception Handling</x:v>
      </x:c>
      <x:c r="I569" s="339" t="str">
        <x:v>MVP</x:v>
      </x:c>
      <x:c r="J569" s="339" t="str">
        <x:v>MVP</x:v>
      </x:c>
      <x:c r="K569" s="339" t="str">
        <x:v>High</x:v>
      </x:c>
      <x:c r="L569" s="339" t="n">
        <x:v>9</x:v>
      </x:c>
      <x:c r="M569" s="339" t="str">
        <x:v>Identity, tenant context, audit, secret management, integrations</x:v>
      </x:c>
      <x:c r="N569" s="339" t="str">
        <x:v>Not Started</x:v>
      </x:c>
    </x:row>
    <x:row r="570">
      <x:c r="A570" s="339" t="str">
        <x:v>US-0569</x:v>
      </x:c>
      <x:c r="B570" s="339" t="str">
        <x:v>EP-025</x:v>
      </x:c>
      <x:c r="C570" s="339" t="str">
        <x:v>SCR-285</x:v>
      </x:c>
      <x:c r="D570" s="339" t="str">
        <x:v>Settings / Roles / Permissions / Audit</x:v>
      </x:c>
      <x:c r="E570" s="339" t="str">
        <x:v>Roles</x:v>
      </x:c>
      <x:c r="F570" s="339" t="str">
        <x:v>IT Admin</x:v>
      </x:c>
      <x:c r="G570" s="339" t="str">
        <x:v>As a IT Admin, I want to configure roles so that the platform remains secure, configurable and auditable.</x:v>
      </x:c>
      <x:c r="H570" s="339" t="str">
        <x:v>Primary Workflow</x:v>
      </x:c>
      <x:c r="I570" s="339" t="str">
        <x:v>MVP</x:v>
      </x:c>
      <x:c r="J570" s="339" t="str">
        <x:v>MVP</x:v>
      </x:c>
      <x:c r="K570" s="339" t="str">
        <x:v>High</x:v>
      </x:c>
      <x:c r="L570" s="339" t="n">
        <x:v>8</x:v>
      </x:c>
      <x:c r="M570" s="339" t="str">
        <x:v>Identity, tenant context, audit, secret management, integrations</x:v>
      </x:c>
      <x:c r="N570" s="339" t="str">
        <x:v>Not Started</x:v>
      </x:c>
    </x:row>
    <x:row r="571">
      <x:c r="A571" s="339" t="str">
        <x:v>US-0570</x:v>
      </x:c>
      <x:c r="B571" s="339" t="str">
        <x:v>EP-025</x:v>
      </x:c>
      <x:c r="C571" s="339" t="str">
        <x:v>SCR-285</x:v>
      </x:c>
      <x:c r="D571" s="339" t="str">
        <x:v>Settings / Roles / Permissions / Audit</x:v>
      </x:c>
      <x:c r="E571" s="339" t="str">
        <x:v>Roles</x:v>
      </x:c>
      <x:c r="F571" s="339" t="str">
        <x:v>IT Admin</x:v>
      </x:c>
      <x:c r="G571" s="339" t="str">
        <x:v>As a IT Admin, I want roles to enforce dependency-safe configuration rules so that data quality, permissions and traceability are protected.</x:v>
      </x:c>
      <x:c r="H571" s="339" t="str">
        <x:v>Dependency-safe Configuration</x:v>
      </x:c>
      <x:c r="I571" s="339" t="str">
        <x:v>MVP</x:v>
      </x:c>
      <x:c r="J571" s="339" t="str">
        <x:v>MVP</x:v>
      </x:c>
      <x:c r="K571" s="339" t="str">
        <x:v>High</x:v>
      </x:c>
      <x:c r="L571" s="339" t="n">
        <x:v>6</x:v>
      </x:c>
      <x:c r="M571" s="339" t="str">
        <x:v>Identity, tenant context, audit, secret management, integrations</x:v>
      </x:c>
      <x:c r="N571" s="339" t="str">
        <x:v>Not Started</x:v>
      </x:c>
    </x:row>
    <x:row r="572">
      <x:c r="A572" s="339" t="str">
        <x:v>US-0571</x:v>
      </x:c>
      <x:c r="B572" s="339" t="str">
        <x:v>EP-025</x:v>
      </x:c>
      <x:c r="C572" s="339" t="str">
        <x:v>SCR-286</x:v>
      </x:c>
      <x:c r="D572" s="339" t="str">
        <x:v>Settings / Roles / Permissions / Audit</x:v>
      </x:c>
      <x:c r="E572" s="339" t="str">
        <x:v>Permissions</x:v>
      </x:c>
      <x:c r="F572" s="339" t="str">
        <x:v>IT Admin</x:v>
      </x:c>
      <x:c r="G572" s="339" t="str">
        <x:v>As a IT Admin, I want to configure permissions so that the platform remains secure, configurable and auditable.</x:v>
      </x:c>
      <x:c r="H572" s="339" t="str">
        <x:v>Primary Workflow</x:v>
      </x:c>
      <x:c r="I572" s="339" t="str">
        <x:v>MVP</x:v>
      </x:c>
      <x:c r="J572" s="339" t="str">
        <x:v>MVP</x:v>
      </x:c>
      <x:c r="K572" s="339" t="str">
        <x:v>High</x:v>
      </x:c>
      <x:c r="L572" s="339" t="n">
        <x:v>8</x:v>
      </x:c>
      <x:c r="M572" s="339" t="str">
        <x:v>Identity, tenant context, audit, secret management, integrations</x:v>
      </x:c>
      <x:c r="N572" s="339" t="str">
        <x:v>Not Started</x:v>
      </x:c>
    </x:row>
    <x:row r="573">
      <x:c r="A573" s="339" t="str">
        <x:v>US-0572</x:v>
      </x:c>
      <x:c r="B573" s="339" t="str">
        <x:v>EP-025</x:v>
      </x:c>
      <x:c r="C573" s="339" t="str">
        <x:v>SCR-286</x:v>
      </x:c>
      <x:c r="D573" s="339" t="str">
        <x:v>Settings / Roles / Permissions / Audit</x:v>
      </x:c>
      <x:c r="E573" s="339" t="str">
        <x:v>Permissions</x:v>
      </x:c>
      <x:c r="F573" s="339" t="str">
        <x:v>IT Admin</x:v>
      </x:c>
      <x:c r="G573" s="339" t="str">
        <x:v>As a IT Admin, I want permissions to enforce dependency-safe configuration rules so that data quality, permissions and traceability are protected.</x:v>
      </x:c>
      <x:c r="H573" s="339" t="str">
        <x:v>Dependency-safe Configuration</x:v>
      </x:c>
      <x:c r="I573" s="339" t="str">
        <x:v>MVP</x:v>
      </x:c>
      <x:c r="J573" s="339" t="str">
        <x:v>MVP</x:v>
      </x:c>
      <x:c r="K573" s="339" t="str">
        <x:v>High</x:v>
      </x:c>
      <x:c r="L573" s="339" t="n">
        <x:v>6</x:v>
      </x:c>
      <x:c r="M573" s="339" t="str">
        <x:v>Identity, tenant context, audit, secret management, integrations</x:v>
      </x:c>
      <x:c r="N573" s="339" t="str">
        <x:v>Not Started</x:v>
      </x:c>
    </x:row>
    <x:row r="574">
      <x:c r="A574" s="339" t="str">
        <x:v>US-0573</x:v>
      </x:c>
      <x:c r="B574" s="339" t="str">
        <x:v>EP-025</x:v>
      </x:c>
      <x:c r="C574" s="339" t="str">
        <x:v>SCR-287</x:v>
      </x:c>
      <x:c r="D574" s="339" t="str">
        <x:v>Settings / Roles / Permissions / Audit</x:v>
      </x:c>
      <x:c r="E574" s="339" t="str">
        <x:v>Role Permission Matrix</x:v>
      </x:c>
      <x:c r="F574" s="339" t="str">
        <x:v>IT Admin</x:v>
      </x:c>
      <x:c r="G574" s="339" t="str">
        <x:v>As a IT Admin, I want to manage role permission matrix so that the platform remains secure, configurable and auditable.</x:v>
      </x:c>
      <x:c r="H574" s="339" t="str">
        <x:v>Primary Workflow</x:v>
      </x:c>
      <x:c r="I574" s="339" t="str">
        <x:v>MVP</x:v>
      </x:c>
      <x:c r="J574" s="339" t="str">
        <x:v>MVP</x:v>
      </x:c>
      <x:c r="K574" s="339" t="str">
        <x:v>High</x:v>
      </x:c>
      <x:c r="L574" s="339" t="n">
        <x:v>11</x:v>
      </x:c>
      <x:c r="M574" s="339" t="str">
        <x:v>Identity, tenant context, audit, secret management, integrations</x:v>
      </x:c>
      <x:c r="N574" s="339" t="str">
        <x:v>Not Started</x:v>
      </x:c>
    </x:row>
    <x:row r="575">
      <x:c r="A575" s="339" t="str">
        <x:v>US-0574</x:v>
      </x:c>
      <x:c r="B575" s="339" t="str">
        <x:v>EP-025</x:v>
      </x:c>
      <x:c r="C575" s="339" t="str">
        <x:v>SCR-287</x:v>
      </x:c>
      <x:c r="D575" s="339" t="str">
        <x:v>Settings / Roles / Permissions / Audit</x:v>
      </x:c>
      <x:c r="E575" s="339" t="str">
        <x:v>Role Permission Matrix</x:v>
      </x:c>
      <x:c r="F575" s="339" t="str">
        <x:v>IT Admin</x:v>
      </x:c>
      <x:c r="G575" s="339" t="str">
        <x:v>As a IT Admin, I want role permission matrix to enforce status, approval &amp; exception handling rules so that data quality, permissions and traceability are protected.</x:v>
      </x:c>
      <x:c r="H575" s="339" t="str">
        <x:v>Status, Approval &amp; Exception Handling</x:v>
      </x:c>
      <x:c r="I575" s="339" t="str">
        <x:v>MVP</x:v>
      </x:c>
      <x:c r="J575" s="339" t="str">
        <x:v>MVP</x:v>
      </x:c>
      <x:c r="K575" s="339" t="str">
        <x:v>High</x:v>
      </x:c>
      <x:c r="L575" s="339" t="n">
        <x:v>9</x:v>
      </x:c>
      <x:c r="M575" s="339" t="str">
        <x:v>Identity, tenant context, audit, secret management, integrations</x:v>
      </x:c>
      <x:c r="N575" s="339" t="str">
        <x:v>Not Started</x:v>
      </x:c>
    </x:row>
    <x:row r="576">
      <x:c r="A576" s="339" t="str">
        <x:v>US-0575</x:v>
      </x:c>
      <x:c r="B576" s="339" t="str">
        <x:v>EP-025</x:v>
      </x:c>
      <x:c r="C576" s="339" t="str">
        <x:v>SCR-288</x:v>
      </x:c>
      <x:c r="D576" s="339" t="str">
        <x:v>Settings / Roles / Permissions / Audit</x:v>
      </x:c>
      <x:c r="E576" s="339" t="str">
        <x:v>User Role Assignment</x:v>
      </x:c>
      <x:c r="F576" s="339" t="str">
        <x:v>IT Admin</x:v>
      </x:c>
      <x:c r="G576" s="339" t="str">
        <x:v>As a IT Admin, I want to manage user role assignment so that the platform remains secure, configurable and auditable.</x:v>
      </x:c>
      <x:c r="H576" s="339" t="str">
        <x:v>Primary Workflow</x:v>
      </x:c>
      <x:c r="I576" s="339" t="str">
        <x:v>MVP</x:v>
      </x:c>
      <x:c r="J576" s="339" t="str">
        <x:v>MVP</x:v>
      </x:c>
      <x:c r="K576" s="339" t="str">
        <x:v>High</x:v>
      </x:c>
      <x:c r="L576" s="339" t="n">
        <x:v>11</x:v>
      </x:c>
      <x:c r="M576" s="339" t="str">
        <x:v>Identity, tenant context, audit, secret management, integrations</x:v>
      </x:c>
      <x:c r="N576" s="339" t="str">
        <x:v>Not Started</x:v>
      </x:c>
    </x:row>
    <x:row r="577">
      <x:c r="A577" s="339" t="str">
        <x:v>US-0576</x:v>
      </x:c>
      <x:c r="B577" s="339" t="str">
        <x:v>EP-025</x:v>
      </x:c>
      <x:c r="C577" s="339" t="str">
        <x:v>SCR-288</x:v>
      </x:c>
      <x:c r="D577" s="339" t="str">
        <x:v>Settings / Roles / Permissions / Audit</x:v>
      </x:c>
      <x:c r="E577" s="339" t="str">
        <x:v>User Role Assignment</x:v>
      </x:c>
      <x:c r="F577" s="339" t="str">
        <x:v>IT Admin</x:v>
      </x:c>
      <x:c r="G577" s="339" t="str">
        <x:v>As a IT Admin, I want user role assignment to enforce status, approval &amp; exception handling rules so that data quality, permissions and traceability are protected.</x:v>
      </x:c>
      <x:c r="H577" s="339" t="str">
        <x:v>Status, Approval &amp; Exception Handling</x:v>
      </x:c>
      <x:c r="I577" s="339" t="str">
        <x:v>MVP</x:v>
      </x:c>
      <x:c r="J577" s="339" t="str">
        <x:v>MVP</x:v>
      </x:c>
      <x:c r="K577" s="339" t="str">
        <x:v>High</x:v>
      </x:c>
      <x:c r="L577" s="339" t="n">
        <x:v>9</x:v>
      </x:c>
      <x:c r="M577" s="339" t="str">
        <x:v>Identity, tenant context, audit, secret management, integrations</x:v>
      </x:c>
      <x:c r="N577" s="339" t="str">
        <x:v>Not Started</x:v>
      </x:c>
    </x:row>
    <x:row r="578">
      <x:c r="A578" s="339" t="str">
        <x:v>US-0577</x:v>
      </x:c>
      <x:c r="B578" s="339" t="str">
        <x:v>EP-025</x:v>
      </x:c>
      <x:c r="C578" s="339" t="str">
        <x:v>SCR-289</x:v>
      </x:c>
      <x:c r="D578" s="339" t="str">
        <x:v>Settings / Roles / Permissions / Audit</x:v>
      </x:c>
      <x:c r="E578" s="339" t="str">
        <x:v>School Settings</x:v>
      </x:c>
      <x:c r="F578" s="339" t="str">
        <x:v>IT Admin</x:v>
      </x:c>
      <x:c r="G578" s="339" t="str">
        <x:v>As a IT Admin, I want to configure school settings so that the platform remains secure, configurable and auditable.</x:v>
      </x:c>
      <x:c r="H578" s="339" t="str">
        <x:v>Primary Workflow</x:v>
      </x:c>
      <x:c r="I578" s="339" t="str">
        <x:v>Phase 2</x:v>
      </x:c>
      <x:c r="J578" s="339" t="str">
        <x:v>Phase 2</x:v>
      </x:c>
      <x:c r="K578" s="339" t="str">
        <x:v>High</x:v>
      </x:c>
      <x:c r="L578" s="339" t="n">
        <x:v>8</x:v>
      </x:c>
      <x:c r="M578" s="339" t="str">
        <x:v>Identity, tenant context, audit, secret management, integrations</x:v>
      </x:c>
      <x:c r="N578" s="339" t="str">
        <x:v>Not Started</x:v>
      </x:c>
    </x:row>
    <x:row r="579">
      <x:c r="A579" s="339" t="str">
        <x:v>US-0578</x:v>
      </x:c>
      <x:c r="B579" s="339" t="str">
        <x:v>EP-025</x:v>
      </x:c>
      <x:c r="C579" s="339" t="str">
        <x:v>SCR-289</x:v>
      </x:c>
      <x:c r="D579" s="339" t="str">
        <x:v>Settings / Roles / Permissions / Audit</x:v>
      </x:c>
      <x:c r="E579" s="339" t="str">
        <x:v>School Settings</x:v>
      </x:c>
      <x:c r="F579" s="339" t="str">
        <x:v>IT Admin</x:v>
      </x:c>
      <x:c r="G579" s="339" t="str">
        <x:v>As a IT Admin, I want school settings to enforce dependency-safe configuration rules so that data quality, permissions and traceability are protected.</x:v>
      </x:c>
      <x:c r="H579" s="339" t="str">
        <x:v>Dependency-safe Configuration</x:v>
      </x:c>
      <x:c r="I579" s="339" t="str">
        <x:v>Phase 2</x:v>
      </x:c>
      <x:c r="J579" s="339" t="str">
        <x:v>Phase 2</x:v>
      </x:c>
      <x:c r="K579" s="339" t="str">
        <x:v>High</x:v>
      </x:c>
      <x:c r="L579" s="339" t="n">
        <x:v>6</x:v>
      </x:c>
      <x:c r="M579" s="339" t="str">
        <x:v>Identity, tenant context, audit, secret management, integrations</x:v>
      </x:c>
      <x:c r="N579" s="339" t="str">
        <x:v>Not Started</x:v>
      </x:c>
    </x:row>
    <x:row r="580">
      <x:c r="A580" s="339" t="str">
        <x:v>US-0579</x:v>
      </x:c>
      <x:c r="B580" s="339" t="str">
        <x:v>EP-025</x:v>
      </x:c>
      <x:c r="C580" s="339" t="str">
        <x:v>SCR-290</x:v>
      </x:c>
      <x:c r="D580" s="339" t="str">
        <x:v>Settings / Roles / Permissions / Audit</x:v>
      </x:c>
      <x:c r="E580" s="339" t="str">
        <x:v>Academic Settings</x:v>
      </x:c>
      <x:c r="F580" s="339" t="str">
        <x:v>IT Admin</x:v>
      </x:c>
      <x:c r="G580" s="339" t="str">
        <x:v>As a IT Admin, I want to configure academic settings so that the platform remains secure, configurable and auditable.</x:v>
      </x:c>
      <x:c r="H580" s="339" t="str">
        <x:v>Primary Workflow</x:v>
      </x:c>
      <x:c r="I580" s="339" t="str">
        <x:v>Phase 2</x:v>
      </x:c>
      <x:c r="J580" s="339" t="str">
        <x:v>Phase 2</x:v>
      </x:c>
      <x:c r="K580" s="339" t="str">
        <x:v>High</x:v>
      </x:c>
      <x:c r="L580" s="339" t="n">
        <x:v>8</x:v>
      </x:c>
      <x:c r="M580" s="339" t="str">
        <x:v>Identity, tenant context, audit, secret management, integrations</x:v>
      </x:c>
      <x:c r="N580" s="339" t="str">
        <x:v>Not Started</x:v>
      </x:c>
    </x:row>
    <x:row r="581">
      <x:c r="A581" s="339" t="str">
        <x:v>US-0580</x:v>
      </x:c>
      <x:c r="B581" s="339" t="str">
        <x:v>EP-025</x:v>
      </x:c>
      <x:c r="C581" s="339" t="str">
        <x:v>SCR-290</x:v>
      </x:c>
      <x:c r="D581" s="339" t="str">
        <x:v>Settings / Roles / Permissions / Audit</x:v>
      </x:c>
      <x:c r="E581" s="339" t="str">
        <x:v>Academic Settings</x:v>
      </x:c>
      <x:c r="F581" s="339" t="str">
        <x:v>IT Admin</x:v>
      </x:c>
      <x:c r="G581" s="339" t="str">
        <x:v>As a IT Admin, I want academic settings to enforce dependency-safe configuration rules so that data quality, permissions and traceability are protected.</x:v>
      </x:c>
      <x:c r="H581" s="339" t="str">
        <x:v>Dependency-safe Configuration</x:v>
      </x:c>
      <x:c r="I581" s="339" t="str">
        <x:v>Phase 2</x:v>
      </x:c>
      <x:c r="J581" s="339" t="str">
        <x:v>Phase 2</x:v>
      </x:c>
      <x:c r="K581" s="339" t="str">
        <x:v>High</x:v>
      </x:c>
      <x:c r="L581" s="339" t="n">
        <x:v>6</x:v>
      </x:c>
      <x:c r="M581" s="339" t="str">
        <x:v>Identity, tenant context, audit, secret management, integrations</x:v>
      </x:c>
      <x:c r="N581" s="339" t="str">
        <x:v>Not Started</x:v>
      </x:c>
    </x:row>
    <x:row r="582">
      <x:c r="A582" s="339" t="str">
        <x:v>US-0581</x:v>
      </x:c>
      <x:c r="B582" s="339" t="str">
        <x:v>EP-025</x:v>
      </x:c>
      <x:c r="C582" s="339" t="str">
        <x:v>SCR-291</x:v>
      </x:c>
      <x:c r="D582" s="339" t="str">
        <x:v>Settings / Roles / Permissions / Audit</x:v>
      </x:c>
      <x:c r="E582" s="339" t="str">
        <x:v>Notification Settings</x:v>
      </x:c>
      <x:c r="F582" s="339" t="str">
        <x:v>IT Admin</x:v>
      </x:c>
      <x:c r="G582" s="339" t="str">
        <x:v>As a IT Admin, I want to configure notification settings so that the platform remains secure, configurable and auditable.</x:v>
      </x:c>
      <x:c r="H582" s="339" t="str">
        <x:v>Primary Workflow</x:v>
      </x:c>
      <x:c r="I582" s="339" t="str">
        <x:v>Phase 2</x:v>
      </x:c>
      <x:c r="J582" s="339" t="str">
        <x:v>Phase 2</x:v>
      </x:c>
      <x:c r="K582" s="339" t="str">
        <x:v>High</x:v>
      </x:c>
      <x:c r="L582" s="339" t="n">
        <x:v>8</x:v>
      </x:c>
      <x:c r="M582" s="339" t="str">
        <x:v>Identity, tenant context, audit, secret management, integrations</x:v>
      </x:c>
      <x:c r="N582" s="339" t="str">
        <x:v>Not Started</x:v>
      </x:c>
    </x:row>
    <x:row r="583">
      <x:c r="A583" s="339" t="str">
        <x:v>US-0582</x:v>
      </x:c>
      <x:c r="B583" s="339" t="str">
        <x:v>EP-025</x:v>
      </x:c>
      <x:c r="C583" s="339" t="str">
        <x:v>SCR-291</x:v>
      </x:c>
      <x:c r="D583" s="339" t="str">
        <x:v>Settings / Roles / Permissions / Audit</x:v>
      </x:c>
      <x:c r="E583" s="339" t="str">
        <x:v>Notification Settings</x:v>
      </x:c>
      <x:c r="F583" s="339" t="str">
        <x:v>IT Admin</x:v>
      </x:c>
      <x:c r="G583" s="339" t="str">
        <x:v>As a IT Admin, I want notification settings to enforce dependency-safe configuration rules so that data quality, permissions and traceability are protected.</x:v>
      </x:c>
      <x:c r="H583" s="339" t="str">
        <x:v>Dependency-safe Configuration</x:v>
      </x:c>
      <x:c r="I583" s="339" t="str">
        <x:v>Phase 2</x:v>
      </x:c>
      <x:c r="J583" s="339" t="str">
        <x:v>Phase 2</x:v>
      </x:c>
      <x:c r="K583" s="339" t="str">
        <x:v>High</x:v>
      </x:c>
      <x:c r="L583" s="339" t="n">
        <x:v>6</x:v>
      </x:c>
      <x:c r="M583" s="339" t="str">
        <x:v>Identity, tenant context, audit, secret management, integrations</x:v>
      </x:c>
      <x:c r="N583" s="339" t="str">
        <x:v>Not Started</x:v>
      </x:c>
    </x:row>
    <x:row r="584">
      <x:c r="A584" s="339" t="str">
        <x:v>US-0583</x:v>
      </x:c>
      <x:c r="B584" s="339" t="str">
        <x:v>EP-025</x:v>
      </x:c>
      <x:c r="C584" s="339" t="str">
        <x:v>SCR-292</x:v>
      </x:c>
      <x:c r="D584" s="339" t="str">
        <x:v>Settings / Roles / Permissions / Audit</x:v>
      </x:c>
      <x:c r="E584" s="339" t="str">
        <x:v>Integration / API Settings</x:v>
      </x:c>
      <x:c r="F584" s="339" t="str">
        <x:v>IT Admin</x:v>
      </x:c>
      <x:c r="G584" s="339" t="str">
        <x:v>As a IT Admin, I want to configure integration / api settings so that the platform remains secure, configurable and auditable.</x:v>
      </x:c>
      <x:c r="H584" s="339" t="str">
        <x:v>Primary Workflow</x:v>
      </x:c>
      <x:c r="I584" s="339" t="str">
        <x:v>Phase 3</x:v>
      </x:c>
      <x:c r="J584" s="339" t="str">
        <x:v>Phase 3</x:v>
      </x:c>
      <x:c r="K584" s="339" t="str">
        <x:v>High</x:v>
      </x:c>
      <x:c r="L584" s="339" t="n">
        <x:v>8</x:v>
      </x:c>
      <x:c r="M584" s="339" t="str">
        <x:v>Identity, tenant context, audit, secret management, integrations</x:v>
      </x:c>
      <x:c r="N584" s="339" t="str">
        <x:v>Not Started</x:v>
      </x:c>
    </x:row>
    <x:row r="585">
      <x:c r="A585" s="339" t="str">
        <x:v>US-0584</x:v>
      </x:c>
      <x:c r="B585" s="339" t="str">
        <x:v>EP-025</x:v>
      </x:c>
      <x:c r="C585" s="339" t="str">
        <x:v>SCR-292</x:v>
      </x:c>
      <x:c r="D585" s="339" t="str">
        <x:v>Settings / Roles / Permissions / Audit</x:v>
      </x:c>
      <x:c r="E585" s="339" t="str">
        <x:v>Integration / API Settings</x:v>
      </x:c>
      <x:c r="F585" s="339" t="str">
        <x:v>IT Admin</x:v>
      </x:c>
      <x:c r="G585" s="339" t="str">
        <x:v>As a IT Admin, I want integration / api settings to enforce dependency-safe configuration rules so that data quality, permissions and traceability are protected.</x:v>
      </x:c>
      <x:c r="H585" s="339" t="str">
        <x:v>Dependency-safe Configuration</x:v>
      </x:c>
      <x:c r="I585" s="339" t="str">
        <x:v>Phase 3</x:v>
      </x:c>
      <x:c r="J585" s="339" t="str">
        <x:v>Phase 3</x:v>
      </x:c>
      <x:c r="K585" s="339" t="str">
        <x:v>High</x:v>
      </x:c>
      <x:c r="L585" s="339" t="n">
        <x:v>6</x:v>
      </x:c>
      <x:c r="M585" s="339" t="str">
        <x:v>Identity, tenant context, audit, secret management, integrations</x:v>
      </x:c>
      <x:c r="N585" s="339" t="str">
        <x:v>Not Started</x:v>
      </x:c>
    </x:row>
    <x:row r="586">
      <x:c r="A586" s="339" t="str">
        <x:v>US-0585</x:v>
      </x:c>
      <x:c r="B586" s="339" t="str">
        <x:v>EP-025</x:v>
      </x:c>
      <x:c r="C586" s="339" t="str">
        <x:v>SCR-293</x:v>
      </x:c>
      <x:c r="D586" s="339" t="str">
        <x:v>Settings / Roles / Permissions / Audit</x:v>
      </x:c>
      <x:c r="E586" s="339" t="str">
        <x:v>Security &amp; Password Policy</x:v>
      </x:c>
      <x:c r="F586" s="339" t="str">
        <x:v>IT Admin</x:v>
      </x:c>
      <x:c r="G586" s="339" t="str">
        <x:v>As a IT Admin, I want to configure security &amp; password policy so that the platform remains secure, configurable and auditable.</x:v>
      </x:c>
      <x:c r="H586" s="339" t="str">
        <x:v>Primary Workflow</x:v>
      </x:c>
      <x:c r="I586" s="339" t="str">
        <x:v>Phase 3</x:v>
      </x:c>
      <x:c r="J586" s="339" t="str">
        <x:v>Phase 3</x:v>
      </x:c>
      <x:c r="K586" s="339" t="str">
        <x:v>High</x:v>
      </x:c>
      <x:c r="L586" s="339" t="n">
        <x:v>8</x:v>
      </x:c>
      <x:c r="M586" s="339" t="str">
        <x:v>Identity, tenant context, audit, secret management, integrations</x:v>
      </x:c>
      <x:c r="N586" s="339" t="str">
        <x:v>Not Started</x:v>
      </x:c>
    </x:row>
    <x:row r="587">
      <x:c r="A587" s="339" t="str">
        <x:v>US-0586</x:v>
      </x:c>
      <x:c r="B587" s="339" t="str">
        <x:v>EP-025</x:v>
      </x:c>
      <x:c r="C587" s="339" t="str">
        <x:v>SCR-293</x:v>
      </x:c>
      <x:c r="D587" s="339" t="str">
        <x:v>Settings / Roles / Permissions / Audit</x:v>
      </x:c>
      <x:c r="E587" s="339" t="str">
        <x:v>Security &amp; Password Policy</x:v>
      </x:c>
      <x:c r="F587" s="339" t="str">
        <x:v>IT Admin</x:v>
      </x:c>
      <x:c r="G587" s="339" t="str">
        <x:v>As a IT Admin, I want security &amp; password policy to enforce dependency-safe configuration rules so that data quality, permissions and traceability are protected.</x:v>
      </x:c>
      <x:c r="H587" s="339" t="str">
        <x:v>Dependency-safe Configuration</x:v>
      </x:c>
      <x:c r="I587" s="339" t="str">
        <x:v>Phase 3</x:v>
      </x:c>
      <x:c r="J587" s="339" t="str">
        <x:v>Phase 3</x:v>
      </x:c>
      <x:c r="K587" s="339" t="str">
        <x:v>High</x:v>
      </x:c>
      <x:c r="L587" s="339" t="n">
        <x:v>6</x:v>
      </x:c>
      <x:c r="M587" s="339" t="str">
        <x:v>Identity, tenant context, audit, secret management, integrations</x:v>
      </x:c>
      <x:c r="N587" s="339" t="str">
        <x:v>Not Started</x:v>
      </x:c>
    </x:row>
    <x:row r="588">
      <x:c r="A588" s="339" t="str">
        <x:v>US-0587</x:v>
      </x:c>
      <x:c r="B588" s="339" t="str">
        <x:v>EP-025</x:v>
      </x:c>
      <x:c r="C588" s="339" t="str">
        <x:v>SCR-294</x:v>
      </x:c>
      <x:c r="D588" s="339" t="str">
        <x:v>Settings / Roles / Permissions / Audit</x:v>
      </x:c>
      <x:c r="E588" s="339" t="str">
        <x:v>Audit Logs</x:v>
      </x:c>
      <x:c r="F588" s="339" t="str">
        <x:v>IT Admin</x:v>
      </x:c>
      <x:c r="G588" s="339" t="str">
        <x:v>As a IT Admin, I want to manage audit logs so that the platform remains secure, configurable and auditable.</x:v>
      </x:c>
      <x:c r="H588" s="339" t="str">
        <x:v>Primary Workflow</x:v>
      </x:c>
      <x:c r="I588" s="339" t="str">
        <x:v>Phase 3</x:v>
      </x:c>
      <x:c r="J588" s="339" t="str">
        <x:v>Phase 3</x:v>
      </x:c>
      <x:c r="K588" s="339" t="str">
        <x:v>High</x:v>
      </x:c>
      <x:c r="L588" s="339" t="n">
        <x:v>11</x:v>
      </x:c>
      <x:c r="M588" s="339" t="str">
        <x:v>Identity, tenant context, audit, secret management, integrations</x:v>
      </x:c>
      <x:c r="N588" s="339" t="str">
        <x:v>Not Started</x:v>
      </x:c>
    </x:row>
    <x:row r="589">
      <x:c r="A589" s="339" t="str">
        <x:v>US-0588</x:v>
      </x:c>
      <x:c r="B589" s="339" t="str">
        <x:v>EP-025</x:v>
      </x:c>
      <x:c r="C589" s="339" t="str">
        <x:v>SCR-294</x:v>
      </x:c>
      <x:c r="D589" s="339" t="str">
        <x:v>Settings / Roles / Permissions / Audit</x:v>
      </x:c>
      <x:c r="E589" s="339" t="str">
        <x:v>Audit Logs</x:v>
      </x:c>
      <x:c r="F589" s="339" t="str">
        <x:v>IT Admin</x:v>
      </x:c>
      <x:c r="G589" s="339" t="str">
        <x:v>As a IT Admin, I want audit logs to enforce status, approval &amp; exception handling rules so that data quality, permissions and traceability are protected.</x:v>
      </x:c>
      <x:c r="H589" s="339" t="str">
        <x:v>Status, Approval &amp; Exception Handling</x:v>
      </x:c>
      <x:c r="I589" s="339" t="str">
        <x:v>Phase 3</x:v>
      </x:c>
      <x:c r="J589" s="339" t="str">
        <x:v>Phase 3</x:v>
      </x:c>
      <x:c r="K589" s="339" t="str">
        <x:v>High</x:v>
      </x:c>
      <x:c r="L589" s="339" t="n">
        <x:v>9</x:v>
      </x:c>
      <x:c r="M589" s="339" t="str">
        <x:v>Identity, tenant context, audit, secret management, integrations</x:v>
      </x:c>
      <x:c r="N589" s="339" t="str">
        <x:v>Not Started</x:v>
      </x:c>
    </x:row>
    <x:row r="590">
      <x:c r="A590" s="339" t="str">
        <x:v>US-0589</x:v>
      </x:c>
      <x:c r="B590" s="339" t="str">
        <x:v>EP-025</x:v>
      </x:c>
      <x:c r="C590" s="339" t="str">
        <x:v>SCR-295</x:v>
      </x:c>
      <x:c r="D590" s="339" t="str">
        <x:v>Settings / Roles / Permissions / Audit</x:v>
      </x:c>
      <x:c r="E590" s="339" t="str">
        <x:v>Data Import / Export / Backup</x:v>
      </x:c>
      <x:c r="F590" s="339" t="str">
        <x:v>IT Admin</x:v>
      </x:c>
      <x:c r="G590" s="339" t="str">
        <x:v>As a IT Admin, I want to manage data import / export / backup so that the platform remains secure, configurable and auditable.</x:v>
      </x:c>
      <x:c r="H590" s="339" t="str">
        <x:v>Primary Workflow</x:v>
      </x:c>
      <x:c r="I590" s="339" t="str">
        <x:v>Phase 3</x:v>
      </x:c>
      <x:c r="J590" s="339" t="str">
        <x:v>Phase 3</x:v>
      </x:c>
      <x:c r="K590" s="339" t="str">
        <x:v>High</x:v>
      </x:c>
      <x:c r="L590" s="339" t="n">
        <x:v>11</x:v>
      </x:c>
      <x:c r="M590" s="339" t="str">
        <x:v>Identity, tenant context, audit, secret management, integrations</x:v>
      </x:c>
      <x:c r="N590" s="339" t="str">
        <x:v>Not Started</x:v>
      </x:c>
    </x:row>
    <x:row r="591">
      <x:c r="A591" s="340" t="str">
        <x:v>US-0590</x:v>
      </x:c>
      <x:c r="B591" s="340" t="str">
        <x:v>EP-025</x:v>
      </x:c>
      <x:c r="C591" s="340" t="str">
        <x:v>SCR-295</x:v>
      </x:c>
      <x:c r="D591" s="340" t="str">
        <x:v>Settings / Roles / Permissions / Audit</x:v>
      </x:c>
      <x:c r="E591" s="340" t="str">
        <x:v>Data Import / Export / Backup</x:v>
      </x:c>
      <x:c r="F591" s="340" t="str">
        <x:v>IT Admin</x:v>
      </x:c>
      <x:c r="G591" s="340" t="str">
        <x:v>As a IT Admin, I want data import / export / backup to enforce status, approval &amp; exception handling rules so that data quality, permissions and traceability are protected.</x:v>
      </x:c>
      <x:c r="H591" s="340" t="str">
        <x:v>Status, Approval &amp; Exception Handling</x:v>
      </x:c>
      <x:c r="I591" s="340" t="str">
        <x:v>Phase 3</x:v>
      </x:c>
      <x:c r="J591" s="340" t="str">
        <x:v>Phase 3</x:v>
      </x:c>
      <x:c r="K591" s="340" t="str">
        <x:v>High</x:v>
      </x:c>
      <x:c r="L591" s="340" t="n">
        <x:v>9</x:v>
      </x:c>
      <x:c r="M591" s="340" t="str">
        <x:v>Identity, tenant context, audit, secret management, integrations</x:v>
      </x:c>
      <x:c r="N591" s="340" t="str">
        <x:v>Not Started</x:v>
      </x:c>
    </x:row>
  </x:sheetData>
  <x:conditionalFormatting sqref="N2:N591">
    <x:cfRule type="expression" dxfId="5" priority="1">
      <x:formula>N2="Done"</x:formula>
    </x:cfRule>
    <x:cfRule type="expression" dxfId="6" priority="2">
      <x:formula>N2="Blocked"</x:formula>
    </x:cfRule>
  </x:conditionalFormatting>
  <x:conditionalFormatting sqref="I2:I591">
    <x:cfRule type="expression" dxfId="9" priority="3">
      <x:formula>I2="MVP"</x:formula>
    </x:cfRule>
    <x:cfRule type="expression" dxfId="10" priority="4">
      <x:formula>I2="Phase 2"</x:formula>
    </x:cfRule>
    <x:cfRule type="expression" dxfId="11" priority="5">
      <x:formula>I2="Phase 3"</x:formula>
    </x:cfRule>
  </x:conditionalFormatting>
  <x:dataValidations count="1">
    <x:dataValidation type="list" sqref="N2:N591">
      <x:formula1>"Not Started,In Progress,Blocked,Ready for UAT,Done"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32bcf053aec4344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1" hidden="0" customWidth="1"/>
    <x:col min="4" max="4" width="28" hidden="0" customWidth="1"/>
    <x:col min="5" max="5" width="28" hidden="0" customWidth="1"/>
    <x:col min="6" max="6" width="34" hidden="0" customWidth="1"/>
    <x:col min="7" max="7" width="48" hidden="0" customWidth="1"/>
    <x:col min="8" max="8" width="44" hidden="0" customWidth="1"/>
    <x:col min="9" max="9" width="58" hidden="0" customWidth="1"/>
    <x:col min="10" max="10" width="12" hidden="0" customWidth="1"/>
    <x:col min="11" max="11" width="20" hidden="0" customWidth="1"/>
  </x:cols>
  <x:sheetData>
    <x:row r="1" ht="30" customHeight="1">
      <x:c r="A1" s="338" t="str">
        <x:v>AC ID</x:v>
      </x:c>
      <x:c r="B1" s="338" t="str">
        <x:v>Story ID</x:v>
      </x:c>
      <x:c r="C1" s="338" t="str">
        <x:v>Screen ID</x:v>
      </x:c>
      <x:c r="D1" s="338" t="str">
        <x:v>Module</x:v>
      </x:c>
      <x:c r="E1" s="338" t="str">
        <x:v>Screen Name</x:v>
      </x:c>
      <x:c r="F1" s="338" t="str">
        <x:v>Scenario</x:v>
      </x:c>
      <x:c r="G1" s="338" t="str">
        <x:v>Given</x:v>
      </x:c>
      <x:c r="H1" s="338" t="str">
        <x:v>When</x:v>
      </x:c>
      <x:c r="I1" s="338" t="str">
        <x:v>Then</x:v>
      </x:c>
      <x:c r="J1" s="338" t="str">
        <x:v>Case Type</x:v>
      </x:c>
      <x:c r="K1" s="338" t="str">
        <x:v>Test Category</x:v>
      </x:c>
    </x:row>
    <x:row r="2">
      <x:c r="A2" s="339" t="str">
        <x:v>AC-00001</x:v>
      </x:c>
      <x:c r="B2" s="339" t="str">
        <x:v>US-0001</x:v>
      </x:c>
      <x:c r="C2" s="339" t="str">
        <x:v>SCR-001</x:v>
      </x:c>
      <x:c r="D2" s="339" t="str">
        <x:v>Public Website &amp; Authentication</x:v>
      </x:c>
      <x:c r="E2" s="339" t="str">
        <x:v>Landing / Home</x:v>
      </x:c>
      <x:c r="F2" s="339" t="str">
        <x:v>Authorized access to Landing / Home</x:v>
      </x:c>
      <x:c r="G2" s="339" t="str">
        <x:v>the User is authenticated and has access to Landing / Home</x:v>
      </x:c>
      <x:c r="H2" s="339" t="str">
        <x:v>the user opens or invokes Landing / Home</x:v>
      </x:c>
      <x:c r="I2" s="339" t="str">
        <x:v>the system loads only records and actions within the user's permitted tenant/school/data scope</x:v>
      </x:c>
      <x:c r="J2" s="339" t="str">
        <x:v>Positive</x:v>
      </x:c>
      <x:c r="K2" s="339" t="str">
        <x:v>Functional / Security</x:v>
      </x:c>
    </x:row>
    <x:row r="3">
      <x:c r="A3" s="339" t="str">
        <x:v>AC-00002</x:v>
      </x:c>
      <x:c r="B3" s="339" t="str">
        <x:v>US-0001</x:v>
      </x:c>
      <x:c r="C3" s="339" t="str">
        <x:v>SCR-001</x:v>
      </x:c>
      <x:c r="D3" s="339" t="str">
        <x:v>Public Website &amp; Authentication</x:v>
      </x:c>
      <x:c r="E3" s="339" t="str">
        <x:v>Landing / Home</x:v>
      </x:c>
      <x:c r="F3" s="339" t="str">
        <x:v>Successful Landing / Home happy path</x:v>
      </x:c>
      <x:c r="G3" s="339" t="str">
        <x:v>all mandatory prerequisites and valid data are available</x:v>
      </x:c>
      <x:c r="H3" s="339" t="str">
        <x:v>the User completes the primary action on Landing / Home</x:v>
      </x:c>
      <x:c r="I3" s="339" t="str">
        <x:v>the system validates the request, saves it atomically, shows a clear confirmation and reflects the updated state</x:v>
      </x:c>
      <x:c r="J3" s="339" t="str">
        <x:v>Positive</x:v>
      </x:c>
      <x:c r="K3" s="339" t="str">
        <x:v>Functional</x:v>
      </x:c>
    </x:row>
    <x:row r="4">
      <x:c r="A4" s="339" t="str">
        <x:v>AC-00003</x:v>
      </x:c>
      <x:c r="B4" s="339" t="str">
        <x:v>US-0001</x:v>
      </x:c>
      <x:c r="C4" s="339" t="str">
        <x:v>SCR-001</x:v>
      </x:c>
      <x:c r="D4" s="339" t="str">
        <x:v>Public Website &amp; Authentication</x:v>
      </x:c>
      <x:c r="E4" s="339" t="str">
        <x:v>Landing / Home</x:v>
      </x:c>
      <x:c r="F4" s="339" t="str">
        <x:v>State and dependency integrity</x:v>
      </x:c>
      <x:c r="G4" s="339" t="str">
        <x:v>the current record is in an allowed state (Unauthenticated → Authenticated / Locked / Expired)</x:v>
      </x:c>
      <x:c r="H4" s="339" t="str">
        <x:v>the user attempts a state-changing action</x:v>
      </x:c>
      <x:c r="I4" s="339" t="str">
        <x:v>only a valid transition is accepted and dependent records are updated according to configured business rules</x:v>
      </x:c>
      <x:c r="J4" s="339" t="str">
        <x:v>Positive</x:v>
      </x:c>
      <x:c r="K4" s="339" t="str">
        <x:v>Functional</x:v>
      </x:c>
    </x:row>
    <x:row r="5">
      <x:c r="A5" s="339" t="str">
        <x:v>AC-00004</x:v>
      </x:c>
      <x:c r="B5" s="339" t="str">
        <x:v>US-0001</x:v>
      </x:c>
      <x:c r="C5" s="339" t="str">
        <x:v>SCR-001</x:v>
      </x:c>
      <x:c r="D5" s="339" t="str">
        <x:v>Public Website &amp; Authentication</x:v>
      </x:c>
      <x:c r="E5" s="339" t="str">
        <x:v>Landing / Home</x:v>
      </x:c>
      <x:c r="F5" s="339" t="str">
        <x:v>Auditability</x:v>
      </x:c>
      <x:c r="G5" s="339" t="str">
        <x:v>a material create/update/approve/reverse action occurs</x:v>
      </x:c>
      <x:c r="H5" s="339" t="str">
        <x:v>the transaction succeeds</x:v>
      </x:c>
      <x:c r="I5" s="339" t="str">
        <x:v>the system records actor, timestamp, action, target and relevant before/after or reason context in the audit trail</x:v>
      </x:c>
      <x:c r="J5" s="339" t="str">
        <x:v>Positive</x:v>
      </x:c>
      <x:c r="K5" s="339" t="str">
        <x:v>Functional</x:v>
      </x:c>
    </x:row>
    <x:row r="6">
      <x:c r="A6" s="339" t="str">
        <x:v>AC-00005</x:v>
      </x:c>
      <x:c r="B6" s="339" t="str">
        <x:v>US-0002</x:v>
      </x:c>
      <x:c r="C6" s="339" t="str">
        <x:v>SCR-001</x:v>
      </x:c>
      <x:c r="D6" s="339" t="str">
        <x:v>Public Website &amp; Authentication</x:v>
      </x:c>
      <x:c r="E6" s="339" t="str">
        <x:v>Landing / Home</x:v>
      </x:c>
      <x:c r="F6" s="339" t="str">
        <x:v>Valid status transition</x:v>
      </x:c>
      <x:c r="G6" s="339" t="str">
        <x:v>the record is in a state described by Unauthenticated → Authenticated / Locked / Expired</x:v>
      </x:c>
      <x:c r="H6" s="339" t="str">
        <x:v>the user requests a transition</x:v>
      </x:c>
      <x:c r="I6" s="339" t="str">
        <x:v>the system accepts only transitions allowed for that role and state</x:v>
      </x:c>
      <x:c r="J6" s="339" t="str">
        <x:v>Positive</x:v>
      </x:c>
      <x:c r="K6" s="339" t="str">
        <x:v>Functional</x:v>
      </x:c>
    </x:row>
    <x:row r="7">
      <x:c r="A7" s="339" t="str">
        <x:v>AC-00006</x:v>
      </x:c>
      <x:c r="B7" s="339" t="str">
        <x:v>US-0002</x:v>
      </x:c>
      <x:c r="C7" s="339" t="str">
        <x:v>SCR-001</x:v>
      </x:c>
      <x:c r="D7" s="339" t="str">
        <x:v>Public Website &amp; Authentication</x:v>
      </x:c>
      <x:c r="E7" s="339" t="str">
        <x:v>Landing / Home</x:v>
      </x:c>
      <x:c r="F7" s="339" t="str">
        <x:v>Approval authority</x:v>
      </x:c>
      <x:c r="G7" s="339" t="str">
        <x:v>an action requires approval</x:v>
      </x:c>
      <x:c r="H7" s="339" t="str">
        <x:v>a non-authorized user attempts approval/rejection</x:v>
      </x:c>
      <x:c r="I7" s="339" t="str">
        <x:v>the system denies the decision and does not change status</x:v>
      </x:c>
      <x:c r="J7" s="339" t="str">
        <x:v>Negative</x:v>
      </x:c>
      <x:c r="K7" s="339" t="str">
        <x:v>Functional</x:v>
      </x:c>
    </x:row>
    <x:row r="8">
      <x:c r="A8" s="339" t="str">
        <x:v>AC-00007</x:v>
      </x:c>
      <x:c r="B8" s="339" t="str">
        <x:v>US-0002</x:v>
      </x:c>
      <x:c r="C8" s="339" t="str">
        <x:v>SCR-001</x:v>
      </x:c>
      <x:c r="D8" s="339" t="str">
        <x:v>Public Website &amp; Authentication</x:v>
      </x:c>
      <x:c r="E8" s="339" t="str">
        <x:v>Landing / Home</x:v>
      </x:c>
      <x:c r="F8" s="339" t="str">
        <x:v>Failure rollback</x:v>
      </x:c>
      <x:c r="G8" s="339" t="str">
        <x:v>a downstream dependency fails during a multi-step transaction</x:v>
      </x:c>
      <x:c r="H8" s="339" t="str">
        <x:v>the workflow executes</x:v>
      </x:c>
      <x:c r="I8" s="339" t="str">
        <x:v>the system does not leave an invalid partial final state and surfaces a recoverable error</x:v>
      </x:c>
      <x:c r="J8" s="339" t="str">
        <x:v>Positive</x:v>
      </x:c>
      <x:c r="K8" s="339" t="str">
        <x:v>Functional</x:v>
      </x:c>
    </x:row>
    <x:row r="9">
      <x:c r="A9" s="339" t="str">
        <x:v>AC-00008</x:v>
      </x:c>
      <x:c r="B9" s="339" t="str">
        <x:v>US-0002</x:v>
      </x:c>
      <x:c r="C9" s="339" t="str">
        <x:v>SCR-001</x:v>
      </x:c>
      <x:c r="D9" s="339" t="str">
        <x:v>Public Website &amp; Authentication</x:v>
      </x:c>
      <x:c r="E9" s="339" t="str">
        <x:v>Landing / Home</x:v>
      </x:c>
      <x:c r="F9" s="339" t="str">
        <x:v>Exception traceability</x:v>
      </x:c>
      <x:c r="G9" s="339" t="str">
        <x:v>an authorized override/exception is used</x:v>
      </x:c>
      <x:c r="H9" s="339" t="str">
        <x:v>the action is confirmed</x:v>
      </x:c>
      <x:c r="I9" s="339" t="str">
        <x:v>the system requires reason/context and records it in the audit history</x:v>
      </x:c>
      <x:c r="J9" s="339" t="str">
        <x:v>Positive</x:v>
      </x:c>
      <x:c r="K9" s="339" t="str">
        <x:v>Functional</x:v>
      </x:c>
    </x:row>
    <x:row r="10">
      <x:c r="A10" s="339" t="str">
        <x:v>AC-00009</x:v>
      </x:c>
      <x:c r="B10" s="339" t="str">
        <x:v>US-0003</x:v>
      </x:c>
      <x:c r="C10" s="339" t="str">
        <x:v>SCR-002</x:v>
      </x:c>
      <x:c r="D10" s="339" t="str">
        <x:v>Public Website &amp; Authentication</x:v>
      </x:c>
      <x:c r="E10" s="339" t="str">
        <x:v>Workspace / Role Selection</x:v>
      </x:c>
      <x:c r="F10" s="339" t="str">
        <x:v>Authorized access to Workspace / Role Selection</x:v>
      </x:c>
      <x:c r="G10" s="339" t="str">
        <x:v>the User is authenticated and has access to Workspace / Role Selection</x:v>
      </x:c>
      <x:c r="H10" s="339" t="str">
        <x:v>the user opens or invokes Workspace / Role Selection</x:v>
      </x:c>
      <x:c r="I10" s="339" t="str">
        <x:v>the system loads only records and actions within the user's permitted tenant/school/data scope</x:v>
      </x:c>
      <x:c r="J10" s="339" t="str">
        <x:v>Positive</x:v>
      </x:c>
      <x:c r="K10" s="339" t="str">
        <x:v>Functional / Security</x:v>
      </x:c>
    </x:row>
    <x:row r="11">
      <x:c r="A11" s="339" t="str">
        <x:v>AC-00010</x:v>
      </x:c>
      <x:c r="B11" s="339" t="str">
        <x:v>US-0003</x:v>
      </x:c>
      <x:c r="C11" s="339" t="str">
        <x:v>SCR-002</x:v>
      </x:c>
      <x:c r="D11" s="339" t="str">
        <x:v>Public Website &amp; Authentication</x:v>
      </x:c>
      <x:c r="E11" s="339" t="str">
        <x:v>Workspace / Role Selection</x:v>
      </x:c>
      <x:c r="F11" s="339" t="str">
        <x:v>Successful Workspace / Role Selection happy path</x:v>
      </x:c>
      <x:c r="G11" s="339" t="str">
        <x:v>all mandatory prerequisites and valid data are available</x:v>
      </x:c>
      <x:c r="H11" s="339" t="str">
        <x:v>the User completes the primary action on Workspace / Role Selection</x:v>
      </x:c>
      <x:c r="I11" s="339" t="str">
        <x:v>the system validates the request, saves it atomically, shows a clear confirmation and reflects the updated state</x:v>
      </x:c>
      <x:c r="J11" s="339" t="str">
        <x:v>Positive</x:v>
      </x:c>
      <x:c r="K11" s="339" t="str">
        <x:v>Functional</x:v>
      </x:c>
    </x:row>
    <x:row r="12">
      <x:c r="A12" s="339" t="str">
        <x:v>AC-00011</x:v>
      </x:c>
      <x:c r="B12" s="339" t="str">
        <x:v>US-0003</x:v>
      </x:c>
      <x:c r="C12" s="339" t="str">
        <x:v>SCR-002</x:v>
      </x:c>
      <x:c r="D12" s="339" t="str">
        <x:v>Public Website &amp; Authentication</x:v>
      </x:c>
      <x:c r="E12" s="339" t="str">
        <x:v>Workspace / Role Selection</x:v>
      </x:c>
      <x:c r="F12" s="339" t="str">
        <x:v>State and dependency integrity</x:v>
      </x:c>
      <x:c r="G12" s="339" t="str">
        <x:v>the current record is in an allowed state (Unauthenticated → Authenticated / Locked / Expired)</x:v>
      </x:c>
      <x:c r="H12" s="339" t="str">
        <x:v>the user attempts a state-changing action</x:v>
      </x:c>
      <x:c r="I12" s="339" t="str">
        <x:v>only a valid transition is accepted and dependent records are updated according to configured business rules</x:v>
      </x:c>
      <x:c r="J12" s="339" t="str">
        <x:v>Positive</x:v>
      </x:c>
      <x:c r="K12" s="339" t="str">
        <x:v>Functional</x:v>
      </x:c>
    </x:row>
    <x:row r="13">
      <x:c r="A13" s="339" t="str">
        <x:v>AC-00012</x:v>
      </x:c>
      <x:c r="B13" s="339" t="str">
        <x:v>US-0003</x:v>
      </x:c>
      <x:c r="C13" s="339" t="str">
        <x:v>SCR-002</x:v>
      </x:c>
      <x:c r="D13" s="339" t="str">
        <x:v>Public Website &amp; Authentication</x:v>
      </x:c>
      <x:c r="E13" s="339" t="str">
        <x:v>Workspace / Role Selection</x:v>
      </x:c>
      <x:c r="F13" s="339" t="str">
        <x:v>Auditability</x:v>
      </x:c>
      <x:c r="G13" s="339" t="str">
        <x:v>a material create/update/approve/reverse action occurs</x:v>
      </x:c>
      <x:c r="H13" s="339" t="str">
        <x:v>the transaction succeeds</x:v>
      </x:c>
      <x:c r="I13" s="339" t="str">
        <x:v>the system records actor, timestamp, action, target and relevant before/after or reason context in the audit trail</x:v>
      </x:c>
      <x:c r="J13" s="339" t="str">
        <x:v>Positive</x:v>
      </x:c>
      <x:c r="K13" s="339" t="str">
        <x:v>Functional</x:v>
      </x:c>
    </x:row>
    <x:row r="14">
      <x:c r="A14" s="339" t="str">
        <x:v>AC-00013</x:v>
      </x:c>
      <x:c r="B14" s="339" t="str">
        <x:v>US-0004</x:v>
      </x:c>
      <x:c r="C14" s="339" t="str">
        <x:v>SCR-002</x:v>
      </x:c>
      <x:c r="D14" s="339" t="str">
        <x:v>Public Website &amp; Authentication</x:v>
      </x:c>
      <x:c r="E14" s="339" t="str">
        <x:v>Workspace / Role Selection</x:v>
      </x:c>
      <x:c r="F14" s="339" t="str">
        <x:v>Valid status transition</x:v>
      </x:c>
      <x:c r="G14" s="339" t="str">
        <x:v>the record is in a state described by Unauthenticated → Authenticated / Locked / Expired</x:v>
      </x:c>
      <x:c r="H14" s="339" t="str">
        <x:v>the user requests a transition</x:v>
      </x:c>
      <x:c r="I14" s="339" t="str">
        <x:v>the system accepts only transitions allowed for that role and state</x:v>
      </x:c>
      <x:c r="J14" s="339" t="str">
        <x:v>Positive</x:v>
      </x:c>
      <x:c r="K14" s="339" t="str">
        <x:v>Functional</x:v>
      </x:c>
    </x:row>
    <x:row r="15">
      <x:c r="A15" s="339" t="str">
        <x:v>AC-00014</x:v>
      </x:c>
      <x:c r="B15" s="339" t="str">
        <x:v>US-0004</x:v>
      </x:c>
      <x:c r="C15" s="339" t="str">
        <x:v>SCR-002</x:v>
      </x:c>
      <x:c r="D15" s="339" t="str">
        <x:v>Public Website &amp; Authentication</x:v>
      </x:c>
      <x:c r="E15" s="339" t="str">
        <x:v>Workspace / Role Selection</x:v>
      </x:c>
      <x:c r="F15" s="339" t="str">
        <x:v>Approval authority</x:v>
      </x:c>
      <x:c r="G15" s="339" t="str">
        <x:v>an action requires approval</x:v>
      </x:c>
      <x:c r="H15" s="339" t="str">
        <x:v>a non-authorized user attempts approval/rejection</x:v>
      </x:c>
      <x:c r="I15" s="339" t="str">
        <x:v>the system denies the decision and does not change status</x:v>
      </x:c>
      <x:c r="J15" s="339" t="str">
        <x:v>Negative</x:v>
      </x:c>
      <x:c r="K15" s="339" t="str">
        <x:v>Functional</x:v>
      </x:c>
    </x:row>
    <x:row r="16">
      <x:c r="A16" s="339" t="str">
        <x:v>AC-00015</x:v>
      </x:c>
      <x:c r="B16" s="339" t="str">
        <x:v>US-0004</x:v>
      </x:c>
      <x:c r="C16" s="339" t="str">
        <x:v>SCR-002</x:v>
      </x:c>
      <x:c r="D16" s="339" t="str">
        <x:v>Public Website &amp; Authentication</x:v>
      </x:c>
      <x:c r="E16" s="339" t="str">
        <x:v>Workspace / Role Selection</x:v>
      </x:c>
      <x:c r="F16" s="339" t="str">
        <x:v>Failure rollback</x:v>
      </x:c>
      <x:c r="G16" s="339" t="str">
        <x:v>a downstream dependency fails during a multi-step transaction</x:v>
      </x:c>
      <x:c r="H16" s="339" t="str">
        <x:v>the workflow executes</x:v>
      </x:c>
      <x:c r="I16" s="339" t="str">
        <x:v>the system does not leave an invalid partial final state and surfaces a recoverable error</x:v>
      </x:c>
      <x:c r="J16" s="339" t="str">
        <x:v>Positive</x:v>
      </x:c>
      <x:c r="K16" s="339" t="str">
        <x:v>Functional</x:v>
      </x:c>
    </x:row>
    <x:row r="17">
      <x:c r="A17" s="339" t="str">
        <x:v>AC-00016</x:v>
      </x:c>
      <x:c r="B17" s="339" t="str">
        <x:v>US-0004</x:v>
      </x:c>
      <x:c r="C17" s="339" t="str">
        <x:v>SCR-002</x:v>
      </x:c>
      <x:c r="D17" s="339" t="str">
        <x:v>Public Website &amp; Authentication</x:v>
      </x:c>
      <x:c r="E17" s="339" t="str">
        <x:v>Workspace / Role Selection</x:v>
      </x:c>
      <x:c r="F17" s="339" t="str">
        <x:v>Exception traceability</x:v>
      </x:c>
      <x:c r="G17" s="339" t="str">
        <x:v>an authorized override/exception is used</x:v>
      </x:c>
      <x:c r="H17" s="339" t="str">
        <x:v>the action is confirmed</x:v>
      </x:c>
      <x:c r="I17" s="339" t="str">
        <x:v>the system requires reason/context and records it in the audit history</x:v>
      </x:c>
      <x:c r="J17" s="339" t="str">
        <x:v>Positive</x:v>
      </x:c>
      <x:c r="K17" s="339" t="str">
        <x:v>Functional</x:v>
      </x:c>
    </x:row>
    <x:row r="18">
      <x:c r="A18" s="339" t="str">
        <x:v>AC-00017</x:v>
      </x:c>
      <x:c r="B18" s="339" t="str">
        <x:v>US-0005</x:v>
      </x:c>
      <x:c r="C18" s="339" t="str">
        <x:v>SCR-003</x:v>
      </x:c>
      <x:c r="D18" s="339" t="str">
        <x:v>Public Website &amp; Authentication</x:v>
      </x:c>
      <x:c r="E18" s="339" t="str">
        <x:v>Sign In</x:v>
      </x:c>
      <x:c r="F18" s="339" t="str">
        <x:v>Authorized access to Sign In</x:v>
      </x:c>
      <x:c r="G18" s="339" t="str">
        <x:v>the User is authenticated and has access to Sign In</x:v>
      </x:c>
      <x:c r="H18" s="339" t="str">
        <x:v>the user opens or invokes Sign In</x:v>
      </x:c>
      <x:c r="I18" s="339" t="str">
        <x:v>the system loads only records and actions within the user's permitted tenant/school/data scope</x:v>
      </x:c>
      <x:c r="J18" s="339" t="str">
        <x:v>Positive</x:v>
      </x:c>
      <x:c r="K18" s="339" t="str">
        <x:v>Functional / Security</x:v>
      </x:c>
    </x:row>
    <x:row r="19">
      <x:c r="A19" s="339" t="str">
        <x:v>AC-00018</x:v>
      </x:c>
      <x:c r="B19" s="339" t="str">
        <x:v>US-0005</x:v>
      </x:c>
      <x:c r="C19" s="339" t="str">
        <x:v>SCR-003</x:v>
      </x:c>
      <x:c r="D19" s="339" t="str">
        <x:v>Public Website &amp; Authentication</x:v>
      </x:c>
      <x:c r="E19" s="339" t="str">
        <x:v>Sign In</x:v>
      </x:c>
      <x:c r="F19" s="339" t="str">
        <x:v>Successful Sign In happy path</x:v>
      </x:c>
      <x:c r="G19" s="339" t="str">
        <x:v>all mandatory prerequisites and valid data are available</x:v>
      </x:c>
      <x:c r="H19" s="339" t="str">
        <x:v>the User completes the primary action on Sign In</x:v>
      </x:c>
      <x:c r="I19" s="339" t="str">
        <x:v>the system validates the request, saves it atomically, shows a clear confirmation and reflects the updated state</x:v>
      </x:c>
      <x:c r="J19" s="339" t="str">
        <x:v>Positive</x:v>
      </x:c>
      <x:c r="K19" s="339" t="str">
        <x:v>Functional</x:v>
      </x:c>
    </x:row>
    <x:row r="20">
      <x:c r="A20" s="339" t="str">
        <x:v>AC-00019</x:v>
      </x:c>
      <x:c r="B20" s="339" t="str">
        <x:v>US-0005</x:v>
      </x:c>
      <x:c r="C20" s="339" t="str">
        <x:v>SCR-003</x:v>
      </x:c>
      <x:c r="D20" s="339" t="str">
        <x:v>Public Website &amp; Authentication</x:v>
      </x:c>
      <x:c r="E20" s="339" t="str">
        <x:v>Sign In</x:v>
      </x:c>
      <x:c r="F20" s="339" t="str">
        <x:v>State and dependency integrity</x:v>
      </x:c>
      <x:c r="G20" s="339" t="str">
        <x:v>the current record is in an allowed state (Unauthenticated → Authenticated / Locked / Expired)</x:v>
      </x:c>
      <x:c r="H20" s="339" t="str">
        <x:v>the user attempts a state-changing action</x:v>
      </x:c>
      <x:c r="I20" s="339" t="str">
        <x:v>only a valid transition is accepted and dependent records are updated according to configured business rules</x:v>
      </x:c>
      <x:c r="J20" s="339" t="str">
        <x:v>Positive</x:v>
      </x:c>
      <x:c r="K20" s="339" t="str">
        <x:v>Functional</x:v>
      </x:c>
    </x:row>
    <x:row r="21">
      <x:c r="A21" s="339" t="str">
        <x:v>AC-00020</x:v>
      </x:c>
      <x:c r="B21" s="339" t="str">
        <x:v>US-0005</x:v>
      </x:c>
      <x:c r="C21" s="339" t="str">
        <x:v>SCR-003</x:v>
      </x:c>
      <x:c r="D21" s="339" t="str">
        <x:v>Public Website &amp; Authentication</x:v>
      </x:c>
      <x:c r="E21" s="339" t="str">
        <x:v>Sign In</x:v>
      </x:c>
      <x:c r="F21" s="339" t="str">
        <x:v>Auditability</x:v>
      </x:c>
      <x:c r="G21" s="339" t="str">
        <x:v>a material create/update/approve/reverse action occurs</x:v>
      </x:c>
      <x:c r="H21" s="339" t="str">
        <x:v>the transaction succeeds</x:v>
      </x:c>
      <x:c r="I21" s="339" t="str">
        <x:v>the system records actor, timestamp, action, target and relevant before/after or reason context in the audit trail</x:v>
      </x:c>
      <x:c r="J21" s="339" t="str">
        <x:v>Positive</x:v>
      </x:c>
      <x:c r="K21" s="339" t="str">
        <x:v>Functional</x:v>
      </x:c>
    </x:row>
    <x:row r="22">
      <x:c r="A22" s="339" t="str">
        <x:v>AC-00021</x:v>
      </x:c>
      <x:c r="B22" s="339" t="str">
        <x:v>US-0006</x:v>
      </x:c>
      <x:c r="C22" s="339" t="str">
        <x:v>SCR-003</x:v>
      </x:c>
      <x:c r="D22" s="339" t="str">
        <x:v>Public Website &amp; Authentication</x:v>
      </x:c>
      <x:c r="E22" s="339" t="str">
        <x:v>Sign In</x:v>
      </x:c>
      <x:c r="F22" s="339" t="str">
        <x:v>Valid status transition</x:v>
      </x:c>
      <x:c r="G22" s="339" t="str">
        <x:v>the record is in a state described by Unauthenticated → Authenticated / Locked / Expired</x:v>
      </x:c>
      <x:c r="H22" s="339" t="str">
        <x:v>the user requests a transition</x:v>
      </x:c>
      <x:c r="I22" s="339" t="str">
        <x:v>the system accepts only transitions allowed for that role and state</x:v>
      </x:c>
      <x:c r="J22" s="339" t="str">
        <x:v>Positive</x:v>
      </x:c>
      <x:c r="K22" s="339" t="str">
        <x:v>Functional</x:v>
      </x:c>
    </x:row>
    <x:row r="23">
      <x:c r="A23" s="339" t="str">
        <x:v>AC-00022</x:v>
      </x:c>
      <x:c r="B23" s="339" t="str">
        <x:v>US-0006</x:v>
      </x:c>
      <x:c r="C23" s="339" t="str">
        <x:v>SCR-003</x:v>
      </x:c>
      <x:c r="D23" s="339" t="str">
        <x:v>Public Website &amp; Authentication</x:v>
      </x:c>
      <x:c r="E23" s="339" t="str">
        <x:v>Sign In</x:v>
      </x:c>
      <x:c r="F23" s="339" t="str">
        <x:v>Approval authority</x:v>
      </x:c>
      <x:c r="G23" s="339" t="str">
        <x:v>an action requires approval</x:v>
      </x:c>
      <x:c r="H23" s="339" t="str">
        <x:v>a non-authorized user attempts approval/rejection</x:v>
      </x:c>
      <x:c r="I23" s="339" t="str">
        <x:v>the system denies the decision and does not change status</x:v>
      </x:c>
      <x:c r="J23" s="339" t="str">
        <x:v>Negative</x:v>
      </x:c>
      <x:c r="K23" s="339" t="str">
        <x:v>Functional</x:v>
      </x:c>
    </x:row>
    <x:row r="24">
      <x:c r="A24" s="339" t="str">
        <x:v>AC-00023</x:v>
      </x:c>
      <x:c r="B24" s="339" t="str">
        <x:v>US-0006</x:v>
      </x:c>
      <x:c r="C24" s="339" t="str">
        <x:v>SCR-003</x:v>
      </x:c>
      <x:c r="D24" s="339" t="str">
        <x:v>Public Website &amp; Authentication</x:v>
      </x:c>
      <x:c r="E24" s="339" t="str">
        <x:v>Sign In</x:v>
      </x:c>
      <x:c r="F24" s="339" t="str">
        <x:v>Failure rollback</x:v>
      </x:c>
      <x:c r="G24" s="339" t="str">
        <x:v>a downstream dependency fails during a multi-step transaction</x:v>
      </x:c>
      <x:c r="H24" s="339" t="str">
        <x:v>the workflow executes</x:v>
      </x:c>
      <x:c r="I24" s="339" t="str">
        <x:v>the system does not leave an invalid partial final state and surfaces a recoverable error</x:v>
      </x:c>
      <x:c r="J24" s="339" t="str">
        <x:v>Positive</x:v>
      </x:c>
      <x:c r="K24" s="339" t="str">
        <x:v>Functional</x:v>
      </x:c>
    </x:row>
    <x:row r="25">
      <x:c r="A25" s="339" t="str">
        <x:v>AC-00024</x:v>
      </x:c>
      <x:c r="B25" s="339" t="str">
        <x:v>US-0006</x:v>
      </x:c>
      <x:c r="C25" s="339" t="str">
        <x:v>SCR-003</x:v>
      </x:c>
      <x:c r="D25" s="339" t="str">
        <x:v>Public Website &amp; Authentication</x:v>
      </x:c>
      <x:c r="E25" s="339" t="str">
        <x:v>Sign In</x:v>
      </x:c>
      <x:c r="F25" s="339" t="str">
        <x:v>Exception traceability</x:v>
      </x:c>
      <x:c r="G25" s="339" t="str">
        <x:v>an authorized override/exception is used</x:v>
      </x:c>
      <x:c r="H25" s="339" t="str">
        <x:v>the action is confirmed</x:v>
      </x:c>
      <x:c r="I25" s="339" t="str">
        <x:v>the system requires reason/context and records it in the audit history</x:v>
      </x:c>
      <x:c r="J25" s="339" t="str">
        <x:v>Positive</x:v>
      </x:c>
      <x:c r="K25" s="339" t="str">
        <x:v>Functional</x:v>
      </x:c>
    </x:row>
    <x:row r="26">
      <x:c r="A26" s="339" t="str">
        <x:v>AC-00025</x:v>
      </x:c>
      <x:c r="B26" s="339" t="str">
        <x:v>US-0007</x:v>
      </x:c>
      <x:c r="C26" s="339" t="str">
        <x:v>SCR-004</x:v>
      </x:c>
      <x:c r="D26" s="339" t="str">
        <x:v>Public Website &amp; Authentication</x:v>
      </x:c>
      <x:c r="E26" s="339" t="str">
        <x:v>Forgot Password</x:v>
      </x:c>
      <x:c r="F26" s="339" t="str">
        <x:v>Authorized access to Forgot Password</x:v>
      </x:c>
      <x:c r="G26" s="339" t="str">
        <x:v>the User is authenticated and has access to Forgot Password</x:v>
      </x:c>
      <x:c r="H26" s="339" t="str">
        <x:v>the user opens or invokes Forgot Password</x:v>
      </x:c>
      <x:c r="I26" s="339" t="str">
        <x:v>the system loads only records and actions within the user's permitted tenant/school/data scope</x:v>
      </x:c>
      <x:c r="J26" s="339" t="str">
        <x:v>Positive</x:v>
      </x:c>
      <x:c r="K26" s="339" t="str">
        <x:v>Functional / Security</x:v>
      </x:c>
    </x:row>
    <x:row r="27">
      <x:c r="A27" s="339" t="str">
        <x:v>AC-00026</x:v>
      </x:c>
      <x:c r="B27" s="339" t="str">
        <x:v>US-0007</x:v>
      </x:c>
      <x:c r="C27" s="339" t="str">
        <x:v>SCR-004</x:v>
      </x:c>
      <x:c r="D27" s="339" t="str">
        <x:v>Public Website &amp; Authentication</x:v>
      </x:c>
      <x:c r="E27" s="339" t="str">
        <x:v>Forgot Password</x:v>
      </x:c>
      <x:c r="F27" s="339" t="str">
        <x:v>Successful Forgot Password happy path</x:v>
      </x:c>
      <x:c r="G27" s="339" t="str">
        <x:v>all mandatory prerequisites and valid data are available</x:v>
      </x:c>
      <x:c r="H27" s="339" t="str">
        <x:v>the User completes the primary action on Forgot Password</x:v>
      </x:c>
      <x:c r="I27" s="339" t="str">
        <x:v>the system validates the request, saves it atomically, shows a clear confirmation and reflects the updated state</x:v>
      </x:c>
      <x:c r="J27" s="339" t="str">
        <x:v>Positive</x:v>
      </x:c>
      <x:c r="K27" s="339" t="str">
        <x:v>Functional</x:v>
      </x:c>
    </x:row>
    <x:row r="28">
      <x:c r="A28" s="339" t="str">
        <x:v>AC-00027</x:v>
      </x:c>
      <x:c r="B28" s="339" t="str">
        <x:v>US-0007</x:v>
      </x:c>
      <x:c r="C28" s="339" t="str">
        <x:v>SCR-004</x:v>
      </x:c>
      <x:c r="D28" s="339" t="str">
        <x:v>Public Website &amp; Authentication</x:v>
      </x:c>
      <x:c r="E28" s="339" t="str">
        <x:v>Forgot Password</x:v>
      </x:c>
      <x:c r="F28" s="339" t="str">
        <x:v>State and dependency integrity</x:v>
      </x:c>
      <x:c r="G28" s="339" t="str">
        <x:v>the current record is in an allowed state (Unauthenticated → Authenticated / Locked / Expired)</x:v>
      </x:c>
      <x:c r="H28" s="339" t="str">
        <x:v>the user attempts a state-changing action</x:v>
      </x:c>
      <x:c r="I28" s="339" t="str">
        <x:v>only a valid transition is accepted and dependent records are updated according to configured business rules</x:v>
      </x:c>
      <x:c r="J28" s="339" t="str">
        <x:v>Positive</x:v>
      </x:c>
      <x:c r="K28" s="339" t="str">
        <x:v>Functional</x:v>
      </x:c>
    </x:row>
    <x:row r="29">
      <x:c r="A29" s="339" t="str">
        <x:v>AC-00028</x:v>
      </x:c>
      <x:c r="B29" s="339" t="str">
        <x:v>US-0007</x:v>
      </x:c>
      <x:c r="C29" s="339" t="str">
        <x:v>SCR-004</x:v>
      </x:c>
      <x:c r="D29" s="339" t="str">
        <x:v>Public Website &amp; Authentication</x:v>
      </x:c>
      <x:c r="E29" s="339" t="str">
        <x:v>Forgot Password</x:v>
      </x:c>
      <x:c r="F29" s="339" t="str">
        <x:v>Auditability</x:v>
      </x:c>
      <x:c r="G29" s="339" t="str">
        <x:v>a material create/update/approve/reverse action occurs</x:v>
      </x:c>
      <x:c r="H29" s="339" t="str">
        <x:v>the transaction succeeds</x:v>
      </x:c>
      <x:c r="I29" s="339" t="str">
        <x:v>the system records actor, timestamp, action, target and relevant before/after or reason context in the audit trail</x:v>
      </x:c>
      <x:c r="J29" s="339" t="str">
        <x:v>Positive</x:v>
      </x:c>
      <x:c r="K29" s="339" t="str">
        <x:v>Functional</x:v>
      </x:c>
    </x:row>
    <x:row r="30">
      <x:c r="A30" s="339" t="str">
        <x:v>AC-00029</x:v>
      </x:c>
      <x:c r="B30" s="339" t="str">
        <x:v>US-0008</x:v>
      </x:c>
      <x:c r="C30" s="339" t="str">
        <x:v>SCR-004</x:v>
      </x:c>
      <x:c r="D30" s="339" t="str">
        <x:v>Public Website &amp; Authentication</x:v>
      </x:c>
      <x:c r="E30" s="339" t="str">
        <x:v>Forgot Password</x:v>
      </x:c>
      <x:c r="F30" s="339" t="str">
        <x:v>Valid status transition</x:v>
      </x:c>
      <x:c r="G30" s="339" t="str">
        <x:v>the record is in a state described by Unauthenticated → Authenticated / Locked / Expired</x:v>
      </x:c>
      <x:c r="H30" s="339" t="str">
        <x:v>the user requests a transition</x:v>
      </x:c>
      <x:c r="I30" s="339" t="str">
        <x:v>the system accepts only transitions allowed for that role and state</x:v>
      </x:c>
      <x:c r="J30" s="339" t="str">
        <x:v>Positive</x:v>
      </x:c>
      <x:c r="K30" s="339" t="str">
        <x:v>Functional</x:v>
      </x:c>
    </x:row>
    <x:row r="31">
      <x:c r="A31" s="339" t="str">
        <x:v>AC-00030</x:v>
      </x:c>
      <x:c r="B31" s="339" t="str">
        <x:v>US-0008</x:v>
      </x:c>
      <x:c r="C31" s="339" t="str">
        <x:v>SCR-004</x:v>
      </x:c>
      <x:c r="D31" s="339" t="str">
        <x:v>Public Website &amp; Authentication</x:v>
      </x:c>
      <x:c r="E31" s="339" t="str">
        <x:v>Forgot Password</x:v>
      </x:c>
      <x:c r="F31" s="339" t="str">
        <x:v>Approval authority</x:v>
      </x:c>
      <x:c r="G31" s="339" t="str">
        <x:v>an action requires approval</x:v>
      </x:c>
      <x:c r="H31" s="339" t="str">
        <x:v>a non-authorized user attempts approval/rejection</x:v>
      </x:c>
      <x:c r="I31" s="339" t="str">
        <x:v>the system denies the decision and does not change status</x:v>
      </x:c>
      <x:c r="J31" s="339" t="str">
        <x:v>Negative</x:v>
      </x:c>
      <x:c r="K31" s="339" t="str">
        <x:v>Functional</x:v>
      </x:c>
    </x:row>
    <x:row r="32">
      <x:c r="A32" s="339" t="str">
        <x:v>AC-00031</x:v>
      </x:c>
      <x:c r="B32" s="339" t="str">
        <x:v>US-0008</x:v>
      </x:c>
      <x:c r="C32" s="339" t="str">
        <x:v>SCR-004</x:v>
      </x:c>
      <x:c r="D32" s="339" t="str">
        <x:v>Public Website &amp; Authentication</x:v>
      </x:c>
      <x:c r="E32" s="339" t="str">
        <x:v>Forgot Password</x:v>
      </x:c>
      <x:c r="F32" s="339" t="str">
        <x:v>Failure rollback</x:v>
      </x:c>
      <x:c r="G32" s="339" t="str">
        <x:v>a downstream dependency fails during a multi-step transaction</x:v>
      </x:c>
      <x:c r="H32" s="339" t="str">
        <x:v>the workflow executes</x:v>
      </x:c>
      <x:c r="I32" s="339" t="str">
        <x:v>the system does not leave an invalid partial final state and surfaces a recoverable error</x:v>
      </x:c>
      <x:c r="J32" s="339" t="str">
        <x:v>Positive</x:v>
      </x:c>
      <x:c r="K32" s="339" t="str">
        <x:v>Functional</x:v>
      </x:c>
    </x:row>
    <x:row r="33">
      <x:c r="A33" s="339" t="str">
        <x:v>AC-00032</x:v>
      </x:c>
      <x:c r="B33" s="339" t="str">
        <x:v>US-0008</x:v>
      </x:c>
      <x:c r="C33" s="339" t="str">
        <x:v>SCR-004</x:v>
      </x:c>
      <x:c r="D33" s="339" t="str">
        <x:v>Public Website &amp; Authentication</x:v>
      </x:c>
      <x:c r="E33" s="339" t="str">
        <x:v>Forgot Password</x:v>
      </x:c>
      <x:c r="F33" s="339" t="str">
        <x:v>Exception traceability</x:v>
      </x:c>
      <x:c r="G33" s="339" t="str">
        <x:v>an authorized override/exception is used</x:v>
      </x:c>
      <x:c r="H33" s="339" t="str">
        <x:v>the action is confirmed</x:v>
      </x:c>
      <x:c r="I33" s="339" t="str">
        <x:v>the system requires reason/context and records it in the audit history</x:v>
      </x:c>
      <x:c r="J33" s="339" t="str">
        <x:v>Positive</x:v>
      </x:c>
      <x:c r="K33" s="339" t="str">
        <x:v>Functional</x:v>
      </x:c>
    </x:row>
    <x:row r="34">
      <x:c r="A34" s="339" t="str">
        <x:v>AC-00033</x:v>
      </x:c>
      <x:c r="B34" s="339" t="str">
        <x:v>US-0009</x:v>
      </x:c>
      <x:c r="C34" s="339" t="str">
        <x:v>SCR-005</x:v>
      </x:c>
      <x:c r="D34" s="339" t="str">
        <x:v>Public Website &amp; Authentication</x:v>
      </x:c>
      <x:c r="E34" s="339" t="str">
        <x:v>Reset Password</x:v>
      </x:c>
      <x:c r="F34" s="339" t="str">
        <x:v>Authorized access to Reset Password</x:v>
      </x:c>
      <x:c r="G34" s="339" t="str">
        <x:v>the User is authenticated and has access to Reset Password</x:v>
      </x:c>
      <x:c r="H34" s="339" t="str">
        <x:v>the user opens or invokes Reset Password</x:v>
      </x:c>
      <x:c r="I34" s="339" t="str">
        <x:v>the system loads only records and actions within the user's permitted tenant/school/data scope</x:v>
      </x:c>
      <x:c r="J34" s="339" t="str">
        <x:v>Positive</x:v>
      </x:c>
      <x:c r="K34" s="339" t="str">
        <x:v>Functional / Security</x:v>
      </x:c>
    </x:row>
    <x:row r="35">
      <x:c r="A35" s="339" t="str">
        <x:v>AC-00034</x:v>
      </x:c>
      <x:c r="B35" s="339" t="str">
        <x:v>US-0009</x:v>
      </x:c>
      <x:c r="C35" s="339" t="str">
        <x:v>SCR-005</x:v>
      </x:c>
      <x:c r="D35" s="339" t="str">
        <x:v>Public Website &amp; Authentication</x:v>
      </x:c>
      <x:c r="E35" s="339" t="str">
        <x:v>Reset Password</x:v>
      </x:c>
      <x:c r="F35" s="339" t="str">
        <x:v>Successful Reset Password happy path</x:v>
      </x:c>
      <x:c r="G35" s="339" t="str">
        <x:v>all mandatory prerequisites and valid data are available</x:v>
      </x:c>
      <x:c r="H35" s="339" t="str">
        <x:v>the User completes the primary action on Reset Password</x:v>
      </x:c>
      <x:c r="I35" s="339" t="str">
        <x:v>the system validates the request, saves it atomically, shows a clear confirmation and reflects the updated state</x:v>
      </x:c>
      <x:c r="J35" s="339" t="str">
        <x:v>Positive</x:v>
      </x:c>
      <x:c r="K35" s="339" t="str">
        <x:v>Functional</x:v>
      </x:c>
    </x:row>
    <x:row r="36">
      <x:c r="A36" s="339" t="str">
        <x:v>AC-00035</x:v>
      </x:c>
      <x:c r="B36" s="339" t="str">
        <x:v>US-0009</x:v>
      </x:c>
      <x:c r="C36" s="339" t="str">
        <x:v>SCR-005</x:v>
      </x:c>
      <x:c r="D36" s="339" t="str">
        <x:v>Public Website &amp; Authentication</x:v>
      </x:c>
      <x:c r="E36" s="339" t="str">
        <x:v>Reset Password</x:v>
      </x:c>
      <x:c r="F36" s="339" t="str">
        <x:v>State and dependency integrity</x:v>
      </x:c>
      <x:c r="G36" s="339" t="str">
        <x:v>the current record is in an allowed state (Unauthenticated → Authenticated / Locked / Expired)</x:v>
      </x:c>
      <x:c r="H36" s="339" t="str">
        <x:v>the user attempts a state-changing action</x:v>
      </x:c>
      <x:c r="I36" s="339" t="str">
        <x:v>only a valid transition is accepted and dependent records are updated according to configured business rules</x:v>
      </x:c>
      <x:c r="J36" s="339" t="str">
        <x:v>Positive</x:v>
      </x:c>
      <x:c r="K36" s="339" t="str">
        <x:v>Functional</x:v>
      </x:c>
    </x:row>
    <x:row r="37">
      <x:c r="A37" s="339" t="str">
        <x:v>AC-00036</x:v>
      </x:c>
      <x:c r="B37" s="339" t="str">
        <x:v>US-0009</x:v>
      </x:c>
      <x:c r="C37" s="339" t="str">
        <x:v>SCR-005</x:v>
      </x:c>
      <x:c r="D37" s="339" t="str">
        <x:v>Public Website &amp; Authentication</x:v>
      </x:c>
      <x:c r="E37" s="339" t="str">
        <x:v>Reset Password</x:v>
      </x:c>
      <x:c r="F37" s="339" t="str">
        <x:v>Auditability</x:v>
      </x:c>
      <x:c r="G37" s="339" t="str">
        <x:v>a material create/update/approve/reverse action occurs</x:v>
      </x:c>
      <x:c r="H37" s="339" t="str">
        <x:v>the transaction succeeds</x:v>
      </x:c>
      <x:c r="I37" s="339" t="str">
        <x:v>the system records actor, timestamp, action, target and relevant before/after or reason context in the audit trail</x:v>
      </x:c>
      <x:c r="J37" s="339" t="str">
        <x:v>Positive</x:v>
      </x:c>
      <x:c r="K37" s="339" t="str">
        <x:v>Functional</x:v>
      </x:c>
    </x:row>
    <x:row r="38">
      <x:c r="A38" s="339" t="str">
        <x:v>AC-00037</x:v>
      </x:c>
      <x:c r="B38" s="339" t="str">
        <x:v>US-0010</x:v>
      </x:c>
      <x:c r="C38" s="339" t="str">
        <x:v>SCR-005</x:v>
      </x:c>
      <x:c r="D38" s="339" t="str">
        <x:v>Public Website &amp; Authentication</x:v>
      </x:c>
      <x:c r="E38" s="339" t="str">
        <x:v>Reset Password</x:v>
      </x:c>
      <x:c r="F38" s="339" t="str">
        <x:v>Valid status transition</x:v>
      </x:c>
      <x:c r="G38" s="339" t="str">
        <x:v>the record is in a state described by Unauthenticated → Authenticated / Locked / Expired</x:v>
      </x:c>
      <x:c r="H38" s="339" t="str">
        <x:v>the user requests a transition</x:v>
      </x:c>
      <x:c r="I38" s="339" t="str">
        <x:v>the system accepts only transitions allowed for that role and state</x:v>
      </x:c>
      <x:c r="J38" s="339" t="str">
        <x:v>Positive</x:v>
      </x:c>
      <x:c r="K38" s="339" t="str">
        <x:v>Functional</x:v>
      </x:c>
    </x:row>
    <x:row r="39">
      <x:c r="A39" s="339" t="str">
        <x:v>AC-00038</x:v>
      </x:c>
      <x:c r="B39" s="339" t="str">
        <x:v>US-0010</x:v>
      </x:c>
      <x:c r="C39" s="339" t="str">
        <x:v>SCR-005</x:v>
      </x:c>
      <x:c r="D39" s="339" t="str">
        <x:v>Public Website &amp; Authentication</x:v>
      </x:c>
      <x:c r="E39" s="339" t="str">
        <x:v>Reset Password</x:v>
      </x:c>
      <x:c r="F39" s="339" t="str">
        <x:v>Approval authority</x:v>
      </x:c>
      <x:c r="G39" s="339" t="str">
        <x:v>an action requires approval</x:v>
      </x:c>
      <x:c r="H39" s="339" t="str">
        <x:v>a non-authorized user attempts approval/rejection</x:v>
      </x:c>
      <x:c r="I39" s="339" t="str">
        <x:v>the system denies the decision and does not change status</x:v>
      </x:c>
      <x:c r="J39" s="339" t="str">
        <x:v>Negative</x:v>
      </x:c>
      <x:c r="K39" s="339" t="str">
        <x:v>Functional</x:v>
      </x:c>
    </x:row>
    <x:row r="40">
      <x:c r="A40" s="339" t="str">
        <x:v>AC-00039</x:v>
      </x:c>
      <x:c r="B40" s="339" t="str">
        <x:v>US-0010</x:v>
      </x:c>
      <x:c r="C40" s="339" t="str">
        <x:v>SCR-005</x:v>
      </x:c>
      <x:c r="D40" s="339" t="str">
        <x:v>Public Website &amp; Authentication</x:v>
      </x:c>
      <x:c r="E40" s="339" t="str">
        <x:v>Reset Password</x:v>
      </x:c>
      <x:c r="F40" s="339" t="str">
        <x:v>Failure rollback</x:v>
      </x:c>
      <x:c r="G40" s="339" t="str">
        <x:v>a downstream dependency fails during a multi-step transaction</x:v>
      </x:c>
      <x:c r="H40" s="339" t="str">
        <x:v>the workflow executes</x:v>
      </x:c>
      <x:c r="I40" s="339" t="str">
        <x:v>the system does not leave an invalid partial final state and surfaces a recoverable error</x:v>
      </x:c>
      <x:c r="J40" s="339" t="str">
        <x:v>Positive</x:v>
      </x:c>
      <x:c r="K40" s="339" t="str">
        <x:v>Functional</x:v>
      </x:c>
    </x:row>
    <x:row r="41">
      <x:c r="A41" s="339" t="str">
        <x:v>AC-00040</x:v>
      </x:c>
      <x:c r="B41" s="339" t="str">
        <x:v>US-0010</x:v>
      </x:c>
      <x:c r="C41" s="339" t="str">
        <x:v>SCR-005</x:v>
      </x:c>
      <x:c r="D41" s="339" t="str">
        <x:v>Public Website &amp; Authentication</x:v>
      </x:c>
      <x:c r="E41" s="339" t="str">
        <x:v>Reset Password</x:v>
      </x:c>
      <x:c r="F41" s="339" t="str">
        <x:v>Exception traceability</x:v>
      </x:c>
      <x:c r="G41" s="339" t="str">
        <x:v>an authorized override/exception is used</x:v>
      </x:c>
      <x:c r="H41" s="339" t="str">
        <x:v>the action is confirmed</x:v>
      </x:c>
      <x:c r="I41" s="339" t="str">
        <x:v>the system requires reason/context and records it in the audit history</x:v>
      </x:c>
      <x:c r="J41" s="339" t="str">
        <x:v>Positive</x:v>
      </x:c>
      <x:c r="K41" s="339" t="str">
        <x:v>Functional</x:v>
      </x:c>
    </x:row>
    <x:row r="42">
      <x:c r="A42" s="339" t="str">
        <x:v>AC-00041</x:v>
      </x:c>
      <x:c r="B42" s="339" t="str">
        <x:v>US-0011</x:v>
      </x:c>
      <x:c r="C42" s="339" t="str">
        <x:v>SCR-006</x:v>
      </x:c>
      <x:c r="D42" s="339" t="str">
        <x:v>Public Website &amp; Authentication</x:v>
      </x:c>
      <x:c r="E42" s="339" t="str">
        <x:v>OTP / Two-Factor Verification</x:v>
      </x:c>
      <x:c r="F42" s="339" t="str">
        <x:v>Authorized access to OTP / Two-Factor Verification</x:v>
      </x:c>
      <x:c r="G42" s="339" t="str">
        <x:v>the User is authenticated and has access to OTP / Two-Factor Verification</x:v>
      </x:c>
      <x:c r="H42" s="339" t="str">
        <x:v>the user opens or invokes OTP / Two-Factor Verification</x:v>
      </x:c>
      <x:c r="I42" s="339" t="str">
        <x:v>the system loads only records and actions within the user's permitted tenant/school/data scope</x:v>
      </x:c>
      <x:c r="J42" s="339" t="str">
        <x:v>Positive</x:v>
      </x:c>
      <x:c r="K42" s="339" t="str">
        <x:v>Functional / Security</x:v>
      </x:c>
    </x:row>
    <x:row r="43">
      <x:c r="A43" s="339" t="str">
        <x:v>AC-00042</x:v>
      </x:c>
      <x:c r="B43" s="339" t="str">
        <x:v>US-0011</x:v>
      </x:c>
      <x:c r="C43" s="339" t="str">
        <x:v>SCR-006</x:v>
      </x:c>
      <x:c r="D43" s="339" t="str">
        <x:v>Public Website &amp; Authentication</x:v>
      </x:c>
      <x:c r="E43" s="339" t="str">
        <x:v>OTP / Two-Factor Verification</x:v>
      </x:c>
      <x:c r="F43" s="339" t="str">
        <x:v>Successful OTP / Two-Factor Verification happy path</x:v>
      </x:c>
      <x:c r="G43" s="339" t="str">
        <x:v>all mandatory prerequisites and valid data are available</x:v>
      </x:c>
      <x:c r="H43" s="339" t="str">
        <x:v>the User completes the primary action on OTP / Two-Factor Verification</x:v>
      </x:c>
      <x:c r="I43" s="339" t="str">
        <x:v>the system validates the request, saves it atomically, shows a clear confirmation and reflects the updated state</x:v>
      </x:c>
      <x:c r="J43" s="339" t="str">
        <x:v>Positive</x:v>
      </x:c>
      <x:c r="K43" s="339" t="str">
        <x:v>Functional</x:v>
      </x:c>
    </x:row>
    <x:row r="44">
      <x:c r="A44" s="339" t="str">
        <x:v>AC-00043</x:v>
      </x:c>
      <x:c r="B44" s="339" t="str">
        <x:v>US-0011</x:v>
      </x:c>
      <x:c r="C44" s="339" t="str">
        <x:v>SCR-006</x:v>
      </x:c>
      <x:c r="D44" s="339" t="str">
        <x:v>Public Website &amp; Authentication</x:v>
      </x:c>
      <x:c r="E44" s="339" t="str">
        <x:v>OTP / Two-Factor Verification</x:v>
      </x:c>
      <x:c r="F44" s="339" t="str">
        <x:v>State and dependency integrity</x:v>
      </x:c>
      <x:c r="G44" s="339" t="str">
        <x:v>the current record is in an allowed state (Unauthenticated → Authenticated / Locked / Expired)</x:v>
      </x:c>
      <x:c r="H44" s="339" t="str">
        <x:v>the user attempts a state-changing action</x:v>
      </x:c>
      <x:c r="I44" s="339" t="str">
        <x:v>only a valid transition is accepted and dependent records are updated according to configured business rules</x:v>
      </x:c>
      <x:c r="J44" s="339" t="str">
        <x:v>Positive</x:v>
      </x:c>
      <x:c r="K44" s="339" t="str">
        <x:v>Functional</x:v>
      </x:c>
    </x:row>
    <x:row r="45">
      <x:c r="A45" s="339" t="str">
        <x:v>AC-00044</x:v>
      </x:c>
      <x:c r="B45" s="339" t="str">
        <x:v>US-0011</x:v>
      </x:c>
      <x:c r="C45" s="339" t="str">
        <x:v>SCR-006</x:v>
      </x:c>
      <x:c r="D45" s="339" t="str">
        <x:v>Public Website &amp; Authentication</x:v>
      </x:c>
      <x:c r="E45" s="339" t="str">
        <x:v>OTP / Two-Factor Verification</x:v>
      </x:c>
      <x:c r="F45" s="339" t="str">
        <x:v>Auditability</x:v>
      </x:c>
      <x:c r="G45" s="339" t="str">
        <x:v>a material create/update/approve/reverse action occurs</x:v>
      </x:c>
      <x:c r="H45" s="339" t="str">
        <x:v>the transaction succeeds</x:v>
      </x:c>
      <x:c r="I45" s="339" t="str">
        <x:v>the system records actor, timestamp, action, target and relevant before/after or reason context in the audit trail</x:v>
      </x:c>
      <x:c r="J45" s="339" t="str">
        <x:v>Positive</x:v>
      </x:c>
      <x:c r="K45" s="339" t="str">
        <x:v>Functional</x:v>
      </x:c>
    </x:row>
    <x:row r="46">
      <x:c r="A46" s="339" t="str">
        <x:v>AC-00045</x:v>
      </x:c>
      <x:c r="B46" s="339" t="str">
        <x:v>US-0012</x:v>
      </x:c>
      <x:c r="C46" s="339" t="str">
        <x:v>SCR-006</x:v>
      </x:c>
      <x:c r="D46" s="339" t="str">
        <x:v>Public Website &amp; Authentication</x:v>
      </x:c>
      <x:c r="E46" s="339" t="str">
        <x:v>OTP / Two-Factor Verification</x:v>
      </x:c>
      <x:c r="F46" s="339" t="str">
        <x:v>Valid status transition</x:v>
      </x:c>
      <x:c r="G46" s="339" t="str">
        <x:v>the record is in a state described by Unauthenticated → Authenticated / Locked / Expired</x:v>
      </x:c>
      <x:c r="H46" s="339" t="str">
        <x:v>the user requests a transition</x:v>
      </x:c>
      <x:c r="I46" s="339" t="str">
        <x:v>the system accepts only transitions allowed for that role and state</x:v>
      </x:c>
      <x:c r="J46" s="339" t="str">
        <x:v>Positive</x:v>
      </x:c>
      <x:c r="K46" s="339" t="str">
        <x:v>Functional</x:v>
      </x:c>
    </x:row>
    <x:row r="47">
      <x:c r="A47" s="339" t="str">
        <x:v>AC-00046</x:v>
      </x:c>
      <x:c r="B47" s="339" t="str">
        <x:v>US-0012</x:v>
      </x:c>
      <x:c r="C47" s="339" t="str">
        <x:v>SCR-006</x:v>
      </x:c>
      <x:c r="D47" s="339" t="str">
        <x:v>Public Website &amp; Authentication</x:v>
      </x:c>
      <x:c r="E47" s="339" t="str">
        <x:v>OTP / Two-Factor Verification</x:v>
      </x:c>
      <x:c r="F47" s="339" t="str">
        <x:v>Approval authority</x:v>
      </x:c>
      <x:c r="G47" s="339" t="str">
        <x:v>an action requires approval</x:v>
      </x:c>
      <x:c r="H47" s="339" t="str">
        <x:v>a non-authorized user attempts approval/rejection</x:v>
      </x:c>
      <x:c r="I47" s="339" t="str">
        <x:v>the system denies the decision and does not change status</x:v>
      </x:c>
      <x:c r="J47" s="339" t="str">
        <x:v>Negative</x:v>
      </x:c>
      <x:c r="K47" s="339" t="str">
        <x:v>Functional</x:v>
      </x:c>
    </x:row>
    <x:row r="48">
      <x:c r="A48" s="339" t="str">
        <x:v>AC-00047</x:v>
      </x:c>
      <x:c r="B48" s="339" t="str">
        <x:v>US-0012</x:v>
      </x:c>
      <x:c r="C48" s="339" t="str">
        <x:v>SCR-006</x:v>
      </x:c>
      <x:c r="D48" s="339" t="str">
        <x:v>Public Website &amp; Authentication</x:v>
      </x:c>
      <x:c r="E48" s="339" t="str">
        <x:v>OTP / Two-Factor Verification</x:v>
      </x:c>
      <x:c r="F48" s="339" t="str">
        <x:v>Failure rollback</x:v>
      </x:c>
      <x:c r="G48" s="339" t="str">
        <x:v>a downstream dependency fails during a multi-step transaction</x:v>
      </x:c>
      <x:c r="H48" s="339" t="str">
        <x:v>the workflow executes</x:v>
      </x:c>
      <x:c r="I48" s="339" t="str">
        <x:v>the system does not leave an invalid partial final state and surfaces a recoverable error</x:v>
      </x:c>
      <x:c r="J48" s="339" t="str">
        <x:v>Positive</x:v>
      </x:c>
      <x:c r="K48" s="339" t="str">
        <x:v>Functional</x:v>
      </x:c>
    </x:row>
    <x:row r="49">
      <x:c r="A49" s="339" t="str">
        <x:v>AC-00048</x:v>
      </x:c>
      <x:c r="B49" s="339" t="str">
        <x:v>US-0012</x:v>
      </x:c>
      <x:c r="C49" s="339" t="str">
        <x:v>SCR-006</x:v>
      </x:c>
      <x:c r="D49" s="339" t="str">
        <x:v>Public Website &amp; Authentication</x:v>
      </x:c>
      <x:c r="E49" s="339" t="str">
        <x:v>OTP / Two-Factor Verification</x:v>
      </x:c>
      <x:c r="F49" s="339" t="str">
        <x:v>Exception traceability</x:v>
      </x:c>
      <x:c r="G49" s="339" t="str">
        <x:v>an authorized override/exception is used</x:v>
      </x:c>
      <x:c r="H49" s="339" t="str">
        <x:v>the action is confirmed</x:v>
      </x:c>
      <x:c r="I49" s="339" t="str">
        <x:v>the system requires reason/context and records it in the audit history</x:v>
      </x:c>
      <x:c r="J49" s="339" t="str">
        <x:v>Positive</x:v>
      </x:c>
      <x:c r="K49" s="339" t="str">
        <x:v>Functional</x:v>
      </x:c>
    </x:row>
    <x:row r="50">
      <x:c r="A50" s="339" t="str">
        <x:v>AC-00049</x:v>
      </x:c>
      <x:c r="B50" s="339" t="str">
        <x:v>US-0013</x:v>
      </x:c>
      <x:c r="C50" s="339" t="str">
        <x:v>SCR-007</x:v>
      </x:c>
      <x:c r="D50" s="339" t="str">
        <x:v>Public Website &amp; Authentication</x:v>
      </x:c>
      <x:c r="E50" s="339" t="str">
        <x:v>First Login / Change Password</x:v>
      </x:c>
      <x:c r="F50" s="339" t="str">
        <x:v>Authorized access to First Login / Change Password</x:v>
      </x:c>
      <x:c r="G50" s="339" t="str">
        <x:v>the User is authenticated and has access to First Login / Change Password</x:v>
      </x:c>
      <x:c r="H50" s="339" t="str">
        <x:v>the user opens or invokes First Login / Change Password</x:v>
      </x:c>
      <x:c r="I50" s="339" t="str">
        <x:v>the system loads only records and actions within the user's permitted tenant/school/data scope</x:v>
      </x:c>
      <x:c r="J50" s="339" t="str">
        <x:v>Positive</x:v>
      </x:c>
      <x:c r="K50" s="339" t="str">
        <x:v>Functional / Security</x:v>
      </x:c>
    </x:row>
    <x:row r="51">
      <x:c r="A51" s="339" t="str">
        <x:v>AC-00050</x:v>
      </x:c>
      <x:c r="B51" s="339" t="str">
        <x:v>US-0013</x:v>
      </x:c>
      <x:c r="C51" s="339" t="str">
        <x:v>SCR-007</x:v>
      </x:c>
      <x:c r="D51" s="339" t="str">
        <x:v>Public Website &amp; Authentication</x:v>
      </x:c>
      <x:c r="E51" s="339" t="str">
        <x:v>First Login / Change Password</x:v>
      </x:c>
      <x:c r="F51" s="339" t="str">
        <x:v>Successful First Login / Change Password happy path</x:v>
      </x:c>
      <x:c r="G51" s="339" t="str">
        <x:v>all mandatory prerequisites and valid data are available</x:v>
      </x:c>
      <x:c r="H51" s="339" t="str">
        <x:v>the User completes the primary action on First Login / Change Password</x:v>
      </x:c>
      <x:c r="I51" s="339" t="str">
        <x:v>the system validates the request, saves it atomically, shows a clear confirmation and reflects the updated state</x:v>
      </x:c>
      <x:c r="J51" s="339" t="str">
        <x:v>Positive</x:v>
      </x:c>
      <x:c r="K51" s="339" t="str">
        <x:v>Functional</x:v>
      </x:c>
    </x:row>
    <x:row r="52">
      <x:c r="A52" s="339" t="str">
        <x:v>AC-00051</x:v>
      </x:c>
      <x:c r="B52" s="339" t="str">
        <x:v>US-0013</x:v>
      </x:c>
      <x:c r="C52" s="339" t="str">
        <x:v>SCR-007</x:v>
      </x:c>
      <x:c r="D52" s="339" t="str">
        <x:v>Public Website &amp; Authentication</x:v>
      </x:c>
      <x:c r="E52" s="339" t="str">
        <x:v>First Login / Change Password</x:v>
      </x:c>
      <x:c r="F52" s="339" t="str">
        <x:v>State and dependency integrity</x:v>
      </x:c>
      <x:c r="G52" s="339" t="str">
        <x:v>the current record is in an allowed state (Unauthenticated → Authenticated / Locked / Expired)</x:v>
      </x:c>
      <x:c r="H52" s="339" t="str">
        <x:v>the user attempts a state-changing action</x:v>
      </x:c>
      <x:c r="I52" s="339" t="str">
        <x:v>only a valid transition is accepted and dependent records are updated according to configured business rules</x:v>
      </x:c>
      <x:c r="J52" s="339" t="str">
        <x:v>Positive</x:v>
      </x:c>
      <x:c r="K52" s="339" t="str">
        <x:v>Functional</x:v>
      </x:c>
    </x:row>
    <x:row r="53">
      <x:c r="A53" s="339" t="str">
        <x:v>AC-00052</x:v>
      </x:c>
      <x:c r="B53" s="339" t="str">
        <x:v>US-0013</x:v>
      </x:c>
      <x:c r="C53" s="339" t="str">
        <x:v>SCR-007</x:v>
      </x:c>
      <x:c r="D53" s="339" t="str">
        <x:v>Public Website &amp; Authentication</x:v>
      </x:c>
      <x:c r="E53" s="339" t="str">
        <x:v>First Login / Change Password</x:v>
      </x:c>
      <x:c r="F53" s="339" t="str">
        <x:v>Auditability</x:v>
      </x:c>
      <x:c r="G53" s="339" t="str">
        <x:v>a material create/update/approve/reverse action occurs</x:v>
      </x:c>
      <x:c r="H53" s="339" t="str">
        <x:v>the transaction succeeds</x:v>
      </x:c>
      <x:c r="I53" s="339" t="str">
        <x:v>the system records actor, timestamp, action, target and relevant before/after or reason context in the audit trail</x:v>
      </x:c>
      <x:c r="J53" s="339" t="str">
        <x:v>Positive</x:v>
      </x:c>
      <x:c r="K53" s="339" t="str">
        <x:v>Functional</x:v>
      </x:c>
    </x:row>
    <x:row r="54">
      <x:c r="A54" s="339" t="str">
        <x:v>AC-00053</x:v>
      </x:c>
      <x:c r="B54" s="339" t="str">
        <x:v>US-0014</x:v>
      </x:c>
      <x:c r="C54" s="339" t="str">
        <x:v>SCR-007</x:v>
      </x:c>
      <x:c r="D54" s="339" t="str">
        <x:v>Public Website &amp; Authentication</x:v>
      </x:c>
      <x:c r="E54" s="339" t="str">
        <x:v>First Login / Change Password</x:v>
      </x:c>
      <x:c r="F54" s="339" t="str">
        <x:v>Valid status transition</x:v>
      </x:c>
      <x:c r="G54" s="339" t="str">
        <x:v>the record is in a state described by Unauthenticated → Authenticated / Locked / Expired</x:v>
      </x:c>
      <x:c r="H54" s="339" t="str">
        <x:v>the user requests a transition</x:v>
      </x:c>
      <x:c r="I54" s="339" t="str">
        <x:v>the system accepts only transitions allowed for that role and state</x:v>
      </x:c>
      <x:c r="J54" s="339" t="str">
        <x:v>Positive</x:v>
      </x:c>
      <x:c r="K54" s="339" t="str">
        <x:v>Functional</x:v>
      </x:c>
    </x:row>
    <x:row r="55">
      <x:c r="A55" s="339" t="str">
        <x:v>AC-00054</x:v>
      </x:c>
      <x:c r="B55" s="339" t="str">
        <x:v>US-0014</x:v>
      </x:c>
      <x:c r="C55" s="339" t="str">
        <x:v>SCR-007</x:v>
      </x:c>
      <x:c r="D55" s="339" t="str">
        <x:v>Public Website &amp; Authentication</x:v>
      </x:c>
      <x:c r="E55" s="339" t="str">
        <x:v>First Login / Change Password</x:v>
      </x:c>
      <x:c r="F55" s="339" t="str">
        <x:v>Approval authority</x:v>
      </x:c>
      <x:c r="G55" s="339" t="str">
        <x:v>an action requires approval</x:v>
      </x:c>
      <x:c r="H55" s="339" t="str">
        <x:v>a non-authorized user attempts approval/rejection</x:v>
      </x:c>
      <x:c r="I55" s="339" t="str">
        <x:v>the system denies the decision and does not change status</x:v>
      </x:c>
      <x:c r="J55" s="339" t="str">
        <x:v>Negative</x:v>
      </x:c>
      <x:c r="K55" s="339" t="str">
        <x:v>Functional</x:v>
      </x:c>
    </x:row>
    <x:row r="56">
      <x:c r="A56" s="339" t="str">
        <x:v>AC-00055</x:v>
      </x:c>
      <x:c r="B56" s="339" t="str">
        <x:v>US-0014</x:v>
      </x:c>
      <x:c r="C56" s="339" t="str">
        <x:v>SCR-007</x:v>
      </x:c>
      <x:c r="D56" s="339" t="str">
        <x:v>Public Website &amp; Authentication</x:v>
      </x:c>
      <x:c r="E56" s="339" t="str">
        <x:v>First Login / Change Password</x:v>
      </x:c>
      <x:c r="F56" s="339" t="str">
        <x:v>Failure rollback</x:v>
      </x:c>
      <x:c r="G56" s="339" t="str">
        <x:v>a downstream dependency fails during a multi-step transaction</x:v>
      </x:c>
      <x:c r="H56" s="339" t="str">
        <x:v>the workflow executes</x:v>
      </x:c>
      <x:c r="I56" s="339" t="str">
        <x:v>the system does not leave an invalid partial final state and surfaces a recoverable error</x:v>
      </x:c>
      <x:c r="J56" s="339" t="str">
        <x:v>Positive</x:v>
      </x:c>
      <x:c r="K56" s="339" t="str">
        <x:v>Functional</x:v>
      </x:c>
    </x:row>
    <x:row r="57">
      <x:c r="A57" s="339" t="str">
        <x:v>AC-00056</x:v>
      </x:c>
      <x:c r="B57" s="339" t="str">
        <x:v>US-0014</x:v>
      </x:c>
      <x:c r="C57" s="339" t="str">
        <x:v>SCR-007</x:v>
      </x:c>
      <x:c r="D57" s="339" t="str">
        <x:v>Public Website &amp; Authentication</x:v>
      </x:c>
      <x:c r="E57" s="339" t="str">
        <x:v>First Login / Change Password</x:v>
      </x:c>
      <x:c r="F57" s="339" t="str">
        <x:v>Exception traceability</x:v>
      </x:c>
      <x:c r="G57" s="339" t="str">
        <x:v>an authorized override/exception is used</x:v>
      </x:c>
      <x:c r="H57" s="339" t="str">
        <x:v>the action is confirmed</x:v>
      </x:c>
      <x:c r="I57" s="339" t="str">
        <x:v>the system requires reason/context and records it in the audit history</x:v>
      </x:c>
      <x:c r="J57" s="339" t="str">
        <x:v>Positive</x:v>
      </x:c>
      <x:c r="K57" s="339" t="str">
        <x:v>Functional</x:v>
      </x:c>
    </x:row>
    <x:row r="58">
      <x:c r="A58" s="339" t="str">
        <x:v>AC-00057</x:v>
      </x:c>
      <x:c r="B58" s="339" t="str">
        <x:v>US-0015</x:v>
      </x:c>
      <x:c r="C58" s="339" t="str">
        <x:v>SCR-008</x:v>
      </x:c>
      <x:c r="D58" s="339" t="str">
        <x:v>Public Website &amp; Authentication</x:v>
      </x:c>
      <x:c r="E58" s="339" t="str">
        <x:v>Access Denied / Session Expired</x:v>
      </x:c>
      <x:c r="F58" s="339" t="str">
        <x:v>Authorized access to Access Denied / Session Expired</x:v>
      </x:c>
      <x:c r="G58" s="339" t="str">
        <x:v>the User is authenticated and has access to Access Denied / Session Expired</x:v>
      </x:c>
      <x:c r="H58" s="339" t="str">
        <x:v>the user opens or invokes Access Denied / Session Expired</x:v>
      </x:c>
      <x:c r="I58" s="339" t="str">
        <x:v>the system loads only records and actions within the user's permitted tenant/school/data scope</x:v>
      </x:c>
      <x:c r="J58" s="339" t="str">
        <x:v>Positive</x:v>
      </x:c>
      <x:c r="K58" s="339" t="str">
        <x:v>Functional / Security</x:v>
      </x:c>
    </x:row>
    <x:row r="59">
      <x:c r="A59" s="339" t="str">
        <x:v>AC-00058</x:v>
      </x:c>
      <x:c r="B59" s="339" t="str">
        <x:v>US-0015</x:v>
      </x:c>
      <x:c r="C59" s="339" t="str">
        <x:v>SCR-008</x:v>
      </x:c>
      <x:c r="D59" s="339" t="str">
        <x:v>Public Website &amp; Authentication</x:v>
      </x:c>
      <x:c r="E59" s="339" t="str">
        <x:v>Access Denied / Session Expired</x:v>
      </x:c>
      <x:c r="F59" s="339" t="str">
        <x:v>Successful Access Denied / Session Expired happy path</x:v>
      </x:c>
      <x:c r="G59" s="339" t="str">
        <x:v>all mandatory prerequisites and valid data are available</x:v>
      </x:c>
      <x:c r="H59" s="339" t="str">
        <x:v>the User completes the primary action on Access Denied / Session Expired</x:v>
      </x:c>
      <x:c r="I59" s="339" t="str">
        <x:v>the system validates the request, saves it atomically, shows a clear confirmation and reflects the updated state</x:v>
      </x:c>
      <x:c r="J59" s="339" t="str">
        <x:v>Positive</x:v>
      </x:c>
      <x:c r="K59" s="339" t="str">
        <x:v>Functional</x:v>
      </x:c>
    </x:row>
    <x:row r="60">
      <x:c r="A60" s="339" t="str">
        <x:v>AC-00059</x:v>
      </x:c>
      <x:c r="B60" s="339" t="str">
        <x:v>US-0015</x:v>
      </x:c>
      <x:c r="C60" s="339" t="str">
        <x:v>SCR-008</x:v>
      </x:c>
      <x:c r="D60" s="339" t="str">
        <x:v>Public Website &amp; Authentication</x:v>
      </x:c>
      <x:c r="E60" s="339" t="str">
        <x:v>Access Denied / Session Expired</x:v>
      </x:c>
      <x:c r="F60" s="339" t="str">
        <x:v>State and dependency integrity</x:v>
      </x:c>
      <x:c r="G60" s="339" t="str">
        <x:v>the current record is in an allowed state (Unauthenticated → Authenticated / Locked / Expired)</x:v>
      </x:c>
      <x:c r="H60" s="339" t="str">
        <x:v>the user attempts a state-changing action</x:v>
      </x:c>
      <x:c r="I60" s="339" t="str">
        <x:v>only a valid transition is accepted and dependent records are updated according to configured business rules</x:v>
      </x:c>
      <x:c r="J60" s="339" t="str">
        <x:v>Positive</x:v>
      </x:c>
      <x:c r="K60" s="339" t="str">
        <x:v>Functional</x:v>
      </x:c>
    </x:row>
    <x:row r="61">
      <x:c r="A61" s="339" t="str">
        <x:v>AC-00060</x:v>
      </x:c>
      <x:c r="B61" s="339" t="str">
        <x:v>US-0015</x:v>
      </x:c>
      <x:c r="C61" s="339" t="str">
        <x:v>SCR-008</x:v>
      </x:c>
      <x:c r="D61" s="339" t="str">
        <x:v>Public Website &amp; Authentication</x:v>
      </x:c>
      <x:c r="E61" s="339" t="str">
        <x:v>Access Denied / Session Expired</x:v>
      </x:c>
      <x:c r="F61" s="339" t="str">
        <x:v>Auditability</x:v>
      </x:c>
      <x:c r="G61" s="339" t="str">
        <x:v>a material create/update/approve/reverse action occurs</x:v>
      </x:c>
      <x:c r="H61" s="339" t="str">
        <x:v>the transaction succeeds</x:v>
      </x:c>
      <x:c r="I61" s="339" t="str">
        <x:v>the system records actor, timestamp, action, target and relevant before/after or reason context in the audit trail</x:v>
      </x:c>
      <x:c r="J61" s="339" t="str">
        <x:v>Positive</x:v>
      </x:c>
      <x:c r="K61" s="339" t="str">
        <x:v>Functional</x:v>
      </x:c>
    </x:row>
    <x:row r="62">
      <x:c r="A62" s="339" t="str">
        <x:v>AC-00061</x:v>
      </x:c>
      <x:c r="B62" s="339" t="str">
        <x:v>US-0016</x:v>
      </x:c>
      <x:c r="C62" s="339" t="str">
        <x:v>SCR-008</x:v>
      </x:c>
      <x:c r="D62" s="339" t="str">
        <x:v>Public Website &amp; Authentication</x:v>
      </x:c>
      <x:c r="E62" s="339" t="str">
        <x:v>Access Denied / Session Expired</x:v>
      </x:c>
      <x:c r="F62" s="339" t="str">
        <x:v>Valid status transition</x:v>
      </x:c>
      <x:c r="G62" s="339" t="str">
        <x:v>the record is in a state described by Unauthenticated → Authenticated / Locked / Expired</x:v>
      </x:c>
      <x:c r="H62" s="339" t="str">
        <x:v>the user requests a transition</x:v>
      </x:c>
      <x:c r="I62" s="339" t="str">
        <x:v>the system accepts only transitions allowed for that role and state</x:v>
      </x:c>
      <x:c r="J62" s="339" t="str">
        <x:v>Positive</x:v>
      </x:c>
      <x:c r="K62" s="339" t="str">
        <x:v>Functional</x:v>
      </x:c>
    </x:row>
    <x:row r="63">
      <x:c r="A63" s="339" t="str">
        <x:v>AC-00062</x:v>
      </x:c>
      <x:c r="B63" s="339" t="str">
        <x:v>US-0016</x:v>
      </x:c>
      <x:c r="C63" s="339" t="str">
        <x:v>SCR-008</x:v>
      </x:c>
      <x:c r="D63" s="339" t="str">
        <x:v>Public Website &amp; Authentication</x:v>
      </x:c>
      <x:c r="E63" s="339" t="str">
        <x:v>Access Denied / Session Expired</x:v>
      </x:c>
      <x:c r="F63" s="339" t="str">
        <x:v>Approval authority</x:v>
      </x:c>
      <x:c r="G63" s="339" t="str">
        <x:v>an action requires approval</x:v>
      </x:c>
      <x:c r="H63" s="339" t="str">
        <x:v>a non-authorized user attempts approval/rejection</x:v>
      </x:c>
      <x:c r="I63" s="339" t="str">
        <x:v>the system denies the decision and does not change status</x:v>
      </x:c>
      <x:c r="J63" s="339" t="str">
        <x:v>Negative</x:v>
      </x:c>
      <x:c r="K63" s="339" t="str">
        <x:v>Functional</x:v>
      </x:c>
    </x:row>
    <x:row r="64">
      <x:c r="A64" s="339" t="str">
        <x:v>AC-00063</x:v>
      </x:c>
      <x:c r="B64" s="339" t="str">
        <x:v>US-0016</x:v>
      </x:c>
      <x:c r="C64" s="339" t="str">
        <x:v>SCR-008</x:v>
      </x:c>
      <x:c r="D64" s="339" t="str">
        <x:v>Public Website &amp; Authentication</x:v>
      </x:c>
      <x:c r="E64" s="339" t="str">
        <x:v>Access Denied / Session Expired</x:v>
      </x:c>
      <x:c r="F64" s="339" t="str">
        <x:v>Failure rollback</x:v>
      </x:c>
      <x:c r="G64" s="339" t="str">
        <x:v>a downstream dependency fails during a multi-step transaction</x:v>
      </x:c>
      <x:c r="H64" s="339" t="str">
        <x:v>the workflow executes</x:v>
      </x:c>
      <x:c r="I64" s="339" t="str">
        <x:v>the system does not leave an invalid partial final state and surfaces a recoverable error</x:v>
      </x:c>
      <x:c r="J64" s="339" t="str">
        <x:v>Positive</x:v>
      </x:c>
      <x:c r="K64" s="339" t="str">
        <x:v>Functional</x:v>
      </x:c>
    </x:row>
    <x:row r="65">
      <x:c r="A65" s="339" t="str">
        <x:v>AC-00064</x:v>
      </x:c>
      <x:c r="B65" s="339" t="str">
        <x:v>US-0016</x:v>
      </x:c>
      <x:c r="C65" s="339" t="str">
        <x:v>SCR-008</x:v>
      </x:c>
      <x:c r="D65" s="339" t="str">
        <x:v>Public Website &amp; Authentication</x:v>
      </x:c>
      <x:c r="E65" s="339" t="str">
        <x:v>Access Denied / Session Expired</x:v>
      </x:c>
      <x:c r="F65" s="339" t="str">
        <x:v>Exception traceability</x:v>
      </x:c>
      <x:c r="G65" s="339" t="str">
        <x:v>an authorized override/exception is used</x:v>
      </x:c>
      <x:c r="H65" s="339" t="str">
        <x:v>the action is confirmed</x:v>
      </x:c>
      <x:c r="I65" s="339" t="str">
        <x:v>the system requires reason/context and records it in the audit history</x:v>
      </x:c>
      <x:c r="J65" s="339" t="str">
        <x:v>Positive</x:v>
      </x:c>
      <x:c r="K65" s="339" t="str">
        <x:v>Functional</x:v>
      </x:c>
    </x:row>
    <x:row r="66">
      <x:c r="A66" s="339" t="str">
        <x:v>AC-00065</x:v>
      </x:c>
      <x:c r="B66" s="339" t="str">
        <x:v>US-0017</x:v>
      </x:c>
      <x:c r="C66" s="339" t="str">
        <x:v>SCR-009</x:v>
      </x:c>
      <x:c r="D66" s="339" t="str">
        <x:v>Super Admin / SaaS Administration</x:v>
      </x:c>
      <x:c r="E66" s="339" t="str">
        <x:v>Platform Dashboard</x:v>
      </x:c>
      <x:c r="F66" s="339" t="str">
        <x:v>Authorized access to Platform Dashboard</x:v>
      </x:c>
      <x:c r="G66" s="339" t="str">
        <x:v>the Platform is authenticated and has access to Platform Dashboard</x:v>
      </x:c>
      <x:c r="H66" s="339" t="str">
        <x:v>the user opens or invokes Platform Dashboard</x:v>
      </x:c>
      <x:c r="I66" s="339" t="str">
        <x:v>the system loads only records and actions within the user's permitted tenant/school/data scope</x:v>
      </x:c>
      <x:c r="J66" s="339" t="str">
        <x:v>Positive</x:v>
      </x:c>
      <x:c r="K66" s="339" t="str">
        <x:v>Functional / Security</x:v>
      </x:c>
    </x:row>
    <x:row r="67">
      <x:c r="A67" s="339" t="str">
        <x:v>AC-00066</x:v>
      </x:c>
      <x:c r="B67" s="339" t="str">
        <x:v>US-0017</x:v>
      </x:c>
      <x:c r="C67" s="339" t="str">
        <x:v>SCR-009</x:v>
      </x:c>
      <x:c r="D67" s="339" t="str">
        <x:v>Super Admin / SaaS Administration</x:v>
      </x:c>
      <x:c r="E67" s="339" t="str">
        <x:v>Platform Dashboard</x:v>
      </x:c>
      <x:c r="F67" s="339" t="str">
        <x:v>Successful Platform Dashboard happy path</x:v>
      </x:c>
      <x:c r="G67" s="339" t="str">
        <x:v>all mandatory prerequisites and valid data are available</x:v>
      </x:c>
      <x:c r="H67" s="339" t="str">
        <x:v>the Platform completes the primary action on Platform Dashboard</x:v>
      </x:c>
      <x:c r="I67" s="339" t="str">
        <x:v>the system validates the request, saves it atomically, shows a clear confirmation and reflects the updated state</x:v>
      </x:c>
      <x:c r="J67" s="339" t="str">
        <x:v>Positive</x:v>
      </x:c>
      <x:c r="K67" s="339" t="str">
        <x:v>Functional</x:v>
      </x:c>
    </x:row>
    <x:row r="68">
      <x:c r="A68" s="339" t="str">
        <x:v>AC-00067</x:v>
      </x:c>
      <x:c r="B68" s="339" t="str">
        <x:v>US-0017</x:v>
      </x:c>
      <x:c r="C68" s="339" t="str">
        <x:v>SCR-009</x:v>
      </x:c>
      <x:c r="D68" s="339" t="str">
        <x:v>Super Admin / SaaS Administration</x:v>
      </x:c>
      <x:c r="E68" s="339" t="str">
        <x:v>Platform Dashboard</x:v>
      </x:c>
      <x:c r="F68" s="339" t="str">
        <x:v>State and dependency integrity</x:v>
      </x:c>
      <x:c r="G68" s="339" t="str">
        <x:v>the current record is in an allowed state (Trial / Draft → Active → Suspended → Cancelled / Archived)</x:v>
      </x:c>
      <x:c r="H68" s="339" t="str">
        <x:v>the user attempts a state-changing action</x:v>
      </x:c>
      <x:c r="I68" s="339" t="str">
        <x:v>only a valid transition is accepted and dependent records are updated according to configured business rules</x:v>
      </x:c>
      <x:c r="J68" s="339" t="str">
        <x:v>Positive</x:v>
      </x:c>
      <x:c r="K68" s="339" t="str">
        <x:v>Functional</x:v>
      </x:c>
    </x:row>
    <x:row r="69">
      <x:c r="A69" s="339" t="str">
        <x:v>AC-00068</x:v>
      </x:c>
      <x:c r="B69" s="339" t="str">
        <x:v>US-0017</x:v>
      </x:c>
      <x:c r="C69" s="339" t="str">
        <x:v>SCR-009</x:v>
      </x:c>
      <x:c r="D69" s="339" t="str">
        <x:v>Super Admin / SaaS Administration</x:v>
      </x:c>
      <x:c r="E69" s="339" t="str">
        <x:v>Platform Dashboard</x:v>
      </x:c>
      <x:c r="F69" s="339" t="str">
        <x:v>Auditability</x:v>
      </x:c>
      <x:c r="G69" s="339" t="str">
        <x:v>a material create/update/approve/reverse action occurs</x:v>
      </x:c>
      <x:c r="H69" s="339" t="str">
        <x:v>the transaction succeeds</x:v>
      </x:c>
      <x:c r="I69" s="339" t="str">
        <x:v>the system records actor, timestamp, action, target and relevant before/after or reason context in the audit trail</x:v>
      </x:c>
      <x:c r="J69" s="339" t="str">
        <x:v>Positive</x:v>
      </x:c>
      <x:c r="K69" s="339" t="str">
        <x:v>Functional</x:v>
      </x:c>
    </x:row>
    <x:row r="70">
      <x:c r="A70" s="339" t="str">
        <x:v>AC-00069</x:v>
      </x:c>
      <x:c r="B70" s="339" t="str">
        <x:v>US-0018</x:v>
      </x:c>
      <x:c r="C70" s="339" t="str">
        <x:v>SCR-009</x:v>
      </x:c>
      <x:c r="D70" s="339" t="str">
        <x:v>Super Admin / SaaS Administration</x:v>
      </x:c>
      <x:c r="E70" s="339" t="str">
        <x:v>Platform Dashboard</x:v>
      </x:c>
      <x:c r="F70" s="339" t="str">
        <x:v>KPI reconciliation</x:v>
      </x:c>
      <x:c r="G70" s="339" t="str">
        <x:v>underlying source transactions exist</x:v>
      </x:c>
      <x:c r="H70" s="339" t="str">
        <x:v>the dashboard calculates metrics</x:v>
      </x:c>
      <x:c r="I70" s="339" t="str">
        <x:v>dashboard values reconcile to the same filtered source records used by detailed reports</x:v>
      </x:c>
      <x:c r="J70" s="339" t="str">
        <x:v>Positive</x:v>
      </x:c>
      <x:c r="K70" s="339" t="str">
        <x:v>Functional</x:v>
      </x:c>
    </x:row>
    <x:row r="71">
      <x:c r="A71" s="339" t="str">
        <x:v>AC-00070</x:v>
      </x:c>
      <x:c r="B71" s="339" t="str">
        <x:v>US-0018</x:v>
      </x:c>
      <x:c r="C71" s="339" t="str">
        <x:v>SCR-009</x:v>
      </x:c>
      <x:c r="D71" s="339" t="str">
        <x:v>Super Admin / SaaS Administration</x:v>
      </x:c>
      <x:c r="E71" s="339" t="str">
        <x:v>Platform Dashboard</x:v>
      </x:c>
      <x:c r="F71" s="339" t="str">
        <x:v>Drill-down context</x:v>
      </x:c>
      <x:c r="G71" s="339" t="str">
        <x:v>a KPI or alert is visible</x:v>
      </x:c>
      <x:c r="H71" s="339" t="str">
        <x:v>the user drills into it</x:v>
      </x:c>
      <x:c r="I71" s="339" t="str">
        <x:v>the destination preserves relevant date/school/class/status filter context</x:v>
      </x:c>
      <x:c r="J71" s="339" t="str">
        <x:v>Positive</x:v>
      </x:c>
      <x:c r="K71" s="339" t="str">
        <x:v>Functional</x:v>
      </x:c>
    </x:row>
    <x:row r="72">
      <x:c r="A72" s="339" t="str">
        <x:v>AC-00071</x:v>
      </x:c>
      <x:c r="B72" s="339" t="str">
        <x:v>US-0018</x:v>
      </x:c>
      <x:c r="C72" s="339" t="str">
        <x:v>SCR-009</x:v>
      </x:c>
      <x:c r="D72" s="339" t="str">
        <x:v>Super Admin / SaaS Administration</x:v>
      </x:c>
      <x:c r="E72" s="339" t="str">
        <x:v>Platform Dashboard</x:v>
      </x:c>
      <x:c r="F72" s="339" t="str">
        <x:v>Freshness and failure handling</x:v>
      </x:c>
      <x:c r="G72" s="339" t="str">
        <x:v>one source service is delayed or unavailable</x:v>
      </x:c>
      <x:c r="H72" s="339" t="str">
        <x:v>the dashboard loads</x:v>
      </x:c>
      <x:c r="I72" s="339" t="str">
        <x:v>the UI identifies stale/unavailable data without fabricating or silently zeroing the metric</x:v>
      </x:c>
      <x:c r="J72" s="339" t="str">
        <x:v>Positive</x:v>
      </x:c>
      <x:c r="K72" s="339" t="str">
        <x:v>Functional</x:v>
      </x:c>
    </x:row>
    <x:row r="73">
      <x:c r="A73" s="339" t="str">
        <x:v>AC-00072</x:v>
      </x:c>
      <x:c r="B73" s="339" t="str">
        <x:v>US-0018</x:v>
      </x:c>
      <x:c r="C73" s="339" t="str">
        <x:v>SCR-009</x:v>
      </x:c>
      <x:c r="D73" s="339" t="str">
        <x:v>Super Admin / SaaS Administration</x:v>
      </x:c>
      <x:c r="E73" s="339" t="str">
        <x:v>Platform Dashboard</x:v>
      </x:c>
      <x:c r="F73" s="339" t="str">
        <x:v>Scoped visibility</x:v>
      </x:c>
      <x:c r="G73" s="339" t="str">
        <x:v>the same dashboard is used by users with different permissions</x:v>
      </x:c>
      <x:c r="H73" s="339" t="str">
        <x:v>each user loads it</x:v>
      </x:c>
      <x:c r="I73" s="339" t="str">
        <x:v>each sees only authorized metrics, alerts and record-level drill-downs</x:v>
      </x:c>
      <x:c r="J73" s="339" t="str">
        <x:v>Positive</x:v>
      </x:c>
      <x:c r="K73" s="339" t="str">
        <x:v>Functional</x:v>
      </x:c>
    </x:row>
    <x:row r="74">
      <x:c r="A74" s="339" t="str">
        <x:v>AC-00073</x:v>
      </x:c>
      <x:c r="B74" s="339" t="str">
        <x:v>US-0019</x:v>
      </x:c>
      <x:c r="C74" s="339" t="str">
        <x:v>SCR-010</x:v>
      </x:c>
      <x:c r="D74" s="339" t="str">
        <x:v>Super Admin / SaaS Administration</x:v>
      </x:c>
      <x:c r="E74" s="339" t="str">
        <x:v>Organizations List</x:v>
      </x:c>
      <x:c r="F74" s="339" t="str">
        <x:v>Authorized access to Organizations List</x:v>
      </x:c>
      <x:c r="G74" s="339" t="str">
        <x:v>the Super Admin is authenticated and has access to Organizations List</x:v>
      </x:c>
      <x:c r="H74" s="339" t="str">
        <x:v>the user opens or invokes Organizations List</x:v>
      </x:c>
      <x:c r="I74" s="339" t="str">
        <x:v>the system loads only records and actions within the user's permitted tenant/school/data scope</x:v>
      </x:c>
      <x:c r="J74" s="339" t="str">
        <x:v>Positive</x:v>
      </x:c>
      <x:c r="K74" s="339" t="str">
        <x:v>Functional / Security</x:v>
      </x:c>
    </x:row>
    <x:row r="75">
      <x:c r="A75" s="339" t="str">
        <x:v>AC-00074</x:v>
      </x:c>
      <x:c r="B75" s="339" t="str">
        <x:v>US-0019</x:v>
      </x:c>
      <x:c r="C75" s="339" t="str">
        <x:v>SCR-010</x:v>
      </x:c>
      <x:c r="D75" s="339" t="str">
        <x:v>Super Admin / SaaS Administration</x:v>
      </x:c>
      <x:c r="E75" s="339" t="str">
        <x:v>Organizations List</x:v>
      </x:c>
      <x:c r="F75" s="339" t="str">
        <x:v>Successful Organizations List happy path</x:v>
      </x:c>
      <x:c r="G75" s="339" t="str">
        <x:v>all mandatory prerequisites and valid data are available</x:v>
      </x:c>
      <x:c r="H75" s="339" t="str">
        <x:v>the Super Admin completes the primary action on Organizations List</x:v>
      </x:c>
      <x:c r="I75" s="339" t="str">
        <x:v>the system validates the request, saves it atomically, shows a clear confirmation and reflects the updated state</x:v>
      </x:c>
      <x:c r="J75" s="339" t="str">
        <x:v>Positive</x:v>
      </x:c>
      <x:c r="K75" s="339" t="str">
        <x:v>Functional</x:v>
      </x:c>
    </x:row>
    <x:row r="76">
      <x:c r="A76" s="339" t="str">
        <x:v>AC-00075</x:v>
      </x:c>
      <x:c r="B76" s="339" t="str">
        <x:v>US-0019</x:v>
      </x:c>
      <x:c r="C76" s="339" t="str">
        <x:v>SCR-010</x:v>
      </x:c>
      <x:c r="D76" s="339" t="str">
        <x:v>Super Admin / SaaS Administration</x:v>
      </x:c>
      <x:c r="E76" s="339" t="str">
        <x:v>Organizations List</x:v>
      </x:c>
      <x:c r="F76" s="339" t="str">
        <x:v>State and dependency integrity</x:v>
      </x:c>
      <x:c r="G76" s="339" t="str">
        <x:v>the current record is in an allowed state (Trial / Draft → Active → Suspended → Cancelled / Archived)</x:v>
      </x:c>
      <x:c r="H76" s="339" t="str">
        <x:v>the user attempts a state-changing action</x:v>
      </x:c>
      <x:c r="I76" s="339" t="str">
        <x:v>only a valid transition is accepted and dependent records are updated according to configured business rules</x:v>
      </x:c>
      <x:c r="J76" s="339" t="str">
        <x:v>Positive</x:v>
      </x:c>
      <x:c r="K76" s="339" t="str">
        <x:v>Functional</x:v>
      </x:c>
    </x:row>
    <x:row r="77">
      <x:c r="A77" s="339" t="str">
        <x:v>AC-00076</x:v>
      </x:c>
      <x:c r="B77" s="339" t="str">
        <x:v>US-0019</x:v>
      </x:c>
      <x:c r="C77" s="339" t="str">
        <x:v>SCR-010</x:v>
      </x:c>
      <x:c r="D77" s="339" t="str">
        <x:v>Super Admin / SaaS Administration</x:v>
      </x:c>
      <x:c r="E77" s="339" t="str">
        <x:v>Organizations List</x:v>
      </x:c>
      <x:c r="F77" s="339" t="str">
        <x:v>Auditability</x:v>
      </x:c>
      <x:c r="G77" s="339" t="str">
        <x:v>a material create/update/approve/reverse action occurs</x:v>
      </x:c>
      <x:c r="H77" s="339" t="str">
        <x:v>the transaction succeeds</x:v>
      </x:c>
      <x:c r="I77" s="339" t="str">
        <x:v>the system records actor, timestamp, action, target and relevant before/after or reason context in the audit trail</x:v>
      </x:c>
      <x:c r="J77" s="339" t="str">
        <x:v>Positive</x:v>
      </x:c>
      <x:c r="K77" s="339" t="str">
        <x:v>Functional</x:v>
      </x:c>
    </x:row>
    <x:row r="78">
      <x:c r="A78" s="339" t="str">
        <x:v>AC-00077</x:v>
      </x:c>
      <x:c r="B78" s="339" t="str">
        <x:v>US-0020</x:v>
      </x:c>
      <x:c r="C78" s="339" t="str">
        <x:v>SCR-010</x:v>
      </x:c>
      <x:c r="D78" s="339" t="str">
        <x:v>Super Admin / SaaS Administration</x:v>
      </x:c>
      <x:c r="E78" s="339" t="str">
        <x:v>Organizations List</x:v>
      </x:c>
      <x:c r="F78" s="339" t="str">
        <x:v>Search and filtering</x:v>
      </x:c>
      <x:c r="G78" s="339" t="str">
        <x:v>authorized records exist across multiple values</x:v>
      </x:c>
      <x:c r="H78" s="339" t="str">
        <x:v>the user applies search, filters, sorting or pagination</x:v>
      </x:c>
      <x:c r="I78" s="339" t="str">
        <x:v>the results match all selected criteria and remain within the user's data scope</x:v>
      </x:c>
      <x:c r="J78" s="339" t="str">
        <x:v>Positive</x:v>
      </x:c>
      <x:c r="K78" s="339" t="str">
        <x:v>Functional</x:v>
      </x:c>
    </x:row>
    <x:row r="79">
      <x:c r="A79" s="339" t="str">
        <x:v>AC-00078</x:v>
      </x:c>
      <x:c r="B79" s="339" t="str">
        <x:v>US-0020</x:v>
      </x:c>
      <x:c r="C79" s="339" t="str">
        <x:v>SCR-010</x:v>
      </x:c>
      <x:c r="D79" s="339" t="str">
        <x:v>Super Admin / SaaS Administration</x:v>
      </x:c>
      <x:c r="E79" s="339" t="str">
        <x:v>Organizations List</x:v>
      </x:c>
      <x:c r="F79" s="339" t="str">
        <x:v>Controlled row actions</x:v>
      </x:c>
      <x:c r="G79" s="339" t="str">
        <x:v>records are returned in the list</x:v>
      </x:c>
      <x:c r="H79" s="339" t="str">
        <x:v>the user opens the action menu</x:v>
      </x:c>
      <x:c r="I79" s="339" t="str">
        <x:v>only actions permitted for the user's role and the record's current state are offered</x:v>
      </x:c>
      <x:c r="J79" s="339" t="str">
        <x:v>Positive</x:v>
      </x:c>
      <x:c r="K79" s="339" t="str">
        <x:v>Functional</x:v>
      </x:c>
    </x:row>
    <x:row r="80">
      <x:c r="A80" s="339" t="str">
        <x:v>AC-00079</x:v>
      </x:c>
      <x:c r="B80" s="339" t="str">
        <x:v>US-0020</x:v>
      </x:c>
      <x:c r="C80" s="339" t="str">
        <x:v>SCR-010</x:v>
      </x:c>
      <x:c r="D80" s="339" t="str">
        <x:v>Super Admin / SaaS Administration</x:v>
      </x:c>
      <x:c r="E80" s="339" t="str">
        <x:v>Organizations List</x:v>
      </x:c>
      <x:c r="F80" s="339" t="str">
        <x:v>Empty/no-result handling</x:v>
      </x:c>
      <x:c r="G80" s="339" t="str">
        <x:v>no record matches the current criteria</x:v>
      </x:c>
      <x:c r="H80" s="339" t="str">
        <x:v>the query completes</x:v>
      </x:c>
      <x:c r="I80" s="339" t="str">
        <x:v>the system shows a clear empty state without treating it as an application error</x:v>
      </x:c>
      <x:c r="J80" s="339" t="str">
        <x:v>Positive</x:v>
      </x:c>
      <x:c r="K80" s="339" t="str">
        <x:v>Functional</x:v>
      </x:c>
    </x:row>
    <x:row r="81">
      <x:c r="A81" s="339" t="str">
        <x:v>AC-00080</x:v>
      </x:c>
      <x:c r="B81" s="339" t="str">
        <x:v>US-0020</x:v>
      </x:c>
      <x:c r="C81" s="339" t="str">
        <x:v>SCR-010</x:v>
      </x:c>
      <x:c r="D81" s="339" t="str">
        <x:v>Super Admin / SaaS Administration</x:v>
      </x:c>
      <x:c r="E81" s="339" t="str">
        <x:v>Organizations List</x:v>
      </x:c>
      <x:c r="F81" s="339" t="str">
        <x:v>Export scope</x:v>
      </x:c>
      <x:c r="G81" s="339" t="str">
        <x:v>the user has export permission</x:v>
      </x:c>
      <x:c r="H81" s="339" t="str">
        <x:v>the user exports the filtered list</x:v>
      </x:c>
      <x:c r="I81" s="339" t="str">
        <x:v>the export contains the same authorized filter scope and excludes restricted fields</x:v>
      </x:c>
      <x:c r="J81" s="339" t="str">
        <x:v>Positive</x:v>
      </x:c>
      <x:c r="K81" s="339" t="str">
        <x:v>Functional</x:v>
      </x:c>
    </x:row>
    <x:row r="82">
      <x:c r="A82" s="339" t="str">
        <x:v>AC-00081</x:v>
      </x:c>
      <x:c r="B82" s="339" t="str">
        <x:v>US-0021</x:v>
      </x:c>
      <x:c r="C82" s="339" t="str">
        <x:v>SCR-011</x:v>
      </x:c>
      <x:c r="D82" s="339" t="str">
        <x:v>Super Admin / SaaS Administration</x:v>
      </x:c>
      <x:c r="E82" s="339" t="str">
        <x:v>Add Organization</x:v>
      </x:c>
      <x:c r="F82" s="339" t="str">
        <x:v>Authorized access to Add Organization</x:v>
      </x:c>
      <x:c r="G82" s="339" t="str">
        <x:v>the Super Admin is authenticated and has access to Add Organization</x:v>
      </x:c>
      <x:c r="H82" s="339" t="str">
        <x:v>the user opens or invokes Add Organization</x:v>
      </x:c>
      <x:c r="I82" s="339" t="str">
        <x:v>the system loads only records and actions within the user's permitted tenant/school/data scope</x:v>
      </x:c>
      <x:c r="J82" s="339" t="str">
        <x:v>Positive</x:v>
      </x:c>
      <x:c r="K82" s="339" t="str">
        <x:v>Functional / Security</x:v>
      </x:c>
    </x:row>
    <x:row r="83">
      <x:c r="A83" s="339" t="str">
        <x:v>AC-00082</x:v>
      </x:c>
      <x:c r="B83" s="339" t="str">
        <x:v>US-0021</x:v>
      </x:c>
      <x:c r="C83" s="339" t="str">
        <x:v>SCR-011</x:v>
      </x:c>
      <x:c r="D83" s="339" t="str">
        <x:v>Super Admin / SaaS Administration</x:v>
      </x:c>
      <x:c r="E83" s="339" t="str">
        <x:v>Add Organization</x:v>
      </x:c>
      <x:c r="F83" s="339" t="str">
        <x:v>Successful Add Organization happy path</x:v>
      </x:c>
      <x:c r="G83" s="339" t="str">
        <x:v>all mandatory prerequisites and valid data are available</x:v>
      </x:c>
      <x:c r="H83" s="339" t="str">
        <x:v>the Super Admin completes the primary action on Add Organization</x:v>
      </x:c>
      <x:c r="I83" s="339" t="str">
        <x:v>the system validates the request, saves it atomically, shows a clear confirmation and reflects the updated state</x:v>
      </x:c>
      <x:c r="J83" s="339" t="str">
        <x:v>Positive</x:v>
      </x:c>
      <x:c r="K83" s="339" t="str">
        <x:v>Functional</x:v>
      </x:c>
    </x:row>
    <x:row r="84">
      <x:c r="A84" s="339" t="str">
        <x:v>AC-00083</x:v>
      </x:c>
      <x:c r="B84" s="339" t="str">
        <x:v>US-0021</x:v>
      </x:c>
      <x:c r="C84" s="339" t="str">
        <x:v>SCR-011</x:v>
      </x:c>
      <x:c r="D84" s="339" t="str">
        <x:v>Super Admin / SaaS Administration</x:v>
      </x:c>
      <x:c r="E84" s="339" t="str">
        <x:v>Add Organization</x:v>
      </x:c>
      <x:c r="F84" s="339" t="str">
        <x:v>State and dependency integrity</x:v>
      </x:c>
      <x:c r="G84" s="339" t="str">
        <x:v>the current record is in an allowed state (Trial / Draft → Active → Suspended → Cancelled / Archived)</x:v>
      </x:c>
      <x:c r="H84" s="339" t="str">
        <x:v>the user attempts a state-changing action</x:v>
      </x:c>
      <x:c r="I84" s="339" t="str">
        <x:v>only a valid transition is accepted and dependent records are updated according to configured business rules</x:v>
      </x:c>
      <x:c r="J84" s="339" t="str">
        <x:v>Positive</x:v>
      </x:c>
      <x:c r="K84" s="339" t="str">
        <x:v>Functional</x:v>
      </x:c>
    </x:row>
    <x:row r="85">
      <x:c r="A85" s="339" t="str">
        <x:v>AC-00084</x:v>
      </x:c>
      <x:c r="B85" s="339" t="str">
        <x:v>US-0021</x:v>
      </x:c>
      <x:c r="C85" s="339" t="str">
        <x:v>SCR-011</x:v>
      </x:c>
      <x:c r="D85" s="339" t="str">
        <x:v>Super Admin / SaaS Administration</x:v>
      </x:c>
      <x:c r="E85" s="339" t="str">
        <x:v>Add Organization</x:v>
      </x:c>
      <x:c r="F85" s="339" t="str">
        <x:v>Auditability</x:v>
      </x:c>
      <x:c r="G85" s="339" t="str">
        <x:v>a material create/update/approve/reverse action occurs</x:v>
      </x:c>
      <x:c r="H85" s="339" t="str">
        <x:v>the transaction succeeds</x:v>
      </x:c>
      <x:c r="I85" s="339" t="str">
        <x:v>the system records actor, timestamp, action, target and relevant before/after or reason context in the audit trail</x:v>
      </x:c>
      <x:c r="J85" s="339" t="str">
        <x:v>Positive</x:v>
      </x:c>
      <x:c r="K85" s="339" t="str">
        <x:v>Functional</x:v>
      </x:c>
    </x:row>
    <x:row r="86">
      <x:c r="A86" s="339" t="str">
        <x:v>AC-00085</x:v>
      </x:c>
      <x:c r="B86" s="339" t="str">
        <x:v>US-0022</x:v>
      </x:c>
      <x:c r="C86" s="339" t="str">
        <x:v>SCR-011</x:v>
      </x:c>
      <x:c r="D86" s="339" t="str">
        <x:v>Super Admin / SaaS Administration</x:v>
      </x:c>
      <x:c r="E86" s="339" t="str">
        <x:v>Add Organization</x:v>
      </x:c>
      <x:c r="F86" s="339" t="str">
        <x:v>Required-field validation</x:v>
      </x:c>
      <x:c r="G86" s="339" t="str">
        <x:v>one or more required values are missing/invalid</x:v>
      </x:c>
      <x:c r="H86" s="339" t="str">
        <x:v>the user submits the form</x:v>
      </x:c>
      <x:c r="I86" s="339" t="str">
        <x:v>submission is blocked and field-level messages identify what must be corrected</x:v>
      </x:c>
      <x:c r="J86" s="339" t="str">
        <x:v>Positive</x:v>
      </x:c>
      <x:c r="K86" s="339" t="str">
        <x:v>Functional</x:v>
      </x:c>
    </x:row>
    <x:row r="87">
      <x:c r="A87" s="339" t="str">
        <x:v>AC-00086</x:v>
      </x:c>
      <x:c r="B87" s="339" t="str">
        <x:v>US-0022</x:v>
      </x:c>
      <x:c r="C87" s="339" t="str">
        <x:v>SCR-011</x:v>
      </x:c>
      <x:c r="D87" s="339" t="str">
        <x:v>Super Admin / SaaS Administration</x:v>
      </x:c>
      <x:c r="E87" s="339" t="str">
        <x:v>Add Organization</x:v>
      </x:c>
      <x:c r="F87" s="339" t="str">
        <x:v>Duplicate prevention</x:v>
      </x:c>
      <x:c r="G87" s="339" t="str">
        <x:v>a potentially duplicate record exists</x:v>
      </x:c>
      <x:c r="H87" s="339" t="str">
        <x:v>the user submits matching identity/master data</x:v>
      </x:c>
      <x:c r="I87" s="339" t="str">
        <x:v>the system blocks or warns according to configured duplicate policy before creating another record</x:v>
      </x:c>
      <x:c r="J87" s="339" t="str">
        <x:v>Negative</x:v>
      </x:c>
      <x:c r="K87" s="339" t="str">
        <x:v>Functional</x:v>
      </x:c>
    </x:row>
    <x:row r="88">
      <x:c r="A88" s="339" t="str">
        <x:v>AC-00087</x:v>
      </x:c>
      <x:c r="B88" s="339" t="str">
        <x:v>US-0022</x:v>
      </x:c>
      <x:c r="C88" s="339" t="str">
        <x:v>SCR-011</x:v>
      </x:c>
      <x:c r="D88" s="339" t="str">
        <x:v>Super Admin / SaaS Administration</x:v>
      </x:c>
      <x:c r="E88" s="339" t="str">
        <x:v>Add Organization</x:v>
      </x:c>
      <x:c r="F88" s="339" t="str">
        <x:v>Reference-data integrity</x:v>
      </x:c>
      <x:c r="G88" s="339" t="str">
        <x:v>the form contains master-data selections</x:v>
      </x:c>
      <x:c r="H88" s="339" t="str">
        <x:v>the user submits</x:v>
      </x:c>
      <x:c r="I88" s="339" t="str">
        <x:v>all referenced values are active, effective and within the user's scope at the time of save</x:v>
      </x:c>
      <x:c r="J88" s="339" t="str">
        <x:v>Positive</x:v>
      </x:c>
      <x:c r="K88" s="339" t="str">
        <x:v>Functional</x:v>
      </x:c>
    </x:row>
    <x:row r="89">
      <x:c r="A89" s="339" t="str">
        <x:v>AC-00088</x:v>
      </x:c>
      <x:c r="B89" s="339" t="str">
        <x:v>US-0022</x:v>
      </x:c>
      <x:c r="C89" s="339" t="str">
        <x:v>SCR-011</x:v>
      </x:c>
      <x:c r="D89" s="339" t="str">
        <x:v>Super Admin / SaaS Administration</x:v>
      </x:c>
      <x:c r="E89" s="339" t="str">
        <x:v>Add Organization</x:v>
      </x:c>
      <x:c r="F89" s="339" t="str">
        <x:v>Retry safety</x:v>
      </x:c>
      <x:c r="G89" s="339" t="str">
        <x:v>a network retry or repeated click occurs</x:v>
      </x:c>
      <x:c r="H89" s="339" t="str">
        <x:v>the same transaction is submitted again</x:v>
      </x:c>
      <x:c r="I89" s="339" t="str">
        <x:v>the system prevents unintended duplicate transactions through idempotency or duplicate detection</x:v>
      </x:c>
      <x:c r="J89" s="339" t="str">
        <x:v>Positive</x:v>
      </x:c>
      <x:c r="K89" s="339" t="str">
        <x:v>Functional</x:v>
      </x:c>
    </x:row>
    <x:row r="90">
      <x:c r="A90" s="339" t="str">
        <x:v>AC-00089</x:v>
      </x:c>
      <x:c r="B90" s="339" t="str">
        <x:v>US-0023</x:v>
      </x:c>
      <x:c r="C90" s="339" t="str">
        <x:v>SCR-012</x:v>
      </x:c>
      <x:c r="D90" s="339" t="str">
        <x:v>Super Admin / SaaS Administration</x:v>
      </x:c>
      <x:c r="E90" s="339" t="str">
        <x:v>Organization Details</x:v>
      </x:c>
      <x:c r="F90" s="339" t="str">
        <x:v>Authorized access to Organization Details</x:v>
      </x:c>
      <x:c r="G90" s="339" t="str">
        <x:v>the Super Admin is authenticated and has access to Organization Details</x:v>
      </x:c>
      <x:c r="H90" s="339" t="str">
        <x:v>the user opens or invokes Organization Details</x:v>
      </x:c>
      <x:c r="I90" s="339" t="str">
        <x:v>the system loads only records and actions within the user's permitted tenant/school/data scope</x:v>
      </x:c>
      <x:c r="J90" s="339" t="str">
        <x:v>Positive</x:v>
      </x:c>
      <x:c r="K90" s="339" t="str">
        <x:v>Functional / Security</x:v>
      </x:c>
    </x:row>
    <x:row r="91">
      <x:c r="A91" s="339" t="str">
        <x:v>AC-00090</x:v>
      </x:c>
      <x:c r="B91" s="339" t="str">
        <x:v>US-0023</x:v>
      </x:c>
      <x:c r="C91" s="339" t="str">
        <x:v>SCR-012</x:v>
      </x:c>
      <x:c r="D91" s="339" t="str">
        <x:v>Super Admin / SaaS Administration</x:v>
      </x:c>
      <x:c r="E91" s="339" t="str">
        <x:v>Organization Details</x:v>
      </x:c>
      <x:c r="F91" s="339" t="str">
        <x:v>Successful Organization Details happy path</x:v>
      </x:c>
      <x:c r="G91" s="339" t="str">
        <x:v>all mandatory prerequisites and valid data are available</x:v>
      </x:c>
      <x:c r="H91" s="339" t="str">
        <x:v>the Super Admin completes the primary action on Organization Details</x:v>
      </x:c>
      <x:c r="I91" s="339" t="str">
        <x:v>the system validates the request, saves it atomically, shows a clear confirmation and reflects the updated state</x:v>
      </x:c>
      <x:c r="J91" s="339" t="str">
        <x:v>Positive</x:v>
      </x:c>
      <x:c r="K91" s="339" t="str">
        <x:v>Functional</x:v>
      </x:c>
    </x:row>
    <x:row r="92">
      <x:c r="A92" s="339" t="str">
        <x:v>AC-00091</x:v>
      </x:c>
      <x:c r="B92" s="339" t="str">
        <x:v>US-0023</x:v>
      </x:c>
      <x:c r="C92" s="339" t="str">
        <x:v>SCR-012</x:v>
      </x:c>
      <x:c r="D92" s="339" t="str">
        <x:v>Super Admin / SaaS Administration</x:v>
      </x:c>
      <x:c r="E92" s="339" t="str">
        <x:v>Organization Details</x:v>
      </x:c>
      <x:c r="F92" s="339" t="str">
        <x:v>State and dependency integrity</x:v>
      </x:c>
      <x:c r="G92" s="339" t="str">
        <x:v>the current record is in an allowed state (Trial / Draft → Active → Suspended → Cancelled / Archived)</x:v>
      </x:c>
      <x:c r="H92" s="339" t="str">
        <x:v>the user attempts a state-changing action</x:v>
      </x:c>
      <x:c r="I92" s="339" t="str">
        <x:v>only a valid transition is accepted and dependent records are updated according to configured business rules</x:v>
      </x:c>
      <x:c r="J92" s="339" t="str">
        <x:v>Positive</x:v>
      </x:c>
      <x:c r="K92" s="339" t="str">
        <x:v>Functional</x:v>
      </x:c>
    </x:row>
    <x:row r="93">
      <x:c r="A93" s="339" t="str">
        <x:v>AC-00092</x:v>
      </x:c>
      <x:c r="B93" s="339" t="str">
        <x:v>US-0023</x:v>
      </x:c>
      <x:c r="C93" s="339" t="str">
        <x:v>SCR-012</x:v>
      </x:c>
      <x:c r="D93" s="339" t="str">
        <x:v>Super Admin / SaaS Administration</x:v>
      </x:c>
      <x:c r="E93" s="339" t="str">
        <x:v>Organization Details</x:v>
      </x:c>
      <x:c r="F93" s="339" t="str">
        <x:v>Auditability</x:v>
      </x:c>
      <x:c r="G93" s="339" t="str">
        <x:v>a material create/update/approve/reverse action occurs</x:v>
      </x:c>
      <x:c r="H93" s="339" t="str">
        <x:v>the transaction succeeds</x:v>
      </x:c>
      <x:c r="I93" s="339" t="str">
        <x:v>the system records actor, timestamp, action, target and relevant before/after or reason context in the audit trail</x:v>
      </x:c>
      <x:c r="J93" s="339" t="str">
        <x:v>Positive</x:v>
      </x:c>
      <x:c r="K93" s="339" t="str">
        <x:v>Functional</x:v>
      </x:c>
    </x:row>
    <x:row r="94">
      <x:c r="A94" s="339" t="str">
        <x:v>AC-00093</x:v>
      </x:c>
      <x:c r="B94" s="339" t="str">
        <x:v>US-0024</x:v>
      </x:c>
      <x:c r="C94" s="339" t="str">
        <x:v>SCR-012</x:v>
      </x:c>
      <x:c r="D94" s="339" t="str">
        <x:v>Super Admin / SaaS Administration</x:v>
      </x:c>
      <x:c r="E94" s="339" t="str">
        <x:v>Organization Details</x:v>
      </x:c>
      <x:c r="F94" s="339" t="str">
        <x:v>Complete authorized view</x:v>
      </x:c>
      <x:c r="G94" s="339" t="str">
        <x:v>the record exists and the user is authorized</x:v>
      </x:c>
      <x:c r="H94" s="339" t="str">
        <x:v>the detail/profile opens</x:v>
      </x:c>
      <x:c r="I94" s="339" t="str">
        <x:v>the system loads the required summary, relationships and history while masking restricted fields</x:v>
      </x:c>
      <x:c r="J94" s="339" t="str">
        <x:v>Positive</x:v>
      </x:c>
      <x:c r="K94" s="339" t="str">
        <x:v>Functional / Security</x:v>
      </x:c>
    </x:row>
    <x:row r="95">
      <x:c r="A95" s="339" t="str">
        <x:v>AC-00094</x:v>
      </x:c>
      <x:c r="B95" s="339" t="str">
        <x:v>US-0024</x:v>
      </x:c>
      <x:c r="C95" s="339" t="str">
        <x:v>SCR-012</x:v>
      </x:c>
      <x:c r="D95" s="339" t="str">
        <x:v>Super Admin / SaaS Administration</x:v>
      </x:c>
      <x:c r="E95" s="339" t="str">
        <x:v>Organization Details</x:v>
      </x:c>
      <x:c r="F95" s="339" t="str">
        <x:v>Controlled edit</x:v>
      </x:c>
      <x:c r="G95" s="339" t="str">
        <x:v>the user has edit permission and the record is editable</x:v>
      </x:c>
      <x:c r="H95" s="339" t="str">
        <x:v>the user saves a change</x:v>
      </x:c>
      <x:c r="I95" s="339" t="str">
        <x:v>validation and state rules run before the update is committed</x:v>
      </x:c>
      <x:c r="J95" s="339" t="str">
        <x:v>Positive</x:v>
      </x:c>
      <x:c r="K95" s="339" t="str">
        <x:v>Functional</x:v>
      </x:c>
    </x:row>
    <x:row r="96">
      <x:c r="A96" s="339" t="str">
        <x:v>AC-00095</x:v>
      </x:c>
      <x:c r="B96" s="339" t="str">
        <x:v>US-0024</x:v>
      </x:c>
      <x:c r="C96" s="339" t="str">
        <x:v>SCR-012</x:v>
      </x:c>
      <x:c r="D96" s="339" t="str">
        <x:v>Super Admin / SaaS Administration</x:v>
      </x:c>
      <x:c r="E96" s="339" t="str">
        <x:v>Organization Details</x:v>
      </x:c>
      <x:c r="F96" s="339" t="str">
        <x:v>Concurrent edit protection</x:v>
      </x:c>
      <x:c r="G96" s="339" t="str">
        <x:v>another user has changed the record after it was loaded</x:v>
      </x:c>
      <x:c r="H96" s="339" t="str">
        <x:v>the first user attempts to save stale data</x:v>
      </x:c>
      <x:c r="I96" s="339" t="str">
        <x:v>the system detects the version conflict or preserves fields safely instead of silently overwriting</x:v>
      </x:c>
      <x:c r="J96" s="339" t="str">
        <x:v>Positive</x:v>
      </x:c>
      <x:c r="K96" s="339" t="str">
        <x:v>Functional</x:v>
      </x:c>
    </x:row>
    <x:row r="97">
      <x:c r="A97" s="339" t="str">
        <x:v>AC-00096</x:v>
      </x:c>
      <x:c r="B97" s="339" t="str">
        <x:v>US-0024</x:v>
      </x:c>
      <x:c r="C97" s="339" t="str">
        <x:v>SCR-012</x:v>
      </x:c>
      <x:c r="D97" s="339" t="str">
        <x:v>Super Admin / SaaS Administration</x:v>
      </x:c>
      <x:c r="E97" s="339" t="str">
        <x:v>Organization Details</x:v>
      </x:c>
      <x:c r="F97" s="339" t="str">
        <x:v>History retention</x:v>
      </x:c>
      <x:c r="G97" s="339" t="str">
        <x:v>the record has prior changes/statuses</x:v>
      </x:c>
      <x:c r="H97" s="339" t="str">
        <x:v>the user views history</x:v>
      </x:c>
      <x:c r="I97" s="339" t="str">
        <x:v>the audit/activity timeline shows traceable material changes without exposing restricted notes</x:v>
      </x:c>
      <x:c r="J97" s="339" t="str">
        <x:v>Positive</x:v>
      </x:c>
      <x:c r="K97" s="339" t="str">
        <x:v>Functional</x:v>
      </x:c>
    </x:row>
    <x:row r="98">
      <x:c r="A98" s="339" t="str">
        <x:v>AC-00097</x:v>
      </x:c>
      <x:c r="B98" s="339" t="str">
        <x:v>US-0025</x:v>
      </x:c>
      <x:c r="C98" s="339" t="str">
        <x:v>SCR-013</x:v>
      </x:c>
      <x:c r="D98" s="339" t="str">
        <x:v>Super Admin / SaaS Administration</x:v>
      </x:c>
      <x:c r="E98" s="339" t="str">
        <x:v>Subscription Plans</x:v>
      </x:c>
      <x:c r="F98" s="339" t="str">
        <x:v>Authorized access to Subscription Plans</x:v>
      </x:c>
      <x:c r="G98" s="339" t="str">
        <x:v>the Super Admin is authenticated and has access to Subscription Plans</x:v>
      </x:c>
      <x:c r="H98" s="339" t="str">
        <x:v>the user opens or invokes Subscription Plans</x:v>
      </x:c>
      <x:c r="I98" s="339" t="str">
        <x:v>the system loads only records and actions within the user's permitted tenant/school/data scope</x:v>
      </x:c>
      <x:c r="J98" s="339" t="str">
        <x:v>Positive</x:v>
      </x:c>
      <x:c r="K98" s="339" t="str">
        <x:v>Functional / Security</x:v>
      </x:c>
    </x:row>
    <x:row r="99">
      <x:c r="A99" s="339" t="str">
        <x:v>AC-00098</x:v>
      </x:c>
      <x:c r="B99" s="339" t="str">
        <x:v>US-0025</x:v>
      </x:c>
      <x:c r="C99" s="339" t="str">
        <x:v>SCR-013</x:v>
      </x:c>
      <x:c r="D99" s="339" t="str">
        <x:v>Super Admin / SaaS Administration</x:v>
      </x:c>
      <x:c r="E99" s="339" t="str">
        <x:v>Subscription Plans</x:v>
      </x:c>
      <x:c r="F99" s="339" t="str">
        <x:v>Successful Subscription Plans happy path</x:v>
      </x:c>
      <x:c r="G99" s="339" t="str">
        <x:v>all mandatory prerequisites and valid data are available</x:v>
      </x:c>
      <x:c r="H99" s="339" t="str">
        <x:v>the Super Admin completes the primary action on Subscription Plans</x:v>
      </x:c>
      <x:c r="I99" s="339" t="str">
        <x:v>the system validates the request, saves it atomically, shows a clear confirmation and reflects the updated state</x:v>
      </x:c>
      <x:c r="J99" s="339" t="str">
        <x:v>Positive</x:v>
      </x:c>
      <x:c r="K99" s="339" t="str">
        <x:v>Functional</x:v>
      </x:c>
    </x:row>
    <x:row r="100">
      <x:c r="A100" s="339" t="str">
        <x:v>AC-00099</x:v>
      </x:c>
      <x:c r="B100" s="339" t="str">
        <x:v>US-0025</x:v>
      </x:c>
      <x:c r="C100" s="339" t="str">
        <x:v>SCR-013</x:v>
      </x:c>
      <x:c r="D100" s="339" t="str">
        <x:v>Super Admin / SaaS Administration</x:v>
      </x:c>
      <x:c r="E100" s="339" t="str">
        <x:v>Subscription Plans</x:v>
      </x:c>
      <x:c r="F100" s="339" t="str">
        <x:v>State and dependency integrity</x:v>
      </x:c>
      <x:c r="G100" s="339" t="str">
        <x:v>the current record is in an allowed state (Trial / Draft → Active → Suspended → Cancelled / Archived)</x:v>
      </x:c>
      <x:c r="H100" s="339" t="str">
        <x:v>the user attempts a state-changing action</x:v>
      </x:c>
      <x:c r="I100" s="339" t="str">
        <x:v>only a valid transition is accepted and dependent records are updated according to configured business rules</x:v>
      </x:c>
      <x:c r="J100" s="339" t="str">
        <x:v>Positive</x:v>
      </x:c>
      <x:c r="K100" s="339" t="str">
        <x:v>Functional</x:v>
      </x:c>
    </x:row>
    <x:row r="101">
      <x:c r="A101" s="339" t="str">
        <x:v>AC-00100</x:v>
      </x:c>
      <x:c r="B101" s="339" t="str">
        <x:v>US-0025</x:v>
      </x:c>
      <x:c r="C101" s="339" t="str">
        <x:v>SCR-013</x:v>
      </x:c>
      <x:c r="D101" s="339" t="str">
        <x:v>Super Admin / SaaS Administration</x:v>
      </x:c>
      <x:c r="E101" s="339" t="str">
        <x:v>Subscription Plans</x:v>
      </x:c>
      <x:c r="F101" s="339" t="str">
        <x:v>Auditability</x:v>
      </x:c>
      <x:c r="G101" s="339" t="str">
        <x:v>a material create/update/approve/reverse action occurs</x:v>
      </x:c>
      <x:c r="H101" s="339" t="str">
        <x:v>the transaction succeeds</x:v>
      </x:c>
      <x:c r="I101" s="339" t="str">
        <x:v>the system records actor, timestamp, action, target and relevant before/after or reason context in the audit trail</x:v>
      </x:c>
      <x:c r="J101" s="339" t="str">
        <x:v>Positive</x:v>
      </x:c>
      <x:c r="K101" s="339" t="str">
        <x:v>Functional</x:v>
      </x:c>
    </x:row>
    <x:row r="102">
      <x:c r="A102" s="339" t="str">
        <x:v>AC-00101</x:v>
      </x:c>
      <x:c r="B102" s="339" t="str">
        <x:v>US-0026</x:v>
      </x:c>
      <x:c r="C102" s="339" t="str">
        <x:v>SCR-013</x:v>
      </x:c>
      <x:c r="D102" s="339" t="str">
        <x:v>Super Admin / SaaS Administration</x:v>
      </x:c>
      <x:c r="E102" s="339" t="str">
        <x:v>Subscription Plans</x:v>
      </x:c>
      <x:c r="F102" s="339" t="str">
        <x:v>Valid status transition</x:v>
      </x:c>
      <x:c r="G102" s="339" t="str">
        <x:v>the record is in a state described by Trial / Draft → Active → Suspended → Cancelled / Archived</x:v>
      </x:c>
      <x:c r="H102" s="339" t="str">
        <x:v>the user requests a transition</x:v>
      </x:c>
      <x:c r="I102" s="339" t="str">
        <x:v>the system accepts only transitions allowed for that role and state</x:v>
      </x:c>
      <x:c r="J102" s="339" t="str">
        <x:v>Positive</x:v>
      </x:c>
      <x:c r="K102" s="339" t="str">
        <x:v>Functional</x:v>
      </x:c>
    </x:row>
    <x:row r="103">
      <x:c r="A103" s="339" t="str">
        <x:v>AC-00102</x:v>
      </x:c>
      <x:c r="B103" s="339" t="str">
        <x:v>US-0026</x:v>
      </x:c>
      <x:c r="C103" s="339" t="str">
        <x:v>SCR-013</x:v>
      </x:c>
      <x:c r="D103" s="339" t="str">
        <x:v>Super Admin / SaaS Administration</x:v>
      </x:c>
      <x:c r="E103" s="339" t="str">
        <x:v>Subscription Plans</x:v>
      </x:c>
      <x:c r="F103" s="339" t="str">
        <x:v>Approval authority</x:v>
      </x:c>
      <x:c r="G103" s="339" t="str">
        <x:v>an action requires approval</x:v>
      </x:c>
      <x:c r="H103" s="339" t="str">
        <x:v>a non-authorized user attempts approval/rejection</x:v>
      </x:c>
      <x:c r="I103" s="339" t="str">
        <x:v>the system denies the decision and does not change status</x:v>
      </x:c>
      <x:c r="J103" s="339" t="str">
        <x:v>Negative</x:v>
      </x:c>
      <x:c r="K103" s="339" t="str">
        <x:v>Functional</x:v>
      </x:c>
    </x:row>
    <x:row r="104">
      <x:c r="A104" s="339" t="str">
        <x:v>AC-00103</x:v>
      </x:c>
      <x:c r="B104" s="339" t="str">
        <x:v>US-0026</x:v>
      </x:c>
      <x:c r="C104" s="339" t="str">
        <x:v>SCR-013</x:v>
      </x:c>
      <x:c r="D104" s="339" t="str">
        <x:v>Super Admin / SaaS Administration</x:v>
      </x:c>
      <x:c r="E104" s="339" t="str">
        <x:v>Subscription Plans</x:v>
      </x:c>
      <x:c r="F104" s="339" t="str">
        <x:v>Failure rollback</x:v>
      </x:c>
      <x:c r="G104" s="339" t="str">
        <x:v>a downstream dependency fails during a multi-step transaction</x:v>
      </x:c>
      <x:c r="H104" s="339" t="str">
        <x:v>the workflow executes</x:v>
      </x:c>
      <x:c r="I104" s="339" t="str">
        <x:v>the system does not leave an invalid partial final state and surfaces a recoverable error</x:v>
      </x:c>
      <x:c r="J104" s="339" t="str">
        <x:v>Positive</x:v>
      </x:c>
      <x:c r="K104" s="339" t="str">
        <x:v>Functional</x:v>
      </x:c>
    </x:row>
    <x:row r="105">
      <x:c r="A105" s="339" t="str">
        <x:v>AC-00104</x:v>
      </x:c>
      <x:c r="B105" s="339" t="str">
        <x:v>US-0026</x:v>
      </x:c>
      <x:c r="C105" s="339" t="str">
        <x:v>SCR-013</x:v>
      </x:c>
      <x:c r="D105" s="339" t="str">
        <x:v>Super Admin / SaaS Administration</x:v>
      </x:c>
      <x:c r="E105" s="339" t="str">
        <x:v>Subscription Plans</x:v>
      </x:c>
      <x:c r="F105" s="339" t="str">
        <x:v>Exception traceability</x:v>
      </x:c>
      <x:c r="G105" s="339" t="str">
        <x:v>an authorized override/exception is used</x:v>
      </x:c>
      <x:c r="H105" s="339" t="str">
        <x:v>the action is confirmed</x:v>
      </x:c>
      <x:c r="I105" s="339" t="str">
        <x:v>the system requires reason/context and records it in the audit history</x:v>
      </x:c>
      <x:c r="J105" s="339" t="str">
        <x:v>Positive</x:v>
      </x:c>
      <x:c r="K105" s="339" t="str">
        <x:v>Functional</x:v>
      </x:c>
    </x:row>
    <x:row r="106">
      <x:c r="A106" s="339" t="str">
        <x:v>AC-00105</x:v>
      </x:c>
      <x:c r="B106" s="339" t="str">
        <x:v>US-0027</x:v>
      </x:c>
      <x:c r="C106" s="339" t="str">
        <x:v>SCR-014</x:v>
      </x:c>
      <x:c r="D106" s="339" t="str">
        <x:v>Super Admin / SaaS Administration</x:v>
      </x:c>
      <x:c r="E106" s="339" t="str">
        <x:v>Subscriptions &amp; Billing</x:v>
      </x:c>
      <x:c r="F106" s="339" t="str">
        <x:v>Authorized access to Subscriptions &amp; Billing</x:v>
      </x:c>
      <x:c r="G106" s="339" t="str">
        <x:v>the Super Admin is authenticated and has access to Subscriptions &amp; Billing</x:v>
      </x:c>
      <x:c r="H106" s="339" t="str">
        <x:v>the user opens or invokes Subscriptions &amp; Billing</x:v>
      </x:c>
      <x:c r="I106" s="339" t="str">
        <x:v>the system loads only records and actions within the user's permitted tenant/school/data scope</x:v>
      </x:c>
      <x:c r="J106" s="339" t="str">
        <x:v>Positive</x:v>
      </x:c>
      <x:c r="K106" s="339" t="str">
        <x:v>Functional / Security</x:v>
      </x:c>
    </x:row>
    <x:row r="107">
      <x:c r="A107" s="339" t="str">
        <x:v>AC-00106</x:v>
      </x:c>
      <x:c r="B107" s="339" t="str">
        <x:v>US-0027</x:v>
      </x:c>
      <x:c r="C107" s="339" t="str">
        <x:v>SCR-014</x:v>
      </x:c>
      <x:c r="D107" s="339" t="str">
        <x:v>Super Admin / SaaS Administration</x:v>
      </x:c>
      <x:c r="E107" s="339" t="str">
        <x:v>Subscriptions &amp; Billing</x:v>
      </x:c>
      <x:c r="F107" s="339" t="str">
        <x:v>Successful Subscriptions &amp; Billing happy path</x:v>
      </x:c>
      <x:c r="G107" s="339" t="str">
        <x:v>all mandatory prerequisites and valid data are available</x:v>
      </x:c>
      <x:c r="H107" s="339" t="str">
        <x:v>the Super Admin completes the primary action on Subscriptions &amp; Billing</x:v>
      </x:c>
      <x:c r="I107" s="339" t="str">
        <x:v>the system validates the request, saves it atomically, shows a clear confirmation and reflects the updated state</x:v>
      </x:c>
      <x:c r="J107" s="339" t="str">
        <x:v>Positive</x:v>
      </x:c>
      <x:c r="K107" s="339" t="str">
        <x:v>Functional</x:v>
      </x:c>
    </x:row>
    <x:row r="108">
      <x:c r="A108" s="339" t="str">
        <x:v>AC-00107</x:v>
      </x:c>
      <x:c r="B108" s="339" t="str">
        <x:v>US-0027</x:v>
      </x:c>
      <x:c r="C108" s="339" t="str">
        <x:v>SCR-014</x:v>
      </x:c>
      <x:c r="D108" s="339" t="str">
        <x:v>Super Admin / SaaS Administration</x:v>
      </x:c>
      <x:c r="E108" s="339" t="str">
        <x:v>Subscriptions &amp; Billing</x:v>
      </x:c>
      <x:c r="F108" s="339" t="str">
        <x:v>State and dependency integrity</x:v>
      </x:c>
      <x:c r="G108" s="339" t="str">
        <x:v>the current record is in an allowed state (Trial / Draft → Active → Suspended → Cancelled / Archived)</x:v>
      </x:c>
      <x:c r="H108" s="339" t="str">
        <x:v>the user attempts a state-changing action</x:v>
      </x:c>
      <x:c r="I108" s="339" t="str">
        <x:v>only a valid transition is accepted and dependent records are updated according to configured business rules</x:v>
      </x:c>
      <x:c r="J108" s="339" t="str">
        <x:v>Positive</x:v>
      </x:c>
      <x:c r="K108" s="339" t="str">
        <x:v>Functional</x:v>
      </x:c>
    </x:row>
    <x:row r="109">
      <x:c r="A109" s="339" t="str">
        <x:v>AC-00108</x:v>
      </x:c>
      <x:c r="B109" s="339" t="str">
        <x:v>US-0027</x:v>
      </x:c>
      <x:c r="C109" s="339" t="str">
        <x:v>SCR-014</x:v>
      </x:c>
      <x:c r="D109" s="339" t="str">
        <x:v>Super Admin / SaaS Administration</x:v>
      </x:c>
      <x:c r="E109" s="339" t="str">
        <x:v>Subscriptions &amp; Billing</x:v>
      </x:c>
      <x:c r="F109" s="339" t="str">
        <x:v>Auditability</x:v>
      </x:c>
      <x:c r="G109" s="339" t="str">
        <x:v>a material create/update/approve/reverse action occurs</x:v>
      </x:c>
      <x:c r="H109" s="339" t="str">
        <x:v>the transaction succeeds</x:v>
      </x:c>
      <x:c r="I109" s="339" t="str">
        <x:v>the system records actor, timestamp, action, target and relevant before/after or reason context in the audit trail</x:v>
      </x:c>
      <x:c r="J109" s="339" t="str">
        <x:v>Positive</x:v>
      </x:c>
      <x:c r="K109" s="339" t="str">
        <x:v>Functional</x:v>
      </x:c>
    </x:row>
    <x:row r="110">
      <x:c r="A110" s="339" t="str">
        <x:v>AC-00109</x:v>
      </x:c>
      <x:c r="B110" s="339" t="str">
        <x:v>US-0028</x:v>
      </x:c>
      <x:c r="C110" s="339" t="str">
        <x:v>SCR-014</x:v>
      </x:c>
      <x:c r="D110" s="339" t="str">
        <x:v>Super Admin / SaaS Administration</x:v>
      </x:c>
      <x:c r="E110" s="339" t="str">
        <x:v>Subscriptions &amp; Billing</x:v>
      </x:c>
      <x:c r="F110" s="339" t="str">
        <x:v>Valid status transition</x:v>
      </x:c>
      <x:c r="G110" s="339" t="str">
        <x:v>the record is in a state described by Trial / Draft → Active → Suspended → Cancelled / Archived</x:v>
      </x:c>
      <x:c r="H110" s="339" t="str">
        <x:v>the user requests a transition</x:v>
      </x:c>
      <x:c r="I110" s="339" t="str">
        <x:v>the system accepts only transitions allowed for that role and state</x:v>
      </x:c>
      <x:c r="J110" s="339" t="str">
        <x:v>Positive</x:v>
      </x:c>
      <x:c r="K110" s="339" t="str">
        <x:v>Functional</x:v>
      </x:c>
    </x:row>
    <x:row r="111">
      <x:c r="A111" s="339" t="str">
        <x:v>AC-00110</x:v>
      </x:c>
      <x:c r="B111" s="339" t="str">
        <x:v>US-0028</x:v>
      </x:c>
      <x:c r="C111" s="339" t="str">
        <x:v>SCR-014</x:v>
      </x:c>
      <x:c r="D111" s="339" t="str">
        <x:v>Super Admin / SaaS Administration</x:v>
      </x:c>
      <x:c r="E111" s="339" t="str">
        <x:v>Subscriptions &amp; Billing</x:v>
      </x:c>
      <x:c r="F111" s="339" t="str">
        <x:v>Approval authority</x:v>
      </x:c>
      <x:c r="G111" s="339" t="str">
        <x:v>an action requires approval</x:v>
      </x:c>
      <x:c r="H111" s="339" t="str">
        <x:v>a non-authorized user attempts approval/rejection</x:v>
      </x:c>
      <x:c r="I111" s="339" t="str">
        <x:v>the system denies the decision and does not change status</x:v>
      </x:c>
      <x:c r="J111" s="339" t="str">
        <x:v>Negative</x:v>
      </x:c>
      <x:c r="K111" s="339" t="str">
        <x:v>Functional</x:v>
      </x:c>
    </x:row>
    <x:row r="112">
      <x:c r="A112" s="339" t="str">
        <x:v>AC-00111</x:v>
      </x:c>
      <x:c r="B112" s="339" t="str">
        <x:v>US-0028</x:v>
      </x:c>
      <x:c r="C112" s="339" t="str">
        <x:v>SCR-014</x:v>
      </x:c>
      <x:c r="D112" s="339" t="str">
        <x:v>Super Admin / SaaS Administration</x:v>
      </x:c>
      <x:c r="E112" s="339" t="str">
        <x:v>Subscriptions &amp; Billing</x:v>
      </x:c>
      <x:c r="F112" s="339" t="str">
        <x:v>Failure rollback</x:v>
      </x:c>
      <x:c r="G112" s="339" t="str">
        <x:v>a downstream dependency fails during a multi-step transaction</x:v>
      </x:c>
      <x:c r="H112" s="339" t="str">
        <x:v>the workflow executes</x:v>
      </x:c>
      <x:c r="I112" s="339" t="str">
        <x:v>the system does not leave an invalid partial final state and surfaces a recoverable error</x:v>
      </x:c>
      <x:c r="J112" s="339" t="str">
        <x:v>Positive</x:v>
      </x:c>
      <x:c r="K112" s="339" t="str">
        <x:v>Functional</x:v>
      </x:c>
    </x:row>
    <x:row r="113">
      <x:c r="A113" s="339" t="str">
        <x:v>AC-00112</x:v>
      </x:c>
      <x:c r="B113" s="339" t="str">
        <x:v>US-0028</x:v>
      </x:c>
      <x:c r="C113" s="339" t="str">
        <x:v>SCR-014</x:v>
      </x:c>
      <x:c r="D113" s="339" t="str">
        <x:v>Super Admin / SaaS Administration</x:v>
      </x:c>
      <x:c r="E113" s="339" t="str">
        <x:v>Subscriptions &amp; Billing</x:v>
      </x:c>
      <x:c r="F113" s="339" t="str">
        <x:v>Exception traceability</x:v>
      </x:c>
      <x:c r="G113" s="339" t="str">
        <x:v>an authorized override/exception is used</x:v>
      </x:c>
      <x:c r="H113" s="339" t="str">
        <x:v>the action is confirmed</x:v>
      </x:c>
      <x:c r="I113" s="339" t="str">
        <x:v>the system requires reason/context and records it in the audit history</x:v>
      </x:c>
      <x:c r="J113" s="339" t="str">
        <x:v>Positive</x:v>
      </x:c>
      <x:c r="K113" s="339" t="str">
        <x:v>Functional</x:v>
      </x:c>
    </x:row>
    <x:row r="114">
      <x:c r="A114" s="339" t="str">
        <x:v>AC-00113</x:v>
      </x:c>
      <x:c r="B114" s="339" t="str">
        <x:v>US-0029</x:v>
      </x:c>
      <x:c r="C114" s="339" t="str">
        <x:v>SCR-015</x:v>
      </x:c>
      <x:c r="D114" s="339" t="str">
        <x:v>Super Admin / SaaS Administration</x:v>
      </x:c>
      <x:c r="E114" s="339" t="str">
        <x:v>Tenant Usage &amp; Limits</x:v>
      </x:c>
      <x:c r="F114" s="339" t="str">
        <x:v>Authorized access to Tenant Usage &amp; Limits</x:v>
      </x:c>
      <x:c r="G114" s="339" t="str">
        <x:v>the Super Admin is authenticated and has access to Tenant Usage &amp; Limits</x:v>
      </x:c>
      <x:c r="H114" s="339" t="str">
        <x:v>the user opens or invokes Tenant Usage &amp; Limits</x:v>
      </x:c>
      <x:c r="I114" s="339" t="str">
        <x:v>the system loads only records and actions within the user's permitted tenant/school/data scope</x:v>
      </x:c>
      <x:c r="J114" s="339" t="str">
        <x:v>Positive</x:v>
      </x:c>
      <x:c r="K114" s="339" t="str">
        <x:v>Functional / Security</x:v>
      </x:c>
    </x:row>
    <x:row r="115">
      <x:c r="A115" s="339" t="str">
        <x:v>AC-00114</x:v>
      </x:c>
      <x:c r="B115" s="339" t="str">
        <x:v>US-0029</x:v>
      </x:c>
      <x:c r="C115" s="339" t="str">
        <x:v>SCR-015</x:v>
      </x:c>
      <x:c r="D115" s="339" t="str">
        <x:v>Super Admin / SaaS Administration</x:v>
      </x:c>
      <x:c r="E115" s="339" t="str">
        <x:v>Tenant Usage &amp; Limits</x:v>
      </x:c>
      <x:c r="F115" s="339" t="str">
        <x:v>Successful Tenant Usage &amp; Limits happy path</x:v>
      </x:c>
      <x:c r="G115" s="339" t="str">
        <x:v>all mandatory prerequisites and valid data are available</x:v>
      </x:c>
      <x:c r="H115" s="339" t="str">
        <x:v>the Super Admin completes the primary action on Tenant Usage &amp; Limits</x:v>
      </x:c>
      <x:c r="I115" s="339" t="str">
        <x:v>the system validates the request, saves it atomically, shows a clear confirmation and reflects the updated state</x:v>
      </x:c>
      <x:c r="J115" s="339" t="str">
        <x:v>Positive</x:v>
      </x:c>
      <x:c r="K115" s="339" t="str">
        <x:v>Functional</x:v>
      </x:c>
    </x:row>
    <x:row r="116">
      <x:c r="A116" s="339" t="str">
        <x:v>AC-00115</x:v>
      </x:c>
      <x:c r="B116" s="339" t="str">
        <x:v>US-0029</x:v>
      </x:c>
      <x:c r="C116" s="339" t="str">
        <x:v>SCR-015</x:v>
      </x:c>
      <x:c r="D116" s="339" t="str">
        <x:v>Super Admin / SaaS Administration</x:v>
      </x:c>
      <x:c r="E116" s="339" t="str">
        <x:v>Tenant Usage &amp; Limits</x:v>
      </x:c>
      <x:c r="F116" s="339" t="str">
        <x:v>State and dependency integrity</x:v>
      </x:c>
      <x:c r="G116" s="339" t="str">
        <x:v>the current record is in an allowed state (Trial / Draft → Active → Suspended → Cancelled / Archived)</x:v>
      </x:c>
      <x:c r="H116" s="339" t="str">
        <x:v>the user attempts a state-changing action</x:v>
      </x:c>
      <x:c r="I116" s="339" t="str">
        <x:v>only a valid transition is accepted and dependent records are updated according to configured business rules</x:v>
      </x:c>
      <x:c r="J116" s="339" t="str">
        <x:v>Positive</x:v>
      </x:c>
      <x:c r="K116" s="339" t="str">
        <x:v>Functional</x:v>
      </x:c>
    </x:row>
    <x:row r="117">
      <x:c r="A117" s="339" t="str">
        <x:v>AC-00116</x:v>
      </x:c>
      <x:c r="B117" s="339" t="str">
        <x:v>US-0029</x:v>
      </x:c>
      <x:c r="C117" s="339" t="str">
        <x:v>SCR-015</x:v>
      </x:c>
      <x:c r="D117" s="339" t="str">
        <x:v>Super Admin / SaaS Administration</x:v>
      </x:c>
      <x:c r="E117" s="339" t="str">
        <x:v>Tenant Usage &amp; Limits</x:v>
      </x:c>
      <x:c r="F117" s="339" t="str">
        <x:v>Auditability</x:v>
      </x:c>
      <x:c r="G117" s="339" t="str">
        <x:v>a material create/update/approve/reverse action occurs</x:v>
      </x:c>
      <x:c r="H117" s="339" t="str">
        <x:v>the transaction succeeds</x:v>
      </x:c>
      <x:c r="I117" s="339" t="str">
        <x:v>the system records actor, timestamp, action, target and relevant before/after or reason context in the audit trail</x:v>
      </x:c>
      <x:c r="J117" s="339" t="str">
        <x:v>Positive</x:v>
      </x:c>
      <x:c r="K117" s="339" t="str">
        <x:v>Functional</x:v>
      </x:c>
    </x:row>
    <x:row r="118">
      <x:c r="A118" s="339" t="str">
        <x:v>AC-00117</x:v>
      </x:c>
      <x:c r="B118" s="339" t="str">
        <x:v>US-0030</x:v>
      </x:c>
      <x:c r="C118" s="339" t="str">
        <x:v>SCR-015</x:v>
      </x:c>
      <x:c r="D118" s="339" t="str">
        <x:v>Super Admin / SaaS Administration</x:v>
      </x:c>
      <x:c r="E118" s="339" t="str">
        <x:v>Tenant Usage &amp; Limits</x:v>
      </x:c>
      <x:c r="F118" s="339" t="str">
        <x:v>Filter accuracy</x:v>
      </x:c>
      <x:c r="G118" s="339" t="str">
        <x:v>source data exists across multiple periods/scopes</x:v>
      </x:c>
      <x:c r="H118" s="339" t="str">
        <x:v>the user applies report filters</x:v>
      </x:c>
      <x:c r="I118" s="339" t="str">
        <x:v>aggregates and rows include only authorized data matching the filters</x:v>
      </x:c>
      <x:c r="J118" s="339" t="str">
        <x:v>Positive</x:v>
      </x:c>
      <x:c r="K118" s="339" t="str">
        <x:v>Functional</x:v>
      </x:c>
    </x:row>
    <x:row r="119">
      <x:c r="A119" s="339" t="str">
        <x:v>AC-00118</x:v>
      </x:c>
      <x:c r="B119" s="339" t="str">
        <x:v>US-0030</x:v>
      </x:c>
      <x:c r="C119" s="339" t="str">
        <x:v>SCR-015</x:v>
      </x:c>
      <x:c r="D119" s="339" t="str">
        <x:v>Super Admin / SaaS Administration</x:v>
      </x:c>
      <x:c r="E119" s="339" t="str">
        <x:v>Tenant Usage &amp; Limits</x:v>
      </x:c>
      <x:c r="F119" s="339" t="str">
        <x:v>Formula consistency</x:v>
      </x:c>
      <x:c r="G119" s="339" t="str">
        <x:v>the report contains calculated metrics</x:v>
      </x:c>
      <x:c r="H119" s="339" t="str">
        <x:v>the report is generated</x:v>
      </x:c>
      <x:c r="I119" s="339" t="str">
        <x:v>calculations follow the approved rule: No special calculation unless configured; derived fields use authoritative source data and explicit effective-date rules.</x:v>
      </x:c>
      <x:c r="J119" s="339" t="str">
        <x:v>Positive</x:v>
      </x:c>
      <x:c r="K119" s="339" t="str">
        <x:v>Functional</x:v>
      </x:c>
    </x:row>
    <x:row r="120">
      <x:c r="A120" s="339" t="str">
        <x:v>AC-00119</x:v>
      </x:c>
      <x:c r="B120" s="339" t="str">
        <x:v>US-0030</x:v>
      </x:c>
      <x:c r="C120" s="339" t="str">
        <x:v>SCR-015</x:v>
      </x:c>
      <x:c r="D120" s="339" t="str">
        <x:v>Super Admin / SaaS Administration</x:v>
      </x:c>
      <x:c r="E120" s="339" t="str">
        <x:v>Tenant Usage &amp; Limits</x:v>
      </x:c>
      <x:c r="F120" s="339" t="str">
        <x:v>Reconciliation</x:v>
      </x:c>
      <x:c r="G120" s="339" t="str">
        <x:v>a report total is displayed</x:v>
      </x:c>
      <x:c r="H120" s="339" t="str">
        <x:v>the user drills to supporting data</x:v>
      </x:c>
      <x:c r="I120" s="339" t="str">
        <x:v>the supporting rows reconcile to the displayed total within defined rounding rules</x:v>
      </x:c>
      <x:c r="J120" s="339" t="str">
        <x:v>Positive</x:v>
      </x:c>
      <x:c r="K120" s="339" t="str">
        <x:v>Functional</x:v>
      </x:c>
    </x:row>
    <x:row r="121">
      <x:c r="A121" s="339" t="str">
        <x:v>AC-00120</x:v>
      </x:c>
      <x:c r="B121" s="339" t="str">
        <x:v>US-0030</x:v>
      </x:c>
      <x:c r="C121" s="339" t="str">
        <x:v>SCR-015</x:v>
      </x:c>
      <x:c r="D121" s="339" t="str">
        <x:v>Super Admin / SaaS Administration</x:v>
      </x:c>
      <x:c r="E121" s="339" t="str">
        <x:v>Tenant Usage &amp; Limits</x:v>
      </x:c>
      <x:c r="F121" s="339" t="str">
        <x:v>Export fidelity</x:v>
      </x:c>
      <x:c r="G121" s="339" t="str">
        <x:v>the user has export permission</x:v>
      </x:c>
      <x:c r="H121" s="339" t="str">
        <x:v>the report is exported</x:v>
      </x:c>
      <x:c r="I121" s="339" t="str">
        <x:v>the export preserves filter context, values and permitted columns and includes a run timestamp/context where appropriate</x:v>
      </x:c>
      <x:c r="J121" s="339" t="str">
        <x:v>Positive</x:v>
      </x:c>
      <x:c r="K121" s="339" t="str">
        <x:v>Functional</x:v>
      </x:c>
    </x:row>
    <x:row r="122">
      <x:c r="A122" s="339" t="str">
        <x:v>AC-00121</x:v>
      </x:c>
      <x:c r="B122" s="339" t="str">
        <x:v>US-0031</x:v>
      </x:c>
      <x:c r="C122" s="339" t="str">
        <x:v>SCR-016</x:v>
      </x:c>
      <x:c r="D122" s="339" t="str">
        <x:v>Super Admin / SaaS Administration</x:v>
      </x:c>
      <x:c r="E122" s="339" t="str">
        <x:v>Platform Users</x:v>
      </x:c>
      <x:c r="F122" s="339" t="str">
        <x:v>Authorized access to Platform Users</x:v>
      </x:c>
      <x:c r="G122" s="339" t="str">
        <x:v>the Super Admin is authenticated and has access to Platform Users</x:v>
      </x:c>
      <x:c r="H122" s="339" t="str">
        <x:v>the user opens or invokes Platform Users</x:v>
      </x:c>
      <x:c r="I122" s="339" t="str">
        <x:v>the system loads only records and actions within the user's permitted tenant/school/data scope</x:v>
      </x:c>
      <x:c r="J122" s="339" t="str">
        <x:v>Positive</x:v>
      </x:c>
      <x:c r="K122" s="339" t="str">
        <x:v>Functional / Security</x:v>
      </x:c>
    </x:row>
    <x:row r="123">
      <x:c r="A123" s="339" t="str">
        <x:v>AC-00122</x:v>
      </x:c>
      <x:c r="B123" s="339" t="str">
        <x:v>US-0031</x:v>
      </x:c>
      <x:c r="C123" s="339" t="str">
        <x:v>SCR-016</x:v>
      </x:c>
      <x:c r="D123" s="339" t="str">
        <x:v>Super Admin / SaaS Administration</x:v>
      </x:c>
      <x:c r="E123" s="339" t="str">
        <x:v>Platform Users</x:v>
      </x:c>
      <x:c r="F123" s="339" t="str">
        <x:v>Successful Platform Users happy path</x:v>
      </x:c>
      <x:c r="G123" s="339" t="str">
        <x:v>all mandatory prerequisites and valid data are available</x:v>
      </x:c>
      <x:c r="H123" s="339" t="str">
        <x:v>the Super Admin completes the primary action on Platform Users</x:v>
      </x:c>
      <x:c r="I123" s="339" t="str">
        <x:v>the system validates the request, saves it atomically, shows a clear confirmation and reflects the updated state</x:v>
      </x:c>
      <x:c r="J123" s="339" t="str">
        <x:v>Positive</x:v>
      </x:c>
      <x:c r="K123" s="339" t="str">
        <x:v>Functional</x:v>
      </x:c>
    </x:row>
    <x:row r="124">
      <x:c r="A124" s="339" t="str">
        <x:v>AC-00123</x:v>
      </x:c>
      <x:c r="B124" s="339" t="str">
        <x:v>US-0031</x:v>
      </x:c>
      <x:c r="C124" s="339" t="str">
        <x:v>SCR-016</x:v>
      </x:c>
      <x:c r="D124" s="339" t="str">
        <x:v>Super Admin / SaaS Administration</x:v>
      </x:c>
      <x:c r="E124" s="339" t="str">
        <x:v>Platform Users</x:v>
      </x:c>
      <x:c r="F124" s="339" t="str">
        <x:v>State and dependency integrity</x:v>
      </x:c>
      <x:c r="G124" s="339" t="str">
        <x:v>the current record is in an allowed state (Trial / Draft → Active → Suspended → Cancelled / Archived)</x:v>
      </x:c>
      <x:c r="H124" s="339" t="str">
        <x:v>the user attempts a state-changing action</x:v>
      </x:c>
      <x:c r="I124" s="339" t="str">
        <x:v>only a valid transition is accepted and dependent records are updated according to configured business rules</x:v>
      </x:c>
      <x:c r="J124" s="339" t="str">
        <x:v>Positive</x:v>
      </x:c>
      <x:c r="K124" s="339" t="str">
        <x:v>Functional</x:v>
      </x:c>
    </x:row>
    <x:row r="125">
      <x:c r="A125" s="339" t="str">
        <x:v>AC-00124</x:v>
      </x:c>
      <x:c r="B125" s="339" t="str">
        <x:v>US-0031</x:v>
      </x:c>
      <x:c r="C125" s="339" t="str">
        <x:v>SCR-016</x:v>
      </x:c>
      <x:c r="D125" s="339" t="str">
        <x:v>Super Admin / SaaS Administration</x:v>
      </x:c>
      <x:c r="E125" s="339" t="str">
        <x:v>Platform Users</x:v>
      </x:c>
      <x:c r="F125" s="339" t="str">
        <x:v>Auditability</x:v>
      </x:c>
      <x:c r="G125" s="339" t="str">
        <x:v>a material create/update/approve/reverse action occurs</x:v>
      </x:c>
      <x:c r="H125" s="339" t="str">
        <x:v>the transaction succeeds</x:v>
      </x:c>
      <x:c r="I125" s="339" t="str">
        <x:v>the system records actor, timestamp, action, target and relevant before/after or reason context in the audit trail</x:v>
      </x:c>
      <x:c r="J125" s="339" t="str">
        <x:v>Positive</x:v>
      </x:c>
      <x:c r="K125" s="339" t="str">
        <x:v>Functional</x:v>
      </x:c>
    </x:row>
    <x:row r="126">
      <x:c r="A126" s="339" t="str">
        <x:v>AC-00125</x:v>
      </x:c>
      <x:c r="B126" s="339" t="str">
        <x:v>US-0032</x:v>
      </x:c>
      <x:c r="C126" s="339" t="str">
        <x:v>SCR-016</x:v>
      </x:c>
      <x:c r="D126" s="339" t="str">
        <x:v>Super Admin / SaaS Administration</x:v>
      </x:c>
      <x:c r="E126" s="339" t="str">
        <x:v>Platform Users</x:v>
      </x:c>
      <x:c r="F126" s="339" t="str">
        <x:v>Valid status transition</x:v>
      </x:c>
      <x:c r="G126" s="339" t="str">
        <x:v>the record is in a state described by Trial / Draft → Active → Suspended → Cancelled / Archived</x:v>
      </x:c>
      <x:c r="H126" s="339" t="str">
        <x:v>the user requests a transition</x:v>
      </x:c>
      <x:c r="I126" s="339" t="str">
        <x:v>the system accepts only transitions allowed for that role and state</x:v>
      </x:c>
      <x:c r="J126" s="339" t="str">
        <x:v>Positive</x:v>
      </x:c>
      <x:c r="K126" s="339" t="str">
        <x:v>Functional</x:v>
      </x:c>
    </x:row>
    <x:row r="127">
      <x:c r="A127" s="339" t="str">
        <x:v>AC-00126</x:v>
      </x:c>
      <x:c r="B127" s="339" t="str">
        <x:v>US-0032</x:v>
      </x:c>
      <x:c r="C127" s="339" t="str">
        <x:v>SCR-016</x:v>
      </x:c>
      <x:c r="D127" s="339" t="str">
        <x:v>Super Admin / SaaS Administration</x:v>
      </x:c>
      <x:c r="E127" s="339" t="str">
        <x:v>Platform Users</x:v>
      </x:c>
      <x:c r="F127" s="339" t="str">
        <x:v>Approval authority</x:v>
      </x:c>
      <x:c r="G127" s="339" t="str">
        <x:v>an action requires approval</x:v>
      </x:c>
      <x:c r="H127" s="339" t="str">
        <x:v>a non-authorized user attempts approval/rejection</x:v>
      </x:c>
      <x:c r="I127" s="339" t="str">
        <x:v>the system denies the decision and does not change status</x:v>
      </x:c>
      <x:c r="J127" s="339" t="str">
        <x:v>Negative</x:v>
      </x:c>
      <x:c r="K127" s="339" t="str">
        <x:v>Functional</x:v>
      </x:c>
    </x:row>
    <x:row r="128">
      <x:c r="A128" s="339" t="str">
        <x:v>AC-00127</x:v>
      </x:c>
      <x:c r="B128" s="339" t="str">
        <x:v>US-0032</x:v>
      </x:c>
      <x:c r="C128" s="339" t="str">
        <x:v>SCR-016</x:v>
      </x:c>
      <x:c r="D128" s="339" t="str">
        <x:v>Super Admin / SaaS Administration</x:v>
      </x:c>
      <x:c r="E128" s="339" t="str">
        <x:v>Platform Users</x:v>
      </x:c>
      <x:c r="F128" s="339" t="str">
        <x:v>Failure rollback</x:v>
      </x:c>
      <x:c r="G128" s="339" t="str">
        <x:v>a downstream dependency fails during a multi-step transaction</x:v>
      </x:c>
      <x:c r="H128" s="339" t="str">
        <x:v>the workflow executes</x:v>
      </x:c>
      <x:c r="I128" s="339" t="str">
        <x:v>the system does not leave an invalid partial final state and surfaces a recoverable error</x:v>
      </x:c>
      <x:c r="J128" s="339" t="str">
        <x:v>Positive</x:v>
      </x:c>
      <x:c r="K128" s="339" t="str">
        <x:v>Functional</x:v>
      </x:c>
    </x:row>
    <x:row r="129">
      <x:c r="A129" s="339" t="str">
        <x:v>AC-00128</x:v>
      </x:c>
      <x:c r="B129" s="339" t="str">
        <x:v>US-0032</x:v>
      </x:c>
      <x:c r="C129" s="339" t="str">
        <x:v>SCR-016</x:v>
      </x:c>
      <x:c r="D129" s="339" t="str">
        <x:v>Super Admin / SaaS Administration</x:v>
      </x:c>
      <x:c r="E129" s="339" t="str">
        <x:v>Platform Users</x:v>
      </x:c>
      <x:c r="F129" s="339" t="str">
        <x:v>Exception traceability</x:v>
      </x:c>
      <x:c r="G129" s="339" t="str">
        <x:v>an authorized override/exception is used</x:v>
      </x:c>
      <x:c r="H129" s="339" t="str">
        <x:v>the action is confirmed</x:v>
      </x:c>
      <x:c r="I129" s="339" t="str">
        <x:v>the system requires reason/context and records it in the audit history</x:v>
      </x:c>
      <x:c r="J129" s="339" t="str">
        <x:v>Positive</x:v>
      </x:c>
      <x:c r="K129" s="339" t="str">
        <x:v>Functional</x:v>
      </x:c>
    </x:row>
    <x:row r="130">
      <x:c r="A130" s="339" t="str">
        <x:v>AC-00129</x:v>
      </x:c>
      <x:c r="B130" s="339" t="str">
        <x:v>US-0033</x:v>
      </x:c>
      <x:c r="C130" s="339" t="str">
        <x:v>SCR-017</x:v>
      </x:c>
      <x:c r="D130" s="339" t="str">
        <x:v>Super Admin / SaaS Administration</x:v>
      </x:c>
      <x:c r="E130" s="339" t="str">
        <x:v>Support Tickets</x:v>
      </x:c>
      <x:c r="F130" s="339" t="str">
        <x:v>Authorized access to Support Tickets</x:v>
      </x:c>
      <x:c r="G130" s="339" t="str">
        <x:v>the Super Admin is authenticated and has access to Support Tickets</x:v>
      </x:c>
      <x:c r="H130" s="339" t="str">
        <x:v>the user opens or invokes Support Tickets</x:v>
      </x:c>
      <x:c r="I130" s="339" t="str">
        <x:v>the system loads only records and actions within the user's permitted tenant/school/data scope</x:v>
      </x:c>
      <x:c r="J130" s="339" t="str">
        <x:v>Positive</x:v>
      </x:c>
      <x:c r="K130" s="339" t="str">
        <x:v>Functional / Security</x:v>
      </x:c>
    </x:row>
    <x:row r="131">
      <x:c r="A131" s="339" t="str">
        <x:v>AC-00130</x:v>
      </x:c>
      <x:c r="B131" s="339" t="str">
        <x:v>US-0033</x:v>
      </x:c>
      <x:c r="C131" s="339" t="str">
        <x:v>SCR-017</x:v>
      </x:c>
      <x:c r="D131" s="339" t="str">
        <x:v>Super Admin / SaaS Administration</x:v>
      </x:c>
      <x:c r="E131" s="339" t="str">
        <x:v>Support Tickets</x:v>
      </x:c>
      <x:c r="F131" s="339" t="str">
        <x:v>Successful Support Tickets happy path</x:v>
      </x:c>
      <x:c r="G131" s="339" t="str">
        <x:v>all mandatory prerequisites and valid data are available</x:v>
      </x:c>
      <x:c r="H131" s="339" t="str">
        <x:v>the Super Admin completes the primary action on Support Tickets</x:v>
      </x:c>
      <x:c r="I131" s="339" t="str">
        <x:v>the system validates the request, saves it atomically, shows a clear confirmation and reflects the updated state</x:v>
      </x:c>
      <x:c r="J131" s="339" t="str">
        <x:v>Positive</x:v>
      </x:c>
      <x:c r="K131" s="339" t="str">
        <x:v>Functional</x:v>
      </x:c>
    </x:row>
    <x:row r="132">
      <x:c r="A132" s="339" t="str">
        <x:v>AC-00131</x:v>
      </x:c>
      <x:c r="B132" s="339" t="str">
        <x:v>US-0033</x:v>
      </x:c>
      <x:c r="C132" s="339" t="str">
        <x:v>SCR-017</x:v>
      </x:c>
      <x:c r="D132" s="339" t="str">
        <x:v>Super Admin / SaaS Administration</x:v>
      </x:c>
      <x:c r="E132" s="339" t="str">
        <x:v>Support Tickets</x:v>
      </x:c>
      <x:c r="F132" s="339" t="str">
        <x:v>State and dependency integrity</x:v>
      </x:c>
      <x:c r="G132" s="339" t="str">
        <x:v>the current record is in an allowed state (Trial / Draft → Active → Suspended → Cancelled / Archived)</x:v>
      </x:c>
      <x:c r="H132" s="339" t="str">
        <x:v>the user attempts a state-changing action</x:v>
      </x:c>
      <x:c r="I132" s="339" t="str">
        <x:v>only a valid transition is accepted and dependent records are updated according to configured business rules</x:v>
      </x:c>
      <x:c r="J132" s="339" t="str">
        <x:v>Positive</x:v>
      </x:c>
      <x:c r="K132" s="339" t="str">
        <x:v>Functional</x:v>
      </x:c>
    </x:row>
    <x:row r="133">
      <x:c r="A133" s="339" t="str">
        <x:v>AC-00132</x:v>
      </x:c>
      <x:c r="B133" s="339" t="str">
        <x:v>US-0033</x:v>
      </x:c>
      <x:c r="C133" s="339" t="str">
        <x:v>SCR-017</x:v>
      </x:c>
      <x:c r="D133" s="339" t="str">
        <x:v>Super Admin / SaaS Administration</x:v>
      </x:c>
      <x:c r="E133" s="339" t="str">
        <x:v>Support Tickets</x:v>
      </x:c>
      <x:c r="F133" s="339" t="str">
        <x:v>Auditability</x:v>
      </x:c>
      <x:c r="G133" s="339" t="str">
        <x:v>a material create/update/approve/reverse action occurs</x:v>
      </x:c>
      <x:c r="H133" s="339" t="str">
        <x:v>the transaction succeeds</x:v>
      </x:c>
      <x:c r="I133" s="339" t="str">
        <x:v>the system records actor, timestamp, action, target and relevant before/after or reason context in the audit trail</x:v>
      </x:c>
      <x:c r="J133" s="339" t="str">
        <x:v>Positive</x:v>
      </x:c>
      <x:c r="K133" s="339" t="str">
        <x:v>Functional</x:v>
      </x:c>
    </x:row>
    <x:row r="134">
      <x:c r="A134" s="339" t="str">
        <x:v>AC-00133</x:v>
      </x:c>
      <x:c r="B134" s="339" t="str">
        <x:v>US-0034</x:v>
      </x:c>
      <x:c r="C134" s="339" t="str">
        <x:v>SCR-017</x:v>
      </x:c>
      <x:c r="D134" s="339" t="str">
        <x:v>Super Admin / SaaS Administration</x:v>
      </x:c>
      <x:c r="E134" s="339" t="str">
        <x:v>Support Tickets</x:v>
      </x:c>
      <x:c r="F134" s="339" t="str">
        <x:v>Valid status transition</x:v>
      </x:c>
      <x:c r="G134" s="339" t="str">
        <x:v>the record is in a state described by Trial / Draft → Active → Suspended → Cancelled / Archived</x:v>
      </x:c>
      <x:c r="H134" s="339" t="str">
        <x:v>the user requests a transition</x:v>
      </x:c>
      <x:c r="I134" s="339" t="str">
        <x:v>the system accepts only transitions allowed for that role and state</x:v>
      </x:c>
      <x:c r="J134" s="339" t="str">
        <x:v>Positive</x:v>
      </x:c>
      <x:c r="K134" s="339" t="str">
        <x:v>Functional</x:v>
      </x:c>
    </x:row>
    <x:row r="135">
      <x:c r="A135" s="339" t="str">
        <x:v>AC-00134</x:v>
      </x:c>
      <x:c r="B135" s="339" t="str">
        <x:v>US-0034</x:v>
      </x:c>
      <x:c r="C135" s="339" t="str">
        <x:v>SCR-017</x:v>
      </x:c>
      <x:c r="D135" s="339" t="str">
        <x:v>Super Admin / SaaS Administration</x:v>
      </x:c>
      <x:c r="E135" s="339" t="str">
        <x:v>Support Tickets</x:v>
      </x:c>
      <x:c r="F135" s="339" t="str">
        <x:v>Approval authority</x:v>
      </x:c>
      <x:c r="G135" s="339" t="str">
        <x:v>an action requires approval</x:v>
      </x:c>
      <x:c r="H135" s="339" t="str">
        <x:v>a non-authorized user attempts approval/rejection</x:v>
      </x:c>
      <x:c r="I135" s="339" t="str">
        <x:v>the system denies the decision and does not change status</x:v>
      </x:c>
      <x:c r="J135" s="339" t="str">
        <x:v>Negative</x:v>
      </x:c>
      <x:c r="K135" s="339" t="str">
        <x:v>Functional</x:v>
      </x:c>
    </x:row>
    <x:row r="136">
      <x:c r="A136" s="339" t="str">
        <x:v>AC-00135</x:v>
      </x:c>
      <x:c r="B136" s="339" t="str">
        <x:v>US-0034</x:v>
      </x:c>
      <x:c r="C136" s="339" t="str">
        <x:v>SCR-017</x:v>
      </x:c>
      <x:c r="D136" s="339" t="str">
        <x:v>Super Admin / SaaS Administration</x:v>
      </x:c>
      <x:c r="E136" s="339" t="str">
        <x:v>Support Tickets</x:v>
      </x:c>
      <x:c r="F136" s="339" t="str">
        <x:v>Failure rollback</x:v>
      </x:c>
      <x:c r="G136" s="339" t="str">
        <x:v>a downstream dependency fails during a multi-step transaction</x:v>
      </x:c>
      <x:c r="H136" s="339" t="str">
        <x:v>the workflow executes</x:v>
      </x:c>
      <x:c r="I136" s="339" t="str">
        <x:v>the system does not leave an invalid partial final state and surfaces a recoverable error</x:v>
      </x:c>
      <x:c r="J136" s="339" t="str">
        <x:v>Positive</x:v>
      </x:c>
      <x:c r="K136" s="339" t="str">
        <x:v>Functional</x:v>
      </x:c>
    </x:row>
    <x:row r="137">
      <x:c r="A137" s="339" t="str">
        <x:v>AC-00136</x:v>
      </x:c>
      <x:c r="B137" s="339" t="str">
        <x:v>US-0034</x:v>
      </x:c>
      <x:c r="C137" s="339" t="str">
        <x:v>SCR-017</x:v>
      </x:c>
      <x:c r="D137" s="339" t="str">
        <x:v>Super Admin / SaaS Administration</x:v>
      </x:c>
      <x:c r="E137" s="339" t="str">
        <x:v>Support Tickets</x:v>
      </x:c>
      <x:c r="F137" s="339" t="str">
        <x:v>Exception traceability</x:v>
      </x:c>
      <x:c r="G137" s="339" t="str">
        <x:v>an authorized override/exception is used</x:v>
      </x:c>
      <x:c r="H137" s="339" t="str">
        <x:v>the action is confirmed</x:v>
      </x:c>
      <x:c r="I137" s="339" t="str">
        <x:v>the system requires reason/context and records it in the audit history</x:v>
      </x:c>
      <x:c r="J137" s="339" t="str">
        <x:v>Positive</x:v>
      </x:c>
      <x:c r="K137" s="339" t="str">
        <x:v>Functional</x:v>
      </x:c>
    </x:row>
    <x:row r="138">
      <x:c r="A138" s="339" t="str">
        <x:v>AC-00137</x:v>
      </x:c>
      <x:c r="B138" s="339" t="str">
        <x:v>US-0035</x:v>
      </x:c>
      <x:c r="C138" s="339" t="str">
        <x:v>SCR-018</x:v>
      </x:c>
      <x:c r="D138" s="339" t="str">
        <x:v>Super Admin / SaaS Administration</x:v>
      </x:c>
      <x:c r="E138" s="339" t="str">
        <x:v>System Health &amp; Service Status</x:v>
      </x:c>
      <x:c r="F138" s="339" t="str">
        <x:v>Authorized access to System Health &amp; Service Status</x:v>
      </x:c>
      <x:c r="G138" s="339" t="str">
        <x:v>the Super Admin is authenticated and has access to System Health &amp; Service Status</x:v>
      </x:c>
      <x:c r="H138" s="339" t="str">
        <x:v>the user opens or invokes System Health &amp; Service Status</x:v>
      </x:c>
      <x:c r="I138" s="339" t="str">
        <x:v>the system loads only records and actions within the user's permitted tenant/school/data scope</x:v>
      </x:c>
      <x:c r="J138" s="339" t="str">
        <x:v>Positive</x:v>
      </x:c>
      <x:c r="K138" s="339" t="str">
        <x:v>Functional / Security</x:v>
      </x:c>
    </x:row>
    <x:row r="139">
      <x:c r="A139" s="339" t="str">
        <x:v>AC-00138</x:v>
      </x:c>
      <x:c r="B139" s="339" t="str">
        <x:v>US-0035</x:v>
      </x:c>
      <x:c r="C139" s="339" t="str">
        <x:v>SCR-018</x:v>
      </x:c>
      <x:c r="D139" s="339" t="str">
        <x:v>Super Admin / SaaS Administration</x:v>
      </x:c>
      <x:c r="E139" s="339" t="str">
        <x:v>System Health &amp; Service Status</x:v>
      </x:c>
      <x:c r="F139" s="339" t="str">
        <x:v>Successful System Health &amp; Service Status happy path</x:v>
      </x:c>
      <x:c r="G139" s="339" t="str">
        <x:v>all mandatory prerequisites and valid data are available</x:v>
      </x:c>
      <x:c r="H139" s="339" t="str">
        <x:v>the Super Admin completes the primary action on System Health &amp; Service Status</x:v>
      </x:c>
      <x:c r="I139" s="339" t="str">
        <x:v>the system validates the request, saves it atomically, shows a clear confirmation and reflects the updated state</x:v>
      </x:c>
      <x:c r="J139" s="339" t="str">
        <x:v>Positive</x:v>
      </x:c>
      <x:c r="K139" s="339" t="str">
        <x:v>Functional</x:v>
      </x:c>
    </x:row>
    <x:row r="140">
      <x:c r="A140" s="339" t="str">
        <x:v>AC-00139</x:v>
      </x:c>
      <x:c r="B140" s="339" t="str">
        <x:v>US-0035</x:v>
      </x:c>
      <x:c r="C140" s="339" t="str">
        <x:v>SCR-018</x:v>
      </x:c>
      <x:c r="D140" s="339" t="str">
        <x:v>Super Admin / SaaS Administration</x:v>
      </x:c>
      <x:c r="E140" s="339" t="str">
        <x:v>System Health &amp; Service Status</x:v>
      </x:c>
      <x:c r="F140" s="339" t="str">
        <x:v>State and dependency integrity</x:v>
      </x:c>
      <x:c r="G140" s="339" t="str">
        <x:v>the current record is in an allowed state (Trial / Draft → Active → Suspended → Cancelled / Archived)</x:v>
      </x:c>
      <x:c r="H140" s="339" t="str">
        <x:v>the user attempts a state-changing action</x:v>
      </x:c>
      <x:c r="I140" s="339" t="str">
        <x:v>only a valid transition is accepted and dependent records are updated according to configured business rules</x:v>
      </x:c>
      <x:c r="J140" s="339" t="str">
        <x:v>Positive</x:v>
      </x:c>
      <x:c r="K140" s="339" t="str">
        <x:v>Functional</x:v>
      </x:c>
    </x:row>
    <x:row r="141">
      <x:c r="A141" s="339" t="str">
        <x:v>AC-00140</x:v>
      </x:c>
      <x:c r="B141" s="339" t="str">
        <x:v>US-0035</x:v>
      </x:c>
      <x:c r="C141" s="339" t="str">
        <x:v>SCR-018</x:v>
      </x:c>
      <x:c r="D141" s="339" t="str">
        <x:v>Super Admin / SaaS Administration</x:v>
      </x:c>
      <x:c r="E141" s="339" t="str">
        <x:v>System Health &amp; Service Status</x:v>
      </x:c>
      <x:c r="F141" s="339" t="str">
        <x:v>Auditability</x:v>
      </x:c>
      <x:c r="G141" s="339" t="str">
        <x:v>a material create/update/approve/reverse action occurs</x:v>
      </x:c>
      <x:c r="H141" s="339" t="str">
        <x:v>the transaction succeeds</x:v>
      </x:c>
      <x:c r="I141" s="339" t="str">
        <x:v>the system records actor, timestamp, action, target and relevant before/after or reason context in the audit trail</x:v>
      </x:c>
      <x:c r="J141" s="339" t="str">
        <x:v>Positive</x:v>
      </x:c>
      <x:c r="K141" s="339" t="str">
        <x:v>Functional</x:v>
      </x:c>
    </x:row>
    <x:row r="142">
      <x:c r="A142" s="339" t="str">
        <x:v>AC-00141</x:v>
      </x:c>
      <x:c r="B142" s="339" t="str">
        <x:v>US-0036</x:v>
      </x:c>
      <x:c r="C142" s="339" t="str">
        <x:v>SCR-018</x:v>
      </x:c>
      <x:c r="D142" s="339" t="str">
        <x:v>Super Admin / SaaS Administration</x:v>
      </x:c>
      <x:c r="E142" s="339" t="str">
        <x:v>System Health &amp; Service Status</x:v>
      </x:c>
      <x:c r="F142" s="339" t="str">
        <x:v>Valid status transition</x:v>
      </x:c>
      <x:c r="G142" s="339" t="str">
        <x:v>the record is in a state described by Trial / Draft → Active → Suspended → Cancelled / Archived</x:v>
      </x:c>
      <x:c r="H142" s="339" t="str">
        <x:v>the user requests a transition</x:v>
      </x:c>
      <x:c r="I142" s="339" t="str">
        <x:v>the system accepts only transitions allowed for that role and state</x:v>
      </x:c>
      <x:c r="J142" s="339" t="str">
        <x:v>Positive</x:v>
      </x:c>
      <x:c r="K142" s="339" t="str">
        <x:v>Functional</x:v>
      </x:c>
    </x:row>
    <x:row r="143">
      <x:c r="A143" s="339" t="str">
        <x:v>AC-00142</x:v>
      </x:c>
      <x:c r="B143" s="339" t="str">
        <x:v>US-0036</x:v>
      </x:c>
      <x:c r="C143" s="339" t="str">
        <x:v>SCR-018</x:v>
      </x:c>
      <x:c r="D143" s="339" t="str">
        <x:v>Super Admin / SaaS Administration</x:v>
      </x:c>
      <x:c r="E143" s="339" t="str">
        <x:v>System Health &amp; Service Status</x:v>
      </x:c>
      <x:c r="F143" s="339" t="str">
        <x:v>Approval authority</x:v>
      </x:c>
      <x:c r="G143" s="339" t="str">
        <x:v>an action requires approval</x:v>
      </x:c>
      <x:c r="H143" s="339" t="str">
        <x:v>a non-authorized user attempts approval/rejection</x:v>
      </x:c>
      <x:c r="I143" s="339" t="str">
        <x:v>the system denies the decision and does not change status</x:v>
      </x:c>
      <x:c r="J143" s="339" t="str">
        <x:v>Negative</x:v>
      </x:c>
      <x:c r="K143" s="339" t="str">
        <x:v>Functional</x:v>
      </x:c>
    </x:row>
    <x:row r="144">
      <x:c r="A144" s="339" t="str">
        <x:v>AC-00143</x:v>
      </x:c>
      <x:c r="B144" s="339" t="str">
        <x:v>US-0036</x:v>
      </x:c>
      <x:c r="C144" s="339" t="str">
        <x:v>SCR-018</x:v>
      </x:c>
      <x:c r="D144" s="339" t="str">
        <x:v>Super Admin / SaaS Administration</x:v>
      </x:c>
      <x:c r="E144" s="339" t="str">
        <x:v>System Health &amp; Service Status</x:v>
      </x:c>
      <x:c r="F144" s="339" t="str">
        <x:v>Failure rollback</x:v>
      </x:c>
      <x:c r="G144" s="339" t="str">
        <x:v>a downstream dependency fails during a multi-step transaction</x:v>
      </x:c>
      <x:c r="H144" s="339" t="str">
        <x:v>the workflow executes</x:v>
      </x:c>
      <x:c r="I144" s="339" t="str">
        <x:v>the system does not leave an invalid partial final state and surfaces a recoverable error</x:v>
      </x:c>
      <x:c r="J144" s="339" t="str">
        <x:v>Positive</x:v>
      </x:c>
      <x:c r="K144" s="339" t="str">
        <x:v>Functional</x:v>
      </x:c>
    </x:row>
    <x:row r="145">
      <x:c r="A145" s="339" t="str">
        <x:v>AC-00144</x:v>
      </x:c>
      <x:c r="B145" s="339" t="str">
        <x:v>US-0036</x:v>
      </x:c>
      <x:c r="C145" s="339" t="str">
        <x:v>SCR-018</x:v>
      </x:c>
      <x:c r="D145" s="339" t="str">
        <x:v>Super Admin / SaaS Administration</x:v>
      </x:c>
      <x:c r="E145" s="339" t="str">
        <x:v>System Health &amp; Service Status</x:v>
      </x:c>
      <x:c r="F145" s="339" t="str">
        <x:v>Exception traceability</x:v>
      </x:c>
      <x:c r="G145" s="339" t="str">
        <x:v>an authorized override/exception is used</x:v>
      </x:c>
      <x:c r="H145" s="339" t="str">
        <x:v>the action is confirmed</x:v>
      </x:c>
      <x:c r="I145" s="339" t="str">
        <x:v>the system requires reason/context and records it in the audit history</x:v>
      </x:c>
      <x:c r="J145" s="339" t="str">
        <x:v>Positive</x:v>
      </x:c>
      <x:c r="K145" s="339" t="str">
        <x:v>Functional</x:v>
      </x:c>
    </x:row>
    <x:row r="146">
      <x:c r="A146" s="339" t="str">
        <x:v>AC-00145</x:v>
      </x:c>
      <x:c r="B146" s="339" t="str">
        <x:v>US-0037</x:v>
      </x:c>
      <x:c r="C146" s="339" t="str">
        <x:v>SCR-019</x:v>
      </x:c>
      <x:c r="D146" s="339" t="str">
        <x:v>Super Admin / SaaS Administration</x:v>
      </x:c>
      <x:c r="E146" s="339" t="str">
        <x:v>Global Announcements</x:v>
      </x:c>
      <x:c r="F146" s="339" t="str">
        <x:v>Authorized access to Global Announcements</x:v>
      </x:c>
      <x:c r="G146" s="339" t="str">
        <x:v>the Super Admin is authenticated and has access to Global Announcements</x:v>
      </x:c>
      <x:c r="H146" s="339" t="str">
        <x:v>the user opens or invokes Global Announcements</x:v>
      </x:c>
      <x:c r="I146" s="339" t="str">
        <x:v>the system loads only records and actions within the user's permitted tenant/school/data scope</x:v>
      </x:c>
      <x:c r="J146" s="339" t="str">
        <x:v>Positive</x:v>
      </x:c>
      <x:c r="K146" s="339" t="str">
        <x:v>Functional / Security</x:v>
      </x:c>
    </x:row>
    <x:row r="147">
      <x:c r="A147" s="339" t="str">
        <x:v>AC-00146</x:v>
      </x:c>
      <x:c r="B147" s="339" t="str">
        <x:v>US-0037</x:v>
      </x:c>
      <x:c r="C147" s="339" t="str">
        <x:v>SCR-019</x:v>
      </x:c>
      <x:c r="D147" s="339" t="str">
        <x:v>Super Admin / SaaS Administration</x:v>
      </x:c>
      <x:c r="E147" s="339" t="str">
        <x:v>Global Announcements</x:v>
      </x:c>
      <x:c r="F147" s="339" t="str">
        <x:v>Successful Global Announcements happy path</x:v>
      </x:c>
      <x:c r="G147" s="339" t="str">
        <x:v>all mandatory prerequisites and valid data are available</x:v>
      </x:c>
      <x:c r="H147" s="339" t="str">
        <x:v>the Super Admin completes the primary action on Global Announcements</x:v>
      </x:c>
      <x:c r="I147" s="339" t="str">
        <x:v>the system validates the request, saves it atomically, shows a clear confirmation and reflects the updated state</x:v>
      </x:c>
      <x:c r="J147" s="339" t="str">
        <x:v>Positive</x:v>
      </x:c>
      <x:c r="K147" s="339" t="str">
        <x:v>Functional</x:v>
      </x:c>
    </x:row>
    <x:row r="148">
      <x:c r="A148" s="339" t="str">
        <x:v>AC-00147</x:v>
      </x:c>
      <x:c r="B148" s="339" t="str">
        <x:v>US-0037</x:v>
      </x:c>
      <x:c r="C148" s="339" t="str">
        <x:v>SCR-019</x:v>
      </x:c>
      <x:c r="D148" s="339" t="str">
        <x:v>Super Admin / SaaS Administration</x:v>
      </x:c>
      <x:c r="E148" s="339" t="str">
        <x:v>Global Announcements</x:v>
      </x:c>
      <x:c r="F148" s="339" t="str">
        <x:v>State and dependency integrity</x:v>
      </x:c>
      <x:c r="G148" s="339" t="str">
        <x:v>the current record is in an allowed state (Trial / Draft → Active → Suspended → Cancelled / Archived)</x:v>
      </x:c>
      <x:c r="H148" s="339" t="str">
        <x:v>the user attempts a state-changing action</x:v>
      </x:c>
      <x:c r="I148" s="339" t="str">
        <x:v>only a valid transition is accepted and dependent records are updated according to configured business rules</x:v>
      </x:c>
      <x:c r="J148" s="339" t="str">
        <x:v>Positive</x:v>
      </x:c>
      <x:c r="K148" s="339" t="str">
        <x:v>Functional</x:v>
      </x:c>
    </x:row>
    <x:row r="149">
      <x:c r="A149" s="339" t="str">
        <x:v>AC-00148</x:v>
      </x:c>
      <x:c r="B149" s="339" t="str">
        <x:v>US-0037</x:v>
      </x:c>
      <x:c r="C149" s="339" t="str">
        <x:v>SCR-019</x:v>
      </x:c>
      <x:c r="D149" s="339" t="str">
        <x:v>Super Admin / SaaS Administration</x:v>
      </x:c>
      <x:c r="E149" s="339" t="str">
        <x:v>Global Announcements</x:v>
      </x:c>
      <x:c r="F149" s="339" t="str">
        <x:v>Auditability</x:v>
      </x:c>
      <x:c r="G149" s="339" t="str">
        <x:v>a material create/update/approve/reverse action occurs</x:v>
      </x:c>
      <x:c r="H149" s="339" t="str">
        <x:v>the transaction succeeds</x:v>
      </x:c>
      <x:c r="I149" s="339" t="str">
        <x:v>the system records actor, timestamp, action, target and relevant before/after or reason context in the audit trail</x:v>
      </x:c>
      <x:c r="J149" s="339" t="str">
        <x:v>Positive</x:v>
      </x:c>
      <x:c r="K149" s="339" t="str">
        <x:v>Functional</x:v>
      </x:c>
    </x:row>
    <x:row r="150">
      <x:c r="A150" s="339" t="str">
        <x:v>AC-00149</x:v>
      </x:c>
      <x:c r="B150" s="339" t="str">
        <x:v>US-0038</x:v>
      </x:c>
      <x:c r="C150" s="339" t="str">
        <x:v>SCR-019</x:v>
      </x:c>
      <x:c r="D150" s="339" t="str">
        <x:v>Super Admin / SaaS Administration</x:v>
      </x:c>
      <x:c r="E150" s="339" t="str">
        <x:v>Global Announcements</x:v>
      </x:c>
      <x:c r="F150" s="339" t="str">
        <x:v>Search and filtering</x:v>
      </x:c>
      <x:c r="G150" s="339" t="str">
        <x:v>authorized records exist across multiple values</x:v>
      </x:c>
      <x:c r="H150" s="339" t="str">
        <x:v>the user applies search, filters, sorting or pagination</x:v>
      </x:c>
      <x:c r="I150" s="339" t="str">
        <x:v>the results match all selected criteria and remain within the user's data scope</x:v>
      </x:c>
      <x:c r="J150" s="339" t="str">
        <x:v>Positive</x:v>
      </x:c>
      <x:c r="K150" s="339" t="str">
        <x:v>Functional</x:v>
      </x:c>
    </x:row>
    <x:row r="151">
      <x:c r="A151" s="339" t="str">
        <x:v>AC-00150</x:v>
      </x:c>
      <x:c r="B151" s="339" t="str">
        <x:v>US-0038</x:v>
      </x:c>
      <x:c r="C151" s="339" t="str">
        <x:v>SCR-019</x:v>
      </x:c>
      <x:c r="D151" s="339" t="str">
        <x:v>Super Admin / SaaS Administration</x:v>
      </x:c>
      <x:c r="E151" s="339" t="str">
        <x:v>Global Announcements</x:v>
      </x:c>
      <x:c r="F151" s="339" t="str">
        <x:v>Controlled row actions</x:v>
      </x:c>
      <x:c r="G151" s="339" t="str">
        <x:v>records are returned in the list</x:v>
      </x:c>
      <x:c r="H151" s="339" t="str">
        <x:v>the user opens the action menu</x:v>
      </x:c>
      <x:c r="I151" s="339" t="str">
        <x:v>only actions permitted for the user's role and the record's current state are offered</x:v>
      </x:c>
      <x:c r="J151" s="339" t="str">
        <x:v>Positive</x:v>
      </x:c>
      <x:c r="K151" s="339" t="str">
        <x:v>Functional</x:v>
      </x:c>
    </x:row>
    <x:row r="152">
      <x:c r="A152" s="339" t="str">
        <x:v>AC-00151</x:v>
      </x:c>
      <x:c r="B152" s="339" t="str">
        <x:v>US-0038</x:v>
      </x:c>
      <x:c r="C152" s="339" t="str">
        <x:v>SCR-019</x:v>
      </x:c>
      <x:c r="D152" s="339" t="str">
        <x:v>Super Admin / SaaS Administration</x:v>
      </x:c>
      <x:c r="E152" s="339" t="str">
        <x:v>Global Announcements</x:v>
      </x:c>
      <x:c r="F152" s="339" t="str">
        <x:v>Empty/no-result handling</x:v>
      </x:c>
      <x:c r="G152" s="339" t="str">
        <x:v>no record matches the current criteria</x:v>
      </x:c>
      <x:c r="H152" s="339" t="str">
        <x:v>the query completes</x:v>
      </x:c>
      <x:c r="I152" s="339" t="str">
        <x:v>the system shows a clear empty state without treating it as an application error</x:v>
      </x:c>
      <x:c r="J152" s="339" t="str">
        <x:v>Positive</x:v>
      </x:c>
      <x:c r="K152" s="339" t="str">
        <x:v>Functional</x:v>
      </x:c>
    </x:row>
    <x:row r="153">
      <x:c r="A153" s="339" t="str">
        <x:v>AC-00152</x:v>
      </x:c>
      <x:c r="B153" s="339" t="str">
        <x:v>US-0038</x:v>
      </x:c>
      <x:c r="C153" s="339" t="str">
        <x:v>SCR-019</x:v>
      </x:c>
      <x:c r="D153" s="339" t="str">
        <x:v>Super Admin / SaaS Administration</x:v>
      </x:c>
      <x:c r="E153" s="339" t="str">
        <x:v>Global Announcements</x:v>
      </x:c>
      <x:c r="F153" s="339" t="str">
        <x:v>Export scope</x:v>
      </x:c>
      <x:c r="G153" s="339" t="str">
        <x:v>the user has export permission</x:v>
      </x:c>
      <x:c r="H153" s="339" t="str">
        <x:v>the user exports the filtered list</x:v>
      </x:c>
      <x:c r="I153" s="339" t="str">
        <x:v>the export contains the same authorized filter scope and excludes restricted fields</x:v>
      </x:c>
      <x:c r="J153" s="339" t="str">
        <x:v>Positive</x:v>
      </x:c>
      <x:c r="K153" s="339" t="str">
        <x:v>Functional</x:v>
      </x:c>
    </x:row>
    <x:row r="154">
      <x:c r="A154" s="339" t="str">
        <x:v>AC-00153</x:v>
      </x:c>
      <x:c r="B154" s="339" t="str">
        <x:v>US-0039</x:v>
      </x:c>
      <x:c r="C154" s="339" t="str">
        <x:v>SCR-020</x:v>
      </x:c>
      <x:c r="D154" s="339" t="str">
        <x:v>Super Admin / SaaS Administration</x:v>
      </x:c>
      <x:c r="E154" s="339" t="str">
        <x:v>Platform Settings</x:v>
      </x:c>
      <x:c r="F154" s="339" t="str">
        <x:v>Authorized access to Platform Settings</x:v>
      </x:c>
      <x:c r="G154" s="339" t="str">
        <x:v>the Super Admin is authenticated and has access to Platform Settings</x:v>
      </x:c>
      <x:c r="H154" s="339" t="str">
        <x:v>the user opens or invokes Platform Settings</x:v>
      </x:c>
      <x:c r="I154" s="339" t="str">
        <x:v>the system loads only records and actions within the user's permitted tenant/school/data scope</x:v>
      </x:c>
      <x:c r="J154" s="339" t="str">
        <x:v>Positive</x:v>
      </x:c>
      <x:c r="K154" s="339" t="str">
        <x:v>Functional / Security</x:v>
      </x:c>
    </x:row>
    <x:row r="155">
      <x:c r="A155" s="339" t="str">
        <x:v>AC-00154</x:v>
      </x:c>
      <x:c r="B155" s="339" t="str">
        <x:v>US-0039</x:v>
      </x:c>
      <x:c r="C155" s="339" t="str">
        <x:v>SCR-020</x:v>
      </x:c>
      <x:c r="D155" s="339" t="str">
        <x:v>Super Admin / SaaS Administration</x:v>
      </x:c>
      <x:c r="E155" s="339" t="str">
        <x:v>Platform Settings</x:v>
      </x:c>
      <x:c r="F155" s="339" t="str">
        <x:v>Successful Platform Settings happy path</x:v>
      </x:c>
      <x:c r="G155" s="339" t="str">
        <x:v>all mandatory prerequisites and valid data are available</x:v>
      </x:c>
      <x:c r="H155" s="339" t="str">
        <x:v>the Super Admin completes the primary action on Platform Settings</x:v>
      </x:c>
      <x:c r="I155" s="339" t="str">
        <x:v>the system validates the request, saves it atomically, shows a clear confirmation and reflects the updated state</x:v>
      </x:c>
      <x:c r="J155" s="339" t="str">
        <x:v>Positive</x:v>
      </x:c>
      <x:c r="K155" s="339" t="str">
        <x:v>Functional</x:v>
      </x:c>
    </x:row>
    <x:row r="156">
      <x:c r="A156" s="339" t="str">
        <x:v>AC-00155</x:v>
      </x:c>
      <x:c r="B156" s="339" t="str">
        <x:v>US-0039</x:v>
      </x:c>
      <x:c r="C156" s="339" t="str">
        <x:v>SCR-020</x:v>
      </x:c>
      <x:c r="D156" s="339" t="str">
        <x:v>Super Admin / SaaS Administration</x:v>
      </x:c>
      <x:c r="E156" s="339" t="str">
        <x:v>Platform Settings</x:v>
      </x:c>
      <x:c r="F156" s="339" t="str">
        <x:v>State and dependency integrity</x:v>
      </x:c>
      <x:c r="G156" s="339" t="str">
        <x:v>the current record is in an allowed state (Trial / Draft → Active → Suspended → Cancelled / Archived)</x:v>
      </x:c>
      <x:c r="H156" s="339" t="str">
        <x:v>the user attempts a state-changing action</x:v>
      </x:c>
      <x:c r="I156" s="339" t="str">
        <x:v>only a valid transition is accepted and dependent records are updated according to configured business rules</x:v>
      </x:c>
      <x:c r="J156" s="339" t="str">
        <x:v>Positive</x:v>
      </x:c>
      <x:c r="K156" s="339" t="str">
        <x:v>Functional</x:v>
      </x:c>
    </x:row>
    <x:row r="157">
      <x:c r="A157" s="339" t="str">
        <x:v>AC-00156</x:v>
      </x:c>
      <x:c r="B157" s="339" t="str">
        <x:v>US-0039</x:v>
      </x:c>
      <x:c r="C157" s="339" t="str">
        <x:v>SCR-020</x:v>
      </x:c>
      <x:c r="D157" s="339" t="str">
        <x:v>Super Admin / SaaS Administration</x:v>
      </x:c>
      <x:c r="E157" s="339" t="str">
        <x:v>Platform Settings</x:v>
      </x:c>
      <x:c r="F157" s="339" t="str">
        <x:v>Auditability</x:v>
      </x:c>
      <x:c r="G157" s="339" t="str">
        <x:v>a material create/update/approve/reverse action occurs</x:v>
      </x:c>
      <x:c r="H157" s="339" t="str">
        <x:v>the transaction succeeds</x:v>
      </x:c>
      <x:c r="I157" s="339" t="str">
        <x:v>the system records actor, timestamp, action, target and relevant before/after or reason context in the audit trail</x:v>
      </x:c>
      <x:c r="J157" s="339" t="str">
        <x:v>Positive</x:v>
      </x:c>
      <x:c r="K157" s="339" t="str">
        <x:v>Functional</x:v>
      </x:c>
    </x:row>
    <x:row r="158">
      <x:c r="A158" s="339" t="str">
        <x:v>AC-00157</x:v>
      </x:c>
      <x:c r="B158" s="339" t="str">
        <x:v>US-0040</x:v>
      </x:c>
      <x:c r="C158" s="339" t="str">
        <x:v>SCR-020</x:v>
      </x:c>
      <x:c r="D158" s="339" t="str">
        <x:v>Super Admin / SaaS Administration</x:v>
      </x:c>
      <x:c r="E158" s="339" t="str">
        <x:v>Platform Settings</x:v>
      </x:c>
      <x:c r="F158" s="339" t="str">
        <x:v>Dependency-safe change</x:v>
      </x:c>
      <x:c r="G158" s="339" t="str">
        <x:v>the configuration is referenced by existing transactions</x:v>
      </x:c>
      <x:c r="H158" s="339" t="str">
        <x:v>the user edits or deactivates it</x:v>
      </x:c>
      <x:c r="I158" s="339" t="str">
        <x:v>the system prevents destructive changes and uses effective dating/inactivation/versioning as required</x:v>
      </x:c>
      <x:c r="J158" s="339" t="str">
        <x:v>Positive</x:v>
      </x:c>
      <x:c r="K158" s="339" t="str">
        <x:v>Functional</x:v>
      </x:c>
    </x:row>
    <x:row r="159">
      <x:c r="A159" s="339" t="str">
        <x:v>AC-00158</x:v>
      </x:c>
      <x:c r="B159" s="339" t="str">
        <x:v>US-0040</x:v>
      </x:c>
      <x:c r="C159" s="339" t="str">
        <x:v>SCR-020</x:v>
      </x:c>
      <x:c r="D159" s="339" t="str">
        <x:v>Super Admin / SaaS Administration</x:v>
      </x:c>
      <x:c r="E159" s="339" t="str">
        <x:v>Platform Settings</x:v>
      </x:c>
      <x:c r="F159" s="339" t="str">
        <x:v>No overlapping configuration</x:v>
      </x:c>
      <x:c r="G159" s="339" t="str">
        <x:v>an active configuration already covers the same scope/date</x:v>
      </x:c>
      <x:c r="H159" s="339" t="str">
        <x:v>the user creates another conflicting configuration</x:v>
      </x:c>
      <x:c r="I159" s="339" t="str">
        <x:v>the system blocks the overlap or requires an authorized explicit resolution</x:v>
      </x:c>
      <x:c r="J159" s="339" t="str">
        <x:v>Negative</x:v>
      </x:c>
      <x:c r="K159" s="339" t="str">
        <x:v>Functional</x:v>
      </x:c>
    </x:row>
    <x:row r="160">
      <x:c r="A160" s="339" t="str">
        <x:v>AC-00159</x:v>
      </x:c>
      <x:c r="B160" s="339" t="str">
        <x:v>US-0040</x:v>
      </x:c>
      <x:c r="C160" s="339" t="str">
        <x:v>SCR-020</x:v>
      </x:c>
      <x:c r="D160" s="339" t="str">
        <x:v>Super Admin / SaaS Administration</x:v>
      </x:c>
      <x:c r="E160" s="339" t="str">
        <x:v>Platform Settings</x:v>
      </x:c>
      <x:c r="F160" s="339" t="str">
        <x:v>Permission control</x:v>
      </x:c>
      <x:c r="G160" s="339" t="str">
        <x:v>a user lacks configuration permission</x:v>
      </x:c>
      <x:c r="H160" s="339" t="str">
        <x:v>the user attempts to change settings</x:v>
      </x:c>
      <x:c r="I160" s="339" t="str">
        <x:v>the system denies the update server-side and records the denied/high-risk event when required</x:v>
      </x:c>
      <x:c r="J160" s="339" t="str">
        <x:v>Negative</x:v>
      </x:c>
      <x:c r="K160" s="339" t="str">
        <x:v>Functional / Security</x:v>
      </x:c>
    </x:row>
    <x:row r="161">
      <x:c r="A161" s="339" t="str">
        <x:v>AC-00160</x:v>
      </x:c>
      <x:c r="B161" s="339" t="str">
        <x:v>US-0040</x:v>
      </x:c>
      <x:c r="C161" s="339" t="str">
        <x:v>SCR-020</x:v>
      </x:c>
      <x:c r="D161" s="339" t="str">
        <x:v>Super Admin / SaaS Administration</x:v>
      </x:c>
      <x:c r="E161" s="339" t="str">
        <x:v>Platform Settings</x:v>
      </x:c>
      <x:c r="F161" s="339" t="str">
        <x:v>Effective-time behavior</x:v>
      </x:c>
      <x:c r="G161" s="339" t="str">
        <x:v>a configuration change has a future effective date</x:v>
      </x:c>
      <x:c r="H161" s="339" t="str">
        <x:v>the change is saved</x:v>
      </x:c>
      <x:c r="I161" s="339" t="str">
        <x:v>existing transactions use the current version until the effective time and new behavior starts predictably</x:v>
      </x:c>
      <x:c r="J161" s="339" t="str">
        <x:v>Positive</x:v>
      </x:c>
      <x:c r="K161" s="339" t="str">
        <x:v>Functional</x:v>
      </x:c>
    </x:row>
    <x:row r="162">
      <x:c r="A162" s="339" t="str">
        <x:v>AC-00161</x:v>
      </x:c>
      <x:c r="B162" s="339" t="str">
        <x:v>US-0041</x:v>
      </x:c>
      <x:c r="C162" s="339" t="str">
        <x:v>SCR-021</x:v>
      </x:c>
      <x:c r="D162" s="339" t="str">
        <x:v>Organization / School / Branch Setup</x:v>
      </x:c>
      <x:c r="E162" s="339" t="str">
        <x:v>Organization Profile</x:v>
      </x:c>
      <x:c r="F162" s="339" t="str">
        <x:v>Authorized access to Organization Profile</x:v>
      </x:c>
      <x:c r="G162" s="339" t="str">
        <x:v>the Super Admin is authenticated and has access to Organization Profile</x:v>
      </x:c>
      <x:c r="H162" s="339" t="str">
        <x:v>the user opens or invokes Organization Profile</x:v>
      </x:c>
      <x:c r="I162" s="339" t="str">
        <x:v>the system loads only records and actions within the user's permitted tenant/school/data scope</x:v>
      </x:c>
      <x:c r="J162" s="339" t="str">
        <x:v>Positive</x:v>
      </x:c>
      <x:c r="K162" s="339" t="str">
        <x:v>Functional / Security</x:v>
      </x:c>
    </x:row>
    <x:row r="163">
      <x:c r="A163" s="339" t="str">
        <x:v>AC-00162</x:v>
      </x:c>
      <x:c r="B163" s="339" t="str">
        <x:v>US-0041</x:v>
      </x:c>
      <x:c r="C163" s="339" t="str">
        <x:v>SCR-021</x:v>
      </x:c>
      <x:c r="D163" s="339" t="str">
        <x:v>Organization / School / Branch Setup</x:v>
      </x:c>
      <x:c r="E163" s="339" t="str">
        <x:v>Organization Profile</x:v>
      </x:c>
      <x:c r="F163" s="339" t="str">
        <x:v>Successful Organization Profile happy path</x:v>
      </x:c>
      <x:c r="G163" s="339" t="str">
        <x:v>all mandatory prerequisites and valid data are available</x:v>
      </x:c>
      <x:c r="H163" s="339" t="str">
        <x:v>the Super Admin completes the primary action on Organization Profile</x:v>
      </x:c>
      <x:c r="I163" s="339" t="str">
        <x:v>the system validates the request, saves it atomically, shows a clear confirmation and reflects the updated state</x:v>
      </x:c>
      <x:c r="J163" s="339" t="str">
        <x:v>Positive</x:v>
      </x:c>
      <x:c r="K163" s="339" t="str">
        <x:v>Functional</x:v>
      </x:c>
    </x:row>
    <x:row r="164">
      <x:c r="A164" s="339" t="str">
        <x:v>AC-00163</x:v>
      </x:c>
      <x:c r="B164" s="339" t="str">
        <x:v>US-0041</x:v>
      </x:c>
      <x:c r="C164" s="339" t="str">
        <x:v>SCR-021</x:v>
      </x:c>
      <x:c r="D164" s="339" t="str">
        <x:v>Organization / School / Branch Setup</x:v>
      </x:c>
      <x:c r="E164" s="339" t="str">
        <x:v>Organization Profile</x:v>
      </x:c>
      <x:c r="F164" s="339" t="str">
        <x:v>State and dependency integrity</x:v>
      </x:c>
      <x:c r="G164" s="339" t="str">
        <x:v>the current record is in an allowed state (Draft → Active → Inactive / Archived)</x:v>
      </x:c>
      <x:c r="H164" s="339" t="str">
        <x:v>the user attempts a state-changing action</x:v>
      </x:c>
      <x:c r="I164" s="339" t="str">
        <x:v>only a valid transition is accepted and dependent records are updated according to configured business rules</x:v>
      </x:c>
      <x:c r="J164" s="339" t="str">
        <x:v>Positive</x:v>
      </x:c>
      <x:c r="K164" s="339" t="str">
        <x:v>Functional</x:v>
      </x:c>
    </x:row>
    <x:row r="165">
      <x:c r="A165" s="339" t="str">
        <x:v>AC-00164</x:v>
      </x:c>
      <x:c r="B165" s="339" t="str">
        <x:v>US-0041</x:v>
      </x:c>
      <x:c r="C165" s="339" t="str">
        <x:v>SCR-021</x:v>
      </x:c>
      <x:c r="D165" s="339" t="str">
        <x:v>Organization / School / Branch Setup</x:v>
      </x:c>
      <x:c r="E165" s="339" t="str">
        <x:v>Organization Profile</x:v>
      </x:c>
      <x:c r="F165" s="339" t="str">
        <x:v>Auditability</x:v>
      </x:c>
      <x:c r="G165" s="339" t="str">
        <x:v>a material create/update/approve/reverse action occurs</x:v>
      </x:c>
      <x:c r="H165" s="339" t="str">
        <x:v>the transaction succeeds</x:v>
      </x:c>
      <x:c r="I165" s="339" t="str">
        <x:v>the system records actor, timestamp, action, target and relevant before/after or reason context in the audit trail</x:v>
      </x:c>
      <x:c r="J165" s="339" t="str">
        <x:v>Positive</x:v>
      </x:c>
      <x:c r="K165" s="339" t="str">
        <x:v>Functional</x:v>
      </x:c>
    </x:row>
    <x:row r="166">
      <x:c r="A166" s="339" t="str">
        <x:v>AC-00165</x:v>
      </x:c>
      <x:c r="B166" s="339" t="str">
        <x:v>US-0042</x:v>
      </x:c>
      <x:c r="C166" s="339" t="str">
        <x:v>SCR-021</x:v>
      </x:c>
      <x:c r="D166" s="339" t="str">
        <x:v>Organization / School / Branch Setup</x:v>
      </x:c>
      <x:c r="E166" s="339" t="str">
        <x:v>Organization Profile</x:v>
      </x:c>
      <x:c r="F166" s="339" t="str">
        <x:v>Complete authorized view</x:v>
      </x:c>
      <x:c r="G166" s="339" t="str">
        <x:v>the record exists and the user is authorized</x:v>
      </x:c>
      <x:c r="H166" s="339" t="str">
        <x:v>the detail/profile opens</x:v>
      </x:c>
      <x:c r="I166" s="339" t="str">
        <x:v>the system loads the required summary, relationships and history while masking restricted fields</x:v>
      </x:c>
      <x:c r="J166" s="339" t="str">
        <x:v>Positive</x:v>
      </x:c>
      <x:c r="K166" s="339" t="str">
        <x:v>Functional / Security</x:v>
      </x:c>
    </x:row>
    <x:row r="167">
      <x:c r="A167" s="339" t="str">
        <x:v>AC-00166</x:v>
      </x:c>
      <x:c r="B167" s="339" t="str">
        <x:v>US-0042</x:v>
      </x:c>
      <x:c r="C167" s="339" t="str">
        <x:v>SCR-021</x:v>
      </x:c>
      <x:c r="D167" s="339" t="str">
        <x:v>Organization / School / Branch Setup</x:v>
      </x:c>
      <x:c r="E167" s="339" t="str">
        <x:v>Organization Profile</x:v>
      </x:c>
      <x:c r="F167" s="339" t="str">
        <x:v>Controlled edit</x:v>
      </x:c>
      <x:c r="G167" s="339" t="str">
        <x:v>the user has edit permission and the record is editable</x:v>
      </x:c>
      <x:c r="H167" s="339" t="str">
        <x:v>the user saves a change</x:v>
      </x:c>
      <x:c r="I167" s="339" t="str">
        <x:v>validation and state rules run before the update is committed</x:v>
      </x:c>
      <x:c r="J167" s="339" t="str">
        <x:v>Positive</x:v>
      </x:c>
      <x:c r="K167" s="339" t="str">
        <x:v>Functional</x:v>
      </x:c>
    </x:row>
    <x:row r="168">
      <x:c r="A168" s="339" t="str">
        <x:v>AC-00167</x:v>
      </x:c>
      <x:c r="B168" s="339" t="str">
        <x:v>US-0042</x:v>
      </x:c>
      <x:c r="C168" s="339" t="str">
        <x:v>SCR-021</x:v>
      </x:c>
      <x:c r="D168" s="339" t="str">
        <x:v>Organization / School / Branch Setup</x:v>
      </x:c>
      <x:c r="E168" s="339" t="str">
        <x:v>Organization Profile</x:v>
      </x:c>
      <x:c r="F168" s="339" t="str">
        <x:v>Concurrent edit protection</x:v>
      </x:c>
      <x:c r="G168" s="339" t="str">
        <x:v>another user has changed the record after it was loaded</x:v>
      </x:c>
      <x:c r="H168" s="339" t="str">
        <x:v>the first user attempts to save stale data</x:v>
      </x:c>
      <x:c r="I168" s="339" t="str">
        <x:v>the system detects the version conflict or preserves fields safely instead of silently overwriting</x:v>
      </x:c>
      <x:c r="J168" s="339" t="str">
        <x:v>Positive</x:v>
      </x:c>
      <x:c r="K168" s="339" t="str">
        <x:v>Functional</x:v>
      </x:c>
    </x:row>
    <x:row r="169">
      <x:c r="A169" s="339" t="str">
        <x:v>AC-00168</x:v>
      </x:c>
      <x:c r="B169" s="339" t="str">
        <x:v>US-0042</x:v>
      </x:c>
      <x:c r="C169" s="339" t="str">
        <x:v>SCR-021</x:v>
      </x:c>
      <x:c r="D169" s="339" t="str">
        <x:v>Organization / School / Branch Setup</x:v>
      </x:c>
      <x:c r="E169" s="339" t="str">
        <x:v>Organization Profile</x:v>
      </x:c>
      <x:c r="F169" s="339" t="str">
        <x:v>History retention</x:v>
      </x:c>
      <x:c r="G169" s="339" t="str">
        <x:v>the record has prior changes/statuses</x:v>
      </x:c>
      <x:c r="H169" s="339" t="str">
        <x:v>the user views history</x:v>
      </x:c>
      <x:c r="I169" s="339" t="str">
        <x:v>the audit/activity timeline shows traceable material changes without exposing restricted notes</x:v>
      </x:c>
      <x:c r="J169" s="339" t="str">
        <x:v>Positive</x:v>
      </x:c>
      <x:c r="K169" s="339" t="str">
        <x:v>Functional</x:v>
      </x:c>
    </x:row>
    <x:row r="170">
      <x:c r="A170" s="339" t="str">
        <x:v>AC-00169</x:v>
      </x:c>
      <x:c r="B170" s="339" t="str">
        <x:v>US-0043</x:v>
      </x:c>
      <x:c r="C170" s="339" t="str">
        <x:v>SCR-022</x:v>
      </x:c>
      <x:c r="D170" s="339" t="str">
        <x:v>Organization / School / Branch Setup</x:v>
      </x:c>
      <x:c r="E170" s="339" t="str">
        <x:v>Schools List</x:v>
      </x:c>
      <x:c r="F170" s="339" t="str">
        <x:v>Authorized access to Schools List</x:v>
      </x:c>
      <x:c r="G170" s="339" t="str">
        <x:v>the Super Admin is authenticated and has access to Schools List</x:v>
      </x:c>
      <x:c r="H170" s="339" t="str">
        <x:v>the user opens or invokes Schools List</x:v>
      </x:c>
      <x:c r="I170" s="339" t="str">
        <x:v>the system loads only records and actions within the user's permitted tenant/school/data scope</x:v>
      </x:c>
      <x:c r="J170" s="339" t="str">
        <x:v>Positive</x:v>
      </x:c>
      <x:c r="K170" s="339" t="str">
        <x:v>Functional / Security</x:v>
      </x:c>
    </x:row>
    <x:row r="171">
      <x:c r="A171" s="339" t="str">
        <x:v>AC-00170</x:v>
      </x:c>
      <x:c r="B171" s="339" t="str">
        <x:v>US-0043</x:v>
      </x:c>
      <x:c r="C171" s="339" t="str">
        <x:v>SCR-022</x:v>
      </x:c>
      <x:c r="D171" s="339" t="str">
        <x:v>Organization / School / Branch Setup</x:v>
      </x:c>
      <x:c r="E171" s="339" t="str">
        <x:v>Schools List</x:v>
      </x:c>
      <x:c r="F171" s="339" t="str">
        <x:v>Successful Schools List happy path</x:v>
      </x:c>
      <x:c r="G171" s="339" t="str">
        <x:v>all mandatory prerequisites and valid data are available</x:v>
      </x:c>
      <x:c r="H171" s="339" t="str">
        <x:v>the Super Admin completes the primary action on Schools List</x:v>
      </x:c>
      <x:c r="I171" s="339" t="str">
        <x:v>the system validates the request, saves it atomically, shows a clear confirmation and reflects the updated state</x:v>
      </x:c>
      <x:c r="J171" s="339" t="str">
        <x:v>Positive</x:v>
      </x:c>
      <x:c r="K171" s="339" t="str">
        <x:v>Functional</x:v>
      </x:c>
    </x:row>
    <x:row r="172">
      <x:c r="A172" s="339" t="str">
        <x:v>AC-00171</x:v>
      </x:c>
      <x:c r="B172" s="339" t="str">
        <x:v>US-0043</x:v>
      </x:c>
      <x:c r="C172" s="339" t="str">
        <x:v>SCR-022</x:v>
      </x:c>
      <x:c r="D172" s="339" t="str">
        <x:v>Organization / School / Branch Setup</x:v>
      </x:c>
      <x:c r="E172" s="339" t="str">
        <x:v>Schools List</x:v>
      </x:c>
      <x:c r="F172" s="339" t="str">
        <x:v>State and dependency integrity</x:v>
      </x:c>
      <x:c r="G172" s="339" t="str">
        <x:v>the current record is in an allowed state (Draft → Active → Inactive / Archived)</x:v>
      </x:c>
      <x:c r="H172" s="339" t="str">
        <x:v>the user attempts a state-changing action</x:v>
      </x:c>
      <x:c r="I172" s="339" t="str">
        <x:v>only a valid transition is accepted and dependent records are updated according to configured business rules</x:v>
      </x:c>
      <x:c r="J172" s="339" t="str">
        <x:v>Positive</x:v>
      </x:c>
      <x:c r="K172" s="339" t="str">
        <x:v>Functional</x:v>
      </x:c>
    </x:row>
    <x:row r="173">
      <x:c r="A173" s="339" t="str">
        <x:v>AC-00172</x:v>
      </x:c>
      <x:c r="B173" s="339" t="str">
        <x:v>US-0043</x:v>
      </x:c>
      <x:c r="C173" s="339" t="str">
        <x:v>SCR-022</x:v>
      </x:c>
      <x:c r="D173" s="339" t="str">
        <x:v>Organization / School / Branch Setup</x:v>
      </x:c>
      <x:c r="E173" s="339" t="str">
        <x:v>Schools List</x:v>
      </x:c>
      <x:c r="F173" s="339" t="str">
        <x:v>Auditability</x:v>
      </x:c>
      <x:c r="G173" s="339" t="str">
        <x:v>a material create/update/approve/reverse action occurs</x:v>
      </x:c>
      <x:c r="H173" s="339" t="str">
        <x:v>the transaction succeeds</x:v>
      </x:c>
      <x:c r="I173" s="339" t="str">
        <x:v>the system records actor, timestamp, action, target and relevant before/after or reason context in the audit trail</x:v>
      </x:c>
      <x:c r="J173" s="339" t="str">
        <x:v>Positive</x:v>
      </x:c>
      <x:c r="K173" s="339" t="str">
        <x:v>Functional</x:v>
      </x:c>
    </x:row>
    <x:row r="174">
      <x:c r="A174" s="339" t="str">
        <x:v>AC-00173</x:v>
      </x:c>
      <x:c r="B174" s="339" t="str">
        <x:v>US-0044</x:v>
      </x:c>
      <x:c r="C174" s="339" t="str">
        <x:v>SCR-022</x:v>
      </x:c>
      <x:c r="D174" s="339" t="str">
        <x:v>Organization / School / Branch Setup</x:v>
      </x:c>
      <x:c r="E174" s="339" t="str">
        <x:v>Schools List</x:v>
      </x:c>
      <x:c r="F174" s="339" t="str">
        <x:v>Search and filtering</x:v>
      </x:c>
      <x:c r="G174" s="339" t="str">
        <x:v>authorized records exist across multiple values</x:v>
      </x:c>
      <x:c r="H174" s="339" t="str">
        <x:v>the user applies search, filters, sorting or pagination</x:v>
      </x:c>
      <x:c r="I174" s="339" t="str">
        <x:v>the results match all selected criteria and remain within the user's data scope</x:v>
      </x:c>
      <x:c r="J174" s="339" t="str">
        <x:v>Positive</x:v>
      </x:c>
      <x:c r="K174" s="339" t="str">
        <x:v>Functional</x:v>
      </x:c>
    </x:row>
    <x:row r="175">
      <x:c r="A175" s="339" t="str">
        <x:v>AC-00174</x:v>
      </x:c>
      <x:c r="B175" s="339" t="str">
        <x:v>US-0044</x:v>
      </x:c>
      <x:c r="C175" s="339" t="str">
        <x:v>SCR-022</x:v>
      </x:c>
      <x:c r="D175" s="339" t="str">
        <x:v>Organization / School / Branch Setup</x:v>
      </x:c>
      <x:c r="E175" s="339" t="str">
        <x:v>Schools List</x:v>
      </x:c>
      <x:c r="F175" s="339" t="str">
        <x:v>Controlled row actions</x:v>
      </x:c>
      <x:c r="G175" s="339" t="str">
        <x:v>records are returned in the list</x:v>
      </x:c>
      <x:c r="H175" s="339" t="str">
        <x:v>the user opens the action menu</x:v>
      </x:c>
      <x:c r="I175" s="339" t="str">
        <x:v>only actions permitted for the user's role and the record's current state are offered</x:v>
      </x:c>
      <x:c r="J175" s="339" t="str">
        <x:v>Positive</x:v>
      </x:c>
      <x:c r="K175" s="339" t="str">
        <x:v>Functional</x:v>
      </x:c>
    </x:row>
    <x:row r="176">
      <x:c r="A176" s="339" t="str">
        <x:v>AC-00175</x:v>
      </x:c>
      <x:c r="B176" s="339" t="str">
        <x:v>US-0044</x:v>
      </x:c>
      <x:c r="C176" s="339" t="str">
        <x:v>SCR-022</x:v>
      </x:c>
      <x:c r="D176" s="339" t="str">
        <x:v>Organization / School / Branch Setup</x:v>
      </x:c>
      <x:c r="E176" s="339" t="str">
        <x:v>Schools List</x:v>
      </x:c>
      <x:c r="F176" s="339" t="str">
        <x:v>Empty/no-result handling</x:v>
      </x:c>
      <x:c r="G176" s="339" t="str">
        <x:v>no record matches the current criteria</x:v>
      </x:c>
      <x:c r="H176" s="339" t="str">
        <x:v>the query completes</x:v>
      </x:c>
      <x:c r="I176" s="339" t="str">
        <x:v>the system shows a clear empty state without treating it as an application error</x:v>
      </x:c>
      <x:c r="J176" s="339" t="str">
        <x:v>Positive</x:v>
      </x:c>
      <x:c r="K176" s="339" t="str">
        <x:v>Functional</x:v>
      </x:c>
    </x:row>
    <x:row r="177">
      <x:c r="A177" s="339" t="str">
        <x:v>AC-00176</x:v>
      </x:c>
      <x:c r="B177" s="339" t="str">
        <x:v>US-0044</x:v>
      </x:c>
      <x:c r="C177" s="339" t="str">
        <x:v>SCR-022</x:v>
      </x:c>
      <x:c r="D177" s="339" t="str">
        <x:v>Organization / School / Branch Setup</x:v>
      </x:c>
      <x:c r="E177" s="339" t="str">
        <x:v>Schools List</x:v>
      </x:c>
      <x:c r="F177" s="339" t="str">
        <x:v>Export scope</x:v>
      </x:c>
      <x:c r="G177" s="339" t="str">
        <x:v>the user has export permission</x:v>
      </x:c>
      <x:c r="H177" s="339" t="str">
        <x:v>the user exports the filtered list</x:v>
      </x:c>
      <x:c r="I177" s="339" t="str">
        <x:v>the export contains the same authorized filter scope and excludes restricted fields</x:v>
      </x:c>
      <x:c r="J177" s="339" t="str">
        <x:v>Positive</x:v>
      </x:c>
      <x:c r="K177" s="339" t="str">
        <x:v>Functional</x:v>
      </x:c>
    </x:row>
    <x:row r="178">
      <x:c r="A178" s="339" t="str">
        <x:v>AC-00177</x:v>
      </x:c>
      <x:c r="B178" s="339" t="str">
        <x:v>US-0045</x:v>
      </x:c>
      <x:c r="C178" s="339" t="str">
        <x:v>SCR-023</x:v>
      </x:c>
      <x:c r="D178" s="339" t="str">
        <x:v>Organization / School / Branch Setup</x:v>
      </x:c>
      <x:c r="E178" s="339" t="str">
        <x:v>Add School</x:v>
      </x:c>
      <x:c r="F178" s="339" t="str">
        <x:v>Authorized access to Add School</x:v>
      </x:c>
      <x:c r="G178" s="339" t="str">
        <x:v>the Super Admin is authenticated and has access to Add School</x:v>
      </x:c>
      <x:c r="H178" s="339" t="str">
        <x:v>the user opens or invokes Add School</x:v>
      </x:c>
      <x:c r="I178" s="339" t="str">
        <x:v>the system loads only records and actions within the user's permitted tenant/school/data scope</x:v>
      </x:c>
      <x:c r="J178" s="339" t="str">
        <x:v>Positive</x:v>
      </x:c>
      <x:c r="K178" s="339" t="str">
        <x:v>Functional / Security</x:v>
      </x:c>
    </x:row>
    <x:row r="179">
      <x:c r="A179" s="339" t="str">
        <x:v>AC-00178</x:v>
      </x:c>
      <x:c r="B179" s="339" t="str">
        <x:v>US-0045</x:v>
      </x:c>
      <x:c r="C179" s="339" t="str">
        <x:v>SCR-023</x:v>
      </x:c>
      <x:c r="D179" s="339" t="str">
        <x:v>Organization / School / Branch Setup</x:v>
      </x:c>
      <x:c r="E179" s="339" t="str">
        <x:v>Add School</x:v>
      </x:c>
      <x:c r="F179" s="339" t="str">
        <x:v>Successful Add School happy path</x:v>
      </x:c>
      <x:c r="G179" s="339" t="str">
        <x:v>all mandatory prerequisites and valid data are available</x:v>
      </x:c>
      <x:c r="H179" s="339" t="str">
        <x:v>the Super Admin completes the primary action on Add School</x:v>
      </x:c>
      <x:c r="I179" s="339" t="str">
        <x:v>the system validates the request, saves it atomically, shows a clear confirmation and reflects the updated state</x:v>
      </x:c>
      <x:c r="J179" s="339" t="str">
        <x:v>Positive</x:v>
      </x:c>
      <x:c r="K179" s="339" t="str">
        <x:v>Functional</x:v>
      </x:c>
    </x:row>
    <x:row r="180">
      <x:c r="A180" s="339" t="str">
        <x:v>AC-00179</x:v>
      </x:c>
      <x:c r="B180" s="339" t="str">
        <x:v>US-0045</x:v>
      </x:c>
      <x:c r="C180" s="339" t="str">
        <x:v>SCR-023</x:v>
      </x:c>
      <x:c r="D180" s="339" t="str">
        <x:v>Organization / School / Branch Setup</x:v>
      </x:c>
      <x:c r="E180" s="339" t="str">
        <x:v>Add School</x:v>
      </x:c>
      <x:c r="F180" s="339" t="str">
        <x:v>State and dependency integrity</x:v>
      </x:c>
      <x:c r="G180" s="339" t="str">
        <x:v>the current record is in an allowed state (Draft → Active → Inactive / Archived)</x:v>
      </x:c>
      <x:c r="H180" s="339" t="str">
        <x:v>the user attempts a state-changing action</x:v>
      </x:c>
      <x:c r="I180" s="339" t="str">
        <x:v>only a valid transition is accepted and dependent records are updated according to configured business rules</x:v>
      </x:c>
      <x:c r="J180" s="339" t="str">
        <x:v>Positive</x:v>
      </x:c>
      <x:c r="K180" s="339" t="str">
        <x:v>Functional</x:v>
      </x:c>
    </x:row>
    <x:row r="181">
      <x:c r="A181" s="339" t="str">
        <x:v>AC-00180</x:v>
      </x:c>
      <x:c r="B181" s="339" t="str">
        <x:v>US-0045</x:v>
      </x:c>
      <x:c r="C181" s="339" t="str">
        <x:v>SCR-023</x:v>
      </x:c>
      <x:c r="D181" s="339" t="str">
        <x:v>Organization / School / Branch Setup</x:v>
      </x:c>
      <x:c r="E181" s="339" t="str">
        <x:v>Add School</x:v>
      </x:c>
      <x:c r="F181" s="339" t="str">
        <x:v>Auditability</x:v>
      </x:c>
      <x:c r="G181" s="339" t="str">
        <x:v>a material create/update/approve/reverse action occurs</x:v>
      </x:c>
      <x:c r="H181" s="339" t="str">
        <x:v>the transaction succeeds</x:v>
      </x:c>
      <x:c r="I181" s="339" t="str">
        <x:v>the system records actor, timestamp, action, target and relevant before/after or reason context in the audit trail</x:v>
      </x:c>
      <x:c r="J181" s="339" t="str">
        <x:v>Positive</x:v>
      </x:c>
      <x:c r="K181" s="339" t="str">
        <x:v>Functional</x:v>
      </x:c>
    </x:row>
    <x:row r="182">
      <x:c r="A182" s="339" t="str">
        <x:v>AC-00181</x:v>
      </x:c>
      <x:c r="B182" s="339" t="str">
        <x:v>US-0046</x:v>
      </x:c>
      <x:c r="C182" s="339" t="str">
        <x:v>SCR-023</x:v>
      </x:c>
      <x:c r="D182" s="339" t="str">
        <x:v>Organization / School / Branch Setup</x:v>
      </x:c>
      <x:c r="E182" s="339" t="str">
        <x:v>Add School</x:v>
      </x:c>
      <x:c r="F182" s="339" t="str">
        <x:v>Required-field validation</x:v>
      </x:c>
      <x:c r="G182" s="339" t="str">
        <x:v>one or more required values are missing/invalid</x:v>
      </x:c>
      <x:c r="H182" s="339" t="str">
        <x:v>the user submits the form</x:v>
      </x:c>
      <x:c r="I182" s="339" t="str">
        <x:v>submission is blocked and field-level messages identify what must be corrected</x:v>
      </x:c>
      <x:c r="J182" s="339" t="str">
        <x:v>Positive</x:v>
      </x:c>
      <x:c r="K182" s="339" t="str">
        <x:v>Functional</x:v>
      </x:c>
    </x:row>
    <x:row r="183">
      <x:c r="A183" s="339" t="str">
        <x:v>AC-00182</x:v>
      </x:c>
      <x:c r="B183" s="339" t="str">
        <x:v>US-0046</x:v>
      </x:c>
      <x:c r="C183" s="339" t="str">
        <x:v>SCR-023</x:v>
      </x:c>
      <x:c r="D183" s="339" t="str">
        <x:v>Organization / School / Branch Setup</x:v>
      </x:c>
      <x:c r="E183" s="339" t="str">
        <x:v>Add School</x:v>
      </x:c>
      <x:c r="F183" s="339" t="str">
        <x:v>Duplicate prevention</x:v>
      </x:c>
      <x:c r="G183" s="339" t="str">
        <x:v>a potentially duplicate record exists</x:v>
      </x:c>
      <x:c r="H183" s="339" t="str">
        <x:v>the user submits matching identity/master data</x:v>
      </x:c>
      <x:c r="I183" s="339" t="str">
        <x:v>the system blocks or warns according to configured duplicate policy before creating another record</x:v>
      </x:c>
      <x:c r="J183" s="339" t="str">
        <x:v>Negative</x:v>
      </x:c>
      <x:c r="K183" s="339" t="str">
        <x:v>Functional</x:v>
      </x:c>
    </x:row>
    <x:row r="184">
      <x:c r="A184" s="339" t="str">
        <x:v>AC-00183</x:v>
      </x:c>
      <x:c r="B184" s="339" t="str">
        <x:v>US-0046</x:v>
      </x:c>
      <x:c r="C184" s="339" t="str">
        <x:v>SCR-023</x:v>
      </x:c>
      <x:c r="D184" s="339" t="str">
        <x:v>Organization / School / Branch Setup</x:v>
      </x:c>
      <x:c r="E184" s="339" t="str">
        <x:v>Add School</x:v>
      </x:c>
      <x:c r="F184" s="339" t="str">
        <x:v>Reference-data integrity</x:v>
      </x:c>
      <x:c r="G184" s="339" t="str">
        <x:v>the form contains master-data selections</x:v>
      </x:c>
      <x:c r="H184" s="339" t="str">
        <x:v>the user submits</x:v>
      </x:c>
      <x:c r="I184" s="339" t="str">
        <x:v>all referenced values are active, effective and within the user's scope at the time of save</x:v>
      </x:c>
      <x:c r="J184" s="339" t="str">
        <x:v>Positive</x:v>
      </x:c>
      <x:c r="K184" s="339" t="str">
        <x:v>Functional</x:v>
      </x:c>
    </x:row>
    <x:row r="185">
      <x:c r="A185" s="339" t="str">
        <x:v>AC-00184</x:v>
      </x:c>
      <x:c r="B185" s="339" t="str">
        <x:v>US-0046</x:v>
      </x:c>
      <x:c r="C185" s="339" t="str">
        <x:v>SCR-023</x:v>
      </x:c>
      <x:c r="D185" s="339" t="str">
        <x:v>Organization / School / Branch Setup</x:v>
      </x:c>
      <x:c r="E185" s="339" t="str">
        <x:v>Add School</x:v>
      </x:c>
      <x:c r="F185" s="339" t="str">
        <x:v>Retry safety</x:v>
      </x:c>
      <x:c r="G185" s="339" t="str">
        <x:v>a network retry or repeated click occurs</x:v>
      </x:c>
      <x:c r="H185" s="339" t="str">
        <x:v>the same transaction is submitted again</x:v>
      </x:c>
      <x:c r="I185" s="339" t="str">
        <x:v>the system prevents unintended duplicate transactions through idempotency or duplicate detection</x:v>
      </x:c>
      <x:c r="J185" s="339" t="str">
        <x:v>Positive</x:v>
      </x:c>
      <x:c r="K185" s="339" t="str">
        <x:v>Functional</x:v>
      </x:c>
    </x:row>
    <x:row r="186">
      <x:c r="A186" s="339" t="str">
        <x:v>AC-00185</x:v>
      </x:c>
      <x:c r="B186" s="339" t="str">
        <x:v>US-0047</x:v>
      </x:c>
      <x:c r="C186" s="339" t="str">
        <x:v>SCR-024</x:v>
      </x:c>
      <x:c r="D186" s="339" t="str">
        <x:v>Organization / School / Branch Setup</x:v>
      </x:c>
      <x:c r="E186" s="339" t="str">
        <x:v>School Details</x:v>
      </x:c>
      <x:c r="F186" s="339" t="str">
        <x:v>Authorized access to School Details</x:v>
      </x:c>
      <x:c r="G186" s="339" t="str">
        <x:v>the Super Admin is authenticated and has access to School Details</x:v>
      </x:c>
      <x:c r="H186" s="339" t="str">
        <x:v>the user opens or invokes School Details</x:v>
      </x:c>
      <x:c r="I186" s="339" t="str">
        <x:v>the system loads only records and actions within the user's permitted tenant/school/data scope</x:v>
      </x:c>
      <x:c r="J186" s="339" t="str">
        <x:v>Positive</x:v>
      </x:c>
      <x:c r="K186" s="339" t="str">
        <x:v>Functional / Security</x:v>
      </x:c>
    </x:row>
    <x:row r="187">
      <x:c r="A187" s="339" t="str">
        <x:v>AC-00186</x:v>
      </x:c>
      <x:c r="B187" s="339" t="str">
        <x:v>US-0047</x:v>
      </x:c>
      <x:c r="C187" s="339" t="str">
        <x:v>SCR-024</x:v>
      </x:c>
      <x:c r="D187" s="339" t="str">
        <x:v>Organization / School / Branch Setup</x:v>
      </x:c>
      <x:c r="E187" s="339" t="str">
        <x:v>School Details</x:v>
      </x:c>
      <x:c r="F187" s="339" t="str">
        <x:v>Successful School Details happy path</x:v>
      </x:c>
      <x:c r="G187" s="339" t="str">
        <x:v>all mandatory prerequisites and valid data are available</x:v>
      </x:c>
      <x:c r="H187" s="339" t="str">
        <x:v>the Super Admin completes the primary action on School Details</x:v>
      </x:c>
      <x:c r="I187" s="339" t="str">
        <x:v>the system validates the request, saves it atomically, shows a clear confirmation and reflects the updated state</x:v>
      </x:c>
      <x:c r="J187" s="339" t="str">
        <x:v>Positive</x:v>
      </x:c>
      <x:c r="K187" s="339" t="str">
        <x:v>Functional</x:v>
      </x:c>
    </x:row>
    <x:row r="188">
      <x:c r="A188" s="339" t="str">
        <x:v>AC-00187</x:v>
      </x:c>
      <x:c r="B188" s="339" t="str">
        <x:v>US-0047</x:v>
      </x:c>
      <x:c r="C188" s="339" t="str">
        <x:v>SCR-024</x:v>
      </x:c>
      <x:c r="D188" s="339" t="str">
        <x:v>Organization / School / Branch Setup</x:v>
      </x:c>
      <x:c r="E188" s="339" t="str">
        <x:v>School Details</x:v>
      </x:c>
      <x:c r="F188" s="339" t="str">
        <x:v>State and dependency integrity</x:v>
      </x:c>
      <x:c r="G188" s="339" t="str">
        <x:v>the current record is in an allowed state (Draft → Active → Inactive / Archived)</x:v>
      </x:c>
      <x:c r="H188" s="339" t="str">
        <x:v>the user attempts a state-changing action</x:v>
      </x:c>
      <x:c r="I188" s="339" t="str">
        <x:v>only a valid transition is accepted and dependent records are updated according to configured business rules</x:v>
      </x:c>
      <x:c r="J188" s="339" t="str">
        <x:v>Positive</x:v>
      </x:c>
      <x:c r="K188" s="339" t="str">
        <x:v>Functional</x:v>
      </x:c>
    </x:row>
    <x:row r="189">
      <x:c r="A189" s="339" t="str">
        <x:v>AC-00188</x:v>
      </x:c>
      <x:c r="B189" s="339" t="str">
        <x:v>US-0047</x:v>
      </x:c>
      <x:c r="C189" s="339" t="str">
        <x:v>SCR-024</x:v>
      </x:c>
      <x:c r="D189" s="339" t="str">
        <x:v>Organization / School / Branch Setup</x:v>
      </x:c>
      <x:c r="E189" s="339" t="str">
        <x:v>School Details</x:v>
      </x:c>
      <x:c r="F189" s="339" t="str">
        <x:v>Auditability</x:v>
      </x:c>
      <x:c r="G189" s="339" t="str">
        <x:v>a material create/update/approve/reverse action occurs</x:v>
      </x:c>
      <x:c r="H189" s="339" t="str">
        <x:v>the transaction succeeds</x:v>
      </x:c>
      <x:c r="I189" s="339" t="str">
        <x:v>the system records actor, timestamp, action, target and relevant before/after or reason context in the audit trail</x:v>
      </x:c>
      <x:c r="J189" s="339" t="str">
        <x:v>Positive</x:v>
      </x:c>
      <x:c r="K189" s="339" t="str">
        <x:v>Functional</x:v>
      </x:c>
    </x:row>
    <x:row r="190">
      <x:c r="A190" s="339" t="str">
        <x:v>AC-00189</x:v>
      </x:c>
      <x:c r="B190" s="339" t="str">
        <x:v>US-0048</x:v>
      </x:c>
      <x:c r="C190" s="339" t="str">
        <x:v>SCR-024</x:v>
      </x:c>
      <x:c r="D190" s="339" t="str">
        <x:v>Organization / School / Branch Setup</x:v>
      </x:c>
      <x:c r="E190" s="339" t="str">
        <x:v>School Details</x:v>
      </x:c>
      <x:c r="F190" s="339" t="str">
        <x:v>Complete authorized view</x:v>
      </x:c>
      <x:c r="G190" s="339" t="str">
        <x:v>the record exists and the user is authorized</x:v>
      </x:c>
      <x:c r="H190" s="339" t="str">
        <x:v>the detail/profile opens</x:v>
      </x:c>
      <x:c r="I190" s="339" t="str">
        <x:v>the system loads the required summary, relationships and history while masking restricted fields</x:v>
      </x:c>
      <x:c r="J190" s="339" t="str">
        <x:v>Positive</x:v>
      </x:c>
      <x:c r="K190" s="339" t="str">
        <x:v>Functional / Security</x:v>
      </x:c>
    </x:row>
    <x:row r="191">
      <x:c r="A191" s="339" t="str">
        <x:v>AC-00190</x:v>
      </x:c>
      <x:c r="B191" s="339" t="str">
        <x:v>US-0048</x:v>
      </x:c>
      <x:c r="C191" s="339" t="str">
        <x:v>SCR-024</x:v>
      </x:c>
      <x:c r="D191" s="339" t="str">
        <x:v>Organization / School / Branch Setup</x:v>
      </x:c>
      <x:c r="E191" s="339" t="str">
        <x:v>School Details</x:v>
      </x:c>
      <x:c r="F191" s="339" t="str">
        <x:v>Controlled edit</x:v>
      </x:c>
      <x:c r="G191" s="339" t="str">
        <x:v>the user has edit permission and the record is editable</x:v>
      </x:c>
      <x:c r="H191" s="339" t="str">
        <x:v>the user saves a change</x:v>
      </x:c>
      <x:c r="I191" s="339" t="str">
        <x:v>validation and state rules run before the update is committed</x:v>
      </x:c>
      <x:c r="J191" s="339" t="str">
        <x:v>Positive</x:v>
      </x:c>
      <x:c r="K191" s="339" t="str">
        <x:v>Functional</x:v>
      </x:c>
    </x:row>
    <x:row r="192">
      <x:c r="A192" s="339" t="str">
        <x:v>AC-00191</x:v>
      </x:c>
      <x:c r="B192" s="339" t="str">
        <x:v>US-0048</x:v>
      </x:c>
      <x:c r="C192" s="339" t="str">
        <x:v>SCR-024</x:v>
      </x:c>
      <x:c r="D192" s="339" t="str">
        <x:v>Organization / School / Branch Setup</x:v>
      </x:c>
      <x:c r="E192" s="339" t="str">
        <x:v>School Details</x:v>
      </x:c>
      <x:c r="F192" s="339" t="str">
        <x:v>Concurrent edit protection</x:v>
      </x:c>
      <x:c r="G192" s="339" t="str">
        <x:v>another user has changed the record after it was loaded</x:v>
      </x:c>
      <x:c r="H192" s="339" t="str">
        <x:v>the first user attempts to save stale data</x:v>
      </x:c>
      <x:c r="I192" s="339" t="str">
        <x:v>the system detects the version conflict or preserves fields safely instead of silently overwriting</x:v>
      </x:c>
      <x:c r="J192" s="339" t="str">
        <x:v>Positive</x:v>
      </x:c>
      <x:c r="K192" s="339" t="str">
        <x:v>Functional</x:v>
      </x:c>
    </x:row>
    <x:row r="193">
      <x:c r="A193" s="339" t="str">
        <x:v>AC-00192</x:v>
      </x:c>
      <x:c r="B193" s="339" t="str">
        <x:v>US-0048</x:v>
      </x:c>
      <x:c r="C193" s="339" t="str">
        <x:v>SCR-024</x:v>
      </x:c>
      <x:c r="D193" s="339" t="str">
        <x:v>Organization / School / Branch Setup</x:v>
      </x:c>
      <x:c r="E193" s="339" t="str">
        <x:v>School Details</x:v>
      </x:c>
      <x:c r="F193" s="339" t="str">
        <x:v>History retention</x:v>
      </x:c>
      <x:c r="G193" s="339" t="str">
        <x:v>the record has prior changes/statuses</x:v>
      </x:c>
      <x:c r="H193" s="339" t="str">
        <x:v>the user views history</x:v>
      </x:c>
      <x:c r="I193" s="339" t="str">
        <x:v>the audit/activity timeline shows traceable material changes without exposing restricted notes</x:v>
      </x:c>
      <x:c r="J193" s="339" t="str">
        <x:v>Positive</x:v>
      </x:c>
      <x:c r="K193" s="339" t="str">
        <x:v>Functional</x:v>
      </x:c>
    </x:row>
    <x:row r="194">
      <x:c r="A194" s="339" t="str">
        <x:v>AC-00193</x:v>
      </x:c>
      <x:c r="B194" s="339" t="str">
        <x:v>US-0049</x:v>
      </x:c>
      <x:c r="C194" s="339" t="str">
        <x:v>SCR-025</x:v>
      </x:c>
      <x:c r="D194" s="339" t="str">
        <x:v>Organization / School / Branch Setup</x:v>
      </x:c>
      <x:c r="E194" s="339" t="str">
        <x:v>Branches List</x:v>
      </x:c>
      <x:c r="F194" s="339" t="str">
        <x:v>Authorized access to Branches List</x:v>
      </x:c>
      <x:c r="G194" s="339" t="str">
        <x:v>the Super Admin is authenticated and has access to Branches List</x:v>
      </x:c>
      <x:c r="H194" s="339" t="str">
        <x:v>the user opens or invokes Branches List</x:v>
      </x:c>
      <x:c r="I194" s="339" t="str">
        <x:v>the system loads only records and actions within the user's permitted tenant/school/data scope</x:v>
      </x:c>
      <x:c r="J194" s="339" t="str">
        <x:v>Positive</x:v>
      </x:c>
      <x:c r="K194" s="339" t="str">
        <x:v>Functional / Security</x:v>
      </x:c>
    </x:row>
    <x:row r="195">
      <x:c r="A195" s="339" t="str">
        <x:v>AC-00194</x:v>
      </x:c>
      <x:c r="B195" s="339" t="str">
        <x:v>US-0049</x:v>
      </x:c>
      <x:c r="C195" s="339" t="str">
        <x:v>SCR-025</x:v>
      </x:c>
      <x:c r="D195" s="339" t="str">
        <x:v>Organization / School / Branch Setup</x:v>
      </x:c>
      <x:c r="E195" s="339" t="str">
        <x:v>Branches List</x:v>
      </x:c>
      <x:c r="F195" s="339" t="str">
        <x:v>Successful Branches List happy path</x:v>
      </x:c>
      <x:c r="G195" s="339" t="str">
        <x:v>all mandatory prerequisites and valid data are available</x:v>
      </x:c>
      <x:c r="H195" s="339" t="str">
        <x:v>the Super Admin completes the primary action on Branches List</x:v>
      </x:c>
      <x:c r="I195" s="339" t="str">
        <x:v>the system validates the request, saves it atomically, shows a clear confirmation and reflects the updated state</x:v>
      </x:c>
      <x:c r="J195" s="339" t="str">
        <x:v>Positive</x:v>
      </x:c>
      <x:c r="K195" s="339" t="str">
        <x:v>Functional</x:v>
      </x:c>
    </x:row>
    <x:row r="196">
      <x:c r="A196" s="339" t="str">
        <x:v>AC-00195</x:v>
      </x:c>
      <x:c r="B196" s="339" t="str">
        <x:v>US-0049</x:v>
      </x:c>
      <x:c r="C196" s="339" t="str">
        <x:v>SCR-025</x:v>
      </x:c>
      <x:c r="D196" s="339" t="str">
        <x:v>Organization / School / Branch Setup</x:v>
      </x:c>
      <x:c r="E196" s="339" t="str">
        <x:v>Branches List</x:v>
      </x:c>
      <x:c r="F196" s="339" t="str">
        <x:v>State and dependency integrity</x:v>
      </x:c>
      <x:c r="G196" s="339" t="str">
        <x:v>the current record is in an allowed state (Draft → Active → Inactive / Archived)</x:v>
      </x:c>
      <x:c r="H196" s="339" t="str">
        <x:v>the user attempts a state-changing action</x:v>
      </x:c>
      <x:c r="I196" s="339" t="str">
        <x:v>only a valid transition is accepted and dependent records are updated according to configured business rules</x:v>
      </x:c>
      <x:c r="J196" s="339" t="str">
        <x:v>Positive</x:v>
      </x:c>
      <x:c r="K196" s="339" t="str">
        <x:v>Functional</x:v>
      </x:c>
    </x:row>
    <x:row r="197">
      <x:c r="A197" s="339" t="str">
        <x:v>AC-00196</x:v>
      </x:c>
      <x:c r="B197" s="339" t="str">
        <x:v>US-0049</x:v>
      </x:c>
      <x:c r="C197" s="339" t="str">
        <x:v>SCR-025</x:v>
      </x:c>
      <x:c r="D197" s="339" t="str">
        <x:v>Organization / School / Branch Setup</x:v>
      </x:c>
      <x:c r="E197" s="339" t="str">
        <x:v>Branches List</x:v>
      </x:c>
      <x:c r="F197" s="339" t="str">
        <x:v>Auditability</x:v>
      </x:c>
      <x:c r="G197" s="339" t="str">
        <x:v>a material create/update/approve/reverse action occurs</x:v>
      </x:c>
      <x:c r="H197" s="339" t="str">
        <x:v>the transaction succeeds</x:v>
      </x:c>
      <x:c r="I197" s="339" t="str">
        <x:v>the system records actor, timestamp, action, target and relevant before/after or reason context in the audit trail</x:v>
      </x:c>
      <x:c r="J197" s="339" t="str">
        <x:v>Positive</x:v>
      </x:c>
      <x:c r="K197" s="339" t="str">
        <x:v>Functional</x:v>
      </x:c>
    </x:row>
    <x:row r="198">
      <x:c r="A198" s="339" t="str">
        <x:v>AC-00197</x:v>
      </x:c>
      <x:c r="B198" s="339" t="str">
        <x:v>US-0050</x:v>
      </x:c>
      <x:c r="C198" s="339" t="str">
        <x:v>SCR-025</x:v>
      </x:c>
      <x:c r="D198" s="339" t="str">
        <x:v>Organization / School / Branch Setup</x:v>
      </x:c>
      <x:c r="E198" s="339" t="str">
        <x:v>Branches List</x:v>
      </x:c>
      <x:c r="F198" s="339" t="str">
        <x:v>Search and filtering</x:v>
      </x:c>
      <x:c r="G198" s="339" t="str">
        <x:v>authorized records exist across multiple values</x:v>
      </x:c>
      <x:c r="H198" s="339" t="str">
        <x:v>the user applies search, filters, sorting or pagination</x:v>
      </x:c>
      <x:c r="I198" s="339" t="str">
        <x:v>the results match all selected criteria and remain within the user's data scope</x:v>
      </x:c>
      <x:c r="J198" s="339" t="str">
        <x:v>Positive</x:v>
      </x:c>
      <x:c r="K198" s="339" t="str">
        <x:v>Functional</x:v>
      </x:c>
    </x:row>
    <x:row r="199">
      <x:c r="A199" s="339" t="str">
        <x:v>AC-00198</x:v>
      </x:c>
      <x:c r="B199" s="339" t="str">
        <x:v>US-0050</x:v>
      </x:c>
      <x:c r="C199" s="339" t="str">
        <x:v>SCR-025</x:v>
      </x:c>
      <x:c r="D199" s="339" t="str">
        <x:v>Organization / School / Branch Setup</x:v>
      </x:c>
      <x:c r="E199" s="339" t="str">
        <x:v>Branches List</x:v>
      </x:c>
      <x:c r="F199" s="339" t="str">
        <x:v>Controlled row actions</x:v>
      </x:c>
      <x:c r="G199" s="339" t="str">
        <x:v>records are returned in the list</x:v>
      </x:c>
      <x:c r="H199" s="339" t="str">
        <x:v>the user opens the action menu</x:v>
      </x:c>
      <x:c r="I199" s="339" t="str">
        <x:v>only actions permitted for the user's role and the record's current state are offered</x:v>
      </x:c>
      <x:c r="J199" s="339" t="str">
        <x:v>Positive</x:v>
      </x:c>
      <x:c r="K199" s="339" t="str">
        <x:v>Functional</x:v>
      </x:c>
    </x:row>
    <x:row r="200">
      <x:c r="A200" s="339" t="str">
        <x:v>AC-00199</x:v>
      </x:c>
      <x:c r="B200" s="339" t="str">
        <x:v>US-0050</x:v>
      </x:c>
      <x:c r="C200" s="339" t="str">
        <x:v>SCR-025</x:v>
      </x:c>
      <x:c r="D200" s="339" t="str">
        <x:v>Organization / School / Branch Setup</x:v>
      </x:c>
      <x:c r="E200" s="339" t="str">
        <x:v>Branches List</x:v>
      </x:c>
      <x:c r="F200" s="339" t="str">
        <x:v>Empty/no-result handling</x:v>
      </x:c>
      <x:c r="G200" s="339" t="str">
        <x:v>no record matches the current criteria</x:v>
      </x:c>
      <x:c r="H200" s="339" t="str">
        <x:v>the query completes</x:v>
      </x:c>
      <x:c r="I200" s="339" t="str">
        <x:v>the system shows a clear empty state without treating it as an application error</x:v>
      </x:c>
      <x:c r="J200" s="339" t="str">
        <x:v>Positive</x:v>
      </x:c>
      <x:c r="K200" s="339" t="str">
        <x:v>Functional</x:v>
      </x:c>
    </x:row>
    <x:row r="201">
      <x:c r="A201" s="339" t="str">
        <x:v>AC-00200</x:v>
      </x:c>
      <x:c r="B201" s="339" t="str">
        <x:v>US-0050</x:v>
      </x:c>
      <x:c r="C201" s="339" t="str">
        <x:v>SCR-025</x:v>
      </x:c>
      <x:c r="D201" s="339" t="str">
        <x:v>Organization / School / Branch Setup</x:v>
      </x:c>
      <x:c r="E201" s="339" t="str">
        <x:v>Branches List</x:v>
      </x:c>
      <x:c r="F201" s="339" t="str">
        <x:v>Export scope</x:v>
      </x:c>
      <x:c r="G201" s="339" t="str">
        <x:v>the user has export permission</x:v>
      </x:c>
      <x:c r="H201" s="339" t="str">
        <x:v>the user exports the filtered list</x:v>
      </x:c>
      <x:c r="I201" s="339" t="str">
        <x:v>the export contains the same authorized filter scope and excludes restricted fields</x:v>
      </x:c>
      <x:c r="J201" s="339" t="str">
        <x:v>Positive</x:v>
      </x:c>
      <x:c r="K201" s="339" t="str">
        <x:v>Functional</x:v>
      </x:c>
    </x:row>
    <x:row r="202">
      <x:c r="A202" s="339" t="str">
        <x:v>AC-00201</x:v>
      </x:c>
      <x:c r="B202" s="339" t="str">
        <x:v>US-0051</x:v>
      </x:c>
      <x:c r="C202" s="339" t="str">
        <x:v>SCR-026</x:v>
      </x:c>
      <x:c r="D202" s="339" t="str">
        <x:v>Organization / School / Branch Setup</x:v>
      </x:c>
      <x:c r="E202" s="339" t="str">
        <x:v>Add Branch</x:v>
      </x:c>
      <x:c r="F202" s="339" t="str">
        <x:v>Authorized access to Add Branch</x:v>
      </x:c>
      <x:c r="G202" s="339" t="str">
        <x:v>the Super Admin is authenticated and has access to Add Branch</x:v>
      </x:c>
      <x:c r="H202" s="339" t="str">
        <x:v>the user opens or invokes Add Branch</x:v>
      </x:c>
      <x:c r="I202" s="339" t="str">
        <x:v>the system loads only records and actions within the user's permitted tenant/school/data scope</x:v>
      </x:c>
      <x:c r="J202" s="339" t="str">
        <x:v>Positive</x:v>
      </x:c>
      <x:c r="K202" s="339" t="str">
        <x:v>Functional / Security</x:v>
      </x:c>
    </x:row>
    <x:row r="203">
      <x:c r="A203" s="339" t="str">
        <x:v>AC-00202</x:v>
      </x:c>
      <x:c r="B203" s="339" t="str">
        <x:v>US-0051</x:v>
      </x:c>
      <x:c r="C203" s="339" t="str">
        <x:v>SCR-026</x:v>
      </x:c>
      <x:c r="D203" s="339" t="str">
        <x:v>Organization / School / Branch Setup</x:v>
      </x:c>
      <x:c r="E203" s="339" t="str">
        <x:v>Add Branch</x:v>
      </x:c>
      <x:c r="F203" s="339" t="str">
        <x:v>Successful Add Branch happy path</x:v>
      </x:c>
      <x:c r="G203" s="339" t="str">
        <x:v>all mandatory prerequisites and valid data are available</x:v>
      </x:c>
      <x:c r="H203" s="339" t="str">
        <x:v>the Super Admin completes the primary action on Add Branch</x:v>
      </x:c>
      <x:c r="I203" s="339" t="str">
        <x:v>the system validates the request, saves it atomically, shows a clear confirmation and reflects the updated state</x:v>
      </x:c>
      <x:c r="J203" s="339" t="str">
        <x:v>Positive</x:v>
      </x:c>
      <x:c r="K203" s="339" t="str">
        <x:v>Functional</x:v>
      </x:c>
    </x:row>
    <x:row r="204">
      <x:c r="A204" s="339" t="str">
        <x:v>AC-00203</x:v>
      </x:c>
      <x:c r="B204" s="339" t="str">
        <x:v>US-0051</x:v>
      </x:c>
      <x:c r="C204" s="339" t="str">
        <x:v>SCR-026</x:v>
      </x:c>
      <x:c r="D204" s="339" t="str">
        <x:v>Organization / School / Branch Setup</x:v>
      </x:c>
      <x:c r="E204" s="339" t="str">
        <x:v>Add Branch</x:v>
      </x:c>
      <x:c r="F204" s="339" t="str">
        <x:v>State and dependency integrity</x:v>
      </x:c>
      <x:c r="G204" s="339" t="str">
        <x:v>the current record is in an allowed state (Draft → Active → Inactive / Archived)</x:v>
      </x:c>
      <x:c r="H204" s="339" t="str">
        <x:v>the user attempts a state-changing action</x:v>
      </x:c>
      <x:c r="I204" s="339" t="str">
        <x:v>only a valid transition is accepted and dependent records are updated according to configured business rules</x:v>
      </x:c>
      <x:c r="J204" s="339" t="str">
        <x:v>Positive</x:v>
      </x:c>
      <x:c r="K204" s="339" t="str">
        <x:v>Functional</x:v>
      </x:c>
    </x:row>
    <x:row r="205">
      <x:c r="A205" s="339" t="str">
        <x:v>AC-00204</x:v>
      </x:c>
      <x:c r="B205" s="339" t="str">
        <x:v>US-0051</x:v>
      </x:c>
      <x:c r="C205" s="339" t="str">
        <x:v>SCR-026</x:v>
      </x:c>
      <x:c r="D205" s="339" t="str">
        <x:v>Organization / School / Branch Setup</x:v>
      </x:c>
      <x:c r="E205" s="339" t="str">
        <x:v>Add Branch</x:v>
      </x:c>
      <x:c r="F205" s="339" t="str">
        <x:v>Auditability</x:v>
      </x:c>
      <x:c r="G205" s="339" t="str">
        <x:v>a material create/update/approve/reverse action occurs</x:v>
      </x:c>
      <x:c r="H205" s="339" t="str">
        <x:v>the transaction succeeds</x:v>
      </x:c>
      <x:c r="I205" s="339" t="str">
        <x:v>the system records actor, timestamp, action, target and relevant before/after or reason context in the audit trail</x:v>
      </x:c>
      <x:c r="J205" s="339" t="str">
        <x:v>Positive</x:v>
      </x:c>
      <x:c r="K205" s="339" t="str">
        <x:v>Functional</x:v>
      </x:c>
    </x:row>
    <x:row r="206">
      <x:c r="A206" s="339" t="str">
        <x:v>AC-00205</x:v>
      </x:c>
      <x:c r="B206" s="339" t="str">
        <x:v>US-0052</x:v>
      </x:c>
      <x:c r="C206" s="339" t="str">
        <x:v>SCR-026</x:v>
      </x:c>
      <x:c r="D206" s="339" t="str">
        <x:v>Organization / School / Branch Setup</x:v>
      </x:c>
      <x:c r="E206" s="339" t="str">
        <x:v>Add Branch</x:v>
      </x:c>
      <x:c r="F206" s="339" t="str">
        <x:v>Required-field validation</x:v>
      </x:c>
      <x:c r="G206" s="339" t="str">
        <x:v>one or more required values are missing/invalid</x:v>
      </x:c>
      <x:c r="H206" s="339" t="str">
        <x:v>the user submits the form</x:v>
      </x:c>
      <x:c r="I206" s="339" t="str">
        <x:v>submission is blocked and field-level messages identify what must be corrected</x:v>
      </x:c>
      <x:c r="J206" s="339" t="str">
        <x:v>Positive</x:v>
      </x:c>
      <x:c r="K206" s="339" t="str">
        <x:v>Functional</x:v>
      </x:c>
    </x:row>
    <x:row r="207">
      <x:c r="A207" s="339" t="str">
        <x:v>AC-00206</x:v>
      </x:c>
      <x:c r="B207" s="339" t="str">
        <x:v>US-0052</x:v>
      </x:c>
      <x:c r="C207" s="339" t="str">
        <x:v>SCR-026</x:v>
      </x:c>
      <x:c r="D207" s="339" t="str">
        <x:v>Organization / School / Branch Setup</x:v>
      </x:c>
      <x:c r="E207" s="339" t="str">
        <x:v>Add Branch</x:v>
      </x:c>
      <x:c r="F207" s="339" t="str">
        <x:v>Duplicate prevention</x:v>
      </x:c>
      <x:c r="G207" s="339" t="str">
        <x:v>a potentially duplicate record exists</x:v>
      </x:c>
      <x:c r="H207" s="339" t="str">
        <x:v>the user submits matching identity/master data</x:v>
      </x:c>
      <x:c r="I207" s="339" t="str">
        <x:v>the system blocks or warns according to configured duplicate policy before creating another record</x:v>
      </x:c>
      <x:c r="J207" s="339" t="str">
        <x:v>Negative</x:v>
      </x:c>
      <x:c r="K207" s="339" t="str">
        <x:v>Functional</x:v>
      </x:c>
    </x:row>
    <x:row r="208">
      <x:c r="A208" s="339" t="str">
        <x:v>AC-00207</x:v>
      </x:c>
      <x:c r="B208" s="339" t="str">
        <x:v>US-0052</x:v>
      </x:c>
      <x:c r="C208" s="339" t="str">
        <x:v>SCR-026</x:v>
      </x:c>
      <x:c r="D208" s="339" t="str">
        <x:v>Organization / School / Branch Setup</x:v>
      </x:c>
      <x:c r="E208" s="339" t="str">
        <x:v>Add Branch</x:v>
      </x:c>
      <x:c r="F208" s="339" t="str">
        <x:v>Reference-data integrity</x:v>
      </x:c>
      <x:c r="G208" s="339" t="str">
        <x:v>the form contains master-data selections</x:v>
      </x:c>
      <x:c r="H208" s="339" t="str">
        <x:v>the user submits</x:v>
      </x:c>
      <x:c r="I208" s="339" t="str">
        <x:v>all referenced values are active, effective and within the user's scope at the time of save</x:v>
      </x:c>
      <x:c r="J208" s="339" t="str">
        <x:v>Positive</x:v>
      </x:c>
      <x:c r="K208" s="339" t="str">
        <x:v>Functional</x:v>
      </x:c>
    </x:row>
    <x:row r="209">
      <x:c r="A209" s="339" t="str">
        <x:v>AC-00208</x:v>
      </x:c>
      <x:c r="B209" s="339" t="str">
        <x:v>US-0052</x:v>
      </x:c>
      <x:c r="C209" s="339" t="str">
        <x:v>SCR-026</x:v>
      </x:c>
      <x:c r="D209" s="339" t="str">
        <x:v>Organization / School / Branch Setup</x:v>
      </x:c>
      <x:c r="E209" s="339" t="str">
        <x:v>Add Branch</x:v>
      </x:c>
      <x:c r="F209" s="339" t="str">
        <x:v>Retry safety</x:v>
      </x:c>
      <x:c r="G209" s="339" t="str">
        <x:v>a network retry or repeated click occurs</x:v>
      </x:c>
      <x:c r="H209" s="339" t="str">
        <x:v>the same transaction is submitted again</x:v>
      </x:c>
      <x:c r="I209" s="339" t="str">
        <x:v>the system prevents unintended duplicate transactions through idempotency or duplicate detection</x:v>
      </x:c>
      <x:c r="J209" s="339" t="str">
        <x:v>Positive</x:v>
      </x:c>
      <x:c r="K209" s="339" t="str">
        <x:v>Functional</x:v>
      </x:c>
    </x:row>
    <x:row r="210">
      <x:c r="A210" s="339" t="str">
        <x:v>AC-00209</x:v>
      </x:c>
      <x:c r="B210" s="339" t="str">
        <x:v>US-0053</x:v>
      </x:c>
      <x:c r="C210" s="339" t="str">
        <x:v>SCR-027</x:v>
      </x:c>
      <x:c r="D210" s="339" t="str">
        <x:v>Organization / School / Branch Setup</x:v>
      </x:c>
      <x:c r="E210" s="339" t="str">
        <x:v>Branch Details</x:v>
      </x:c>
      <x:c r="F210" s="339" t="str">
        <x:v>Authorized access to Branch Details</x:v>
      </x:c>
      <x:c r="G210" s="339" t="str">
        <x:v>the Super Admin is authenticated and has access to Branch Details</x:v>
      </x:c>
      <x:c r="H210" s="339" t="str">
        <x:v>the user opens or invokes Branch Details</x:v>
      </x:c>
      <x:c r="I210" s="339" t="str">
        <x:v>the system loads only records and actions within the user's permitted tenant/school/data scope</x:v>
      </x:c>
      <x:c r="J210" s="339" t="str">
        <x:v>Positive</x:v>
      </x:c>
      <x:c r="K210" s="339" t="str">
        <x:v>Functional / Security</x:v>
      </x:c>
    </x:row>
    <x:row r="211">
      <x:c r="A211" s="339" t="str">
        <x:v>AC-00210</x:v>
      </x:c>
      <x:c r="B211" s="339" t="str">
        <x:v>US-0053</x:v>
      </x:c>
      <x:c r="C211" s="339" t="str">
        <x:v>SCR-027</x:v>
      </x:c>
      <x:c r="D211" s="339" t="str">
        <x:v>Organization / School / Branch Setup</x:v>
      </x:c>
      <x:c r="E211" s="339" t="str">
        <x:v>Branch Details</x:v>
      </x:c>
      <x:c r="F211" s="339" t="str">
        <x:v>Successful Branch Details happy path</x:v>
      </x:c>
      <x:c r="G211" s="339" t="str">
        <x:v>all mandatory prerequisites and valid data are available</x:v>
      </x:c>
      <x:c r="H211" s="339" t="str">
        <x:v>the Super Admin completes the primary action on Branch Details</x:v>
      </x:c>
      <x:c r="I211" s="339" t="str">
        <x:v>the system validates the request, saves it atomically, shows a clear confirmation and reflects the updated state</x:v>
      </x:c>
      <x:c r="J211" s="339" t="str">
        <x:v>Positive</x:v>
      </x:c>
      <x:c r="K211" s="339" t="str">
        <x:v>Functional</x:v>
      </x:c>
    </x:row>
    <x:row r="212">
      <x:c r="A212" s="339" t="str">
        <x:v>AC-00211</x:v>
      </x:c>
      <x:c r="B212" s="339" t="str">
        <x:v>US-0053</x:v>
      </x:c>
      <x:c r="C212" s="339" t="str">
        <x:v>SCR-027</x:v>
      </x:c>
      <x:c r="D212" s="339" t="str">
        <x:v>Organization / School / Branch Setup</x:v>
      </x:c>
      <x:c r="E212" s="339" t="str">
        <x:v>Branch Details</x:v>
      </x:c>
      <x:c r="F212" s="339" t="str">
        <x:v>State and dependency integrity</x:v>
      </x:c>
      <x:c r="G212" s="339" t="str">
        <x:v>the current record is in an allowed state (Draft → Active → Inactive / Archived)</x:v>
      </x:c>
      <x:c r="H212" s="339" t="str">
        <x:v>the user attempts a state-changing action</x:v>
      </x:c>
      <x:c r="I212" s="339" t="str">
        <x:v>only a valid transition is accepted and dependent records are updated according to configured business rules</x:v>
      </x:c>
      <x:c r="J212" s="339" t="str">
        <x:v>Positive</x:v>
      </x:c>
      <x:c r="K212" s="339" t="str">
        <x:v>Functional</x:v>
      </x:c>
    </x:row>
    <x:row r="213">
      <x:c r="A213" s="339" t="str">
        <x:v>AC-00212</x:v>
      </x:c>
      <x:c r="B213" s="339" t="str">
        <x:v>US-0053</x:v>
      </x:c>
      <x:c r="C213" s="339" t="str">
        <x:v>SCR-027</x:v>
      </x:c>
      <x:c r="D213" s="339" t="str">
        <x:v>Organization / School / Branch Setup</x:v>
      </x:c>
      <x:c r="E213" s="339" t="str">
        <x:v>Branch Details</x:v>
      </x:c>
      <x:c r="F213" s="339" t="str">
        <x:v>Auditability</x:v>
      </x:c>
      <x:c r="G213" s="339" t="str">
        <x:v>a material create/update/approve/reverse action occurs</x:v>
      </x:c>
      <x:c r="H213" s="339" t="str">
        <x:v>the transaction succeeds</x:v>
      </x:c>
      <x:c r="I213" s="339" t="str">
        <x:v>the system records actor, timestamp, action, target and relevant before/after or reason context in the audit trail</x:v>
      </x:c>
      <x:c r="J213" s="339" t="str">
        <x:v>Positive</x:v>
      </x:c>
      <x:c r="K213" s="339" t="str">
        <x:v>Functional</x:v>
      </x:c>
    </x:row>
    <x:row r="214">
      <x:c r="A214" s="339" t="str">
        <x:v>AC-00213</x:v>
      </x:c>
      <x:c r="B214" s="339" t="str">
        <x:v>US-0054</x:v>
      </x:c>
      <x:c r="C214" s="339" t="str">
        <x:v>SCR-027</x:v>
      </x:c>
      <x:c r="D214" s="339" t="str">
        <x:v>Organization / School / Branch Setup</x:v>
      </x:c>
      <x:c r="E214" s="339" t="str">
        <x:v>Branch Details</x:v>
      </x:c>
      <x:c r="F214" s="339" t="str">
        <x:v>Complete authorized view</x:v>
      </x:c>
      <x:c r="G214" s="339" t="str">
        <x:v>the record exists and the user is authorized</x:v>
      </x:c>
      <x:c r="H214" s="339" t="str">
        <x:v>the detail/profile opens</x:v>
      </x:c>
      <x:c r="I214" s="339" t="str">
        <x:v>the system loads the required summary, relationships and history while masking restricted fields</x:v>
      </x:c>
      <x:c r="J214" s="339" t="str">
        <x:v>Positive</x:v>
      </x:c>
      <x:c r="K214" s="339" t="str">
        <x:v>Functional / Security</x:v>
      </x:c>
    </x:row>
    <x:row r="215">
      <x:c r="A215" s="339" t="str">
        <x:v>AC-00214</x:v>
      </x:c>
      <x:c r="B215" s="339" t="str">
        <x:v>US-0054</x:v>
      </x:c>
      <x:c r="C215" s="339" t="str">
        <x:v>SCR-027</x:v>
      </x:c>
      <x:c r="D215" s="339" t="str">
        <x:v>Organization / School / Branch Setup</x:v>
      </x:c>
      <x:c r="E215" s="339" t="str">
        <x:v>Branch Details</x:v>
      </x:c>
      <x:c r="F215" s="339" t="str">
        <x:v>Controlled edit</x:v>
      </x:c>
      <x:c r="G215" s="339" t="str">
        <x:v>the user has edit permission and the record is editable</x:v>
      </x:c>
      <x:c r="H215" s="339" t="str">
        <x:v>the user saves a change</x:v>
      </x:c>
      <x:c r="I215" s="339" t="str">
        <x:v>validation and state rules run before the update is committed</x:v>
      </x:c>
      <x:c r="J215" s="339" t="str">
        <x:v>Positive</x:v>
      </x:c>
      <x:c r="K215" s="339" t="str">
        <x:v>Functional</x:v>
      </x:c>
    </x:row>
    <x:row r="216">
      <x:c r="A216" s="339" t="str">
        <x:v>AC-00215</x:v>
      </x:c>
      <x:c r="B216" s="339" t="str">
        <x:v>US-0054</x:v>
      </x:c>
      <x:c r="C216" s="339" t="str">
        <x:v>SCR-027</x:v>
      </x:c>
      <x:c r="D216" s="339" t="str">
        <x:v>Organization / School / Branch Setup</x:v>
      </x:c>
      <x:c r="E216" s="339" t="str">
        <x:v>Branch Details</x:v>
      </x:c>
      <x:c r="F216" s="339" t="str">
        <x:v>Concurrent edit protection</x:v>
      </x:c>
      <x:c r="G216" s="339" t="str">
        <x:v>another user has changed the record after it was loaded</x:v>
      </x:c>
      <x:c r="H216" s="339" t="str">
        <x:v>the first user attempts to save stale data</x:v>
      </x:c>
      <x:c r="I216" s="339" t="str">
        <x:v>the system detects the version conflict or preserves fields safely instead of silently overwriting</x:v>
      </x:c>
      <x:c r="J216" s="339" t="str">
        <x:v>Positive</x:v>
      </x:c>
      <x:c r="K216" s="339" t="str">
        <x:v>Functional</x:v>
      </x:c>
    </x:row>
    <x:row r="217">
      <x:c r="A217" s="339" t="str">
        <x:v>AC-00216</x:v>
      </x:c>
      <x:c r="B217" s="339" t="str">
        <x:v>US-0054</x:v>
      </x:c>
      <x:c r="C217" s="339" t="str">
        <x:v>SCR-027</x:v>
      </x:c>
      <x:c r="D217" s="339" t="str">
        <x:v>Organization / School / Branch Setup</x:v>
      </x:c>
      <x:c r="E217" s="339" t="str">
        <x:v>Branch Details</x:v>
      </x:c>
      <x:c r="F217" s="339" t="str">
        <x:v>History retention</x:v>
      </x:c>
      <x:c r="G217" s="339" t="str">
        <x:v>the record has prior changes/statuses</x:v>
      </x:c>
      <x:c r="H217" s="339" t="str">
        <x:v>the user views history</x:v>
      </x:c>
      <x:c r="I217" s="339" t="str">
        <x:v>the audit/activity timeline shows traceable material changes without exposing restricted notes</x:v>
      </x:c>
      <x:c r="J217" s="339" t="str">
        <x:v>Positive</x:v>
      </x:c>
      <x:c r="K217" s="339" t="str">
        <x:v>Functional</x:v>
      </x:c>
    </x:row>
    <x:row r="218">
      <x:c r="A218" s="339" t="str">
        <x:v>AC-00217</x:v>
      </x:c>
      <x:c r="B218" s="339" t="str">
        <x:v>US-0055</x:v>
      </x:c>
      <x:c r="C218" s="339" t="str">
        <x:v>SCR-028</x:v>
      </x:c>
      <x:c r="D218" s="339" t="str">
        <x:v>Organization / School / Branch Setup</x:v>
      </x:c>
      <x:c r="E218" s="339" t="str">
        <x:v>Academic Year Setup</x:v>
      </x:c>
      <x:c r="F218" s="339" t="str">
        <x:v>Authorized access to Academic Year Setup</x:v>
      </x:c>
      <x:c r="G218" s="339" t="str">
        <x:v>the Super Admin is authenticated and has access to Academic Year Setup</x:v>
      </x:c>
      <x:c r="H218" s="339" t="str">
        <x:v>the user opens or invokes Academic Year Setup</x:v>
      </x:c>
      <x:c r="I218" s="339" t="str">
        <x:v>the system loads only records and actions within the user's permitted tenant/school/data scope</x:v>
      </x:c>
      <x:c r="J218" s="339" t="str">
        <x:v>Positive</x:v>
      </x:c>
      <x:c r="K218" s="339" t="str">
        <x:v>Functional / Security</x:v>
      </x:c>
    </x:row>
    <x:row r="219">
      <x:c r="A219" s="339" t="str">
        <x:v>AC-00218</x:v>
      </x:c>
      <x:c r="B219" s="339" t="str">
        <x:v>US-0055</x:v>
      </x:c>
      <x:c r="C219" s="339" t="str">
        <x:v>SCR-028</x:v>
      </x:c>
      <x:c r="D219" s="339" t="str">
        <x:v>Organization / School / Branch Setup</x:v>
      </x:c>
      <x:c r="E219" s="339" t="str">
        <x:v>Academic Year Setup</x:v>
      </x:c>
      <x:c r="F219" s="339" t="str">
        <x:v>Successful Academic Year Setup happy path</x:v>
      </x:c>
      <x:c r="G219" s="339" t="str">
        <x:v>all mandatory prerequisites and valid data are available</x:v>
      </x:c>
      <x:c r="H219" s="339" t="str">
        <x:v>the Super Admin completes the primary action on Academic Year Setup</x:v>
      </x:c>
      <x:c r="I219" s="339" t="str">
        <x:v>the system validates the request, saves it atomically, shows a clear confirmation and reflects the updated state</x:v>
      </x:c>
      <x:c r="J219" s="339" t="str">
        <x:v>Positive</x:v>
      </x:c>
      <x:c r="K219" s="339" t="str">
        <x:v>Functional</x:v>
      </x:c>
    </x:row>
    <x:row r="220">
      <x:c r="A220" s="339" t="str">
        <x:v>AC-00219</x:v>
      </x:c>
      <x:c r="B220" s="339" t="str">
        <x:v>US-0055</x:v>
      </x:c>
      <x:c r="C220" s="339" t="str">
        <x:v>SCR-028</x:v>
      </x:c>
      <x:c r="D220" s="339" t="str">
        <x:v>Organization / School / Branch Setup</x:v>
      </x:c>
      <x:c r="E220" s="339" t="str">
        <x:v>Academic Year Setup</x:v>
      </x:c>
      <x:c r="F220" s="339" t="str">
        <x:v>State and dependency integrity</x:v>
      </x:c>
      <x:c r="G220" s="339" t="str">
        <x:v>the current record is in an allowed state (Draft → Active → Inactive / Archived)</x:v>
      </x:c>
      <x:c r="H220" s="339" t="str">
        <x:v>the user attempts a state-changing action</x:v>
      </x:c>
      <x:c r="I220" s="339" t="str">
        <x:v>only a valid transition is accepted and dependent records are updated according to configured business rules</x:v>
      </x:c>
      <x:c r="J220" s="339" t="str">
        <x:v>Positive</x:v>
      </x:c>
      <x:c r="K220" s="339" t="str">
        <x:v>Functional</x:v>
      </x:c>
    </x:row>
    <x:row r="221">
      <x:c r="A221" s="339" t="str">
        <x:v>AC-00220</x:v>
      </x:c>
      <x:c r="B221" s="339" t="str">
        <x:v>US-0055</x:v>
      </x:c>
      <x:c r="C221" s="339" t="str">
        <x:v>SCR-028</x:v>
      </x:c>
      <x:c r="D221" s="339" t="str">
        <x:v>Organization / School / Branch Setup</x:v>
      </x:c>
      <x:c r="E221" s="339" t="str">
        <x:v>Academic Year Setup</x:v>
      </x:c>
      <x:c r="F221" s="339" t="str">
        <x:v>Auditability</x:v>
      </x:c>
      <x:c r="G221" s="339" t="str">
        <x:v>a material create/update/approve/reverse action occurs</x:v>
      </x:c>
      <x:c r="H221" s="339" t="str">
        <x:v>the transaction succeeds</x:v>
      </x:c>
      <x:c r="I221" s="339" t="str">
        <x:v>the system records actor, timestamp, action, target and relevant before/after or reason context in the audit trail</x:v>
      </x:c>
      <x:c r="J221" s="339" t="str">
        <x:v>Positive</x:v>
      </x:c>
      <x:c r="K221" s="339" t="str">
        <x:v>Functional</x:v>
      </x:c>
    </x:row>
    <x:row r="222">
      <x:c r="A222" s="339" t="str">
        <x:v>AC-00221</x:v>
      </x:c>
      <x:c r="B222" s="339" t="str">
        <x:v>US-0056</x:v>
      </x:c>
      <x:c r="C222" s="339" t="str">
        <x:v>SCR-028</x:v>
      </x:c>
      <x:c r="D222" s="339" t="str">
        <x:v>Organization / School / Branch Setup</x:v>
      </x:c>
      <x:c r="E222" s="339" t="str">
        <x:v>Academic Year Setup</x:v>
      </x:c>
      <x:c r="F222" s="339" t="str">
        <x:v>Required-field validation</x:v>
      </x:c>
      <x:c r="G222" s="339" t="str">
        <x:v>one or more required values are missing/invalid</x:v>
      </x:c>
      <x:c r="H222" s="339" t="str">
        <x:v>the user submits the form</x:v>
      </x:c>
      <x:c r="I222" s="339" t="str">
        <x:v>submission is blocked and field-level messages identify what must be corrected</x:v>
      </x:c>
      <x:c r="J222" s="339" t="str">
        <x:v>Positive</x:v>
      </x:c>
      <x:c r="K222" s="339" t="str">
        <x:v>Functional</x:v>
      </x:c>
    </x:row>
    <x:row r="223">
      <x:c r="A223" s="339" t="str">
        <x:v>AC-00222</x:v>
      </x:c>
      <x:c r="B223" s="339" t="str">
        <x:v>US-0056</x:v>
      </x:c>
      <x:c r="C223" s="339" t="str">
        <x:v>SCR-028</x:v>
      </x:c>
      <x:c r="D223" s="339" t="str">
        <x:v>Organization / School / Branch Setup</x:v>
      </x:c>
      <x:c r="E223" s="339" t="str">
        <x:v>Academic Year Setup</x:v>
      </x:c>
      <x:c r="F223" s="339" t="str">
        <x:v>Duplicate prevention</x:v>
      </x:c>
      <x:c r="G223" s="339" t="str">
        <x:v>a potentially duplicate record exists</x:v>
      </x:c>
      <x:c r="H223" s="339" t="str">
        <x:v>the user submits matching identity/master data</x:v>
      </x:c>
      <x:c r="I223" s="339" t="str">
        <x:v>the system blocks or warns according to configured duplicate policy before creating another record</x:v>
      </x:c>
      <x:c r="J223" s="339" t="str">
        <x:v>Negative</x:v>
      </x:c>
      <x:c r="K223" s="339" t="str">
        <x:v>Functional</x:v>
      </x:c>
    </x:row>
    <x:row r="224">
      <x:c r="A224" s="339" t="str">
        <x:v>AC-00223</x:v>
      </x:c>
      <x:c r="B224" s="339" t="str">
        <x:v>US-0056</x:v>
      </x:c>
      <x:c r="C224" s="339" t="str">
        <x:v>SCR-028</x:v>
      </x:c>
      <x:c r="D224" s="339" t="str">
        <x:v>Organization / School / Branch Setup</x:v>
      </x:c>
      <x:c r="E224" s="339" t="str">
        <x:v>Academic Year Setup</x:v>
      </x:c>
      <x:c r="F224" s="339" t="str">
        <x:v>Reference-data integrity</x:v>
      </x:c>
      <x:c r="G224" s="339" t="str">
        <x:v>the form contains master-data selections</x:v>
      </x:c>
      <x:c r="H224" s="339" t="str">
        <x:v>the user submits</x:v>
      </x:c>
      <x:c r="I224" s="339" t="str">
        <x:v>all referenced values are active, effective and within the user's scope at the time of save</x:v>
      </x:c>
      <x:c r="J224" s="339" t="str">
        <x:v>Positive</x:v>
      </x:c>
      <x:c r="K224" s="339" t="str">
        <x:v>Functional</x:v>
      </x:c>
    </x:row>
    <x:row r="225">
      <x:c r="A225" s="339" t="str">
        <x:v>AC-00224</x:v>
      </x:c>
      <x:c r="B225" s="339" t="str">
        <x:v>US-0056</x:v>
      </x:c>
      <x:c r="C225" s="339" t="str">
        <x:v>SCR-028</x:v>
      </x:c>
      <x:c r="D225" s="339" t="str">
        <x:v>Organization / School / Branch Setup</x:v>
      </x:c>
      <x:c r="E225" s="339" t="str">
        <x:v>Academic Year Setup</x:v>
      </x:c>
      <x:c r="F225" s="339" t="str">
        <x:v>Retry safety</x:v>
      </x:c>
      <x:c r="G225" s="339" t="str">
        <x:v>a network retry or repeated click occurs</x:v>
      </x:c>
      <x:c r="H225" s="339" t="str">
        <x:v>the same transaction is submitted again</x:v>
      </x:c>
      <x:c r="I225" s="339" t="str">
        <x:v>the system prevents unintended duplicate transactions through idempotency or duplicate detection</x:v>
      </x:c>
      <x:c r="J225" s="339" t="str">
        <x:v>Positive</x:v>
      </x:c>
      <x:c r="K225" s="339" t="str">
        <x:v>Functional</x:v>
      </x:c>
    </x:row>
    <x:row r="226">
      <x:c r="A226" s="339" t="str">
        <x:v>AC-00225</x:v>
      </x:c>
      <x:c r="B226" s="339" t="str">
        <x:v>US-0057</x:v>
      </x:c>
      <x:c r="C226" s="339" t="str">
        <x:v>SCR-029</x:v>
      </x:c>
      <x:c r="D226" s="339" t="str">
        <x:v>Organization / School / Branch Setup</x:v>
      </x:c>
      <x:c r="E226" s="339" t="str">
        <x:v>Grade / Class Setup</x:v>
      </x:c>
      <x:c r="F226" s="339" t="str">
        <x:v>Authorized access to Grade / Class Setup</x:v>
      </x:c>
      <x:c r="G226" s="339" t="str">
        <x:v>the Super Admin is authenticated and has access to Grade / Class Setup</x:v>
      </x:c>
      <x:c r="H226" s="339" t="str">
        <x:v>the user opens or invokes Grade / Class Setup</x:v>
      </x:c>
      <x:c r="I226" s="339" t="str">
        <x:v>the system loads only records and actions within the user's permitted tenant/school/data scope</x:v>
      </x:c>
      <x:c r="J226" s="339" t="str">
        <x:v>Positive</x:v>
      </x:c>
      <x:c r="K226" s="339" t="str">
        <x:v>Functional / Security</x:v>
      </x:c>
    </x:row>
    <x:row r="227">
      <x:c r="A227" s="339" t="str">
        <x:v>AC-00226</x:v>
      </x:c>
      <x:c r="B227" s="339" t="str">
        <x:v>US-0057</x:v>
      </x:c>
      <x:c r="C227" s="339" t="str">
        <x:v>SCR-029</x:v>
      </x:c>
      <x:c r="D227" s="339" t="str">
        <x:v>Organization / School / Branch Setup</x:v>
      </x:c>
      <x:c r="E227" s="339" t="str">
        <x:v>Grade / Class Setup</x:v>
      </x:c>
      <x:c r="F227" s="339" t="str">
        <x:v>Successful Grade / Class Setup happy path</x:v>
      </x:c>
      <x:c r="G227" s="339" t="str">
        <x:v>all mandatory prerequisites and valid data are available</x:v>
      </x:c>
      <x:c r="H227" s="339" t="str">
        <x:v>the Super Admin completes the primary action on Grade / Class Setup</x:v>
      </x:c>
      <x:c r="I227" s="339" t="str">
        <x:v>the system validates the request, saves it atomically, shows a clear confirmation and reflects the updated state</x:v>
      </x:c>
      <x:c r="J227" s="339" t="str">
        <x:v>Positive</x:v>
      </x:c>
      <x:c r="K227" s="339" t="str">
        <x:v>Functional</x:v>
      </x:c>
    </x:row>
    <x:row r="228">
      <x:c r="A228" s="339" t="str">
        <x:v>AC-00227</x:v>
      </x:c>
      <x:c r="B228" s="339" t="str">
        <x:v>US-0057</x:v>
      </x:c>
      <x:c r="C228" s="339" t="str">
        <x:v>SCR-029</x:v>
      </x:c>
      <x:c r="D228" s="339" t="str">
        <x:v>Organization / School / Branch Setup</x:v>
      </x:c>
      <x:c r="E228" s="339" t="str">
        <x:v>Grade / Class Setup</x:v>
      </x:c>
      <x:c r="F228" s="339" t="str">
        <x:v>State and dependency integrity</x:v>
      </x:c>
      <x:c r="G228" s="339" t="str">
        <x:v>the current record is in an allowed state (Draft → Active → Inactive / Archived)</x:v>
      </x:c>
      <x:c r="H228" s="339" t="str">
        <x:v>the user attempts a state-changing action</x:v>
      </x:c>
      <x:c r="I228" s="339" t="str">
        <x:v>only a valid transition is accepted and dependent records are updated according to configured business rules</x:v>
      </x:c>
      <x:c r="J228" s="339" t="str">
        <x:v>Positive</x:v>
      </x:c>
      <x:c r="K228" s="339" t="str">
        <x:v>Functional</x:v>
      </x:c>
    </x:row>
    <x:row r="229">
      <x:c r="A229" s="339" t="str">
        <x:v>AC-00228</x:v>
      </x:c>
      <x:c r="B229" s="339" t="str">
        <x:v>US-0057</x:v>
      </x:c>
      <x:c r="C229" s="339" t="str">
        <x:v>SCR-029</x:v>
      </x:c>
      <x:c r="D229" s="339" t="str">
        <x:v>Organization / School / Branch Setup</x:v>
      </x:c>
      <x:c r="E229" s="339" t="str">
        <x:v>Grade / Class Setup</x:v>
      </x:c>
      <x:c r="F229" s="339" t="str">
        <x:v>Auditability</x:v>
      </x:c>
      <x:c r="G229" s="339" t="str">
        <x:v>a material create/update/approve/reverse action occurs</x:v>
      </x:c>
      <x:c r="H229" s="339" t="str">
        <x:v>the transaction succeeds</x:v>
      </x:c>
      <x:c r="I229" s="339" t="str">
        <x:v>the system records actor, timestamp, action, target and relevant before/after or reason context in the audit trail</x:v>
      </x:c>
      <x:c r="J229" s="339" t="str">
        <x:v>Positive</x:v>
      </x:c>
      <x:c r="K229" s="339" t="str">
        <x:v>Functional</x:v>
      </x:c>
    </x:row>
    <x:row r="230">
      <x:c r="A230" s="339" t="str">
        <x:v>AC-00229</x:v>
      </x:c>
      <x:c r="B230" s="339" t="str">
        <x:v>US-0058</x:v>
      </x:c>
      <x:c r="C230" s="339" t="str">
        <x:v>SCR-029</x:v>
      </x:c>
      <x:c r="D230" s="339" t="str">
        <x:v>Organization / School / Branch Setup</x:v>
      </x:c>
      <x:c r="E230" s="339" t="str">
        <x:v>Grade / Class Setup</x:v>
      </x:c>
      <x:c r="F230" s="339" t="str">
        <x:v>Required-field validation</x:v>
      </x:c>
      <x:c r="G230" s="339" t="str">
        <x:v>one or more required values are missing/invalid</x:v>
      </x:c>
      <x:c r="H230" s="339" t="str">
        <x:v>the user submits the form</x:v>
      </x:c>
      <x:c r="I230" s="339" t="str">
        <x:v>submission is blocked and field-level messages identify what must be corrected</x:v>
      </x:c>
      <x:c r="J230" s="339" t="str">
        <x:v>Positive</x:v>
      </x:c>
      <x:c r="K230" s="339" t="str">
        <x:v>Functional</x:v>
      </x:c>
    </x:row>
    <x:row r="231">
      <x:c r="A231" s="339" t="str">
        <x:v>AC-00230</x:v>
      </x:c>
      <x:c r="B231" s="339" t="str">
        <x:v>US-0058</x:v>
      </x:c>
      <x:c r="C231" s="339" t="str">
        <x:v>SCR-029</x:v>
      </x:c>
      <x:c r="D231" s="339" t="str">
        <x:v>Organization / School / Branch Setup</x:v>
      </x:c>
      <x:c r="E231" s="339" t="str">
        <x:v>Grade / Class Setup</x:v>
      </x:c>
      <x:c r="F231" s="339" t="str">
        <x:v>Duplicate prevention</x:v>
      </x:c>
      <x:c r="G231" s="339" t="str">
        <x:v>a potentially duplicate record exists</x:v>
      </x:c>
      <x:c r="H231" s="339" t="str">
        <x:v>the user submits matching identity/master data</x:v>
      </x:c>
      <x:c r="I231" s="339" t="str">
        <x:v>the system blocks or warns according to configured duplicate policy before creating another record</x:v>
      </x:c>
      <x:c r="J231" s="339" t="str">
        <x:v>Negative</x:v>
      </x:c>
      <x:c r="K231" s="339" t="str">
        <x:v>Functional</x:v>
      </x:c>
    </x:row>
    <x:row r="232">
      <x:c r="A232" s="339" t="str">
        <x:v>AC-00231</x:v>
      </x:c>
      <x:c r="B232" s="339" t="str">
        <x:v>US-0058</x:v>
      </x:c>
      <x:c r="C232" s="339" t="str">
        <x:v>SCR-029</x:v>
      </x:c>
      <x:c r="D232" s="339" t="str">
        <x:v>Organization / School / Branch Setup</x:v>
      </x:c>
      <x:c r="E232" s="339" t="str">
        <x:v>Grade / Class Setup</x:v>
      </x:c>
      <x:c r="F232" s="339" t="str">
        <x:v>Reference-data integrity</x:v>
      </x:c>
      <x:c r="G232" s="339" t="str">
        <x:v>the form contains master-data selections</x:v>
      </x:c>
      <x:c r="H232" s="339" t="str">
        <x:v>the user submits</x:v>
      </x:c>
      <x:c r="I232" s="339" t="str">
        <x:v>all referenced values are active, effective and within the user's scope at the time of save</x:v>
      </x:c>
      <x:c r="J232" s="339" t="str">
        <x:v>Positive</x:v>
      </x:c>
      <x:c r="K232" s="339" t="str">
        <x:v>Functional</x:v>
      </x:c>
    </x:row>
    <x:row r="233">
      <x:c r="A233" s="339" t="str">
        <x:v>AC-00232</x:v>
      </x:c>
      <x:c r="B233" s="339" t="str">
        <x:v>US-0058</x:v>
      </x:c>
      <x:c r="C233" s="339" t="str">
        <x:v>SCR-029</x:v>
      </x:c>
      <x:c r="D233" s="339" t="str">
        <x:v>Organization / School / Branch Setup</x:v>
      </x:c>
      <x:c r="E233" s="339" t="str">
        <x:v>Grade / Class Setup</x:v>
      </x:c>
      <x:c r="F233" s="339" t="str">
        <x:v>Retry safety</x:v>
      </x:c>
      <x:c r="G233" s="339" t="str">
        <x:v>a network retry or repeated click occurs</x:v>
      </x:c>
      <x:c r="H233" s="339" t="str">
        <x:v>the same transaction is submitted again</x:v>
      </x:c>
      <x:c r="I233" s="339" t="str">
        <x:v>the system prevents unintended duplicate transactions through idempotency or duplicate detection</x:v>
      </x:c>
      <x:c r="J233" s="339" t="str">
        <x:v>Positive</x:v>
      </x:c>
      <x:c r="K233" s="339" t="str">
        <x:v>Functional</x:v>
      </x:c>
    </x:row>
    <x:row r="234">
      <x:c r="A234" s="339" t="str">
        <x:v>AC-00233</x:v>
      </x:c>
      <x:c r="B234" s="339" t="str">
        <x:v>US-0059</x:v>
      </x:c>
      <x:c r="C234" s="339" t="str">
        <x:v>SCR-030</x:v>
      </x:c>
      <x:c r="D234" s="339" t="str">
        <x:v>Organization / School / Branch Setup</x:v>
      </x:c>
      <x:c r="E234" s="339" t="str">
        <x:v>Section Setup</x:v>
      </x:c>
      <x:c r="F234" s="339" t="str">
        <x:v>Authorized access to Section Setup</x:v>
      </x:c>
      <x:c r="G234" s="339" t="str">
        <x:v>the Super Admin is authenticated and has access to Section Setup</x:v>
      </x:c>
      <x:c r="H234" s="339" t="str">
        <x:v>the user opens or invokes Section Setup</x:v>
      </x:c>
      <x:c r="I234" s="339" t="str">
        <x:v>the system loads only records and actions within the user's permitted tenant/school/data scope</x:v>
      </x:c>
      <x:c r="J234" s="339" t="str">
        <x:v>Positive</x:v>
      </x:c>
      <x:c r="K234" s="339" t="str">
        <x:v>Functional / Security</x:v>
      </x:c>
    </x:row>
    <x:row r="235">
      <x:c r="A235" s="339" t="str">
        <x:v>AC-00234</x:v>
      </x:c>
      <x:c r="B235" s="339" t="str">
        <x:v>US-0059</x:v>
      </x:c>
      <x:c r="C235" s="339" t="str">
        <x:v>SCR-030</x:v>
      </x:c>
      <x:c r="D235" s="339" t="str">
        <x:v>Organization / School / Branch Setup</x:v>
      </x:c>
      <x:c r="E235" s="339" t="str">
        <x:v>Section Setup</x:v>
      </x:c>
      <x:c r="F235" s="339" t="str">
        <x:v>Successful Section Setup happy path</x:v>
      </x:c>
      <x:c r="G235" s="339" t="str">
        <x:v>all mandatory prerequisites and valid data are available</x:v>
      </x:c>
      <x:c r="H235" s="339" t="str">
        <x:v>the Super Admin completes the primary action on Section Setup</x:v>
      </x:c>
      <x:c r="I235" s="339" t="str">
        <x:v>the system validates the request, saves it atomically, shows a clear confirmation and reflects the updated state</x:v>
      </x:c>
      <x:c r="J235" s="339" t="str">
        <x:v>Positive</x:v>
      </x:c>
      <x:c r="K235" s="339" t="str">
        <x:v>Functional</x:v>
      </x:c>
    </x:row>
    <x:row r="236">
      <x:c r="A236" s="339" t="str">
        <x:v>AC-00235</x:v>
      </x:c>
      <x:c r="B236" s="339" t="str">
        <x:v>US-0059</x:v>
      </x:c>
      <x:c r="C236" s="339" t="str">
        <x:v>SCR-030</x:v>
      </x:c>
      <x:c r="D236" s="339" t="str">
        <x:v>Organization / School / Branch Setup</x:v>
      </x:c>
      <x:c r="E236" s="339" t="str">
        <x:v>Section Setup</x:v>
      </x:c>
      <x:c r="F236" s="339" t="str">
        <x:v>State and dependency integrity</x:v>
      </x:c>
      <x:c r="G236" s="339" t="str">
        <x:v>the current record is in an allowed state (Draft → Active → Inactive / Archived)</x:v>
      </x:c>
      <x:c r="H236" s="339" t="str">
        <x:v>the user attempts a state-changing action</x:v>
      </x:c>
      <x:c r="I236" s="339" t="str">
        <x:v>only a valid transition is accepted and dependent records are updated according to configured business rules</x:v>
      </x:c>
      <x:c r="J236" s="339" t="str">
        <x:v>Positive</x:v>
      </x:c>
      <x:c r="K236" s="339" t="str">
        <x:v>Functional</x:v>
      </x:c>
    </x:row>
    <x:row r="237">
      <x:c r="A237" s="339" t="str">
        <x:v>AC-00236</x:v>
      </x:c>
      <x:c r="B237" s="339" t="str">
        <x:v>US-0059</x:v>
      </x:c>
      <x:c r="C237" s="339" t="str">
        <x:v>SCR-030</x:v>
      </x:c>
      <x:c r="D237" s="339" t="str">
        <x:v>Organization / School / Branch Setup</x:v>
      </x:c>
      <x:c r="E237" s="339" t="str">
        <x:v>Section Setup</x:v>
      </x:c>
      <x:c r="F237" s="339" t="str">
        <x:v>Auditability</x:v>
      </x:c>
      <x:c r="G237" s="339" t="str">
        <x:v>a material create/update/approve/reverse action occurs</x:v>
      </x:c>
      <x:c r="H237" s="339" t="str">
        <x:v>the transaction succeeds</x:v>
      </x:c>
      <x:c r="I237" s="339" t="str">
        <x:v>the system records actor, timestamp, action, target and relevant before/after or reason context in the audit trail</x:v>
      </x:c>
      <x:c r="J237" s="339" t="str">
        <x:v>Positive</x:v>
      </x:c>
      <x:c r="K237" s="339" t="str">
        <x:v>Functional</x:v>
      </x:c>
    </x:row>
    <x:row r="238">
      <x:c r="A238" s="339" t="str">
        <x:v>AC-00237</x:v>
      </x:c>
      <x:c r="B238" s="339" t="str">
        <x:v>US-0060</x:v>
      </x:c>
      <x:c r="C238" s="339" t="str">
        <x:v>SCR-030</x:v>
      </x:c>
      <x:c r="D238" s="339" t="str">
        <x:v>Organization / School / Branch Setup</x:v>
      </x:c>
      <x:c r="E238" s="339" t="str">
        <x:v>Section Setup</x:v>
      </x:c>
      <x:c r="F238" s="339" t="str">
        <x:v>Required-field validation</x:v>
      </x:c>
      <x:c r="G238" s="339" t="str">
        <x:v>one or more required values are missing/invalid</x:v>
      </x:c>
      <x:c r="H238" s="339" t="str">
        <x:v>the user submits the form</x:v>
      </x:c>
      <x:c r="I238" s="339" t="str">
        <x:v>submission is blocked and field-level messages identify what must be corrected</x:v>
      </x:c>
      <x:c r="J238" s="339" t="str">
        <x:v>Positive</x:v>
      </x:c>
      <x:c r="K238" s="339" t="str">
        <x:v>Functional</x:v>
      </x:c>
    </x:row>
    <x:row r="239">
      <x:c r="A239" s="339" t="str">
        <x:v>AC-00238</x:v>
      </x:c>
      <x:c r="B239" s="339" t="str">
        <x:v>US-0060</x:v>
      </x:c>
      <x:c r="C239" s="339" t="str">
        <x:v>SCR-030</x:v>
      </x:c>
      <x:c r="D239" s="339" t="str">
        <x:v>Organization / School / Branch Setup</x:v>
      </x:c>
      <x:c r="E239" s="339" t="str">
        <x:v>Section Setup</x:v>
      </x:c>
      <x:c r="F239" s="339" t="str">
        <x:v>Duplicate prevention</x:v>
      </x:c>
      <x:c r="G239" s="339" t="str">
        <x:v>a potentially duplicate record exists</x:v>
      </x:c>
      <x:c r="H239" s="339" t="str">
        <x:v>the user submits matching identity/master data</x:v>
      </x:c>
      <x:c r="I239" s="339" t="str">
        <x:v>the system blocks or warns according to configured duplicate policy before creating another record</x:v>
      </x:c>
      <x:c r="J239" s="339" t="str">
        <x:v>Negative</x:v>
      </x:c>
      <x:c r="K239" s="339" t="str">
        <x:v>Functional</x:v>
      </x:c>
    </x:row>
    <x:row r="240">
      <x:c r="A240" s="339" t="str">
        <x:v>AC-00239</x:v>
      </x:c>
      <x:c r="B240" s="339" t="str">
        <x:v>US-0060</x:v>
      </x:c>
      <x:c r="C240" s="339" t="str">
        <x:v>SCR-030</x:v>
      </x:c>
      <x:c r="D240" s="339" t="str">
        <x:v>Organization / School / Branch Setup</x:v>
      </x:c>
      <x:c r="E240" s="339" t="str">
        <x:v>Section Setup</x:v>
      </x:c>
      <x:c r="F240" s="339" t="str">
        <x:v>Reference-data integrity</x:v>
      </x:c>
      <x:c r="G240" s="339" t="str">
        <x:v>the form contains master-data selections</x:v>
      </x:c>
      <x:c r="H240" s="339" t="str">
        <x:v>the user submits</x:v>
      </x:c>
      <x:c r="I240" s="339" t="str">
        <x:v>all referenced values are active, effective and within the user's scope at the time of save</x:v>
      </x:c>
      <x:c r="J240" s="339" t="str">
        <x:v>Positive</x:v>
      </x:c>
      <x:c r="K240" s="339" t="str">
        <x:v>Functional</x:v>
      </x:c>
    </x:row>
    <x:row r="241">
      <x:c r="A241" s="339" t="str">
        <x:v>AC-00240</x:v>
      </x:c>
      <x:c r="B241" s="339" t="str">
        <x:v>US-0060</x:v>
      </x:c>
      <x:c r="C241" s="339" t="str">
        <x:v>SCR-030</x:v>
      </x:c>
      <x:c r="D241" s="339" t="str">
        <x:v>Organization / School / Branch Setup</x:v>
      </x:c>
      <x:c r="E241" s="339" t="str">
        <x:v>Section Setup</x:v>
      </x:c>
      <x:c r="F241" s="339" t="str">
        <x:v>Retry safety</x:v>
      </x:c>
      <x:c r="G241" s="339" t="str">
        <x:v>a network retry or repeated click occurs</x:v>
      </x:c>
      <x:c r="H241" s="339" t="str">
        <x:v>the same transaction is submitted again</x:v>
      </x:c>
      <x:c r="I241" s="339" t="str">
        <x:v>the system prevents unintended duplicate transactions through idempotency or duplicate detection</x:v>
      </x:c>
      <x:c r="J241" s="339" t="str">
        <x:v>Positive</x:v>
      </x:c>
      <x:c r="K241" s="339" t="str">
        <x:v>Functional</x:v>
      </x:c>
    </x:row>
    <x:row r="242">
      <x:c r="A242" s="339" t="str">
        <x:v>AC-00241</x:v>
      </x:c>
      <x:c r="B242" s="339" t="str">
        <x:v>US-0061</x:v>
      </x:c>
      <x:c r="C242" s="339" t="str">
        <x:v>SCR-031</x:v>
      </x:c>
      <x:c r="D242" s="339" t="str">
        <x:v>Organization / School / Branch Setup</x:v>
      </x:c>
      <x:c r="E242" s="339" t="str">
        <x:v>Department Setup</x:v>
      </x:c>
      <x:c r="F242" s="339" t="str">
        <x:v>Authorized access to Department Setup</x:v>
      </x:c>
      <x:c r="G242" s="339" t="str">
        <x:v>the Super Admin is authenticated and has access to Department Setup</x:v>
      </x:c>
      <x:c r="H242" s="339" t="str">
        <x:v>the user opens or invokes Department Setup</x:v>
      </x:c>
      <x:c r="I242" s="339" t="str">
        <x:v>the system loads only records and actions within the user's permitted tenant/school/data scope</x:v>
      </x:c>
      <x:c r="J242" s="339" t="str">
        <x:v>Positive</x:v>
      </x:c>
      <x:c r="K242" s="339" t="str">
        <x:v>Functional / Security</x:v>
      </x:c>
    </x:row>
    <x:row r="243">
      <x:c r="A243" s="339" t="str">
        <x:v>AC-00242</x:v>
      </x:c>
      <x:c r="B243" s="339" t="str">
        <x:v>US-0061</x:v>
      </x:c>
      <x:c r="C243" s="339" t="str">
        <x:v>SCR-031</x:v>
      </x:c>
      <x:c r="D243" s="339" t="str">
        <x:v>Organization / School / Branch Setup</x:v>
      </x:c>
      <x:c r="E243" s="339" t="str">
        <x:v>Department Setup</x:v>
      </x:c>
      <x:c r="F243" s="339" t="str">
        <x:v>Successful Department Setup happy path</x:v>
      </x:c>
      <x:c r="G243" s="339" t="str">
        <x:v>all mandatory prerequisites and valid data are available</x:v>
      </x:c>
      <x:c r="H243" s="339" t="str">
        <x:v>the Super Admin completes the primary action on Department Setup</x:v>
      </x:c>
      <x:c r="I243" s="339" t="str">
        <x:v>the system validates the request, saves it atomically, shows a clear confirmation and reflects the updated state</x:v>
      </x:c>
      <x:c r="J243" s="339" t="str">
        <x:v>Positive</x:v>
      </x:c>
      <x:c r="K243" s="339" t="str">
        <x:v>Functional</x:v>
      </x:c>
    </x:row>
    <x:row r="244">
      <x:c r="A244" s="339" t="str">
        <x:v>AC-00243</x:v>
      </x:c>
      <x:c r="B244" s="339" t="str">
        <x:v>US-0061</x:v>
      </x:c>
      <x:c r="C244" s="339" t="str">
        <x:v>SCR-031</x:v>
      </x:c>
      <x:c r="D244" s="339" t="str">
        <x:v>Organization / School / Branch Setup</x:v>
      </x:c>
      <x:c r="E244" s="339" t="str">
        <x:v>Department Setup</x:v>
      </x:c>
      <x:c r="F244" s="339" t="str">
        <x:v>State and dependency integrity</x:v>
      </x:c>
      <x:c r="G244" s="339" t="str">
        <x:v>the current record is in an allowed state (Draft → Active → Inactive / Archived)</x:v>
      </x:c>
      <x:c r="H244" s="339" t="str">
        <x:v>the user attempts a state-changing action</x:v>
      </x:c>
      <x:c r="I244" s="339" t="str">
        <x:v>only a valid transition is accepted and dependent records are updated according to configured business rules</x:v>
      </x:c>
      <x:c r="J244" s="339" t="str">
        <x:v>Positive</x:v>
      </x:c>
      <x:c r="K244" s="339" t="str">
        <x:v>Functional</x:v>
      </x:c>
    </x:row>
    <x:row r="245">
      <x:c r="A245" s="339" t="str">
        <x:v>AC-00244</x:v>
      </x:c>
      <x:c r="B245" s="339" t="str">
        <x:v>US-0061</x:v>
      </x:c>
      <x:c r="C245" s="339" t="str">
        <x:v>SCR-031</x:v>
      </x:c>
      <x:c r="D245" s="339" t="str">
        <x:v>Organization / School / Branch Setup</x:v>
      </x:c>
      <x:c r="E245" s="339" t="str">
        <x:v>Department Setup</x:v>
      </x:c>
      <x:c r="F245" s="339" t="str">
        <x:v>Auditability</x:v>
      </x:c>
      <x:c r="G245" s="339" t="str">
        <x:v>a material create/update/approve/reverse action occurs</x:v>
      </x:c>
      <x:c r="H245" s="339" t="str">
        <x:v>the transaction succeeds</x:v>
      </x:c>
      <x:c r="I245" s="339" t="str">
        <x:v>the system records actor, timestamp, action, target and relevant before/after or reason context in the audit trail</x:v>
      </x:c>
      <x:c r="J245" s="339" t="str">
        <x:v>Positive</x:v>
      </x:c>
      <x:c r="K245" s="339" t="str">
        <x:v>Functional</x:v>
      </x:c>
    </x:row>
    <x:row r="246">
      <x:c r="A246" s="339" t="str">
        <x:v>AC-00245</x:v>
      </x:c>
      <x:c r="B246" s="339" t="str">
        <x:v>US-0062</x:v>
      </x:c>
      <x:c r="C246" s="339" t="str">
        <x:v>SCR-031</x:v>
      </x:c>
      <x:c r="D246" s="339" t="str">
        <x:v>Organization / School / Branch Setup</x:v>
      </x:c>
      <x:c r="E246" s="339" t="str">
        <x:v>Department Setup</x:v>
      </x:c>
      <x:c r="F246" s="339" t="str">
        <x:v>Required-field validation</x:v>
      </x:c>
      <x:c r="G246" s="339" t="str">
        <x:v>one or more required values are missing/invalid</x:v>
      </x:c>
      <x:c r="H246" s="339" t="str">
        <x:v>the user submits the form</x:v>
      </x:c>
      <x:c r="I246" s="339" t="str">
        <x:v>submission is blocked and field-level messages identify what must be corrected</x:v>
      </x:c>
      <x:c r="J246" s="339" t="str">
        <x:v>Positive</x:v>
      </x:c>
      <x:c r="K246" s="339" t="str">
        <x:v>Functional</x:v>
      </x:c>
    </x:row>
    <x:row r="247">
      <x:c r="A247" s="339" t="str">
        <x:v>AC-00246</x:v>
      </x:c>
      <x:c r="B247" s="339" t="str">
        <x:v>US-0062</x:v>
      </x:c>
      <x:c r="C247" s="339" t="str">
        <x:v>SCR-031</x:v>
      </x:c>
      <x:c r="D247" s="339" t="str">
        <x:v>Organization / School / Branch Setup</x:v>
      </x:c>
      <x:c r="E247" s="339" t="str">
        <x:v>Department Setup</x:v>
      </x:c>
      <x:c r="F247" s="339" t="str">
        <x:v>Duplicate prevention</x:v>
      </x:c>
      <x:c r="G247" s="339" t="str">
        <x:v>a potentially duplicate record exists</x:v>
      </x:c>
      <x:c r="H247" s="339" t="str">
        <x:v>the user submits matching identity/master data</x:v>
      </x:c>
      <x:c r="I247" s="339" t="str">
        <x:v>the system blocks or warns according to configured duplicate policy before creating another record</x:v>
      </x:c>
      <x:c r="J247" s="339" t="str">
        <x:v>Negative</x:v>
      </x:c>
      <x:c r="K247" s="339" t="str">
        <x:v>Functional</x:v>
      </x:c>
    </x:row>
    <x:row r="248">
      <x:c r="A248" s="339" t="str">
        <x:v>AC-00247</x:v>
      </x:c>
      <x:c r="B248" s="339" t="str">
        <x:v>US-0062</x:v>
      </x:c>
      <x:c r="C248" s="339" t="str">
        <x:v>SCR-031</x:v>
      </x:c>
      <x:c r="D248" s="339" t="str">
        <x:v>Organization / School / Branch Setup</x:v>
      </x:c>
      <x:c r="E248" s="339" t="str">
        <x:v>Department Setup</x:v>
      </x:c>
      <x:c r="F248" s="339" t="str">
        <x:v>Reference-data integrity</x:v>
      </x:c>
      <x:c r="G248" s="339" t="str">
        <x:v>the form contains master-data selections</x:v>
      </x:c>
      <x:c r="H248" s="339" t="str">
        <x:v>the user submits</x:v>
      </x:c>
      <x:c r="I248" s="339" t="str">
        <x:v>all referenced values are active, effective and within the user's scope at the time of save</x:v>
      </x:c>
      <x:c r="J248" s="339" t="str">
        <x:v>Positive</x:v>
      </x:c>
      <x:c r="K248" s="339" t="str">
        <x:v>Functional</x:v>
      </x:c>
    </x:row>
    <x:row r="249">
      <x:c r="A249" s="339" t="str">
        <x:v>AC-00248</x:v>
      </x:c>
      <x:c r="B249" s="339" t="str">
        <x:v>US-0062</x:v>
      </x:c>
      <x:c r="C249" s="339" t="str">
        <x:v>SCR-031</x:v>
      </x:c>
      <x:c r="D249" s="339" t="str">
        <x:v>Organization / School / Branch Setup</x:v>
      </x:c>
      <x:c r="E249" s="339" t="str">
        <x:v>Department Setup</x:v>
      </x:c>
      <x:c r="F249" s="339" t="str">
        <x:v>Retry safety</x:v>
      </x:c>
      <x:c r="G249" s="339" t="str">
        <x:v>a network retry or repeated click occurs</x:v>
      </x:c>
      <x:c r="H249" s="339" t="str">
        <x:v>the same transaction is submitted again</x:v>
      </x:c>
      <x:c r="I249" s="339" t="str">
        <x:v>the system prevents unintended duplicate transactions through idempotency or duplicate detection</x:v>
      </x:c>
      <x:c r="J249" s="339" t="str">
        <x:v>Positive</x:v>
      </x:c>
      <x:c r="K249" s="339" t="str">
        <x:v>Functional</x:v>
      </x:c>
    </x:row>
    <x:row r="250">
      <x:c r="A250" s="339" t="str">
        <x:v>AC-00249</x:v>
      </x:c>
      <x:c r="B250" s="339" t="str">
        <x:v>US-0063</x:v>
      </x:c>
      <x:c r="C250" s="339" t="str">
        <x:v>SCR-032</x:v>
      </x:c>
      <x:c r="D250" s="339" t="str">
        <x:v>Organization / School / Branch Setup</x:v>
      </x:c>
      <x:c r="E250" s="339" t="str">
        <x:v>School Branding &amp; Profile</x:v>
      </x:c>
      <x:c r="F250" s="339" t="str">
        <x:v>Authorized access to School Branding &amp; Profile</x:v>
      </x:c>
      <x:c r="G250" s="339" t="str">
        <x:v>the Super Admin is authenticated and has access to School Branding &amp; Profile</x:v>
      </x:c>
      <x:c r="H250" s="339" t="str">
        <x:v>the user opens or invokes School Branding &amp; Profile</x:v>
      </x:c>
      <x:c r="I250" s="339" t="str">
        <x:v>the system loads only records and actions within the user's permitted tenant/school/data scope</x:v>
      </x:c>
      <x:c r="J250" s="339" t="str">
        <x:v>Positive</x:v>
      </x:c>
      <x:c r="K250" s="339" t="str">
        <x:v>Functional / Security</x:v>
      </x:c>
    </x:row>
    <x:row r="251">
      <x:c r="A251" s="339" t="str">
        <x:v>AC-00250</x:v>
      </x:c>
      <x:c r="B251" s="339" t="str">
        <x:v>US-0063</x:v>
      </x:c>
      <x:c r="C251" s="339" t="str">
        <x:v>SCR-032</x:v>
      </x:c>
      <x:c r="D251" s="339" t="str">
        <x:v>Organization / School / Branch Setup</x:v>
      </x:c>
      <x:c r="E251" s="339" t="str">
        <x:v>School Branding &amp; Profile</x:v>
      </x:c>
      <x:c r="F251" s="339" t="str">
        <x:v>Successful School Branding &amp; Profile happy path</x:v>
      </x:c>
      <x:c r="G251" s="339" t="str">
        <x:v>all mandatory prerequisites and valid data are available</x:v>
      </x:c>
      <x:c r="H251" s="339" t="str">
        <x:v>the Super Admin completes the primary action on School Branding &amp; Profile</x:v>
      </x:c>
      <x:c r="I251" s="339" t="str">
        <x:v>the system validates the request, saves it atomically, shows a clear confirmation and reflects the updated state</x:v>
      </x:c>
      <x:c r="J251" s="339" t="str">
        <x:v>Positive</x:v>
      </x:c>
      <x:c r="K251" s="339" t="str">
        <x:v>Functional</x:v>
      </x:c>
    </x:row>
    <x:row r="252">
      <x:c r="A252" s="339" t="str">
        <x:v>AC-00251</x:v>
      </x:c>
      <x:c r="B252" s="339" t="str">
        <x:v>US-0063</x:v>
      </x:c>
      <x:c r="C252" s="339" t="str">
        <x:v>SCR-032</x:v>
      </x:c>
      <x:c r="D252" s="339" t="str">
        <x:v>Organization / School / Branch Setup</x:v>
      </x:c>
      <x:c r="E252" s="339" t="str">
        <x:v>School Branding &amp; Profile</x:v>
      </x:c>
      <x:c r="F252" s="339" t="str">
        <x:v>State and dependency integrity</x:v>
      </x:c>
      <x:c r="G252" s="339" t="str">
        <x:v>the current record is in an allowed state (Draft → Active → Inactive / Archived)</x:v>
      </x:c>
      <x:c r="H252" s="339" t="str">
        <x:v>the user attempts a state-changing action</x:v>
      </x:c>
      <x:c r="I252" s="339" t="str">
        <x:v>only a valid transition is accepted and dependent records are updated according to configured business rules</x:v>
      </x:c>
      <x:c r="J252" s="339" t="str">
        <x:v>Positive</x:v>
      </x:c>
      <x:c r="K252" s="339" t="str">
        <x:v>Functional</x:v>
      </x:c>
    </x:row>
    <x:row r="253">
      <x:c r="A253" s="339" t="str">
        <x:v>AC-00252</x:v>
      </x:c>
      <x:c r="B253" s="339" t="str">
        <x:v>US-0063</x:v>
      </x:c>
      <x:c r="C253" s="339" t="str">
        <x:v>SCR-032</x:v>
      </x:c>
      <x:c r="D253" s="339" t="str">
        <x:v>Organization / School / Branch Setup</x:v>
      </x:c>
      <x:c r="E253" s="339" t="str">
        <x:v>School Branding &amp; Profile</x:v>
      </x:c>
      <x:c r="F253" s="339" t="str">
        <x:v>Auditability</x:v>
      </x:c>
      <x:c r="G253" s="339" t="str">
        <x:v>a material create/update/approve/reverse action occurs</x:v>
      </x:c>
      <x:c r="H253" s="339" t="str">
        <x:v>the transaction succeeds</x:v>
      </x:c>
      <x:c r="I253" s="339" t="str">
        <x:v>the system records actor, timestamp, action, target and relevant before/after or reason context in the audit trail</x:v>
      </x:c>
      <x:c r="J253" s="339" t="str">
        <x:v>Positive</x:v>
      </x:c>
      <x:c r="K253" s="339" t="str">
        <x:v>Functional</x:v>
      </x:c>
    </x:row>
    <x:row r="254">
      <x:c r="A254" s="339" t="str">
        <x:v>AC-00253</x:v>
      </x:c>
      <x:c r="B254" s="339" t="str">
        <x:v>US-0064</x:v>
      </x:c>
      <x:c r="C254" s="339" t="str">
        <x:v>SCR-032</x:v>
      </x:c>
      <x:c r="D254" s="339" t="str">
        <x:v>Organization / School / Branch Setup</x:v>
      </x:c>
      <x:c r="E254" s="339" t="str">
        <x:v>School Branding &amp; Profile</x:v>
      </x:c>
      <x:c r="F254" s="339" t="str">
        <x:v>Complete authorized view</x:v>
      </x:c>
      <x:c r="G254" s="339" t="str">
        <x:v>the record exists and the user is authorized</x:v>
      </x:c>
      <x:c r="H254" s="339" t="str">
        <x:v>the detail/profile opens</x:v>
      </x:c>
      <x:c r="I254" s="339" t="str">
        <x:v>the system loads the required summary, relationships and history while masking restricted fields</x:v>
      </x:c>
      <x:c r="J254" s="339" t="str">
        <x:v>Positive</x:v>
      </x:c>
      <x:c r="K254" s="339" t="str">
        <x:v>Functional / Security</x:v>
      </x:c>
    </x:row>
    <x:row r="255">
      <x:c r="A255" s="339" t="str">
        <x:v>AC-00254</x:v>
      </x:c>
      <x:c r="B255" s="339" t="str">
        <x:v>US-0064</x:v>
      </x:c>
      <x:c r="C255" s="339" t="str">
        <x:v>SCR-032</x:v>
      </x:c>
      <x:c r="D255" s="339" t="str">
        <x:v>Organization / School / Branch Setup</x:v>
      </x:c>
      <x:c r="E255" s="339" t="str">
        <x:v>School Branding &amp; Profile</x:v>
      </x:c>
      <x:c r="F255" s="339" t="str">
        <x:v>Controlled edit</x:v>
      </x:c>
      <x:c r="G255" s="339" t="str">
        <x:v>the user has edit permission and the record is editable</x:v>
      </x:c>
      <x:c r="H255" s="339" t="str">
        <x:v>the user saves a change</x:v>
      </x:c>
      <x:c r="I255" s="339" t="str">
        <x:v>validation and state rules run before the update is committed</x:v>
      </x:c>
      <x:c r="J255" s="339" t="str">
        <x:v>Positive</x:v>
      </x:c>
      <x:c r="K255" s="339" t="str">
        <x:v>Functional</x:v>
      </x:c>
    </x:row>
    <x:row r="256">
      <x:c r="A256" s="339" t="str">
        <x:v>AC-00255</x:v>
      </x:c>
      <x:c r="B256" s="339" t="str">
        <x:v>US-0064</x:v>
      </x:c>
      <x:c r="C256" s="339" t="str">
        <x:v>SCR-032</x:v>
      </x:c>
      <x:c r="D256" s="339" t="str">
        <x:v>Organization / School / Branch Setup</x:v>
      </x:c>
      <x:c r="E256" s="339" t="str">
        <x:v>School Branding &amp; Profile</x:v>
      </x:c>
      <x:c r="F256" s="339" t="str">
        <x:v>Concurrent edit protection</x:v>
      </x:c>
      <x:c r="G256" s="339" t="str">
        <x:v>another user has changed the record after it was loaded</x:v>
      </x:c>
      <x:c r="H256" s="339" t="str">
        <x:v>the first user attempts to save stale data</x:v>
      </x:c>
      <x:c r="I256" s="339" t="str">
        <x:v>the system detects the version conflict or preserves fields safely instead of silently overwriting</x:v>
      </x:c>
      <x:c r="J256" s="339" t="str">
        <x:v>Positive</x:v>
      </x:c>
      <x:c r="K256" s="339" t="str">
        <x:v>Functional</x:v>
      </x:c>
    </x:row>
    <x:row r="257">
      <x:c r="A257" s="339" t="str">
        <x:v>AC-00256</x:v>
      </x:c>
      <x:c r="B257" s="339" t="str">
        <x:v>US-0064</x:v>
      </x:c>
      <x:c r="C257" s="339" t="str">
        <x:v>SCR-032</x:v>
      </x:c>
      <x:c r="D257" s="339" t="str">
        <x:v>Organization / School / Branch Setup</x:v>
      </x:c>
      <x:c r="E257" s="339" t="str">
        <x:v>School Branding &amp; Profile</x:v>
      </x:c>
      <x:c r="F257" s="339" t="str">
        <x:v>History retention</x:v>
      </x:c>
      <x:c r="G257" s="339" t="str">
        <x:v>the record has prior changes/statuses</x:v>
      </x:c>
      <x:c r="H257" s="339" t="str">
        <x:v>the user views history</x:v>
      </x:c>
      <x:c r="I257" s="339" t="str">
        <x:v>the audit/activity timeline shows traceable material changes without exposing restricted notes</x:v>
      </x:c>
      <x:c r="J257" s="339" t="str">
        <x:v>Positive</x:v>
      </x:c>
      <x:c r="K257" s="339" t="str">
        <x:v>Functional</x:v>
      </x:c>
    </x:row>
    <x:row r="258">
      <x:c r="A258" s="339" t="str">
        <x:v>AC-00257</x:v>
      </x:c>
      <x:c r="B258" s="339" t="str">
        <x:v>US-0065</x:v>
      </x:c>
      <x:c r="C258" s="339" t="str">
        <x:v>SCR-033</x:v>
      </x:c>
      <x:c r="D258" s="339" t="str">
        <x:v>Role Dashboards</x:v>
      </x:c>
      <x:c r="E258" s="339" t="str">
        <x:v>School Admin Dashboard</x:v>
      </x:c>
      <x:c r="F258" s="339" t="str">
        <x:v>Authorized access to School Admin Dashboard</x:v>
      </x:c>
      <x:c r="G258" s="339" t="str">
        <x:v>the School Admin is authenticated and has access to School Admin Dashboard</x:v>
      </x:c>
      <x:c r="H258" s="339" t="str">
        <x:v>the user opens or invokes School Admin Dashboard</x:v>
      </x:c>
      <x:c r="I258" s="339" t="str">
        <x:v>the system loads only records and actions within the user's permitted tenant/school/data scope</x:v>
      </x:c>
      <x:c r="J258" s="339" t="str">
        <x:v>Positive</x:v>
      </x:c>
      <x:c r="K258" s="339" t="str">
        <x:v>Functional / Security</x:v>
      </x:c>
    </x:row>
    <x:row r="259">
      <x:c r="A259" s="339" t="str">
        <x:v>AC-00258</x:v>
      </x:c>
      <x:c r="B259" s="339" t="str">
        <x:v>US-0065</x:v>
      </x:c>
      <x:c r="C259" s="339" t="str">
        <x:v>SCR-033</x:v>
      </x:c>
      <x:c r="D259" s="339" t="str">
        <x:v>Role Dashboards</x:v>
      </x:c>
      <x:c r="E259" s="339" t="str">
        <x:v>School Admin Dashboard</x:v>
      </x:c>
      <x:c r="F259" s="339" t="str">
        <x:v>Successful School Admin Dashboard happy path</x:v>
      </x:c>
      <x:c r="G259" s="339" t="str">
        <x:v>all mandatory prerequisites and valid data are available</x:v>
      </x:c>
      <x:c r="H259" s="339" t="str">
        <x:v>the School Admin completes the primary action on School Admin Dashboard</x:v>
      </x:c>
      <x:c r="I259" s="339" t="str">
        <x:v>the system validates the request, saves it atomically, shows a clear confirmation and reflects the updated state</x:v>
      </x:c>
      <x:c r="J259" s="339" t="str">
        <x:v>Positive</x:v>
      </x:c>
      <x:c r="K259" s="339" t="str">
        <x:v>Functional</x:v>
      </x:c>
    </x:row>
    <x:row r="260">
      <x:c r="A260" s="339" t="str">
        <x:v>AC-00259</x:v>
      </x:c>
      <x:c r="B260" s="339" t="str">
        <x:v>US-0065</x:v>
      </x:c>
      <x:c r="C260" s="339" t="str">
        <x:v>SCR-033</x:v>
      </x:c>
      <x:c r="D260" s="339" t="str">
        <x:v>Role Dashboards</x:v>
      </x:c>
      <x:c r="E260" s="339" t="str">
        <x:v>School Admin Dashboard</x:v>
      </x:c>
      <x:c r="F260" s="339" t="str">
        <x:v>State and dependency integrity</x:v>
      </x:c>
      <x:c r="G260" s="339" t="str">
        <x:v>the current record is in an allowed state (Context Selected → Metrics Loaded → Drill-down / Action)</x:v>
      </x:c>
      <x:c r="H260" s="339" t="str">
        <x:v>the user attempts a state-changing action</x:v>
      </x:c>
      <x:c r="I260" s="339" t="str">
        <x:v>only a valid transition is accepted and dependent records are updated according to configured business rules</x:v>
      </x:c>
      <x:c r="J260" s="339" t="str">
        <x:v>Positive</x:v>
      </x:c>
      <x:c r="K260" s="339" t="str">
        <x:v>Functional</x:v>
      </x:c>
    </x:row>
    <x:row r="261">
      <x:c r="A261" s="339" t="str">
        <x:v>AC-00260</x:v>
      </x:c>
      <x:c r="B261" s="339" t="str">
        <x:v>US-0065</x:v>
      </x:c>
      <x:c r="C261" s="339" t="str">
        <x:v>SCR-033</x:v>
      </x:c>
      <x:c r="D261" s="339" t="str">
        <x:v>Role Dashboards</x:v>
      </x:c>
      <x:c r="E261" s="339" t="str">
        <x:v>School Admin Dashboard</x:v>
      </x:c>
      <x:c r="F261" s="339" t="str">
        <x:v>Auditability</x:v>
      </x:c>
      <x:c r="G261" s="339" t="str">
        <x:v>a material create/update/approve/reverse action occurs</x:v>
      </x:c>
      <x:c r="H261" s="339" t="str">
        <x:v>the transaction succeeds</x:v>
      </x:c>
      <x:c r="I261" s="339" t="str">
        <x:v>the system records actor, timestamp, action, target and relevant before/after or reason context in the audit trail</x:v>
      </x:c>
      <x:c r="J261" s="339" t="str">
        <x:v>Positive</x:v>
      </x:c>
      <x:c r="K261" s="339" t="str">
        <x:v>Functional</x:v>
      </x:c>
    </x:row>
    <x:row r="262">
      <x:c r="A262" s="339" t="str">
        <x:v>AC-00261</x:v>
      </x:c>
      <x:c r="B262" s="339" t="str">
        <x:v>US-0066</x:v>
      </x:c>
      <x:c r="C262" s="339" t="str">
        <x:v>SCR-033</x:v>
      </x:c>
      <x:c r="D262" s="339" t="str">
        <x:v>Role Dashboards</x:v>
      </x:c>
      <x:c r="E262" s="339" t="str">
        <x:v>School Admin Dashboard</x:v>
      </x:c>
      <x:c r="F262" s="339" t="str">
        <x:v>KPI reconciliation</x:v>
      </x:c>
      <x:c r="G262" s="339" t="str">
        <x:v>underlying source transactions exist</x:v>
      </x:c>
      <x:c r="H262" s="339" t="str">
        <x:v>the dashboard calculates metrics</x:v>
      </x:c>
      <x:c r="I262" s="339" t="str">
        <x:v>dashboard values reconcile to the same filtered source records used by detailed reports</x:v>
      </x:c>
      <x:c r="J262" s="339" t="str">
        <x:v>Positive</x:v>
      </x:c>
      <x:c r="K262" s="339" t="str">
        <x:v>Functional</x:v>
      </x:c>
    </x:row>
    <x:row r="263">
      <x:c r="A263" s="339" t="str">
        <x:v>AC-00262</x:v>
      </x:c>
      <x:c r="B263" s="339" t="str">
        <x:v>US-0066</x:v>
      </x:c>
      <x:c r="C263" s="339" t="str">
        <x:v>SCR-033</x:v>
      </x:c>
      <x:c r="D263" s="339" t="str">
        <x:v>Role Dashboards</x:v>
      </x:c>
      <x:c r="E263" s="339" t="str">
        <x:v>School Admin Dashboard</x:v>
      </x:c>
      <x:c r="F263" s="339" t="str">
        <x:v>Drill-down context</x:v>
      </x:c>
      <x:c r="G263" s="339" t="str">
        <x:v>a KPI or alert is visible</x:v>
      </x:c>
      <x:c r="H263" s="339" t="str">
        <x:v>the user drills into it</x:v>
      </x:c>
      <x:c r="I263" s="339" t="str">
        <x:v>the destination preserves relevant date/school/class/status filter context</x:v>
      </x:c>
      <x:c r="J263" s="339" t="str">
        <x:v>Positive</x:v>
      </x:c>
      <x:c r="K263" s="339" t="str">
        <x:v>Functional</x:v>
      </x:c>
    </x:row>
    <x:row r="264">
      <x:c r="A264" s="339" t="str">
        <x:v>AC-00263</x:v>
      </x:c>
      <x:c r="B264" s="339" t="str">
        <x:v>US-0066</x:v>
      </x:c>
      <x:c r="C264" s="339" t="str">
        <x:v>SCR-033</x:v>
      </x:c>
      <x:c r="D264" s="339" t="str">
        <x:v>Role Dashboards</x:v>
      </x:c>
      <x:c r="E264" s="339" t="str">
        <x:v>School Admin Dashboard</x:v>
      </x:c>
      <x:c r="F264" s="339" t="str">
        <x:v>Freshness and failure handling</x:v>
      </x:c>
      <x:c r="G264" s="339" t="str">
        <x:v>one source service is delayed or unavailable</x:v>
      </x:c>
      <x:c r="H264" s="339" t="str">
        <x:v>the dashboard loads</x:v>
      </x:c>
      <x:c r="I264" s="339" t="str">
        <x:v>the UI identifies stale/unavailable data without fabricating or silently zeroing the metric</x:v>
      </x:c>
      <x:c r="J264" s="339" t="str">
        <x:v>Positive</x:v>
      </x:c>
      <x:c r="K264" s="339" t="str">
        <x:v>Functional</x:v>
      </x:c>
    </x:row>
    <x:row r="265">
      <x:c r="A265" s="339" t="str">
        <x:v>AC-00264</x:v>
      </x:c>
      <x:c r="B265" s="339" t="str">
        <x:v>US-0066</x:v>
      </x:c>
      <x:c r="C265" s="339" t="str">
        <x:v>SCR-033</x:v>
      </x:c>
      <x:c r="D265" s="339" t="str">
        <x:v>Role Dashboards</x:v>
      </x:c>
      <x:c r="E265" s="339" t="str">
        <x:v>School Admin Dashboard</x:v>
      </x:c>
      <x:c r="F265" s="339" t="str">
        <x:v>Scoped visibility</x:v>
      </x:c>
      <x:c r="G265" s="339" t="str">
        <x:v>the same dashboard is used by users with different permissions</x:v>
      </x:c>
      <x:c r="H265" s="339" t="str">
        <x:v>each user loads it</x:v>
      </x:c>
      <x:c r="I265" s="339" t="str">
        <x:v>each sees only authorized metrics, alerts and record-level drill-downs</x:v>
      </x:c>
      <x:c r="J265" s="339" t="str">
        <x:v>Positive</x:v>
      </x:c>
      <x:c r="K265" s="339" t="str">
        <x:v>Functional</x:v>
      </x:c>
    </x:row>
    <x:row r="266">
      <x:c r="A266" s="339" t="str">
        <x:v>AC-00265</x:v>
      </x:c>
      <x:c r="B266" s="339" t="str">
        <x:v>US-0067</x:v>
      </x:c>
      <x:c r="C266" s="339" t="str">
        <x:v>SCR-034</x:v>
      </x:c>
      <x:c r="D266" s="339" t="str">
        <x:v>Role Dashboards</x:v>
      </x:c>
      <x:c r="E266" s="339" t="str">
        <x:v>Principal Dashboard</x:v>
      </x:c>
      <x:c r="F266" s="339" t="str">
        <x:v>Authorized access to Principal Dashboard</x:v>
      </x:c>
      <x:c r="G266" s="339" t="str">
        <x:v>the Principal is authenticated and has access to Principal Dashboard</x:v>
      </x:c>
      <x:c r="H266" s="339" t="str">
        <x:v>the user opens or invokes Principal Dashboard</x:v>
      </x:c>
      <x:c r="I266" s="339" t="str">
        <x:v>the system loads only records and actions within the user's permitted tenant/school/data scope</x:v>
      </x:c>
      <x:c r="J266" s="339" t="str">
        <x:v>Positive</x:v>
      </x:c>
      <x:c r="K266" s="339" t="str">
        <x:v>Functional / Security</x:v>
      </x:c>
    </x:row>
    <x:row r="267">
      <x:c r="A267" s="339" t="str">
        <x:v>AC-00266</x:v>
      </x:c>
      <x:c r="B267" s="339" t="str">
        <x:v>US-0067</x:v>
      </x:c>
      <x:c r="C267" s="339" t="str">
        <x:v>SCR-034</x:v>
      </x:c>
      <x:c r="D267" s="339" t="str">
        <x:v>Role Dashboards</x:v>
      </x:c>
      <x:c r="E267" s="339" t="str">
        <x:v>Principal Dashboard</x:v>
      </x:c>
      <x:c r="F267" s="339" t="str">
        <x:v>Successful Principal Dashboard happy path</x:v>
      </x:c>
      <x:c r="G267" s="339" t="str">
        <x:v>all mandatory prerequisites and valid data are available</x:v>
      </x:c>
      <x:c r="H267" s="339" t="str">
        <x:v>the Principal completes the primary action on Principal Dashboard</x:v>
      </x:c>
      <x:c r="I267" s="339" t="str">
        <x:v>the system validates the request, saves it atomically, shows a clear confirmation and reflects the updated state</x:v>
      </x:c>
      <x:c r="J267" s="339" t="str">
        <x:v>Positive</x:v>
      </x:c>
      <x:c r="K267" s="339" t="str">
        <x:v>Functional</x:v>
      </x:c>
    </x:row>
    <x:row r="268">
      <x:c r="A268" s="339" t="str">
        <x:v>AC-00267</x:v>
      </x:c>
      <x:c r="B268" s="339" t="str">
        <x:v>US-0067</x:v>
      </x:c>
      <x:c r="C268" s="339" t="str">
        <x:v>SCR-034</x:v>
      </x:c>
      <x:c r="D268" s="339" t="str">
        <x:v>Role Dashboards</x:v>
      </x:c>
      <x:c r="E268" s="339" t="str">
        <x:v>Principal Dashboard</x:v>
      </x:c>
      <x:c r="F268" s="339" t="str">
        <x:v>State and dependency integrity</x:v>
      </x:c>
      <x:c r="G268" s="339" t="str">
        <x:v>the current record is in an allowed state (Context Selected → Metrics Loaded → Drill-down / Action)</x:v>
      </x:c>
      <x:c r="H268" s="339" t="str">
        <x:v>the user attempts a state-changing action</x:v>
      </x:c>
      <x:c r="I268" s="339" t="str">
        <x:v>only a valid transition is accepted and dependent records are updated according to configured business rules</x:v>
      </x:c>
      <x:c r="J268" s="339" t="str">
        <x:v>Positive</x:v>
      </x:c>
      <x:c r="K268" s="339" t="str">
        <x:v>Functional</x:v>
      </x:c>
    </x:row>
    <x:row r="269">
      <x:c r="A269" s="339" t="str">
        <x:v>AC-00268</x:v>
      </x:c>
      <x:c r="B269" s="339" t="str">
        <x:v>US-0067</x:v>
      </x:c>
      <x:c r="C269" s="339" t="str">
        <x:v>SCR-034</x:v>
      </x:c>
      <x:c r="D269" s="339" t="str">
        <x:v>Role Dashboards</x:v>
      </x:c>
      <x:c r="E269" s="339" t="str">
        <x:v>Principal Dashboard</x:v>
      </x:c>
      <x:c r="F269" s="339" t="str">
        <x:v>Auditability</x:v>
      </x:c>
      <x:c r="G269" s="339" t="str">
        <x:v>a material create/update/approve/reverse action occurs</x:v>
      </x:c>
      <x:c r="H269" s="339" t="str">
        <x:v>the transaction succeeds</x:v>
      </x:c>
      <x:c r="I269" s="339" t="str">
        <x:v>the system records actor, timestamp, action, target and relevant before/after or reason context in the audit trail</x:v>
      </x:c>
      <x:c r="J269" s="339" t="str">
        <x:v>Positive</x:v>
      </x:c>
      <x:c r="K269" s="339" t="str">
        <x:v>Functional</x:v>
      </x:c>
    </x:row>
    <x:row r="270">
      <x:c r="A270" s="339" t="str">
        <x:v>AC-00269</x:v>
      </x:c>
      <x:c r="B270" s="339" t="str">
        <x:v>US-0068</x:v>
      </x:c>
      <x:c r="C270" s="339" t="str">
        <x:v>SCR-034</x:v>
      </x:c>
      <x:c r="D270" s="339" t="str">
        <x:v>Role Dashboards</x:v>
      </x:c>
      <x:c r="E270" s="339" t="str">
        <x:v>Principal Dashboard</x:v>
      </x:c>
      <x:c r="F270" s="339" t="str">
        <x:v>KPI reconciliation</x:v>
      </x:c>
      <x:c r="G270" s="339" t="str">
        <x:v>underlying source transactions exist</x:v>
      </x:c>
      <x:c r="H270" s="339" t="str">
        <x:v>the dashboard calculates metrics</x:v>
      </x:c>
      <x:c r="I270" s="339" t="str">
        <x:v>dashboard values reconcile to the same filtered source records used by detailed reports</x:v>
      </x:c>
      <x:c r="J270" s="339" t="str">
        <x:v>Positive</x:v>
      </x:c>
      <x:c r="K270" s="339" t="str">
        <x:v>Functional</x:v>
      </x:c>
    </x:row>
    <x:row r="271">
      <x:c r="A271" s="339" t="str">
        <x:v>AC-00270</x:v>
      </x:c>
      <x:c r="B271" s="339" t="str">
        <x:v>US-0068</x:v>
      </x:c>
      <x:c r="C271" s="339" t="str">
        <x:v>SCR-034</x:v>
      </x:c>
      <x:c r="D271" s="339" t="str">
        <x:v>Role Dashboards</x:v>
      </x:c>
      <x:c r="E271" s="339" t="str">
        <x:v>Principal Dashboard</x:v>
      </x:c>
      <x:c r="F271" s="339" t="str">
        <x:v>Drill-down context</x:v>
      </x:c>
      <x:c r="G271" s="339" t="str">
        <x:v>a KPI or alert is visible</x:v>
      </x:c>
      <x:c r="H271" s="339" t="str">
        <x:v>the user drills into it</x:v>
      </x:c>
      <x:c r="I271" s="339" t="str">
        <x:v>the destination preserves relevant date/school/class/status filter context</x:v>
      </x:c>
      <x:c r="J271" s="339" t="str">
        <x:v>Positive</x:v>
      </x:c>
      <x:c r="K271" s="339" t="str">
        <x:v>Functional</x:v>
      </x:c>
    </x:row>
    <x:row r="272">
      <x:c r="A272" s="339" t="str">
        <x:v>AC-00271</x:v>
      </x:c>
      <x:c r="B272" s="339" t="str">
        <x:v>US-0068</x:v>
      </x:c>
      <x:c r="C272" s="339" t="str">
        <x:v>SCR-034</x:v>
      </x:c>
      <x:c r="D272" s="339" t="str">
        <x:v>Role Dashboards</x:v>
      </x:c>
      <x:c r="E272" s="339" t="str">
        <x:v>Principal Dashboard</x:v>
      </x:c>
      <x:c r="F272" s="339" t="str">
        <x:v>Freshness and failure handling</x:v>
      </x:c>
      <x:c r="G272" s="339" t="str">
        <x:v>one source service is delayed or unavailable</x:v>
      </x:c>
      <x:c r="H272" s="339" t="str">
        <x:v>the dashboard loads</x:v>
      </x:c>
      <x:c r="I272" s="339" t="str">
        <x:v>the UI identifies stale/unavailable data without fabricating or silently zeroing the metric</x:v>
      </x:c>
      <x:c r="J272" s="339" t="str">
        <x:v>Positive</x:v>
      </x:c>
      <x:c r="K272" s="339" t="str">
        <x:v>Functional</x:v>
      </x:c>
    </x:row>
    <x:row r="273">
      <x:c r="A273" s="339" t="str">
        <x:v>AC-00272</x:v>
      </x:c>
      <x:c r="B273" s="339" t="str">
        <x:v>US-0068</x:v>
      </x:c>
      <x:c r="C273" s="339" t="str">
        <x:v>SCR-034</x:v>
      </x:c>
      <x:c r="D273" s="339" t="str">
        <x:v>Role Dashboards</x:v>
      </x:c>
      <x:c r="E273" s="339" t="str">
        <x:v>Principal Dashboard</x:v>
      </x:c>
      <x:c r="F273" s="339" t="str">
        <x:v>Scoped visibility</x:v>
      </x:c>
      <x:c r="G273" s="339" t="str">
        <x:v>the same dashboard is used by users with different permissions</x:v>
      </x:c>
      <x:c r="H273" s="339" t="str">
        <x:v>each user loads it</x:v>
      </x:c>
      <x:c r="I273" s="339" t="str">
        <x:v>each sees only authorized metrics, alerts and record-level drill-downs</x:v>
      </x:c>
      <x:c r="J273" s="339" t="str">
        <x:v>Positive</x:v>
      </x:c>
      <x:c r="K273" s="339" t="str">
        <x:v>Functional</x:v>
      </x:c>
    </x:row>
    <x:row r="274">
      <x:c r="A274" s="339" t="str">
        <x:v>AC-00273</x:v>
      </x:c>
      <x:c r="B274" s="339" t="str">
        <x:v>US-0069</x:v>
      </x:c>
      <x:c r="C274" s="339" t="str">
        <x:v>SCR-035</x:v>
      </x:c>
      <x:c r="D274" s="339" t="str">
        <x:v>Role Dashboards</x:v>
      </x:c>
      <x:c r="E274" s="339" t="str">
        <x:v>Teacher Dashboard</x:v>
      </x:c>
      <x:c r="F274" s="339" t="str">
        <x:v>Authorized access to Teacher Dashboard</x:v>
      </x:c>
      <x:c r="G274" s="339" t="str">
        <x:v>the Teacher is authenticated and has access to Teacher Dashboard</x:v>
      </x:c>
      <x:c r="H274" s="339" t="str">
        <x:v>the user opens or invokes Teacher Dashboard</x:v>
      </x:c>
      <x:c r="I274" s="339" t="str">
        <x:v>the system loads only records and actions within the user's permitted tenant/school/data scope</x:v>
      </x:c>
      <x:c r="J274" s="339" t="str">
        <x:v>Positive</x:v>
      </x:c>
      <x:c r="K274" s="339" t="str">
        <x:v>Functional / Security</x:v>
      </x:c>
    </x:row>
    <x:row r="275">
      <x:c r="A275" s="339" t="str">
        <x:v>AC-00274</x:v>
      </x:c>
      <x:c r="B275" s="339" t="str">
        <x:v>US-0069</x:v>
      </x:c>
      <x:c r="C275" s="339" t="str">
        <x:v>SCR-035</x:v>
      </x:c>
      <x:c r="D275" s="339" t="str">
        <x:v>Role Dashboards</x:v>
      </x:c>
      <x:c r="E275" s="339" t="str">
        <x:v>Teacher Dashboard</x:v>
      </x:c>
      <x:c r="F275" s="339" t="str">
        <x:v>Successful Teacher Dashboard happy path</x:v>
      </x:c>
      <x:c r="G275" s="339" t="str">
        <x:v>all mandatory prerequisites and valid data are available</x:v>
      </x:c>
      <x:c r="H275" s="339" t="str">
        <x:v>the Teacher completes the primary action on Teacher Dashboard</x:v>
      </x:c>
      <x:c r="I275" s="339" t="str">
        <x:v>the system validates the request, saves it atomically, shows a clear confirmation and reflects the updated state</x:v>
      </x:c>
      <x:c r="J275" s="339" t="str">
        <x:v>Positive</x:v>
      </x:c>
      <x:c r="K275" s="339" t="str">
        <x:v>Functional</x:v>
      </x:c>
    </x:row>
    <x:row r="276">
      <x:c r="A276" s="339" t="str">
        <x:v>AC-00275</x:v>
      </x:c>
      <x:c r="B276" s="339" t="str">
        <x:v>US-0069</x:v>
      </x:c>
      <x:c r="C276" s="339" t="str">
        <x:v>SCR-035</x:v>
      </x:c>
      <x:c r="D276" s="339" t="str">
        <x:v>Role Dashboards</x:v>
      </x:c>
      <x:c r="E276" s="339" t="str">
        <x:v>Teacher Dashboard</x:v>
      </x:c>
      <x:c r="F276" s="339" t="str">
        <x:v>State and dependency integrity</x:v>
      </x:c>
      <x:c r="G276" s="339" t="str">
        <x:v>the current record is in an allowed state (Context Selected → Metrics Loaded → Drill-down / Action)</x:v>
      </x:c>
      <x:c r="H276" s="339" t="str">
        <x:v>the user attempts a state-changing action</x:v>
      </x:c>
      <x:c r="I276" s="339" t="str">
        <x:v>only a valid transition is accepted and dependent records are updated according to configured business rules</x:v>
      </x:c>
      <x:c r="J276" s="339" t="str">
        <x:v>Positive</x:v>
      </x:c>
      <x:c r="K276" s="339" t="str">
        <x:v>Functional</x:v>
      </x:c>
    </x:row>
    <x:row r="277">
      <x:c r="A277" s="339" t="str">
        <x:v>AC-00276</x:v>
      </x:c>
      <x:c r="B277" s="339" t="str">
        <x:v>US-0069</x:v>
      </x:c>
      <x:c r="C277" s="339" t="str">
        <x:v>SCR-035</x:v>
      </x:c>
      <x:c r="D277" s="339" t="str">
        <x:v>Role Dashboards</x:v>
      </x:c>
      <x:c r="E277" s="339" t="str">
        <x:v>Teacher Dashboard</x:v>
      </x:c>
      <x:c r="F277" s="339" t="str">
        <x:v>Auditability</x:v>
      </x:c>
      <x:c r="G277" s="339" t="str">
        <x:v>a material create/update/approve/reverse action occurs</x:v>
      </x:c>
      <x:c r="H277" s="339" t="str">
        <x:v>the transaction succeeds</x:v>
      </x:c>
      <x:c r="I277" s="339" t="str">
        <x:v>the system records actor, timestamp, action, target and relevant before/after or reason context in the audit trail</x:v>
      </x:c>
      <x:c r="J277" s="339" t="str">
        <x:v>Positive</x:v>
      </x:c>
      <x:c r="K277" s="339" t="str">
        <x:v>Functional</x:v>
      </x:c>
    </x:row>
    <x:row r="278">
      <x:c r="A278" s="339" t="str">
        <x:v>AC-00277</x:v>
      </x:c>
      <x:c r="B278" s="339" t="str">
        <x:v>US-0070</x:v>
      </x:c>
      <x:c r="C278" s="339" t="str">
        <x:v>SCR-035</x:v>
      </x:c>
      <x:c r="D278" s="339" t="str">
        <x:v>Role Dashboards</x:v>
      </x:c>
      <x:c r="E278" s="339" t="str">
        <x:v>Teacher Dashboard</x:v>
      </x:c>
      <x:c r="F278" s="339" t="str">
        <x:v>KPI reconciliation</x:v>
      </x:c>
      <x:c r="G278" s="339" t="str">
        <x:v>underlying source transactions exist</x:v>
      </x:c>
      <x:c r="H278" s="339" t="str">
        <x:v>the dashboard calculates metrics</x:v>
      </x:c>
      <x:c r="I278" s="339" t="str">
        <x:v>dashboard values reconcile to the same filtered source records used by detailed reports</x:v>
      </x:c>
      <x:c r="J278" s="339" t="str">
        <x:v>Positive</x:v>
      </x:c>
      <x:c r="K278" s="339" t="str">
        <x:v>Functional</x:v>
      </x:c>
    </x:row>
    <x:row r="279">
      <x:c r="A279" s="339" t="str">
        <x:v>AC-00278</x:v>
      </x:c>
      <x:c r="B279" s="339" t="str">
        <x:v>US-0070</x:v>
      </x:c>
      <x:c r="C279" s="339" t="str">
        <x:v>SCR-035</x:v>
      </x:c>
      <x:c r="D279" s="339" t="str">
        <x:v>Role Dashboards</x:v>
      </x:c>
      <x:c r="E279" s="339" t="str">
        <x:v>Teacher Dashboard</x:v>
      </x:c>
      <x:c r="F279" s="339" t="str">
        <x:v>Drill-down context</x:v>
      </x:c>
      <x:c r="G279" s="339" t="str">
        <x:v>a KPI or alert is visible</x:v>
      </x:c>
      <x:c r="H279" s="339" t="str">
        <x:v>the user drills into it</x:v>
      </x:c>
      <x:c r="I279" s="339" t="str">
        <x:v>the destination preserves relevant date/school/class/status filter context</x:v>
      </x:c>
      <x:c r="J279" s="339" t="str">
        <x:v>Positive</x:v>
      </x:c>
      <x:c r="K279" s="339" t="str">
        <x:v>Functional</x:v>
      </x:c>
    </x:row>
    <x:row r="280">
      <x:c r="A280" s="339" t="str">
        <x:v>AC-00279</x:v>
      </x:c>
      <x:c r="B280" s="339" t="str">
        <x:v>US-0070</x:v>
      </x:c>
      <x:c r="C280" s="339" t="str">
        <x:v>SCR-035</x:v>
      </x:c>
      <x:c r="D280" s="339" t="str">
        <x:v>Role Dashboards</x:v>
      </x:c>
      <x:c r="E280" s="339" t="str">
        <x:v>Teacher Dashboard</x:v>
      </x:c>
      <x:c r="F280" s="339" t="str">
        <x:v>Freshness and failure handling</x:v>
      </x:c>
      <x:c r="G280" s="339" t="str">
        <x:v>one source service is delayed or unavailable</x:v>
      </x:c>
      <x:c r="H280" s="339" t="str">
        <x:v>the dashboard loads</x:v>
      </x:c>
      <x:c r="I280" s="339" t="str">
        <x:v>the UI identifies stale/unavailable data without fabricating or silently zeroing the metric</x:v>
      </x:c>
      <x:c r="J280" s="339" t="str">
        <x:v>Positive</x:v>
      </x:c>
      <x:c r="K280" s="339" t="str">
        <x:v>Functional</x:v>
      </x:c>
    </x:row>
    <x:row r="281">
      <x:c r="A281" s="339" t="str">
        <x:v>AC-00280</x:v>
      </x:c>
      <x:c r="B281" s="339" t="str">
        <x:v>US-0070</x:v>
      </x:c>
      <x:c r="C281" s="339" t="str">
        <x:v>SCR-035</x:v>
      </x:c>
      <x:c r="D281" s="339" t="str">
        <x:v>Role Dashboards</x:v>
      </x:c>
      <x:c r="E281" s="339" t="str">
        <x:v>Teacher Dashboard</x:v>
      </x:c>
      <x:c r="F281" s="339" t="str">
        <x:v>Scoped visibility</x:v>
      </x:c>
      <x:c r="G281" s="339" t="str">
        <x:v>the same dashboard is used by users with different permissions</x:v>
      </x:c>
      <x:c r="H281" s="339" t="str">
        <x:v>each user loads it</x:v>
      </x:c>
      <x:c r="I281" s="339" t="str">
        <x:v>each sees only authorized metrics, alerts and record-level drill-downs</x:v>
      </x:c>
      <x:c r="J281" s="339" t="str">
        <x:v>Positive</x:v>
      </x:c>
      <x:c r="K281" s="339" t="str">
        <x:v>Functional</x:v>
      </x:c>
    </x:row>
    <x:row r="282">
      <x:c r="A282" s="339" t="str">
        <x:v>AC-00281</x:v>
      </x:c>
      <x:c r="B282" s="339" t="str">
        <x:v>US-0071</x:v>
      </x:c>
      <x:c r="C282" s="339" t="str">
        <x:v>SCR-036</x:v>
      </x:c>
      <x:c r="D282" s="339" t="str">
        <x:v>Role Dashboards</x:v>
      </x:c>
      <x:c r="E282" s="339" t="str">
        <x:v>Student Dashboard</x:v>
      </x:c>
      <x:c r="F282" s="339" t="str">
        <x:v>Authorized access to Student Dashboard</x:v>
      </x:c>
      <x:c r="G282" s="339" t="str">
        <x:v>the Student is authenticated and has access to Student Dashboard</x:v>
      </x:c>
      <x:c r="H282" s="339" t="str">
        <x:v>the user opens or invokes Student Dashboard</x:v>
      </x:c>
      <x:c r="I282" s="339" t="str">
        <x:v>the system loads only records and actions within the user's permitted tenant/school/data scope</x:v>
      </x:c>
      <x:c r="J282" s="339" t="str">
        <x:v>Positive</x:v>
      </x:c>
      <x:c r="K282" s="339" t="str">
        <x:v>Functional / Security</x:v>
      </x:c>
    </x:row>
    <x:row r="283">
      <x:c r="A283" s="339" t="str">
        <x:v>AC-00282</x:v>
      </x:c>
      <x:c r="B283" s="339" t="str">
        <x:v>US-0071</x:v>
      </x:c>
      <x:c r="C283" s="339" t="str">
        <x:v>SCR-036</x:v>
      </x:c>
      <x:c r="D283" s="339" t="str">
        <x:v>Role Dashboards</x:v>
      </x:c>
      <x:c r="E283" s="339" t="str">
        <x:v>Student Dashboard</x:v>
      </x:c>
      <x:c r="F283" s="339" t="str">
        <x:v>Successful Student Dashboard happy path</x:v>
      </x:c>
      <x:c r="G283" s="339" t="str">
        <x:v>all mandatory prerequisites and valid data are available</x:v>
      </x:c>
      <x:c r="H283" s="339" t="str">
        <x:v>the Student completes the primary action on Student Dashboard</x:v>
      </x:c>
      <x:c r="I283" s="339" t="str">
        <x:v>the system validates the request, saves it atomically, shows a clear confirmation and reflects the updated state</x:v>
      </x:c>
      <x:c r="J283" s="339" t="str">
        <x:v>Positive</x:v>
      </x:c>
      <x:c r="K283" s="339" t="str">
        <x:v>Functional</x:v>
      </x:c>
    </x:row>
    <x:row r="284">
      <x:c r="A284" s="339" t="str">
        <x:v>AC-00283</x:v>
      </x:c>
      <x:c r="B284" s="339" t="str">
        <x:v>US-0071</x:v>
      </x:c>
      <x:c r="C284" s="339" t="str">
        <x:v>SCR-036</x:v>
      </x:c>
      <x:c r="D284" s="339" t="str">
        <x:v>Role Dashboards</x:v>
      </x:c>
      <x:c r="E284" s="339" t="str">
        <x:v>Student Dashboard</x:v>
      </x:c>
      <x:c r="F284" s="339" t="str">
        <x:v>State and dependency integrity</x:v>
      </x:c>
      <x:c r="G284" s="339" t="str">
        <x:v>the current record is in an allowed state (Context Selected → Metrics Loaded → Drill-down / Action)</x:v>
      </x:c>
      <x:c r="H284" s="339" t="str">
        <x:v>the user attempts a state-changing action</x:v>
      </x:c>
      <x:c r="I284" s="339" t="str">
        <x:v>only a valid transition is accepted and dependent records are updated according to configured business rules</x:v>
      </x:c>
      <x:c r="J284" s="339" t="str">
        <x:v>Positive</x:v>
      </x:c>
      <x:c r="K284" s="339" t="str">
        <x:v>Functional</x:v>
      </x:c>
    </x:row>
    <x:row r="285">
      <x:c r="A285" s="339" t="str">
        <x:v>AC-00284</x:v>
      </x:c>
      <x:c r="B285" s="339" t="str">
        <x:v>US-0071</x:v>
      </x:c>
      <x:c r="C285" s="339" t="str">
        <x:v>SCR-036</x:v>
      </x:c>
      <x:c r="D285" s="339" t="str">
        <x:v>Role Dashboards</x:v>
      </x:c>
      <x:c r="E285" s="339" t="str">
        <x:v>Student Dashboard</x:v>
      </x:c>
      <x:c r="F285" s="339" t="str">
        <x:v>Auditability</x:v>
      </x:c>
      <x:c r="G285" s="339" t="str">
        <x:v>a material create/update/approve/reverse action occurs</x:v>
      </x:c>
      <x:c r="H285" s="339" t="str">
        <x:v>the transaction succeeds</x:v>
      </x:c>
      <x:c r="I285" s="339" t="str">
        <x:v>the system records actor, timestamp, action, target and relevant before/after or reason context in the audit trail</x:v>
      </x:c>
      <x:c r="J285" s="339" t="str">
        <x:v>Positive</x:v>
      </x:c>
      <x:c r="K285" s="339" t="str">
        <x:v>Functional</x:v>
      </x:c>
    </x:row>
    <x:row r="286">
      <x:c r="A286" s="339" t="str">
        <x:v>AC-00285</x:v>
      </x:c>
      <x:c r="B286" s="339" t="str">
        <x:v>US-0072</x:v>
      </x:c>
      <x:c r="C286" s="339" t="str">
        <x:v>SCR-036</x:v>
      </x:c>
      <x:c r="D286" s="339" t="str">
        <x:v>Role Dashboards</x:v>
      </x:c>
      <x:c r="E286" s="339" t="str">
        <x:v>Student Dashboard</x:v>
      </x:c>
      <x:c r="F286" s="339" t="str">
        <x:v>KPI reconciliation</x:v>
      </x:c>
      <x:c r="G286" s="339" t="str">
        <x:v>underlying source transactions exist</x:v>
      </x:c>
      <x:c r="H286" s="339" t="str">
        <x:v>the dashboard calculates metrics</x:v>
      </x:c>
      <x:c r="I286" s="339" t="str">
        <x:v>dashboard values reconcile to the same filtered source records used by detailed reports</x:v>
      </x:c>
      <x:c r="J286" s="339" t="str">
        <x:v>Positive</x:v>
      </x:c>
      <x:c r="K286" s="339" t="str">
        <x:v>Functional</x:v>
      </x:c>
    </x:row>
    <x:row r="287">
      <x:c r="A287" s="339" t="str">
        <x:v>AC-00286</x:v>
      </x:c>
      <x:c r="B287" s="339" t="str">
        <x:v>US-0072</x:v>
      </x:c>
      <x:c r="C287" s="339" t="str">
        <x:v>SCR-036</x:v>
      </x:c>
      <x:c r="D287" s="339" t="str">
        <x:v>Role Dashboards</x:v>
      </x:c>
      <x:c r="E287" s="339" t="str">
        <x:v>Student Dashboard</x:v>
      </x:c>
      <x:c r="F287" s="339" t="str">
        <x:v>Drill-down context</x:v>
      </x:c>
      <x:c r="G287" s="339" t="str">
        <x:v>a KPI or alert is visible</x:v>
      </x:c>
      <x:c r="H287" s="339" t="str">
        <x:v>the user drills into it</x:v>
      </x:c>
      <x:c r="I287" s="339" t="str">
        <x:v>the destination preserves relevant date/school/class/status filter context</x:v>
      </x:c>
      <x:c r="J287" s="339" t="str">
        <x:v>Positive</x:v>
      </x:c>
      <x:c r="K287" s="339" t="str">
        <x:v>Functional</x:v>
      </x:c>
    </x:row>
    <x:row r="288">
      <x:c r="A288" s="339" t="str">
        <x:v>AC-00287</x:v>
      </x:c>
      <x:c r="B288" s="339" t="str">
        <x:v>US-0072</x:v>
      </x:c>
      <x:c r="C288" s="339" t="str">
        <x:v>SCR-036</x:v>
      </x:c>
      <x:c r="D288" s="339" t="str">
        <x:v>Role Dashboards</x:v>
      </x:c>
      <x:c r="E288" s="339" t="str">
        <x:v>Student Dashboard</x:v>
      </x:c>
      <x:c r="F288" s="339" t="str">
        <x:v>Freshness and failure handling</x:v>
      </x:c>
      <x:c r="G288" s="339" t="str">
        <x:v>one source service is delayed or unavailable</x:v>
      </x:c>
      <x:c r="H288" s="339" t="str">
        <x:v>the dashboard loads</x:v>
      </x:c>
      <x:c r="I288" s="339" t="str">
        <x:v>the UI identifies stale/unavailable data without fabricating or silently zeroing the metric</x:v>
      </x:c>
      <x:c r="J288" s="339" t="str">
        <x:v>Positive</x:v>
      </x:c>
      <x:c r="K288" s="339" t="str">
        <x:v>Functional</x:v>
      </x:c>
    </x:row>
    <x:row r="289">
      <x:c r="A289" s="339" t="str">
        <x:v>AC-00288</x:v>
      </x:c>
      <x:c r="B289" s="339" t="str">
        <x:v>US-0072</x:v>
      </x:c>
      <x:c r="C289" s="339" t="str">
        <x:v>SCR-036</x:v>
      </x:c>
      <x:c r="D289" s="339" t="str">
        <x:v>Role Dashboards</x:v>
      </x:c>
      <x:c r="E289" s="339" t="str">
        <x:v>Student Dashboard</x:v>
      </x:c>
      <x:c r="F289" s="339" t="str">
        <x:v>Scoped visibility</x:v>
      </x:c>
      <x:c r="G289" s="339" t="str">
        <x:v>the same dashboard is used by users with different permissions</x:v>
      </x:c>
      <x:c r="H289" s="339" t="str">
        <x:v>each user loads it</x:v>
      </x:c>
      <x:c r="I289" s="339" t="str">
        <x:v>each sees only authorized metrics, alerts and record-level drill-downs</x:v>
      </x:c>
      <x:c r="J289" s="339" t="str">
        <x:v>Positive</x:v>
      </x:c>
      <x:c r="K289" s="339" t="str">
        <x:v>Functional</x:v>
      </x:c>
    </x:row>
    <x:row r="290">
      <x:c r="A290" s="339" t="str">
        <x:v>AC-00289</x:v>
      </x:c>
      <x:c r="B290" s="339" t="str">
        <x:v>US-0073</x:v>
      </x:c>
      <x:c r="C290" s="339" t="str">
        <x:v>SCR-037</x:v>
      </x:c>
      <x:c r="D290" s="339" t="str">
        <x:v>Role Dashboards</x:v>
      </x:c>
      <x:c r="E290" s="339" t="str">
        <x:v>Parent Dashboard</x:v>
      </x:c>
      <x:c r="F290" s="339" t="str">
        <x:v>Authorized access to Parent Dashboard</x:v>
      </x:c>
      <x:c r="G290" s="339" t="str">
        <x:v>the Parent is authenticated and has access to Parent Dashboard</x:v>
      </x:c>
      <x:c r="H290" s="339" t="str">
        <x:v>the user opens or invokes Parent Dashboard</x:v>
      </x:c>
      <x:c r="I290" s="339" t="str">
        <x:v>the system loads only records and actions within the user's permitted tenant/school/data scope</x:v>
      </x:c>
      <x:c r="J290" s="339" t="str">
        <x:v>Positive</x:v>
      </x:c>
      <x:c r="K290" s="339" t="str">
        <x:v>Functional / Security</x:v>
      </x:c>
    </x:row>
    <x:row r="291">
      <x:c r="A291" s="339" t="str">
        <x:v>AC-00290</x:v>
      </x:c>
      <x:c r="B291" s="339" t="str">
        <x:v>US-0073</x:v>
      </x:c>
      <x:c r="C291" s="339" t="str">
        <x:v>SCR-037</x:v>
      </x:c>
      <x:c r="D291" s="339" t="str">
        <x:v>Role Dashboards</x:v>
      </x:c>
      <x:c r="E291" s="339" t="str">
        <x:v>Parent Dashboard</x:v>
      </x:c>
      <x:c r="F291" s="339" t="str">
        <x:v>Successful Parent Dashboard happy path</x:v>
      </x:c>
      <x:c r="G291" s="339" t="str">
        <x:v>all mandatory prerequisites and valid data are available</x:v>
      </x:c>
      <x:c r="H291" s="339" t="str">
        <x:v>the Parent completes the primary action on Parent Dashboard</x:v>
      </x:c>
      <x:c r="I291" s="339" t="str">
        <x:v>the system validates the request, saves it atomically, shows a clear confirmation and reflects the updated state</x:v>
      </x:c>
      <x:c r="J291" s="339" t="str">
        <x:v>Positive</x:v>
      </x:c>
      <x:c r="K291" s="339" t="str">
        <x:v>Functional</x:v>
      </x:c>
    </x:row>
    <x:row r="292">
      <x:c r="A292" s="339" t="str">
        <x:v>AC-00291</x:v>
      </x:c>
      <x:c r="B292" s="339" t="str">
        <x:v>US-0073</x:v>
      </x:c>
      <x:c r="C292" s="339" t="str">
        <x:v>SCR-037</x:v>
      </x:c>
      <x:c r="D292" s="339" t="str">
        <x:v>Role Dashboards</x:v>
      </x:c>
      <x:c r="E292" s="339" t="str">
        <x:v>Parent Dashboard</x:v>
      </x:c>
      <x:c r="F292" s="339" t="str">
        <x:v>State and dependency integrity</x:v>
      </x:c>
      <x:c r="G292" s="339" t="str">
        <x:v>the current record is in an allowed state (Context Selected → Metrics Loaded → Drill-down / Action)</x:v>
      </x:c>
      <x:c r="H292" s="339" t="str">
        <x:v>the user attempts a state-changing action</x:v>
      </x:c>
      <x:c r="I292" s="339" t="str">
        <x:v>only a valid transition is accepted and dependent records are updated according to configured business rules</x:v>
      </x:c>
      <x:c r="J292" s="339" t="str">
        <x:v>Positive</x:v>
      </x:c>
      <x:c r="K292" s="339" t="str">
        <x:v>Functional</x:v>
      </x:c>
    </x:row>
    <x:row r="293">
      <x:c r="A293" s="339" t="str">
        <x:v>AC-00292</x:v>
      </x:c>
      <x:c r="B293" s="339" t="str">
        <x:v>US-0073</x:v>
      </x:c>
      <x:c r="C293" s="339" t="str">
        <x:v>SCR-037</x:v>
      </x:c>
      <x:c r="D293" s="339" t="str">
        <x:v>Role Dashboards</x:v>
      </x:c>
      <x:c r="E293" s="339" t="str">
        <x:v>Parent Dashboard</x:v>
      </x:c>
      <x:c r="F293" s="339" t="str">
        <x:v>Auditability</x:v>
      </x:c>
      <x:c r="G293" s="339" t="str">
        <x:v>a material create/update/approve/reverse action occurs</x:v>
      </x:c>
      <x:c r="H293" s="339" t="str">
        <x:v>the transaction succeeds</x:v>
      </x:c>
      <x:c r="I293" s="339" t="str">
        <x:v>the system records actor, timestamp, action, target and relevant before/after or reason context in the audit trail</x:v>
      </x:c>
      <x:c r="J293" s="339" t="str">
        <x:v>Positive</x:v>
      </x:c>
      <x:c r="K293" s="339" t="str">
        <x:v>Functional</x:v>
      </x:c>
    </x:row>
    <x:row r="294">
      <x:c r="A294" s="339" t="str">
        <x:v>AC-00293</x:v>
      </x:c>
      <x:c r="B294" s="339" t="str">
        <x:v>US-0074</x:v>
      </x:c>
      <x:c r="C294" s="339" t="str">
        <x:v>SCR-037</x:v>
      </x:c>
      <x:c r="D294" s="339" t="str">
        <x:v>Role Dashboards</x:v>
      </x:c>
      <x:c r="E294" s="339" t="str">
        <x:v>Parent Dashboard</x:v>
      </x:c>
      <x:c r="F294" s="339" t="str">
        <x:v>KPI reconciliation</x:v>
      </x:c>
      <x:c r="G294" s="339" t="str">
        <x:v>underlying source transactions exist</x:v>
      </x:c>
      <x:c r="H294" s="339" t="str">
        <x:v>the dashboard calculates metrics</x:v>
      </x:c>
      <x:c r="I294" s="339" t="str">
        <x:v>dashboard values reconcile to the same filtered source records used by detailed reports</x:v>
      </x:c>
      <x:c r="J294" s="339" t="str">
        <x:v>Positive</x:v>
      </x:c>
      <x:c r="K294" s="339" t="str">
        <x:v>Functional</x:v>
      </x:c>
    </x:row>
    <x:row r="295">
      <x:c r="A295" s="339" t="str">
        <x:v>AC-00294</x:v>
      </x:c>
      <x:c r="B295" s="339" t="str">
        <x:v>US-0074</x:v>
      </x:c>
      <x:c r="C295" s="339" t="str">
        <x:v>SCR-037</x:v>
      </x:c>
      <x:c r="D295" s="339" t="str">
        <x:v>Role Dashboards</x:v>
      </x:c>
      <x:c r="E295" s="339" t="str">
        <x:v>Parent Dashboard</x:v>
      </x:c>
      <x:c r="F295" s="339" t="str">
        <x:v>Drill-down context</x:v>
      </x:c>
      <x:c r="G295" s="339" t="str">
        <x:v>a KPI or alert is visible</x:v>
      </x:c>
      <x:c r="H295" s="339" t="str">
        <x:v>the user drills into it</x:v>
      </x:c>
      <x:c r="I295" s="339" t="str">
        <x:v>the destination preserves relevant date/school/class/status filter context</x:v>
      </x:c>
      <x:c r="J295" s="339" t="str">
        <x:v>Positive</x:v>
      </x:c>
      <x:c r="K295" s="339" t="str">
        <x:v>Functional</x:v>
      </x:c>
    </x:row>
    <x:row r="296">
      <x:c r="A296" s="339" t="str">
        <x:v>AC-00295</x:v>
      </x:c>
      <x:c r="B296" s="339" t="str">
        <x:v>US-0074</x:v>
      </x:c>
      <x:c r="C296" s="339" t="str">
        <x:v>SCR-037</x:v>
      </x:c>
      <x:c r="D296" s="339" t="str">
        <x:v>Role Dashboards</x:v>
      </x:c>
      <x:c r="E296" s="339" t="str">
        <x:v>Parent Dashboard</x:v>
      </x:c>
      <x:c r="F296" s="339" t="str">
        <x:v>Freshness and failure handling</x:v>
      </x:c>
      <x:c r="G296" s="339" t="str">
        <x:v>one source service is delayed or unavailable</x:v>
      </x:c>
      <x:c r="H296" s="339" t="str">
        <x:v>the dashboard loads</x:v>
      </x:c>
      <x:c r="I296" s="339" t="str">
        <x:v>the UI identifies stale/unavailable data without fabricating or silently zeroing the metric</x:v>
      </x:c>
      <x:c r="J296" s="339" t="str">
        <x:v>Positive</x:v>
      </x:c>
      <x:c r="K296" s="339" t="str">
        <x:v>Functional</x:v>
      </x:c>
    </x:row>
    <x:row r="297">
      <x:c r="A297" s="339" t="str">
        <x:v>AC-00296</x:v>
      </x:c>
      <x:c r="B297" s="339" t="str">
        <x:v>US-0074</x:v>
      </x:c>
      <x:c r="C297" s="339" t="str">
        <x:v>SCR-037</x:v>
      </x:c>
      <x:c r="D297" s="339" t="str">
        <x:v>Role Dashboards</x:v>
      </x:c>
      <x:c r="E297" s="339" t="str">
        <x:v>Parent Dashboard</x:v>
      </x:c>
      <x:c r="F297" s="339" t="str">
        <x:v>Scoped visibility</x:v>
      </x:c>
      <x:c r="G297" s="339" t="str">
        <x:v>the same dashboard is used by users with different permissions</x:v>
      </x:c>
      <x:c r="H297" s="339" t="str">
        <x:v>each user loads it</x:v>
      </x:c>
      <x:c r="I297" s="339" t="str">
        <x:v>each sees only authorized metrics, alerts and record-level drill-downs</x:v>
      </x:c>
      <x:c r="J297" s="339" t="str">
        <x:v>Positive</x:v>
      </x:c>
      <x:c r="K297" s="339" t="str">
        <x:v>Functional</x:v>
      </x:c>
    </x:row>
    <x:row r="298">
      <x:c r="A298" s="339" t="str">
        <x:v>AC-00297</x:v>
      </x:c>
      <x:c r="B298" s="339" t="str">
        <x:v>US-0075</x:v>
      </x:c>
      <x:c r="C298" s="339" t="str">
        <x:v>SCR-038</x:v>
      </x:c>
      <x:c r="D298" s="339" t="str">
        <x:v>Role Dashboards</x:v>
      </x:c>
      <x:c r="E298" s="339" t="str">
        <x:v>Accountant Dashboard</x:v>
      </x:c>
      <x:c r="F298" s="339" t="str">
        <x:v>Authorized access to Accountant Dashboard</x:v>
      </x:c>
      <x:c r="G298" s="339" t="str">
        <x:v>the Accountant is authenticated and has access to Accountant Dashboard</x:v>
      </x:c>
      <x:c r="H298" s="339" t="str">
        <x:v>the user opens or invokes Accountant Dashboard</x:v>
      </x:c>
      <x:c r="I298" s="339" t="str">
        <x:v>the system loads only records and actions within the user's permitted tenant/school/data scope</x:v>
      </x:c>
      <x:c r="J298" s="339" t="str">
        <x:v>Positive</x:v>
      </x:c>
      <x:c r="K298" s="339" t="str">
        <x:v>Functional / Security</x:v>
      </x:c>
    </x:row>
    <x:row r="299">
      <x:c r="A299" s="339" t="str">
        <x:v>AC-00298</x:v>
      </x:c>
      <x:c r="B299" s="339" t="str">
        <x:v>US-0075</x:v>
      </x:c>
      <x:c r="C299" s="339" t="str">
        <x:v>SCR-038</x:v>
      </x:c>
      <x:c r="D299" s="339" t="str">
        <x:v>Role Dashboards</x:v>
      </x:c>
      <x:c r="E299" s="339" t="str">
        <x:v>Accountant Dashboard</x:v>
      </x:c>
      <x:c r="F299" s="339" t="str">
        <x:v>Successful Accountant Dashboard happy path</x:v>
      </x:c>
      <x:c r="G299" s="339" t="str">
        <x:v>all mandatory prerequisites and valid data are available</x:v>
      </x:c>
      <x:c r="H299" s="339" t="str">
        <x:v>the Accountant completes the primary action on Accountant Dashboard</x:v>
      </x:c>
      <x:c r="I299" s="339" t="str">
        <x:v>the system validates the request, saves it atomically, shows a clear confirmation and reflects the updated state</x:v>
      </x:c>
      <x:c r="J299" s="339" t="str">
        <x:v>Positive</x:v>
      </x:c>
      <x:c r="K299" s="339" t="str">
        <x:v>Functional</x:v>
      </x:c>
    </x:row>
    <x:row r="300">
      <x:c r="A300" s="339" t="str">
        <x:v>AC-00299</x:v>
      </x:c>
      <x:c r="B300" s="339" t="str">
        <x:v>US-0075</x:v>
      </x:c>
      <x:c r="C300" s="339" t="str">
        <x:v>SCR-038</x:v>
      </x:c>
      <x:c r="D300" s="339" t="str">
        <x:v>Role Dashboards</x:v>
      </x:c>
      <x:c r="E300" s="339" t="str">
        <x:v>Accountant Dashboard</x:v>
      </x:c>
      <x:c r="F300" s="339" t="str">
        <x:v>State and dependency integrity</x:v>
      </x:c>
      <x:c r="G300" s="339" t="str">
        <x:v>the current record is in an allowed state (Context Selected → Metrics Loaded → Drill-down / Action)</x:v>
      </x:c>
      <x:c r="H300" s="339" t="str">
        <x:v>the user attempts a state-changing action</x:v>
      </x:c>
      <x:c r="I300" s="339" t="str">
        <x:v>only a valid transition is accepted and dependent records are updated according to configured business rules</x:v>
      </x:c>
      <x:c r="J300" s="339" t="str">
        <x:v>Positive</x:v>
      </x:c>
      <x:c r="K300" s="339" t="str">
        <x:v>Functional</x:v>
      </x:c>
    </x:row>
    <x:row r="301">
      <x:c r="A301" s="339" t="str">
        <x:v>AC-00300</x:v>
      </x:c>
      <x:c r="B301" s="339" t="str">
        <x:v>US-0075</x:v>
      </x:c>
      <x:c r="C301" s="339" t="str">
        <x:v>SCR-038</x:v>
      </x:c>
      <x:c r="D301" s="339" t="str">
        <x:v>Role Dashboards</x:v>
      </x:c>
      <x:c r="E301" s="339" t="str">
        <x:v>Accountant Dashboard</x:v>
      </x:c>
      <x:c r="F301" s="339" t="str">
        <x:v>Auditability</x:v>
      </x:c>
      <x:c r="G301" s="339" t="str">
        <x:v>a material create/update/approve/reverse action occurs</x:v>
      </x:c>
      <x:c r="H301" s="339" t="str">
        <x:v>the transaction succeeds</x:v>
      </x:c>
      <x:c r="I301" s="339" t="str">
        <x:v>the system records actor, timestamp, action, target and relevant before/after or reason context in the audit trail</x:v>
      </x:c>
      <x:c r="J301" s="339" t="str">
        <x:v>Positive</x:v>
      </x:c>
      <x:c r="K301" s="339" t="str">
        <x:v>Functional</x:v>
      </x:c>
    </x:row>
    <x:row r="302">
      <x:c r="A302" s="339" t="str">
        <x:v>AC-00301</x:v>
      </x:c>
      <x:c r="B302" s="339" t="str">
        <x:v>US-0076</x:v>
      </x:c>
      <x:c r="C302" s="339" t="str">
        <x:v>SCR-038</x:v>
      </x:c>
      <x:c r="D302" s="339" t="str">
        <x:v>Role Dashboards</x:v>
      </x:c>
      <x:c r="E302" s="339" t="str">
        <x:v>Accountant Dashboard</x:v>
      </x:c>
      <x:c r="F302" s="339" t="str">
        <x:v>KPI reconciliation</x:v>
      </x:c>
      <x:c r="G302" s="339" t="str">
        <x:v>underlying source transactions exist</x:v>
      </x:c>
      <x:c r="H302" s="339" t="str">
        <x:v>the dashboard calculates metrics</x:v>
      </x:c>
      <x:c r="I302" s="339" t="str">
        <x:v>dashboard values reconcile to the same filtered source records used by detailed reports</x:v>
      </x:c>
      <x:c r="J302" s="339" t="str">
        <x:v>Positive</x:v>
      </x:c>
      <x:c r="K302" s="339" t="str">
        <x:v>Functional</x:v>
      </x:c>
    </x:row>
    <x:row r="303">
      <x:c r="A303" s="339" t="str">
        <x:v>AC-00302</x:v>
      </x:c>
      <x:c r="B303" s="339" t="str">
        <x:v>US-0076</x:v>
      </x:c>
      <x:c r="C303" s="339" t="str">
        <x:v>SCR-038</x:v>
      </x:c>
      <x:c r="D303" s="339" t="str">
        <x:v>Role Dashboards</x:v>
      </x:c>
      <x:c r="E303" s="339" t="str">
        <x:v>Accountant Dashboard</x:v>
      </x:c>
      <x:c r="F303" s="339" t="str">
        <x:v>Drill-down context</x:v>
      </x:c>
      <x:c r="G303" s="339" t="str">
        <x:v>a KPI or alert is visible</x:v>
      </x:c>
      <x:c r="H303" s="339" t="str">
        <x:v>the user drills into it</x:v>
      </x:c>
      <x:c r="I303" s="339" t="str">
        <x:v>the destination preserves relevant date/school/class/status filter context</x:v>
      </x:c>
      <x:c r="J303" s="339" t="str">
        <x:v>Positive</x:v>
      </x:c>
      <x:c r="K303" s="339" t="str">
        <x:v>Functional</x:v>
      </x:c>
    </x:row>
    <x:row r="304">
      <x:c r="A304" s="339" t="str">
        <x:v>AC-00303</x:v>
      </x:c>
      <x:c r="B304" s="339" t="str">
        <x:v>US-0076</x:v>
      </x:c>
      <x:c r="C304" s="339" t="str">
        <x:v>SCR-038</x:v>
      </x:c>
      <x:c r="D304" s="339" t="str">
        <x:v>Role Dashboards</x:v>
      </x:c>
      <x:c r="E304" s="339" t="str">
        <x:v>Accountant Dashboard</x:v>
      </x:c>
      <x:c r="F304" s="339" t="str">
        <x:v>Freshness and failure handling</x:v>
      </x:c>
      <x:c r="G304" s="339" t="str">
        <x:v>one source service is delayed or unavailable</x:v>
      </x:c>
      <x:c r="H304" s="339" t="str">
        <x:v>the dashboard loads</x:v>
      </x:c>
      <x:c r="I304" s="339" t="str">
        <x:v>the UI identifies stale/unavailable data without fabricating or silently zeroing the metric</x:v>
      </x:c>
      <x:c r="J304" s="339" t="str">
        <x:v>Positive</x:v>
      </x:c>
      <x:c r="K304" s="339" t="str">
        <x:v>Functional</x:v>
      </x:c>
    </x:row>
    <x:row r="305">
      <x:c r="A305" s="339" t="str">
        <x:v>AC-00304</x:v>
      </x:c>
      <x:c r="B305" s="339" t="str">
        <x:v>US-0076</x:v>
      </x:c>
      <x:c r="C305" s="339" t="str">
        <x:v>SCR-038</x:v>
      </x:c>
      <x:c r="D305" s="339" t="str">
        <x:v>Role Dashboards</x:v>
      </x:c>
      <x:c r="E305" s="339" t="str">
        <x:v>Accountant Dashboard</x:v>
      </x:c>
      <x:c r="F305" s="339" t="str">
        <x:v>Scoped visibility</x:v>
      </x:c>
      <x:c r="G305" s="339" t="str">
        <x:v>the same dashboard is used by users with different permissions</x:v>
      </x:c>
      <x:c r="H305" s="339" t="str">
        <x:v>each user loads it</x:v>
      </x:c>
      <x:c r="I305" s="339" t="str">
        <x:v>each sees only authorized metrics, alerts and record-level drill-downs</x:v>
      </x:c>
      <x:c r="J305" s="339" t="str">
        <x:v>Positive</x:v>
      </x:c>
      <x:c r="K305" s="339" t="str">
        <x:v>Functional</x:v>
      </x:c>
    </x:row>
    <x:row r="306">
      <x:c r="A306" s="339" t="str">
        <x:v>AC-00305</x:v>
      </x:c>
      <x:c r="B306" s="339" t="str">
        <x:v>US-0077</x:v>
      </x:c>
      <x:c r="C306" s="339" t="str">
        <x:v>SCR-039</x:v>
      </x:c>
      <x:c r="D306" s="339" t="str">
        <x:v>Role Dashboards</x:v>
      </x:c>
      <x:c r="E306" s="339" t="str">
        <x:v>HR Dashboard</x:v>
      </x:c>
      <x:c r="F306" s="339" t="str">
        <x:v>Authorized access to HR Dashboard</x:v>
      </x:c>
      <x:c r="G306" s="339" t="str">
        <x:v>the HR is authenticated and has access to HR Dashboard</x:v>
      </x:c>
      <x:c r="H306" s="339" t="str">
        <x:v>the user opens or invokes HR Dashboard</x:v>
      </x:c>
      <x:c r="I306" s="339" t="str">
        <x:v>the system loads only records and actions within the user's permitted tenant/school/data scope</x:v>
      </x:c>
      <x:c r="J306" s="339" t="str">
        <x:v>Positive</x:v>
      </x:c>
      <x:c r="K306" s="339" t="str">
        <x:v>Functional / Security</x:v>
      </x:c>
    </x:row>
    <x:row r="307">
      <x:c r="A307" s="339" t="str">
        <x:v>AC-00306</x:v>
      </x:c>
      <x:c r="B307" s="339" t="str">
        <x:v>US-0077</x:v>
      </x:c>
      <x:c r="C307" s="339" t="str">
        <x:v>SCR-039</x:v>
      </x:c>
      <x:c r="D307" s="339" t="str">
        <x:v>Role Dashboards</x:v>
      </x:c>
      <x:c r="E307" s="339" t="str">
        <x:v>HR Dashboard</x:v>
      </x:c>
      <x:c r="F307" s="339" t="str">
        <x:v>Successful HR Dashboard happy path</x:v>
      </x:c>
      <x:c r="G307" s="339" t="str">
        <x:v>all mandatory prerequisites and valid data are available</x:v>
      </x:c>
      <x:c r="H307" s="339" t="str">
        <x:v>the HR completes the primary action on HR Dashboard</x:v>
      </x:c>
      <x:c r="I307" s="339" t="str">
        <x:v>the system validates the request, saves it atomically, shows a clear confirmation and reflects the updated state</x:v>
      </x:c>
      <x:c r="J307" s="339" t="str">
        <x:v>Positive</x:v>
      </x:c>
      <x:c r="K307" s="339" t="str">
        <x:v>Functional</x:v>
      </x:c>
    </x:row>
    <x:row r="308">
      <x:c r="A308" s="339" t="str">
        <x:v>AC-00307</x:v>
      </x:c>
      <x:c r="B308" s="339" t="str">
        <x:v>US-0077</x:v>
      </x:c>
      <x:c r="C308" s="339" t="str">
        <x:v>SCR-039</x:v>
      </x:c>
      <x:c r="D308" s="339" t="str">
        <x:v>Role Dashboards</x:v>
      </x:c>
      <x:c r="E308" s="339" t="str">
        <x:v>HR Dashboard</x:v>
      </x:c>
      <x:c r="F308" s="339" t="str">
        <x:v>State and dependency integrity</x:v>
      </x:c>
      <x:c r="G308" s="339" t="str">
        <x:v>the current record is in an allowed state (Context Selected → Metrics Loaded → Drill-down / Action)</x:v>
      </x:c>
      <x:c r="H308" s="339" t="str">
        <x:v>the user attempts a state-changing action</x:v>
      </x:c>
      <x:c r="I308" s="339" t="str">
        <x:v>only a valid transition is accepted and dependent records are updated according to configured business rules</x:v>
      </x:c>
      <x:c r="J308" s="339" t="str">
        <x:v>Positive</x:v>
      </x:c>
      <x:c r="K308" s="339" t="str">
        <x:v>Functional</x:v>
      </x:c>
    </x:row>
    <x:row r="309">
      <x:c r="A309" s="339" t="str">
        <x:v>AC-00308</x:v>
      </x:c>
      <x:c r="B309" s="339" t="str">
        <x:v>US-0077</x:v>
      </x:c>
      <x:c r="C309" s="339" t="str">
        <x:v>SCR-039</x:v>
      </x:c>
      <x:c r="D309" s="339" t="str">
        <x:v>Role Dashboards</x:v>
      </x:c>
      <x:c r="E309" s="339" t="str">
        <x:v>HR Dashboard</x:v>
      </x:c>
      <x:c r="F309" s="339" t="str">
        <x:v>Auditability</x:v>
      </x:c>
      <x:c r="G309" s="339" t="str">
        <x:v>a material create/update/approve/reverse action occurs</x:v>
      </x:c>
      <x:c r="H309" s="339" t="str">
        <x:v>the transaction succeeds</x:v>
      </x:c>
      <x:c r="I309" s="339" t="str">
        <x:v>the system records actor, timestamp, action, target and relevant before/after or reason context in the audit trail</x:v>
      </x:c>
      <x:c r="J309" s="339" t="str">
        <x:v>Positive</x:v>
      </x:c>
      <x:c r="K309" s="339" t="str">
        <x:v>Functional</x:v>
      </x:c>
    </x:row>
    <x:row r="310">
      <x:c r="A310" s="339" t="str">
        <x:v>AC-00309</x:v>
      </x:c>
      <x:c r="B310" s="339" t="str">
        <x:v>US-0078</x:v>
      </x:c>
      <x:c r="C310" s="339" t="str">
        <x:v>SCR-039</x:v>
      </x:c>
      <x:c r="D310" s="339" t="str">
        <x:v>Role Dashboards</x:v>
      </x:c>
      <x:c r="E310" s="339" t="str">
        <x:v>HR Dashboard</x:v>
      </x:c>
      <x:c r="F310" s="339" t="str">
        <x:v>KPI reconciliation</x:v>
      </x:c>
      <x:c r="G310" s="339" t="str">
        <x:v>underlying source transactions exist</x:v>
      </x:c>
      <x:c r="H310" s="339" t="str">
        <x:v>the dashboard calculates metrics</x:v>
      </x:c>
      <x:c r="I310" s="339" t="str">
        <x:v>dashboard values reconcile to the same filtered source records used by detailed reports</x:v>
      </x:c>
      <x:c r="J310" s="339" t="str">
        <x:v>Positive</x:v>
      </x:c>
      <x:c r="K310" s="339" t="str">
        <x:v>Functional</x:v>
      </x:c>
    </x:row>
    <x:row r="311">
      <x:c r="A311" s="339" t="str">
        <x:v>AC-00310</x:v>
      </x:c>
      <x:c r="B311" s="339" t="str">
        <x:v>US-0078</x:v>
      </x:c>
      <x:c r="C311" s="339" t="str">
        <x:v>SCR-039</x:v>
      </x:c>
      <x:c r="D311" s="339" t="str">
        <x:v>Role Dashboards</x:v>
      </x:c>
      <x:c r="E311" s="339" t="str">
        <x:v>HR Dashboard</x:v>
      </x:c>
      <x:c r="F311" s="339" t="str">
        <x:v>Drill-down context</x:v>
      </x:c>
      <x:c r="G311" s="339" t="str">
        <x:v>a KPI or alert is visible</x:v>
      </x:c>
      <x:c r="H311" s="339" t="str">
        <x:v>the user drills into it</x:v>
      </x:c>
      <x:c r="I311" s="339" t="str">
        <x:v>the destination preserves relevant date/school/class/status filter context</x:v>
      </x:c>
      <x:c r="J311" s="339" t="str">
        <x:v>Positive</x:v>
      </x:c>
      <x:c r="K311" s="339" t="str">
        <x:v>Functional</x:v>
      </x:c>
    </x:row>
    <x:row r="312">
      <x:c r="A312" s="339" t="str">
        <x:v>AC-00311</x:v>
      </x:c>
      <x:c r="B312" s="339" t="str">
        <x:v>US-0078</x:v>
      </x:c>
      <x:c r="C312" s="339" t="str">
        <x:v>SCR-039</x:v>
      </x:c>
      <x:c r="D312" s="339" t="str">
        <x:v>Role Dashboards</x:v>
      </x:c>
      <x:c r="E312" s="339" t="str">
        <x:v>HR Dashboard</x:v>
      </x:c>
      <x:c r="F312" s="339" t="str">
        <x:v>Freshness and failure handling</x:v>
      </x:c>
      <x:c r="G312" s="339" t="str">
        <x:v>one source service is delayed or unavailable</x:v>
      </x:c>
      <x:c r="H312" s="339" t="str">
        <x:v>the dashboard loads</x:v>
      </x:c>
      <x:c r="I312" s="339" t="str">
        <x:v>the UI identifies stale/unavailable data without fabricating or silently zeroing the metric</x:v>
      </x:c>
      <x:c r="J312" s="339" t="str">
        <x:v>Positive</x:v>
      </x:c>
      <x:c r="K312" s="339" t="str">
        <x:v>Functional</x:v>
      </x:c>
    </x:row>
    <x:row r="313">
      <x:c r="A313" s="339" t="str">
        <x:v>AC-00312</x:v>
      </x:c>
      <x:c r="B313" s="339" t="str">
        <x:v>US-0078</x:v>
      </x:c>
      <x:c r="C313" s="339" t="str">
        <x:v>SCR-039</x:v>
      </x:c>
      <x:c r="D313" s="339" t="str">
        <x:v>Role Dashboards</x:v>
      </x:c>
      <x:c r="E313" s="339" t="str">
        <x:v>HR Dashboard</x:v>
      </x:c>
      <x:c r="F313" s="339" t="str">
        <x:v>Scoped visibility</x:v>
      </x:c>
      <x:c r="G313" s="339" t="str">
        <x:v>the same dashboard is used by users with different permissions</x:v>
      </x:c>
      <x:c r="H313" s="339" t="str">
        <x:v>each user loads it</x:v>
      </x:c>
      <x:c r="I313" s="339" t="str">
        <x:v>each sees only authorized metrics, alerts and record-level drill-downs</x:v>
      </x:c>
      <x:c r="J313" s="339" t="str">
        <x:v>Positive</x:v>
      </x:c>
      <x:c r="K313" s="339" t="str">
        <x:v>Functional</x:v>
      </x:c>
    </x:row>
    <x:row r="314">
      <x:c r="A314" s="339" t="str">
        <x:v>AC-00313</x:v>
      </x:c>
      <x:c r="B314" s="339" t="str">
        <x:v>US-0079</x:v>
      </x:c>
      <x:c r="C314" s="339" t="str">
        <x:v>SCR-040</x:v>
      </x:c>
      <x:c r="D314" s="339" t="str">
        <x:v>Role Dashboards</x:v>
      </x:c>
      <x:c r="E314" s="339" t="str">
        <x:v>Admission Officer Dashboard</x:v>
      </x:c>
      <x:c r="F314" s="339" t="str">
        <x:v>Authorized access to Admission Officer Dashboard</x:v>
      </x:c>
      <x:c r="G314" s="339" t="str">
        <x:v>the Admission Officer is authenticated and has access to Admission Officer Dashboard</x:v>
      </x:c>
      <x:c r="H314" s="339" t="str">
        <x:v>the user opens or invokes Admission Officer Dashboard</x:v>
      </x:c>
      <x:c r="I314" s="339" t="str">
        <x:v>the system loads only records and actions within the user's permitted tenant/school/data scope</x:v>
      </x:c>
      <x:c r="J314" s="339" t="str">
        <x:v>Positive</x:v>
      </x:c>
      <x:c r="K314" s="339" t="str">
        <x:v>Functional / Security</x:v>
      </x:c>
    </x:row>
    <x:row r="315">
      <x:c r="A315" s="339" t="str">
        <x:v>AC-00314</x:v>
      </x:c>
      <x:c r="B315" s="339" t="str">
        <x:v>US-0079</x:v>
      </x:c>
      <x:c r="C315" s="339" t="str">
        <x:v>SCR-040</x:v>
      </x:c>
      <x:c r="D315" s="339" t="str">
        <x:v>Role Dashboards</x:v>
      </x:c>
      <x:c r="E315" s="339" t="str">
        <x:v>Admission Officer Dashboard</x:v>
      </x:c>
      <x:c r="F315" s="339" t="str">
        <x:v>Successful Admission Officer Dashboard happy path</x:v>
      </x:c>
      <x:c r="G315" s="339" t="str">
        <x:v>all mandatory prerequisites and valid data are available</x:v>
      </x:c>
      <x:c r="H315" s="339" t="str">
        <x:v>the Admission Officer completes the primary action on Admission Officer Dashboard</x:v>
      </x:c>
      <x:c r="I315" s="339" t="str">
        <x:v>the system validates the request, saves it atomically, shows a clear confirmation and reflects the updated state</x:v>
      </x:c>
      <x:c r="J315" s="339" t="str">
        <x:v>Positive</x:v>
      </x:c>
      <x:c r="K315" s="339" t="str">
        <x:v>Functional</x:v>
      </x:c>
    </x:row>
    <x:row r="316">
      <x:c r="A316" s="339" t="str">
        <x:v>AC-00315</x:v>
      </x:c>
      <x:c r="B316" s="339" t="str">
        <x:v>US-0079</x:v>
      </x:c>
      <x:c r="C316" s="339" t="str">
        <x:v>SCR-040</x:v>
      </x:c>
      <x:c r="D316" s="339" t="str">
        <x:v>Role Dashboards</x:v>
      </x:c>
      <x:c r="E316" s="339" t="str">
        <x:v>Admission Officer Dashboard</x:v>
      </x:c>
      <x:c r="F316" s="339" t="str">
        <x:v>State and dependency integrity</x:v>
      </x:c>
      <x:c r="G316" s="339" t="str">
        <x:v>the current record is in an allowed state (Context Selected → Metrics Loaded → Drill-down / Action)</x:v>
      </x:c>
      <x:c r="H316" s="339" t="str">
        <x:v>the user attempts a state-changing action</x:v>
      </x:c>
      <x:c r="I316" s="339" t="str">
        <x:v>only a valid transition is accepted and dependent records are updated according to configured business rules</x:v>
      </x:c>
      <x:c r="J316" s="339" t="str">
        <x:v>Positive</x:v>
      </x:c>
      <x:c r="K316" s="339" t="str">
        <x:v>Functional</x:v>
      </x:c>
    </x:row>
    <x:row r="317">
      <x:c r="A317" s="339" t="str">
        <x:v>AC-00316</x:v>
      </x:c>
      <x:c r="B317" s="339" t="str">
        <x:v>US-0079</x:v>
      </x:c>
      <x:c r="C317" s="339" t="str">
        <x:v>SCR-040</x:v>
      </x:c>
      <x:c r="D317" s="339" t="str">
        <x:v>Role Dashboards</x:v>
      </x:c>
      <x:c r="E317" s="339" t="str">
        <x:v>Admission Officer Dashboard</x:v>
      </x:c>
      <x:c r="F317" s="339" t="str">
        <x:v>Auditability</x:v>
      </x:c>
      <x:c r="G317" s="339" t="str">
        <x:v>a material create/update/approve/reverse action occurs</x:v>
      </x:c>
      <x:c r="H317" s="339" t="str">
        <x:v>the transaction succeeds</x:v>
      </x:c>
      <x:c r="I317" s="339" t="str">
        <x:v>the system records actor, timestamp, action, target and relevant before/after or reason context in the audit trail</x:v>
      </x:c>
      <x:c r="J317" s="339" t="str">
        <x:v>Positive</x:v>
      </x:c>
      <x:c r="K317" s="339" t="str">
        <x:v>Functional</x:v>
      </x:c>
    </x:row>
    <x:row r="318">
      <x:c r="A318" s="339" t="str">
        <x:v>AC-00317</x:v>
      </x:c>
      <x:c r="B318" s="339" t="str">
        <x:v>US-0080</x:v>
      </x:c>
      <x:c r="C318" s="339" t="str">
        <x:v>SCR-040</x:v>
      </x:c>
      <x:c r="D318" s="339" t="str">
        <x:v>Role Dashboards</x:v>
      </x:c>
      <x:c r="E318" s="339" t="str">
        <x:v>Admission Officer Dashboard</x:v>
      </x:c>
      <x:c r="F318" s="339" t="str">
        <x:v>KPI reconciliation</x:v>
      </x:c>
      <x:c r="G318" s="339" t="str">
        <x:v>underlying source transactions exist</x:v>
      </x:c>
      <x:c r="H318" s="339" t="str">
        <x:v>the dashboard calculates metrics</x:v>
      </x:c>
      <x:c r="I318" s="339" t="str">
        <x:v>dashboard values reconcile to the same filtered source records used by detailed reports</x:v>
      </x:c>
      <x:c r="J318" s="339" t="str">
        <x:v>Positive</x:v>
      </x:c>
      <x:c r="K318" s="339" t="str">
        <x:v>Functional</x:v>
      </x:c>
    </x:row>
    <x:row r="319">
      <x:c r="A319" s="339" t="str">
        <x:v>AC-00318</x:v>
      </x:c>
      <x:c r="B319" s="339" t="str">
        <x:v>US-0080</x:v>
      </x:c>
      <x:c r="C319" s="339" t="str">
        <x:v>SCR-040</x:v>
      </x:c>
      <x:c r="D319" s="339" t="str">
        <x:v>Role Dashboards</x:v>
      </x:c>
      <x:c r="E319" s="339" t="str">
        <x:v>Admission Officer Dashboard</x:v>
      </x:c>
      <x:c r="F319" s="339" t="str">
        <x:v>Drill-down context</x:v>
      </x:c>
      <x:c r="G319" s="339" t="str">
        <x:v>a KPI or alert is visible</x:v>
      </x:c>
      <x:c r="H319" s="339" t="str">
        <x:v>the user drills into it</x:v>
      </x:c>
      <x:c r="I319" s="339" t="str">
        <x:v>the destination preserves relevant date/school/class/status filter context</x:v>
      </x:c>
      <x:c r="J319" s="339" t="str">
        <x:v>Positive</x:v>
      </x:c>
      <x:c r="K319" s="339" t="str">
        <x:v>Functional</x:v>
      </x:c>
    </x:row>
    <x:row r="320">
      <x:c r="A320" s="339" t="str">
        <x:v>AC-00319</x:v>
      </x:c>
      <x:c r="B320" s="339" t="str">
        <x:v>US-0080</x:v>
      </x:c>
      <x:c r="C320" s="339" t="str">
        <x:v>SCR-040</x:v>
      </x:c>
      <x:c r="D320" s="339" t="str">
        <x:v>Role Dashboards</x:v>
      </x:c>
      <x:c r="E320" s="339" t="str">
        <x:v>Admission Officer Dashboard</x:v>
      </x:c>
      <x:c r="F320" s="339" t="str">
        <x:v>Freshness and failure handling</x:v>
      </x:c>
      <x:c r="G320" s="339" t="str">
        <x:v>one source service is delayed or unavailable</x:v>
      </x:c>
      <x:c r="H320" s="339" t="str">
        <x:v>the dashboard loads</x:v>
      </x:c>
      <x:c r="I320" s="339" t="str">
        <x:v>the UI identifies stale/unavailable data without fabricating or silently zeroing the metric</x:v>
      </x:c>
      <x:c r="J320" s="339" t="str">
        <x:v>Positive</x:v>
      </x:c>
      <x:c r="K320" s="339" t="str">
        <x:v>Functional</x:v>
      </x:c>
    </x:row>
    <x:row r="321">
      <x:c r="A321" s="339" t="str">
        <x:v>AC-00320</x:v>
      </x:c>
      <x:c r="B321" s="339" t="str">
        <x:v>US-0080</x:v>
      </x:c>
      <x:c r="C321" s="339" t="str">
        <x:v>SCR-040</x:v>
      </x:c>
      <x:c r="D321" s="339" t="str">
        <x:v>Role Dashboards</x:v>
      </x:c>
      <x:c r="E321" s="339" t="str">
        <x:v>Admission Officer Dashboard</x:v>
      </x:c>
      <x:c r="F321" s="339" t="str">
        <x:v>Scoped visibility</x:v>
      </x:c>
      <x:c r="G321" s="339" t="str">
        <x:v>the same dashboard is used by users with different permissions</x:v>
      </x:c>
      <x:c r="H321" s="339" t="str">
        <x:v>each user loads it</x:v>
      </x:c>
      <x:c r="I321" s="339" t="str">
        <x:v>each sees only authorized metrics, alerts and record-level drill-downs</x:v>
      </x:c>
      <x:c r="J321" s="339" t="str">
        <x:v>Positive</x:v>
      </x:c>
      <x:c r="K321" s="339" t="str">
        <x:v>Functional</x:v>
      </x:c>
    </x:row>
    <x:row r="322">
      <x:c r="A322" s="339" t="str">
        <x:v>AC-00321</x:v>
      </x:c>
      <x:c r="B322" s="339" t="str">
        <x:v>US-0081</x:v>
      </x:c>
      <x:c r="C322" s="339" t="str">
        <x:v>SCR-041</x:v>
      </x:c>
      <x:c r="D322" s="339" t="str">
        <x:v>Role Dashboards</x:v>
      </x:c>
      <x:c r="E322" s="339" t="str">
        <x:v>Transport Manager Dashboard</x:v>
      </x:c>
      <x:c r="F322" s="339" t="str">
        <x:v>Authorized access to Transport Manager Dashboard</x:v>
      </x:c>
      <x:c r="G322" s="339" t="str">
        <x:v>the Transport Manager is authenticated and has access to Transport Manager Dashboard</x:v>
      </x:c>
      <x:c r="H322" s="339" t="str">
        <x:v>the user opens or invokes Transport Manager Dashboard</x:v>
      </x:c>
      <x:c r="I322" s="339" t="str">
        <x:v>the system loads only records and actions within the user's permitted tenant/school/data scope</x:v>
      </x:c>
      <x:c r="J322" s="339" t="str">
        <x:v>Positive</x:v>
      </x:c>
      <x:c r="K322" s="339" t="str">
        <x:v>Functional / Security</x:v>
      </x:c>
    </x:row>
    <x:row r="323">
      <x:c r="A323" s="339" t="str">
        <x:v>AC-00322</x:v>
      </x:c>
      <x:c r="B323" s="339" t="str">
        <x:v>US-0081</x:v>
      </x:c>
      <x:c r="C323" s="339" t="str">
        <x:v>SCR-041</x:v>
      </x:c>
      <x:c r="D323" s="339" t="str">
        <x:v>Role Dashboards</x:v>
      </x:c>
      <x:c r="E323" s="339" t="str">
        <x:v>Transport Manager Dashboard</x:v>
      </x:c>
      <x:c r="F323" s="339" t="str">
        <x:v>Successful Transport Manager Dashboard happy path</x:v>
      </x:c>
      <x:c r="G323" s="339" t="str">
        <x:v>all mandatory prerequisites and valid data are available</x:v>
      </x:c>
      <x:c r="H323" s="339" t="str">
        <x:v>the Transport Manager completes the primary action on Transport Manager Dashboard</x:v>
      </x:c>
      <x:c r="I323" s="339" t="str">
        <x:v>the system validates the request, saves it atomically, shows a clear confirmation and reflects the updated state</x:v>
      </x:c>
      <x:c r="J323" s="339" t="str">
        <x:v>Positive</x:v>
      </x:c>
      <x:c r="K323" s="339" t="str">
        <x:v>Functional</x:v>
      </x:c>
    </x:row>
    <x:row r="324">
      <x:c r="A324" s="339" t="str">
        <x:v>AC-00323</x:v>
      </x:c>
      <x:c r="B324" s="339" t="str">
        <x:v>US-0081</x:v>
      </x:c>
      <x:c r="C324" s="339" t="str">
        <x:v>SCR-041</x:v>
      </x:c>
      <x:c r="D324" s="339" t="str">
        <x:v>Role Dashboards</x:v>
      </x:c>
      <x:c r="E324" s="339" t="str">
        <x:v>Transport Manager Dashboard</x:v>
      </x:c>
      <x:c r="F324" s="339" t="str">
        <x:v>State and dependency integrity</x:v>
      </x:c>
      <x:c r="G324" s="339" t="str">
        <x:v>the current record is in an allowed state (Context Selected → Metrics Loaded → Drill-down / Action)</x:v>
      </x:c>
      <x:c r="H324" s="339" t="str">
        <x:v>the user attempts a state-changing action</x:v>
      </x:c>
      <x:c r="I324" s="339" t="str">
        <x:v>only a valid transition is accepted and dependent records are updated according to configured business rules</x:v>
      </x:c>
      <x:c r="J324" s="339" t="str">
        <x:v>Positive</x:v>
      </x:c>
      <x:c r="K324" s="339" t="str">
        <x:v>Functional</x:v>
      </x:c>
    </x:row>
    <x:row r="325">
      <x:c r="A325" s="339" t="str">
        <x:v>AC-00324</x:v>
      </x:c>
      <x:c r="B325" s="339" t="str">
        <x:v>US-0081</x:v>
      </x:c>
      <x:c r="C325" s="339" t="str">
        <x:v>SCR-041</x:v>
      </x:c>
      <x:c r="D325" s="339" t="str">
        <x:v>Role Dashboards</x:v>
      </x:c>
      <x:c r="E325" s="339" t="str">
        <x:v>Transport Manager Dashboard</x:v>
      </x:c>
      <x:c r="F325" s="339" t="str">
        <x:v>Auditability</x:v>
      </x:c>
      <x:c r="G325" s="339" t="str">
        <x:v>a material create/update/approve/reverse action occurs</x:v>
      </x:c>
      <x:c r="H325" s="339" t="str">
        <x:v>the transaction succeeds</x:v>
      </x:c>
      <x:c r="I325" s="339" t="str">
        <x:v>the system records actor, timestamp, action, target and relevant before/after or reason context in the audit trail</x:v>
      </x:c>
      <x:c r="J325" s="339" t="str">
        <x:v>Positive</x:v>
      </x:c>
      <x:c r="K325" s="339" t="str">
        <x:v>Functional</x:v>
      </x:c>
    </x:row>
    <x:row r="326">
      <x:c r="A326" s="339" t="str">
        <x:v>AC-00325</x:v>
      </x:c>
      <x:c r="B326" s="339" t="str">
        <x:v>US-0082</x:v>
      </x:c>
      <x:c r="C326" s="339" t="str">
        <x:v>SCR-041</x:v>
      </x:c>
      <x:c r="D326" s="339" t="str">
        <x:v>Role Dashboards</x:v>
      </x:c>
      <x:c r="E326" s="339" t="str">
        <x:v>Transport Manager Dashboard</x:v>
      </x:c>
      <x:c r="F326" s="339" t="str">
        <x:v>KPI reconciliation</x:v>
      </x:c>
      <x:c r="G326" s="339" t="str">
        <x:v>underlying source transactions exist</x:v>
      </x:c>
      <x:c r="H326" s="339" t="str">
        <x:v>the dashboard calculates metrics</x:v>
      </x:c>
      <x:c r="I326" s="339" t="str">
        <x:v>dashboard values reconcile to the same filtered source records used by detailed reports</x:v>
      </x:c>
      <x:c r="J326" s="339" t="str">
        <x:v>Positive</x:v>
      </x:c>
      <x:c r="K326" s="339" t="str">
        <x:v>Functional</x:v>
      </x:c>
    </x:row>
    <x:row r="327">
      <x:c r="A327" s="339" t="str">
        <x:v>AC-00326</x:v>
      </x:c>
      <x:c r="B327" s="339" t="str">
        <x:v>US-0082</x:v>
      </x:c>
      <x:c r="C327" s="339" t="str">
        <x:v>SCR-041</x:v>
      </x:c>
      <x:c r="D327" s="339" t="str">
        <x:v>Role Dashboards</x:v>
      </x:c>
      <x:c r="E327" s="339" t="str">
        <x:v>Transport Manager Dashboard</x:v>
      </x:c>
      <x:c r="F327" s="339" t="str">
        <x:v>Drill-down context</x:v>
      </x:c>
      <x:c r="G327" s="339" t="str">
        <x:v>a KPI or alert is visible</x:v>
      </x:c>
      <x:c r="H327" s="339" t="str">
        <x:v>the user drills into it</x:v>
      </x:c>
      <x:c r="I327" s="339" t="str">
        <x:v>the destination preserves relevant date/school/class/status filter context</x:v>
      </x:c>
      <x:c r="J327" s="339" t="str">
        <x:v>Positive</x:v>
      </x:c>
      <x:c r="K327" s="339" t="str">
        <x:v>Functional</x:v>
      </x:c>
    </x:row>
    <x:row r="328">
      <x:c r="A328" s="339" t="str">
        <x:v>AC-00327</x:v>
      </x:c>
      <x:c r="B328" s="339" t="str">
        <x:v>US-0082</x:v>
      </x:c>
      <x:c r="C328" s="339" t="str">
        <x:v>SCR-041</x:v>
      </x:c>
      <x:c r="D328" s="339" t="str">
        <x:v>Role Dashboards</x:v>
      </x:c>
      <x:c r="E328" s="339" t="str">
        <x:v>Transport Manager Dashboard</x:v>
      </x:c>
      <x:c r="F328" s="339" t="str">
        <x:v>Freshness and failure handling</x:v>
      </x:c>
      <x:c r="G328" s="339" t="str">
        <x:v>one source service is delayed or unavailable</x:v>
      </x:c>
      <x:c r="H328" s="339" t="str">
        <x:v>the dashboard loads</x:v>
      </x:c>
      <x:c r="I328" s="339" t="str">
        <x:v>the UI identifies stale/unavailable data without fabricating or silently zeroing the metric</x:v>
      </x:c>
      <x:c r="J328" s="339" t="str">
        <x:v>Positive</x:v>
      </x:c>
      <x:c r="K328" s="339" t="str">
        <x:v>Functional</x:v>
      </x:c>
    </x:row>
    <x:row r="329">
      <x:c r="A329" s="339" t="str">
        <x:v>AC-00328</x:v>
      </x:c>
      <x:c r="B329" s="339" t="str">
        <x:v>US-0082</x:v>
      </x:c>
      <x:c r="C329" s="339" t="str">
        <x:v>SCR-041</x:v>
      </x:c>
      <x:c r="D329" s="339" t="str">
        <x:v>Role Dashboards</x:v>
      </x:c>
      <x:c r="E329" s="339" t="str">
        <x:v>Transport Manager Dashboard</x:v>
      </x:c>
      <x:c r="F329" s="339" t="str">
        <x:v>Scoped visibility</x:v>
      </x:c>
      <x:c r="G329" s="339" t="str">
        <x:v>the same dashboard is used by users with different permissions</x:v>
      </x:c>
      <x:c r="H329" s="339" t="str">
        <x:v>each user loads it</x:v>
      </x:c>
      <x:c r="I329" s="339" t="str">
        <x:v>each sees only authorized metrics, alerts and record-level drill-downs</x:v>
      </x:c>
      <x:c r="J329" s="339" t="str">
        <x:v>Positive</x:v>
      </x:c>
      <x:c r="K329" s="339" t="str">
        <x:v>Functional</x:v>
      </x:c>
    </x:row>
    <x:row r="330">
      <x:c r="A330" s="339" t="str">
        <x:v>AC-00329</x:v>
      </x:c>
      <x:c r="B330" s="339" t="str">
        <x:v>US-0083</x:v>
      </x:c>
      <x:c r="C330" s="339" t="str">
        <x:v>SCR-042</x:v>
      </x:c>
      <x:c r="D330" s="339" t="str">
        <x:v>Role Dashboards</x:v>
      </x:c>
      <x:c r="E330" s="339" t="str">
        <x:v>Librarian Dashboard</x:v>
      </x:c>
      <x:c r="F330" s="339" t="str">
        <x:v>Authorized access to Librarian Dashboard</x:v>
      </x:c>
      <x:c r="G330" s="339" t="str">
        <x:v>the Librarian is authenticated and has access to Librarian Dashboard</x:v>
      </x:c>
      <x:c r="H330" s="339" t="str">
        <x:v>the user opens or invokes Librarian Dashboard</x:v>
      </x:c>
      <x:c r="I330" s="339" t="str">
        <x:v>the system loads only records and actions within the user's permitted tenant/school/data scope</x:v>
      </x:c>
      <x:c r="J330" s="339" t="str">
        <x:v>Positive</x:v>
      </x:c>
      <x:c r="K330" s="339" t="str">
        <x:v>Functional / Security</x:v>
      </x:c>
    </x:row>
    <x:row r="331">
      <x:c r="A331" s="339" t="str">
        <x:v>AC-00330</x:v>
      </x:c>
      <x:c r="B331" s="339" t="str">
        <x:v>US-0083</x:v>
      </x:c>
      <x:c r="C331" s="339" t="str">
        <x:v>SCR-042</x:v>
      </x:c>
      <x:c r="D331" s="339" t="str">
        <x:v>Role Dashboards</x:v>
      </x:c>
      <x:c r="E331" s="339" t="str">
        <x:v>Librarian Dashboard</x:v>
      </x:c>
      <x:c r="F331" s="339" t="str">
        <x:v>Successful Librarian Dashboard happy path</x:v>
      </x:c>
      <x:c r="G331" s="339" t="str">
        <x:v>all mandatory prerequisites and valid data are available</x:v>
      </x:c>
      <x:c r="H331" s="339" t="str">
        <x:v>the Librarian completes the primary action on Librarian Dashboard</x:v>
      </x:c>
      <x:c r="I331" s="339" t="str">
        <x:v>the system validates the request, saves it atomically, shows a clear confirmation and reflects the updated state</x:v>
      </x:c>
      <x:c r="J331" s="339" t="str">
        <x:v>Positive</x:v>
      </x:c>
      <x:c r="K331" s="339" t="str">
        <x:v>Functional</x:v>
      </x:c>
    </x:row>
    <x:row r="332">
      <x:c r="A332" s="339" t="str">
        <x:v>AC-00331</x:v>
      </x:c>
      <x:c r="B332" s="339" t="str">
        <x:v>US-0083</x:v>
      </x:c>
      <x:c r="C332" s="339" t="str">
        <x:v>SCR-042</x:v>
      </x:c>
      <x:c r="D332" s="339" t="str">
        <x:v>Role Dashboards</x:v>
      </x:c>
      <x:c r="E332" s="339" t="str">
        <x:v>Librarian Dashboard</x:v>
      </x:c>
      <x:c r="F332" s="339" t="str">
        <x:v>State and dependency integrity</x:v>
      </x:c>
      <x:c r="G332" s="339" t="str">
        <x:v>the current record is in an allowed state (Context Selected → Metrics Loaded → Drill-down / Action)</x:v>
      </x:c>
      <x:c r="H332" s="339" t="str">
        <x:v>the user attempts a state-changing action</x:v>
      </x:c>
      <x:c r="I332" s="339" t="str">
        <x:v>only a valid transition is accepted and dependent records are updated according to configured business rules</x:v>
      </x:c>
      <x:c r="J332" s="339" t="str">
        <x:v>Positive</x:v>
      </x:c>
      <x:c r="K332" s="339" t="str">
        <x:v>Functional</x:v>
      </x:c>
    </x:row>
    <x:row r="333">
      <x:c r="A333" s="339" t="str">
        <x:v>AC-00332</x:v>
      </x:c>
      <x:c r="B333" s="339" t="str">
        <x:v>US-0083</x:v>
      </x:c>
      <x:c r="C333" s="339" t="str">
        <x:v>SCR-042</x:v>
      </x:c>
      <x:c r="D333" s="339" t="str">
        <x:v>Role Dashboards</x:v>
      </x:c>
      <x:c r="E333" s="339" t="str">
        <x:v>Librarian Dashboard</x:v>
      </x:c>
      <x:c r="F333" s="339" t="str">
        <x:v>Auditability</x:v>
      </x:c>
      <x:c r="G333" s="339" t="str">
        <x:v>a material create/update/approve/reverse action occurs</x:v>
      </x:c>
      <x:c r="H333" s="339" t="str">
        <x:v>the transaction succeeds</x:v>
      </x:c>
      <x:c r="I333" s="339" t="str">
        <x:v>the system records actor, timestamp, action, target and relevant before/after or reason context in the audit trail</x:v>
      </x:c>
      <x:c r="J333" s="339" t="str">
        <x:v>Positive</x:v>
      </x:c>
      <x:c r="K333" s="339" t="str">
        <x:v>Functional</x:v>
      </x:c>
    </x:row>
    <x:row r="334">
      <x:c r="A334" s="339" t="str">
        <x:v>AC-00333</x:v>
      </x:c>
      <x:c r="B334" s="339" t="str">
        <x:v>US-0084</x:v>
      </x:c>
      <x:c r="C334" s="339" t="str">
        <x:v>SCR-042</x:v>
      </x:c>
      <x:c r="D334" s="339" t="str">
        <x:v>Role Dashboards</x:v>
      </x:c>
      <x:c r="E334" s="339" t="str">
        <x:v>Librarian Dashboard</x:v>
      </x:c>
      <x:c r="F334" s="339" t="str">
        <x:v>KPI reconciliation</x:v>
      </x:c>
      <x:c r="G334" s="339" t="str">
        <x:v>underlying source transactions exist</x:v>
      </x:c>
      <x:c r="H334" s="339" t="str">
        <x:v>the dashboard calculates metrics</x:v>
      </x:c>
      <x:c r="I334" s="339" t="str">
        <x:v>dashboard values reconcile to the same filtered source records used by detailed reports</x:v>
      </x:c>
      <x:c r="J334" s="339" t="str">
        <x:v>Positive</x:v>
      </x:c>
      <x:c r="K334" s="339" t="str">
        <x:v>Functional</x:v>
      </x:c>
    </x:row>
    <x:row r="335">
      <x:c r="A335" s="339" t="str">
        <x:v>AC-00334</x:v>
      </x:c>
      <x:c r="B335" s="339" t="str">
        <x:v>US-0084</x:v>
      </x:c>
      <x:c r="C335" s="339" t="str">
        <x:v>SCR-042</x:v>
      </x:c>
      <x:c r="D335" s="339" t="str">
        <x:v>Role Dashboards</x:v>
      </x:c>
      <x:c r="E335" s="339" t="str">
        <x:v>Librarian Dashboard</x:v>
      </x:c>
      <x:c r="F335" s="339" t="str">
        <x:v>Drill-down context</x:v>
      </x:c>
      <x:c r="G335" s="339" t="str">
        <x:v>a KPI or alert is visible</x:v>
      </x:c>
      <x:c r="H335" s="339" t="str">
        <x:v>the user drills into it</x:v>
      </x:c>
      <x:c r="I335" s="339" t="str">
        <x:v>the destination preserves relevant date/school/class/status filter context</x:v>
      </x:c>
      <x:c r="J335" s="339" t="str">
        <x:v>Positive</x:v>
      </x:c>
      <x:c r="K335" s="339" t="str">
        <x:v>Functional</x:v>
      </x:c>
    </x:row>
    <x:row r="336">
      <x:c r="A336" s="339" t="str">
        <x:v>AC-00335</x:v>
      </x:c>
      <x:c r="B336" s="339" t="str">
        <x:v>US-0084</x:v>
      </x:c>
      <x:c r="C336" s="339" t="str">
        <x:v>SCR-042</x:v>
      </x:c>
      <x:c r="D336" s="339" t="str">
        <x:v>Role Dashboards</x:v>
      </x:c>
      <x:c r="E336" s="339" t="str">
        <x:v>Librarian Dashboard</x:v>
      </x:c>
      <x:c r="F336" s="339" t="str">
        <x:v>Freshness and failure handling</x:v>
      </x:c>
      <x:c r="G336" s="339" t="str">
        <x:v>one source service is delayed or unavailable</x:v>
      </x:c>
      <x:c r="H336" s="339" t="str">
        <x:v>the dashboard loads</x:v>
      </x:c>
      <x:c r="I336" s="339" t="str">
        <x:v>the UI identifies stale/unavailable data without fabricating or silently zeroing the metric</x:v>
      </x:c>
      <x:c r="J336" s="339" t="str">
        <x:v>Positive</x:v>
      </x:c>
      <x:c r="K336" s="339" t="str">
        <x:v>Functional</x:v>
      </x:c>
    </x:row>
    <x:row r="337">
      <x:c r="A337" s="339" t="str">
        <x:v>AC-00336</x:v>
      </x:c>
      <x:c r="B337" s="339" t="str">
        <x:v>US-0084</x:v>
      </x:c>
      <x:c r="C337" s="339" t="str">
        <x:v>SCR-042</x:v>
      </x:c>
      <x:c r="D337" s="339" t="str">
        <x:v>Role Dashboards</x:v>
      </x:c>
      <x:c r="E337" s="339" t="str">
        <x:v>Librarian Dashboard</x:v>
      </x:c>
      <x:c r="F337" s="339" t="str">
        <x:v>Scoped visibility</x:v>
      </x:c>
      <x:c r="G337" s="339" t="str">
        <x:v>the same dashboard is used by users with different permissions</x:v>
      </x:c>
      <x:c r="H337" s="339" t="str">
        <x:v>each user loads it</x:v>
      </x:c>
      <x:c r="I337" s="339" t="str">
        <x:v>each sees only authorized metrics, alerts and record-level drill-downs</x:v>
      </x:c>
      <x:c r="J337" s="339" t="str">
        <x:v>Positive</x:v>
      </x:c>
      <x:c r="K337" s="339" t="str">
        <x:v>Functional</x:v>
      </x:c>
    </x:row>
    <x:row r="338">
      <x:c r="A338" s="339" t="str">
        <x:v>AC-00337</x:v>
      </x:c>
      <x:c r="B338" s="339" t="str">
        <x:v>US-0085</x:v>
      </x:c>
      <x:c r="C338" s="339" t="str">
        <x:v>SCR-043</x:v>
      </x:c>
      <x:c r="D338" s="339" t="str">
        <x:v>Admissions &amp; Enquiries</x:v>
      </x:c>
      <x:c r="E338" s="339" t="str">
        <x:v>Admission / Enquiry Dashboard</x:v>
      </x:c>
      <x:c r="F338" s="339" t="str">
        <x:v>Authorized access to Admission / Enquiry Dashboard</x:v>
      </x:c>
      <x:c r="G338" s="339" t="str">
        <x:v>the Admission / Enquiry is authenticated and has access to Admission / Enquiry Dashboard</x:v>
      </x:c>
      <x:c r="H338" s="339" t="str">
        <x:v>the user opens or invokes Admission / Enquiry Dashboard</x:v>
      </x:c>
      <x:c r="I338" s="339" t="str">
        <x:v>the system loads only records and actions within the user's permitted tenant/school/data scope</x:v>
      </x:c>
      <x:c r="J338" s="339" t="str">
        <x:v>Positive</x:v>
      </x:c>
      <x:c r="K338" s="339" t="str">
        <x:v>Functional / Security</x:v>
      </x:c>
    </x:row>
    <x:row r="339">
      <x:c r="A339" s="339" t="str">
        <x:v>AC-00338</x:v>
      </x:c>
      <x:c r="B339" s="339" t="str">
        <x:v>US-0085</x:v>
      </x:c>
      <x:c r="C339" s="339" t="str">
        <x:v>SCR-043</x:v>
      </x:c>
      <x:c r="D339" s="339" t="str">
        <x:v>Admissions &amp; Enquiries</x:v>
      </x:c>
      <x:c r="E339" s="339" t="str">
        <x:v>Admission / Enquiry Dashboard</x:v>
      </x:c>
      <x:c r="F339" s="339" t="str">
        <x:v>Successful Admission / Enquiry Dashboard happy path</x:v>
      </x:c>
      <x:c r="G339" s="339" t="str">
        <x:v>all mandatory prerequisites and valid data are available</x:v>
      </x:c>
      <x:c r="H339" s="339" t="str">
        <x:v>the Admission / Enquiry completes the primary action on Admission / Enquiry Dashboard</x:v>
      </x:c>
      <x:c r="I339" s="339" t="str">
        <x:v>the system validates the request, saves it atomically, shows a clear confirmation and reflects the updated state</x:v>
      </x:c>
      <x:c r="J339" s="339" t="str">
        <x:v>Positive</x:v>
      </x:c>
      <x:c r="K339" s="339" t="str">
        <x:v>Functional</x:v>
      </x:c>
    </x:row>
    <x:row r="340">
      <x:c r="A340" s="339" t="str">
        <x:v>AC-00339</x:v>
      </x:c>
      <x:c r="B340" s="339" t="str">
        <x:v>US-0085</x:v>
      </x:c>
      <x:c r="C340" s="339" t="str">
        <x:v>SCR-043</x:v>
      </x:c>
      <x:c r="D340" s="339" t="str">
        <x:v>Admissions &amp; Enquiries</x:v>
      </x:c>
      <x:c r="E340" s="339" t="str">
        <x:v>Admission / Enquiry Dashboard</x:v>
      </x:c>
      <x:c r="F340" s="339" t="str">
        <x:v>State and dependency integrity</x:v>
      </x:c>
      <x:c r="G340" s="339" t="str">
        <x:v>the current record is in an allowed state (New → Contacted → Follow-up → Qualified / Lost / Converted)</x:v>
      </x:c>
      <x:c r="H340" s="339" t="str">
        <x:v>the user attempts a state-changing action</x:v>
      </x:c>
      <x:c r="I340" s="339" t="str">
        <x:v>only a valid transition is accepted and dependent records are updated according to configured business rules</x:v>
      </x:c>
      <x:c r="J340" s="339" t="str">
        <x:v>Positive</x:v>
      </x:c>
      <x:c r="K340" s="339" t="str">
        <x:v>Functional</x:v>
      </x:c>
    </x:row>
    <x:row r="341">
      <x:c r="A341" s="339" t="str">
        <x:v>AC-00340</x:v>
      </x:c>
      <x:c r="B341" s="339" t="str">
        <x:v>US-0085</x:v>
      </x:c>
      <x:c r="C341" s="339" t="str">
        <x:v>SCR-043</x:v>
      </x:c>
      <x:c r="D341" s="339" t="str">
        <x:v>Admissions &amp; Enquiries</x:v>
      </x:c>
      <x:c r="E341" s="339" t="str">
        <x:v>Admission / Enquiry Dashboard</x:v>
      </x:c>
      <x:c r="F341" s="339" t="str">
        <x:v>Auditability</x:v>
      </x:c>
      <x:c r="G341" s="339" t="str">
        <x:v>a material create/update/approve/reverse action occurs</x:v>
      </x:c>
      <x:c r="H341" s="339" t="str">
        <x:v>the transaction succeeds</x:v>
      </x:c>
      <x:c r="I341" s="339" t="str">
        <x:v>the system records actor, timestamp, action, target and relevant before/after or reason context in the audit trail</x:v>
      </x:c>
      <x:c r="J341" s="339" t="str">
        <x:v>Positive</x:v>
      </x:c>
      <x:c r="K341" s="339" t="str">
        <x:v>Functional</x:v>
      </x:c>
    </x:row>
    <x:row r="342">
      <x:c r="A342" s="339" t="str">
        <x:v>AC-00341</x:v>
      </x:c>
      <x:c r="B342" s="339" t="str">
        <x:v>US-0086</x:v>
      </x:c>
      <x:c r="C342" s="339" t="str">
        <x:v>SCR-043</x:v>
      </x:c>
      <x:c r="D342" s="339" t="str">
        <x:v>Admissions &amp; Enquiries</x:v>
      </x:c>
      <x:c r="E342" s="339" t="str">
        <x:v>Admission / Enquiry Dashboard</x:v>
      </x:c>
      <x:c r="F342" s="339" t="str">
        <x:v>KPI reconciliation</x:v>
      </x:c>
      <x:c r="G342" s="339" t="str">
        <x:v>underlying source transactions exist</x:v>
      </x:c>
      <x:c r="H342" s="339" t="str">
        <x:v>the dashboard calculates metrics</x:v>
      </x:c>
      <x:c r="I342" s="339" t="str">
        <x:v>dashboard values reconcile to the same filtered source records used by detailed reports</x:v>
      </x:c>
      <x:c r="J342" s="339" t="str">
        <x:v>Positive</x:v>
      </x:c>
      <x:c r="K342" s="339" t="str">
        <x:v>Functional</x:v>
      </x:c>
    </x:row>
    <x:row r="343">
      <x:c r="A343" s="339" t="str">
        <x:v>AC-00342</x:v>
      </x:c>
      <x:c r="B343" s="339" t="str">
        <x:v>US-0086</x:v>
      </x:c>
      <x:c r="C343" s="339" t="str">
        <x:v>SCR-043</x:v>
      </x:c>
      <x:c r="D343" s="339" t="str">
        <x:v>Admissions &amp; Enquiries</x:v>
      </x:c>
      <x:c r="E343" s="339" t="str">
        <x:v>Admission / Enquiry Dashboard</x:v>
      </x:c>
      <x:c r="F343" s="339" t="str">
        <x:v>Drill-down context</x:v>
      </x:c>
      <x:c r="G343" s="339" t="str">
        <x:v>a KPI or alert is visible</x:v>
      </x:c>
      <x:c r="H343" s="339" t="str">
        <x:v>the user drills into it</x:v>
      </x:c>
      <x:c r="I343" s="339" t="str">
        <x:v>the destination preserves relevant date/school/class/status filter context</x:v>
      </x:c>
      <x:c r="J343" s="339" t="str">
        <x:v>Positive</x:v>
      </x:c>
      <x:c r="K343" s="339" t="str">
        <x:v>Functional</x:v>
      </x:c>
    </x:row>
    <x:row r="344">
      <x:c r="A344" s="339" t="str">
        <x:v>AC-00343</x:v>
      </x:c>
      <x:c r="B344" s="339" t="str">
        <x:v>US-0086</x:v>
      </x:c>
      <x:c r="C344" s="339" t="str">
        <x:v>SCR-043</x:v>
      </x:c>
      <x:c r="D344" s="339" t="str">
        <x:v>Admissions &amp; Enquiries</x:v>
      </x:c>
      <x:c r="E344" s="339" t="str">
        <x:v>Admission / Enquiry Dashboard</x:v>
      </x:c>
      <x:c r="F344" s="339" t="str">
        <x:v>Freshness and failure handling</x:v>
      </x:c>
      <x:c r="G344" s="339" t="str">
        <x:v>one source service is delayed or unavailable</x:v>
      </x:c>
      <x:c r="H344" s="339" t="str">
        <x:v>the dashboard loads</x:v>
      </x:c>
      <x:c r="I344" s="339" t="str">
        <x:v>the UI identifies stale/unavailable data without fabricating or silently zeroing the metric</x:v>
      </x:c>
      <x:c r="J344" s="339" t="str">
        <x:v>Positive</x:v>
      </x:c>
      <x:c r="K344" s="339" t="str">
        <x:v>Functional</x:v>
      </x:c>
    </x:row>
    <x:row r="345">
      <x:c r="A345" s="339" t="str">
        <x:v>AC-00344</x:v>
      </x:c>
      <x:c r="B345" s="339" t="str">
        <x:v>US-0086</x:v>
      </x:c>
      <x:c r="C345" s="339" t="str">
        <x:v>SCR-043</x:v>
      </x:c>
      <x:c r="D345" s="339" t="str">
        <x:v>Admissions &amp; Enquiries</x:v>
      </x:c>
      <x:c r="E345" s="339" t="str">
        <x:v>Admission / Enquiry Dashboard</x:v>
      </x:c>
      <x:c r="F345" s="339" t="str">
        <x:v>Scoped visibility</x:v>
      </x:c>
      <x:c r="G345" s="339" t="str">
        <x:v>the same dashboard is used by users with different permissions</x:v>
      </x:c>
      <x:c r="H345" s="339" t="str">
        <x:v>each user loads it</x:v>
      </x:c>
      <x:c r="I345" s="339" t="str">
        <x:v>each sees only authorized metrics, alerts and record-level drill-downs</x:v>
      </x:c>
      <x:c r="J345" s="339" t="str">
        <x:v>Positive</x:v>
      </x:c>
      <x:c r="K345" s="339" t="str">
        <x:v>Functional</x:v>
      </x:c>
    </x:row>
    <x:row r="346">
      <x:c r="A346" s="339" t="str">
        <x:v>AC-00345</x:v>
      </x:c>
      <x:c r="B346" s="339" t="str">
        <x:v>US-0087</x:v>
      </x:c>
      <x:c r="C346" s="339" t="str">
        <x:v>SCR-044</x:v>
      </x:c>
      <x:c r="D346" s="339" t="str">
        <x:v>Admissions &amp; Enquiries</x:v>
      </x:c>
      <x:c r="E346" s="339" t="str">
        <x:v>Enquiry List</x:v>
      </x:c>
      <x:c r="F346" s="339" t="str">
        <x:v>Authorized access to Enquiry List</x:v>
      </x:c>
      <x:c r="G346" s="339" t="str">
        <x:v>the Admission Officer is authenticated and has access to Enquiry List</x:v>
      </x:c>
      <x:c r="H346" s="339" t="str">
        <x:v>the user opens or invokes Enquiry List</x:v>
      </x:c>
      <x:c r="I346" s="339" t="str">
        <x:v>the system loads only records and actions within the user's permitted tenant/school/data scope</x:v>
      </x:c>
      <x:c r="J346" s="339" t="str">
        <x:v>Positive</x:v>
      </x:c>
      <x:c r="K346" s="339" t="str">
        <x:v>Functional / Security</x:v>
      </x:c>
    </x:row>
    <x:row r="347">
      <x:c r="A347" s="339" t="str">
        <x:v>AC-00346</x:v>
      </x:c>
      <x:c r="B347" s="339" t="str">
        <x:v>US-0087</x:v>
      </x:c>
      <x:c r="C347" s="339" t="str">
        <x:v>SCR-044</x:v>
      </x:c>
      <x:c r="D347" s="339" t="str">
        <x:v>Admissions &amp; Enquiries</x:v>
      </x:c>
      <x:c r="E347" s="339" t="str">
        <x:v>Enquiry List</x:v>
      </x:c>
      <x:c r="F347" s="339" t="str">
        <x:v>Successful Enquiry List happy path</x:v>
      </x:c>
      <x:c r="G347" s="339" t="str">
        <x:v>all mandatory prerequisites and valid data are available</x:v>
      </x:c>
      <x:c r="H347" s="339" t="str">
        <x:v>the Admission Officer completes the primary action on Enquiry List</x:v>
      </x:c>
      <x:c r="I347" s="339" t="str">
        <x:v>the system validates the request, saves it atomically, shows a clear confirmation and reflects the updated state</x:v>
      </x:c>
      <x:c r="J347" s="339" t="str">
        <x:v>Positive</x:v>
      </x:c>
      <x:c r="K347" s="339" t="str">
        <x:v>Functional</x:v>
      </x:c>
    </x:row>
    <x:row r="348">
      <x:c r="A348" s="339" t="str">
        <x:v>AC-00347</x:v>
      </x:c>
      <x:c r="B348" s="339" t="str">
        <x:v>US-0087</x:v>
      </x:c>
      <x:c r="C348" s="339" t="str">
        <x:v>SCR-044</x:v>
      </x:c>
      <x:c r="D348" s="339" t="str">
        <x:v>Admissions &amp; Enquiries</x:v>
      </x:c>
      <x:c r="E348" s="339" t="str">
        <x:v>Enquiry List</x:v>
      </x:c>
      <x:c r="F348" s="339" t="str">
        <x:v>State and dependency integrity</x:v>
      </x:c>
      <x:c r="G348" s="339" t="str">
        <x:v>the current record is in an allowed state (New → Contacted → Follow-up → Qualified / Lost / Converted)</x:v>
      </x:c>
      <x:c r="H348" s="339" t="str">
        <x:v>the user attempts a state-changing action</x:v>
      </x:c>
      <x:c r="I348" s="339" t="str">
        <x:v>only a valid transition is accepted and dependent records are updated according to configured business rules</x:v>
      </x:c>
      <x:c r="J348" s="339" t="str">
        <x:v>Positive</x:v>
      </x:c>
      <x:c r="K348" s="339" t="str">
        <x:v>Functional</x:v>
      </x:c>
    </x:row>
    <x:row r="349">
      <x:c r="A349" s="339" t="str">
        <x:v>AC-00348</x:v>
      </x:c>
      <x:c r="B349" s="339" t="str">
        <x:v>US-0087</x:v>
      </x:c>
      <x:c r="C349" s="339" t="str">
        <x:v>SCR-044</x:v>
      </x:c>
      <x:c r="D349" s="339" t="str">
        <x:v>Admissions &amp; Enquiries</x:v>
      </x:c>
      <x:c r="E349" s="339" t="str">
        <x:v>Enquiry List</x:v>
      </x:c>
      <x:c r="F349" s="339" t="str">
        <x:v>Auditability</x:v>
      </x:c>
      <x:c r="G349" s="339" t="str">
        <x:v>a material create/update/approve/reverse action occurs</x:v>
      </x:c>
      <x:c r="H349" s="339" t="str">
        <x:v>the transaction succeeds</x:v>
      </x:c>
      <x:c r="I349" s="339" t="str">
        <x:v>the system records actor, timestamp, action, target and relevant before/after or reason context in the audit trail</x:v>
      </x:c>
      <x:c r="J349" s="339" t="str">
        <x:v>Positive</x:v>
      </x:c>
      <x:c r="K349" s="339" t="str">
        <x:v>Functional</x:v>
      </x:c>
    </x:row>
    <x:row r="350">
      <x:c r="A350" s="339" t="str">
        <x:v>AC-00349</x:v>
      </x:c>
      <x:c r="B350" s="339" t="str">
        <x:v>US-0088</x:v>
      </x:c>
      <x:c r="C350" s="339" t="str">
        <x:v>SCR-044</x:v>
      </x:c>
      <x:c r="D350" s="339" t="str">
        <x:v>Admissions &amp; Enquiries</x:v>
      </x:c>
      <x:c r="E350" s="339" t="str">
        <x:v>Enquiry List</x:v>
      </x:c>
      <x:c r="F350" s="339" t="str">
        <x:v>Search and filtering</x:v>
      </x:c>
      <x:c r="G350" s="339" t="str">
        <x:v>authorized records exist across multiple values</x:v>
      </x:c>
      <x:c r="H350" s="339" t="str">
        <x:v>the user applies search, filters, sorting or pagination</x:v>
      </x:c>
      <x:c r="I350" s="339" t="str">
        <x:v>the results match all selected criteria and remain within the user's data scope</x:v>
      </x:c>
      <x:c r="J350" s="339" t="str">
        <x:v>Positive</x:v>
      </x:c>
      <x:c r="K350" s="339" t="str">
        <x:v>Functional</x:v>
      </x:c>
    </x:row>
    <x:row r="351">
      <x:c r="A351" s="339" t="str">
        <x:v>AC-00350</x:v>
      </x:c>
      <x:c r="B351" s="339" t="str">
        <x:v>US-0088</x:v>
      </x:c>
      <x:c r="C351" s="339" t="str">
        <x:v>SCR-044</x:v>
      </x:c>
      <x:c r="D351" s="339" t="str">
        <x:v>Admissions &amp; Enquiries</x:v>
      </x:c>
      <x:c r="E351" s="339" t="str">
        <x:v>Enquiry List</x:v>
      </x:c>
      <x:c r="F351" s="339" t="str">
        <x:v>Controlled row actions</x:v>
      </x:c>
      <x:c r="G351" s="339" t="str">
        <x:v>records are returned in the list</x:v>
      </x:c>
      <x:c r="H351" s="339" t="str">
        <x:v>the user opens the action menu</x:v>
      </x:c>
      <x:c r="I351" s="339" t="str">
        <x:v>only actions permitted for the user's role and the record's current state are offered</x:v>
      </x:c>
      <x:c r="J351" s="339" t="str">
        <x:v>Positive</x:v>
      </x:c>
      <x:c r="K351" s="339" t="str">
        <x:v>Functional</x:v>
      </x:c>
    </x:row>
    <x:row r="352">
      <x:c r="A352" s="339" t="str">
        <x:v>AC-00351</x:v>
      </x:c>
      <x:c r="B352" s="339" t="str">
        <x:v>US-0088</x:v>
      </x:c>
      <x:c r="C352" s="339" t="str">
        <x:v>SCR-044</x:v>
      </x:c>
      <x:c r="D352" s="339" t="str">
        <x:v>Admissions &amp; Enquiries</x:v>
      </x:c>
      <x:c r="E352" s="339" t="str">
        <x:v>Enquiry List</x:v>
      </x:c>
      <x:c r="F352" s="339" t="str">
        <x:v>Empty/no-result handling</x:v>
      </x:c>
      <x:c r="G352" s="339" t="str">
        <x:v>no record matches the current criteria</x:v>
      </x:c>
      <x:c r="H352" s="339" t="str">
        <x:v>the query completes</x:v>
      </x:c>
      <x:c r="I352" s="339" t="str">
        <x:v>the system shows a clear empty state without treating it as an application error</x:v>
      </x:c>
      <x:c r="J352" s="339" t="str">
        <x:v>Positive</x:v>
      </x:c>
      <x:c r="K352" s="339" t="str">
        <x:v>Functional</x:v>
      </x:c>
    </x:row>
    <x:row r="353">
      <x:c r="A353" s="339" t="str">
        <x:v>AC-00352</x:v>
      </x:c>
      <x:c r="B353" s="339" t="str">
        <x:v>US-0088</x:v>
      </x:c>
      <x:c r="C353" s="339" t="str">
        <x:v>SCR-044</x:v>
      </x:c>
      <x:c r="D353" s="339" t="str">
        <x:v>Admissions &amp; Enquiries</x:v>
      </x:c>
      <x:c r="E353" s="339" t="str">
        <x:v>Enquiry List</x:v>
      </x:c>
      <x:c r="F353" s="339" t="str">
        <x:v>Export scope</x:v>
      </x:c>
      <x:c r="G353" s="339" t="str">
        <x:v>the user has export permission</x:v>
      </x:c>
      <x:c r="H353" s="339" t="str">
        <x:v>the user exports the filtered list</x:v>
      </x:c>
      <x:c r="I353" s="339" t="str">
        <x:v>the export contains the same authorized filter scope and excludes restricted fields</x:v>
      </x:c>
      <x:c r="J353" s="339" t="str">
        <x:v>Positive</x:v>
      </x:c>
      <x:c r="K353" s="339" t="str">
        <x:v>Functional</x:v>
      </x:c>
    </x:row>
    <x:row r="354">
      <x:c r="A354" s="339" t="str">
        <x:v>AC-00353</x:v>
      </x:c>
      <x:c r="B354" s="339" t="str">
        <x:v>US-0089</x:v>
      </x:c>
      <x:c r="C354" s="339" t="str">
        <x:v>SCR-045</x:v>
      </x:c>
      <x:c r="D354" s="339" t="str">
        <x:v>Admissions &amp; Enquiries</x:v>
      </x:c>
      <x:c r="E354" s="339" t="str">
        <x:v>Add Enquiry</x:v>
      </x:c>
      <x:c r="F354" s="339" t="str">
        <x:v>Authorized access to Add Enquiry</x:v>
      </x:c>
      <x:c r="G354" s="339" t="str">
        <x:v>the Admission Officer is authenticated and has access to Add Enquiry</x:v>
      </x:c>
      <x:c r="H354" s="339" t="str">
        <x:v>the user opens or invokes Add Enquiry</x:v>
      </x:c>
      <x:c r="I354" s="339" t="str">
        <x:v>the system loads only records and actions within the user's permitted tenant/school/data scope</x:v>
      </x:c>
      <x:c r="J354" s="339" t="str">
        <x:v>Positive</x:v>
      </x:c>
      <x:c r="K354" s="339" t="str">
        <x:v>Functional / Security</x:v>
      </x:c>
    </x:row>
    <x:row r="355">
      <x:c r="A355" s="339" t="str">
        <x:v>AC-00354</x:v>
      </x:c>
      <x:c r="B355" s="339" t="str">
        <x:v>US-0089</x:v>
      </x:c>
      <x:c r="C355" s="339" t="str">
        <x:v>SCR-045</x:v>
      </x:c>
      <x:c r="D355" s="339" t="str">
        <x:v>Admissions &amp; Enquiries</x:v>
      </x:c>
      <x:c r="E355" s="339" t="str">
        <x:v>Add Enquiry</x:v>
      </x:c>
      <x:c r="F355" s="339" t="str">
        <x:v>Successful Add Enquiry happy path</x:v>
      </x:c>
      <x:c r="G355" s="339" t="str">
        <x:v>all mandatory prerequisites and valid data are available</x:v>
      </x:c>
      <x:c r="H355" s="339" t="str">
        <x:v>the Admission Officer completes the primary action on Add Enquiry</x:v>
      </x:c>
      <x:c r="I355" s="339" t="str">
        <x:v>the system validates the request, saves it atomically, shows a clear confirmation and reflects the updated state</x:v>
      </x:c>
      <x:c r="J355" s="339" t="str">
        <x:v>Positive</x:v>
      </x:c>
      <x:c r="K355" s="339" t="str">
        <x:v>Functional</x:v>
      </x:c>
    </x:row>
    <x:row r="356">
      <x:c r="A356" s="339" t="str">
        <x:v>AC-00355</x:v>
      </x:c>
      <x:c r="B356" s="339" t="str">
        <x:v>US-0089</x:v>
      </x:c>
      <x:c r="C356" s="339" t="str">
        <x:v>SCR-045</x:v>
      </x:c>
      <x:c r="D356" s="339" t="str">
        <x:v>Admissions &amp; Enquiries</x:v>
      </x:c>
      <x:c r="E356" s="339" t="str">
        <x:v>Add Enquiry</x:v>
      </x:c>
      <x:c r="F356" s="339" t="str">
        <x:v>State and dependency integrity</x:v>
      </x:c>
      <x:c r="G356" s="339" t="str">
        <x:v>the current record is in an allowed state (New → Contacted → Follow-up → Qualified / Lost / Converted)</x:v>
      </x:c>
      <x:c r="H356" s="339" t="str">
        <x:v>the user attempts a state-changing action</x:v>
      </x:c>
      <x:c r="I356" s="339" t="str">
        <x:v>only a valid transition is accepted and dependent records are updated according to configured business rules</x:v>
      </x:c>
      <x:c r="J356" s="339" t="str">
        <x:v>Positive</x:v>
      </x:c>
      <x:c r="K356" s="339" t="str">
        <x:v>Functional</x:v>
      </x:c>
    </x:row>
    <x:row r="357">
      <x:c r="A357" s="339" t="str">
        <x:v>AC-00356</x:v>
      </x:c>
      <x:c r="B357" s="339" t="str">
        <x:v>US-0089</x:v>
      </x:c>
      <x:c r="C357" s="339" t="str">
        <x:v>SCR-045</x:v>
      </x:c>
      <x:c r="D357" s="339" t="str">
        <x:v>Admissions &amp; Enquiries</x:v>
      </x:c>
      <x:c r="E357" s="339" t="str">
        <x:v>Add Enquiry</x:v>
      </x:c>
      <x:c r="F357" s="339" t="str">
        <x:v>Auditability</x:v>
      </x:c>
      <x:c r="G357" s="339" t="str">
        <x:v>a material create/update/approve/reverse action occurs</x:v>
      </x:c>
      <x:c r="H357" s="339" t="str">
        <x:v>the transaction succeeds</x:v>
      </x:c>
      <x:c r="I357" s="339" t="str">
        <x:v>the system records actor, timestamp, action, target and relevant before/after or reason context in the audit trail</x:v>
      </x:c>
      <x:c r="J357" s="339" t="str">
        <x:v>Positive</x:v>
      </x:c>
      <x:c r="K357" s="339" t="str">
        <x:v>Functional</x:v>
      </x:c>
    </x:row>
    <x:row r="358">
      <x:c r="A358" s="339" t="str">
        <x:v>AC-00357</x:v>
      </x:c>
      <x:c r="B358" s="339" t="str">
        <x:v>US-0090</x:v>
      </x:c>
      <x:c r="C358" s="339" t="str">
        <x:v>SCR-045</x:v>
      </x:c>
      <x:c r="D358" s="339" t="str">
        <x:v>Admissions &amp; Enquiries</x:v>
      </x:c>
      <x:c r="E358" s="339" t="str">
        <x:v>Add Enquiry</x:v>
      </x:c>
      <x:c r="F358" s="339" t="str">
        <x:v>Required-field validation</x:v>
      </x:c>
      <x:c r="G358" s="339" t="str">
        <x:v>one or more required values are missing/invalid</x:v>
      </x:c>
      <x:c r="H358" s="339" t="str">
        <x:v>the user submits the form</x:v>
      </x:c>
      <x:c r="I358" s="339" t="str">
        <x:v>submission is blocked and field-level messages identify what must be corrected</x:v>
      </x:c>
      <x:c r="J358" s="339" t="str">
        <x:v>Positive</x:v>
      </x:c>
      <x:c r="K358" s="339" t="str">
        <x:v>Functional</x:v>
      </x:c>
    </x:row>
    <x:row r="359">
      <x:c r="A359" s="339" t="str">
        <x:v>AC-00358</x:v>
      </x:c>
      <x:c r="B359" s="339" t="str">
        <x:v>US-0090</x:v>
      </x:c>
      <x:c r="C359" s="339" t="str">
        <x:v>SCR-045</x:v>
      </x:c>
      <x:c r="D359" s="339" t="str">
        <x:v>Admissions &amp; Enquiries</x:v>
      </x:c>
      <x:c r="E359" s="339" t="str">
        <x:v>Add Enquiry</x:v>
      </x:c>
      <x:c r="F359" s="339" t="str">
        <x:v>Duplicate prevention</x:v>
      </x:c>
      <x:c r="G359" s="339" t="str">
        <x:v>a potentially duplicate record exists</x:v>
      </x:c>
      <x:c r="H359" s="339" t="str">
        <x:v>the user submits matching identity/master data</x:v>
      </x:c>
      <x:c r="I359" s="339" t="str">
        <x:v>the system blocks or warns according to configured duplicate policy before creating another record</x:v>
      </x:c>
      <x:c r="J359" s="339" t="str">
        <x:v>Negative</x:v>
      </x:c>
      <x:c r="K359" s="339" t="str">
        <x:v>Functional</x:v>
      </x:c>
    </x:row>
    <x:row r="360">
      <x:c r="A360" s="339" t="str">
        <x:v>AC-00359</x:v>
      </x:c>
      <x:c r="B360" s="339" t="str">
        <x:v>US-0090</x:v>
      </x:c>
      <x:c r="C360" s="339" t="str">
        <x:v>SCR-045</x:v>
      </x:c>
      <x:c r="D360" s="339" t="str">
        <x:v>Admissions &amp; Enquiries</x:v>
      </x:c>
      <x:c r="E360" s="339" t="str">
        <x:v>Add Enquiry</x:v>
      </x:c>
      <x:c r="F360" s="339" t="str">
        <x:v>Reference-data integrity</x:v>
      </x:c>
      <x:c r="G360" s="339" t="str">
        <x:v>the form contains master-data selections</x:v>
      </x:c>
      <x:c r="H360" s="339" t="str">
        <x:v>the user submits</x:v>
      </x:c>
      <x:c r="I360" s="339" t="str">
        <x:v>all referenced values are active, effective and within the user's scope at the time of save</x:v>
      </x:c>
      <x:c r="J360" s="339" t="str">
        <x:v>Positive</x:v>
      </x:c>
      <x:c r="K360" s="339" t="str">
        <x:v>Functional</x:v>
      </x:c>
    </x:row>
    <x:row r="361">
      <x:c r="A361" s="339" t="str">
        <x:v>AC-00360</x:v>
      </x:c>
      <x:c r="B361" s="339" t="str">
        <x:v>US-0090</x:v>
      </x:c>
      <x:c r="C361" s="339" t="str">
        <x:v>SCR-045</x:v>
      </x:c>
      <x:c r="D361" s="339" t="str">
        <x:v>Admissions &amp; Enquiries</x:v>
      </x:c>
      <x:c r="E361" s="339" t="str">
        <x:v>Add Enquiry</x:v>
      </x:c>
      <x:c r="F361" s="339" t="str">
        <x:v>Retry safety</x:v>
      </x:c>
      <x:c r="G361" s="339" t="str">
        <x:v>a network retry or repeated click occurs</x:v>
      </x:c>
      <x:c r="H361" s="339" t="str">
        <x:v>the same transaction is submitted again</x:v>
      </x:c>
      <x:c r="I361" s="339" t="str">
        <x:v>the system prevents unintended duplicate transactions through idempotency or duplicate detection</x:v>
      </x:c>
      <x:c r="J361" s="339" t="str">
        <x:v>Positive</x:v>
      </x:c>
      <x:c r="K361" s="339" t="str">
        <x:v>Functional</x:v>
      </x:c>
    </x:row>
    <x:row r="362">
      <x:c r="A362" s="339" t="str">
        <x:v>AC-00361</x:v>
      </x:c>
      <x:c r="B362" s="339" t="str">
        <x:v>US-0091</x:v>
      </x:c>
      <x:c r="C362" s="339" t="str">
        <x:v>SCR-046</x:v>
      </x:c>
      <x:c r="D362" s="339" t="str">
        <x:v>Admissions &amp; Enquiries</x:v>
      </x:c>
      <x:c r="E362" s="339" t="str">
        <x:v>Enquiry Details</x:v>
      </x:c>
      <x:c r="F362" s="339" t="str">
        <x:v>Authorized access to Enquiry Details</x:v>
      </x:c>
      <x:c r="G362" s="339" t="str">
        <x:v>the Admission Officer is authenticated and has access to Enquiry Details</x:v>
      </x:c>
      <x:c r="H362" s="339" t="str">
        <x:v>the user opens or invokes Enquiry Details</x:v>
      </x:c>
      <x:c r="I362" s="339" t="str">
        <x:v>the system loads only records and actions within the user's permitted tenant/school/data scope</x:v>
      </x:c>
      <x:c r="J362" s="339" t="str">
        <x:v>Positive</x:v>
      </x:c>
      <x:c r="K362" s="339" t="str">
        <x:v>Functional / Security</x:v>
      </x:c>
    </x:row>
    <x:row r="363">
      <x:c r="A363" s="339" t="str">
        <x:v>AC-00362</x:v>
      </x:c>
      <x:c r="B363" s="339" t="str">
        <x:v>US-0091</x:v>
      </x:c>
      <x:c r="C363" s="339" t="str">
        <x:v>SCR-046</x:v>
      </x:c>
      <x:c r="D363" s="339" t="str">
        <x:v>Admissions &amp; Enquiries</x:v>
      </x:c>
      <x:c r="E363" s="339" t="str">
        <x:v>Enquiry Details</x:v>
      </x:c>
      <x:c r="F363" s="339" t="str">
        <x:v>Successful Enquiry Details happy path</x:v>
      </x:c>
      <x:c r="G363" s="339" t="str">
        <x:v>all mandatory prerequisites and valid data are available</x:v>
      </x:c>
      <x:c r="H363" s="339" t="str">
        <x:v>the Admission Officer completes the primary action on Enquiry Details</x:v>
      </x:c>
      <x:c r="I363" s="339" t="str">
        <x:v>the system validates the request, saves it atomically, shows a clear confirmation and reflects the updated state</x:v>
      </x:c>
      <x:c r="J363" s="339" t="str">
        <x:v>Positive</x:v>
      </x:c>
      <x:c r="K363" s="339" t="str">
        <x:v>Functional</x:v>
      </x:c>
    </x:row>
    <x:row r="364">
      <x:c r="A364" s="339" t="str">
        <x:v>AC-00363</x:v>
      </x:c>
      <x:c r="B364" s="339" t="str">
        <x:v>US-0091</x:v>
      </x:c>
      <x:c r="C364" s="339" t="str">
        <x:v>SCR-046</x:v>
      </x:c>
      <x:c r="D364" s="339" t="str">
        <x:v>Admissions &amp; Enquiries</x:v>
      </x:c>
      <x:c r="E364" s="339" t="str">
        <x:v>Enquiry Details</x:v>
      </x:c>
      <x:c r="F364" s="339" t="str">
        <x:v>State and dependency integrity</x:v>
      </x:c>
      <x:c r="G364" s="339" t="str">
        <x:v>the current record is in an allowed state (New → Contacted → Follow-up → Qualified / Lost / Converted)</x:v>
      </x:c>
      <x:c r="H364" s="339" t="str">
        <x:v>the user attempts a state-changing action</x:v>
      </x:c>
      <x:c r="I364" s="339" t="str">
        <x:v>only a valid transition is accepted and dependent records are updated according to configured business rules</x:v>
      </x:c>
      <x:c r="J364" s="339" t="str">
        <x:v>Positive</x:v>
      </x:c>
      <x:c r="K364" s="339" t="str">
        <x:v>Functional</x:v>
      </x:c>
    </x:row>
    <x:row r="365">
      <x:c r="A365" s="339" t="str">
        <x:v>AC-00364</x:v>
      </x:c>
      <x:c r="B365" s="339" t="str">
        <x:v>US-0091</x:v>
      </x:c>
      <x:c r="C365" s="339" t="str">
        <x:v>SCR-046</x:v>
      </x:c>
      <x:c r="D365" s="339" t="str">
        <x:v>Admissions &amp; Enquiries</x:v>
      </x:c>
      <x:c r="E365" s="339" t="str">
        <x:v>Enquiry Details</x:v>
      </x:c>
      <x:c r="F365" s="339" t="str">
        <x:v>Auditability</x:v>
      </x:c>
      <x:c r="G365" s="339" t="str">
        <x:v>a material create/update/approve/reverse action occurs</x:v>
      </x:c>
      <x:c r="H365" s="339" t="str">
        <x:v>the transaction succeeds</x:v>
      </x:c>
      <x:c r="I365" s="339" t="str">
        <x:v>the system records actor, timestamp, action, target and relevant before/after or reason context in the audit trail</x:v>
      </x:c>
      <x:c r="J365" s="339" t="str">
        <x:v>Positive</x:v>
      </x:c>
      <x:c r="K365" s="339" t="str">
        <x:v>Functional</x:v>
      </x:c>
    </x:row>
    <x:row r="366">
      <x:c r="A366" s="339" t="str">
        <x:v>AC-00365</x:v>
      </x:c>
      <x:c r="B366" s="339" t="str">
        <x:v>US-0092</x:v>
      </x:c>
      <x:c r="C366" s="339" t="str">
        <x:v>SCR-046</x:v>
      </x:c>
      <x:c r="D366" s="339" t="str">
        <x:v>Admissions &amp; Enquiries</x:v>
      </x:c>
      <x:c r="E366" s="339" t="str">
        <x:v>Enquiry Details</x:v>
      </x:c>
      <x:c r="F366" s="339" t="str">
        <x:v>Complete authorized view</x:v>
      </x:c>
      <x:c r="G366" s="339" t="str">
        <x:v>the record exists and the user is authorized</x:v>
      </x:c>
      <x:c r="H366" s="339" t="str">
        <x:v>the detail/profile opens</x:v>
      </x:c>
      <x:c r="I366" s="339" t="str">
        <x:v>the system loads the required summary, relationships and history while masking restricted fields</x:v>
      </x:c>
      <x:c r="J366" s="339" t="str">
        <x:v>Positive</x:v>
      </x:c>
      <x:c r="K366" s="339" t="str">
        <x:v>Functional / Security</x:v>
      </x:c>
    </x:row>
    <x:row r="367">
      <x:c r="A367" s="339" t="str">
        <x:v>AC-00366</x:v>
      </x:c>
      <x:c r="B367" s="339" t="str">
        <x:v>US-0092</x:v>
      </x:c>
      <x:c r="C367" s="339" t="str">
        <x:v>SCR-046</x:v>
      </x:c>
      <x:c r="D367" s="339" t="str">
        <x:v>Admissions &amp; Enquiries</x:v>
      </x:c>
      <x:c r="E367" s="339" t="str">
        <x:v>Enquiry Details</x:v>
      </x:c>
      <x:c r="F367" s="339" t="str">
        <x:v>Controlled edit</x:v>
      </x:c>
      <x:c r="G367" s="339" t="str">
        <x:v>the user has edit permission and the record is editable</x:v>
      </x:c>
      <x:c r="H367" s="339" t="str">
        <x:v>the user saves a change</x:v>
      </x:c>
      <x:c r="I367" s="339" t="str">
        <x:v>validation and state rules run before the update is committed</x:v>
      </x:c>
      <x:c r="J367" s="339" t="str">
        <x:v>Positive</x:v>
      </x:c>
      <x:c r="K367" s="339" t="str">
        <x:v>Functional</x:v>
      </x:c>
    </x:row>
    <x:row r="368">
      <x:c r="A368" s="339" t="str">
        <x:v>AC-00367</x:v>
      </x:c>
      <x:c r="B368" s="339" t="str">
        <x:v>US-0092</x:v>
      </x:c>
      <x:c r="C368" s="339" t="str">
        <x:v>SCR-046</x:v>
      </x:c>
      <x:c r="D368" s="339" t="str">
        <x:v>Admissions &amp; Enquiries</x:v>
      </x:c>
      <x:c r="E368" s="339" t="str">
        <x:v>Enquiry Details</x:v>
      </x:c>
      <x:c r="F368" s="339" t="str">
        <x:v>Concurrent edit protection</x:v>
      </x:c>
      <x:c r="G368" s="339" t="str">
        <x:v>another user has changed the record after it was loaded</x:v>
      </x:c>
      <x:c r="H368" s="339" t="str">
        <x:v>the first user attempts to save stale data</x:v>
      </x:c>
      <x:c r="I368" s="339" t="str">
        <x:v>the system detects the version conflict or preserves fields safely instead of silently overwriting</x:v>
      </x:c>
      <x:c r="J368" s="339" t="str">
        <x:v>Positive</x:v>
      </x:c>
      <x:c r="K368" s="339" t="str">
        <x:v>Functional</x:v>
      </x:c>
    </x:row>
    <x:row r="369">
      <x:c r="A369" s="339" t="str">
        <x:v>AC-00368</x:v>
      </x:c>
      <x:c r="B369" s="339" t="str">
        <x:v>US-0092</x:v>
      </x:c>
      <x:c r="C369" s="339" t="str">
        <x:v>SCR-046</x:v>
      </x:c>
      <x:c r="D369" s="339" t="str">
        <x:v>Admissions &amp; Enquiries</x:v>
      </x:c>
      <x:c r="E369" s="339" t="str">
        <x:v>Enquiry Details</x:v>
      </x:c>
      <x:c r="F369" s="339" t="str">
        <x:v>History retention</x:v>
      </x:c>
      <x:c r="G369" s="339" t="str">
        <x:v>the record has prior changes/statuses</x:v>
      </x:c>
      <x:c r="H369" s="339" t="str">
        <x:v>the user views history</x:v>
      </x:c>
      <x:c r="I369" s="339" t="str">
        <x:v>the audit/activity timeline shows traceable material changes without exposing restricted notes</x:v>
      </x:c>
      <x:c r="J369" s="339" t="str">
        <x:v>Positive</x:v>
      </x:c>
      <x:c r="K369" s="339" t="str">
        <x:v>Functional</x:v>
      </x:c>
    </x:row>
    <x:row r="370">
      <x:c r="A370" s="339" t="str">
        <x:v>AC-00369</x:v>
      </x:c>
      <x:c r="B370" s="339" t="str">
        <x:v>US-0093</x:v>
      </x:c>
      <x:c r="C370" s="339" t="str">
        <x:v>SCR-047</x:v>
      </x:c>
      <x:c r="D370" s="339" t="str">
        <x:v>Admissions &amp; Enquiries</x:v>
      </x:c>
      <x:c r="E370" s="339" t="str">
        <x:v>Follow-up Calendar</x:v>
      </x:c>
      <x:c r="F370" s="339" t="str">
        <x:v>Authorized access to Follow-up Calendar</x:v>
      </x:c>
      <x:c r="G370" s="339" t="str">
        <x:v>the Admission Officer is authenticated and has access to Follow-up Calendar</x:v>
      </x:c>
      <x:c r="H370" s="339" t="str">
        <x:v>the user opens or invokes Follow-up Calendar</x:v>
      </x:c>
      <x:c r="I370" s="339" t="str">
        <x:v>the system loads only records and actions within the user's permitted tenant/school/data scope</x:v>
      </x:c>
      <x:c r="J370" s="339" t="str">
        <x:v>Positive</x:v>
      </x:c>
      <x:c r="K370" s="339" t="str">
        <x:v>Functional / Security</x:v>
      </x:c>
    </x:row>
    <x:row r="371">
      <x:c r="A371" s="339" t="str">
        <x:v>AC-00370</x:v>
      </x:c>
      <x:c r="B371" s="339" t="str">
        <x:v>US-0093</x:v>
      </x:c>
      <x:c r="C371" s="339" t="str">
        <x:v>SCR-047</x:v>
      </x:c>
      <x:c r="D371" s="339" t="str">
        <x:v>Admissions &amp; Enquiries</x:v>
      </x:c>
      <x:c r="E371" s="339" t="str">
        <x:v>Follow-up Calendar</x:v>
      </x:c>
      <x:c r="F371" s="339" t="str">
        <x:v>Successful Follow-up Calendar happy path</x:v>
      </x:c>
      <x:c r="G371" s="339" t="str">
        <x:v>all mandatory prerequisites and valid data are available</x:v>
      </x:c>
      <x:c r="H371" s="339" t="str">
        <x:v>the Admission Officer completes the primary action on Follow-up Calendar</x:v>
      </x:c>
      <x:c r="I371" s="339" t="str">
        <x:v>the system validates the request, saves it atomically, shows a clear confirmation and reflects the updated state</x:v>
      </x:c>
      <x:c r="J371" s="339" t="str">
        <x:v>Positive</x:v>
      </x:c>
      <x:c r="K371" s="339" t="str">
        <x:v>Functional</x:v>
      </x:c>
    </x:row>
    <x:row r="372">
      <x:c r="A372" s="339" t="str">
        <x:v>AC-00371</x:v>
      </x:c>
      <x:c r="B372" s="339" t="str">
        <x:v>US-0093</x:v>
      </x:c>
      <x:c r="C372" s="339" t="str">
        <x:v>SCR-047</x:v>
      </x:c>
      <x:c r="D372" s="339" t="str">
        <x:v>Admissions &amp; Enquiries</x:v>
      </x:c>
      <x:c r="E372" s="339" t="str">
        <x:v>Follow-up Calendar</x:v>
      </x:c>
      <x:c r="F372" s="339" t="str">
        <x:v>State and dependency integrity</x:v>
      </x:c>
      <x:c r="G372" s="339" t="str">
        <x:v>the current record is in an allowed state (New → Contacted → Follow-up → Qualified / Lost / Converted)</x:v>
      </x:c>
      <x:c r="H372" s="339" t="str">
        <x:v>the user attempts a state-changing action</x:v>
      </x:c>
      <x:c r="I372" s="339" t="str">
        <x:v>only a valid transition is accepted and dependent records are updated according to configured business rules</x:v>
      </x:c>
      <x:c r="J372" s="339" t="str">
        <x:v>Positive</x:v>
      </x:c>
      <x:c r="K372" s="339" t="str">
        <x:v>Functional</x:v>
      </x:c>
    </x:row>
    <x:row r="373">
      <x:c r="A373" s="339" t="str">
        <x:v>AC-00372</x:v>
      </x:c>
      <x:c r="B373" s="339" t="str">
        <x:v>US-0093</x:v>
      </x:c>
      <x:c r="C373" s="339" t="str">
        <x:v>SCR-047</x:v>
      </x:c>
      <x:c r="D373" s="339" t="str">
        <x:v>Admissions &amp; Enquiries</x:v>
      </x:c>
      <x:c r="E373" s="339" t="str">
        <x:v>Follow-up Calendar</x:v>
      </x:c>
      <x:c r="F373" s="339" t="str">
        <x:v>Auditability</x:v>
      </x:c>
      <x:c r="G373" s="339" t="str">
        <x:v>a material create/update/approve/reverse action occurs</x:v>
      </x:c>
      <x:c r="H373" s="339" t="str">
        <x:v>the transaction succeeds</x:v>
      </x:c>
      <x:c r="I373" s="339" t="str">
        <x:v>the system records actor, timestamp, action, target and relevant before/after or reason context in the audit trail</x:v>
      </x:c>
      <x:c r="J373" s="339" t="str">
        <x:v>Positive</x:v>
      </x:c>
      <x:c r="K373" s="339" t="str">
        <x:v>Functional</x:v>
      </x:c>
    </x:row>
    <x:row r="374">
      <x:c r="A374" s="339" t="str">
        <x:v>AC-00373</x:v>
      </x:c>
      <x:c r="B374" s="339" t="str">
        <x:v>US-0094</x:v>
      </x:c>
      <x:c r="C374" s="339" t="str">
        <x:v>SCR-047</x:v>
      </x:c>
      <x:c r="D374" s="339" t="str">
        <x:v>Admissions &amp; Enquiries</x:v>
      </x:c>
      <x:c r="E374" s="339" t="str">
        <x:v>Follow-up Calendar</x:v>
      </x:c>
      <x:c r="F374" s="339" t="str">
        <x:v>Conflict detection</x:v>
      </x:c>
      <x:c r="G374" s="339" t="str">
        <x:v>a teacher/class/room/resource is already committed in the requested slot</x:v>
      </x:c>
      <x:c r="H374" s="339" t="str">
        <x:v>the user schedules an overlapping item</x:v>
      </x:c>
      <x:c r="I374" s="339" t="str">
        <x:v>the system blocks or flags the conflict according to override policy</x:v>
      </x:c>
      <x:c r="J374" s="339" t="str">
        <x:v>Negative</x:v>
      </x:c>
      <x:c r="K374" s="339" t="str">
        <x:v>Functional</x:v>
      </x:c>
    </x:row>
    <x:row r="375">
      <x:c r="A375" s="339" t="str">
        <x:v>AC-00374</x:v>
      </x:c>
      <x:c r="B375" s="339" t="str">
        <x:v>US-0094</x:v>
      </x:c>
      <x:c r="C375" s="339" t="str">
        <x:v>SCR-047</x:v>
      </x:c>
      <x:c r="D375" s="339" t="str">
        <x:v>Admissions &amp; Enquiries</x:v>
      </x:c>
      <x:c r="E375" s="339" t="str">
        <x:v>Follow-up Calendar</x:v>
      </x:c>
      <x:c r="F375" s="339" t="str">
        <x:v>Reschedule integrity</x:v>
      </x:c>
      <x:c r="G375" s="339" t="str">
        <x:v>an existing schedule item is changed</x:v>
      </x:c>
      <x:c r="H375" s="339" t="str">
        <x:v>the user confirms the new slot</x:v>
      </x:c>
      <x:c r="I375" s="339" t="str">
        <x:v>the system updates the schedule atomically and retains change history</x:v>
      </x:c>
      <x:c r="J375" s="339" t="str">
        <x:v>Positive</x:v>
      </x:c>
      <x:c r="K375" s="339" t="str">
        <x:v>Functional</x:v>
      </x:c>
    </x:row>
    <x:row r="376">
      <x:c r="A376" s="339" t="str">
        <x:v>AC-00375</x:v>
      </x:c>
      <x:c r="B376" s="339" t="str">
        <x:v>US-0094</x:v>
      </x:c>
      <x:c r="C376" s="339" t="str">
        <x:v>SCR-047</x:v>
      </x:c>
      <x:c r="D376" s="339" t="str">
        <x:v>Admissions &amp; Enquiries</x:v>
      </x:c>
      <x:c r="E376" s="339" t="str">
        <x:v>Follow-up Calendar</x:v>
      </x:c>
      <x:c r="F376" s="339" t="str">
        <x:v>Audience update</x:v>
      </x:c>
      <x:c r="G376" s="339" t="str">
        <x:v>a published schedule changes</x:v>
      </x:c>
      <x:c r="H376" s="339" t="str">
        <x:v>the change is saved</x:v>
      </x:c>
      <x:c r="I376" s="339" t="str">
        <x:v>affected users receive updated visibility/notification according to communication rules</x:v>
      </x:c>
      <x:c r="J376" s="339" t="str">
        <x:v>Positive</x:v>
      </x:c>
      <x:c r="K376" s="339" t="str">
        <x:v>Functional</x:v>
      </x:c>
    </x:row>
    <x:row r="377">
      <x:c r="A377" s="339" t="str">
        <x:v>AC-00376</x:v>
      </x:c>
      <x:c r="B377" s="339" t="str">
        <x:v>US-0094</x:v>
      </x:c>
      <x:c r="C377" s="339" t="str">
        <x:v>SCR-047</x:v>
      </x:c>
      <x:c r="D377" s="339" t="str">
        <x:v>Admissions &amp; Enquiries</x:v>
      </x:c>
      <x:c r="E377" s="339" t="str">
        <x:v>Follow-up Calendar</x:v>
      </x:c>
      <x:c r="F377" s="339" t="str">
        <x:v>Timezone/effective date</x:v>
      </x:c>
      <x:c r="G377" s="339" t="str">
        <x:v>users operate in configured school timezone</x:v>
      </x:c>
      <x:c r="H377" s="339" t="str">
        <x:v>times are displayed or saved</x:v>
      </x:c>
      <x:c r="I377" s="339" t="str">
        <x:v>the system consistently stores and renders the intended local schedule without date-shift errors</x:v>
      </x:c>
      <x:c r="J377" s="339" t="str">
        <x:v>Positive</x:v>
      </x:c>
      <x:c r="K377" s="339" t="str">
        <x:v>Functional</x:v>
      </x:c>
    </x:row>
    <x:row r="378">
      <x:c r="A378" s="339" t="str">
        <x:v>AC-00377</x:v>
      </x:c>
      <x:c r="B378" s="339" t="str">
        <x:v>US-0095</x:v>
      </x:c>
      <x:c r="C378" s="339" t="str">
        <x:v>SCR-048</x:v>
      </x:c>
      <x:c r="D378" s="339" t="str">
        <x:v>Admissions &amp; Enquiries</x:v>
      </x:c>
      <x:c r="E378" s="339" t="str">
        <x:v>Admission Applications</x:v>
      </x:c>
      <x:c r="F378" s="339" t="str">
        <x:v>Authorized access to Admission Applications</x:v>
      </x:c>
      <x:c r="G378" s="339" t="str">
        <x:v>the Admission Officer is authenticated and has access to Admission Applications</x:v>
      </x:c>
      <x:c r="H378" s="339" t="str">
        <x:v>the user opens or invokes Admission Applications</x:v>
      </x:c>
      <x:c r="I378" s="339" t="str">
        <x:v>the system loads only records and actions within the user's permitted tenant/school/data scope</x:v>
      </x:c>
      <x:c r="J378" s="339" t="str">
        <x:v>Positive</x:v>
      </x:c>
      <x:c r="K378" s="339" t="str">
        <x:v>Functional / Security</x:v>
      </x:c>
    </x:row>
    <x:row r="379">
      <x:c r="A379" s="339" t="str">
        <x:v>AC-00378</x:v>
      </x:c>
      <x:c r="B379" s="339" t="str">
        <x:v>US-0095</x:v>
      </x:c>
      <x:c r="C379" s="339" t="str">
        <x:v>SCR-048</x:v>
      </x:c>
      <x:c r="D379" s="339" t="str">
        <x:v>Admissions &amp; Enquiries</x:v>
      </x:c>
      <x:c r="E379" s="339" t="str">
        <x:v>Admission Applications</x:v>
      </x:c>
      <x:c r="F379" s="339" t="str">
        <x:v>Successful Admission Applications happy path</x:v>
      </x:c>
      <x:c r="G379" s="339" t="str">
        <x:v>all mandatory prerequisites and valid data are available</x:v>
      </x:c>
      <x:c r="H379" s="339" t="str">
        <x:v>the Admission Officer completes the primary action on Admission Applications</x:v>
      </x:c>
      <x:c r="I379" s="339" t="str">
        <x:v>the system validates the request, saves it atomically, shows a clear confirmation and reflects the updated state</x:v>
      </x:c>
      <x:c r="J379" s="339" t="str">
        <x:v>Positive</x:v>
      </x:c>
      <x:c r="K379" s="339" t="str">
        <x:v>Functional</x:v>
      </x:c>
    </x:row>
    <x:row r="380">
      <x:c r="A380" s="339" t="str">
        <x:v>AC-00379</x:v>
      </x:c>
      <x:c r="B380" s="339" t="str">
        <x:v>US-0095</x:v>
      </x:c>
      <x:c r="C380" s="339" t="str">
        <x:v>SCR-048</x:v>
      </x:c>
      <x:c r="D380" s="339" t="str">
        <x:v>Admissions &amp; Enquiries</x:v>
      </x:c>
      <x:c r="E380" s="339" t="str">
        <x:v>Admission Applications</x:v>
      </x:c>
      <x:c r="F380" s="339" t="str">
        <x:v>State and dependency integrity</x:v>
      </x:c>
      <x:c r="G380" s="339" t="str">
        <x:v>the current record is in an allowed state (Draft → Submitted → Verification → Assessment (optional) → Approved / Rejected → Fee Pending → Admitted)</x:v>
      </x:c>
      <x:c r="H380" s="339" t="str">
        <x:v>the user attempts a state-changing action</x:v>
      </x:c>
      <x:c r="I380" s="339" t="str">
        <x:v>only a valid transition is accepted and dependent records are updated according to configured business rules</x:v>
      </x:c>
      <x:c r="J380" s="339" t="str">
        <x:v>Positive</x:v>
      </x:c>
      <x:c r="K380" s="339" t="str">
        <x:v>Functional</x:v>
      </x:c>
    </x:row>
    <x:row r="381">
      <x:c r="A381" s="339" t="str">
        <x:v>AC-00380</x:v>
      </x:c>
      <x:c r="B381" s="339" t="str">
        <x:v>US-0095</x:v>
      </x:c>
      <x:c r="C381" s="339" t="str">
        <x:v>SCR-048</x:v>
      </x:c>
      <x:c r="D381" s="339" t="str">
        <x:v>Admissions &amp; Enquiries</x:v>
      </x:c>
      <x:c r="E381" s="339" t="str">
        <x:v>Admission Applications</x:v>
      </x:c>
      <x:c r="F381" s="339" t="str">
        <x:v>Auditability</x:v>
      </x:c>
      <x:c r="G381" s="339" t="str">
        <x:v>a material create/update/approve/reverse action occurs</x:v>
      </x:c>
      <x:c r="H381" s="339" t="str">
        <x:v>the transaction succeeds</x:v>
      </x:c>
      <x:c r="I381" s="339" t="str">
        <x:v>the system records actor, timestamp, action, target and relevant before/after or reason context in the audit trail</x:v>
      </x:c>
      <x:c r="J381" s="339" t="str">
        <x:v>Positive</x:v>
      </x:c>
      <x:c r="K381" s="339" t="str">
        <x:v>Functional</x:v>
      </x:c>
    </x:row>
    <x:row r="382">
      <x:c r="A382" s="339" t="str">
        <x:v>AC-00381</x:v>
      </x:c>
      <x:c r="B382" s="339" t="str">
        <x:v>US-0096</x:v>
      </x:c>
      <x:c r="C382" s="339" t="str">
        <x:v>SCR-048</x:v>
      </x:c>
      <x:c r="D382" s="339" t="str">
        <x:v>Admissions &amp; Enquiries</x:v>
      </x:c>
      <x:c r="E382" s="339" t="str">
        <x:v>Admission Applications</x:v>
      </x:c>
      <x:c r="F382" s="339" t="str">
        <x:v>Search and filtering</x:v>
      </x:c>
      <x:c r="G382" s="339" t="str">
        <x:v>authorized records exist across multiple values</x:v>
      </x:c>
      <x:c r="H382" s="339" t="str">
        <x:v>the user applies search, filters, sorting or pagination</x:v>
      </x:c>
      <x:c r="I382" s="339" t="str">
        <x:v>the results match all selected criteria and remain within the user's data scope</x:v>
      </x:c>
      <x:c r="J382" s="339" t="str">
        <x:v>Positive</x:v>
      </x:c>
      <x:c r="K382" s="339" t="str">
        <x:v>Functional</x:v>
      </x:c>
    </x:row>
    <x:row r="383">
      <x:c r="A383" s="339" t="str">
        <x:v>AC-00382</x:v>
      </x:c>
      <x:c r="B383" s="339" t="str">
        <x:v>US-0096</x:v>
      </x:c>
      <x:c r="C383" s="339" t="str">
        <x:v>SCR-048</x:v>
      </x:c>
      <x:c r="D383" s="339" t="str">
        <x:v>Admissions &amp; Enquiries</x:v>
      </x:c>
      <x:c r="E383" s="339" t="str">
        <x:v>Admission Applications</x:v>
      </x:c>
      <x:c r="F383" s="339" t="str">
        <x:v>Controlled row actions</x:v>
      </x:c>
      <x:c r="G383" s="339" t="str">
        <x:v>records are returned in the list</x:v>
      </x:c>
      <x:c r="H383" s="339" t="str">
        <x:v>the user opens the action menu</x:v>
      </x:c>
      <x:c r="I383" s="339" t="str">
        <x:v>only actions permitted for the user's role and the record's current state are offered</x:v>
      </x:c>
      <x:c r="J383" s="339" t="str">
        <x:v>Positive</x:v>
      </x:c>
      <x:c r="K383" s="339" t="str">
        <x:v>Functional</x:v>
      </x:c>
    </x:row>
    <x:row r="384">
      <x:c r="A384" s="339" t="str">
        <x:v>AC-00383</x:v>
      </x:c>
      <x:c r="B384" s="339" t="str">
        <x:v>US-0096</x:v>
      </x:c>
      <x:c r="C384" s="339" t="str">
        <x:v>SCR-048</x:v>
      </x:c>
      <x:c r="D384" s="339" t="str">
        <x:v>Admissions &amp; Enquiries</x:v>
      </x:c>
      <x:c r="E384" s="339" t="str">
        <x:v>Admission Applications</x:v>
      </x:c>
      <x:c r="F384" s="339" t="str">
        <x:v>Empty/no-result handling</x:v>
      </x:c>
      <x:c r="G384" s="339" t="str">
        <x:v>no record matches the current criteria</x:v>
      </x:c>
      <x:c r="H384" s="339" t="str">
        <x:v>the query completes</x:v>
      </x:c>
      <x:c r="I384" s="339" t="str">
        <x:v>the system shows a clear empty state without treating it as an application error</x:v>
      </x:c>
      <x:c r="J384" s="339" t="str">
        <x:v>Positive</x:v>
      </x:c>
      <x:c r="K384" s="339" t="str">
        <x:v>Functional</x:v>
      </x:c>
    </x:row>
    <x:row r="385">
      <x:c r="A385" s="339" t="str">
        <x:v>AC-00384</x:v>
      </x:c>
      <x:c r="B385" s="339" t="str">
        <x:v>US-0096</x:v>
      </x:c>
      <x:c r="C385" s="339" t="str">
        <x:v>SCR-048</x:v>
      </x:c>
      <x:c r="D385" s="339" t="str">
        <x:v>Admissions &amp; Enquiries</x:v>
      </x:c>
      <x:c r="E385" s="339" t="str">
        <x:v>Admission Applications</x:v>
      </x:c>
      <x:c r="F385" s="339" t="str">
        <x:v>Export scope</x:v>
      </x:c>
      <x:c r="G385" s="339" t="str">
        <x:v>the user has export permission</x:v>
      </x:c>
      <x:c r="H385" s="339" t="str">
        <x:v>the user exports the filtered list</x:v>
      </x:c>
      <x:c r="I385" s="339" t="str">
        <x:v>the export contains the same authorized filter scope and excludes restricted fields</x:v>
      </x:c>
      <x:c r="J385" s="339" t="str">
        <x:v>Positive</x:v>
      </x:c>
      <x:c r="K385" s="339" t="str">
        <x:v>Functional</x:v>
      </x:c>
    </x:row>
    <x:row r="386">
      <x:c r="A386" s="339" t="str">
        <x:v>AC-00385</x:v>
      </x:c>
      <x:c r="B386" s="339" t="str">
        <x:v>US-0097</x:v>
      </x:c>
      <x:c r="C386" s="339" t="str">
        <x:v>SCR-049</x:v>
      </x:c>
      <x:c r="D386" s="339" t="str">
        <x:v>Admissions &amp; Enquiries</x:v>
      </x:c>
      <x:c r="E386" s="339" t="str">
        <x:v>New Admission Application</x:v>
      </x:c>
      <x:c r="F386" s="339" t="str">
        <x:v>Authorized access to New Admission Application</x:v>
      </x:c>
      <x:c r="G386" s="339" t="str">
        <x:v>the Admission Officer is authenticated and has access to New Admission Application</x:v>
      </x:c>
      <x:c r="H386" s="339" t="str">
        <x:v>the user opens or invokes New Admission Application</x:v>
      </x:c>
      <x:c r="I386" s="339" t="str">
        <x:v>the system loads only records and actions within the user's permitted tenant/school/data scope</x:v>
      </x:c>
      <x:c r="J386" s="339" t="str">
        <x:v>Positive</x:v>
      </x:c>
      <x:c r="K386" s="339" t="str">
        <x:v>Functional / Security</x:v>
      </x:c>
    </x:row>
    <x:row r="387">
      <x:c r="A387" s="339" t="str">
        <x:v>AC-00386</x:v>
      </x:c>
      <x:c r="B387" s="339" t="str">
        <x:v>US-0097</x:v>
      </x:c>
      <x:c r="C387" s="339" t="str">
        <x:v>SCR-049</x:v>
      </x:c>
      <x:c r="D387" s="339" t="str">
        <x:v>Admissions &amp; Enquiries</x:v>
      </x:c>
      <x:c r="E387" s="339" t="str">
        <x:v>New Admission Application</x:v>
      </x:c>
      <x:c r="F387" s="339" t="str">
        <x:v>Successful New Admission Application happy path</x:v>
      </x:c>
      <x:c r="G387" s="339" t="str">
        <x:v>all mandatory prerequisites and valid data are available</x:v>
      </x:c>
      <x:c r="H387" s="339" t="str">
        <x:v>the Admission Officer completes the primary action on New Admission Application</x:v>
      </x:c>
      <x:c r="I387" s="339" t="str">
        <x:v>the system validates the request, saves it atomically, shows a clear confirmation and reflects the updated state</x:v>
      </x:c>
      <x:c r="J387" s="339" t="str">
        <x:v>Positive</x:v>
      </x:c>
      <x:c r="K387" s="339" t="str">
        <x:v>Functional</x:v>
      </x:c>
    </x:row>
    <x:row r="388">
      <x:c r="A388" s="339" t="str">
        <x:v>AC-00387</x:v>
      </x:c>
      <x:c r="B388" s="339" t="str">
        <x:v>US-0097</x:v>
      </x:c>
      <x:c r="C388" s="339" t="str">
        <x:v>SCR-049</x:v>
      </x:c>
      <x:c r="D388" s="339" t="str">
        <x:v>Admissions &amp; Enquiries</x:v>
      </x:c>
      <x:c r="E388" s="339" t="str">
        <x:v>New Admission Application</x:v>
      </x:c>
      <x:c r="F388" s="339" t="str">
        <x:v>State and dependency integrity</x:v>
      </x:c>
      <x:c r="G388" s="339" t="str">
        <x:v>the current record is in an allowed state (Draft → Submitted → Verification → Assessment (optional) → Approved / Rejected → Fee Pending → Admitted)</x:v>
      </x:c>
      <x:c r="H388" s="339" t="str">
        <x:v>the user attempts a state-changing action</x:v>
      </x:c>
      <x:c r="I388" s="339" t="str">
        <x:v>only a valid transition is accepted and dependent records are updated according to configured business rules</x:v>
      </x:c>
      <x:c r="J388" s="339" t="str">
        <x:v>Positive</x:v>
      </x:c>
      <x:c r="K388" s="339" t="str">
        <x:v>Functional</x:v>
      </x:c>
    </x:row>
    <x:row r="389">
      <x:c r="A389" s="339" t="str">
        <x:v>AC-00388</x:v>
      </x:c>
      <x:c r="B389" s="339" t="str">
        <x:v>US-0097</x:v>
      </x:c>
      <x:c r="C389" s="339" t="str">
        <x:v>SCR-049</x:v>
      </x:c>
      <x:c r="D389" s="339" t="str">
        <x:v>Admissions &amp; Enquiries</x:v>
      </x:c>
      <x:c r="E389" s="339" t="str">
        <x:v>New Admission Application</x:v>
      </x:c>
      <x:c r="F389" s="339" t="str">
        <x:v>Auditability</x:v>
      </x:c>
      <x:c r="G389" s="339" t="str">
        <x:v>a material create/update/approve/reverse action occurs</x:v>
      </x:c>
      <x:c r="H389" s="339" t="str">
        <x:v>the transaction succeeds</x:v>
      </x:c>
      <x:c r="I389" s="339" t="str">
        <x:v>the system records actor, timestamp, action, target and relevant before/after or reason context in the audit trail</x:v>
      </x:c>
      <x:c r="J389" s="339" t="str">
        <x:v>Positive</x:v>
      </x:c>
      <x:c r="K389" s="339" t="str">
        <x:v>Functional</x:v>
      </x:c>
    </x:row>
    <x:row r="390">
      <x:c r="A390" s="339" t="str">
        <x:v>AC-00389</x:v>
      </x:c>
      <x:c r="B390" s="339" t="str">
        <x:v>US-0098</x:v>
      </x:c>
      <x:c r="C390" s="339" t="str">
        <x:v>SCR-049</x:v>
      </x:c>
      <x:c r="D390" s="339" t="str">
        <x:v>Admissions &amp; Enquiries</x:v>
      </x:c>
      <x:c r="E390" s="339" t="str">
        <x:v>New Admission Application</x:v>
      </x:c>
      <x:c r="F390" s="339" t="str">
        <x:v>Required-field validation</x:v>
      </x:c>
      <x:c r="G390" s="339" t="str">
        <x:v>one or more required values are missing/invalid</x:v>
      </x:c>
      <x:c r="H390" s="339" t="str">
        <x:v>the user submits the form</x:v>
      </x:c>
      <x:c r="I390" s="339" t="str">
        <x:v>submission is blocked and field-level messages identify what must be corrected</x:v>
      </x:c>
      <x:c r="J390" s="339" t="str">
        <x:v>Positive</x:v>
      </x:c>
      <x:c r="K390" s="339" t="str">
        <x:v>Functional</x:v>
      </x:c>
    </x:row>
    <x:row r="391">
      <x:c r="A391" s="339" t="str">
        <x:v>AC-00390</x:v>
      </x:c>
      <x:c r="B391" s="339" t="str">
        <x:v>US-0098</x:v>
      </x:c>
      <x:c r="C391" s="339" t="str">
        <x:v>SCR-049</x:v>
      </x:c>
      <x:c r="D391" s="339" t="str">
        <x:v>Admissions &amp; Enquiries</x:v>
      </x:c>
      <x:c r="E391" s="339" t="str">
        <x:v>New Admission Application</x:v>
      </x:c>
      <x:c r="F391" s="339" t="str">
        <x:v>Duplicate prevention</x:v>
      </x:c>
      <x:c r="G391" s="339" t="str">
        <x:v>a potentially duplicate record exists</x:v>
      </x:c>
      <x:c r="H391" s="339" t="str">
        <x:v>the user submits matching identity/master data</x:v>
      </x:c>
      <x:c r="I391" s="339" t="str">
        <x:v>the system blocks or warns according to configured duplicate policy before creating another record</x:v>
      </x:c>
      <x:c r="J391" s="339" t="str">
        <x:v>Negative</x:v>
      </x:c>
      <x:c r="K391" s="339" t="str">
        <x:v>Functional</x:v>
      </x:c>
    </x:row>
    <x:row r="392">
      <x:c r="A392" s="339" t="str">
        <x:v>AC-00391</x:v>
      </x:c>
      <x:c r="B392" s="339" t="str">
        <x:v>US-0098</x:v>
      </x:c>
      <x:c r="C392" s="339" t="str">
        <x:v>SCR-049</x:v>
      </x:c>
      <x:c r="D392" s="339" t="str">
        <x:v>Admissions &amp; Enquiries</x:v>
      </x:c>
      <x:c r="E392" s="339" t="str">
        <x:v>New Admission Application</x:v>
      </x:c>
      <x:c r="F392" s="339" t="str">
        <x:v>Reference-data integrity</x:v>
      </x:c>
      <x:c r="G392" s="339" t="str">
        <x:v>the form contains master-data selections</x:v>
      </x:c>
      <x:c r="H392" s="339" t="str">
        <x:v>the user submits</x:v>
      </x:c>
      <x:c r="I392" s="339" t="str">
        <x:v>all referenced values are active, effective and within the user's scope at the time of save</x:v>
      </x:c>
      <x:c r="J392" s="339" t="str">
        <x:v>Positive</x:v>
      </x:c>
      <x:c r="K392" s="339" t="str">
        <x:v>Functional</x:v>
      </x:c>
    </x:row>
    <x:row r="393">
      <x:c r="A393" s="339" t="str">
        <x:v>AC-00392</x:v>
      </x:c>
      <x:c r="B393" s="339" t="str">
        <x:v>US-0098</x:v>
      </x:c>
      <x:c r="C393" s="339" t="str">
        <x:v>SCR-049</x:v>
      </x:c>
      <x:c r="D393" s="339" t="str">
        <x:v>Admissions &amp; Enquiries</x:v>
      </x:c>
      <x:c r="E393" s="339" t="str">
        <x:v>New Admission Application</x:v>
      </x:c>
      <x:c r="F393" s="339" t="str">
        <x:v>Retry safety</x:v>
      </x:c>
      <x:c r="G393" s="339" t="str">
        <x:v>a network retry or repeated click occurs</x:v>
      </x:c>
      <x:c r="H393" s="339" t="str">
        <x:v>the same transaction is submitted again</x:v>
      </x:c>
      <x:c r="I393" s="339" t="str">
        <x:v>the system prevents unintended duplicate transactions through idempotency or duplicate detection</x:v>
      </x:c>
      <x:c r="J393" s="339" t="str">
        <x:v>Positive</x:v>
      </x:c>
      <x:c r="K393" s="339" t="str">
        <x:v>Functional</x:v>
      </x:c>
    </x:row>
    <x:row r="394">
      <x:c r="A394" s="339" t="str">
        <x:v>AC-00393</x:v>
      </x:c>
      <x:c r="B394" s="339" t="str">
        <x:v>US-0099</x:v>
      </x:c>
      <x:c r="C394" s="339" t="str">
        <x:v>SCR-050</x:v>
      </x:c>
      <x:c r="D394" s="339" t="str">
        <x:v>Admissions &amp; Enquiries</x:v>
      </x:c>
      <x:c r="E394" s="339" t="str">
        <x:v>Application Details</x:v>
      </x:c>
      <x:c r="F394" s="339" t="str">
        <x:v>Authorized access to Application Details</x:v>
      </x:c>
      <x:c r="G394" s="339" t="str">
        <x:v>the Admission Officer is authenticated and has access to Application Details</x:v>
      </x:c>
      <x:c r="H394" s="339" t="str">
        <x:v>the user opens or invokes Application Details</x:v>
      </x:c>
      <x:c r="I394" s="339" t="str">
        <x:v>the system loads only records and actions within the user's permitted tenant/school/data scope</x:v>
      </x:c>
      <x:c r="J394" s="339" t="str">
        <x:v>Positive</x:v>
      </x:c>
      <x:c r="K394" s="339" t="str">
        <x:v>Functional / Security</x:v>
      </x:c>
    </x:row>
    <x:row r="395">
      <x:c r="A395" s="339" t="str">
        <x:v>AC-00394</x:v>
      </x:c>
      <x:c r="B395" s="339" t="str">
        <x:v>US-0099</x:v>
      </x:c>
      <x:c r="C395" s="339" t="str">
        <x:v>SCR-050</x:v>
      </x:c>
      <x:c r="D395" s="339" t="str">
        <x:v>Admissions &amp; Enquiries</x:v>
      </x:c>
      <x:c r="E395" s="339" t="str">
        <x:v>Application Details</x:v>
      </x:c>
      <x:c r="F395" s="339" t="str">
        <x:v>Successful Application Details happy path</x:v>
      </x:c>
      <x:c r="G395" s="339" t="str">
        <x:v>all mandatory prerequisites and valid data are available</x:v>
      </x:c>
      <x:c r="H395" s="339" t="str">
        <x:v>the Admission Officer completes the primary action on Application Details</x:v>
      </x:c>
      <x:c r="I395" s="339" t="str">
        <x:v>the system validates the request, saves it atomically, shows a clear confirmation and reflects the updated state</x:v>
      </x:c>
      <x:c r="J395" s="339" t="str">
        <x:v>Positive</x:v>
      </x:c>
      <x:c r="K395" s="339" t="str">
        <x:v>Functional</x:v>
      </x:c>
    </x:row>
    <x:row r="396">
      <x:c r="A396" s="339" t="str">
        <x:v>AC-00395</x:v>
      </x:c>
      <x:c r="B396" s="339" t="str">
        <x:v>US-0099</x:v>
      </x:c>
      <x:c r="C396" s="339" t="str">
        <x:v>SCR-050</x:v>
      </x:c>
      <x:c r="D396" s="339" t="str">
        <x:v>Admissions &amp; Enquiries</x:v>
      </x:c>
      <x:c r="E396" s="339" t="str">
        <x:v>Application Details</x:v>
      </x:c>
      <x:c r="F396" s="339" t="str">
        <x:v>State and dependency integrity</x:v>
      </x:c>
      <x:c r="G396" s="339" t="str">
        <x:v>the current record is in an allowed state (Draft → Submitted → Verification → Assessment (optional) → Approved / Rejected → Fee Pending → Admitted)</x:v>
      </x:c>
      <x:c r="H396" s="339" t="str">
        <x:v>the user attempts a state-changing action</x:v>
      </x:c>
      <x:c r="I396" s="339" t="str">
        <x:v>only a valid transition is accepted and dependent records are updated according to configured business rules</x:v>
      </x:c>
      <x:c r="J396" s="339" t="str">
        <x:v>Positive</x:v>
      </x:c>
      <x:c r="K396" s="339" t="str">
        <x:v>Functional</x:v>
      </x:c>
    </x:row>
    <x:row r="397">
      <x:c r="A397" s="339" t="str">
        <x:v>AC-00396</x:v>
      </x:c>
      <x:c r="B397" s="339" t="str">
        <x:v>US-0099</x:v>
      </x:c>
      <x:c r="C397" s="339" t="str">
        <x:v>SCR-050</x:v>
      </x:c>
      <x:c r="D397" s="339" t="str">
        <x:v>Admissions &amp; Enquiries</x:v>
      </x:c>
      <x:c r="E397" s="339" t="str">
        <x:v>Application Details</x:v>
      </x:c>
      <x:c r="F397" s="339" t="str">
        <x:v>Auditability</x:v>
      </x:c>
      <x:c r="G397" s="339" t="str">
        <x:v>a material create/update/approve/reverse action occurs</x:v>
      </x:c>
      <x:c r="H397" s="339" t="str">
        <x:v>the transaction succeeds</x:v>
      </x:c>
      <x:c r="I397" s="339" t="str">
        <x:v>the system records actor, timestamp, action, target and relevant before/after or reason context in the audit trail</x:v>
      </x:c>
      <x:c r="J397" s="339" t="str">
        <x:v>Positive</x:v>
      </x:c>
      <x:c r="K397" s="339" t="str">
        <x:v>Functional</x:v>
      </x:c>
    </x:row>
    <x:row r="398">
      <x:c r="A398" s="339" t="str">
        <x:v>AC-00397</x:v>
      </x:c>
      <x:c r="B398" s="339" t="str">
        <x:v>US-0100</x:v>
      </x:c>
      <x:c r="C398" s="339" t="str">
        <x:v>SCR-050</x:v>
      </x:c>
      <x:c r="D398" s="339" t="str">
        <x:v>Admissions &amp; Enquiries</x:v>
      </x:c>
      <x:c r="E398" s="339" t="str">
        <x:v>Application Details</x:v>
      </x:c>
      <x:c r="F398" s="339" t="str">
        <x:v>Complete authorized view</x:v>
      </x:c>
      <x:c r="G398" s="339" t="str">
        <x:v>the record exists and the user is authorized</x:v>
      </x:c>
      <x:c r="H398" s="339" t="str">
        <x:v>the detail/profile opens</x:v>
      </x:c>
      <x:c r="I398" s="339" t="str">
        <x:v>the system loads the required summary, relationships and history while masking restricted fields</x:v>
      </x:c>
      <x:c r="J398" s="339" t="str">
        <x:v>Positive</x:v>
      </x:c>
      <x:c r="K398" s="339" t="str">
        <x:v>Functional / Security</x:v>
      </x:c>
    </x:row>
    <x:row r="399">
      <x:c r="A399" s="339" t="str">
        <x:v>AC-00398</x:v>
      </x:c>
      <x:c r="B399" s="339" t="str">
        <x:v>US-0100</x:v>
      </x:c>
      <x:c r="C399" s="339" t="str">
        <x:v>SCR-050</x:v>
      </x:c>
      <x:c r="D399" s="339" t="str">
        <x:v>Admissions &amp; Enquiries</x:v>
      </x:c>
      <x:c r="E399" s="339" t="str">
        <x:v>Application Details</x:v>
      </x:c>
      <x:c r="F399" s="339" t="str">
        <x:v>Controlled edit</x:v>
      </x:c>
      <x:c r="G399" s="339" t="str">
        <x:v>the user has edit permission and the record is editable</x:v>
      </x:c>
      <x:c r="H399" s="339" t="str">
        <x:v>the user saves a change</x:v>
      </x:c>
      <x:c r="I399" s="339" t="str">
        <x:v>validation and state rules run before the update is committed</x:v>
      </x:c>
      <x:c r="J399" s="339" t="str">
        <x:v>Positive</x:v>
      </x:c>
      <x:c r="K399" s="339" t="str">
        <x:v>Functional</x:v>
      </x:c>
    </x:row>
    <x:row r="400">
      <x:c r="A400" s="339" t="str">
        <x:v>AC-00399</x:v>
      </x:c>
      <x:c r="B400" s="339" t="str">
        <x:v>US-0100</x:v>
      </x:c>
      <x:c r="C400" s="339" t="str">
        <x:v>SCR-050</x:v>
      </x:c>
      <x:c r="D400" s="339" t="str">
        <x:v>Admissions &amp; Enquiries</x:v>
      </x:c>
      <x:c r="E400" s="339" t="str">
        <x:v>Application Details</x:v>
      </x:c>
      <x:c r="F400" s="339" t="str">
        <x:v>Concurrent edit protection</x:v>
      </x:c>
      <x:c r="G400" s="339" t="str">
        <x:v>another user has changed the record after it was loaded</x:v>
      </x:c>
      <x:c r="H400" s="339" t="str">
        <x:v>the first user attempts to save stale data</x:v>
      </x:c>
      <x:c r="I400" s="339" t="str">
        <x:v>the system detects the version conflict or preserves fields safely instead of silently overwriting</x:v>
      </x:c>
      <x:c r="J400" s="339" t="str">
        <x:v>Positive</x:v>
      </x:c>
      <x:c r="K400" s="339" t="str">
        <x:v>Functional</x:v>
      </x:c>
    </x:row>
    <x:row r="401">
      <x:c r="A401" s="339" t="str">
        <x:v>AC-00400</x:v>
      </x:c>
      <x:c r="B401" s="339" t="str">
        <x:v>US-0100</x:v>
      </x:c>
      <x:c r="C401" s="339" t="str">
        <x:v>SCR-050</x:v>
      </x:c>
      <x:c r="D401" s="339" t="str">
        <x:v>Admissions &amp; Enquiries</x:v>
      </x:c>
      <x:c r="E401" s="339" t="str">
        <x:v>Application Details</x:v>
      </x:c>
      <x:c r="F401" s="339" t="str">
        <x:v>History retention</x:v>
      </x:c>
      <x:c r="G401" s="339" t="str">
        <x:v>the record has prior changes/statuses</x:v>
      </x:c>
      <x:c r="H401" s="339" t="str">
        <x:v>the user views history</x:v>
      </x:c>
      <x:c r="I401" s="339" t="str">
        <x:v>the audit/activity timeline shows traceable material changes without exposing restricted notes</x:v>
      </x:c>
      <x:c r="J401" s="339" t="str">
        <x:v>Positive</x:v>
      </x:c>
      <x:c r="K401" s="339" t="str">
        <x:v>Functional</x:v>
      </x:c>
    </x:row>
    <x:row r="402">
      <x:c r="A402" s="339" t="str">
        <x:v>AC-00401</x:v>
      </x:c>
      <x:c r="B402" s="339" t="str">
        <x:v>US-0101</x:v>
      </x:c>
      <x:c r="C402" s="339" t="str">
        <x:v>SCR-051</x:v>
      </x:c>
      <x:c r="D402" s="339" t="str">
        <x:v>Admissions &amp; Enquiries</x:v>
      </x:c>
      <x:c r="E402" s="339" t="str">
        <x:v>Document Verification</x:v>
      </x:c>
      <x:c r="F402" s="339" t="str">
        <x:v>Authorized access to Document Verification</x:v>
      </x:c>
      <x:c r="G402" s="339" t="str">
        <x:v>the Admission Officer is authenticated and has access to Document Verification</x:v>
      </x:c>
      <x:c r="H402" s="339" t="str">
        <x:v>the user opens or invokes Document Verification</x:v>
      </x:c>
      <x:c r="I402" s="339" t="str">
        <x:v>the system loads only records and actions within the user's permitted tenant/school/data scope</x:v>
      </x:c>
      <x:c r="J402" s="339" t="str">
        <x:v>Positive</x:v>
      </x:c>
      <x:c r="K402" s="339" t="str">
        <x:v>Functional / Security</x:v>
      </x:c>
    </x:row>
    <x:row r="403">
      <x:c r="A403" s="339" t="str">
        <x:v>AC-00402</x:v>
      </x:c>
      <x:c r="B403" s="339" t="str">
        <x:v>US-0101</x:v>
      </x:c>
      <x:c r="C403" s="339" t="str">
        <x:v>SCR-051</x:v>
      </x:c>
      <x:c r="D403" s="339" t="str">
        <x:v>Admissions &amp; Enquiries</x:v>
      </x:c>
      <x:c r="E403" s="339" t="str">
        <x:v>Document Verification</x:v>
      </x:c>
      <x:c r="F403" s="339" t="str">
        <x:v>Successful Document Verification happy path</x:v>
      </x:c>
      <x:c r="G403" s="339" t="str">
        <x:v>all mandatory prerequisites and valid data are available</x:v>
      </x:c>
      <x:c r="H403" s="339" t="str">
        <x:v>the Admission Officer completes the primary action on Document Verification</x:v>
      </x:c>
      <x:c r="I403" s="339" t="str">
        <x:v>the system validates the request, saves it atomically, shows a clear confirmation and reflects the updated state</x:v>
      </x:c>
      <x:c r="J403" s="339" t="str">
        <x:v>Positive</x:v>
      </x:c>
      <x:c r="K403" s="339" t="str">
        <x:v>Functional</x:v>
      </x:c>
    </x:row>
    <x:row r="404">
      <x:c r="A404" s="339" t="str">
        <x:v>AC-00403</x:v>
      </x:c>
      <x:c r="B404" s="339" t="str">
        <x:v>US-0101</x:v>
      </x:c>
      <x:c r="C404" s="339" t="str">
        <x:v>SCR-051</x:v>
      </x:c>
      <x:c r="D404" s="339" t="str">
        <x:v>Admissions &amp; Enquiries</x:v>
      </x:c>
      <x:c r="E404" s="339" t="str">
        <x:v>Document Verification</x:v>
      </x:c>
      <x:c r="F404" s="339" t="str">
        <x:v>State and dependency integrity</x:v>
      </x:c>
      <x:c r="G404" s="339" t="str">
        <x:v>the current record is in an allowed state (Draft → Submitted → Verification → Assessment (optional) → Approved / Rejected → Fee Pending → Admitted)</x:v>
      </x:c>
      <x:c r="H404" s="339" t="str">
        <x:v>the user attempts a state-changing action</x:v>
      </x:c>
      <x:c r="I404" s="339" t="str">
        <x:v>only a valid transition is accepted and dependent records are updated according to configured business rules</x:v>
      </x:c>
      <x:c r="J404" s="339" t="str">
        <x:v>Positive</x:v>
      </x:c>
      <x:c r="K404" s="339" t="str">
        <x:v>Functional</x:v>
      </x:c>
    </x:row>
    <x:row r="405">
      <x:c r="A405" s="339" t="str">
        <x:v>AC-00404</x:v>
      </x:c>
      <x:c r="B405" s="339" t="str">
        <x:v>US-0101</x:v>
      </x:c>
      <x:c r="C405" s="339" t="str">
        <x:v>SCR-051</x:v>
      </x:c>
      <x:c r="D405" s="339" t="str">
        <x:v>Admissions &amp; Enquiries</x:v>
      </x:c>
      <x:c r="E405" s="339" t="str">
        <x:v>Document Verification</x:v>
      </x:c>
      <x:c r="F405" s="339" t="str">
        <x:v>Auditability</x:v>
      </x:c>
      <x:c r="G405" s="339" t="str">
        <x:v>a material create/update/approve/reverse action occurs</x:v>
      </x:c>
      <x:c r="H405" s="339" t="str">
        <x:v>the transaction succeeds</x:v>
      </x:c>
      <x:c r="I405" s="339" t="str">
        <x:v>the system records actor, timestamp, action, target and relevant before/after or reason context in the audit trail</x:v>
      </x:c>
      <x:c r="J405" s="339" t="str">
        <x:v>Positive</x:v>
      </x:c>
      <x:c r="K405" s="339" t="str">
        <x:v>Functional</x:v>
      </x:c>
    </x:row>
    <x:row r="406">
      <x:c r="A406" s="339" t="str">
        <x:v>AC-00405</x:v>
      </x:c>
      <x:c r="B406" s="339" t="str">
        <x:v>US-0102</x:v>
      </x:c>
      <x:c r="C406" s="339" t="str">
        <x:v>SCR-051</x:v>
      </x:c>
      <x:c r="D406" s="339" t="str">
        <x:v>Admissions &amp; Enquiries</x:v>
      </x:c>
      <x:c r="E406" s="339" t="str">
        <x:v>Document Verification</x:v>
      </x:c>
      <x:c r="F406" s="339" t="str">
        <x:v>Valid status transition</x:v>
      </x:c>
      <x:c r="G406" s="339" t="str">
        <x:v>the record is in a state described by Draft → Submitted → Verification → Assessment (optional) → Approved / Rejected → Fee Pending → Admitted</x:v>
      </x:c>
      <x:c r="H406" s="339" t="str">
        <x:v>the user requests a transition</x:v>
      </x:c>
      <x:c r="I406" s="339" t="str">
        <x:v>the system accepts only transitions allowed for that role and state</x:v>
      </x:c>
      <x:c r="J406" s="339" t="str">
        <x:v>Positive</x:v>
      </x:c>
      <x:c r="K406" s="339" t="str">
        <x:v>Functional</x:v>
      </x:c>
    </x:row>
    <x:row r="407">
      <x:c r="A407" s="339" t="str">
        <x:v>AC-00406</x:v>
      </x:c>
      <x:c r="B407" s="339" t="str">
        <x:v>US-0102</x:v>
      </x:c>
      <x:c r="C407" s="339" t="str">
        <x:v>SCR-051</x:v>
      </x:c>
      <x:c r="D407" s="339" t="str">
        <x:v>Admissions &amp; Enquiries</x:v>
      </x:c>
      <x:c r="E407" s="339" t="str">
        <x:v>Document Verification</x:v>
      </x:c>
      <x:c r="F407" s="339" t="str">
        <x:v>Approval authority</x:v>
      </x:c>
      <x:c r="G407" s="339" t="str">
        <x:v>an action requires approval</x:v>
      </x:c>
      <x:c r="H407" s="339" t="str">
        <x:v>a non-authorized user attempts approval/rejection</x:v>
      </x:c>
      <x:c r="I407" s="339" t="str">
        <x:v>the system denies the decision and does not change status</x:v>
      </x:c>
      <x:c r="J407" s="339" t="str">
        <x:v>Negative</x:v>
      </x:c>
      <x:c r="K407" s="339" t="str">
        <x:v>Functional</x:v>
      </x:c>
    </x:row>
    <x:row r="408">
      <x:c r="A408" s="339" t="str">
        <x:v>AC-00407</x:v>
      </x:c>
      <x:c r="B408" s="339" t="str">
        <x:v>US-0102</x:v>
      </x:c>
      <x:c r="C408" s="339" t="str">
        <x:v>SCR-051</x:v>
      </x:c>
      <x:c r="D408" s="339" t="str">
        <x:v>Admissions &amp; Enquiries</x:v>
      </x:c>
      <x:c r="E408" s="339" t="str">
        <x:v>Document Verification</x:v>
      </x:c>
      <x:c r="F408" s="339" t="str">
        <x:v>Failure rollback</x:v>
      </x:c>
      <x:c r="G408" s="339" t="str">
        <x:v>a downstream dependency fails during a multi-step transaction</x:v>
      </x:c>
      <x:c r="H408" s="339" t="str">
        <x:v>the workflow executes</x:v>
      </x:c>
      <x:c r="I408" s="339" t="str">
        <x:v>the system does not leave an invalid partial final state and surfaces a recoverable error</x:v>
      </x:c>
      <x:c r="J408" s="339" t="str">
        <x:v>Positive</x:v>
      </x:c>
      <x:c r="K408" s="339" t="str">
        <x:v>Functional</x:v>
      </x:c>
    </x:row>
    <x:row r="409">
      <x:c r="A409" s="339" t="str">
        <x:v>AC-00408</x:v>
      </x:c>
      <x:c r="B409" s="339" t="str">
        <x:v>US-0102</x:v>
      </x:c>
      <x:c r="C409" s="339" t="str">
        <x:v>SCR-051</x:v>
      </x:c>
      <x:c r="D409" s="339" t="str">
        <x:v>Admissions &amp; Enquiries</x:v>
      </x:c>
      <x:c r="E409" s="339" t="str">
        <x:v>Document Verification</x:v>
      </x:c>
      <x:c r="F409" s="339" t="str">
        <x:v>Exception traceability</x:v>
      </x:c>
      <x:c r="G409" s="339" t="str">
        <x:v>an authorized override/exception is used</x:v>
      </x:c>
      <x:c r="H409" s="339" t="str">
        <x:v>the action is confirmed</x:v>
      </x:c>
      <x:c r="I409" s="339" t="str">
        <x:v>the system requires reason/context and records it in the audit history</x:v>
      </x:c>
      <x:c r="J409" s="339" t="str">
        <x:v>Positive</x:v>
      </x:c>
      <x:c r="K409" s="339" t="str">
        <x:v>Functional</x:v>
      </x:c>
    </x:row>
    <x:row r="410">
      <x:c r="A410" s="339" t="str">
        <x:v>AC-00409</x:v>
      </x:c>
      <x:c r="B410" s="339" t="str">
        <x:v>US-0103</x:v>
      </x:c>
      <x:c r="C410" s="339" t="str">
        <x:v>SCR-052</x:v>
      </x:c>
      <x:c r="D410" s="339" t="str">
        <x:v>Admissions &amp; Enquiries</x:v>
      </x:c>
      <x:c r="E410" s="339" t="str">
        <x:v>Entrance Assessment</x:v>
      </x:c>
      <x:c r="F410" s="339" t="str">
        <x:v>Authorized access to Entrance Assessment</x:v>
      </x:c>
      <x:c r="G410" s="339" t="str">
        <x:v>the Admission Officer is authenticated and has access to Entrance Assessment</x:v>
      </x:c>
      <x:c r="H410" s="339" t="str">
        <x:v>the user opens or invokes Entrance Assessment</x:v>
      </x:c>
      <x:c r="I410" s="339" t="str">
        <x:v>the system loads only records and actions within the user's permitted tenant/school/data scope</x:v>
      </x:c>
      <x:c r="J410" s="339" t="str">
        <x:v>Positive</x:v>
      </x:c>
      <x:c r="K410" s="339" t="str">
        <x:v>Functional / Security</x:v>
      </x:c>
    </x:row>
    <x:row r="411">
      <x:c r="A411" s="339" t="str">
        <x:v>AC-00410</x:v>
      </x:c>
      <x:c r="B411" s="339" t="str">
        <x:v>US-0103</x:v>
      </x:c>
      <x:c r="C411" s="339" t="str">
        <x:v>SCR-052</x:v>
      </x:c>
      <x:c r="D411" s="339" t="str">
        <x:v>Admissions &amp; Enquiries</x:v>
      </x:c>
      <x:c r="E411" s="339" t="str">
        <x:v>Entrance Assessment</x:v>
      </x:c>
      <x:c r="F411" s="339" t="str">
        <x:v>Successful Entrance Assessment happy path</x:v>
      </x:c>
      <x:c r="G411" s="339" t="str">
        <x:v>all mandatory prerequisites and valid data are available</x:v>
      </x:c>
      <x:c r="H411" s="339" t="str">
        <x:v>the Admission Officer completes the primary action on Entrance Assessment</x:v>
      </x:c>
      <x:c r="I411" s="339" t="str">
        <x:v>the system validates the request, saves it atomically, shows a clear confirmation and reflects the updated state</x:v>
      </x:c>
      <x:c r="J411" s="339" t="str">
        <x:v>Positive</x:v>
      </x:c>
      <x:c r="K411" s="339" t="str">
        <x:v>Functional</x:v>
      </x:c>
    </x:row>
    <x:row r="412">
      <x:c r="A412" s="339" t="str">
        <x:v>AC-00411</x:v>
      </x:c>
      <x:c r="B412" s="339" t="str">
        <x:v>US-0103</x:v>
      </x:c>
      <x:c r="C412" s="339" t="str">
        <x:v>SCR-052</x:v>
      </x:c>
      <x:c r="D412" s="339" t="str">
        <x:v>Admissions &amp; Enquiries</x:v>
      </x:c>
      <x:c r="E412" s="339" t="str">
        <x:v>Entrance Assessment</x:v>
      </x:c>
      <x:c r="F412" s="339" t="str">
        <x:v>State and dependency integrity</x:v>
      </x:c>
      <x:c r="G412" s="339" t="str">
        <x:v>the current record is in an allowed state (Draft → Submitted → Verification → Assessment (optional) → Approved / Rejected → Fee Pending → Admitted)</x:v>
      </x:c>
      <x:c r="H412" s="339" t="str">
        <x:v>the user attempts a state-changing action</x:v>
      </x:c>
      <x:c r="I412" s="339" t="str">
        <x:v>only a valid transition is accepted and dependent records are updated according to configured business rules</x:v>
      </x:c>
      <x:c r="J412" s="339" t="str">
        <x:v>Positive</x:v>
      </x:c>
      <x:c r="K412" s="339" t="str">
        <x:v>Functional</x:v>
      </x:c>
    </x:row>
    <x:row r="413">
      <x:c r="A413" s="339" t="str">
        <x:v>AC-00412</x:v>
      </x:c>
      <x:c r="B413" s="339" t="str">
        <x:v>US-0103</x:v>
      </x:c>
      <x:c r="C413" s="339" t="str">
        <x:v>SCR-052</x:v>
      </x:c>
      <x:c r="D413" s="339" t="str">
        <x:v>Admissions &amp; Enquiries</x:v>
      </x:c>
      <x:c r="E413" s="339" t="str">
        <x:v>Entrance Assessment</x:v>
      </x:c>
      <x:c r="F413" s="339" t="str">
        <x:v>Auditability</x:v>
      </x:c>
      <x:c r="G413" s="339" t="str">
        <x:v>a material create/update/approve/reverse action occurs</x:v>
      </x:c>
      <x:c r="H413" s="339" t="str">
        <x:v>the transaction succeeds</x:v>
      </x:c>
      <x:c r="I413" s="339" t="str">
        <x:v>the system records actor, timestamp, action, target and relevant before/after or reason context in the audit trail</x:v>
      </x:c>
      <x:c r="J413" s="339" t="str">
        <x:v>Positive</x:v>
      </x:c>
      <x:c r="K413" s="339" t="str">
        <x:v>Functional</x:v>
      </x:c>
    </x:row>
    <x:row r="414">
      <x:c r="A414" s="339" t="str">
        <x:v>AC-00413</x:v>
      </x:c>
      <x:c r="B414" s="339" t="str">
        <x:v>US-0104</x:v>
      </x:c>
      <x:c r="C414" s="339" t="str">
        <x:v>SCR-052</x:v>
      </x:c>
      <x:c r="D414" s="339" t="str">
        <x:v>Admissions &amp; Enquiries</x:v>
      </x:c>
      <x:c r="E414" s="339" t="str">
        <x:v>Entrance Assessment</x:v>
      </x:c>
      <x:c r="F414" s="339" t="str">
        <x:v>Valid status transition</x:v>
      </x:c>
      <x:c r="G414" s="339" t="str">
        <x:v>the record is in a state described by Draft → Submitted → Verification → Assessment (optional) → Approved / Rejected → Fee Pending → Admitted</x:v>
      </x:c>
      <x:c r="H414" s="339" t="str">
        <x:v>the user requests a transition</x:v>
      </x:c>
      <x:c r="I414" s="339" t="str">
        <x:v>the system accepts only transitions allowed for that role and state</x:v>
      </x:c>
      <x:c r="J414" s="339" t="str">
        <x:v>Positive</x:v>
      </x:c>
      <x:c r="K414" s="339" t="str">
        <x:v>Functional</x:v>
      </x:c>
    </x:row>
    <x:row r="415">
      <x:c r="A415" s="339" t="str">
        <x:v>AC-00414</x:v>
      </x:c>
      <x:c r="B415" s="339" t="str">
        <x:v>US-0104</x:v>
      </x:c>
      <x:c r="C415" s="339" t="str">
        <x:v>SCR-052</x:v>
      </x:c>
      <x:c r="D415" s="339" t="str">
        <x:v>Admissions &amp; Enquiries</x:v>
      </x:c>
      <x:c r="E415" s="339" t="str">
        <x:v>Entrance Assessment</x:v>
      </x:c>
      <x:c r="F415" s="339" t="str">
        <x:v>Approval authority</x:v>
      </x:c>
      <x:c r="G415" s="339" t="str">
        <x:v>an action requires approval</x:v>
      </x:c>
      <x:c r="H415" s="339" t="str">
        <x:v>a non-authorized user attempts approval/rejection</x:v>
      </x:c>
      <x:c r="I415" s="339" t="str">
        <x:v>the system denies the decision and does not change status</x:v>
      </x:c>
      <x:c r="J415" s="339" t="str">
        <x:v>Negative</x:v>
      </x:c>
      <x:c r="K415" s="339" t="str">
        <x:v>Functional</x:v>
      </x:c>
    </x:row>
    <x:row r="416">
      <x:c r="A416" s="339" t="str">
        <x:v>AC-00415</x:v>
      </x:c>
      <x:c r="B416" s="339" t="str">
        <x:v>US-0104</x:v>
      </x:c>
      <x:c r="C416" s="339" t="str">
        <x:v>SCR-052</x:v>
      </x:c>
      <x:c r="D416" s="339" t="str">
        <x:v>Admissions &amp; Enquiries</x:v>
      </x:c>
      <x:c r="E416" s="339" t="str">
        <x:v>Entrance Assessment</x:v>
      </x:c>
      <x:c r="F416" s="339" t="str">
        <x:v>Failure rollback</x:v>
      </x:c>
      <x:c r="G416" s="339" t="str">
        <x:v>a downstream dependency fails during a multi-step transaction</x:v>
      </x:c>
      <x:c r="H416" s="339" t="str">
        <x:v>the workflow executes</x:v>
      </x:c>
      <x:c r="I416" s="339" t="str">
        <x:v>the system does not leave an invalid partial final state and surfaces a recoverable error</x:v>
      </x:c>
      <x:c r="J416" s="339" t="str">
        <x:v>Positive</x:v>
      </x:c>
      <x:c r="K416" s="339" t="str">
        <x:v>Functional</x:v>
      </x:c>
    </x:row>
    <x:row r="417">
      <x:c r="A417" s="339" t="str">
        <x:v>AC-00416</x:v>
      </x:c>
      <x:c r="B417" s="339" t="str">
        <x:v>US-0104</x:v>
      </x:c>
      <x:c r="C417" s="339" t="str">
        <x:v>SCR-052</x:v>
      </x:c>
      <x:c r="D417" s="339" t="str">
        <x:v>Admissions &amp; Enquiries</x:v>
      </x:c>
      <x:c r="E417" s="339" t="str">
        <x:v>Entrance Assessment</x:v>
      </x:c>
      <x:c r="F417" s="339" t="str">
        <x:v>Exception traceability</x:v>
      </x:c>
      <x:c r="G417" s="339" t="str">
        <x:v>an authorized override/exception is used</x:v>
      </x:c>
      <x:c r="H417" s="339" t="str">
        <x:v>the action is confirmed</x:v>
      </x:c>
      <x:c r="I417" s="339" t="str">
        <x:v>the system requires reason/context and records it in the audit history</x:v>
      </x:c>
      <x:c r="J417" s="339" t="str">
        <x:v>Positive</x:v>
      </x:c>
      <x:c r="K417" s="339" t="str">
        <x:v>Functional</x:v>
      </x:c>
    </x:row>
    <x:row r="418">
      <x:c r="A418" s="339" t="str">
        <x:v>AC-00417</x:v>
      </x:c>
      <x:c r="B418" s="339" t="str">
        <x:v>US-0105</x:v>
      </x:c>
      <x:c r="C418" s="339" t="str">
        <x:v>SCR-053</x:v>
      </x:c>
      <x:c r="D418" s="339" t="str">
        <x:v>Admissions &amp; Enquiries</x:v>
      </x:c>
      <x:c r="E418" s="339" t="str">
        <x:v>Admission Approval</x:v>
      </x:c>
      <x:c r="F418" s="339" t="str">
        <x:v>Authorized access to Admission Approval</x:v>
      </x:c>
      <x:c r="G418" s="339" t="str">
        <x:v>the Admission Officer is authenticated and has access to Admission Approval</x:v>
      </x:c>
      <x:c r="H418" s="339" t="str">
        <x:v>the user opens or invokes Admission Approval</x:v>
      </x:c>
      <x:c r="I418" s="339" t="str">
        <x:v>the system loads only records and actions within the user's permitted tenant/school/data scope</x:v>
      </x:c>
      <x:c r="J418" s="339" t="str">
        <x:v>Positive</x:v>
      </x:c>
      <x:c r="K418" s="339" t="str">
        <x:v>Functional / Security</x:v>
      </x:c>
    </x:row>
    <x:row r="419">
      <x:c r="A419" s="339" t="str">
        <x:v>AC-00418</x:v>
      </x:c>
      <x:c r="B419" s="339" t="str">
        <x:v>US-0105</x:v>
      </x:c>
      <x:c r="C419" s="339" t="str">
        <x:v>SCR-053</x:v>
      </x:c>
      <x:c r="D419" s="339" t="str">
        <x:v>Admissions &amp; Enquiries</x:v>
      </x:c>
      <x:c r="E419" s="339" t="str">
        <x:v>Admission Approval</x:v>
      </x:c>
      <x:c r="F419" s="339" t="str">
        <x:v>Successful Admission Approval happy path</x:v>
      </x:c>
      <x:c r="G419" s="339" t="str">
        <x:v>all mandatory prerequisites and valid data are available</x:v>
      </x:c>
      <x:c r="H419" s="339" t="str">
        <x:v>the Admission Officer completes the primary action on Admission Approval</x:v>
      </x:c>
      <x:c r="I419" s="339" t="str">
        <x:v>the system validates the request, saves it atomically, shows a clear confirmation and reflects the updated state</x:v>
      </x:c>
      <x:c r="J419" s="339" t="str">
        <x:v>Positive</x:v>
      </x:c>
      <x:c r="K419" s="339" t="str">
        <x:v>Functional</x:v>
      </x:c>
    </x:row>
    <x:row r="420">
      <x:c r="A420" s="339" t="str">
        <x:v>AC-00419</x:v>
      </x:c>
      <x:c r="B420" s="339" t="str">
        <x:v>US-0105</x:v>
      </x:c>
      <x:c r="C420" s="339" t="str">
        <x:v>SCR-053</x:v>
      </x:c>
      <x:c r="D420" s="339" t="str">
        <x:v>Admissions &amp; Enquiries</x:v>
      </x:c>
      <x:c r="E420" s="339" t="str">
        <x:v>Admission Approval</x:v>
      </x:c>
      <x:c r="F420" s="339" t="str">
        <x:v>State and dependency integrity</x:v>
      </x:c>
      <x:c r="G420" s="339" t="str">
        <x:v>the current record is in an allowed state (Draft → Submitted → Verification → Assessment (optional) → Approved / Rejected → Fee Pending → Admitted)</x:v>
      </x:c>
      <x:c r="H420" s="339" t="str">
        <x:v>the user attempts a state-changing action</x:v>
      </x:c>
      <x:c r="I420" s="339" t="str">
        <x:v>only a valid transition is accepted and dependent records are updated according to configured business rules</x:v>
      </x:c>
      <x:c r="J420" s="339" t="str">
        <x:v>Positive</x:v>
      </x:c>
      <x:c r="K420" s="339" t="str">
        <x:v>Functional</x:v>
      </x:c>
    </x:row>
    <x:row r="421">
      <x:c r="A421" s="339" t="str">
        <x:v>AC-00420</x:v>
      </x:c>
      <x:c r="B421" s="339" t="str">
        <x:v>US-0105</x:v>
      </x:c>
      <x:c r="C421" s="339" t="str">
        <x:v>SCR-053</x:v>
      </x:c>
      <x:c r="D421" s="339" t="str">
        <x:v>Admissions &amp; Enquiries</x:v>
      </x:c>
      <x:c r="E421" s="339" t="str">
        <x:v>Admission Approval</x:v>
      </x:c>
      <x:c r="F421" s="339" t="str">
        <x:v>Auditability</x:v>
      </x:c>
      <x:c r="G421" s="339" t="str">
        <x:v>a material create/update/approve/reverse action occurs</x:v>
      </x:c>
      <x:c r="H421" s="339" t="str">
        <x:v>the transaction succeeds</x:v>
      </x:c>
      <x:c r="I421" s="339" t="str">
        <x:v>the system records actor, timestamp, action, target and relevant before/after or reason context in the audit trail</x:v>
      </x:c>
      <x:c r="J421" s="339" t="str">
        <x:v>Positive</x:v>
      </x:c>
      <x:c r="K421" s="339" t="str">
        <x:v>Functional</x:v>
      </x:c>
    </x:row>
    <x:row r="422">
      <x:c r="A422" s="339" t="str">
        <x:v>AC-00421</x:v>
      </x:c>
      <x:c r="B422" s="339" t="str">
        <x:v>US-0106</x:v>
      </x:c>
      <x:c r="C422" s="339" t="str">
        <x:v>SCR-053</x:v>
      </x:c>
      <x:c r="D422" s="339" t="str">
        <x:v>Admissions &amp; Enquiries</x:v>
      </x:c>
      <x:c r="E422" s="339" t="str">
        <x:v>Admission Approval</x:v>
      </x:c>
      <x:c r="F422" s="339" t="str">
        <x:v>Valid status transition</x:v>
      </x:c>
      <x:c r="G422" s="339" t="str">
        <x:v>the record is in a state described by Draft → Submitted → Verification → Assessment (optional) → Approved / Rejected → Fee Pending → Admitted</x:v>
      </x:c>
      <x:c r="H422" s="339" t="str">
        <x:v>the user requests a transition</x:v>
      </x:c>
      <x:c r="I422" s="339" t="str">
        <x:v>the system accepts only transitions allowed for that role and state</x:v>
      </x:c>
      <x:c r="J422" s="339" t="str">
        <x:v>Positive</x:v>
      </x:c>
      <x:c r="K422" s="339" t="str">
        <x:v>Functional</x:v>
      </x:c>
    </x:row>
    <x:row r="423">
      <x:c r="A423" s="339" t="str">
        <x:v>AC-00422</x:v>
      </x:c>
      <x:c r="B423" s="339" t="str">
        <x:v>US-0106</x:v>
      </x:c>
      <x:c r="C423" s="339" t="str">
        <x:v>SCR-053</x:v>
      </x:c>
      <x:c r="D423" s="339" t="str">
        <x:v>Admissions &amp; Enquiries</x:v>
      </x:c>
      <x:c r="E423" s="339" t="str">
        <x:v>Admission Approval</x:v>
      </x:c>
      <x:c r="F423" s="339" t="str">
        <x:v>Approval authority</x:v>
      </x:c>
      <x:c r="G423" s="339" t="str">
        <x:v>an action requires approval</x:v>
      </x:c>
      <x:c r="H423" s="339" t="str">
        <x:v>a non-authorized user attempts approval/rejection</x:v>
      </x:c>
      <x:c r="I423" s="339" t="str">
        <x:v>the system denies the decision and does not change status</x:v>
      </x:c>
      <x:c r="J423" s="339" t="str">
        <x:v>Negative</x:v>
      </x:c>
      <x:c r="K423" s="339" t="str">
        <x:v>Functional</x:v>
      </x:c>
    </x:row>
    <x:row r="424">
      <x:c r="A424" s="339" t="str">
        <x:v>AC-00423</x:v>
      </x:c>
      <x:c r="B424" s="339" t="str">
        <x:v>US-0106</x:v>
      </x:c>
      <x:c r="C424" s="339" t="str">
        <x:v>SCR-053</x:v>
      </x:c>
      <x:c r="D424" s="339" t="str">
        <x:v>Admissions &amp; Enquiries</x:v>
      </x:c>
      <x:c r="E424" s="339" t="str">
        <x:v>Admission Approval</x:v>
      </x:c>
      <x:c r="F424" s="339" t="str">
        <x:v>Failure rollback</x:v>
      </x:c>
      <x:c r="G424" s="339" t="str">
        <x:v>a downstream dependency fails during a multi-step transaction</x:v>
      </x:c>
      <x:c r="H424" s="339" t="str">
        <x:v>the workflow executes</x:v>
      </x:c>
      <x:c r="I424" s="339" t="str">
        <x:v>the system does not leave an invalid partial final state and surfaces a recoverable error</x:v>
      </x:c>
      <x:c r="J424" s="339" t="str">
        <x:v>Positive</x:v>
      </x:c>
      <x:c r="K424" s="339" t="str">
        <x:v>Functional</x:v>
      </x:c>
    </x:row>
    <x:row r="425">
      <x:c r="A425" s="339" t="str">
        <x:v>AC-00424</x:v>
      </x:c>
      <x:c r="B425" s="339" t="str">
        <x:v>US-0106</x:v>
      </x:c>
      <x:c r="C425" s="339" t="str">
        <x:v>SCR-053</x:v>
      </x:c>
      <x:c r="D425" s="339" t="str">
        <x:v>Admissions &amp; Enquiries</x:v>
      </x:c>
      <x:c r="E425" s="339" t="str">
        <x:v>Admission Approval</x:v>
      </x:c>
      <x:c r="F425" s="339" t="str">
        <x:v>Exception traceability</x:v>
      </x:c>
      <x:c r="G425" s="339" t="str">
        <x:v>an authorized override/exception is used</x:v>
      </x:c>
      <x:c r="H425" s="339" t="str">
        <x:v>the action is confirmed</x:v>
      </x:c>
      <x:c r="I425" s="339" t="str">
        <x:v>the system requires reason/context and records it in the audit history</x:v>
      </x:c>
      <x:c r="J425" s="339" t="str">
        <x:v>Positive</x:v>
      </x:c>
      <x:c r="K425" s="339" t="str">
        <x:v>Functional</x:v>
      </x:c>
    </x:row>
    <x:row r="426">
      <x:c r="A426" s="339" t="str">
        <x:v>AC-00425</x:v>
      </x:c>
      <x:c r="B426" s="339" t="str">
        <x:v>US-0107</x:v>
      </x:c>
      <x:c r="C426" s="339" t="str">
        <x:v>SCR-054</x:v>
      </x:c>
      <x:c r="D426" s="339" t="str">
        <x:v>Admissions &amp; Enquiries</x:v>
      </x:c>
      <x:c r="E426" s="339" t="str">
        <x:v>Admission Confirmation &amp; Student Creation</x:v>
      </x:c>
      <x:c r="F426" s="339" t="str">
        <x:v>Authorized access to Admission Confirmation &amp; Student Creation</x:v>
      </x:c>
      <x:c r="G426" s="339" t="str">
        <x:v>the Admission Officer is authenticated and has access to Admission Confirmation &amp; Student Creation</x:v>
      </x:c>
      <x:c r="H426" s="339" t="str">
        <x:v>the user opens or invokes Admission Confirmation &amp; Student Creation</x:v>
      </x:c>
      <x:c r="I426" s="339" t="str">
        <x:v>the system loads only records and actions within the user's permitted tenant/school/data scope</x:v>
      </x:c>
      <x:c r="J426" s="339" t="str">
        <x:v>Positive</x:v>
      </x:c>
      <x:c r="K426" s="339" t="str">
        <x:v>Functional / Security</x:v>
      </x:c>
    </x:row>
    <x:row r="427">
      <x:c r="A427" s="339" t="str">
        <x:v>AC-00426</x:v>
      </x:c>
      <x:c r="B427" s="339" t="str">
        <x:v>US-0107</x:v>
      </x:c>
      <x:c r="C427" s="339" t="str">
        <x:v>SCR-054</x:v>
      </x:c>
      <x:c r="D427" s="339" t="str">
        <x:v>Admissions &amp; Enquiries</x:v>
      </x:c>
      <x:c r="E427" s="339" t="str">
        <x:v>Admission Confirmation &amp; Student Creation</x:v>
      </x:c>
      <x:c r="F427" s="339" t="str">
        <x:v>Successful Admission Confirmation &amp; Student Creation happy path</x:v>
      </x:c>
      <x:c r="G427" s="339" t="str">
        <x:v>all mandatory prerequisites and valid data are available</x:v>
      </x:c>
      <x:c r="H427" s="339" t="str">
        <x:v>the Admission Officer completes the primary action on Admission Confirmation &amp; Student Creation</x:v>
      </x:c>
      <x:c r="I427" s="339" t="str">
        <x:v>the system validates the request, saves it atomically, shows a clear confirmation and reflects the updated state</x:v>
      </x:c>
      <x:c r="J427" s="339" t="str">
        <x:v>Positive</x:v>
      </x:c>
      <x:c r="K427" s="339" t="str">
        <x:v>Functional</x:v>
      </x:c>
    </x:row>
    <x:row r="428">
      <x:c r="A428" s="339" t="str">
        <x:v>AC-00427</x:v>
      </x:c>
      <x:c r="B428" s="339" t="str">
        <x:v>US-0107</x:v>
      </x:c>
      <x:c r="C428" s="339" t="str">
        <x:v>SCR-054</x:v>
      </x:c>
      <x:c r="D428" s="339" t="str">
        <x:v>Admissions &amp; Enquiries</x:v>
      </x:c>
      <x:c r="E428" s="339" t="str">
        <x:v>Admission Confirmation &amp; Student Creation</x:v>
      </x:c>
      <x:c r="F428" s="339" t="str">
        <x:v>State and dependency integrity</x:v>
      </x:c>
      <x:c r="G428" s="339" t="str">
        <x:v>the current record is in an allowed state (Draft → Submitted → Verification → Assessment (optional) → Approved / Rejected → Fee Pending → Admitted)</x:v>
      </x:c>
      <x:c r="H428" s="339" t="str">
        <x:v>the user attempts a state-changing action</x:v>
      </x:c>
      <x:c r="I428" s="339" t="str">
        <x:v>only a valid transition is accepted and dependent records are updated according to configured business rules</x:v>
      </x:c>
      <x:c r="J428" s="339" t="str">
        <x:v>Positive</x:v>
      </x:c>
      <x:c r="K428" s="339" t="str">
        <x:v>Functional</x:v>
      </x:c>
    </x:row>
    <x:row r="429">
      <x:c r="A429" s="339" t="str">
        <x:v>AC-00428</x:v>
      </x:c>
      <x:c r="B429" s="339" t="str">
        <x:v>US-0107</x:v>
      </x:c>
      <x:c r="C429" s="339" t="str">
        <x:v>SCR-054</x:v>
      </x:c>
      <x:c r="D429" s="339" t="str">
        <x:v>Admissions &amp; Enquiries</x:v>
      </x:c>
      <x:c r="E429" s="339" t="str">
        <x:v>Admission Confirmation &amp; Student Creation</x:v>
      </x:c>
      <x:c r="F429" s="339" t="str">
        <x:v>Auditability</x:v>
      </x:c>
      <x:c r="G429" s="339" t="str">
        <x:v>a material create/update/approve/reverse action occurs</x:v>
      </x:c>
      <x:c r="H429" s="339" t="str">
        <x:v>the transaction succeeds</x:v>
      </x:c>
      <x:c r="I429" s="339" t="str">
        <x:v>the system records actor, timestamp, action, target and relevant before/after or reason context in the audit trail</x:v>
      </x:c>
      <x:c r="J429" s="339" t="str">
        <x:v>Positive</x:v>
      </x:c>
      <x:c r="K429" s="339" t="str">
        <x:v>Functional</x:v>
      </x:c>
    </x:row>
    <x:row r="430">
      <x:c r="A430" s="339" t="str">
        <x:v>AC-00429</x:v>
      </x:c>
      <x:c r="B430" s="339" t="str">
        <x:v>US-0108</x:v>
      </x:c>
      <x:c r="C430" s="339" t="str">
        <x:v>SCR-054</x:v>
      </x:c>
      <x:c r="D430" s="339" t="str">
        <x:v>Admissions &amp; Enquiries</x:v>
      </x:c>
      <x:c r="E430" s="339" t="str">
        <x:v>Admission Confirmation &amp; Student Creation</x:v>
      </x:c>
      <x:c r="F430" s="339" t="str">
        <x:v>Valid status transition</x:v>
      </x:c>
      <x:c r="G430" s="339" t="str">
        <x:v>the record is in a state described by Draft → Submitted → Verification → Assessment (optional) → Approved / Rejected → Fee Pending → Admitted</x:v>
      </x:c>
      <x:c r="H430" s="339" t="str">
        <x:v>the user requests a transition</x:v>
      </x:c>
      <x:c r="I430" s="339" t="str">
        <x:v>the system accepts only transitions allowed for that role and state</x:v>
      </x:c>
      <x:c r="J430" s="339" t="str">
        <x:v>Positive</x:v>
      </x:c>
      <x:c r="K430" s="339" t="str">
        <x:v>Functional</x:v>
      </x:c>
    </x:row>
    <x:row r="431">
      <x:c r="A431" s="339" t="str">
        <x:v>AC-00430</x:v>
      </x:c>
      <x:c r="B431" s="339" t="str">
        <x:v>US-0108</x:v>
      </x:c>
      <x:c r="C431" s="339" t="str">
        <x:v>SCR-054</x:v>
      </x:c>
      <x:c r="D431" s="339" t="str">
        <x:v>Admissions &amp; Enquiries</x:v>
      </x:c>
      <x:c r="E431" s="339" t="str">
        <x:v>Admission Confirmation &amp; Student Creation</x:v>
      </x:c>
      <x:c r="F431" s="339" t="str">
        <x:v>Approval authority</x:v>
      </x:c>
      <x:c r="G431" s="339" t="str">
        <x:v>an action requires approval</x:v>
      </x:c>
      <x:c r="H431" s="339" t="str">
        <x:v>a non-authorized user attempts approval/rejection</x:v>
      </x:c>
      <x:c r="I431" s="339" t="str">
        <x:v>the system denies the decision and does not change status</x:v>
      </x:c>
      <x:c r="J431" s="339" t="str">
        <x:v>Negative</x:v>
      </x:c>
      <x:c r="K431" s="339" t="str">
        <x:v>Functional</x:v>
      </x:c>
    </x:row>
    <x:row r="432">
      <x:c r="A432" s="339" t="str">
        <x:v>AC-00431</x:v>
      </x:c>
      <x:c r="B432" s="339" t="str">
        <x:v>US-0108</x:v>
      </x:c>
      <x:c r="C432" s="339" t="str">
        <x:v>SCR-054</x:v>
      </x:c>
      <x:c r="D432" s="339" t="str">
        <x:v>Admissions &amp; Enquiries</x:v>
      </x:c>
      <x:c r="E432" s="339" t="str">
        <x:v>Admission Confirmation &amp; Student Creation</x:v>
      </x:c>
      <x:c r="F432" s="339" t="str">
        <x:v>Failure rollback</x:v>
      </x:c>
      <x:c r="G432" s="339" t="str">
        <x:v>a downstream dependency fails during a multi-step transaction</x:v>
      </x:c>
      <x:c r="H432" s="339" t="str">
        <x:v>the workflow executes</x:v>
      </x:c>
      <x:c r="I432" s="339" t="str">
        <x:v>the system does not leave an invalid partial final state and surfaces a recoverable error</x:v>
      </x:c>
      <x:c r="J432" s="339" t="str">
        <x:v>Positive</x:v>
      </x:c>
      <x:c r="K432" s="339" t="str">
        <x:v>Functional</x:v>
      </x:c>
    </x:row>
    <x:row r="433">
      <x:c r="A433" s="339" t="str">
        <x:v>AC-00432</x:v>
      </x:c>
      <x:c r="B433" s="339" t="str">
        <x:v>US-0108</x:v>
      </x:c>
      <x:c r="C433" s="339" t="str">
        <x:v>SCR-054</x:v>
      </x:c>
      <x:c r="D433" s="339" t="str">
        <x:v>Admissions &amp; Enquiries</x:v>
      </x:c>
      <x:c r="E433" s="339" t="str">
        <x:v>Admission Confirmation &amp; Student Creation</x:v>
      </x:c>
      <x:c r="F433" s="339" t="str">
        <x:v>Exception traceability</x:v>
      </x:c>
      <x:c r="G433" s="339" t="str">
        <x:v>an authorized override/exception is used</x:v>
      </x:c>
      <x:c r="H433" s="339" t="str">
        <x:v>the action is confirmed</x:v>
      </x:c>
      <x:c r="I433" s="339" t="str">
        <x:v>the system requires reason/context and records it in the audit history</x:v>
      </x:c>
      <x:c r="J433" s="339" t="str">
        <x:v>Positive</x:v>
      </x:c>
      <x:c r="K433" s="339" t="str">
        <x:v>Functional</x:v>
      </x:c>
    </x:row>
    <x:row r="434">
      <x:c r="A434" s="339" t="str">
        <x:v>AC-00433</x:v>
      </x:c>
      <x:c r="B434" s="339" t="str">
        <x:v>US-0109</x:v>
      </x:c>
      <x:c r="C434" s="339" t="str">
        <x:v>SCR-055</x:v>
      </x:c>
      <x:c r="D434" s="339" t="str">
        <x:v>Students</x:v>
      </x:c>
      <x:c r="E434" s="339" t="str">
        <x:v>Student Directory</x:v>
      </x:c>
      <x:c r="F434" s="339" t="str">
        <x:v>Authorized access to Student Directory</x:v>
      </x:c>
      <x:c r="G434" s="339" t="str">
        <x:v>the School Admin is authenticated and has access to Student Directory</x:v>
      </x:c>
      <x:c r="H434" s="339" t="str">
        <x:v>the user opens or invokes Student Directory</x:v>
      </x:c>
      <x:c r="I434" s="339" t="str">
        <x:v>the system loads only records and actions within the user's permitted tenant/school/data scope</x:v>
      </x:c>
      <x:c r="J434" s="339" t="str">
        <x:v>Positive</x:v>
      </x:c>
      <x:c r="K434" s="339" t="str">
        <x:v>Functional / Security</x:v>
      </x:c>
    </x:row>
    <x:row r="435">
      <x:c r="A435" s="339" t="str">
        <x:v>AC-00434</x:v>
      </x:c>
      <x:c r="B435" s="339" t="str">
        <x:v>US-0109</x:v>
      </x:c>
      <x:c r="C435" s="339" t="str">
        <x:v>SCR-055</x:v>
      </x:c>
      <x:c r="D435" s="339" t="str">
        <x:v>Students</x:v>
      </x:c>
      <x:c r="E435" s="339" t="str">
        <x:v>Student Directory</x:v>
      </x:c>
      <x:c r="F435" s="339" t="str">
        <x:v>Successful Student Directory happy path</x:v>
      </x:c>
      <x:c r="G435" s="339" t="str">
        <x:v>all mandatory prerequisites and valid data are available</x:v>
      </x:c>
      <x:c r="H435" s="339" t="str">
        <x:v>the School Admin completes the primary action on Student Directory</x:v>
      </x:c>
      <x:c r="I435" s="339" t="str">
        <x:v>the system validates the request, saves it atomically, shows a clear confirmation and reflects the updated state</x:v>
      </x:c>
      <x:c r="J435" s="339" t="str">
        <x:v>Positive</x:v>
      </x:c>
      <x:c r="K435" s="339" t="str">
        <x:v>Functional</x:v>
      </x:c>
    </x:row>
    <x:row r="436">
      <x:c r="A436" s="339" t="str">
        <x:v>AC-00435</x:v>
      </x:c>
      <x:c r="B436" s="339" t="str">
        <x:v>US-0109</x:v>
      </x:c>
      <x:c r="C436" s="339" t="str">
        <x:v>SCR-055</x:v>
      </x:c>
      <x:c r="D436" s="339" t="str">
        <x:v>Students</x:v>
      </x:c>
      <x:c r="E436" s="339" t="str">
        <x:v>Student Directory</x:v>
      </x:c>
      <x:c r="F436" s="339" t="str">
        <x:v>State and dependency integrity</x:v>
      </x:c>
      <x:c r="G436" s="339" t="str">
        <x:v>the current record is in an allowed state (Pre-admission (optional) → Active → Suspended (optional) → Transferred / Graduated / Withdrawn → Alumni)</x:v>
      </x:c>
      <x:c r="H436" s="339" t="str">
        <x:v>the user attempts a state-changing action</x:v>
      </x:c>
      <x:c r="I436" s="339" t="str">
        <x:v>only a valid transition is accepted and dependent records are updated according to configured business rules</x:v>
      </x:c>
      <x:c r="J436" s="339" t="str">
        <x:v>Positive</x:v>
      </x:c>
      <x:c r="K436" s="339" t="str">
        <x:v>Functional</x:v>
      </x:c>
    </x:row>
    <x:row r="437">
      <x:c r="A437" s="339" t="str">
        <x:v>AC-00436</x:v>
      </x:c>
      <x:c r="B437" s="339" t="str">
        <x:v>US-0109</x:v>
      </x:c>
      <x:c r="C437" s="339" t="str">
        <x:v>SCR-055</x:v>
      </x:c>
      <x:c r="D437" s="339" t="str">
        <x:v>Students</x:v>
      </x:c>
      <x:c r="E437" s="339" t="str">
        <x:v>Student Directory</x:v>
      </x:c>
      <x:c r="F437" s="339" t="str">
        <x:v>Auditability</x:v>
      </x:c>
      <x:c r="G437" s="339" t="str">
        <x:v>a material create/update/approve/reverse action occurs</x:v>
      </x:c>
      <x:c r="H437" s="339" t="str">
        <x:v>the transaction succeeds</x:v>
      </x:c>
      <x:c r="I437" s="339" t="str">
        <x:v>the system records actor, timestamp, action, target and relevant before/after or reason context in the audit trail</x:v>
      </x:c>
      <x:c r="J437" s="339" t="str">
        <x:v>Positive</x:v>
      </x:c>
      <x:c r="K437" s="339" t="str">
        <x:v>Functional</x:v>
      </x:c>
    </x:row>
    <x:row r="438">
      <x:c r="A438" s="339" t="str">
        <x:v>AC-00437</x:v>
      </x:c>
      <x:c r="B438" s="339" t="str">
        <x:v>US-0110</x:v>
      </x:c>
      <x:c r="C438" s="339" t="str">
        <x:v>SCR-055</x:v>
      </x:c>
      <x:c r="D438" s="339" t="str">
        <x:v>Students</x:v>
      </x:c>
      <x:c r="E438" s="339" t="str">
        <x:v>Student Directory</x:v>
      </x:c>
      <x:c r="F438" s="339" t="str">
        <x:v>Search and filtering</x:v>
      </x:c>
      <x:c r="G438" s="339" t="str">
        <x:v>authorized records exist across multiple values</x:v>
      </x:c>
      <x:c r="H438" s="339" t="str">
        <x:v>the user applies search, filters, sorting or pagination</x:v>
      </x:c>
      <x:c r="I438" s="339" t="str">
        <x:v>the results match all selected criteria and remain within the user's data scope</x:v>
      </x:c>
      <x:c r="J438" s="339" t="str">
        <x:v>Positive</x:v>
      </x:c>
      <x:c r="K438" s="339" t="str">
        <x:v>Functional</x:v>
      </x:c>
    </x:row>
    <x:row r="439">
      <x:c r="A439" s="339" t="str">
        <x:v>AC-00438</x:v>
      </x:c>
      <x:c r="B439" s="339" t="str">
        <x:v>US-0110</x:v>
      </x:c>
      <x:c r="C439" s="339" t="str">
        <x:v>SCR-055</x:v>
      </x:c>
      <x:c r="D439" s="339" t="str">
        <x:v>Students</x:v>
      </x:c>
      <x:c r="E439" s="339" t="str">
        <x:v>Student Directory</x:v>
      </x:c>
      <x:c r="F439" s="339" t="str">
        <x:v>Controlled row actions</x:v>
      </x:c>
      <x:c r="G439" s="339" t="str">
        <x:v>records are returned in the list</x:v>
      </x:c>
      <x:c r="H439" s="339" t="str">
        <x:v>the user opens the action menu</x:v>
      </x:c>
      <x:c r="I439" s="339" t="str">
        <x:v>only actions permitted for the user's role and the record's current state are offered</x:v>
      </x:c>
      <x:c r="J439" s="339" t="str">
        <x:v>Positive</x:v>
      </x:c>
      <x:c r="K439" s="339" t="str">
        <x:v>Functional</x:v>
      </x:c>
    </x:row>
    <x:row r="440">
      <x:c r="A440" s="339" t="str">
        <x:v>AC-00439</x:v>
      </x:c>
      <x:c r="B440" s="339" t="str">
        <x:v>US-0110</x:v>
      </x:c>
      <x:c r="C440" s="339" t="str">
        <x:v>SCR-055</x:v>
      </x:c>
      <x:c r="D440" s="339" t="str">
        <x:v>Students</x:v>
      </x:c>
      <x:c r="E440" s="339" t="str">
        <x:v>Student Directory</x:v>
      </x:c>
      <x:c r="F440" s="339" t="str">
        <x:v>Empty/no-result handling</x:v>
      </x:c>
      <x:c r="G440" s="339" t="str">
        <x:v>no record matches the current criteria</x:v>
      </x:c>
      <x:c r="H440" s="339" t="str">
        <x:v>the query completes</x:v>
      </x:c>
      <x:c r="I440" s="339" t="str">
        <x:v>the system shows a clear empty state without treating it as an application error</x:v>
      </x:c>
      <x:c r="J440" s="339" t="str">
        <x:v>Positive</x:v>
      </x:c>
      <x:c r="K440" s="339" t="str">
        <x:v>Functional</x:v>
      </x:c>
    </x:row>
    <x:row r="441">
      <x:c r="A441" s="339" t="str">
        <x:v>AC-00440</x:v>
      </x:c>
      <x:c r="B441" s="339" t="str">
        <x:v>US-0110</x:v>
      </x:c>
      <x:c r="C441" s="339" t="str">
        <x:v>SCR-055</x:v>
      </x:c>
      <x:c r="D441" s="339" t="str">
        <x:v>Students</x:v>
      </x:c>
      <x:c r="E441" s="339" t="str">
        <x:v>Student Directory</x:v>
      </x:c>
      <x:c r="F441" s="339" t="str">
        <x:v>Export scope</x:v>
      </x:c>
      <x:c r="G441" s="339" t="str">
        <x:v>the user has export permission</x:v>
      </x:c>
      <x:c r="H441" s="339" t="str">
        <x:v>the user exports the filtered list</x:v>
      </x:c>
      <x:c r="I441" s="339" t="str">
        <x:v>the export contains the same authorized filter scope and excludes restricted fields</x:v>
      </x:c>
      <x:c r="J441" s="339" t="str">
        <x:v>Positive</x:v>
      </x:c>
      <x:c r="K441" s="339" t="str">
        <x:v>Functional</x:v>
      </x:c>
    </x:row>
    <x:row r="442">
      <x:c r="A442" s="339" t="str">
        <x:v>AC-00441</x:v>
      </x:c>
      <x:c r="B442" s="339" t="str">
        <x:v>US-0111</x:v>
      </x:c>
      <x:c r="C442" s="339" t="str">
        <x:v>SCR-056</x:v>
      </x:c>
      <x:c r="D442" s="339" t="str">
        <x:v>Students</x:v>
      </x:c>
      <x:c r="E442" s="339" t="str">
        <x:v>Add Student</x:v>
      </x:c>
      <x:c r="F442" s="339" t="str">
        <x:v>Authorized access to Add Student</x:v>
      </x:c>
      <x:c r="G442" s="339" t="str">
        <x:v>the School Admin is authenticated and has access to Add Student</x:v>
      </x:c>
      <x:c r="H442" s="339" t="str">
        <x:v>the user opens or invokes Add Student</x:v>
      </x:c>
      <x:c r="I442" s="339" t="str">
        <x:v>the system loads only records and actions within the user's permitted tenant/school/data scope</x:v>
      </x:c>
      <x:c r="J442" s="339" t="str">
        <x:v>Positive</x:v>
      </x:c>
      <x:c r="K442" s="339" t="str">
        <x:v>Functional / Security</x:v>
      </x:c>
    </x:row>
    <x:row r="443">
      <x:c r="A443" s="339" t="str">
        <x:v>AC-00442</x:v>
      </x:c>
      <x:c r="B443" s="339" t="str">
        <x:v>US-0111</x:v>
      </x:c>
      <x:c r="C443" s="339" t="str">
        <x:v>SCR-056</x:v>
      </x:c>
      <x:c r="D443" s="339" t="str">
        <x:v>Students</x:v>
      </x:c>
      <x:c r="E443" s="339" t="str">
        <x:v>Add Student</x:v>
      </x:c>
      <x:c r="F443" s="339" t="str">
        <x:v>Successful Add Student happy path</x:v>
      </x:c>
      <x:c r="G443" s="339" t="str">
        <x:v>all mandatory prerequisites and valid data are available</x:v>
      </x:c>
      <x:c r="H443" s="339" t="str">
        <x:v>the School Admin completes the primary action on Add Student</x:v>
      </x:c>
      <x:c r="I443" s="339" t="str">
        <x:v>the system validates the request, saves it atomically, shows a clear confirmation and reflects the updated state</x:v>
      </x:c>
      <x:c r="J443" s="339" t="str">
        <x:v>Positive</x:v>
      </x:c>
      <x:c r="K443" s="339" t="str">
        <x:v>Functional</x:v>
      </x:c>
    </x:row>
    <x:row r="444">
      <x:c r="A444" s="339" t="str">
        <x:v>AC-00443</x:v>
      </x:c>
      <x:c r="B444" s="339" t="str">
        <x:v>US-0111</x:v>
      </x:c>
      <x:c r="C444" s="339" t="str">
        <x:v>SCR-056</x:v>
      </x:c>
      <x:c r="D444" s="339" t="str">
        <x:v>Students</x:v>
      </x:c>
      <x:c r="E444" s="339" t="str">
        <x:v>Add Student</x:v>
      </x:c>
      <x:c r="F444" s="339" t="str">
        <x:v>State and dependency integrity</x:v>
      </x:c>
      <x:c r="G444" s="339" t="str">
        <x:v>the current record is in an allowed state (Pre-admission (optional) → Active → Suspended (optional) → Transferred / Graduated / Withdrawn → Alumni)</x:v>
      </x:c>
      <x:c r="H444" s="339" t="str">
        <x:v>the user attempts a state-changing action</x:v>
      </x:c>
      <x:c r="I444" s="339" t="str">
        <x:v>only a valid transition is accepted and dependent records are updated according to configured business rules</x:v>
      </x:c>
      <x:c r="J444" s="339" t="str">
        <x:v>Positive</x:v>
      </x:c>
      <x:c r="K444" s="339" t="str">
        <x:v>Functional</x:v>
      </x:c>
    </x:row>
    <x:row r="445">
      <x:c r="A445" s="339" t="str">
        <x:v>AC-00444</x:v>
      </x:c>
      <x:c r="B445" s="339" t="str">
        <x:v>US-0111</x:v>
      </x:c>
      <x:c r="C445" s="339" t="str">
        <x:v>SCR-056</x:v>
      </x:c>
      <x:c r="D445" s="339" t="str">
        <x:v>Students</x:v>
      </x:c>
      <x:c r="E445" s="339" t="str">
        <x:v>Add Student</x:v>
      </x:c>
      <x:c r="F445" s="339" t="str">
        <x:v>Auditability</x:v>
      </x:c>
      <x:c r="G445" s="339" t="str">
        <x:v>a material create/update/approve/reverse action occurs</x:v>
      </x:c>
      <x:c r="H445" s="339" t="str">
        <x:v>the transaction succeeds</x:v>
      </x:c>
      <x:c r="I445" s="339" t="str">
        <x:v>the system records actor, timestamp, action, target and relevant before/after or reason context in the audit trail</x:v>
      </x:c>
      <x:c r="J445" s="339" t="str">
        <x:v>Positive</x:v>
      </x:c>
      <x:c r="K445" s="339" t="str">
        <x:v>Functional</x:v>
      </x:c>
    </x:row>
    <x:row r="446">
      <x:c r="A446" s="339" t="str">
        <x:v>AC-00445</x:v>
      </x:c>
      <x:c r="B446" s="339" t="str">
        <x:v>US-0112</x:v>
      </x:c>
      <x:c r="C446" s="339" t="str">
        <x:v>SCR-056</x:v>
      </x:c>
      <x:c r="D446" s="339" t="str">
        <x:v>Students</x:v>
      </x:c>
      <x:c r="E446" s="339" t="str">
        <x:v>Add Student</x:v>
      </x:c>
      <x:c r="F446" s="339" t="str">
        <x:v>Required-field validation</x:v>
      </x:c>
      <x:c r="G446" s="339" t="str">
        <x:v>one or more required values are missing/invalid</x:v>
      </x:c>
      <x:c r="H446" s="339" t="str">
        <x:v>the user submits the form</x:v>
      </x:c>
      <x:c r="I446" s="339" t="str">
        <x:v>submission is blocked and field-level messages identify what must be corrected</x:v>
      </x:c>
      <x:c r="J446" s="339" t="str">
        <x:v>Positive</x:v>
      </x:c>
      <x:c r="K446" s="339" t="str">
        <x:v>Functional</x:v>
      </x:c>
    </x:row>
    <x:row r="447">
      <x:c r="A447" s="339" t="str">
        <x:v>AC-00446</x:v>
      </x:c>
      <x:c r="B447" s="339" t="str">
        <x:v>US-0112</x:v>
      </x:c>
      <x:c r="C447" s="339" t="str">
        <x:v>SCR-056</x:v>
      </x:c>
      <x:c r="D447" s="339" t="str">
        <x:v>Students</x:v>
      </x:c>
      <x:c r="E447" s="339" t="str">
        <x:v>Add Student</x:v>
      </x:c>
      <x:c r="F447" s="339" t="str">
        <x:v>Duplicate prevention</x:v>
      </x:c>
      <x:c r="G447" s="339" t="str">
        <x:v>a potentially duplicate record exists</x:v>
      </x:c>
      <x:c r="H447" s="339" t="str">
        <x:v>the user submits matching identity/master data</x:v>
      </x:c>
      <x:c r="I447" s="339" t="str">
        <x:v>the system blocks or warns according to configured duplicate policy before creating another record</x:v>
      </x:c>
      <x:c r="J447" s="339" t="str">
        <x:v>Negative</x:v>
      </x:c>
      <x:c r="K447" s="339" t="str">
        <x:v>Functional</x:v>
      </x:c>
    </x:row>
    <x:row r="448">
      <x:c r="A448" s="339" t="str">
        <x:v>AC-00447</x:v>
      </x:c>
      <x:c r="B448" s="339" t="str">
        <x:v>US-0112</x:v>
      </x:c>
      <x:c r="C448" s="339" t="str">
        <x:v>SCR-056</x:v>
      </x:c>
      <x:c r="D448" s="339" t="str">
        <x:v>Students</x:v>
      </x:c>
      <x:c r="E448" s="339" t="str">
        <x:v>Add Student</x:v>
      </x:c>
      <x:c r="F448" s="339" t="str">
        <x:v>Reference-data integrity</x:v>
      </x:c>
      <x:c r="G448" s="339" t="str">
        <x:v>the form contains master-data selections</x:v>
      </x:c>
      <x:c r="H448" s="339" t="str">
        <x:v>the user submits</x:v>
      </x:c>
      <x:c r="I448" s="339" t="str">
        <x:v>all referenced values are active, effective and within the user's scope at the time of save</x:v>
      </x:c>
      <x:c r="J448" s="339" t="str">
        <x:v>Positive</x:v>
      </x:c>
      <x:c r="K448" s="339" t="str">
        <x:v>Functional</x:v>
      </x:c>
    </x:row>
    <x:row r="449">
      <x:c r="A449" s="339" t="str">
        <x:v>AC-00448</x:v>
      </x:c>
      <x:c r="B449" s="339" t="str">
        <x:v>US-0112</x:v>
      </x:c>
      <x:c r="C449" s="339" t="str">
        <x:v>SCR-056</x:v>
      </x:c>
      <x:c r="D449" s="339" t="str">
        <x:v>Students</x:v>
      </x:c>
      <x:c r="E449" s="339" t="str">
        <x:v>Add Student</x:v>
      </x:c>
      <x:c r="F449" s="339" t="str">
        <x:v>Retry safety</x:v>
      </x:c>
      <x:c r="G449" s="339" t="str">
        <x:v>a network retry or repeated click occurs</x:v>
      </x:c>
      <x:c r="H449" s="339" t="str">
        <x:v>the same transaction is submitted again</x:v>
      </x:c>
      <x:c r="I449" s="339" t="str">
        <x:v>the system prevents unintended duplicate transactions through idempotency or duplicate detection</x:v>
      </x:c>
      <x:c r="J449" s="339" t="str">
        <x:v>Positive</x:v>
      </x:c>
      <x:c r="K449" s="339" t="str">
        <x:v>Functional</x:v>
      </x:c>
    </x:row>
    <x:row r="450">
      <x:c r="A450" s="339" t="str">
        <x:v>AC-00449</x:v>
      </x:c>
      <x:c r="B450" s="339" t="str">
        <x:v>US-0113</x:v>
      </x:c>
      <x:c r="C450" s="339" t="str">
        <x:v>SCR-057</x:v>
      </x:c>
      <x:c r="D450" s="339" t="str">
        <x:v>Students</x:v>
      </x:c>
      <x:c r="E450" s="339" t="str">
        <x:v>Student Profile Overview</x:v>
      </x:c>
      <x:c r="F450" s="339" t="str">
        <x:v>Authorized access to Student Profile Overview</x:v>
      </x:c>
      <x:c r="G450" s="339" t="str">
        <x:v>the School Admin is authenticated and has access to Student Profile Overview</x:v>
      </x:c>
      <x:c r="H450" s="339" t="str">
        <x:v>the user opens or invokes Student Profile Overview</x:v>
      </x:c>
      <x:c r="I450" s="339" t="str">
        <x:v>the system loads only records and actions within the user's permitted tenant/school/data scope</x:v>
      </x:c>
      <x:c r="J450" s="339" t="str">
        <x:v>Positive</x:v>
      </x:c>
      <x:c r="K450" s="339" t="str">
        <x:v>Functional / Security</x:v>
      </x:c>
    </x:row>
    <x:row r="451">
      <x:c r="A451" s="339" t="str">
        <x:v>AC-00450</x:v>
      </x:c>
      <x:c r="B451" s="339" t="str">
        <x:v>US-0113</x:v>
      </x:c>
      <x:c r="C451" s="339" t="str">
        <x:v>SCR-057</x:v>
      </x:c>
      <x:c r="D451" s="339" t="str">
        <x:v>Students</x:v>
      </x:c>
      <x:c r="E451" s="339" t="str">
        <x:v>Student Profile Overview</x:v>
      </x:c>
      <x:c r="F451" s="339" t="str">
        <x:v>Successful Student Profile Overview happy path</x:v>
      </x:c>
      <x:c r="G451" s="339" t="str">
        <x:v>all mandatory prerequisites and valid data are available</x:v>
      </x:c>
      <x:c r="H451" s="339" t="str">
        <x:v>the School Admin completes the primary action on Student Profile Overview</x:v>
      </x:c>
      <x:c r="I451" s="339" t="str">
        <x:v>the system validates the request, saves it atomically, shows a clear confirmation and reflects the updated state</x:v>
      </x:c>
      <x:c r="J451" s="339" t="str">
        <x:v>Positive</x:v>
      </x:c>
      <x:c r="K451" s="339" t="str">
        <x:v>Functional</x:v>
      </x:c>
    </x:row>
    <x:row r="452">
      <x:c r="A452" s="339" t="str">
        <x:v>AC-00451</x:v>
      </x:c>
      <x:c r="B452" s="339" t="str">
        <x:v>US-0113</x:v>
      </x:c>
      <x:c r="C452" s="339" t="str">
        <x:v>SCR-057</x:v>
      </x:c>
      <x:c r="D452" s="339" t="str">
        <x:v>Students</x:v>
      </x:c>
      <x:c r="E452" s="339" t="str">
        <x:v>Student Profile Overview</x:v>
      </x:c>
      <x:c r="F452" s="339" t="str">
        <x:v>State and dependency integrity</x:v>
      </x:c>
      <x:c r="G452" s="339" t="str">
        <x:v>the current record is in an allowed state (Pre-admission (optional) → Active → Suspended (optional) → Transferred / Graduated / Withdrawn → Alumni)</x:v>
      </x:c>
      <x:c r="H452" s="339" t="str">
        <x:v>the user attempts a state-changing action</x:v>
      </x:c>
      <x:c r="I452" s="339" t="str">
        <x:v>only a valid transition is accepted and dependent records are updated according to configured business rules</x:v>
      </x:c>
      <x:c r="J452" s="339" t="str">
        <x:v>Positive</x:v>
      </x:c>
      <x:c r="K452" s="339" t="str">
        <x:v>Functional</x:v>
      </x:c>
    </x:row>
    <x:row r="453">
      <x:c r="A453" s="339" t="str">
        <x:v>AC-00452</x:v>
      </x:c>
      <x:c r="B453" s="339" t="str">
        <x:v>US-0113</x:v>
      </x:c>
      <x:c r="C453" s="339" t="str">
        <x:v>SCR-057</x:v>
      </x:c>
      <x:c r="D453" s="339" t="str">
        <x:v>Students</x:v>
      </x:c>
      <x:c r="E453" s="339" t="str">
        <x:v>Student Profile Overview</x:v>
      </x:c>
      <x:c r="F453" s="339" t="str">
        <x:v>Auditability</x:v>
      </x:c>
      <x:c r="G453" s="339" t="str">
        <x:v>a material create/update/approve/reverse action occurs</x:v>
      </x:c>
      <x:c r="H453" s="339" t="str">
        <x:v>the transaction succeeds</x:v>
      </x:c>
      <x:c r="I453" s="339" t="str">
        <x:v>the system records actor, timestamp, action, target and relevant before/after or reason context in the audit trail</x:v>
      </x:c>
      <x:c r="J453" s="339" t="str">
        <x:v>Positive</x:v>
      </x:c>
      <x:c r="K453" s="339" t="str">
        <x:v>Functional</x:v>
      </x:c>
    </x:row>
    <x:row r="454">
      <x:c r="A454" s="339" t="str">
        <x:v>AC-00453</x:v>
      </x:c>
      <x:c r="B454" s="339" t="str">
        <x:v>US-0114</x:v>
      </x:c>
      <x:c r="C454" s="339" t="str">
        <x:v>SCR-057</x:v>
      </x:c>
      <x:c r="D454" s="339" t="str">
        <x:v>Students</x:v>
      </x:c>
      <x:c r="E454" s="339" t="str">
        <x:v>Student Profile Overview</x:v>
      </x:c>
      <x:c r="F454" s="339" t="str">
        <x:v>Complete authorized view</x:v>
      </x:c>
      <x:c r="G454" s="339" t="str">
        <x:v>the record exists and the user is authorized</x:v>
      </x:c>
      <x:c r="H454" s="339" t="str">
        <x:v>the detail/profile opens</x:v>
      </x:c>
      <x:c r="I454" s="339" t="str">
        <x:v>the system loads the required summary, relationships and history while masking restricted fields</x:v>
      </x:c>
      <x:c r="J454" s="339" t="str">
        <x:v>Positive</x:v>
      </x:c>
      <x:c r="K454" s="339" t="str">
        <x:v>Functional / Security</x:v>
      </x:c>
    </x:row>
    <x:row r="455">
      <x:c r="A455" s="339" t="str">
        <x:v>AC-00454</x:v>
      </x:c>
      <x:c r="B455" s="339" t="str">
        <x:v>US-0114</x:v>
      </x:c>
      <x:c r="C455" s="339" t="str">
        <x:v>SCR-057</x:v>
      </x:c>
      <x:c r="D455" s="339" t="str">
        <x:v>Students</x:v>
      </x:c>
      <x:c r="E455" s="339" t="str">
        <x:v>Student Profile Overview</x:v>
      </x:c>
      <x:c r="F455" s="339" t="str">
        <x:v>Controlled edit</x:v>
      </x:c>
      <x:c r="G455" s="339" t="str">
        <x:v>the user has edit permission and the record is editable</x:v>
      </x:c>
      <x:c r="H455" s="339" t="str">
        <x:v>the user saves a change</x:v>
      </x:c>
      <x:c r="I455" s="339" t="str">
        <x:v>validation and state rules run before the update is committed</x:v>
      </x:c>
      <x:c r="J455" s="339" t="str">
        <x:v>Positive</x:v>
      </x:c>
      <x:c r="K455" s="339" t="str">
        <x:v>Functional</x:v>
      </x:c>
    </x:row>
    <x:row r="456">
      <x:c r="A456" s="339" t="str">
        <x:v>AC-00455</x:v>
      </x:c>
      <x:c r="B456" s="339" t="str">
        <x:v>US-0114</x:v>
      </x:c>
      <x:c r="C456" s="339" t="str">
        <x:v>SCR-057</x:v>
      </x:c>
      <x:c r="D456" s="339" t="str">
        <x:v>Students</x:v>
      </x:c>
      <x:c r="E456" s="339" t="str">
        <x:v>Student Profile Overview</x:v>
      </x:c>
      <x:c r="F456" s="339" t="str">
        <x:v>Concurrent edit protection</x:v>
      </x:c>
      <x:c r="G456" s="339" t="str">
        <x:v>another user has changed the record after it was loaded</x:v>
      </x:c>
      <x:c r="H456" s="339" t="str">
        <x:v>the first user attempts to save stale data</x:v>
      </x:c>
      <x:c r="I456" s="339" t="str">
        <x:v>the system detects the version conflict or preserves fields safely instead of silently overwriting</x:v>
      </x:c>
      <x:c r="J456" s="339" t="str">
        <x:v>Positive</x:v>
      </x:c>
      <x:c r="K456" s="339" t="str">
        <x:v>Functional</x:v>
      </x:c>
    </x:row>
    <x:row r="457">
      <x:c r="A457" s="339" t="str">
        <x:v>AC-00456</x:v>
      </x:c>
      <x:c r="B457" s="339" t="str">
        <x:v>US-0114</x:v>
      </x:c>
      <x:c r="C457" s="339" t="str">
        <x:v>SCR-057</x:v>
      </x:c>
      <x:c r="D457" s="339" t="str">
        <x:v>Students</x:v>
      </x:c>
      <x:c r="E457" s="339" t="str">
        <x:v>Student Profile Overview</x:v>
      </x:c>
      <x:c r="F457" s="339" t="str">
        <x:v>History retention</x:v>
      </x:c>
      <x:c r="G457" s="339" t="str">
        <x:v>the record has prior changes/statuses</x:v>
      </x:c>
      <x:c r="H457" s="339" t="str">
        <x:v>the user views history</x:v>
      </x:c>
      <x:c r="I457" s="339" t="str">
        <x:v>the audit/activity timeline shows traceable material changes without exposing restricted notes</x:v>
      </x:c>
      <x:c r="J457" s="339" t="str">
        <x:v>Positive</x:v>
      </x:c>
      <x:c r="K457" s="339" t="str">
        <x:v>Functional</x:v>
      </x:c>
    </x:row>
    <x:row r="458">
      <x:c r="A458" s="339" t="str">
        <x:v>AC-00457</x:v>
      </x:c>
      <x:c r="B458" s="339" t="str">
        <x:v>US-0115</x:v>
      </x:c>
      <x:c r="C458" s="339" t="str">
        <x:v>SCR-058</x:v>
      </x:c>
      <x:c r="D458" s="339" t="str">
        <x:v>Students</x:v>
      </x:c>
      <x:c r="E458" s="339" t="str">
        <x:v>Edit Student</x:v>
      </x:c>
      <x:c r="F458" s="339" t="str">
        <x:v>Authorized access to Edit Student</x:v>
      </x:c>
      <x:c r="G458" s="339" t="str">
        <x:v>the School Admin is authenticated and has access to Edit Student</x:v>
      </x:c>
      <x:c r="H458" s="339" t="str">
        <x:v>the user opens or invokes Edit Student</x:v>
      </x:c>
      <x:c r="I458" s="339" t="str">
        <x:v>the system loads only records and actions within the user's permitted tenant/school/data scope</x:v>
      </x:c>
      <x:c r="J458" s="339" t="str">
        <x:v>Positive</x:v>
      </x:c>
      <x:c r="K458" s="339" t="str">
        <x:v>Functional / Security</x:v>
      </x:c>
    </x:row>
    <x:row r="459">
      <x:c r="A459" s="339" t="str">
        <x:v>AC-00458</x:v>
      </x:c>
      <x:c r="B459" s="339" t="str">
        <x:v>US-0115</x:v>
      </x:c>
      <x:c r="C459" s="339" t="str">
        <x:v>SCR-058</x:v>
      </x:c>
      <x:c r="D459" s="339" t="str">
        <x:v>Students</x:v>
      </x:c>
      <x:c r="E459" s="339" t="str">
        <x:v>Edit Student</x:v>
      </x:c>
      <x:c r="F459" s="339" t="str">
        <x:v>Successful Edit Student happy path</x:v>
      </x:c>
      <x:c r="G459" s="339" t="str">
        <x:v>all mandatory prerequisites and valid data are available</x:v>
      </x:c>
      <x:c r="H459" s="339" t="str">
        <x:v>the School Admin completes the primary action on Edit Student</x:v>
      </x:c>
      <x:c r="I459" s="339" t="str">
        <x:v>the system validates the request, saves it atomically, shows a clear confirmation and reflects the updated state</x:v>
      </x:c>
      <x:c r="J459" s="339" t="str">
        <x:v>Positive</x:v>
      </x:c>
      <x:c r="K459" s="339" t="str">
        <x:v>Functional</x:v>
      </x:c>
    </x:row>
    <x:row r="460">
      <x:c r="A460" s="339" t="str">
        <x:v>AC-00459</x:v>
      </x:c>
      <x:c r="B460" s="339" t="str">
        <x:v>US-0115</x:v>
      </x:c>
      <x:c r="C460" s="339" t="str">
        <x:v>SCR-058</x:v>
      </x:c>
      <x:c r="D460" s="339" t="str">
        <x:v>Students</x:v>
      </x:c>
      <x:c r="E460" s="339" t="str">
        <x:v>Edit Student</x:v>
      </x:c>
      <x:c r="F460" s="339" t="str">
        <x:v>State and dependency integrity</x:v>
      </x:c>
      <x:c r="G460" s="339" t="str">
        <x:v>the current record is in an allowed state (Pre-admission (optional) → Active → Suspended (optional) → Transferred / Graduated / Withdrawn → Alumni)</x:v>
      </x:c>
      <x:c r="H460" s="339" t="str">
        <x:v>the user attempts a state-changing action</x:v>
      </x:c>
      <x:c r="I460" s="339" t="str">
        <x:v>only a valid transition is accepted and dependent records are updated according to configured business rules</x:v>
      </x:c>
      <x:c r="J460" s="339" t="str">
        <x:v>Positive</x:v>
      </x:c>
      <x:c r="K460" s="339" t="str">
        <x:v>Functional</x:v>
      </x:c>
    </x:row>
    <x:row r="461">
      <x:c r="A461" s="339" t="str">
        <x:v>AC-00460</x:v>
      </x:c>
      <x:c r="B461" s="339" t="str">
        <x:v>US-0115</x:v>
      </x:c>
      <x:c r="C461" s="339" t="str">
        <x:v>SCR-058</x:v>
      </x:c>
      <x:c r="D461" s="339" t="str">
        <x:v>Students</x:v>
      </x:c>
      <x:c r="E461" s="339" t="str">
        <x:v>Edit Student</x:v>
      </x:c>
      <x:c r="F461" s="339" t="str">
        <x:v>Auditability</x:v>
      </x:c>
      <x:c r="G461" s="339" t="str">
        <x:v>a material create/update/approve/reverse action occurs</x:v>
      </x:c>
      <x:c r="H461" s="339" t="str">
        <x:v>the transaction succeeds</x:v>
      </x:c>
      <x:c r="I461" s="339" t="str">
        <x:v>the system records actor, timestamp, action, target and relevant before/after or reason context in the audit trail</x:v>
      </x:c>
      <x:c r="J461" s="339" t="str">
        <x:v>Positive</x:v>
      </x:c>
      <x:c r="K461" s="339" t="str">
        <x:v>Functional</x:v>
      </x:c>
    </x:row>
    <x:row r="462">
      <x:c r="A462" s="339" t="str">
        <x:v>AC-00461</x:v>
      </x:c>
      <x:c r="B462" s="339" t="str">
        <x:v>US-0116</x:v>
      </x:c>
      <x:c r="C462" s="339" t="str">
        <x:v>SCR-058</x:v>
      </x:c>
      <x:c r="D462" s="339" t="str">
        <x:v>Students</x:v>
      </x:c>
      <x:c r="E462" s="339" t="str">
        <x:v>Edit Student</x:v>
      </x:c>
      <x:c r="F462" s="339" t="str">
        <x:v>Valid status transition</x:v>
      </x:c>
      <x:c r="G462" s="339" t="str">
        <x:v>the record is in a state described by Pre-admission (optional) → Active → Suspended (optional) → Transferred / Graduated / Withdrawn → Alumni</x:v>
      </x:c>
      <x:c r="H462" s="339" t="str">
        <x:v>the user requests a transition</x:v>
      </x:c>
      <x:c r="I462" s="339" t="str">
        <x:v>the system accepts only transitions allowed for that role and state</x:v>
      </x:c>
      <x:c r="J462" s="339" t="str">
        <x:v>Positive</x:v>
      </x:c>
      <x:c r="K462" s="339" t="str">
        <x:v>Functional</x:v>
      </x:c>
    </x:row>
    <x:row r="463">
      <x:c r="A463" s="339" t="str">
        <x:v>AC-00462</x:v>
      </x:c>
      <x:c r="B463" s="339" t="str">
        <x:v>US-0116</x:v>
      </x:c>
      <x:c r="C463" s="339" t="str">
        <x:v>SCR-058</x:v>
      </x:c>
      <x:c r="D463" s="339" t="str">
        <x:v>Students</x:v>
      </x:c>
      <x:c r="E463" s="339" t="str">
        <x:v>Edit Student</x:v>
      </x:c>
      <x:c r="F463" s="339" t="str">
        <x:v>Approval authority</x:v>
      </x:c>
      <x:c r="G463" s="339" t="str">
        <x:v>an action requires approval</x:v>
      </x:c>
      <x:c r="H463" s="339" t="str">
        <x:v>a non-authorized user attempts approval/rejection</x:v>
      </x:c>
      <x:c r="I463" s="339" t="str">
        <x:v>the system denies the decision and does not change status</x:v>
      </x:c>
      <x:c r="J463" s="339" t="str">
        <x:v>Negative</x:v>
      </x:c>
      <x:c r="K463" s="339" t="str">
        <x:v>Functional</x:v>
      </x:c>
    </x:row>
    <x:row r="464">
      <x:c r="A464" s="339" t="str">
        <x:v>AC-00463</x:v>
      </x:c>
      <x:c r="B464" s="339" t="str">
        <x:v>US-0116</x:v>
      </x:c>
      <x:c r="C464" s="339" t="str">
        <x:v>SCR-058</x:v>
      </x:c>
      <x:c r="D464" s="339" t="str">
        <x:v>Students</x:v>
      </x:c>
      <x:c r="E464" s="339" t="str">
        <x:v>Edit Student</x:v>
      </x:c>
      <x:c r="F464" s="339" t="str">
        <x:v>Failure rollback</x:v>
      </x:c>
      <x:c r="G464" s="339" t="str">
        <x:v>a downstream dependency fails during a multi-step transaction</x:v>
      </x:c>
      <x:c r="H464" s="339" t="str">
        <x:v>the workflow executes</x:v>
      </x:c>
      <x:c r="I464" s="339" t="str">
        <x:v>the system does not leave an invalid partial final state and surfaces a recoverable error</x:v>
      </x:c>
      <x:c r="J464" s="339" t="str">
        <x:v>Positive</x:v>
      </x:c>
      <x:c r="K464" s="339" t="str">
        <x:v>Functional</x:v>
      </x:c>
    </x:row>
    <x:row r="465">
      <x:c r="A465" s="339" t="str">
        <x:v>AC-00464</x:v>
      </x:c>
      <x:c r="B465" s="339" t="str">
        <x:v>US-0116</x:v>
      </x:c>
      <x:c r="C465" s="339" t="str">
        <x:v>SCR-058</x:v>
      </x:c>
      <x:c r="D465" s="339" t="str">
        <x:v>Students</x:v>
      </x:c>
      <x:c r="E465" s="339" t="str">
        <x:v>Edit Student</x:v>
      </x:c>
      <x:c r="F465" s="339" t="str">
        <x:v>Exception traceability</x:v>
      </x:c>
      <x:c r="G465" s="339" t="str">
        <x:v>an authorized override/exception is used</x:v>
      </x:c>
      <x:c r="H465" s="339" t="str">
        <x:v>the action is confirmed</x:v>
      </x:c>
      <x:c r="I465" s="339" t="str">
        <x:v>the system requires reason/context and records it in the audit history</x:v>
      </x:c>
      <x:c r="J465" s="339" t="str">
        <x:v>Positive</x:v>
      </x:c>
      <x:c r="K465" s="339" t="str">
        <x:v>Functional</x:v>
      </x:c>
    </x:row>
    <x:row r="466">
      <x:c r="A466" s="339" t="str">
        <x:v>AC-00465</x:v>
      </x:c>
      <x:c r="B466" s="339" t="str">
        <x:v>US-0117</x:v>
      </x:c>
      <x:c r="C466" s="339" t="str">
        <x:v>SCR-059</x:v>
      </x:c>
      <x:c r="D466" s="339" t="str">
        <x:v>Students</x:v>
      </x:c>
      <x:c r="E466" s="339" t="str">
        <x:v>Student Academic Details</x:v>
      </x:c>
      <x:c r="F466" s="339" t="str">
        <x:v>Authorized access to Student Academic Details</x:v>
      </x:c>
      <x:c r="G466" s="339" t="str">
        <x:v>the School Admin is authenticated and has access to Student Academic Details</x:v>
      </x:c>
      <x:c r="H466" s="339" t="str">
        <x:v>the user opens or invokes Student Academic Details</x:v>
      </x:c>
      <x:c r="I466" s="339" t="str">
        <x:v>the system loads only records and actions within the user's permitted tenant/school/data scope</x:v>
      </x:c>
      <x:c r="J466" s="339" t="str">
        <x:v>Positive</x:v>
      </x:c>
      <x:c r="K466" s="339" t="str">
        <x:v>Functional / Security</x:v>
      </x:c>
    </x:row>
    <x:row r="467">
      <x:c r="A467" s="339" t="str">
        <x:v>AC-00466</x:v>
      </x:c>
      <x:c r="B467" s="339" t="str">
        <x:v>US-0117</x:v>
      </x:c>
      <x:c r="C467" s="339" t="str">
        <x:v>SCR-059</x:v>
      </x:c>
      <x:c r="D467" s="339" t="str">
        <x:v>Students</x:v>
      </x:c>
      <x:c r="E467" s="339" t="str">
        <x:v>Student Academic Details</x:v>
      </x:c>
      <x:c r="F467" s="339" t="str">
        <x:v>Successful Student Academic Details happy path</x:v>
      </x:c>
      <x:c r="G467" s="339" t="str">
        <x:v>all mandatory prerequisites and valid data are available</x:v>
      </x:c>
      <x:c r="H467" s="339" t="str">
        <x:v>the School Admin completes the primary action on Student Academic Details</x:v>
      </x:c>
      <x:c r="I467" s="339" t="str">
        <x:v>the system validates the request, saves it atomically, shows a clear confirmation and reflects the updated state</x:v>
      </x:c>
      <x:c r="J467" s="339" t="str">
        <x:v>Positive</x:v>
      </x:c>
      <x:c r="K467" s="339" t="str">
        <x:v>Functional</x:v>
      </x:c>
    </x:row>
    <x:row r="468">
      <x:c r="A468" s="339" t="str">
        <x:v>AC-00467</x:v>
      </x:c>
      <x:c r="B468" s="339" t="str">
        <x:v>US-0117</x:v>
      </x:c>
      <x:c r="C468" s="339" t="str">
        <x:v>SCR-059</x:v>
      </x:c>
      <x:c r="D468" s="339" t="str">
        <x:v>Students</x:v>
      </x:c>
      <x:c r="E468" s="339" t="str">
        <x:v>Student Academic Details</x:v>
      </x:c>
      <x:c r="F468" s="339" t="str">
        <x:v>State and dependency integrity</x:v>
      </x:c>
      <x:c r="G468" s="339" t="str">
        <x:v>the current record is in an allowed state (Pre-admission (optional) → Active → Suspended (optional) → Transferred / Graduated / Withdrawn → Alumni)</x:v>
      </x:c>
      <x:c r="H468" s="339" t="str">
        <x:v>the user attempts a state-changing action</x:v>
      </x:c>
      <x:c r="I468" s="339" t="str">
        <x:v>only a valid transition is accepted and dependent records are updated according to configured business rules</x:v>
      </x:c>
      <x:c r="J468" s="339" t="str">
        <x:v>Positive</x:v>
      </x:c>
      <x:c r="K468" s="339" t="str">
        <x:v>Functional</x:v>
      </x:c>
    </x:row>
    <x:row r="469">
      <x:c r="A469" s="339" t="str">
        <x:v>AC-00468</x:v>
      </x:c>
      <x:c r="B469" s="339" t="str">
        <x:v>US-0117</x:v>
      </x:c>
      <x:c r="C469" s="339" t="str">
        <x:v>SCR-059</x:v>
      </x:c>
      <x:c r="D469" s="339" t="str">
        <x:v>Students</x:v>
      </x:c>
      <x:c r="E469" s="339" t="str">
        <x:v>Student Academic Details</x:v>
      </x:c>
      <x:c r="F469" s="339" t="str">
        <x:v>Auditability</x:v>
      </x:c>
      <x:c r="G469" s="339" t="str">
        <x:v>a material create/update/approve/reverse action occurs</x:v>
      </x:c>
      <x:c r="H469" s="339" t="str">
        <x:v>the transaction succeeds</x:v>
      </x:c>
      <x:c r="I469" s="339" t="str">
        <x:v>the system records actor, timestamp, action, target and relevant before/after or reason context in the audit trail</x:v>
      </x:c>
      <x:c r="J469" s="339" t="str">
        <x:v>Positive</x:v>
      </x:c>
      <x:c r="K469" s="339" t="str">
        <x:v>Functional</x:v>
      </x:c>
    </x:row>
    <x:row r="470">
      <x:c r="A470" s="339" t="str">
        <x:v>AC-00469</x:v>
      </x:c>
      <x:c r="B470" s="339" t="str">
        <x:v>US-0118</x:v>
      </x:c>
      <x:c r="C470" s="339" t="str">
        <x:v>SCR-059</x:v>
      </x:c>
      <x:c r="D470" s="339" t="str">
        <x:v>Students</x:v>
      </x:c>
      <x:c r="E470" s="339" t="str">
        <x:v>Student Academic Details</x:v>
      </x:c>
      <x:c r="F470" s="339" t="str">
        <x:v>Complete authorized view</x:v>
      </x:c>
      <x:c r="G470" s="339" t="str">
        <x:v>the record exists and the user is authorized</x:v>
      </x:c>
      <x:c r="H470" s="339" t="str">
        <x:v>the detail/profile opens</x:v>
      </x:c>
      <x:c r="I470" s="339" t="str">
        <x:v>the system loads the required summary, relationships and history while masking restricted fields</x:v>
      </x:c>
      <x:c r="J470" s="339" t="str">
        <x:v>Positive</x:v>
      </x:c>
      <x:c r="K470" s="339" t="str">
        <x:v>Functional / Security</x:v>
      </x:c>
    </x:row>
    <x:row r="471">
      <x:c r="A471" s="339" t="str">
        <x:v>AC-00470</x:v>
      </x:c>
      <x:c r="B471" s="339" t="str">
        <x:v>US-0118</x:v>
      </x:c>
      <x:c r="C471" s="339" t="str">
        <x:v>SCR-059</x:v>
      </x:c>
      <x:c r="D471" s="339" t="str">
        <x:v>Students</x:v>
      </x:c>
      <x:c r="E471" s="339" t="str">
        <x:v>Student Academic Details</x:v>
      </x:c>
      <x:c r="F471" s="339" t="str">
        <x:v>Controlled edit</x:v>
      </x:c>
      <x:c r="G471" s="339" t="str">
        <x:v>the user has edit permission and the record is editable</x:v>
      </x:c>
      <x:c r="H471" s="339" t="str">
        <x:v>the user saves a change</x:v>
      </x:c>
      <x:c r="I471" s="339" t="str">
        <x:v>validation and state rules run before the update is committed</x:v>
      </x:c>
      <x:c r="J471" s="339" t="str">
        <x:v>Positive</x:v>
      </x:c>
      <x:c r="K471" s="339" t="str">
        <x:v>Functional</x:v>
      </x:c>
    </x:row>
    <x:row r="472">
      <x:c r="A472" s="339" t="str">
        <x:v>AC-00471</x:v>
      </x:c>
      <x:c r="B472" s="339" t="str">
        <x:v>US-0118</x:v>
      </x:c>
      <x:c r="C472" s="339" t="str">
        <x:v>SCR-059</x:v>
      </x:c>
      <x:c r="D472" s="339" t="str">
        <x:v>Students</x:v>
      </x:c>
      <x:c r="E472" s="339" t="str">
        <x:v>Student Academic Details</x:v>
      </x:c>
      <x:c r="F472" s="339" t="str">
        <x:v>Concurrent edit protection</x:v>
      </x:c>
      <x:c r="G472" s="339" t="str">
        <x:v>another user has changed the record after it was loaded</x:v>
      </x:c>
      <x:c r="H472" s="339" t="str">
        <x:v>the first user attempts to save stale data</x:v>
      </x:c>
      <x:c r="I472" s="339" t="str">
        <x:v>the system detects the version conflict or preserves fields safely instead of silently overwriting</x:v>
      </x:c>
      <x:c r="J472" s="339" t="str">
        <x:v>Positive</x:v>
      </x:c>
      <x:c r="K472" s="339" t="str">
        <x:v>Functional</x:v>
      </x:c>
    </x:row>
    <x:row r="473">
      <x:c r="A473" s="339" t="str">
        <x:v>AC-00472</x:v>
      </x:c>
      <x:c r="B473" s="339" t="str">
        <x:v>US-0118</x:v>
      </x:c>
      <x:c r="C473" s="339" t="str">
        <x:v>SCR-059</x:v>
      </x:c>
      <x:c r="D473" s="339" t="str">
        <x:v>Students</x:v>
      </x:c>
      <x:c r="E473" s="339" t="str">
        <x:v>Student Academic Details</x:v>
      </x:c>
      <x:c r="F473" s="339" t="str">
        <x:v>History retention</x:v>
      </x:c>
      <x:c r="G473" s="339" t="str">
        <x:v>the record has prior changes/statuses</x:v>
      </x:c>
      <x:c r="H473" s="339" t="str">
        <x:v>the user views history</x:v>
      </x:c>
      <x:c r="I473" s="339" t="str">
        <x:v>the audit/activity timeline shows traceable material changes without exposing restricted notes</x:v>
      </x:c>
      <x:c r="J473" s="339" t="str">
        <x:v>Positive</x:v>
      </x:c>
      <x:c r="K473" s="339" t="str">
        <x:v>Functional</x:v>
      </x:c>
    </x:row>
    <x:row r="474">
      <x:c r="A474" s="339" t="str">
        <x:v>AC-00473</x:v>
      </x:c>
      <x:c r="B474" s="339" t="str">
        <x:v>US-0119</x:v>
      </x:c>
      <x:c r="C474" s="339" t="str">
        <x:v>SCR-060</x:v>
      </x:c>
      <x:c r="D474" s="339" t="str">
        <x:v>Students</x:v>
      </x:c>
      <x:c r="E474" s="339" t="str">
        <x:v>Student Attendance History</x:v>
      </x:c>
      <x:c r="F474" s="339" t="str">
        <x:v>Authorized access to Student Attendance History</x:v>
      </x:c>
      <x:c r="G474" s="339" t="str">
        <x:v>the School Admin is authenticated and has access to Student Attendance History</x:v>
      </x:c>
      <x:c r="H474" s="339" t="str">
        <x:v>the user opens or invokes Student Attendance History</x:v>
      </x:c>
      <x:c r="I474" s="339" t="str">
        <x:v>the system loads only records and actions within the user's permitted tenant/school/data scope</x:v>
      </x:c>
      <x:c r="J474" s="339" t="str">
        <x:v>Positive</x:v>
      </x:c>
      <x:c r="K474" s="339" t="str">
        <x:v>Functional / Security</x:v>
      </x:c>
    </x:row>
    <x:row r="475">
      <x:c r="A475" s="339" t="str">
        <x:v>AC-00474</x:v>
      </x:c>
      <x:c r="B475" s="339" t="str">
        <x:v>US-0119</x:v>
      </x:c>
      <x:c r="C475" s="339" t="str">
        <x:v>SCR-060</x:v>
      </x:c>
      <x:c r="D475" s="339" t="str">
        <x:v>Students</x:v>
      </x:c>
      <x:c r="E475" s="339" t="str">
        <x:v>Student Attendance History</x:v>
      </x:c>
      <x:c r="F475" s="339" t="str">
        <x:v>Successful Student Attendance History happy path</x:v>
      </x:c>
      <x:c r="G475" s="339" t="str">
        <x:v>all mandatory prerequisites and valid data are available</x:v>
      </x:c>
      <x:c r="H475" s="339" t="str">
        <x:v>the School Admin completes the primary action on Student Attendance History</x:v>
      </x:c>
      <x:c r="I475" s="339" t="str">
        <x:v>the system validates the request, saves it atomically, shows a clear confirmation and reflects the updated state</x:v>
      </x:c>
      <x:c r="J475" s="339" t="str">
        <x:v>Positive</x:v>
      </x:c>
      <x:c r="K475" s="339" t="str">
        <x:v>Functional</x:v>
      </x:c>
    </x:row>
    <x:row r="476">
      <x:c r="A476" s="339" t="str">
        <x:v>AC-00475</x:v>
      </x:c>
      <x:c r="B476" s="339" t="str">
        <x:v>US-0119</x:v>
      </x:c>
      <x:c r="C476" s="339" t="str">
        <x:v>SCR-060</x:v>
      </x:c>
      <x:c r="D476" s="339" t="str">
        <x:v>Students</x:v>
      </x:c>
      <x:c r="E476" s="339" t="str">
        <x:v>Student Attendance History</x:v>
      </x:c>
      <x:c r="F476" s="339" t="str">
        <x:v>State and dependency integrity</x:v>
      </x:c>
      <x:c r="G476" s="339" t="str">
        <x:v>the current record is in an allowed state (Pre-admission (optional) → Active → Suspended (optional) → Transferred / Graduated / Withdrawn → Alumni)</x:v>
      </x:c>
      <x:c r="H476" s="339" t="str">
        <x:v>the user attempts a state-changing action</x:v>
      </x:c>
      <x:c r="I476" s="339" t="str">
        <x:v>only a valid transition is accepted and dependent records are updated according to configured business rules</x:v>
      </x:c>
      <x:c r="J476" s="339" t="str">
        <x:v>Positive</x:v>
      </x:c>
      <x:c r="K476" s="339" t="str">
        <x:v>Functional</x:v>
      </x:c>
    </x:row>
    <x:row r="477">
      <x:c r="A477" s="339" t="str">
        <x:v>AC-00476</x:v>
      </x:c>
      <x:c r="B477" s="339" t="str">
        <x:v>US-0119</x:v>
      </x:c>
      <x:c r="C477" s="339" t="str">
        <x:v>SCR-060</x:v>
      </x:c>
      <x:c r="D477" s="339" t="str">
        <x:v>Students</x:v>
      </x:c>
      <x:c r="E477" s="339" t="str">
        <x:v>Student Attendance History</x:v>
      </x:c>
      <x:c r="F477" s="339" t="str">
        <x:v>Auditability</x:v>
      </x:c>
      <x:c r="G477" s="339" t="str">
        <x:v>a material create/update/approve/reverse action occurs</x:v>
      </x:c>
      <x:c r="H477" s="339" t="str">
        <x:v>the transaction succeeds</x:v>
      </x:c>
      <x:c r="I477" s="339" t="str">
        <x:v>the system records actor, timestamp, action, target and relevant before/after or reason context in the audit trail</x:v>
      </x:c>
      <x:c r="J477" s="339" t="str">
        <x:v>Positive</x:v>
      </x:c>
      <x:c r="K477" s="339" t="str">
        <x:v>Functional</x:v>
      </x:c>
    </x:row>
    <x:row r="478">
      <x:c r="A478" s="339" t="str">
        <x:v>AC-00477</x:v>
      </x:c>
      <x:c r="B478" s="339" t="str">
        <x:v>US-0120</x:v>
      </x:c>
      <x:c r="C478" s="339" t="str">
        <x:v>SCR-060</x:v>
      </x:c>
      <x:c r="D478" s="339" t="str">
        <x:v>Students</x:v>
      </x:c>
      <x:c r="E478" s="339" t="str">
        <x:v>Student Attendance History</x:v>
      </x:c>
      <x:c r="F478" s="339" t="str">
        <x:v>Complete authorized view</x:v>
      </x:c>
      <x:c r="G478" s="339" t="str">
        <x:v>the record exists and the user is authorized</x:v>
      </x:c>
      <x:c r="H478" s="339" t="str">
        <x:v>the detail/profile opens</x:v>
      </x:c>
      <x:c r="I478" s="339" t="str">
        <x:v>the system loads the required summary, relationships and history while masking restricted fields</x:v>
      </x:c>
      <x:c r="J478" s="339" t="str">
        <x:v>Positive</x:v>
      </x:c>
      <x:c r="K478" s="339" t="str">
        <x:v>Functional / Security</x:v>
      </x:c>
    </x:row>
    <x:row r="479">
      <x:c r="A479" s="339" t="str">
        <x:v>AC-00478</x:v>
      </x:c>
      <x:c r="B479" s="339" t="str">
        <x:v>US-0120</x:v>
      </x:c>
      <x:c r="C479" s="339" t="str">
        <x:v>SCR-060</x:v>
      </x:c>
      <x:c r="D479" s="339" t="str">
        <x:v>Students</x:v>
      </x:c>
      <x:c r="E479" s="339" t="str">
        <x:v>Student Attendance History</x:v>
      </x:c>
      <x:c r="F479" s="339" t="str">
        <x:v>Controlled edit</x:v>
      </x:c>
      <x:c r="G479" s="339" t="str">
        <x:v>the user has edit permission and the record is editable</x:v>
      </x:c>
      <x:c r="H479" s="339" t="str">
        <x:v>the user saves a change</x:v>
      </x:c>
      <x:c r="I479" s="339" t="str">
        <x:v>validation and state rules run before the update is committed</x:v>
      </x:c>
      <x:c r="J479" s="339" t="str">
        <x:v>Positive</x:v>
      </x:c>
      <x:c r="K479" s="339" t="str">
        <x:v>Functional</x:v>
      </x:c>
    </x:row>
    <x:row r="480">
      <x:c r="A480" s="339" t="str">
        <x:v>AC-00479</x:v>
      </x:c>
      <x:c r="B480" s="339" t="str">
        <x:v>US-0120</x:v>
      </x:c>
      <x:c r="C480" s="339" t="str">
        <x:v>SCR-060</x:v>
      </x:c>
      <x:c r="D480" s="339" t="str">
        <x:v>Students</x:v>
      </x:c>
      <x:c r="E480" s="339" t="str">
        <x:v>Student Attendance History</x:v>
      </x:c>
      <x:c r="F480" s="339" t="str">
        <x:v>Concurrent edit protection</x:v>
      </x:c>
      <x:c r="G480" s="339" t="str">
        <x:v>another user has changed the record after it was loaded</x:v>
      </x:c>
      <x:c r="H480" s="339" t="str">
        <x:v>the first user attempts to save stale data</x:v>
      </x:c>
      <x:c r="I480" s="339" t="str">
        <x:v>the system detects the version conflict or preserves fields safely instead of silently overwriting</x:v>
      </x:c>
      <x:c r="J480" s="339" t="str">
        <x:v>Positive</x:v>
      </x:c>
      <x:c r="K480" s="339" t="str">
        <x:v>Functional</x:v>
      </x:c>
    </x:row>
    <x:row r="481">
      <x:c r="A481" s="339" t="str">
        <x:v>AC-00480</x:v>
      </x:c>
      <x:c r="B481" s="339" t="str">
        <x:v>US-0120</x:v>
      </x:c>
      <x:c r="C481" s="339" t="str">
        <x:v>SCR-060</x:v>
      </x:c>
      <x:c r="D481" s="339" t="str">
        <x:v>Students</x:v>
      </x:c>
      <x:c r="E481" s="339" t="str">
        <x:v>Student Attendance History</x:v>
      </x:c>
      <x:c r="F481" s="339" t="str">
        <x:v>History retention</x:v>
      </x:c>
      <x:c r="G481" s="339" t="str">
        <x:v>the record has prior changes/statuses</x:v>
      </x:c>
      <x:c r="H481" s="339" t="str">
        <x:v>the user views history</x:v>
      </x:c>
      <x:c r="I481" s="339" t="str">
        <x:v>the audit/activity timeline shows traceable material changes without exposing restricted notes</x:v>
      </x:c>
      <x:c r="J481" s="339" t="str">
        <x:v>Positive</x:v>
      </x:c>
      <x:c r="K481" s="339" t="str">
        <x:v>Functional</x:v>
      </x:c>
    </x:row>
    <x:row r="482">
      <x:c r="A482" s="339" t="str">
        <x:v>AC-00481</x:v>
      </x:c>
      <x:c r="B482" s="339" t="str">
        <x:v>US-0121</x:v>
      </x:c>
      <x:c r="C482" s="339" t="str">
        <x:v>SCR-061</x:v>
      </x:c>
      <x:c r="D482" s="339" t="str">
        <x:v>Students</x:v>
      </x:c>
      <x:c r="E482" s="339" t="str">
        <x:v>Student Examination &amp; Results</x:v>
      </x:c>
      <x:c r="F482" s="339" t="str">
        <x:v>Authorized access to Student Examination &amp; Results</x:v>
      </x:c>
      <x:c r="G482" s="339" t="str">
        <x:v>the School Admin is authenticated and has access to Student Examination &amp; Results</x:v>
      </x:c>
      <x:c r="H482" s="339" t="str">
        <x:v>the user opens or invokes Student Examination &amp; Results</x:v>
      </x:c>
      <x:c r="I482" s="339" t="str">
        <x:v>the system loads only records and actions within the user's permitted tenant/school/data scope</x:v>
      </x:c>
      <x:c r="J482" s="339" t="str">
        <x:v>Positive</x:v>
      </x:c>
      <x:c r="K482" s="339" t="str">
        <x:v>Functional / Security</x:v>
      </x:c>
    </x:row>
    <x:row r="483">
      <x:c r="A483" s="339" t="str">
        <x:v>AC-00482</x:v>
      </x:c>
      <x:c r="B483" s="339" t="str">
        <x:v>US-0121</x:v>
      </x:c>
      <x:c r="C483" s="339" t="str">
        <x:v>SCR-061</x:v>
      </x:c>
      <x:c r="D483" s="339" t="str">
        <x:v>Students</x:v>
      </x:c>
      <x:c r="E483" s="339" t="str">
        <x:v>Student Examination &amp; Results</x:v>
      </x:c>
      <x:c r="F483" s="339" t="str">
        <x:v>Successful Student Examination &amp; Results happy path</x:v>
      </x:c>
      <x:c r="G483" s="339" t="str">
        <x:v>all mandatory prerequisites and valid data are available</x:v>
      </x:c>
      <x:c r="H483" s="339" t="str">
        <x:v>the School Admin completes the primary action on Student Examination &amp; Results</x:v>
      </x:c>
      <x:c r="I483" s="339" t="str">
        <x:v>the system validates the request, saves it atomically, shows a clear confirmation and reflects the updated state</x:v>
      </x:c>
      <x:c r="J483" s="339" t="str">
        <x:v>Positive</x:v>
      </x:c>
      <x:c r="K483" s="339" t="str">
        <x:v>Functional</x:v>
      </x:c>
    </x:row>
    <x:row r="484">
      <x:c r="A484" s="339" t="str">
        <x:v>AC-00483</x:v>
      </x:c>
      <x:c r="B484" s="339" t="str">
        <x:v>US-0121</x:v>
      </x:c>
      <x:c r="C484" s="339" t="str">
        <x:v>SCR-061</x:v>
      </x:c>
      <x:c r="D484" s="339" t="str">
        <x:v>Students</x:v>
      </x:c>
      <x:c r="E484" s="339" t="str">
        <x:v>Student Examination &amp; Results</x:v>
      </x:c>
      <x:c r="F484" s="339" t="str">
        <x:v>State and dependency integrity</x:v>
      </x:c>
      <x:c r="G484" s="339" t="str">
        <x:v>the current record is in an allowed state (Pre-admission (optional) → Active → Suspended (optional) → Transferred / Graduated / Withdrawn → Alumni)</x:v>
      </x:c>
      <x:c r="H484" s="339" t="str">
        <x:v>the user attempts a state-changing action</x:v>
      </x:c>
      <x:c r="I484" s="339" t="str">
        <x:v>only a valid transition is accepted and dependent records are updated according to configured business rules</x:v>
      </x:c>
      <x:c r="J484" s="339" t="str">
        <x:v>Positive</x:v>
      </x:c>
      <x:c r="K484" s="339" t="str">
        <x:v>Functional</x:v>
      </x:c>
    </x:row>
    <x:row r="485">
      <x:c r="A485" s="339" t="str">
        <x:v>AC-00484</x:v>
      </x:c>
      <x:c r="B485" s="339" t="str">
        <x:v>US-0121</x:v>
      </x:c>
      <x:c r="C485" s="339" t="str">
        <x:v>SCR-061</x:v>
      </x:c>
      <x:c r="D485" s="339" t="str">
        <x:v>Students</x:v>
      </x:c>
      <x:c r="E485" s="339" t="str">
        <x:v>Student Examination &amp; Results</x:v>
      </x:c>
      <x:c r="F485" s="339" t="str">
        <x:v>Auditability</x:v>
      </x:c>
      <x:c r="G485" s="339" t="str">
        <x:v>a material create/update/approve/reverse action occurs</x:v>
      </x:c>
      <x:c r="H485" s="339" t="str">
        <x:v>the transaction succeeds</x:v>
      </x:c>
      <x:c r="I485" s="339" t="str">
        <x:v>the system records actor, timestamp, action, target and relevant before/after or reason context in the audit trail</x:v>
      </x:c>
      <x:c r="J485" s="339" t="str">
        <x:v>Positive</x:v>
      </x:c>
      <x:c r="K485" s="339" t="str">
        <x:v>Functional</x:v>
      </x:c>
    </x:row>
    <x:row r="486">
      <x:c r="A486" s="339" t="str">
        <x:v>AC-00485</x:v>
      </x:c>
      <x:c r="B486" s="339" t="str">
        <x:v>US-0122</x:v>
      </x:c>
      <x:c r="C486" s="339" t="str">
        <x:v>SCR-061</x:v>
      </x:c>
      <x:c r="D486" s="339" t="str">
        <x:v>Students</x:v>
      </x:c>
      <x:c r="E486" s="339" t="str">
        <x:v>Student Examination &amp; Results</x:v>
      </x:c>
      <x:c r="F486" s="339" t="str">
        <x:v>Complete authorized view</x:v>
      </x:c>
      <x:c r="G486" s="339" t="str">
        <x:v>the record exists and the user is authorized</x:v>
      </x:c>
      <x:c r="H486" s="339" t="str">
        <x:v>the detail/profile opens</x:v>
      </x:c>
      <x:c r="I486" s="339" t="str">
        <x:v>the system loads the required summary, relationships and history while masking restricted fields</x:v>
      </x:c>
      <x:c r="J486" s="339" t="str">
        <x:v>Positive</x:v>
      </x:c>
      <x:c r="K486" s="339" t="str">
        <x:v>Functional / Security</x:v>
      </x:c>
    </x:row>
    <x:row r="487">
      <x:c r="A487" s="339" t="str">
        <x:v>AC-00486</x:v>
      </x:c>
      <x:c r="B487" s="339" t="str">
        <x:v>US-0122</x:v>
      </x:c>
      <x:c r="C487" s="339" t="str">
        <x:v>SCR-061</x:v>
      </x:c>
      <x:c r="D487" s="339" t="str">
        <x:v>Students</x:v>
      </x:c>
      <x:c r="E487" s="339" t="str">
        <x:v>Student Examination &amp; Results</x:v>
      </x:c>
      <x:c r="F487" s="339" t="str">
        <x:v>Controlled edit</x:v>
      </x:c>
      <x:c r="G487" s="339" t="str">
        <x:v>the user has edit permission and the record is editable</x:v>
      </x:c>
      <x:c r="H487" s="339" t="str">
        <x:v>the user saves a change</x:v>
      </x:c>
      <x:c r="I487" s="339" t="str">
        <x:v>validation and state rules run before the update is committed</x:v>
      </x:c>
      <x:c r="J487" s="339" t="str">
        <x:v>Positive</x:v>
      </x:c>
      <x:c r="K487" s="339" t="str">
        <x:v>Functional</x:v>
      </x:c>
    </x:row>
    <x:row r="488">
      <x:c r="A488" s="339" t="str">
        <x:v>AC-00487</x:v>
      </x:c>
      <x:c r="B488" s="339" t="str">
        <x:v>US-0122</x:v>
      </x:c>
      <x:c r="C488" s="339" t="str">
        <x:v>SCR-061</x:v>
      </x:c>
      <x:c r="D488" s="339" t="str">
        <x:v>Students</x:v>
      </x:c>
      <x:c r="E488" s="339" t="str">
        <x:v>Student Examination &amp; Results</x:v>
      </x:c>
      <x:c r="F488" s="339" t="str">
        <x:v>Concurrent edit protection</x:v>
      </x:c>
      <x:c r="G488" s="339" t="str">
        <x:v>another user has changed the record after it was loaded</x:v>
      </x:c>
      <x:c r="H488" s="339" t="str">
        <x:v>the first user attempts to save stale data</x:v>
      </x:c>
      <x:c r="I488" s="339" t="str">
        <x:v>the system detects the version conflict or preserves fields safely instead of silently overwriting</x:v>
      </x:c>
      <x:c r="J488" s="339" t="str">
        <x:v>Positive</x:v>
      </x:c>
      <x:c r="K488" s="339" t="str">
        <x:v>Functional</x:v>
      </x:c>
    </x:row>
    <x:row r="489">
      <x:c r="A489" s="339" t="str">
        <x:v>AC-00488</x:v>
      </x:c>
      <x:c r="B489" s="339" t="str">
        <x:v>US-0122</x:v>
      </x:c>
      <x:c r="C489" s="339" t="str">
        <x:v>SCR-061</x:v>
      </x:c>
      <x:c r="D489" s="339" t="str">
        <x:v>Students</x:v>
      </x:c>
      <x:c r="E489" s="339" t="str">
        <x:v>Student Examination &amp; Results</x:v>
      </x:c>
      <x:c r="F489" s="339" t="str">
        <x:v>History retention</x:v>
      </x:c>
      <x:c r="G489" s="339" t="str">
        <x:v>the record has prior changes/statuses</x:v>
      </x:c>
      <x:c r="H489" s="339" t="str">
        <x:v>the user views history</x:v>
      </x:c>
      <x:c r="I489" s="339" t="str">
        <x:v>the audit/activity timeline shows traceable material changes without exposing restricted notes</x:v>
      </x:c>
      <x:c r="J489" s="339" t="str">
        <x:v>Positive</x:v>
      </x:c>
      <x:c r="K489" s="339" t="str">
        <x:v>Functional</x:v>
      </x:c>
    </x:row>
    <x:row r="490">
      <x:c r="A490" s="339" t="str">
        <x:v>AC-00489</x:v>
      </x:c>
      <x:c r="B490" s="339" t="str">
        <x:v>US-0123</x:v>
      </x:c>
      <x:c r="C490" s="339" t="str">
        <x:v>SCR-062</x:v>
      </x:c>
      <x:c r="D490" s="339" t="str">
        <x:v>Students</x:v>
      </x:c>
      <x:c r="E490" s="339" t="str">
        <x:v>Student Fees &amp; Ledger</x:v>
      </x:c>
      <x:c r="F490" s="339" t="str">
        <x:v>Authorized access to Student Fees &amp; Ledger</x:v>
      </x:c>
      <x:c r="G490" s="339" t="str">
        <x:v>the School Admin is authenticated and has access to Student Fees &amp; Ledger</x:v>
      </x:c>
      <x:c r="H490" s="339" t="str">
        <x:v>the user opens or invokes Student Fees &amp; Ledger</x:v>
      </x:c>
      <x:c r="I490" s="339" t="str">
        <x:v>the system loads only records and actions within the user's permitted tenant/school/data scope</x:v>
      </x:c>
      <x:c r="J490" s="339" t="str">
        <x:v>Positive</x:v>
      </x:c>
      <x:c r="K490" s="339" t="str">
        <x:v>Functional / Security</x:v>
      </x:c>
    </x:row>
    <x:row r="491">
      <x:c r="A491" s="339" t="str">
        <x:v>AC-00490</x:v>
      </x:c>
      <x:c r="B491" s="339" t="str">
        <x:v>US-0123</x:v>
      </x:c>
      <x:c r="C491" s="339" t="str">
        <x:v>SCR-062</x:v>
      </x:c>
      <x:c r="D491" s="339" t="str">
        <x:v>Students</x:v>
      </x:c>
      <x:c r="E491" s="339" t="str">
        <x:v>Student Fees &amp; Ledger</x:v>
      </x:c>
      <x:c r="F491" s="339" t="str">
        <x:v>Successful Student Fees &amp; Ledger happy path</x:v>
      </x:c>
      <x:c r="G491" s="339" t="str">
        <x:v>all mandatory prerequisites and valid data are available</x:v>
      </x:c>
      <x:c r="H491" s="339" t="str">
        <x:v>the School Admin completes the primary action on Student Fees &amp; Ledger</x:v>
      </x:c>
      <x:c r="I491" s="339" t="str">
        <x:v>the system validates the request, saves it atomically, shows a clear confirmation and reflects the updated state</x:v>
      </x:c>
      <x:c r="J491" s="339" t="str">
        <x:v>Positive</x:v>
      </x:c>
      <x:c r="K491" s="339" t="str">
        <x:v>Functional</x:v>
      </x:c>
    </x:row>
    <x:row r="492">
      <x:c r="A492" s="339" t="str">
        <x:v>AC-00491</x:v>
      </x:c>
      <x:c r="B492" s="339" t="str">
        <x:v>US-0123</x:v>
      </x:c>
      <x:c r="C492" s="339" t="str">
        <x:v>SCR-062</x:v>
      </x:c>
      <x:c r="D492" s="339" t="str">
        <x:v>Students</x:v>
      </x:c>
      <x:c r="E492" s="339" t="str">
        <x:v>Student Fees &amp; Ledger</x:v>
      </x:c>
      <x:c r="F492" s="339" t="str">
        <x:v>State and dependency integrity</x:v>
      </x:c>
      <x:c r="G492" s="339" t="str">
        <x:v>the current record is in an allowed state (Pre-admission (optional) → Active → Suspended (optional) → Transferred / Graduated / Withdrawn → Alumni)</x:v>
      </x:c>
      <x:c r="H492" s="339" t="str">
        <x:v>the user attempts a state-changing action</x:v>
      </x:c>
      <x:c r="I492" s="339" t="str">
        <x:v>only a valid transition is accepted and dependent records are updated according to configured business rules</x:v>
      </x:c>
      <x:c r="J492" s="339" t="str">
        <x:v>Positive</x:v>
      </x:c>
      <x:c r="K492" s="339" t="str">
        <x:v>Functional</x:v>
      </x:c>
    </x:row>
    <x:row r="493">
      <x:c r="A493" s="339" t="str">
        <x:v>AC-00492</x:v>
      </x:c>
      <x:c r="B493" s="339" t="str">
        <x:v>US-0123</x:v>
      </x:c>
      <x:c r="C493" s="339" t="str">
        <x:v>SCR-062</x:v>
      </x:c>
      <x:c r="D493" s="339" t="str">
        <x:v>Students</x:v>
      </x:c>
      <x:c r="E493" s="339" t="str">
        <x:v>Student Fees &amp; Ledger</x:v>
      </x:c>
      <x:c r="F493" s="339" t="str">
        <x:v>Auditability</x:v>
      </x:c>
      <x:c r="G493" s="339" t="str">
        <x:v>a material create/update/approve/reverse action occurs</x:v>
      </x:c>
      <x:c r="H493" s="339" t="str">
        <x:v>the transaction succeeds</x:v>
      </x:c>
      <x:c r="I493" s="339" t="str">
        <x:v>the system records actor, timestamp, action, target and relevant before/after or reason context in the audit trail</x:v>
      </x:c>
      <x:c r="J493" s="339" t="str">
        <x:v>Positive</x:v>
      </x:c>
      <x:c r="K493" s="339" t="str">
        <x:v>Functional</x:v>
      </x:c>
    </x:row>
    <x:row r="494">
      <x:c r="A494" s="339" t="str">
        <x:v>AC-00493</x:v>
      </x:c>
      <x:c r="B494" s="339" t="str">
        <x:v>US-0124</x:v>
      </x:c>
      <x:c r="C494" s="339" t="str">
        <x:v>SCR-062</x:v>
      </x:c>
      <x:c r="D494" s="339" t="str">
        <x:v>Students</x:v>
      </x:c>
      <x:c r="E494" s="339" t="str">
        <x:v>Student Fees &amp; Ledger</x:v>
      </x:c>
      <x:c r="F494" s="339" t="str">
        <x:v>Complete authorized view</x:v>
      </x:c>
      <x:c r="G494" s="339" t="str">
        <x:v>the record exists and the user is authorized</x:v>
      </x:c>
      <x:c r="H494" s="339" t="str">
        <x:v>the detail/profile opens</x:v>
      </x:c>
      <x:c r="I494" s="339" t="str">
        <x:v>the system loads the required summary, relationships and history while masking restricted fields</x:v>
      </x:c>
      <x:c r="J494" s="339" t="str">
        <x:v>Positive</x:v>
      </x:c>
      <x:c r="K494" s="339" t="str">
        <x:v>Functional / Security</x:v>
      </x:c>
    </x:row>
    <x:row r="495">
      <x:c r="A495" s="339" t="str">
        <x:v>AC-00494</x:v>
      </x:c>
      <x:c r="B495" s="339" t="str">
        <x:v>US-0124</x:v>
      </x:c>
      <x:c r="C495" s="339" t="str">
        <x:v>SCR-062</x:v>
      </x:c>
      <x:c r="D495" s="339" t="str">
        <x:v>Students</x:v>
      </x:c>
      <x:c r="E495" s="339" t="str">
        <x:v>Student Fees &amp; Ledger</x:v>
      </x:c>
      <x:c r="F495" s="339" t="str">
        <x:v>Controlled edit</x:v>
      </x:c>
      <x:c r="G495" s="339" t="str">
        <x:v>the user has edit permission and the record is editable</x:v>
      </x:c>
      <x:c r="H495" s="339" t="str">
        <x:v>the user saves a change</x:v>
      </x:c>
      <x:c r="I495" s="339" t="str">
        <x:v>validation and state rules run before the update is committed</x:v>
      </x:c>
      <x:c r="J495" s="339" t="str">
        <x:v>Positive</x:v>
      </x:c>
      <x:c r="K495" s="339" t="str">
        <x:v>Functional</x:v>
      </x:c>
    </x:row>
    <x:row r="496">
      <x:c r="A496" s="339" t="str">
        <x:v>AC-00495</x:v>
      </x:c>
      <x:c r="B496" s="339" t="str">
        <x:v>US-0124</x:v>
      </x:c>
      <x:c r="C496" s="339" t="str">
        <x:v>SCR-062</x:v>
      </x:c>
      <x:c r="D496" s="339" t="str">
        <x:v>Students</x:v>
      </x:c>
      <x:c r="E496" s="339" t="str">
        <x:v>Student Fees &amp; Ledger</x:v>
      </x:c>
      <x:c r="F496" s="339" t="str">
        <x:v>Concurrent edit protection</x:v>
      </x:c>
      <x:c r="G496" s="339" t="str">
        <x:v>another user has changed the record after it was loaded</x:v>
      </x:c>
      <x:c r="H496" s="339" t="str">
        <x:v>the first user attempts to save stale data</x:v>
      </x:c>
      <x:c r="I496" s="339" t="str">
        <x:v>the system detects the version conflict or preserves fields safely instead of silently overwriting</x:v>
      </x:c>
      <x:c r="J496" s="339" t="str">
        <x:v>Positive</x:v>
      </x:c>
      <x:c r="K496" s="339" t="str">
        <x:v>Functional</x:v>
      </x:c>
    </x:row>
    <x:row r="497">
      <x:c r="A497" s="339" t="str">
        <x:v>AC-00496</x:v>
      </x:c>
      <x:c r="B497" s="339" t="str">
        <x:v>US-0124</x:v>
      </x:c>
      <x:c r="C497" s="339" t="str">
        <x:v>SCR-062</x:v>
      </x:c>
      <x:c r="D497" s="339" t="str">
        <x:v>Students</x:v>
      </x:c>
      <x:c r="E497" s="339" t="str">
        <x:v>Student Fees &amp; Ledger</x:v>
      </x:c>
      <x:c r="F497" s="339" t="str">
        <x:v>History retention</x:v>
      </x:c>
      <x:c r="G497" s="339" t="str">
        <x:v>the record has prior changes/statuses</x:v>
      </x:c>
      <x:c r="H497" s="339" t="str">
        <x:v>the user views history</x:v>
      </x:c>
      <x:c r="I497" s="339" t="str">
        <x:v>the audit/activity timeline shows traceable material changes without exposing restricted notes</x:v>
      </x:c>
      <x:c r="J497" s="339" t="str">
        <x:v>Positive</x:v>
      </x:c>
      <x:c r="K497" s="339" t="str">
        <x:v>Functional</x:v>
      </x:c>
    </x:row>
    <x:row r="498">
      <x:c r="A498" s="339" t="str">
        <x:v>AC-00497</x:v>
      </x:c>
      <x:c r="B498" s="339" t="str">
        <x:v>US-0125</x:v>
      </x:c>
      <x:c r="C498" s="339" t="str">
        <x:v>SCR-063</x:v>
      </x:c>
      <x:c r="D498" s="339" t="str">
        <x:v>Students</x:v>
      </x:c>
      <x:c r="E498" s="339" t="str">
        <x:v>Student Documents</x:v>
      </x:c>
      <x:c r="F498" s="339" t="str">
        <x:v>Authorized access to Student Documents</x:v>
      </x:c>
      <x:c r="G498" s="339" t="str">
        <x:v>the School Admin is authenticated and has access to Student Documents</x:v>
      </x:c>
      <x:c r="H498" s="339" t="str">
        <x:v>the user opens or invokes Student Documents</x:v>
      </x:c>
      <x:c r="I498" s="339" t="str">
        <x:v>the system loads only records and actions within the user's permitted tenant/school/data scope</x:v>
      </x:c>
      <x:c r="J498" s="339" t="str">
        <x:v>Positive</x:v>
      </x:c>
      <x:c r="K498" s="339" t="str">
        <x:v>Functional / Security</x:v>
      </x:c>
    </x:row>
    <x:row r="499">
      <x:c r="A499" s="339" t="str">
        <x:v>AC-00498</x:v>
      </x:c>
      <x:c r="B499" s="339" t="str">
        <x:v>US-0125</x:v>
      </x:c>
      <x:c r="C499" s="339" t="str">
        <x:v>SCR-063</x:v>
      </x:c>
      <x:c r="D499" s="339" t="str">
        <x:v>Students</x:v>
      </x:c>
      <x:c r="E499" s="339" t="str">
        <x:v>Student Documents</x:v>
      </x:c>
      <x:c r="F499" s="339" t="str">
        <x:v>Successful Student Documents happy path</x:v>
      </x:c>
      <x:c r="G499" s="339" t="str">
        <x:v>all mandatory prerequisites and valid data are available</x:v>
      </x:c>
      <x:c r="H499" s="339" t="str">
        <x:v>the School Admin completes the primary action on Student Documents</x:v>
      </x:c>
      <x:c r="I499" s="339" t="str">
        <x:v>the system validates the request, saves it atomically, shows a clear confirmation and reflects the updated state</x:v>
      </x:c>
      <x:c r="J499" s="339" t="str">
        <x:v>Positive</x:v>
      </x:c>
      <x:c r="K499" s="339" t="str">
        <x:v>Functional</x:v>
      </x:c>
    </x:row>
    <x:row r="500">
      <x:c r="A500" s="339" t="str">
        <x:v>AC-00499</x:v>
      </x:c>
      <x:c r="B500" s="339" t="str">
        <x:v>US-0125</x:v>
      </x:c>
      <x:c r="C500" s="339" t="str">
        <x:v>SCR-063</x:v>
      </x:c>
      <x:c r="D500" s="339" t="str">
        <x:v>Students</x:v>
      </x:c>
      <x:c r="E500" s="339" t="str">
        <x:v>Student Documents</x:v>
      </x:c>
      <x:c r="F500" s="339" t="str">
        <x:v>State and dependency integrity</x:v>
      </x:c>
      <x:c r="G500" s="339" t="str">
        <x:v>the current record is in an allowed state (Pre-admission (optional) → Active → Suspended (optional) → Transferred / Graduated / Withdrawn → Alumni)</x:v>
      </x:c>
      <x:c r="H500" s="339" t="str">
        <x:v>the user attempts a state-changing action</x:v>
      </x:c>
      <x:c r="I500" s="339" t="str">
        <x:v>only a valid transition is accepted and dependent records are updated according to configured business rules</x:v>
      </x:c>
      <x:c r="J500" s="339" t="str">
        <x:v>Positive</x:v>
      </x:c>
      <x:c r="K500" s="339" t="str">
        <x:v>Functional</x:v>
      </x:c>
    </x:row>
    <x:row r="501">
      <x:c r="A501" s="339" t="str">
        <x:v>AC-00500</x:v>
      </x:c>
      <x:c r="B501" s="339" t="str">
        <x:v>US-0125</x:v>
      </x:c>
      <x:c r="C501" s="339" t="str">
        <x:v>SCR-063</x:v>
      </x:c>
      <x:c r="D501" s="339" t="str">
        <x:v>Students</x:v>
      </x:c>
      <x:c r="E501" s="339" t="str">
        <x:v>Student Documents</x:v>
      </x:c>
      <x:c r="F501" s="339" t="str">
        <x:v>Auditability</x:v>
      </x:c>
      <x:c r="G501" s="339" t="str">
        <x:v>a material create/update/approve/reverse action occurs</x:v>
      </x:c>
      <x:c r="H501" s="339" t="str">
        <x:v>the transaction succeeds</x:v>
      </x:c>
      <x:c r="I501" s="339" t="str">
        <x:v>the system records actor, timestamp, action, target and relevant before/after or reason context in the audit trail</x:v>
      </x:c>
      <x:c r="J501" s="339" t="str">
        <x:v>Positive</x:v>
      </x:c>
      <x:c r="K501" s="339" t="str">
        <x:v>Functional</x:v>
      </x:c>
    </x:row>
    <x:row r="502">
      <x:c r="A502" s="339" t="str">
        <x:v>AC-00501</x:v>
      </x:c>
      <x:c r="B502" s="339" t="str">
        <x:v>US-0126</x:v>
      </x:c>
      <x:c r="C502" s="339" t="str">
        <x:v>SCR-063</x:v>
      </x:c>
      <x:c r="D502" s="339" t="str">
        <x:v>Students</x:v>
      </x:c>
      <x:c r="E502" s="339" t="str">
        <x:v>Student Documents</x:v>
      </x:c>
      <x:c r="F502" s="339" t="str">
        <x:v>Valid status transition</x:v>
      </x:c>
      <x:c r="G502" s="339" t="str">
        <x:v>the record is in a state described by Pre-admission (optional) → Active → Suspended (optional) → Transferred / Graduated / Withdrawn → Alumni</x:v>
      </x:c>
      <x:c r="H502" s="339" t="str">
        <x:v>the user requests a transition</x:v>
      </x:c>
      <x:c r="I502" s="339" t="str">
        <x:v>the system accepts only transitions allowed for that role and state</x:v>
      </x:c>
      <x:c r="J502" s="339" t="str">
        <x:v>Positive</x:v>
      </x:c>
      <x:c r="K502" s="339" t="str">
        <x:v>Functional</x:v>
      </x:c>
    </x:row>
    <x:row r="503">
      <x:c r="A503" s="339" t="str">
        <x:v>AC-00502</x:v>
      </x:c>
      <x:c r="B503" s="339" t="str">
        <x:v>US-0126</x:v>
      </x:c>
      <x:c r="C503" s="339" t="str">
        <x:v>SCR-063</x:v>
      </x:c>
      <x:c r="D503" s="339" t="str">
        <x:v>Students</x:v>
      </x:c>
      <x:c r="E503" s="339" t="str">
        <x:v>Student Documents</x:v>
      </x:c>
      <x:c r="F503" s="339" t="str">
        <x:v>Approval authority</x:v>
      </x:c>
      <x:c r="G503" s="339" t="str">
        <x:v>an action requires approval</x:v>
      </x:c>
      <x:c r="H503" s="339" t="str">
        <x:v>a non-authorized user attempts approval/rejection</x:v>
      </x:c>
      <x:c r="I503" s="339" t="str">
        <x:v>the system denies the decision and does not change status</x:v>
      </x:c>
      <x:c r="J503" s="339" t="str">
        <x:v>Negative</x:v>
      </x:c>
      <x:c r="K503" s="339" t="str">
        <x:v>Functional</x:v>
      </x:c>
    </x:row>
    <x:row r="504">
      <x:c r="A504" s="339" t="str">
        <x:v>AC-00503</x:v>
      </x:c>
      <x:c r="B504" s="339" t="str">
        <x:v>US-0126</x:v>
      </x:c>
      <x:c r="C504" s="339" t="str">
        <x:v>SCR-063</x:v>
      </x:c>
      <x:c r="D504" s="339" t="str">
        <x:v>Students</x:v>
      </x:c>
      <x:c r="E504" s="339" t="str">
        <x:v>Student Documents</x:v>
      </x:c>
      <x:c r="F504" s="339" t="str">
        <x:v>Failure rollback</x:v>
      </x:c>
      <x:c r="G504" s="339" t="str">
        <x:v>a downstream dependency fails during a multi-step transaction</x:v>
      </x:c>
      <x:c r="H504" s="339" t="str">
        <x:v>the workflow executes</x:v>
      </x:c>
      <x:c r="I504" s="339" t="str">
        <x:v>the system does not leave an invalid partial final state and surfaces a recoverable error</x:v>
      </x:c>
      <x:c r="J504" s="339" t="str">
        <x:v>Positive</x:v>
      </x:c>
      <x:c r="K504" s="339" t="str">
        <x:v>Functional</x:v>
      </x:c>
    </x:row>
    <x:row r="505">
      <x:c r="A505" s="339" t="str">
        <x:v>AC-00504</x:v>
      </x:c>
      <x:c r="B505" s="339" t="str">
        <x:v>US-0126</x:v>
      </x:c>
      <x:c r="C505" s="339" t="str">
        <x:v>SCR-063</x:v>
      </x:c>
      <x:c r="D505" s="339" t="str">
        <x:v>Students</x:v>
      </x:c>
      <x:c r="E505" s="339" t="str">
        <x:v>Student Documents</x:v>
      </x:c>
      <x:c r="F505" s="339" t="str">
        <x:v>Exception traceability</x:v>
      </x:c>
      <x:c r="G505" s="339" t="str">
        <x:v>an authorized override/exception is used</x:v>
      </x:c>
      <x:c r="H505" s="339" t="str">
        <x:v>the action is confirmed</x:v>
      </x:c>
      <x:c r="I505" s="339" t="str">
        <x:v>the system requires reason/context and records it in the audit history</x:v>
      </x:c>
      <x:c r="J505" s="339" t="str">
        <x:v>Positive</x:v>
      </x:c>
      <x:c r="K505" s="339" t="str">
        <x:v>Functional</x:v>
      </x:c>
    </x:row>
    <x:row r="506">
      <x:c r="A506" s="339" t="str">
        <x:v>AC-00505</x:v>
      </x:c>
      <x:c r="B506" s="339" t="str">
        <x:v>US-0127</x:v>
      </x:c>
      <x:c r="C506" s="339" t="str">
        <x:v>SCR-064</x:v>
      </x:c>
      <x:c r="D506" s="339" t="str">
        <x:v>Students</x:v>
      </x:c>
      <x:c r="E506" s="339" t="str">
        <x:v>Student Behaviour &amp; Discipline</x:v>
      </x:c>
      <x:c r="F506" s="339" t="str">
        <x:v>Authorized access to Student Behaviour &amp; Discipline</x:v>
      </x:c>
      <x:c r="G506" s="339" t="str">
        <x:v>the School Admin is authenticated and has access to Student Behaviour &amp; Discipline</x:v>
      </x:c>
      <x:c r="H506" s="339" t="str">
        <x:v>the user opens or invokes Student Behaviour &amp; Discipline</x:v>
      </x:c>
      <x:c r="I506" s="339" t="str">
        <x:v>the system loads only records and actions within the user's permitted tenant/school/data scope</x:v>
      </x:c>
      <x:c r="J506" s="339" t="str">
        <x:v>Positive</x:v>
      </x:c>
      <x:c r="K506" s="339" t="str">
        <x:v>Functional / Security</x:v>
      </x:c>
    </x:row>
    <x:row r="507">
      <x:c r="A507" s="339" t="str">
        <x:v>AC-00506</x:v>
      </x:c>
      <x:c r="B507" s="339" t="str">
        <x:v>US-0127</x:v>
      </x:c>
      <x:c r="C507" s="339" t="str">
        <x:v>SCR-064</x:v>
      </x:c>
      <x:c r="D507" s="339" t="str">
        <x:v>Students</x:v>
      </x:c>
      <x:c r="E507" s="339" t="str">
        <x:v>Student Behaviour &amp; Discipline</x:v>
      </x:c>
      <x:c r="F507" s="339" t="str">
        <x:v>Successful Student Behaviour &amp; Discipline happy path</x:v>
      </x:c>
      <x:c r="G507" s="339" t="str">
        <x:v>all mandatory prerequisites and valid data are available</x:v>
      </x:c>
      <x:c r="H507" s="339" t="str">
        <x:v>the School Admin completes the primary action on Student Behaviour &amp; Discipline</x:v>
      </x:c>
      <x:c r="I507" s="339" t="str">
        <x:v>the system validates the request, saves it atomically, shows a clear confirmation and reflects the updated state</x:v>
      </x:c>
      <x:c r="J507" s="339" t="str">
        <x:v>Positive</x:v>
      </x:c>
      <x:c r="K507" s="339" t="str">
        <x:v>Functional</x:v>
      </x:c>
    </x:row>
    <x:row r="508">
      <x:c r="A508" s="339" t="str">
        <x:v>AC-00507</x:v>
      </x:c>
      <x:c r="B508" s="339" t="str">
        <x:v>US-0127</x:v>
      </x:c>
      <x:c r="C508" s="339" t="str">
        <x:v>SCR-064</x:v>
      </x:c>
      <x:c r="D508" s="339" t="str">
        <x:v>Students</x:v>
      </x:c>
      <x:c r="E508" s="339" t="str">
        <x:v>Student Behaviour &amp; Discipline</x:v>
      </x:c>
      <x:c r="F508" s="339" t="str">
        <x:v>State and dependency integrity</x:v>
      </x:c>
      <x:c r="G508" s="339" t="str">
        <x:v>the current record is in an allowed state (Pre-admission (optional) → Active → Suspended (optional) → Transferred / Graduated / Withdrawn → Alumni)</x:v>
      </x:c>
      <x:c r="H508" s="339" t="str">
        <x:v>the user attempts a state-changing action</x:v>
      </x:c>
      <x:c r="I508" s="339" t="str">
        <x:v>only a valid transition is accepted and dependent records are updated according to configured business rules</x:v>
      </x:c>
      <x:c r="J508" s="339" t="str">
        <x:v>Positive</x:v>
      </x:c>
      <x:c r="K508" s="339" t="str">
        <x:v>Functional</x:v>
      </x:c>
    </x:row>
    <x:row r="509">
      <x:c r="A509" s="339" t="str">
        <x:v>AC-00508</x:v>
      </x:c>
      <x:c r="B509" s="339" t="str">
        <x:v>US-0127</x:v>
      </x:c>
      <x:c r="C509" s="339" t="str">
        <x:v>SCR-064</x:v>
      </x:c>
      <x:c r="D509" s="339" t="str">
        <x:v>Students</x:v>
      </x:c>
      <x:c r="E509" s="339" t="str">
        <x:v>Student Behaviour &amp; Discipline</x:v>
      </x:c>
      <x:c r="F509" s="339" t="str">
        <x:v>Auditability</x:v>
      </x:c>
      <x:c r="G509" s="339" t="str">
        <x:v>a material create/update/approve/reverse action occurs</x:v>
      </x:c>
      <x:c r="H509" s="339" t="str">
        <x:v>the transaction succeeds</x:v>
      </x:c>
      <x:c r="I509" s="339" t="str">
        <x:v>the system records actor, timestamp, action, target and relevant before/after or reason context in the audit trail</x:v>
      </x:c>
      <x:c r="J509" s="339" t="str">
        <x:v>Positive</x:v>
      </x:c>
      <x:c r="K509" s="339" t="str">
        <x:v>Functional</x:v>
      </x:c>
    </x:row>
    <x:row r="510">
      <x:c r="A510" s="339" t="str">
        <x:v>AC-00509</x:v>
      </x:c>
      <x:c r="B510" s="339" t="str">
        <x:v>US-0128</x:v>
      </x:c>
      <x:c r="C510" s="339" t="str">
        <x:v>SCR-064</x:v>
      </x:c>
      <x:c r="D510" s="339" t="str">
        <x:v>Students</x:v>
      </x:c>
      <x:c r="E510" s="339" t="str">
        <x:v>Student Behaviour &amp; Discipline</x:v>
      </x:c>
      <x:c r="F510" s="339" t="str">
        <x:v>Valid status transition</x:v>
      </x:c>
      <x:c r="G510" s="339" t="str">
        <x:v>the record is in a state described by Pre-admission (optional) → Active → Suspended (optional) → Transferred / Graduated / Withdrawn → Alumni</x:v>
      </x:c>
      <x:c r="H510" s="339" t="str">
        <x:v>the user requests a transition</x:v>
      </x:c>
      <x:c r="I510" s="339" t="str">
        <x:v>the system accepts only transitions allowed for that role and state</x:v>
      </x:c>
      <x:c r="J510" s="339" t="str">
        <x:v>Positive</x:v>
      </x:c>
      <x:c r="K510" s="339" t="str">
        <x:v>Functional</x:v>
      </x:c>
    </x:row>
    <x:row r="511">
      <x:c r="A511" s="339" t="str">
        <x:v>AC-00510</x:v>
      </x:c>
      <x:c r="B511" s="339" t="str">
        <x:v>US-0128</x:v>
      </x:c>
      <x:c r="C511" s="339" t="str">
        <x:v>SCR-064</x:v>
      </x:c>
      <x:c r="D511" s="339" t="str">
        <x:v>Students</x:v>
      </x:c>
      <x:c r="E511" s="339" t="str">
        <x:v>Student Behaviour &amp; Discipline</x:v>
      </x:c>
      <x:c r="F511" s="339" t="str">
        <x:v>Approval authority</x:v>
      </x:c>
      <x:c r="G511" s="339" t="str">
        <x:v>an action requires approval</x:v>
      </x:c>
      <x:c r="H511" s="339" t="str">
        <x:v>a non-authorized user attempts approval/rejection</x:v>
      </x:c>
      <x:c r="I511" s="339" t="str">
        <x:v>the system denies the decision and does not change status</x:v>
      </x:c>
      <x:c r="J511" s="339" t="str">
        <x:v>Negative</x:v>
      </x:c>
      <x:c r="K511" s="339" t="str">
        <x:v>Functional</x:v>
      </x:c>
    </x:row>
    <x:row r="512">
      <x:c r="A512" s="339" t="str">
        <x:v>AC-00511</x:v>
      </x:c>
      <x:c r="B512" s="339" t="str">
        <x:v>US-0128</x:v>
      </x:c>
      <x:c r="C512" s="339" t="str">
        <x:v>SCR-064</x:v>
      </x:c>
      <x:c r="D512" s="339" t="str">
        <x:v>Students</x:v>
      </x:c>
      <x:c r="E512" s="339" t="str">
        <x:v>Student Behaviour &amp; Discipline</x:v>
      </x:c>
      <x:c r="F512" s="339" t="str">
        <x:v>Failure rollback</x:v>
      </x:c>
      <x:c r="G512" s="339" t="str">
        <x:v>a downstream dependency fails during a multi-step transaction</x:v>
      </x:c>
      <x:c r="H512" s="339" t="str">
        <x:v>the workflow executes</x:v>
      </x:c>
      <x:c r="I512" s="339" t="str">
        <x:v>the system does not leave an invalid partial final state and surfaces a recoverable error</x:v>
      </x:c>
      <x:c r="J512" s="339" t="str">
        <x:v>Positive</x:v>
      </x:c>
      <x:c r="K512" s="339" t="str">
        <x:v>Functional</x:v>
      </x:c>
    </x:row>
    <x:row r="513">
      <x:c r="A513" s="339" t="str">
        <x:v>AC-00512</x:v>
      </x:c>
      <x:c r="B513" s="339" t="str">
        <x:v>US-0128</x:v>
      </x:c>
      <x:c r="C513" s="339" t="str">
        <x:v>SCR-064</x:v>
      </x:c>
      <x:c r="D513" s="339" t="str">
        <x:v>Students</x:v>
      </x:c>
      <x:c r="E513" s="339" t="str">
        <x:v>Student Behaviour &amp; Discipline</x:v>
      </x:c>
      <x:c r="F513" s="339" t="str">
        <x:v>Exception traceability</x:v>
      </x:c>
      <x:c r="G513" s="339" t="str">
        <x:v>an authorized override/exception is used</x:v>
      </x:c>
      <x:c r="H513" s="339" t="str">
        <x:v>the action is confirmed</x:v>
      </x:c>
      <x:c r="I513" s="339" t="str">
        <x:v>the system requires reason/context and records it in the audit history</x:v>
      </x:c>
      <x:c r="J513" s="339" t="str">
        <x:v>Positive</x:v>
      </x:c>
      <x:c r="K513" s="339" t="str">
        <x:v>Functional</x:v>
      </x:c>
    </x:row>
    <x:row r="514">
      <x:c r="A514" s="339" t="str">
        <x:v>AC-00513</x:v>
      </x:c>
      <x:c r="B514" s="339" t="str">
        <x:v>US-0129</x:v>
      </x:c>
      <x:c r="C514" s="339" t="str">
        <x:v>SCR-065</x:v>
      </x:c>
      <x:c r="D514" s="339" t="str">
        <x:v>Students</x:v>
      </x:c>
      <x:c r="E514" s="339" t="str">
        <x:v>Student Health</x:v>
      </x:c>
      <x:c r="F514" s="339" t="str">
        <x:v>Authorized access to Student Health</x:v>
      </x:c>
      <x:c r="G514" s="339" t="str">
        <x:v>the School Admin is authenticated and has access to Student Health</x:v>
      </x:c>
      <x:c r="H514" s="339" t="str">
        <x:v>the user opens or invokes Student Health</x:v>
      </x:c>
      <x:c r="I514" s="339" t="str">
        <x:v>the system loads only records and actions within the user's permitted tenant/school/data scope</x:v>
      </x:c>
      <x:c r="J514" s="339" t="str">
        <x:v>Positive</x:v>
      </x:c>
      <x:c r="K514" s="339" t="str">
        <x:v>Functional / Security</x:v>
      </x:c>
    </x:row>
    <x:row r="515">
      <x:c r="A515" s="339" t="str">
        <x:v>AC-00514</x:v>
      </x:c>
      <x:c r="B515" s="339" t="str">
        <x:v>US-0129</x:v>
      </x:c>
      <x:c r="C515" s="339" t="str">
        <x:v>SCR-065</x:v>
      </x:c>
      <x:c r="D515" s="339" t="str">
        <x:v>Students</x:v>
      </x:c>
      <x:c r="E515" s="339" t="str">
        <x:v>Student Health</x:v>
      </x:c>
      <x:c r="F515" s="339" t="str">
        <x:v>Successful Student Health happy path</x:v>
      </x:c>
      <x:c r="G515" s="339" t="str">
        <x:v>all mandatory prerequisites and valid data are available</x:v>
      </x:c>
      <x:c r="H515" s="339" t="str">
        <x:v>the School Admin completes the primary action on Student Health</x:v>
      </x:c>
      <x:c r="I515" s="339" t="str">
        <x:v>the system validates the request, saves it atomically, shows a clear confirmation and reflects the updated state</x:v>
      </x:c>
      <x:c r="J515" s="339" t="str">
        <x:v>Positive</x:v>
      </x:c>
      <x:c r="K515" s="339" t="str">
        <x:v>Functional</x:v>
      </x:c>
    </x:row>
    <x:row r="516">
      <x:c r="A516" s="339" t="str">
        <x:v>AC-00515</x:v>
      </x:c>
      <x:c r="B516" s="339" t="str">
        <x:v>US-0129</x:v>
      </x:c>
      <x:c r="C516" s="339" t="str">
        <x:v>SCR-065</x:v>
      </x:c>
      <x:c r="D516" s="339" t="str">
        <x:v>Students</x:v>
      </x:c>
      <x:c r="E516" s="339" t="str">
        <x:v>Student Health</x:v>
      </x:c>
      <x:c r="F516" s="339" t="str">
        <x:v>State and dependency integrity</x:v>
      </x:c>
      <x:c r="G516" s="339" t="str">
        <x:v>the current record is in an allowed state (Pre-admission (optional) → Active → Suspended (optional) → Transferred / Graduated / Withdrawn → Alumni)</x:v>
      </x:c>
      <x:c r="H516" s="339" t="str">
        <x:v>the user attempts a state-changing action</x:v>
      </x:c>
      <x:c r="I516" s="339" t="str">
        <x:v>only a valid transition is accepted and dependent records are updated according to configured business rules</x:v>
      </x:c>
      <x:c r="J516" s="339" t="str">
        <x:v>Positive</x:v>
      </x:c>
      <x:c r="K516" s="339" t="str">
        <x:v>Functional</x:v>
      </x:c>
    </x:row>
    <x:row r="517">
      <x:c r="A517" s="339" t="str">
        <x:v>AC-00516</x:v>
      </x:c>
      <x:c r="B517" s="339" t="str">
        <x:v>US-0129</x:v>
      </x:c>
      <x:c r="C517" s="339" t="str">
        <x:v>SCR-065</x:v>
      </x:c>
      <x:c r="D517" s="339" t="str">
        <x:v>Students</x:v>
      </x:c>
      <x:c r="E517" s="339" t="str">
        <x:v>Student Health</x:v>
      </x:c>
      <x:c r="F517" s="339" t="str">
        <x:v>Auditability</x:v>
      </x:c>
      <x:c r="G517" s="339" t="str">
        <x:v>a material create/update/approve/reverse action occurs</x:v>
      </x:c>
      <x:c r="H517" s="339" t="str">
        <x:v>the transaction succeeds</x:v>
      </x:c>
      <x:c r="I517" s="339" t="str">
        <x:v>the system records actor, timestamp, action, target and relevant before/after or reason context in the audit trail</x:v>
      </x:c>
      <x:c r="J517" s="339" t="str">
        <x:v>Positive</x:v>
      </x:c>
      <x:c r="K517" s="339" t="str">
        <x:v>Functional</x:v>
      </x:c>
    </x:row>
    <x:row r="518">
      <x:c r="A518" s="339" t="str">
        <x:v>AC-00517</x:v>
      </x:c>
      <x:c r="B518" s="339" t="str">
        <x:v>US-0130</x:v>
      </x:c>
      <x:c r="C518" s="339" t="str">
        <x:v>SCR-065</x:v>
      </x:c>
      <x:c r="D518" s="339" t="str">
        <x:v>Students</x:v>
      </x:c>
      <x:c r="E518" s="339" t="str">
        <x:v>Student Health</x:v>
      </x:c>
      <x:c r="F518" s="339" t="str">
        <x:v>Valid status transition</x:v>
      </x:c>
      <x:c r="G518" s="339" t="str">
        <x:v>the record is in a state described by Pre-admission (optional) → Active → Suspended (optional) → Transferred / Graduated / Withdrawn → Alumni</x:v>
      </x:c>
      <x:c r="H518" s="339" t="str">
        <x:v>the user requests a transition</x:v>
      </x:c>
      <x:c r="I518" s="339" t="str">
        <x:v>the system accepts only transitions allowed for that role and state</x:v>
      </x:c>
      <x:c r="J518" s="339" t="str">
        <x:v>Positive</x:v>
      </x:c>
      <x:c r="K518" s="339" t="str">
        <x:v>Functional</x:v>
      </x:c>
    </x:row>
    <x:row r="519">
      <x:c r="A519" s="339" t="str">
        <x:v>AC-00518</x:v>
      </x:c>
      <x:c r="B519" s="339" t="str">
        <x:v>US-0130</x:v>
      </x:c>
      <x:c r="C519" s="339" t="str">
        <x:v>SCR-065</x:v>
      </x:c>
      <x:c r="D519" s="339" t="str">
        <x:v>Students</x:v>
      </x:c>
      <x:c r="E519" s="339" t="str">
        <x:v>Student Health</x:v>
      </x:c>
      <x:c r="F519" s="339" t="str">
        <x:v>Approval authority</x:v>
      </x:c>
      <x:c r="G519" s="339" t="str">
        <x:v>an action requires approval</x:v>
      </x:c>
      <x:c r="H519" s="339" t="str">
        <x:v>a non-authorized user attempts approval/rejection</x:v>
      </x:c>
      <x:c r="I519" s="339" t="str">
        <x:v>the system denies the decision and does not change status</x:v>
      </x:c>
      <x:c r="J519" s="339" t="str">
        <x:v>Negative</x:v>
      </x:c>
      <x:c r="K519" s="339" t="str">
        <x:v>Functional</x:v>
      </x:c>
    </x:row>
    <x:row r="520">
      <x:c r="A520" s="339" t="str">
        <x:v>AC-00519</x:v>
      </x:c>
      <x:c r="B520" s="339" t="str">
        <x:v>US-0130</x:v>
      </x:c>
      <x:c r="C520" s="339" t="str">
        <x:v>SCR-065</x:v>
      </x:c>
      <x:c r="D520" s="339" t="str">
        <x:v>Students</x:v>
      </x:c>
      <x:c r="E520" s="339" t="str">
        <x:v>Student Health</x:v>
      </x:c>
      <x:c r="F520" s="339" t="str">
        <x:v>Failure rollback</x:v>
      </x:c>
      <x:c r="G520" s="339" t="str">
        <x:v>a downstream dependency fails during a multi-step transaction</x:v>
      </x:c>
      <x:c r="H520" s="339" t="str">
        <x:v>the workflow executes</x:v>
      </x:c>
      <x:c r="I520" s="339" t="str">
        <x:v>the system does not leave an invalid partial final state and surfaces a recoverable error</x:v>
      </x:c>
      <x:c r="J520" s="339" t="str">
        <x:v>Positive</x:v>
      </x:c>
      <x:c r="K520" s="339" t="str">
        <x:v>Functional</x:v>
      </x:c>
    </x:row>
    <x:row r="521">
      <x:c r="A521" s="339" t="str">
        <x:v>AC-00520</x:v>
      </x:c>
      <x:c r="B521" s="339" t="str">
        <x:v>US-0130</x:v>
      </x:c>
      <x:c r="C521" s="339" t="str">
        <x:v>SCR-065</x:v>
      </x:c>
      <x:c r="D521" s="339" t="str">
        <x:v>Students</x:v>
      </x:c>
      <x:c r="E521" s="339" t="str">
        <x:v>Student Health</x:v>
      </x:c>
      <x:c r="F521" s="339" t="str">
        <x:v>Exception traceability</x:v>
      </x:c>
      <x:c r="G521" s="339" t="str">
        <x:v>an authorized override/exception is used</x:v>
      </x:c>
      <x:c r="H521" s="339" t="str">
        <x:v>the action is confirmed</x:v>
      </x:c>
      <x:c r="I521" s="339" t="str">
        <x:v>the system requires reason/context and records it in the audit history</x:v>
      </x:c>
      <x:c r="J521" s="339" t="str">
        <x:v>Positive</x:v>
      </x:c>
      <x:c r="K521" s="339" t="str">
        <x:v>Functional</x:v>
      </x:c>
    </x:row>
    <x:row r="522">
      <x:c r="A522" s="339" t="str">
        <x:v>AC-00521</x:v>
      </x:c>
      <x:c r="B522" s="339" t="str">
        <x:v>US-0131</x:v>
      </x:c>
      <x:c r="C522" s="339" t="str">
        <x:v>SCR-066</x:v>
      </x:c>
      <x:c r="D522" s="339" t="str">
        <x:v>Students</x:v>
      </x:c>
      <x:c r="E522" s="339" t="str">
        <x:v>Student Transport</x:v>
      </x:c>
      <x:c r="F522" s="339" t="str">
        <x:v>Authorized access to Student Transport</x:v>
      </x:c>
      <x:c r="G522" s="339" t="str">
        <x:v>the School Admin is authenticated and has access to Student Transport</x:v>
      </x:c>
      <x:c r="H522" s="339" t="str">
        <x:v>the user opens or invokes Student Transport</x:v>
      </x:c>
      <x:c r="I522" s="339" t="str">
        <x:v>the system loads only records and actions within the user's permitted tenant/school/data scope</x:v>
      </x:c>
      <x:c r="J522" s="339" t="str">
        <x:v>Positive</x:v>
      </x:c>
      <x:c r="K522" s="339" t="str">
        <x:v>Functional / Security</x:v>
      </x:c>
    </x:row>
    <x:row r="523">
      <x:c r="A523" s="339" t="str">
        <x:v>AC-00522</x:v>
      </x:c>
      <x:c r="B523" s="339" t="str">
        <x:v>US-0131</x:v>
      </x:c>
      <x:c r="C523" s="339" t="str">
        <x:v>SCR-066</x:v>
      </x:c>
      <x:c r="D523" s="339" t="str">
        <x:v>Students</x:v>
      </x:c>
      <x:c r="E523" s="339" t="str">
        <x:v>Student Transport</x:v>
      </x:c>
      <x:c r="F523" s="339" t="str">
        <x:v>Successful Student Transport happy path</x:v>
      </x:c>
      <x:c r="G523" s="339" t="str">
        <x:v>all mandatory prerequisites and valid data are available</x:v>
      </x:c>
      <x:c r="H523" s="339" t="str">
        <x:v>the School Admin completes the primary action on Student Transport</x:v>
      </x:c>
      <x:c r="I523" s="339" t="str">
        <x:v>the system validates the request, saves it atomically, shows a clear confirmation and reflects the updated state</x:v>
      </x:c>
      <x:c r="J523" s="339" t="str">
        <x:v>Positive</x:v>
      </x:c>
      <x:c r="K523" s="339" t="str">
        <x:v>Functional</x:v>
      </x:c>
    </x:row>
    <x:row r="524">
      <x:c r="A524" s="339" t="str">
        <x:v>AC-00523</x:v>
      </x:c>
      <x:c r="B524" s="339" t="str">
        <x:v>US-0131</x:v>
      </x:c>
      <x:c r="C524" s="339" t="str">
        <x:v>SCR-066</x:v>
      </x:c>
      <x:c r="D524" s="339" t="str">
        <x:v>Students</x:v>
      </x:c>
      <x:c r="E524" s="339" t="str">
        <x:v>Student Transport</x:v>
      </x:c>
      <x:c r="F524" s="339" t="str">
        <x:v>State and dependency integrity</x:v>
      </x:c>
      <x:c r="G524" s="339" t="str">
        <x:v>the current record is in an allowed state (Pre-admission (optional) → Active → Suspended (optional) → Transferred / Graduated / Withdrawn → Alumni)</x:v>
      </x:c>
      <x:c r="H524" s="339" t="str">
        <x:v>the user attempts a state-changing action</x:v>
      </x:c>
      <x:c r="I524" s="339" t="str">
        <x:v>only a valid transition is accepted and dependent records are updated according to configured business rules</x:v>
      </x:c>
      <x:c r="J524" s="339" t="str">
        <x:v>Positive</x:v>
      </x:c>
      <x:c r="K524" s="339" t="str">
        <x:v>Functional</x:v>
      </x:c>
    </x:row>
    <x:row r="525">
      <x:c r="A525" s="339" t="str">
        <x:v>AC-00524</x:v>
      </x:c>
      <x:c r="B525" s="339" t="str">
        <x:v>US-0131</x:v>
      </x:c>
      <x:c r="C525" s="339" t="str">
        <x:v>SCR-066</x:v>
      </x:c>
      <x:c r="D525" s="339" t="str">
        <x:v>Students</x:v>
      </x:c>
      <x:c r="E525" s="339" t="str">
        <x:v>Student Transport</x:v>
      </x:c>
      <x:c r="F525" s="339" t="str">
        <x:v>Auditability</x:v>
      </x:c>
      <x:c r="G525" s="339" t="str">
        <x:v>a material create/update/approve/reverse action occurs</x:v>
      </x:c>
      <x:c r="H525" s="339" t="str">
        <x:v>the transaction succeeds</x:v>
      </x:c>
      <x:c r="I525" s="339" t="str">
        <x:v>the system records actor, timestamp, action, target and relevant before/after or reason context in the audit trail</x:v>
      </x:c>
      <x:c r="J525" s="339" t="str">
        <x:v>Positive</x:v>
      </x:c>
      <x:c r="K525" s="339" t="str">
        <x:v>Functional</x:v>
      </x:c>
    </x:row>
    <x:row r="526">
      <x:c r="A526" s="339" t="str">
        <x:v>AC-00525</x:v>
      </x:c>
      <x:c r="B526" s="339" t="str">
        <x:v>US-0132</x:v>
      </x:c>
      <x:c r="C526" s="339" t="str">
        <x:v>SCR-066</x:v>
      </x:c>
      <x:c r="D526" s="339" t="str">
        <x:v>Students</x:v>
      </x:c>
      <x:c r="E526" s="339" t="str">
        <x:v>Student Transport</x:v>
      </x:c>
      <x:c r="F526" s="339" t="str">
        <x:v>Valid status transition</x:v>
      </x:c>
      <x:c r="G526" s="339" t="str">
        <x:v>the record is in a state described by Pre-admission (optional) → Active → Suspended (optional) → Transferred / Graduated / Withdrawn → Alumni</x:v>
      </x:c>
      <x:c r="H526" s="339" t="str">
        <x:v>the user requests a transition</x:v>
      </x:c>
      <x:c r="I526" s="339" t="str">
        <x:v>the system accepts only transitions allowed for that role and state</x:v>
      </x:c>
      <x:c r="J526" s="339" t="str">
        <x:v>Positive</x:v>
      </x:c>
      <x:c r="K526" s="339" t="str">
        <x:v>Functional</x:v>
      </x:c>
    </x:row>
    <x:row r="527">
      <x:c r="A527" s="339" t="str">
        <x:v>AC-00526</x:v>
      </x:c>
      <x:c r="B527" s="339" t="str">
        <x:v>US-0132</x:v>
      </x:c>
      <x:c r="C527" s="339" t="str">
        <x:v>SCR-066</x:v>
      </x:c>
      <x:c r="D527" s="339" t="str">
        <x:v>Students</x:v>
      </x:c>
      <x:c r="E527" s="339" t="str">
        <x:v>Student Transport</x:v>
      </x:c>
      <x:c r="F527" s="339" t="str">
        <x:v>Approval authority</x:v>
      </x:c>
      <x:c r="G527" s="339" t="str">
        <x:v>an action requires approval</x:v>
      </x:c>
      <x:c r="H527" s="339" t="str">
        <x:v>a non-authorized user attempts approval/rejection</x:v>
      </x:c>
      <x:c r="I527" s="339" t="str">
        <x:v>the system denies the decision and does not change status</x:v>
      </x:c>
      <x:c r="J527" s="339" t="str">
        <x:v>Negative</x:v>
      </x:c>
      <x:c r="K527" s="339" t="str">
        <x:v>Functional</x:v>
      </x:c>
    </x:row>
    <x:row r="528">
      <x:c r="A528" s="339" t="str">
        <x:v>AC-00527</x:v>
      </x:c>
      <x:c r="B528" s="339" t="str">
        <x:v>US-0132</x:v>
      </x:c>
      <x:c r="C528" s="339" t="str">
        <x:v>SCR-066</x:v>
      </x:c>
      <x:c r="D528" s="339" t="str">
        <x:v>Students</x:v>
      </x:c>
      <x:c r="E528" s="339" t="str">
        <x:v>Student Transport</x:v>
      </x:c>
      <x:c r="F528" s="339" t="str">
        <x:v>Failure rollback</x:v>
      </x:c>
      <x:c r="G528" s="339" t="str">
        <x:v>a downstream dependency fails during a multi-step transaction</x:v>
      </x:c>
      <x:c r="H528" s="339" t="str">
        <x:v>the workflow executes</x:v>
      </x:c>
      <x:c r="I528" s="339" t="str">
        <x:v>the system does not leave an invalid partial final state and surfaces a recoverable error</x:v>
      </x:c>
      <x:c r="J528" s="339" t="str">
        <x:v>Positive</x:v>
      </x:c>
      <x:c r="K528" s="339" t="str">
        <x:v>Functional</x:v>
      </x:c>
    </x:row>
    <x:row r="529">
      <x:c r="A529" s="339" t="str">
        <x:v>AC-00528</x:v>
      </x:c>
      <x:c r="B529" s="339" t="str">
        <x:v>US-0132</x:v>
      </x:c>
      <x:c r="C529" s="339" t="str">
        <x:v>SCR-066</x:v>
      </x:c>
      <x:c r="D529" s="339" t="str">
        <x:v>Students</x:v>
      </x:c>
      <x:c r="E529" s="339" t="str">
        <x:v>Student Transport</x:v>
      </x:c>
      <x:c r="F529" s="339" t="str">
        <x:v>Exception traceability</x:v>
      </x:c>
      <x:c r="G529" s="339" t="str">
        <x:v>an authorized override/exception is used</x:v>
      </x:c>
      <x:c r="H529" s="339" t="str">
        <x:v>the action is confirmed</x:v>
      </x:c>
      <x:c r="I529" s="339" t="str">
        <x:v>the system requires reason/context and records it in the audit history</x:v>
      </x:c>
      <x:c r="J529" s="339" t="str">
        <x:v>Positive</x:v>
      </x:c>
      <x:c r="K529" s="339" t="str">
        <x:v>Functional</x:v>
      </x:c>
    </x:row>
    <x:row r="530">
      <x:c r="A530" s="339" t="str">
        <x:v>AC-00529</x:v>
      </x:c>
      <x:c r="B530" s="339" t="str">
        <x:v>US-0133</x:v>
      </x:c>
      <x:c r="C530" s="339" t="str">
        <x:v>SCR-067</x:v>
      </x:c>
      <x:c r="D530" s="339" t="str">
        <x:v>Students</x:v>
      </x:c>
      <x:c r="E530" s="339" t="str">
        <x:v>Student Library</x:v>
      </x:c>
      <x:c r="F530" s="339" t="str">
        <x:v>Authorized access to Student Library</x:v>
      </x:c>
      <x:c r="G530" s="339" t="str">
        <x:v>the School Admin is authenticated and has access to Student Library</x:v>
      </x:c>
      <x:c r="H530" s="339" t="str">
        <x:v>the user opens or invokes Student Library</x:v>
      </x:c>
      <x:c r="I530" s="339" t="str">
        <x:v>the system loads only records and actions within the user's permitted tenant/school/data scope</x:v>
      </x:c>
      <x:c r="J530" s="339" t="str">
        <x:v>Positive</x:v>
      </x:c>
      <x:c r="K530" s="339" t="str">
        <x:v>Functional / Security</x:v>
      </x:c>
    </x:row>
    <x:row r="531">
      <x:c r="A531" s="339" t="str">
        <x:v>AC-00530</x:v>
      </x:c>
      <x:c r="B531" s="339" t="str">
        <x:v>US-0133</x:v>
      </x:c>
      <x:c r="C531" s="339" t="str">
        <x:v>SCR-067</x:v>
      </x:c>
      <x:c r="D531" s="339" t="str">
        <x:v>Students</x:v>
      </x:c>
      <x:c r="E531" s="339" t="str">
        <x:v>Student Library</x:v>
      </x:c>
      <x:c r="F531" s="339" t="str">
        <x:v>Successful Student Library happy path</x:v>
      </x:c>
      <x:c r="G531" s="339" t="str">
        <x:v>all mandatory prerequisites and valid data are available</x:v>
      </x:c>
      <x:c r="H531" s="339" t="str">
        <x:v>the School Admin completes the primary action on Student Library</x:v>
      </x:c>
      <x:c r="I531" s="339" t="str">
        <x:v>the system validates the request, saves it atomically, shows a clear confirmation and reflects the updated state</x:v>
      </x:c>
      <x:c r="J531" s="339" t="str">
        <x:v>Positive</x:v>
      </x:c>
      <x:c r="K531" s="339" t="str">
        <x:v>Functional</x:v>
      </x:c>
    </x:row>
    <x:row r="532">
      <x:c r="A532" s="339" t="str">
        <x:v>AC-00531</x:v>
      </x:c>
      <x:c r="B532" s="339" t="str">
        <x:v>US-0133</x:v>
      </x:c>
      <x:c r="C532" s="339" t="str">
        <x:v>SCR-067</x:v>
      </x:c>
      <x:c r="D532" s="339" t="str">
        <x:v>Students</x:v>
      </x:c>
      <x:c r="E532" s="339" t="str">
        <x:v>Student Library</x:v>
      </x:c>
      <x:c r="F532" s="339" t="str">
        <x:v>State and dependency integrity</x:v>
      </x:c>
      <x:c r="G532" s="339" t="str">
        <x:v>the current record is in an allowed state (Pre-admission (optional) → Active → Suspended (optional) → Transferred / Graduated / Withdrawn → Alumni)</x:v>
      </x:c>
      <x:c r="H532" s="339" t="str">
        <x:v>the user attempts a state-changing action</x:v>
      </x:c>
      <x:c r="I532" s="339" t="str">
        <x:v>only a valid transition is accepted and dependent records are updated according to configured business rules</x:v>
      </x:c>
      <x:c r="J532" s="339" t="str">
        <x:v>Positive</x:v>
      </x:c>
      <x:c r="K532" s="339" t="str">
        <x:v>Functional</x:v>
      </x:c>
    </x:row>
    <x:row r="533">
      <x:c r="A533" s="339" t="str">
        <x:v>AC-00532</x:v>
      </x:c>
      <x:c r="B533" s="339" t="str">
        <x:v>US-0133</x:v>
      </x:c>
      <x:c r="C533" s="339" t="str">
        <x:v>SCR-067</x:v>
      </x:c>
      <x:c r="D533" s="339" t="str">
        <x:v>Students</x:v>
      </x:c>
      <x:c r="E533" s="339" t="str">
        <x:v>Student Library</x:v>
      </x:c>
      <x:c r="F533" s="339" t="str">
        <x:v>Auditability</x:v>
      </x:c>
      <x:c r="G533" s="339" t="str">
        <x:v>a material create/update/approve/reverse action occurs</x:v>
      </x:c>
      <x:c r="H533" s="339" t="str">
        <x:v>the transaction succeeds</x:v>
      </x:c>
      <x:c r="I533" s="339" t="str">
        <x:v>the system records actor, timestamp, action, target and relevant before/after or reason context in the audit trail</x:v>
      </x:c>
      <x:c r="J533" s="339" t="str">
        <x:v>Positive</x:v>
      </x:c>
      <x:c r="K533" s="339" t="str">
        <x:v>Functional</x:v>
      </x:c>
    </x:row>
    <x:row r="534">
      <x:c r="A534" s="339" t="str">
        <x:v>AC-00533</x:v>
      </x:c>
      <x:c r="B534" s="339" t="str">
        <x:v>US-0134</x:v>
      </x:c>
      <x:c r="C534" s="339" t="str">
        <x:v>SCR-067</x:v>
      </x:c>
      <x:c r="D534" s="339" t="str">
        <x:v>Students</x:v>
      </x:c>
      <x:c r="E534" s="339" t="str">
        <x:v>Student Library</x:v>
      </x:c>
      <x:c r="F534" s="339" t="str">
        <x:v>Valid status transition</x:v>
      </x:c>
      <x:c r="G534" s="339" t="str">
        <x:v>the record is in a state described by Pre-admission (optional) → Active → Suspended (optional) → Transferred / Graduated / Withdrawn → Alumni</x:v>
      </x:c>
      <x:c r="H534" s="339" t="str">
        <x:v>the user requests a transition</x:v>
      </x:c>
      <x:c r="I534" s="339" t="str">
        <x:v>the system accepts only transitions allowed for that role and state</x:v>
      </x:c>
      <x:c r="J534" s="339" t="str">
        <x:v>Positive</x:v>
      </x:c>
      <x:c r="K534" s="339" t="str">
        <x:v>Functional</x:v>
      </x:c>
    </x:row>
    <x:row r="535">
      <x:c r="A535" s="339" t="str">
        <x:v>AC-00534</x:v>
      </x:c>
      <x:c r="B535" s="339" t="str">
        <x:v>US-0134</x:v>
      </x:c>
      <x:c r="C535" s="339" t="str">
        <x:v>SCR-067</x:v>
      </x:c>
      <x:c r="D535" s="339" t="str">
        <x:v>Students</x:v>
      </x:c>
      <x:c r="E535" s="339" t="str">
        <x:v>Student Library</x:v>
      </x:c>
      <x:c r="F535" s="339" t="str">
        <x:v>Approval authority</x:v>
      </x:c>
      <x:c r="G535" s="339" t="str">
        <x:v>an action requires approval</x:v>
      </x:c>
      <x:c r="H535" s="339" t="str">
        <x:v>a non-authorized user attempts approval/rejection</x:v>
      </x:c>
      <x:c r="I535" s="339" t="str">
        <x:v>the system denies the decision and does not change status</x:v>
      </x:c>
      <x:c r="J535" s="339" t="str">
        <x:v>Negative</x:v>
      </x:c>
      <x:c r="K535" s="339" t="str">
        <x:v>Functional</x:v>
      </x:c>
    </x:row>
    <x:row r="536">
      <x:c r="A536" s="339" t="str">
        <x:v>AC-00535</x:v>
      </x:c>
      <x:c r="B536" s="339" t="str">
        <x:v>US-0134</x:v>
      </x:c>
      <x:c r="C536" s="339" t="str">
        <x:v>SCR-067</x:v>
      </x:c>
      <x:c r="D536" s="339" t="str">
        <x:v>Students</x:v>
      </x:c>
      <x:c r="E536" s="339" t="str">
        <x:v>Student Library</x:v>
      </x:c>
      <x:c r="F536" s="339" t="str">
        <x:v>Failure rollback</x:v>
      </x:c>
      <x:c r="G536" s="339" t="str">
        <x:v>a downstream dependency fails during a multi-step transaction</x:v>
      </x:c>
      <x:c r="H536" s="339" t="str">
        <x:v>the workflow executes</x:v>
      </x:c>
      <x:c r="I536" s="339" t="str">
        <x:v>the system does not leave an invalid partial final state and surfaces a recoverable error</x:v>
      </x:c>
      <x:c r="J536" s="339" t="str">
        <x:v>Positive</x:v>
      </x:c>
      <x:c r="K536" s="339" t="str">
        <x:v>Functional</x:v>
      </x:c>
    </x:row>
    <x:row r="537">
      <x:c r="A537" s="339" t="str">
        <x:v>AC-00536</x:v>
      </x:c>
      <x:c r="B537" s="339" t="str">
        <x:v>US-0134</x:v>
      </x:c>
      <x:c r="C537" s="339" t="str">
        <x:v>SCR-067</x:v>
      </x:c>
      <x:c r="D537" s="339" t="str">
        <x:v>Students</x:v>
      </x:c>
      <x:c r="E537" s="339" t="str">
        <x:v>Student Library</x:v>
      </x:c>
      <x:c r="F537" s="339" t="str">
        <x:v>Exception traceability</x:v>
      </x:c>
      <x:c r="G537" s="339" t="str">
        <x:v>an authorized override/exception is used</x:v>
      </x:c>
      <x:c r="H537" s="339" t="str">
        <x:v>the action is confirmed</x:v>
      </x:c>
      <x:c r="I537" s="339" t="str">
        <x:v>the system requires reason/context and records it in the audit history</x:v>
      </x:c>
      <x:c r="J537" s="339" t="str">
        <x:v>Positive</x:v>
      </x:c>
      <x:c r="K537" s="339" t="str">
        <x:v>Functional</x:v>
      </x:c>
    </x:row>
    <x:row r="538">
      <x:c r="A538" s="339" t="str">
        <x:v>AC-00537</x:v>
      </x:c>
      <x:c r="B538" s="339" t="str">
        <x:v>US-0135</x:v>
      </x:c>
      <x:c r="C538" s="339" t="str">
        <x:v>SCR-068</x:v>
      </x:c>
      <x:c r="D538" s="339" t="str">
        <x:v>Students</x:v>
      </x:c>
      <x:c r="E538" s="339" t="str">
        <x:v>Siblings &amp; Family</x:v>
      </x:c>
      <x:c r="F538" s="339" t="str">
        <x:v>Authorized access to Siblings &amp; Family</x:v>
      </x:c>
      <x:c r="G538" s="339" t="str">
        <x:v>the School Admin is authenticated and has access to Siblings &amp; Family</x:v>
      </x:c>
      <x:c r="H538" s="339" t="str">
        <x:v>the user opens or invokes Siblings &amp; Family</x:v>
      </x:c>
      <x:c r="I538" s="339" t="str">
        <x:v>the system loads only records and actions within the user's permitted tenant/school/data scope</x:v>
      </x:c>
      <x:c r="J538" s="339" t="str">
        <x:v>Positive</x:v>
      </x:c>
      <x:c r="K538" s="339" t="str">
        <x:v>Functional / Security</x:v>
      </x:c>
    </x:row>
    <x:row r="539">
      <x:c r="A539" s="339" t="str">
        <x:v>AC-00538</x:v>
      </x:c>
      <x:c r="B539" s="339" t="str">
        <x:v>US-0135</x:v>
      </x:c>
      <x:c r="C539" s="339" t="str">
        <x:v>SCR-068</x:v>
      </x:c>
      <x:c r="D539" s="339" t="str">
        <x:v>Students</x:v>
      </x:c>
      <x:c r="E539" s="339" t="str">
        <x:v>Siblings &amp; Family</x:v>
      </x:c>
      <x:c r="F539" s="339" t="str">
        <x:v>Successful Siblings &amp; Family happy path</x:v>
      </x:c>
      <x:c r="G539" s="339" t="str">
        <x:v>all mandatory prerequisites and valid data are available</x:v>
      </x:c>
      <x:c r="H539" s="339" t="str">
        <x:v>the School Admin completes the primary action on Siblings &amp; Family</x:v>
      </x:c>
      <x:c r="I539" s="339" t="str">
        <x:v>the system validates the request, saves it atomically, shows a clear confirmation and reflects the updated state</x:v>
      </x:c>
      <x:c r="J539" s="339" t="str">
        <x:v>Positive</x:v>
      </x:c>
      <x:c r="K539" s="339" t="str">
        <x:v>Functional</x:v>
      </x:c>
    </x:row>
    <x:row r="540">
      <x:c r="A540" s="339" t="str">
        <x:v>AC-00539</x:v>
      </x:c>
      <x:c r="B540" s="339" t="str">
        <x:v>US-0135</x:v>
      </x:c>
      <x:c r="C540" s="339" t="str">
        <x:v>SCR-068</x:v>
      </x:c>
      <x:c r="D540" s="339" t="str">
        <x:v>Students</x:v>
      </x:c>
      <x:c r="E540" s="339" t="str">
        <x:v>Siblings &amp; Family</x:v>
      </x:c>
      <x:c r="F540" s="339" t="str">
        <x:v>State and dependency integrity</x:v>
      </x:c>
      <x:c r="G540" s="339" t="str">
        <x:v>the current record is in an allowed state (Pre-admission (optional) → Active → Suspended (optional) → Transferred / Graduated / Withdrawn → Alumni)</x:v>
      </x:c>
      <x:c r="H540" s="339" t="str">
        <x:v>the user attempts a state-changing action</x:v>
      </x:c>
      <x:c r="I540" s="339" t="str">
        <x:v>only a valid transition is accepted and dependent records are updated according to configured business rules</x:v>
      </x:c>
      <x:c r="J540" s="339" t="str">
        <x:v>Positive</x:v>
      </x:c>
      <x:c r="K540" s="339" t="str">
        <x:v>Functional</x:v>
      </x:c>
    </x:row>
    <x:row r="541">
      <x:c r="A541" s="339" t="str">
        <x:v>AC-00540</x:v>
      </x:c>
      <x:c r="B541" s="339" t="str">
        <x:v>US-0135</x:v>
      </x:c>
      <x:c r="C541" s="339" t="str">
        <x:v>SCR-068</x:v>
      </x:c>
      <x:c r="D541" s="339" t="str">
        <x:v>Students</x:v>
      </x:c>
      <x:c r="E541" s="339" t="str">
        <x:v>Siblings &amp; Family</x:v>
      </x:c>
      <x:c r="F541" s="339" t="str">
        <x:v>Auditability</x:v>
      </x:c>
      <x:c r="G541" s="339" t="str">
        <x:v>a material create/update/approve/reverse action occurs</x:v>
      </x:c>
      <x:c r="H541" s="339" t="str">
        <x:v>the transaction succeeds</x:v>
      </x:c>
      <x:c r="I541" s="339" t="str">
        <x:v>the system records actor, timestamp, action, target and relevant before/after or reason context in the audit trail</x:v>
      </x:c>
      <x:c r="J541" s="339" t="str">
        <x:v>Positive</x:v>
      </x:c>
      <x:c r="K541" s="339" t="str">
        <x:v>Functional</x:v>
      </x:c>
    </x:row>
    <x:row r="542">
      <x:c r="A542" s="339" t="str">
        <x:v>AC-00541</x:v>
      </x:c>
      <x:c r="B542" s="339" t="str">
        <x:v>US-0136</x:v>
      </x:c>
      <x:c r="C542" s="339" t="str">
        <x:v>SCR-068</x:v>
      </x:c>
      <x:c r="D542" s="339" t="str">
        <x:v>Students</x:v>
      </x:c>
      <x:c r="E542" s="339" t="str">
        <x:v>Siblings &amp; Family</x:v>
      </x:c>
      <x:c r="F542" s="339" t="str">
        <x:v>Valid status transition</x:v>
      </x:c>
      <x:c r="G542" s="339" t="str">
        <x:v>the record is in a state described by Pre-admission (optional) → Active → Suspended (optional) → Transferred / Graduated / Withdrawn → Alumni</x:v>
      </x:c>
      <x:c r="H542" s="339" t="str">
        <x:v>the user requests a transition</x:v>
      </x:c>
      <x:c r="I542" s="339" t="str">
        <x:v>the system accepts only transitions allowed for that role and state</x:v>
      </x:c>
      <x:c r="J542" s="339" t="str">
        <x:v>Positive</x:v>
      </x:c>
      <x:c r="K542" s="339" t="str">
        <x:v>Functional</x:v>
      </x:c>
    </x:row>
    <x:row r="543">
      <x:c r="A543" s="339" t="str">
        <x:v>AC-00542</x:v>
      </x:c>
      <x:c r="B543" s="339" t="str">
        <x:v>US-0136</x:v>
      </x:c>
      <x:c r="C543" s="339" t="str">
        <x:v>SCR-068</x:v>
      </x:c>
      <x:c r="D543" s="339" t="str">
        <x:v>Students</x:v>
      </x:c>
      <x:c r="E543" s="339" t="str">
        <x:v>Siblings &amp; Family</x:v>
      </x:c>
      <x:c r="F543" s="339" t="str">
        <x:v>Approval authority</x:v>
      </x:c>
      <x:c r="G543" s="339" t="str">
        <x:v>an action requires approval</x:v>
      </x:c>
      <x:c r="H543" s="339" t="str">
        <x:v>a non-authorized user attempts approval/rejection</x:v>
      </x:c>
      <x:c r="I543" s="339" t="str">
        <x:v>the system denies the decision and does not change status</x:v>
      </x:c>
      <x:c r="J543" s="339" t="str">
        <x:v>Negative</x:v>
      </x:c>
      <x:c r="K543" s="339" t="str">
        <x:v>Functional</x:v>
      </x:c>
    </x:row>
    <x:row r="544">
      <x:c r="A544" s="339" t="str">
        <x:v>AC-00543</x:v>
      </x:c>
      <x:c r="B544" s="339" t="str">
        <x:v>US-0136</x:v>
      </x:c>
      <x:c r="C544" s="339" t="str">
        <x:v>SCR-068</x:v>
      </x:c>
      <x:c r="D544" s="339" t="str">
        <x:v>Students</x:v>
      </x:c>
      <x:c r="E544" s="339" t="str">
        <x:v>Siblings &amp; Family</x:v>
      </x:c>
      <x:c r="F544" s="339" t="str">
        <x:v>Failure rollback</x:v>
      </x:c>
      <x:c r="G544" s="339" t="str">
        <x:v>a downstream dependency fails during a multi-step transaction</x:v>
      </x:c>
      <x:c r="H544" s="339" t="str">
        <x:v>the workflow executes</x:v>
      </x:c>
      <x:c r="I544" s="339" t="str">
        <x:v>the system does not leave an invalid partial final state and surfaces a recoverable error</x:v>
      </x:c>
      <x:c r="J544" s="339" t="str">
        <x:v>Positive</x:v>
      </x:c>
      <x:c r="K544" s="339" t="str">
        <x:v>Functional</x:v>
      </x:c>
    </x:row>
    <x:row r="545">
      <x:c r="A545" s="339" t="str">
        <x:v>AC-00544</x:v>
      </x:c>
      <x:c r="B545" s="339" t="str">
        <x:v>US-0136</x:v>
      </x:c>
      <x:c r="C545" s="339" t="str">
        <x:v>SCR-068</x:v>
      </x:c>
      <x:c r="D545" s="339" t="str">
        <x:v>Students</x:v>
      </x:c>
      <x:c r="E545" s="339" t="str">
        <x:v>Siblings &amp; Family</x:v>
      </x:c>
      <x:c r="F545" s="339" t="str">
        <x:v>Exception traceability</x:v>
      </x:c>
      <x:c r="G545" s="339" t="str">
        <x:v>an authorized override/exception is used</x:v>
      </x:c>
      <x:c r="H545" s="339" t="str">
        <x:v>the action is confirmed</x:v>
      </x:c>
      <x:c r="I545" s="339" t="str">
        <x:v>the system requires reason/context and records it in the audit history</x:v>
      </x:c>
      <x:c r="J545" s="339" t="str">
        <x:v>Positive</x:v>
      </x:c>
      <x:c r="K545" s="339" t="str">
        <x:v>Functional</x:v>
      </x:c>
    </x:row>
    <x:row r="546">
      <x:c r="A546" s="339" t="str">
        <x:v>AC-00545</x:v>
      </x:c>
      <x:c r="B546" s="339" t="str">
        <x:v>US-0137</x:v>
      </x:c>
      <x:c r="C546" s="339" t="str">
        <x:v>SCR-069</x:v>
      </x:c>
      <x:c r="D546" s="339" t="str">
        <x:v>Students</x:v>
      </x:c>
      <x:c r="E546" s="339" t="str">
        <x:v>Promotion / Transfer</x:v>
      </x:c>
      <x:c r="F546" s="339" t="str">
        <x:v>Authorized access to Promotion / Transfer</x:v>
      </x:c>
      <x:c r="G546" s="339" t="str">
        <x:v>the School Admin is authenticated and has access to Promotion / Transfer</x:v>
      </x:c>
      <x:c r="H546" s="339" t="str">
        <x:v>the user opens or invokes Promotion / Transfer</x:v>
      </x:c>
      <x:c r="I546" s="339" t="str">
        <x:v>the system loads only records and actions within the user's permitted tenant/school/data scope</x:v>
      </x:c>
      <x:c r="J546" s="339" t="str">
        <x:v>Positive</x:v>
      </x:c>
      <x:c r="K546" s="339" t="str">
        <x:v>Functional / Security</x:v>
      </x:c>
    </x:row>
    <x:row r="547">
      <x:c r="A547" s="339" t="str">
        <x:v>AC-00546</x:v>
      </x:c>
      <x:c r="B547" s="339" t="str">
        <x:v>US-0137</x:v>
      </x:c>
      <x:c r="C547" s="339" t="str">
        <x:v>SCR-069</x:v>
      </x:c>
      <x:c r="D547" s="339" t="str">
        <x:v>Students</x:v>
      </x:c>
      <x:c r="E547" s="339" t="str">
        <x:v>Promotion / Transfer</x:v>
      </x:c>
      <x:c r="F547" s="339" t="str">
        <x:v>Successful Promotion / Transfer happy path</x:v>
      </x:c>
      <x:c r="G547" s="339" t="str">
        <x:v>all mandatory prerequisites and valid data are available</x:v>
      </x:c>
      <x:c r="H547" s="339" t="str">
        <x:v>the School Admin completes the primary action on Promotion / Transfer</x:v>
      </x:c>
      <x:c r="I547" s="339" t="str">
        <x:v>the system validates the request, saves it atomically, shows a clear confirmation and reflects the updated state</x:v>
      </x:c>
      <x:c r="J547" s="339" t="str">
        <x:v>Positive</x:v>
      </x:c>
      <x:c r="K547" s="339" t="str">
        <x:v>Functional</x:v>
      </x:c>
    </x:row>
    <x:row r="548">
      <x:c r="A548" s="339" t="str">
        <x:v>AC-00547</x:v>
      </x:c>
      <x:c r="B548" s="339" t="str">
        <x:v>US-0137</x:v>
      </x:c>
      <x:c r="C548" s="339" t="str">
        <x:v>SCR-069</x:v>
      </x:c>
      <x:c r="D548" s="339" t="str">
        <x:v>Students</x:v>
      </x:c>
      <x:c r="E548" s="339" t="str">
        <x:v>Promotion / Transfer</x:v>
      </x:c>
      <x:c r="F548" s="339" t="str">
        <x:v>State and dependency integrity</x:v>
      </x:c>
      <x:c r="G548" s="339" t="str">
        <x:v>the current record is in an allowed state (Pre-admission (optional) → Active → Suspended (optional) → Transferred / Graduated / Withdrawn → Alumni)</x:v>
      </x:c>
      <x:c r="H548" s="339" t="str">
        <x:v>the user attempts a state-changing action</x:v>
      </x:c>
      <x:c r="I548" s="339" t="str">
        <x:v>only a valid transition is accepted and dependent records are updated according to configured business rules</x:v>
      </x:c>
      <x:c r="J548" s="339" t="str">
        <x:v>Positive</x:v>
      </x:c>
      <x:c r="K548" s="339" t="str">
        <x:v>Functional</x:v>
      </x:c>
    </x:row>
    <x:row r="549">
      <x:c r="A549" s="339" t="str">
        <x:v>AC-00548</x:v>
      </x:c>
      <x:c r="B549" s="339" t="str">
        <x:v>US-0137</x:v>
      </x:c>
      <x:c r="C549" s="339" t="str">
        <x:v>SCR-069</x:v>
      </x:c>
      <x:c r="D549" s="339" t="str">
        <x:v>Students</x:v>
      </x:c>
      <x:c r="E549" s="339" t="str">
        <x:v>Promotion / Transfer</x:v>
      </x:c>
      <x:c r="F549" s="339" t="str">
        <x:v>Auditability</x:v>
      </x:c>
      <x:c r="G549" s="339" t="str">
        <x:v>a material create/update/approve/reverse action occurs</x:v>
      </x:c>
      <x:c r="H549" s="339" t="str">
        <x:v>the transaction succeeds</x:v>
      </x:c>
      <x:c r="I549" s="339" t="str">
        <x:v>the system records actor, timestamp, action, target and relevant before/after or reason context in the audit trail</x:v>
      </x:c>
      <x:c r="J549" s="339" t="str">
        <x:v>Positive</x:v>
      </x:c>
      <x:c r="K549" s="339" t="str">
        <x:v>Functional</x:v>
      </x:c>
    </x:row>
    <x:row r="550">
      <x:c r="A550" s="339" t="str">
        <x:v>AC-00549</x:v>
      </x:c>
      <x:c r="B550" s="339" t="str">
        <x:v>US-0138</x:v>
      </x:c>
      <x:c r="C550" s="339" t="str">
        <x:v>SCR-069</x:v>
      </x:c>
      <x:c r="D550" s="339" t="str">
        <x:v>Students</x:v>
      </x:c>
      <x:c r="E550" s="339" t="str">
        <x:v>Promotion / Transfer</x:v>
      </x:c>
      <x:c r="F550" s="339" t="str">
        <x:v>Valid status transition</x:v>
      </x:c>
      <x:c r="G550" s="339" t="str">
        <x:v>the record is in a state described by Pre-admission (optional) → Active → Suspended (optional) → Transferred / Graduated / Withdrawn → Alumni</x:v>
      </x:c>
      <x:c r="H550" s="339" t="str">
        <x:v>the user requests a transition</x:v>
      </x:c>
      <x:c r="I550" s="339" t="str">
        <x:v>the system accepts only transitions allowed for that role and state</x:v>
      </x:c>
      <x:c r="J550" s="339" t="str">
        <x:v>Positive</x:v>
      </x:c>
      <x:c r="K550" s="339" t="str">
        <x:v>Functional</x:v>
      </x:c>
    </x:row>
    <x:row r="551">
      <x:c r="A551" s="339" t="str">
        <x:v>AC-00550</x:v>
      </x:c>
      <x:c r="B551" s="339" t="str">
        <x:v>US-0138</x:v>
      </x:c>
      <x:c r="C551" s="339" t="str">
        <x:v>SCR-069</x:v>
      </x:c>
      <x:c r="D551" s="339" t="str">
        <x:v>Students</x:v>
      </x:c>
      <x:c r="E551" s="339" t="str">
        <x:v>Promotion / Transfer</x:v>
      </x:c>
      <x:c r="F551" s="339" t="str">
        <x:v>Approval authority</x:v>
      </x:c>
      <x:c r="G551" s="339" t="str">
        <x:v>an action requires approval</x:v>
      </x:c>
      <x:c r="H551" s="339" t="str">
        <x:v>a non-authorized user attempts approval/rejection</x:v>
      </x:c>
      <x:c r="I551" s="339" t="str">
        <x:v>the system denies the decision and does not change status</x:v>
      </x:c>
      <x:c r="J551" s="339" t="str">
        <x:v>Negative</x:v>
      </x:c>
      <x:c r="K551" s="339" t="str">
        <x:v>Functional</x:v>
      </x:c>
    </x:row>
    <x:row r="552">
      <x:c r="A552" s="339" t="str">
        <x:v>AC-00551</x:v>
      </x:c>
      <x:c r="B552" s="339" t="str">
        <x:v>US-0138</x:v>
      </x:c>
      <x:c r="C552" s="339" t="str">
        <x:v>SCR-069</x:v>
      </x:c>
      <x:c r="D552" s="339" t="str">
        <x:v>Students</x:v>
      </x:c>
      <x:c r="E552" s="339" t="str">
        <x:v>Promotion / Transfer</x:v>
      </x:c>
      <x:c r="F552" s="339" t="str">
        <x:v>Failure rollback</x:v>
      </x:c>
      <x:c r="G552" s="339" t="str">
        <x:v>a downstream dependency fails during a multi-step transaction</x:v>
      </x:c>
      <x:c r="H552" s="339" t="str">
        <x:v>the workflow executes</x:v>
      </x:c>
      <x:c r="I552" s="339" t="str">
        <x:v>the system does not leave an invalid partial final state and surfaces a recoverable error</x:v>
      </x:c>
      <x:c r="J552" s="339" t="str">
        <x:v>Positive</x:v>
      </x:c>
      <x:c r="K552" s="339" t="str">
        <x:v>Functional</x:v>
      </x:c>
    </x:row>
    <x:row r="553">
      <x:c r="A553" s="339" t="str">
        <x:v>AC-00552</x:v>
      </x:c>
      <x:c r="B553" s="339" t="str">
        <x:v>US-0138</x:v>
      </x:c>
      <x:c r="C553" s="339" t="str">
        <x:v>SCR-069</x:v>
      </x:c>
      <x:c r="D553" s="339" t="str">
        <x:v>Students</x:v>
      </x:c>
      <x:c r="E553" s="339" t="str">
        <x:v>Promotion / Transfer</x:v>
      </x:c>
      <x:c r="F553" s="339" t="str">
        <x:v>Exception traceability</x:v>
      </x:c>
      <x:c r="G553" s="339" t="str">
        <x:v>an authorized override/exception is used</x:v>
      </x:c>
      <x:c r="H553" s="339" t="str">
        <x:v>the action is confirmed</x:v>
      </x:c>
      <x:c r="I553" s="339" t="str">
        <x:v>the system requires reason/context and records it in the audit history</x:v>
      </x:c>
      <x:c r="J553" s="339" t="str">
        <x:v>Positive</x:v>
      </x:c>
      <x:c r="K553" s="339" t="str">
        <x:v>Functional</x:v>
      </x:c>
    </x:row>
    <x:row r="554">
      <x:c r="A554" s="339" t="str">
        <x:v>AC-00553</x:v>
      </x:c>
      <x:c r="B554" s="339" t="str">
        <x:v>US-0139</x:v>
      </x:c>
      <x:c r="C554" s="339" t="str">
        <x:v>SCR-070</x:v>
      </x:c>
      <x:c r="D554" s="339" t="str">
        <x:v>Students</x:v>
      </x:c>
      <x:c r="E554" s="339" t="str">
        <x:v>Student Exit / Alumni Conversion</x:v>
      </x:c>
      <x:c r="F554" s="339" t="str">
        <x:v>Authorized access to Student Exit / Alumni Conversion</x:v>
      </x:c>
      <x:c r="G554" s="339" t="str">
        <x:v>the School Admin is authenticated and has access to Student Exit / Alumni Conversion</x:v>
      </x:c>
      <x:c r="H554" s="339" t="str">
        <x:v>the user opens or invokes Student Exit / Alumni Conversion</x:v>
      </x:c>
      <x:c r="I554" s="339" t="str">
        <x:v>the system loads only records and actions within the user's permitted tenant/school/data scope</x:v>
      </x:c>
      <x:c r="J554" s="339" t="str">
        <x:v>Positive</x:v>
      </x:c>
      <x:c r="K554" s="339" t="str">
        <x:v>Functional / Security</x:v>
      </x:c>
    </x:row>
    <x:row r="555">
      <x:c r="A555" s="339" t="str">
        <x:v>AC-00554</x:v>
      </x:c>
      <x:c r="B555" s="339" t="str">
        <x:v>US-0139</x:v>
      </x:c>
      <x:c r="C555" s="339" t="str">
        <x:v>SCR-070</x:v>
      </x:c>
      <x:c r="D555" s="339" t="str">
        <x:v>Students</x:v>
      </x:c>
      <x:c r="E555" s="339" t="str">
        <x:v>Student Exit / Alumni Conversion</x:v>
      </x:c>
      <x:c r="F555" s="339" t="str">
        <x:v>Successful Student Exit / Alumni Conversion happy path</x:v>
      </x:c>
      <x:c r="G555" s="339" t="str">
        <x:v>all mandatory prerequisites and valid data are available</x:v>
      </x:c>
      <x:c r="H555" s="339" t="str">
        <x:v>the School Admin completes the primary action on Student Exit / Alumni Conversion</x:v>
      </x:c>
      <x:c r="I555" s="339" t="str">
        <x:v>the system validates the request, saves it atomically, shows a clear confirmation and reflects the updated state</x:v>
      </x:c>
      <x:c r="J555" s="339" t="str">
        <x:v>Positive</x:v>
      </x:c>
      <x:c r="K555" s="339" t="str">
        <x:v>Functional</x:v>
      </x:c>
    </x:row>
    <x:row r="556">
      <x:c r="A556" s="339" t="str">
        <x:v>AC-00555</x:v>
      </x:c>
      <x:c r="B556" s="339" t="str">
        <x:v>US-0139</x:v>
      </x:c>
      <x:c r="C556" s="339" t="str">
        <x:v>SCR-070</x:v>
      </x:c>
      <x:c r="D556" s="339" t="str">
        <x:v>Students</x:v>
      </x:c>
      <x:c r="E556" s="339" t="str">
        <x:v>Student Exit / Alumni Conversion</x:v>
      </x:c>
      <x:c r="F556" s="339" t="str">
        <x:v>State and dependency integrity</x:v>
      </x:c>
      <x:c r="G556" s="339" t="str">
        <x:v>the current record is in an allowed state (Pre-admission (optional) → Active → Suspended (optional) → Transferred / Graduated / Withdrawn → Alumni)</x:v>
      </x:c>
      <x:c r="H556" s="339" t="str">
        <x:v>the user attempts a state-changing action</x:v>
      </x:c>
      <x:c r="I556" s="339" t="str">
        <x:v>only a valid transition is accepted and dependent records are updated according to configured business rules</x:v>
      </x:c>
      <x:c r="J556" s="339" t="str">
        <x:v>Positive</x:v>
      </x:c>
      <x:c r="K556" s="339" t="str">
        <x:v>Functional</x:v>
      </x:c>
    </x:row>
    <x:row r="557">
      <x:c r="A557" s="339" t="str">
        <x:v>AC-00556</x:v>
      </x:c>
      <x:c r="B557" s="339" t="str">
        <x:v>US-0139</x:v>
      </x:c>
      <x:c r="C557" s="339" t="str">
        <x:v>SCR-070</x:v>
      </x:c>
      <x:c r="D557" s="339" t="str">
        <x:v>Students</x:v>
      </x:c>
      <x:c r="E557" s="339" t="str">
        <x:v>Student Exit / Alumni Conversion</x:v>
      </x:c>
      <x:c r="F557" s="339" t="str">
        <x:v>Auditability</x:v>
      </x:c>
      <x:c r="G557" s="339" t="str">
        <x:v>a material create/update/approve/reverse action occurs</x:v>
      </x:c>
      <x:c r="H557" s="339" t="str">
        <x:v>the transaction succeeds</x:v>
      </x:c>
      <x:c r="I557" s="339" t="str">
        <x:v>the system records actor, timestamp, action, target and relevant before/after or reason context in the audit trail</x:v>
      </x:c>
      <x:c r="J557" s="339" t="str">
        <x:v>Positive</x:v>
      </x:c>
      <x:c r="K557" s="339" t="str">
        <x:v>Functional</x:v>
      </x:c>
    </x:row>
    <x:row r="558">
      <x:c r="A558" s="339" t="str">
        <x:v>AC-00557</x:v>
      </x:c>
      <x:c r="B558" s="339" t="str">
        <x:v>US-0140</x:v>
      </x:c>
      <x:c r="C558" s="339" t="str">
        <x:v>SCR-070</x:v>
      </x:c>
      <x:c r="D558" s="339" t="str">
        <x:v>Students</x:v>
      </x:c>
      <x:c r="E558" s="339" t="str">
        <x:v>Student Exit / Alumni Conversion</x:v>
      </x:c>
      <x:c r="F558" s="339" t="str">
        <x:v>Valid status transition</x:v>
      </x:c>
      <x:c r="G558" s="339" t="str">
        <x:v>the record is in a state described by Pre-admission (optional) → Active → Suspended (optional) → Transferred / Graduated / Withdrawn → Alumni</x:v>
      </x:c>
      <x:c r="H558" s="339" t="str">
        <x:v>the user requests a transition</x:v>
      </x:c>
      <x:c r="I558" s="339" t="str">
        <x:v>the system accepts only transitions allowed for that role and state</x:v>
      </x:c>
      <x:c r="J558" s="339" t="str">
        <x:v>Positive</x:v>
      </x:c>
      <x:c r="K558" s="339" t="str">
        <x:v>Functional</x:v>
      </x:c>
    </x:row>
    <x:row r="559">
      <x:c r="A559" s="339" t="str">
        <x:v>AC-00558</x:v>
      </x:c>
      <x:c r="B559" s="339" t="str">
        <x:v>US-0140</x:v>
      </x:c>
      <x:c r="C559" s="339" t="str">
        <x:v>SCR-070</x:v>
      </x:c>
      <x:c r="D559" s="339" t="str">
        <x:v>Students</x:v>
      </x:c>
      <x:c r="E559" s="339" t="str">
        <x:v>Student Exit / Alumni Conversion</x:v>
      </x:c>
      <x:c r="F559" s="339" t="str">
        <x:v>Approval authority</x:v>
      </x:c>
      <x:c r="G559" s="339" t="str">
        <x:v>an action requires approval</x:v>
      </x:c>
      <x:c r="H559" s="339" t="str">
        <x:v>a non-authorized user attempts approval/rejection</x:v>
      </x:c>
      <x:c r="I559" s="339" t="str">
        <x:v>the system denies the decision and does not change status</x:v>
      </x:c>
      <x:c r="J559" s="339" t="str">
        <x:v>Negative</x:v>
      </x:c>
      <x:c r="K559" s="339" t="str">
        <x:v>Functional</x:v>
      </x:c>
    </x:row>
    <x:row r="560">
      <x:c r="A560" s="339" t="str">
        <x:v>AC-00559</x:v>
      </x:c>
      <x:c r="B560" s="339" t="str">
        <x:v>US-0140</x:v>
      </x:c>
      <x:c r="C560" s="339" t="str">
        <x:v>SCR-070</x:v>
      </x:c>
      <x:c r="D560" s="339" t="str">
        <x:v>Students</x:v>
      </x:c>
      <x:c r="E560" s="339" t="str">
        <x:v>Student Exit / Alumni Conversion</x:v>
      </x:c>
      <x:c r="F560" s="339" t="str">
        <x:v>Failure rollback</x:v>
      </x:c>
      <x:c r="G560" s="339" t="str">
        <x:v>a downstream dependency fails during a multi-step transaction</x:v>
      </x:c>
      <x:c r="H560" s="339" t="str">
        <x:v>the workflow executes</x:v>
      </x:c>
      <x:c r="I560" s="339" t="str">
        <x:v>the system does not leave an invalid partial final state and surfaces a recoverable error</x:v>
      </x:c>
      <x:c r="J560" s="339" t="str">
        <x:v>Positive</x:v>
      </x:c>
      <x:c r="K560" s="339" t="str">
        <x:v>Functional</x:v>
      </x:c>
    </x:row>
    <x:row r="561">
      <x:c r="A561" s="339" t="str">
        <x:v>AC-00560</x:v>
      </x:c>
      <x:c r="B561" s="339" t="str">
        <x:v>US-0140</x:v>
      </x:c>
      <x:c r="C561" s="339" t="str">
        <x:v>SCR-070</x:v>
      </x:c>
      <x:c r="D561" s="339" t="str">
        <x:v>Students</x:v>
      </x:c>
      <x:c r="E561" s="339" t="str">
        <x:v>Student Exit / Alumni Conversion</x:v>
      </x:c>
      <x:c r="F561" s="339" t="str">
        <x:v>Exception traceability</x:v>
      </x:c>
      <x:c r="G561" s="339" t="str">
        <x:v>an authorized override/exception is used</x:v>
      </x:c>
      <x:c r="H561" s="339" t="str">
        <x:v>the action is confirmed</x:v>
      </x:c>
      <x:c r="I561" s="339" t="str">
        <x:v>the system requires reason/context and records it in the audit history</x:v>
      </x:c>
      <x:c r="J561" s="339" t="str">
        <x:v>Positive</x:v>
      </x:c>
      <x:c r="K561" s="339" t="str">
        <x:v>Functional</x:v>
      </x:c>
    </x:row>
    <x:row r="562">
      <x:c r="A562" s="339" t="str">
        <x:v>AC-00561</x:v>
      </x:c>
      <x:c r="B562" s="339" t="str">
        <x:v>US-0141</x:v>
      </x:c>
      <x:c r="C562" s="339" t="str">
        <x:v>SCR-071</x:v>
      </x:c>
      <x:c r="D562" s="339" t="str">
        <x:v>Parents &amp; Guardians</x:v>
      </x:c>
      <x:c r="E562" s="339" t="str">
        <x:v>Parent / Guardian Directory</x:v>
      </x:c>
      <x:c r="F562" s="339" t="str">
        <x:v>Authorized access to Parent / Guardian Directory</x:v>
      </x:c>
      <x:c r="G562" s="339" t="str">
        <x:v>the School Admin is authenticated and has access to Parent / Guardian Directory</x:v>
      </x:c>
      <x:c r="H562" s="339" t="str">
        <x:v>the user opens or invokes Parent / Guardian Directory</x:v>
      </x:c>
      <x:c r="I562" s="339" t="str">
        <x:v>the system loads only records and actions within the user's permitted tenant/school/data scope</x:v>
      </x:c>
      <x:c r="J562" s="339" t="str">
        <x:v>Positive</x:v>
      </x:c>
      <x:c r="K562" s="339" t="str">
        <x:v>Functional / Security</x:v>
      </x:c>
    </x:row>
    <x:row r="563">
      <x:c r="A563" s="339" t="str">
        <x:v>AC-00562</x:v>
      </x:c>
      <x:c r="B563" s="339" t="str">
        <x:v>US-0141</x:v>
      </x:c>
      <x:c r="C563" s="339" t="str">
        <x:v>SCR-071</x:v>
      </x:c>
      <x:c r="D563" s="339" t="str">
        <x:v>Parents &amp; Guardians</x:v>
      </x:c>
      <x:c r="E563" s="339" t="str">
        <x:v>Parent / Guardian Directory</x:v>
      </x:c>
      <x:c r="F563" s="339" t="str">
        <x:v>Successful Parent / Guardian Directory happy path</x:v>
      </x:c>
      <x:c r="G563" s="339" t="str">
        <x:v>all mandatory prerequisites and valid data are available</x:v>
      </x:c>
      <x:c r="H563" s="339" t="str">
        <x:v>the School Admin completes the primary action on Parent / Guardian Directory</x:v>
      </x:c>
      <x:c r="I563" s="339" t="str">
        <x:v>the system validates the request, saves it atomically, shows a clear confirmation and reflects the updated state</x:v>
      </x:c>
      <x:c r="J563" s="339" t="str">
        <x:v>Positive</x:v>
      </x:c>
      <x:c r="K563" s="339" t="str">
        <x:v>Functional</x:v>
      </x:c>
    </x:row>
    <x:row r="564">
      <x:c r="A564" s="339" t="str">
        <x:v>AC-00563</x:v>
      </x:c>
      <x:c r="B564" s="339" t="str">
        <x:v>US-0141</x:v>
      </x:c>
      <x:c r="C564" s="339" t="str">
        <x:v>SCR-071</x:v>
      </x:c>
      <x:c r="D564" s="339" t="str">
        <x:v>Parents &amp; Guardians</x:v>
      </x:c>
      <x:c r="E564" s="339" t="str">
        <x:v>Parent / Guardian Directory</x:v>
      </x:c>
      <x:c r="F564" s="339" t="str">
        <x:v>State and dependency integrity</x:v>
      </x:c>
      <x:c r="G564" s="339" t="str">
        <x:v>the current record is in an allowed state (Invited / Unverified → Verified → Active → Suspended / Unlinked)</x:v>
      </x:c>
      <x:c r="H564" s="339" t="str">
        <x:v>the user attempts a state-changing action</x:v>
      </x:c>
      <x:c r="I564" s="339" t="str">
        <x:v>only a valid transition is accepted and dependent records are updated according to configured business rules</x:v>
      </x:c>
      <x:c r="J564" s="339" t="str">
        <x:v>Positive</x:v>
      </x:c>
      <x:c r="K564" s="339" t="str">
        <x:v>Functional</x:v>
      </x:c>
    </x:row>
    <x:row r="565">
      <x:c r="A565" s="339" t="str">
        <x:v>AC-00564</x:v>
      </x:c>
      <x:c r="B565" s="339" t="str">
        <x:v>US-0141</x:v>
      </x:c>
      <x:c r="C565" s="339" t="str">
        <x:v>SCR-071</x:v>
      </x:c>
      <x:c r="D565" s="339" t="str">
        <x:v>Parents &amp; Guardians</x:v>
      </x:c>
      <x:c r="E565" s="339" t="str">
        <x:v>Parent / Guardian Directory</x:v>
      </x:c>
      <x:c r="F565" s="339" t="str">
        <x:v>Auditability</x:v>
      </x:c>
      <x:c r="G565" s="339" t="str">
        <x:v>a material create/update/approve/reverse action occurs</x:v>
      </x:c>
      <x:c r="H565" s="339" t="str">
        <x:v>the transaction succeeds</x:v>
      </x:c>
      <x:c r="I565" s="339" t="str">
        <x:v>the system records actor, timestamp, action, target and relevant before/after or reason context in the audit trail</x:v>
      </x:c>
      <x:c r="J565" s="339" t="str">
        <x:v>Positive</x:v>
      </x:c>
      <x:c r="K565" s="339" t="str">
        <x:v>Functional</x:v>
      </x:c>
    </x:row>
    <x:row r="566">
      <x:c r="A566" s="339" t="str">
        <x:v>AC-00565</x:v>
      </x:c>
      <x:c r="B566" s="339" t="str">
        <x:v>US-0142</x:v>
      </x:c>
      <x:c r="C566" s="339" t="str">
        <x:v>SCR-071</x:v>
      </x:c>
      <x:c r="D566" s="339" t="str">
        <x:v>Parents &amp; Guardians</x:v>
      </x:c>
      <x:c r="E566" s="339" t="str">
        <x:v>Parent / Guardian Directory</x:v>
      </x:c>
      <x:c r="F566" s="339" t="str">
        <x:v>Search and filtering</x:v>
      </x:c>
      <x:c r="G566" s="339" t="str">
        <x:v>authorized records exist across multiple values</x:v>
      </x:c>
      <x:c r="H566" s="339" t="str">
        <x:v>the user applies search, filters, sorting or pagination</x:v>
      </x:c>
      <x:c r="I566" s="339" t="str">
        <x:v>the results match all selected criteria and remain within the user's data scope</x:v>
      </x:c>
      <x:c r="J566" s="339" t="str">
        <x:v>Positive</x:v>
      </x:c>
      <x:c r="K566" s="339" t="str">
        <x:v>Functional</x:v>
      </x:c>
    </x:row>
    <x:row r="567">
      <x:c r="A567" s="339" t="str">
        <x:v>AC-00566</x:v>
      </x:c>
      <x:c r="B567" s="339" t="str">
        <x:v>US-0142</x:v>
      </x:c>
      <x:c r="C567" s="339" t="str">
        <x:v>SCR-071</x:v>
      </x:c>
      <x:c r="D567" s="339" t="str">
        <x:v>Parents &amp; Guardians</x:v>
      </x:c>
      <x:c r="E567" s="339" t="str">
        <x:v>Parent / Guardian Directory</x:v>
      </x:c>
      <x:c r="F567" s="339" t="str">
        <x:v>Controlled row actions</x:v>
      </x:c>
      <x:c r="G567" s="339" t="str">
        <x:v>records are returned in the list</x:v>
      </x:c>
      <x:c r="H567" s="339" t="str">
        <x:v>the user opens the action menu</x:v>
      </x:c>
      <x:c r="I567" s="339" t="str">
        <x:v>only actions permitted for the user's role and the record's current state are offered</x:v>
      </x:c>
      <x:c r="J567" s="339" t="str">
        <x:v>Positive</x:v>
      </x:c>
      <x:c r="K567" s="339" t="str">
        <x:v>Functional</x:v>
      </x:c>
    </x:row>
    <x:row r="568">
      <x:c r="A568" s="339" t="str">
        <x:v>AC-00567</x:v>
      </x:c>
      <x:c r="B568" s="339" t="str">
        <x:v>US-0142</x:v>
      </x:c>
      <x:c r="C568" s="339" t="str">
        <x:v>SCR-071</x:v>
      </x:c>
      <x:c r="D568" s="339" t="str">
        <x:v>Parents &amp; Guardians</x:v>
      </x:c>
      <x:c r="E568" s="339" t="str">
        <x:v>Parent / Guardian Directory</x:v>
      </x:c>
      <x:c r="F568" s="339" t="str">
        <x:v>Empty/no-result handling</x:v>
      </x:c>
      <x:c r="G568" s="339" t="str">
        <x:v>no record matches the current criteria</x:v>
      </x:c>
      <x:c r="H568" s="339" t="str">
        <x:v>the query completes</x:v>
      </x:c>
      <x:c r="I568" s="339" t="str">
        <x:v>the system shows a clear empty state without treating it as an application error</x:v>
      </x:c>
      <x:c r="J568" s="339" t="str">
        <x:v>Positive</x:v>
      </x:c>
      <x:c r="K568" s="339" t="str">
        <x:v>Functional</x:v>
      </x:c>
    </x:row>
    <x:row r="569">
      <x:c r="A569" s="339" t="str">
        <x:v>AC-00568</x:v>
      </x:c>
      <x:c r="B569" s="339" t="str">
        <x:v>US-0142</x:v>
      </x:c>
      <x:c r="C569" s="339" t="str">
        <x:v>SCR-071</x:v>
      </x:c>
      <x:c r="D569" s="339" t="str">
        <x:v>Parents &amp; Guardians</x:v>
      </x:c>
      <x:c r="E569" s="339" t="str">
        <x:v>Parent / Guardian Directory</x:v>
      </x:c>
      <x:c r="F569" s="339" t="str">
        <x:v>Export scope</x:v>
      </x:c>
      <x:c r="G569" s="339" t="str">
        <x:v>the user has export permission</x:v>
      </x:c>
      <x:c r="H569" s="339" t="str">
        <x:v>the user exports the filtered list</x:v>
      </x:c>
      <x:c r="I569" s="339" t="str">
        <x:v>the export contains the same authorized filter scope and excludes restricted fields</x:v>
      </x:c>
      <x:c r="J569" s="339" t="str">
        <x:v>Positive</x:v>
      </x:c>
      <x:c r="K569" s="339" t="str">
        <x:v>Functional</x:v>
      </x:c>
    </x:row>
    <x:row r="570">
      <x:c r="A570" s="339" t="str">
        <x:v>AC-00569</x:v>
      </x:c>
      <x:c r="B570" s="339" t="str">
        <x:v>US-0143</x:v>
      </x:c>
      <x:c r="C570" s="339" t="str">
        <x:v>SCR-072</x:v>
      </x:c>
      <x:c r="D570" s="339" t="str">
        <x:v>Parents &amp; Guardians</x:v>
      </x:c>
      <x:c r="E570" s="339" t="str">
        <x:v>Add Parent / Guardian</x:v>
      </x:c>
      <x:c r="F570" s="339" t="str">
        <x:v>Authorized access to Add Parent / Guardian</x:v>
      </x:c>
      <x:c r="G570" s="339" t="str">
        <x:v>the School Admin is authenticated and has access to Add Parent / Guardian</x:v>
      </x:c>
      <x:c r="H570" s="339" t="str">
        <x:v>the user opens or invokes Add Parent / Guardian</x:v>
      </x:c>
      <x:c r="I570" s="339" t="str">
        <x:v>the system loads only records and actions within the user's permitted tenant/school/data scope</x:v>
      </x:c>
      <x:c r="J570" s="339" t="str">
        <x:v>Positive</x:v>
      </x:c>
      <x:c r="K570" s="339" t="str">
        <x:v>Functional / Security</x:v>
      </x:c>
    </x:row>
    <x:row r="571">
      <x:c r="A571" s="339" t="str">
        <x:v>AC-00570</x:v>
      </x:c>
      <x:c r="B571" s="339" t="str">
        <x:v>US-0143</x:v>
      </x:c>
      <x:c r="C571" s="339" t="str">
        <x:v>SCR-072</x:v>
      </x:c>
      <x:c r="D571" s="339" t="str">
        <x:v>Parents &amp; Guardians</x:v>
      </x:c>
      <x:c r="E571" s="339" t="str">
        <x:v>Add Parent / Guardian</x:v>
      </x:c>
      <x:c r="F571" s="339" t="str">
        <x:v>Successful Add Parent / Guardian happy path</x:v>
      </x:c>
      <x:c r="G571" s="339" t="str">
        <x:v>all mandatory prerequisites and valid data are available</x:v>
      </x:c>
      <x:c r="H571" s="339" t="str">
        <x:v>the School Admin completes the primary action on Add Parent / Guardian</x:v>
      </x:c>
      <x:c r="I571" s="339" t="str">
        <x:v>the system validates the request, saves it atomically, shows a clear confirmation and reflects the updated state</x:v>
      </x:c>
      <x:c r="J571" s="339" t="str">
        <x:v>Positive</x:v>
      </x:c>
      <x:c r="K571" s="339" t="str">
        <x:v>Functional</x:v>
      </x:c>
    </x:row>
    <x:row r="572">
      <x:c r="A572" s="339" t="str">
        <x:v>AC-00571</x:v>
      </x:c>
      <x:c r="B572" s="339" t="str">
        <x:v>US-0143</x:v>
      </x:c>
      <x:c r="C572" s="339" t="str">
        <x:v>SCR-072</x:v>
      </x:c>
      <x:c r="D572" s="339" t="str">
        <x:v>Parents &amp; Guardians</x:v>
      </x:c>
      <x:c r="E572" s="339" t="str">
        <x:v>Add Parent / Guardian</x:v>
      </x:c>
      <x:c r="F572" s="339" t="str">
        <x:v>State and dependency integrity</x:v>
      </x:c>
      <x:c r="G572" s="339" t="str">
        <x:v>the current record is in an allowed state (Invited / Unverified → Verified → Active → Suspended / Unlinked)</x:v>
      </x:c>
      <x:c r="H572" s="339" t="str">
        <x:v>the user attempts a state-changing action</x:v>
      </x:c>
      <x:c r="I572" s="339" t="str">
        <x:v>only a valid transition is accepted and dependent records are updated according to configured business rules</x:v>
      </x:c>
      <x:c r="J572" s="339" t="str">
        <x:v>Positive</x:v>
      </x:c>
      <x:c r="K572" s="339" t="str">
        <x:v>Functional</x:v>
      </x:c>
    </x:row>
    <x:row r="573">
      <x:c r="A573" s="339" t="str">
        <x:v>AC-00572</x:v>
      </x:c>
      <x:c r="B573" s="339" t="str">
        <x:v>US-0143</x:v>
      </x:c>
      <x:c r="C573" s="339" t="str">
        <x:v>SCR-072</x:v>
      </x:c>
      <x:c r="D573" s="339" t="str">
        <x:v>Parents &amp; Guardians</x:v>
      </x:c>
      <x:c r="E573" s="339" t="str">
        <x:v>Add Parent / Guardian</x:v>
      </x:c>
      <x:c r="F573" s="339" t="str">
        <x:v>Auditability</x:v>
      </x:c>
      <x:c r="G573" s="339" t="str">
        <x:v>a material create/update/approve/reverse action occurs</x:v>
      </x:c>
      <x:c r="H573" s="339" t="str">
        <x:v>the transaction succeeds</x:v>
      </x:c>
      <x:c r="I573" s="339" t="str">
        <x:v>the system records actor, timestamp, action, target and relevant before/after or reason context in the audit trail</x:v>
      </x:c>
      <x:c r="J573" s="339" t="str">
        <x:v>Positive</x:v>
      </x:c>
      <x:c r="K573" s="339" t="str">
        <x:v>Functional</x:v>
      </x:c>
    </x:row>
    <x:row r="574">
      <x:c r="A574" s="339" t="str">
        <x:v>AC-00573</x:v>
      </x:c>
      <x:c r="B574" s="339" t="str">
        <x:v>US-0144</x:v>
      </x:c>
      <x:c r="C574" s="339" t="str">
        <x:v>SCR-072</x:v>
      </x:c>
      <x:c r="D574" s="339" t="str">
        <x:v>Parents &amp; Guardians</x:v>
      </x:c>
      <x:c r="E574" s="339" t="str">
        <x:v>Add Parent / Guardian</x:v>
      </x:c>
      <x:c r="F574" s="339" t="str">
        <x:v>Required-field validation</x:v>
      </x:c>
      <x:c r="G574" s="339" t="str">
        <x:v>one or more required values are missing/invalid</x:v>
      </x:c>
      <x:c r="H574" s="339" t="str">
        <x:v>the user submits the form</x:v>
      </x:c>
      <x:c r="I574" s="339" t="str">
        <x:v>submission is blocked and field-level messages identify what must be corrected</x:v>
      </x:c>
      <x:c r="J574" s="339" t="str">
        <x:v>Positive</x:v>
      </x:c>
      <x:c r="K574" s="339" t="str">
        <x:v>Functional</x:v>
      </x:c>
    </x:row>
    <x:row r="575">
      <x:c r="A575" s="339" t="str">
        <x:v>AC-00574</x:v>
      </x:c>
      <x:c r="B575" s="339" t="str">
        <x:v>US-0144</x:v>
      </x:c>
      <x:c r="C575" s="339" t="str">
        <x:v>SCR-072</x:v>
      </x:c>
      <x:c r="D575" s="339" t="str">
        <x:v>Parents &amp; Guardians</x:v>
      </x:c>
      <x:c r="E575" s="339" t="str">
        <x:v>Add Parent / Guardian</x:v>
      </x:c>
      <x:c r="F575" s="339" t="str">
        <x:v>Duplicate prevention</x:v>
      </x:c>
      <x:c r="G575" s="339" t="str">
        <x:v>a potentially duplicate record exists</x:v>
      </x:c>
      <x:c r="H575" s="339" t="str">
        <x:v>the user submits matching identity/master data</x:v>
      </x:c>
      <x:c r="I575" s="339" t="str">
        <x:v>the system blocks or warns according to configured duplicate policy before creating another record</x:v>
      </x:c>
      <x:c r="J575" s="339" t="str">
        <x:v>Negative</x:v>
      </x:c>
      <x:c r="K575" s="339" t="str">
        <x:v>Functional</x:v>
      </x:c>
    </x:row>
    <x:row r="576">
      <x:c r="A576" s="339" t="str">
        <x:v>AC-00575</x:v>
      </x:c>
      <x:c r="B576" s="339" t="str">
        <x:v>US-0144</x:v>
      </x:c>
      <x:c r="C576" s="339" t="str">
        <x:v>SCR-072</x:v>
      </x:c>
      <x:c r="D576" s="339" t="str">
        <x:v>Parents &amp; Guardians</x:v>
      </x:c>
      <x:c r="E576" s="339" t="str">
        <x:v>Add Parent / Guardian</x:v>
      </x:c>
      <x:c r="F576" s="339" t="str">
        <x:v>Reference-data integrity</x:v>
      </x:c>
      <x:c r="G576" s="339" t="str">
        <x:v>the form contains master-data selections</x:v>
      </x:c>
      <x:c r="H576" s="339" t="str">
        <x:v>the user submits</x:v>
      </x:c>
      <x:c r="I576" s="339" t="str">
        <x:v>all referenced values are active, effective and within the user's scope at the time of save</x:v>
      </x:c>
      <x:c r="J576" s="339" t="str">
        <x:v>Positive</x:v>
      </x:c>
      <x:c r="K576" s="339" t="str">
        <x:v>Functional</x:v>
      </x:c>
    </x:row>
    <x:row r="577">
      <x:c r="A577" s="339" t="str">
        <x:v>AC-00576</x:v>
      </x:c>
      <x:c r="B577" s="339" t="str">
        <x:v>US-0144</x:v>
      </x:c>
      <x:c r="C577" s="339" t="str">
        <x:v>SCR-072</x:v>
      </x:c>
      <x:c r="D577" s="339" t="str">
        <x:v>Parents &amp; Guardians</x:v>
      </x:c>
      <x:c r="E577" s="339" t="str">
        <x:v>Add Parent / Guardian</x:v>
      </x:c>
      <x:c r="F577" s="339" t="str">
        <x:v>Retry safety</x:v>
      </x:c>
      <x:c r="G577" s="339" t="str">
        <x:v>a network retry or repeated click occurs</x:v>
      </x:c>
      <x:c r="H577" s="339" t="str">
        <x:v>the same transaction is submitted again</x:v>
      </x:c>
      <x:c r="I577" s="339" t="str">
        <x:v>the system prevents unintended duplicate transactions through idempotency or duplicate detection</x:v>
      </x:c>
      <x:c r="J577" s="339" t="str">
        <x:v>Positive</x:v>
      </x:c>
      <x:c r="K577" s="339" t="str">
        <x:v>Functional</x:v>
      </x:c>
    </x:row>
    <x:row r="578">
      <x:c r="A578" s="339" t="str">
        <x:v>AC-00577</x:v>
      </x:c>
      <x:c r="B578" s="339" t="str">
        <x:v>US-0145</x:v>
      </x:c>
      <x:c r="C578" s="339" t="str">
        <x:v>SCR-073</x:v>
      </x:c>
      <x:c r="D578" s="339" t="str">
        <x:v>Parents &amp; Guardians</x:v>
      </x:c>
      <x:c r="E578" s="339" t="str">
        <x:v>Parent Profile</x:v>
      </x:c>
      <x:c r="F578" s="339" t="str">
        <x:v>Authorized access to Parent Profile</x:v>
      </x:c>
      <x:c r="G578" s="339" t="str">
        <x:v>the School Admin is authenticated and has access to Parent Profile</x:v>
      </x:c>
      <x:c r="H578" s="339" t="str">
        <x:v>the user opens or invokes Parent Profile</x:v>
      </x:c>
      <x:c r="I578" s="339" t="str">
        <x:v>the system loads only records and actions within the user's permitted tenant/school/data scope</x:v>
      </x:c>
      <x:c r="J578" s="339" t="str">
        <x:v>Positive</x:v>
      </x:c>
      <x:c r="K578" s="339" t="str">
        <x:v>Functional / Security</x:v>
      </x:c>
    </x:row>
    <x:row r="579">
      <x:c r="A579" s="339" t="str">
        <x:v>AC-00578</x:v>
      </x:c>
      <x:c r="B579" s="339" t="str">
        <x:v>US-0145</x:v>
      </x:c>
      <x:c r="C579" s="339" t="str">
        <x:v>SCR-073</x:v>
      </x:c>
      <x:c r="D579" s="339" t="str">
        <x:v>Parents &amp; Guardians</x:v>
      </x:c>
      <x:c r="E579" s="339" t="str">
        <x:v>Parent Profile</x:v>
      </x:c>
      <x:c r="F579" s="339" t="str">
        <x:v>Successful Parent Profile happy path</x:v>
      </x:c>
      <x:c r="G579" s="339" t="str">
        <x:v>all mandatory prerequisites and valid data are available</x:v>
      </x:c>
      <x:c r="H579" s="339" t="str">
        <x:v>the School Admin completes the primary action on Parent Profile</x:v>
      </x:c>
      <x:c r="I579" s="339" t="str">
        <x:v>the system validates the request, saves it atomically, shows a clear confirmation and reflects the updated state</x:v>
      </x:c>
      <x:c r="J579" s="339" t="str">
        <x:v>Positive</x:v>
      </x:c>
      <x:c r="K579" s="339" t="str">
        <x:v>Functional</x:v>
      </x:c>
    </x:row>
    <x:row r="580">
      <x:c r="A580" s="339" t="str">
        <x:v>AC-00579</x:v>
      </x:c>
      <x:c r="B580" s="339" t="str">
        <x:v>US-0145</x:v>
      </x:c>
      <x:c r="C580" s="339" t="str">
        <x:v>SCR-073</x:v>
      </x:c>
      <x:c r="D580" s="339" t="str">
        <x:v>Parents &amp; Guardians</x:v>
      </x:c>
      <x:c r="E580" s="339" t="str">
        <x:v>Parent Profile</x:v>
      </x:c>
      <x:c r="F580" s="339" t="str">
        <x:v>State and dependency integrity</x:v>
      </x:c>
      <x:c r="G580" s="339" t="str">
        <x:v>the current record is in an allowed state (Invited / Unverified → Verified → Active → Suspended / Unlinked)</x:v>
      </x:c>
      <x:c r="H580" s="339" t="str">
        <x:v>the user attempts a state-changing action</x:v>
      </x:c>
      <x:c r="I580" s="339" t="str">
        <x:v>only a valid transition is accepted and dependent records are updated according to configured business rules</x:v>
      </x:c>
      <x:c r="J580" s="339" t="str">
        <x:v>Positive</x:v>
      </x:c>
      <x:c r="K580" s="339" t="str">
        <x:v>Functional</x:v>
      </x:c>
    </x:row>
    <x:row r="581">
      <x:c r="A581" s="339" t="str">
        <x:v>AC-00580</x:v>
      </x:c>
      <x:c r="B581" s="339" t="str">
        <x:v>US-0145</x:v>
      </x:c>
      <x:c r="C581" s="339" t="str">
        <x:v>SCR-073</x:v>
      </x:c>
      <x:c r="D581" s="339" t="str">
        <x:v>Parents &amp; Guardians</x:v>
      </x:c>
      <x:c r="E581" s="339" t="str">
        <x:v>Parent Profile</x:v>
      </x:c>
      <x:c r="F581" s="339" t="str">
        <x:v>Auditability</x:v>
      </x:c>
      <x:c r="G581" s="339" t="str">
        <x:v>a material create/update/approve/reverse action occurs</x:v>
      </x:c>
      <x:c r="H581" s="339" t="str">
        <x:v>the transaction succeeds</x:v>
      </x:c>
      <x:c r="I581" s="339" t="str">
        <x:v>the system records actor, timestamp, action, target and relevant before/after or reason context in the audit trail</x:v>
      </x:c>
      <x:c r="J581" s="339" t="str">
        <x:v>Positive</x:v>
      </x:c>
      <x:c r="K581" s="339" t="str">
        <x:v>Functional</x:v>
      </x:c>
    </x:row>
    <x:row r="582">
      <x:c r="A582" s="339" t="str">
        <x:v>AC-00581</x:v>
      </x:c>
      <x:c r="B582" s="339" t="str">
        <x:v>US-0146</x:v>
      </x:c>
      <x:c r="C582" s="339" t="str">
        <x:v>SCR-073</x:v>
      </x:c>
      <x:c r="D582" s="339" t="str">
        <x:v>Parents &amp; Guardians</x:v>
      </x:c>
      <x:c r="E582" s="339" t="str">
        <x:v>Parent Profile</x:v>
      </x:c>
      <x:c r="F582" s="339" t="str">
        <x:v>Complete authorized view</x:v>
      </x:c>
      <x:c r="G582" s="339" t="str">
        <x:v>the record exists and the user is authorized</x:v>
      </x:c>
      <x:c r="H582" s="339" t="str">
        <x:v>the detail/profile opens</x:v>
      </x:c>
      <x:c r="I582" s="339" t="str">
        <x:v>the system loads the required summary, relationships and history while masking restricted fields</x:v>
      </x:c>
      <x:c r="J582" s="339" t="str">
        <x:v>Positive</x:v>
      </x:c>
      <x:c r="K582" s="339" t="str">
        <x:v>Functional / Security</x:v>
      </x:c>
    </x:row>
    <x:row r="583">
      <x:c r="A583" s="339" t="str">
        <x:v>AC-00582</x:v>
      </x:c>
      <x:c r="B583" s="339" t="str">
        <x:v>US-0146</x:v>
      </x:c>
      <x:c r="C583" s="339" t="str">
        <x:v>SCR-073</x:v>
      </x:c>
      <x:c r="D583" s="339" t="str">
        <x:v>Parents &amp; Guardians</x:v>
      </x:c>
      <x:c r="E583" s="339" t="str">
        <x:v>Parent Profile</x:v>
      </x:c>
      <x:c r="F583" s="339" t="str">
        <x:v>Controlled edit</x:v>
      </x:c>
      <x:c r="G583" s="339" t="str">
        <x:v>the user has edit permission and the record is editable</x:v>
      </x:c>
      <x:c r="H583" s="339" t="str">
        <x:v>the user saves a change</x:v>
      </x:c>
      <x:c r="I583" s="339" t="str">
        <x:v>validation and state rules run before the update is committed</x:v>
      </x:c>
      <x:c r="J583" s="339" t="str">
        <x:v>Positive</x:v>
      </x:c>
      <x:c r="K583" s="339" t="str">
        <x:v>Functional</x:v>
      </x:c>
    </x:row>
    <x:row r="584">
      <x:c r="A584" s="339" t="str">
        <x:v>AC-00583</x:v>
      </x:c>
      <x:c r="B584" s="339" t="str">
        <x:v>US-0146</x:v>
      </x:c>
      <x:c r="C584" s="339" t="str">
        <x:v>SCR-073</x:v>
      </x:c>
      <x:c r="D584" s="339" t="str">
        <x:v>Parents &amp; Guardians</x:v>
      </x:c>
      <x:c r="E584" s="339" t="str">
        <x:v>Parent Profile</x:v>
      </x:c>
      <x:c r="F584" s="339" t="str">
        <x:v>Concurrent edit protection</x:v>
      </x:c>
      <x:c r="G584" s="339" t="str">
        <x:v>another user has changed the record after it was loaded</x:v>
      </x:c>
      <x:c r="H584" s="339" t="str">
        <x:v>the first user attempts to save stale data</x:v>
      </x:c>
      <x:c r="I584" s="339" t="str">
        <x:v>the system detects the version conflict or preserves fields safely instead of silently overwriting</x:v>
      </x:c>
      <x:c r="J584" s="339" t="str">
        <x:v>Positive</x:v>
      </x:c>
      <x:c r="K584" s="339" t="str">
        <x:v>Functional</x:v>
      </x:c>
    </x:row>
    <x:row r="585">
      <x:c r="A585" s="339" t="str">
        <x:v>AC-00584</x:v>
      </x:c>
      <x:c r="B585" s="339" t="str">
        <x:v>US-0146</x:v>
      </x:c>
      <x:c r="C585" s="339" t="str">
        <x:v>SCR-073</x:v>
      </x:c>
      <x:c r="D585" s="339" t="str">
        <x:v>Parents &amp; Guardians</x:v>
      </x:c>
      <x:c r="E585" s="339" t="str">
        <x:v>Parent Profile</x:v>
      </x:c>
      <x:c r="F585" s="339" t="str">
        <x:v>History retention</x:v>
      </x:c>
      <x:c r="G585" s="339" t="str">
        <x:v>the record has prior changes/statuses</x:v>
      </x:c>
      <x:c r="H585" s="339" t="str">
        <x:v>the user views history</x:v>
      </x:c>
      <x:c r="I585" s="339" t="str">
        <x:v>the audit/activity timeline shows traceable material changes without exposing restricted notes</x:v>
      </x:c>
      <x:c r="J585" s="339" t="str">
        <x:v>Positive</x:v>
      </x:c>
      <x:c r="K585" s="339" t="str">
        <x:v>Functional</x:v>
      </x:c>
    </x:row>
    <x:row r="586">
      <x:c r="A586" s="339" t="str">
        <x:v>AC-00585</x:v>
      </x:c>
      <x:c r="B586" s="339" t="str">
        <x:v>US-0147</x:v>
      </x:c>
      <x:c r="C586" s="339" t="str">
        <x:v>SCR-074</x:v>
      </x:c>
      <x:c r="D586" s="339" t="str">
        <x:v>Parents &amp; Guardians</x:v>
      </x:c>
      <x:c r="E586" s="339" t="str">
        <x:v>Link Children</x:v>
      </x:c>
      <x:c r="F586" s="339" t="str">
        <x:v>Authorized access to Link Children</x:v>
      </x:c>
      <x:c r="G586" s="339" t="str">
        <x:v>the School Admin is authenticated and has access to Link Children</x:v>
      </x:c>
      <x:c r="H586" s="339" t="str">
        <x:v>the user opens or invokes Link Children</x:v>
      </x:c>
      <x:c r="I586" s="339" t="str">
        <x:v>the system loads only records and actions within the user's permitted tenant/school/data scope</x:v>
      </x:c>
      <x:c r="J586" s="339" t="str">
        <x:v>Positive</x:v>
      </x:c>
      <x:c r="K586" s="339" t="str">
        <x:v>Functional / Security</x:v>
      </x:c>
    </x:row>
    <x:row r="587">
      <x:c r="A587" s="339" t="str">
        <x:v>AC-00586</x:v>
      </x:c>
      <x:c r="B587" s="339" t="str">
        <x:v>US-0147</x:v>
      </x:c>
      <x:c r="C587" s="339" t="str">
        <x:v>SCR-074</x:v>
      </x:c>
      <x:c r="D587" s="339" t="str">
        <x:v>Parents &amp; Guardians</x:v>
      </x:c>
      <x:c r="E587" s="339" t="str">
        <x:v>Link Children</x:v>
      </x:c>
      <x:c r="F587" s="339" t="str">
        <x:v>Successful Link Children happy path</x:v>
      </x:c>
      <x:c r="G587" s="339" t="str">
        <x:v>all mandatory prerequisites and valid data are available</x:v>
      </x:c>
      <x:c r="H587" s="339" t="str">
        <x:v>the School Admin completes the primary action on Link Children</x:v>
      </x:c>
      <x:c r="I587" s="339" t="str">
        <x:v>the system validates the request, saves it atomically, shows a clear confirmation and reflects the updated state</x:v>
      </x:c>
      <x:c r="J587" s="339" t="str">
        <x:v>Positive</x:v>
      </x:c>
      <x:c r="K587" s="339" t="str">
        <x:v>Functional</x:v>
      </x:c>
    </x:row>
    <x:row r="588">
      <x:c r="A588" s="339" t="str">
        <x:v>AC-00587</x:v>
      </x:c>
      <x:c r="B588" s="339" t="str">
        <x:v>US-0147</x:v>
      </x:c>
      <x:c r="C588" s="339" t="str">
        <x:v>SCR-074</x:v>
      </x:c>
      <x:c r="D588" s="339" t="str">
        <x:v>Parents &amp; Guardians</x:v>
      </x:c>
      <x:c r="E588" s="339" t="str">
        <x:v>Link Children</x:v>
      </x:c>
      <x:c r="F588" s="339" t="str">
        <x:v>State and dependency integrity</x:v>
      </x:c>
      <x:c r="G588" s="339" t="str">
        <x:v>the current record is in an allowed state (Invited / Unverified → Verified → Active → Suspended / Unlinked)</x:v>
      </x:c>
      <x:c r="H588" s="339" t="str">
        <x:v>the user attempts a state-changing action</x:v>
      </x:c>
      <x:c r="I588" s="339" t="str">
        <x:v>only a valid transition is accepted and dependent records are updated according to configured business rules</x:v>
      </x:c>
      <x:c r="J588" s="339" t="str">
        <x:v>Positive</x:v>
      </x:c>
      <x:c r="K588" s="339" t="str">
        <x:v>Functional</x:v>
      </x:c>
    </x:row>
    <x:row r="589">
      <x:c r="A589" s="339" t="str">
        <x:v>AC-00588</x:v>
      </x:c>
      <x:c r="B589" s="339" t="str">
        <x:v>US-0147</x:v>
      </x:c>
      <x:c r="C589" s="339" t="str">
        <x:v>SCR-074</x:v>
      </x:c>
      <x:c r="D589" s="339" t="str">
        <x:v>Parents &amp; Guardians</x:v>
      </x:c>
      <x:c r="E589" s="339" t="str">
        <x:v>Link Children</x:v>
      </x:c>
      <x:c r="F589" s="339" t="str">
        <x:v>Auditability</x:v>
      </x:c>
      <x:c r="G589" s="339" t="str">
        <x:v>a material create/update/approve/reverse action occurs</x:v>
      </x:c>
      <x:c r="H589" s="339" t="str">
        <x:v>the transaction succeeds</x:v>
      </x:c>
      <x:c r="I589" s="339" t="str">
        <x:v>the system records actor, timestamp, action, target and relevant before/after or reason context in the audit trail</x:v>
      </x:c>
      <x:c r="J589" s="339" t="str">
        <x:v>Positive</x:v>
      </x:c>
      <x:c r="K589" s="339" t="str">
        <x:v>Functional</x:v>
      </x:c>
    </x:row>
    <x:row r="590">
      <x:c r="A590" s="339" t="str">
        <x:v>AC-00589</x:v>
      </x:c>
      <x:c r="B590" s="339" t="str">
        <x:v>US-0148</x:v>
      </x:c>
      <x:c r="C590" s="339" t="str">
        <x:v>SCR-074</x:v>
      </x:c>
      <x:c r="D590" s="339" t="str">
        <x:v>Parents &amp; Guardians</x:v>
      </x:c>
      <x:c r="E590" s="339" t="str">
        <x:v>Link Children</x:v>
      </x:c>
      <x:c r="F590" s="339" t="str">
        <x:v>Valid status transition</x:v>
      </x:c>
      <x:c r="G590" s="339" t="str">
        <x:v>the record is in a state described by Invited / Unverified → Verified → Active → Suspended / Unlinked</x:v>
      </x:c>
      <x:c r="H590" s="339" t="str">
        <x:v>the user requests a transition</x:v>
      </x:c>
      <x:c r="I590" s="339" t="str">
        <x:v>the system accepts only transitions allowed for that role and state</x:v>
      </x:c>
      <x:c r="J590" s="339" t="str">
        <x:v>Positive</x:v>
      </x:c>
      <x:c r="K590" s="339" t="str">
        <x:v>Functional</x:v>
      </x:c>
    </x:row>
    <x:row r="591">
      <x:c r="A591" s="339" t="str">
        <x:v>AC-00590</x:v>
      </x:c>
      <x:c r="B591" s="339" t="str">
        <x:v>US-0148</x:v>
      </x:c>
      <x:c r="C591" s="339" t="str">
        <x:v>SCR-074</x:v>
      </x:c>
      <x:c r="D591" s="339" t="str">
        <x:v>Parents &amp; Guardians</x:v>
      </x:c>
      <x:c r="E591" s="339" t="str">
        <x:v>Link Children</x:v>
      </x:c>
      <x:c r="F591" s="339" t="str">
        <x:v>Approval authority</x:v>
      </x:c>
      <x:c r="G591" s="339" t="str">
        <x:v>an action requires approval</x:v>
      </x:c>
      <x:c r="H591" s="339" t="str">
        <x:v>a non-authorized user attempts approval/rejection</x:v>
      </x:c>
      <x:c r="I591" s="339" t="str">
        <x:v>the system denies the decision and does not change status</x:v>
      </x:c>
      <x:c r="J591" s="339" t="str">
        <x:v>Negative</x:v>
      </x:c>
      <x:c r="K591" s="339" t="str">
        <x:v>Functional</x:v>
      </x:c>
    </x:row>
    <x:row r="592">
      <x:c r="A592" s="339" t="str">
        <x:v>AC-00591</x:v>
      </x:c>
      <x:c r="B592" s="339" t="str">
        <x:v>US-0148</x:v>
      </x:c>
      <x:c r="C592" s="339" t="str">
        <x:v>SCR-074</x:v>
      </x:c>
      <x:c r="D592" s="339" t="str">
        <x:v>Parents &amp; Guardians</x:v>
      </x:c>
      <x:c r="E592" s="339" t="str">
        <x:v>Link Children</x:v>
      </x:c>
      <x:c r="F592" s="339" t="str">
        <x:v>Failure rollback</x:v>
      </x:c>
      <x:c r="G592" s="339" t="str">
        <x:v>a downstream dependency fails during a multi-step transaction</x:v>
      </x:c>
      <x:c r="H592" s="339" t="str">
        <x:v>the workflow executes</x:v>
      </x:c>
      <x:c r="I592" s="339" t="str">
        <x:v>the system does not leave an invalid partial final state and surfaces a recoverable error</x:v>
      </x:c>
      <x:c r="J592" s="339" t="str">
        <x:v>Positive</x:v>
      </x:c>
      <x:c r="K592" s="339" t="str">
        <x:v>Functional</x:v>
      </x:c>
    </x:row>
    <x:row r="593">
      <x:c r="A593" s="339" t="str">
        <x:v>AC-00592</x:v>
      </x:c>
      <x:c r="B593" s="339" t="str">
        <x:v>US-0148</x:v>
      </x:c>
      <x:c r="C593" s="339" t="str">
        <x:v>SCR-074</x:v>
      </x:c>
      <x:c r="D593" s="339" t="str">
        <x:v>Parents &amp; Guardians</x:v>
      </x:c>
      <x:c r="E593" s="339" t="str">
        <x:v>Link Children</x:v>
      </x:c>
      <x:c r="F593" s="339" t="str">
        <x:v>Exception traceability</x:v>
      </x:c>
      <x:c r="G593" s="339" t="str">
        <x:v>an authorized override/exception is used</x:v>
      </x:c>
      <x:c r="H593" s="339" t="str">
        <x:v>the action is confirmed</x:v>
      </x:c>
      <x:c r="I593" s="339" t="str">
        <x:v>the system requires reason/context and records it in the audit history</x:v>
      </x:c>
      <x:c r="J593" s="339" t="str">
        <x:v>Positive</x:v>
      </x:c>
      <x:c r="K593" s="339" t="str">
        <x:v>Functional</x:v>
      </x:c>
    </x:row>
    <x:row r="594">
      <x:c r="A594" s="339" t="str">
        <x:v>AC-00593</x:v>
      </x:c>
      <x:c r="B594" s="339" t="str">
        <x:v>US-0149</x:v>
      </x:c>
      <x:c r="C594" s="339" t="str">
        <x:v>SCR-075</x:v>
      </x:c>
      <x:c r="D594" s="339" t="str">
        <x:v>Parents &amp; Guardians</x:v>
      </x:c>
      <x:c r="E594" s="339" t="str">
        <x:v>Communication Preferences</x:v>
      </x:c>
      <x:c r="F594" s="339" t="str">
        <x:v>Authorized access to Communication Preferences</x:v>
      </x:c>
      <x:c r="G594" s="339" t="str">
        <x:v>the School Admin is authenticated and has access to Communication Preferences</x:v>
      </x:c>
      <x:c r="H594" s="339" t="str">
        <x:v>the user opens or invokes Communication Preferences</x:v>
      </x:c>
      <x:c r="I594" s="339" t="str">
        <x:v>the system loads only records and actions within the user's permitted tenant/school/data scope</x:v>
      </x:c>
      <x:c r="J594" s="339" t="str">
        <x:v>Positive</x:v>
      </x:c>
      <x:c r="K594" s="339" t="str">
        <x:v>Functional / Security</x:v>
      </x:c>
    </x:row>
    <x:row r="595">
      <x:c r="A595" s="339" t="str">
        <x:v>AC-00594</x:v>
      </x:c>
      <x:c r="B595" s="339" t="str">
        <x:v>US-0149</x:v>
      </x:c>
      <x:c r="C595" s="339" t="str">
        <x:v>SCR-075</x:v>
      </x:c>
      <x:c r="D595" s="339" t="str">
        <x:v>Parents &amp; Guardians</x:v>
      </x:c>
      <x:c r="E595" s="339" t="str">
        <x:v>Communication Preferences</x:v>
      </x:c>
      <x:c r="F595" s="339" t="str">
        <x:v>Successful Communication Preferences happy path</x:v>
      </x:c>
      <x:c r="G595" s="339" t="str">
        <x:v>all mandatory prerequisites and valid data are available</x:v>
      </x:c>
      <x:c r="H595" s="339" t="str">
        <x:v>the School Admin completes the primary action on Communication Preferences</x:v>
      </x:c>
      <x:c r="I595" s="339" t="str">
        <x:v>the system validates the request, saves it atomically, shows a clear confirmation and reflects the updated state</x:v>
      </x:c>
      <x:c r="J595" s="339" t="str">
        <x:v>Positive</x:v>
      </x:c>
      <x:c r="K595" s="339" t="str">
        <x:v>Functional</x:v>
      </x:c>
    </x:row>
    <x:row r="596">
      <x:c r="A596" s="339" t="str">
        <x:v>AC-00595</x:v>
      </x:c>
      <x:c r="B596" s="339" t="str">
        <x:v>US-0149</x:v>
      </x:c>
      <x:c r="C596" s="339" t="str">
        <x:v>SCR-075</x:v>
      </x:c>
      <x:c r="D596" s="339" t="str">
        <x:v>Parents &amp; Guardians</x:v>
      </x:c>
      <x:c r="E596" s="339" t="str">
        <x:v>Communication Preferences</x:v>
      </x:c>
      <x:c r="F596" s="339" t="str">
        <x:v>State and dependency integrity</x:v>
      </x:c>
      <x:c r="G596" s="339" t="str">
        <x:v>the current record is in an allowed state (Invited / Unverified → Verified → Active → Suspended / Unlinked)</x:v>
      </x:c>
      <x:c r="H596" s="339" t="str">
        <x:v>the user attempts a state-changing action</x:v>
      </x:c>
      <x:c r="I596" s="339" t="str">
        <x:v>only a valid transition is accepted and dependent records are updated according to configured business rules</x:v>
      </x:c>
      <x:c r="J596" s="339" t="str">
        <x:v>Positive</x:v>
      </x:c>
      <x:c r="K596" s="339" t="str">
        <x:v>Functional</x:v>
      </x:c>
    </x:row>
    <x:row r="597">
      <x:c r="A597" s="339" t="str">
        <x:v>AC-00596</x:v>
      </x:c>
      <x:c r="B597" s="339" t="str">
        <x:v>US-0149</x:v>
      </x:c>
      <x:c r="C597" s="339" t="str">
        <x:v>SCR-075</x:v>
      </x:c>
      <x:c r="D597" s="339" t="str">
        <x:v>Parents &amp; Guardians</x:v>
      </x:c>
      <x:c r="E597" s="339" t="str">
        <x:v>Communication Preferences</x:v>
      </x:c>
      <x:c r="F597" s="339" t="str">
        <x:v>Auditability</x:v>
      </x:c>
      <x:c r="G597" s="339" t="str">
        <x:v>a material create/update/approve/reverse action occurs</x:v>
      </x:c>
      <x:c r="H597" s="339" t="str">
        <x:v>the transaction succeeds</x:v>
      </x:c>
      <x:c r="I597" s="339" t="str">
        <x:v>the system records actor, timestamp, action, target and relevant before/after or reason context in the audit trail</x:v>
      </x:c>
      <x:c r="J597" s="339" t="str">
        <x:v>Positive</x:v>
      </x:c>
      <x:c r="K597" s="339" t="str">
        <x:v>Functional</x:v>
      </x:c>
    </x:row>
    <x:row r="598">
      <x:c r="A598" s="339" t="str">
        <x:v>AC-00597</x:v>
      </x:c>
      <x:c r="B598" s="339" t="str">
        <x:v>US-0150</x:v>
      </x:c>
      <x:c r="C598" s="339" t="str">
        <x:v>SCR-075</x:v>
      </x:c>
      <x:c r="D598" s="339" t="str">
        <x:v>Parents &amp; Guardians</x:v>
      </x:c>
      <x:c r="E598" s="339" t="str">
        <x:v>Communication Preferences</x:v>
      </x:c>
      <x:c r="F598" s="339" t="str">
        <x:v>Dependency-safe change</x:v>
      </x:c>
      <x:c r="G598" s="339" t="str">
        <x:v>the configuration is referenced by existing transactions</x:v>
      </x:c>
      <x:c r="H598" s="339" t="str">
        <x:v>the user edits or deactivates it</x:v>
      </x:c>
      <x:c r="I598" s="339" t="str">
        <x:v>the system prevents destructive changes and uses effective dating/inactivation/versioning as required</x:v>
      </x:c>
      <x:c r="J598" s="339" t="str">
        <x:v>Positive</x:v>
      </x:c>
      <x:c r="K598" s="339" t="str">
        <x:v>Functional</x:v>
      </x:c>
    </x:row>
    <x:row r="599">
      <x:c r="A599" s="339" t="str">
        <x:v>AC-00598</x:v>
      </x:c>
      <x:c r="B599" s="339" t="str">
        <x:v>US-0150</x:v>
      </x:c>
      <x:c r="C599" s="339" t="str">
        <x:v>SCR-075</x:v>
      </x:c>
      <x:c r="D599" s="339" t="str">
        <x:v>Parents &amp; Guardians</x:v>
      </x:c>
      <x:c r="E599" s="339" t="str">
        <x:v>Communication Preferences</x:v>
      </x:c>
      <x:c r="F599" s="339" t="str">
        <x:v>No overlapping configuration</x:v>
      </x:c>
      <x:c r="G599" s="339" t="str">
        <x:v>an active configuration already covers the same scope/date</x:v>
      </x:c>
      <x:c r="H599" s="339" t="str">
        <x:v>the user creates another conflicting configuration</x:v>
      </x:c>
      <x:c r="I599" s="339" t="str">
        <x:v>the system blocks the overlap or requires an authorized explicit resolution</x:v>
      </x:c>
      <x:c r="J599" s="339" t="str">
        <x:v>Negative</x:v>
      </x:c>
      <x:c r="K599" s="339" t="str">
        <x:v>Functional</x:v>
      </x:c>
    </x:row>
    <x:row r="600">
      <x:c r="A600" s="339" t="str">
        <x:v>AC-00599</x:v>
      </x:c>
      <x:c r="B600" s="339" t="str">
        <x:v>US-0150</x:v>
      </x:c>
      <x:c r="C600" s="339" t="str">
        <x:v>SCR-075</x:v>
      </x:c>
      <x:c r="D600" s="339" t="str">
        <x:v>Parents &amp; Guardians</x:v>
      </x:c>
      <x:c r="E600" s="339" t="str">
        <x:v>Communication Preferences</x:v>
      </x:c>
      <x:c r="F600" s="339" t="str">
        <x:v>Permission control</x:v>
      </x:c>
      <x:c r="G600" s="339" t="str">
        <x:v>a user lacks configuration permission</x:v>
      </x:c>
      <x:c r="H600" s="339" t="str">
        <x:v>the user attempts to change settings</x:v>
      </x:c>
      <x:c r="I600" s="339" t="str">
        <x:v>the system denies the update server-side and records the denied/high-risk event when required</x:v>
      </x:c>
      <x:c r="J600" s="339" t="str">
        <x:v>Negative</x:v>
      </x:c>
      <x:c r="K600" s="339" t="str">
        <x:v>Functional / Security</x:v>
      </x:c>
    </x:row>
    <x:row r="601">
      <x:c r="A601" s="339" t="str">
        <x:v>AC-00600</x:v>
      </x:c>
      <x:c r="B601" s="339" t="str">
        <x:v>US-0150</x:v>
      </x:c>
      <x:c r="C601" s="339" t="str">
        <x:v>SCR-075</x:v>
      </x:c>
      <x:c r="D601" s="339" t="str">
        <x:v>Parents &amp; Guardians</x:v>
      </x:c>
      <x:c r="E601" s="339" t="str">
        <x:v>Communication Preferences</x:v>
      </x:c>
      <x:c r="F601" s="339" t="str">
        <x:v>Effective-time behavior</x:v>
      </x:c>
      <x:c r="G601" s="339" t="str">
        <x:v>a configuration change has a future effective date</x:v>
      </x:c>
      <x:c r="H601" s="339" t="str">
        <x:v>the change is saved</x:v>
      </x:c>
      <x:c r="I601" s="339" t="str">
        <x:v>existing transactions use the current version until the effective time and new behavior starts predictably</x:v>
      </x:c>
      <x:c r="J601" s="339" t="str">
        <x:v>Positive</x:v>
      </x:c>
      <x:c r="K601" s="339" t="str">
        <x:v>Functional</x:v>
      </x:c>
    </x:row>
    <x:row r="602">
      <x:c r="A602" s="339" t="str">
        <x:v>AC-00601</x:v>
      </x:c>
      <x:c r="B602" s="339" t="str">
        <x:v>US-0151</x:v>
      </x:c>
      <x:c r="C602" s="339" t="str">
        <x:v>SCR-076</x:v>
      </x:c>
      <x:c r="D602" s="339" t="str">
        <x:v>Parents &amp; Guardians</x:v>
      </x:c>
      <x:c r="E602" s="339" t="str">
        <x:v>Parent Login Access</x:v>
      </x:c>
      <x:c r="F602" s="339" t="str">
        <x:v>Authorized access to Parent Login Access</x:v>
      </x:c>
      <x:c r="G602" s="339" t="str">
        <x:v>the School Admin is authenticated and has access to Parent Login Access</x:v>
      </x:c>
      <x:c r="H602" s="339" t="str">
        <x:v>the user opens or invokes Parent Login Access</x:v>
      </x:c>
      <x:c r="I602" s="339" t="str">
        <x:v>the system loads only records and actions within the user's permitted tenant/school/data scope</x:v>
      </x:c>
      <x:c r="J602" s="339" t="str">
        <x:v>Positive</x:v>
      </x:c>
      <x:c r="K602" s="339" t="str">
        <x:v>Functional / Security</x:v>
      </x:c>
    </x:row>
    <x:row r="603">
      <x:c r="A603" s="339" t="str">
        <x:v>AC-00602</x:v>
      </x:c>
      <x:c r="B603" s="339" t="str">
        <x:v>US-0151</x:v>
      </x:c>
      <x:c r="C603" s="339" t="str">
        <x:v>SCR-076</x:v>
      </x:c>
      <x:c r="D603" s="339" t="str">
        <x:v>Parents &amp; Guardians</x:v>
      </x:c>
      <x:c r="E603" s="339" t="str">
        <x:v>Parent Login Access</x:v>
      </x:c>
      <x:c r="F603" s="339" t="str">
        <x:v>Successful Parent Login Access happy path</x:v>
      </x:c>
      <x:c r="G603" s="339" t="str">
        <x:v>all mandatory prerequisites and valid data are available</x:v>
      </x:c>
      <x:c r="H603" s="339" t="str">
        <x:v>the School Admin completes the primary action on Parent Login Access</x:v>
      </x:c>
      <x:c r="I603" s="339" t="str">
        <x:v>the system validates the request, saves it atomically, shows a clear confirmation and reflects the updated state</x:v>
      </x:c>
      <x:c r="J603" s="339" t="str">
        <x:v>Positive</x:v>
      </x:c>
      <x:c r="K603" s="339" t="str">
        <x:v>Functional</x:v>
      </x:c>
    </x:row>
    <x:row r="604">
      <x:c r="A604" s="339" t="str">
        <x:v>AC-00603</x:v>
      </x:c>
      <x:c r="B604" s="339" t="str">
        <x:v>US-0151</x:v>
      </x:c>
      <x:c r="C604" s="339" t="str">
        <x:v>SCR-076</x:v>
      </x:c>
      <x:c r="D604" s="339" t="str">
        <x:v>Parents &amp; Guardians</x:v>
      </x:c>
      <x:c r="E604" s="339" t="str">
        <x:v>Parent Login Access</x:v>
      </x:c>
      <x:c r="F604" s="339" t="str">
        <x:v>State and dependency integrity</x:v>
      </x:c>
      <x:c r="G604" s="339" t="str">
        <x:v>the current record is in an allowed state (Invited / Unverified → Verified → Active → Suspended / Unlinked)</x:v>
      </x:c>
      <x:c r="H604" s="339" t="str">
        <x:v>the user attempts a state-changing action</x:v>
      </x:c>
      <x:c r="I604" s="339" t="str">
        <x:v>only a valid transition is accepted and dependent records are updated according to configured business rules</x:v>
      </x:c>
      <x:c r="J604" s="339" t="str">
        <x:v>Positive</x:v>
      </x:c>
      <x:c r="K604" s="339" t="str">
        <x:v>Functional</x:v>
      </x:c>
    </x:row>
    <x:row r="605">
      <x:c r="A605" s="339" t="str">
        <x:v>AC-00604</x:v>
      </x:c>
      <x:c r="B605" s="339" t="str">
        <x:v>US-0151</x:v>
      </x:c>
      <x:c r="C605" s="339" t="str">
        <x:v>SCR-076</x:v>
      </x:c>
      <x:c r="D605" s="339" t="str">
        <x:v>Parents &amp; Guardians</x:v>
      </x:c>
      <x:c r="E605" s="339" t="str">
        <x:v>Parent Login Access</x:v>
      </x:c>
      <x:c r="F605" s="339" t="str">
        <x:v>Auditability</x:v>
      </x:c>
      <x:c r="G605" s="339" t="str">
        <x:v>a material create/update/approve/reverse action occurs</x:v>
      </x:c>
      <x:c r="H605" s="339" t="str">
        <x:v>the transaction succeeds</x:v>
      </x:c>
      <x:c r="I605" s="339" t="str">
        <x:v>the system records actor, timestamp, action, target and relevant before/after or reason context in the audit trail</x:v>
      </x:c>
      <x:c r="J605" s="339" t="str">
        <x:v>Positive</x:v>
      </x:c>
      <x:c r="K605" s="339" t="str">
        <x:v>Functional</x:v>
      </x:c>
    </x:row>
    <x:row r="606">
      <x:c r="A606" s="339" t="str">
        <x:v>AC-00605</x:v>
      </x:c>
      <x:c r="B606" s="339" t="str">
        <x:v>US-0152</x:v>
      </x:c>
      <x:c r="C606" s="339" t="str">
        <x:v>SCR-076</x:v>
      </x:c>
      <x:c r="D606" s="339" t="str">
        <x:v>Parents &amp; Guardians</x:v>
      </x:c>
      <x:c r="E606" s="339" t="str">
        <x:v>Parent Login Access</x:v>
      </x:c>
      <x:c r="F606" s="339" t="str">
        <x:v>Valid status transition</x:v>
      </x:c>
      <x:c r="G606" s="339" t="str">
        <x:v>the record is in a state described by Invited / Unverified → Verified → Active → Suspended / Unlinked</x:v>
      </x:c>
      <x:c r="H606" s="339" t="str">
        <x:v>the user requests a transition</x:v>
      </x:c>
      <x:c r="I606" s="339" t="str">
        <x:v>the system accepts only transitions allowed for that role and state</x:v>
      </x:c>
      <x:c r="J606" s="339" t="str">
        <x:v>Positive</x:v>
      </x:c>
      <x:c r="K606" s="339" t="str">
        <x:v>Functional</x:v>
      </x:c>
    </x:row>
    <x:row r="607">
      <x:c r="A607" s="339" t="str">
        <x:v>AC-00606</x:v>
      </x:c>
      <x:c r="B607" s="339" t="str">
        <x:v>US-0152</x:v>
      </x:c>
      <x:c r="C607" s="339" t="str">
        <x:v>SCR-076</x:v>
      </x:c>
      <x:c r="D607" s="339" t="str">
        <x:v>Parents &amp; Guardians</x:v>
      </x:c>
      <x:c r="E607" s="339" t="str">
        <x:v>Parent Login Access</x:v>
      </x:c>
      <x:c r="F607" s="339" t="str">
        <x:v>Approval authority</x:v>
      </x:c>
      <x:c r="G607" s="339" t="str">
        <x:v>an action requires approval</x:v>
      </x:c>
      <x:c r="H607" s="339" t="str">
        <x:v>a non-authorized user attempts approval/rejection</x:v>
      </x:c>
      <x:c r="I607" s="339" t="str">
        <x:v>the system denies the decision and does not change status</x:v>
      </x:c>
      <x:c r="J607" s="339" t="str">
        <x:v>Negative</x:v>
      </x:c>
      <x:c r="K607" s="339" t="str">
        <x:v>Functional</x:v>
      </x:c>
    </x:row>
    <x:row r="608">
      <x:c r="A608" s="339" t="str">
        <x:v>AC-00607</x:v>
      </x:c>
      <x:c r="B608" s="339" t="str">
        <x:v>US-0152</x:v>
      </x:c>
      <x:c r="C608" s="339" t="str">
        <x:v>SCR-076</x:v>
      </x:c>
      <x:c r="D608" s="339" t="str">
        <x:v>Parents &amp; Guardians</x:v>
      </x:c>
      <x:c r="E608" s="339" t="str">
        <x:v>Parent Login Access</x:v>
      </x:c>
      <x:c r="F608" s="339" t="str">
        <x:v>Failure rollback</x:v>
      </x:c>
      <x:c r="G608" s="339" t="str">
        <x:v>a downstream dependency fails during a multi-step transaction</x:v>
      </x:c>
      <x:c r="H608" s="339" t="str">
        <x:v>the workflow executes</x:v>
      </x:c>
      <x:c r="I608" s="339" t="str">
        <x:v>the system does not leave an invalid partial final state and surfaces a recoverable error</x:v>
      </x:c>
      <x:c r="J608" s="339" t="str">
        <x:v>Positive</x:v>
      </x:c>
      <x:c r="K608" s="339" t="str">
        <x:v>Functional</x:v>
      </x:c>
    </x:row>
    <x:row r="609">
      <x:c r="A609" s="339" t="str">
        <x:v>AC-00608</x:v>
      </x:c>
      <x:c r="B609" s="339" t="str">
        <x:v>US-0152</x:v>
      </x:c>
      <x:c r="C609" s="339" t="str">
        <x:v>SCR-076</x:v>
      </x:c>
      <x:c r="D609" s="339" t="str">
        <x:v>Parents &amp; Guardians</x:v>
      </x:c>
      <x:c r="E609" s="339" t="str">
        <x:v>Parent Login Access</x:v>
      </x:c>
      <x:c r="F609" s="339" t="str">
        <x:v>Exception traceability</x:v>
      </x:c>
      <x:c r="G609" s="339" t="str">
        <x:v>an authorized override/exception is used</x:v>
      </x:c>
      <x:c r="H609" s="339" t="str">
        <x:v>the action is confirmed</x:v>
      </x:c>
      <x:c r="I609" s="339" t="str">
        <x:v>the system requires reason/context and records it in the audit history</x:v>
      </x:c>
      <x:c r="J609" s="339" t="str">
        <x:v>Positive</x:v>
      </x:c>
      <x:c r="K609" s="339" t="str">
        <x:v>Functional</x:v>
      </x:c>
    </x:row>
    <x:row r="610">
      <x:c r="A610" s="339" t="str">
        <x:v>AC-00609</x:v>
      </x:c>
      <x:c r="B610" s="339" t="str">
        <x:v>US-0153</x:v>
      </x:c>
      <x:c r="C610" s="339" t="str">
        <x:v>SCR-077</x:v>
      </x:c>
      <x:c r="D610" s="339" t="str">
        <x:v>Parents &amp; Guardians</x:v>
      </x:c>
      <x:c r="E610" s="339" t="str">
        <x:v>Parent-Teacher Interactions</x:v>
      </x:c>
      <x:c r="F610" s="339" t="str">
        <x:v>Authorized access to Parent-Teacher Interactions</x:v>
      </x:c>
      <x:c r="G610" s="339" t="str">
        <x:v>the School Admin is authenticated and has access to Parent-Teacher Interactions</x:v>
      </x:c>
      <x:c r="H610" s="339" t="str">
        <x:v>the user opens or invokes Parent-Teacher Interactions</x:v>
      </x:c>
      <x:c r="I610" s="339" t="str">
        <x:v>the system loads only records and actions within the user's permitted tenant/school/data scope</x:v>
      </x:c>
      <x:c r="J610" s="339" t="str">
        <x:v>Positive</x:v>
      </x:c>
      <x:c r="K610" s="339" t="str">
        <x:v>Functional / Security</x:v>
      </x:c>
    </x:row>
    <x:row r="611">
      <x:c r="A611" s="339" t="str">
        <x:v>AC-00610</x:v>
      </x:c>
      <x:c r="B611" s="339" t="str">
        <x:v>US-0153</x:v>
      </x:c>
      <x:c r="C611" s="339" t="str">
        <x:v>SCR-077</x:v>
      </x:c>
      <x:c r="D611" s="339" t="str">
        <x:v>Parents &amp; Guardians</x:v>
      </x:c>
      <x:c r="E611" s="339" t="str">
        <x:v>Parent-Teacher Interactions</x:v>
      </x:c>
      <x:c r="F611" s="339" t="str">
        <x:v>Successful Parent-Teacher Interactions happy path</x:v>
      </x:c>
      <x:c r="G611" s="339" t="str">
        <x:v>all mandatory prerequisites and valid data are available</x:v>
      </x:c>
      <x:c r="H611" s="339" t="str">
        <x:v>the School Admin completes the primary action on Parent-Teacher Interactions</x:v>
      </x:c>
      <x:c r="I611" s="339" t="str">
        <x:v>the system validates the request, saves it atomically, shows a clear confirmation and reflects the updated state</x:v>
      </x:c>
      <x:c r="J611" s="339" t="str">
        <x:v>Positive</x:v>
      </x:c>
      <x:c r="K611" s="339" t="str">
        <x:v>Functional</x:v>
      </x:c>
    </x:row>
    <x:row r="612">
      <x:c r="A612" s="339" t="str">
        <x:v>AC-00611</x:v>
      </x:c>
      <x:c r="B612" s="339" t="str">
        <x:v>US-0153</x:v>
      </x:c>
      <x:c r="C612" s="339" t="str">
        <x:v>SCR-077</x:v>
      </x:c>
      <x:c r="D612" s="339" t="str">
        <x:v>Parents &amp; Guardians</x:v>
      </x:c>
      <x:c r="E612" s="339" t="str">
        <x:v>Parent-Teacher Interactions</x:v>
      </x:c>
      <x:c r="F612" s="339" t="str">
        <x:v>State and dependency integrity</x:v>
      </x:c>
      <x:c r="G612" s="339" t="str">
        <x:v>the current record is in an allowed state (Invited / Unverified → Verified → Active → Suspended / Unlinked)</x:v>
      </x:c>
      <x:c r="H612" s="339" t="str">
        <x:v>the user attempts a state-changing action</x:v>
      </x:c>
      <x:c r="I612" s="339" t="str">
        <x:v>only a valid transition is accepted and dependent records are updated according to configured business rules</x:v>
      </x:c>
      <x:c r="J612" s="339" t="str">
        <x:v>Positive</x:v>
      </x:c>
      <x:c r="K612" s="339" t="str">
        <x:v>Functional</x:v>
      </x:c>
    </x:row>
    <x:row r="613">
      <x:c r="A613" s="339" t="str">
        <x:v>AC-00612</x:v>
      </x:c>
      <x:c r="B613" s="339" t="str">
        <x:v>US-0153</x:v>
      </x:c>
      <x:c r="C613" s="339" t="str">
        <x:v>SCR-077</x:v>
      </x:c>
      <x:c r="D613" s="339" t="str">
        <x:v>Parents &amp; Guardians</x:v>
      </x:c>
      <x:c r="E613" s="339" t="str">
        <x:v>Parent-Teacher Interactions</x:v>
      </x:c>
      <x:c r="F613" s="339" t="str">
        <x:v>Auditability</x:v>
      </x:c>
      <x:c r="G613" s="339" t="str">
        <x:v>a material create/update/approve/reverse action occurs</x:v>
      </x:c>
      <x:c r="H613" s="339" t="str">
        <x:v>the transaction succeeds</x:v>
      </x:c>
      <x:c r="I613" s="339" t="str">
        <x:v>the system records actor, timestamp, action, target and relevant before/after or reason context in the audit trail</x:v>
      </x:c>
      <x:c r="J613" s="339" t="str">
        <x:v>Positive</x:v>
      </x:c>
      <x:c r="K613" s="339" t="str">
        <x:v>Functional</x:v>
      </x:c>
    </x:row>
    <x:row r="614">
      <x:c r="A614" s="339" t="str">
        <x:v>AC-00613</x:v>
      </x:c>
      <x:c r="B614" s="339" t="str">
        <x:v>US-0154</x:v>
      </x:c>
      <x:c r="C614" s="339" t="str">
        <x:v>SCR-077</x:v>
      </x:c>
      <x:c r="D614" s="339" t="str">
        <x:v>Parents &amp; Guardians</x:v>
      </x:c>
      <x:c r="E614" s="339" t="str">
        <x:v>Parent-Teacher Interactions</x:v>
      </x:c>
      <x:c r="F614" s="339" t="str">
        <x:v>Valid status transition</x:v>
      </x:c>
      <x:c r="G614" s="339" t="str">
        <x:v>the record is in a state described by Invited / Unverified → Verified → Active → Suspended / Unlinked</x:v>
      </x:c>
      <x:c r="H614" s="339" t="str">
        <x:v>the user requests a transition</x:v>
      </x:c>
      <x:c r="I614" s="339" t="str">
        <x:v>the system accepts only transitions allowed for that role and state</x:v>
      </x:c>
      <x:c r="J614" s="339" t="str">
        <x:v>Positive</x:v>
      </x:c>
      <x:c r="K614" s="339" t="str">
        <x:v>Functional</x:v>
      </x:c>
    </x:row>
    <x:row r="615">
      <x:c r="A615" s="339" t="str">
        <x:v>AC-00614</x:v>
      </x:c>
      <x:c r="B615" s="339" t="str">
        <x:v>US-0154</x:v>
      </x:c>
      <x:c r="C615" s="339" t="str">
        <x:v>SCR-077</x:v>
      </x:c>
      <x:c r="D615" s="339" t="str">
        <x:v>Parents &amp; Guardians</x:v>
      </x:c>
      <x:c r="E615" s="339" t="str">
        <x:v>Parent-Teacher Interactions</x:v>
      </x:c>
      <x:c r="F615" s="339" t="str">
        <x:v>Approval authority</x:v>
      </x:c>
      <x:c r="G615" s="339" t="str">
        <x:v>an action requires approval</x:v>
      </x:c>
      <x:c r="H615" s="339" t="str">
        <x:v>a non-authorized user attempts approval/rejection</x:v>
      </x:c>
      <x:c r="I615" s="339" t="str">
        <x:v>the system denies the decision and does not change status</x:v>
      </x:c>
      <x:c r="J615" s="339" t="str">
        <x:v>Negative</x:v>
      </x:c>
      <x:c r="K615" s="339" t="str">
        <x:v>Functional</x:v>
      </x:c>
    </x:row>
    <x:row r="616">
      <x:c r="A616" s="339" t="str">
        <x:v>AC-00615</x:v>
      </x:c>
      <x:c r="B616" s="339" t="str">
        <x:v>US-0154</x:v>
      </x:c>
      <x:c r="C616" s="339" t="str">
        <x:v>SCR-077</x:v>
      </x:c>
      <x:c r="D616" s="339" t="str">
        <x:v>Parents &amp; Guardians</x:v>
      </x:c>
      <x:c r="E616" s="339" t="str">
        <x:v>Parent-Teacher Interactions</x:v>
      </x:c>
      <x:c r="F616" s="339" t="str">
        <x:v>Failure rollback</x:v>
      </x:c>
      <x:c r="G616" s="339" t="str">
        <x:v>a downstream dependency fails during a multi-step transaction</x:v>
      </x:c>
      <x:c r="H616" s="339" t="str">
        <x:v>the workflow executes</x:v>
      </x:c>
      <x:c r="I616" s="339" t="str">
        <x:v>the system does not leave an invalid partial final state and surfaces a recoverable error</x:v>
      </x:c>
      <x:c r="J616" s="339" t="str">
        <x:v>Positive</x:v>
      </x:c>
      <x:c r="K616" s="339" t="str">
        <x:v>Functional</x:v>
      </x:c>
    </x:row>
    <x:row r="617">
      <x:c r="A617" s="339" t="str">
        <x:v>AC-00616</x:v>
      </x:c>
      <x:c r="B617" s="339" t="str">
        <x:v>US-0154</x:v>
      </x:c>
      <x:c r="C617" s="339" t="str">
        <x:v>SCR-077</x:v>
      </x:c>
      <x:c r="D617" s="339" t="str">
        <x:v>Parents &amp; Guardians</x:v>
      </x:c>
      <x:c r="E617" s="339" t="str">
        <x:v>Parent-Teacher Interactions</x:v>
      </x:c>
      <x:c r="F617" s="339" t="str">
        <x:v>Exception traceability</x:v>
      </x:c>
      <x:c r="G617" s="339" t="str">
        <x:v>an authorized override/exception is used</x:v>
      </x:c>
      <x:c r="H617" s="339" t="str">
        <x:v>the action is confirmed</x:v>
      </x:c>
      <x:c r="I617" s="339" t="str">
        <x:v>the system requires reason/context and records it in the audit history</x:v>
      </x:c>
      <x:c r="J617" s="339" t="str">
        <x:v>Positive</x:v>
      </x:c>
      <x:c r="K617" s="339" t="str">
        <x:v>Functional</x:v>
      </x:c>
    </x:row>
    <x:row r="618">
      <x:c r="A618" s="339" t="str">
        <x:v>AC-00617</x:v>
      </x:c>
      <x:c r="B618" s="339" t="str">
        <x:v>US-0155</x:v>
      </x:c>
      <x:c r="C618" s="339" t="str">
        <x:v>SCR-078</x:v>
      </x:c>
      <x:c r="D618" s="339" t="str">
        <x:v>Parents &amp; Guardians</x:v>
      </x:c>
      <x:c r="E618" s="339" t="str">
        <x:v>Parent Payments &amp; Receipts</x:v>
      </x:c>
      <x:c r="F618" s="339" t="str">
        <x:v>Authorized access to Parent Payments &amp; Receipts</x:v>
      </x:c>
      <x:c r="G618" s="339" t="str">
        <x:v>the School Admin is authenticated and has access to Parent Payments &amp; Receipts</x:v>
      </x:c>
      <x:c r="H618" s="339" t="str">
        <x:v>the user opens or invokes Parent Payments &amp; Receipts</x:v>
      </x:c>
      <x:c r="I618" s="339" t="str">
        <x:v>the system loads only records and actions within the user's permitted tenant/school/data scope</x:v>
      </x:c>
      <x:c r="J618" s="339" t="str">
        <x:v>Positive</x:v>
      </x:c>
      <x:c r="K618" s="339" t="str">
        <x:v>Functional / Security</x:v>
      </x:c>
    </x:row>
    <x:row r="619">
      <x:c r="A619" s="339" t="str">
        <x:v>AC-00618</x:v>
      </x:c>
      <x:c r="B619" s="339" t="str">
        <x:v>US-0155</x:v>
      </x:c>
      <x:c r="C619" s="339" t="str">
        <x:v>SCR-078</x:v>
      </x:c>
      <x:c r="D619" s="339" t="str">
        <x:v>Parents &amp; Guardians</x:v>
      </x:c>
      <x:c r="E619" s="339" t="str">
        <x:v>Parent Payments &amp; Receipts</x:v>
      </x:c>
      <x:c r="F619" s="339" t="str">
        <x:v>Successful Parent Payments &amp; Receipts happy path</x:v>
      </x:c>
      <x:c r="G619" s="339" t="str">
        <x:v>all mandatory prerequisites and valid data are available</x:v>
      </x:c>
      <x:c r="H619" s="339" t="str">
        <x:v>the School Admin completes the primary action on Parent Payments &amp; Receipts</x:v>
      </x:c>
      <x:c r="I619" s="339" t="str">
        <x:v>the system validates the request, saves it atomically, shows a clear confirmation and reflects the updated state</x:v>
      </x:c>
      <x:c r="J619" s="339" t="str">
        <x:v>Positive</x:v>
      </x:c>
      <x:c r="K619" s="339" t="str">
        <x:v>Functional</x:v>
      </x:c>
    </x:row>
    <x:row r="620">
      <x:c r="A620" s="339" t="str">
        <x:v>AC-00619</x:v>
      </x:c>
      <x:c r="B620" s="339" t="str">
        <x:v>US-0155</x:v>
      </x:c>
      <x:c r="C620" s="339" t="str">
        <x:v>SCR-078</x:v>
      </x:c>
      <x:c r="D620" s="339" t="str">
        <x:v>Parents &amp; Guardians</x:v>
      </x:c>
      <x:c r="E620" s="339" t="str">
        <x:v>Parent Payments &amp; Receipts</x:v>
      </x:c>
      <x:c r="F620" s="339" t="str">
        <x:v>State and dependency integrity</x:v>
      </x:c>
      <x:c r="G620" s="339" t="str">
        <x:v>the current record is in an allowed state (Invited / Unverified → Verified → Active → Suspended / Unlinked)</x:v>
      </x:c>
      <x:c r="H620" s="339" t="str">
        <x:v>the user attempts a state-changing action</x:v>
      </x:c>
      <x:c r="I620" s="339" t="str">
        <x:v>only a valid transition is accepted and dependent records are updated according to configured business rules</x:v>
      </x:c>
      <x:c r="J620" s="339" t="str">
        <x:v>Positive</x:v>
      </x:c>
      <x:c r="K620" s="339" t="str">
        <x:v>Functional</x:v>
      </x:c>
    </x:row>
    <x:row r="621">
      <x:c r="A621" s="339" t="str">
        <x:v>AC-00620</x:v>
      </x:c>
      <x:c r="B621" s="339" t="str">
        <x:v>US-0155</x:v>
      </x:c>
      <x:c r="C621" s="339" t="str">
        <x:v>SCR-078</x:v>
      </x:c>
      <x:c r="D621" s="339" t="str">
        <x:v>Parents &amp; Guardians</x:v>
      </x:c>
      <x:c r="E621" s="339" t="str">
        <x:v>Parent Payments &amp; Receipts</x:v>
      </x:c>
      <x:c r="F621" s="339" t="str">
        <x:v>Auditability</x:v>
      </x:c>
      <x:c r="G621" s="339" t="str">
        <x:v>a material create/update/approve/reverse action occurs</x:v>
      </x:c>
      <x:c r="H621" s="339" t="str">
        <x:v>the transaction succeeds</x:v>
      </x:c>
      <x:c r="I621" s="339" t="str">
        <x:v>the system records actor, timestamp, action, target and relevant before/after or reason context in the audit trail</x:v>
      </x:c>
      <x:c r="J621" s="339" t="str">
        <x:v>Positive</x:v>
      </x:c>
      <x:c r="K621" s="339" t="str">
        <x:v>Functional</x:v>
      </x:c>
    </x:row>
    <x:row r="622">
      <x:c r="A622" s="339" t="str">
        <x:v>AC-00621</x:v>
      </x:c>
      <x:c r="B622" s="339" t="str">
        <x:v>US-0156</x:v>
      </x:c>
      <x:c r="C622" s="339" t="str">
        <x:v>SCR-078</x:v>
      </x:c>
      <x:c r="D622" s="339" t="str">
        <x:v>Parents &amp; Guardians</x:v>
      </x:c>
      <x:c r="E622" s="339" t="str">
        <x:v>Parent Payments &amp; Receipts</x:v>
      </x:c>
      <x:c r="F622" s="339" t="str">
        <x:v>Complete authorized view</x:v>
      </x:c>
      <x:c r="G622" s="339" t="str">
        <x:v>the record exists and the user is authorized</x:v>
      </x:c>
      <x:c r="H622" s="339" t="str">
        <x:v>the detail/profile opens</x:v>
      </x:c>
      <x:c r="I622" s="339" t="str">
        <x:v>the system loads the required summary, relationships and history while masking restricted fields</x:v>
      </x:c>
      <x:c r="J622" s="339" t="str">
        <x:v>Positive</x:v>
      </x:c>
      <x:c r="K622" s="339" t="str">
        <x:v>Functional / Security</x:v>
      </x:c>
    </x:row>
    <x:row r="623">
      <x:c r="A623" s="339" t="str">
        <x:v>AC-00622</x:v>
      </x:c>
      <x:c r="B623" s="339" t="str">
        <x:v>US-0156</x:v>
      </x:c>
      <x:c r="C623" s="339" t="str">
        <x:v>SCR-078</x:v>
      </x:c>
      <x:c r="D623" s="339" t="str">
        <x:v>Parents &amp; Guardians</x:v>
      </x:c>
      <x:c r="E623" s="339" t="str">
        <x:v>Parent Payments &amp; Receipts</x:v>
      </x:c>
      <x:c r="F623" s="339" t="str">
        <x:v>Controlled edit</x:v>
      </x:c>
      <x:c r="G623" s="339" t="str">
        <x:v>the user has edit permission and the record is editable</x:v>
      </x:c>
      <x:c r="H623" s="339" t="str">
        <x:v>the user saves a change</x:v>
      </x:c>
      <x:c r="I623" s="339" t="str">
        <x:v>validation and state rules run before the update is committed</x:v>
      </x:c>
      <x:c r="J623" s="339" t="str">
        <x:v>Positive</x:v>
      </x:c>
      <x:c r="K623" s="339" t="str">
        <x:v>Functional</x:v>
      </x:c>
    </x:row>
    <x:row r="624">
      <x:c r="A624" s="339" t="str">
        <x:v>AC-00623</x:v>
      </x:c>
      <x:c r="B624" s="339" t="str">
        <x:v>US-0156</x:v>
      </x:c>
      <x:c r="C624" s="339" t="str">
        <x:v>SCR-078</x:v>
      </x:c>
      <x:c r="D624" s="339" t="str">
        <x:v>Parents &amp; Guardians</x:v>
      </x:c>
      <x:c r="E624" s="339" t="str">
        <x:v>Parent Payments &amp; Receipts</x:v>
      </x:c>
      <x:c r="F624" s="339" t="str">
        <x:v>Concurrent edit protection</x:v>
      </x:c>
      <x:c r="G624" s="339" t="str">
        <x:v>another user has changed the record after it was loaded</x:v>
      </x:c>
      <x:c r="H624" s="339" t="str">
        <x:v>the first user attempts to save stale data</x:v>
      </x:c>
      <x:c r="I624" s="339" t="str">
        <x:v>the system detects the version conflict or preserves fields safely instead of silently overwriting</x:v>
      </x:c>
      <x:c r="J624" s="339" t="str">
        <x:v>Positive</x:v>
      </x:c>
      <x:c r="K624" s="339" t="str">
        <x:v>Functional</x:v>
      </x:c>
    </x:row>
    <x:row r="625">
      <x:c r="A625" s="339" t="str">
        <x:v>AC-00624</x:v>
      </x:c>
      <x:c r="B625" s="339" t="str">
        <x:v>US-0156</x:v>
      </x:c>
      <x:c r="C625" s="339" t="str">
        <x:v>SCR-078</x:v>
      </x:c>
      <x:c r="D625" s="339" t="str">
        <x:v>Parents &amp; Guardians</x:v>
      </x:c>
      <x:c r="E625" s="339" t="str">
        <x:v>Parent Payments &amp; Receipts</x:v>
      </x:c>
      <x:c r="F625" s="339" t="str">
        <x:v>History retention</x:v>
      </x:c>
      <x:c r="G625" s="339" t="str">
        <x:v>the record has prior changes/statuses</x:v>
      </x:c>
      <x:c r="H625" s="339" t="str">
        <x:v>the user views history</x:v>
      </x:c>
      <x:c r="I625" s="339" t="str">
        <x:v>the audit/activity timeline shows traceable material changes without exposing restricted notes</x:v>
      </x:c>
      <x:c r="J625" s="339" t="str">
        <x:v>Positive</x:v>
      </x:c>
      <x:c r="K625" s="339" t="str">
        <x:v>Functional</x:v>
      </x:c>
    </x:row>
    <x:row r="626">
      <x:c r="A626" s="339" t="str">
        <x:v>AC-00625</x:v>
      </x:c>
      <x:c r="B626" s="339" t="str">
        <x:v>US-0157</x:v>
      </x:c>
      <x:c r="C626" s="339" t="str">
        <x:v>SCR-079</x:v>
      </x:c>
      <x:c r="D626" s="339" t="str">
        <x:v>Parents &amp; Guardians</x:v>
      </x:c>
      <x:c r="E626" s="339" t="str">
        <x:v>Parent Activity History</x:v>
      </x:c>
      <x:c r="F626" s="339" t="str">
        <x:v>Authorized access to Parent Activity History</x:v>
      </x:c>
      <x:c r="G626" s="339" t="str">
        <x:v>the School Admin is authenticated and has access to Parent Activity History</x:v>
      </x:c>
      <x:c r="H626" s="339" t="str">
        <x:v>the user opens or invokes Parent Activity History</x:v>
      </x:c>
      <x:c r="I626" s="339" t="str">
        <x:v>the system loads only records and actions within the user's permitted tenant/school/data scope</x:v>
      </x:c>
      <x:c r="J626" s="339" t="str">
        <x:v>Positive</x:v>
      </x:c>
      <x:c r="K626" s="339" t="str">
        <x:v>Functional / Security</x:v>
      </x:c>
    </x:row>
    <x:row r="627">
      <x:c r="A627" s="339" t="str">
        <x:v>AC-00626</x:v>
      </x:c>
      <x:c r="B627" s="339" t="str">
        <x:v>US-0157</x:v>
      </x:c>
      <x:c r="C627" s="339" t="str">
        <x:v>SCR-079</x:v>
      </x:c>
      <x:c r="D627" s="339" t="str">
        <x:v>Parents &amp; Guardians</x:v>
      </x:c>
      <x:c r="E627" s="339" t="str">
        <x:v>Parent Activity History</x:v>
      </x:c>
      <x:c r="F627" s="339" t="str">
        <x:v>Successful Parent Activity History happy path</x:v>
      </x:c>
      <x:c r="G627" s="339" t="str">
        <x:v>all mandatory prerequisites and valid data are available</x:v>
      </x:c>
      <x:c r="H627" s="339" t="str">
        <x:v>the School Admin completes the primary action on Parent Activity History</x:v>
      </x:c>
      <x:c r="I627" s="339" t="str">
        <x:v>the system validates the request, saves it atomically, shows a clear confirmation and reflects the updated state</x:v>
      </x:c>
      <x:c r="J627" s="339" t="str">
        <x:v>Positive</x:v>
      </x:c>
      <x:c r="K627" s="339" t="str">
        <x:v>Functional</x:v>
      </x:c>
    </x:row>
    <x:row r="628">
      <x:c r="A628" s="339" t="str">
        <x:v>AC-00627</x:v>
      </x:c>
      <x:c r="B628" s="339" t="str">
        <x:v>US-0157</x:v>
      </x:c>
      <x:c r="C628" s="339" t="str">
        <x:v>SCR-079</x:v>
      </x:c>
      <x:c r="D628" s="339" t="str">
        <x:v>Parents &amp; Guardians</x:v>
      </x:c>
      <x:c r="E628" s="339" t="str">
        <x:v>Parent Activity History</x:v>
      </x:c>
      <x:c r="F628" s="339" t="str">
        <x:v>State and dependency integrity</x:v>
      </x:c>
      <x:c r="G628" s="339" t="str">
        <x:v>the current record is in an allowed state (Invited / Unverified → Verified → Active → Suspended / Unlinked)</x:v>
      </x:c>
      <x:c r="H628" s="339" t="str">
        <x:v>the user attempts a state-changing action</x:v>
      </x:c>
      <x:c r="I628" s="339" t="str">
        <x:v>only a valid transition is accepted and dependent records are updated according to configured business rules</x:v>
      </x:c>
      <x:c r="J628" s="339" t="str">
        <x:v>Positive</x:v>
      </x:c>
      <x:c r="K628" s="339" t="str">
        <x:v>Functional</x:v>
      </x:c>
    </x:row>
    <x:row r="629">
      <x:c r="A629" s="339" t="str">
        <x:v>AC-00628</x:v>
      </x:c>
      <x:c r="B629" s="339" t="str">
        <x:v>US-0157</x:v>
      </x:c>
      <x:c r="C629" s="339" t="str">
        <x:v>SCR-079</x:v>
      </x:c>
      <x:c r="D629" s="339" t="str">
        <x:v>Parents &amp; Guardians</x:v>
      </x:c>
      <x:c r="E629" s="339" t="str">
        <x:v>Parent Activity History</x:v>
      </x:c>
      <x:c r="F629" s="339" t="str">
        <x:v>Auditability</x:v>
      </x:c>
      <x:c r="G629" s="339" t="str">
        <x:v>a material create/update/approve/reverse action occurs</x:v>
      </x:c>
      <x:c r="H629" s="339" t="str">
        <x:v>the transaction succeeds</x:v>
      </x:c>
      <x:c r="I629" s="339" t="str">
        <x:v>the system records actor, timestamp, action, target and relevant before/after or reason context in the audit trail</x:v>
      </x:c>
      <x:c r="J629" s="339" t="str">
        <x:v>Positive</x:v>
      </x:c>
      <x:c r="K629" s="339" t="str">
        <x:v>Functional</x:v>
      </x:c>
    </x:row>
    <x:row r="630">
      <x:c r="A630" s="339" t="str">
        <x:v>AC-00629</x:v>
      </x:c>
      <x:c r="B630" s="339" t="str">
        <x:v>US-0158</x:v>
      </x:c>
      <x:c r="C630" s="339" t="str">
        <x:v>SCR-079</x:v>
      </x:c>
      <x:c r="D630" s="339" t="str">
        <x:v>Parents &amp; Guardians</x:v>
      </x:c>
      <x:c r="E630" s="339" t="str">
        <x:v>Parent Activity History</x:v>
      </x:c>
      <x:c r="F630" s="339" t="str">
        <x:v>Complete authorized view</x:v>
      </x:c>
      <x:c r="G630" s="339" t="str">
        <x:v>the record exists and the user is authorized</x:v>
      </x:c>
      <x:c r="H630" s="339" t="str">
        <x:v>the detail/profile opens</x:v>
      </x:c>
      <x:c r="I630" s="339" t="str">
        <x:v>the system loads the required summary, relationships and history while masking restricted fields</x:v>
      </x:c>
      <x:c r="J630" s="339" t="str">
        <x:v>Positive</x:v>
      </x:c>
      <x:c r="K630" s="339" t="str">
        <x:v>Functional / Security</x:v>
      </x:c>
    </x:row>
    <x:row r="631">
      <x:c r="A631" s="339" t="str">
        <x:v>AC-00630</x:v>
      </x:c>
      <x:c r="B631" s="339" t="str">
        <x:v>US-0158</x:v>
      </x:c>
      <x:c r="C631" s="339" t="str">
        <x:v>SCR-079</x:v>
      </x:c>
      <x:c r="D631" s="339" t="str">
        <x:v>Parents &amp; Guardians</x:v>
      </x:c>
      <x:c r="E631" s="339" t="str">
        <x:v>Parent Activity History</x:v>
      </x:c>
      <x:c r="F631" s="339" t="str">
        <x:v>Controlled edit</x:v>
      </x:c>
      <x:c r="G631" s="339" t="str">
        <x:v>the user has edit permission and the record is editable</x:v>
      </x:c>
      <x:c r="H631" s="339" t="str">
        <x:v>the user saves a change</x:v>
      </x:c>
      <x:c r="I631" s="339" t="str">
        <x:v>validation and state rules run before the update is committed</x:v>
      </x:c>
      <x:c r="J631" s="339" t="str">
        <x:v>Positive</x:v>
      </x:c>
      <x:c r="K631" s="339" t="str">
        <x:v>Functional</x:v>
      </x:c>
    </x:row>
    <x:row r="632">
      <x:c r="A632" s="339" t="str">
        <x:v>AC-00631</x:v>
      </x:c>
      <x:c r="B632" s="339" t="str">
        <x:v>US-0158</x:v>
      </x:c>
      <x:c r="C632" s="339" t="str">
        <x:v>SCR-079</x:v>
      </x:c>
      <x:c r="D632" s="339" t="str">
        <x:v>Parents &amp; Guardians</x:v>
      </x:c>
      <x:c r="E632" s="339" t="str">
        <x:v>Parent Activity History</x:v>
      </x:c>
      <x:c r="F632" s="339" t="str">
        <x:v>Concurrent edit protection</x:v>
      </x:c>
      <x:c r="G632" s="339" t="str">
        <x:v>another user has changed the record after it was loaded</x:v>
      </x:c>
      <x:c r="H632" s="339" t="str">
        <x:v>the first user attempts to save stale data</x:v>
      </x:c>
      <x:c r="I632" s="339" t="str">
        <x:v>the system detects the version conflict or preserves fields safely instead of silently overwriting</x:v>
      </x:c>
      <x:c r="J632" s="339" t="str">
        <x:v>Positive</x:v>
      </x:c>
      <x:c r="K632" s="339" t="str">
        <x:v>Functional</x:v>
      </x:c>
    </x:row>
    <x:row r="633">
      <x:c r="A633" s="339" t="str">
        <x:v>AC-00632</x:v>
      </x:c>
      <x:c r="B633" s="339" t="str">
        <x:v>US-0158</x:v>
      </x:c>
      <x:c r="C633" s="339" t="str">
        <x:v>SCR-079</x:v>
      </x:c>
      <x:c r="D633" s="339" t="str">
        <x:v>Parents &amp; Guardians</x:v>
      </x:c>
      <x:c r="E633" s="339" t="str">
        <x:v>Parent Activity History</x:v>
      </x:c>
      <x:c r="F633" s="339" t="str">
        <x:v>History retention</x:v>
      </x:c>
      <x:c r="G633" s="339" t="str">
        <x:v>the record has prior changes/statuses</x:v>
      </x:c>
      <x:c r="H633" s="339" t="str">
        <x:v>the user views history</x:v>
      </x:c>
      <x:c r="I633" s="339" t="str">
        <x:v>the audit/activity timeline shows traceable material changes without exposing restricted notes</x:v>
      </x:c>
      <x:c r="J633" s="339" t="str">
        <x:v>Positive</x:v>
      </x:c>
      <x:c r="K633" s="339" t="str">
        <x:v>Functional</x:v>
      </x:c>
    </x:row>
    <x:row r="634">
      <x:c r="A634" s="339" t="str">
        <x:v>AC-00633</x:v>
      </x:c>
      <x:c r="B634" s="339" t="str">
        <x:v>US-0159</x:v>
      </x:c>
      <x:c r="C634" s="339" t="str">
        <x:v>SCR-080</x:v>
      </x:c>
      <x:c r="D634" s="339" t="str">
        <x:v>Teachers &amp; Staff</x:v>
      </x:c>
      <x:c r="E634" s="339" t="str">
        <x:v>Staff Directory</x:v>
      </x:c>
      <x:c r="F634" s="339" t="str">
        <x:v>Authorized access to Staff Directory</x:v>
      </x:c>
      <x:c r="G634" s="339" t="str">
        <x:v>the School Admin is authenticated and has access to Staff Directory</x:v>
      </x:c>
      <x:c r="H634" s="339" t="str">
        <x:v>the user opens or invokes Staff Directory</x:v>
      </x:c>
      <x:c r="I634" s="339" t="str">
        <x:v>the system loads only records and actions within the user's permitted tenant/school/data scope</x:v>
      </x:c>
      <x:c r="J634" s="339" t="str">
        <x:v>Positive</x:v>
      </x:c>
      <x:c r="K634" s="339" t="str">
        <x:v>Functional / Security</x:v>
      </x:c>
    </x:row>
    <x:row r="635">
      <x:c r="A635" s="339" t="str">
        <x:v>AC-00634</x:v>
      </x:c>
      <x:c r="B635" s="339" t="str">
        <x:v>US-0159</x:v>
      </x:c>
      <x:c r="C635" s="339" t="str">
        <x:v>SCR-080</x:v>
      </x:c>
      <x:c r="D635" s="339" t="str">
        <x:v>Teachers &amp; Staff</x:v>
      </x:c>
      <x:c r="E635" s="339" t="str">
        <x:v>Staff Directory</x:v>
      </x:c>
      <x:c r="F635" s="339" t="str">
        <x:v>Successful Staff Directory happy path</x:v>
      </x:c>
      <x:c r="G635" s="339" t="str">
        <x:v>all mandatory prerequisites and valid data are available</x:v>
      </x:c>
      <x:c r="H635" s="339" t="str">
        <x:v>the School Admin completes the primary action on Staff Directory</x:v>
      </x:c>
      <x:c r="I635" s="339" t="str">
        <x:v>the system validates the request, saves it atomically, shows a clear confirmation and reflects the updated state</x:v>
      </x:c>
      <x:c r="J635" s="339" t="str">
        <x:v>Positive</x:v>
      </x:c>
      <x:c r="K635" s="339" t="str">
        <x:v>Functional</x:v>
      </x:c>
    </x:row>
    <x:row r="636">
      <x:c r="A636" s="339" t="str">
        <x:v>AC-00635</x:v>
      </x:c>
      <x:c r="B636" s="339" t="str">
        <x:v>US-0159</x:v>
      </x:c>
      <x:c r="C636" s="339" t="str">
        <x:v>SCR-080</x:v>
      </x:c>
      <x:c r="D636" s="339" t="str">
        <x:v>Teachers &amp; Staff</x:v>
      </x:c>
      <x:c r="E636" s="339" t="str">
        <x:v>Staff Directory</x:v>
      </x:c>
      <x:c r="F636" s="339" t="str">
        <x:v>State and dependency integrity</x:v>
      </x:c>
      <x:c r="G636" s="339" t="str">
        <x:v>the current record is in an allowed state (Draft / Candidate → Active Employee → On Leave (operational) → Exited / Inactive)</x:v>
      </x:c>
      <x:c r="H636" s="339" t="str">
        <x:v>the user attempts a state-changing action</x:v>
      </x:c>
      <x:c r="I636" s="339" t="str">
        <x:v>only a valid transition is accepted and dependent records are updated according to configured business rules</x:v>
      </x:c>
      <x:c r="J636" s="339" t="str">
        <x:v>Positive</x:v>
      </x:c>
      <x:c r="K636" s="339" t="str">
        <x:v>Functional</x:v>
      </x:c>
    </x:row>
    <x:row r="637">
      <x:c r="A637" s="339" t="str">
        <x:v>AC-00636</x:v>
      </x:c>
      <x:c r="B637" s="339" t="str">
        <x:v>US-0159</x:v>
      </x:c>
      <x:c r="C637" s="339" t="str">
        <x:v>SCR-080</x:v>
      </x:c>
      <x:c r="D637" s="339" t="str">
        <x:v>Teachers &amp; Staff</x:v>
      </x:c>
      <x:c r="E637" s="339" t="str">
        <x:v>Staff Directory</x:v>
      </x:c>
      <x:c r="F637" s="339" t="str">
        <x:v>Auditability</x:v>
      </x:c>
      <x:c r="G637" s="339" t="str">
        <x:v>a material create/update/approve/reverse action occurs</x:v>
      </x:c>
      <x:c r="H637" s="339" t="str">
        <x:v>the transaction succeeds</x:v>
      </x:c>
      <x:c r="I637" s="339" t="str">
        <x:v>the system records actor, timestamp, action, target and relevant before/after or reason context in the audit trail</x:v>
      </x:c>
      <x:c r="J637" s="339" t="str">
        <x:v>Positive</x:v>
      </x:c>
      <x:c r="K637" s="339" t="str">
        <x:v>Functional</x:v>
      </x:c>
    </x:row>
    <x:row r="638">
      <x:c r="A638" s="339" t="str">
        <x:v>AC-00637</x:v>
      </x:c>
      <x:c r="B638" s="339" t="str">
        <x:v>US-0160</x:v>
      </x:c>
      <x:c r="C638" s="339" t="str">
        <x:v>SCR-080</x:v>
      </x:c>
      <x:c r="D638" s="339" t="str">
        <x:v>Teachers &amp; Staff</x:v>
      </x:c>
      <x:c r="E638" s="339" t="str">
        <x:v>Staff Directory</x:v>
      </x:c>
      <x:c r="F638" s="339" t="str">
        <x:v>Search and filtering</x:v>
      </x:c>
      <x:c r="G638" s="339" t="str">
        <x:v>authorized records exist across multiple values</x:v>
      </x:c>
      <x:c r="H638" s="339" t="str">
        <x:v>the user applies search, filters, sorting or pagination</x:v>
      </x:c>
      <x:c r="I638" s="339" t="str">
        <x:v>the results match all selected criteria and remain within the user's data scope</x:v>
      </x:c>
      <x:c r="J638" s="339" t="str">
        <x:v>Positive</x:v>
      </x:c>
      <x:c r="K638" s="339" t="str">
        <x:v>Functional</x:v>
      </x:c>
    </x:row>
    <x:row r="639">
      <x:c r="A639" s="339" t="str">
        <x:v>AC-00638</x:v>
      </x:c>
      <x:c r="B639" s="339" t="str">
        <x:v>US-0160</x:v>
      </x:c>
      <x:c r="C639" s="339" t="str">
        <x:v>SCR-080</x:v>
      </x:c>
      <x:c r="D639" s="339" t="str">
        <x:v>Teachers &amp; Staff</x:v>
      </x:c>
      <x:c r="E639" s="339" t="str">
        <x:v>Staff Directory</x:v>
      </x:c>
      <x:c r="F639" s="339" t="str">
        <x:v>Controlled row actions</x:v>
      </x:c>
      <x:c r="G639" s="339" t="str">
        <x:v>records are returned in the list</x:v>
      </x:c>
      <x:c r="H639" s="339" t="str">
        <x:v>the user opens the action menu</x:v>
      </x:c>
      <x:c r="I639" s="339" t="str">
        <x:v>only actions permitted for the user's role and the record's current state are offered</x:v>
      </x:c>
      <x:c r="J639" s="339" t="str">
        <x:v>Positive</x:v>
      </x:c>
      <x:c r="K639" s="339" t="str">
        <x:v>Functional</x:v>
      </x:c>
    </x:row>
    <x:row r="640">
      <x:c r="A640" s="339" t="str">
        <x:v>AC-00639</x:v>
      </x:c>
      <x:c r="B640" s="339" t="str">
        <x:v>US-0160</x:v>
      </x:c>
      <x:c r="C640" s="339" t="str">
        <x:v>SCR-080</x:v>
      </x:c>
      <x:c r="D640" s="339" t="str">
        <x:v>Teachers &amp; Staff</x:v>
      </x:c>
      <x:c r="E640" s="339" t="str">
        <x:v>Staff Directory</x:v>
      </x:c>
      <x:c r="F640" s="339" t="str">
        <x:v>Empty/no-result handling</x:v>
      </x:c>
      <x:c r="G640" s="339" t="str">
        <x:v>no record matches the current criteria</x:v>
      </x:c>
      <x:c r="H640" s="339" t="str">
        <x:v>the query completes</x:v>
      </x:c>
      <x:c r="I640" s="339" t="str">
        <x:v>the system shows a clear empty state without treating it as an application error</x:v>
      </x:c>
      <x:c r="J640" s="339" t="str">
        <x:v>Positive</x:v>
      </x:c>
      <x:c r="K640" s="339" t="str">
        <x:v>Functional</x:v>
      </x:c>
    </x:row>
    <x:row r="641">
      <x:c r="A641" s="339" t="str">
        <x:v>AC-00640</x:v>
      </x:c>
      <x:c r="B641" s="339" t="str">
        <x:v>US-0160</x:v>
      </x:c>
      <x:c r="C641" s="339" t="str">
        <x:v>SCR-080</x:v>
      </x:c>
      <x:c r="D641" s="339" t="str">
        <x:v>Teachers &amp; Staff</x:v>
      </x:c>
      <x:c r="E641" s="339" t="str">
        <x:v>Staff Directory</x:v>
      </x:c>
      <x:c r="F641" s="339" t="str">
        <x:v>Export scope</x:v>
      </x:c>
      <x:c r="G641" s="339" t="str">
        <x:v>the user has export permission</x:v>
      </x:c>
      <x:c r="H641" s="339" t="str">
        <x:v>the user exports the filtered list</x:v>
      </x:c>
      <x:c r="I641" s="339" t="str">
        <x:v>the export contains the same authorized filter scope and excludes restricted fields</x:v>
      </x:c>
      <x:c r="J641" s="339" t="str">
        <x:v>Positive</x:v>
      </x:c>
      <x:c r="K641" s="339" t="str">
        <x:v>Functional</x:v>
      </x:c>
    </x:row>
    <x:row r="642">
      <x:c r="A642" s="339" t="str">
        <x:v>AC-00641</x:v>
      </x:c>
      <x:c r="B642" s="339" t="str">
        <x:v>US-0161</x:v>
      </x:c>
      <x:c r="C642" s="339" t="str">
        <x:v>SCR-081</x:v>
      </x:c>
      <x:c r="D642" s="339" t="str">
        <x:v>Teachers &amp; Staff</x:v>
      </x:c>
      <x:c r="E642" s="339" t="str">
        <x:v>Add Staff</x:v>
      </x:c>
      <x:c r="F642" s="339" t="str">
        <x:v>Authorized access to Add Staff</x:v>
      </x:c>
      <x:c r="G642" s="339" t="str">
        <x:v>the School Admin is authenticated and has access to Add Staff</x:v>
      </x:c>
      <x:c r="H642" s="339" t="str">
        <x:v>the user opens or invokes Add Staff</x:v>
      </x:c>
      <x:c r="I642" s="339" t="str">
        <x:v>the system loads only records and actions within the user's permitted tenant/school/data scope</x:v>
      </x:c>
      <x:c r="J642" s="339" t="str">
        <x:v>Positive</x:v>
      </x:c>
      <x:c r="K642" s="339" t="str">
        <x:v>Functional / Security</x:v>
      </x:c>
    </x:row>
    <x:row r="643">
      <x:c r="A643" s="339" t="str">
        <x:v>AC-00642</x:v>
      </x:c>
      <x:c r="B643" s="339" t="str">
        <x:v>US-0161</x:v>
      </x:c>
      <x:c r="C643" s="339" t="str">
        <x:v>SCR-081</x:v>
      </x:c>
      <x:c r="D643" s="339" t="str">
        <x:v>Teachers &amp; Staff</x:v>
      </x:c>
      <x:c r="E643" s="339" t="str">
        <x:v>Add Staff</x:v>
      </x:c>
      <x:c r="F643" s="339" t="str">
        <x:v>Successful Add Staff happy path</x:v>
      </x:c>
      <x:c r="G643" s="339" t="str">
        <x:v>all mandatory prerequisites and valid data are available</x:v>
      </x:c>
      <x:c r="H643" s="339" t="str">
        <x:v>the School Admin completes the primary action on Add Staff</x:v>
      </x:c>
      <x:c r="I643" s="339" t="str">
        <x:v>the system validates the request, saves it atomically, shows a clear confirmation and reflects the updated state</x:v>
      </x:c>
      <x:c r="J643" s="339" t="str">
        <x:v>Positive</x:v>
      </x:c>
      <x:c r="K643" s="339" t="str">
        <x:v>Functional</x:v>
      </x:c>
    </x:row>
    <x:row r="644">
      <x:c r="A644" s="339" t="str">
        <x:v>AC-00643</x:v>
      </x:c>
      <x:c r="B644" s="339" t="str">
        <x:v>US-0161</x:v>
      </x:c>
      <x:c r="C644" s="339" t="str">
        <x:v>SCR-081</x:v>
      </x:c>
      <x:c r="D644" s="339" t="str">
        <x:v>Teachers &amp; Staff</x:v>
      </x:c>
      <x:c r="E644" s="339" t="str">
        <x:v>Add Staff</x:v>
      </x:c>
      <x:c r="F644" s="339" t="str">
        <x:v>State and dependency integrity</x:v>
      </x:c>
      <x:c r="G644" s="339" t="str">
        <x:v>the current record is in an allowed state (Draft / Candidate → Active Employee → On Leave (operational) → Exited / Inactive)</x:v>
      </x:c>
      <x:c r="H644" s="339" t="str">
        <x:v>the user attempts a state-changing action</x:v>
      </x:c>
      <x:c r="I644" s="339" t="str">
        <x:v>only a valid transition is accepted and dependent records are updated according to configured business rules</x:v>
      </x:c>
      <x:c r="J644" s="339" t="str">
        <x:v>Positive</x:v>
      </x:c>
      <x:c r="K644" s="339" t="str">
        <x:v>Functional</x:v>
      </x:c>
    </x:row>
    <x:row r="645">
      <x:c r="A645" s="339" t="str">
        <x:v>AC-00644</x:v>
      </x:c>
      <x:c r="B645" s="339" t="str">
        <x:v>US-0161</x:v>
      </x:c>
      <x:c r="C645" s="339" t="str">
        <x:v>SCR-081</x:v>
      </x:c>
      <x:c r="D645" s="339" t="str">
        <x:v>Teachers &amp; Staff</x:v>
      </x:c>
      <x:c r="E645" s="339" t="str">
        <x:v>Add Staff</x:v>
      </x:c>
      <x:c r="F645" s="339" t="str">
        <x:v>Auditability</x:v>
      </x:c>
      <x:c r="G645" s="339" t="str">
        <x:v>a material create/update/approve/reverse action occurs</x:v>
      </x:c>
      <x:c r="H645" s="339" t="str">
        <x:v>the transaction succeeds</x:v>
      </x:c>
      <x:c r="I645" s="339" t="str">
        <x:v>the system records actor, timestamp, action, target and relevant before/after or reason context in the audit trail</x:v>
      </x:c>
      <x:c r="J645" s="339" t="str">
        <x:v>Positive</x:v>
      </x:c>
      <x:c r="K645" s="339" t="str">
        <x:v>Functional</x:v>
      </x:c>
    </x:row>
    <x:row r="646">
      <x:c r="A646" s="339" t="str">
        <x:v>AC-00645</x:v>
      </x:c>
      <x:c r="B646" s="339" t="str">
        <x:v>US-0162</x:v>
      </x:c>
      <x:c r="C646" s="339" t="str">
        <x:v>SCR-081</x:v>
      </x:c>
      <x:c r="D646" s="339" t="str">
        <x:v>Teachers &amp; Staff</x:v>
      </x:c>
      <x:c r="E646" s="339" t="str">
        <x:v>Add Staff</x:v>
      </x:c>
      <x:c r="F646" s="339" t="str">
        <x:v>Required-field validation</x:v>
      </x:c>
      <x:c r="G646" s="339" t="str">
        <x:v>one or more required values are missing/invalid</x:v>
      </x:c>
      <x:c r="H646" s="339" t="str">
        <x:v>the user submits the form</x:v>
      </x:c>
      <x:c r="I646" s="339" t="str">
        <x:v>submission is blocked and field-level messages identify what must be corrected</x:v>
      </x:c>
      <x:c r="J646" s="339" t="str">
        <x:v>Positive</x:v>
      </x:c>
      <x:c r="K646" s="339" t="str">
        <x:v>Functional</x:v>
      </x:c>
    </x:row>
    <x:row r="647">
      <x:c r="A647" s="339" t="str">
        <x:v>AC-00646</x:v>
      </x:c>
      <x:c r="B647" s="339" t="str">
        <x:v>US-0162</x:v>
      </x:c>
      <x:c r="C647" s="339" t="str">
        <x:v>SCR-081</x:v>
      </x:c>
      <x:c r="D647" s="339" t="str">
        <x:v>Teachers &amp; Staff</x:v>
      </x:c>
      <x:c r="E647" s="339" t="str">
        <x:v>Add Staff</x:v>
      </x:c>
      <x:c r="F647" s="339" t="str">
        <x:v>Duplicate prevention</x:v>
      </x:c>
      <x:c r="G647" s="339" t="str">
        <x:v>a potentially duplicate record exists</x:v>
      </x:c>
      <x:c r="H647" s="339" t="str">
        <x:v>the user submits matching identity/master data</x:v>
      </x:c>
      <x:c r="I647" s="339" t="str">
        <x:v>the system blocks or warns according to configured duplicate policy before creating another record</x:v>
      </x:c>
      <x:c r="J647" s="339" t="str">
        <x:v>Negative</x:v>
      </x:c>
      <x:c r="K647" s="339" t="str">
        <x:v>Functional</x:v>
      </x:c>
    </x:row>
    <x:row r="648">
      <x:c r="A648" s="339" t="str">
        <x:v>AC-00647</x:v>
      </x:c>
      <x:c r="B648" s="339" t="str">
        <x:v>US-0162</x:v>
      </x:c>
      <x:c r="C648" s="339" t="str">
        <x:v>SCR-081</x:v>
      </x:c>
      <x:c r="D648" s="339" t="str">
        <x:v>Teachers &amp; Staff</x:v>
      </x:c>
      <x:c r="E648" s="339" t="str">
        <x:v>Add Staff</x:v>
      </x:c>
      <x:c r="F648" s="339" t="str">
        <x:v>Reference-data integrity</x:v>
      </x:c>
      <x:c r="G648" s="339" t="str">
        <x:v>the form contains master-data selections</x:v>
      </x:c>
      <x:c r="H648" s="339" t="str">
        <x:v>the user submits</x:v>
      </x:c>
      <x:c r="I648" s="339" t="str">
        <x:v>all referenced values are active, effective and within the user's scope at the time of save</x:v>
      </x:c>
      <x:c r="J648" s="339" t="str">
        <x:v>Positive</x:v>
      </x:c>
      <x:c r="K648" s="339" t="str">
        <x:v>Functional</x:v>
      </x:c>
    </x:row>
    <x:row r="649">
      <x:c r="A649" s="339" t="str">
        <x:v>AC-00648</x:v>
      </x:c>
      <x:c r="B649" s="339" t="str">
        <x:v>US-0162</x:v>
      </x:c>
      <x:c r="C649" s="339" t="str">
        <x:v>SCR-081</x:v>
      </x:c>
      <x:c r="D649" s="339" t="str">
        <x:v>Teachers &amp; Staff</x:v>
      </x:c>
      <x:c r="E649" s="339" t="str">
        <x:v>Add Staff</x:v>
      </x:c>
      <x:c r="F649" s="339" t="str">
        <x:v>Retry safety</x:v>
      </x:c>
      <x:c r="G649" s="339" t="str">
        <x:v>a network retry or repeated click occurs</x:v>
      </x:c>
      <x:c r="H649" s="339" t="str">
        <x:v>the same transaction is submitted again</x:v>
      </x:c>
      <x:c r="I649" s="339" t="str">
        <x:v>the system prevents unintended duplicate transactions through idempotency or duplicate detection</x:v>
      </x:c>
      <x:c r="J649" s="339" t="str">
        <x:v>Positive</x:v>
      </x:c>
      <x:c r="K649" s="339" t="str">
        <x:v>Functional</x:v>
      </x:c>
    </x:row>
    <x:row r="650">
      <x:c r="A650" s="339" t="str">
        <x:v>AC-00649</x:v>
      </x:c>
      <x:c r="B650" s="339" t="str">
        <x:v>US-0163</x:v>
      </x:c>
      <x:c r="C650" s="339" t="str">
        <x:v>SCR-082</x:v>
      </x:c>
      <x:c r="D650" s="339" t="str">
        <x:v>Teachers &amp; Staff</x:v>
      </x:c>
      <x:c r="E650" s="339" t="str">
        <x:v>Staff Profile</x:v>
      </x:c>
      <x:c r="F650" s="339" t="str">
        <x:v>Authorized access to Staff Profile</x:v>
      </x:c>
      <x:c r="G650" s="339" t="str">
        <x:v>the School Admin is authenticated and has access to Staff Profile</x:v>
      </x:c>
      <x:c r="H650" s="339" t="str">
        <x:v>the user opens or invokes Staff Profile</x:v>
      </x:c>
      <x:c r="I650" s="339" t="str">
        <x:v>the system loads only records and actions within the user's permitted tenant/school/data scope</x:v>
      </x:c>
      <x:c r="J650" s="339" t="str">
        <x:v>Positive</x:v>
      </x:c>
      <x:c r="K650" s="339" t="str">
        <x:v>Functional / Security</x:v>
      </x:c>
    </x:row>
    <x:row r="651">
      <x:c r="A651" s="339" t="str">
        <x:v>AC-00650</x:v>
      </x:c>
      <x:c r="B651" s="339" t="str">
        <x:v>US-0163</x:v>
      </x:c>
      <x:c r="C651" s="339" t="str">
        <x:v>SCR-082</x:v>
      </x:c>
      <x:c r="D651" s="339" t="str">
        <x:v>Teachers &amp; Staff</x:v>
      </x:c>
      <x:c r="E651" s="339" t="str">
        <x:v>Staff Profile</x:v>
      </x:c>
      <x:c r="F651" s="339" t="str">
        <x:v>Successful Staff Profile happy path</x:v>
      </x:c>
      <x:c r="G651" s="339" t="str">
        <x:v>all mandatory prerequisites and valid data are available</x:v>
      </x:c>
      <x:c r="H651" s="339" t="str">
        <x:v>the School Admin completes the primary action on Staff Profile</x:v>
      </x:c>
      <x:c r="I651" s="339" t="str">
        <x:v>the system validates the request, saves it atomically, shows a clear confirmation and reflects the updated state</x:v>
      </x:c>
      <x:c r="J651" s="339" t="str">
        <x:v>Positive</x:v>
      </x:c>
      <x:c r="K651" s="339" t="str">
        <x:v>Functional</x:v>
      </x:c>
    </x:row>
    <x:row r="652">
      <x:c r="A652" s="339" t="str">
        <x:v>AC-00651</x:v>
      </x:c>
      <x:c r="B652" s="339" t="str">
        <x:v>US-0163</x:v>
      </x:c>
      <x:c r="C652" s="339" t="str">
        <x:v>SCR-082</x:v>
      </x:c>
      <x:c r="D652" s="339" t="str">
        <x:v>Teachers &amp; Staff</x:v>
      </x:c>
      <x:c r="E652" s="339" t="str">
        <x:v>Staff Profile</x:v>
      </x:c>
      <x:c r="F652" s="339" t="str">
        <x:v>State and dependency integrity</x:v>
      </x:c>
      <x:c r="G652" s="339" t="str">
        <x:v>the current record is in an allowed state (Draft / Candidate → Active Employee → On Leave (operational) → Exited / Inactive)</x:v>
      </x:c>
      <x:c r="H652" s="339" t="str">
        <x:v>the user attempts a state-changing action</x:v>
      </x:c>
      <x:c r="I652" s="339" t="str">
        <x:v>only a valid transition is accepted and dependent records are updated according to configured business rules</x:v>
      </x:c>
      <x:c r="J652" s="339" t="str">
        <x:v>Positive</x:v>
      </x:c>
      <x:c r="K652" s="339" t="str">
        <x:v>Functional</x:v>
      </x:c>
    </x:row>
    <x:row r="653">
      <x:c r="A653" s="339" t="str">
        <x:v>AC-00652</x:v>
      </x:c>
      <x:c r="B653" s="339" t="str">
        <x:v>US-0163</x:v>
      </x:c>
      <x:c r="C653" s="339" t="str">
        <x:v>SCR-082</x:v>
      </x:c>
      <x:c r="D653" s="339" t="str">
        <x:v>Teachers &amp; Staff</x:v>
      </x:c>
      <x:c r="E653" s="339" t="str">
        <x:v>Staff Profile</x:v>
      </x:c>
      <x:c r="F653" s="339" t="str">
        <x:v>Auditability</x:v>
      </x:c>
      <x:c r="G653" s="339" t="str">
        <x:v>a material create/update/approve/reverse action occurs</x:v>
      </x:c>
      <x:c r="H653" s="339" t="str">
        <x:v>the transaction succeeds</x:v>
      </x:c>
      <x:c r="I653" s="339" t="str">
        <x:v>the system records actor, timestamp, action, target and relevant before/after or reason context in the audit trail</x:v>
      </x:c>
      <x:c r="J653" s="339" t="str">
        <x:v>Positive</x:v>
      </x:c>
      <x:c r="K653" s="339" t="str">
        <x:v>Functional</x:v>
      </x:c>
    </x:row>
    <x:row r="654">
      <x:c r="A654" s="339" t="str">
        <x:v>AC-00653</x:v>
      </x:c>
      <x:c r="B654" s="339" t="str">
        <x:v>US-0164</x:v>
      </x:c>
      <x:c r="C654" s="339" t="str">
        <x:v>SCR-082</x:v>
      </x:c>
      <x:c r="D654" s="339" t="str">
        <x:v>Teachers &amp; Staff</x:v>
      </x:c>
      <x:c r="E654" s="339" t="str">
        <x:v>Staff Profile</x:v>
      </x:c>
      <x:c r="F654" s="339" t="str">
        <x:v>Complete authorized view</x:v>
      </x:c>
      <x:c r="G654" s="339" t="str">
        <x:v>the record exists and the user is authorized</x:v>
      </x:c>
      <x:c r="H654" s="339" t="str">
        <x:v>the detail/profile opens</x:v>
      </x:c>
      <x:c r="I654" s="339" t="str">
        <x:v>the system loads the required summary, relationships and history while masking restricted fields</x:v>
      </x:c>
      <x:c r="J654" s="339" t="str">
        <x:v>Positive</x:v>
      </x:c>
      <x:c r="K654" s="339" t="str">
        <x:v>Functional / Security</x:v>
      </x:c>
    </x:row>
    <x:row r="655">
      <x:c r="A655" s="339" t="str">
        <x:v>AC-00654</x:v>
      </x:c>
      <x:c r="B655" s="339" t="str">
        <x:v>US-0164</x:v>
      </x:c>
      <x:c r="C655" s="339" t="str">
        <x:v>SCR-082</x:v>
      </x:c>
      <x:c r="D655" s="339" t="str">
        <x:v>Teachers &amp; Staff</x:v>
      </x:c>
      <x:c r="E655" s="339" t="str">
        <x:v>Staff Profile</x:v>
      </x:c>
      <x:c r="F655" s="339" t="str">
        <x:v>Controlled edit</x:v>
      </x:c>
      <x:c r="G655" s="339" t="str">
        <x:v>the user has edit permission and the record is editable</x:v>
      </x:c>
      <x:c r="H655" s="339" t="str">
        <x:v>the user saves a change</x:v>
      </x:c>
      <x:c r="I655" s="339" t="str">
        <x:v>validation and state rules run before the update is committed</x:v>
      </x:c>
      <x:c r="J655" s="339" t="str">
        <x:v>Positive</x:v>
      </x:c>
      <x:c r="K655" s="339" t="str">
        <x:v>Functional</x:v>
      </x:c>
    </x:row>
    <x:row r="656">
      <x:c r="A656" s="339" t="str">
        <x:v>AC-00655</x:v>
      </x:c>
      <x:c r="B656" s="339" t="str">
        <x:v>US-0164</x:v>
      </x:c>
      <x:c r="C656" s="339" t="str">
        <x:v>SCR-082</x:v>
      </x:c>
      <x:c r="D656" s="339" t="str">
        <x:v>Teachers &amp; Staff</x:v>
      </x:c>
      <x:c r="E656" s="339" t="str">
        <x:v>Staff Profile</x:v>
      </x:c>
      <x:c r="F656" s="339" t="str">
        <x:v>Concurrent edit protection</x:v>
      </x:c>
      <x:c r="G656" s="339" t="str">
        <x:v>another user has changed the record after it was loaded</x:v>
      </x:c>
      <x:c r="H656" s="339" t="str">
        <x:v>the first user attempts to save stale data</x:v>
      </x:c>
      <x:c r="I656" s="339" t="str">
        <x:v>the system detects the version conflict or preserves fields safely instead of silently overwriting</x:v>
      </x:c>
      <x:c r="J656" s="339" t="str">
        <x:v>Positive</x:v>
      </x:c>
      <x:c r="K656" s="339" t="str">
        <x:v>Functional</x:v>
      </x:c>
    </x:row>
    <x:row r="657">
      <x:c r="A657" s="339" t="str">
        <x:v>AC-00656</x:v>
      </x:c>
      <x:c r="B657" s="339" t="str">
        <x:v>US-0164</x:v>
      </x:c>
      <x:c r="C657" s="339" t="str">
        <x:v>SCR-082</x:v>
      </x:c>
      <x:c r="D657" s="339" t="str">
        <x:v>Teachers &amp; Staff</x:v>
      </x:c>
      <x:c r="E657" s="339" t="str">
        <x:v>Staff Profile</x:v>
      </x:c>
      <x:c r="F657" s="339" t="str">
        <x:v>History retention</x:v>
      </x:c>
      <x:c r="G657" s="339" t="str">
        <x:v>the record has prior changes/statuses</x:v>
      </x:c>
      <x:c r="H657" s="339" t="str">
        <x:v>the user views history</x:v>
      </x:c>
      <x:c r="I657" s="339" t="str">
        <x:v>the audit/activity timeline shows traceable material changes without exposing restricted notes</x:v>
      </x:c>
      <x:c r="J657" s="339" t="str">
        <x:v>Positive</x:v>
      </x:c>
      <x:c r="K657" s="339" t="str">
        <x:v>Functional</x:v>
      </x:c>
    </x:row>
    <x:row r="658">
      <x:c r="A658" s="339" t="str">
        <x:v>AC-00657</x:v>
      </x:c>
      <x:c r="B658" s="339" t="str">
        <x:v>US-0165</x:v>
      </x:c>
      <x:c r="C658" s="339" t="str">
        <x:v>SCR-083</x:v>
      </x:c>
      <x:c r="D658" s="339" t="str">
        <x:v>Teachers &amp; Staff</x:v>
      </x:c>
      <x:c r="E658" s="339" t="str">
        <x:v>Edit Staff</x:v>
      </x:c>
      <x:c r="F658" s="339" t="str">
        <x:v>Authorized access to Edit Staff</x:v>
      </x:c>
      <x:c r="G658" s="339" t="str">
        <x:v>the School Admin is authenticated and has access to Edit Staff</x:v>
      </x:c>
      <x:c r="H658" s="339" t="str">
        <x:v>the user opens or invokes Edit Staff</x:v>
      </x:c>
      <x:c r="I658" s="339" t="str">
        <x:v>the system loads only records and actions within the user's permitted tenant/school/data scope</x:v>
      </x:c>
      <x:c r="J658" s="339" t="str">
        <x:v>Positive</x:v>
      </x:c>
      <x:c r="K658" s="339" t="str">
        <x:v>Functional / Security</x:v>
      </x:c>
    </x:row>
    <x:row r="659">
      <x:c r="A659" s="339" t="str">
        <x:v>AC-00658</x:v>
      </x:c>
      <x:c r="B659" s="339" t="str">
        <x:v>US-0165</x:v>
      </x:c>
      <x:c r="C659" s="339" t="str">
        <x:v>SCR-083</x:v>
      </x:c>
      <x:c r="D659" s="339" t="str">
        <x:v>Teachers &amp; Staff</x:v>
      </x:c>
      <x:c r="E659" s="339" t="str">
        <x:v>Edit Staff</x:v>
      </x:c>
      <x:c r="F659" s="339" t="str">
        <x:v>Successful Edit Staff happy path</x:v>
      </x:c>
      <x:c r="G659" s="339" t="str">
        <x:v>all mandatory prerequisites and valid data are available</x:v>
      </x:c>
      <x:c r="H659" s="339" t="str">
        <x:v>the School Admin completes the primary action on Edit Staff</x:v>
      </x:c>
      <x:c r="I659" s="339" t="str">
        <x:v>the system validates the request, saves it atomically, shows a clear confirmation and reflects the updated state</x:v>
      </x:c>
      <x:c r="J659" s="339" t="str">
        <x:v>Positive</x:v>
      </x:c>
      <x:c r="K659" s="339" t="str">
        <x:v>Functional</x:v>
      </x:c>
    </x:row>
    <x:row r="660">
      <x:c r="A660" s="339" t="str">
        <x:v>AC-00659</x:v>
      </x:c>
      <x:c r="B660" s="339" t="str">
        <x:v>US-0165</x:v>
      </x:c>
      <x:c r="C660" s="339" t="str">
        <x:v>SCR-083</x:v>
      </x:c>
      <x:c r="D660" s="339" t="str">
        <x:v>Teachers &amp; Staff</x:v>
      </x:c>
      <x:c r="E660" s="339" t="str">
        <x:v>Edit Staff</x:v>
      </x:c>
      <x:c r="F660" s="339" t="str">
        <x:v>State and dependency integrity</x:v>
      </x:c>
      <x:c r="G660" s="339" t="str">
        <x:v>the current record is in an allowed state (Draft / Candidate → Active Employee → On Leave (operational) → Exited / Inactive)</x:v>
      </x:c>
      <x:c r="H660" s="339" t="str">
        <x:v>the user attempts a state-changing action</x:v>
      </x:c>
      <x:c r="I660" s="339" t="str">
        <x:v>only a valid transition is accepted and dependent records are updated according to configured business rules</x:v>
      </x:c>
      <x:c r="J660" s="339" t="str">
        <x:v>Positive</x:v>
      </x:c>
      <x:c r="K660" s="339" t="str">
        <x:v>Functional</x:v>
      </x:c>
    </x:row>
    <x:row r="661">
      <x:c r="A661" s="339" t="str">
        <x:v>AC-00660</x:v>
      </x:c>
      <x:c r="B661" s="339" t="str">
        <x:v>US-0165</x:v>
      </x:c>
      <x:c r="C661" s="339" t="str">
        <x:v>SCR-083</x:v>
      </x:c>
      <x:c r="D661" s="339" t="str">
        <x:v>Teachers &amp; Staff</x:v>
      </x:c>
      <x:c r="E661" s="339" t="str">
        <x:v>Edit Staff</x:v>
      </x:c>
      <x:c r="F661" s="339" t="str">
        <x:v>Auditability</x:v>
      </x:c>
      <x:c r="G661" s="339" t="str">
        <x:v>a material create/update/approve/reverse action occurs</x:v>
      </x:c>
      <x:c r="H661" s="339" t="str">
        <x:v>the transaction succeeds</x:v>
      </x:c>
      <x:c r="I661" s="339" t="str">
        <x:v>the system records actor, timestamp, action, target and relevant before/after or reason context in the audit trail</x:v>
      </x:c>
      <x:c r="J661" s="339" t="str">
        <x:v>Positive</x:v>
      </x:c>
      <x:c r="K661" s="339" t="str">
        <x:v>Functional</x:v>
      </x:c>
    </x:row>
    <x:row r="662">
      <x:c r="A662" s="339" t="str">
        <x:v>AC-00661</x:v>
      </x:c>
      <x:c r="B662" s="339" t="str">
        <x:v>US-0166</x:v>
      </x:c>
      <x:c r="C662" s="339" t="str">
        <x:v>SCR-083</x:v>
      </x:c>
      <x:c r="D662" s="339" t="str">
        <x:v>Teachers &amp; Staff</x:v>
      </x:c>
      <x:c r="E662" s="339" t="str">
        <x:v>Edit Staff</x:v>
      </x:c>
      <x:c r="F662" s="339" t="str">
        <x:v>Valid status transition</x:v>
      </x:c>
      <x:c r="G662" s="339" t="str">
        <x:v>the record is in a state described by Draft / Candidate → Active Employee → On Leave (operational) → Exited / Inactive</x:v>
      </x:c>
      <x:c r="H662" s="339" t="str">
        <x:v>the user requests a transition</x:v>
      </x:c>
      <x:c r="I662" s="339" t="str">
        <x:v>the system accepts only transitions allowed for that role and state</x:v>
      </x:c>
      <x:c r="J662" s="339" t="str">
        <x:v>Positive</x:v>
      </x:c>
      <x:c r="K662" s="339" t="str">
        <x:v>Functional</x:v>
      </x:c>
    </x:row>
    <x:row r="663">
      <x:c r="A663" s="339" t="str">
        <x:v>AC-00662</x:v>
      </x:c>
      <x:c r="B663" s="339" t="str">
        <x:v>US-0166</x:v>
      </x:c>
      <x:c r="C663" s="339" t="str">
        <x:v>SCR-083</x:v>
      </x:c>
      <x:c r="D663" s="339" t="str">
        <x:v>Teachers &amp; Staff</x:v>
      </x:c>
      <x:c r="E663" s="339" t="str">
        <x:v>Edit Staff</x:v>
      </x:c>
      <x:c r="F663" s="339" t="str">
        <x:v>Approval authority</x:v>
      </x:c>
      <x:c r="G663" s="339" t="str">
        <x:v>an action requires approval</x:v>
      </x:c>
      <x:c r="H663" s="339" t="str">
        <x:v>a non-authorized user attempts approval/rejection</x:v>
      </x:c>
      <x:c r="I663" s="339" t="str">
        <x:v>the system denies the decision and does not change status</x:v>
      </x:c>
      <x:c r="J663" s="339" t="str">
        <x:v>Negative</x:v>
      </x:c>
      <x:c r="K663" s="339" t="str">
        <x:v>Functional</x:v>
      </x:c>
    </x:row>
    <x:row r="664">
      <x:c r="A664" s="339" t="str">
        <x:v>AC-00663</x:v>
      </x:c>
      <x:c r="B664" s="339" t="str">
        <x:v>US-0166</x:v>
      </x:c>
      <x:c r="C664" s="339" t="str">
        <x:v>SCR-083</x:v>
      </x:c>
      <x:c r="D664" s="339" t="str">
        <x:v>Teachers &amp; Staff</x:v>
      </x:c>
      <x:c r="E664" s="339" t="str">
        <x:v>Edit Staff</x:v>
      </x:c>
      <x:c r="F664" s="339" t="str">
        <x:v>Failure rollback</x:v>
      </x:c>
      <x:c r="G664" s="339" t="str">
        <x:v>a downstream dependency fails during a multi-step transaction</x:v>
      </x:c>
      <x:c r="H664" s="339" t="str">
        <x:v>the workflow executes</x:v>
      </x:c>
      <x:c r="I664" s="339" t="str">
        <x:v>the system does not leave an invalid partial final state and surfaces a recoverable error</x:v>
      </x:c>
      <x:c r="J664" s="339" t="str">
        <x:v>Positive</x:v>
      </x:c>
      <x:c r="K664" s="339" t="str">
        <x:v>Functional</x:v>
      </x:c>
    </x:row>
    <x:row r="665">
      <x:c r="A665" s="339" t="str">
        <x:v>AC-00664</x:v>
      </x:c>
      <x:c r="B665" s="339" t="str">
        <x:v>US-0166</x:v>
      </x:c>
      <x:c r="C665" s="339" t="str">
        <x:v>SCR-083</x:v>
      </x:c>
      <x:c r="D665" s="339" t="str">
        <x:v>Teachers &amp; Staff</x:v>
      </x:c>
      <x:c r="E665" s="339" t="str">
        <x:v>Edit Staff</x:v>
      </x:c>
      <x:c r="F665" s="339" t="str">
        <x:v>Exception traceability</x:v>
      </x:c>
      <x:c r="G665" s="339" t="str">
        <x:v>an authorized override/exception is used</x:v>
      </x:c>
      <x:c r="H665" s="339" t="str">
        <x:v>the action is confirmed</x:v>
      </x:c>
      <x:c r="I665" s="339" t="str">
        <x:v>the system requires reason/context and records it in the audit history</x:v>
      </x:c>
      <x:c r="J665" s="339" t="str">
        <x:v>Positive</x:v>
      </x:c>
      <x:c r="K665" s="339" t="str">
        <x:v>Functional</x:v>
      </x:c>
    </x:row>
    <x:row r="666">
      <x:c r="A666" s="339" t="str">
        <x:v>AC-00665</x:v>
      </x:c>
      <x:c r="B666" s="339" t="str">
        <x:v>US-0167</x:v>
      </x:c>
      <x:c r="C666" s="339" t="str">
        <x:v>SCR-084</x:v>
      </x:c>
      <x:c r="D666" s="339" t="str">
        <x:v>Teachers &amp; Staff</x:v>
      </x:c>
      <x:c r="E666" s="339" t="str">
        <x:v>Teacher Allocation</x:v>
      </x:c>
      <x:c r="F666" s="339" t="str">
        <x:v>Authorized access to Teacher Allocation</x:v>
      </x:c>
      <x:c r="G666" s="339" t="str">
        <x:v>the School Admin is authenticated and has access to Teacher Allocation</x:v>
      </x:c>
      <x:c r="H666" s="339" t="str">
        <x:v>the user opens or invokes Teacher Allocation</x:v>
      </x:c>
      <x:c r="I666" s="339" t="str">
        <x:v>the system loads only records and actions within the user's permitted tenant/school/data scope</x:v>
      </x:c>
      <x:c r="J666" s="339" t="str">
        <x:v>Positive</x:v>
      </x:c>
      <x:c r="K666" s="339" t="str">
        <x:v>Functional / Security</x:v>
      </x:c>
    </x:row>
    <x:row r="667">
      <x:c r="A667" s="339" t="str">
        <x:v>AC-00666</x:v>
      </x:c>
      <x:c r="B667" s="339" t="str">
        <x:v>US-0167</x:v>
      </x:c>
      <x:c r="C667" s="339" t="str">
        <x:v>SCR-084</x:v>
      </x:c>
      <x:c r="D667" s="339" t="str">
        <x:v>Teachers &amp; Staff</x:v>
      </x:c>
      <x:c r="E667" s="339" t="str">
        <x:v>Teacher Allocation</x:v>
      </x:c>
      <x:c r="F667" s="339" t="str">
        <x:v>Successful Teacher Allocation happy path</x:v>
      </x:c>
      <x:c r="G667" s="339" t="str">
        <x:v>all mandatory prerequisites and valid data are available</x:v>
      </x:c>
      <x:c r="H667" s="339" t="str">
        <x:v>the School Admin completes the primary action on Teacher Allocation</x:v>
      </x:c>
      <x:c r="I667" s="339" t="str">
        <x:v>the system validates the request, saves it atomically, shows a clear confirmation and reflects the updated state</x:v>
      </x:c>
      <x:c r="J667" s="339" t="str">
        <x:v>Positive</x:v>
      </x:c>
      <x:c r="K667" s="339" t="str">
        <x:v>Functional</x:v>
      </x:c>
    </x:row>
    <x:row r="668">
      <x:c r="A668" s="339" t="str">
        <x:v>AC-00667</x:v>
      </x:c>
      <x:c r="B668" s="339" t="str">
        <x:v>US-0167</x:v>
      </x:c>
      <x:c r="C668" s="339" t="str">
        <x:v>SCR-084</x:v>
      </x:c>
      <x:c r="D668" s="339" t="str">
        <x:v>Teachers &amp; Staff</x:v>
      </x:c>
      <x:c r="E668" s="339" t="str">
        <x:v>Teacher Allocation</x:v>
      </x:c>
      <x:c r="F668" s="339" t="str">
        <x:v>State and dependency integrity</x:v>
      </x:c>
      <x:c r="G668" s="339" t="str">
        <x:v>the current record is in an allowed state (Draft / Candidate → Active Employee → On Leave (operational) → Exited / Inactive)</x:v>
      </x:c>
      <x:c r="H668" s="339" t="str">
        <x:v>the user attempts a state-changing action</x:v>
      </x:c>
      <x:c r="I668" s="339" t="str">
        <x:v>only a valid transition is accepted and dependent records are updated according to configured business rules</x:v>
      </x:c>
      <x:c r="J668" s="339" t="str">
        <x:v>Positive</x:v>
      </x:c>
      <x:c r="K668" s="339" t="str">
        <x:v>Functional</x:v>
      </x:c>
    </x:row>
    <x:row r="669">
      <x:c r="A669" s="339" t="str">
        <x:v>AC-00668</x:v>
      </x:c>
      <x:c r="B669" s="339" t="str">
        <x:v>US-0167</x:v>
      </x:c>
      <x:c r="C669" s="339" t="str">
        <x:v>SCR-084</x:v>
      </x:c>
      <x:c r="D669" s="339" t="str">
        <x:v>Teachers &amp; Staff</x:v>
      </x:c>
      <x:c r="E669" s="339" t="str">
        <x:v>Teacher Allocation</x:v>
      </x:c>
      <x:c r="F669" s="339" t="str">
        <x:v>Auditability</x:v>
      </x:c>
      <x:c r="G669" s="339" t="str">
        <x:v>a material create/update/approve/reverse action occurs</x:v>
      </x:c>
      <x:c r="H669" s="339" t="str">
        <x:v>the transaction succeeds</x:v>
      </x:c>
      <x:c r="I669" s="339" t="str">
        <x:v>the system records actor, timestamp, action, target and relevant before/after or reason context in the audit trail</x:v>
      </x:c>
      <x:c r="J669" s="339" t="str">
        <x:v>Positive</x:v>
      </x:c>
      <x:c r="K669" s="339" t="str">
        <x:v>Functional</x:v>
      </x:c>
    </x:row>
    <x:row r="670">
      <x:c r="A670" s="339" t="str">
        <x:v>AC-00669</x:v>
      </x:c>
      <x:c r="B670" s="339" t="str">
        <x:v>US-0168</x:v>
      </x:c>
      <x:c r="C670" s="339" t="str">
        <x:v>SCR-084</x:v>
      </x:c>
      <x:c r="D670" s="339" t="str">
        <x:v>Teachers &amp; Staff</x:v>
      </x:c>
      <x:c r="E670" s="339" t="str">
        <x:v>Teacher Allocation</x:v>
      </x:c>
      <x:c r="F670" s="339" t="str">
        <x:v>Valid status transition</x:v>
      </x:c>
      <x:c r="G670" s="339" t="str">
        <x:v>the record is in a state described by Draft / Candidate → Active Employee → On Leave (operational) → Exited / Inactive</x:v>
      </x:c>
      <x:c r="H670" s="339" t="str">
        <x:v>the user requests a transition</x:v>
      </x:c>
      <x:c r="I670" s="339" t="str">
        <x:v>the system accepts only transitions allowed for that role and state</x:v>
      </x:c>
      <x:c r="J670" s="339" t="str">
        <x:v>Positive</x:v>
      </x:c>
      <x:c r="K670" s="339" t="str">
        <x:v>Functional</x:v>
      </x:c>
    </x:row>
    <x:row r="671">
      <x:c r="A671" s="339" t="str">
        <x:v>AC-00670</x:v>
      </x:c>
      <x:c r="B671" s="339" t="str">
        <x:v>US-0168</x:v>
      </x:c>
      <x:c r="C671" s="339" t="str">
        <x:v>SCR-084</x:v>
      </x:c>
      <x:c r="D671" s="339" t="str">
        <x:v>Teachers &amp; Staff</x:v>
      </x:c>
      <x:c r="E671" s="339" t="str">
        <x:v>Teacher Allocation</x:v>
      </x:c>
      <x:c r="F671" s="339" t="str">
        <x:v>Approval authority</x:v>
      </x:c>
      <x:c r="G671" s="339" t="str">
        <x:v>an action requires approval</x:v>
      </x:c>
      <x:c r="H671" s="339" t="str">
        <x:v>a non-authorized user attempts approval/rejection</x:v>
      </x:c>
      <x:c r="I671" s="339" t="str">
        <x:v>the system denies the decision and does not change status</x:v>
      </x:c>
      <x:c r="J671" s="339" t="str">
        <x:v>Negative</x:v>
      </x:c>
      <x:c r="K671" s="339" t="str">
        <x:v>Functional</x:v>
      </x:c>
    </x:row>
    <x:row r="672">
      <x:c r="A672" s="339" t="str">
        <x:v>AC-00671</x:v>
      </x:c>
      <x:c r="B672" s="339" t="str">
        <x:v>US-0168</x:v>
      </x:c>
      <x:c r="C672" s="339" t="str">
        <x:v>SCR-084</x:v>
      </x:c>
      <x:c r="D672" s="339" t="str">
        <x:v>Teachers &amp; Staff</x:v>
      </x:c>
      <x:c r="E672" s="339" t="str">
        <x:v>Teacher Allocation</x:v>
      </x:c>
      <x:c r="F672" s="339" t="str">
        <x:v>Failure rollback</x:v>
      </x:c>
      <x:c r="G672" s="339" t="str">
        <x:v>a downstream dependency fails during a multi-step transaction</x:v>
      </x:c>
      <x:c r="H672" s="339" t="str">
        <x:v>the workflow executes</x:v>
      </x:c>
      <x:c r="I672" s="339" t="str">
        <x:v>the system does not leave an invalid partial final state and surfaces a recoverable error</x:v>
      </x:c>
      <x:c r="J672" s="339" t="str">
        <x:v>Positive</x:v>
      </x:c>
      <x:c r="K672" s="339" t="str">
        <x:v>Functional</x:v>
      </x:c>
    </x:row>
    <x:row r="673">
      <x:c r="A673" s="339" t="str">
        <x:v>AC-00672</x:v>
      </x:c>
      <x:c r="B673" s="339" t="str">
        <x:v>US-0168</x:v>
      </x:c>
      <x:c r="C673" s="339" t="str">
        <x:v>SCR-084</x:v>
      </x:c>
      <x:c r="D673" s="339" t="str">
        <x:v>Teachers &amp; Staff</x:v>
      </x:c>
      <x:c r="E673" s="339" t="str">
        <x:v>Teacher Allocation</x:v>
      </x:c>
      <x:c r="F673" s="339" t="str">
        <x:v>Exception traceability</x:v>
      </x:c>
      <x:c r="G673" s="339" t="str">
        <x:v>an authorized override/exception is used</x:v>
      </x:c>
      <x:c r="H673" s="339" t="str">
        <x:v>the action is confirmed</x:v>
      </x:c>
      <x:c r="I673" s="339" t="str">
        <x:v>the system requires reason/context and records it in the audit history</x:v>
      </x:c>
      <x:c r="J673" s="339" t="str">
        <x:v>Positive</x:v>
      </x:c>
      <x:c r="K673" s="339" t="str">
        <x:v>Functional</x:v>
      </x:c>
    </x:row>
    <x:row r="674">
      <x:c r="A674" s="339" t="str">
        <x:v>AC-00673</x:v>
      </x:c>
      <x:c r="B674" s="339" t="str">
        <x:v>US-0169</x:v>
      </x:c>
      <x:c r="C674" s="339" t="str">
        <x:v>SCR-085</x:v>
      </x:c>
      <x:c r="D674" s="339" t="str">
        <x:v>Teachers &amp; Staff</x:v>
      </x:c>
      <x:c r="E674" s="339" t="str">
        <x:v>Subject &amp; Class Assignment</x:v>
      </x:c>
      <x:c r="F674" s="339" t="str">
        <x:v>Authorized access to Subject &amp; Class Assignment</x:v>
      </x:c>
      <x:c r="G674" s="339" t="str">
        <x:v>the School Admin is authenticated and has access to Subject &amp; Class Assignment</x:v>
      </x:c>
      <x:c r="H674" s="339" t="str">
        <x:v>the user opens or invokes Subject &amp; Class Assignment</x:v>
      </x:c>
      <x:c r="I674" s="339" t="str">
        <x:v>the system loads only records and actions within the user's permitted tenant/school/data scope</x:v>
      </x:c>
      <x:c r="J674" s="339" t="str">
        <x:v>Positive</x:v>
      </x:c>
      <x:c r="K674" s="339" t="str">
        <x:v>Functional / Security</x:v>
      </x:c>
    </x:row>
    <x:row r="675">
      <x:c r="A675" s="339" t="str">
        <x:v>AC-00674</x:v>
      </x:c>
      <x:c r="B675" s="339" t="str">
        <x:v>US-0169</x:v>
      </x:c>
      <x:c r="C675" s="339" t="str">
        <x:v>SCR-085</x:v>
      </x:c>
      <x:c r="D675" s="339" t="str">
        <x:v>Teachers &amp; Staff</x:v>
      </x:c>
      <x:c r="E675" s="339" t="str">
        <x:v>Subject &amp; Class Assignment</x:v>
      </x:c>
      <x:c r="F675" s="339" t="str">
        <x:v>Successful Subject &amp; Class Assignment happy path</x:v>
      </x:c>
      <x:c r="G675" s="339" t="str">
        <x:v>all mandatory prerequisites and valid data are available</x:v>
      </x:c>
      <x:c r="H675" s="339" t="str">
        <x:v>the School Admin completes the primary action on Subject &amp; Class Assignment</x:v>
      </x:c>
      <x:c r="I675" s="339" t="str">
        <x:v>the system validates the request, saves it atomically, shows a clear confirmation and reflects the updated state</x:v>
      </x:c>
      <x:c r="J675" s="339" t="str">
        <x:v>Positive</x:v>
      </x:c>
      <x:c r="K675" s="339" t="str">
        <x:v>Functional</x:v>
      </x:c>
    </x:row>
    <x:row r="676">
      <x:c r="A676" s="339" t="str">
        <x:v>AC-00675</x:v>
      </x:c>
      <x:c r="B676" s="339" t="str">
        <x:v>US-0169</x:v>
      </x:c>
      <x:c r="C676" s="339" t="str">
        <x:v>SCR-085</x:v>
      </x:c>
      <x:c r="D676" s="339" t="str">
        <x:v>Teachers &amp; Staff</x:v>
      </x:c>
      <x:c r="E676" s="339" t="str">
        <x:v>Subject &amp; Class Assignment</x:v>
      </x:c>
      <x:c r="F676" s="339" t="str">
        <x:v>State and dependency integrity</x:v>
      </x:c>
      <x:c r="G676" s="339" t="str">
        <x:v>the current record is in an allowed state (Draft / Candidate → Active Employee → On Leave (operational) → Exited / Inactive)</x:v>
      </x:c>
      <x:c r="H676" s="339" t="str">
        <x:v>the user attempts a state-changing action</x:v>
      </x:c>
      <x:c r="I676" s="339" t="str">
        <x:v>only a valid transition is accepted and dependent records are updated according to configured business rules</x:v>
      </x:c>
      <x:c r="J676" s="339" t="str">
        <x:v>Positive</x:v>
      </x:c>
      <x:c r="K676" s="339" t="str">
        <x:v>Functional</x:v>
      </x:c>
    </x:row>
    <x:row r="677">
      <x:c r="A677" s="339" t="str">
        <x:v>AC-00676</x:v>
      </x:c>
      <x:c r="B677" s="339" t="str">
        <x:v>US-0169</x:v>
      </x:c>
      <x:c r="C677" s="339" t="str">
        <x:v>SCR-085</x:v>
      </x:c>
      <x:c r="D677" s="339" t="str">
        <x:v>Teachers &amp; Staff</x:v>
      </x:c>
      <x:c r="E677" s="339" t="str">
        <x:v>Subject &amp; Class Assignment</x:v>
      </x:c>
      <x:c r="F677" s="339" t="str">
        <x:v>Auditability</x:v>
      </x:c>
      <x:c r="G677" s="339" t="str">
        <x:v>a material create/update/approve/reverse action occurs</x:v>
      </x:c>
      <x:c r="H677" s="339" t="str">
        <x:v>the transaction succeeds</x:v>
      </x:c>
      <x:c r="I677" s="339" t="str">
        <x:v>the system records actor, timestamp, action, target and relevant before/after or reason context in the audit trail</x:v>
      </x:c>
      <x:c r="J677" s="339" t="str">
        <x:v>Positive</x:v>
      </x:c>
      <x:c r="K677" s="339" t="str">
        <x:v>Functional</x:v>
      </x:c>
    </x:row>
    <x:row r="678">
      <x:c r="A678" s="339" t="str">
        <x:v>AC-00677</x:v>
      </x:c>
      <x:c r="B678" s="339" t="str">
        <x:v>US-0170</x:v>
      </x:c>
      <x:c r="C678" s="339" t="str">
        <x:v>SCR-085</x:v>
      </x:c>
      <x:c r="D678" s="339" t="str">
        <x:v>Teachers &amp; Staff</x:v>
      </x:c>
      <x:c r="E678" s="339" t="str">
        <x:v>Subject &amp; Class Assignment</x:v>
      </x:c>
      <x:c r="F678" s="339" t="str">
        <x:v>Valid status transition</x:v>
      </x:c>
      <x:c r="G678" s="339" t="str">
        <x:v>the record is in a state described by Draft / Candidate → Active Employee → On Leave (operational) → Exited / Inactive</x:v>
      </x:c>
      <x:c r="H678" s="339" t="str">
        <x:v>the user requests a transition</x:v>
      </x:c>
      <x:c r="I678" s="339" t="str">
        <x:v>the system accepts only transitions allowed for that role and state</x:v>
      </x:c>
      <x:c r="J678" s="339" t="str">
        <x:v>Positive</x:v>
      </x:c>
      <x:c r="K678" s="339" t="str">
        <x:v>Functional</x:v>
      </x:c>
    </x:row>
    <x:row r="679">
      <x:c r="A679" s="339" t="str">
        <x:v>AC-00678</x:v>
      </x:c>
      <x:c r="B679" s="339" t="str">
        <x:v>US-0170</x:v>
      </x:c>
      <x:c r="C679" s="339" t="str">
        <x:v>SCR-085</x:v>
      </x:c>
      <x:c r="D679" s="339" t="str">
        <x:v>Teachers &amp; Staff</x:v>
      </x:c>
      <x:c r="E679" s="339" t="str">
        <x:v>Subject &amp; Class Assignment</x:v>
      </x:c>
      <x:c r="F679" s="339" t="str">
        <x:v>Approval authority</x:v>
      </x:c>
      <x:c r="G679" s="339" t="str">
        <x:v>an action requires approval</x:v>
      </x:c>
      <x:c r="H679" s="339" t="str">
        <x:v>a non-authorized user attempts approval/rejection</x:v>
      </x:c>
      <x:c r="I679" s="339" t="str">
        <x:v>the system denies the decision and does not change status</x:v>
      </x:c>
      <x:c r="J679" s="339" t="str">
        <x:v>Negative</x:v>
      </x:c>
      <x:c r="K679" s="339" t="str">
        <x:v>Functional</x:v>
      </x:c>
    </x:row>
    <x:row r="680">
      <x:c r="A680" s="339" t="str">
        <x:v>AC-00679</x:v>
      </x:c>
      <x:c r="B680" s="339" t="str">
        <x:v>US-0170</x:v>
      </x:c>
      <x:c r="C680" s="339" t="str">
        <x:v>SCR-085</x:v>
      </x:c>
      <x:c r="D680" s="339" t="str">
        <x:v>Teachers &amp; Staff</x:v>
      </x:c>
      <x:c r="E680" s="339" t="str">
        <x:v>Subject &amp; Class Assignment</x:v>
      </x:c>
      <x:c r="F680" s="339" t="str">
        <x:v>Failure rollback</x:v>
      </x:c>
      <x:c r="G680" s="339" t="str">
        <x:v>a downstream dependency fails during a multi-step transaction</x:v>
      </x:c>
      <x:c r="H680" s="339" t="str">
        <x:v>the workflow executes</x:v>
      </x:c>
      <x:c r="I680" s="339" t="str">
        <x:v>the system does not leave an invalid partial final state and surfaces a recoverable error</x:v>
      </x:c>
      <x:c r="J680" s="339" t="str">
        <x:v>Positive</x:v>
      </x:c>
      <x:c r="K680" s="339" t="str">
        <x:v>Functional</x:v>
      </x:c>
    </x:row>
    <x:row r="681">
      <x:c r="A681" s="339" t="str">
        <x:v>AC-00680</x:v>
      </x:c>
      <x:c r="B681" s="339" t="str">
        <x:v>US-0170</x:v>
      </x:c>
      <x:c r="C681" s="339" t="str">
        <x:v>SCR-085</x:v>
      </x:c>
      <x:c r="D681" s="339" t="str">
        <x:v>Teachers &amp; Staff</x:v>
      </x:c>
      <x:c r="E681" s="339" t="str">
        <x:v>Subject &amp; Class Assignment</x:v>
      </x:c>
      <x:c r="F681" s="339" t="str">
        <x:v>Exception traceability</x:v>
      </x:c>
      <x:c r="G681" s="339" t="str">
        <x:v>an authorized override/exception is used</x:v>
      </x:c>
      <x:c r="H681" s="339" t="str">
        <x:v>the action is confirmed</x:v>
      </x:c>
      <x:c r="I681" s="339" t="str">
        <x:v>the system requires reason/context and records it in the audit history</x:v>
      </x:c>
      <x:c r="J681" s="339" t="str">
        <x:v>Positive</x:v>
      </x:c>
      <x:c r="K681" s="339" t="str">
        <x:v>Functional</x:v>
      </x:c>
    </x:row>
    <x:row r="682">
      <x:c r="A682" s="339" t="str">
        <x:v>AC-00681</x:v>
      </x:c>
      <x:c r="B682" s="339" t="str">
        <x:v>US-0171</x:v>
      </x:c>
      <x:c r="C682" s="339" t="str">
        <x:v>SCR-086</x:v>
      </x:c>
      <x:c r="D682" s="339" t="str">
        <x:v>Teachers &amp; Staff</x:v>
      </x:c>
      <x:c r="E682" s="339" t="str">
        <x:v>Teacher Workload</x:v>
      </x:c>
      <x:c r="F682" s="339" t="str">
        <x:v>Authorized access to Teacher Workload</x:v>
      </x:c>
      <x:c r="G682" s="339" t="str">
        <x:v>the School Admin is authenticated and has access to Teacher Workload</x:v>
      </x:c>
      <x:c r="H682" s="339" t="str">
        <x:v>the user opens or invokes Teacher Workload</x:v>
      </x:c>
      <x:c r="I682" s="339" t="str">
        <x:v>the system loads only records and actions within the user's permitted tenant/school/data scope</x:v>
      </x:c>
      <x:c r="J682" s="339" t="str">
        <x:v>Positive</x:v>
      </x:c>
      <x:c r="K682" s="339" t="str">
        <x:v>Functional / Security</x:v>
      </x:c>
    </x:row>
    <x:row r="683">
      <x:c r="A683" s="339" t="str">
        <x:v>AC-00682</x:v>
      </x:c>
      <x:c r="B683" s="339" t="str">
        <x:v>US-0171</x:v>
      </x:c>
      <x:c r="C683" s="339" t="str">
        <x:v>SCR-086</x:v>
      </x:c>
      <x:c r="D683" s="339" t="str">
        <x:v>Teachers &amp; Staff</x:v>
      </x:c>
      <x:c r="E683" s="339" t="str">
        <x:v>Teacher Workload</x:v>
      </x:c>
      <x:c r="F683" s="339" t="str">
        <x:v>Successful Teacher Workload happy path</x:v>
      </x:c>
      <x:c r="G683" s="339" t="str">
        <x:v>all mandatory prerequisites and valid data are available</x:v>
      </x:c>
      <x:c r="H683" s="339" t="str">
        <x:v>the School Admin completes the primary action on Teacher Workload</x:v>
      </x:c>
      <x:c r="I683" s="339" t="str">
        <x:v>the system validates the request, saves it atomically, shows a clear confirmation and reflects the updated state</x:v>
      </x:c>
      <x:c r="J683" s="339" t="str">
        <x:v>Positive</x:v>
      </x:c>
      <x:c r="K683" s="339" t="str">
        <x:v>Functional</x:v>
      </x:c>
    </x:row>
    <x:row r="684">
      <x:c r="A684" s="339" t="str">
        <x:v>AC-00683</x:v>
      </x:c>
      <x:c r="B684" s="339" t="str">
        <x:v>US-0171</x:v>
      </x:c>
      <x:c r="C684" s="339" t="str">
        <x:v>SCR-086</x:v>
      </x:c>
      <x:c r="D684" s="339" t="str">
        <x:v>Teachers &amp; Staff</x:v>
      </x:c>
      <x:c r="E684" s="339" t="str">
        <x:v>Teacher Workload</x:v>
      </x:c>
      <x:c r="F684" s="339" t="str">
        <x:v>State and dependency integrity</x:v>
      </x:c>
      <x:c r="G684" s="339" t="str">
        <x:v>the current record is in an allowed state (Draft / Candidate → Active Employee → On Leave (operational) → Exited / Inactive)</x:v>
      </x:c>
      <x:c r="H684" s="339" t="str">
        <x:v>the user attempts a state-changing action</x:v>
      </x:c>
      <x:c r="I684" s="339" t="str">
        <x:v>only a valid transition is accepted and dependent records are updated according to configured business rules</x:v>
      </x:c>
      <x:c r="J684" s="339" t="str">
        <x:v>Positive</x:v>
      </x:c>
      <x:c r="K684" s="339" t="str">
        <x:v>Functional</x:v>
      </x:c>
    </x:row>
    <x:row r="685">
      <x:c r="A685" s="339" t="str">
        <x:v>AC-00684</x:v>
      </x:c>
      <x:c r="B685" s="339" t="str">
        <x:v>US-0171</x:v>
      </x:c>
      <x:c r="C685" s="339" t="str">
        <x:v>SCR-086</x:v>
      </x:c>
      <x:c r="D685" s="339" t="str">
        <x:v>Teachers &amp; Staff</x:v>
      </x:c>
      <x:c r="E685" s="339" t="str">
        <x:v>Teacher Workload</x:v>
      </x:c>
      <x:c r="F685" s="339" t="str">
        <x:v>Auditability</x:v>
      </x:c>
      <x:c r="G685" s="339" t="str">
        <x:v>a material create/update/approve/reverse action occurs</x:v>
      </x:c>
      <x:c r="H685" s="339" t="str">
        <x:v>the transaction succeeds</x:v>
      </x:c>
      <x:c r="I685" s="339" t="str">
        <x:v>the system records actor, timestamp, action, target and relevant before/after or reason context in the audit trail</x:v>
      </x:c>
      <x:c r="J685" s="339" t="str">
        <x:v>Positive</x:v>
      </x:c>
      <x:c r="K685" s="339" t="str">
        <x:v>Functional</x:v>
      </x:c>
    </x:row>
    <x:row r="686">
      <x:c r="A686" s="339" t="str">
        <x:v>AC-00685</x:v>
      </x:c>
      <x:c r="B686" s="339" t="str">
        <x:v>US-0172</x:v>
      </x:c>
      <x:c r="C686" s="339" t="str">
        <x:v>SCR-086</x:v>
      </x:c>
      <x:c r="D686" s="339" t="str">
        <x:v>Teachers &amp; Staff</x:v>
      </x:c>
      <x:c r="E686" s="339" t="str">
        <x:v>Teacher Workload</x:v>
      </x:c>
      <x:c r="F686" s="339" t="str">
        <x:v>Valid status transition</x:v>
      </x:c>
      <x:c r="G686" s="339" t="str">
        <x:v>the record is in a state described by Draft / Candidate → Active Employee → On Leave (operational) → Exited / Inactive</x:v>
      </x:c>
      <x:c r="H686" s="339" t="str">
        <x:v>the user requests a transition</x:v>
      </x:c>
      <x:c r="I686" s="339" t="str">
        <x:v>the system accepts only transitions allowed for that role and state</x:v>
      </x:c>
      <x:c r="J686" s="339" t="str">
        <x:v>Positive</x:v>
      </x:c>
      <x:c r="K686" s="339" t="str">
        <x:v>Functional</x:v>
      </x:c>
    </x:row>
    <x:row r="687">
      <x:c r="A687" s="339" t="str">
        <x:v>AC-00686</x:v>
      </x:c>
      <x:c r="B687" s="339" t="str">
        <x:v>US-0172</x:v>
      </x:c>
      <x:c r="C687" s="339" t="str">
        <x:v>SCR-086</x:v>
      </x:c>
      <x:c r="D687" s="339" t="str">
        <x:v>Teachers &amp; Staff</x:v>
      </x:c>
      <x:c r="E687" s="339" t="str">
        <x:v>Teacher Workload</x:v>
      </x:c>
      <x:c r="F687" s="339" t="str">
        <x:v>Approval authority</x:v>
      </x:c>
      <x:c r="G687" s="339" t="str">
        <x:v>an action requires approval</x:v>
      </x:c>
      <x:c r="H687" s="339" t="str">
        <x:v>a non-authorized user attempts approval/rejection</x:v>
      </x:c>
      <x:c r="I687" s="339" t="str">
        <x:v>the system denies the decision and does not change status</x:v>
      </x:c>
      <x:c r="J687" s="339" t="str">
        <x:v>Negative</x:v>
      </x:c>
      <x:c r="K687" s="339" t="str">
        <x:v>Functional</x:v>
      </x:c>
    </x:row>
    <x:row r="688">
      <x:c r="A688" s="339" t="str">
        <x:v>AC-00687</x:v>
      </x:c>
      <x:c r="B688" s="339" t="str">
        <x:v>US-0172</x:v>
      </x:c>
      <x:c r="C688" s="339" t="str">
        <x:v>SCR-086</x:v>
      </x:c>
      <x:c r="D688" s="339" t="str">
        <x:v>Teachers &amp; Staff</x:v>
      </x:c>
      <x:c r="E688" s="339" t="str">
        <x:v>Teacher Workload</x:v>
      </x:c>
      <x:c r="F688" s="339" t="str">
        <x:v>Failure rollback</x:v>
      </x:c>
      <x:c r="G688" s="339" t="str">
        <x:v>a downstream dependency fails during a multi-step transaction</x:v>
      </x:c>
      <x:c r="H688" s="339" t="str">
        <x:v>the workflow executes</x:v>
      </x:c>
      <x:c r="I688" s="339" t="str">
        <x:v>the system does not leave an invalid partial final state and surfaces a recoverable error</x:v>
      </x:c>
      <x:c r="J688" s="339" t="str">
        <x:v>Positive</x:v>
      </x:c>
      <x:c r="K688" s="339" t="str">
        <x:v>Functional</x:v>
      </x:c>
    </x:row>
    <x:row r="689">
      <x:c r="A689" s="339" t="str">
        <x:v>AC-00688</x:v>
      </x:c>
      <x:c r="B689" s="339" t="str">
        <x:v>US-0172</x:v>
      </x:c>
      <x:c r="C689" s="339" t="str">
        <x:v>SCR-086</x:v>
      </x:c>
      <x:c r="D689" s="339" t="str">
        <x:v>Teachers &amp; Staff</x:v>
      </x:c>
      <x:c r="E689" s="339" t="str">
        <x:v>Teacher Workload</x:v>
      </x:c>
      <x:c r="F689" s="339" t="str">
        <x:v>Exception traceability</x:v>
      </x:c>
      <x:c r="G689" s="339" t="str">
        <x:v>an authorized override/exception is used</x:v>
      </x:c>
      <x:c r="H689" s="339" t="str">
        <x:v>the action is confirmed</x:v>
      </x:c>
      <x:c r="I689" s="339" t="str">
        <x:v>the system requires reason/context and records it in the audit history</x:v>
      </x:c>
      <x:c r="J689" s="339" t="str">
        <x:v>Positive</x:v>
      </x:c>
      <x:c r="K689" s="339" t="str">
        <x:v>Functional</x:v>
      </x:c>
    </x:row>
    <x:row r="690">
      <x:c r="A690" s="339" t="str">
        <x:v>AC-00689</x:v>
      </x:c>
      <x:c r="B690" s="339" t="str">
        <x:v>US-0173</x:v>
      </x:c>
      <x:c r="C690" s="339" t="str">
        <x:v>SCR-087</x:v>
      </x:c>
      <x:c r="D690" s="339" t="str">
        <x:v>Teachers &amp; Staff</x:v>
      </x:c>
      <x:c r="E690" s="339" t="str">
        <x:v>Qualifications &amp; Documents</x:v>
      </x:c>
      <x:c r="F690" s="339" t="str">
        <x:v>Authorized access to Qualifications &amp; Documents</x:v>
      </x:c>
      <x:c r="G690" s="339" t="str">
        <x:v>the School Admin is authenticated and has access to Qualifications &amp; Documents</x:v>
      </x:c>
      <x:c r="H690" s="339" t="str">
        <x:v>the user opens or invokes Qualifications &amp; Documents</x:v>
      </x:c>
      <x:c r="I690" s="339" t="str">
        <x:v>the system loads only records and actions within the user's permitted tenant/school/data scope</x:v>
      </x:c>
      <x:c r="J690" s="339" t="str">
        <x:v>Positive</x:v>
      </x:c>
      <x:c r="K690" s="339" t="str">
        <x:v>Functional / Security</x:v>
      </x:c>
    </x:row>
    <x:row r="691">
      <x:c r="A691" s="339" t="str">
        <x:v>AC-00690</x:v>
      </x:c>
      <x:c r="B691" s="339" t="str">
        <x:v>US-0173</x:v>
      </x:c>
      <x:c r="C691" s="339" t="str">
        <x:v>SCR-087</x:v>
      </x:c>
      <x:c r="D691" s="339" t="str">
        <x:v>Teachers &amp; Staff</x:v>
      </x:c>
      <x:c r="E691" s="339" t="str">
        <x:v>Qualifications &amp; Documents</x:v>
      </x:c>
      <x:c r="F691" s="339" t="str">
        <x:v>Successful Qualifications &amp; Documents happy path</x:v>
      </x:c>
      <x:c r="G691" s="339" t="str">
        <x:v>all mandatory prerequisites and valid data are available</x:v>
      </x:c>
      <x:c r="H691" s="339" t="str">
        <x:v>the School Admin completes the primary action on Qualifications &amp; Documents</x:v>
      </x:c>
      <x:c r="I691" s="339" t="str">
        <x:v>the system validates the request, saves it atomically, shows a clear confirmation and reflects the updated state</x:v>
      </x:c>
      <x:c r="J691" s="339" t="str">
        <x:v>Positive</x:v>
      </x:c>
      <x:c r="K691" s="339" t="str">
        <x:v>Functional</x:v>
      </x:c>
    </x:row>
    <x:row r="692">
      <x:c r="A692" s="339" t="str">
        <x:v>AC-00691</x:v>
      </x:c>
      <x:c r="B692" s="339" t="str">
        <x:v>US-0173</x:v>
      </x:c>
      <x:c r="C692" s="339" t="str">
        <x:v>SCR-087</x:v>
      </x:c>
      <x:c r="D692" s="339" t="str">
        <x:v>Teachers &amp; Staff</x:v>
      </x:c>
      <x:c r="E692" s="339" t="str">
        <x:v>Qualifications &amp; Documents</x:v>
      </x:c>
      <x:c r="F692" s="339" t="str">
        <x:v>State and dependency integrity</x:v>
      </x:c>
      <x:c r="G692" s="339" t="str">
        <x:v>the current record is in an allowed state (Draft / Candidate → Active Employee → On Leave (operational) → Exited / Inactive)</x:v>
      </x:c>
      <x:c r="H692" s="339" t="str">
        <x:v>the user attempts a state-changing action</x:v>
      </x:c>
      <x:c r="I692" s="339" t="str">
        <x:v>only a valid transition is accepted and dependent records are updated according to configured business rules</x:v>
      </x:c>
      <x:c r="J692" s="339" t="str">
        <x:v>Positive</x:v>
      </x:c>
      <x:c r="K692" s="339" t="str">
        <x:v>Functional</x:v>
      </x:c>
    </x:row>
    <x:row r="693">
      <x:c r="A693" s="339" t="str">
        <x:v>AC-00692</x:v>
      </x:c>
      <x:c r="B693" s="339" t="str">
        <x:v>US-0173</x:v>
      </x:c>
      <x:c r="C693" s="339" t="str">
        <x:v>SCR-087</x:v>
      </x:c>
      <x:c r="D693" s="339" t="str">
        <x:v>Teachers &amp; Staff</x:v>
      </x:c>
      <x:c r="E693" s="339" t="str">
        <x:v>Qualifications &amp; Documents</x:v>
      </x:c>
      <x:c r="F693" s="339" t="str">
        <x:v>Auditability</x:v>
      </x:c>
      <x:c r="G693" s="339" t="str">
        <x:v>a material create/update/approve/reverse action occurs</x:v>
      </x:c>
      <x:c r="H693" s="339" t="str">
        <x:v>the transaction succeeds</x:v>
      </x:c>
      <x:c r="I693" s="339" t="str">
        <x:v>the system records actor, timestamp, action, target and relevant before/after or reason context in the audit trail</x:v>
      </x:c>
      <x:c r="J693" s="339" t="str">
        <x:v>Positive</x:v>
      </x:c>
      <x:c r="K693" s="339" t="str">
        <x:v>Functional</x:v>
      </x:c>
    </x:row>
    <x:row r="694">
      <x:c r="A694" s="339" t="str">
        <x:v>AC-00693</x:v>
      </x:c>
      <x:c r="B694" s="339" t="str">
        <x:v>US-0174</x:v>
      </x:c>
      <x:c r="C694" s="339" t="str">
        <x:v>SCR-087</x:v>
      </x:c>
      <x:c r="D694" s="339" t="str">
        <x:v>Teachers &amp; Staff</x:v>
      </x:c>
      <x:c r="E694" s="339" t="str">
        <x:v>Qualifications &amp; Documents</x:v>
      </x:c>
      <x:c r="F694" s="339" t="str">
        <x:v>Valid status transition</x:v>
      </x:c>
      <x:c r="G694" s="339" t="str">
        <x:v>the record is in a state described by Draft / Candidate → Active Employee → On Leave (operational) → Exited / Inactive</x:v>
      </x:c>
      <x:c r="H694" s="339" t="str">
        <x:v>the user requests a transition</x:v>
      </x:c>
      <x:c r="I694" s="339" t="str">
        <x:v>the system accepts only transitions allowed for that role and state</x:v>
      </x:c>
      <x:c r="J694" s="339" t="str">
        <x:v>Positive</x:v>
      </x:c>
      <x:c r="K694" s="339" t="str">
        <x:v>Functional</x:v>
      </x:c>
    </x:row>
    <x:row r="695">
      <x:c r="A695" s="339" t="str">
        <x:v>AC-00694</x:v>
      </x:c>
      <x:c r="B695" s="339" t="str">
        <x:v>US-0174</x:v>
      </x:c>
      <x:c r="C695" s="339" t="str">
        <x:v>SCR-087</x:v>
      </x:c>
      <x:c r="D695" s="339" t="str">
        <x:v>Teachers &amp; Staff</x:v>
      </x:c>
      <x:c r="E695" s="339" t="str">
        <x:v>Qualifications &amp; Documents</x:v>
      </x:c>
      <x:c r="F695" s="339" t="str">
        <x:v>Approval authority</x:v>
      </x:c>
      <x:c r="G695" s="339" t="str">
        <x:v>an action requires approval</x:v>
      </x:c>
      <x:c r="H695" s="339" t="str">
        <x:v>a non-authorized user attempts approval/rejection</x:v>
      </x:c>
      <x:c r="I695" s="339" t="str">
        <x:v>the system denies the decision and does not change status</x:v>
      </x:c>
      <x:c r="J695" s="339" t="str">
        <x:v>Negative</x:v>
      </x:c>
      <x:c r="K695" s="339" t="str">
        <x:v>Functional</x:v>
      </x:c>
    </x:row>
    <x:row r="696">
      <x:c r="A696" s="339" t="str">
        <x:v>AC-00695</x:v>
      </x:c>
      <x:c r="B696" s="339" t="str">
        <x:v>US-0174</x:v>
      </x:c>
      <x:c r="C696" s="339" t="str">
        <x:v>SCR-087</x:v>
      </x:c>
      <x:c r="D696" s="339" t="str">
        <x:v>Teachers &amp; Staff</x:v>
      </x:c>
      <x:c r="E696" s="339" t="str">
        <x:v>Qualifications &amp; Documents</x:v>
      </x:c>
      <x:c r="F696" s="339" t="str">
        <x:v>Failure rollback</x:v>
      </x:c>
      <x:c r="G696" s="339" t="str">
        <x:v>a downstream dependency fails during a multi-step transaction</x:v>
      </x:c>
      <x:c r="H696" s="339" t="str">
        <x:v>the workflow executes</x:v>
      </x:c>
      <x:c r="I696" s="339" t="str">
        <x:v>the system does not leave an invalid partial final state and surfaces a recoverable error</x:v>
      </x:c>
      <x:c r="J696" s="339" t="str">
        <x:v>Positive</x:v>
      </x:c>
      <x:c r="K696" s="339" t="str">
        <x:v>Functional</x:v>
      </x:c>
    </x:row>
    <x:row r="697">
      <x:c r="A697" s="339" t="str">
        <x:v>AC-00696</x:v>
      </x:c>
      <x:c r="B697" s="339" t="str">
        <x:v>US-0174</x:v>
      </x:c>
      <x:c r="C697" s="339" t="str">
        <x:v>SCR-087</x:v>
      </x:c>
      <x:c r="D697" s="339" t="str">
        <x:v>Teachers &amp; Staff</x:v>
      </x:c>
      <x:c r="E697" s="339" t="str">
        <x:v>Qualifications &amp; Documents</x:v>
      </x:c>
      <x:c r="F697" s="339" t="str">
        <x:v>Exception traceability</x:v>
      </x:c>
      <x:c r="G697" s="339" t="str">
        <x:v>an authorized override/exception is used</x:v>
      </x:c>
      <x:c r="H697" s="339" t="str">
        <x:v>the action is confirmed</x:v>
      </x:c>
      <x:c r="I697" s="339" t="str">
        <x:v>the system requires reason/context and records it in the audit history</x:v>
      </x:c>
      <x:c r="J697" s="339" t="str">
        <x:v>Positive</x:v>
      </x:c>
      <x:c r="K697" s="339" t="str">
        <x:v>Functional</x:v>
      </x:c>
    </x:row>
    <x:row r="698">
      <x:c r="A698" s="339" t="str">
        <x:v>AC-00697</x:v>
      </x:c>
      <x:c r="B698" s="339" t="str">
        <x:v>US-0175</x:v>
      </x:c>
      <x:c r="C698" s="339" t="str">
        <x:v>SCR-088</x:v>
      </x:c>
      <x:c r="D698" s="339" t="str">
        <x:v>Teachers &amp; Staff</x:v>
      </x:c>
      <x:c r="E698" s="339" t="str">
        <x:v>Staff Attendance Summary</x:v>
      </x:c>
      <x:c r="F698" s="339" t="str">
        <x:v>Authorized access to Staff Attendance Summary</x:v>
      </x:c>
      <x:c r="G698" s="339" t="str">
        <x:v>the School Admin is authenticated and has access to Staff Attendance Summary</x:v>
      </x:c>
      <x:c r="H698" s="339" t="str">
        <x:v>the user opens or invokes Staff Attendance Summary</x:v>
      </x:c>
      <x:c r="I698" s="339" t="str">
        <x:v>the system loads only records and actions within the user's permitted tenant/school/data scope</x:v>
      </x:c>
      <x:c r="J698" s="339" t="str">
        <x:v>Positive</x:v>
      </x:c>
      <x:c r="K698" s="339" t="str">
        <x:v>Functional / Security</x:v>
      </x:c>
    </x:row>
    <x:row r="699">
      <x:c r="A699" s="339" t="str">
        <x:v>AC-00698</x:v>
      </x:c>
      <x:c r="B699" s="339" t="str">
        <x:v>US-0175</x:v>
      </x:c>
      <x:c r="C699" s="339" t="str">
        <x:v>SCR-088</x:v>
      </x:c>
      <x:c r="D699" s="339" t="str">
        <x:v>Teachers &amp; Staff</x:v>
      </x:c>
      <x:c r="E699" s="339" t="str">
        <x:v>Staff Attendance Summary</x:v>
      </x:c>
      <x:c r="F699" s="339" t="str">
        <x:v>Successful Staff Attendance Summary happy path</x:v>
      </x:c>
      <x:c r="G699" s="339" t="str">
        <x:v>all mandatory prerequisites and valid data are available</x:v>
      </x:c>
      <x:c r="H699" s="339" t="str">
        <x:v>the School Admin completes the primary action on Staff Attendance Summary</x:v>
      </x:c>
      <x:c r="I699" s="339" t="str">
        <x:v>the system validates the request, saves it atomically, shows a clear confirmation and reflects the updated state</x:v>
      </x:c>
      <x:c r="J699" s="339" t="str">
        <x:v>Positive</x:v>
      </x:c>
      <x:c r="K699" s="339" t="str">
        <x:v>Functional</x:v>
      </x:c>
    </x:row>
    <x:row r="700">
      <x:c r="A700" s="339" t="str">
        <x:v>AC-00699</x:v>
      </x:c>
      <x:c r="B700" s="339" t="str">
        <x:v>US-0175</x:v>
      </x:c>
      <x:c r="C700" s="339" t="str">
        <x:v>SCR-088</x:v>
      </x:c>
      <x:c r="D700" s="339" t="str">
        <x:v>Teachers &amp; Staff</x:v>
      </x:c>
      <x:c r="E700" s="339" t="str">
        <x:v>Staff Attendance Summary</x:v>
      </x:c>
      <x:c r="F700" s="339" t="str">
        <x:v>State and dependency integrity</x:v>
      </x:c>
      <x:c r="G700" s="339" t="str">
        <x:v>the current record is in an allowed state (Draft / Candidate → Active Employee → On Leave (operational) → Exited / Inactive)</x:v>
      </x:c>
      <x:c r="H700" s="339" t="str">
        <x:v>the user attempts a state-changing action</x:v>
      </x:c>
      <x:c r="I700" s="339" t="str">
        <x:v>only a valid transition is accepted and dependent records are updated according to configured business rules</x:v>
      </x:c>
      <x:c r="J700" s="339" t="str">
        <x:v>Positive</x:v>
      </x:c>
      <x:c r="K700" s="339" t="str">
        <x:v>Functional</x:v>
      </x:c>
    </x:row>
    <x:row r="701">
      <x:c r="A701" s="339" t="str">
        <x:v>AC-00700</x:v>
      </x:c>
      <x:c r="B701" s="339" t="str">
        <x:v>US-0175</x:v>
      </x:c>
      <x:c r="C701" s="339" t="str">
        <x:v>SCR-088</x:v>
      </x:c>
      <x:c r="D701" s="339" t="str">
        <x:v>Teachers &amp; Staff</x:v>
      </x:c>
      <x:c r="E701" s="339" t="str">
        <x:v>Staff Attendance Summary</x:v>
      </x:c>
      <x:c r="F701" s="339" t="str">
        <x:v>Auditability</x:v>
      </x:c>
      <x:c r="G701" s="339" t="str">
        <x:v>a material create/update/approve/reverse action occurs</x:v>
      </x:c>
      <x:c r="H701" s="339" t="str">
        <x:v>the transaction succeeds</x:v>
      </x:c>
      <x:c r="I701" s="339" t="str">
        <x:v>the system records actor, timestamp, action, target and relevant before/after or reason context in the audit trail</x:v>
      </x:c>
      <x:c r="J701" s="339" t="str">
        <x:v>Positive</x:v>
      </x:c>
      <x:c r="K701" s="339" t="str">
        <x:v>Functional</x:v>
      </x:c>
    </x:row>
    <x:row r="702">
      <x:c r="A702" s="339" t="str">
        <x:v>AC-00701</x:v>
      </x:c>
      <x:c r="B702" s="339" t="str">
        <x:v>US-0176</x:v>
      </x:c>
      <x:c r="C702" s="339" t="str">
        <x:v>SCR-088</x:v>
      </x:c>
      <x:c r="D702" s="339" t="str">
        <x:v>Teachers &amp; Staff</x:v>
      </x:c>
      <x:c r="E702" s="339" t="str">
        <x:v>Staff Attendance Summary</x:v>
      </x:c>
      <x:c r="F702" s="339" t="str">
        <x:v>Filter accuracy</x:v>
      </x:c>
      <x:c r="G702" s="339" t="str">
        <x:v>source data exists across multiple periods/scopes</x:v>
      </x:c>
      <x:c r="H702" s="339" t="str">
        <x:v>the user applies report filters</x:v>
      </x:c>
      <x:c r="I702" s="339" t="str">
        <x:v>aggregates and rows include only authorized data matching the filters</x:v>
      </x:c>
      <x:c r="J702" s="339" t="str">
        <x:v>Positive</x:v>
      </x:c>
      <x:c r="K702" s="339" t="str">
        <x:v>Functional</x:v>
      </x:c>
    </x:row>
    <x:row r="703">
      <x:c r="A703" s="339" t="str">
        <x:v>AC-00702</x:v>
      </x:c>
      <x:c r="B703" s="339" t="str">
        <x:v>US-0176</x:v>
      </x:c>
      <x:c r="C703" s="339" t="str">
        <x:v>SCR-088</x:v>
      </x:c>
      <x:c r="D703" s="339" t="str">
        <x:v>Teachers &amp; Staff</x:v>
      </x:c>
      <x:c r="E703" s="339" t="str">
        <x:v>Staff Attendance Summary</x:v>
      </x:c>
      <x:c r="F703" s="339" t="str">
        <x:v>Formula consistency</x:v>
      </x:c>
      <x:c r="G703" s="339" t="str">
        <x:v>the report contains calculated metrics</x:v>
      </x:c>
      <x:c r="H703" s="339" t="str">
        <x:v>the report is generated</x:v>
      </x:c>
      <x:c r="I703" s="339" t="str">
        <x:v>calculations follow the approved rule: No special calculation unless configured; derived fields use authoritative source data and explicit effective-date rules.</x:v>
      </x:c>
      <x:c r="J703" s="339" t="str">
        <x:v>Positive</x:v>
      </x:c>
      <x:c r="K703" s="339" t="str">
        <x:v>Functional</x:v>
      </x:c>
    </x:row>
    <x:row r="704">
      <x:c r="A704" s="339" t="str">
        <x:v>AC-00703</x:v>
      </x:c>
      <x:c r="B704" s="339" t="str">
        <x:v>US-0176</x:v>
      </x:c>
      <x:c r="C704" s="339" t="str">
        <x:v>SCR-088</x:v>
      </x:c>
      <x:c r="D704" s="339" t="str">
        <x:v>Teachers &amp; Staff</x:v>
      </x:c>
      <x:c r="E704" s="339" t="str">
        <x:v>Staff Attendance Summary</x:v>
      </x:c>
      <x:c r="F704" s="339" t="str">
        <x:v>Reconciliation</x:v>
      </x:c>
      <x:c r="G704" s="339" t="str">
        <x:v>a report total is displayed</x:v>
      </x:c>
      <x:c r="H704" s="339" t="str">
        <x:v>the user drills to supporting data</x:v>
      </x:c>
      <x:c r="I704" s="339" t="str">
        <x:v>the supporting rows reconcile to the displayed total within defined rounding rules</x:v>
      </x:c>
      <x:c r="J704" s="339" t="str">
        <x:v>Positive</x:v>
      </x:c>
      <x:c r="K704" s="339" t="str">
        <x:v>Functional</x:v>
      </x:c>
    </x:row>
    <x:row r="705">
      <x:c r="A705" s="339" t="str">
        <x:v>AC-00704</x:v>
      </x:c>
      <x:c r="B705" s="339" t="str">
        <x:v>US-0176</x:v>
      </x:c>
      <x:c r="C705" s="339" t="str">
        <x:v>SCR-088</x:v>
      </x:c>
      <x:c r="D705" s="339" t="str">
        <x:v>Teachers &amp; Staff</x:v>
      </x:c>
      <x:c r="E705" s="339" t="str">
        <x:v>Staff Attendance Summary</x:v>
      </x:c>
      <x:c r="F705" s="339" t="str">
        <x:v>Export fidelity</x:v>
      </x:c>
      <x:c r="G705" s="339" t="str">
        <x:v>the user has export permission</x:v>
      </x:c>
      <x:c r="H705" s="339" t="str">
        <x:v>the report is exported</x:v>
      </x:c>
      <x:c r="I705" s="339" t="str">
        <x:v>the export preserves filter context, values and permitted columns and includes a run timestamp/context where appropriate</x:v>
      </x:c>
      <x:c r="J705" s="339" t="str">
        <x:v>Positive</x:v>
      </x:c>
      <x:c r="K705" s="339" t="str">
        <x:v>Functional</x:v>
      </x:c>
    </x:row>
    <x:row r="706">
      <x:c r="A706" s="339" t="str">
        <x:v>AC-00705</x:v>
      </x:c>
      <x:c r="B706" s="339" t="str">
        <x:v>US-0177</x:v>
      </x:c>
      <x:c r="C706" s="339" t="str">
        <x:v>SCR-089</x:v>
      </x:c>
      <x:c r="D706" s="339" t="str">
        <x:v>Teachers &amp; Staff</x:v>
      </x:c>
      <x:c r="E706" s="339" t="str">
        <x:v>Staff Leave Summary</x:v>
      </x:c>
      <x:c r="F706" s="339" t="str">
        <x:v>Authorized access to Staff Leave Summary</x:v>
      </x:c>
      <x:c r="G706" s="339" t="str">
        <x:v>the School Admin is authenticated and has access to Staff Leave Summary</x:v>
      </x:c>
      <x:c r="H706" s="339" t="str">
        <x:v>the user opens or invokes Staff Leave Summary</x:v>
      </x:c>
      <x:c r="I706" s="339" t="str">
        <x:v>the system loads only records and actions within the user's permitted tenant/school/data scope</x:v>
      </x:c>
      <x:c r="J706" s="339" t="str">
        <x:v>Positive</x:v>
      </x:c>
      <x:c r="K706" s="339" t="str">
        <x:v>Functional / Security</x:v>
      </x:c>
    </x:row>
    <x:row r="707">
      <x:c r="A707" s="339" t="str">
        <x:v>AC-00706</x:v>
      </x:c>
      <x:c r="B707" s="339" t="str">
        <x:v>US-0177</x:v>
      </x:c>
      <x:c r="C707" s="339" t="str">
        <x:v>SCR-089</x:v>
      </x:c>
      <x:c r="D707" s="339" t="str">
        <x:v>Teachers &amp; Staff</x:v>
      </x:c>
      <x:c r="E707" s="339" t="str">
        <x:v>Staff Leave Summary</x:v>
      </x:c>
      <x:c r="F707" s="339" t="str">
        <x:v>Successful Staff Leave Summary happy path</x:v>
      </x:c>
      <x:c r="G707" s="339" t="str">
        <x:v>all mandatory prerequisites and valid data are available</x:v>
      </x:c>
      <x:c r="H707" s="339" t="str">
        <x:v>the School Admin completes the primary action on Staff Leave Summary</x:v>
      </x:c>
      <x:c r="I707" s="339" t="str">
        <x:v>the system validates the request, saves it atomically, shows a clear confirmation and reflects the updated state</x:v>
      </x:c>
      <x:c r="J707" s="339" t="str">
        <x:v>Positive</x:v>
      </x:c>
      <x:c r="K707" s="339" t="str">
        <x:v>Functional</x:v>
      </x:c>
    </x:row>
    <x:row r="708">
      <x:c r="A708" s="339" t="str">
        <x:v>AC-00707</x:v>
      </x:c>
      <x:c r="B708" s="339" t="str">
        <x:v>US-0177</x:v>
      </x:c>
      <x:c r="C708" s="339" t="str">
        <x:v>SCR-089</x:v>
      </x:c>
      <x:c r="D708" s="339" t="str">
        <x:v>Teachers &amp; Staff</x:v>
      </x:c>
      <x:c r="E708" s="339" t="str">
        <x:v>Staff Leave Summary</x:v>
      </x:c>
      <x:c r="F708" s="339" t="str">
        <x:v>State and dependency integrity</x:v>
      </x:c>
      <x:c r="G708" s="339" t="str">
        <x:v>the current record is in an allowed state (Draft / Candidate → Active Employee → On Leave (operational) → Exited / Inactive)</x:v>
      </x:c>
      <x:c r="H708" s="339" t="str">
        <x:v>the user attempts a state-changing action</x:v>
      </x:c>
      <x:c r="I708" s="339" t="str">
        <x:v>only a valid transition is accepted and dependent records are updated according to configured business rules</x:v>
      </x:c>
      <x:c r="J708" s="339" t="str">
        <x:v>Positive</x:v>
      </x:c>
      <x:c r="K708" s="339" t="str">
        <x:v>Functional</x:v>
      </x:c>
    </x:row>
    <x:row r="709">
      <x:c r="A709" s="339" t="str">
        <x:v>AC-00708</x:v>
      </x:c>
      <x:c r="B709" s="339" t="str">
        <x:v>US-0177</x:v>
      </x:c>
      <x:c r="C709" s="339" t="str">
        <x:v>SCR-089</x:v>
      </x:c>
      <x:c r="D709" s="339" t="str">
        <x:v>Teachers &amp; Staff</x:v>
      </x:c>
      <x:c r="E709" s="339" t="str">
        <x:v>Staff Leave Summary</x:v>
      </x:c>
      <x:c r="F709" s="339" t="str">
        <x:v>Auditability</x:v>
      </x:c>
      <x:c r="G709" s="339" t="str">
        <x:v>a material create/update/approve/reverse action occurs</x:v>
      </x:c>
      <x:c r="H709" s="339" t="str">
        <x:v>the transaction succeeds</x:v>
      </x:c>
      <x:c r="I709" s="339" t="str">
        <x:v>the system records actor, timestamp, action, target and relevant before/after or reason context in the audit trail</x:v>
      </x:c>
      <x:c r="J709" s="339" t="str">
        <x:v>Positive</x:v>
      </x:c>
      <x:c r="K709" s="339" t="str">
        <x:v>Functional</x:v>
      </x:c>
    </x:row>
    <x:row r="710">
      <x:c r="A710" s="339" t="str">
        <x:v>AC-00709</x:v>
      </x:c>
      <x:c r="B710" s="339" t="str">
        <x:v>US-0178</x:v>
      </x:c>
      <x:c r="C710" s="339" t="str">
        <x:v>SCR-089</x:v>
      </x:c>
      <x:c r="D710" s="339" t="str">
        <x:v>Teachers &amp; Staff</x:v>
      </x:c>
      <x:c r="E710" s="339" t="str">
        <x:v>Staff Leave Summary</x:v>
      </x:c>
      <x:c r="F710" s="339" t="str">
        <x:v>Filter accuracy</x:v>
      </x:c>
      <x:c r="G710" s="339" t="str">
        <x:v>source data exists across multiple periods/scopes</x:v>
      </x:c>
      <x:c r="H710" s="339" t="str">
        <x:v>the user applies report filters</x:v>
      </x:c>
      <x:c r="I710" s="339" t="str">
        <x:v>aggregates and rows include only authorized data matching the filters</x:v>
      </x:c>
      <x:c r="J710" s="339" t="str">
        <x:v>Positive</x:v>
      </x:c>
      <x:c r="K710" s="339" t="str">
        <x:v>Functional</x:v>
      </x:c>
    </x:row>
    <x:row r="711">
      <x:c r="A711" s="339" t="str">
        <x:v>AC-00710</x:v>
      </x:c>
      <x:c r="B711" s="339" t="str">
        <x:v>US-0178</x:v>
      </x:c>
      <x:c r="C711" s="339" t="str">
        <x:v>SCR-089</x:v>
      </x:c>
      <x:c r="D711" s="339" t="str">
        <x:v>Teachers &amp; Staff</x:v>
      </x:c>
      <x:c r="E711" s="339" t="str">
        <x:v>Staff Leave Summary</x:v>
      </x:c>
      <x:c r="F711" s="339" t="str">
        <x:v>Formula consistency</x:v>
      </x:c>
      <x:c r="G711" s="339" t="str">
        <x:v>the report contains calculated metrics</x:v>
      </x:c>
      <x:c r="H711" s="339" t="str">
        <x:v>the report is generated</x:v>
      </x:c>
      <x:c r="I711" s="339" t="str">
        <x:v>calculations follow the approved rule: No special calculation unless configured; derived fields use authoritative source data and explicit effective-date rules.</x:v>
      </x:c>
      <x:c r="J711" s="339" t="str">
        <x:v>Positive</x:v>
      </x:c>
      <x:c r="K711" s="339" t="str">
        <x:v>Functional</x:v>
      </x:c>
    </x:row>
    <x:row r="712">
      <x:c r="A712" s="339" t="str">
        <x:v>AC-00711</x:v>
      </x:c>
      <x:c r="B712" s="339" t="str">
        <x:v>US-0178</x:v>
      </x:c>
      <x:c r="C712" s="339" t="str">
        <x:v>SCR-089</x:v>
      </x:c>
      <x:c r="D712" s="339" t="str">
        <x:v>Teachers &amp; Staff</x:v>
      </x:c>
      <x:c r="E712" s="339" t="str">
        <x:v>Staff Leave Summary</x:v>
      </x:c>
      <x:c r="F712" s="339" t="str">
        <x:v>Reconciliation</x:v>
      </x:c>
      <x:c r="G712" s="339" t="str">
        <x:v>a report total is displayed</x:v>
      </x:c>
      <x:c r="H712" s="339" t="str">
        <x:v>the user drills to supporting data</x:v>
      </x:c>
      <x:c r="I712" s="339" t="str">
        <x:v>the supporting rows reconcile to the displayed total within defined rounding rules</x:v>
      </x:c>
      <x:c r="J712" s="339" t="str">
        <x:v>Positive</x:v>
      </x:c>
      <x:c r="K712" s="339" t="str">
        <x:v>Functional</x:v>
      </x:c>
    </x:row>
    <x:row r="713">
      <x:c r="A713" s="339" t="str">
        <x:v>AC-00712</x:v>
      </x:c>
      <x:c r="B713" s="339" t="str">
        <x:v>US-0178</x:v>
      </x:c>
      <x:c r="C713" s="339" t="str">
        <x:v>SCR-089</x:v>
      </x:c>
      <x:c r="D713" s="339" t="str">
        <x:v>Teachers &amp; Staff</x:v>
      </x:c>
      <x:c r="E713" s="339" t="str">
        <x:v>Staff Leave Summary</x:v>
      </x:c>
      <x:c r="F713" s="339" t="str">
        <x:v>Export fidelity</x:v>
      </x:c>
      <x:c r="G713" s="339" t="str">
        <x:v>the user has export permission</x:v>
      </x:c>
      <x:c r="H713" s="339" t="str">
        <x:v>the report is exported</x:v>
      </x:c>
      <x:c r="I713" s="339" t="str">
        <x:v>the export preserves filter context, values and permitted columns and includes a run timestamp/context where appropriate</x:v>
      </x:c>
      <x:c r="J713" s="339" t="str">
        <x:v>Positive</x:v>
      </x:c>
      <x:c r="K713" s="339" t="str">
        <x:v>Functional</x:v>
      </x:c>
    </x:row>
    <x:row r="714">
      <x:c r="A714" s="339" t="str">
        <x:v>AC-00713</x:v>
      </x:c>
      <x:c r="B714" s="339" t="str">
        <x:v>US-0179</x:v>
      </x:c>
      <x:c r="C714" s="339" t="str">
        <x:v>SCR-090</x:v>
      </x:c>
      <x:c r="D714" s="339" t="str">
        <x:v>Teachers &amp; Staff</x:v>
      </x:c>
      <x:c r="E714" s="339" t="str">
        <x:v>Performance &amp; Classroom Observation</x:v>
      </x:c>
      <x:c r="F714" s="339" t="str">
        <x:v>Authorized access to Performance &amp; Classroom Observation</x:v>
      </x:c>
      <x:c r="G714" s="339" t="str">
        <x:v>the School Admin is authenticated and has access to Performance &amp; Classroom Observation</x:v>
      </x:c>
      <x:c r="H714" s="339" t="str">
        <x:v>the user opens or invokes Performance &amp; Classroom Observation</x:v>
      </x:c>
      <x:c r="I714" s="339" t="str">
        <x:v>the system loads only records and actions within the user's permitted tenant/school/data scope</x:v>
      </x:c>
      <x:c r="J714" s="339" t="str">
        <x:v>Positive</x:v>
      </x:c>
      <x:c r="K714" s="339" t="str">
        <x:v>Functional / Security</x:v>
      </x:c>
    </x:row>
    <x:row r="715">
      <x:c r="A715" s="339" t="str">
        <x:v>AC-00714</x:v>
      </x:c>
      <x:c r="B715" s="339" t="str">
        <x:v>US-0179</x:v>
      </x:c>
      <x:c r="C715" s="339" t="str">
        <x:v>SCR-090</x:v>
      </x:c>
      <x:c r="D715" s="339" t="str">
        <x:v>Teachers &amp; Staff</x:v>
      </x:c>
      <x:c r="E715" s="339" t="str">
        <x:v>Performance &amp; Classroom Observation</x:v>
      </x:c>
      <x:c r="F715" s="339" t="str">
        <x:v>Successful Performance &amp; Classroom Observation happy path</x:v>
      </x:c>
      <x:c r="G715" s="339" t="str">
        <x:v>all mandatory prerequisites and valid data are available</x:v>
      </x:c>
      <x:c r="H715" s="339" t="str">
        <x:v>the School Admin completes the primary action on Performance &amp; Classroom Observation</x:v>
      </x:c>
      <x:c r="I715" s="339" t="str">
        <x:v>the system validates the request, saves it atomically, shows a clear confirmation and reflects the updated state</x:v>
      </x:c>
      <x:c r="J715" s="339" t="str">
        <x:v>Positive</x:v>
      </x:c>
      <x:c r="K715" s="339" t="str">
        <x:v>Functional</x:v>
      </x:c>
    </x:row>
    <x:row r="716">
      <x:c r="A716" s="339" t="str">
        <x:v>AC-00715</x:v>
      </x:c>
      <x:c r="B716" s="339" t="str">
        <x:v>US-0179</x:v>
      </x:c>
      <x:c r="C716" s="339" t="str">
        <x:v>SCR-090</x:v>
      </x:c>
      <x:c r="D716" s="339" t="str">
        <x:v>Teachers &amp; Staff</x:v>
      </x:c>
      <x:c r="E716" s="339" t="str">
        <x:v>Performance &amp; Classroom Observation</x:v>
      </x:c>
      <x:c r="F716" s="339" t="str">
        <x:v>State and dependency integrity</x:v>
      </x:c>
      <x:c r="G716" s="339" t="str">
        <x:v>the current record is in an allowed state (Draft / Candidate → Active Employee → On Leave (operational) → Exited / Inactive)</x:v>
      </x:c>
      <x:c r="H716" s="339" t="str">
        <x:v>the user attempts a state-changing action</x:v>
      </x:c>
      <x:c r="I716" s="339" t="str">
        <x:v>only a valid transition is accepted and dependent records are updated according to configured business rules</x:v>
      </x:c>
      <x:c r="J716" s="339" t="str">
        <x:v>Positive</x:v>
      </x:c>
      <x:c r="K716" s="339" t="str">
        <x:v>Functional</x:v>
      </x:c>
    </x:row>
    <x:row r="717">
      <x:c r="A717" s="339" t="str">
        <x:v>AC-00716</x:v>
      </x:c>
      <x:c r="B717" s="339" t="str">
        <x:v>US-0179</x:v>
      </x:c>
      <x:c r="C717" s="339" t="str">
        <x:v>SCR-090</x:v>
      </x:c>
      <x:c r="D717" s="339" t="str">
        <x:v>Teachers &amp; Staff</x:v>
      </x:c>
      <x:c r="E717" s="339" t="str">
        <x:v>Performance &amp; Classroom Observation</x:v>
      </x:c>
      <x:c r="F717" s="339" t="str">
        <x:v>Auditability</x:v>
      </x:c>
      <x:c r="G717" s="339" t="str">
        <x:v>a material create/update/approve/reverse action occurs</x:v>
      </x:c>
      <x:c r="H717" s="339" t="str">
        <x:v>the transaction succeeds</x:v>
      </x:c>
      <x:c r="I717" s="339" t="str">
        <x:v>the system records actor, timestamp, action, target and relevant before/after or reason context in the audit trail</x:v>
      </x:c>
      <x:c r="J717" s="339" t="str">
        <x:v>Positive</x:v>
      </x:c>
      <x:c r="K717" s="339" t="str">
        <x:v>Functional</x:v>
      </x:c>
    </x:row>
    <x:row r="718">
      <x:c r="A718" s="339" t="str">
        <x:v>AC-00717</x:v>
      </x:c>
      <x:c r="B718" s="339" t="str">
        <x:v>US-0180</x:v>
      </x:c>
      <x:c r="C718" s="339" t="str">
        <x:v>SCR-090</x:v>
      </x:c>
      <x:c r="D718" s="339" t="str">
        <x:v>Teachers &amp; Staff</x:v>
      </x:c>
      <x:c r="E718" s="339" t="str">
        <x:v>Performance &amp; Classroom Observation</x:v>
      </x:c>
      <x:c r="F718" s="339" t="str">
        <x:v>Valid status transition</x:v>
      </x:c>
      <x:c r="G718" s="339" t="str">
        <x:v>the record is in a state described by Draft / Candidate → Active Employee → On Leave (operational) → Exited / Inactive</x:v>
      </x:c>
      <x:c r="H718" s="339" t="str">
        <x:v>the user requests a transition</x:v>
      </x:c>
      <x:c r="I718" s="339" t="str">
        <x:v>the system accepts only transitions allowed for that role and state</x:v>
      </x:c>
      <x:c r="J718" s="339" t="str">
        <x:v>Positive</x:v>
      </x:c>
      <x:c r="K718" s="339" t="str">
        <x:v>Functional</x:v>
      </x:c>
    </x:row>
    <x:row r="719">
      <x:c r="A719" s="339" t="str">
        <x:v>AC-00718</x:v>
      </x:c>
      <x:c r="B719" s="339" t="str">
        <x:v>US-0180</x:v>
      </x:c>
      <x:c r="C719" s="339" t="str">
        <x:v>SCR-090</x:v>
      </x:c>
      <x:c r="D719" s="339" t="str">
        <x:v>Teachers &amp; Staff</x:v>
      </x:c>
      <x:c r="E719" s="339" t="str">
        <x:v>Performance &amp; Classroom Observation</x:v>
      </x:c>
      <x:c r="F719" s="339" t="str">
        <x:v>Approval authority</x:v>
      </x:c>
      <x:c r="G719" s="339" t="str">
        <x:v>an action requires approval</x:v>
      </x:c>
      <x:c r="H719" s="339" t="str">
        <x:v>a non-authorized user attempts approval/rejection</x:v>
      </x:c>
      <x:c r="I719" s="339" t="str">
        <x:v>the system denies the decision and does not change status</x:v>
      </x:c>
      <x:c r="J719" s="339" t="str">
        <x:v>Negative</x:v>
      </x:c>
      <x:c r="K719" s="339" t="str">
        <x:v>Functional</x:v>
      </x:c>
    </x:row>
    <x:row r="720">
      <x:c r="A720" s="339" t="str">
        <x:v>AC-00719</x:v>
      </x:c>
      <x:c r="B720" s="339" t="str">
        <x:v>US-0180</x:v>
      </x:c>
      <x:c r="C720" s="339" t="str">
        <x:v>SCR-090</x:v>
      </x:c>
      <x:c r="D720" s="339" t="str">
        <x:v>Teachers &amp; Staff</x:v>
      </x:c>
      <x:c r="E720" s="339" t="str">
        <x:v>Performance &amp; Classroom Observation</x:v>
      </x:c>
      <x:c r="F720" s="339" t="str">
        <x:v>Failure rollback</x:v>
      </x:c>
      <x:c r="G720" s="339" t="str">
        <x:v>a downstream dependency fails during a multi-step transaction</x:v>
      </x:c>
      <x:c r="H720" s="339" t="str">
        <x:v>the workflow executes</x:v>
      </x:c>
      <x:c r="I720" s="339" t="str">
        <x:v>the system does not leave an invalid partial final state and surfaces a recoverable error</x:v>
      </x:c>
      <x:c r="J720" s="339" t="str">
        <x:v>Positive</x:v>
      </x:c>
      <x:c r="K720" s="339" t="str">
        <x:v>Functional</x:v>
      </x:c>
    </x:row>
    <x:row r="721">
      <x:c r="A721" s="339" t="str">
        <x:v>AC-00720</x:v>
      </x:c>
      <x:c r="B721" s="339" t="str">
        <x:v>US-0180</x:v>
      </x:c>
      <x:c r="C721" s="339" t="str">
        <x:v>SCR-090</x:v>
      </x:c>
      <x:c r="D721" s="339" t="str">
        <x:v>Teachers &amp; Staff</x:v>
      </x:c>
      <x:c r="E721" s="339" t="str">
        <x:v>Performance &amp; Classroom Observation</x:v>
      </x:c>
      <x:c r="F721" s="339" t="str">
        <x:v>Exception traceability</x:v>
      </x:c>
      <x:c r="G721" s="339" t="str">
        <x:v>an authorized override/exception is used</x:v>
      </x:c>
      <x:c r="H721" s="339" t="str">
        <x:v>the action is confirmed</x:v>
      </x:c>
      <x:c r="I721" s="339" t="str">
        <x:v>the system requires reason/context and records it in the audit history</x:v>
      </x:c>
      <x:c r="J721" s="339" t="str">
        <x:v>Positive</x:v>
      </x:c>
      <x:c r="K721" s="339" t="str">
        <x:v>Functional</x:v>
      </x:c>
    </x:row>
    <x:row r="722">
      <x:c r="A722" s="339" t="str">
        <x:v>AC-00721</x:v>
      </x:c>
      <x:c r="B722" s="339" t="str">
        <x:v>US-0181</x:v>
      </x:c>
      <x:c r="C722" s="339" t="str">
        <x:v>SCR-091</x:v>
      </x:c>
      <x:c r="D722" s="339" t="str">
        <x:v>Teachers &amp; Staff</x:v>
      </x:c>
      <x:c r="E722" s="339" t="str">
        <x:v>Exit / Offboarding</x:v>
      </x:c>
      <x:c r="F722" s="339" t="str">
        <x:v>Authorized access to Exit / Offboarding</x:v>
      </x:c>
      <x:c r="G722" s="339" t="str">
        <x:v>the School Admin is authenticated and has access to Exit / Offboarding</x:v>
      </x:c>
      <x:c r="H722" s="339" t="str">
        <x:v>the user opens or invokes Exit / Offboarding</x:v>
      </x:c>
      <x:c r="I722" s="339" t="str">
        <x:v>the system loads only records and actions within the user's permitted tenant/school/data scope</x:v>
      </x:c>
      <x:c r="J722" s="339" t="str">
        <x:v>Positive</x:v>
      </x:c>
      <x:c r="K722" s="339" t="str">
        <x:v>Functional / Security</x:v>
      </x:c>
    </x:row>
    <x:row r="723">
      <x:c r="A723" s="339" t="str">
        <x:v>AC-00722</x:v>
      </x:c>
      <x:c r="B723" s="339" t="str">
        <x:v>US-0181</x:v>
      </x:c>
      <x:c r="C723" s="339" t="str">
        <x:v>SCR-091</x:v>
      </x:c>
      <x:c r="D723" s="339" t="str">
        <x:v>Teachers &amp; Staff</x:v>
      </x:c>
      <x:c r="E723" s="339" t="str">
        <x:v>Exit / Offboarding</x:v>
      </x:c>
      <x:c r="F723" s="339" t="str">
        <x:v>Successful Exit / Offboarding happy path</x:v>
      </x:c>
      <x:c r="G723" s="339" t="str">
        <x:v>all mandatory prerequisites and valid data are available</x:v>
      </x:c>
      <x:c r="H723" s="339" t="str">
        <x:v>the School Admin completes the primary action on Exit / Offboarding</x:v>
      </x:c>
      <x:c r="I723" s="339" t="str">
        <x:v>the system validates the request, saves it atomically, shows a clear confirmation and reflects the updated state</x:v>
      </x:c>
      <x:c r="J723" s="339" t="str">
        <x:v>Positive</x:v>
      </x:c>
      <x:c r="K723" s="339" t="str">
        <x:v>Functional</x:v>
      </x:c>
    </x:row>
    <x:row r="724">
      <x:c r="A724" s="339" t="str">
        <x:v>AC-00723</x:v>
      </x:c>
      <x:c r="B724" s="339" t="str">
        <x:v>US-0181</x:v>
      </x:c>
      <x:c r="C724" s="339" t="str">
        <x:v>SCR-091</x:v>
      </x:c>
      <x:c r="D724" s="339" t="str">
        <x:v>Teachers &amp; Staff</x:v>
      </x:c>
      <x:c r="E724" s="339" t="str">
        <x:v>Exit / Offboarding</x:v>
      </x:c>
      <x:c r="F724" s="339" t="str">
        <x:v>State and dependency integrity</x:v>
      </x:c>
      <x:c r="G724" s="339" t="str">
        <x:v>the current record is in an allowed state (Draft / Candidate → Active Employee → On Leave (operational) → Exited / Inactive)</x:v>
      </x:c>
      <x:c r="H724" s="339" t="str">
        <x:v>the user attempts a state-changing action</x:v>
      </x:c>
      <x:c r="I724" s="339" t="str">
        <x:v>only a valid transition is accepted and dependent records are updated according to configured business rules</x:v>
      </x:c>
      <x:c r="J724" s="339" t="str">
        <x:v>Positive</x:v>
      </x:c>
      <x:c r="K724" s="339" t="str">
        <x:v>Functional</x:v>
      </x:c>
    </x:row>
    <x:row r="725">
      <x:c r="A725" s="339" t="str">
        <x:v>AC-00724</x:v>
      </x:c>
      <x:c r="B725" s="339" t="str">
        <x:v>US-0181</x:v>
      </x:c>
      <x:c r="C725" s="339" t="str">
        <x:v>SCR-091</x:v>
      </x:c>
      <x:c r="D725" s="339" t="str">
        <x:v>Teachers &amp; Staff</x:v>
      </x:c>
      <x:c r="E725" s="339" t="str">
        <x:v>Exit / Offboarding</x:v>
      </x:c>
      <x:c r="F725" s="339" t="str">
        <x:v>Auditability</x:v>
      </x:c>
      <x:c r="G725" s="339" t="str">
        <x:v>a material create/update/approve/reverse action occurs</x:v>
      </x:c>
      <x:c r="H725" s="339" t="str">
        <x:v>the transaction succeeds</x:v>
      </x:c>
      <x:c r="I725" s="339" t="str">
        <x:v>the system records actor, timestamp, action, target and relevant before/after or reason context in the audit trail</x:v>
      </x:c>
      <x:c r="J725" s="339" t="str">
        <x:v>Positive</x:v>
      </x:c>
      <x:c r="K725" s="339" t="str">
        <x:v>Functional</x:v>
      </x:c>
    </x:row>
    <x:row r="726">
      <x:c r="A726" s="339" t="str">
        <x:v>AC-00725</x:v>
      </x:c>
      <x:c r="B726" s="339" t="str">
        <x:v>US-0182</x:v>
      </x:c>
      <x:c r="C726" s="339" t="str">
        <x:v>SCR-091</x:v>
      </x:c>
      <x:c r="D726" s="339" t="str">
        <x:v>Teachers &amp; Staff</x:v>
      </x:c>
      <x:c r="E726" s="339" t="str">
        <x:v>Exit / Offboarding</x:v>
      </x:c>
      <x:c r="F726" s="339" t="str">
        <x:v>Valid status transition</x:v>
      </x:c>
      <x:c r="G726" s="339" t="str">
        <x:v>the record is in a state described by Draft / Candidate → Active Employee → On Leave (operational) → Exited / Inactive</x:v>
      </x:c>
      <x:c r="H726" s="339" t="str">
        <x:v>the user requests a transition</x:v>
      </x:c>
      <x:c r="I726" s="339" t="str">
        <x:v>the system accepts only transitions allowed for that role and state</x:v>
      </x:c>
      <x:c r="J726" s="339" t="str">
        <x:v>Positive</x:v>
      </x:c>
      <x:c r="K726" s="339" t="str">
        <x:v>Functional</x:v>
      </x:c>
    </x:row>
    <x:row r="727">
      <x:c r="A727" s="339" t="str">
        <x:v>AC-00726</x:v>
      </x:c>
      <x:c r="B727" s="339" t="str">
        <x:v>US-0182</x:v>
      </x:c>
      <x:c r="C727" s="339" t="str">
        <x:v>SCR-091</x:v>
      </x:c>
      <x:c r="D727" s="339" t="str">
        <x:v>Teachers &amp; Staff</x:v>
      </x:c>
      <x:c r="E727" s="339" t="str">
        <x:v>Exit / Offboarding</x:v>
      </x:c>
      <x:c r="F727" s="339" t="str">
        <x:v>Approval authority</x:v>
      </x:c>
      <x:c r="G727" s="339" t="str">
        <x:v>an action requires approval</x:v>
      </x:c>
      <x:c r="H727" s="339" t="str">
        <x:v>a non-authorized user attempts approval/rejection</x:v>
      </x:c>
      <x:c r="I727" s="339" t="str">
        <x:v>the system denies the decision and does not change status</x:v>
      </x:c>
      <x:c r="J727" s="339" t="str">
        <x:v>Negative</x:v>
      </x:c>
      <x:c r="K727" s="339" t="str">
        <x:v>Functional</x:v>
      </x:c>
    </x:row>
    <x:row r="728">
      <x:c r="A728" s="339" t="str">
        <x:v>AC-00727</x:v>
      </x:c>
      <x:c r="B728" s="339" t="str">
        <x:v>US-0182</x:v>
      </x:c>
      <x:c r="C728" s="339" t="str">
        <x:v>SCR-091</x:v>
      </x:c>
      <x:c r="D728" s="339" t="str">
        <x:v>Teachers &amp; Staff</x:v>
      </x:c>
      <x:c r="E728" s="339" t="str">
        <x:v>Exit / Offboarding</x:v>
      </x:c>
      <x:c r="F728" s="339" t="str">
        <x:v>Failure rollback</x:v>
      </x:c>
      <x:c r="G728" s="339" t="str">
        <x:v>a downstream dependency fails during a multi-step transaction</x:v>
      </x:c>
      <x:c r="H728" s="339" t="str">
        <x:v>the workflow executes</x:v>
      </x:c>
      <x:c r="I728" s="339" t="str">
        <x:v>the system does not leave an invalid partial final state and surfaces a recoverable error</x:v>
      </x:c>
      <x:c r="J728" s="339" t="str">
        <x:v>Positive</x:v>
      </x:c>
      <x:c r="K728" s="339" t="str">
        <x:v>Functional</x:v>
      </x:c>
    </x:row>
    <x:row r="729">
      <x:c r="A729" s="339" t="str">
        <x:v>AC-00728</x:v>
      </x:c>
      <x:c r="B729" s="339" t="str">
        <x:v>US-0182</x:v>
      </x:c>
      <x:c r="C729" s="339" t="str">
        <x:v>SCR-091</x:v>
      </x:c>
      <x:c r="D729" s="339" t="str">
        <x:v>Teachers &amp; Staff</x:v>
      </x:c>
      <x:c r="E729" s="339" t="str">
        <x:v>Exit / Offboarding</x:v>
      </x:c>
      <x:c r="F729" s="339" t="str">
        <x:v>Exception traceability</x:v>
      </x:c>
      <x:c r="G729" s="339" t="str">
        <x:v>an authorized override/exception is used</x:v>
      </x:c>
      <x:c r="H729" s="339" t="str">
        <x:v>the action is confirmed</x:v>
      </x:c>
      <x:c r="I729" s="339" t="str">
        <x:v>the system requires reason/context and records it in the audit history</x:v>
      </x:c>
      <x:c r="J729" s="339" t="str">
        <x:v>Positive</x:v>
      </x:c>
      <x:c r="K729" s="339" t="str">
        <x:v>Functional</x:v>
      </x:c>
    </x:row>
    <x:row r="730">
      <x:c r="A730" s="339" t="str">
        <x:v>AC-00729</x:v>
      </x:c>
      <x:c r="B730" s="339" t="str">
        <x:v>US-0183</x:v>
      </x:c>
      <x:c r="C730" s="339" t="str">
        <x:v>SCR-092</x:v>
      </x:c>
      <x:c r="D730" s="339" t="str">
        <x:v>Academics &amp; Curriculum</x:v>
      </x:c>
      <x:c r="E730" s="339" t="str">
        <x:v>Academic Years</x:v>
      </x:c>
      <x:c r="F730" s="339" t="str">
        <x:v>Authorized access to Academic Years</x:v>
      </x:c>
      <x:c r="G730" s="339" t="str">
        <x:v>the Academic Coordinator is authenticated and has access to Academic Years</x:v>
      </x:c>
      <x:c r="H730" s="339" t="str">
        <x:v>the user opens or invokes Academic Years</x:v>
      </x:c>
      <x:c r="I730" s="339" t="str">
        <x:v>the system loads only records and actions within the user's permitted tenant/school/data scope</x:v>
      </x:c>
      <x:c r="J730" s="339" t="str">
        <x:v>Positive</x:v>
      </x:c>
      <x:c r="K730" s="339" t="str">
        <x:v>Functional / Security</x:v>
      </x:c>
    </x:row>
    <x:row r="731">
      <x:c r="A731" s="339" t="str">
        <x:v>AC-00730</x:v>
      </x:c>
      <x:c r="B731" s="339" t="str">
        <x:v>US-0183</x:v>
      </x:c>
      <x:c r="C731" s="339" t="str">
        <x:v>SCR-092</x:v>
      </x:c>
      <x:c r="D731" s="339" t="str">
        <x:v>Academics &amp; Curriculum</x:v>
      </x:c>
      <x:c r="E731" s="339" t="str">
        <x:v>Academic Years</x:v>
      </x:c>
      <x:c r="F731" s="339" t="str">
        <x:v>Successful Academic Years happy path</x:v>
      </x:c>
      <x:c r="G731" s="339" t="str">
        <x:v>all mandatory prerequisites and valid data are available</x:v>
      </x:c>
      <x:c r="H731" s="339" t="str">
        <x:v>the Academic Coordinator completes the primary action on Academic Years</x:v>
      </x:c>
      <x:c r="I731" s="339" t="str">
        <x:v>the system validates the request, saves it atomically, shows a clear confirmation and reflects the updated state</x:v>
      </x:c>
      <x:c r="J731" s="339" t="str">
        <x:v>Positive</x:v>
      </x:c>
      <x:c r="K731" s="339" t="str">
        <x:v>Functional</x:v>
      </x:c>
    </x:row>
    <x:row r="732">
      <x:c r="A732" s="339" t="str">
        <x:v>AC-00731</x:v>
      </x:c>
      <x:c r="B732" s="339" t="str">
        <x:v>US-0183</x:v>
      </x:c>
      <x:c r="C732" s="339" t="str">
        <x:v>SCR-092</x:v>
      </x:c>
      <x:c r="D732" s="339" t="str">
        <x:v>Academics &amp; Curriculum</x:v>
      </x:c>
      <x:c r="E732" s="339" t="str">
        <x:v>Academic Years</x:v>
      </x:c>
      <x:c r="F732" s="339" t="str">
        <x:v>State and dependency integrity</x:v>
      </x:c>
      <x:c r="G732" s="339" t="str">
        <x:v>the current record is in an allowed state (Draft → Review (optional) → Approved → Published / Active → Archived)</x:v>
      </x:c>
      <x:c r="H732" s="339" t="str">
        <x:v>the user attempts a state-changing action</x:v>
      </x:c>
      <x:c r="I732" s="339" t="str">
        <x:v>only a valid transition is accepted and dependent records are updated according to configured business rules</x:v>
      </x:c>
      <x:c r="J732" s="339" t="str">
        <x:v>Positive</x:v>
      </x:c>
      <x:c r="K732" s="339" t="str">
        <x:v>Functional</x:v>
      </x:c>
    </x:row>
    <x:row r="733">
      <x:c r="A733" s="339" t="str">
        <x:v>AC-00732</x:v>
      </x:c>
      <x:c r="B733" s="339" t="str">
        <x:v>US-0183</x:v>
      </x:c>
      <x:c r="C733" s="339" t="str">
        <x:v>SCR-092</x:v>
      </x:c>
      <x:c r="D733" s="339" t="str">
        <x:v>Academics &amp; Curriculum</x:v>
      </x:c>
      <x:c r="E733" s="339" t="str">
        <x:v>Academic Years</x:v>
      </x:c>
      <x:c r="F733" s="339" t="str">
        <x:v>Auditability</x:v>
      </x:c>
      <x:c r="G733" s="339" t="str">
        <x:v>a material create/update/approve/reverse action occurs</x:v>
      </x:c>
      <x:c r="H733" s="339" t="str">
        <x:v>the transaction succeeds</x:v>
      </x:c>
      <x:c r="I733" s="339" t="str">
        <x:v>the system records actor, timestamp, action, target and relevant before/after or reason context in the audit trail</x:v>
      </x:c>
      <x:c r="J733" s="339" t="str">
        <x:v>Positive</x:v>
      </x:c>
      <x:c r="K733" s="339" t="str">
        <x:v>Functional</x:v>
      </x:c>
    </x:row>
    <x:row r="734">
      <x:c r="A734" s="339" t="str">
        <x:v>AC-00733</x:v>
      </x:c>
      <x:c r="B734" s="339" t="str">
        <x:v>US-0184</x:v>
      </x:c>
      <x:c r="C734" s="339" t="str">
        <x:v>SCR-092</x:v>
      </x:c>
      <x:c r="D734" s="339" t="str">
        <x:v>Academics &amp; Curriculum</x:v>
      </x:c>
      <x:c r="E734" s="339" t="str">
        <x:v>Academic Years</x:v>
      </x:c>
      <x:c r="F734" s="339" t="str">
        <x:v>Dependency-safe change</x:v>
      </x:c>
      <x:c r="G734" s="339" t="str">
        <x:v>the configuration is referenced by existing transactions</x:v>
      </x:c>
      <x:c r="H734" s="339" t="str">
        <x:v>the user edits or deactivates it</x:v>
      </x:c>
      <x:c r="I734" s="339" t="str">
        <x:v>the system prevents destructive changes and uses effective dating/inactivation/versioning as required</x:v>
      </x:c>
      <x:c r="J734" s="339" t="str">
        <x:v>Positive</x:v>
      </x:c>
      <x:c r="K734" s="339" t="str">
        <x:v>Functional</x:v>
      </x:c>
    </x:row>
    <x:row r="735">
      <x:c r="A735" s="339" t="str">
        <x:v>AC-00734</x:v>
      </x:c>
      <x:c r="B735" s="339" t="str">
        <x:v>US-0184</x:v>
      </x:c>
      <x:c r="C735" s="339" t="str">
        <x:v>SCR-092</x:v>
      </x:c>
      <x:c r="D735" s="339" t="str">
        <x:v>Academics &amp; Curriculum</x:v>
      </x:c>
      <x:c r="E735" s="339" t="str">
        <x:v>Academic Years</x:v>
      </x:c>
      <x:c r="F735" s="339" t="str">
        <x:v>No overlapping configuration</x:v>
      </x:c>
      <x:c r="G735" s="339" t="str">
        <x:v>an active configuration already covers the same scope/date</x:v>
      </x:c>
      <x:c r="H735" s="339" t="str">
        <x:v>the user creates another conflicting configuration</x:v>
      </x:c>
      <x:c r="I735" s="339" t="str">
        <x:v>the system blocks the overlap or requires an authorized explicit resolution</x:v>
      </x:c>
      <x:c r="J735" s="339" t="str">
        <x:v>Negative</x:v>
      </x:c>
      <x:c r="K735" s="339" t="str">
        <x:v>Functional</x:v>
      </x:c>
    </x:row>
    <x:row r="736">
      <x:c r="A736" s="339" t="str">
        <x:v>AC-00735</x:v>
      </x:c>
      <x:c r="B736" s="339" t="str">
        <x:v>US-0184</x:v>
      </x:c>
      <x:c r="C736" s="339" t="str">
        <x:v>SCR-092</x:v>
      </x:c>
      <x:c r="D736" s="339" t="str">
        <x:v>Academics &amp; Curriculum</x:v>
      </x:c>
      <x:c r="E736" s="339" t="str">
        <x:v>Academic Years</x:v>
      </x:c>
      <x:c r="F736" s="339" t="str">
        <x:v>Permission control</x:v>
      </x:c>
      <x:c r="G736" s="339" t="str">
        <x:v>a user lacks configuration permission</x:v>
      </x:c>
      <x:c r="H736" s="339" t="str">
        <x:v>the user attempts to change settings</x:v>
      </x:c>
      <x:c r="I736" s="339" t="str">
        <x:v>the system denies the update server-side and records the denied/high-risk event when required</x:v>
      </x:c>
      <x:c r="J736" s="339" t="str">
        <x:v>Negative</x:v>
      </x:c>
      <x:c r="K736" s="339" t="str">
        <x:v>Functional / Security</x:v>
      </x:c>
    </x:row>
    <x:row r="737">
      <x:c r="A737" s="339" t="str">
        <x:v>AC-00736</x:v>
      </x:c>
      <x:c r="B737" s="339" t="str">
        <x:v>US-0184</x:v>
      </x:c>
      <x:c r="C737" s="339" t="str">
        <x:v>SCR-092</x:v>
      </x:c>
      <x:c r="D737" s="339" t="str">
        <x:v>Academics &amp; Curriculum</x:v>
      </x:c>
      <x:c r="E737" s="339" t="str">
        <x:v>Academic Years</x:v>
      </x:c>
      <x:c r="F737" s="339" t="str">
        <x:v>Effective-time behavior</x:v>
      </x:c>
      <x:c r="G737" s="339" t="str">
        <x:v>a configuration change has a future effective date</x:v>
      </x:c>
      <x:c r="H737" s="339" t="str">
        <x:v>the change is saved</x:v>
      </x:c>
      <x:c r="I737" s="339" t="str">
        <x:v>existing transactions use the current version until the effective time and new behavior starts predictably</x:v>
      </x:c>
      <x:c r="J737" s="339" t="str">
        <x:v>Positive</x:v>
      </x:c>
      <x:c r="K737" s="339" t="str">
        <x:v>Functional</x:v>
      </x:c>
    </x:row>
    <x:row r="738">
      <x:c r="A738" s="339" t="str">
        <x:v>AC-00737</x:v>
      </x:c>
      <x:c r="B738" s="339" t="str">
        <x:v>US-0185</x:v>
      </x:c>
      <x:c r="C738" s="339" t="str">
        <x:v>SCR-093</x:v>
      </x:c>
      <x:c r="D738" s="339" t="str">
        <x:v>Academics &amp; Curriculum</x:v>
      </x:c>
      <x:c r="E738" s="339" t="str">
        <x:v>Terms / Semesters</x:v>
      </x:c>
      <x:c r="F738" s="339" t="str">
        <x:v>Authorized access to Terms / Semesters</x:v>
      </x:c>
      <x:c r="G738" s="339" t="str">
        <x:v>the Academic Coordinator is authenticated and has access to Terms / Semesters</x:v>
      </x:c>
      <x:c r="H738" s="339" t="str">
        <x:v>the user opens or invokes Terms / Semesters</x:v>
      </x:c>
      <x:c r="I738" s="339" t="str">
        <x:v>the system loads only records and actions within the user's permitted tenant/school/data scope</x:v>
      </x:c>
      <x:c r="J738" s="339" t="str">
        <x:v>Positive</x:v>
      </x:c>
      <x:c r="K738" s="339" t="str">
        <x:v>Functional / Security</x:v>
      </x:c>
    </x:row>
    <x:row r="739">
      <x:c r="A739" s="339" t="str">
        <x:v>AC-00738</x:v>
      </x:c>
      <x:c r="B739" s="339" t="str">
        <x:v>US-0185</x:v>
      </x:c>
      <x:c r="C739" s="339" t="str">
        <x:v>SCR-093</x:v>
      </x:c>
      <x:c r="D739" s="339" t="str">
        <x:v>Academics &amp; Curriculum</x:v>
      </x:c>
      <x:c r="E739" s="339" t="str">
        <x:v>Terms / Semesters</x:v>
      </x:c>
      <x:c r="F739" s="339" t="str">
        <x:v>Successful Terms / Semesters happy path</x:v>
      </x:c>
      <x:c r="G739" s="339" t="str">
        <x:v>all mandatory prerequisites and valid data are available</x:v>
      </x:c>
      <x:c r="H739" s="339" t="str">
        <x:v>the Academic Coordinator completes the primary action on Terms / Semesters</x:v>
      </x:c>
      <x:c r="I739" s="339" t="str">
        <x:v>the system validates the request, saves it atomically, shows a clear confirmation and reflects the updated state</x:v>
      </x:c>
      <x:c r="J739" s="339" t="str">
        <x:v>Positive</x:v>
      </x:c>
      <x:c r="K739" s="339" t="str">
        <x:v>Functional</x:v>
      </x:c>
    </x:row>
    <x:row r="740">
      <x:c r="A740" s="339" t="str">
        <x:v>AC-00739</x:v>
      </x:c>
      <x:c r="B740" s="339" t="str">
        <x:v>US-0185</x:v>
      </x:c>
      <x:c r="C740" s="339" t="str">
        <x:v>SCR-093</x:v>
      </x:c>
      <x:c r="D740" s="339" t="str">
        <x:v>Academics &amp; Curriculum</x:v>
      </x:c>
      <x:c r="E740" s="339" t="str">
        <x:v>Terms / Semesters</x:v>
      </x:c>
      <x:c r="F740" s="339" t="str">
        <x:v>State and dependency integrity</x:v>
      </x:c>
      <x:c r="G740" s="339" t="str">
        <x:v>the current record is in an allowed state (Draft → Review (optional) → Approved → Published / Active → Archived)</x:v>
      </x:c>
      <x:c r="H740" s="339" t="str">
        <x:v>the user attempts a state-changing action</x:v>
      </x:c>
      <x:c r="I740" s="339" t="str">
        <x:v>only a valid transition is accepted and dependent records are updated according to configured business rules</x:v>
      </x:c>
      <x:c r="J740" s="339" t="str">
        <x:v>Positive</x:v>
      </x:c>
      <x:c r="K740" s="339" t="str">
        <x:v>Functional</x:v>
      </x:c>
    </x:row>
    <x:row r="741">
      <x:c r="A741" s="339" t="str">
        <x:v>AC-00740</x:v>
      </x:c>
      <x:c r="B741" s="339" t="str">
        <x:v>US-0185</x:v>
      </x:c>
      <x:c r="C741" s="339" t="str">
        <x:v>SCR-093</x:v>
      </x:c>
      <x:c r="D741" s="339" t="str">
        <x:v>Academics &amp; Curriculum</x:v>
      </x:c>
      <x:c r="E741" s="339" t="str">
        <x:v>Terms / Semesters</x:v>
      </x:c>
      <x:c r="F741" s="339" t="str">
        <x:v>Auditability</x:v>
      </x:c>
      <x:c r="G741" s="339" t="str">
        <x:v>a material create/update/approve/reverse action occurs</x:v>
      </x:c>
      <x:c r="H741" s="339" t="str">
        <x:v>the transaction succeeds</x:v>
      </x:c>
      <x:c r="I741" s="339" t="str">
        <x:v>the system records actor, timestamp, action, target and relevant before/after or reason context in the audit trail</x:v>
      </x:c>
      <x:c r="J741" s="339" t="str">
        <x:v>Positive</x:v>
      </x:c>
      <x:c r="K741" s="339" t="str">
        <x:v>Functional</x:v>
      </x:c>
    </x:row>
    <x:row r="742">
      <x:c r="A742" s="339" t="str">
        <x:v>AC-00741</x:v>
      </x:c>
      <x:c r="B742" s="339" t="str">
        <x:v>US-0186</x:v>
      </x:c>
      <x:c r="C742" s="339" t="str">
        <x:v>SCR-093</x:v>
      </x:c>
      <x:c r="D742" s="339" t="str">
        <x:v>Academics &amp; Curriculum</x:v>
      </x:c>
      <x:c r="E742" s="339" t="str">
        <x:v>Terms / Semesters</x:v>
      </x:c>
      <x:c r="F742" s="339" t="str">
        <x:v>Valid status transition</x:v>
      </x:c>
      <x:c r="G742" s="339" t="str">
        <x:v>the record is in a state described by Draft → Review (optional) → Approved → Published / Active → Archived</x:v>
      </x:c>
      <x:c r="H742" s="339" t="str">
        <x:v>the user requests a transition</x:v>
      </x:c>
      <x:c r="I742" s="339" t="str">
        <x:v>the system accepts only transitions allowed for that role and state</x:v>
      </x:c>
      <x:c r="J742" s="339" t="str">
        <x:v>Positive</x:v>
      </x:c>
      <x:c r="K742" s="339" t="str">
        <x:v>Functional</x:v>
      </x:c>
    </x:row>
    <x:row r="743">
      <x:c r="A743" s="339" t="str">
        <x:v>AC-00742</x:v>
      </x:c>
      <x:c r="B743" s="339" t="str">
        <x:v>US-0186</x:v>
      </x:c>
      <x:c r="C743" s="339" t="str">
        <x:v>SCR-093</x:v>
      </x:c>
      <x:c r="D743" s="339" t="str">
        <x:v>Academics &amp; Curriculum</x:v>
      </x:c>
      <x:c r="E743" s="339" t="str">
        <x:v>Terms / Semesters</x:v>
      </x:c>
      <x:c r="F743" s="339" t="str">
        <x:v>Approval authority</x:v>
      </x:c>
      <x:c r="G743" s="339" t="str">
        <x:v>an action requires approval</x:v>
      </x:c>
      <x:c r="H743" s="339" t="str">
        <x:v>a non-authorized user attempts approval/rejection</x:v>
      </x:c>
      <x:c r="I743" s="339" t="str">
        <x:v>the system denies the decision and does not change status</x:v>
      </x:c>
      <x:c r="J743" s="339" t="str">
        <x:v>Negative</x:v>
      </x:c>
      <x:c r="K743" s="339" t="str">
        <x:v>Functional</x:v>
      </x:c>
    </x:row>
    <x:row r="744">
      <x:c r="A744" s="339" t="str">
        <x:v>AC-00743</x:v>
      </x:c>
      <x:c r="B744" s="339" t="str">
        <x:v>US-0186</x:v>
      </x:c>
      <x:c r="C744" s="339" t="str">
        <x:v>SCR-093</x:v>
      </x:c>
      <x:c r="D744" s="339" t="str">
        <x:v>Academics &amp; Curriculum</x:v>
      </x:c>
      <x:c r="E744" s="339" t="str">
        <x:v>Terms / Semesters</x:v>
      </x:c>
      <x:c r="F744" s="339" t="str">
        <x:v>Failure rollback</x:v>
      </x:c>
      <x:c r="G744" s="339" t="str">
        <x:v>a downstream dependency fails during a multi-step transaction</x:v>
      </x:c>
      <x:c r="H744" s="339" t="str">
        <x:v>the workflow executes</x:v>
      </x:c>
      <x:c r="I744" s="339" t="str">
        <x:v>the system does not leave an invalid partial final state and surfaces a recoverable error</x:v>
      </x:c>
      <x:c r="J744" s="339" t="str">
        <x:v>Positive</x:v>
      </x:c>
      <x:c r="K744" s="339" t="str">
        <x:v>Functional</x:v>
      </x:c>
    </x:row>
    <x:row r="745">
      <x:c r="A745" s="339" t="str">
        <x:v>AC-00744</x:v>
      </x:c>
      <x:c r="B745" s="339" t="str">
        <x:v>US-0186</x:v>
      </x:c>
      <x:c r="C745" s="339" t="str">
        <x:v>SCR-093</x:v>
      </x:c>
      <x:c r="D745" s="339" t="str">
        <x:v>Academics &amp; Curriculum</x:v>
      </x:c>
      <x:c r="E745" s="339" t="str">
        <x:v>Terms / Semesters</x:v>
      </x:c>
      <x:c r="F745" s="339" t="str">
        <x:v>Exception traceability</x:v>
      </x:c>
      <x:c r="G745" s="339" t="str">
        <x:v>an authorized override/exception is used</x:v>
      </x:c>
      <x:c r="H745" s="339" t="str">
        <x:v>the action is confirmed</x:v>
      </x:c>
      <x:c r="I745" s="339" t="str">
        <x:v>the system requires reason/context and records it in the audit history</x:v>
      </x:c>
      <x:c r="J745" s="339" t="str">
        <x:v>Positive</x:v>
      </x:c>
      <x:c r="K745" s="339" t="str">
        <x:v>Functional</x:v>
      </x:c>
    </x:row>
    <x:row r="746">
      <x:c r="A746" s="339" t="str">
        <x:v>AC-00745</x:v>
      </x:c>
      <x:c r="B746" s="339" t="str">
        <x:v>US-0187</x:v>
      </x:c>
      <x:c r="C746" s="339" t="str">
        <x:v>SCR-094</x:v>
      </x:c>
      <x:c r="D746" s="339" t="str">
        <x:v>Academics &amp; Curriculum</x:v>
      </x:c>
      <x:c r="E746" s="339" t="str">
        <x:v>Grades / Classes</x:v>
      </x:c>
      <x:c r="F746" s="339" t="str">
        <x:v>Authorized access to Grades / Classes</x:v>
      </x:c>
      <x:c r="G746" s="339" t="str">
        <x:v>the Academic Coordinator is authenticated and has access to Grades / Classes</x:v>
      </x:c>
      <x:c r="H746" s="339" t="str">
        <x:v>the user opens or invokes Grades / Classes</x:v>
      </x:c>
      <x:c r="I746" s="339" t="str">
        <x:v>the system loads only records and actions within the user's permitted tenant/school/data scope</x:v>
      </x:c>
      <x:c r="J746" s="339" t="str">
        <x:v>Positive</x:v>
      </x:c>
      <x:c r="K746" s="339" t="str">
        <x:v>Functional / Security</x:v>
      </x:c>
    </x:row>
    <x:row r="747">
      <x:c r="A747" s="339" t="str">
        <x:v>AC-00746</x:v>
      </x:c>
      <x:c r="B747" s="339" t="str">
        <x:v>US-0187</x:v>
      </x:c>
      <x:c r="C747" s="339" t="str">
        <x:v>SCR-094</x:v>
      </x:c>
      <x:c r="D747" s="339" t="str">
        <x:v>Academics &amp; Curriculum</x:v>
      </x:c>
      <x:c r="E747" s="339" t="str">
        <x:v>Grades / Classes</x:v>
      </x:c>
      <x:c r="F747" s="339" t="str">
        <x:v>Successful Grades / Classes happy path</x:v>
      </x:c>
      <x:c r="G747" s="339" t="str">
        <x:v>all mandatory prerequisites and valid data are available</x:v>
      </x:c>
      <x:c r="H747" s="339" t="str">
        <x:v>the Academic Coordinator completes the primary action on Grades / Classes</x:v>
      </x:c>
      <x:c r="I747" s="339" t="str">
        <x:v>the system validates the request, saves it atomically, shows a clear confirmation and reflects the updated state</x:v>
      </x:c>
      <x:c r="J747" s="339" t="str">
        <x:v>Positive</x:v>
      </x:c>
      <x:c r="K747" s="339" t="str">
        <x:v>Functional</x:v>
      </x:c>
    </x:row>
    <x:row r="748">
      <x:c r="A748" s="339" t="str">
        <x:v>AC-00747</x:v>
      </x:c>
      <x:c r="B748" s="339" t="str">
        <x:v>US-0187</x:v>
      </x:c>
      <x:c r="C748" s="339" t="str">
        <x:v>SCR-094</x:v>
      </x:c>
      <x:c r="D748" s="339" t="str">
        <x:v>Academics &amp; Curriculum</x:v>
      </x:c>
      <x:c r="E748" s="339" t="str">
        <x:v>Grades / Classes</x:v>
      </x:c>
      <x:c r="F748" s="339" t="str">
        <x:v>State and dependency integrity</x:v>
      </x:c>
      <x:c r="G748" s="339" t="str">
        <x:v>the current record is in an allowed state (Draft → Review (optional) → Approved → Published / Active → Archived)</x:v>
      </x:c>
      <x:c r="H748" s="339" t="str">
        <x:v>the user attempts a state-changing action</x:v>
      </x:c>
      <x:c r="I748" s="339" t="str">
        <x:v>only a valid transition is accepted and dependent records are updated according to configured business rules</x:v>
      </x:c>
      <x:c r="J748" s="339" t="str">
        <x:v>Positive</x:v>
      </x:c>
      <x:c r="K748" s="339" t="str">
        <x:v>Functional</x:v>
      </x:c>
    </x:row>
    <x:row r="749">
      <x:c r="A749" s="339" t="str">
        <x:v>AC-00748</x:v>
      </x:c>
      <x:c r="B749" s="339" t="str">
        <x:v>US-0187</x:v>
      </x:c>
      <x:c r="C749" s="339" t="str">
        <x:v>SCR-094</x:v>
      </x:c>
      <x:c r="D749" s="339" t="str">
        <x:v>Academics &amp; Curriculum</x:v>
      </x:c>
      <x:c r="E749" s="339" t="str">
        <x:v>Grades / Classes</x:v>
      </x:c>
      <x:c r="F749" s="339" t="str">
        <x:v>Auditability</x:v>
      </x:c>
      <x:c r="G749" s="339" t="str">
        <x:v>a material create/update/approve/reverse action occurs</x:v>
      </x:c>
      <x:c r="H749" s="339" t="str">
        <x:v>the transaction succeeds</x:v>
      </x:c>
      <x:c r="I749" s="339" t="str">
        <x:v>the system records actor, timestamp, action, target and relevant before/after or reason context in the audit trail</x:v>
      </x:c>
      <x:c r="J749" s="339" t="str">
        <x:v>Positive</x:v>
      </x:c>
      <x:c r="K749" s="339" t="str">
        <x:v>Functional</x:v>
      </x:c>
    </x:row>
    <x:row r="750">
      <x:c r="A750" s="339" t="str">
        <x:v>AC-00749</x:v>
      </x:c>
      <x:c r="B750" s="339" t="str">
        <x:v>US-0188</x:v>
      </x:c>
      <x:c r="C750" s="339" t="str">
        <x:v>SCR-094</x:v>
      </x:c>
      <x:c r="D750" s="339" t="str">
        <x:v>Academics &amp; Curriculum</x:v>
      </x:c>
      <x:c r="E750" s="339" t="str">
        <x:v>Grades / Classes</x:v>
      </x:c>
      <x:c r="F750" s="339" t="str">
        <x:v>Valid status transition</x:v>
      </x:c>
      <x:c r="G750" s="339" t="str">
        <x:v>the record is in a state described by Draft → Review (optional) → Approved → Published / Active → Archived</x:v>
      </x:c>
      <x:c r="H750" s="339" t="str">
        <x:v>the user requests a transition</x:v>
      </x:c>
      <x:c r="I750" s="339" t="str">
        <x:v>the system accepts only transitions allowed for that role and state</x:v>
      </x:c>
      <x:c r="J750" s="339" t="str">
        <x:v>Positive</x:v>
      </x:c>
      <x:c r="K750" s="339" t="str">
        <x:v>Functional</x:v>
      </x:c>
    </x:row>
    <x:row r="751">
      <x:c r="A751" s="339" t="str">
        <x:v>AC-00750</x:v>
      </x:c>
      <x:c r="B751" s="339" t="str">
        <x:v>US-0188</x:v>
      </x:c>
      <x:c r="C751" s="339" t="str">
        <x:v>SCR-094</x:v>
      </x:c>
      <x:c r="D751" s="339" t="str">
        <x:v>Academics &amp; Curriculum</x:v>
      </x:c>
      <x:c r="E751" s="339" t="str">
        <x:v>Grades / Classes</x:v>
      </x:c>
      <x:c r="F751" s="339" t="str">
        <x:v>Approval authority</x:v>
      </x:c>
      <x:c r="G751" s="339" t="str">
        <x:v>an action requires approval</x:v>
      </x:c>
      <x:c r="H751" s="339" t="str">
        <x:v>a non-authorized user attempts approval/rejection</x:v>
      </x:c>
      <x:c r="I751" s="339" t="str">
        <x:v>the system denies the decision and does not change status</x:v>
      </x:c>
      <x:c r="J751" s="339" t="str">
        <x:v>Negative</x:v>
      </x:c>
      <x:c r="K751" s="339" t="str">
        <x:v>Functional</x:v>
      </x:c>
    </x:row>
    <x:row r="752">
      <x:c r="A752" s="339" t="str">
        <x:v>AC-00751</x:v>
      </x:c>
      <x:c r="B752" s="339" t="str">
        <x:v>US-0188</x:v>
      </x:c>
      <x:c r="C752" s="339" t="str">
        <x:v>SCR-094</x:v>
      </x:c>
      <x:c r="D752" s="339" t="str">
        <x:v>Academics &amp; Curriculum</x:v>
      </x:c>
      <x:c r="E752" s="339" t="str">
        <x:v>Grades / Classes</x:v>
      </x:c>
      <x:c r="F752" s="339" t="str">
        <x:v>Failure rollback</x:v>
      </x:c>
      <x:c r="G752" s="339" t="str">
        <x:v>a downstream dependency fails during a multi-step transaction</x:v>
      </x:c>
      <x:c r="H752" s="339" t="str">
        <x:v>the workflow executes</x:v>
      </x:c>
      <x:c r="I752" s="339" t="str">
        <x:v>the system does not leave an invalid partial final state and surfaces a recoverable error</x:v>
      </x:c>
      <x:c r="J752" s="339" t="str">
        <x:v>Positive</x:v>
      </x:c>
      <x:c r="K752" s="339" t="str">
        <x:v>Functional</x:v>
      </x:c>
    </x:row>
    <x:row r="753">
      <x:c r="A753" s="339" t="str">
        <x:v>AC-00752</x:v>
      </x:c>
      <x:c r="B753" s="339" t="str">
        <x:v>US-0188</x:v>
      </x:c>
      <x:c r="C753" s="339" t="str">
        <x:v>SCR-094</x:v>
      </x:c>
      <x:c r="D753" s="339" t="str">
        <x:v>Academics &amp; Curriculum</x:v>
      </x:c>
      <x:c r="E753" s="339" t="str">
        <x:v>Grades / Classes</x:v>
      </x:c>
      <x:c r="F753" s="339" t="str">
        <x:v>Exception traceability</x:v>
      </x:c>
      <x:c r="G753" s="339" t="str">
        <x:v>an authorized override/exception is used</x:v>
      </x:c>
      <x:c r="H753" s="339" t="str">
        <x:v>the action is confirmed</x:v>
      </x:c>
      <x:c r="I753" s="339" t="str">
        <x:v>the system requires reason/context and records it in the audit history</x:v>
      </x:c>
      <x:c r="J753" s="339" t="str">
        <x:v>Positive</x:v>
      </x:c>
      <x:c r="K753" s="339" t="str">
        <x:v>Functional</x:v>
      </x:c>
    </x:row>
    <x:row r="754">
      <x:c r="A754" s="339" t="str">
        <x:v>AC-00753</x:v>
      </x:c>
      <x:c r="B754" s="339" t="str">
        <x:v>US-0189</x:v>
      </x:c>
      <x:c r="C754" s="339" t="str">
        <x:v>SCR-095</x:v>
      </x:c>
      <x:c r="D754" s="339" t="str">
        <x:v>Academics &amp; Curriculum</x:v>
      </x:c>
      <x:c r="E754" s="339" t="str">
        <x:v>Sections</x:v>
      </x:c>
      <x:c r="F754" s="339" t="str">
        <x:v>Authorized access to Sections</x:v>
      </x:c>
      <x:c r="G754" s="339" t="str">
        <x:v>the Academic Coordinator is authenticated and has access to Sections</x:v>
      </x:c>
      <x:c r="H754" s="339" t="str">
        <x:v>the user opens or invokes Sections</x:v>
      </x:c>
      <x:c r="I754" s="339" t="str">
        <x:v>the system loads only records and actions within the user's permitted tenant/school/data scope</x:v>
      </x:c>
      <x:c r="J754" s="339" t="str">
        <x:v>Positive</x:v>
      </x:c>
      <x:c r="K754" s="339" t="str">
        <x:v>Functional / Security</x:v>
      </x:c>
    </x:row>
    <x:row r="755">
      <x:c r="A755" s="339" t="str">
        <x:v>AC-00754</x:v>
      </x:c>
      <x:c r="B755" s="339" t="str">
        <x:v>US-0189</x:v>
      </x:c>
      <x:c r="C755" s="339" t="str">
        <x:v>SCR-095</x:v>
      </x:c>
      <x:c r="D755" s="339" t="str">
        <x:v>Academics &amp; Curriculum</x:v>
      </x:c>
      <x:c r="E755" s="339" t="str">
        <x:v>Sections</x:v>
      </x:c>
      <x:c r="F755" s="339" t="str">
        <x:v>Successful Sections happy path</x:v>
      </x:c>
      <x:c r="G755" s="339" t="str">
        <x:v>all mandatory prerequisites and valid data are available</x:v>
      </x:c>
      <x:c r="H755" s="339" t="str">
        <x:v>the Academic Coordinator completes the primary action on Sections</x:v>
      </x:c>
      <x:c r="I755" s="339" t="str">
        <x:v>the system validates the request, saves it atomically, shows a clear confirmation and reflects the updated state</x:v>
      </x:c>
      <x:c r="J755" s="339" t="str">
        <x:v>Positive</x:v>
      </x:c>
      <x:c r="K755" s="339" t="str">
        <x:v>Functional</x:v>
      </x:c>
    </x:row>
    <x:row r="756">
      <x:c r="A756" s="339" t="str">
        <x:v>AC-00755</x:v>
      </x:c>
      <x:c r="B756" s="339" t="str">
        <x:v>US-0189</x:v>
      </x:c>
      <x:c r="C756" s="339" t="str">
        <x:v>SCR-095</x:v>
      </x:c>
      <x:c r="D756" s="339" t="str">
        <x:v>Academics &amp; Curriculum</x:v>
      </x:c>
      <x:c r="E756" s="339" t="str">
        <x:v>Sections</x:v>
      </x:c>
      <x:c r="F756" s="339" t="str">
        <x:v>State and dependency integrity</x:v>
      </x:c>
      <x:c r="G756" s="339" t="str">
        <x:v>the current record is in an allowed state (Draft → Review (optional) → Approved → Published / Active → Archived)</x:v>
      </x:c>
      <x:c r="H756" s="339" t="str">
        <x:v>the user attempts a state-changing action</x:v>
      </x:c>
      <x:c r="I756" s="339" t="str">
        <x:v>only a valid transition is accepted and dependent records are updated according to configured business rules</x:v>
      </x:c>
      <x:c r="J756" s="339" t="str">
        <x:v>Positive</x:v>
      </x:c>
      <x:c r="K756" s="339" t="str">
        <x:v>Functional</x:v>
      </x:c>
    </x:row>
    <x:row r="757">
      <x:c r="A757" s="339" t="str">
        <x:v>AC-00756</x:v>
      </x:c>
      <x:c r="B757" s="339" t="str">
        <x:v>US-0189</x:v>
      </x:c>
      <x:c r="C757" s="339" t="str">
        <x:v>SCR-095</x:v>
      </x:c>
      <x:c r="D757" s="339" t="str">
        <x:v>Academics &amp; Curriculum</x:v>
      </x:c>
      <x:c r="E757" s="339" t="str">
        <x:v>Sections</x:v>
      </x:c>
      <x:c r="F757" s="339" t="str">
        <x:v>Auditability</x:v>
      </x:c>
      <x:c r="G757" s="339" t="str">
        <x:v>a material create/update/approve/reverse action occurs</x:v>
      </x:c>
      <x:c r="H757" s="339" t="str">
        <x:v>the transaction succeeds</x:v>
      </x:c>
      <x:c r="I757" s="339" t="str">
        <x:v>the system records actor, timestamp, action, target and relevant before/after or reason context in the audit trail</x:v>
      </x:c>
      <x:c r="J757" s="339" t="str">
        <x:v>Positive</x:v>
      </x:c>
      <x:c r="K757" s="339" t="str">
        <x:v>Functional</x:v>
      </x:c>
    </x:row>
    <x:row r="758">
      <x:c r="A758" s="339" t="str">
        <x:v>AC-00757</x:v>
      </x:c>
      <x:c r="B758" s="339" t="str">
        <x:v>US-0190</x:v>
      </x:c>
      <x:c r="C758" s="339" t="str">
        <x:v>SCR-095</x:v>
      </x:c>
      <x:c r="D758" s="339" t="str">
        <x:v>Academics &amp; Curriculum</x:v>
      </x:c>
      <x:c r="E758" s="339" t="str">
        <x:v>Sections</x:v>
      </x:c>
      <x:c r="F758" s="339" t="str">
        <x:v>Search and filtering</x:v>
      </x:c>
      <x:c r="G758" s="339" t="str">
        <x:v>authorized records exist across multiple values</x:v>
      </x:c>
      <x:c r="H758" s="339" t="str">
        <x:v>the user applies search, filters, sorting or pagination</x:v>
      </x:c>
      <x:c r="I758" s="339" t="str">
        <x:v>the results match all selected criteria and remain within the user's data scope</x:v>
      </x:c>
      <x:c r="J758" s="339" t="str">
        <x:v>Positive</x:v>
      </x:c>
      <x:c r="K758" s="339" t="str">
        <x:v>Functional</x:v>
      </x:c>
    </x:row>
    <x:row r="759">
      <x:c r="A759" s="339" t="str">
        <x:v>AC-00758</x:v>
      </x:c>
      <x:c r="B759" s="339" t="str">
        <x:v>US-0190</x:v>
      </x:c>
      <x:c r="C759" s="339" t="str">
        <x:v>SCR-095</x:v>
      </x:c>
      <x:c r="D759" s="339" t="str">
        <x:v>Academics &amp; Curriculum</x:v>
      </x:c>
      <x:c r="E759" s="339" t="str">
        <x:v>Sections</x:v>
      </x:c>
      <x:c r="F759" s="339" t="str">
        <x:v>Controlled row actions</x:v>
      </x:c>
      <x:c r="G759" s="339" t="str">
        <x:v>records are returned in the list</x:v>
      </x:c>
      <x:c r="H759" s="339" t="str">
        <x:v>the user opens the action menu</x:v>
      </x:c>
      <x:c r="I759" s="339" t="str">
        <x:v>only actions permitted for the user's role and the record's current state are offered</x:v>
      </x:c>
      <x:c r="J759" s="339" t="str">
        <x:v>Positive</x:v>
      </x:c>
      <x:c r="K759" s="339" t="str">
        <x:v>Functional</x:v>
      </x:c>
    </x:row>
    <x:row r="760">
      <x:c r="A760" s="339" t="str">
        <x:v>AC-00759</x:v>
      </x:c>
      <x:c r="B760" s="339" t="str">
        <x:v>US-0190</x:v>
      </x:c>
      <x:c r="C760" s="339" t="str">
        <x:v>SCR-095</x:v>
      </x:c>
      <x:c r="D760" s="339" t="str">
        <x:v>Academics &amp; Curriculum</x:v>
      </x:c>
      <x:c r="E760" s="339" t="str">
        <x:v>Sections</x:v>
      </x:c>
      <x:c r="F760" s="339" t="str">
        <x:v>Empty/no-result handling</x:v>
      </x:c>
      <x:c r="G760" s="339" t="str">
        <x:v>no record matches the current criteria</x:v>
      </x:c>
      <x:c r="H760" s="339" t="str">
        <x:v>the query completes</x:v>
      </x:c>
      <x:c r="I760" s="339" t="str">
        <x:v>the system shows a clear empty state without treating it as an application error</x:v>
      </x:c>
      <x:c r="J760" s="339" t="str">
        <x:v>Positive</x:v>
      </x:c>
      <x:c r="K760" s="339" t="str">
        <x:v>Functional</x:v>
      </x:c>
    </x:row>
    <x:row r="761">
      <x:c r="A761" s="339" t="str">
        <x:v>AC-00760</x:v>
      </x:c>
      <x:c r="B761" s="339" t="str">
        <x:v>US-0190</x:v>
      </x:c>
      <x:c r="C761" s="339" t="str">
        <x:v>SCR-095</x:v>
      </x:c>
      <x:c r="D761" s="339" t="str">
        <x:v>Academics &amp; Curriculum</x:v>
      </x:c>
      <x:c r="E761" s="339" t="str">
        <x:v>Sections</x:v>
      </x:c>
      <x:c r="F761" s="339" t="str">
        <x:v>Export scope</x:v>
      </x:c>
      <x:c r="G761" s="339" t="str">
        <x:v>the user has export permission</x:v>
      </x:c>
      <x:c r="H761" s="339" t="str">
        <x:v>the user exports the filtered list</x:v>
      </x:c>
      <x:c r="I761" s="339" t="str">
        <x:v>the export contains the same authorized filter scope and excludes restricted fields</x:v>
      </x:c>
      <x:c r="J761" s="339" t="str">
        <x:v>Positive</x:v>
      </x:c>
      <x:c r="K761" s="339" t="str">
        <x:v>Functional</x:v>
      </x:c>
    </x:row>
    <x:row r="762">
      <x:c r="A762" s="339" t="str">
        <x:v>AC-00761</x:v>
      </x:c>
      <x:c r="B762" s="339" t="str">
        <x:v>US-0191</x:v>
      </x:c>
      <x:c r="C762" s="339" t="str">
        <x:v>SCR-096</x:v>
      </x:c>
      <x:c r="D762" s="339" t="str">
        <x:v>Academics &amp; Curriculum</x:v>
      </x:c>
      <x:c r="E762" s="339" t="str">
        <x:v>Subjects</x:v>
      </x:c>
      <x:c r="F762" s="339" t="str">
        <x:v>Authorized access to Subjects</x:v>
      </x:c>
      <x:c r="G762" s="339" t="str">
        <x:v>the Academic Coordinator is authenticated and has access to Subjects</x:v>
      </x:c>
      <x:c r="H762" s="339" t="str">
        <x:v>the user opens or invokes Subjects</x:v>
      </x:c>
      <x:c r="I762" s="339" t="str">
        <x:v>the system loads only records and actions within the user's permitted tenant/school/data scope</x:v>
      </x:c>
      <x:c r="J762" s="339" t="str">
        <x:v>Positive</x:v>
      </x:c>
      <x:c r="K762" s="339" t="str">
        <x:v>Functional / Security</x:v>
      </x:c>
    </x:row>
    <x:row r="763">
      <x:c r="A763" s="339" t="str">
        <x:v>AC-00762</x:v>
      </x:c>
      <x:c r="B763" s="339" t="str">
        <x:v>US-0191</x:v>
      </x:c>
      <x:c r="C763" s="339" t="str">
        <x:v>SCR-096</x:v>
      </x:c>
      <x:c r="D763" s="339" t="str">
        <x:v>Academics &amp; Curriculum</x:v>
      </x:c>
      <x:c r="E763" s="339" t="str">
        <x:v>Subjects</x:v>
      </x:c>
      <x:c r="F763" s="339" t="str">
        <x:v>Successful Subjects happy path</x:v>
      </x:c>
      <x:c r="G763" s="339" t="str">
        <x:v>all mandatory prerequisites and valid data are available</x:v>
      </x:c>
      <x:c r="H763" s="339" t="str">
        <x:v>the Academic Coordinator completes the primary action on Subjects</x:v>
      </x:c>
      <x:c r="I763" s="339" t="str">
        <x:v>the system validates the request, saves it atomically, shows a clear confirmation and reflects the updated state</x:v>
      </x:c>
      <x:c r="J763" s="339" t="str">
        <x:v>Positive</x:v>
      </x:c>
      <x:c r="K763" s="339" t="str">
        <x:v>Functional</x:v>
      </x:c>
    </x:row>
    <x:row r="764">
      <x:c r="A764" s="339" t="str">
        <x:v>AC-00763</x:v>
      </x:c>
      <x:c r="B764" s="339" t="str">
        <x:v>US-0191</x:v>
      </x:c>
      <x:c r="C764" s="339" t="str">
        <x:v>SCR-096</x:v>
      </x:c>
      <x:c r="D764" s="339" t="str">
        <x:v>Academics &amp; Curriculum</x:v>
      </x:c>
      <x:c r="E764" s="339" t="str">
        <x:v>Subjects</x:v>
      </x:c>
      <x:c r="F764" s="339" t="str">
        <x:v>State and dependency integrity</x:v>
      </x:c>
      <x:c r="G764" s="339" t="str">
        <x:v>the current record is in an allowed state (Draft → Review (optional) → Approved → Published / Active → Archived)</x:v>
      </x:c>
      <x:c r="H764" s="339" t="str">
        <x:v>the user attempts a state-changing action</x:v>
      </x:c>
      <x:c r="I764" s="339" t="str">
        <x:v>only a valid transition is accepted and dependent records are updated according to configured business rules</x:v>
      </x:c>
      <x:c r="J764" s="339" t="str">
        <x:v>Positive</x:v>
      </x:c>
      <x:c r="K764" s="339" t="str">
        <x:v>Functional</x:v>
      </x:c>
    </x:row>
    <x:row r="765">
      <x:c r="A765" s="339" t="str">
        <x:v>AC-00764</x:v>
      </x:c>
      <x:c r="B765" s="339" t="str">
        <x:v>US-0191</x:v>
      </x:c>
      <x:c r="C765" s="339" t="str">
        <x:v>SCR-096</x:v>
      </x:c>
      <x:c r="D765" s="339" t="str">
        <x:v>Academics &amp; Curriculum</x:v>
      </x:c>
      <x:c r="E765" s="339" t="str">
        <x:v>Subjects</x:v>
      </x:c>
      <x:c r="F765" s="339" t="str">
        <x:v>Auditability</x:v>
      </x:c>
      <x:c r="G765" s="339" t="str">
        <x:v>a material create/update/approve/reverse action occurs</x:v>
      </x:c>
      <x:c r="H765" s="339" t="str">
        <x:v>the transaction succeeds</x:v>
      </x:c>
      <x:c r="I765" s="339" t="str">
        <x:v>the system records actor, timestamp, action, target and relevant before/after or reason context in the audit trail</x:v>
      </x:c>
      <x:c r="J765" s="339" t="str">
        <x:v>Positive</x:v>
      </x:c>
      <x:c r="K765" s="339" t="str">
        <x:v>Functional</x:v>
      </x:c>
    </x:row>
    <x:row r="766">
      <x:c r="A766" s="339" t="str">
        <x:v>AC-00765</x:v>
      </x:c>
      <x:c r="B766" s="339" t="str">
        <x:v>US-0192</x:v>
      </x:c>
      <x:c r="C766" s="339" t="str">
        <x:v>SCR-096</x:v>
      </x:c>
      <x:c r="D766" s="339" t="str">
        <x:v>Academics &amp; Curriculum</x:v>
      </x:c>
      <x:c r="E766" s="339" t="str">
        <x:v>Subjects</x:v>
      </x:c>
      <x:c r="F766" s="339" t="str">
        <x:v>Search and filtering</x:v>
      </x:c>
      <x:c r="G766" s="339" t="str">
        <x:v>authorized records exist across multiple values</x:v>
      </x:c>
      <x:c r="H766" s="339" t="str">
        <x:v>the user applies search, filters, sorting or pagination</x:v>
      </x:c>
      <x:c r="I766" s="339" t="str">
        <x:v>the results match all selected criteria and remain within the user's data scope</x:v>
      </x:c>
      <x:c r="J766" s="339" t="str">
        <x:v>Positive</x:v>
      </x:c>
      <x:c r="K766" s="339" t="str">
        <x:v>Functional</x:v>
      </x:c>
    </x:row>
    <x:row r="767">
      <x:c r="A767" s="339" t="str">
        <x:v>AC-00766</x:v>
      </x:c>
      <x:c r="B767" s="339" t="str">
        <x:v>US-0192</x:v>
      </x:c>
      <x:c r="C767" s="339" t="str">
        <x:v>SCR-096</x:v>
      </x:c>
      <x:c r="D767" s="339" t="str">
        <x:v>Academics &amp; Curriculum</x:v>
      </x:c>
      <x:c r="E767" s="339" t="str">
        <x:v>Subjects</x:v>
      </x:c>
      <x:c r="F767" s="339" t="str">
        <x:v>Controlled row actions</x:v>
      </x:c>
      <x:c r="G767" s="339" t="str">
        <x:v>records are returned in the list</x:v>
      </x:c>
      <x:c r="H767" s="339" t="str">
        <x:v>the user opens the action menu</x:v>
      </x:c>
      <x:c r="I767" s="339" t="str">
        <x:v>only actions permitted for the user's role and the record's current state are offered</x:v>
      </x:c>
      <x:c r="J767" s="339" t="str">
        <x:v>Positive</x:v>
      </x:c>
      <x:c r="K767" s="339" t="str">
        <x:v>Functional</x:v>
      </x:c>
    </x:row>
    <x:row r="768">
      <x:c r="A768" s="339" t="str">
        <x:v>AC-00767</x:v>
      </x:c>
      <x:c r="B768" s="339" t="str">
        <x:v>US-0192</x:v>
      </x:c>
      <x:c r="C768" s="339" t="str">
        <x:v>SCR-096</x:v>
      </x:c>
      <x:c r="D768" s="339" t="str">
        <x:v>Academics &amp; Curriculum</x:v>
      </x:c>
      <x:c r="E768" s="339" t="str">
        <x:v>Subjects</x:v>
      </x:c>
      <x:c r="F768" s="339" t="str">
        <x:v>Empty/no-result handling</x:v>
      </x:c>
      <x:c r="G768" s="339" t="str">
        <x:v>no record matches the current criteria</x:v>
      </x:c>
      <x:c r="H768" s="339" t="str">
        <x:v>the query completes</x:v>
      </x:c>
      <x:c r="I768" s="339" t="str">
        <x:v>the system shows a clear empty state without treating it as an application error</x:v>
      </x:c>
      <x:c r="J768" s="339" t="str">
        <x:v>Positive</x:v>
      </x:c>
      <x:c r="K768" s="339" t="str">
        <x:v>Functional</x:v>
      </x:c>
    </x:row>
    <x:row r="769">
      <x:c r="A769" s="339" t="str">
        <x:v>AC-00768</x:v>
      </x:c>
      <x:c r="B769" s="339" t="str">
        <x:v>US-0192</x:v>
      </x:c>
      <x:c r="C769" s="339" t="str">
        <x:v>SCR-096</x:v>
      </x:c>
      <x:c r="D769" s="339" t="str">
        <x:v>Academics &amp; Curriculum</x:v>
      </x:c>
      <x:c r="E769" s="339" t="str">
        <x:v>Subjects</x:v>
      </x:c>
      <x:c r="F769" s="339" t="str">
        <x:v>Export scope</x:v>
      </x:c>
      <x:c r="G769" s="339" t="str">
        <x:v>the user has export permission</x:v>
      </x:c>
      <x:c r="H769" s="339" t="str">
        <x:v>the user exports the filtered list</x:v>
      </x:c>
      <x:c r="I769" s="339" t="str">
        <x:v>the export contains the same authorized filter scope and excludes restricted fields</x:v>
      </x:c>
      <x:c r="J769" s="339" t="str">
        <x:v>Positive</x:v>
      </x:c>
      <x:c r="K769" s="339" t="str">
        <x:v>Functional</x:v>
      </x:c>
    </x:row>
    <x:row r="770">
      <x:c r="A770" s="339" t="str">
        <x:v>AC-00769</x:v>
      </x:c>
      <x:c r="B770" s="339" t="str">
        <x:v>US-0193</x:v>
      </x:c>
      <x:c r="C770" s="339" t="str">
        <x:v>SCR-097</x:v>
      </x:c>
      <x:c r="D770" s="339" t="str">
        <x:v>Academics &amp; Curriculum</x:v>
      </x:c>
      <x:c r="E770" s="339" t="str">
        <x:v>Subject Groups</x:v>
      </x:c>
      <x:c r="F770" s="339" t="str">
        <x:v>Authorized access to Subject Groups</x:v>
      </x:c>
      <x:c r="G770" s="339" t="str">
        <x:v>the Academic Coordinator is authenticated and has access to Subject Groups</x:v>
      </x:c>
      <x:c r="H770" s="339" t="str">
        <x:v>the user opens or invokes Subject Groups</x:v>
      </x:c>
      <x:c r="I770" s="339" t="str">
        <x:v>the system loads only records and actions within the user's permitted tenant/school/data scope</x:v>
      </x:c>
      <x:c r="J770" s="339" t="str">
        <x:v>Positive</x:v>
      </x:c>
      <x:c r="K770" s="339" t="str">
        <x:v>Functional / Security</x:v>
      </x:c>
    </x:row>
    <x:row r="771">
      <x:c r="A771" s="339" t="str">
        <x:v>AC-00770</x:v>
      </x:c>
      <x:c r="B771" s="339" t="str">
        <x:v>US-0193</x:v>
      </x:c>
      <x:c r="C771" s="339" t="str">
        <x:v>SCR-097</x:v>
      </x:c>
      <x:c r="D771" s="339" t="str">
        <x:v>Academics &amp; Curriculum</x:v>
      </x:c>
      <x:c r="E771" s="339" t="str">
        <x:v>Subject Groups</x:v>
      </x:c>
      <x:c r="F771" s="339" t="str">
        <x:v>Successful Subject Groups happy path</x:v>
      </x:c>
      <x:c r="G771" s="339" t="str">
        <x:v>all mandatory prerequisites and valid data are available</x:v>
      </x:c>
      <x:c r="H771" s="339" t="str">
        <x:v>the Academic Coordinator completes the primary action on Subject Groups</x:v>
      </x:c>
      <x:c r="I771" s="339" t="str">
        <x:v>the system validates the request, saves it atomically, shows a clear confirmation and reflects the updated state</x:v>
      </x:c>
      <x:c r="J771" s="339" t="str">
        <x:v>Positive</x:v>
      </x:c>
      <x:c r="K771" s="339" t="str">
        <x:v>Functional</x:v>
      </x:c>
    </x:row>
    <x:row r="772">
      <x:c r="A772" s="339" t="str">
        <x:v>AC-00771</x:v>
      </x:c>
      <x:c r="B772" s="339" t="str">
        <x:v>US-0193</x:v>
      </x:c>
      <x:c r="C772" s="339" t="str">
        <x:v>SCR-097</x:v>
      </x:c>
      <x:c r="D772" s="339" t="str">
        <x:v>Academics &amp; Curriculum</x:v>
      </x:c>
      <x:c r="E772" s="339" t="str">
        <x:v>Subject Groups</x:v>
      </x:c>
      <x:c r="F772" s="339" t="str">
        <x:v>State and dependency integrity</x:v>
      </x:c>
      <x:c r="G772" s="339" t="str">
        <x:v>the current record is in an allowed state (Draft → Review (optional) → Approved → Published / Active → Archived)</x:v>
      </x:c>
      <x:c r="H772" s="339" t="str">
        <x:v>the user attempts a state-changing action</x:v>
      </x:c>
      <x:c r="I772" s="339" t="str">
        <x:v>only a valid transition is accepted and dependent records are updated according to configured business rules</x:v>
      </x:c>
      <x:c r="J772" s="339" t="str">
        <x:v>Positive</x:v>
      </x:c>
      <x:c r="K772" s="339" t="str">
        <x:v>Functional</x:v>
      </x:c>
    </x:row>
    <x:row r="773">
      <x:c r="A773" s="339" t="str">
        <x:v>AC-00772</x:v>
      </x:c>
      <x:c r="B773" s="339" t="str">
        <x:v>US-0193</x:v>
      </x:c>
      <x:c r="C773" s="339" t="str">
        <x:v>SCR-097</x:v>
      </x:c>
      <x:c r="D773" s="339" t="str">
        <x:v>Academics &amp; Curriculum</x:v>
      </x:c>
      <x:c r="E773" s="339" t="str">
        <x:v>Subject Groups</x:v>
      </x:c>
      <x:c r="F773" s="339" t="str">
        <x:v>Auditability</x:v>
      </x:c>
      <x:c r="G773" s="339" t="str">
        <x:v>a material create/update/approve/reverse action occurs</x:v>
      </x:c>
      <x:c r="H773" s="339" t="str">
        <x:v>the transaction succeeds</x:v>
      </x:c>
      <x:c r="I773" s="339" t="str">
        <x:v>the system records actor, timestamp, action, target and relevant before/after or reason context in the audit trail</x:v>
      </x:c>
      <x:c r="J773" s="339" t="str">
        <x:v>Positive</x:v>
      </x:c>
      <x:c r="K773" s="339" t="str">
        <x:v>Functional</x:v>
      </x:c>
    </x:row>
    <x:row r="774">
      <x:c r="A774" s="339" t="str">
        <x:v>AC-00773</x:v>
      </x:c>
      <x:c r="B774" s="339" t="str">
        <x:v>US-0194</x:v>
      </x:c>
      <x:c r="C774" s="339" t="str">
        <x:v>SCR-097</x:v>
      </x:c>
      <x:c r="D774" s="339" t="str">
        <x:v>Academics &amp; Curriculum</x:v>
      </x:c>
      <x:c r="E774" s="339" t="str">
        <x:v>Subject Groups</x:v>
      </x:c>
      <x:c r="F774" s="339" t="str">
        <x:v>Valid status transition</x:v>
      </x:c>
      <x:c r="G774" s="339" t="str">
        <x:v>the record is in a state described by Draft → Review (optional) → Approved → Published / Active → Archived</x:v>
      </x:c>
      <x:c r="H774" s="339" t="str">
        <x:v>the user requests a transition</x:v>
      </x:c>
      <x:c r="I774" s="339" t="str">
        <x:v>the system accepts only transitions allowed for that role and state</x:v>
      </x:c>
      <x:c r="J774" s="339" t="str">
        <x:v>Positive</x:v>
      </x:c>
      <x:c r="K774" s="339" t="str">
        <x:v>Functional</x:v>
      </x:c>
    </x:row>
    <x:row r="775">
      <x:c r="A775" s="339" t="str">
        <x:v>AC-00774</x:v>
      </x:c>
      <x:c r="B775" s="339" t="str">
        <x:v>US-0194</x:v>
      </x:c>
      <x:c r="C775" s="339" t="str">
        <x:v>SCR-097</x:v>
      </x:c>
      <x:c r="D775" s="339" t="str">
        <x:v>Academics &amp; Curriculum</x:v>
      </x:c>
      <x:c r="E775" s="339" t="str">
        <x:v>Subject Groups</x:v>
      </x:c>
      <x:c r="F775" s="339" t="str">
        <x:v>Approval authority</x:v>
      </x:c>
      <x:c r="G775" s="339" t="str">
        <x:v>an action requires approval</x:v>
      </x:c>
      <x:c r="H775" s="339" t="str">
        <x:v>a non-authorized user attempts approval/rejection</x:v>
      </x:c>
      <x:c r="I775" s="339" t="str">
        <x:v>the system denies the decision and does not change status</x:v>
      </x:c>
      <x:c r="J775" s="339" t="str">
        <x:v>Negative</x:v>
      </x:c>
      <x:c r="K775" s="339" t="str">
        <x:v>Functional</x:v>
      </x:c>
    </x:row>
    <x:row r="776">
      <x:c r="A776" s="339" t="str">
        <x:v>AC-00775</x:v>
      </x:c>
      <x:c r="B776" s="339" t="str">
        <x:v>US-0194</x:v>
      </x:c>
      <x:c r="C776" s="339" t="str">
        <x:v>SCR-097</x:v>
      </x:c>
      <x:c r="D776" s="339" t="str">
        <x:v>Academics &amp; Curriculum</x:v>
      </x:c>
      <x:c r="E776" s="339" t="str">
        <x:v>Subject Groups</x:v>
      </x:c>
      <x:c r="F776" s="339" t="str">
        <x:v>Failure rollback</x:v>
      </x:c>
      <x:c r="G776" s="339" t="str">
        <x:v>a downstream dependency fails during a multi-step transaction</x:v>
      </x:c>
      <x:c r="H776" s="339" t="str">
        <x:v>the workflow executes</x:v>
      </x:c>
      <x:c r="I776" s="339" t="str">
        <x:v>the system does not leave an invalid partial final state and surfaces a recoverable error</x:v>
      </x:c>
      <x:c r="J776" s="339" t="str">
        <x:v>Positive</x:v>
      </x:c>
      <x:c r="K776" s="339" t="str">
        <x:v>Functional</x:v>
      </x:c>
    </x:row>
    <x:row r="777">
      <x:c r="A777" s="339" t="str">
        <x:v>AC-00776</x:v>
      </x:c>
      <x:c r="B777" s="339" t="str">
        <x:v>US-0194</x:v>
      </x:c>
      <x:c r="C777" s="339" t="str">
        <x:v>SCR-097</x:v>
      </x:c>
      <x:c r="D777" s="339" t="str">
        <x:v>Academics &amp; Curriculum</x:v>
      </x:c>
      <x:c r="E777" s="339" t="str">
        <x:v>Subject Groups</x:v>
      </x:c>
      <x:c r="F777" s="339" t="str">
        <x:v>Exception traceability</x:v>
      </x:c>
      <x:c r="G777" s="339" t="str">
        <x:v>an authorized override/exception is used</x:v>
      </x:c>
      <x:c r="H777" s="339" t="str">
        <x:v>the action is confirmed</x:v>
      </x:c>
      <x:c r="I777" s="339" t="str">
        <x:v>the system requires reason/context and records it in the audit history</x:v>
      </x:c>
      <x:c r="J777" s="339" t="str">
        <x:v>Positive</x:v>
      </x:c>
      <x:c r="K777" s="339" t="str">
        <x:v>Functional</x:v>
      </x:c>
    </x:row>
    <x:row r="778">
      <x:c r="A778" s="339" t="str">
        <x:v>AC-00777</x:v>
      </x:c>
      <x:c r="B778" s="339" t="str">
        <x:v>US-0195</x:v>
      </x:c>
      <x:c r="C778" s="339" t="str">
        <x:v>SCR-098</x:v>
      </x:c>
      <x:c r="D778" s="339" t="str">
        <x:v>Academics &amp; Curriculum</x:v>
      </x:c>
      <x:c r="E778" s="339" t="str">
        <x:v>Curriculum</x:v>
      </x:c>
      <x:c r="F778" s="339" t="str">
        <x:v>Authorized access to Curriculum</x:v>
      </x:c>
      <x:c r="G778" s="339" t="str">
        <x:v>the Academic Coordinator is authenticated and has access to Curriculum</x:v>
      </x:c>
      <x:c r="H778" s="339" t="str">
        <x:v>the user opens or invokes Curriculum</x:v>
      </x:c>
      <x:c r="I778" s="339" t="str">
        <x:v>the system loads only records and actions within the user's permitted tenant/school/data scope</x:v>
      </x:c>
      <x:c r="J778" s="339" t="str">
        <x:v>Positive</x:v>
      </x:c>
      <x:c r="K778" s="339" t="str">
        <x:v>Functional / Security</x:v>
      </x:c>
    </x:row>
    <x:row r="779">
      <x:c r="A779" s="339" t="str">
        <x:v>AC-00778</x:v>
      </x:c>
      <x:c r="B779" s="339" t="str">
        <x:v>US-0195</x:v>
      </x:c>
      <x:c r="C779" s="339" t="str">
        <x:v>SCR-098</x:v>
      </x:c>
      <x:c r="D779" s="339" t="str">
        <x:v>Academics &amp; Curriculum</x:v>
      </x:c>
      <x:c r="E779" s="339" t="str">
        <x:v>Curriculum</x:v>
      </x:c>
      <x:c r="F779" s="339" t="str">
        <x:v>Successful Curriculum happy path</x:v>
      </x:c>
      <x:c r="G779" s="339" t="str">
        <x:v>all mandatory prerequisites and valid data are available</x:v>
      </x:c>
      <x:c r="H779" s="339" t="str">
        <x:v>the Academic Coordinator completes the primary action on Curriculum</x:v>
      </x:c>
      <x:c r="I779" s="339" t="str">
        <x:v>the system validates the request, saves it atomically, shows a clear confirmation and reflects the updated state</x:v>
      </x:c>
      <x:c r="J779" s="339" t="str">
        <x:v>Positive</x:v>
      </x:c>
      <x:c r="K779" s="339" t="str">
        <x:v>Functional</x:v>
      </x:c>
    </x:row>
    <x:row r="780">
      <x:c r="A780" s="339" t="str">
        <x:v>AC-00779</x:v>
      </x:c>
      <x:c r="B780" s="339" t="str">
        <x:v>US-0195</x:v>
      </x:c>
      <x:c r="C780" s="339" t="str">
        <x:v>SCR-098</x:v>
      </x:c>
      <x:c r="D780" s="339" t="str">
        <x:v>Academics &amp; Curriculum</x:v>
      </x:c>
      <x:c r="E780" s="339" t="str">
        <x:v>Curriculum</x:v>
      </x:c>
      <x:c r="F780" s="339" t="str">
        <x:v>State and dependency integrity</x:v>
      </x:c>
      <x:c r="G780" s="339" t="str">
        <x:v>the current record is in an allowed state (Draft → Review (optional) → Approved → Published / Active → Archived)</x:v>
      </x:c>
      <x:c r="H780" s="339" t="str">
        <x:v>the user attempts a state-changing action</x:v>
      </x:c>
      <x:c r="I780" s="339" t="str">
        <x:v>only a valid transition is accepted and dependent records are updated according to configured business rules</x:v>
      </x:c>
      <x:c r="J780" s="339" t="str">
        <x:v>Positive</x:v>
      </x:c>
      <x:c r="K780" s="339" t="str">
        <x:v>Functional</x:v>
      </x:c>
    </x:row>
    <x:row r="781">
      <x:c r="A781" s="339" t="str">
        <x:v>AC-00780</x:v>
      </x:c>
      <x:c r="B781" s="339" t="str">
        <x:v>US-0195</x:v>
      </x:c>
      <x:c r="C781" s="339" t="str">
        <x:v>SCR-098</x:v>
      </x:c>
      <x:c r="D781" s="339" t="str">
        <x:v>Academics &amp; Curriculum</x:v>
      </x:c>
      <x:c r="E781" s="339" t="str">
        <x:v>Curriculum</x:v>
      </x:c>
      <x:c r="F781" s="339" t="str">
        <x:v>Auditability</x:v>
      </x:c>
      <x:c r="G781" s="339" t="str">
        <x:v>a material create/update/approve/reverse action occurs</x:v>
      </x:c>
      <x:c r="H781" s="339" t="str">
        <x:v>the transaction succeeds</x:v>
      </x:c>
      <x:c r="I781" s="339" t="str">
        <x:v>the system records actor, timestamp, action, target and relevant before/after or reason context in the audit trail</x:v>
      </x:c>
      <x:c r="J781" s="339" t="str">
        <x:v>Positive</x:v>
      </x:c>
      <x:c r="K781" s="339" t="str">
        <x:v>Functional</x:v>
      </x:c>
    </x:row>
    <x:row r="782">
      <x:c r="A782" s="339" t="str">
        <x:v>AC-00781</x:v>
      </x:c>
      <x:c r="B782" s="339" t="str">
        <x:v>US-0196</x:v>
      </x:c>
      <x:c r="C782" s="339" t="str">
        <x:v>SCR-098</x:v>
      </x:c>
      <x:c r="D782" s="339" t="str">
        <x:v>Academics &amp; Curriculum</x:v>
      </x:c>
      <x:c r="E782" s="339" t="str">
        <x:v>Curriculum</x:v>
      </x:c>
      <x:c r="F782" s="339" t="str">
        <x:v>Valid status transition</x:v>
      </x:c>
      <x:c r="G782" s="339" t="str">
        <x:v>the record is in a state described by Draft → Review (optional) → Approved → Published / Active → Archived</x:v>
      </x:c>
      <x:c r="H782" s="339" t="str">
        <x:v>the user requests a transition</x:v>
      </x:c>
      <x:c r="I782" s="339" t="str">
        <x:v>the system accepts only transitions allowed for that role and state</x:v>
      </x:c>
      <x:c r="J782" s="339" t="str">
        <x:v>Positive</x:v>
      </x:c>
      <x:c r="K782" s="339" t="str">
        <x:v>Functional</x:v>
      </x:c>
    </x:row>
    <x:row r="783">
      <x:c r="A783" s="339" t="str">
        <x:v>AC-00782</x:v>
      </x:c>
      <x:c r="B783" s="339" t="str">
        <x:v>US-0196</x:v>
      </x:c>
      <x:c r="C783" s="339" t="str">
        <x:v>SCR-098</x:v>
      </x:c>
      <x:c r="D783" s="339" t="str">
        <x:v>Academics &amp; Curriculum</x:v>
      </x:c>
      <x:c r="E783" s="339" t="str">
        <x:v>Curriculum</x:v>
      </x:c>
      <x:c r="F783" s="339" t="str">
        <x:v>Approval authority</x:v>
      </x:c>
      <x:c r="G783" s="339" t="str">
        <x:v>an action requires approval</x:v>
      </x:c>
      <x:c r="H783" s="339" t="str">
        <x:v>a non-authorized user attempts approval/rejection</x:v>
      </x:c>
      <x:c r="I783" s="339" t="str">
        <x:v>the system denies the decision and does not change status</x:v>
      </x:c>
      <x:c r="J783" s="339" t="str">
        <x:v>Negative</x:v>
      </x:c>
      <x:c r="K783" s="339" t="str">
        <x:v>Functional</x:v>
      </x:c>
    </x:row>
    <x:row r="784">
      <x:c r="A784" s="339" t="str">
        <x:v>AC-00783</x:v>
      </x:c>
      <x:c r="B784" s="339" t="str">
        <x:v>US-0196</x:v>
      </x:c>
      <x:c r="C784" s="339" t="str">
        <x:v>SCR-098</x:v>
      </x:c>
      <x:c r="D784" s="339" t="str">
        <x:v>Academics &amp; Curriculum</x:v>
      </x:c>
      <x:c r="E784" s="339" t="str">
        <x:v>Curriculum</x:v>
      </x:c>
      <x:c r="F784" s="339" t="str">
        <x:v>Failure rollback</x:v>
      </x:c>
      <x:c r="G784" s="339" t="str">
        <x:v>a downstream dependency fails during a multi-step transaction</x:v>
      </x:c>
      <x:c r="H784" s="339" t="str">
        <x:v>the workflow executes</x:v>
      </x:c>
      <x:c r="I784" s="339" t="str">
        <x:v>the system does not leave an invalid partial final state and surfaces a recoverable error</x:v>
      </x:c>
      <x:c r="J784" s="339" t="str">
        <x:v>Positive</x:v>
      </x:c>
      <x:c r="K784" s="339" t="str">
        <x:v>Functional</x:v>
      </x:c>
    </x:row>
    <x:row r="785">
      <x:c r="A785" s="339" t="str">
        <x:v>AC-00784</x:v>
      </x:c>
      <x:c r="B785" s="339" t="str">
        <x:v>US-0196</x:v>
      </x:c>
      <x:c r="C785" s="339" t="str">
        <x:v>SCR-098</x:v>
      </x:c>
      <x:c r="D785" s="339" t="str">
        <x:v>Academics &amp; Curriculum</x:v>
      </x:c>
      <x:c r="E785" s="339" t="str">
        <x:v>Curriculum</x:v>
      </x:c>
      <x:c r="F785" s="339" t="str">
        <x:v>Exception traceability</x:v>
      </x:c>
      <x:c r="G785" s="339" t="str">
        <x:v>an authorized override/exception is used</x:v>
      </x:c>
      <x:c r="H785" s="339" t="str">
        <x:v>the action is confirmed</x:v>
      </x:c>
      <x:c r="I785" s="339" t="str">
        <x:v>the system requires reason/context and records it in the audit history</x:v>
      </x:c>
      <x:c r="J785" s="339" t="str">
        <x:v>Positive</x:v>
      </x:c>
      <x:c r="K785" s="339" t="str">
        <x:v>Functional</x:v>
      </x:c>
    </x:row>
    <x:row r="786">
      <x:c r="A786" s="339" t="str">
        <x:v>AC-00785</x:v>
      </x:c>
      <x:c r="B786" s="339" t="str">
        <x:v>US-0197</x:v>
      </x:c>
      <x:c r="C786" s="339" t="str">
        <x:v>SCR-099</x:v>
      </x:c>
      <x:c r="D786" s="339" t="str">
        <x:v>Academics &amp; Curriculum</x:v>
      </x:c>
      <x:c r="E786" s="339" t="str">
        <x:v>Curriculum Details</x:v>
      </x:c>
      <x:c r="F786" s="339" t="str">
        <x:v>Authorized access to Curriculum Details</x:v>
      </x:c>
      <x:c r="G786" s="339" t="str">
        <x:v>the Academic Coordinator is authenticated and has access to Curriculum Details</x:v>
      </x:c>
      <x:c r="H786" s="339" t="str">
        <x:v>the user opens or invokes Curriculum Details</x:v>
      </x:c>
      <x:c r="I786" s="339" t="str">
        <x:v>the system loads only records and actions within the user's permitted tenant/school/data scope</x:v>
      </x:c>
      <x:c r="J786" s="339" t="str">
        <x:v>Positive</x:v>
      </x:c>
      <x:c r="K786" s="339" t="str">
        <x:v>Functional / Security</x:v>
      </x:c>
    </x:row>
    <x:row r="787">
      <x:c r="A787" s="339" t="str">
        <x:v>AC-00786</x:v>
      </x:c>
      <x:c r="B787" s="339" t="str">
        <x:v>US-0197</x:v>
      </x:c>
      <x:c r="C787" s="339" t="str">
        <x:v>SCR-099</x:v>
      </x:c>
      <x:c r="D787" s="339" t="str">
        <x:v>Academics &amp; Curriculum</x:v>
      </x:c>
      <x:c r="E787" s="339" t="str">
        <x:v>Curriculum Details</x:v>
      </x:c>
      <x:c r="F787" s="339" t="str">
        <x:v>Successful Curriculum Details happy path</x:v>
      </x:c>
      <x:c r="G787" s="339" t="str">
        <x:v>all mandatory prerequisites and valid data are available</x:v>
      </x:c>
      <x:c r="H787" s="339" t="str">
        <x:v>the Academic Coordinator completes the primary action on Curriculum Details</x:v>
      </x:c>
      <x:c r="I787" s="339" t="str">
        <x:v>the system validates the request, saves it atomically, shows a clear confirmation and reflects the updated state</x:v>
      </x:c>
      <x:c r="J787" s="339" t="str">
        <x:v>Positive</x:v>
      </x:c>
      <x:c r="K787" s="339" t="str">
        <x:v>Functional</x:v>
      </x:c>
    </x:row>
    <x:row r="788">
      <x:c r="A788" s="339" t="str">
        <x:v>AC-00787</x:v>
      </x:c>
      <x:c r="B788" s="339" t="str">
        <x:v>US-0197</x:v>
      </x:c>
      <x:c r="C788" s="339" t="str">
        <x:v>SCR-099</x:v>
      </x:c>
      <x:c r="D788" s="339" t="str">
        <x:v>Academics &amp; Curriculum</x:v>
      </x:c>
      <x:c r="E788" s="339" t="str">
        <x:v>Curriculum Details</x:v>
      </x:c>
      <x:c r="F788" s="339" t="str">
        <x:v>State and dependency integrity</x:v>
      </x:c>
      <x:c r="G788" s="339" t="str">
        <x:v>the current record is in an allowed state (Draft → Review (optional) → Approved → Published / Active → Archived)</x:v>
      </x:c>
      <x:c r="H788" s="339" t="str">
        <x:v>the user attempts a state-changing action</x:v>
      </x:c>
      <x:c r="I788" s="339" t="str">
        <x:v>only a valid transition is accepted and dependent records are updated according to configured business rules</x:v>
      </x:c>
      <x:c r="J788" s="339" t="str">
        <x:v>Positive</x:v>
      </x:c>
      <x:c r="K788" s="339" t="str">
        <x:v>Functional</x:v>
      </x:c>
    </x:row>
    <x:row r="789">
      <x:c r="A789" s="339" t="str">
        <x:v>AC-00788</x:v>
      </x:c>
      <x:c r="B789" s="339" t="str">
        <x:v>US-0197</x:v>
      </x:c>
      <x:c r="C789" s="339" t="str">
        <x:v>SCR-099</x:v>
      </x:c>
      <x:c r="D789" s="339" t="str">
        <x:v>Academics &amp; Curriculum</x:v>
      </x:c>
      <x:c r="E789" s="339" t="str">
        <x:v>Curriculum Details</x:v>
      </x:c>
      <x:c r="F789" s="339" t="str">
        <x:v>Auditability</x:v>
      </x:c>
      <x:c r="G789" s="339" t="str">
        <x:v>a material create/update/approve/reverse action occurs</x:v>
      </x:c>
      <x:c r="H789" s="339" t="str">
        <x:v>the transaction succeeds</x:v>
      </x:c>
      <x:c r="I789" s="339" t="str">
        <x:v>the system records actor, timestamp, action, target and relevant before/after or reason context in the audit trail</x:v>
      </x:c>
      <x:c r="J789" s="339" t="str">
        <x:v>Positive</x:v>
      </x:c>
      <x:c r="K789" s="339" t="str">
        <x:v>Functional</x:v>
      </x:c>
    </x:row>
    <x:row r="790">
      <x:c r="A790" s="339" t="str">
        <x:v>AC-00789</x:v>
      </x:c>
      <x:c r="B790" s="339" t="str">
        <x:v>US-0198</x:v>
      </x:c>
      <x:c r="C790" s="339" t="str">
        <x:v>SCR-099</x:v>
      </x:c>
      <x:c r="D790" s="339" t="str">
        <x:v>Academics &amp; Curriculum</x:v>
      </x:c>
      <x:c r="E790" s="339" t="str">
        <x:v>Curriculum Details</x:v>
      </x:c>
      <x:c r="F790" s="339" t="str">
        <x:v>Complete authorized view</x:v>
      </x:c>
      <x:c r="G790" s="339" t="str">
        <x:v>the record exists and the user is authorized</x:v>
      </x:c>
      <x:c r="H790" s="339" t="str">
        <x:v>the detail/profile opens</x:v>
      </x:c>
      <x:c r="I790" s="339" t="str">
        <x:v>the system loads the required summary, relationships and history while masking restricted fields</x:v>
      </x:c>
      <x:c r="J790" s="339" t="str">
        <x:v>Positive</x:v>
      </x:c>
      <x:c r="K790" s="339" t="str">
        <x:v>Functional / Security</x:v>
      </x:c>
    </x:row>
    <x:row r="791">
      <x:c r="A791" s="339" t="str">
        <x:v>AC-00790</x:v>
      </x:c>
      <x:c r="B791" s="339" t="str">
        <x:v>US-0198</x:v>
      </x:c>
      <x:c r="C791" s="339" t="str">
        <x:v>SCR-099</x:v>
      </x:c>
      <x:c r="D791" s="339" t="str">
        <x:v>Academics &amp; Curriculum</x:v>
      </x:c>
      <x:c r="E791" s="339" t="str">
        <x:v>Curriculum Details</x:v>
      </x:c>
      <x:c r="F791" s="339" t="str">
        <x:v>Controlled edit</x:v>
      </x:c>
      <x:c r="G791" s="339" t="str">
        <x:v>the user has edit permission and the record is editable</x:v>
      </x:c>
      <x:c r="H791" s="339" t="str">
        <x:v>the user saves a change</x:v>
      </x:c>
      <x:c r="I791" s="339" t="str">
        <x:v>validation and state rules run before the update is committed</x:v>
      </x:c>
      <x:c r="J791" s="339" t="str">
        <x:v>Positive</x:v>
      </x:c>
      <x:c r="K791" s="339" t="str">
        <x:v>Functional</x:v>
      </x:c>
    </x:row>
    <x:row r="792">
      <x:c r="A792" s="339" t="str">
        <x:v>AC-00791</x:v>
      </x:c>
      <x:c r="B792" s="339" t="str">
        <x:v>US-0198</x:v>
      </x:c>
      <x:c r="C792" s="339" t="str">
        <x:v>SCR-099</x:v>
      </x:c>
      <x:c r="D792" s="339" t="str">
        <x:v>Academics &amp; Curriculum</x:v>
      </x:c>
      <x:c r="E792" s="339" t="str">
        <x:v>Curriculum Details</x:v>
      </x:c>
      <x:c r="F792" s="339" t="str">
        <x:v>Concurrent edit protection</x:v>
      </x:c>
      <x:c r="G792" s="339" t="str">
        <x:v>another user has changed the record after it was loaded</x:v>
      </x:c>
      <x:c r="H792" s="339" t="str">
        <x:v>the first user attempts to save stale data</x:v>
      </x:c>
      <x:c r="I792" s="339" t="str">
        <x:v>the system detects the version conflict or preserves fields safely instead of silently overwriting</x:v>
      </x:c>
      <x:c r="J792" s="339" t="str">
        <x:v>Positive</x:v>
      </x:c>
      <x:c r="K792" s="339" t="str">
        <x:v>Functional</x:v>
      </x:c>
    </x:row>
    <x:row r="793">
      <x:c r="A793" s="339" t="str">
        <x:v>AC-00792</x:v>
      </x:c>
      <x:c r="B793" s="339" t="str">
        <x:v>US-0198</x:v>
      </x:c>
      <x:c r="C793" s="339" t="str">
        <x:v>SCR-099</x:v>
      </x:c>
      <x:c r="D793" s="339" t="str">
        <x:v>Academics &amp; Curriculum</x:v>
      </x:c>
      <x:c r="E793" s="339" t="str">
        <x:v>Curriculum Details</x:v>
      </x:c>
      <x:c r="F793" s="339" t="str">
        <x:v>History retention</x:v>
      </x:c>
      <x:c r="G793" s="339" t="str">
        <x:v>the record has prior changes/statuses</x:v>
      </x:c>
      <x:c r="H793" s="339" t="str">
        <x:v>the user views history</x:v>
      </x:c>
      <x:c r="I793" s="339" t="str">
        <x:v>the audit/activity timeline shows traceable material changes without exposing restricted notes</x:v>
      </x:c>
      <x:c r="J793" s="339" t="str">
        <x:v>Positive</x:v>
      </x:c>
      <x:c r="K793" s="339" t="str">
        <x:v>Functional</x:v>
      </x:c>
    </x:row>
    <x:row r="794">
      <x:c r="A794" s="339" t="str">
        <x:v>AC-00793</x:v>
      </x:c>
      <x:c r="B794" s="339" t="str">
        <x:v>US-0199</x:v>
      </x:c>
      <x:c r="C794" s="339" t="str">
        <x:v>SCR-100</x:v>
      </x:c>
      <x:c r="D794" s="339" t="str">
        <x:v>Academics &amp; Curriculum</x:v>
      </x:c>
      <x:c r="E794" s="339" t="str">
        <x:v>Units / Chapters / Topics</x:v>
      </x:c>
      <x:c r="F794" s="339" t="str">
        <x:v>Authorized access to Units / Chapters / Topics</x:v>
      </x:c>
      <x:c r="G794" s="339" t="str">
        <x:v>the Academic Coordinator is authenticated and has access to Units / Chapters / Topics</x:v>
      </x:c>
      <x:c r="H794" s="339" t="str">
        <x:v>the user opens or invokes Units / Chapters / Topics</x:v>
      </x:c>
      <x:c r="I794" s="339" t="str">
        <x:v>the system loads only records and actions within the user's permitted tenant/school/data scope</x:v>
      </x:c>
      <x:c r="J794" s="339" t="str">
        <x:v>Positive</x:v>
      </x:c>
      <x:c r="K794" s="339" t="str">
        <x:v>Functional / Security</x:v>
      </x:c>
    </x:row>
    <x:row r="795">
      <x:c r="A795" s="339" t="str">
        <x:v>AC-00794</x:v>
      </x:c>
      <x:c r="B795" s="339" t="str">
        <x:v>US-0199</x:v>
      </x:c>
      <x:c r="C795" s="339" t="str">
        <x:v>SCR-100</x:v>
      </x:c>
      <x:c r="D795" s="339" t="str">
        <x:v>Academics &amp; Curriculum</x:v>
      </x:c>
      <x:c r="E795" s="339" t="str">
        <x:v>Units / Chapters / Topics</x:v>
      </x:c>
      <x:c r="F795" s="339" t="str">
        <x:v>Successful Units / Chapters / Topics happy path</x:v>
      </x:c>
      <x:c r="G795" s="339" t="str">
        <x:v>all mandatory prerequisites and valid data are available</x:v>
      </x:c>
      <x:c r="H795" s="339" t="str">
        <x:v>the Academic Coordinator completes the primary action on Units / Chapters / Topics</x:v>
      </x:c>
      <x:c r="I795" s="339" t="str">
        <x:v>the system validates the request, saves it atomically, shows a clear confirmation and reflects the updated state</x:v>
      </x:c>
      <x:c r="J795" s="339" t="str">
        <x:v>Positive</x:v>
      </x:c>
      <x:c r="K795" s="339" t="str">
        <x:v>Functional</x:v>
      </x:c>
    </x:row>
    <x:row r="796">
      <x:c r="A796" s="339" t="str">
        <x:v>AC-00795</x:v>
      </x:c>
      <x:c r="B796" s="339" t="str">
        <x:v>US-0199</x:v>
      </x:c>
      <x:c r="C796" s="339" t="str">
        <x:v>SCR-100</x:v>
      </x:c>
      <x:c r="D796" s="339" t="str">
        <x:v>Academics &amp; Curriculum</x:v>
      </x:c>
      <x:c r="E796" s="339" t="str">
        <x:v>Units / Chapters / Topics</x:v>
      </x:c>
      <x:c r="F796" s="339" t="str">
        <x:v>State and dependency integrity</x:v>
      </x:c>
      <x:c r="G796" s="339" t="str">
        <x:v>the current record is in an allowed state (Draft → Review (optional) → Approved → Published / Active → Archived)</x:v>
      </x:c>
      <x:c r="H796" s="339" t="str">
        <x:v>the user attempts a state-changing action</x:v>
      </x:c>
      <x:c r="I796" s="339" t="str">
        <x:v>only a valid transition is accepted and dependent records are updated according to configured business rules</x:v>
      </x:c>
      <x:c r="J796" s="339" t="str">
        <x:v>Positive</x:v>
      </x:c>
      <x:c r="K796" s="339" t="str">
        <x:v>Functional</x:v>
      </x:c>
    </x:row>
    <x:row r="797">
      <x:c r="A797" s="339" t="str">
        <x:v>AC-00796</x:v>
      </x:c>
      <x:c r="B797" s="339" t="str">
        <x:v>US-0199</x:v>
      </x:c>
      <x:c r="C797" s="339" t="str">
        <x:v>SCR-100</x:v>
      </x:c>
      <x:c r="D797" s="339" t="str">
        <x:v>Academics &amp; Curriculum</x:v>
      </x:c>
      <x:c r="E797" s="339" t="str">
        <x:v>Units / Chapters / Topics</x:v>
      </x:c>
      <x:c r="F797" s="339" t="str">
        <x:v>Auditability</x:v>
      </x:c>
      <x:c r="G797" s="339" t="str">
        <x:v>a material create/update/approve/reverse action occurs</x:v>
      </x:c>
      <x:c r="H797" s="339" t="str">
        <x:v>the transaction succeeds</x:v>
      </x:c>
      <x:c r="I797" s="339" t="str">
        <x:v>the system records actor, timestamp, action, target and relevant before/after or reason context in the audit trail</x:v>
      </x:c>
      <x:c r="J797" s="339" t="str">
        <x:v>Positive</x:v>
      </x:c>
      <x:c r="K797" s="339" t="str">
        <x:v>Functional</x:v>
      </x:c>
    </x:row>
    <x:row r="798">
      <x:c r="A798" s="339" t="str">
        <x:v>AC-00797</x:v>
      </x:c>
      <x:c r="B798" s="339" t="str">
        <x:v>US-0200</x:v>
      </x:c>
      <x:c r="C798" s="339" t="str">
        <x:v>SCR-100</x:v>
      </x:c>
      <x:c r="D798" s="339" t="str">
        <x:v>Academics &amp; Curriculum</x:v>
      </x:c>
      <x:c r="E798" s="339" t="str">
        <x:v>Units / Chapters / Topics</x:v>
      </x:c>
      <x:c r="F798" s="339" t="str">
        <x:v>Valid status transition</x:v>
      </x:c>
      <x:c r="G798" s="339" t="str">
        <x:v>the record is in a state described by Draft → Review (optional) → Approved → Published / Active → Archived</x:v>
      </x:c>
      <x:c r="H798" s="339" t="str">
        <x:v>the user requests a transition</x:v>
      </x:c>
      <x:c r="I798" s="339" t="str">
        <x:v>the system accepts only transitions allowed for that role and state</x:v>
      </x:c>
      <x:c r="J798" s="339" t="str">
        <x:v>Positive</x:v>
      </x:c>
      <x:c r="K798" s="339" t="str">
        <x:v>Functional</x:v>
      </x:c>
    </x:row>
    <x:row r="799">
      <x:c r="A799" s="339" t="str">
        <x:v>AC-00798</x:v>
      </x:c>
      <x:c r="B799" s="339" t="str">
        <x:v>US-0200</x:v>
      </x:c>
      <x:c r="C799" s="339" t="str">
        <x:v>SCR-100</x:v>
      </x:c>
      <x:c r="D799" s="339" t="str">
        <x:v>Academics &amp; Curriculum</x:v>
      </x:c>
      <x:c r="E799" s="339" t="str">
        <x:v>Units / Chapters / Topics</x:v>
      </x:c>
      <x:c r="F799" s="339" t="str">
        <x:v>Approval authority</x:v>
      </x:c>
      <x:c r="G799" s="339" t="str">
        <x:v>an action requires approval</x:v>
      </x:c>
      <x:c r="H799" s="339" t="str">
        <x:v>a non-authorized user attempts approval/rejection</x:v>
      </x:c>
      <x:c r="I799" s="339" t="str">
        <x:v>the system denies the decision and does not change status</x:v>
      </x:c>
      <x:c r="J799" s="339" t="str">
        <x:v>Negative</x:v>
      </x:c>
      <x:c r="K799" s="339" t="str">
        <x:v>Functional</x:v>
      </x:c>
    </x:row>
    <x:row r="800">
      <x:c r="A800" s="339" t="str">
        <x:v>AC-00799</x:v>
      </x:c>
      <x:c r="B800" s="339" t="str">
        <x:v>US-0200</x:v>
      </x:c>
      <x:c r="C800" s="339" t="str">
        <x:v>SCR-100</x:v>
      </x:c>
      <x:c r="D800" s="339" t="str">
        <x:v>Academics &amp; Curriculum</x:v>
      </x:c>
      <x:c r="E800" s="339" t="str">
        <x:v>Units / Chapters / Topics</x:v>
      </x:c>
      <x:c r="F800" s="339" t="str">
        <x:v>Failure rollback</x:v>
      </x:c>
      <x:c r="G800" s="339" t="str">
        <x:v>a downstream dependency fails during a multi-step transaction</x:v>
      </x:c>
      <x:c r="H800" s="339" t="str">
        <x:v>the workflow executes</x:v>
      </x:c>
      <x:c r="I800" s="339" t="str">
        <x:v>the system does not leave an invalid partial final state and surfaces a recoverable error</x:v>
      </x:c>
      <x:c r="J800" s="339" t="str">
        <x:v>Positive</x:v>
      </x:c>
      <x:c r="K800" s="339" t="str">
        <x:v>Functional</x:v>
      </x:c>
    </x:row>
    <x:row r="801">
      <x:c r="A801" s="339" t="str">
        <x:v>AC-00800</x:v>
      </x:c>
      <x:c r="B801" s="339" t="str">
        <x:v>US-0200</x:v>
      </x:c>
      <x:c r="C801" s="339" t="str">
        <x:v>SCR-100</x:v>
      </x:c>
      <x:c r="D801" s="339" t="str">
        <x:v>Academics &amp; Curriculum</x:v>
      </x:c>
      <x:c r="E801" s="339" t="str">
        <x:v>Units / Chapters / Topics</x:v>
      </x:c>
      <x:c r="F801" s="339" t="str">
        <x:v>Exception traceability</x:v>
      </x:c>
      <x:c r="G801" s="339" t="str">
        <x:v>an authorized override/exception is used</x:v>
      </x:c>
      <x:c r="H801" s="339" t="str">
        <x:v>the action is confirmed</x:v>
      </x:c>
      <x:c r="I801" s="339" t="str">
        <x:v>the system requires reason/context and records it in the audit history</x:v>
      </x:c>
      <x:c r="J801" s="339" t="str">
        <x:v>Positive</x:v>
      </x:c>
      <x:c r="K801" s="339" t="str">
        <x:v>Functional</x:v>
      </x:c>
    </x:row>
    <x:row r="802">
      <x:c r="A802" s="339" t="str">
        <x:v>AC-00801</x:v>
      </x:c>
      <x:c r="B802" s="339" t="str">
        <x:v>US-0201</x:v>
      </x:c>
      <x:c r="C802" s="339" t="str">
        <x:v>SCR-101</x:v>
      </x:c>
      <x:c r="D802" s="339" t="str">
        <x:v>Academics &amp; Curriculum</x:v>
      </x:c>
      <x:c r="E802" s="339" t="str">
        <x:v>Learning Outcomes</x:v>
      </x:c>
      <x:c r="F802" s="339" t="str">
        <x:v>Authorized access to Learning Outcomes</x:v>
      </x:c>
      <x:c r="G802" s="339" t="str">
        <x:v>the Academic Coordinator is authenticated and has access to Learning Outcomes</x:v>
      </x:c>
      <x:c r="H802" s="339" t="str">
        <x:v>the user opens or invokes Learning Outcomes</x:v>
      </x:c>
      <x:c r="I802" s="339" t="str">
        <x:v>the system loads only records and actions within the user's permitted tenant/school/data scope</x:v>
      </x:c>
      <x:c r="J802" s="339" t="str">
        <x:v>Positive</x:v>
      </x:c>
      <x:c r="K802" s="339" t="str">
        <x:v>Functional / Security</x:v>
      </x:c>
    </x:row>
    <x:row r="803">
      <x:c r="A803" s="339" t="str">
        <x:v>AC-00802</x:v>
      </x:c>
      <x:c r="B803" s="339" t="str">
        <x:v>US-0201</x:v>
      </x:c>
      <x:c r="C803" s="339" t="str">
        <x:v>SCR-101</x:v>
      </x:c>
      <x:c r="D803" s="339" t="str">
        <x:v>Academics &amp; Curriculum</x:v>
      </x:c>
      <x:c r="E803" s="339" t="str">
        <x:v>Learning Outcomes</x:v>
      </x:c>
      <x:c r="F803" s="339" t="str">
        <x:v>Successful Learning Outcomes happy path</x:v>
      </x:c>
      <x:c r="G803" s="339" t="str">
        <x:v>all mandatory prerequisites and valid data are available</x:v>
      </x:c>
      <x:c r="H803" s="339" t="str">
        <x:v>the Academic Coordinator completes the primary action on Learning Outcomes</x:v>
      </x:c>
      <x:c r="I803" s="339" t="str">
        <x:v>the system validates the request, saves it atomically, shows a clear confirmation and reflects the updated state</x:v>
      </x:c>
      <x:c r="J803" s="339" t="str">
        <x:v>Positive</x:v>
      </x:c>
      <x:c r="K803" s="339" t="str">
        <x:v>Functional</x:v>
      </x:c>
    </x:row>
    <x:row r="804">
      <x:c r="A804" s="339" t="str">
        <x:v>AC-00803</x:v>
      </x:c>
      <x:c r="B804" s="339" t="str">
        <x:v>US-0201</x:v>
      </x:c>
      <x:c r="C804" s="339" t="str">
        <x:v>SCR-101</x:v>
      </x:c>
      <x:c r="D804" s="339" t="str">
        <x:v>Academics &amp; Curriculum</x:v>
      </x:c>
      <x:c r="E804" s="339" t="str">
        <x:v>Learning Outcomes</x:v>
      </x:c>
      <x:c r="F804" s="339" t="str">
        <x:v>State and dependency integrity</x:v>
      </x:c>
      <x:c r="G804" s="339" t="str">
        <x:v>the current record is in an allowed state (Draft → Review (optional) → Approved → Published / Active → Archived)</x:v>
      </x:c>
      <x:c r="H804" s="339" t="str">
        <x:v>the user attempts a state-changing action</x:v>
      </x:c>
      <x:c r="I804" s="339" t="str">
        <x:v>only a valid transition is accepted and dependent records are updated according to configured business rules</x:v>
      </x:c>
      <x:c r="J804" s="339" t="str">
        <x:v>Positive</x:v>
      </x:c>
      <x:c r="K804" s="339" t="str">
        <x:v>Functional</x:v>
      </x:c>
    </x:row>
    <x:row r="805">
      <x:c r="A805" s="339" t="str">
        <x:v>AC-00804</x:v>
      </x:c>
      <x:c r="B805" s="339" t="str">
        <x:v>US-0201</x:v>
      </x:c>
      <x:c r="C805" s="339" t="str">
        <x:v>SCR-101</x:v>
      </x:c>
      <x:c r="D805" s="339" t="str">
        <x:v>Academics &amp; Curriculum</x:v>
      </x:c>
      <x:c r="E805" s="339" t="str">
        <x:v>Learning Outcomes</x:v>
      </x:c>
      <x:c r="F805" s="339" t="str">
        <x:v>Auditability</x:v>
      </x:c>
      <x:c r="G805" s="339" t="str">
        <x:v>a material create/update/approve/reverse action occurs</x:v>
      </x:c>
      <x:c r="H805" s="339" t="str">
        <x:v>the transaction succeeds</x:v>
      </x:c>
      <x:c r="I805" s="339" t="str">
        <x:v>the system records actor, timestamp, action, target and relevant before/after or reason context in the audit trail</x:v>
      </x:c>
      <x:c r="J805" s="339" t="str">
        <x:v>Positive</x:v>
      </x:c>
      <x:c r="K805" s="339" t="str">
        <x:v>Functional</x:v>
      </x:c>
    </x:row>
    <x:row r="806">
      <x:c r="A806" s="339" t="str">
        <x:v>AC-00805</x:v>
      </x:c>
      <x:c r="B806" s="339" t="str">
        <x:v>US-0202</x:v>
      </x:c>
      <x:c r="C806" s="339" t="str">
        <x:v>SCR-101</x:v>
      </x:c>
      <x:c r="D806" s="339" t="str">
        <x:v>Academics &amp; Curriculum</x:v>
      </x:c>
      <x:c r="E806" s="339" t="str">
        <x:v>Learning Outcomes</x:v>
      </x:c>
      <x:c r="F806" s="339" t="str">
        <x:v>Valid status transition</x:v>
      </x:c>
      <x:c r="G806" s="339" t="str">
        <x:v>the record is in a state described by Draft → Review (optional) → Approved → Published / Active → Archived</x:v>
      </x:c>
      <x:c r="H806" s="339" t="str">
        <x:v>the user requests a transition</x:v>
      </x:c>
      <x:c r="I806" s="339" t="str">
        <x:v>the system accepts only transitions allowed for that role and state</x:v>
      </x:c>
      <x:c r="J806" s="339" t="str">
        <x:v>Positive</x:v>
      </x:c>
      <x:c r="K806" s="339" t="str">
        <x:v>Functional</x:v>
      </x:c>
    </x:row>
    <x:row r="807">
      <x:c r="A807" s="339" t="str">
        <x:v>AC-00806</x:v>
      </x:c>
      <x:c r="B807" s="339" t="str">
        <x:v>US-0202</x:v>
      </x:c>
      <x:c r="C807" s="339" t="str">
        <x:v>SCR-101</x:v>
      </x:c>
      <x:c r="D807" s="339" t="str">
        <x:v>Academics &amp; Curriculum</x:v>
      </x:c>
      <x:c r="E807" s="339" t="str">
        <x:v>Learning Outcomes</x:v>
      </x:c>
      <x:c r="F807" s="339" t="str">
        <x:v>Approval authority</x:v>
      </x:c>
      <x:c r="G807" s="339" t="str">
        <x:v>an action requires approval</x:v>
      </x:c>
      <x:c r="H807" s="339" t="str">
        <x:v>a non-authorized user attempts approval/rejection</x:v>
      </x:c>
      <x:c r="I807" s="339" t="str">
        <x:v>the system denies the decision and does not change status</x:v>
      </x:c>
      <x:c r="J807" s="339" t="str">
        <x:v>Negative</x:v>
      </x:c>
      <x:c r="K807" s="339" t="str">
        <x:v>Functional</x:v>
      </x:c>
    </x:row>
    <x:row r="808">
      <x:c r="A808" s="339" t="str">
        <x:v>AC-00807</x:v>
      </x:c>
      <x:c r="B808" s="339" t="str">
        <x:v>US-0202</x:v>
      </x:c>
      <x:c r="C808" s="339" t="str">
        <x:v>SCR-101</x:v>
      </x:c>
      <x:c r="D808" s="339" t="str">
        <x:v>Academics &amp; Curriculum</x:v>
      </x:c>
      <x:c r="E808" s="339" t="str">
        <x:v>Learning Outcomes</x:v>
      </x:c>
      <x:c r="F808" s="339" t="str">
        <x:v>Failure rollback</x:v>
      </x:c>
      <x:c r="G808" s="339" t="str">
        <x:v>a downstream dependency fails during a multi-step transaction</x:v>
      </x:c>
      <x:c r="H808" s="339" t="str">
        <x:v>the workflow executes</x:v>
      </x:c>
      <x:c r="I808" s="339" t="str">
        <x:v>the system does not leave an invalid partial final state and surfaces a recoverable error</x:v>
      </x:c>
      <x:c r="J808" s="339" t="str">
        <x:v>Positive</x:v>
      </x:c>
      <x:c r="K808" s="339" t="str">
        <x:v>Functional</x:v>
      </x:c>
    </x:row>
    <x:row r="809">
      <x:c r="A809" s="339" t="str">
        <x:v>AC-00808</x:v>
      </x:c>
      <x:c r="B809" s="339" t="str">
        <x:v>US-0202</x:v>
      </x:c>
      <x:c r="C809" s="339" t="str">
        <x:v>SCR-101</x:v>
      </x:c>
      <x:c r="D809" s="339" t="str">
        <x:v>Academics &amp; Curriculum</x:v>
      </x:c>
      <x:c r="E809" s="339" t="str">
        <x:v>Learning Outcomes</x:v>
      </x:c>
      <x:c r="F809" s="339" t="str">
        <x:v>Exception traceability</x:v>
      </x:c>
      <x:c r="G809" s="339" t="str">
        <x:v>an authorized override/exception is used</x:v>
      </x:c>
      <x:c r="H809" s="339" t="str">
        <x:v>the action is confirmed</x:v>
      </x:c>
      <x:c r="I809" s="339" t="str">
        <x:v>the system requires reason/context and records it in the audit history</x:v>
      </x:c>
      <x:c r="J809" s="339" t="str">
        <x:v>Positive</x:v>
      </x:c>
      <x:c r="K809" s="339" t="str">
        <x:v>Functional</x:v>
      </x:c>
    </x:row>
    <x:row r="810">
      <x:c r="A810" s="339" t="str">
        <x:v>AC-00809</x:v>
      </x:c>
      <x:c r="B810" s="339" t="str">
        <x:v>US-0203</x:v>
      </x:c>
      <x:c r="C810" s="339" t="str">
        <x:v>SCR-102</x:v>
      </x:c>
      <x:c r="D810" s="339" t="str">
        <x:v>Academics &amp; Curriculum</x:v>
      </x:c>
      <x:c r="E810" s="339" t="str">
        <x:v>Lesson Plans</x:v>
      </x:c>
      <x:c r="F810" s="339" t="str">
        <x:v>Authorized access to Lesson Plans</x:v>
      </x:c>
      <x:c r="G810" s="339" t="str">
        <x:v>the Academic Coordinator is authenticated and has access to Lesson Plans</x:v>
      </x:c>
      <x:c r="H810" s="339" t="str">
        <x:v>the user opens or invokes Lesson Plans</x:v>
      </x:c>
      <x:c r="I810" s="339" t="str">
        <x:v>the system loads only records and actions within the user's permitted tenant/school/data scope</x:v>
      </x:c>
      <x:c r="J810" s="339" t="str">
        <x:v>Positive</x:v>
      </x:c>
      <x:c r="K810" s="339" t="str">
        <x:v>Functional / Security</x:v>
      </x:c>
    </x:row>
    <x:row r="811">
      <x:c r="A811" s="339" t="str">
        <x:v>AC-00810</x:v>
      </x:c>
      <x:c r="B811" s="339" t="str">
        <x:v>US-0203</x:v>
      </x:c>
      <x:c r="C811" s="339" t="str">
        <x:v>SCR-102</x:v>
      </x:c>
      <x:c r="D811" s="339" t="str">
        <x:v>Academics &amp; Curriculum</x:v>
      </x:c>
      <x:c r="E811" s="339" t="str">
        <x:v>Lesson Plans</x:v>
      </x:c>
      <x:c r="F811" s="339" t="str">
        <x:v>Successful Lesson Plans happy path</x:v>
      </x:c>
      <x:c r="G811" s="339" t="str">
        <x:v>all mandatory prerequisites and valid data are available</x:v>
      </x:c>
      <x:c r="H811" s="339" t="str">
        <x:v>the Academic Coordinator completes the primary action on Lesson Plans</x:v>
      </x:c>
      <x:c r="I811" s="339" t="str">
        <x:v>the system validates the request, saves it atomically, shows a clear confirmation and reflects the updated state</x:v>
      </x:c>
      <x:c r="J811" s="339" t="str">
        <x:v>Positive</x:v>
      </x:c>
      <x:c r="K811" s="339" t="str">
        <x:v>Functional</x:v>
      </x:c>
    </x:row>
    <x:row r="812">
      <x:c r="A812" s="339" t="str">
        <x:v>AC-00811</x:v>
      </x:c>
      <x:c r="B812" s="339" t="str">
        <x:v>US-0203</x:v>
      </x:c>
      <x:c r="C812" s="339" t="str">
        <x:v>SCR-102</x:v>
      </x:c>
      <x:c r="D812" s="339" t="str">
        <x:v>Academics &amp; Curriculum</x:v>
      </x:c>
      <x:c r="E812" s="339" t="str">
        <x:v>Lesson Plans</x:v>
      </x:c>
      <x:c r="F812" s="339" t="str">
        <x:v>State and dependency integrity</x:v>
      </x:c>
      <x:c r="G812" s="339" t="str">
        <x:v>the current record is in an allowed state (Draft → Review (optional) → Approved → Published / Active → Archived)</x:v>
      </x:c>
      <x:c r="H812" s="339" t="str">
        <x:v>the user attempts a state-changing action</x:v>
      </x:c>
      <x:c r="I812" s="339" t="str">
        <x:v>only a valid transition is accepted and dependent records are updated according to configured business rules</x:v>
      </x:c>
      <x:c r="J812" s="339" t="str">
        <x:v>Positive</x:v>
      </x:c>
      <x:c r="K812" s="339" t="str">
        <x:v>Functional</x:v>
      </x:c>
    </x:row>
    <x:row r="813">
      <x:c r="A813" s="339" t="str">
        <x:v>AC-00812</x:v>
      </x:c>
      <x:c r="B813" s="339" t="str">
        <x:v>US-0203</x:v>
      </x:c>
      <x:c r="C813" s="339" t="str">
        <x:v>SCR-102</x:v>
      </x:c>
      <x:c r="D813" s="339" t="str">
        <x:v>Academics &amp; Curriculum</x:v>
      </x:c>
      <x:c r="E813" s="339" t="str">
        <x:v>Lesson Plans</x:v>
      </x:c>
      <x:c r="F813" s="339" t="str">
        <x:v>Auditability</x:v>
      </x:c>
      <x:c r="G813" s="339" t="str">
        <x:v>a material create/update/approve/reverse action occurs</x:v>
      </x:c>
      <x:c r="H813" s="339" t="str">
        <x:v>the transaction succeeds</x:v>
      </x:c>
      <x:c r="I813" s="339" t="str">
        <x:v>the system records actor, timestamp, action, target and relevant before/after or reason context in the audit trail</x:v>
      </x:c>
      <x:c r="J813" s="339" t="str">
        <x:v>Positive</x:v>
      </x:c>
      <x:c r="K813" s="339" t="str">
        <x:v>Functional</x:v>
      </x:c>
    </x:row>
    <x:row r="814">
      <x:c r="A814" s="339" t="str">
        <x:v>AC-00813</x:v>
      </x:c>
      <x:c r="B814" s="339" t="str">
        <x:v>US-0204</x:v>
      </x:c>
      <x:c r="C814" s="339" t="str">
        <x:v>SCR-102</x:v>
      </x:c>
      <x:c r="D814" s="339" t="str">
        <x:v>Academics &amp; Curriculum</x:v>
      </x:c>
      <x:c r="E814" s="339" t="str">
        <x:v>Lesson Plans</x:v>
      </x:c>
      <x:c r="F814" s="339" t="str">
        <x:v>Valid status transition</x:v>
      </x:c>
      <x:c r="G814" s="339" t="str">
        <x:v>the record is in a state described by Draft → Review (optional) → Approved → Published / Active → Archived</x:v>
      </x:c>
      <x:c r="H814" s="339" t="str">
        <x:v>the user requests a transition</x:v>
      </x:c>
      <x:c r="I814" s="339" t="str">
        <x:v>the system accepts only transitions allowed for that role and state</x:v>
      </x:c>
      <x:c r="J814" s="339" t="str">
        <x:v>Positive</x:v>
      </x:c>
      <x:c r="K814" s="339" t="str">
        <x:v>Functional</x:v>
      </x:c>
    </x:row>
    <x:row r="815">
      <x:c r="A815" s="339" t="str">
        <x:v>AC-00814</x:v>
      </x:c>
      <x:c r="B815" s="339" t="str">
        <x:v>US-0204</x:v>
      </x:c>
      <x:c r="C815" s="339" t="str">
        <x:v>SCR-102</x:v>
      </x:c>
      <x:c r="D815" s="339" t="str">
        <x:v>Academics &amp; Curriculum</x:v>
      </x:c>
      <x:c r="E815" s="339" t="str">
        <x:v>Lesson Plans</x:v>
      </x:c>
      <x:c r="F815" s="339" t="str">
        <x:v>Approval authority</x:v>
      </x:c>
      <x:c r="G815" s="339" t="str">
        <x:v>an action requires approval</x:v>
      </x:c>
      <x:c r="H815" s="339" t="str">
        <x:v>a non-authorized user attempts approval/rejection</x:v>
      </x:c>
      <x:c r="I815" s="339" t="str">
        <x:v>the system denies the decision and does not change status</x:v>
      </x:c>
      <x:c r="J815" s="339" t="str">
        <x:v>Negative</x:v>
      </x:c>
      <x:c r="K815" s="339" t="str">
        <x:v>Functional</x:v>
      </x:c>
    </x:row>
    <x:row r="816">
      <x:c r="A816" s="339" t="str">
        <x:v>AC-00815</x:v>
      </x:c>
      <x:c r="B816" s="339" t="str">
        <x:v>US-0204</x:v>
      </x:c>
      <x:c r="C816" s="339" t="str">
        <x:v>SCR-102</x:v>
      </x:c>
      <x:c r="D816" s="339" t="str">
        <x:v>Academics &amp; Curriculum</x:v>
      </x:c>
      <x:c r="E816" s="339" t="str">
        <x:v>Lesson Plans</x:v>
      </x:c>
      <x:c r="F816" s="339" t="str">
        <x:v>Failure rollback</x:v>
      </x:c>
      <x:c r="G816" s="339" t="str">
        <x:v>a downstream dependency fails during a multi-step transaction</x:v>
      </x:c>
      <x:c r="H816" s="339" t="str">
        <x:v>the workflow executes</x:v>
      </x:c>
      <x:c r="I816" s="339" t="str">
        <x:v>the system does not leave an invalid partial final state and surfaces a recoverable error</x:v>
      </x:c>
      <x:c r="J816" s="339" t="str">
        <x:v>Positive</x:v>
      </x:c>
      <x:c r="K816" s="339" t="str">
        <x:v>Functional</x:v>
      </x:c>
    </x:row>
    <x:row r="817">
      <x:c r="A817" s="339" t="str">
        <x:v>AC-00816</x:v>
      </x:c>
      <x:c r="B817" s="339" t="str">
        <x:v>US-0204</x:v>
      </x:c>
      <x:c r="C817" s="339" t="str">
        <x:v>SCR-102</x:v>
      </x:c>
      <x:c r="D817" s="339" t="str">
        <x:v>Academics &amp; Curriculum</x:v>
      </x:c>
      <x:c r="E817" s="339" t="str">
        <x:v>Lesson Plans</x:v>
      </x:c>
      <x:c r="F817" s="339" t="str">
        <x:v>Exception traceability</x:v>
      </x:c>
      <x:c r="G817" s="339" t="str">
        <x:v>an authorized override/exception is used</x:v>
      </x:c>
      <x:c r="H817" s="339" t="str">
        <x:v>the action is confirmed</x:v>
      </x:c>
      <x:c r="I817" s="339" t="str">
        <x:v>the system requires reason/context and records it in the audit history</x:v>
      </x:c>
      <x:c r="J817" s="339" t="str">
        <x:v>Positive</x:v>
      </x:c>
      <x:c r="K817" s="339" t="str">
        <x:v>Functional</x:v>
      </x:c>
    </x:row>
    <x:row r="818">
      <x:c r="A818" s="339" t="str">
        <x:v>AC-00817</x:v>
      </x:c>
      <x:c r="B818" s="339" t="str">
        <x:v>US-0205</x:v>
      </x:c>
      <x:c r="C818" s="339" t="str">
        <x:v>SCR-103</x:v>
      </x:c>
      <x:c r="D818" s="339" t="str">
        <x:v>Academics &amp; Curriculum</x:v>
      </x:c>
      <x:c r="E818" s="339" t="str">
        <x:v>Create / Edit Lesson Plan</x:v>
      </x:c>
      <x:c r="F818" s="339" t="str">
        <x:v>Authorized access to Create / Edit Lesson Plan</x:v>
      </x:c>
      <x:c r="G818" s="339" t="str">
        <x:v>the Academic Coordinator is authenticated and has access to Create / Edit Lesson Plan</x:v>
      </x:c>
      <x:c r="H818" s="339" t="str">
        <x:v>the user opens or invokes Create / Edit Lesson Plan</x:v>
      </x:c>
      <x:c r="I818" s="339" t="str">
        <x:v>the system loads only records and actions within the user's permitted tenant/school/data scope</x:v>
      </x:c>
      <x:c r="J818" s="339" t="str">
        <x:v>Positive</x:v>
      </x:c>
      <x:c r="K818" s="339" t="str">
        <x:v>Functional / Security</x:v>
      </x:c>
    </x:row>
    <x:row r="819">
      <x:c r="A819" s="339" t="str">
        <x:v>AC-00818</x:v>
      </x:c>
      <x:c r="B819" s="339" t="str">
        <x:v>US-0205</x:v>
      </x:c>
      <x:c r="C819" s="339" t="str">
        <x:v>SCR-103</x:v>
      </x:c>
      <x:c r="D819" s="339" t="str">
        <x:v>Academics &amp; Curriculum</x:v>
      </x:c>
      <x:c r="E819" s="339" t="str">
        <x:v>Create / Edit Lesson Plan</x:v>
      </x:c>
      <x:c r="F819" s="339" t="str">
        <x:v>Successful Create / Edit Lesson Plan happy path</x:v>
      </x:c>
      <x:c r="G819" s="339" t="str">
        <x:v>all mandatory prerequisites and valid data are available</x:v>
      </x:c>
      <x:c r="H819" s="339" t="str">
        <x:v>the Academic Coordinator completes the primary action on Create / Edit Lesson Plan</x:v>
      </x:c>
      <x:c r="I819" s="339" t="str">
        <x:v>the system validates the request, saves it atomically, shows a clear confirmation and reflects the updated state</x:v>
      </x:c>
      <x:c r="J819" s="339" t="str">
        <x:v>Positive</x:v>
      </x:c>
      <x:c r="K819" s="339" t="str">
        <x:v>Functional</x:v>
      </x:c>
    </x:row>
    <x:row r="820">
      <x:c r="A820" s="339" t="str">
        <x:v>AC-00819</x:v>
      </x:c>
      <x:c r="B820" s="339" t="str">
        <x:v>US-0205</x:v>
      </x:c>
      <x:c r="C820" s="339" t="str">
        <x:v>SCR-103</x:v>
      </x:c>
      <x:c r="D820" s="339" t="str">
        <x:v>Academics &amp; Curriculum</x:v>
      </x:c>
      <x:c r="E820" s="339" t="str">
        <x:v>Create / Edit Lesson Plan</x:v>
      </x:c>
      <x:c r="F820" s="339" t="str">
        <x:v>State and dependency integrity</x:v>
      </x:c>
      <x:c r="G820" s="339" t="str">
        <x:v>the current record is in an allowed state (Draft → Review (optional) → Approved → Published / Active → Archived)</x:v>
      </x:c>
      <x:c r="H820" s="339" t="str">
        <x:v>the user attempts a state-changing action</x:v>
      </x:c>
      <x:c r="I820" s="339" t="str">
        <x:v>only a valid transition is accepted and dependent records are updated according to configured business rules</x:v>
      </x:c>
      <x:c r="J820" s="339" t="str">
        <x:v>Positive</x:v>
      </x:c>
      <x:c r="K820" s="339" t="str">
        <x:v>Functional</x:v>
      </x:c>
    </x:row>
    <x:row r="821">
      <x:c r="A821" s="339" t="str">
        <x:v>AC-00820</x:v>
      </x:c>
      <x:c r="B821" s="339" t="str">
        <x:v>US-0205</x:v>
      </x:c>
      <x:c r="C821" s="339" t="str">
        <x:v>SCR-103</x:v>
      </x:c>
      <x:c r="D821" s="339" t="str">
        <x:v>Academics &amp; Curriculum</x:v>
      </x:c>
      <x:c r="E821" s="339" t="str">
        <x:v>Create / Edit Lesson Plan</x:v>
      </x:c>
      <x:c r="F821" s="339" t="str">
        <x:v>Auditability</x:v>
      </x:c>
      <x:c r="G821" s="339" t="str">
        <x:v>a material create/update/approve/reverse action occurs</x:v>
      </x:c>
      <x:c r="H821" s="339" t="str">
        <x:v>the transaction succeeds</x:v>
      </x:c>
      <x:c r="I821" s="339" t="str">
        <x:v>the system records actor, timestamp, action, target and relevant before/after or reason context in the audit trail</x:v>
      </x:c>
      <x:c r="J821" s="339" t="str">
        <x:v>Positive</x:v>
      </x:c>
      <x:c r="K821" s="339" t="str">
        <x:v>Functional</x:v>
      </x:c>
    </x:row>
    <x:row r="822">
      <x:c r="A822" s="339" t="str">
        <x:v>AC-00821</x:v>
      </x:c>
      <x:c r="B822" s="339" t="str">
        <x:v>US-0206</x:v>
      </x:c>
      <x:c r="C822" s="339" t="str">
        <x:v>SCR-103</x:v>
      </x:c>
      <x:c r="D822" s="339" t="str">
        <x:v>Academics &amp; Curriculum</x:v>
      </x:c>
      <x:c r="E822" s="339" t="str">
        <x:v>Create / Edit Lesson Plan</x:v>
      </x:c>
      <x:c r="F822" s="339" t="str">
        <x:v>Required-field validation</x:v>
      </x:c>
      <x:c r="G822" s="339" t="str">
        <x:v>one or more required values are missing/invalid</x:v>
      </x:c>
      <x:c r="H822" s="339" t="str">
        <x:v>the user submits the form</x:v>
      </x:c>
      <x:c r="I822" s="339" t="str">
        <x:v>submission is blocked and field-level messages identify what must be corrected</x:v>
      </x:c>
      <x:c r="J822" s="339" t="str">
        <x:v>Positive</x:v>
      </x:c>
      <x:c r="K822" s="339" t="str">
        <x:v>Functional</x:v>
      </x:c>
    </x:row>
    <x:row r="823">
      <x:c r="A823" s="339" t="str">
        <x:v>AC-00822</x:v>
      </x:c>
      <x:c r="B823" s="339" t="str">
        <x:v>US-0206</x:v>
      </x:c>
      <x:c r="C823" s="339" t="str">
        <x:v>SCR-103</x:v>
      </x:c>
      <x:c r="D823" s="339" t="str">
        <x:v>Academics &amp; Curriculum</x:v>
      </x:c>
      <x:c r="E823" s="339" t="str">
        <x:v>Create / Edit Lesson Plan</x:v>
      </x:c>
      <x:c r="F823" s="339" t="str">
        <x:v>Duplicate prevention</x:v>
      </x:c>
      <x:c r="G823" s="339" t="str">
        <x:v>a potentially duplicate record exists</x:v>
      </x:c>
      <x:c r="H823" s="339" t="str">
        <x:v>the user submits matching identity/master data</x:v>
      </x:c>
      <x:c r="I823" s="339" t="str">
        <x:v>the system blocks or warns according to configured duplicate policy before creating another record</x:v>
      </x:c>
      <x:c r="J823" s="339" t="str">
        <x:v>Negative</x:v>
      </x:c>
      <x:c r="K823" s="339" t="str">
        <x:v>Functional</x:v>
      </x:c>
    </x:row>
    <x:row r="824">
      <x:c r="A824" s="339" t="str">
        <x:v>AC-00823</x:v>
      </x:c>
      <x:c r="B824" s="339" t="str">
        <x:v>US-0206</x:v>
      </x:c>
      <x:c r="C824" s="339" t="str">
        <x:v>SCR-103</x:v>
      </x:c>
      <x:c r="D824" s="339" t="str">
        <x:v>Academics &amp; Curriculum</x:v>
      </x:c>
      <x:c r="E824" s="339" t="str">
        <x:v>Create / Edit Lesson Plan</x:v>
      </x:c>
      <x:c r="F824" s="339" t="str">
        <x:v>Reference-data integrity</x:v>
      </x:c>
      <x:c r="G824" s="339" t="str">
        <x:v>the form contains master-data selections</x:v>
      </x:c>
      <x:c r="H824" s="339" t="str">
        <x:v>the user submits</x:v>
      </x:c>
      <x:c r="I824" s="339" t="str">
        <x:v>all referenced values are active, effective and within the user's scope at the time of save</x:v>
      </x:c>
      <x:c r="J824" s="339" t="str">
        <x:v>Positive</x:v>
      </x:c>
      <x:c r="K824" s="339" t="str">
        <x:v>Functional</x:v>
      </x:c>
    </x:row>
    <x:row r="825">
      <x:c r="A825" s="339" t="str">
        <x:v>AC-00824</x:v>
      </x:c>
      <x:c r="B825" s="339" t="str">
        <x:v>US-0206</x:v>
      </x:c>
      <x:c r="C825" s="339" t="str">
        <x:v>SCR-103</x:v>
      </x:c>
      <x:c r="D825" s="339" t="str">
        <x:v>Academics &amp; Curriculum</x:v>
      </x:c>
      <x:c r="E825" s="339" t="str">
        <x:v>Create / Edit Lesson Plan</x:v>
      </x:c>
      <x:c r="F825" s="339" t="str">
        <x:v>Retry safety</x:v>
      </x:c>
      <x:c r="G825" s="339" t="str">
        <x:v>a network retry or repeated click occurs</x:v>
      </x:c>
      <x:c r="H825" s="339" t="str">
        <x:v>the same transaction is submitted again</x:v>
      </x:c>
      <x:c r="I825" s="339" t="str">
        <x:v>the system prevents unintended duplicate transactions through idempotency or duplicate detection</x:v>
      </x:c>
      <x:c r="J825" s="339" t="str">
        <x:v>Positive</x:v>
      </x:c>
      <x:c r="K825" s="339" t="str">
        <x:v>Functional</x:v>
      </x:c>
    </x:row>
    <x:row r="826">
      <x:c r="A826" s="339" t="str">
        <x:v>AC-00825</x:v>
      </x:c>
      <x:c r="B826" s="339" t="str">
        <x:v>US-0207</x:v>
      </x:c>
      <x:c r="C826" s="339" t="str">
        <x:v>SCR-104</x:v>
      </x:c>
      <x:c r="D826" s="339" t="str">
        <x:v>Academics &amp; Curriculum</x:v>
      </x:c>
      <x:c r="E826" s="339" t="str">
        <x:v>Lesson Plan Review &amp; Approval</x:v>
      </x:c>
      <x:c r="F826" s="339" t="str">
        <x:v>Authorized access to Lesson Plan Review &amp; Approval</x:v>
      </x:c>
      <x:c r="G826" s="339" t="str">
        <x:v>the Academic Coordinator is authenticated and has access to Lesson Plan Review &amp; Approval</x:v>
      </x:c>
      <x:c r="H826" s="339" t="str">
        <x:v>the user opens or invokes Lesson Plan Review &amp; Approval</x:v>
      </x:c>
      <x:c r="I826" s="339" t="str">
        <x:v>the system loads only records and actions within the user's permitted tenant/school/data scope</x:v>
      </x:c>
      <x:c r="J826" s="339" t="str">
        <x:v>Positive</x:v>
      </x:c>
      <x:c r="K826" s="339" t="str">
        <x:v>Functional / Security</x:v>
      </x:c>
    </x:row>
    <x:row r="827">
      <x:c r="A827" s="339" t="str">
        <x:v>AC-00826</x:v>
      </x:c>
      <x:c r="B827" s="339" t="str">
        <x:v>US-0207</x:v>
      </x:c>
      <x:c r="C827" s="339" t="str">
        <x:v>SCR-104</x:v>
      </x:c>
      <x:c r="D827" s="339" t="str">
        <x:v>Academics &amp; Curriculum</x:v>
      </x:c>
      <x:c r="E827" s="339" t="str">
        <x:v>Lesson Plan Review &amp; Approval</x:v>
      </x:c>
      <x:c r="F827" s="339" t="str">
        <x:v>Successful Lesson Plan Review &amp; Approval happy path</x:v>
      </x:c>
      <x:c r="G827" s="339" t="str">
        <x:v>all mandatory prerequisites and valid data are available</x:v>
      </x:c>
      <x:c r="H827" s="339" t="str">
        <x:v>the Academic Coordinator completes the primary action on Lesson Plan Review &amp; Approval</x:v>
      </x:c>
      <x:c r="I827" s="339" t="str">
        <x:v>the system validates the request, saves it atomically, shows a clear confirmation and reflects the updated state</x:v>
      </x:c>
      <x:c r="J827" s="339" t="str">
        <x:v>Positive</x:v>
      </x:c>
      <x:c r="K827" s="339" t="str">
        <x:v>Functional</x:v>
      </x:c>
    </x:row>
    <x:row r="828">
      <x:c r="A828" s="339" t="str">
        <x:v>AC-00827</x:v>
      </x:c>
      <x:c r="B828" s="339" t="str">
        <x:v>US-0207</x:v>
      </x:c>
      <x:c r="C828" s="339" t="str">
        <x:v>SCR-104</x:v>
      </x:c>
      <x:c r="D828" s="339" t="str">
        <x:v>Academics &amp; Curriculum</x:v>
      </x:c>
      <x:c r="E828" s="339" t="str">
        <x:v>Lesson Plan Review &amp; Approval</x:v>
      </x:c>
      <x:c r="F828" s="339" t="str">
        <x:v>State and dependency integrity</x:v>
      </x:c>
      <x:c r="G828" s="339" t="str">
        <x:v>the current record is in an allowed state (Draft → Review (optional) → Approved → Published / Active → Archived)</x:v>
      </x:c>
      <x:c r="H828" s="339" t="str">
        <x:v>the user attempts a state-changing action</x:v>
      </x:c>
      <x:c r="I828" s="339" t="str">
        <x:v>only a valid transition is accepted and dependent records are updated according to configured business rules</x:v>
      </x:c>
      <x:c r="J828" s="339" t="str">
        <x:v>Positive</x:v>
      </x:c>
      <x:c r="K828" s="339" t="str">
        <x:v>Functional</x:v>
      </x:c>
    </x:row>
    <x:row r="829">
      <x:c r="A829" s="339" t="str">
        <x:v>AC-00828</x:v>
      </x:c>
      <x:c r="B829" s="339" t="str">
        <x:v>US-0207</x:v>
      </x:c>
      <x:c r="C829" s="339" t="str">
        <x:v>SCR-104</x:v>
      </x:c>
      <x:c r="D829" s="339" t="str">
        <x:v>Academics &amp; Curriculum</x:v>
      </x:c>
      <x:c r="E829" s="339" t="str">
        <x:v>Lesson Plan Review &amp; Approval</x:v>
      </x:c>
      <x:c r="F829" s="339" t="str">
        <x:v>Auditability</x:v>
      </x:c>
      <x:c r="G829" s="339" t="str">
        <x:v>a material create/update/approve/reverse action occurs</x:v>
      </x:c>
      <x:c r="H829" s="339" t="str">
        <x:v>the transaction succeeds</x:v>
      </x:c>
      <x:c r="I829" s="339" t="str">
        <x:v>the system records actor, timestamp, action, target and relevant before/after or reason context in the audit trail</x:v>
      </x:c>
      <x:c r="J829" s="339" t="str">
        <x:v>Positive</x:v>
      </x:c>
      <x:c r="K829" s="339" t="str">
        <x:v>Functional</x:v>
      </x:c>
    </x:row>
    <x:row r="830">
      <x:c r="A830" s="339" t="str">
        <x:v>AC-00829</x:v>
      </x:c>
      <x:c r="B830" s="339" t="str">
        <x:v>US-0208</x:v>
      </x:c>
      <x:c r="C830" s="339" t="str">
        <x:v>SCR-104</x:v>
      </x:c>
      <x:c r="D830" s="339" t="str">
        <x:v>Academics &amp; Curriculum</x:v>
      </x:c>
      <x:c r="E830" s="339" t="str">
        <x:v>Lesson Plan Review &amp; Approval</x:v>
      </x:c>
      <x:c r="F830" s="339" t="str">
        <x:v>Valid status transition</x:v>
      </x:c>
      <x:c r="G830" s="339" t="str">
        <x:v>the record is in a state described by Draft → Review (optional) → Approved → Published / Active → Archived</x:v>
      </x:c>
      <x:c r="H830" s="339" t="str">
        <x:v>the user requests a transition</x:v>
      </x:c>
      <x:c r="I830" s="339" t="str">
        <x:v>the system accepts only transitions allowed for that role and state</x:v>
      </x:c>
      <x:c r="J830" s="339" t="str">
        <x:v>Positive</x:v>
      </x:c>
      <x:c r="K830" s="339" t="str">
        <x:v>Functional</x:v>
      </x:c>
    </x:row>
    <x:row r="831">
      <x:c r="A831" s="339" t="str">
        <x:v>AC-00830</x:v>
      </x:c>
      <x:c r="B831" s="339" t="str">
        <x:v>US-0208</x:v>
      </x:c>
      <x:c r="C831" s="339" t="str">
        <x:v>SCR-104</x:v>
      </x:c>
      <x:c r="D831" s="339" t="str">
        <x:v>Academics &amp; Curriculum</x:v>
      </x:c>
      <x:c r="E831" s="339" t="str">
        <x:v>Lesson Plan Review &amp; Approval</x:v>
      </x:c>
      <x:c r="F831" s="339" t="str">
        <x:v>Approval authority</x:v>
      </x:c>
      <x:c r="G831" s="339" t="str">
        <x:v>an action requires approval</x:v>
      </x:c>
      <x:c r="H831" s="339" t="str">
        <x:v>a non-authorized user attempts approval/rejection</x:v>
      </x:c>
      <x:c r="I831" s="339" t="str">
        <x:v>the system denies the decision and does not change status</x:v>
      </x:c>
      <x:c r="J831" s="339" t="str">
        <x:v>Negative</x:v>
      </x:c>
      <x:c r="K831" s="339" t="str">
        <x:v>Functional</x:v>
      </x:c>
    </x:row>
    <x:row r="832">
      <x:c r="A832" s="339" t="str">
        <x:v>AC-00831</x:v>
      </x:c>
      <x:c r="B832" s="339" t="str">
        <x:v>US-0208</x:v>
      </x:c>
      <x:c r="C832" s="339" t="str">
        <x:v>SCR-104</x:v>
      </x:c>
      <x:c r="D832" s="339" t="str">
        <x:v>Academics &amp; Curriculum</x:v>
      </x:c>
      <x:c r="E832" s="339" t="str">
        <x:v>Lesson Plan Review &amp; Approval</x:v>
      </x:c>
      <x:c r="F832" s="339" t="str">
        <x:v>Failure rollback</x:v>
      </x:c>
      <x:c r="G832" s="339" t="str">
        <x:v>a downstream dependency fails during a multi-step transaction</x:v>
      </x:c>
      <x:c r="H832" s="339" t="str">
        <x:v>the workflow executes</x:v>
      </x:c>
      <x:c r="I832" s="339" t="str">
        <x:v>the system does not leave an invalid partial final state and surfaces a recoverable error</x:v>
      </x:c>
      <x:c r="J832" s="339" t="str">
        <x:v>Positive</x:v>
      </x:c>
      <x:c r="K832" s="339" t="str">
        <x:v>Functional</x:v>
      </x:c>
    </x:row>
    <x:row r="833">
      <x:c r="A833" s="339" t="str">
        <x:v>AC-00832</x:v>
      </x:c>
      <x:c r="B833" s="339" t="str">
        <x:v>US-0208</x:v>
      </x:c>
      <x:c r="C833" s="339" t="str">
        <x:v>SCR-104</x:v>
      </x:c>
      <x:c r="D833" s="339" t="str">
        <x:v>Academics &amp; Curriculum</x:v>
      </x:c>
      <x:c r="E833" s="339" t="str">
        <x:v>Lesson Plan Review &amp; Approval</x:v>
      </x:c>
      <x:c r="F833" s="339" t="str">
        <x:v>Exception traceability</x:v>
      </x:c>
      <x:c r="G833" s="339" t="str">
        <x:v>an authorized override/exception is used</x:v>
      </x:c>
      <x:c r="H833" s="339" t="str">
        <x:v>the action is confirmed</x:v>
      </x:c>
      <x:c r="I833" s="339" t="str">
        <x:v>the system requires reason/context and records it in the audit history</x:v>
      </x:c>
      <x:c r="J833" s="339" t="str">
        <x:v>Positive</x:v>
      </x:c>
      <x:c r="K833" s="339" t="str">
        <x:v>Functional</x:v>
      </x:c>
    </x:row>
    <x:row r="834">
      <x:c r="A834" s="339" t="str">
        <x:v>AC-00833</x:v>
      </x:c>
      <x:c r="B834" s="339" t="str">
        <x:v>US-0209</x:v>
      </x:c>
      <x:c r="C834" s="339" t="str">
        <x:v>SCR-105</x:v>
      </x:c>
      <x:c r="D834" s="339" t="str">
        <x:v>Academics &amp; Curriculum</x:v>
      </x:c>
      <x:c r="E834" s="339" t="str">
        <x:v>Syllabus Progress</x:v>
      </x:c>
      <x:c r="F834" s="339" t="str">
        <x:v>Authorized access to Syllabus Progress</x:v>
      </x:c>
      <x:c r="G834" s="339" t="str">
        <x:v>the Academic Coordinator is authenticated and has access to Syllabus Progress</x:v>
      </x:c>
      <x:c r="H834" s="339" t="str">
        <x:v>the user opens or invokes Syllabus Progress</x:v>
      </x:c>
      <x:c r="I834" s="339" t="str">
        <x:v>the system loads only records and actions within the user's permitted tenant/school/data scope</x:v>
      </x:c>
      <x:c r="J834" s="339" t="str">
        <x:v>Positive</x:v>
      </x:c>
      <x:c r="K834" s="339" t="str">
        <x:v>Functional / Security</x:v>
      </x:c>
    </x:row>
    <x:row r="835">
      <x:c r="A835" s="339" t="str">
        <x:v>AC-00834</x:v>
      </x:c>
      <x:c r="B835" s="339" t="str">
        <x:v>US-0209</x:v>
      </x:c>
      <x:c r="C835" s="339" t="str">
        <x:v>SCR-105</x:v>
      </x:c>
      <x:c r="D835" s="339" t="str">
        <x:v>Academics &amp; Curriculum</x:v>
      </x:c>
      <x:c r="E835" s="339" t="str">
        <x:v>Syllabus Progress</x:v>
      </x:c>
      <x:c r="F835" s="339" t="str">
        <x:v>Successful Syllabus Progress happy path</x:v>
      </x:c>
      <x:c r="G835" s="339" t="str">
        <x:v>all mandatory prerequisites and valid data are available</x:v>
      </x:c>
      <x:c r="H835" s="339" t="str">
        <x:v>the Academic Coordinator completes the primary action on Syllabus Progress</x:v>
      </x:c>
      <x:c r="I835" s="339" t="str">
        <x:v>the system validates the request, saves it atomically, shows a clear confirmation and reflects the updated state</x:v>
      </x:c>
      <x:c r="J835" s="339" t="str">
        <x:v>Positive</x:v>
      </x:c>
      <x:c r="K835" s="339" t="str">
        <x:v>Functional</x:v>
      </x:c>
    </x:row>
    <x:row r="836">
      <x:c r="A836" s="339" t="str">
        <x:v>AC-00835</x:v>
      </x:c>
      <x:c r="B836" s="339" t="str">
        <x:v>US-0209</x:v>
      </x:c>
      <x:c r="C836" s="339" t="str">
        <x:v>SCR-105</x:v>
      </x:c>
      <x:c r="D836" s="339" t="str">
        <x:v>Academics &amp; Curriculum</x:v>
      </x:c>
      <x:c r="E836" s="339" t="str">
        <x:v>Syllabus Progress</x:v>
      </x:c>
      <x:c r="F836" s="339" t="str">
        <x:v>State and dependency integrity</x:v>
      </x:c>
      <x:c r="G836" s="339" t="str">
        <x:v>the current record is in an allowed state (Draft → Review (optional) → Approved → Published / Active → Archived)</x:v>
      </x:c>
      <x:c r="H836" s="339" t="str">
        <x:v>the user attempts a state-changing action</x:v>
      </x:c>
      <x:c r="I836" s="339" t="str">
        <x:v>only a valid transition is accepted and dependent records are updated according to configured business rules</x:v>
      </x:c>
      <x:c r="J836" s="339" t="str">
        <x:v>Positive</x:v>
      </x:c>
      <x:c r="K836" s="339" t="str">
        <x:v>Functional</x:v>
      </x:c>
    </x:row>
    <x:row r="837">
      <x:c r="A837" s="339" t="str">
        <x:v>AC-00836</x:v>
      </x:c>
      <x:c r="B837" s="339" t="str">
        <x:v>US-0209</x:v>
      </x:c>
      <x:c r="C837" s="339" t="str">
        <x:v>SCR-105</x:v>
      </x:c>
      <x:c r="D837" s="339" t="str">
        <x:v>Academics &amp; Curriculum</x:v>
      </x:c>
      <x:c r="E837" s="339" t="str">
        <x:v>Syllabus Progress</x:v>
      </x:c>
      <x:c r="F837" s="339" t="str">
        <x:v>Auditability</x:v>
      </x:c>
      <x:c r="G837" s="339" t="str">
        <x:v>a material create/update/approve/reverse action occurs</x:v>
      </x:c>
      <x:c r="H837" s="339" t="str">
        <x:v>the transaction succeeds</x:v>
      </x:c>
      <x:c r="I837" s="339" t="str">
        <x:v>the system records actor, timestamp, action, target and relevant before/after or reason context in the audit trail</x:v>
      </x:c>
      <x:c r="J837" s="339" t="str">
        <x:v>Positive</x:v>
      </x:c>
      <x:c r="K837" s="339" t="str">
        <x:v>Functional</x:v>
      </x:c>
    </x:row>
    <x:row r="838">
      <x:c r="A838" s="339" t="str">
        <x:v>AC-00837</x:v>
      </x:c>
      <x:c r="B838" s="339" t="str">
        <x:v>US-0210</x:v>
      </x:c>
      <x:c r="C838" s="339" t="str">
        <x:v>SCR-105</x:v>
      </x:c>
      <x:c r="D838" s="339" t="str">
        <x:v>Academics &amp; Curriculum</x:v>
      </x:c>
      <x:c r="E838" s="339" t="str">
        <x:v>Syllabus Progress</x:v>
      </x:c>
      <x:c r="F838" s="339" t="str">
        <x:v>Valid status transition</x:v>
      </x:c>
      <x:c r="G838" s="339" t="str">
        <x:v>the record is in a state described by Draft → Review (optional) → Approved → Published / Active → Archived</x:v>
      </x:c>
      <x:c r="H838" s="339" t="str">
        <x:v>the user requests a transition</x:v>
      </x:c>
      <x:c r="I838" s="339" t="str">
        <x:v>the system accepts only transitions allowed for that role and state</x:v>
      </x:c>
      <x:c r="J838" s="339" t="str">
        <x:v>Positive</x:v>
      </x:c>
      <x:c r="K838" s="339" t="str">
        <x:v>Functional</x:v>
      </x:c>
    </x:row>
    <x:row r="839">
      <x:c r="A839" s="339" t="str">
        <x:v>AC-00838</x:v>
      </x:c>
      <x:c r="B839" s="339" t="str">
        <x:v>US-0210</x:v>
      </x:c>
      <x:c r="C839" s="339" t="str">
        <x:v>SCR-105</x:v>
      </x:c>
      <x:c r="D839" s="339" t="str">
        <x:v>Academics &amp; Curriculum</x:v>
      </x:c>
      <x:c r="E839" s="339" t="str">
        <x:v>Syllabus Progress</x:v>
      </x:c>
      <x:c r="F839" s="339" t="str">
        <x:v>Approval authority</x:v>
      </x:c>
      <x:c r="G839" s="339" t="str">
        <x:v>an action requires approval</x:v>
      </x:c>
      <x:c r="H839" s="339" t="str">
        <x:v>a non-authorized user attempts approval/rejection</x:v>
      </x:c>
      <x:c r="I839" s="339" t="str">
        <x:v>the system denies the decision and does not change status</x:v>
      </x:c>
      <x:c r="J839" s="339" t="str">
        <x:v>Negative</x:v>
      </x:c>
      <x:c r="K839" s="339" t="str">
        <x:v>Functional</x:v>
      </x:c>
    </x:row>
    <x:row r="840">
      <x:c r="A840" s="339" t="str">
        <x:v>AC-00839</x:v>
      </x:c>
      <x:c r="B840" s="339" t="str">
        <x:v>US-0210</x:v>
      </x:c>
      <x:c r="C840" s="339" t="str">
        <x:v>SCR-105</x:v>
      </x:c>
      <x:c r="D840" s="339" t="str">
        <x:v>Academics &amp; Curriculum</x:v>
      </x:c>
      <x:c r="E840" s="339" t="str">
        <x:v>Syllabus Progress</x:v>
      </x:c>
      <x:c r="F840" s="339" t="str">
        <x:v>Failure rollback</x:v>
      </x:c>
      <x:c r="G840" s="339" t="str">
        <x:v>a downstream dependency fails during a multi-step transaction</x:v>
      </x:c>
      <x:c r="H840" s="339" t="str">
        <x:v>the workflow executes</x:v>
      </x:c>
      <x:c r="I840" s="339" t="str">
        <x:v>the system does not leave an invalid partial final state and surfaces a recoverable error</x:v>
      </x:c>
      <x:c r="J840" s="339" t="str">
        <x:v>Positive</x:v>
      </x:c>
      <x:c r="K840" s="339" t="str">
        <x:v>Functional</x:v>
      </x:c>
    </x:row>
    <x:row r="841">
      <x:c r="A841" s="339" t="str">
        <x:v>AC-00840</x:v>
      </x:c>
      <x:c r="B841" s="339" t="str">
        <x:v>US-0210</x:v>
      </x:c>
      <x:c r="C841" s="339" t="str">
        <x:v>SCR-105</x:v>
      </x:c>
      <x:c r="D841" s="339" t="str">
        <x:v>Academics &amp; Curriculum</x:v>
      </x:c>
      <x:c r="E841" s="339" t="str">
        <x:v>Syllabus Progress</x:v>
      </x:c>
      <x:c r="F841" s="339" t="str">
        <x:v>Exception traceability</x:v>
      </x:c>
      <x:c r="G841" s="339" t="str">
        <x:v>an authorized override/exception is used</x:v>
      </x:c>
      <x:c r="H841" s="339" t="str">
        <x:v>the action is confirmed</x:v>
      </x:c>
      <x:c r="I841" s="339" t="str">
        <x:v>the system requires reason/context and records it in the audit history</x:v>
      </x:c>
      <x:c r="J841" s="339" t="str">
        <x:v>Positive</x:v>
      </x:c>
      <x:c r="K841" s="339" t="str">
        <x:v>Functional</x:v>
      </x:c>
    </x:row>
    <x:row r="842">
      <x:c r="A842" s="339" t="str">
        <x:v>AC-00841</x:v>
      </x:c>
      <x:c r="B842" s="339" t="str">
        <x:v>US-0211</x:v>
      </x:c>
      <x:c r="C842" s="339" t="str">
        <x:v>SCR-106</x:v>
      </x:c>
      <x:c r="D842" s="339" t="str">
        <x:v>Academics &amp; Curriculum</x:v>
      </x:c>
      <x:c r="E842" s="339" t="str">
        <x:v>Teaching Resources</x:v>
      </x:c>
      <x:c r="F842" s="339" t="str">
        <x:v>Authorized access to Teaching Resources</x:v>
      </x:c>
      <x:c r="G842" s="339" t="str">
        <x:v>the Academic Coordinator is authenticated and has access to Teaching Resources</x:v>
      </x:c>
      <x:c r="H842" s="339" t="str">
        <x:v>the user opens or invokes Teaching Resources</x:v>
      </x:c>
      <x:c r="I842" s="339" t="str">
        <x:v>the system loads only records and actions within the user's permitted tenant/school/data scope</x:v>
      </x:c>
      <x:c r="J842" s="339" t="str">
        <x:v>Positive</x:v>
      </x:c>
      <x:c r="K842" s="339" t="str">
        <x:v>Functional / Security</x:v>
      </x:c>
    </x:row>
    <x:row r="843">
      <x:c r="A843" s="339" t="str">
        <x:v>AC-00842</x:v>
      </x:c>
      <x:c r="B843" s="339" t="str">
        <x:v>US-0211</x:v>
      </x:c>
      <x:c r="C843" s="339" t="str">
        <x:v>SCR-106</x:v>
      </x:c>
      <x:c r="D843" s="339" t="str">
        <x:v>Academics &amp; Curriculum</x:v>
      </x:c>
      <x:c r="E843" s="339" t="str">
        <x:v>Teaching Resources</x:v>
      </x:c>
      <x:c r="F843" s="339" t="str">
        <x:v>Successful Teaching Resources happy path</x:v>
      </x:c>
      <x:c r="G843" s="339" t="str">
        <x:v>all mandatory prerequisites and valid data are available</x:v>
      </x:c>
      <x:c r="H843" s="339" t="str">
        <x:v>the Academic Coordinator completes the primary action on Teaching Resources</x:v>
      </x:c>
      <x:c r="I843" s="339" t="str">
        <x:v>the system validates the request, saves it atomically, shows a clear confirmation and reflects the updated state</x:v>
      </x:c>
      <x:c r="J843" s="339" t="str">
        <x:v>Positive</x:v>
      </x:c>
      <x:c r="K843" s="339" t="str">
        <x:v>Functional</x:v>
      </x:c>
    </x:row>
    <x:row r="844">
      <x:c r="A844" s="339" t="str">
        <x:v>AC-00843</x:v>
      </x:c>
      <x:c r="B844" s="339" t="str">
        <x:v>US-0211</x:v>
      </x:c>
      <x:c r="C844" s="339" t="str">
        <x:v>SCR-106</x:v>
      </x:c>
      <x:c r="D844" s="339" t="str">
        <x:v>Academics &amp; Curriculum</x:v>
      </x:c>
      <x:c r="E844" s="339" t="str">
        <x:v>Teaching Resources</x:v>
      </x:c>
      <x:c r="F844" s="339" t="str">
        <x:v>State and dependency integrity</x:v>
      </x:c>
      <x:c r="G844" s="339" t="str">
        <x:v>the current record is in an allowed state (Draft → Review (optional) → Approved → Published / Active → Archived)</x:v>
      </x:c>
      <x:c r="H844" s="339" t="str">
        <x:v>the user attempts a state-changing action</x:v>
      </x:c>
      <x:c r="I844" s="339" t="str">
        <x:v>only a valid transition is accepted and dependent records are updated according to configured business rules</x:v>
      </x:c>
      <x:c r="J844" s="339" t="str">
        <x:v>Positive</x:v>
      </x:c>
      <x:c r="K844" s="339" t="str">
        <x:v>Functional</x:v>
      </x:c>
    </x:row>
    <x:row r="845">
      <x:c r="A845" s="339" t="str">
        <x:v>AC-00844</x:v>
      </x:c>
      <x:c r="B845" s="339" t="str">
        <x:v>US-0211</x:v>
      </x:c>
      <x:c r="C845" s="339" t="str">
        <x:v>SCR-106</x:v>
      </x:c>
      <x:c r="D845" s="339" t="str">
        <x:v>Academics &amp; Curriculum</x:v>
      </x:c>
      <x:c r="E845" s="339" t="str">
        <x:v>Teaching Resources</x:v>
      </x:c>
      <x:c r="F845" s="339" t="str">
        <x:v>Auditability</x:v>
      </x:c>
      <x:c r="G845" s="339" t="str">
        <x:v>a material create/update/approve/reverse action occurs</x:v>
      </x:c>
      <x:c r="H845" s="339" t="str">
        <x:v>the transaction succeeds</x:v>
      </x:c>
      <x:c r="I845" s="339" t="str">
        <x:v>the system records actor, timestamp, action, target and relevant before/after or reason context in the audit trail</x:v>
      </x:c>
      <x:c r="J845" s="339" t="str">
        <x:v>Positive</x:v>
      </x:c>
      <x:c r="K845" s="339" t="str">
        <x:v>Functional</x:v>
      </x:c>
    </x:row>
    <x:row r="846">
      <x:c r="A846" s="339" t="str">
        <x:v>AC-00845</x:v>
      </x:c>
      <x:c r="B846" s="339" t="str">
        <x:v>US-0212</x:v>
      </x:c>
      <x:c r="C846" s="339" t="str">
        <x:v>SCR-106</x:v>
      </x:c>
      <x:c r="D846" s="339" t="str">
        <x:v>Academics &amp; Curriculum</x:v>
      </x:c>
      <x:c r="E846" s="339" t="str">
        <x:v>Teaching Resources</x:v>
      </x:c>
      <x:c r="F846" s="339" t="str">
        <x:v>Valid status transition</x:v>
      </x:c>
      <x:c r="G846" s="339" t="str">
        <x:v>the record is in a state described by Draft → Review (optional) → Approved → Published / Active → Archived</x:v>
      </x:c>
      <x:c r="H846" s="339" t="str">
        <x:v>the user requests a transition</x:v>
      </x:c>
      <x:c r="I846" s="339" t="str">
        <x:v>the system accepts only transitions allowed for that role and state</x:v>
      </x:c>
      <x:c r="J846" s="339" t="str">
        <x:v>Positive</x:v>
      </x:c>
      <x:c r="K846" s="339" t="str">
        <x:v>Functional</x:v>
      </x:c>
    </x:row>
    <x:row r="847">
      <x:c r="A847" s="339" t="str">
        <x:v>AC-00846</x:v>
      </x:c>
      <x:c r="B847" s="339" t="str">
        <x:v>US-0212</x:v>
      </x:c>
      <x:c r="C847" s="339" t="str">
        <x:v>SCR-106</x:v>
      </x:c>
      <x:c r="D847" s="339" t="str">
        <x:v>Academics &amp; Curriculum</x:v>
      </x:c>
      <x:c r="E847" s="339" t="str">
        <x:v>Teaching Resources</x:v>
      </x:c>
      <x:c r="F847" s="339" t="str">
        <x:v>Approval authority</x:v>
      </x:c>
      <x:c r="G847" s="339" t="str">
        <x:v>an action requires approval</x:v>
      </x:c>
      <x:c r="H847" s="339" t="str">
        <x:v>a non-authorized user attempts approval/rejection</x:v>
      </x:c>
      <x:c r="I847" s="339" t="str">
        <x:v>the system denies the decision and does not change status</x:v>
      </x:c>
      <x:c r="J847" s="339" t="str">
        <x:v>Negative</x:v>
      </x:c>
      <x:c r="K847" s="339" t="str">
        <x:v>Functional</x:v>
      </x:c>
    </x:row>
    <x:row r="848">
      <x:c r="A848" s="339" t="str">
        <x:v>AC-00847</x:v>
      </x:c>
      <x:c r="B848" s="339" t="str">
        <x:v>US-0212</x:v>
      </x:c>
      <x:c r="C848" s="339" t="str">
        <x:v>SCR-106</x:v>
      </x:c>
      <x:c r="D848" s="339" t="str">
        <x:v>Academics &amp; Curriculum</x:v>
      </x:c>
      <x:c r="E848" s="339" t="str">
        <x:v>Teaching Resources</x:v>
      </x:c>
      <x:c r="F848" s="339" t="str">
        <x:v>Failure rollback</x:v>
      </x:c>
      <x:c r="G848" s="339" t="str">
        <x:v>a downstream dependency fails during a multi-step transaction</x:v>
      </x:c>
      <x:c r="H848" s="339" t="str">
        <x:v>the workflow executes</x:v>
      </x:c>
      <x:c r="I848" s="339" t="str">
        <x:v>the system does not leave an invalid partial final state and surfaces a recoverable error</x:v>
      </x:c>
      <x:c r="J848" s="339" t="str">
        <x:v>Positive</x:v>
      </x:c>
      <x:c r="K848" s="339" t="str">
        <x:v>Functional</x:v>
      </x:c>
    </x:row>
    <x:row r="849">
      <x:c r="A849" s="339" t="str">
        <x:v>AC-00848</x:v>
      </x:c>
      <x:c r="B849" s="339" t="str">
        <x:v>US-0212</x:v>
      </x:c>
      <x:c r="C849" s="339" t="str">
        <x:v>SCR-106</x:v>
      </x:c>
      <x:c r="D849" s="339" t="str">
        <x:v>Academics &amp; Curriculum</x:v>
      </x:c>
      <x:c r="E849" s="339" t="str">
        <x:v>Teaching Resources</x:v>
      </x:c>
      <x:c r="F849" s="339" t="str">
        <x:v>Exception traceability</x:v>
      </x:c>
      <x:c r="G849" s="339" t="str">
        <x:v>an authorized override/exception is used</x:v>
      </x:c>
      <x:c r="H849" s="339" t="str">
        <x:v>the action is confirmed</x:v>
      </x:c>
      <x:c r="I849" s="339" t="str">
        <x:v>the system requires reason/context and records it in the audit history</x:v>
      </x:c>
      <x:c r="J849" s="339" t="str">
        <x:v>Positive</x:v>
      </x:c>
      <x:c r="K849" s="339" t="str">
        <x:v>Functional</x:v>
      </x:c>
    </x:row>
    <x:row r="850">
      <x:c r="A850" s="339" t="str">
        <x:v>AC-00849</x:v>
      </x:c>
      <x:c r="B850" s="339" t="str">
        <x:v>US-0213</x:v>
      </x:c>
      <x:c r="C850" s="339" t="str">
        <x:v>SCR-107</x:v>
      </x:c>
      <x:c r="D850" s="339" t="str">
        <x:v>Academics &amp; Curriculum</x:v>
      </x:c>
      <x:c r="E850" s="339" t="str">
        <x:v>Classroom / Room Management</x:v>
      </x:c>
      <x:c r="F850" s="339" t="str">
        <x:v>Authorized access to Classroom / Room Management</x:v>
      </x:c>
      <x:c r="G850" s="339" t="str">
        <x:v>the Academic Coordinator is authenticated and has access to Classroom / Room Management</x:v>
      </x:c>
      <x:c r="H850" s="339" t="str">
        <x:v>the user opens or invokes Classroom / Room Management</x:v>
      </x:c>
      <x:c r="I850" s="339" t="str">
        <x:v>the system loads only records and actions within the user's permitted tenant/school/data scope</x:v>
      </x:c>
      <x:c r="J850" s="339" t="str">
        <x:v>Positive</x:v>
      </x:c>
      <x:c r="K850" s="339" t="str">
        <x:v>Functional / Security</x:v>
      </x:c>
    </x:row>
    <x:row r="851">
      <x:c r="A851" s="339" t="str">
        <x:v>AC-00850</x:v>
      </x:c>
      <x:c r="B851" s="339" t="str">
        <x:v>US-0213</x:v>
      </x:c>
      <x:c r="C851" s="339" t="str">
        <x:v>SCR-107</x:v>
      </x:c>
      <x:c r="D851" s="339" t="str">
        <x:v>Academics &amp; Curriculum</x:v>
      </x:c>
      <x:c r="E851" s="339" t="str">
        <x:v>Classroom / Room Management</x:v>
      </x:c>
      <x:c r="F851" s="339" t="str">
        <x:v>Successful Classroom / Room Management happy path</x:v>
      </x:c>
      <x:c r="G851" s="339" t="str">
        <x:v>all mandatory prerequisites and valid data are available</x:v>
      </x:c>
      <x:c r="H851" s="339" t="str">
        <x:v>the Academic Coordinator completes the primary action on Classroom / Room Management</x:v>
      </x:c>
      <x:c r="I851" s="339" t="str">
        <x:v>the system validates the request, saves it atomically, shows a clear confirmation and reflects the updated state</x:v>
      </x:c>
      <x:c r="J851" s="339" t="str">
        <x:v>Positive</x:v>
      </x:c>
      <x:c r="K851" s="339" t="str">
        <x:v>Functional</x:v>
      </x:c>
    </x:row>
    <x:row r="852">
      <x:c r="A852" s="339" t="str">
        <x:v>AC-00851</x:v>
      </x:c>
      <x:c r="B852" s="339" t="str">
        <x:v>US-0213</x:v>
      </x:c>
      <x:c r="C852" s="339" t="str">
        <x:v>SCR-107</x:v>
      </x:c>
      <x:c r="D852" s="339" t="str">
        <x:v>Academics &amp; Curriculum</x:v>
      </x:c>
      <x:c r="E852" s="339" t="str">
        <x:v>Classroom / Room Management</x:v>
      </x:c>
      <x:c r="F852" s="339" t="str">
        <x:v>State and dependency integrity</x:v>
      </x:c>
      <x:c r="G852" s="339" t="str">
        <x:v>the current record is in an allowed state (Draft → Review (optional) → Approved → Published / Active → Archived)</x:v>
      </x:c>
      <x:c r="H852" s="339" t="str">
        <x:v>the user attempts a state-changing action</x:v>
      </x:c>
      <x:c r="I852" s="339" t="str">
        <x:v>only a valid transition is accepted and dependent records are updated according to configured business rules</x:v>
      </x:c>
      <x:c r="J852" s="339" t="str">
        <x:v>Positive</x:v>
      </x:c>
      <x:c r="K852" s="339" t="str">
        <x:v>Functional</x:v>
      </x:c>
    </x:row>
    <x:row r="853">
      <x:c r="A853" s="339" t="str">
        <x:v>AC-00852</x:v>
      </x:c>
      <x:c r="B853" s="339" t="str">
        <x:v>US-0213</x:v>
      </x:c>
      <x:c r="C853" s="339" t="str">
        <x:v>SCR-107</x:v>
      </x:c>
      <x:c r="D853" s="339" t="str">
        <x:v>Academics &amp; Curriculum</x:v>
      </x:c>
      <x:c r="E853" s="339" t="str">
        <x:v>Classroom / Room Management</x:v>
      </x:c>
      <x:c r="F853" s="339" t="str">
        <x:v>Auditability</x:v>
      </x:c>
      <x:c r="G853" s="339" t="str">
        <x:v>a material create/update/approve/reverse action occurs</x:v>
      </x:c>
      <x:c r="H853" s="339" t="str">
        <x:v>the transaction succeeds</x:v>
      </x:c>
      <x:c r="I853" s="339" t="str">
        <x:v>the system records actor, timestamp, action, target and relevant before/after or reason context in the audit trail</x:v>
      </x:c>
      <x:c r="J853" s="339" t="str">
        <x:v>Positive</x:v>
      </x:c>
      <x:c r="K853" s="339" t="str">
        <x:v>Functional</x:v>
      </x:c>
    </x:row>
    <x:row r="854">
      <x:c r="A854" s="339" t="str">
        <x:v>AC-00853</x:v>
      </x:c>
      <x:c r="B854" s="339" t="str">
        <x:v>US-0214</x:v>
      </x:c>
      <x:c r="C854" s="339" t="str">
        <x:v>SCR-107</x:v>
      </x:c>
      <x:c r="D854" s="339" t="str">
        <x:v>Academics &amp; Curriculum</x:v>
      </x:c>
      <x:c r="E854" s="339" t="str">
        <x:v>Classroom / Room Management</x:v>
      </x:c>
      <x:c r="F854" s="339" t="str">
        <x:v>Valid status transition</x:v>
      </x:c>
      <x:c r="G854" s="339" t="str">
        <x:v>the record is in a state described by Draft → Review (optional) → Approved → Published / Active → Archived</x:v>
      </x:c>
      <x:c r="H854" s="339" t="str">
        <x:v>the user requests a transition</x:v>
      </x:c>
      <x:c r="I854" s="339" t="str">
        <x:v>the system accepts only transitions allowed for that role and state</x:v>
      </x:c>
      <x:c r="J854" s="339" t="str">
        <x:v>Positive</x:v>
      </x:c>
      <x:c r="K854" s="339" t="str">
        <x:v>Functional</x:v>
      </x:c>
    </x:row>
    <x:row r="855">
      <x:c r="A855" s="339" t="str">
        <x:v>AC-00854</x:v>
      </x:c>
      <x:c r="B855" s="339" t="str">
        <x:v>US-0214</x:v>
      </x:c>
      <x:c r="C855" s="339" t="str">
        <x:v>SCR-107</x:v>
      </x:c>
      <x:c r="D855" s="339" t="str">
        <x:v>Academics &amp; Curriculum</x:v>
      </x:c>
      <x:c r="E855" s="339" t="str">
        <x:v>Classroom / Room Management</x:v>
      </x:c>
      <x:c r="F855" s="339" t="str">
        <x:v>Approval authority</x:v>
      </x:c>
      <x:c r="G855" s="339" t="str">
        <x:v>an action requires approval</x:v>
      </x:c>
      <x:c r="H855" s="339" t="str">
        <x:v>a non-authorized user attempts approval/rejection</x:v>
      </x:c>
      <x:c r="I855" s="339" t="str">
        <x:v>the system denies the decision and does not change status</x:v>
      </x:c>
      <x:c r="J855" s="339" t="str">
        <x:v>Negative</x:v>
      </x:c>
      <x:c r="K855" s="339" t="str">
        <x:v>Functional</x:v>
      </x:c>
    </x:row>
    <x:row r="856">
      <x:c r="A856" s="339" t="str">
        <x:v>AC-00855</x:v>
      </x:c>
      <x:c r="B856" s="339" t="str">
        <x:v>US-0214</x:v>
      </x:c>
      <x:c r="C856" s="339" t="str">
        <x:v>SCR-107</x:v>
      </x:c>
      <x:c r="D856" s="339" t="str">
        <x:v>Academics &amp; Curriculum</x:v>
      </x:c>
      <x:c r="E856" s="339" t="str">
        <x:v>Classroom / Room Management</x:v>
      </x:c>
      <x:c r="F856" s="339" t="str">
        <x:v>Failure rollback</x:v>
      </x:c>
      <x:c r="G856" s="339" t="str">
        <x:v>a downstream dependency fails during a multi-step transaction</x:v>
      </x:c>
      <x:c r="H856" s="339" t="str">
        <x:v>the workflow executes</x:v>
      </x:c>
      <x:c r="I856" s="339" t="str">
        <x:v>the system does not leave an invalid partial final state and surfaces a recoverable error</x:v>
      </x:c>
      <x:c r="J856" s="339" t="str">
        <x:v>Positive</x:v>
      </x:c>
      <x:c r="K856" s="339" t="str">
        <x:v>Functional</x:v>
      </x:c>
    </x:row>
    <x:row r="857">
      <x:c r="A857" s="339" t="str">
        <x:v>AC-00856</x:v>
      </x:c>
      <x:c r="B857" s="339" t="str">
        <x:v>US-0214</x:v>
      </x:c>
      <x:c r="C857" s="339" t="str">
        <x:v>SCR-107</x:v>
      </x:c>
      <x:c r="D857" s="339" t="str">
        <x:v>Academics &amp; Curriculum</x:v>
      </x:c>
      <x:c r="E857" s="339" t="str">
        <x:v>Classroom / Room Management</x:v>
      </x:c>
      <x:c r="F857" s="339" t="str">
        <x:v>Exception traceability</x:v>
      </x:c>
      <x:c r="G857" s="339" t="str">
        <x:v>an authorized override/exception is used</x:v>
      </x:c>
      <x:c r="H857" s="339" t="str">
        <x:v>the action is confirmed</x:v>
      </x:c>
      <x:c r="I857" s="339" t="str">
        <x:v>the system requires reason/context and records it in the audit history</x:v>
      </x:c>
      <x:c r="J857" s="339" t="str">
        <x:v>Positive</x:v>
      </x:c>
      <x:c r="K857" s="339" t="str">
        <x:v>Functional</x:v>
      </x:c>
    </x:row>
    <x:row r="858">
      <x:c r="A858" s="339" t="str">
        <x:v>AC-00857</x:v>
      </x:c>
      <x:c r="B858" s="339" t="str">
        <x:v>US-0215</x:v>
      </x:c>
      <x:c r="C858" s="339" t="str">
        <x:v>SCR-108</x:v>
      </x:c>
      <x:c r="D858" s="339" t="str">
        <x:v>Academics &amp; Curriculum</x:v>
      </x:c>
      <x:c r="E858" s="339" t="str">
        <x:v>Academic Calendar</x:v>
      </x:c>
      <x:c r="F858" s="339" t="str">
        <x:v>Authorized access to Academic Calendar</x:v>
      </x:c>
      <x:c r="G858" s="339" t="str">
        <x:v>the Academic Coordinator is authenticated and has access to Academic Calendar</x:v>
      </x:c>
      <x:c r="H858" s="339" t="str">
        <x:v>the user opens or invokes Academic Calendar</x:v>
      </x:c>
      <x:c r="I858" s="339" t="str">
        <x:v>the system loads only records and actions within the user's permitted tenant/school/data scope</x:v>
      </x:c>
      <x:c r="J858" s="339" t="str">
        <x:v>Positive</x:v>
      </x:c>
      <x:c r="K858" s="339" t="str">
        <x:v>Functional / Security</x:v>
      </x:c>
    </x:row>
    <x:row r="859">
      <x:c r="A859" s="339" t="str">
        <x:v>AC-00858</x:v>
      </x:c>
      <x:c r="B859" s="339" t="str">
        <x:v>US-0215</x:v>
      </x:c>
      <x:c r="C859" s="339" t="str">
        <x:v>SCR-108</x:v>
      </x:c>
      <x:c r="D859" s="339" t="str">
        <x:v>Academics &amp; Curriculum</x:v>
      </x:c>
      <x:c r="E859" s="339" t="str">
        <x:v>Academic Calendar</x:v>
      </x:c>
      <x:c r="F859" s="339" t="str">
        <x:v>Successful Academic Calendar happy path</x:v>
      </x:c>
      <x:c r="G859" s="339" t="str">
        <x:v>all mandatory prerequisites and valid data are available</x:v>
      </x:c>
      <x:c r="H859" s="339" t="str">
        <x:v>the Academic Coordinator completes the primary action on Academic Calendar</x:v>
      </x:c>
      <x:c r="I859" s="339" t="str">
        <x:v>the system validates the request, saves it atomically, shows a clear confirmation and reflects the updated state</x:v>
      </x:c>
      <x:c r="J859" s="339" t="str">
        <x:v>Positive</x:v>
      </x:c>
      <x:c r="K859" s="339" t="str">
        <x:v>Functional</x:v>
      </x:c>
    </x:row>
    <x:row r="860">
      <x:c r="A860" s="339" t="str">
        <x:v>AC-00859</x:v>
      </x:c>
      <x:c r="B860" s="339" t="str">
        <x:v>US-0215</x:v>
      </x:c>
      <x:c r="C860" s="339" t="str">
        <x:v>SCR-108</x:v>
      </x:c>
      <x:c r="D860" s="339" t="str">
        <x:v>Academics &amp; Curriculum</x:v>
      </x:c>
      <x:c r="E860" s="339" t="str">
        <x:v>Academic Calendar</x:v>
      </x:c>
      <x:c r="F860" s="339" t="str">
        <x:v>State and dependency integrity</x:v>
      </x:c>
      <x:c r="G860" s="339" t="str">
        <x:v>the current record is in an allowed state (Draft → Review (optional) → Approved → Published / Active → Archived)</x:v>
      </x:c>
      <x:c r="H860" s="339" t="str">
        <x:v>the user attempts a state-changing action</x:v>
      </x:c>
      <x:c r="I860" s="339" t="str">
        <x:v>only a valid transition is accepted and dependent records are updated according to configured business rules</x:v>
      </x:c>
      <x:c r="J860" s="339" t="str">
        <x:v>Positive</x:v>
      </x:c>
      <x:c r="K860" s="339" t="str">
        <x:v>Functional</x:v>
      </x:c>
    </x:row>
    <x:row r="861">
      <x:c r="A861" s="339" t="str">
        <x:v>AC-00860</x:v>
      </x:c>
      <x:c r="B861" s="339" t="str">
        <x:v>US-0215</x:v>
      </x:c>
      <x:c r="C861" s="339" t="str">
        <x:v>SCR-108</x:v>
      </x:c>
      <x:c r="D861" s="339" t="str">
        <x:v>Academics &amp; Curriculum</x:v>
      </x:c>
      <x:c r="E861" s="339" t="str">
        <x:v>Academic Calendar</x:v>
      </x:c>
      <x:c r="F861" s="339" t="str">
        <x:v>Auditability</x:v>
      </x:c>
      <x:c r="G861" s="339" t="str">
        <x:v>a material create/update/approve/reverse action occurs</x:v>
      </x:c>
      <x:c r="H861" s="339" t="str">
        <x:v>the transaction succeeds</x:v>
      </x:c>
      <x:c r="I861" s="339" t="str">
        <x:v>the system records actor, timestamp, action, target and relevant before/after or reason context in the audit trail</x:v>
      </x:c>
      <x:c r="J861" s="339" t="str">
        <x:v>Positive</x:v>
      </x:c>
      <x:c r="K861" s="339" t="str">
        <x:v>Functional</x:v>
      </x:c>
    </x:row>
    <x:row r="862">
      <x:c r="A862" s="339" t="str">
        <x:v>AC-00861</x:v>
      </x:c>
      <x:c r="B862" s="339" t="str">
        <x:v>US-0216</x:v>
      </x:c>
      <x:c r="C862" s="339" t="str">
        <x:v>SCR-108</x:v>
      </x:c>
      <x:c r="D862" s="339" t="str">
        <x:v>Academics &amp; Curriculum</x:v>
      </x:c>
      <x:c r="E862" s="339" t="str">
        <x:v>Academic Calendar</x:v>
      </x:c>
      <x:c r="F862" s="339" t="str">
        <x:v>Conflict detection</x:v>
      </x:c>
      <x:c r="G862" s="339" t="str">
        <x:v>a teacher/class/room/resource is already committed in the requested slot</x:v>
      </x:c>
      <x:c r="H862" s="339" t="str">
        <x:v>the user schedules an overlapping item</x:v>
      </x:c>
      <x:c r="I862" s="339" t="str">
        <x:v>the system blocks or flags the conflict according to override policy</x:v>
      </x:c>
      <x:c r="J862" s="339" t="str">
        <x:v>Negative</x:v>
      </x:c>
      <x:c r="K862" s="339" t="str">
        <x:v>Functional</x:v>
      </x:c>
    </x:row>
    <x:row r="863">
      <x:c r="A863" s="339" t="str">
        <x:v>AC-00862</x:v>
      </x:c>
      <x:c r="B863" s="339" t="str">
        <x:v>US-0216</x:v>
      </x:c>
      <x:c r="C863" s="339" t="str">
        <x:v>SCR-108</x:v>
      </x:c>
      <x:c r="D863" s="339" t="str">
        <x:v>Academics &amp; Curriculum</x:v>
      </x:c>
      <x:c r="E863" s="339" t="str">
        <x:v>Academic Calendar</x:v>
      </x:c>
      <x:c r="F863" s="339" t="str">
        <x:v>Reschedule integrity</x:v>
      </x:c>
      <x:c r="G863" s="339" t="str">
        <x:v>an existing schedule item is changed</x:v>
      </x:c>
      <x:c r="H863" s="339" t="str">
        <x:v>the user confirms the new slot</x:v>
      </x:c>
      <x:c r="I863" s="339" t="str">
        <x:v>the system updates the schedule atomically and retains change history</x:v>
      </x:c>
      <x:c r="J863" s="339" t="str">
        <x:v>Positive</x:v>
      </x:c>
      <x:c r="K863" s="339" t="str">
        <x:v>Functional</x:v>
      </x:c>
    </x:row>
    <x:row r="864">
      <x:c r="A864" s="339" t="str">
        <x:v>AC-00863</x:v>
      </x:c>
      <x:c r="B864" s="339" t="str">
        <x:v>US-0216</x:v>
      </x:c>
      <x:c r="C864" s="339" t="str">
        <x:v>SCR-108</x:v>
      </x:c>
      <x:c r="D864" s="339" t="str">
        <x:v>Academics &amp; Curriculum</x:v>
      </x:c>
      <x:c r="E864" s="339" t="str">
        <x:v>Academic Calendar</x:v>
      </x:c>
      <x:c r="F864" s="339" t="str">
        <x:v>Audience update</x:v>
      </x:c>
      <x:c r="G864" s="339" t="str">
        <x:v>a published schedule changes</x:v>
      </x:c>
      <x:c r="H864" s="339" t="str">
        <x:v>the change is saved</x:v>
      </x:c>
      <x:c r="I864" s="339" t="str">
        <x:v>affected users receive updated visibility/notification according to communication rules</x:v>
      </x:c>
      <x:c r="J864" s="339" t="str">
        <x:v>Positive</x:v>
      </x:c>
      <x:c r="K864" s="339" t="str">
        <x:v>Functional</x:v>
      </x:c>
    </x:row>
    <x:row r="865">
      <x:c r="A865" s="339" t="str">
        <x:v>AC-00864</x:v>
      </x:c>
      <x:c r="B865" s="339" t="str">
        <x:v>US-0216</x:v>
      </x:c>
      <x:c r="C865" s="339" t="str">
        <x:v>SCR-108</x:v>
      </x:c>
      <x:c r="D865" s="339" t="str">
        <x:v>Academics &amp; Curriculum</x:v>
      </x:c>
      <x:c r="E865" s="339" t="str">
        <x:v>Academic Calendar</x:v>
      </x:c>
      <x:c r="F865" s="339" t="str">
        <x:v>Timezone/effective date</x:v>
      </x:c>
      <x:c r="G865" s="339" t="str">
        <x:v>users operate in configured school timezone</x:v>
      </x:c>
      <x:c r="H865" s="339" t="str">
        <x:v>times are displayed or saved</x:v>
      </x:c>
      <x:c r="I865" s="339" t="str">
        <x:v>the system consistently stores and renders the intended local schedule without date-shift errors</x:v>
      </x:c>
      <x:c r="J865" s="339" t="str">
        <x:v>Positive</x:v>
      </x:c>
      <x:c r="K865" s="339" t="str">
        <x:v>Functional</x:v>
      </x:c>
    </x:row>
    <x:row r="866">
      <x:c r="A866" s="339" t="str">
        <x:v>AC-00865</x:v>
      </x:c>
      <x:c r="B866" s="339" t="str">
        <x:v>US-0217</x:v>
      </x:c>
      <x:c r="C866" s="339" t="str">
        <x:v>SCR-109</x:v>
      </x:c>
      <x:c r="D866" s="339" t="str">
        <x:v>Academics &amp; Curriculum</x:v>
      </x:c>
      <x:c r="E866" s="339" t="str">
        <x:v>Co-Curricular Activities</x:v>
      </x:c>
      <x:c r="F866" s="339" t="str">
        <x:v>Authorized access to Co-Curricular Activities</x:v>
      </x:c>
      <x:c r="G866" s="339" t="str">
        <x:v>the Academic Coordinator is authenticated and has access to Co-Curricular Activities</x:v>
      </x:c>
      <x:c r="H866" s="339" t="str">
        <x:v>the user opens or invokes Co-Curricular Activities</x:v>
      </x:c>
      <x:c r="I866" s="339" t="str">
        <x:v>the system loads only records and actions within the user's permitted tenant/school/data scope</x:v>
      </x:c>
      <x:c r="J866" s="339" t="str">
        <x:v>Positive</x:v>
      </x:c>
      <x:c r="K866" s="339" t="str">
        <x:v>Functional / Security</x:v>
      </x:c>
    </x:row>
    <x:row r="867">
      <x:c r="A867" s="339" t="str">
        <x:v>AC-00866</x:v>
      </x:c>
      <x:c r="B867" s="339" t="str">
        <x:v>US-0217</x:v>
      </x:c>
      <x:c r="C867" s="339" t="str">
        <x:v>SCR-109</x:v>
      </x:c>
      <x:c r="D867" s="339" t="str">
        <x:v>Academics &amp; Curriculum</x:v>
      </x:c>
      <x:c r="E867" s="339" t="str">
        <x:v>Co-Curricular Activities</x:v>
      </x:c>
      <x:c r="F867" s="339" t="str">
        <x:v>Successful Co-Curricular Activities happy path</x:v>
      </x:c>
      <x:c r="G867" s="339" t="str">
        <x:v>all mandatory prerequisites and valid data are available</x:v>
      </x:c>
      <x:c r="H867" s="339" t="str">
        <x:v>the Academic Coordinator completes the primary action on Co-Curricular Activities</x:v>
      </x:c>
      <x:c r="I867" s="339" t="str">
        <x:v>the system validates the request, saves it atomically, shows a clear confirmation and reflects the updated state</x:v>
      </x:c>
      <x:c r="J867" s="339" t="str">
        <x:v>Positive</x:v>
      </x:c>
      <x:c r="K867" s="339" t="str">
        <x:v>Functional</x:v>
      </x:c>
    </x:row>
    <x:row r="868">
      <x:c r="A868" s="339" t="str">
        <x:v>AC-00867</x:v>
      </x:c>
      <x:c r="B868" s="339" t="str">
        <x:v>US-0217</x:v>
      </x:c>
      <x:c r="C868" s="339" t="str">
        <x:v>SCR-109</x:v>
      </x:c>
      <x:c r="D868" s="339" t="str">
        <x:v>Academics &amp; Curriculum</x:v>
      </x:c>
      <x:c r="E868" s="339" t="str">
        <x:v>Co-Curricular Activities</x:v>
      </x:c>
      <x:c r="F868" s="339" t="str">
        <x:v>State and dependency integrity</x:v>
      </x:c>
      <x:c r="G868" s="339" t="str">
        <x:v>the current record is in an allowed state (Draft → Review (optional) → Approved → Published / Active → Archived)</x:v>
      </x:c>
      <x:c r="H868" s="339" t="str">
        <x:v>the user attempts a state-changing action</x:v>
      </x:c>
      <x:c r="I868" s="339" t="str">
        <x:v>only a valid transition is accepted and dependent records are updated according to configured business rules</x:v>
      </x:c>
      <x:c r="J868" s="339" t="str">
        <x:v>Positive</x:v>
      </x:c>
      <x:c r="K868" s="339" t="str">
        <x:v>Functional</x:v>
      </x:c>
    </x:row>
    <x:row r="869">
      <x:c r="A869" s="339" t="str">
        <x:v>AC-00868</x:v>
      </x:c>
      <x:c r="B869" s="339" t="str">
        <x:v>US-0217</x:v>
      </x:c>
      <x:c r="C869" s="339" t="str">
        <x:v>SCR-109</x:v>
      </x:c>
      <x:c r="D869" s="339" t="str">
        <x:v>Academics &amp; Curriculum</x:v>
      </x:c>
      <x:c r="E869" s="339" t="str">
        <x:v>Co-Curricular Activities</x:v>
      </x:c>
      <x:c r="F869" s="339" t="str">
        <x:v>Auditability</x:v>
      </x:c>
      <x:c r="G869" s="339" t="str">
        <x:v>a material create/update/approve/reverse action occurs</x:v>
      </x:c>
      <x:c r="H869" s="339" t="str">
        <x:v>the transaction succeeds</x:v>
      </x:c>
      <x:c r="I869" s="339" t="str">
        <x:v>the system records actor, timestamp, action, target and relevant before/after or reason context in the audit trail</x:v>
      </x:c>
      <x:c r="J869" s="339" t="str">
        <x:v>Positive</x:v>
      </x:c>
      <x:c r="K869" s="339" t="str">
        <x:v>Functional</x:v>
      </x:c>
    </x:row>
    <x:row r="870">
      <x:c r="A870" s="339" t="str">
        <x:v>AC-00869</x:v>
      </x:c>
      <x:c r="B870" s="339" t="str">
        <x:v>US-0218</x:v>
      </x:c>
      <x:c r="C870" s="339" t="str">
        <x:v>SCR-109</x:v>
      </x:c>
      <x:c r="D870" s="339" t="str">
        <x:v>Academics &amp; Curriculum</x:v>
      </x:c>
      <x:c r="E870" s="339" t="str">
        <x:v>Co-Curricular Activities</x:v>
      </x:c>
      <x:c r="F870" s="339" t="str">
        <x:v>Valid status transition</x:v>
      </x:c>
      <x:c r="G870" s="339" t="str">
        <x:v>the record is in a state described by Draft → Review (optional) → Approved → Published / Active → Archived</x:v>
      </x:c>
      <x:c r="H870" s="339" t="str">
        <x:v>the user requests a transition</x:v>
      </x:c>
      <x:c r="I870" s="339" t="str">
        <x:v>the system accepts only transitions allowed for that role and state</x:v>
      </x:c>
      <x:c r="J870" s="339" t="str">
        <x:v>Positive</x:v>
      </x:c>
      <x:c r="K870" s="339" t="str">
        <x:v>Functional</x:v>
      </x:c>
    </x:row>
    <x:row r="871">
      <x:c r="A871" s="339" t="str">
        <x:v>AC-00870</x:v>
      </x:c>
      <x:c r="B871" s="339" t="str">
        <x:v>US-0218</x:v>
      </x:c>
      <x:c r="C871" s="339" t="str">
        <x:v>SCR-109</x:v>
      </x:c>
      <x:c r="D871" s="339" t="str">
        <x:v>Academics &amp; Curriculum</x:v>
      </x:c>
      <x:c r="E871" s="339" t="str">
        <x:v>Co-Curricular Activities</x:v>
      </x:c>
      <x:c r="F871" s="339" t="str">
        <x:v>Approval authority</x:v>
      </x:c>
      <x:c r="G871" s="339" t="str">
        <x:v>an action requires approval</x:v>
      </x:c>
      <x:c r="H871" s="339" t="str">
        <x:v>a non-authorized user attempts approval/rejection</x:v>
      </x:c>
      <x:c r="I871" s="339" t="str">
        <x:v>the system denies the decision and does not change status</x:v>
      </x:c>
      <x:c r="J871" s="339" t="str">
        <x:v>Negative</x:v>
      </x:c>
      <x:c r="K871" s="339" t="str">
        <x:v>Functional</x:v>
      </x:c>
    </x:row>
    <x:row r="872">
      <x:c r="A872" s="339" t="str">
        <x:v>AC-00871</x:v>
      </x:c>
      <x:c r="B872" s="339" t="str">
        <x:v>US-0218</x:v>
      </x:c>
      <x:c r="C872" s="339" t="str">
        <x:v>SCR-109</x:v>
      </x:c>
      <x:c r="D872" s="339" t="str">
        <x:v>Academics &amp; Curriculum</x:v>
      </x:c>
      <x:c r="E872" s="339" t="str">
        <x:v>Co-Curricular Activities</x:v>
      </x:c>
      <x:c r="F872" s="339" t="str">
        <x:v>Failure rollback</x:v>
      </x:c>
      <x:c r="G872" s="339" t="str">
        <x:v>a downstream dependency fails during a multi-step transaction</x:v>
      </x:c>
      <x:c r="H872" s="339" t="str">
        <x:v>the workflow executes</x:v>
      </x:c>
      <x:c r="I872" s="339" t="str">
        <x:v>the system does not leave an invalid partial final state and surfaces a recoverable error</x:v>
      </x:c>
      <x:c r="J872" s="339" t="str">
        <x:v>Positive</x:v>
      </x:c>
      <x:c r="K872" s="339" t="str">
        <x:v>Functional</x:v>
      </x:c>
    </x:row>
    <x:row r="873">
      <x:c r="A873" s="339" t="str">
        <x:v>AC-00872</x:v>
      </x:c>
      <x:c r="B873" s="339" t="str">
        <x:v>US-0218</x:v>
      </x:c>
      <x:c r="C873" s="339" t="str">
        <x:v>SCR-109</x:v>
      </x:c>
      <x:c r="D873" s="339" t="str">
        <x:v>Academics &amp; Curriculum</x:v>
      </x:c>
      <x:c r="E873" s="339" t="str">
        <x:v>Co-Curricular Activities</x:v>
      </x:c>
      <x:c r="F873" s="339" t="str">
        <x:v>Exception traceability</x:v>
      </x:c>
      <x:c r="G873" s="339" t="str">
        <x:v>an authorized override/exception is used</x:v>
      </x:c>
      <x:c r="H873" s="339" t="str">
        <x:v>the action is confirmed</x:v>
      </x:c>
      <x:c r="I873" s="339" t="str">
        <x:v>the system requires reason/context and records it in the audit history</x:v>
      </x:c>
      <x:c r="J873" s="339" t="str">
        <x:v>Positive</x:v>
      </x:c>
      <x:c r="K873" s="339" t="str">
        <x:v>Functional</x:v>
      </x:c>
    </x:row>
    <x:row r="874">
      <x:c r="A874" s="339" t="str">
        <x:v>AC-00873</x:v>
      </x:c>
      <x:c r="B874" s="339" t="str">
        <x:v>US-0219</x:v>
      </x:c>
      <x:c r="C874" s="339" t="str">
        <x:v>SCR-110</x:v>
      </x:c>
      <x:c r="D874" s="339" t="str">
        <x:v>Student Attendance</x:v>
      </x:c>
      <x:c r="E874" s="339" t="str">
        <x:v>Daily Class Attendance</x:v>
      </x:c>
      <x:c r="F874" s="339" t="str">
        <x:v>Authorized access to Daily Class Attendance</x:v>
      </x:c>
      <x:c r="G874" s="339" t="str">
        <x:v>the Teacher is authenticated and has access to Daily Class Attendance</x:v>
      </x:c>
      <x:c r="H874" s="339" t="str">
        <x:v>the user opens or invokes Daily Class Attendance</x:v>
      </x:c>
      <x:c r="I874" s="339" t="str">
        <x:v>the system loads only records and actions within the user's permitted tenant/school/data scope</x:v>
      </x:c>
      <x:c r="J874" s="339" t="str">
        <x:v>Positive</x:v>
      </x:c>
      <x:c r="K874" s="339" t="str">
        <x:v>Functional / Security</x:v>
      </x:c>
    </x:row>
    <x:row r="875">
      <x:c r="A875" s="339" t="str">
        <x:v>AC-00874</x:v>
      </x:c>
      <x:c r="B875" s="339" t="str">
        <x:v>US-0219</x:v>
      </x:c>
      <x:c r="C875" s="339" t="str">
        <x:v>SCR-110</x:v>
      </x:c>
      <x:c r="D875" s="339" t="str">
        <x:v>Student Attendance</x:v>
      </x:c>
      <x:c r="E875" s="339" t="str">
        <x:v>Daily Class Attendance</x:v>
      </x:c>
      <x:c r="F875" s="339" t="str">
        <x:v>Successful Daily Class Attendance happy path</x:v>
      </x:c>
      <x:c r="G875" s="339" t="str">
        <x:v>all mandatory prerequisites and valid data are available</x:v>
      </x:c>
      <x:c r="H875" s="339" t="str">
        <x:v>the Teacher completes the primary action on Daily Class Attendance</x:v>
      </x:c>
      <x:c r="I875" s="339" t="str">
        <x:v>the system validates the request, saves it atomically, shows a clear confirmation and reflects the updated state</x:v>
      </x:c>
      <x:c r="J875" s="339" t="str">
        <x:v>Positive</x:v>
      </x:c>
      <x:c r="K875" s="339" t="str">
        <x:v>Functional</x:v>
      </x:c>
    </x:row>
    <x:row r="876">
      <x:c r="A876" s="339" t="str">
        <x:v>AC-00875</x:v>
      </x:c>
      <x:c r="B876" s="339" t="str">
        <x:v>US-0219</x:v>
      </x:c>
      <x:c r="C876" s="339" t="str">
        <x:v>SCR-110</x:v>
      </x:c>
      <x:c r="D876" s="339" t="str">
        <x:v>Student Attendance</x:v>
      </x:c>
      <x:c r="E876" s="339" t="str">
        <x:v>Daily Class Attendance</x:v>
      </x:c>
      <x:c r="F876" s="339" t="str">
        <x:v>State and dependency integrity</x:v>
      </x:c>
      <x:c r="G876" s="339" t="str">
        <x:v>the current record is in an allowed state (Pending → Present / Absent / Late / Leave / Half-day → Locked → Corrected (approved))</x:v>
      </x:c>
      <x:c r="H876" s="339" t="str">
        <x:v>the user attempts a state-changing action</x:v>
      </x:c>
      <x:c r="I876" s="339" t="str">
        <x:v>only a valid transition is accepted and dependent records are updated according to configured business rules</x:v>
      </x:c>
      <x:c r="J876" s="339" t="str">
        <x:v>Positive</x:v>
      </x:c>
      <x:c r="K876" s="339" t="str">
        <x:v>Functional</x:v>
      </x:c>
    </x:row>
    <x:row r="877">
      <x:c r="A877" s="339" t="str">
        <x:v>AC-00876</x:v>
      </x:c>
      <x:c r="B877" s="339" t="str">
        <x:v>US-0219</x:v>
      </x:c>
      <x:c r="C877" s="339" t="str">
        <x:v>SCR-110</x:v>
      </x:c>
      <x:c r="D877" s="339" t="str">
        <x:v>Student Attendance</x:v>
      </x:c>
      <x:c r="E877" s="339" t="str">
        <x:v>Daily Class Attendance</x:v>
      </x:c>
      <x:c r="F877" s="339" t="str">
        <x:v>Auditability</x:v>
      </x:c>
      <x:c r="G877" s="339" t="str">
        <x:v>a material create/update/approve/reverse action occurs</x:v>
      </x:c>
      <x:c r="H877" s="339" t="str">
        <x:v>the transaction succeeds</x:v>
      </x:c>
      <x:c r="I877" s="339" t="str">
        <x:v>the system records actor, timestamp, action, target and relevant before/after or reason context in the audit trail</x:v>
      </x:c>
      <x:c r="J877" s="339" t="str">
        <x:v>Positive</x:v>
      </x:c>
      <x:c r="K877" s="339" t="str">
        <x:v>Functional</x:v>
      </x:c>
    </x:row>
    <x:row r="878">
      <x:c r="A878" s="339" t="str">
        <x:v>AC-00877</x:v>
      </x:c>
      <x:c r="B878" s="339" t="str">
        <x:v>US-0220</x:v>
      </x:c>
      <x:c r="C878" s="339" t="str">
        <x:v>SCR-110</x:v>
      </x:c>
      <x:c r="D878" s="339" t="str">
        <x:v>Student Attendance</x:v>
      </x:c>
      <x:c r="E878" s="339" t="str">
        <x:v>Daily Class Attendance</x:v>
      </x:c>
      <x:c r="F878" s="339" t="str">
        <x:v>Valid status transition</x:v>
      </x:c>
      <x:c r="G878" s="339" t="str">
        <x:v>the record is in a state described by Pending → Present / Absent / Late / Leave / Half-day → Locked → Corrected (approved)</x:v>
      </x:c>
      <x:c r="H878" s="339" t="str">
        <x:v>the user requests a transition</x:v>
      </x:c>
      <x:c r="I878" s="339" t="str">
        <x:v>the system accepts only transitions allowed for that role and state</x:v>
      </x:c>
      <x:c r="J878" s="339" t="str">
        <x:v>Positive</x:v>
      </x:c>
      <x:c r="K878" s="339" t="str">
        <x:v>Functional</x:v>
      </x:c>
    </x:row>
    <x:row r="879">
      <x:c r="A879" s="339" t="str">
        <x:v>AC-00878</x:v>
      </x:c>
      <x:c r="B879" s="339" t="str">
        <x:v>US-0220</x:v>
      </x:c>
      <x:c r="C879" s="339" t="str">
        <x:v>SCR-110</x:v>
      </x:c>
      <x:c r="D879" s="339" t="str">
        <x:v>Student Attendance</x:v>
      </x:c>
      <x:c r="E879" s="339" t="str">
        <x:v>Daily Class Attendance</x:v>
      </x:c>
      <x:c r="F879" s="339" t="str">
        <x:v>Approval authority</x:v>
      </x:c>
      <x:c r="G879" s="339" t="str">
        <x:v>an action requires approval</x:v>
      </x:c>
      <x:c r="H879" s="339" t="str">
        <x:v>a non-authorized user attempts approval/rejection</x:v>
      </x:c>
      <x:c r="I879" s="339" t="str">
        <x:v>the system denies the decision and does not change status</x:v>
      </x:c>
      <x:c r="J879" s="339" t="str">
        <x:v>Negative</x:v>
      </x:c>
      <x:c r="K879" s="339" t="str">
        <x:v>Functional</x:v>
      </x:c>
    </x:row>
    <x:row r="880">
      <x:c r="A880" s="339" t="str">
        <x:v>AC-00879</x:v>
      </x:c>
      <x:c r="B880" s="339" t="str">
        <x:v>US-0220</x:v>
      </x:c>
      <x:c r="C880" s="339" t="str">
        <x:v>SCR-110</x:v>
      </x:c>
      <x:c r="D880" s="339" t="str">
        <x:v>Student Attendance</x:v>
      </x:c>
      <x:c r="E880" s="339" t="str">
        <x:v>Daily Class Attendance</x:v>
      </x:c>
      <x:c r="F880" s="339" t="str">
        <x:v>Failure rollback</x:v>
      </x:c>
      <x:c r="G880" s="339" t="str">
        <x:v>a downstream dependency fails during a multi-step transaction</x:v>
      </x:c>
      <x:c r="H880" s="339" t="str">
        <x:v>the workflow executes</x:v>
      </x:c>
      <x:c r="I880" s="339" t="str">
        <x:v>the system does not leave an invalid partial final state and surfaces a recoverable error</x:v>
      </x:c>
      <x:c r="J880" s="339" t="str">
        <x:v>Positive</x:v>
      </x:c>
      <x:c r="K880" s="339" t="str">
        <x:v>Functional</x:v>
      </x:c>
    </x:row>
    <x:row r="881">
      <x:c r="A881" s="339" t="str">
        <x:v>AC-00880</x:v>
      </x:c>
      <x:c r="B881" s="339" t="str">
        <x:v>US-0220</x:v>
      </x:c>
      <x:c r="C881" s="339" t="str">
        <x:v>SCR-110</x:v>
      </x:c>
      <x:c r="D881" s="339" t="str">
        <x:v>Student Attendance</x:v>
      </x:c>
      <x:c r="E881" s="339" t="str">
        <x:v>Daily Class Attendance</x:v>
      </x:c>
      <x:c r="F881" s="339" t="str">
        <x:v>Exception traceability</x:v>
      </x:c>
      <x:c r="G881" s="339" t="str">
        <x:v>an authorized override/exception is used</x:v>
      </x:c>
      <x:c r="H881" s="339" t="str">
        <x:v>the action is confirmed</x:v>
      </x:c>
      <x:c r="I881" s="339" t="str">
        <x:v>the system requires reason/context and records it in the audit history</x:v>
      </x:c>
      <x:c r="J881" s="339" t="str">
        <x:v>Positive</x:v>
      </x:c>
      <x:c r="K881" s="339" t="str">
        <x:v>Functional</x:v>
      </x:c>
    </x:row>
    <x:row r="882">
      <x:c r="A882" s="339" t="str">
        <x:v>AC-00881</x:v>
      </x:c>
      <x:c r="B882" s="339" t="str">
        <x:v>US-0221</x:v>
      </x:c>
      <x:c r="C882" s="339" t="str">
        <x:v>SCR-111</x:v>
      </x:c>
      <x:c r="D882" s="339" t="str">
        <x:v>Student Attendance</x:v>
      </x:c>
      <x:c r="E882" s="339" t="str">
        <x:v>Period / Subject Attendance</x:v>
      </x:c>
      <x:c r="F882" s="339" t="str">
        <x:v>Authorized access to Period / Subject Attendance</x:v>
      </x:c>
      <x:c r="G882" s="339" t="str">
        <x:v>the Teacher is authenticated and has access to Period / Subject Attendance</x:v>
      </x:c>
      <x:c r="H882" s="339" t="str">
        <x:v>the user opens or invokes Period / Subject Attendance</x:v>
      </x:c>
      <x:c r="I882" s="339" t="str">
        <x:v>the system loads only records and actions within the user's permitted tenant/school/data scope</x:v>
      </x:c>
      <x:c r="J882" s="339" t="str">
        <x:v>Positive</x:v>
      </x:c>
      <x:c r="K882" s="339" t="str">
        <x:v>Functional / Security</x:v>
      </x:c>
    </x:row>
    <x:row r="883">
      <x:c r="A883" s="339" t="str">
        <x:v>AC-00882</x:v>
      </x:c>
      <x:c r="B883" s="339" t="str">
        <x:v>US-0221</x:v>
      </x:c>
      <x:c r="C883" s="339" t="str">
        <x:v>SCR-111</x:v>
      </x:c>
      <x:c r="D883" s="339" t="str">
        <x:v>Student Attendance</x:v>
      </x:c>
      <x:c r="E883" s="339" t="str">
        <x:v>Period / Subject Attendance</x:v>
      </x:c>
      <x:c r="F883" s="339" t="str">
        <x:v>Successful Period / Subject Attendance happy path</x:v>
      </x:c>
      <x:c r="G883" s="339" t="str">
        <x:v>all mandatory prerequisites and valid data are available</x:v>
      </x:c>
      <x:c r="H883" s="339" t="str">
        <x:v>the Teacher completes the primary action on Period / Subject Attendance</x:v>
      </x:c>
      <x:c r="I883" s="339" t="str">
        <x:v>the system validates the request, saves it atomically, shows a clear confirmation and reflects the updated state</x:v>
      </x:c>
      <x:c r="J883" s="339" t="str">
        <x:v>Positive</x:v>
      </x:c>
      <x:c r="K883" s="339" t="str">
        <x:v>Functional</x:v>
      </x:c>
    </x:row>
    <x:row r="884">
      <x:c r="A884" s="339" t="str">
        <x:v>AC-00883</x:v>
      </x:c>
      <x:c r="B884" s="339" t="str">
        <x:v>US-0221</x:v>
      </x:c>
      <x:c r="C884" s="339" t="str">
        <x:v>SCR-111</x:v>
      </x:c>
      <x:c r="D884" s="339" t="str">
        <x:v>Student Attendance</x:v>
      </x:c>
      <x:c r="E884" s="339" t="str">
        <x:v>Period / Subject Attendance</x:v>
      </x:c>
      <x:c r="F884" s="339" t="str">
        <x:v>State and dependency integrity</x:v>
      </x:c>
      <x:c r="G884" s="339" t="str">
        <x:v>the current record is in an allowed state (Pending → Present / Absent / Late / Leave / Half-day → Locked → Corrected (approved))</x:v>
      </x:c>
      <x:c r="H884" s="339" t="str">
        <x:v>the user attempts a state-changing action</x:v>
      </x:c>
      <x:c r="I884" s="339" t="str">
        <x:v>only a valid transition is accepted and dependent records are updated according to configured business rules</x:v>
      </x:c>
      <x:c r="J884" s="339" t="str">
        <x:v>Positive</x:v>
      </x:c>
      <x:c r="K884" s="339" t="str">
        <x:v>Functional</x:v>
      </x:c>
    </x:row>
    <x:row r="885">
      <x:c r="A885" s="339" t="str">
        <x:v>AC-00884</x:v>
      </x:c>
      <x:c r="B885" s="339" t="str">
        <x:v>US-0221</x:v>
      </x:c>
      <x:c r="C885" s="339" t="str">
        <x:v>SCR-111</x:v>
      </x:c>
      <x:c r="D885" s="339" t="str">
        <x:v>Student Attendance</x:v>
      </x:c>
      <x:c r="E885" s="339" t="str">
        <x:v>Period / Subject Attendance</x:v>
      </x:c>
      <x:c r="F885" s="339" t="str">
        <x:v>Auditability</x:v>
      </x:c>
      <x:c r="G885" s="339" t="str">
        <x:v>a material create/update/approve/reverse action occurs</x:v>
      </x:c>
      <x:c r="H885" s="339" t="str">
        <x:v>the transaction succeeds</x:v>
      </x:c>
      <x:c r="I885" s="339" t="str">
        <x:v>the system records actor, timestamp, action, target and relevant before/after or reason context in the audit trail</x:v>
      </x:c>
      <x:c r="J885" s="339" t="str">
        <x:v>Positive</x:v>
      </x:c>
      <x:c r="K885" s="339" t="str">
        <x:v>Functional</x:v>
      </x:c>
    </x:row>
    <x:row r="886">
      <x:c r="A886" s="339" t="str">
        <x:v>AC-00885</x:v>
      </x:c>
      <x:c r="B886" s="339" t="str">
        <x:v>US-0222</x:v>
      </x:c>
      <x:c r="C886" s="339" t="str">
        <x:v>SCR-111</x:v>
      </x:c>
      <x:c r="D886" s="339" t="str">
        <x:v>Student Attendance</x:v>
      </x:c>
      <x:c r="E886" s="339" t="str">
        <x:v>Period / Subject Attendance</x:v>
      </x:c>
      <x:c r="F886" s="339" t="str">
        <x:v>Valid status transition</x:v>
      </x:c>
      <x:c r="G886" s="339" t="str">
        <x:v>the record is in a state described by Pending → Present / Absent / Late / Leave / Half-day → Locked → Corrected (approved)</x:v>
      </x:c>
      <x:c r="H886" s="339" t="str">
        <x:v>the user requests a transition</x:v>
      </x:c>
      <x:c r="I886" s="339" t="str">
        <x:v>the system accepts only transitions allowed for that role and state</x:v>
      </x:c>
      <x:c r="J886" s="339" t="str">
        <x:v>Positive</x:v>
      </x:c>
      <x:c r="K886" s="339" t="str">
        <x:v>Functional</x:v>
      </x:c>
    </x:row>
    <x:row r="887">
      <x:c r="A887" s="339" t="str">
        <x:v>AC-00886</x:v>
      </x:c>
      <x:c r="B887" s="339" t="str">
        <x:v>US-0222</x:v>
      </x:c>
      <x:c r="C887" s="339" t="str">
        <x:v>SCR-111</x:v>
      </x:c>
      <x:c r="D887" s="339" t="str">
        <x:v>Student Attendance</x:v>
      </x:c>
      <x:c r="E887" s="339" t="str">
        <x:v>Period / Subject Attendance</x:v>
      </x:c>
      <x:c r="F887" s="339" t="str">
        <x:v>Approval authority</x:v>
      </x:c>
      <x:c r="G887" s="339" t="str">
        <x:v>an action requires approval</x:v>
      </x:c>
      <x:c r="H887" s="339" t="str">
        <x:v>a non-authorized user attempts approval/rejection</x:v>
      </x:c>
      <x:c r="I887" s="339" t="str">
        <x:v>the system denies the decision and does not change status</x:v>
      </x:c>
      <x:c r="J887" s="339" t="str">
        <x:v>Negative</x:v>
      </x:c>
      <x:c r="K887" s="339" t="str">
        <x:v>Functional</x:v>
      </x:c>
    </x:row>
    <x:row r="888">
      <x:c r="A888" s="339" t="str">
        <x:v>AC-00887</x:v>
      </x:c>
      <x:c r="B888" s="339" t="str">
        <x:v>US-0222</x:v>
      </x:c>
      <x:c r="C888" s="339" t="str">
        <x:v>SCR-111</x:v>
      </x:c>
      <x:c r="D888" s="339" t="str">
        <x:v>Student Attendance</x:v>
      </x:c>
      <x:c r="E888" s="339" t="str">
        <x:v>Period / Subject Attendance</x:v>
      </x:c>
      <x:c r="F888" s="339" t="str">
        <x:v>Failure rollback</x:v>
      </x:c>
      <x:c r="G888" s="339" t="str">
        <x:v>a downstream dependency fails during a multi-step transaction</x:v>
      </x:c>
      <x:c r="H888" s="339" t="str">
        <x:v>the workflow executes</x:v>
      </x:c>
      <x:c r="I888" s="339" t="str">
        <x:v>the system does not leave an invalid partial final state and surfaces a recoverable error</x:v>
      </x:c>
      <x:c r="J888" s="339" t="str">
        <x:v>Positive</x:v>
      </x:c>
      <x:c r="K888" s="339" t="str">
        <x:v>Functional</x:v>
      </x:c>
    </x:row>
    <x:row r="889">
      <x:c r="A889" s="339" t="str">
        <x:v>AC-00888</x:v>
      </x:c>
      <x:c r="B889" s="339" t="str">
        <x:v>US-0222</x:v>
      </x:c>
      <x:c r="C889" s="339" t="str">
        <x:v>SCR-111</x:v>
      </x:c>
      <x:c r="D889" s="339" t="str">
        <x:v>Student Attendance</x:v>
      </x:c>
      <x:c r="E889" s="339" t="str">
        <x:v>Period / Subject Attendance</x:v>
      </x:c>
      <x:c r="F889" s="339" t="str">
        <x:v>Exception traceability</x:v>
      </x:c>
      <x:c r="G889" s="339" t="str">
        <x:v>an authorized override/exception is used</x:v>
      </x:c>
      <x:c r="H889" s="339" t="str">
        <x:v>the action is confirmed</x:v>
      </x:c>
      <x:c r="I889" s="339" t="str">
        <x:v>the system requires reason/context and records it in the audit history</x:v>
      </x:c>
      <x:c r="J889" s="339" t="str">
        <x:v>Positive</x:v>
      </x:c>
      <x:c r="K889" s="339" t="str">
        <x:v>Functional</x:v>
      </x:c>
    </x:row>
    <x:row r="890">
      <x:c r="A890" s="339" t="str">
        <x:v>AC-00889</x:v>
      </x:c>
      <x:c r="B890" s="339" t="str">
        <x:v>US-0223</x:v>
      </x:c>
      <x:c r="C890" s="339" t="str">
        <x:v>SCR-112</x:v>
      </x:c>
      <x:c r="D890" s="339" t="str">
        <x:v>Student Attendance</x:v>
      </x:c>
      <x:c r="E890" s="339" t="str">
        <x:v>Student Attendance Register</x:v>
      </x:c>
      <x:c r="F890" s="339" t="str">
        <x:v>Authorized access to Student Attendance Register</x:v>
      </x:c>
      <x:c r="G890" s="339" t="str">
        <x:v>the Teacher is authenticated and has access to Student Attendance Register</x:v>
      </x:c>
      <x:c r="H890" s="339" t="str">
        <x:v>the user opens or invokes Student Attendance Register</x:v>
      </x:c>
      <x:c r="I890" s="339" t="str">
        <x:v>the system loads only records and actions within the user's permitted tenant/school/data scope</x:v>
      </x:c>
      <x:c r="J890" s="339" t="str">
        <x:v>Positive</x:v>
      </x:c>
      <x:c r="K890" s="339" t="str">
        <x:v>Functional / Security</x:v>
      </x:c>
    </x:row>
    <x:row r="891">
      <x:c r="A891" s="339" t="str">
        <x:v>AC-00890</x:v>
      </x:c>
      <x:c r="B891" s="339" t="str">
        <x:v>US-0223</x:v>
      </x:c>
      <x:c r="C891" s="339" t="str">
        <x:v>SCR-112</x:v>
      </x:c>
      <x:c r="D891" s="339" t="str">
        <x:v>Student Attendance</x:v>
      </x:c>
      <x:c r="E891" s="339" t="str">
        <x:v>Student Attendance Register</x:v>
      </x:c>
      <x:c r="F891" s="339" t="str">
        <x:v>Successful Student Attendance Register happy path</x:v>
      </x:c>
      <x:c r="G891" s="339" t="str">
        <x:v>all mandatory prerequisites and valid data are available</x:v>
      </x:c>
      <x:c r="H891" s="339" t="str">
        <x:v>the Teacher completes the primary action on Student Attendance Register</x:v>
      </x:c>
      <x:c r="I891" s="339" t="str">
        <x:v>the system validates the request, saves it atomically, shows a clear confirmation and reflects the updated state</x:v>
      </x:c>
      <x:c r="J891" s="339" t="str">
        <x:v>Positive</x:v>
      </x:c>
      <x:c r="K891" s="339" t="str">
        <x:v>Functional</x:v>
      </x:c>
    </x:row>
    <x:row r="892">
      <x:c r="A892" s="339" t="str">
        <x:v>AC-00891</x:v>
      </x:c>
      <x:c r="B892" s="339" t="str">
        <x:v>US-0223</x:v>
      </x:c>
      <x:c r="C892" s="339" t="str">
        <x:v>SCR-112</x:v>
      </x:c>
      <x:c r="D892" s="339" t="str">
        <x:v>Student Attendance</x:v>
      </x:c>
      <x:c r="E892" s="339" t="str">
        <x:v>Student Attendance Register</x:v>
      </x:c>
      <x:c r="F892" s="339" t="str">
        <x:v>State and dependency integrity</x:v>
      </x:c>
      <x:c r="G892" s="339" t="str">
        <x:v>the current record is in an allowed state (Pending → Present / Absent / Late / Leave / Half-day → Locked → Corrected (approved))</x:v>
      </x:c>
      <x:c r="H892" s="339" t="str">
        <x:v>the user attempts a state-changing action</x:v>
      </x:c>
      <x:c r="I892" s="339" t="str">
        <x:v>only a valid transition is accepted and dependent records are updated according to configured business rules</x:v>
      </x:c>
      <x:c r="J892" s="339" t="str">
        <x:v>Positive</x:v>
      </x:c>
      <x:c r="K892" s="339" t="str">
        <x:v>Functional</x:v>
      </x:c>
    </x:row>
    <x:row r="893">
      <x:c r="A893" s="339" t="str">
        <x:v>AC-00892</x:v>
      </x:c>
      <x:c r="B893" s="339" t="str">
        <x:v>US-0223</x:v>
      </x:c>
      <x:c r="C893" s="339" t="str">
        <x:v>SCR-112</x:v>
      </x:c>
      <x:c r="D893" s="339" t="str">
        <x:v>Student Attendance</x:v>
      </x:c>
      <x:c r="E893" s="339" t="str">
        <x:v>Student Attendance Register</x:v>
      </x:c>
      <x:c r="F893" s="339" t="str">
        <x:v>Auditability</x:v>
      </x:c>
      <x:c r="G893" s="339" t="str">
        <x:v>a material create/update/approve/reverse action occurs</x:v>
      </x:c>
      <x:c r="H893" s="339" t="str">
        <x:v>the transaction succeeds</x:v>
      </x:c>
      <x:c r="I893" s="339" t="str">
        <x:v>the system records actor, timestamp, action, target and relevant before/after or reason context in the audit trail</x:v>
      </x:c>
      <x:c r="J893" s="339" t="str">
        <x:v>Positive</x:v>
      </x:c>
      <x:c r="K893" s="339" t="str">
        <x:v>Functional</x:v>
      </x:c>
    </x:row>
    <x:row r="894">
      <x:c r="A894" s="339" t="str">
        <x:v>AC-00893</x:v>
      </x:c>
      <x:c r="B894" s="339" t="str">
        <x:v>US-0224</x:v>
      </x:c>
      <x:c r="C894" s="339" t="str">
        <x:v>SCR-112</x:v>
      </x:c>
      <x:c r="D894" s="339" t="str">
        <x:v>Student Attendance</x:v>
      </x:c>
      <x:c r="E894" s="339" t="str">
        <x:v>Student Attendance Register</x:v>
      </x:c>
      <x:c r="F894" s="339" t="str">
        <x:v>Complete authorized view</x:v>
      </x:c>
      <x:c r="G894" s="339" t="str">
        <x:v>the record exists and the user is authorized</x:v>
      </x:c>
      <x:c r="H894" s="339" t="str">
        <x:v>the detail/profile opens</x:v>
      </x:c>
      <x:c r="I894" s="339" t="str">
        <x:v>the system loads the required summary, relationships and history while masking restricted fields</x:v>
      </x:c>
      <x:c r="J894" s="339" t="str">
        <x:v>Positive</x:v>
      </x:c>
      <x:c r="K894" s="339" t="str">
        <x:v>Functional / Security</x:v>
      </x:c>
    </x:row>
    <x:row r="895">
      <x:c r="A895" s="339" t="str">
        <x:v>AC-00894</x:v>
      </x:c>
      <x:c r="B895" s="339" t="str">
        <x:v>US-0224</x:v>
      </x:c>
      <x:c r="C895" s="339" t="str">
        <x:v>SCR-112</x:v>
      </x:c>
      <x:c r="D895" s="339" t="str">
        <x:v>Student Attendance</x:v>
      </x:c>
      <x:c r="E895" s="339" t="str">
        <x:v>Student Attendance Register</x:v>
      </x:c>
      <x:c r="F895" s="339" t="str">
        <x:v>Controlled edit</x:v>
      </x:c>
      <x:c r="G895" s="339" t="str">
        <x:v>the user has edit permission and the record is editable</x:v>
      </x:c>
      <x:c r="H895" s="339" t="str">
        <x:v>the user saves a change</x:v>
      </x:c>
      <x:c r="I895" s="339" t="str">
        <x:v>validation and state rules run before the update is committed</x:v>
      </x:c>
      <x:c r="J895" s="339" t="str">
        <x:v>Positive</x:v>
      </x:c>
      <x:c r="K895" s="339" t="str">
        <x:v>Functional</x:v>
      </x:c>
    </x:row>
    <x:row r="896">
      <x:c r="A896" s="339" t="str">
        <x:v>AC-00895</x:v>
      </x:c>
      <x:c r="B896" s="339" t="str">
        <x:v>US-0224</x:v>
      </x:c>
      <x:c r="C896" s="339" t="str">
        <x:v>SCR-112</x:v>
      </x:c>
      <x:c r="D896" s="339" t="str">
        <x:v>Student Attendance</x:v>
      </x:c>
      <x:c r="E896" s="339" t="str">
        <x:v>Student Attendance Register</x:v>
      </x:c>
      <x:c r="F896" s="339" t="str">
        <x:v>Concurrent edit protection</x:v>
      </x:c>
      <x:c r="G896" s="339" t="str">
        <x:v>another user has changed the record after it was loaded</x:v>
      </x:c>
      <x:c r="H896" s="339" t="str">
        <x:v>the first user attempts to save stale data</x:v>
      </x:c>
      <x:c r="I896" s="339" t="str">
        <x:v>the system detects the version conflict or preserves fields safely instead of silently overwriting</x:v>
      </x:c>
      <x:c r="J896" s="339" t="str">
        <x:v>Positive</x:v>
      </x:c>
      <x:c r="K896" s="339" t="str">
        <x:v>Functional</x:v>
      </x:c>
    </x:row>
    <x:row r="897">
      <x:c r="A897" s="339" t="str">
        <x:v>AC-00896</x:v>
      </x:c>
      <x:c r="B897" s="339" t="str">
        <x:v>US-0224</x:v>
      </x:c>
      <x:c r="C897" s="339" t="str">
        <x:v>SCR-112</x:v>
      </x:c>
      <x:c r="D897" s="339" t="str">
        <x:v>Student Attendance</x:v>
      </x:c>
      <x:c r="E897" s="339" t="str">
        <x:v>Student Attendance Register</x:v>
      </x:c>
      <x:c r="F897" s="339" t="str">
        <x:v>History retention</x:v>
      </x:c>
      <x:c r="G897" s="339" t="str">
        <x:v>the record has prior changes/statuses</x:v>
      </x:c>
      <x:c r="H897" s="339" t="str">
        <x:v>the user views history</x:v>
      </x:c>
      <x:c r="I897" s="339" t="str">
        <x:v>the audit/activity timeline shows traceable material changes without exposing restricted notes</x:v>
      </x:c>
      <x:c r="J897" s="339" t="str">
        <x:v>Positive</x:v>
      </x:c>
      <x:c r="K897" s="339" t="str">
        <x:v>Functional</x:v>
      </x:c>
    </x:row>
    <x:row r="898">
      <x:c r="A898" s="339" t="str">
        <x:v>AC-00897</x:v>
      </x:c>
      <x:c r="B898" s="339" t="str">
        <x:v>US-0225</x:v>
      </x:c>
      <x:c r="C898" s="339" t="str">
        <x:v>SCR-113</x:v>
      </x:c>
      <x:c r="D898" s="339" t="str">
        <x:v>Student Attendance</x:v>
      </x:c>
      <x:c r="E898" s="339" t="str">
        <x:v>Attendance Correction</x:v>
      </x:c>
      <x:c r="F898" s="339" t="str">
        <x:v>Authorized access to Attendance Correction</x:v>
      </x:c>
      <x:c r="G898" s="339" t="str">
        <x:v>the Class Teacher is authenticated and has access to Attendance Correction</x:v>
      </x:c>
      <x:c r="H898" s="339" t="str">
        <x:v>the user opens or invokes Attendance Correction</x:v>
      </x:c>
      <x:c r="I898" s="339" t="str">
        <x:v>the system loads only records and actions within the user's permitted tenant/school/data scope</x:v>
      </x:c>
      <x:c r="J898" s="339" t="str">
        <x:v>Positive</x:v>
      </x:c>
      <x:c r="K898" s="339" t="str">
        <x:v>Functional / Security</x:v>
      </x:c>
    </x:row>
    <x:row r="899">
      <x:c r="A899" s="339" t="str">
        <x:v>AC-00898</x:v>
      </x:c>
      <x:c r="B899" s="339" t="str">
        <x:v>US-0225</x:v>
      </x:c>
      <x:c r="C899" s="339" t="str">
        <x:v>SCR-113</x:v>
      </x:c>
      <x:c r="D899" s="339" t="str">
        <x:v>Student Attendance</x:v>
      </x:c>
      <x:c r="E899" s="339" t="str">
        <x:v>Attendance Correction</x:v>
      </x:c>
      <x:c r="F899" s="339" t="str">
        <x:v>Successful Attendance Correction happy path</x:v>
      </x:c>
      <x:c r="G899" s="339" t="str">
        <x:v>all mandatory prerequisites and valid data are available</x:v>
      </x:c>
      <x:c r="H899" s="339" t="str">
        <x:v>the Class Teacher completes the primary action on Attendance Correction</x:v>
      </x:c>
      <x:c r="I899" s="339" t="str">
        <x:v>the system validates the request, saves it atomically, shows a clear confirmation and reflects the updated state</x:v>
      </x:c>
      <x:c r="J899" s="339" t="str">
        <x:v>Positive</x:v>
      </x:c>
      <x:c r="K899" s="339" t="str">
        <x:v>Functional</x:v>
      </x:c>
    </x:row>
    <x:row r="900">
      <x:c r="A900" s="339" t="str">
        <x:v>AC-00899</x:v>
      </x:c>
      <x:c r="B900" s="339" t="str">
        <x:v>US-0225</x:v>
      </x:c>
      <x:c r="C900" s="339" t="str">
        <x:v>SCR-113</x:v>
      </x:c>
      <x:c r="D900" s="339" t="str">
        <x:v>Student Attendance</x:v>
      </x:c>
      <x:c r="E900" s="339" t="str">
        <x:v>Attendance Correction</x:v>
      </x:c>
      <x:c r="F900" s="339" t="str">
        <x:v>State and dependency integrity</x:v>
      </x:c>
      <x:c r="G900" s="339" t="str">
        <x:v>the current record is in an allowed state (Pending → Present / Absent / Late / Leave / Half-day → Locked → Corrected (approved))</x:v>
      </x:c>
      <x:c r="H900" s="339" t="str">
        <x:v>the user attempts a state-changing action</x:v>
      </x:c>
      <x:c r="I900" s="339" t="str">
        <x:v>only a valid transition is accepted and dependent records are updated according to configured business rules</x:v>
      </x:c>
      <x:c r="J900" s="339" t="str">
        <x:v>Positive</x:v>
      </x:c>
      <x:c r="K900" s="339" t="str">
        <x:v>Functional</x:v>
      </x:c>
    </x:row>
    <x:row r="901">
      <x:c r="A901" s="339" t="str">
        <x:v>AC-00900</x:v>
      </x:c>
      <x:c r="B901" s="339" t="str">
        <x:v>US-0225</x:v>
      </x:c>
      <x:c r="C901" s="339" t="str">
        <x:v>SCR-113</x:v>
      </x:c>
      <x:c r="D901" s="339" t="str">
        <x:v>Student Attendance</x:v>
      </x:c>
      <x:c r="E901" s="339" t="str">
        <x:v>Attendance Correction</x:v>
      </x:c>
      <x:c r="F901" s="339" t="str">
        <x:v>Auditability</x:v>
      </x:c>
      <x:c r="G901" s="339" t="str">
        <x:v>a material create/update/approve/reverse action occurs</x:v>
      </x:c>
      <x:c r="H901" s="339" t="str">
        <x:v>the transaction succeeds</x:v>
      </x:c>
      <x:c r="I901" s="339" t="str">
        <x:v>the system records actor, timestamp, action, target and relevant before/after or reason context in the audit trail</x:v>
      </x:c>
      <x:c r="J901" s="339" t="str">
        <x:v>Positive</x:v>
      </x:c>
      <x:c r="K901" s="339" t="str">
        <x:v>Functional</x:v>
      </x:c>
    </x:row>
    <x:row r="902">
      <x:c r="A902" s="339" t="str">
        <x:v>AC-00901</x:v>
      </x:c>
      <x:c r="B902" s="339" t="str">
        <x:v>US-0226</x:v>
      </x:c>
      <x:c r="C902" s="339" t="str">
        <x:v>SCR-113</x:v>
      </x:c>
      <x:c r="D902" s="339" t="str">
        <x:v>Student Attendance</x:v>
      </x:c>
      <x:c r="E902" s="339" t="str">
        <x:v>Attendance Correction</x:v>
      </x:c>
      <x:c r="F902" s="339" t="str">
        <x:v>Valid status transition</x:v>
      </x:c>
      <x:c r="G902" s="339" t="str">
        <x:v>the record is in a state described by Pending → Present / Absent / Late / Leave / Half-day → Locked → Corrected (approved)</x:v>
      </x:c>
      <x:c r="H902" s="339" t="str">
        <x:v>the user requests a transition</x:v>
      </x:c>
      <x:c r="I902" s="339" t="str">
        <x:v>the system accepts only transitions allowed for that role and state</x:v>
      </x:c>
      <x:c r="J902" s="339" t="str">
        <x:v>Positive</x:v>
      </x:c>
      <x:c r="K902" s="339" t="str">
        <x:v>Functional</x:v>
      </x:c>
    </x:row>
    <x:row r="903">
      <x:c r="A903" s="339" t="str">
        <x:v>AC-00902</x:v>
      </x:c>
      <x:c r="B903" s="339" t="str">
        <x:v>US-0226</x:v>
      </x:c>
      <x:c r="C903" s="339" t="str">
        <x:v>SCR-113</x:v>
      </x:c>
      <x:c r="D903" s="339" t="str">
        <x:v>Student Attendance</x:v>
      </x:c>
      <x:c r="E903" s="339" t="str">
        <x:v>Attendance Correction</x:v>
      </x:c>
      <x:c r="F903" s="339" t="str">
        <x:v>Approval authority</x:v>
      </x:c>
      <x:c r="G903" s="339" t="str">
        <x:v>an action requires approval</x:v>
      </x:c>
      <x:c r="H903" s="339" t="str">
        <x:v>a non-authorized user attempts approval/rejection</x:v>
      </x:c>
      <x:c r="I903" s="339" t="str">
        <x:v>the system denies the decision and does not change status</x:v>
      </x:c>
      <x:c r="J903" s="339" t="str">
        <x:v>Negative</x:v>
      </x:c>
      <x:c r="K903" s="339" t="str">
        <x:v>Functional</x:v>
      </x:c>
    </x:row>
    <x:row r="904">
      <x:c r="A904" s="339" t="str">
        <x:v>AC-00903</x:v>
      </x:c>
      <x:c r="B904" s="339" t="str">
        <x:v>US-0226</x:v>
      </x:c>
      <x:c r="C904" s="339" t="str">
        <x:v>SCR-113</x:v>
      </x:c>
      <x:c r="D904" s="339" t="str">
        <x:v>Student Attendance</x:v>
      </x:c>
      <x:c r="E904" s="339" t="str">
        <x:v>Attendance Correction</x:v>
      </x:c>
      <x:c r="F904" s="339" t="str">
        <x:v>Failure rollback</x:v>
      </x:c>
      <x:c r="G904" s="339" t="str">
        <x:v>a downstream dependency fails during a multi-step transaction</x:v>
      </x:c>
      <x:c r="H904" s="339" t="str">
        <x:v>the workflow executes</x:v>
      </x:c>
      <x:c r="I904" s="339" t="str">
        <x:v>the system does not leave an invalid partial final state and surfaces a recoverable error</x:v>
      </x:c>
      <x:c r="J904" s="339" t="str">
        <x:v>Positive</x:v>
      </x:c>
      <x:c r="K904" s="339" t="str">
        <x:v>Functional</x:v>
      </x:c>
    </x:row>
    <x:row r="905">
      <x:c r="A905" s="339" t="str">
        <x:v>AC-00904</x:v>
      </x:c>
      <x:c r="B905" s="339" t="str">
        <x:v>US-0226</x:v>
      </x:c>
      <x:c r="C905" s="339" t="str">
        <x:v>SCR-113</x:v>
      </x:c>
      <x:c r="D905" s="339" t="str">
        <x:v>Student Attendance</x:v>
      </x:c>
      <x:c r="E905" s="339" t="str">
        <x:v>Attendance Correction</x:v>
      </x:c>
      <x:c r="F905" s="339" t="str">
        <x:v>Exception traceability</x:v>
      </x:c>
      <x:c r="G905" s="339" t="str">
        <x:v>an authorized override/exception is used</x:v>
      </x:c>
      <x:c r="H905" s="339" t="str">
        <x:v>the action is confirmed</x:v>
      </x:c>
      <x:c r="I905" s="339" t="str">
        <x:v>the system requires reason/context and records it in the audit history</x:v>
      </x:c>
      <x:c r="J905" s="339" t="str">
        <x:v>Positive</x:v>
      </x:c>
      <x:c r="K905" s="339" t="str">
        <x:v>Functional</x:v>
      </x:c>
    </x:row>
    <x:row r="906">
      <x:c r="A906" s="339" t="str">
        <x:v>AC-00905</x:v>
      </x:c>
      <x:c r="B906" s="339" t="str">
        <x:v>US-0227</x:v>
      </x:c>
      <x:c r="C906" s="339" t="str">
        <x:v>SCR-114</x:v>
      </x:c>
      <x:c r="D906" s="339" t="str">
        <x:v>Student Attendance</x:v>
      </x:c>
      <x:c r="E906" s="339" t="str">
        <x:v>Student Leave Requests</x:v>
      </x:c>
      <x:c r="F906" s="339" t="str">
        <x:v>Authorized access to Student Leave Requests</x:v>
      </x:c>
      <x:c r="G906" s="339" t="str">
        <x:v>the Teacher is authenticated and has access to Student Leave Requests</x:v>
      </x:c>
      <x:c r="H906" s="339" t="str">
        <x:v>the user opens or invokes Student Leave Requests</x:v>
      </x:c>
      <x:c r="I906" s="339" t="str">
        <x:v>the system loads only records and actions within the user's permitted tenant/school/data scope</x:v>
      </x:c>
      <x:c r="J906" s="339" t="str">
        <x:v>Positive</x:v>
      </x:c>
      <x:c r="K906" s="339" t="str">
        <x:v>Functional / Security</x:v>
      </x:c>
    </x:row>
    <x:row r="907">
      <x:c r="A907" s="339" t="str">
        <x:v>AC-00906</x:v>
      </x:c>
      <x:c r="B907" s="339" t="str">
        <x:v>US-0227</x:v>
      </x:c>
      <x:c r="C907" s="339" t="str">
        <x:v>SCR-114</x:v>
      </x:c>
      <x:c r="D907" s="339" t="str">
        <x:v>Student Attendance</x:v>
      </x:c>
      <x:c r="E907" s="339" t="str">
        <x:v>Student Leave Requests</x:v>
      </x:c>
      <x:c r="F907" s="339" t="str">
        <x:v>Successful Student Leave Requests happy path</x:v>
      </x:c>
      <x:c r="G907" s="339" t="str">
        <x:v>all mandatory prerequisites and valid data are available</x:v>
      </x:c>
      <x:c r="H907" s="339" t="str">
        <x:v>the Teacher completes the primary action on Student Leave Requests</x:v>
      </x:c>
      <x:c r="I907" s="339" t="str">
        <x:v>the system validates the request, saves it atomically, shows a clear confirmation and reflects the updated state</x:v>
      </x:c>
      <x:c r="J907" s="339" t="str">
        <x:v>Positive</x:v>
      </x:c>
      <x:c r="K907" s="339" t="str">
        <x:v>Functional</x:v>
      </x:c>
    </x:row>
    <x:row r="908">
      <x:c r="A908" s="339" t="str">
        <x:v>AC-00907</x:v>
      </x:c>
      <x:c r="B908" s="339" t="str">
        <x:v>US-0227</x:v>
      </x:c>
      <x:c r="C908" s="339" t="str">
        <x:v>SCR-114</x:v>
      </x:c>
      <x:c r="D908" s="339" t="str">
        <x:v>Student Attendance</x:v>
      </x:c>
      <x:c r="E908" s="339" t="str">
        <x:v>Student Leave Requests</x:v>
      </x:c>
      <x:c r="F908" s="339" t="str">
        <x:v>State and dependency integrity</x:v>
      </x:c>
      <x:c r="G908" s="339" t="str">
        <x:v>the current record is in an allowed state (Pending → Present / Absent / Late / Leave / Half-day → Locked → Corrected (approved))</x:v>
      </x:c>
      <x:c r="H908" s="339" t="str">
        <x:v>the user attempts a state-changing action</x:v>
      </x:c>
      <x:c r="I908" s="339" t="str">
        <x:v>only a valid transition is accepted and dependent records are updated according to configured business rules</x:v>
      </x:c>
      <x:c r="J908" s="339" t="str">
        <x:v>Positive</x:v>
      </x:c>
      <x:c r="K908" s="339" t="str">
        <x:v>Functional</x:v>
      </x:c>
    </x:row>
    <x:row r="909">
      <x:c r="A909" s="339" t="str">
        <x:v>AC-00908</x:v>
      </x:c>
      <x:c r="B909" s="339" t="str">
        <x:v>US-0227</x:v>
      </x:c>
      <x:c r="C909" s="339" t="str">
        <x:v>SCR-114</x:v>
      </x:c>
      <x:c r="D909" s="339" t="str">
        <x:v>Student Attendance</x:v>
      </x:c>
      <x:c r="E909" s="339" t="str">
        <x:v>Student Leave Requests</x:v>
      </x:c>
      <x:c r="F909" s="339" t="str">
        <x:v>Auditability</x:v>
      </x:c>
      <x:c r="G909" s="339" t="str">
        <x:v>a material create/update/approve/reverse action occurs</x:v>
      </x:c>
      <x:c r="H909" s="339" t="str">
        <x:v>the transaction succeeds</x:v>
      </x:c>
      <x:c r="I909" s="339" t="str">
        <x:v>the system records actor, timestamp, action, target and relevant before/after or reason context in the audit trail</x:v>
      </x:c>
      <x:c r="J909" s="339" t="str">
        <x:v>Positive</x:v>
      </x:c>
      <x:c r="K909" s="339" t="str">
        <x:v>Functional</x:v>
      </x:c>
    </x:row>
    <x:row r="910">
      <x:c r="A910" s="339" t="str">
        <x:v>AC-00909</x:v>
      </x:c>
      <x:c r="B910" s="339" t="str">
        <x:v>US-0228</x:v>
      </x:c>
      <x:c r="C910" s="339" t="str">
        <x:v>SCR-114</x:v>
      </x:c>
      <x:c r="D910" s="339" t="str">
        <x:v>Student Attendance</x:v>
      </x:c>
      <x:c r="E910" s="339" t="str">
        <x:v>Student Leave Requests</x:v>
      </x:c>
      <x:c r="F910" s="339" t="str">
        <x:v>Valid status transition</x:v>
      </x:c>
      <x:c r="G910" s="339" t="str">
        <x:v>the record is in a state described by Pending → Present / Absent / Late / Leave / Half-day → Locked → Corrected (approved)</x:v>
      </x:c>
      <x:c r="H910" s="339" t="str">
        <x:v>the user requests a transition</x:v>
      </x:c>
      <x:c r="I910" s="339" t="str">
        <x:v>the system accepts only transitions allowed for that role and state</x:v>
      </x:c>
      <x:c r="J910" s="339" t="str">
        <x:v>Positive</x:v>
      </x:c>
      <x:c r="K910" s="339" t="str">
        <x:v>Functional</x:v>
      </x:c>
    </x:row>
    <x:row r="911">
      <x:c r="A911" s="339" t="str">
        <x:v>AC-00910</x:v>
      </x:c>
      <x:c r="B911" s="339" t="str">
        <x:v>US-0228</x:v>
      </x:c>
      <x:c r="C911" s="339" t="str">
        <x:v>SCR-114</x:v>
      </x:c>
      <x:c r="D911" s="339" t="str">
        <x:v>Student Attendance</x:v>
      </x:c>
      <x:c r="E911" s="339" t="str">
        <x:v>Student Leave Requests</x:v>
      </x:c>
      <x:c r="F911" s="339" t="str">
        <x:v>Approval authority</x:v>
      </x:c>
      <x:c r="G911" s="339" t="str">
        <x:v>an action requires approval</x:v>
      </x:c>
      <x:c r="H911" s="339" t="str">
        <x:v>a non-authorized user attempts approval/rejection</x:v>
      </x:c>
      <x:c r="I911" s="339" t="str">
        <x:v>the system denies the decision and does not change status</x:v>
      </x:c>
      <x:c r="J911" s="339" t="str">
        <x:v>Negative</x:v>
      </x:c>
      <x:c r="K911" s="339" t="str">
        <x:v>Functional</x:v>
      </x:c>
    </x:row>
    <x:row r="912">
      <x:c r="A912" s="339" t="str">
        <x:v>AC-00911</x:v>
      </x:c>
      <x:c r="B912" s="339" t="str">
        <x:v>US-0228</x:v>
      </x:c>
      <x:c r="C912" s="339" t="str">
        <x:v>SCR-114</x:v>
      </x:c>
      <x:c r="D912" s="339" t="str">
        <x:v>Student Attendance</x:v>
      </x:c>
      <x:c r="E912" s="339" t="str">
        <x:v>Student Leave Requests</x:v>
      </x:c>
      <x:c r="F912" s="339" t="str">
        <x:v>Failure rollback</x:v>
      </x:c>
      <x:c r="G912" s="339" t="str">
        <x:v>a downstream dependency fails during a multi-step transaction</x:v>
      </x:c>
      <x:c r="H912" s="339" t="str">
        <x:v>the workflow executes</x:v>
      </x:c>
      <x:c r="I912" s="339" t="str">
        <x:v>the system does not leave an invalid partial final state and surfaces a recoverable error</x:v>
      </x:c>
      <x:c r="J912" s="339" t="str">
        <x:v>Positive</x:v>
      </x:c>
      <x:c r="K912" s="339" t="str">
        <x:v>Functional</x:v>
      </x:c>
    </x:row>
    <x:row r="913">
      <x:c r="A913" s="339" t="str">
        <x:v>AC-00912</x:v>
      </x:c>
      <x:c r="B913" s="339" t="str">
        <x:v>US-0228</x:v>
      </x:c>
      <x:c r="C913" s="339" t="str">
        <x:v>SCR-114</x:v>
      </x:c>
      <x:c r="D913" s="339" t="str">
        <x:v>Student Attendance</x:v>
      </x:c>
      <x:c r="E913" s="339" t="str">
        <x:v>Student Leave Requests</x:v>
      </x:c>
      <x:c r="F913" s="339" t="str">
        <x:v>Exception traceability</x:v>
      </x:c>
      <x:c r="G913" s="339" t="str">
        <x:v>an authorized override/exception is used</x:v>
      </x:c>
      <x:c r="H913" s="339" t="str">
        <x:v>the action is confirmed</x:v>
      </x:c>
      <x:c r="I913" s="339" t="str">
        <x:v>the system requires reason/context and records it in the audit history</x:v>
      </x:c>
      <x:c r="J913" s="339" t="str">
        <x:v>Positive</x:v>
      </x:c>
      <x:c r="K913" s="339" t="str">
        <x:v>Functional</x:v>
      </x:c>
    </x:row>
    <x:row r="914">
      <x:c r="A914" s="339" t="str">
        <x:v>AC-00913</x:v>
      </x:c>
      <x:c r="B914" s="339" t="str">
        <x:v>US-0229</x:v>
      </x:c>
      <x:c r="C914" s="339" t="str">
        <x:v>SCR-115</x:v>
      </x:c>
      <x:c r="D914" s="339" t="str">
        <x:v>Student Attendance</x:v>
      </x:c>
      <x:c r="E914" s="339" t="str">
        <x:v>Student Leave Approval</x:v>
      </x:c>
      <x:c r="F914" s="339" t="str">
        <x:v>Authorized access to Student Leave Approval</x:v>
      </x:c>
      <x:c r="G914" s="339" t="str">
        <x:v>the Class Teacher is authenticated and has access to Student Leave Approval</x:v>
      </x:c>
      <x:c r="H914" s="339" t="str">
        <x:v>the user opens or invokes Student Leave Approval</x:v>
      </x:c>
      <x:c r="I914" s="339" t="str">
        <x:v>the system loads only records and actions within the user's permitted tenant/school/data scope</x:v>
      </x:c>
      <x:c r="J914" s="339" t="str">
        <x:v>Positive</x:v>
      </x:c>
      <x:c r="K914" s="339" t="str">
        <x:v>Functional / Security</x:v>
      </x:c>
    </x:row>
    <x:row r="915">
      <x:c r="A915" s="339" t="str">
        <x:v>AC-00914</x:v>
      </x:c>
      <x:c r="B915" s="339" t="str">
        <x:v>US-0229</x:v>
      </x:c>
      <x:c r="C915" s="339" t="str">
        <x:v>SCR-115</x:v>
      </x:c>
      <x:c r="D915" s="339" t="str">
        <x:v>Student Attendance</x:v>
      </x:c>
      <x:c r="E915" s="339" t="str">
        <x:v>Student Leave Approval</x:v>
      </x:c>
      <x:c r="F915" s="339" t="str">
        <x:v>Successful Student Leave Approval happy path</x:v>
      </x:c>
      <x:c r="G915" s="339" t="str">
        <x:v>all mandatory prerequisites and valid data are available</x:v>
      </x:c>
      <x:c r="H915" s="339" t="str">
        <x:v>the Class Teacher completes the primary action on Student Leave Approval</x:v>
      </x:c>
      <x:c r="I915" s="339" t="str">
        <x:v>the system validates the request, saves it atomically, shows a clear confirmation and reflects the updated state</x:v>
      </x:c>
      <x:c r="J915" s="339" t="str">
        <x:v>Positive</x:v>
      </x:c>
      <x:c r="K915" s="339" t="str">
        <x:v>Functional</x:v>
      </x:c>
    </x:row>
    <x:row r="916">
      <x:c r="A916" s="339" t="str">
        <x:v>AC-00915</x:v>
      </x:c>
      <x:c r="B916" s="339" t="str">
        <x:v>US-0229</x:v>
      </x:c>
      <x:c r="C916" s="339" t="str">
        <x:v>SCR-115</x:v>
      </x:c>
      <x:c r="D916" s="339" t="str">
        <x:v>Student Attendance</x:v>
      </x:c>
      <x:c r="E916" s="339" t="str">
        <x:v>Student Leave Approval</x:v>
      </x:c>
      <x:c r="F916" s="339" t="str">
        <x:v>State and dependency integrity</x:v>
      </x:c>
      <x:c r="G916" s="339" t="str">
        <x:v>the current record is in an allowed state (Pending → Present / Absent / Late / Leave / Half-day → Locked → Corrected (approved))</x:v>
      </x:c>
      <x:c r="H916" s="339" t="str">
        <x:v>the user attempts a state-changing action</x:v>
      </x:c>
      <x:c r="I916" s="339" t="str">
        <x:v>only a valid transition is accepted and dependent records are updated according to configured business rules</x:v>
      </x:c>
      <x:c r="J916" s="339" t="str">
        <x:v>Positive</x:v>
      </x:c>
      <x:c r="K916" s="339" t="str">
        <x:v>Functional</x:v>
      </x:c>
    </x:row>
    <x:row r="917">
      <x:c r="A917" s="339" t="str">
        <x:v>AC-00916</x:v>
      </x:c>
      <x:c r="B917" s="339" t="str">
        <x:v>US-0229</x:v>
      </x:c>
      <x:c r="C917" s="339" t="str">
        <x:v>SCR-115</x:v>
      </x:c>
      <x:c r="D917" s="339" t="str">
        <x:v>Student Attendance</x:v>
      </x:c>
      <x:c r="E917" s="339" t="str">
        <x:v>Student Leave Approval</x:v>
      </x:c>
      <x:c r="F917" s="339" t="str">
        <x:v>Auditability</x:v>
      </x:c>
      <x:c r="G917" s="339" t="str">
        <x:v>a material create/update/approve/reverse action occurs</x:v>
      </x:c>
      <x:c r="H917" s="339" t="str">
        <x:v>the transaction succeeds</x:v>
      </x:c>
      <x:c r="I917" s="339" t="str">
        <x:v>the system records actor, timestamp, action, target and relevant before/after or reason context in the audit trail</x:v>
      </x:c>
      <x:c r="J917" s="339" t="str">
        <x:v>Positive</x:v>
      </x:c>
      <x:c r="K917" s="339" t="str">
        <x:v>Functional</x:v>
      </x:c>
    </x:row>
    <x:row r="918">
      <x:c r="A918" s="339" t="str">
        <x:v>AC-00917</x:v>
      </x:c>
      <x:c r="B918" s="339" t="str">
        <x:v>US-0230</x:v>
      </x:c>
      <x:c r="C918" s="339" t="str">
        <x:v>SCR-115</x:v>
      </x:c>
      <x:c r="D918" s="339" t="str">
        <x:v>Student Attendance</x:v>
      </x:c>
      <x:c r="E918" s="339" t="str">
        <x:v>Student Leave Approval</x:v>
      </x:c>
      <x:c r="F918" s="339" t="str">
        <x:v>Valid status transition</x:v>
      </x:c>
      <x:c r="G918" s="339" t="str">
        <x:v>the record is in a state described by Pending → Present / Absent / Late / Leave / Half-day → Locked → Corrected (approved)</x:v>
      </x:c>
      <x:c r="H918" s="339" t="str">
        <x:v>the user requests a transition</x:v>
      </x:c>
      <x:c r="I918" s="339" t="str">
        <x:v>the system accepts only transitions allowed for that role and state</x:v>
      </x:c>
      <x:c r="J918" s="339" t="str">
        <x:v>Positive</x:v>
      </x:c>
      <x:c r="K918" s="339" t="str">
        <x:v>Functional</x:v>
      </x:c>
    </x:row>
    <x:row r="919">
      <x:c r="A919" s="339" t="str">
        <x:v>AC-00918</x:v>
      </x:c>
      <x:c r="B919" s="339" t="str">
        <x:v>US-0230</x:v>
      </x:c>
      <x:c r="C919" s="339" t="str">
        <x:v>SCR-115</x:v>
      </x:c>
      <x:c r="D919" s="339" t="str">
        <x:v>Student Attendance</x:v>
      </x:c>
      <x:c r="E919" s="339" t="str">
        <x:v>Student Leave Approval</x:v>
      </x:c>
      <x:c r="F919" s="339" t="str">
        <x:v>Approval authority</x:v>
      </x:c>
      <x:c r="G919" s="339" t="str">
        <x:v>an action requires approval</x:v>
      </x:c>
      <x:c r="H919" s="339" t="str">
        <x:v>a non-authorized user attempts approval/rejection</x:v>
      </x:c>
      <x:c r="I919" s="339" t="str">
        <x:v>the system denies the decision and does not change status</x:v>
      </x:c>
      <x:c r="J919" s="339" t="str">
        <x:v>Negative</x:v>
      </x:c>
      <x:c r="K919" s="339" t="str">
        <x:v>Functional</x:v>
      </x:c>
    </x:row>
    <x:row r="920">
      <x:c r="A920" s="339" t="str">
        <x:v>AC-00919</x:v>
      </x:c>
      <x:c r="B920" s="339" t="str">
        <x:v>US-0230</x:v>
      </x:c>
      <x:c r="C920" s="339" t="str">
        <x:v>SCR-115</x:v>
      </x:c>
      <x:c r="D920" s="339" t="str">
        <x:v>Student Attendance</x:v>
      </x:c>
      <x:c r="E920" s="339" t="str">
        <x:v>Student Leave Approval</x:v>
      </x:c>
      <x:c r="F920" s="339" t="str">
        <x:v>Failure rollback</x:v>
      </x:c>
      <x:c r="G920" s="339" t="str">
        <x:v>a downstream dependency fails during a multi-step transaction</x:v>
      </x:c>
      <x:c r="H920" s="339" t="str">
        <x:v>the workflow executes</x:v>
      </x:c>
      <x:c r="I920" s="339" t="str">
        <x:v>the system does not leave an invalid partial final state and surfaces a recoverable error</x:v>
      </x:c>
      <x:c r="J920" s="339" t="str">
        <x:v>Positive</x:v>
      </x:c>
      <x:c r="K920" s="339" t="str">
        <x:v>Functional</x:v>
      </x:c>
    </x:row>
    <x:row r="921">
      <x:c r="A921" s="339" t="str">
        <x:v>AC-00920</x:v>
      </x:c>
      <x:c r="B921" s="339" t="str">
        <x:v>US-0230</x:v>
      </x:c>
      <x:c r="C921" s="339" t="str">
        <x:v>SCR-115</x:v>
      </x:c>
      <x:c r="D921" s="339" t="str">
        <x:v>Student Attendance</x:v>
      </x:c>
      <x:c r="E921" s="339" t="str">
        <x:v>Student Leave Approval</x:v>
      </x:c>
      <x:c r="F921" s="339" t="str">
        <x:v>Exception traceability</x:v>
      </x:c>
      <x:c r="G921" s="339" t="str">
        <x:v>an authorized override/exception is used</x:v>
      </x:c>
      <x:c r="H921" s="339" t="str">
        <x:v>the action is confirmed</x:v>
      </x:c>
      <x:c r="I921" s="339" t="str">
        <x:v>the system requires reason/context and records it in the audit history</x:v>
      </x:c>
      <x:c r="J921" s="339" t="str">
        <x:v>Positive</x:v>
      </x:c>
      <x:c r="K921" s="339" t="str">
        <x:v>Functional</x:v>
      </x:c>
    </x:row>
    <x:row r="922">
      <x:c r="A922" s="339" t="str">
        <x:v>AC-00921</x:v>
      </x:c>
      <x:c r="B922" s="339" t="str">
        <x:v>US-0231</x:v>
      </x:c>
      <x:c r="C922" s="339" t="str">
        <x:v>SCR-116</x:v>
      </x:c>
      <x:c r="D922" s="339" t="str">
        <x:v>Student Attendance</x:v>
      </x:c>
      <x:c r="E922" s="339" t="str">
        <x:v>Late Entry / Early Exit</x:v>
      </x:c>
      <x:c r="F922" s="339" t="str">
        <x:v>Authorized access to Late Entry / Early Exit</x:v>
      </x:c>
      <x:c r="G922" s="339" t="str">
        <x:v>the Teacher is authenticated and has access to Late Entry / Early Exit</x:v>
      </x:c>
      <x:c r="H922" s="339" t="str">
        <x:v>the user opens or invokes Late Entry / Early Exit</x:v>
      </x:c>
      <x:c r="I922" s="339" t="str">
        <x:v>the system loads only records and actions within the user's permitted tenant/school/data scope</x:v>
      </x:c>
      <x:c r="J922" s="339" t="str">
        <x:v>Positive</x:v>
      </x:c>
      <x:c r="K922" s="339" t="str">
        <x:v>Functional / Security</x:v>
      </x:c>
    </x:row>
    <x:row r="923">
      <x:c r="A923" s="339" t="str">
        <x:v>AC-00922</x:v>
      </x:c>
      <x:c r="B923" s="339" t="str">
        <x:v>US-0231</x:v>
      </x:c>
      <x:c r="C923" s="339" t="str">
        <x:v>SCR-116</x:v>
      </x:c>
      <x:c r="D923" s="339" t="str">
        <x:v>Student Attendance</x:v>
      </x:c>
      <x:c r="E923" s="339" t="str">
        <x:v>Late Entry / Early Exit</x:v>
      </x:c>
      <x:c r="F923" s="339" t="str">
        <x:v>Successful Late Entry / Early Exit happy path</x:v>
      </x:c>
      <x:c r="G923" s="339" t="str">
        <x:v>all mandatory prerequisites and valid data are available</x:v>
      </x:c>
      <x:c r="H923" s="339" t="str">
        <x:v>the Teacher completes the primary action on Late Entry / Early Exit</x:v>
      </x:c>
      <x:c r="I923" s="339" t="str">
        <x:v>the system validates the request, saves it atomically, shows a clear confirmation and reflects the updated state</x:v>
      </x:c>
      <x:c r="J923" s="339" t="str">
        <x:v>Positive</x:v>
      </x:c>
      <x:c r="K923" s="339" t="str">
        <x:v>Functional</x:v>
      </x:c>
    </x:row>
    <x:row r="924">
      <x:c r="A924" s="339" t="str">
        <x:v>AC-00923</x:v>
      </x:c>
      <x:c r="B924" s="339" t="str">
        <x:v>US-0231</x:v>
      </x:c>
      <x:c r="C924" s="339" t="str">
        <x:v>SCR-116</x:v>
      </x:c>
      <x:c r="D924" s="339" t="str">
        <x:v>Student Attendance</x:v>
      </x:c>
      <x:c r="E924" s="339" t="str">
        <x:v>Late Entry / Early Exit</x:v>
      </x:c>
      <x:c r="F924" s="339" t="str">
        <x:v>State and dependency integrity</x:v>
      </x:c>
      <x:c r="G924" s="339" t="str">
        <x:v>the current record is in an allowed state (Pending → Present / Absent / Late / Leave / Half-day → Locked → Corrected (approved))</x:v>
      </x:c>
      <x:c r="H924" s="339" t="str">
        <x:v>the user attempts a state-changing action</x:v>
      </x:c>
      <x:c r="I924" s="339" t="str">
        <x:v>only a valid transition is accepted and dependent records are updated according to configured business rules</x:v>
      </x:c>
      <x:c r="J924" s="339" t="str">
        <x:v>Positive</x:v>
      </x:c>
      <x:c r="K924" s="339" t="str">
        <x:v>Functional</x:v>
      </x:c>
    </x:row>
    <x:row r="925">
      <x:c r="A925" s="339" t="str">
        <x:v>AC-00924</x:v>
      </x:c>
      <x:c r="B925" s="339" t="str">
        <x:v>US-0231</x:v>
      </x:c>
      <x:c r="C925" s="339" t="str">
        <x:v>SCR-116</x:v>
      </x:c>
      <x:c r="D925" s="339" t="str">
        <x:v>Student Attendance</x:v>
      </x:c>
      <x:c r="E925" s="339" t="str">
        <x:v>Late Entry / Early Exit</x:v>
      </x:c>
      <x:c r="F925" s="339" t="str">
        <x:v>Auditability</x:v>
      </x:c>
      <x:c r="G925" s="339" t="str">
        <x:v>a material create/update/approve/reverse action occurs</x:v>
      </x:c>
      <x:c r="H925" s="339" t="str">
        <x:v>the transaction succeeds</x:v>
      </x:c>
      <x:c r="I925" s="339" t="str">
        <x:v>the system records actor, timestamp, action, target and relevant before/after or reason context in the audit trail</x:v>
      </x:c>
      <x:c r="J925" s="339" t="str">
        <x:v>Positive</x:v>
      </x:c>
      <x:c r="K925" s="339" t="str">
        <x:v>Functional</x:v>
      </x:c>
    </x:row>
    <x:row r="926">
      <x:c r="A926" s="339" t="str">
        <x:v>AC-00925</x:v>
      </x:c>
      <x:c r="B926" s="339" t="str">
        <x:v>US-0232</x:v>
      </x:c>
      <x:c r="C926" s="339" t="str">
        <x:v>SCR-116</x:v>
      </x:c>
      <x:c r="D926" s="339" t="str">
        <x:v>Student Attendance</x:v>
      </x:c>
      <x:c r="E926" s="339" t="str">
        <x:v>Late Entry / Early Exit</x:v>
      </x:c>
      <x:c r="F926" s="339" t="str">
        <x:v>Valid status transition</x:v>
      </x:c>
      <x:c r="G926" s="339" t="str">
        <x:v>the record is in a state described by Pending → Present / Absent / Late / Leave / Half-day → Locked → Corrected (approved)</x:v>
      </x:c>
      <x:c r="H926" s="339" t="str">
        <x:v>the user requests a transition</x:v>
      </x:c>
      <x:c r="I926" s="339" t="str">
        <x:v>the system accepts only transitions allowed for that role and state</x:v>
      </x:c>
      <x:c r="J926" s="339" t="str">
        <x:v>Positive</x:v>
      </x:c>
      <x:c r="K926" s="339" t="str">
        <x:v>Functional</x:v>
      </x:c>
    </x:row>
    <x:row r="927">
      <x:c r="A927" s="339" t="str">
        <x:v>AC-00926</x:v>
      </x:c>
      <x:c r="B927" s="339" t="str">
        <x:v>US-0232</x:v>
      </x:c>
      <x:c r="C927" s="339" t="str">
        <x:v>SCR-116</x:v>
      </x:c>
      <x:c r="D927" s="339" t="str">
        <x:v>Student Attendance</x:v>
      </x:c>
      <x:c r="E927" s="339" t="str">
        <x:v>Late Entry / Early Exit</x:v>
      </x:c>
      <x:c r="F927" s="339" t="str">
        <x:v>Approval authority</x:v>
      </x:c>
      <x:c r="G927" s="339" t="str">
        <x:v>an action requires approval</x:v>
      </x:c>
      <x:c r="H927" s="339" t="str">
        <x:v>a non-authorized user attempts approval/rejection</x:v>
      </x:c>
      <x:c r="I927" s="339" t="str">
        <x:v>the system denies the decision and does not change status</x:v>
      </x:c>
      <x:c r="J927" s="339" t="str">
        <x:v>Negative</x:v>
      </x:c>
      <x:c r="K927" s="339" t="str">
        <x:v>Functional</x:v>
      </x:c>
    </x:row>
    <x:row r="928">
      <x:c r="A928" s="339" t="str">
        <x:v>AC-00927</x:v>
      </x:c>
      <x:c r="B928" s="339" t="str">
        <x:v>US-0232</x:v>
      </x:c>
      <x:c r="C928" s="339" t="str">
        <x:v>SCR-116</x:v>
      </x:c>
      <x:c r="D928" s="339" t="str">
        <x:v>Student Attendance</x:v>
      </x:c>
      <x:c r="E928" s="339" t="str">
        <x:v>Late Entry / Early Exit</x:v>
      </x:c>
      <x:c r="F928" s="339" t="str">
        <x:v>Failure rollback</x:v>
      </x:c>
      <x:c r="G928" s="339" t="str">
        <x:v>a downstream dependency fails during a multi-step transaction</x:v>
      </x:c>
      <x:c r="H928" s="339" t="str">
        <x:v>the workflow executes</x:v>
      </x:c>
      <x:c r="I928" s="339" t="str">
        <x:v>the system does not leave an invalid partial final state and surfaces a recoverable error</x:v>
      </x:c>
      <x:c r="J928" s="339" t="str">
        <x:v>Positive</x:v>
      </x:c>
      <x:c r="K928" s="339" t="str">
        <x:v>Functional</x:v>
      </x:c>
    </x:row>
    <x:row r="929">
      <x:c r="A929" s="339" t="str">
        <x:v>AC-00928</x:v>
      </x:c>
      <x:c r="B929" s="339" t="str">
        <x:v>US-0232</x:v>
      </x:c>
      <x:c r="C929" s="339" t="str">
        <x:v>SCR-116</x:v>
      </x:c>
      <x:c r="D929" s="339" t="str">
        <x:v>Student Attendance</x:v>
      </x:c>
      <x:c r="E929" s="339" t="str">
        <x:v>Late Entry / Early Exit</x:v>
      </x:c>
      <x:c r="F929" s="339" t="str">
        <x:v>Exception traceability</x:v>
      </x:c>
      <x:c r="G929" s="339" t="str">
        <x:v>an authorized override/exception is used</x:v>
      </x:c>
      <x:c r="H929" s="339" t="str">
        <x:v>the action is confirmed</x:v>
      </x:c>
      <x:c r="I929" s="339" t="str">
        <x:v>the system requires reason/context and records it in the audit history</x:v>
      </x:c>
      <x:c r="J929" s="339" t="str">
        <x:v>Positive</x:v>
      </x:c>
      <x:c r="K929" s="339" t="str">
        <x:v>Functional</x:v>
      </x:c>
    </x:row>
    <x:row r="930">
      <x:c r="A930" s="339" t="str">
        <x:v>AC-00929</x:v>
      </x:c>
      <x:c r="B930" s="339" t="str">
        <x:v>US-0233</x:v>
      </x:c>
      <x:c r="C930" s="339" t="str">
        <x:v>SCR-117</x:v>
      </x:c>
      <x:c r="D930" s="339" t="str">
        <x:v>Student Attendance</x:v>
      </x:c>
      <x:c r="E930" s="339" t="str">
        <x:v>Monthly Attendance Summary</x:v>
      </x:c>
      <x:c r="F930" s="339" t="str">
        <x:v>Authorized access to Monthly Attendance Summary</x:v>
      </x:c>
      <x:c r="G930" s="339" t="str">
        <x:v>the School Admin is authenticated and has access to Monthly Attendance Summary</x:v>
      </x:c>
      <x:c r="H930" s="339" t="str">
        <x:v>the user opens or invokes Monthly Attendance Summary</x:v>
      </x:c>
      <x:c r="I930" s="339" t="str">
        <x:v>the system loads only records and actions within the user's permitted tenant/school/data scope</x:v>
      </x:c>
      <x:c r="J930" s="339" t="str">
        <x:v>Positive</x:v>
      </x:c>
      <x:c r="K930" s="339" t="str">
        <x:v>Functional / Security</x:v>
      </x:c>
    </x:row>
    <x:row r="931">
      <x:c r="A931" s="339" t="str">
        <x:v>AC-00930</x:v>
      </x:c>
      <x:c r="B931" s="339" t="str">
        <x:v>US-0233</x:v>
      </x:c>
      <x:c r="C931" s="339" t="str">
        <x:v>SCR-117</x:v>
      </x:c>
      <x:c r="D931" s="339" t="str">
        <x:v>Student Attendance</x:v>
      </x:c>
      <x:c r="E931" s="339" t="str">
        <x:v>Monthly Attendance Summary</x:v>
      </x:c>
      <x:c r="F931" s="339" t="str">
        <x:v>Successful Monthly Attendance Summary happy path</x:v>
      </x:c>
      <x:c r="G931" s="339" t="str">
        <x:v>all mandatory prerequisites and valid data are available</x:v>
      </x:c>
      <x:c r="H931" s="339" t="str">
        <x:v>the School Admin completes the primary action on Monthly Attendance Summary</x:v>
      </x:c>
      <x:c r="I931" s="339" t="str">
        <x:v>the system validates the request, saves it atomically, shows a clear confirmation and reflects the updated state</x:v>
      </x:c>
      <x:c r="J931" s="339" t="str">
        <x:v>Positive</x:v>
      </x:c>
      <x:c r="K931" s="339" t="str">
        <x:v>Functional</x:v>
      </x:c>
    </x:row>
    <x:row r="932">
      <x:c r="A932" s="339" t="str">
        <x:v>AC-00931</x:v>
      </x:c>
      <x:c r="B932" s="339" t="str">
        <x:v>US-0233</x:v>
      </x:c>
      <x:c r="C932" s="339" t="str">
        <x:v>SCR-117</x:v>
      </x:c>
      <x:c r="D932" s="339" t="str">
        <x:v>Student Attendance</x:v>
      </x:c>
      <x:c r="E932" s="339" t="str">
        <x:v>Monthly Attendance Summary</x:v>
      </x:c>
      <x:c r="F932" s="339" t="str">
        <x:v>State and dependency integrity</x:v>
      </x:c>
      <x:c r="G932" s="339" t="str">
        <x:v>the current record is in an allowed state (Pending → Present / Absent / Late / Leave / Half-day → Locked → Corrected (approved))</x:v>
      </x:c>
      <x:c r="H932" s="339" t="str">
        <x:v>the user attempts a state-changing action</x:v>
      </x:c>
      <x:c r="I932" s="339" t="str">
        <x:v>only a valid transition is accepted and dependent records are updated according to configured business rules</x:v>
      </x:c>
      <x:c r="J932" s="339" t="str">
        <x:v>Positive</x:v>
      </x:c>
      <x:c r="K932" s="339" t="str">
        <x:v>Functional</x:v>
      </x:c>
    </x:row>
    <x:row r="933">
      <x:c r="A933" s="339" t="str">
        <x:v>AC-00932</x:v>
      </x:c>
      <x:c r="B933" s="339" t="str">
        <x:v>US-0233</x:v>
      </x:c>
      <x:c r="C933" s="339" t="str">
        <x:v>SCR-117</x:v>
      </x:c>
      <x:c r="D933" s="339" t="str">
        <x:v>Student Attendance</x:v>
      </x:c>
      <x:c r="E933" s="339" t="str">
        <x:v>Monthly Attendance Summary</x:v>
      </x:c>
      <x:c r="F933" s="339" t="str">
        <x:v>Auditability</x:v>
      </x:c>
      <x:c r="G933" s="339" t="str">
        <x:v>a material create/update/approve/reverse action occurs</x:v>
      </x:c>
      <x:c r="H933" s="339" t="str">
        <x:v>the transaction succeeds</x:v>
      </x:c>
      <x:c r="I933" s="339" t="str">
        <x:v>the system records actor, timestamp, action, target and relevant before/after or reason context in the audit trail</x:v>
      </x:c>
      <x:c r="J933" s="339" t="str">
        <x:v>Positive</x:v>
      </x:c>
      <x:c r="K933" s="339" t="str">
        <x:v>Functional</x:v>
      </x:c>
    </x:row>
    <x:row r="934">
      <x:c r="A934" s="339" t="str">
        <x:v>AC-00933</x:v>
      </x:c>
      <x:c r="B934" s="339" t="str">
        <x:v>US-0234</x:v>
      </x:c>
      <x:c r="C934" s="339" t="str">
        <x:v>SCR-117</x:v>
      </x:c>
      <x:c r="D934" s="339" t="str">
        <x:v>Student Attendance</x:v>
      </x:c>
      <x:c r="E934" s="339" t="str">
        <x:v>Monthly Attendance Summary</x:v>
      </x:c>
      <x:c r="F934" s="339" t="str">
        <x:v>Filter accuracy</x:v>
      </x:c>
      <x:c r="G934" s="339" t="str">
        <x:v>source data exists across multiple periods/scopes</x:v>
      </x:c>
      <x:c r="H934" s="339" t="str">
        <x:v>the user applies report filters</x:v>
      </x:c>
      <x:c r="I934" s="339" t="str">
        <x:v>aggregates and rows include only authorized data matching the filters</x:v>
      </x:c>
      <x:c r="J934" s="339" t="str">
        <x:v>Positive</x:v>
      </x:c>
      <x:c r="K934" s="339" t="str">
        <x:v>Functional</x:v>
      </x:c>
    </x:row>
    <x:row r="935">
      <x:c r="A935" s="339" t="str">
        <x:v>AC-00934</x:v>
      </x:c>
      <x:c r="B935" s="339" t="str">
        <x:v>US-0234</x:v>
      </x:c>
      <x:c r="C935" s="339" t="str">
        <x:v>SCR-117</x:v>
      </x:c>
      <x:c r="D935" s="339" t="str">
        <x:v>Student Attendance</x:v>
      </x:c>
      <x:c r="E935" s="339" t="str">
        <x:v>Monthly Attendance Summary</x:v>
      </x:c>
      <x:c r="F935" s="339" t="str">
        <x:v>Formula consistency</x:v>
      </x:c>
      <x:c r="G935" s="339" t="str">
        <x:v>the report contains calculated metrics</x:v>
      </x:c>
      <x:c r="H935" s="339" t="str">
        <x:v>the report is generated</x:v>
      </x:c>
      <x:c r="I935" s="339" t="str">
        <x:v>calculations follow the approved rule: Attendance % = weighted eligible attendance units ÷ eligible working sessions × 100; weighting is policy-driven.</x:v>
      </x:c>
      <x:c r="J935" s="339" t="str">
        <x:v>Positive</x:v>
      </x:c>
      <x:c r="K935" s="339" t="str">
        <x:v>Functional</x:v>
      </x:c>
    </x:row>
    <x:row r="936">
      <x:c r="A936" s="339" t="str">
        <x:v>AC-00935</x:v>
      </x:c>
      <x:c r="B936" s="339" t="str">
        <x:v>US-0234</x:v>
      </x:c>
      <x:c r="C936" s="339" t="str">
        <x:v>SCR-117</x:v>
      </x:c>
      <x:c r="D936" s="339" t="str">
        <x:v>Student Attendance</x:v>
      </x:c>
      <x:c r="E936" s="339" t="str">
        <x:v>Monthly Attendance Summary</x:v>
      </x:c>
      <x:c r="F936" s="339" t="str">
        <x:v>Reconciliation</x:v>
      </x:c>
      <x:c r="G936" s="339" t="str">
        <x:v>a report total is displayed</x:v>
      </x:c>
      <x:c r="H936" s="339" t="str">
        <x:v>the user drills to supporting data</x:v>
      </x:c>
      <x:c r="I936" s="339" t="str">
        <x:v>the supporting rows reconcile to the displayed total within defined rounding rules</x:v>
      </x:c>
      <x:c r="J936" s="339" t="str">
        <x:v>Positive</x:v>
      </x:c>
      <x:c r="K936" s="339" t="str">
        <x:v>Functional</x:v>
      </x:c>
    </x:row>
    <x:row r="937">
      <x:c r="A937" s="339" t="str">
        <x:v>AC-00936</x:v>
      </x:c>
      <x:c r="B937" s="339" t="str">
        <x:v>US-0234</x:v>
      </x:c>
      <x:c r="C937" s="339" t="str">
        <x:v>SCR-117</x:v>
      </x:c>
      <x:c r="D937" s="339" t="str">
        <x:v>Student Attendance</x:v>
      </x:c>
      <x:c r="E937" s="339" t="str">
        <x:v>Monthly Attendance Summary</x:v>
      </x:c>
      <x:c r="F937" s="339" t="str">
        <x:v>Export fidelity</x:v>
      </x:c>
      <x:c r="G937" s="339" t="str">
        <x:v>the user has export permission</x:v>
      </x:c>
      <x:c r="H937" s="339" t="str">
        <x:v>the report is exported</x:v>
      </x:c>
      <x:c r="I937" s="339" t="str">
        <x:v>the export preserves filter context, values and permitted columns and includes a run timestamp/context where appropriate</x:v>
      </x:c>
      <x:c r="J937" s="339" t="str">
        <x:v>Positive</x:v>
      </x:c>
      <x:c r="K937" s="339" t="str">
        <x:v>Functional</x:v>
      </x:c>
    </x:row>
    <x:row r="938">
      <x:c r="A938" s="339" t="str">
        <x:v>AC-00937</x:v>
      </x:c>
      <x:c r="B938" s="339" t="str">
        <x:v>US-0235</x:v>
      </x:c>
      <x:c r="C938" s="339" t="str">
        <x:v>SCR-118</x:v>
      </x:c>
      <x:c r="D938" s="339" t="str">
        <x:v>Student Attendance</x:v>
      </x:c>
      <x:c r="E938" s="339" t="str">
        <x:v>Chronic Absence Alerts</x:v>
      </x:c>
      <x:c r="F938" s="339" t="str">
        <x:v>Authorized access to Chronic Absence Alerts</x:v>
      </x:c>
      <x:c r="G938" s="339" t="str">
        <x:v>the School Admin is authenticated and has access to Chronic Absence Alerts</x:v>
      </x:c>
      <x:c r="H938" s="339" t="str">
        <x:v>the user opens or invokes Chronic Absence Alerts</x:v>
      </x:c>
      <x:c r="I938" s="339" t="str">
        <x:v>the system loads only records and actions within the user's permitted tenant/school/data scope</x:v>
      </x:c>
      <x:c r="J938" s="339" t="str">
        <x:v>Positive</x:v>
      </x:c>
      <x:c r="K938" s="339" t="str">
        <x:v>Functional / Security</x:v>
      </x:c>
    </x:row>
    <x:row r="939">
      <x:c r="A939" s="339" t="str">
        <x:v>AC-00938</x:v>
      </x:c>
      <x:c r="B939" s="339" t="str">
        <x:v>US-0235</x:v>
      </x:c>
      <x:c r="C939" s="339" t="str">
        <x:v>SCR-118</x:v>
      </x:c>
      <x:c r="D939" s="339" t="str">
        <x:v>Student Attendance</x:v>
      </x:c>
      <x:c r="E939" s="339" t="str">
        <x:v>Chronic Absence Alerts</x:v>
      </x:c>
      <x:c r="F939" s="339" t="str">
        <x:v>Successful Chronic Absence Alerts happy path</x:v>
      </x:c>
      <x:c r="G939" s="339" t="str">
        <x:v>all mandatory prerequisites and valid data are available</x:v>
      </x:c>
      <x:c r="H939" s="339" t="str">
        <x:v>the School Admin completes the primary action on Chronic Absence Alerts</x:v>
      </x:c>
      <x:c r="I939" s="339" t="str">
        <x:v>the system validates the request, saves it atomically, shows a clear confirmation and reflects the updated state</x:v>
      </x:c>
      <x:c r="J939" s="339" t="str">
        <x:v>Positive</x:v>
      </x:c>
      <x:c r="K939" s="339" t="str">
        <x:v>Functional</x:v>
      </x:c>
    </x:row>
    <x:row r="940">
      <x:c r="A940" s="339" t="str">
        <x:v>AC-00939</x:v>
      </x:c>
      <x:c r="B940" s="339" t="str">
        <x:v>US-0235</x:v>
      </x:c>
      <x:c r="C940" s="339" t="str">
        <x:v>SCR-118</x:v>
      </x:c>
      <x:c r="D940" s="339" t="str">
        <x:v>Student Attendance</x:v>
      </x:c>
      <x:c r="E940" s="339" t="str">
        <x:v>Chronic Absence Alerts</x:v>
      </x:c>
      <x:c r="F940" s="339" t="str">
        <x:v>State and dependency integrity</x:v>
      </x:c>
      <x:c r="G940" s="339" t="str">
        <x:v>the current record is in an allowed state (Pending → Present / Absent / Late / Leave / Half-day → Locked → Corrected (approved))</x:v>
      </x:c>
      <x:c r="H940" s="339" t="str">
        <x:v>the user attempts a state-changing action</x:v>
      </x:c>
      <x:c r="I940" s="339" t="str">
        <x:v>only a valid transition is accepted and dependent records are updated according to configured business rules</x:v>
      </x:c>
      <x:c r="J940" s="339" t="str">
        <x:v>Positive</x:v>
      </x:c>
      <x:c r="K940" s="339" t="str">
        <x:v>Functional</x:v>
      </x:c>
    </x:row>
    <x:row r="941">
      <x:c r="A941" s="339" t="str">
        <x:v>AC-00940</x:v>
      </x:c>
      <x:c r="B941" s="339" t="str">
        <x:v>US-0235</x:v>
      </x:c>
      <x:c r="C941" s="339" t="str">
        <x:v>SCR-118</x:v>
      </x:c>
      <x:c r="D941" s="339" t="str">
        <x:v>Student Attendance</x:v>
      </x:c>
      <x:c r="E941" s="339" t="str">
        <x:v>Chronic Absence Alerts</x:v>
      </x:c>
      <x:c r="F941" s="339" t="str">
        <x:v>Auditability</x:v>
      </x:c>
      <x:c r="G941" s="339" t="str">
        <x:v>a material create/update/approve/reverse action occurs</x:v>
      </x:c>
      <x:c r="H941" s="339" t="str">
        <x:v>the transaction succeeds</x:v>
      </x:c>
      <x:c r="I941" s="339" t="str">
        <x:v>the system records actor, timestamp, action, target and relevant before/after or reason context in the audit trail</x:v>
      </x:c>
      <x:c r="J941" s="339" t="str">
        <x:v>Positive</x:v>
      </x:c>
      <x:c r="K941" s="339" t="str">
        <x:v>Functional</x:v>
      </x:c>
    </x:row>
    <x:row r="942">
      <x:c r="A942" s="339" t="str">
        <x:v>AC-00941</x:v>
      </x:c>
      <x:c r="B942" s="339" t="str">
        <x:v>US-0236</x:v>
      </x:c>
      <x:c r="C942" s="339" t="str">
        <x:v>SCR-118</x:v>
      </x:c>
      <x:c r="D942" s="339" t="str">
        <x:v>Student Attendance</x:v>
      </x:c>
      <x:c r="E942" s="339" t="str">
        <x:v>Chronic Absence Alerts</x:v>
      </x:c>
      <x:c r="F942" s="339" t="str">
        <x:v>Valid status transition</x:v>
      </x:c>
      <x:c r="G942" s="339" t="str">
        <x:v>the record is in a state described by Pending → Present / Absent / Late / Leave / Half-day → Locked → Corrected (approved)</x:v>
      </x:c>
      <x:c r="H942" s="339" t="str">
        <x:v>the user requests a transition</x:v>
      </x:c>
      <x:c r="I942" s="339" t="str">
        <x:v>the system accepts only transitions allowed for that role and state</x:v>
      </x:c>
      <x:c r="J942" s="339" t="str">
        <x:v>Positive</x:v>
      </x:c>
      <x:c r="K942" s="339" t="str">
        <x:v>Functional</x:v>
      </x:c>
    </x:row>
    <x:row r="943">
      <x:c r="A943" s="339" t="str">
        <x:v>AC-00942</x:v>
      </x:c>
      <x:c r="B943" s="339" t="str">
        <x:v>US-0236</x:v>
      </x:c>
      <x:c r="C943" s="339" t="str">
        <x:v>SCR-118</x:v>
      </x:c>
      <x:c r="D943" s="339" t="str">
        <x:v>Student Attendance</x:v>
      </x:c>
      <x:c r="E943" s="339" t="str">
        <x:v>Chronic Absence Alerts</x:v>
      </x:c>
      <x:c r="F943" s="339" t="str">
        <x:v>Approval authority</x:v>
      </x:c>
      <x:c r="G943" s="339" t="str">
        <x:v>an action requires approval</x:v>
      </x:c>
      <x:c r="H943" s="339" t="str">
        <x:v>a non-authorized user attempts approval/rejection</x:v>
      </x:c>
      <x:c r="I943" s="339" t="str">
        <x:v>the system denies the decision and does not change status</x:v>
      </x:c>
      <x:c r="J943" s="339" t="str">
        <x:v>Negative</x:v>
      </x:c>
      <x:c r="K943" s="339" t="str">
        <x:v>Functional</x:v>
      </x:c>
    </x:row>
    <x:row r="944">
      <x:c r="A944" s="339" t="str">
        <x:v>AC-00943</x:v>
      </x:c>
      <x:c r="B944" s="339" t="str">
        <x:v>US-0236</x:v>
      </x:c>
      <x:c r="C944" s="339" t="str">
        <x:v>SCR-118</x:v>
      </x:c>
      <x:c r="D944" s="339" t="str">
        <x:v>Student Attendance</x:v>
      </x:c>
      <x:c r="E944" s="339" t="str">
        <x:v>Chronic Absence Alerts</x:v>
      </x:c>
      <x:c r="F944" s="339" t="str">
        <x:v>Failure rollback</x:v>
      </x:c>
      <x:c r="G944" s="339" t="str">
        <x:v>a downstream dependency fails during a multi-step transaction</x:v>
      </x:c>
      <x:c r="H944" s="339" t="str">
        <x:v>the workflow executes</x:v>
      </x:c>
      <x:c r="I944" s="339" t="str">
        <x:v>the system does not leave an invalid partial final state and surfaces a recoverable error</x:v>
      </x:c>
      <x:c r="J944" s="339" t="str">
        <x:v>Positive</x:v>
      </x:c>
      <x:c r="K944" s="339" t="str">
        <x:v>Functional</x:v>
      </x:c>
    </x:row>
    <x:row r="945">
      <x:c r="A945" s="339" t="str">
        <x:v>AC-00944</x:v>
      </x:c>
      <x:c r="B945" s="339" t="str">
        <x:v>US-0236</x:v>
      </x:c>
      <x:c r="C945" s="339" t="str">
        <x:v>SCR-118</x:v>
      </x:c>
      <x:c r="D945" s="339" t="str">
        <x:v>Student Attendance</x:v>
      </x:c>
      <x:c r="E945" s="339" t="str">
        <x:v>Chronic Absence Alerts</x:v>
      </x:c>
      <x:c r="F945" s="339" t="str">
        <x:v>Exception traceability</x:v>
      </x:c>
      <x:c r="G945" s="339" t="str">
        <x:v>an authorized override/exception is used</x:v>
      </x:c>
      <x:c r="H945" s="339" t="str">
        <x:v>the action is confirmed</x:v>
      </x:c>
      <x:c r="I945" s="339" t="str">
        <x:v>the system requires reason/context and records it in the audit history</x:v>
      </x:c>
      <x:c r="J945" s="339" t="str">
        <x:v>Positive</x:v>
      </x:c>
      <x:c r="K945" s="339" t="str">
        <x:v>Functional</x:v>
      </x:c>
    </x:row>
    <x:row r="946">
      <x:c r="A946" s="339" t="str">
        <x:v>AC-00945</x:v>
      </x:c>
      <x:c r="B946" s="339" t="str">
        <x:v>US-0237</x:v>
      </x:c>
      <x:c r="C946" s="339" t="str">
        <x:v>SCR-119</x:v>
      </x:c>
      <x:c r="D946" s="339" t="str">
        <x:v>Student Attendance</x:v>
      </x:c>
      <x:c r="E946" s="339" t="str">
        <x:v>Attendance Reports</x:v>
      </x:c>
      <x:c r="F946" s="339" t="str">
        <x:v>Authorized access to Attendance Reports</x:v>
      </x:c>
      <x:c r="G946" s="339" t="str">
        <x:v>the School Admin is authenticated and has access to Attendance Reports</x:v>
      </x:c>
      <x:c r="H946" s="339" t="str">
        <x:v>the user opens or invokes Attendance Reports</x:v>
      </x:c>
      <x:c r="I946" s="339" t="str">
        <x:v>the system loads only records and actions within the user's permitted tenant/school/data scope</x:v>
      </x:c>
      <x:c r="J946" s="339" t="str">
        <x:v>Positive</x:v>
      </x:c>
      <x:c r="K946" s="339" t="str">
        <x:v>Functional / Security</x:v>
      </x:c>
    </x:row>
    <x:row r="947">
      <x:c r="A947" s="339" t="str">
        <x:v>AC-00946</x:v>
      </x:c>
      <x:c r="B947" s="339" t="str">
        <x:v>US-0237</x:v>
      </x:c>
      <x:c r="C947" s="339" t="str">
        <x:v>SCR-119</x:v>
      </x:c>
      <x:c r="D947" s="339" t="str">
        <x:v>Student Attendance</x:v>
      </x:c>
      <x:c r="E947" s="339" t="str">
        <x:v>Attendance Reports</x:v>
      </x:c>
      <x:c r="F947" s="339" t="str">
        <x:v>Successful Attendance Reports happy path</x:v>
      </x:c>
      <x:c r="G947" s="339" t="str">
        <x:v>all mandatory prerequisites and valid data are available</x:v>
      </x:c>
      <x:c r="H947" s="339" t="str">
        <x:v>the School Admin completes the primary action on Attendance Reports</x:v>
      </x:c>
      <x:c r="I947" s="339" t="str">
        <x:v>the system validates the request, saves it atomically, shows a clear confirmation and reflects the updated state</x:v>
      </x:c>
      <x:c r="J947" s="339" t="str">
        <x:v>Positive</x:v>
      </x:c>
      <x:c r="K947" s="339" t="str">
        <x:v>Functional</x:v>
      </x:c>
    </x:row>
    <x:row r="948">
      <x:c r="A948" s="339" t="str">
        <x:v>AC-00947</x:v>
      </x:c>
      <x:c r="B948" s="339" t="str">
        <x:v>US-0237</x:v>
      </x:c>
      <x:c r="C948" s="339" t="str">
        <x:v>SCR-119</x:v>
      </x:c>
      <x:c r="D948" s="339" t="str">
        <x:v>Student Attendance</x:v>
      </x:c>
      <x:c r="E948" s="339" t="str">
        <x:v>Attendance Reports</x:v>
      </x:c>
      <x:c r="F948" s="339" t="str">
        <x:v>State and dependency integrity</x:v>
      </x:c>
      <x:c r="G948" s="339" t="str">
        <x:v>the current record is in an allowed state (Pending → Present / Absent / Late / Leave / Half-day → Locked → Corrected (approved))</x:v>
      </x:c>
      <x:c r="H948" s="339" t="str">
        <x:v>the user attempts a state-changing action</x:v>
      </x:c>
      <x:c r="I948" s="339" t="str">
        <x:v>only a valid transition is accepted and dependent records are updated according to configured business rules</x:v>
      </x:c>
      <x:c r="J948" s="339" t="str">
        <x:v>Positive</x:v>
      </x:c>
      <x:c r="K948" s="339" t="str">
        <x:v>Functional</x:v>
      </x:c>
    </x:row>
    <x:row r="949">
      <x:c r="A949" s="339" t="str">
        <x:v>AC-00948</x:v>
      </x:c>
      <x:c r="B949" s="339" t="str">
        <x:v>US-0237</x:v>
      </x:c>
      <x:c r="C949" s="339" t="str">
        <x:v>SCR-119</x:v>
      </x:c>
      <x:c r="D949" s="339" t="str">
        <x:v>Student Attendance</x:v>
      </x:c>
      <x:c r="E949" s="339" t="str">
        <x:v>Attendance Reports</x:v>
      </x:c>
      <x:c r="F949" s="339" t="str">
        <x:v>Auditability</x:v>
      </x:c>
      <x:c r="G949" s="339" t="str">
        <x:v>a material create/update/approve/reverse action occurs</x:v>
      </x:c>
      <x:c r="H949" s="339" t="str">
        <x:v>the transaction succeeds</x:v>
      </x:c>
      <x:c r="I949" s="339" t="str">
        <x:v>the system records actor, timestamp, action, target and relevant before/after or reason context in the audit trail</x:v>
      </x:c>
      <x:c r="J949" s="339" t="str">
        <x:v>Positive</x:v>
      </x:c>
      <x:c r="K949" s="339" t="str">
        <x:v>Functional</x:v>
      </x:c>
    </x:row>
    <x:row r="950">
      <x:c r="A950" s="339" t="str">
        <x:v>AC-00949</x:v>
      </x:c>
      <x:c r="B950" s="339" t="str">
        <x:v>US-0238</x:v>
      </x:c>
      <x:c r="C950" s="339" t="str">
        <x:v>SCR-119</x:v>
      </x:c>
      <x:c r="D950" s="339" t="str">
        <x:v>Student Attendance</x:v>
      </x:c>
      <x:c r="E950" s="339" t="str">
        <x:v>Attendance Reports</x:v>
      </x:c>
      <x:c r="F950" s="339" t="str">
        <x:v>Filter accuracy</x:v>
      </x:c>
      <x:c r="G950" s="339" t="str">
        <x:v>source data exists across multiple periods/scopes</x:v>
      </x:c>
      <x:c r="H950" s="339" t="str">
        <x:v>the user applies report filters</x:v>
      </x:c>
      <x:c r="I950" s="339" t="str">
        <x:v>aggregates and rows include only authorized data matching the filters</x:v>
      </x:c>
      <x:c r="J950" s="339" t="str">
        <x:v>Positive</x:v>
      </x:c>
      <x:c r="K950" s="339" t="str">
        <x:v>Functional</x:v>
      </x:c>
    </x:row>
    <x:row r="951">
      <x:c r="A951" s="339" t="str">
        <x:v>AC-00950</x:v>
      </x:c>
      <x:c r="B951" s="339" t="str">
        <x:v>US-0238</x:v>
      </x:c>
      <x:c r="C951" s="339" t="str">
        <x:v>SCR-119</x:v>
      </x:c>
      <x:c r="D951" s="339" t="str">
        <x:v>Student Attendance</x:v>
      </x:c>
      <x:c r="E951" s="339" t="str">
        <x:v>Attendance Reports</x:v>
      </x:c>
      <x:c r="F951" s="339" t="str">
        <x:v>Formula consistency</x:v>
      </x:c>
      <x:c r="G951" s="339" t="str">
        <x:v>the report contains calculated metrics</x:v>
      </x:c>
      <x:c r="H951" s="339" t="str">
        <x:v>the report is generated</x:v>
      </x:c>
      <x:c r="I951" s="339" t="str">
        <x:v>calculations follow the approved rule: Attendance % = weighted eligible attendance units ÷ eligible working sessions × 100; weighting is policy-driven.</x:v>
      </x:c>
      <x:c r="J951" s="339" t="str">
        <x:v>Positive</x:v>
      </x:c>
      <x:c r="K951" s="339" t="str">
        <x:v>Functional</x:v>
      </x:c>
    </x:row>
    <x:row r="952">
      <x:c r="A952" s="339" t="str">
        <x:v>AC-00951</x:v>
      </x:c>
      <x:c r="B952" s="339" t="str">
        <x:v>US-0238</x:v>
      </x:c>
      <x:c r="C952" s="339" t="str">
        <x:v>SCR-119</x:v>
      </x:c>
      <x:c r="D952" s="339" t="str">
        <x:v>Student Attendance</x:v>
      </x:c>
      <x:c r="E952" s="339" t="str">
        <x:v>Attendance Reports</x:v>
      </x:c>
      <x:c r="F952" s="339" t="str">
        <x:v>Reconciliation</x:v>
      </x:c>
      <x:c r="G952" s="339" t="str">
        <x:v>a report total is displayed</x:v>
      </x:c>
      <x:c r="H952" s="339" t="str">
        <x:v>the user drills to supporting data</x:v>
      </x:c>
      <x:c r="I952" s="339" t="str">
        <x:v>the supporting rows reconcile to the displayed total within defined rounding rules</x:v>
      </x:c>
      <x:c r="J952" s="339" t="str">
        <x:v>Positive</x:v>
      </x:c>
      <x:c r="K952" s="339" t="str">
        <x:v>Functional</x:v>
      </x:c>
    </x:row>
    <x:row r="953">
      <x:c r="A953" s="339" t="str">
        <x:v>AC-00952</x:v>
      </x:c>
      <x:c r="B953" s="339" t="str">
        <x:v>US-0238</x:v>
      </x:c>
      <x:c r="C953" s="339" t="str">
        <x:v>SCR-119</x:v>
      </x:c>
      <x:c r="D953" s="339" t="str">
        <x:v>Student Attendance</x:v>
      </x:c>
      <x:c r="E953" s="339" t="str">
        <x:v>Attendance Reports</x:v>
      </x:c>
      <x:c r="F953" s="339" t="str">
        <x:v>Export fidelity</x:v>
      </x:c>
      <x:c r="G953" s="339" t="str">
        <x:v>the user has export permission</x:v>
      </x:c>
      <x:c r="H953" s="339" t="str">
        <x:v>the report is exported</x:v>
      </x:c>
      <x:c r="I953" s="339" t="str">
        <x:v>the export preserves filter context, values and permitted columns and includes a run timestamp/context where appropriate</x:v>
      </x:c>
      <x:c r="J953" s="339" t="str">
        <x:v>Positive</x:v>
      </x:c>
      <x:c r="K953" s="339" t="str">
        <x:v>Functional</x:v>
      </x:c>
    </x:row>
    <x:row r="954">
      <x:c r="A954" s="339" t="str">
        <x:v>AC-00953</x:v>
      </x:c>
      <x:c r="B954" s="339" t="str">
        <x:v>US-0239</x:v>
      </x:c>
      <x:c r="C954" s="339" t="str">
        <x:v>SCR-120</x:v>
      </x:c>
      <x:c r="D954" s="339" t="str">
        <x:v>Timetable &amp; Substitution</x:v>
      </x:c>
      <x:c r="E954" s="339" t="str">
        <x:v>Timetable Dashboard</x:v>
      </x:c>
      <x:c r="F954" s="339" t="str">
        <x:v>Authorized access to Timetable Dashboard</x:v>
      </x:c>
      <x:c r="G954" s="339" t="str">
        <x:v>the Timetable is authenticated and has access to Timetable Dashboard</x:v>
      </x:c>
      <x:c r="H954" s="339" t="str">
        <x:v>the user opens or invokes Timetable Dashboard</x:v>
      </x:c>
      <x:c r="I954" s="339" t="str">
        <x:v>the system loads only records and actions within the user's permitted tenant/school/data scope</x:v>
      </x:c>
      <x:c r="J954" s="339" t="str">
        <x:v>Positive</x:v>
      </x:c>
      <x:c r="K954" s="339" t="str">
        <x:v>Functional / Security</x:v>
      </x:c>
    </x:row>
    <x:row r="955">
      <x:c r="A955" s="339" t="str">
        <x:v>AC-00954</x:v>
      </x:c>
      <x:c r="B955" s="339" t="str">
        <x:v>US-0239</x:v>
      </x:c>
      <x:c r="C955" s="339" t="str">
        <x:v>SCR-120</x:v>
      </x:c>
      <x:c r="D955" s="339" t="str">
        <x:v>Timetable &amp; Substitution</x:v>
      </x:c>
      <x:c r="E955" s="339" t="str">
        <x:v>Timetable Dashboard</x:v>
      </x:c>
      <x:c r="F955" s="339" t="str">
        <x:v>Successful Timetable Dashboard happy path</x:v>
      </x:c>
      <x:c r="G955" s="339" t="str">
        <x:v>all mandatory prerequisites and valid data are available</x:v>
      </x:c>
      <x:c r="H955" s="339" t="str">
        <x:v>the Timetable completes the primary action on Timetable Dashboard</x:v>
      </x:c>
      <x:c r="I955" s="339" t="str">
        <x:v>the system validates the request, saves it atomically, shows a clear confirmation and reflects the updated state</x:v>
      </x:c>
      <x:c r="J955" s="339" t="str">
        <x:v>Positive</x:v>
      </x:c>
      <x:c r="K955" s="339" t="str">
        <x:v>Functional</x:v>
      </x:c>
    </x:row>
    <x:row r="956">
      <x:c r="A956" s="339" t="str">
        <x:v>AC-00955</x:v>
      </x:c>
      <x:c r="B956" s="339" t="str">
        <x:v>US-0239</x:v>
      </x:c>
      <x:c r="C956" s="339" t="str">
        <x:v>SCR-120</x:v>
      </x:c>
      <x:c r="D956" s="339" t="str">
        <x:v>Timetable &amp; Substitution</x:v>
      </x:c>
      <x:c r="E956" s="339" t="str">
        <x:v>Timetable Dashboard</x:v>
      </x:c>
      <x:c r="F956" s="339" t="str">
        <x:v>State and dependency integrity</x:v>
      </x:c>
      <x:c r="G956" s="339" t="str">
        <x:v>the current record is in an allowed state (Draft → Validated → Published → Revised / Archived)</x:v>
      </x:c>
      <x:c r="H956" s="339" t="str">
        <x:v>the user attempts a state-changing action</x:v>
      </x:c>
      <x:c r="I956" s="339" t="str">
        <x:v>only a valid transition is accepted and dependent records are updated according to configured business rules</x:v>
      </x:c>
      <x:c r="J956" s="339" t="str">
        <x:v>Positive</x:v>
      </x:c>
      <x:c r="K956" s="339" t="str">
        <x:v>Functional</x:v>
      </x:c>
    </x:row>
    <x:row r="957">
      <x:c r="A957" s="339" t="str">
        <x:v>AC-00956</x:v>
      </x:c>
      <x:c r="B957" s="339" t="str">
        <x:v>US-0239</x:v>
      </x:c>
      <x:c r="C957" s="339" t="str">
        <x:v>SCR-120</x:v>
      </x:c>
      <x:c r="D957" s="339" t="str">
        <x:v>Timetable &amp; Substitution</x:v>
      </x:c>
      <x:c r="E957" s="339" t="str">
        <x:v>Timetable Dashboard</x:v>
      </x:c>
      <x:c r="F957" s="339" t="str">
        <x:v>Auditability</x:v>
      </x:c>
      <x:c r="G957" s="339" t="str">
        <x:v>a material create/update/approve/reverse action occurs</x:v>
      </x:c>
      <x:c r="H957" s="339" t="str">
        <x:v>the transaction succeeds</x:v>
      </x:c>
      <x:c r="I957" s="339" t="str">
        <x:v>the system records actor, timestamp, action, target and relevant before/after or reason context in the audit trail</x:v>
      </x:c>
      <x:c r="J957" s="339" t="str">
        <x:v>Positive</x:v>
      </x:c>
      <x:c r="K957" s="339" t="str">
        <x:v>Functional</x:v>
      </x:c>
    </x:row>
    <x:row r="958">
      <x:c r="A958" s="339" t="str">
        <x:v>AC-00957</x:v>
      </x:c>
      <x:c r="B958" s="339" t="str">
        <x:v>US-0240</x:v>
      </x:c>
      <x:c r="C958" s="339" t="str">
        <x:v>SCR-120</x:v>
      </x:c>
      <x:c r="D958" s="339" t="str">
        <x:v>Timetable &amp; Substitution</x:v>
      </x:c>
      <x:c r="E958" s="339" t="str">
        <x:v>Timetable Dashboard</x:v>
      </x:c>
      <x:c r="F958" s="339" t="str">
        <x:v>KPI reconciliation</x:v>
      </x:c>
      <x:c r="G958" s="339" t="str">
        <x:v>underlying source transactions exist</x:v>
      </x:c>
      <x:c r="H958" s="339" t="str">
        <x:v>the dashboard calculates metrics</x:v>
      </x:c>
      <x:c r="I958" s="339" t="str">
        <x:v>dashboard values reconcile to the same filtered source records used by detailed reports</x:v>
      </x:c>
      <x:c r="J958" s="339" t="str">
        <x:v>Positive</x:v>
      </x:c>
      <x:c r="K958" s="339" t="str">
        <x:v>Functional</x:v>
      </x:c>
    </x:row>
    <x:row r="959">
      <x:c r="A959" s="339" t="str">
        <x:v>AC-00958</x:v>
      </x:c>
      <x:c r="B959" s="339" t="str">
        <x:v>US-0240</x:v>
      </x:c>
      <x:c r="C959" s="339" t="str">
        <x:v>SCR-120</x:v>
      </x:c>
      <x:c r="D959" s="339" t="str">
        <x:v>Timetable &amp; Substitution</x:v>
      </x:c>
      <x:c r="E959" s="339" t="str">
        <x:v>Timetable Dashboard</x:v>
      </x:c>
      <x:c r="F959" s="339" t="str">
        <x:v>Drill-down context</x:v>
      </x:c>
      <x:c r="G959" s="339" t="str">
        <x:v>a KPI or alert is visible</x:v>
      </x:c>
      <x:c r="H959" s="339" t="str">
        <x:v>the user drills into it</x:v>
      </x:c>
      <x:c r="I959" s="339" t="str">
        <x:v>the destination preserves relevant date/school/class/status filter context</x:v>
      </x:c>
      <x:c r="J959" s="339" t="str">
        <x:v>Positive</x:v>
      </x:c>
      <x:c r="K959" s="339" t="str">
        <x:v>Functional</x:v>
      </x:c>
    </x:row>
    <x:row r="960">
      <x:c r="A960" s="339" t="str">
        <x:v>AC-00959</x:v>
      </x:c>
      <x:c r="B960" s="339" t="str">
        <x:v>US-0240</x:v>
      </x:c>
      <x:c r="C960" s="339" t="str">
        <x:v>SCR-120</x:v>
      </x:c>
      <x:c r="D960" s="339" t="str">
        <x:v>Timetable &amp; Substitution</x:v>
      </x:c>
      <x:c r="E960" s="339" t="str">
        <x:v>Timetable Dashboard</x:v>
      </x:c>
      <x:c r="F960" s="339" t="str">
        <x:v>Freshness and failure handling</x:v>
      </x:c>
      <x:c r="G960" s="339" t="str">
        <x:v>one source service is delayed or unavailable</x:v>
      </x:c>
      <x:c r="H960" s="339" t="str">
        <x:v>the dashboard loads</x:v>
      </x:c>
      <x:c r="I960" s="339" t="str">
        <x:v>the UI identifies stale/unavailable data without fabricating or silently zeroing the metric</x:v>
      </x:c>
      <x:c r="J960" s="339" t="str">
        <x:v>Positive</x:v>
      </x:c>
      <x:c r="K960" s="339" t="str">
        <x:v>Functional</x:v>
      </x:c>
    </x:row>
    <x:row r="961">
      <x:c r="A961" s="339" t="str">
        <x:v>AC-00960</x:v>
      </x:c>
      <x:c r="B961" s="339" t="str">
        <x:v>US-0240</x:v>
      </x:c>
      <x:c r="C961" s="339" t="str">
        <x:v>SCR-120</x:v>
      </x:c>
      <x:c r="D961" s="339" t="str">
        <x:v>Timetable &amp; Substitution</x:v>
      </x:c>
      <x:c r="E961" s="339" t="str">
        <x:v>Timetable Dashboard</x:v>
      </x:c>
      <x:c r="F961" s="339" t="str">
        <x:v>Scoped visibility</x:v>
      </x:c>
      <x:c r="G961" s="339" t="str">
        <x:v>the same dashboard is used by users with different permissions</x:v>
      </x:c>
      <x:c r="H961" s="339" t="str">
        <x:v>each user loads it</x:v>
      </x:c>
      <x:c r="I961" s="339" t="str">
        <x:v>each sees only authorized metrics, alerts and record-level drill-downs</x:v>
      </x:c>
      <x:c r="J961" s="339" t="str">
        <x:v>Positive</x:v>
      </x:c>
      <x:c r="K961" s="339" t="str">
        <x:v>Functional</x:v>
      </x:c>
    </x:row>
    <x:row r="962">
      <x:c r="A962" s="339" t="str">
        <x:v>AC-00961</x:v>
      </x:c>
      <x:c r="B962" s="339" t="str">
        <x:v>US-0241</x:v>
      </x:c>
      <x:c r="C962" s="339" t="str">
        <x:v>SCR-121</x:v>
      </x:c>
      <x:c r="D962" s="339" t="str">
        <x:v>Timetable &amp; Substitution</x:v>
      </x:c>
      <x:c r="E962" s="339" t="str">
        <x:v>Timetable Setup</x:v>
      </x:c>
      <x:c r="F962" s="339" t="str">
        <x:v>Authorized access to Timetable Setup</x:v>
      </x:c>
      <x:c r="G962" s="339" t="str">
        <x:v>the Academic Coordinator is authenticated and has access to Timetable Setup</x:v>
      </x:c>
      <x:c r="H962" s="339" t="str">
        <x:v>the user opens or invokes Timetable Setup</x:v>
      </x:c>
      <x:c r="I962" s="339" t="str">
        <x:v>the system loads only records and actions within the user's permitted tenant/school/data scope</x:v>
      </x:c>
      <x:c r="J962" s="339" t="str">
        <x:v>Positive</x:v>
      </x:c>
      <x:c r="K962" s="339" t="str">
        <x:v>Functional / Security</x:v>
      </x:c>
    </x:row>
    <x:row r="963">
      <x:c r="A963" s="339" t="str">
        <x:v>AC-00962</x:v>
      </x:c>
      <x:c r="B963" s="339" t="str">
        <x:v>US-0241</x:v>
      </x:c>
      <x:c r="C963" s="339" t="str">
        <x:v>SCR-121</x:v>
      </x:c>
      <x:c r="D963" s="339" t="str">
        <x:v>Timetable &amp; Substitution</x:v>
      </x:c>
      <x:c r="E963" s="339" t="str">
        <x:v>Timetable Setup</x:v>
      </x:c>
      <x:c r="F963" s="339" t="str">
        <x:v>Successful Timetable Setup happy path</x:v>
      </x:c>
      <x:c r="G963" s="339" t="str">
        <x:v>all mandatory prerequisites and valid data are available</x:v>
      </x:c>
      <x:c r="H963" s="339" t="str">
        <x:v>the Academic Coordinator completes the primary action on Timetable Setup</x:v>
      </x:c>
      <x:c r="I963" s="339" t="str">
        <x:v>the system validates the request, saves it atomically, shows a clear confirmation and reflects the updated state</x:v>
      </x:c>
      <x:c r="J963" s="339" t="str">
        <x:v>Positive</x:v>
      </x:c>
      <x:c r="K963" s="339" t="str">
        <x:v>Functional</x:v>
      </x:c>
    </x:row>
    <x:row r="964">
      <x:c r="A964" s="339" t="str">
        <x:v>AC-00963</x:v>
      </x:c>
      <x:c r="B964" s="339" t="str">
        <x:v>US-0241</x:v>
      </x:c>
      <x:c r="C964" s="339" t="str">
        <x:v>SCR-121</x:v>
      </x:c>
      <x:c r="D964" s="339" t="str">
        <x:v>Timetable &amp; Substitution</x:v>
      </x:c>
      <x:c r="E964" s="339" t="str">
        <x:v>Timetable Setup</x:v>
      </x:c>
      <x:c r="F964" s="339" t="str">
        <x:v>State and dependency integrity</x:v>
      </x:c>
      <x:c r="G964" s="339" t="str">
        <x:v>the current record is in an allowed state (Draft → Validated → Published → Revised / Archived)</x:v>
      </x:c>
      <x:c r="H964" s="339" t="str">
        <x:v>the user attempts a state-changing action</x:v>
      </x:c>
      <x:c r="I964" s="339" t="str">
        <x:v>only a valid transition is accepted and dependent records are updated according to configured business rules</x:v>
      </x:c>
      <x:c r="J964" s="339" t="str">
        <x:v>Positive</x:v>
      </x:c>
      <x:c r="K964" s="339" t="str">
        <x:v>Functional</x:v>
      </x:c>
    </x:row>
    <x:row r="965">
      <x:c r="A965" s="339" t="str">
        <x:v>AC-00964</x:v>
      </x:c>
      <x:c r="B965" s="339" t="str">
        <x:v>US-0241</x:v>
      </x:c>
      <x:c r="C965" s="339" t="str">
        <x:v>SCR-121</x:v>
      </x:c>
      <x:c r="D965" s="339" t="str">
        <x:v>Timetable &amp; Substitution</x:v>
      </x:c>
      <x:c r="E965" s="339" t="str">
        <x:v>Timetable Setup</x:v>
      </x:c>
      <x:c r="F965" s="339" t="str">
        <x:v>Auditability</x:v>
      </x:c>
      <x:c r="G965" s="339" t="str">
        <x:v>a material create/update/approve/reverse action occurs</x:v>
      </x:c>
      <x:c r="H965" s="339" t="str">
        <x:v>the transaction succeeds</x:v>
      </x:c>
      <x:c r="I965" s="339" t="str">
        <x:v>the system records actor, timestamp, action, target and relevant before/after or reason context in the audit trail</x:v>
      </x:c>
      <x:c r="J965" s="339" t="str">
        <x:v>Positive</x:v>
      </x:c>
      <x:c r="K965" s="339" t="str">
        <x:v>Functional</x:v>
      </x:c>
    </x:row>
    <x:row r="966">
      <x:c r="A966" s="339" t="str">
        <x:v>AC-00965</x:v>
      </x:c>
      <x:c r="B966" s="339" t="str">
        <x:v>US-0242</x:v>
      </x:c>
      <x:c r="C966" s="339" t="str">
        <x:v>SCR-121</x:v>
      </x:c>
      <x:c r="D966" s="339" t="str">
        <x:v>Timetable &amp; Substitution</x:v>
      </x:c>
      <x:c r="E966" s="339" t="str">
        <x:v>Timetable Setup</x:v>
      </x:c>
      <x:c r="F966" s="339" t="str">
        <x:v>Required-field validation</x:v>
      </x:c>
      <x:c r="G966" s="339" t="str">
        <x:v>one or more required values are missing/invalid</x:v>
      </x:c>
      <x:c r="H966" s="339" t="str">
        <x:v>the user submits the form</x:v>
      </x:c>
      <x:c r="I966" s="339" t="str">
        <x:v>submission is blocked and field-level messages identify what must be corrected</x:v>
      </x:c>
      <x:c r="J966" s="339" t="str">
        <x:v>Positive</x:v>
      </x:c>
      <x:c r="K966" s="339" t="str">
        <x:v>Functional</x:v>
      </x:c>
    </x:row>
    <x:row r="967">
      <x:c r="A967" s="339" t="str">
        <x:v>AC-00966</x:v>
      </x:c>
      <x:c r="B967" s="339" t="str">
        <x:v>US-0242</x:v>
      </x:c>
      <x:c r="C967" s="339" t="str">
        <x:v>SCR-121</x:v>
      </x:c>
      <x:c r="D967" s="339" t="str">
        <x:v>Timetable &amp; Substitution</x:v>
      </x:c>
      <x:c r="E967" s="339" t="str">
        <x:v>Timetable Setup</x:v>
      </x:c>
      <x:c r="F967" s="339" t="str">
        <x:v>Duplicate prevention</x:v>
      </x:c>
      <x:c r="G967" s="339" t="str">
        <x:v>a potentially duplicate record exists</x:v>
      </x:c>
      <x:c r="H967" s="339" t="str">
        <x:v>the user submits matching identity/master data</x:v>
      </x:c>
      <x:c r="I967" s="339" t="str">
        <x:v>the system blocks or warns according to configured duplicate policy before creating another record</x:v>
      </x:c>
      <x:c r="J967" s="339" t="str">
        <x:v>Negative</x:v>
      </x:c>
      <x:c r="K967" s="339" t="str">
        <x:v>Functional</x:v>
      </x:c>
    </x:row>
    <x:row r="968">
      <x:c r="A968" s="339" t="str">
        <x:v>AC-00967</x:v>
      </x:c>
      <x:c r="B968" s="339" t="str">
        <x:v>US-0242</x:v>
      </x:c>
      <x:c r="C968" s="339" t="str">
        <x:v>SCR-121</x:v>
      </x:c>
      <x:c r="D968" s="339" t="str">
        <x:v>Timetable &amp; Substitution</x:v>
      </x:c>
      <x:c r="E968" s="339" t="str">
        <x:v>Timetable Setup</x:v>
      </x:c>
      <x:c r="F968" s="339" t="str">
        <x:v>Reference-data integrity</x:v>
      </x:c>
      <x:c r="G968" s="339" t="str">
        <x:v>the form contains master-data selections</x:v>
      </x:c>
      <x:c r="H968" s="339" t="str">
        <x:v>the user submits</x:v>
      </x:c>
      <x:c r="I968" s="339" t="str">
        <x:v>all referenced values are active, effective and within the user's scope at the time of save</x:v>
      </x:c>
      <x:c r="J968" s="339" t="str">
        <x:v>Positive</x:v>
      </x:c>
      <x:c r="K968" s="339" t="str">
        <x:v>Functional</x:v>
      </x:c>
    </x:row>
    <x:row r="969">
      <x:c r="A969" s="339" t="str">
        <x:v>AC-00968</x:v>
      </x:c>
      <x:c r="B969" s="339" t="str">
        <x:v>US-0242</x:v>
      </x:c>
      <x:c r="C969" s="339" t="str">
        <x:v>SCR-121</x:v>
      </x:c>
      <x:c r="D969" s="339" t="str">
        <x:v>Timetable &amp; Substitution</x:v>
      </x:c>
      <x:c r="E969" s="339" t="str">
        <x:v>Timetable Setup</x:v>
      </x:c>
      <x:c r="F969" s="339" t="str">
        <x:v>Retry safety</x:v>
      </x:c>
      <x:c r="G969" s="339" t="str">
        <x:v>a network retry or repeated click occurs</x:v>
      </x:c>
      <x:c r="H969" s="339" t="str">
        <x:v>the same transaction is submitted again</x:v>
      </x:c>
      <x:c r="I969" s="339" t="str">
        <x:v>the system prevents unintended duplicate transactions through idempotency or duplicate detection</x:v>
      </x:c>
      <x:c r="J969" s="339" t="str">
        <x:v>Positive</x:v>
      </x:c>
      <x:c r="K969" s="339" t="str">
        <x:v>Functional</x:v>
      </x:c>
    </x:row>
    <x:row r="970">
      <x:c r="A970" s="339" t="str">
        <x:v>AC-00969</x:v>
      </x:c>
      <x:c r="B970" s="339" t="str">
        <x:v>US-0243</x:v>
      </x:c>
      <x:c r="C970" s="339" t="str">
        <x:v>SCR-122</x:v>
      </x:c>
      <x:c r="D970" s="339" t="str">
        <x:v>Timetable &amp; Substitution</x:v>
      </x:c>
      <x:c r="E970" s="339" t="str">
        <x:v>Period Setup</x:v>
      </x:c>
      <x:c r="F970" s="339" t="str">
        <x:v>Authorized access to Period Setup</x:v>
      </x:c>
      <x:c r="G970" s="339" t="str">
        <x:v>the Academic Coordinator is authenticated and has access to Period Setup</x:v>
      </x:c>
      <x:c r="H970" s="339" t="str">
        <x:v>the user opens or invokes Period Setup</x:v>
      </x:c>
      <x:c r="I970" s="339" t="str">
        <x:v>the system loads only records and actions within the user's permitted tenant/school/data scope</x:v>
      </x:c>
      <x:c r="J970" s="339" t="str">
        <x:v>Positive</x:v>
      </x:c>
      <x:c r="K970" s="339" t="str">
        <x:v>Functional / Security</x:v>
      </x:c>
    </x:row>
    <x:row r="971">
      <x:c r="A971" s="339" t="str">
        <x:v>AC-00970</x:v>
      </x:c>
      <x:c r="B971" s="339" t="str">
        <x:v>US-0243</x:v>
      </x:c>
      <x:c r="C971" s="339" t="str">
        <x:v>SCR-122</x:v>
      </x:c>
      <x:c r="D971" s="339" t="str">
        <x:v>Timetable &amp; Substitution</x:v>
      </x:c>
      <x:c r="E971" s="339" t="str">
        <x:v>Period Setup</x:v>
      </x:c>
      <x:c r="F971" s="339" t="str">
        <x:v>Successful Period Setup happy path</x:v>
      </x:c>
      <x:c r="G971" s="339" t="str">
        <x:v>all mandatory prerequisites and valid data are available</x:v>
      </x:c>
      <x:c r="H971" s="339" t="str">
        <x:v>the Academic Coordinator completes the primary action on Period Setup</x:v>
      </x:c>
      <x:c r="I971" s="339" t="str">
        <x:v>the system validates the request, saves it atomically, shows a clear confirmation and reflects the updated state</x:v>
      </x:c>
      <x:c r="J971" s="339" t="str">
        <x:v>Positive</x:v>
      </x:c>
      <x:c r="K971" s="339" t="str">
        <x:v>Functional</x:v>
      </x:c>
    </x:row>
    <x:row r="972">
      <x:c r="A972" s="339" t="str">
        <x:v>AC-00971</x:v>
      </x:c>
      <x:c r="B972" s="339" t="str">
        <x:v>US-0243</x:v>
      </x:c>
      <x:c r="C972" s="339" t="str">
        <x:v>SCR-122</x:v>
      </x:c>
      <x:c r="D972" s="339" t="str">
        <x:v>Timetable &amp; Substitution</x:v>
      </x:c>
      <x:c r="E972" s="339" t="str">
        <x:v>Period Setup</x:v>
      </x:c>
      <x:c r="F972" s="339" t="str">
        <x:v>State and dependency integrity</x:v>
      </x:c>
      <x:c r="G972" s="339" t="str">
        <x:v>the current record is in an allowed state (Draft → Validated → Published → Revised / Archived)</x:v>
      </x:c>
      <x:c r="H972" s="339" t="str">
        <x:v>the user attempts a state-changing action</x:v>
      </x:c>
      <x:c r="I972" s="339" t="str">
        <x:v>only a valid transition is accepted and dependent records are updated according to configured business rules</x:v>
      </x:c>
      <x:c r="J972" s="339" t="str">
        <x:v>Positive</x:v>
      </x:c>
      <x:c r="K972" s="339" t="str">
        <x:v>Functional</x:v>
      </x:c>
    </x:row>
    <x:row r="973">
      <x:c r="A973" s="339" t="str">
        <x:v>AC-00972</x:v>
      </x:c>
      <x:c r="B973" s="339" t="str">
        <x:v>US-0243</x:v>
      </x:c>
      <x:c r="C973" s="339" t="str">
        <x:v>SCR-122</x:v>
      </x:c>
      <x:c r="D973" s="339" t="str">
        <x:v>Timetable &amp; Substitution</x:v>
      </x:c>
      <x:c r="E973" s="339" t="str">
        <x:v>Period Setup</x:v>
      </x:c>
      <x:c r="F973" s="339" t="str">
        <x:v>Auditability</x:v>
      </x:c>
      <x:c r="G973" s="339" t="str">
        <x:v>a material create/update/approve/reverse action occurs</x:v>
      </x:c>
      <x:c r="H973" s="339" t="str">
        <x:v>the transaction succeeds</x:v>
      </x:c>
      <x:c r="I973" s="339" t="str">
        <x:v>the system records actor, timestamp, action, target and relevant before/after or reason context in the audit trail</x:v>
      </x:c>
      <x:c r="J973" s="339" t="str">
        <x:v>Positive</x:v>
      </x:c>
      <x:c r="K973" s="339" t="str">
        <x:v>Functional</x:v>
      </x:c>
    </x:row>
    <x:row r="974">
      <x:c r="A974" s="339" t="str">
        <x:v>AC-00973</x:v>
      </x:c>
      <x:c r="B974" s="339" t="str">
        <x:v>US-0244</x:v>
      </x:c>
      <x:c r="C974" s="339" t="str">
        <x:v>SCR-122</x:v>
      </x:c>
      <x:c r="D974" s="339" t="str">
        <x:v>Timetable &amp; Substitution</x:v>
      </x:c>
      <x:c r="E974" s="339" t="str">
        <x:v>Period Setup</x:v>
      </x:c>
      <x:c r="F974" s="339" t="str">
        <x:v>Required-field validation</x:v>
      </x:c>
      <x:c r="G974" s="339" t="str">
        <x:v>one or more required values are missing/invalid</x:v>
      </x:c>
      <x:c r="H974" s="339" t="str">
        <x:v>the user submits the form</x:v>
      </x:c>
      <x:c r="I974" s="339" t="str">
        <x:v>submission is blocked and field-level messages identify what must be corrected</x:v>
      </x:c>
      <x:c r="J974" s="339" t="str">
        <x:v>Positive</x:v>
      </x:c>
      <x:c r="K974" s="339" t="str">
        <x:v>Functional</x:v>
      </x:c>
    </x:row>
    <x:row r="975">
      <x:c r="A975" s="339" t="str">
        <x:v>AC-00974</x:v>
      </x:c>
      <x:c r="B975" s="339" t="str">
        <x:v>US-0244</x:v>
      </x:c>
      <x:c r="C975" s="339" t="str">
        <x:v>SCR-122</x:v>
      </x:c>
      <x:c r="D975" s="339" t="str">
        <x:v>Timetable &amp; Substitution</x:v>
      </x:c>
      <x:c r="E975" s="339" t="str">
        <x:v>Period Setup</x:v>
      </x:c>
      <x:c r="F975" s="339" t="str">
        <x:v>Duplicate prevention</x:v>
      </x:c>
      <x:c r="G975" s="339" t="str">
        <x:v>a potentially duplicate record exists</x:v>
      </x:c>
      <x:c r="H975" s="339" t="str">
        <x:v>the user submits matching identity/master data</x:v>
      </x:c>
      <x:c r="I975" s="339" t="str">
        <x:v>the system blocks or warns according to configured duplicate policy before creating another record</x:v>
      </x:c>
      <x:c r="J975" s="339" t="str">
        <x:v>Negative</x:v>
      </x:c>
      <x:c r="K975" s="339" t="str">
        <x:v>Functional</x:v>
      </x:c>
    </x:row>
    <x:row r="976">
      <x:c r="A976" s="339" t="str">
        <x:v>AC-00975</x:v>
      </x:c>
      <x:c r="B976" s="339" t="str">
        <x:v>US-0244</x:v>
      </x:c>
      <x:c r="C976" s="339" t="str">
        <x:v>SCR-122</x:v>
      </x:c>
      <x:c r="D976" s="339" t="str">
        <x:v>Timetable &amp; Substitution</x:v>
      </x:c>
      <x:c r="E976" s="339" t="str">
        <x:v>Period Setup</x:v>
      </x:c>
      <x:c r="F976" s="339" t="str">
        <x:v>Reference-data integrity</x:v>
      </x:c>
      <x:c r="G976" s="339" t="str">
        <x:v>the form contains master-data selections</x:v>
      </x:c>
      <x:c r="H976" s="339" t="str">
        <x:v>the user submits</x:v>
      </x:c>
      <x:c r="I976" s="339" t="str">
        <x:v>all referenced values are active, effective and within the user's scope at the time of save</x:v>
      </x:c>
      <x:c r="J976" s="339" t="str">
        <x:v>Positive</x:v>
      </x:c>
      <x:c r="K976" s="339" t="str">
        <x:v>Functional</x:v>
      </x:c>
    </x:row>
    <x:row r="977">
      <x:c r="A977" s="339" t="str">
        <x:v>AC-00976</x:v>
      </x:c>
      <x:c r="B977" s="339" t="str">
        <x:v>US-0244</x:v>
      </x:c>
      <x:c r="C977" s="339" t="str">
        <x:v>SCR-122</x:v>
      </x:c>
      <x:c r="D977" s="339" t="str">
        <x:v>Timetable &amp; Substitution</x:v>
      </x:c>
      <x:c r="E977" s="339" t="str">
        <x:v>Period Setup</x:v>
      </x:c>
      <x:c r="F977" s="339" t="str">
        <x:v>Retry safety</x:v>
      </x:c>
      <x:c r="G977" s="339" t="str">
        <x:v>a network retry or repeated click occurs</x:v>
      </x:c>
      <x:c r="H977" s="339" t="str">
        <x:v>the same transaction is submitted again</x:v>
      </x:c>
      <x:c r="I977" s="339" t="str">
        <x:v>the system prevents unintended duplicate transactions through idempotency or duplicate detection</x:v>
      </x:c>
      <x:c r="J977" s="339" t="str">
        <x:v>Positive</x:v>
      </x:c>
      <x:c r="K977" s="339" t="str">
        <x:v>Functional</x:v>
      </x:c>
    </x:row>
    <x:row r="978">
      <x:c r="A978" s="339" t="str">
        <x:v>AC-00977</x:v>
      </x:c>
      <x:c r="B978" s="339" t="str">
        <x:v>US-0245</x:v>
      </x:c>
      <x:c r="C978" s="339" t="str">
        <x:v>SCR-123</x:v>
      </x:c>
      <x:c r="D978" s="339" t="str">
        <x:v>Timetable &amp; Substitution</x:v>
      </x:c>
      <x:c r="E978" s="339" t="str">
        <x:v>Teacher Availability</x:v>
      </x:c>
      <x:c r="F978" s="339" t="str">
        <x:v>Authorized access to Teacher Availability</x:v>
      </x:c>
      <x:c r="G978" s="339" t="str">
        <x:v>the Academic Coordinator is authenticated and has access to Teacher Availability</x:v>
      </x:c>
      <x:c r="H978" s="339" t="str">
        <x:v>the user opens or invokes Teacher Availability</x:v>
      </x:c>
      <x:c r="I978" s="339" t="str">
        <x:v>the system loads only records and actions within the user's permitted tenant/school/data scope</x:v>
      </x:c>
      <x:c r="J978" s="339" t="str">
        <x:v>Positive</x:v>
      </x:c>
      <x:c r="K978" s="339" t="str">
        <x:v>Functional / Security</x:v>
      </x:c>
    </x:row>
    <x:row r="979">
      <x:c r="A979" s="339" t="str">
        <x:v>AC-00978</x:v>
      </x:c>
      <x:c r="B979" s="339" t="str">
        <x:v>US-0245</x:v>
      </x:c>
      <x:c r="C979" s="339" t="str">
        <x:v>SCR-123</x:v>
      </x:c>
      <x:c r="D979" s="339" t="str">
        <x:v>Timetable &amp; Substitution</x:v>
      </x:c>
      <x:c r="E979" s="339" t="str">
        <x:v>Teacher Availability</x:v>
      </x:c>
      <x:c r="F979" s="339" t="str">
        <x:v>Successful Teacher Availability happy path</x:v>
      </x:c>
      <x:c r="G979" s="339" t="str">
        <x:v>all mandatory prerequisites and valid data are available</x:v>
      </x:c>
      <x:c r="H979" s="339" t="str">
        <x:v>the Academic Coordinator completes the primary action on Teacher Availability</x:v>
      </x:c>
      <x:c r="I979" s="339" t="str">
        <x:v>the system validates the request, saves it atomically, shows a clear confirmation and reflects the updated state</x:v>
      </x:c>
      <x:c r="J979" s="339" t="str">
        <x:v>Positive</x:v>
      </x:c>
      <x:c r="K979" s="339" t="str">
        <x:v>Functional</x:v>
      </x:c>
    </x:row>
    <x:row r="980">
      <x:c r="A980" s="339" t="str">
        <x:v>AC-00979</x:v>
      </x:c>
      <x:c r="B980" s="339" t="str">
        <x:v>US-0245</x:v>
      </x:c>
      <x:c r="C980" s="339" t="str">
        <x:v>SCR-123</x:v>
      </x:c>
      <x:c r="D980" s="339" t="str">
        <x:v>Timetable &amp; Substitution</x:v>
      </x:c>
      <x:c r="E980" s="339" t="str">
        <x:v>Teacher Availability</x:v>
      </x:c>
      <x:c r="F980" s="339" t="str">
        <x:v>State and dependency integrity</x:v>
      </x:c>
      <x:c r="G980" s="339" t="str">
        <x:v>the current record is in an allowed state (Draft → Validated → Published → Revised / Archived)</x:v>
      </x:c>
      <x:c r="H980" s="339" t="str">
        <x:v>the user attempts a state-changing action</x:v>
      </x:c>
      <x:c r="I980" s="339" t="str">
        <x:v>only a valid transition is accepted and dependent records are updated according to configured business rules</x:v>
      </x:c>
      <x:c r="J980" s="339" t="str">
        <x:v>Positive</x:v>
      </x:c>
      <x:c r="K980" s="339" t="str">
        <x:v>Functional</x:v>
      </x:c>
    </x:row>
    <x:row r="981">
      <x:c r="A981" s="339" t="str">
        <x:v>AC-00980</x:v>
      </x:c>
      <x:c r="B981" s="339" t="str">
        <x:v>US-0245</x:v>
      </x:c>
      <x:c r="C981" s="339" t="str">
        <x:v>SCR-123</x:v>
      </x:c>
      <x:c r="D981" s="339" t="str">
        <x:v>Timetable &amp; Substitution</x:v>
      </x:c>
      <x:c r="E981" s="339" t="str">
        <x:v>Teacher Availability</x:v>
      </x:c>
      <x:c r="F981" s="339" t="str">
        <x:v>Auditability</x:v>
      </x:c>
      <x:c r="G981" s="339" t="str">
        <x:v>a material create/update/approve/reverse action occurs</x:v>
      </x:c>
      <x:c r="H981" s="339" t="str">
        <x:v>the transaction succeeds</x:v>
      </x:c>
      <x:c r="I981" s="339" t="str">
        <x:v>the system records actor, timestamp, action, target and relevant before/after or reason context in the audit trail</x:v>
      </x:c>
      <x:c r="J981" s="339" t="str">
        <x:v>Positive</x:v>
      </x:c>
      <x:c r="K981" s="339" t="str">
        <x:v>Functional</x:v>
      </x:c>
    </x:row>
    <x:row r="982">
      <x:c r="A982" s="339" t="str">
        <x:v>AC-00981</x:v>
      </x:c>
      <x:c r="B982" s="339" t="str">
        <x:v>US-0246</x:v>
      </x:c>
      <x:c r="C982" s="339" t="str">
        <x:v>SCR-123</x:v>
      </x:c>
      <x:c r="D982" s="339" t="str">
        <x:v>Timetable &amp; Substitution</x:v>
      </x:c>
      <x:c r="E982" s="339" t="str">
        <x:v>Teacher Availability</x:v>
      </x:c>
      <x:c r="F982" s="339" t="str">
        <x:v>Valid status transition</x:v>
      </x:c>
      <x:c r="G982" s="339" t="str">
        <x:v>the record is in a state described by Draft → Validated → Published → Revised / Archived</x:v>
      </x:c>
      <x:c r="H982" s="339" t="str">
        <x:v>the user requests a transition</x:v>
      </x:c>
      <x:c r="I982" s="339" t="str">
        <x:v>the system accepts only transitions allowed for that role and state</x:v>
      </x:c>
      <x:c r="J982" s="339" t="str">
        <x:v>Positive</x:v>
      </x:c>
      <x:c r="K982" s="339" t="str">
        <x:v>Functional</x:v>
      </x:c>
    </x:row>
    <x:row r="983">
      <x:c r="A983" s="339" t="str">
        <x:v>AC-00982</x:v>
      </x:c>
      <x:c r="B983" s="339" t="str">
        <x:v>US-0246</x:v>
      </x:c>
      <x:c r="C983" s="339" t="str">
        <x:v>SCR-123</x:v>
      </x:c>
      <x:c r="D983" s="339" t="str">
        <x:v>Timetable &amp; Substitution</x:v>
      </x:c>
      <x:c r="E983" s="339" t="str">
        <x:v>Teacher Availability</x:v>
      </x:c>
      <x:c r="F983" s="339" t="str">
        <x:v>Approval authority</x:v>
      </x:c>
      <x:c r="G983" s="339" t="str">
        <x:v>an action requires approval</x:v>
      </x:c>
      <x:c r="H983" s="339" t="str">
        <x:v>a non-authorized user attempts approval/rejection</x:v>
      </x:c>
      <x:c r="I983" s="339" t="str">
        <x:v>the system denies the decision and does not change status</x:v>
      </x:c>
      <x:c r="J983" s="339" t="str">
        <x:v>Negative</x:v>
      </x:c>
      <x:c r="K983" s="339" t="str">
        <x:v>Functional</x:v>
      </x:c>
    </x:row>
    <x:row r="984">
      <x:c r="A984" s="339" t="str">
        <x:v>AC-00983</x:v>
      </x:c>
      <x:c r="B984" s="339" t="str">
        <x:v>US-0246</x:v>
      </x:c>
      <x:c r="C984" s="339" t="str">
        <x:v>SCR-123</x:v>
      </x:c>
      <x:c r="D984" s="339" t="str">
        <x:v>Timetable &amp; Substitution</x:v>
      </x:c>
      <x:c r="E984" s="339" t="str">
        <x:v>Teacher Availability</x:v>
      </x:c>
      <x:c r="F984" s="339" t="str">
        <x:v>Failure rollback</x:v>
      </x:c>
      <x:c r="G984" s="339" t="str">
        <x:v>a downstream dependency fails during a multi-step transaction</x:v>
      </x:c>
      <x:c r="H984" s="339" t="str">
        <x:v>the workflow executes</x:v>
      </x:c>
      <x:c r="I984" s="339" t="str">
        <x:v>the system does not leave an invalid partial final state and surfaces a recoverable error</x:v>
      </x:c>
      <x:c r="J984" s="339" t="str">
        <x:v>Positive</x:v>
      </x:c>
      <x:c r="K984" s="339" t="str">
        <x:v>Functional</x:v>
      </x:c>
    </x:row>
    <x:row r="985">
      <x:c r="A985" s="339" t="str">
        <x:v>AC-00984</x:v>
      </x:c>
      <x:c r="B985" s="339" t="str">
        <x:v>US-0246</x:v>
      </x:c>
      <x:c r="C985" s="339" t="str">
        <x:v>SCR-123</x:v>
      </x:c>
      <x:c r="D985" s="339" t="str">
        <x:v>Timetable &amp; Substitution</x:v>
      </x:c>
      <x:c r="E985" s="339" t="str">
        <x:v>Teacher Availability</x:v>
      </x:c>
      <x:c r="F985" s="339" t="str">
        <x:v>Exception traceability</x:v>
      </x:c>
      <x:c r="G985" s="339" t="str">
        <x:v>an authorized override/exception is used</x:v>
      </x:c>
      <x:c r="H985" s="339" t="str">
        <x:v>the action is confirmed</x:v>
      </x:c>
      <x:c r="I985" s="339" t="str">
        <x:v>the system requires reason/context and records it in the audit history</x:v>
      </x:c>
      <x:c r="J985" s="339" t="str">
        <x:v>Positive</x:v>
      </x:c>
      <x:c r="K985" s="339" t="str">
        <x:v>Functional</x:v>
      </x:c>
    </x:row>
    <x:row r="986">
      <x:c r="A986" s="339" t="str">
        <x:v>AC-00985</x:v>
      </x:c>
      <x:c r="B986" s="339" t="str">
        <x:v>US-0247</x:v>
      </x:c>
      <x:c r="C986" s="339" t="str">
        <x:v>SCR-124</x:v>
      </x:c>
      <x:c r="D986" s="339" t="str">
        <x:v>Timetable &amp; Substitution</x:v>
      </x:c>
      <x:c r="E986" s="339" t="str">
        <x:v>Generate Timetable</x:v>
      </x:c>
      <x:c r="F986" s="339" t="str">
        <x:v>Authorized access to Generate Timetable</x:v>
      </x:c>
      <x:c r="G986" s="339" t="str">
        <x:v>the Academic Coordinator is authenticated and has access to Generate Timetable</x:v>
      </x:c>
      <x:c r="H986" s="339" t="str">
        <x:v>the user opens or invokes Generate Timetable</x:v>
      </x:c>
      <x:c r="I986" s="339" t="str">
        <x:v>the system loads only records and actions within the user's permitted tenant/school/data scope</x:v>
      </x:c>
      <x:c r="J986" s="339" t="str">
        <x:v>Positive</x:v>
      </x:c>
      <x:c r="K986" s="339" t="str">
        <x:v>Functional / Security</x:v>
      </x:c>
    </x:row>
    <x:row r="987">
      <x:c r="A987" s="339" t="str">
        <x:v>AC-00986</x:v>
      </x:c>
      <x:c r="B987" s="339" t="str">
        <x:v>US-0247</x:v>
      </x:c>
      <x:c r="C987" s="339" t="str">
        <x:v>SCR-124</x:v>
      </x:c>
      <x:c r="D987" s="339" t="str">
        <x:v>Timetable &amp; Substitution</x:v>
      </x:c>
      <x:c r="E987" s="339" t="str">
        <x:v>Generate Timetable</x:v>
      </x:c>
      <x:c r="F987" s="339" t="str">
        <x:v>Successful Generate Timetable happy path</x:v>
      </x:c>
      <x:c r="G987" s="339" t="str">
        <x:v>all mandatory prerequisites and valid data are available</x:v>
      </x:c>
      <x:c r="H987" s="339" t="str">
        <x:v>the Academic Coordinator completes the primary action on Generate Timetable</x:v>
      </x:c>
      <x:c r="I987" s="339" t="str">
        <x:v>the system validates the request, saves it atomically, shows a clear confirmation and reflects the updated state</x:v>
      </x:c>
      <x:c r="J987" s="339" t="str">
        <x:v>Positive</x:v>
      </x:c>
      <x:c r="K987" s="339" t="str">
        <x:v>Functional</x:v>
      </x:c>
    </x:row>
    <x:row r="988">
      <x:c r="A988" s="339" t="str">
        <x:v>AC-00987</x:v>
      </x:c>
      <x:c r="B988" s="339" t="str">
        <x:v>US-0247</x:v>
      </x:c>
      <x:c r="C988" s="339" t="str">
        <x:v>SCR-124</x:v>
      </x:c>
      <x:c r="D988" s="339" t="str">
        <x:v>Timetable &amp; Substitution</x:v>
      </x:c>
      <x:c r="E988" s="339" t="str">
        <x:v>Generate Timetable</x:v>
      </x:c>
      <x:c r="F988" s="339" t="str">
        <x:v>State and dependency integrity</x:v>
      </x:c>
      <x:c r="G988" s="339" t="str">
        <x:v>the current record is in an allowed state (Draft → Validated → Published → Revised / Archived)</x:v>
      </x:c>
      <x:c r="H988" s="339" t="str">
        <x:v>the user attempts a state-changing action</x:v>
      </x:c>
      <x:c r="I988" s="339" t="str">
        <x:v>only a valid transition is accepted and dependent records are updated according to configured business rules</x:v>
      </x:c>
      <x:c r="J988" s="339" t="str">
        <x:v>Positive</x:v>
      </x:c>
      <x:c r="K988" s="339" t="str">
        <x:v>Functional</x:v>
      </x:c>
    </x:row>
    <x:row r="989">
      <x:c r="A989" s="339" t="str">
        <x:v>AC-00988</x:v>
      </x:c>
      <x:c r="B989" s="339" t="str">
        <x:v>US-0247</x:v>
      </x:c>
      <x:c r="C989" s="339" t="str">
        <x:v>SCR-124</x:v>
      </x:c>
      <x:c r="D989" s="339" t="str">
        <x:v>Timetable &amp; Substitution</x:v>
      </x:c>
      <x:c r="E989" s="339" t="str">
        <x:v>Generate Timetable</x:v>
      </x:c>
      <x:c r="F989" s="339" t="str">
        <x:v>Auditability</x:v>
      </x:c>
      <x:c r="G989" s="339" t="str">
        <x:v>a material create/update/approve/reverse action occurs</x:v>
      </x:c>
      <x:c r="H989" s="339" t="str">
        <x:v>the transaction succeeds</x:v>
      </x:c>
      <x:c r="I989" s="339" t="str">
        <x:v>the system records actor, timestamp, action, target and relevant before/after or reason context in the audit trail</x:v>
      </x:c>
      <x:c r="J989" s="339" t="str">
        <x:v>Positive</x:v>
      </x:c>
      <x:c r="K989" s="339" t="str">
        <x:v>Functional</x:v>
      </x:c>
    </x:row>
    <x:row r="990">
      <x:c r="A990" s="339" t="str">
        <x:v>AC-00989</x:v>
      </x:c>
      <x:c r="B990" s="339" t="str">
        <x:v>US-0248</x:v>
      </x:c>
      <x:c r="C990" s="339" t="str">
        <x:v>SCR-124</x:v>
      </x:c>
      <x:c r="D990" s="339" t="str">
        <x:v>Timetable &amp; Substitution</x:v>
      </x:c>
      <x:c r="E990" s="339" t="str">
        <x:v>Generate Timetable</x:v>
      </x:c>
      <x:c r="F990" s="339" t="str">
        <x:v>Conflict detection</x:v>
      </x:c>
      <x:c r="G990" s="339" t="str">
        <x:v>a teacher/class/room/resource is already committed in the requested slot</x:v>
      </x:c>
      <x:c r="H990" s="339" t="str">
        <x:v>the user schedules an overlapping item</x:v>
      </x:c>
      <x:c r="I990" s="339" t="str">
        <x:v>the system blocks or flags the conflict according to override policy</x:v>
      </x:c>
      <x:c r="J990" s="339" t="str">
        <x:v>Negative</x:v>
      </x:c>
      <x:c r="K990" s="339" t="str">
        <x:v>Functional</x:v>
      </x:c>
    </x:row>
    <x:row r="991">
      <x:c r="A991" s="339" t="str">
        <x:v>AC-00990</x:v>
      </x:c>
      <x:c r="B991" s="339" t="str">
        <x:v>US-0248</x:v>
      </x:c>
      <x:c r="C991" s="339" t="str">
        <x:v>SCR-124</x:v>
      </x:c>
      <x:c r="D991" s="339" t="str">
        <x:v>Timetable &amp; Substitution</x:v>
      </x:c>
      <x:c r="E991" s="339" t="str">
        <x:v>Generate Timetable</x:v>
      </x:c>
      <x:c r="F991" s="339" t="str">
        <x:v>Reschedule integrity</x:v>
      </x:c>
      <x:c r="G991" s="339" t="str">
        <x:v>an existing schedule item is changed</x:v>
      </x:c>
      <x:c r="H991" s="339" t="str">
        <x:v>the user confirms the new slot</x:v>
      </x:c>
      <x:c r="I991" s="339" t="str">
        <x:v>the system updates the schedule atomically and retains change history</x:v>
      </x:c>
      <x:c r="J991" s="339" t="str">
        <x:v>Positive</x:v>
      </x:c>
      <x:c r="K991" s="339" t="str">
        <x:v>Functional</x:v>
      </x:c>
    </x:row>
    <x:row r="992">
      <x:c r="A992" s="339" t="str">
        <x:v>AC-00991</x:v>
      </x:c>
      <x:c r="B992" s="339" t="str">
        <x:v>US-0248</x:v>
      </x:c>
      <x:c r="C992" s="339" t="str">
        <x:v>SCR-124</x:v>
      </x:c>
      <x:c r="D992" s="339" t="str">
        <x:v>Timetable &amp; Substitution</x:v>
      </x:c>
      <x:c r="E992" s="339" t="str">
        <x:v>Generate Timetable</x:v>
      </x:c>
      <x:c r="F992" s="339" t="str">
        <x:v>Audience update</x:v>
      </x:c>
      <x:c r="G992" s="339" t="str">
        <x:v>a published schedule changes</x:v>
      </x:c>
      <x:c r="H992" s="339" t="str">
        <x:v>the change is saved</x:v>
      </x:c>
      <x:c r="I992" s="339" t="str">
        <x:v>affected users receive updated visibility/notification according to communication rules</x:v>
      </x:c>
      <x:c r="J992" s="339" t="str">
        <x:v>Positive</x:v>
      </x:c>
      <x:c r="K992" s="339" t="str">
        <x:v>Functional</x:v>
      </x:c>
    </x:row>
    <x:row r="993">
      <x:c r="A993" s="339" t="str">
        <x:v>AC-00992</x:v>
      </x:c>
      <x:c r="B993" s="339" t="str">
        <x:v>US-0248</x:v>
      </x:c>
      <x:c r="C993" s="339" t="str">
        <x:v>SCR-124</x:v>
      </x:c>
      <x:c r="D993" s="339" t="str">
        <x:v>Timetable &amp; Substitution</x:v>
      </x:c>
      <x:c r="E993" s="339" t="str">
        <x:v>Generate Timetable</x:v>
      </x:c>
      <x:c r="F993" s="339" t="str">
        <x:v>Timezone/effective date</x:v>
      </x:c>
      <x:c r="G993" s="339" t="str">
        <x:v>users operate in configured school timezone</x:v>
      </x:c>
      <x:c r="H993" s="339" t="str">
        <x:v>times are displayed or saved</x:v>
      </x:c>
      <x:c r="I993" s="339" t="str">
        <x:v>the system consistently stores and renders the intended local schedule without date-shift errors</x:v>
      </x:c>
      <x:c r="J993" s="339" t="str">
        <x:v>Positive</x:v>
      </x:c>
      <x:c r="K993" s="339" t="str">
        <x:v>Functional</x:v>
      </x:c>
    </x:row>
    <x:row r="994">
      <x:c r="A994" s="339" t="str">
        <x:v>AC-00993</x:v>
      </x:c>
      <x:c r="B994" s="339" t="str">
        <x:v>US-0249</x:v>
      </x:c>
      <x:c r="C994" s="339" t="str">
        <x:v>SCR-125</x:v>
      </x:c>
      <x:c r="D994" s="339" t="str">
        <x:v>Timetable &amp; Substitution</x:v>
      </x:c>
      <x:c r="E994" s="339" t="str">
        <x:v>Class Timetable</x:v>
      </x:c>
      <x:c r="F994" s="339" t="str">
        <x:v>Authorized access to Class Timetable</x:v>
      </x:c>
      <x:c r="G994" s="339" t="str">
        <x:v>the Academic Coordinator is authenticated and has access to Class Timetable</x:v>
      </x:c>
      <x:c r="H994" s="339" t="str">
        <x:v>the user opens or invokes Class Timetable</x:v>
      </x:c>
      <x:c r="I994" s="339" t="str">
        <x:v>the system loads only records and actions within the user's permitted tenant/school/data scope</x:v>
      </x:c>
      <x:c r="J994" s="339" t="str">
        <x:v>Positive</x:v>
      </x:c>
      <x:c r="K994" s="339" t="str">
        <x:v>Functional / Security</x:v>
      </x:c>
    </x:row>
    <x:row r="995">
      <x:c r="A995" s="339" t="str">
        <x:v>AC-00994</x:v>
      </x:c>
      <x:c r="B995" s="339" t="str">
        <x:v>US-0249</x:v>
      </x:c>
      <x:c r="C995" s="339" t="str">
        <x:v>SCR-125</x:v>
      </x:c>
      <x:c r="D995" s="339" t="str">
        <x:v>Timetable &amp; Substitution</x:v>
      </x:c>
      <x:c r="E995" s="339" t="str">
        <x:v>Class Timetable</x:v>
      </x:c>
      <x:c r="F995" s="339" t="str">
        <x:v>Successful Class Timetable happy path</x:v>
      </x:c>
      <x:c r="G995" s="339" t="str">
        <x:v>all mandatory prerequisites and valid data are available</x:v>
      </x:c>
      <x:c r="H995" s="339" t="str">
        <x:v>the Academic Coordinator completes the primary action on Class Timetable</x:v>
      </x:c>
      <x:c r="I995" s="339" t="str">
        <x:v>the system validates the request, saves it atomically, shows a clear confirmation and reflects the updated state</x:v>
      </x:c>
      <x:c r="J995" s="339" t="str">
        <x:v>Positive</x:v>
      </x:c>
      <x:c r="K995" s="339" t="str">
        <x:v>Functional</x:v>
      </x:c>
    </x:row>
    <x:row r="996">
      <x:c r="A996" s="339" t="str">
        <x:v>AC-00995</x:v>
      </x:c>
      <x:c r="B996" s="339" t="str">
        <x:v>US-0249</x:v>
      </x:c>
      <x:c r="C996" s="339" t="str">
        <x:v>SCR-125</x:v>
      </x:c>
      <x:c r="D996" s="339" t="str">
        <x:v>Timetable &amp; Substitution</x:v>
      </x:c>
      <x:c r="E996" s="339" t="str">
        <x:v>Class Timetable</x:v>
      </x:c>
      <x:c r="F996" s="339" t="str">
        <x:v>State and dependency integrity</x:v>
      </x:c>
      <x:c r="G996" s="339" t="str">
        <x:v>the current record is in an allowed state (Draft → Validated → Published → Revised / Archived)</x:v>
      </x:c>
      <x:c r="H996" s="339" t="str">
        <x:v>the user attempts a state-changing action</x:v>
      </x:c>
      <x:c r="I996" s="339" t="str">
        <x:v>only a valid transition is accepted and dependent records are updated according to configured business rules</x:v>
      </x:c>
      <x:c r="J996" s="339" t="str">
        <x:v>Positive</x:v>
      </x:c>
      <x:c r="K996" s="339" t="str">
        <x:v>Functional</x:v>
      </x:c>
    </x:row>
    <x:row r="997">
      <x:c r="A997" s="339" t="str">
        <x:v>AC-00996</x:v>
      </x:c>
      <x:c r="B997" s="339" t="str">
        <x:v>US-0249</x:v>
      </x:c>
      <x:c r="C997" s="339" t="str">
        <x:v>SCR-125</x:v>
      </x:c>
      <x:c r="D997" s="339" t="str">
        <x:v>Timetable &amp; Substitution</x:v>
      </x:c>
      <x:c r="E997" s="339" t="str">
        <x:v>Class Timetable</x:v>
      </x:c>
      <x:c r="F997" s="339" t="str">
        <x:v>Auditability</x:v>
      </x:c>
      <x:c r="G997" s="339" t="str">
        <x:v>a material create/update/approve/reverse action occurs</x:v>
      </x:c>
      <x:c r="H997" s="339" t="str">
        <x:v>the transaction succeeds</x:v>
      </x:c>
      <x:c r="I997" s="339" t="str">
        <x:v>the system records actor, timestamp, action, target and relevant before/after or reason context in the audit trail</x:v>
      </x:c>
      <x:c r="J997" s="339" t="str">
        <x:v>Positive</x:v>
      </x:c>
      <x:c r="K997" s="339" t="str">
        <x:v>Functional</x:v>
      </x:c>
    </x:row>
    <x:row r="998">
      <x:c r="A998" s="339" t="str">
        <x:v>AC-00997</x:v>
      </x:c>
      <x:c r="B998" s="339" t="str">
        <x:v>US-0250</x:v>
      </x:c>
      <x:c r="C998" s="339" t="str">
        <x:v>SCR-125</x:v>
      </x:c>
      <x:c r="D998" s="339" t="str">
        <x:v>Timetable &amp; Substitution</x:v>
      </x:c>
      <x:c r="E998" s="339" t="str">
        <x:v>Class Timetable</x:v>
      </x:c>
      <x:c r="F998" s="339" t="str">
        <x:v>Conflict detection</x:v>
      </x:c>
      <x:c r="G998" s="339" t="str">
        <x:v>a teacher/class/room/resource is already committed in the requested slot</x:v>
      </x:c>
      <x:c r="H998" s="339" t="str">
        <x:v>the user schedules an overlapping item</x:v>
      </x:c>
      <x:c r="I998" s="339" t="str">
        <x:v>the system blocks or flags the conflict according to override policy</x:v>
      </x:c>
      <x:c r="J998" s="339" t="str">
        <x:v>Negative</x:v>
      </x:c>
      <x:c r="K998" s="339" t="str">
        <x:v>Functional</x:v>
      </x:c>
    </x:row>
    <x:row r="999">
      <x:c r="A999" s="339" t="str">
        <x:v>AC-00998</x:v>
      </x:c>
      <x:c r="B999" s="339" t="str">
        <x:v>US-0250</x:v>
      </x:c>
      <x:c r="C999" s="339" t="str">
        <x:v>SCR-125</x:v>
      </x:c>
      <x:c r="D999" s="339" t="str">
        <x:v>Timetable &amp; Substitution</x:v>
      </x:c>
      <x:c r="E999" s="339" t="str">
        <x:v>Class Timetable</x:v>
      </x:c>
      <x:c r="F999" s="339" t="str">
        <x:v>Reschedule integrity</x:v>
      </x:c>
      <x:c r="G999" s="339" t="str">
        <x:v>an existing schedule item is changed</x:v>
      </x:c>
      <x:c r="H999" s="339" t="str">
        <x:v>the user confirms the new slot</x:v>
      </x:c>
      <x:c r="I999" s="339" t="str">
        <x:v>the system updates the schedule atomically and retains change history</x:v>
      </x:c>
      <x:c r="J999" s="339" t="str">
        <x:v>Positive</x:v>
      </x:c>
      <x:c r="K999" s="339" t="str">
        <x:v>Functional</x:v>
      </x:c>
    </x:row>
    <x:row r="1000">
      <x:c r="A1000" s="339" t="str">
        <x:v>AC-00999</x:v>
      </x:c>
      <x:c r="B1000" s="339" t="str">
        <x:v>US-0250</x:v>
      </x:c>
      <x:c r="C1000" s="339" t="str">
        <x:v>SCR-125</x:v>
      </x:c>
      <x:c r="D1000" s="339" t="str">
        <x:v>Timetable &amp; Substitution</x:v>
      </x:c>
      <x:c r="E1000" s="339" t="str">
        <x:v>Class Timetable</x:v>
      </x:c>
      <x:c r="F1000" s="339" t="str">
        <x:v>Audience update</x:v>
      </x:c>
      <x:c r="G1000" s="339" t="str">
        <x:v>a published schedule changes</x:v>
      </x:c>
      <x:c r="H1000" s="339" t="str">
        <x:v>the change is saved</x:v>
      </x:c>
      <x:c r="I1000" s="339" t="str">
        <x:v>affected users receive updated visibility/notification according to communication rules</x:v>
      </x:c>
      <x:c r="J1000" s="339" t="str">
        <x:v>Positive</x:v>
      </x:c>
      <x:c r="K1000" s="339" t="str">
        <x:v>Functional</x:v>
      </x:c>
    </x:row>
    <x:row r="1001">
      <x:c r="A1001" s="339" t="str">
        <x:v>AC-01000</x:v>
      </x:c>
      <x:c r="B1001" s="339" t="str">
        <x:v>US-0250</x:v>
      </x:c>
      <x:c r="C1001" s="339" t="str">
        <x:v>SCR-125</x:v>
      </x:c>
      <x:c r="D1001" s="339" t="str">
        <x:v>Timetable &amp; Substitution</x:v>
      </x:c>
      <x:c r="E1001" s="339" t="str">
        <x:v>Class Timetable</x:v>
      </x:c>
      <x:c r="F1001" s="339" t="str">
        <x:v>Timezone/effective date</x:v>
      </x:c>
      <x:c r="G1001" s="339" t="str">
        <x:v>users operate in configured school timezone</x:v>
      </x:c>
      <x:c r="H1001" s="339" t="str">
        <x:v>times are displayed or saved</x:v>
      </x:c>
      <x:c r="I1001" s="339" t="str">
        <x:v>the system consistently stores and renders the intended local schedule without date-shift errors</x:v>
      </x:c>
      <x:c r="J1001" s="339" t="str">
        <x:v>Positive</x:v>
      </x:c>
      <x:c r="K1001" s="339" t="str">
        <x:v>Functional</x:v>
      </x:c>
    </x:row>
    <x:row r="1002">
      <x:c r="A1002" s="339" t="str">
        <x:v>AC-01001</x:v>
      </x:c>
      <x:c r="B1002" s="339" t="str">
        <x:v>US-0251</x:v>
      </x:c>
      <x:c r="C1002" s="339" t="str">
        <x:v>SCR-126</x:v>
      </x:c>
      <x:c r="D1002" s="339" t="str">
        <x:v>Timetable &amp; Substitution</x:v>
      </x:c>
      <x:c r="E1002" s="339" t="str">
        <x:v>Teacher Timetable</x:v>
      </x:c>
      <x:c r="F1002" s="339" t="str">
        <x:v>Authorized access to Teacher Timetable</x:v>
      </x:c>
      <x:c r="G1002" s="339" t="str">
        <x:v>the Academic Coordinator is authenticated and has access to Teacher Timetable</x:v>
      </x:c>
      <x:c r="H1002" s="339" t="str">
        <x:v>the user opens or invokes Teacher Timetable</x:v>
      </x:c>
      <x:c r="I1002" s="339" t="str">
        <x:v>the system loads only records and actions within the user's permitted tenant/school/data scope</x:v>
      </x:c>
      <x:c r="J1002" s="339" t="str">
        <x:v>Positive</x:v>
      </x:c>
      <x:c r="K1002" s="339" t="str">
        <x:v>Functional / Security</x:v>
      </x:c>
    </x:row>
    <x:row r="1003">
      <x:c r="A1003" s="339" t="str">
        <x:v>AC-01002</x:v>
      </x:c>
      <x:c r="B1003" s="339" t="str">
        <x:v>US-0251</x:v>
      </x:c>
      <x:c r="C1003" s="339" t="str">
        <x:v>SCR-126</x:v>
      </x:c>
      <x:c r="D1003" s="339" t="str">
        <x:v>Timetable &amp; Substitution</x:v>
      </x:c>
      <x:c r="E1003" s="339" t="str">
        <x:v>Teacher Timetable</x:v>
      </x:c>
      <x:c r="F1003" s="339" t="str">
        <x:v>Successful Teacher Timetable happy path</x:v>
      </x:c>
      <x:c r="G1003" s="339" t="str">
        <x:v>all mandatory prerequisites and valid data are available</x:v>
      </x:c>
      <x:c r="H1003" s="339" t="str">
        <x:v>the Academic Coordinator completes the primary action on Teacher Timetable</x:v>
      </x:c>
      <x:c r="I1003" s="339" t="str">
        <x:v>the system validates the request, saves it atomically, shows a clear confirmation and reflects the updated state</x:v>
      </x:c>
      <x:c r="J1003" s="339" t="str">
        <x:v>Positive</x:v>
      </x:c>
      <x:c r="K1003" s="339" t="str">
        <x:v>Functional</x:v>
      </x:c>
    </x:row>
    <x:row r="1004">
      <x:c r="A1004" s="339" t="str">
        <x:v>AC-01003</x:v>
      </x:c>
      <x:c r="B1004" s="339" t="str">
        <x:v>US-0251</x:v>
      </x:c>
      <x:c r="C1004" s="339" t="str">
        <x:v>SCR-126</x:v>
      </x:c>
      <x:c r="D1004" s="339" t="str">
        <x:v>Timetable &amp; Substitution</x:v>
      </x:c>
      <x:c r="E1004" s="339" t="str">
        <x:v>Teacher Timetable</x:v>
      </x:c>
      <x:c r="F1004" s="339" t="str">
        <x:v>State and dependency integrity</x:v>
      </x:c>
      <x:c r="G1004" s="339" t="str">
        <x:v>the current record is in an allowed state (Draft → Validated → Published → Revised / Archived)</x:v>
      </x:c>
      <x:c r="H1004" s="339" t="str">
        <x:v>the user attempts a state-changing action</x:v>
      </x:c>
      <x:c r="I1004" s="339" t="str">
        <x:v>only a valid transition is accepted and dependent records are updated according to configured business rules</x:v>
      </x:c>
      <x:c r="J1004" s="339" t="str">
        <x:v>Positive</x:v>
      </x:c>
      <x:c r="K1004" s="339" t="str">
        <x:v>Functional</x:v>
      </x:c>
    </x:row>
    <x:row r="1005">
      <x:c r="A1005" s="339" t="str">
        <x:v>AC-01004</x:v>
      </x:c>
      <x:c r="B1005" s="339" t="str">
        <x:v>US-0251</x:v>
      </x:c>
      <x:c r="C1005" s="339" t="str">
        <x:v>SCR-126</x:v>
      </x:c>
      <x:c r="D1005" s="339" t="str">
        <x:v>Timetable &amp; Substitution</x:v>
      </x:c>
      <x:c r="E1005" s="339" t="str">
        <x:v>Teacher Timetable</x:v>
      </x:c>
      <x:c r="F1005" s="339" t="str">
        <x:v>Auditability</x:v>
      </x:c>
      <x:c r="G1005" s="339" t="str">
        <x:v>a material create/update/approve/reverse action occurs</x:v>
      </x:c>
      <x:c r="H1005" s="339" t="str">
        <x:v>the transaction succeeds</x:v>
      </x:c>
      <x:c r="I1005" s="339" t="str">
        <x:v>the system records actor, timestamp, action, target and relevant before/after or reason context in the audit trail</x:v>
      </x:c>
      <x:c r="J1005" s="339" t="str">
        <x:v>Positive</x:v>
      </x:c>
      <x:c r="K1005" s="339" t="str">
        <x:v>Functional</x:v>
      </x:c>
    </x:row>
    <x:row r="1006">
      <x:c r="A1006" s="339" t="str">
        <x:v>AC-01005</x:v>
      </x:c>
      <x:c r="B1006" s="339" t="str">
        <x:v>US-0252</x:v>
      </x:c>
      <x:c r="C1006" s="339" t="str">
        <x:v>SCR-126</x:v>
      </x:c>
      <x:c r="D1006" s="339" t="str">
        <x:v>Timetable &amp; Substitution</x:v>
      </x:c>
      <x:c r="E1006" s="339" t="str">
        <x:v>Teacher Timetable</x:v>
      </x:c>
      <x:c r="F1006" s="339" t="str">
        <x:v>Conflict detection</x:v>
      </x:c>
      <x:c r="G1006" s="339" t="str">
        <x:v>a teacher/class/room/resource is already committed in the requested slot</x:v>
      </x:c>
      <x:c r="H1006" s="339" t="str">
        <x:v>the user schedules an overlapping item</x:v>
      </x:c>
      <x:c r="I1006" s="339" t="str">
        <x:v>the system blocks or flags the conflict according to override policy</x:v>
      </x:c>
      <x:c r="J1006" s="339" t="str">
        <x:v>Negative</x:v>
      </x:c>
      <x:c r="K1006" s="339" t="str">
        <x:v>Functional</x:v>
      </x:c>
    </x:row>
    <x:row r="1007">
      <x:c r="A1007" s="339" t="str">
        <x:v>AC-01006</x:v>
      </x:c>
      <x:c r="B1007" s="339" t="str">
        <x:v>US-0252</x:v>
      </x:c>
      <x:c r="C1007" s="339" t="str">
        <x:v>SCR-126</x:v>
      </x:c>
      <x:c r="D1007" s="339" t="str">
        <x:v>Timetable &amp; Substitution</x:v>
      </x:c>
      <x:c r="E1007" s="339" t="str">
        <x:v>Teacher Timetable</x:v>
      </x:c>
      <x:c r="F1007" s="339" t="str">
        <x:v>Reschedule integrity</x:v>
      </x:c>
      <x:c r="G1007" s="339" t="str">
        <x:v>an existing schedule item is changed</x:v>
      </x:c>
      <x:c r="H1007" s="339" t="str">
        <x:v>the user confirms the new slot</x:v>
      </x:c>
      <x:c r="I1007" s="339" t="str">
        <x:v>the system updates the schedule atomically and retains change history</x:v>
      </x:c>
      <x:c r="J1007" s="339" t="str">
        <x:v>Positive</x:v>
      </x:c>
      <x:c r="K1007" s="339" t="str">
        <x:v>Functional</x:v>
      </x:c>
    </x:row>
    <x:row r="1008">
      <x:c r="A1008" s="339" t="str">
        <x:v>AC-01007</x:v>
      </x:c>
      <x:c r="B1008" s="339" t="str">
        <x:v>US-0252</x:v>
      </x:c>
      <x:c r="C1008" s="339" t="str">
        <x:v>SCR-126</x:v>
      </x:c>
      <x:c r="D1008" s="339" t="str">
        <x:v>Timetable &amp; Substitution</x:v>
      </x:c>
      <x:c r="E1008" s="339" t="str">
        <x:v>Teacher Timetable</x:v>
      </x:c>
      <x:c r="F1008" s="339" t="str">
        <x:v>Audience update</x:v>
      </x:c>
      <x:c r="G1008" s="339" t="str">
        <x:v>a published schedule changes</x:v>
      </x:c>
      <x:c r="H1008" s="339" t="str">
        <x:v>the change is saved</x:v>
      </x:c>
      <x:c r="I1008" s="339" t="str">
        <x:v>affected users receive updated visibility/notification according to communication rules</x:v>
      </x:c>
      <x:c r="J1008" s="339" t="str">
        <x:v>Positive</x:v>
      </x:c>
      <x:c r="K1008" s="339" t="str">
        <x:v>Functional</x:v>
      </x:c>
    </x:row>
    <x:row r="1009">
      <x:c r="A1009" s="339" t="str">
        <x:v>AC-01008</x:v>
      </x:c>
      <x:c r="B1009" s="339" t="str">
        <x:v>US-0252</x:v>
      </x:c>
      <x:c r="C1009" s="339" t="str">
        <x:v>SCR-126</x:v>
      </x:c>
      <x:c r="D1009" s="339" t="str">
        <x:v>Timetable &amp; Substitution</x:v>
      </x:c>
      <x:c r="E1009" s="339" t="str">
        <x:v>Teacher Timetable</x:v>
      </x:c>
      <x:c r="F1009" s="339" t="str">
        <x:v>Timezone/effective date</x:v>
      </x:c>
      <x:c r="G1009" s="339" t="str">
        <x:v>users operate in configured school timezone</x:v>
      </x:c>
      <x:c r="H1009" s="339" t="str">
        <x:v>times are displayed or saved</x:v>
      </x:c>
      <x:c r="I1009" s="339" t="str">
        <x:v>the system consistently stores and renders the intended local schedule without date-shift errors</x:v>
      </x:c>
      <x:c r="J1009" s="339" t="str">
        <x:v>Positive</x:v>
      </x:c>
      <x:c r="K1009" s="339" t="str">
        <x:v>Functional</x:v>
      </x:c>
    </x:row>
    <x:row r="1010">
      <x:c r="A1010" s="339" t="str">
        <x:v>AC-01009</x:v>
      </x:c>
      <x:c r="B1010" s="339" t="str">
        <x:v>US-0253</x:v>
      </x:c>
      <x:c r="C1010" s="339" t="str">
        <x:v>SCR-127</x:v>
      </x:c>
      <x:c r="D1010" s="339" t="str">
        <x:v>Timetable &amp; Substitution</x:v>
      </x:c>
      <x:c r="E1010" s="339" t="str">
        <x:v>Substitution / Replacement</x:v>
      </x:c>
      <x:c r="F1010" s="339" t="str">
        <x:v>Authorized access to Substitution / Replacement</x:v>
      </x:c>
      <x:c r="G1010" s="339" t="str">
        <x:v>the Academic Coordinator is authenticated and has access to Substitution / Replacement</x:v>
      </x:c>
      <x:c r="H1010" s="339" t="str">
        <x:v>the user opens or invokes Substitution / Replacement</x:v>
      </x:c>
      <x:c r="I1010" s="339" t="str">
        <x:v>the system loads only records and actions within the user's permitted tenant/school/data scope</x:v>
      </x:c>
      <x:c r="J1010" s="339" t="str">
        <x:v>Positive</x:v>
      </x:c>
      <x:c r="K1010" s="339" t="str">
        <x:v>Functional / Security</x:v>
      </x:c>
    </x:row>
    <x:row r="1011">
      <x:c r="A1011" s="339" t="str">
        <x:v>AC-01010</x:v>
      </x:c>
      <x:c r="B1011" s="339" t="str">
        <x:v>US-0253</x:v>
      </x:c>
      <x:c r="C1011" s="339" t="str">
        <x:v>SCR-127</x:v>
      </x:c>
      <x:c r="D1011" s="339" t="str">
        <x:v>Timetable &amp; Substitution</x:v>
      </x:c>
      <x:c r="E1011" s="339" t="str">
        <x:v>Substitution / Replacement</x:v>
      </x:c>
      <x:c r="F1011" s="339" t="str">
        <x:v>Successful Substitution / Replacement happy path</x:v>
      </x:c>
      <x:c r="G1011" s="339" t="str">
        <x:v>all mandatory prerequisites and valid data are available</x:v>
      </x:c>
      <x:c r="H1011" s="339" t="str">
        <x:v>the Academic Coordinator completes the primary action on Substitution / Replacement</x:v>
      </x:c>
      <x:c r="I1011" s="339" t="str">
        <x:v>the system validates the request, saves it atomically, shows a clear confirmation and reflects the updated state</x:v>
      </x:c>
      <x:c r="J1011" s="339" t="str">
        <x:v>Positive</x:v>
      </x:c>
      <x:c r="K1011" s="339" t="str">
        <x:v>Functional</x:v>
      </x:c>
    </x:row>
    <x:row r="1012">
      <x:c r="A1012" s="339" t="str">
        <x:v>AC-01011</x:v>
      </x:c>
      <x:c r="B1012" s="339" t="str">
        <x:v>US-0253</x:v>
      </x:c>
      <x:c r="C1012" s="339" t="str">
        <x:v>SCR-127</x:v>
      </x:c>
      <x:c r="D1012" s="339" t="str">
        <x:v>Timetable &amp; Substitution</x:v>
      </x:c>
      <x:c r="E1012" s="339" t="str">
        <x:v>Substitution / Replacement</x:v>
      </x:c>
      <x:c r="F1012" s="339" t="str">
        <x:v>State and dependency integrity</x:v>
      </x:c>
      <x:c r="G1012" s="339" t="str">
        <x:v>the current record is in an allowed state (Draft → Validated → Published → Revised / Archived)</x:v>
      </x:c>
      <x:c r="H1012" s="339" t="str">
        <x:v>the user attempts a state-changing action</x:v>
      </x:c>
      <x:c r="I1012" s="339" t="str">
        <x:v>only a valid transition is accepted and dependent records are updated according to configured business rules</x:v>
      </x:c>
      <x:c r="J1012" s="339" t="str">
        <x:v>Positive</x:v>
      </x:c>
      <x:c r="K1012" s="339" t="str">
        <x:v>Functional</x:v>
      </x:c>
    </x:row>
    <x:row r="1013">
      <x:c r="A1013" s="339" t="str">
        <x:v>AC-01012</x:v>
      </x:c>
      <x:c r="B1013" s="339" t="str">
        <x:v>US-0253</x:v>
      </x:c>
      <x:c r="C1013" s="339" t="str">
        <x:v>SCR-127</x:v>
      </x:c>
      <x:c r="D1013" s="339" t="str">
        <x:v>Timetable &amp; Substitution</x:v>
      </x:c>
      <x:c r="E1013" s="339" t="str">
        <x:v>Substitution / Replacement</x:v>
      </x:c>
      <x:c r="F1013" s="339" t="str">
        <x:v>Auditability</x:v>
      </x:c>
      <x:c r="G1013" s="339" t="str">
        <x:v>a material create/update/approve/reverse action occurs</x:v>
      </x:c>
      <x:c r="H1013" s="339" t="str">
        <x:v>the transaction succeeds</x:v>
      </x:c>
      <x:c r="I1013" s="339" t="str">
        <x:v>the system records actor, timestamp, action, target and relevant before/after or reason context in the audit trail</x:v>
      </x:c>
      <x:c r="J1013" s="339" t="str">
        <x:v>Positive</x:v>
      </x:c>
      <x:c r="K1013" s="339" t="str">
        <x:v>Functional</x:v>
      </x:c>
    </x:row>
    <x:row r="1014">
      <x:c r="A1014" s="339" t="str">
        <x:v>AC-01013</x:v>
      </x:c>
      <x:c r="B1014" s="339" t="str">
        <x:v>US-0254</x:v>
      </x:c>
      <x:c r="C1014" s="339" t="str">
        <x:v>SCR-127</x:v>
      </x:c>
      <x:c r="D1014" s="339" t="str">
        <x:v>Timetable &amp; Substitution</x:v>
      </x:c>
      <x:c r="E1014" s="339" t="str">
        <x:v>Substitution / Replacement</x:v>
      </x:c>
      <x:c r="F1014" s="339" t="str">
        <x:v>Valid status transition</x:v>
      </x:c>
      <x:c r="G1014" s="339" t="str">
        <x:v>the record is in a state described by Draft → Validated → Published → Revised / Archived</x:v>
      </x:c>
      <x:c r="H1014" s="339" t="str">
        <x:v>the user requests a transition</x:v>
      </x:c>
      <x:c r="I1014" s="339" t="str">
        <x:v>the system accepts only transitions allowed for that role and state</x:v>
      </x:c>
      <x:c r="J1014" s="339" t="str">
        <x:v>Positive</x:v>
      </x:c>
      <x:c r="K1014" s="339" t="str">
        <x:v>Functional</x:v>
      </x:c>
    </x:row>
    <x:row r="1015">
      <x:c r="A1015" s="339" t="str">
        <x:v>AC-01014</x:v>
      </x:c>
      <x:c r="B1015" s="339" t="str">
        <x:v>US-0254</x:v>
      </x:c>
      <x:c r="C1015" s="339" t="str">
        <x:v>SCR-127</x:v>
      </x:c>
      <x:c r="D1015" s="339" t="str">
        <x:v>Timetable &amp; Substitution</x:v>
      </x:c>
      <x:c r="E1015" s="339" t="str">
        <x:v>Substitution / Replacement</x:v>
      </x:c>
      <x:c r="F1015" s="339" t="str">
        <x:v>Approval authority</x:v>
      </x:c>
      <x:c r="G1015" s="339" t="str">
        <x:v>an action requires approval</x:v>
      </x:c>
      <x:c r="H1015" s="339" t="str">
        <x:v>a non-authorized user attempts approval/rejection</x:v>
      </x:c>
      <x:c r="I1015" s="339" t="str">
        <x:v>the system denies the decision and does not change status</x:v>
      </x:c>
      <x:c r="J1015" s="339" t="str">
        <x:v>Negative</x:v>
      </x:c>
      <x:c r="K1015" s="339" t="str">
        <x:v>Functional</x:v>
      </x:c>
    </x:row>
    <x:row r="1016">
      <x:c r="A1016" s="339" t="str">
        <x:v>AC-01015</x:v>
      </x:c>
      <x:c r="B1016" s="339" t="str">
        <x:v>US-0254</x:v>
      </x:c>
      <x:c r="C1016" s="339" t="str">
        <x:v>SCR-127</x:v>
      </x:c>
      <x:c r="D1016" s="339" t="str">
        <x:v>Timetable &amp; Substitution</x:v>
      </x:c>
      <x:c r="E1016" s="339" t="str">
        <x:v>Substitution / Replacement</x:v>
      </x:c>
      <x:c r="F1016" s="339" t="str">
        <x:v>Failure rollback</x:v>
      </x:c>
      <x:c r="G1016" s="339" t="str">
        <x:v>a downstream dependency fails during a multi-step transaction</x:v>
      </x:c>
      <x:c r="H1016" s="339" t="str">
        <x:v>the workflow executes</x:v>
      </x:c>
      <x:c r="I1016" s="339" t="str">
        <x:v>the system does not leave an invalid partial final state and surfaces a recoverable error</x:v>
      </x:c>
      <x:c r="J1016" s="339" t="str">
        <x:v>Positive</x:v>
      </x:c>
      <x:c r="K1016" s="339" t="str">
        <x:v>Functional</x:v>
      </x:c>
    </x:row>
    <x:row r="1017">
      <x:c r="A1017" s="339" t="str">
        <x:v>AC-01016</x:v>
      </x:c>
      <x:c r="B1017" s="339" t="str">
        <x:v>US-0254</x:v>
      </x:c>
      <x:c r="C1017" s="339" t="str">
        <x:v>SCR-127</x:v>
      </x:c>
      <x:c r="D1017" s="339" t="str">
        <x:v>Timetable &amp; Substitution</x:v>
      </x:c>
      <x:c r="E1017" s="339" t="str">
        <x:v>Substitution / Replacement</x:v>
      </x:c>
      <x:c r="F1017" s="339" t="str">
        <x:v>Exception traceability</x:v>
      </x:c>
      <x:c r="G1017" s="339" t="str">
        <x:v>an authorized override/exception is used</x:v>
      </x:c>
      <x:c r="H1017" s="339" t="str">
        <x:v>the action is confirmed</x:v>
      </x:c>
      <x:c r="I1017" s="339" t="str">
        <x:v>the system requires reason/context and records it in the audit history</x:v>
      </x:c>
      <x:c r="J1017" s="339" t="str">
        <x:v>Positive</x:v>
      </x:c>
      <x:c r="K1017" s="339" t="str">
        <x:v>Functional</x:v>
      </x:c>
    </x:row>
    <x:row r="1018">
      <x:c r="A1018" s="339" t="str">
        <x:v>AC-01017</x:v>
      </x:c>
      <x:c r="B1018" s="339" t="str">
        <x:v>US-0255</x:v>
      </x:c>
      <x:c r="C1018" s="339" t="str">
        <x:v>SCR-128</x:v>
      </x:c>
      <x:c r="D1018" s="339" t="str">
        <x:v>Homework &amp; Assignments</x:v>
      </x:c>
      <x:c r="E1018" s="339" t="str">
        <x:v>Homework List</x:v>
      </x:c>
      <x:c r="F1018" s="339" t="str">
        <x:v>Authorized access to Homework List</x:v>
      </x:c>
      <x:c r="G1018" s="339" t="str">
        <x:v>the Teacher is authenticated and has access to Homework List</x:v>
      </x:c>
      <x:c r="H1018" s="339" t="str">
        <x:v>the user opens or invokes Homework List</x:v>
      </x:c>
      <x:c r="I1018" s="339" t="str">
        <x:v>the system loads only records and actions within the user's permitted tenant/school/data scope</x:v>
      </x:c>
      <x:c r="J1018" s="339" t="str">
        <x:v>Positive</x:v>
      </x:c>
      <x:c r="K1018" s="339" t="str">
        <x:v>Functional / Security</x:v>
      </x:c>
    </x:row>
    <x:row r="1019">
      <x:c r="A1019" s="339" t="str">
        <x:v>AC-01018</x:v>
      </x:c>
      <x:c r="B1019" s="339" t="str">
        <x:v>US-0255</x:v>
      </x:c>
      <x:c r="C1019" s="339" t="str">
        <x:v>SCR-128</x:v>
      </x:c>
      <x:c r="D1019" s="339" t="str">
        <x:v>Homework &amp; Assignments</x:v>
      </x:c>
      <x:c r="E1019" s="339" t="str">
        <x:v>Homework List</x:v>
      </x:c>
      <x:c r="F1019" s="339" t="str">
        <x:v>Successful Homework List happy path</x:v>
      </x:c>
      <x:c r="G1019" s="339" t="str">
        <x:v>all mandatory prerequisites and valid data are available</x:v>
      </x:c>
      <x:c r="H1019" s="339" t="str">
        <x:v>the Teacher completes the primary action on Homework List</x:v>
      </x:c>
      <x:c r="I1019" s="339" t="str">
        <x:v>the system validates the request, saves it atomically, shows a clear confirmation and reflects the updated state</x:v>
      </x:c>
      <x:c r="J1019" s="339" t="str">
        <x:v>Positive</x:v>
      </x:c>
      <x:c r="K1019" s="339" t="str">
        <x:v>Functional</x:v>
      </x:c>
    </x:row>
    <x:row r="1020">
      <x:c r="A1020" s="339" t="str">
        <x:v>AC-01019</x:v>
      </x:c>
      <x:c r="B1020" s="339" t="str">
        <x:v>US-0255</x:v>
      </x:c>
      <x:c r="C1020" s="339" t="str">
        <x:v>SCR-128</x:v>
      </x:c>
      <x:c r="D1020" s="339" t="str">
        <x:v>Homework &amp; Assignments</x:v>
      </x:c>
      <x:c r="E1020" s="339" t="str">
        <x:v>Homework List</x:v>
      </x:c>
      <x:c r="F1020" s="339" t="str">
        <x:v>State and dependency integrity</x:v>
      </x:c>
      <x:c r="G1020" s="339" t="str">
        <x:v>the current record is in an allowed state (Draft → Published → Submitted / Late / Missing → Evaluated → Returned / Closed)</x:v>
      </x:c>
      <x:c r="H1020" s="339" t="str">
        <x:v>the user attempts a state-changing action</x:v>
      </x:c>
      <x:c r="I1020" s="339" t="str">
        <x:v>only a valid transition is accepted and dependent records are updated according to configured business rules</x:v>
      </x:c>
      <x:c r="J1020" s="339" t="str">
        <x:v>Positive</x:v>
      </x:c>
      <x:c r="K1020" s="339" t="str">
        <x:v>Functional</x:v>
      </x:c>
    </x:row>
    <x:row r="1021">
      <x:c r="A1021" s="339" t="str">
        <x:v>AC-01020</x:v>
      </x:c>
      <x:c r="B1021" s="339" t="str">
        <x:v>US-0255</x:v>
      </x:c>
      <x:c r="C1021" s="339" t="str">
        <x:v>SCR-128</x:v>
      </x:c>
      <x:c r="D1021" s="339" t="str">
        <x:v>Homework &amp; Assignments</x:v>
      </x:c>
      <x:c r="E1021" s="339" t="str">
        <x:v>Homework List</x:v>
      </x:c>
      <x:c r="F1021" s="339" t="str">
        <x:v>Auditability</x:v>
      </x:c>
      <x:c r="G1021" s="339" t="str">
        <x:v>a material create/update/approve/reverse action occurs</x:v>
      </x:c>
      <x:c r="H1021" s="339" t="str">
        <x:v>the transaction succeeds</x:v>
      </x:c>
      <x:c r="I1021" s="339" t="str">
        <x:v>the system records actor, timestamp, action, target and relevant before/after or reason context in the audit trail</x:v>
      </x:c>
      <x:c r="J1021" s="339" t="str">
        <x:v>Positive</x:v>
      </x:c>
      <x:c r="K1021" s="339" t="str">
        <x:v>Functional</x:v>
      </x:c>
    </x:row>
    <x:row r="1022">
      <x:c r="A1022" s="339" t="str">
        <x:v>AC-01021</x:v>
      </x:c>
      <x:c r="B1022" s="339" t="str">
        <x:v>US-0256</x:v>
      </x:c>
      <x:c r="C1022" s="339" t="str">
        <x:v>SCR-128</x:v>
      </x:c>
      <x:c r="D1022" s="339" t="str">
        <x:v>Homework &amp; Assignments</x:v>
      </x:c>
      <x:c r="E1022" s="339" t="str">
        <x:v>Homework List</x:v>
      </x:c>
      <x:c r="F1022" s="339" t="str">
        <x:v>Search and filtering</x:v>
      </x:c>
      <x:c r="G1022" s="339" t="str">
        <x:v>authorized records exist across multiple values</x:v>
      </x:c>
      <x:c r="H1022" s="339" t="str">
        <x:v>the user applies search, filters, sorting or pagination</x:v>
      </x:c>
      <x:c r="I1022" s="339" t="str">
        <x:v>the results match all selected criteria and remain within the user's data scope</x:v>
      </x:c>
      <x:c r="J1022" s="339" t="str">
        <x:v>Positive</x:v>
      </x:c>
      <x:c r="K1022" s="339" t="str">
        <x:v>Functional</x:v>
      </x:c>
    </x:row>
    <x:row r="1023">
      <x:c r="A1023" s="339" t="str">
        <x:v>AC-01022</x:v>
      </x:c>
      <x:c r="B1023" s="339" t="str">
        <x:v>US-0256</x:v>
      </x:c>
      <x:c r="C1023" s="339" t="str">
        <x:v>SCR-128</x:v>
      </x:c>
      <x:c r="D1023" s="339" t="str">
        <x:v>Homework &amp; Assignments</x:v>
      </x:c>
      <x:c r="E1023" s="339" t="str">
        <x:v>Homework List</x:v>
      </x:c>
      <x:c r="F1023" s="339" t="str">
        <x:v>Controlled row actions</x:v>
      </x:c>
      <x:c r="G1023" s="339" t="str">
        <x:v>records are returned in the list</x:v>
      </x:c>
      <x:c r="H1023" s="339" t="str">
        <x:v>the user opens the action menu</x:v>
      </x:c>
      <x:c r="I1023" s="339" t="str">
        <x:v>only actions permitted for the user's role and the record's current state are offered</x:v>
      </x:c>
      <x:c r="J1023" s="339" t="str">
        <x:v>Positive</x:v>
      </x:c>
      <x:c r="K1023" s="339" t="str">
        <x:v>Functional</x:v>
      </x:c>
    </x:row>
    <x:row r="1024">
      <x:c r="A1024" s="339" t="str">
        <x:v>AC-01023</x:v>
      </x:c>
      <x:c r="B1024" s="339" t="str">
        <x:v>US-0256</x:v>
      </x:c>
      <x:c r="C1024" s="339" t="str">
        <x:v>SCR-128</x:v>
      </x:c>
      <x:c r="D1024" s="339" t="str">
        <x:v>Homework &amp; Assignments</x:v>
      </x:c>
      <x:c r="E1024" s="339" t="str">
        <x:v>Homework List</x:v>
      </x:c>
      <x:c r="F1024" s="339" t="str">
        <x:v>Empty/no-result handling</x:v>
      </x:c>
      <x:c r="G1024" s="339" t="str">
        <x:v>no record matches the current criteria</x:v>
      </x:c>
      <x:c r="H1024" s="339" t="str">
        <x:v>the query completes</x:v>
      </x:c>
      <x:c r="I1024" s="339" t="str">
        <x:v>the system shows a clear empty state without treating it as an application error</x:v>
      </x:c>
      <x:c r="J1024" s="339" t="str">
        <x:v>Positive</x:v>
      </x:c>
      <x:c r="K1024" s="339" t="str">
        <x:v>Functional</x:v>
      </x:c>
    </x:row>
    <x:row r="1025">
      <x:c r="A1025" s="339" t="str">
        <x:v>AC-01024</x:v>
      </x:c>
      <x:c r="B1025" s="339" t="str">
        <x:v>US-0256</x:v>
      </x:c>
      <x:c r="C1025" s="339" t="str">
        <x:v>SCR-128</x:v>
      </x:c>
      <x:c r="D1025" s="339" t="str">
        <x:v>Homework &amp; Assignments</x:v>
      </x:c>
      <x:c r="E1025" s="339" t="str">
        <x:v>Homework List</x:v>
      </x:c>
      <x:c r="F1025" s="339" t="str">
        <x:v>Export scope</x:v>
      </x:c>
      <x:c r="G1025" s="339" t="str">
        <x:v>the user has export permission</x:v>
      </x:c>
      <x:c r="H1025" s="339" t="str">
        <x:v>the user exports the filtered list</x:v>
      </x:c>
      <x:c r="I1025" s="339" t="str">
        <x:v>the export contains the same authorized filter scope and excludes restricted fields</x:v>
      </x:c>
      <x:c r="J1025" s="339" t="str">
        <x:v>Positive</x:v>
      </x:c>
      <x:c r="K1025" s="339" t="str">
        <x:v>Functional</x:v>
      </x:c>
    </x:row>
    <x:row r="1026">
      <x:c r="A1026" s="339" t="str">
        <x:v>AC-01025</x:v>
      </x:c>
      <x:c r="B1026" s="339" t="str">
        <x:v>US-0257</x:v>
      </x:c>
      <x:c r="C1026" s="339" t="str">
        <x:v>SCR-129</x:v>
      </x:c>
      <x:c r="D1026" s="339" t="str">
        <x:v>Homework &amp; Assignments</x:v>
      </x:c>
      <x:c r="E1026" s="339" t="str">
        <x:v>Create Homework</x:v>
      </x:c>
      <x:c r="F1026" s="339" t="str">
        <x:v>Authorized access to Create Homework</x:v>
      </x:c>
      <x:c r="G1026" s="339" t="str">
        <x:v>the Teacher is authenticated and has access to Create Homework</x:v>
      </x:c>
      <x:c r="H1026" s="339" t="str">
        <x:v>the user opens or invokes Create Homework</x:v>
      </x:c>
      <x:c r="I1026" s="339" t="str">
        <x:v>the system loads only records and actions within the user's permitted tenant/school/data scope</x:v>
      </x:c>
      <x:c r="J1026" s="339" t="str">
        <x:v>Positive</x:v>
      </x:c>
      <x:c r="K1026" s="339" t="str">
        <x:v>Functional / Security</x:v>
      </x:c>
    </x:row>
    <x:row r="1027">
      <x:c r="A1027" s="339" t="str">
        <x:v>AC-01026</x:v>
      </x:c>
      <x:c r="B1027" s="339" t="str">
        <x:v>US-0257</x:v>
      </x:c>
      <x:c r="C1027" s="339" t="str">
        <x:v>SCR-129</x:v>
      </x:c>
      <x:c r="D1027" s="339" t="str">
        <x:v>Homework &amp; Assignments</x:v>
      </x:c>
      <x:c r="E1027" s="339" t="str">
        <x:v>Create Homework</x:v>
      </x:c>
      <x:c r="F1027" s="339" t="str">
        <x:v>Successful Create Homework happy path</x:v>
      </x:c>
      <x:c r="G1027" s="339" t="str">
        <x:v>all mandatory prerequisites and valid data are available</x:v>
      </x:c>
      <x:c r="H1027" s="339" t="str">
        <x:v>the Teacher completes the primary action on Create Homework</x:v>
      </x:c>
      <x:c r="I1027" s="339" t="str">
        <x:v>the system validates the request, saves it atomically, shows a clear confirmation and reflects the updated state</x:v>
      </x:c>
      <x:c r="J1027" s="339" t="str">
        <x:v>Positive</x:v>
      </x:c>
      <x:c r="K1027" s="339" t="str">
        <x:v>Functional</x:v>
      </x:c>
    </x:row>
    <x:row r="1028">
      <x:c r="A1028" s="339" t="str">
        <x:v>AC-01027</x:v>
      </x:c>
      <x:c r="B1028" s="339" t="str">
        <x:v>US-0257</x:v>
      </x:c>
      <x:c r="C1028" s="339" t="str">
        <x:v>SCR-129</x:v>
      </x:c>
      <x:c r="D1028" s="339" t="str">
        <x:v>Homework &amp; Assignments</x:v>
      </x:c>
      <x:c r="E1028" s="339" t="str">
        <x:v>Create Homework</x:v>
      </x:c>
      <x:c r="F1028" s="339" t="str">
        <x:v>State and dependency integrity</x:v>
      </x:c>
      <x:c r="G1028" s="339" t="str">
        <x:v>the current record is in an allowed state (Draft → Published → Submitted / Late / Missing → Evaluated → Returned / Closed)</x:v>
      </x:c>
      <x:c r="H1028" s="339" t="str">
        <x:v>the user attempts a state-changing action</x:v>
      </x:c>
      <x:c r="I1028" s="339" t="str">
        <x:v>only a valid transition is accepted and dependent records are updated according to configured business rules</x:v>
      </x:c>
      <x:c r="J1028" s="339" t="str">
        <x:v>Positive</x:v>
      </x:c>
      <x:c r="K1028" s="339" t="str">
        <x:v>Functional</x:v>
      </x:c>
    </x:row>
    <x:row r="1029">
      <x:c r="A1029" s="339" t="str">
        <x:v>AC-01028</x:v>
      </x:c>
      <x:c r="B1029" s="339" t="str">
        <x:v>US-0257</x:v>
      </x:c>
      <x:c r="C1029" s="339" t="str">
        <x:v>SCR-129</x:v>
      </x:c>
      <x:c r="D1029" s="339" t="str">
        <x:v>Homework &amp; Assignments</x:v>
      </x:c>
      <x:c r="E1029" s="339" t="str">
        <x:v>Create Homework</x:v>
      </x:c>
      <x:c r="F1029" s="339" t="str">
        <x:v>Auditability</x:v>
      </x:c>
      <x:c r="G1029" s="339" t="str">
        <x:v>a material create/update/approve/reverse action occurs</x:v>
      </x:c>
      <x:c r="H1029" s="339" t="str">
        <x:v>the transaction succeeds</x:v>
      </x:c>
      <x:c r="I1029" s="339" t="str">
        <x:v>the system records actor, timestamp, action, target and relevant before/after or reason context in the audit trail</x:v>
      </x:c>
      <x:c r="J1029" s="339" t="str">
        <x:v>Positive</x:v>
      </x:c>
      <x:c r="K1029" s="339" t="str">
        <x:v>Functional</x:v>
      </x:c>
    </x:row>
    <x:row r="1030">
      <x:c r="A1030" s="339" t="str">
        <x:v>AC-01029</x:v>
      </x:c>
      <x:c r="B1030" s="339" t="str">
        <x:v>US-0258</x:v>
      </x:c>
      <x:c r="C1030" s="339" t="str">
        <x:v>SCR-129</x:v>
      </x:c>
      <x:c r="D1030" s="339" t="str">
        <x:v>Homework &amp; Assignments</x:v>
      </x:c>
      <x:c r="E1030" s="339" t="str">
        <x:v>Create Homework</x:v>
      </x:c>
      <x:c r="F1030" s="339" t="str">
        <x:v>Required-field validation</x:v>
      </x:c>
      <x:c r="G1030" s="339" t="str">
        <x:v>one or more required values are missing/invalid</x:v>
      </x:c>
      <x:c r="H1030" s="339" t="str">
        <x:v>the user submits the form</x:v>
      </x:c>
      <x:c r="I1030" s="339" t="str">
        <x:v>submission is blocked and field-level messages identify what must be corrected</x:v>
      </x:c>
      <x:c r="J1030" s="339" t="str">
        <x:v>Positive</x:v>
      </x:c>
      <x:c r="K1030" s="339" t="str">
        <x:v>Functional</x:v>
      </x:c>
    </x:row>
    <x:row r="1031">
      <x:c r="A1031" s="339" t="str">
        <x:v>AC-01030</x:v>
      </x:c>
      <x:c r="B1031" s="339" t="str">
        <x:v>US-0258</x:v>
      </x:c>
      <x:c r="C1031" s="339" t="str">
        <x:v>SCR-129</x:v>
      </x:c>
      <x:c r="D1031" s="339" t="str">
        <x:v>Homework &amp; Assignments</x:v>
      </x:c>
      <x:c r="E1031" s="339" t="str">
        <x:v>Create Homework</x:v>
      </x:c>
      <x:c r="F1031" s="339" t="str">
        <x:v>Duplicate prevention</x:v>
      </x:c>
      <x:c r="G1031" s="339" t="str">
        <x:v>a potentially duplicate record exists</x:v>
      </x:c>
      <x:c r="H1031" s="339" t="str">
        <x:v>the user submits matching identity/master data</x:v>
      </x:c>
      <x:c r="I1031" s="339" t="str">
        <x:v>the system blocks or warns according to configured duplicate policy before creating another record</x:v>
      </x:c>
      <x:c r="J1031" s="339" t="str">
        <x:v>Negative</x:v>
      </x:c>
      <x:c r="K1031" s="339" t="str">
        <x:v>Functional</x:v>
      </x:c>
    </x:row>
    <x:row r="1032">
      <x:c r="A1032" s="339" t="str">
        <x:v>AC-01031</x:v>
      </x:c>
      <x:c r="B1032" s="339" t="str">
        <x:v>US-0258</x:v>
      </x:c>
      <x:c r="C1032" s="339" t="str">
        <x:v>SCR-129</x:v>
      </x:c>
      <x:c r="D1032" s="339" t="str">
        <x:v>Homework &amp; Assignments</x:v>
      </x:c>
      <x:c r="E1032" s="339" t="str">
        <x:v>Create Homework</x:v>
      </x:c>
      <x:c r="F1032" s="339" t="str">
        <x:v>Reference-data integrity</x:v>
      </x:c>
      <x:c r="G1032" s="339" t="str">
        <x:v>the form contains master-data selections</x:v>
      </x:c>
      <x:c r="H1032" s="339" t="str">
        <x:v>the user submits</x:v>
      </x:c>
      <x:c r="I1032" s="339" t="str">
        <x:v>all referenced values are active, effective and within the user's scope at the time of save</x:v>
      </x:c>
      <x:c r="J1032" s="339" t="str">
        <x:v>Positive</x:v>
      </x:c>
      <x:c r="K1032" s="339" t="str">
        <x:v>Functional</x:v>
      </x:c>
    </x:row>
    <x:row r="1033">
      <x:c r="A1033" s="339" t="str">
        <x:v>AC-01032</x:v>
      </x:c>
      <x:c r="B1033" s="339" t="str">
        <x:v>US-0258</x:v>
      </x:c>
      <x:c r="C1033" s="339" t="str">
        <x:v>SCR-129</x:v>
      </x:c>
      <x:c r="D1033" s="339" t="str">
        <x:v>Homework &amp; Assignments</x:v>
      </x:c>
      <x:c r="E1033" s="339" t="str">
        <x:v>Create Homework</x:v>
      </x:c>
      <x:c r="F1033" s="339" t="str">
        <x:v>Retry safety</x:v>
      </x:c>
      <x:c r="G1033" s="339" t="str">
        <x:v>a network retry or repeated click occurs</x:v>
      </x:c>
      <x:c r="H1033" s="339" t="str">
        <x:v>the same transaction is submitted again</x:v>
      </x:c>
      <x:c r="I1033" s="339" t="str">
        <x:v>the system prevents unintended duplicate transactions through idempotency or duplicate detection</x:v>
      </x:c>
      <x:c r="J1033" s="339" t="str">
        <x:v>Positive</x:v>
      </x:c>
      <x:c r="K1033" s="339" t="str">
        <x:v>Functional</x:v>
      </x:c>
    </x:row>
    <x:row r="1034">
      <x:c r="A1034" s="339" t="str">
        <x:v>AC-01033</x:v>
      </x:c>
      <x:c r="B1034" s="339" t="str">
        <x:v>US-0259</x:v>
      </x:c>
      <x:c r="C1034" s="339" t="str">
        <x:v>SCR-130</x:v>
      </x:c>
      <x:c r="D1034" s="339" t="str">
        <x:v>Homework &amp; Assignments</x:v>
      </x:c>
      <x:c r="E1034" s="339" t="str">
        <x:v>Homework Details</x:v>
      </x:c>
      <x:c r="F1034" s="339" t="str">
        <x:v>Authorized access to Homework Details</x:v>
      </x:c>
      <x:c r="G1034" s="339" t="str">
        <x:v>the Teacher is authenticated and has access to Homework Details</x:v>
      </x:c>
      <x:c r="H1034" s="339" t="str">
        <x:v>the user opens or invokes Homework Details</x:v>
      </x:c>
      <x:c r="I1034" s="339" t="str">
        <x:v>the system loads only records and actions within the user's permitted tenant/school/data scope</x:v>
      </x:c>
      <x:c r="J1034" s="339" t="str">
        <x:v>Positive</x:v>
      </x:c>
      <x:c r="K1034" s="339" t="str">
        <x:v>Functional / Security</x:v>
      </x:c>
    </x:row>
    <x:row r="1035">
      <x:c r="A1035" s="339" t="str">
        <x:v>AC-01034</x:v>
      </x:c>
      <x:c r="B1035" s="339" t="str">
        <x:v>US-0259</x:v>
      </x:c>
      <x:c r="C1035" s="339" t="str">
        <x:v>SCR-130</x:v>
      </x:c>
      <x:c r="D1035" s="339" t="str">
        <x:v>Homework &amp; Assignments</x:v>
      </x:c>
      <x:c r="E1035" s="339" t="str">
        <x:v>Homework Details</x:v>
      </x:c>
      <x:c r="F1035" s="339" t="str">
        <x:v>Successful Homework Details happy path</x:v>
      </x:c>
      <x:c r="G1035" s="339" t="str">
        <x:v>all mandatory prerequisites and valid data are available</x:v>
      </x:c>
      <x:c r="H1035" s="339" t="str">
        <x:v>the Teacher completes the primary action on Homework Details</x:v>
      </x:c>
      <x:c r="I1035" s="339" t="str">
        <x:v>the system validates the request, saves it atomically, shows a clear confirmation and reflects the updated state</x:v>
      </x:c>
      <x:c r="J1035" s="339" t="str">
        <x:v>Positive</x:v>
      </x:c>
      <x:c r="K1035" s="339" t="str">
        <x:v>Functional</x:v>
      </x:c>
    </x:row>
    <x:row r="1036">
      <x:c r="A1036" s="339" t="str">
        <x:v>AC-01035</x:v>
      </x:c>
      <x:c r="B1036" s="339" t="str">
        <x:v>US-0259</x:v>
      </x:c>
      <x:c r="C1036" s="339" t="str">
        <x:v>SCR-130</x:v>
      </x:c>
      <x:c r="D1036" s="339" t="str">
        <x:v>Homework &amp; Assignments</x:v>
      </x:c>
      <x:c r="E1036" s="339" t="str">
        <x:v>Homework Details</x:v>
      </x:c>
      <x:c r="F1036" s="339" t="str">
        <x:v>State and dependency integrity</x:v>
      </x:c>
      <x:c r="G1036" s="339" t="str">
        <x:v>the current record is in an allowed state (Draft → Published → Submitted / Late / Missing → Evaluated → Returned / Closed)</x:v>
      </x:c>
      <x:c r="H1036" s="339" t="str">
        <x:v>the user attempts a state-changing action</x:v>
      </x:c>
      <x:c r="I1036" s="339" t="str">
        <x:v>only a valid transition is accepted and dependent records are updated according to configured business rules</x:v>
      </x:c>
      <x:c r="J1036" s="339" t="str">
        <x:v>Positive</x:v>
      </x:c>
      <x:c r="K1036" s="339" t="str">
        <x:v>Functional</x:v>
      </x:c>
    </x:row>
    <x:row r="1037">
      <x:c r="A1037" s="339" t="str">
        <x:v>AC-01036</x:v>
      </x:c>
      <x:c r="B1037" s="339" t="str">
        <x:v>US-0259</x:v>
      </x:c>
      <x:c r="C1037" s="339" t="str">
        <x:v>SCR-130</x:v>
      </x:c>
      <x:c r="D1037" s="339" t="str">
        <x:v>Homework &amp; Assignments</x:v>
      </x:c>
      <x:c r="E1037" s="339" t="str">
        <x:v>Homework Details</x:v>
      </x:c>
      <x:c r="F1037" s="339" t="str">
        <x:v>Auditability</x:v>
      </x:c>
      <x:c r="G1037" s="339" t="str">
        <x:v>a material create/update/approve/reverse action occurs</x:v>
      </x:c>
      <x:c r="H1037" s="339" t="str">
        <x:v>the transaction succeeds</x:v>
      </x:c>
      <x:c r="I1037" s="339" t="str">
        <x:v>the system records actor, timestamp, action, target and relevant before/after or reason context in the audit trail</x:v>
      </x:c>
      <x:c r="J1037" s="339" t="str">
        <x:v>Positive</x:v>
      </x:c>
      <x:c r="K1037" s="339" t="str">
        <x:v>Functional</x:v>
      </x:c>
    </x:row>
    <x:row r="1038">
      <x:c r="A1038" s="339" t="str">
        <x:v>AC-01037</x:v>
      </x:c>
      <x:c r="B1038" s="339" t="str">
        <x:v>US-0260</x:v>
      </x:c>
      <x:c r="C1038" s="339" t="str">
        <x:v>SCR-130</x:v>
      </x:c>
      <x:c r="D1038" s="339" t="str">
        <x:v>Homework &amp; Assignments</x:v>
      </x:c>
      <x:c r="E1038" s="339" t="str">
        <x:v>Homework Details</x:v>
      </x:c>
      <x:c r="F1038" s="339" t="str">
        <x:v>Complete authorized view</x:v>
      </x:c>
      <x:c r="G1038" s="339" t="str">
        <x:v>the record exists and the user is authorized</x:v>
      </x:c>
      <x:c r="H1038" s="339" t="str">
        <x:v>the detail/profile opens</x:v>
      </x:c>
      <x:c r="I1038" s="339" t="str">
        <x:v>the system loads the required summary, relationships and history while masking restricted fields</x:v>
      </x:c>
      <x:c r="J1038" s="339" t="str">
        <x:v>Positive</x:v>
      </x:c>
      <x:c r="K1038" s="339" t="str">
        <x:v>Functional / Security</x:v>
      </x:c>
    </x:row>
    <x:row r="1039">
      <x:c r="A1039" s="339" t="str">
        <x:v>AC-01038</x:v>
      </x:c>
      <x:c r="B1039" s="339" t="str">
        <x:v>US-0260</x:v>
      </x:c>
      <x:c r="C1039" s="339" t="str">
        <x:v>SCR-130</x:v>
      </x:c>
      <x:c r="D1039" s="339" t="str">
        <x:v>Homework &amp; Assignments</x:v>
      </x:c>
      <x:c r="E1039" s="339" t="str">
        <x:v>Homework Details</x:v>
      </x:c>
      <x:c r="F1039" s="339" t="str">
        <x:v>Controlled edit</x:v>
      </x:c>
      <x:c r="G1039" s="339" t="str">
        <x:v>the user has edit permission and the record is editable</x:v>
      </x:c>
      <x:c r="H1039" s="339" t="str">
        <x:v>the user saves a change</x:v>
      </x:c>
      <x:c r="I1039" s="339" t="str">
        <x:v>validation and state rules run before the update is committed</x:v>
      </x:c>
      <x:c r="J1039" s="339" t="str">
        <x:v>Positive</x:v>
      </x:c>
      <x:c r="K1039" s="339" t="str">
        <x:v>Functional</x:v>
      </x:c>
    </x:row>
    <x:row r="1040">
      <x:c r="A1040" s="339" t="str">
        <x:v>AC-01039</x:v>
      </x:c>
      <x:c r="B1040" s="339" t="str">
        <x:v>US-0260</x:v>
      </x:c>
      <x:c r="C1040" s="339" t="str">
        <x:v>SCR-130</x:v>
      </x:c>
      <x:c r="D1040" s="339" t="str">
        <x:v>Homework &amp; Assignments</x:v>
      </x:c>
      <x:c r="E1040" s="339" t="str">
        <x:v>Homework Details</x:v>
      </x:c>
      <x:c r="F1040" s="339" t="str">
        <x:v>Concurrent edit protection</x:v>
      </x:c>
      <x:c r="G1040" s="339" t="str">
        <x:v>another user has changed the record after it was loaded</x:v>
      </x:c>
      <x:c r="H1040" s="339" t="str">
        <x:v>the first user attempts to save stale data</x:v>
      </x:c>
      <x:c r="I1040" s="339" t="str">
        <x:v>the system detects the version conflict or preserves fields safely instead of silently overwriting</x:v>
      </x:c>
      <x:c r="J1040" s="339" t="str">
        <x:v>Positive</x:v>
      </x:c>
      <x:c r="K1040" s="339" t="str">
        <x:v>Functional</x:v>
      </x:c>
    </x:row>
    <x:row r="1041">
      <x:c r="A1041" s="339" t="str">
        <x:v>AC-01040</x:v>
      </x:c>
      <x:c r="B1041" s="339" t="str">
        <x:v>US-0260</x:v>
      </x:c>
      <x:c r="C1041" s="339" t="str">
        <x:v>SCR-130</x:v>
      </x:c>
      <x:c r="D1041" s="339" t="str">
        <x:v>Homework &amp; Assignments</x:v>
      </x:c>
      <x:c r="E1041" s="339" t="str">
        <x:v>Homework Details</x:v>
      </x:c>
      <x:c r="F1041" s="339" t="str">
        <x:v>History retention</x:v>
      </x:c>
      <x:c r="G1041" s="339" t="str">
        <x:v>the record has prior changes/statuses</x:v>
      </x:c>
      <x:c r="H1041" s="339" t="str">
        <x:v>the user views history</x:v>
      </x:c>
      <x:c r="I1041" s="339" t="str">
        <x:v>the audit/activity timeline shows traceable material changes without exposing restricted notes</x:v>
      </x:c>
      <x:c r="J1041" s="339" t="str">
        <x:v>Positive</x:v>
      </x:c>
      <x:c r="K1041" s="339" t="str">
        <x:v>Functional</x:v>
      </x:c>
    </x:row>
    <x:row r="1042">
      <x:c r="A1042" s="339" t="str">
        <x:v>AC-01041</x:v>
      </x:c>
      <x:c r="B1042" s="339" t="str">
        <x:v>US-0261</x:v>
      </x:c>
      <x:c r="C1042" s="339" t="str">
        <x:v>SCR-131</x:v>
      </x:c>
      <x:c r="D1042" s="339" t="str">
        <x:v>Homework &amp; Assignments</x:v>
      </x:c>
      <x:c r="E1042" s="339" t="str">
        <x:v>Student Homework View</x:v>
      </x:c>
      <x:c r="F1042" s="339" t="str">
        <x:v>Authorized access to Student Homework View</x:v>
      </x:c>
      <x:c r="G1042" s="339" t="str">
        <x:v>the Student is authenticated and has access to Student Homework View</x:v>
      </x:c>
      <x:c r="H1042" s="339" t="str">
        <x:v>the user opens or invokes Student Homework View</x:v>
      </x:c>
      <x:c r="I1042" s="339" t="str">
        <x:v>the system loads only records and actions within the user's permitted tenant/school/data scope</x:v>
      </x:c>
      <x:c r="J1042" s="339" t="str">
        <x:v>Positive</x:v>
      </x:c>
      <x:c r="K1042" s="339" t="str">
        <x:v>Functional / Security</x:v>
      </x:c>
    </x:row>
    <x:row r="1043">
      <x:c r="A1043" s="339" t="str">
        <x:v>AC-01042</x:v>
      </x:c>
      <x:c r="B1043" s="339" t="str">
        <x:v>US-0261</x:v>
      </x:c>
      <x:c r="C1043" s="339" t="str">
        <x:v>SCR-131</x:v>
      </x:c>
      <x:c r="D1043" s="339" t="str">
        <x:v>Homework &amp; Assignments</x:v>
      </x:c>
      <x:c r="E1043" s="339" t="str">
        <x:v>Student Homework View</x:v>
      </x:c>
      <x:c r="F1043" s="339" t="str">
        <x:v>Successful Student Homework View happy path</x:v>
      </x:c>
      <x:c r="G1043" s="339" t="str">
        <x:v>all mandatory prerequisites and valid data are available</x:v>
      </x:c>
      <x:c r="H1043" s="339" t="str">
        <x:v>the Student completes the primary action on Student Homework View</x:v>
      </x:c>
      <x:c r="I1043" s="339" t="str">
        <x:v>the system validates the request, saves it atomically, shows a clear confirmation and reflects the updated state</x:v>
      </x:c>
      <x:c r="J1043" s="339" t="str">
        <x:v>Positive</x:v>
      </x:c>
      <x:c r="K1043" s="339" t="str">
        <x:v>Functional</x:v>
      </x:c>
    </x:row>
    <x:row r="1044">
      <x:c r="A1044" s="339" t="str">
        <x:v>AC-01043</x:v>
      </x:c>
      <x:c r="B1044" s="339" t="str">
        <x:v>US-0261</x:v>
      </x:c>
      <x:c r="C1044" s="339" t="str">
        <x:v>SCR-131</x:v>
      </x:c>
      <x:c r="D1044" s="339" t="str">
        <x:v>Homework &amp; Assignments</x:v>
      </x:c>
      <x:c r="E1044" s="339" t="str">
        <x:v>Student Homework View</x:v>
      </x:c>
      <x:c r="F1044" s="339" t="str">
        <x:v>State and dependency integrity</x:v>
      </x:c>
      <x:c r="G1044" s="339" t="str">
        <x:v>the current record is in an allowed state (Draft → Published → Submitted / Late / Missing → Evaluated → Returned / Closed)</x:v>
      </x:c>
      <x:c r="H1044" s="339" t="str">
        <x:v>the user attempts a state-changing action</x:v>
      </x:c>
      <x:c r="I1044" s="339" t="str">
        <x:v>only a valid transition is accepted and dependent records are updated according to configured business rules</x:v>
      </x:c>
      <x:c r="J1044" s="339" t="str">
        <x:v>Positive</x:v>
      </x:c>
      <x:c r="K1044" s="339" t="str">
        <x:v>Functional</x:v>
      </x:c>
    </x:row>
    <x:row r="1045">
      <x:c r="A1045" s="339" t="str">
        <x:v>AC-01044</x:v>
      </x:c>
      <x:c r="B1045" s="339" t="str">
        <x:v>US-0261</x:v>
      </x:c>
      <x:c r="C1045" s="339" t="str">
        <x:v>SCR-131</x:v>
      </x:c>
      <x:c r="D1045" s="339" t="str">
        <x:v>Homework &amp; Assignments</x:v>
      </x:c>
      <x:c r="E1045" s="339" t="str">
        <x:v>Student Homework View</x:v>
      </x:c>
      <x:c r="F1045" s="339" t="str">
        <x:v>Auditability</x:v>
      </x:c>
      <x:c r="G1045" s="339" t="str">
        <x:v>a material create/update/approve/reverse action occurs</x:v>
      </x:c>
      <x:c r="H1045" s="339" t="str">
        <x:v>the transaction succeeds</x:v>
      </x:c>
      <x:c r="I1045" s="339" t="str">
        <x:v>the system records actor, timestamp, action, target and relevant before/after or reason context in the audit trail</x:v>
      </x:c>
      <x:c r="J1045" s="339" t="str">
        <x:v>Positive</x:v>
      </x:c>
      <x:c r="K1045" s="339" t="str">
        <x:v>Functional</x:v>
      </x:c>
    </x:row>
    <x:row r="1046">
      <x:c r="A1046" s="339" t="str">
        <x:v>AC-01045</x:v>
      </x:c>
      <x:c r="B1046" s="339" t="str">
        <x:v>US-0262</x:v>
      </x:c>
      <x:c r="C1046" s="339" t="str">
        <x:v>SCR-131</x:v>
      </x:c>
      <x:c r="D1046" s="339" t="str">
        <x:v>Homework &amp; Assignments</x:v>
      </x:c>
      <x:c r="E1046" s="339" t="str">
        <x:v>Student Homework View</x:v>
      </x:c>
      <x:c r="F1046" s="339" t="str">
        <x:v>Valid status transition</x:v>
      </x:c>
      <x:c r="G1046" s="339" t="str">
        <x:v>the record is in a state described by Draft → Published → Submitted / Late / Missing → Evaluated → Returned / Closed</x:v>
      </x:c>
      <x:c r="H1046" s="339" t="str">
        <x:v>the user requests a transition</x:v>
      </x:c>
      <x:c r="I1046" s="339" t="str">
        <x:v>the system accepts only transitions allowed for that role and state</x:v>
      </x:c>
      <x:c r="J1046" s="339" t="str">
        <x:v>Positive</x:v>
      </x:c>
      <x:c r="K1046" s="339" t="str">
        <x:v>Functional</x:v>
      </x:c>
    </x:row>
    <x:row r="1047">
      <x:c r="A1047" s="339" t="str">
        <x:v>AC-01046</x:v>
      </x:c>
      <x:c r="B1047" s="339" t="str">
        <x:v>US-0262</x:v>
      </x:c>
      <x:c r="C1047" s="339" t="str">
        <x:v>SCR-131</x:v>
      </x:c>
      <x:c r="D1047" s="339" t="str">
        <x:v>Homework &amp; Assignments</x:v>
      </x:c>
      <x:c r="E1047" s="339" t="str">
        <x:v>Student Homework View</x:v>
      </x:c>
      <x:c r="F1047" s="339" t="str">
        <x:v>Approval authority</x:v>
      </x:c>
      <x:c r="G1047" s="339" t="str">
        <x:v>an action requires approval</x:v>
      </x:c>
      <x:c r="H1047" s="339" t="str">
        <x:v>a non-authorized user attempts approval/rejection</x:v>
      </x:c>
      <x:c r="I1047" s="339" t="str">
        <x:v>the system denies the decision and does not change status</x:v>
      </x:c>
      <x:c r="J1047" s="339" t="str">
        <x:v>Negative</x:v>
      </x:c>
      <x:c r="K1047" s="339" t="str">
        <x:v>Functional</x:v>
      </x:c>
    </x:row>
    <x:row r="1048">
      <x:c r="A1048" s="339" t="str">
        <x:v>AC-01047</x:v>
      </x:c>
      <x:c r="B1048" s="339" t="str">
        <x:v>US-0262</x:v>
      </x:c>
      <x:c r="C1048" s="339" t="str">
        <x:v>SCR-131</x:v>
      </x:c>
      <x:c r="D1048" s="339" t="str">
        <x:v>Homework &amp; Assignments</x:v>
      </x:c>
      <x:c r="E1048" s="339" t="str">
        <x:v>Student Homework View</x:v>
      </x:c>
      <x:c r="F1048" s="339" t="str">
        <x:v>Failure rollback</x:v>
      </x:c>
      <x:c r="G1048" s="339" t="str">
        <x:v>a downstream dependency fails during a multi-step transaction</x:v>
      </x:c>
      <x:c r="H1048" s="339" t="str">
        <x:v>the workflow executes</x:v>
      </x:c>
      <x:c r="I1048" s="339" t="str">
        <x:v>the system does not leave an invalid partial final state and surfaces a recoverable error</x:v>
      </x:c>
      <x:c r="J1048" s="339" t="str">
        <x:v>Positive</x:v>
      </x:c>
      <x:c r="K1048" s="339" t="str">
        <x:v>Functional</x:v>
      </x:c>
    </x:row>
    <x:row r="1049">
      <x:c r="A1049" s="339" t="str">
        <x:v>AC-01048</x:v>
      </x:c>
      <x:c r="B1049" s="339" t="str">
        <x:v>US-0262</x:v>
      </x:c>
      <x:c r="C1049" s="339" t="str">
        <x:v>SCR-131</x:v>
      </x:c>
      <x:c r="D1049" s="339" t="str">
        <x:v>Homework &amp; Assignments</x:v>
      </x:c>
      <x:c r="E1049" s="339" t="str">
        <x:v>Student Homework View</x:v>
      </x:c>
      <x:c r="F1049" s="339" t="str">
        <x:v>Exception traceability</x:v>
      </x:c>
      <x:c r="G1049" s="339" t="str">
        <x:v>an authorized override/exception is used</x:v>
      </x:c>
      <x:c r="H1049" s="339" t="str">
        <x:v>the action is confirmed</x:v>
      </x:c>
      <x:c r="I1049" s="339" t="str">
        <x:v>the system requires reason/context and records it in the audit history</x:v>
      </x:c>
      <x:c r="J1049" s="339" t="str">
        <x:v>Positive</x:v>
      </x:c>
      <x:c r="K1049" s="339" t="str">
        <x:v>Functional</x:v>
      </x:c>
    </x:row>
    <x:row r="1050">
      <x:c r="A1050" s="339" t="str">
        <x:v>AC-01049</x:v>
      </x:c>
      <x:c r="B1050" s="339" t="str">
        <x:v>US-0263</x:v>
      </x:c>
      <x:c r="C1050" s="339" t="str">
        <x:v>SCR-132</x:v>
      </x:c>
      <x:c r="D1050" s="339" t="str">
        <x:v>Homework &amp; Assignments</x:v>
      </x:c>
      <x:c r="E1050" s="339" t="str">
        <x:v>Homework Submission</x:v>
      </x:c>
      <x:c r="F1050" s="339" t="str">
        <x:v>Authorized access to Homework Submission</x:v>
      </x:c>
      <x:c r="G1050" s="339" t="str">
        <x:v>the Student is authenticated and has access to Homework Submission</x:v>
      </x:c>
      <x:c r="H1050" s="339" t="str">
        <x:v>the user opens or invokes Homework Submission</x:v>
      </x:c>
      <x:c r="I1050" s="339" t="str">
        <x:v>the system loads only records and actions within the user's permitted tenant/school/data scope</x:v>
      </x:c>
      <x:c r="J1050" s="339" t="str">
        <x:v>Positive</x:v>
      </x:c>
      <x:c r="K1050" s="339" t="str">
        <x:v>Functional / Security</x:v>
      </x:c>
    </x:row>
    <x:row r="1051">
      <x:c r="A1051" s="339" t="str">
        <x:v>AC-01050</x:v>
      </x:c>
      <x:c r="B1051" s="339" t="str">
        <x:v>US-0263</x:v>
      </x:c>
      <x:c r="C1051" s="339" t="str">
        <x:v>SCR-132</x:v>
      </x:c>
      <x:c r="D1051" s="339" t="str">
        <x:v>Homework &amp; Assignments</x:v>
      </x:c>
      <x:c r="E1051" s="339" t="str">
        <x:v>Homework Submission</x:v>
      </x:c>
      <x:c r="F1051" s="339" t="str">
        <x:v>Successful Homework Submission happy path</x:v>
      </x:c>
      <x:c r="G1051" s="339" t="str">
        <x:v>all mandatory prerequisites and valid data are available</x:v>
      </x:c>
      <x:c r="H1051" s="339" t="str">
        <x:v>the Student completes the primary action on Homework Submission</x:v>
      </x:c>
      <x:c r="I1051" s="339" t="str">
        <x:v>the system validates the request, saves it atomically, shows a clear confirmation and reflects the updated state</x:v>
      </x:c>
      <x:c r="J1051" s="339" t="str">
        <x:v>Positive</x:v>
      </x:c>
      <x:c r="K1051" s="339" t="str">
        <x:v>Functional</x:v>
      </x:c>
    </x:row>
    <x:row r="1052">
      <x:c r="A1052" s="339" t="str">
        <x:v>AC-01051</x:v>
      </x:c>
      <x:c r="B1052" s="339" t="str">
        <x:v>US-0263</x:v>
      </x:c>
      <x:c r="C1052" s="339" t="str">
        <x:v>SCR-132</x:v>
      </x:c>
      <x:c r="D1052" s="339" t="str">
        <x:v>Homework &amp; Assignments</x:v>
      </x:c>
      <x:c r="E1052" s="339" t="str">
        <x:v>Homework Submission</x:v>
      </x:c>
      <x:c r="F1052" s="339" t="str">
        <x:v>State and dependency integrity</x:v>
      </x:c>
      <x:c r="G1052" s="339" t="str">
        <x:v>the current record is in an allowed state (Draft → Published → Submitted / Late / Missing → Evaluated → Returned / Closed)</x:v>
      </x:c>
      <x:c r="H1052" s="339" t="str">
        <x:v>the user attempts a state-changing action</x:v>
      </x:c>
      <x:c r="I1052" s="339" t="str">
        <x:v>only a valid transition is accepted and dependent records are updated according to configured business rules</x:v>
      </x:c>
      <x:c r="J1052" s="339" t="str">
        <x:v>Positive</x:v>
      </x:c>
      <x:c r="K1052" s="339" t="str">
        <x:v>Functional</x:v>
      </x:c>
    </x:row>
    <x:row r="1053">
      <x:c r="A1053" s="339" t="str">
        <x:v>AC-01052</x:v>
      </x:c>
      <x:c r="B1053" s="339" t="str">
        <x:v>US-0263</x:v>
      </x:c>
      <x:c r="C1053" s="339" t="str">
        <x:v>SCR-132</x:v>
      </x:c>
      <x:c r="D1053" s="339" t="str">
        <x:v>Homework &amp; Assignments</x:v>
      </x:c>
      <x:c r="E1053" s="339" t="str">
        <x:v>Homework Submission</x:v>
      </x:c>
      <x:c r="F1053" s="339" t="str">
        <x:v>Auditability</x:v>
      </x:c>
      <x:c r="G1053" s="339" t="str">
        <x:v>a material create/update/approve/reverse action occurs</x:v>
      </x:c>
      <x:c r="H1053" s="339" t="str">
        <x:v>the transaction succeeds</x:v>
      </x:c>
      <x:c r="I1053" s="339" t="str">
        <x:v>the system records actor, timestamp, action, target and relevant before/after or reason context in the audit trail</x:v>
      </x:c>
      <x:c r="J1053" s="339" t="str">
        <x:v>Positive</x:v>
      </x:c>
      <x:c r="K1053" s="339" t="str">
        <x:v>Functional</x:v>
      </x:c>
    </x:row>
    <x:row r="1054">
      <x:c r="A1054" s="339" t="str">
        <x:v>AC-01053</x:v>
      </x:c>
      <x:c r="B1054" s="339" t="str">
        <x:v>US-0264</x:v>
      </x:c>
      <x:c r="C1054" s="339" t="str">
        <x:v>SCR-132</x:v>
      </x:c>
      <x:c r="D1054" s="339" t="str">
        <x:v>Homework &amp; Assignments</x:v>
      </x:c>
      <x:c r="E1054" s="339" t="str">
        <x:v>Homework Submission</x:v>
      </x:c>
      <x:c r="F1054" s="339" t="str">
        <x:v>Valid status transition</x:v>
      </x:c>
      <x:c r="G1054" s="339" t="str">
        <x:v>the record is in a state described by Draft → Published → Submitted / Late / Missing → Evaluated → Returned / Closed</x:v>
      </x:c>
      <x:c r="H1054" s="339" t="str">
        <x:v>the user requests a transition</x:v>
      </x:c>
      <x:c r="I1054" s="339" t="str">
        <x:v>the system accepts only transitions allowed for that role and state</x:v>
      </x:c>
      <x:c r="J1054" s="339" t="str">
        <x:v>Positive</x:v>
      </x:c>
      <x:c r="K1054" s="339" t="str">
        <x:v>Functional</x:v>
      </x:c>
    </x:row>
    <x:row r="1055">
      <x:c r="A1055" s="339" t="str">
        <x:v>AC-01054</x:v>
      </x:c>
      <x:c r="B1055" s="339" t="str">
        <x:v>US-0264</x:v>
      </x:c>
      <x:c r="C1055" s="339" t="str">
        <x:v>SCR-132</x:v>
      </x:c>
      <x:c r="D1055" s="339" t="str">
        <x:v>Homework &amp; Assignments</x:v>
      </x:c>
      <x:c r="E1055" s="339" t="str">
        <x:v>Homework Submission</x:v>
      </x:c>
      <x:c r="F1055" s="339" t="str">
        <x:v>Approval authority</x:v>
      </x:c>
      <x:c r="G1055" s="339" t="str">
        <x:v>an action requires approval</x:v>
      </x:c>
      <x:c r="H1055" s="339" t="str">
        <x:v>a non-authorized user attempts approval/rejection</x:v>
      </x:c>
      <x:c r="I1055" s="339" t="str">
        <x:v>the system denies the decision and does not change status</x:v>
      </x:c>
      <x:c r="J1055" s="339" t="str">
        <x:v>Negative</x:v>
      </x:c>
      <x:c r="K1055" s="339" t="str">
        <x:v>Functional</x:v>
      </x:c>
    </x:row>
    <x:row r="1056">
      <x:c r="A1056" s="339" t="str">
        <x:v>AC-01055</x:v>
      </x:c>
      <x:c r="B1056" s="339" t="str">
        <x:v>US-0264</x:v>
      </x:c>
      <x:c r="C1056" s="339" t="str">
        <x:v>SCR-132</x:v>
      </x:c>
      <x:c r="D1056" s="339" t="str">
        <x:v>Homework &amp; Assignments</x:v>
      </x:c>
      <x:c r="E1056" s="339" t="str">
        <x:v>Homework Submission</x:v>
      </x:c>
      <x:c r="F1056" s="339" t="str">
        <x:v>Failure rollback</x:v>
      </x:c>
      <x:c r="G1056" s="339" t="str">
        <x:v>a downstream dependency fails during a multi-step transaction</x:v>
      </x:c>
      <x:c r="H1056" s="339" t="str">
        <x:v>the workflow executes</x:v>
      </x:c>
      <x:c r="I1056" s="339" t="str">
        <x:v>the system does not leave an invalid partial final state and surfaces a recoverable error</x:v>
      </x:c>
      <x:c r="J1056" s="339" t="str">
        <x:v>Positive</x:v>
      </x:c>
      <x:c r="K1056" s="339" t="str">
        <x:v>Functional</x:v>
      </x:c>
    </x:row>
    <x:row r="1057">
      <x:c r="A1057" s="339" t="str">
        <x:v>AC-01056</x:v>
      </x:c>
      <x:c r="B1057" s="339" t="str">
        <x:v>US-0264</x:v>
      </x:c>
      <x:c r="C1057" s="339" t="str">
        <x:v>SCR-132</x:v>
      </x:c>
      <x:c r="D1057" s="339" t="str">
        <x:v>Homework &amp; Assignments</x:v>
      </x:c>
      <x:c r="E1057" s="339" t="str">
        <x:v>Homework Submission</x:v>
      </x:c>
      <x:c r="F1057" s="339" t="str">
        <x:v>Exception traceability</x:v>
      </x:c>
      <x:c r="G1057" s="339" t="str">
        <x:v>an authorized override/exception is used</x:v>
      </x:c>
      <x:c r="H1057" s="339" t="str">
        <x:v>the action is confirmed</x:v>
      </x:c>
      <x:c r="I1057" s="339" t="str">
        <x:v>the system requires reason/context and records it in the audit history</x:v>
      </x:c>
      <x:c r="J1057" s="339" t="str">
        <x:v>Positive</x:v>
      </x:c>
      <x:c r="K1057" s="339" t="str">
        <x:v>Functional</x:v>
      </x:c>
    </x:row>
    <x:row r="1058">
      <x:c r="A1058" s="339" t="str">
        <x:v>AC-01057</x:v>
      </x:c>
      <x:c r="B1058" s="339" t="str">
        <x:v>US-0265</x:v>
      </x:c>
      <x:c r="C1058" s="339" t="str">
        <x:v>SCR-133</x:v>
      </x:c>
      <x:c r="D1058" s="339" t="str">
        <x:v>Homework &amp; Assignments</x:v>
      </x:c>
      <x:c r="E1058" s="339" t="str">
        <x:v>Homework Evaluation</x:v>
      </x:c>
      <x:c r="F1058" s="339" t="str">
        <x:v>Authorized access to Homework Evaluation</x:v>
      </x:c>
      <x:c r="G1058" s="339" t="str">
        <x:v>the Teacher is authenticated and has access to Homework Evaluation</x:v>
      </x:c>
      <x:c r="H1058" s="339" t="str">
        <x:v>the user opens or invokes Homework Evaluation</x:v>
      </x:c>
      <x:c r="I1058" s="339" t="str">
        <x:v>the system loads only records and actions within the user's permitted tenant/school/data scope</x:v>
      </x:c>
      <x:c r="J1058" s="339" t="str">
        <x:v>Positive</x:v>
      </x:c>
      <x:c r="K1058" s="339" t="str">
        <x:v>Functional / Security</x:v>
      </x:c>
    </x:row>
    <x:row r="1059">
      <x:c r="A1059" s="339" t="str">
        <x:v>AC-01058</x:v>
      </x:c>
      <x:c r="B1059" s="339" t="str">
        <x:v>US-0265</x:v>
      </x:c>
      <x:c r="C1059" s="339" t="str">
        <x:v>SCR-133</x:v>
      </x:c>
      <x:c r="D1059" s="339" t="str">
        <x:v>Homework &amp; Assignments</x:v>
      </x:c>
      <x:c r="E1059" s="339" t="str">
        <x:v>Homework Evaluation</x:v>
      </x:c>
      <x:c r="F1059" s="339" t="str">
        <x:v>Successful Homework Evaluation happy path</x:v>
      </x:c>
      <x:c r="G1059" s="339" t="str">
        <x:v>all mandatory prerequisites and valid data are available</x:v>
      </x:c>
      <x:c r="H1059" s="339" t="str">
        <x:v>the Teacher completes the primary action on Homework Evaluation</x:v>
      </x:c>
      <x:c r="I1059" s="339" t="str">
        <x:v>the system validates the request, saves it atomically, shows a clear confirmation and reflects the updated state</x:v>
      </x:c>
      <x:c r="J1059" s="339" t="str">
        <x:v>Positive</x:v>
      </x:c>
      <x:c r="K1059" s="339" t="str">
        <x:v>Functional</x:v>
      </x:c>
    </x:row>
    <x:row r="1060">
      <x:c r="A1060" s="339" t="str">
        <x:v>AC-01059</x:v>
      </x:c>
      <x:c r="B1060" s="339" t="str">
        <x:v>US-0265</x:v>
      </x:c>
      <x:c r="C1060" s="339" t="str">
        <x:v>SCR-133</x:v>
      </x:c>
      <x:c r="D1060" s="339" t="str">
        <x:v>Homework &amp; Assignments</x:v>
      </x:c>
      <x:c r="E1060" s="339" t="str">
        <x:v>Homework Evaluation</x:v>
      </x:c>
      <x:c r="F1060" s="339" t="str">
        <x:v>State and dependency integrity</x:v>
      </x:c>
      <x:c r="G1060" s="339" t="str">
        <x:v>the current record is in an allowed state (Draft → Published → Submitted / Late / Missing → Evaluated → Returned / Closed)</x:v>
      </x:c>
      <x:c r="H1060" s="339" t="str">
        <x:v>the user attempts a state-changing action</x:v>
      </x:c>
      <x:c r="I1060" s="339" t="str">
        <x:v>only a valid transition is accepted and dependent records are updated according to configured business rules</x:v>
      </x:c>
      <x:c r="J1060" s="339" t="str">
        <x:v>Positive</x:v>
      </x:c>
      <x:c r="K1060" s="339" t="str">
        <x:v>Functional</x:v>
      </x:c>
    </x:row>
    <x:row r="1061">
      <x:c r="A1061" s="339" t="str">
        <x:v>AC-01060</x:v>
      </x:c>
      <x:c r="B1061" s="339" t="str">
        <x:v>US-0265</x:v>
      </x:c>
      <x:c r="C1061" s="339" t="str">
        <x:v>SCR-133</x:v>
      </x:c>
      <x:c r="D1061" s="339" t="str">
        <x:v>Homework &amp; Assignments</x:v>
      </x:c>
      <x:c r="E1061" s="339" t="str">
        <x:v>Homework Evaluation</x:v>
      </x:c>
      <x:c r="F1061" s="339" t="str">
        <x:v>Auditability</x:v>
      </x:c>
      <x:c r="G1061" s="339" t="str">
        <x:v>a material create/update/approve/reverse action occurs</x:v>
      </x:c>
      <x:c r="H1061" s="339" t="str">
        <x:v>the transaction succeeds</x:v>
      </x:c>
      <x:c r="I1061" s="339" t="str">
        <x:v>the system records actor, timestamp, action, target and relevant before/after or reason context in the audit trail</x:v>
      </x:c>
      <x:c r="J1061" s="339" t="str">
        <x:v>Positive</x:v>
      </x:c>
      <x:c r="K1061" s="339" t="str">
        <x:v>Functional</x:v>
      </x:c>
    </x:row>
    <x:row r="1062">
      <x:c r="A1062" s="339" t="str">
        <x:v>AC-01061</x:v>
      </x:c>
      <x:c r="B1062" s="339" t="str">
        <x:v>US-0266</x:v>
      </x:c>
      <x:c r="C1062" s="339" t="str">
        <x:v>SCR-133</x:v>
      </x:c>
      <x:c r="D1062" s="339" t="str">
        <x:v>Homework &amp; Assignments</x:v>
      </x:c>
      <x:c r="E1062" s="339" t="str">
        <x:v>Homework Evaluation</x:v>
      </x:c>
      <x:c r="F1062" s="339" t="str">
        <x:v>Valid status transition</x:v>
      </x:c>
      <x:c r="G1062" s="339" t="str">
        <x:v>the record is in a state described by Draft → Published → Submitted / Late / Missing → Evaluated → Returned / Closed</x:v>
      </x:c>
      <x:c r="H1062" s="339" t="str">
        <x:v>the user requests a transition</x:v>
      </x:c>
      <x:c r="I1062" s="339" t="str">
        <x:v>the system accepts only transitions allowed for that role and state</x:v>
      </x:c>
      <x:c r="J1062" s="339" t="str">
        <x:v>Positive</x:v>
      </x:c>
      <x:c r="K1062" s="339" t="str">
        <x:v>Functional</x:v>
      </x:c>
    </x:row>
    <x:row r="1063">
      <x:c r="A1063" s="339" t="str">
        <x:v>AC-01062</x:v>
      </x:c>
      <x:c r="B1063" s="339" t="str">
        <x:v>US-0266</x:v>
      </x:c>
      <x:c r="C1063" s="339" t="str">
        <x:v>SCR-133</x:v>
      </x:c>
      <x:c r="D1063" s="339" t="str">
        <x:v>Homework &amp; Assignments</x:v>
      </x:c>
      <x:c r="E1063" s="339" t="str">
        <x:v>Homework Evaluation</x:v>
      </x:c>
      <x:c r="F1063" s="339" t="str">
        <x:v>Approval authority</x:v>
      </x:c>
      <x:c r="G1063" s="339" t="str">
        <x:v>an action requires approval</x:v>
      </x:c>
      <x:c r="H1063" s="339" t="str">
        <x:v>a non-authorized user attempts approval/rejection</x:v>
      </x:c>
      <x:c r="I1063" s="339" t="str">
        <x:v>the system denies the decision and does not change status</x:v>
      </x:c>
      <x:c r="J1063" s="339" t="str">
        <x:v>Negative</x:v>
      </x:c>
      <x:c r="K1063" s="339" t="str">
        <x:v>Functional</x:v>
      </x:c>
    </x:row>
    <x:row r="1064">
      <x:c r="A1064" s="339" t="str">
        <x:v>AC-01063</x:v>
      </x:c>
      <x:c r="B1064" s="339" t="str">
        <x:v>US-0266</x:v>
      </x:c>
      <x:c r="C1064" s="339" t="str">
        <x:v>SCR-133</x:v>
      </x:c>
      <x:c r="D1064" s="339" t="str">
        <x:v>Homework &amp; Assignments</x:v>
      </x:c>
      <x:c r="E1064" s="339" t="str">
        <x:v>Homework Evaluation</x:v>
      </x:c>
      <x:c r="F1064" s="339" t="str">
        <x:v>Failure rollback</x:v>
      </x:c>
      <x:c r="G1064" s="339" t="str">
        <x:v>a downstream dependency fails during a multi-step transaction</x:v>
      </x:c>
      <x:c r="H1064" s="339" t="str">
        <x:v>the workflow executes</x:v>
      </x:c>
      <x:c r="I1064" s="339" t="str">
        <x:v>the system does not leave an invalid partial final state and surfaces a recoverable error</x:v>
      </x:c>
      <x:c r="J1064" s="339" t="str">
        <x:v>Positive</x:v>
      </x:c>
      <x:c r="K1064" s="339" t="str">
        <x:v>Functional</x:v>
      </x:c>
    </x:row>
    <x:row r="1065">
      <x:c r="A1065" s="339" t="str">
        <x:v>AC-01064</x:v>
      </x:c>
      <x:c r="B1065" s="339" t="str">
        <x:v>US-0266</x:v>
      </x:c>
      <x:c r="C1065" s="339" t="str">
        <x:v>SCR-133</x:v>
      </x:c>
      <x:c r="D1065" s="339" t="str">
        <x:v>Homework &amp; Assignments</x:v>
      </x:c>
      <x:c r="E1065" s="339" t="str">
        <x:v>Homework Evaluation</x:v>
      </x:c>
      <x:c r="F1065" s="339" t="str">
        <x:v>Exception traceability</x:v>
      </x:c>
      <x:c r="G1065" s="339" t="str">
        <x:v>an authorized override/exception is used</x:v>
      </x:c>
      <x:c r="H1065" s="339" t="str">
        <x:v>the action is confirmed</x:v>
      </x:c>
      <x:c r="I1065" s="339" t="str">
        <x:v>the system requires reason/context and records it in the audit history</x:v>
      </x:c>
      <x:c r="J1065" s="339" t="str">
        <x:v>Positive</x:v>
      </x:c>
      <x:c r="K1065" s="339" t="str">
        <x:v>Functional</x:v>
      </x:c>
    </x:row>
    <x:row r="1066">
      <x:c r="A1066" s="339" t="str">
        <x:v>AC-01065</x:v>
      </x:c>
      <x:c r="B1066" s="339" t="str">
        <x:v>US-0267</x:v>
      </x:c>
      <x:c r="C1066" s="339" t="str">
        <x:v>SCR-134</x:v>
      </x:c>
      <x:c r="D1066" s="339" t="str">
        <x:v>Homework &amp; Assignments</x:v>
      </x:c>
      <x:c r="E1066" s="339" t="str">
        <x:v>Assignment List</x:v>
      </x:c>
      <x:c r="F1066" s="339" t="str">
        <x:v>Authorized access to Assignment List</x:v>
      </x:c>
      <x:c r="G1066" s="339" t="str">
        <x:v>the Teacher is authenticated and has access to Assignment List</x:v>
      </x:c>
      <x:c r="H1066" s="339" t="str">
        <x:v>the user opens or invokes Assignment List</x:v>
      </x:c>
      <x:c r="I1066" s="339" t="str">
        <x:v>the system loads only records and actions within the user's permitted tenant/school/data scope</x:v>
      </x:c>
      <x:c r="J1066" s="339" t="str">
        <x:v>Positive</x:v>
      </x:c>
      <x:c r="K1066" s="339" t="str">
        <x:v>Functional / Security</x:v>
      </x:c>
    </x:row>
    <x:row r="1067">
      <x:c r="A1067" s="339" t="str">
        <x:v>AC-01066</x:v>
      </x:c>
      <x:c r="B1067" s="339" t="str">
        <x:v>US-0267</x:v>
      </x:c>
      <x:c r="C1067" s="339" t="str">
        <x:v>SCR-134</x:v>
      </x:c>
      <x:c r="D1067" s="339" t="str">
        <x:v>Homework &amp; Assignments</x:v>
      </x:c>
      <x:c r="E1067" s="339" t="str">
        <x:v>Assignment List</x:v>
      </x:c>
      <x:c r="F1067" s="339" t="str">
        <x:v>Successful Assignment List happy path</x:v>
      </x:c>
      <x:c r="G1067" s="339" t="str">
        <x:v>all mandatory prerequisites and valid data are available</x:v>
      </x:c>
      <x:c r="H1067" s="339" t="str">
        <x:v>the Teacher completes the primary action on Assignment List</x:v>
      </x:c>
      <x:c r="I1067" s="339" t="str">
        <x:v>the system validates the request, saves it atomically, shows a clear confirmation and reflects the updated state</x:v>
      </x:c>
      <x:c r="J1067" s="339" t="str">
        <x:v>Positive</x:v>
      </x:c>
      <x:c r="K1067" s="339" t="str">
        <x:v>Functional</x:v>
      </x:c>
    </x:row>
    <x:row r="1068">
      <x:c r="A1068" s="339" t="str">
        <x:v>AC-01067</x:v>
      </x:c>
      <x:c r="B1068" s="339" t="str">
        <x:v>US-0267</x:v>
      </x:c>
      <x:c r="C1068" s="339" t="str">
        <x:v>SCR-134</x:v>
      </x:c>
      <x:c r="D1068" s="339" t="str">
        <x:v>Homework &amp; Assignments</x:v>
      </x:c>
      <x:c r="E1068" s="339" t="str">
        <x:v>Assignment List</x:v>
      </x:c>
      <x:c r="F1068" s="339" t="str">
        <x:v>State and dependency integrity</x:v>
      </x:c>
      <x:c r="G1068" s="339" t="str">
        <x:v>the current record is in an allowed state (Draft → Published → Submitted / Late / Missing → Evaluated → Returned / Closed)</x:v>
      </x:c>
      <x:c r="H1068" s="339" t="str">
        <x:v>the user attempts a state-changing action</x:v>
      </x:c>
      <x:c r="I1068" s="339" t="str">
        <x:v>only a valid transition is accepted and dependent records are updated according to configured business rules</x:v>
      </x:c>
      <x:c r="J1068" s="339" t="str">
        <x:v>Positive</x:v>
      </x:c>
      <x:c r="K1068" s="339" t="str">
        <x:v>Functional</x:v>
      </x:c>
    </x:row>
    <x:row r="1069">
      <x:c r="A1069" s="339" t="str">
        <x:v>AC-01068</x:v>
      </x:c>
      <x:c r="B1069" s="339" t="str">
        <x:v>US-0267</x:v>
      </x:c>
      <x:c r="C1069" s="339" t="str">
        <x:v>SCR-134</x:v>
      </x:c>
      <x:c r="D1069" s="339" t="str">
        <x:v>Homework &amp; Assignments</x:v>
      </x:c>
      <x:c r="E1069" s="339" t="str">
        <x:v>Assignment List</x:v>
      </x:c>
      <x:c r="F1069" s="339" t="str">
        <x:v>Auditability</x:v>
      </x:c>
      <x:c r="G1069" s="339" t="str">
        <x:v>a material create/update/approve/reverse action occurs</x:v>
      </x:c>
      <x:c r="H1069" s="339" t="str">
        <x:v>the transaction succeeds</x:v>
      </x:c>
      <x:c r="I1069" s="339" t="str">
        <x:v>the system records actor, timestamp, action, target and relevant before/after or reason context in the audit trail</x:v>
      </x:c>
      <x:c r="J1069" s="339" t="str">
        <x:v>Positive</x:v>
      </x:c>
      <x:c r="K1069" s="339" t="str">
        <x:v>Functional</x:v>
      </x:c>
    </x:row>
    <x:row r="1070">
      <x:c r="A1070" s="339" t="str">
        <x:v>AC-01069</x:v>
      </x:c>
      <x:c r="B1070" s="339" t="str">
        <x:v>US-0268</x:v>
      </x:c>
      <x:c r="C1070" s="339" t="str">
        <x:v>SCR-134</x:v>
      </x:c>
      <x:c r="D1070" s="339" t="str">
        <x:v>Homework &amp; Assignments</x:v>
      </x:c>
      <x:c r="E1070" s="339" t="str">
        <x:v>Assignment List</x:v>
      </x:c>
      <x:c r="F1070" s="339" t="str">
        <x:v>Search and filtering</x:v>
      </x:c>
      <x:c r="G1070" s="339" t="str">
        <x:v>authorized records exist across multiple values</x:v>
      </x:c>
      <x:c r="H1070" s="339" t="str">
        <x:v>the user applies search, filters, sorting or pagination</x:v>
      </x:c>
      <x:c r="I1070" s="339" t="str">
        <x:v>the results match all selected criteria and remain within the user's data scope</x:v>
      </x:c>
      <x:c r="J1070" s="339" t="str">
        <x:v>Positive</x:v>
      </x:c>
      <x:c r="K1070" s="339" t="str">
        <x:v>Functional</x:v>
      </x:c>
    </x:row>
    <x:row r="1071">
      <x:c r="A1071" s="339" t="str">
        <x:v>AC-01070</x:v>
      </x:c>
      <x:c r="B1071" s="339" t="str">
        <x:v>US-0268</x:v>
      </x:c>
      <x:c r="C1071" s="339" t="str">
        <x:v>SCR-134</x:v>
      </x:c>
      <x:c r="D1071" s="339" t="str">
        <x:v>Homework &amp; Assignments</x:v>
      </x:c>
      <x:c r="E1071" s="339" t="str">
        <x:v>Assignment List</x:v>
      </x:c>
      <x:c r="F1071" s="339" t="str">
        <x:v>Controlled row actions</x:v>
      </x:c>
      <x:c r="G1071" s="339" t="str">
        <x:v>records are returned in the list</x:v>
      </x:c>
      <x:c r="H1071" s="339" t="str">
        <x:v>the user opens the action menu</x:v>
      </x:c>
      <x:c r="I1071" s="339" t="str">
        <x:v>only actions permitted for the user's role and the record's current state are offered</x:v>
      </x:c>
      <x:c r="J1071" s="339" t="str">
        <x:v>Positive</x:v>
      </x:c>
      <x:c r="K1071" s="339" t="str">
        <x:v>Functional</x:v>
      </x:c>
    </x:row>
    <x:row r="1072">
      <x:c r="A1072" s="339" t="str">
        <x:v>AC-01071</x:v>
      </x:c>
      <x:c r="B1072" s="339" t="str">
        <x:v>US-0268</x:v>
      </x:c>
      <x:c r="C1072" s="339" t="str">
        <x:v>SCR-134</x:v>
      </x:c>
      <x:c r="D1072" s="339" t="str">
        <x:v>Homework &amp; Assignments</x:v>
      </x:c>
      <x:c r="E1072" s="339" t="str">
        <x:v>Assignment List</x:v>
      </x:c>
      <x:c r="F1072" s="339" t="str">
        <x:v>Empty/no-result handling</x:v>
      </x:c>
      <x:c r="G1072" s="339" t="str">
        <x:v>no record matches the current criteria</x:v>
      </x:c>
      <x:c r="H1072" s="339" t="str">
        <x:v>the query completes</x:v>
      </x:c>
      <x:c r="I1072" s="339" t="str">
        <x:v>the system shows a clear empty state without treating it as an application error</x:v>
      </x:c>
      <x:c r="J1072" s="339" t="str">
        <x:v>Positive</x:v>
      </x:c>
      <x:c r="K1072" s="339" t="str">
        <x:v>Functional</x:v>
      </x:c>
    </x:row>
    <x:row r="1073">
      <x:c r="A1073" s="339" t="str">
        <x:v>AC-01072</x:v>
      </x:c>
      <x:c r="B1073" s="339" t="str">
        <x:v>US-0268</x:v>
      </x:c>
      <x:c r="C1073" s="339" t="str">
        <x:v>SCR-134</x:v>
      </x:c>
      <x:c r="D1073" s="339" t="str">
        <x:v>Homework &amp; Assignments</x:v>
      </x:c>
      <x:c r="E1073" s="339" t="str">
        <x:v>Assignment List</x:v>
      </x:c>
      <x:c r="F1073" s="339" t="str">
        <x:v>Export scope</x:v>
      </x:c>
      <x:c r="G1073" s="339" t="str">
        <x:v>the user has export permission</x:v>
      </x:c>
      <x:c r="H1073" s="339" t="str">
        <x:v>the user exports the filtered list</x:v>
      </x:c>
      <x:c r="I1073" s="339" t="str">
        <x:v>the export contains the same authorized filter scope and excludes restricted fields</x:v>
      </x:c>
      <x:c r="J1073" s="339" t="str">
        <x:v>Positive</x:v>
      </x:c>
      <x:c r="K1073" s="339" t="str">
        <x:v>Functional</x:v>
      </x:c>
    </x:row>
    <x:row r="1074">
      <x:c r="A1074" s="339" t="str">
        <x:v>AC-01073</x:v>
      </x:c>
      <x:c r="B1074" s="339" t="str">
        <x:v>US-0269</x:v>
      </x:c>
      <x:c r="C1074" s="339" t="str">
        <x:v>SCR-135</x:v>
      </x:c>
      <x:c r="D1074" s="339" t="str">
        <x:v>Homework &amp; Assignments</x:v>
      </x:c>
      <x:c r="E1074" s="339" t="str">
        <x:v>Create Assignment</x:v>
      </x:c>
      <x:c r="F1074" s="339" t="str">
        <x:v>Authorized access to Create Assignment</x:v>
      </x:c>
      <x:c r="G1074" s="339" t="str">
        <x:v>the Teacher is authenticated and has access to Create Assignment</x:v>
      </x:c>
      <x:c r="H1074" s="339" t="str">
        <x:v>the user opens or invokes Create Assignment</x:v>
      </x:c>
      <x:c r="I1074" s="339" t="str">
        <x:v>the system loads only records and actions within the user's permitted tenant/school/data scope</x:v>
      </x:c>
      <x:c r="J1074" s="339" t="str">
        <x:v>Positive</x:v>
      </x:c>
      <x:c r="K1074" s="339" t="str">
        <x:v>Functional / Security</x:v>
      </x:c>
    </x:row>
    <x:row r="1075">
      <x:c r="A1075" s="339" t="str">
        <x:v>AC-01074</x:v>
      </x:c>
      <x:c r="B1075" s="339" t="str">
        <x:v>US-0269</x:v>
      </x:c>
      <x:c r="C1075" s="339" t="str">
        <x:v>SCR-135</x:v>
      </x:c>
      <x:c r="D1075" s="339" t="str">
        <x:v>Homework &amp; Assignments</x:v>
      </x:c>
      <x:c r="E1075" s="339" t="str">
        <x:v>Create Assignment</x:v>
      </x:c>
      <x:c r="F1075" s="339" t="str">
        <x:v>Successful Create Assignment happy path</x:v>
      </x:c>
      <x:c r="G1075" s="339" t="str">
        <x:v>all mandatory prerequisites and valid data are available</x:v>
      </x:c>
      <x:c r="H1075" s="339" t="str">
        <x:v>the Teacher completes the primary action on Create Assignment</x:v>
      </x:c>
      <x:c r="I1075" s="339" t="str">
        <x:v>the system validates the request, saves it atomically, shows a clear confirmation and reflects the updated state</x:v>
      </x:c>
      <x:c r="J1075" s="339" t="str">
        <x:v>Positive</x:v>
      </x:c>
      <x:c r="K1075" s="339" t="str">
        <x:v>Functional</x:v>
      </x:c>
    </x:row>
    <x:row r="1076">
      <x:c r="A1076" s="339" t="str">
        <x:v>AC-01075</x:v>
      </x:c>
      <x:c r="B1076" s="339" t="str">
        <x:v>US-0269</x:v>
      </x:c>
      <x:c r="C1076" s="339" t="str">
        <x:v>SCR-135</x:v>
      </x:c>
      <x:c r="D1076" s="339" t="str">
        <x:v>Homework &amp; Assignments</x:v>
      </x:c>
      <x:c r="E1076" s="339" t="str">
        <x:v>Create Assignment</x:v>
      </x:c>
      <x:c r="F1076" s="339" t="str">
        <x:v>State and dependency integrity</x:v>
      </x:c>
      <x:c r="G1076" s="339" t="str">
        <x:v>the current record is in an allowed state (Draft → Published → Submitted / Late / Missing → Evaluated → Returned / Closed)</x:v>
      </x:c>
      <x:c r="H1076" s="339" t="str">
        <x:v>the user attempts a state-changing action</x:v>
      </x:c>
      <x:c r="I1076" s="339" t="str">
        <x:v>only a valid transition is accepted and dependent records are updated according to configured business rules</x:v>
      </x:c>
      <x:c r="J1076" s="339" t="str">
        <x:v>Positive</x:v>
      </x:c>
      <x:c r="K1076" s="339" t="str">
        <x:v>Functional</x:v>
      </x:c>
    </x:row>
    <x:row r="1077">
      <x:c r="A1077" s="339" t="str">
        <x:v>AC-01076</x:v>
      </x:c>
      <x:c r="B1077" s="339" t="str">
        <x:v>US-0269</x:v>
      </x:c>
      <x:c r="C1077" s="339" t="str">
        <x:v>SCR-135</x:v>
      </x:c>
      <x:c r="D1077" s="339" t="str">
        <x:v>Homework &amp; Assignments</x:v>
      </x:c>
      <x:c r="E1077" s="339" t="str">
        <x:v>Create Assignment</x:v>
      </x:c>
      <x:c r="F1077" s="339" t="str">
        <x:v>Auditability</x:v>
      </x:c>
      <x:c r="G1077" s="339" t="str">
        <x:v>a material create/update/approve/reverse action occurs</x:v>
      </x:c>
      <x:c r="H1077" s="339" t="str">
        <x:v>the transaction succeeds</x:v>
      </x:c>
      <x:c r="I1077" s="339" t="str">
        <x:v>the system records actor, timestamp, action, target and relevant before/after or reason context in the audit trail</x:v>
      </x:c>
      <x:c r="J1077" s="339" t="str">
        <x:v>Positive</x:v>
      </x:c>
      <x:c r="K1077" s="339" t="str">
        <x:v>Functional</x:v>
      </x:c>
    </x:row>
    <x:row r="1078">
      <x:c r="A1078" s="339" t="str">
        <x:v>AC-01077</x:v>
      </x:c>
      <x:c r="B1078" s="339" t="str">
        <x:v>US-0270</x:v>
      </x:c>
      <x:c r="C1078" s="339" t="str">
        <x:v>SCR-135</x:v>
      </x:c>
      <x:c r="D1078" s="339" t="str">
        <x:v>Homework &amp; Assignments</x:v>
      </x:c>
      <x:c r="E1078" s="339" t="str">
        <x:v>Create Assignment</x:v>
      </x:c>
      <x:c r="F1078" s="339" t="str">
        <x:v>Required-field validation</x:v>
      </x:c>
      <x:c r="G1078" s="339" t="str">
        <x:v>one or more required values are missing/invalid</x:v>
      </x:c>
      <x:c r="H1078" s="339" t="str">
        <x:v>the user submits the form</x:v>
      </x:c>
      <x:c r="I1078" s="339" t="str">
        <x:v>submission is blocked and field-level messages identify what must be corrected</x:v>
      </x:c>
      <x:c r="J1078" s="339" t="str">
        <x:v>Positive</x:v>
      </x:c>
      <x:c r="K1078" s="339" t="str">
        <x:v>Functional</x:v>
      </x:c>
    </x:row>
    <x:row r="1079">
      <x:c r="A1079" s="339" t="str">
        <x:v>AC-01078</x:v>
      </x:c>
      <x:c r="B1079" s="339" t="str">
        <x:v>US-0270</x:v>
      </x:c>
      <x:c r="C1079" s="339" t="str">
        <x:v>SCR-135</x:v>
      </x:c>
      <x:c r="D1079" s="339" t="str">
        <x:v>Homework &amp; Assignments</x:v>
      </x:c>
      <x:c r="E1079" s="339" t="str">
        <x:v>Create Assignment</x:v>
      </x:c>
      <x:c r="F1079" s="339" t="str">
        <x:v>Duplicate prevention</x:v>
      </x:c>
      <x:c r="G1079" s="339" t="str">
        <x:v>a potentially duplicate record exists</x:v>
      </x:c>
      <x:c r="H1079" s="339" t="str">
        <x:v>the user submits matching identity/master data</x:v>
      </x:c>
      <x:c r="I1079" s="339" t="str">
        <x:v>the system blocks or warns according to configured duplicate policy before creating another record</x:v>
      </x:c>
      <x:c r="J1079" s="339" t="str">
        <x:v>Negative</x:v>
      </x:c>
      <x:c r="K1079" s="339" t="str">
        <x:v>Functional</x:v>
      </x:c>
    </x:row>
    <x:row r="1080">
      <x:c r="A1080" s="339" t="str">
        <x:v>AC-01079</x:v>
      </x:c>
      <x:c r="B1080" s="339" t="str">
        <x:v>US-0270</x:v>
      </x:c>
      <x:c r="C1080" s="339" t="str">
        <x:v>SCR-135</x:v>
      </x:c>
      <x:c r="D1080" s="339" t="str">
        <x:v>Homework &amp; Assignments</x:v>
      </x:c>
      <x:c r="E1080" s="339" t="str">
        <x:v>Create Assignment</x:v>
      </x:c>
      <x:c r="F1080" s="339" t="str">
        <x:v>Reference-data integrity</x:v>
      </x:c>
      <x:c r="G1080" s="339" t="str">
        <x:v>the form contains master-data selections</x:v>
      </x:c>
      <x:c r="H1080" s="339" t="str">
        <x:v>the user submits</x:v>
      </x:c>
      <x:c r="I1080" s="339" t="str">
        <x:v>all referenced values are active, effective and within the user's scope at the time of save</x:v>
      </x:c>
      <x:c r="J1080" s="339" t="str">
        <x:v>Positive</x:v>
      </x:c>
      <x:c r="K1080" s="339" t="str">
        <x:v>Functional</x:v>
      </x:c>
    </x:row>
    <x:row r="1081">
      <x:c r="A1081" s="339" t="str">
        <x:v>AC-01080</x:v>
      </x:c>
      <x:c r="B1081" s="339" t="str">
        <x:v>US-0270</x:v>
      </x:c>
      <x:c r="C1081" s="339" t="str">
        <x:v>SCR-135</x:v>
      </x:c>
      <x:c r="D1081" s="339" t="str">
        <x:v>Homework &amp; Assignments</x:v>
      </x:c>
      <x:c r="E1081" s="339" t="str">
        <x:v>Create Assignment</x:v>
      </x:c>
      <x:c r="F1081" s="339" t="str">
        <x:v>Retry safety</x:v>
      </x:c>
      <x:c r="G1081" s="339" t="str">
        <x:v>a network retry or repeated click occurs</x:v>
      </x:c>
      <x:c r="H1081" s="339" t="str">
        <x:v>the same transaction is submitted again</x:v>
      </x:c>
      <x:c r="I1081" s="339" t="str">
        <x:v>the system prevents unintended duplicate transactions through idempotency or duplicate detection</x:v>
      </x:c>
      <x:c r="J1081" s="339" t="str">
        <x:v>Positive</x:v>
      </x:c>
      <x:c r="K1081" s="339" t="str">
        <x:v>Functional</x:v>
      </x:c>
    </x:row>
    <x:row r="1082">
      <x:c r="A1082" s="339" t="str">
        <x:v>AC-01081</x:v>
      </x:c>
      <x:c r="B1082" s="339" t="str">
        <x:v>US-0271</x:v>
      </x:c>
      <x:c r="C1082" s="339" t="str">
        <x:v>SCR-136</x:v>
      </x:c>
      <x:c r="D1082" s="339" t="str">
        <x:v>Homework &amp; Assignments</x:v>
      </x:c>
      <x:c r="E1082" s="339" t="str">
        <x:v>Assignment Submissions</x:v>
      </x:c>
      <x:c r="F1082" s="339" t="str">
        <x:v>Authorized access to Assignment Submissions</x:v>
      </x:c>
      <x:c r="G1082" s="339" t="str">
        <x:v>the Student is authenticated and has access to Assignment Submissions</x:v>
      </x:c>
      <x:c r="H1082" s="339" t="str">
        <x:v>the user opens or invokes Assignment Submissions</x:v>
      </x:c>
      <x:c r="I1082" s="339" t="str">
        <x:v>the system loads only records and actions within the user's permitted tenant/school/data scope</x:v>
      </x:c>
      <x:c r="J1082" s="339" t="str">
        <x:v>Positive</x:v>
      </x:c>
      <x:c r="K1082" s="339" t="str">
        <x:v>Functional / Security</x:v>
      </x:c>
    </x:row>
    <x:row r="1083">
      <x:c r="A1083" s="339" t="str">
        <x:v>AC-01082</x:v>
      </x:c>
      <x:c r="B1083" s="339" t="str">
        <x:v>US-0271</x:v>
      </x:c>
      <x:c r="C1083" s="339" t="str">
        <x:v>SCR-136</x:v>
      </x:c>
      <x:c r="D1083" s="339" t="str">
        <x:v>Homework &amp; Assignments</x:v>
      </x:c>
      <x:c r="E1083" s="339" t="str">
        <x:v>Assignment Submissions</x:v>
      </x:c>
      <x:c r="F1083" s="339" t="str">
        <x:v>Successful Assignment Submissions happy path</x:v>
      </x:c>
      <x:c r="G1083" s="339" t="str">
        <x:v>all mandatory prerequisites and valid data are available</x:v>
      </x:c>
      <x:c r="H1083" s="339" t="str">
        <x:v>the Student completes the primary action on Assignment Submissions</x:v>
      </x:c>
      <x:c r="I1083" s="339" t="str">
        <x:v>the system validates the request, saves it atomically, shows a clear confirmation and reflects the updated state</x:v>
      </x:c>
      <x:c r="J1083" s="339" t="str">
        <x:v>Positive</x:v>
      </x:c>
      <x:c r="K1083" s="339" t="str">
        <x:v>Functional</x:v>
      </x:c>
    </x:row>
    <x:row r="1084">
      <x:c r="A1084" s="339" t="str">
        <x:v>AC-01083</x:v>
      </x:c>
      <x:c r="B1084" s="339" t="str">
        <x:v>US-0271</x:v>
      </x:c>
      <x:c r="C1084" s="339" t="str">
        <x:v>SCR-136</x:v>
      </x:c>
      <x:c r="D1084" s="339" t="str">
        <x:v>Homework &amp; Assignments</x:v>
      </x:c>
      <x:c r="E1084" s="339" t="str">
        <x:v>Assignment Submissions</x:v>
      </x:c>
      <x:c r="F1084" s="339" t="str">
        <x:v>State and dependency integrity</x:v>
      </x:c>
      <x:c r="G1084" s="339" t="str">
        <x:v>the current record is in an allowed state (Draft → Published → Submitted / Late / Missing → Evaluated → Returned / Closed)</x:v>
      </x:c>
      <x:c r="H1084" s="339" t="str">
        <x:v>the user attempts a state-changing action</x:v>
      </x:c>
      <x:c r="I1084" s="339" t="str">
        <x:v>only a valid transition is accepted and dependent records are updated according to configured business rules</x:v>
      </x:c>
      <x:c r="J1084" s="339" t="str">
        <x:v>Positive</x:v>
      </x:c>
      <x:c r="K1084" s="339" t="str">
        <x:v>Functional</x:v>
      </x:c>
    </x:row>
    <x:row r="1085">
      <x:c r="A1085" s="339" t="str">
        <x:v>AC-01084</x:v>
      </x:c>
      <x:c r="B1085" s="339" t="str">
        <x:v>US-0271</x:v>
      </x:c>
      <x:c r="C1085" s="339" t="str">
        <x:v>SCR-136</x:v>
      </x:c>
      <x:c r="D1085" s="339" t="str">
        <x:v>Homework &amp; Assignments</x:v>
      </x:c>
      <x:c r="E1085" s="339" t="str">
        <x:v>Assignment Submissions</x:v>
      </x:c>
      <x:c r="F1085" s="339" t="str">
        <x:v>Auditability</x:v>
      </x:c>
      <x:c r="G1085" s="339" t="str">
        <x:v>a material create/update/approve/reverse action occurs</x:v>
      </x:c>
      <x:c r="H1085" s="339" t="str">
        <x:v>the transaction succeeds</x:v>
      </x:c>
      <x:c r="I1085" s="339" t="str">
        <x:v>the system records actor, timestamp, action, target and relevant before/after or reason context in the audit trail</x:v>
      </x:c>
      <x:c r="J1085" s="339" t="str">
        <x:v>Positive</x:v>
      </x:c>
      <x:c r="K1085" s="339" t="str">
        <x:v>Functional</x:v>
      </x:c>
    </x:row>
    <x:row r="1086">
      <x:c r="A1086" s="339" t="str">
        <x:v>AC-01085</x:v>
      </x:c>
      <x:c r="B1086" s="339" t="str">
        <x:v>US-0272</x:v>
      </x:c>
      <x:c r="C1086" s="339" t="str">
        <x:v>SCR-136</x:v>
      </x:c>
      <x:c r="D1086" s="339" t="str">
        <x:v>Homework &amp; Assignments</x:v>
      </x:c>
      <x:c r="E1086" s="339" t="str">
        <x:v>Assignment Submissions</x:v>
      </x:c>
      <x:c r="F1086" s="339" t="str">
        <x:v>Valid status transition</x:v>
      </x:c>
      <x:c r="G1086" s="339" t="str">
        <x:v>the record is in a state described by Draft → Published → Submitted / Late / Missing → Evaluated → Returned / Closed</x:v>
      </x:c>
      <x:c r="H1086" s="339" t="str">
        <x:v>the user requests a transition</x:v>
      </x:c>
      <x:c r="I1086" s="339" t="str">
        <x:v>the system accepts only transitions allowed for that role and state</x:v>
      </x:c>
      <x:c r="J1086" s="339" t="str">
        <x:v>Positive</x:v>
      </x:c>
      <x:c r="K1086" s="339" t="str">
        <x:v>Functional</x:v>
      </x:c>
    </x:row>
    <x:row r="1087">
      <x:c r="A1087" s="339" t="str">
        <x:v>AC-01086</x:v>
      </x:c>
      <x:c r="B1087" s="339" t="str">
        <x:v>US-0272</x:v>
      </x:c>
      <x:c r="C1087" s="339" t="str">
        <x:v>SCR-136</x:v>
      </x:c>
      <x:c r="D1087" s="339" t="str">
        <x:v>Homework &amp; Assignments</x:v>
      </x:c>
      <x:c r="E1087" s="339" t="str">
        <x:v>Assignment Submissions</x:v>
      </x:c>
      <x:c r="F1087" s="339" t="str">
        <x:v>Approval authority</x:v>
      </x:c>
      <x:c r="G1087" s="339" t="str">
        <x:v>an action requires approval</x:v>
      </x:c>
      <x:c r="H1087" s="339" t="str">
        <x:v>a non-authorized user attempts approval/rejection</x:v>
      </x:c>
      <x:c r="I1087" s="339" t="str">
        <x:v>the system denies the decision and does not change status</x:v>
      </x:c>
      <x:c r="J1087" s="339" t="str">
        <x:v>Negative</x:v>
      </x:c>
      <x:c r="K1087" s="339" t="str">
        <x:v>Functional</x:v>
      </x:c>
    </x:row>
    <x:row r="1088">
      <x:c r="A1088" s="339" t="str">
        <x:v>AC-01087</x:v>
      </x:c>
      <x:c r="B1088" s="339" t="str">
        <x:v>US-0272</x:v>
      </x:c>
      <x:c r="C1088" s="339" t="str">
        <x:v>SCR-136</x:v>
      </x:c>
      <x:c r="D1088" s="339" t="str">
        <x:v>Homework &amp; Assignments</x:v>
      </x:c>
      <x:c r="E1088" s="339" t="str">
        <x:v>Assignment Submissions</x:v>
      </x:c>
      <x:c r="F1088" s="339" t="str">
        <x:v>Failure rollback</x:v>
      </x:c>
      <x:c r="G1088" s="339" t="str">
        <x:v>a downstream dependency fails during a multi-step transaction</x:v>
      </x:c>
      <x:c r="H1088" s="339" t="str">
        <x:v>the workflow executes</x:v>
      </x:c>
      <x:c r="I1088" s="339" t="str">
        <x:v>the system does not leave an invalid partial final state and surfaces a recoverable error</x:v>
      </x:c>
      <x:c r="J1088" s="339" t="str">
        <x:v>Positive</x:v>
      </x:c>
      <x:c r="K1088" s="339" t="str">
        <x:v>Functional</x:v>
      </x:c>
    </x:row>
    <x:row r="1089">
      <x:c r="A1089" s="339" t="str">
        <x:v>AC-01088</x:v>
      </x:c>
      <x:c r="B1089" s="339" t="str">
        <x:v>US-0272</x:v>
      </x:c>
      <x:c r="C1089" s="339" t="str">
        <x:v>SCR-136</x:v>
      </x:c>
      <x:c r="D1089" s="339" t="str">
        <x:v>Homework &amp; Assignments</x:v>
      </x:c>
      <x:c r="E1089" s="339" t="str">
        <x:v>Assignment Submissions</x:v>
      </x:c>
      <x:c r="F1089" s="339" t="str">
        <x:v>Exception traceability</x:v>
      </x:c>
      <x:c r="G1089" s="339" t="str">
        <x:v>an authorized override/exception is used</x:v>
      </x:c>
      <x:c r="H1089" s="339" t="str">
        <x:v>the action is confirmed</x:v>
      </x:c>
      <x:c r="I1089" s="339" t="str">
        <x:v>the system requires reason/context and records it in the audit history</x:v>
      </x:c>
      <x:c r="J1089" s="339" t="str">
        <x:v>Positive</x:v>
      </x:c>
      <x:c r="K1089" s="339" t="str">
        <x:v>Functional</x:v>
      </x:c>
    </x:row>
    <x:row r="1090">
      <x:c r="A1090" s="339" t="str">
        <x:v>AC-01089</x:v>
      </x:c>
      <x:c r="B1090" s="339" t="str">
        <x:v>US-0273</x:v>
      </x:c>
      <x:c r="C1090" s="339" t="str">
        <x:v>SCR-137</x:v>
      </x:c>
      <x:c r="D1090" s="339" t="str">
        <x:v>Homework &amp; Assignments</x:v>
      </x:c>
      <x:c r="E1090" s="339" t="str">
        <x:v>Assignment Evaluation</x:v>
      </x:c>
      <x:c r="F1090" s="339" t="str">
        <x:v>Authorized access to Assignment Evaluation</x:v>
      </x:c>
      <x:c r="G1090" s="339" t="str">
        <x:v>the Teacher is authenticated and has access to Assignment Evaluation</x:v>
      </x:c>
      <x:c r="H1090" s="339" t="str">
        <x:v>the user opens or invokes Assignment Evaluation</x:v>
      </x:c>
      <x:c r="I1090" s="339" t="str">
        <x:v>the system loads only records and actions within the user's permitted tenant/school/data scope</x:v>
      </x:c>
      <x:c r="J1090" s="339" t="str">
        <x:v>Positive</x:v>
      </x:c>
      <x:c r="K1090" s="339" t="str">
        <x:v>Functional / Security</x:v>
      </x:c>
    </x:row>
    <x:row r="1091">
      <x:c r="A1091" s="339" t="str">
        <x:v>AC-01090</x:v>
      </x:c>
      <x:c r="B1091" s="339" t="str">
        <x:v>US-0273</x:v>
      </x:c>
      <x:c r="C1091" s="339" t="str">
        <x:v>SCR-137</x:v>
      </x:c>
      <x:c r="D1091" s="339" t="str">
        <x:v>Homework &amp; Assignments</x:v>
      </x:c>
      <x:c r="E1091" s="339" t="str">
        <x:v>Assignment Evaluation</x:v>
      </x:c>
      <x:c r="F1091" s="339" t="str">
        <x:v>Successful Assignment Evaluation happy path</x:v>
      </x:c>
      <x:c r="G1091" s="339" t="str">
        <x:v>all mandatory prerequisites and valid data are available</x:v>
      </x:c>
      <x:c r="H1091" s="339" t="str">
        <x:v>the Teacher completes the primary action on Assignment Evaluation</x:v>
      </x:c>
      <x:c r="I1091" s="339" t="str">
        <x:v>the system validates the request, saves it atomically, shows a clear confirmation and reflects the updated state</x:v>
      </x:c>
      <x:c r="J1091" s="339" t="str">
        <x:v>Positive</x:v>
      </x:c>
      <x:c r="K1091" s="339" t="str">
        <x:v>Functional</x:v>
      </x:c>
    </x:row>
    <x:row r="1092">
      <x:c r="A1092" s="339" t="str">
        <x:v>AC-01091</x:v>
      </x:c>
      <x:c r="B1092" s="339" t="str">
        <x:v>US-0273</x:v>
      </x:c>
      <x:c r="C1092" s="339" t="str">
        <x:v>SCR-137</x:v>
      </x:c>
      <x:c r="D1092" s="339" t="str">
        <x:v>Homework &amp; Assignments</x:v>
      </x:c>
      <x:c r="E1092" s="339" t="str">
        <x:v>Assignment Evaluation</x:v>
      </x:c>
      <x:c r="F1092" s="339" t="str">
        <x:v>State and dependency integrity</x:v>
      </x:c>
      <x:c r="G1092" s="339" t="str">
        <x:v>the current record is in an allowed state (Draft → Published → Submitted / Late / Missing → Evaluated → Returned / Closed)</x:v>
      </x:c>
      <x:c r="H1092" s="339" t="str">
        <x:v>the user attempts a state-changing action</x:v>
      </x:c>
      <x:c r="I1092" s="339" t="str">
        <x:v>only a valid transition is accepted and dependent records are updated according to configured business rules</x:v>
      </x:c>
      <x:c r="J1092" s="339" t="str">
        <x:v>Positive</x:v>
      </x:c>
      <x:c r="K1092" s="339" t="str">
        <x:v>Functional</x:v>
      </x:c>
    </x:row>
    <x:row r="1093">
      <x:c r="A1093" s="339" t="str">
        <x:v>AC-01092</x:v>
      </x:c>
      <x:c r="B1093" s="339" t="str">
        <x:v>US-0273</x:v>
      </x:c>
      <x:c r="C1093" s="339" t="str">
        <x:v>SCR-137</x:v>
      </x:c>
      <x:c r="D1093" s="339" t="str">
        <x:v>Homework &amp; Assignments</x:v>
      </x:c>
      <x:c r="E1093" s="339" t="str">
        <x:v>Assignment Evaluation</x:v>
      </x:c>
      <x:c r="F1093" s="339" t="str">
        <x:v>Auditability</x:v>
      </x:c>
      <x:c r="G1093" s="339" t="str">
        <x:v>a material create/update/approve/reverse action occurs</x:v>
      </x:c>
      <x:c r="H1093" s="339" t="str">
        <x:v>the transaction succeeds</x:v>
      </x:c>
      <x:c r="I1093" s="339" t="str">
        <x:v>the system records actor, timestamp, action, target and relevant before/after or reason context in the audit trail</x:v>
      </x:c>
      <x:c r="J1093" s="339" t="str">
        <x:v>Positive</x:v>
      </x:c>
      <x:c r="K1093" s="339" t="str">
        <x:v>Functional</x:v>
      </x:c>
    </x:row>
    <x:row r="1094">
      <x:c r="A1094" s="339" t="str">
        <x:v>AC-01093</x:v>
      </x:c>
      <x:c r="B1094" s="339" t="str">
        <x:v>US-0274</x:v>
      </x:c>
      <x:c r="C1094" s="339" t="str">
        <x:v>SCR-137</x:v>
      </x:c>
      <x:c r="D1094" s="339" t="str">
        <x:v>Homework &amp; Assignments</x:v>
      </x:c>
      <x:c r="E1094" s="339" t="str">
        <x:v>Assignment Evaluation</x:v>
      </x:c>
      <x:c r="F1094" s="339" t="str">
        <x:v>Valid status transition</x:v>
      </x:c>
      <x:c r="G1094" s="339" t="str">
        <x:v>the record is in a state described by Draft → Published → Submitted / Late / Missing → Evaluated → Returned / Closed</x:v>
      </x:c>
      <x:c r="H1094" s="339" t="str">
        <x:v>the user requests a transition</x:v>
      </x:c>
      <x:c r="I1094" s="339" t="str">
        <x:v>the system accepts only transitions allowed for that role and state</x:v>
      </x:c>
      <x:c r="J1094" s="339" t="str">
        <x:v>Positive</x:v>
      </x:c>
      <x:c r="K1094" s="339" t="str">
        <x:v>Functional</x:v>
      </x:c>
    </x:row>
    <x:row r="1095">
      <x:c r="A1095" s="339" t="str">
        <x:v>AC-01094</x:v>
      </x:c>
      <x:c r="B1095" s="339" t="str">
        <x:v>US-0274</x:v>
      </x:c>
      <x:c r="C1095" s="339" t="str">
        <x:v>SCR-137</x:v>
      </x:c>
      <x:c r="D1095" s="339" t="str">
        <x:v>Homework &amp; Assignments</x:v>
      </x:c>
      <x:c r="E1095" s="339" t="str">
        <x:v>Assignment Evaluation</x:v>
      </x:c>
      <x:c r="F1095" s="339" t="str">
        <x:v>Approval authority</x:v>
      </x:c>
      <x:c r="G1095" s="339" t="str">
        <x:v>an action requires approval</x:v>
      </x:c>
      <x:c r="H1095" s="339" t="str">
        <x:v>a non-authorized user attempts approval/rejection</x:v>
      </x:c>
      <x:c r="I1095" s="339" t="str">
        <x:v>the system denies the decision and does not change status</x:v>
      </x:c>
      <x:c r="J1095" s="339" t="str">
        <x:v>Negative</x:v>
      </x:c>
      <x:c r="K1095" s="339" t="str">
        <x:v>Functional</x:v>
      </x:c>
    </x:row>
    <x:row r="1096">
      <x:c r="A1096" s="339" t="str">
        <x:v>AC-01095</x:v>
      </x:c>
      <x:c r="B1096" s="339" t="str">
        <x:v>US-0274</x:v>
      </x:c>
      <x:c r="C1096" s="339" t="str">
        <x:v>SCR-137</x:v>
      </x:c>
      <x:c r="D1096" s="339" t="str">
        <x:v>Homework &amp; Assignments</x:v>
      </x:c>
      <x:c r="E1096" s="339" t="str">
        <x:v>Assignment Evaluation</x:v>
      </x:c>
      <x:c r="F1096" s="339" t="str">
        <x:v>Failure rollback</x:v>
      </x:c>
      <x:c r="G1096" s="339" t="str">
        <x:v>a downstream dependency fails during a multi-step transaction</x:v>
      </x:c>
      <x:c r="H1096" s="339" t="str">
        <x:v>the workflow executes</x:v>
      </x:c>
      <x:c r="I1096" s="339" t="str">
        <x:v>the system does not leave an invalid partial final state and surfaces a recoverable error</x:v>
      </x:c>
      <x:c r="J1096" s="339" t="str">
        <x:v>Positive</x:v>
      </x:c>
      <x:c r="K1096" s="339" t="str">
        <x:v>Functional</x:v>
      </x:c>
    </x:row>
    <x:row r="1097">
      <x:c r="A1097" s="339" t="str">
        <x:v>AC-01096</x:v>
      </x:c>
      <x:c r="B1097" s="339" t="str">
        <x:v>US-0274</x:v>
      </x:c>
      <x:c r="C1097" s="339" t="str">
        <x:v>SCR-137</x:v>
      </x:c>
      <x:c r="D1097" s="339" t="str">
        <x:v>Homework &amp; Assignments</x:v>
      </x:c>
      <x:c r="E1097" s="339" t="str">
        <x:v>Assignment Evaluation</x:v>
      </x:c>
      <x:c r="F1097" s="339" t="str">
        <x:v>Exception traceability</x:v>
      </x:c>
      <x:c r="G1097" s="339" t="str">
        <x:v>an authorized override/exception is used</x:v>
      </x:c>
      <x:c r="H1097" s="339" t="str">
        <x:v>the action is confirmed</x:v>
      </x:c>
      <x:c r="I1097" s="339" t="str">
        <x:v>the system requires reason/context and records it in the audit history</x:v>
      </x:c>
      <x:c r="J1097" s="339" t="str">
        <x:v>Positive</x:v>
      </x:c>
      <x:c r="K1097" s="339" t="str">
        <x:v>Functional</x:v>
      </x:c>
    </x:row>
    <x:row r="1098">
      <x:c r="A1098" s="339" t="str">
        <x:v>AC-01097</x:v>
      </x:c>
      <x:c r="B1098" s="339" t="str">
        <x:v>US-0275</x:v>
      </x:c>
      <x:c r="C1098" s="339" t="str">
        <x:v>SCR-138</x:v>
      </x:c>
      <x:c r="D1098" s="339" t="str">
        <x:v>Examinations / Marks / Results</x:v>
      </x:c>
      <x:c r="E1098" s="339" t="str">
        <x:v>Exam Dashboard</x:v>
      </x:c>
      <x:c r="F1098" s="339" t="str">
        <x:v>Authorized access to Exam Dashboard</x:v>
      </x:c>
      <x:c r="G1098" s="339" t="str">
        <x:v>the Exam is authenticated and has access to Exam Dashboard</x:v>
      </x:c>
      <x:c r="H1098" s="339" t="str">
        <x:v>the user opens or invokes Exam Dashboard</x:v>
      </x:c>
      <x:c r="I1098" s="339" t="str">
        <x:v>the system loads only records and actions within the user's permitted tenant/school/data scope</x:v>
      </x:c>
      <x:c r="J1098" s="339" t="str">
        <x:v>Positive</x:v>
      </x:c>
      <x:c r="K1098" s="339" t="str">
        <x:v>Functional / Security</x:v>
      </x:c>
    </x:row>
    <x:row r="1099">
      <x:c r="A1099" s="339" t="str">
        <x:v>AC-01098</x:v>
      </x:c>
      <x:c r="B1099" s="339" t="str">
        <x:v>US-0275</x:v>
      </x:c>
      <x:c r="C1099" s="339" t="str">
        <x:v>SCR-138</x:v>
      </x:c>
      <x:c r="D1099" s="339" t="str">
        <x:v>Examinations / Marks / Results</x:v>
      </x:c>
      <x:c r="E1099" s="339" t="str">
        <x:v>Exam Dashboard</x:v>
      </x:c>
      <x:c r="F1099" s="339" t="str">
        <x:v>Successful Exam Dashboard happy path</x:v>
      </x:c>
      <x:c r="G1099" s="339" t="str">
        <x:v>all mandatory prerequisites and valid data are available</x:v>
      </x:c>
      <x:c r="H1099" s="339" t="str">
        <x:v>the Exam completes the primary action on Exam Dashboard</x:v>
      </x:c>
      <x:c r="I1099" s="339" t="str">
        <x:v>the system validates the request, saves it atomically, shows a clear confirmation and reflects the updated state</x:v>
      </x:c>
      <x:c r="J1099" s="339" t="str">
        <x:v>Positive</x:v>
      </x:c>
      <x:c r="K1099" s="339" t="str">
        <x:v>Functional</x:v>
      </x:c>
    </x:row>
    <x:row r="1100">
      <x:c r="A1100" s="339" t="str">
        <x:v>AC-01099</x:v>
      </x:c>
      <x:c r="B1100" s="339" t="str">
        <x:v>US-0275</x:v>
      </x:c>
      <x:c r="C1100" s="339" t="str">
        <x:v>SCR-138</x:v>
      </x:c>
      <x:c r="D1100" s="339" t="str">
        <x:v>Examinations / Marks / Results</x:v>
      </x:c>
      <x:c r="E1100" s="339" t="str">
        <x:v>Exam Dashboard</x:v>
      </x:c>
      <x:c r="F1100" s="339" t="str">
        <x:v>State and dependency integrity</x:v>
      </x:c>
      <x:c r="G1100" s="339" t="str">
        <x:v>the current record is in an allowed state (Draft → Scheduled → Marks Entry → Verification → Approved → Published → Revised (controlled))</x:v>
      </x:c>
      <x:c r="H1100" s="339" t="str">
        <x:v>the user attempts a state-changing action</x:v>
      </x:c>
      <x:c r="I1100" s="339" t="str">
        <x:v>only a valid transition is accepted and dependent records are updated according to configured business rules</x:v>
      </x:c>
      <x:c r="J1100" s="339" t="str">
        <x:v>Positive</x:v>
      </x:c>
      <x:c r="K1100" s="339" t="str">
        <x:v>Functional</x:v>
      </x:c>
    </x:row>
    <x:row r="1101">
      <x:c r="A1101" s="339" t="str">
        <x:v>AC-01100</x:v>
      </x:c>
      <x:c r="B1101" s="339" t="str">
        <x:v>US-0275</x:v>
      </x:c>
      <x:c r="C1101" s="339" t="str">
        <x:v>SCR-138</x:v>
      </x:c>
      <x:c r="D1101" s="339" t="str">
        <x:v>Examinations / Marks / Results</x:v>
      </x:c>
      <x:c r="E1101" s="339" t="str">
        <x:v>Exam Dashboard</x:v>
      </x:c>
      <x:c r="F1101" s="339" t="str">
        <x:v>Auditability</x:v>
      </x:c>
      <x:c r="G1101" s="339" t="str">
        <x:v>a material create/update/approve/reverse action occurs</x:v>
      </x:c>
      <x:c r="H1101" s="339" t="str">
        <x:v>the transaction succeeds</x:v>
      </x:c>
      <x:c r="I1101" s="339" t="str">
        <x:v>the system records actor, timestamp, action, target and relevant before/after or reason context in the audit trail</x:v>
      </x:c>
      <x:c r="J1101" s="339" t="str">
        <x:v>Positive</x:v>
      </x:c>
      <x:c r="K1101" s="339" t="str">
        <x:v>Functional</x:v>
      </x:c>
    </x:row>
    <x:row r="1102">
      <x:c r="A1102" s="339" t="str">
        <x:v>AC-01101</x:v>
      </x:c>
      <x:c r="B1102" s="339" t="str">
        <x:v>US-0276</x:v>
      </x:c>
      <x:c r="C1102" s="339" t="str">
        <x:v>SCR-138</x:v>
      </x:c>
      <x:c r="D1102" s="339" t="str">
        <x:v>Examinations / Marks / Results</x:v>
      </x:c>
      <x:c r="E1102" s="339" t="str">
        <x:v>Exam Dashboard</x:v>
      </x:c>
      <x:c r="F1102" s="339" t="str">
        <x:v>KPI reconciliation</x:v>
      </x:c>
      <x:c r="G1102" s="339" t="str">
        <x:v>underlying source transactions exist</x:v>
      </x:c>
      <x:c r="H1102" s="339" t="str">
        <x:v>the dashboard calculates metrics</x:v>
      </x:c>
      <x:c r="I1102" s="339" t="str">
        <x:v>dashboard values reconcile to the same filtered source records used by detailed reports</x:v>
      </x:c>
      <x:c r="J1102" s="339" t="str">
        <x:v>Positive</x:v>
      </x:c>
      <x:c r="K1102" s="339" t="str">
        <x:v>Functional</x:v>
      </x:c>
    </x:row>
    <x:row r="1103">
      <x:c r="A1103" s="339" t="str">
        <x:v>AC-01102</x:v>
      </x:c>
      <x:c r="B1103" s="339" t="str">
        <x:v>US-0276</x:v>
      </x:c>
      <x:c r="C1103" s="339" t="str">
        <x:v>SCR-138</x:v>
      </x:c>
      <x:c r="D1103" s="339" t="str">
        <x:v>Examinations / Marks / Results</x:v>
      </x:c>
      <x:c r="E1103" s="339" t="str">
        <x:v>Exam Dashboard</x:v>
      </x:c>
      <x:c r="F1103" s="339" t="str">
        <x:v>Drill-down context</x:v>
      </x:c>
      <x:c r="G1103" s="339" t="str">
        <x:v>a KPI or alert is visible</x:v>
      </x:c>
      <x:c r="H1103" s="339" t="str">
        <x:v>the user drills into it</x:v>
      </x:c>
      <x:c r="I1103" s="339" t="str">
        <x:v>the destination preserves relevant date/school/class/status filter context</x:v>
      </x:c>
      <x:c r="J1103" s="339" t="str">
        <x:v>Positive</x:v>
      </x:c>
      <x:c r="K1103" s="339" t="str">
        <x:v>Functional</x:v>
      </x:c>
    </x:row>
    <x:row r="1104">
      <x:c r="A1104" s="339" t="str">
        <x:v>AC-01103</x:v>
      </x:c>
      <x:c r="B1104" s="339" t="str">
        <x:v>US-0276</x:v>
      </x:c>
      <x:c r="C1104" s="339" t="str">
        <x:v>SCR-138</x:v>
      </x:c>
      <x:c r="D1104" s="339" t="str">
        <x:v>Examinations / Marks / Results</x:v>
      </x:c>
      <x:c r="E1104" s="339" t="str">
        <x:v>Exam Dashboard</x:v>
      </x:c>
      <x:c r="F1104" s="339" t="str">
        <x:v>Freshness and failure handling</x:v>
      </x:c>
      <x:c r="G1104" s="339" t="str">
        <x:v>one source service is delayed or unavailable</x:v>
      </x:c>
      <x:c r="H1104" s="339" t="str">
        <x:v>the dashboard loads</x:v>
      </x:c>
      <x:c r="I1104" s="339" t="str">
        <x:v>the UI identifies stale/unavailable data without fabricating or silently zeroing the metric</x:v>
      </x:c>
      <x:c r="J1104" s="339" t="str">
        <x:v>Positive</x:v>
      </x:c>
      <x:c r="K1104" s="339" t="str">
        <x:v>Functional</x:v>
      </x:c>
    </x:row>
    <x:row r="1105">
      <x:c r="A1105" s="339" t="str">
        <x:v>AC-01104</x:v>
      </x:c>
      <x:c r="B1105" s="339" t="str">
        <x:v>US-0276</x:v>
      </x:c>
      <x:c r="C1105" s="339" t="str">
        <x:v>SCR-138</x:v>
      </x:c>
      <x:c r="D1105" s="339" t="str">
        <x:v>Examinations / Marks / Results</x:v>
      </x:c>
      <x:c r="E1105" s="339" t="str">
        <x:v>Exam Dashboard</x:v>
      </x:c>
      <x:c r="F1105" s="339" t="str">
        <x:v>Scoped visibility</x:v>
      </x:c>
      <x:c r="G1105" s="339" t="str">
        <x:v>the same dashboard is used by users with different permissions</x:v>
      </x:c>
      <x:c r="H1105" s="339" t="str">
        <x:v>each user loads it</x:v>
      </x:c>
      <x:c r="I1105" s="339" t="str">
        <x:v>each sees only authorized metrics, alerts and record-level drill-downs</x:v>
      </x:c>
      <x:c r="J1105" s="339" t="str">
        <x:v>Positive</x:v>
      </x:c>
      <x:c r="K1105" s="339" t="str">
        <x:v>Functional</x:v>
      </x:c>
    </x:row>
    <x:row r="1106">
      <x:c r="A1106" s="339" t="str">
        <x:v>AC-01105</x:v>
      </x:c>
      <x:c r="B1106" s="339" t="str">
        <x:v>US-0277</x:v>
      </x:c>
      <x:c r="C1106" s="339" t="str">
        <x:v>SCR-139</x:v>
      </x:c>
      <x:c r="D1106" s="339" t="str">
        <x:v>Examinations / Marks / Results</x:v>
      </x:c>
      <x:c r="E1106" s="339" t="str">
        <x:v>Exam Types</x:v>
      </x:c>
      <x:c r="F1106" s="339" t="str">
        <x:v>Authorized access to Exam Types</x:v>
      </x:c>
      <x:c r="G1106" s="339" t="str">
        <x:v>the Exam Coordinator is authenticated and has access to Exam Types</x:v>
      </x:c>
      <x:c r="H1106" s="339" t="str">
        <x:v>the user opens or invokes Exam Types</x:v>
      </x:c>
      <x:c r="I1106" s="339" t="str">
        <x:v>the system loads only records and actions within the user's permitted tenant/school/data scope</x:v>
      </x:c>
      <x:c r="J1106" s="339" t="str">
        <x:v>Positive</x:v>
      </x:c>
      <x:c r="K1106" s="339" t="str">
        <x:v>Functional / Security</x:v>
      </x:c>
    </x:row>
    <x:row r="1107">
      <x:c r="A1107" s="339" t="str">
        <x:v>AC-01106</x:v>
      </x:c>
      <x:c r="B1107" s="339" t="str">
        <x:v>US-0277</x:v>
      </x:c>
      <x:c r="C1107" s="339" t="str">
        <x:v>SCR-139</x:v>
      </x:c>
      <x:c r="D1107" s="339" t="str">
        <x:v>Examinations / Marks / Results</x:v>
      </x:c>
      <x:c r="E1107" s="339" t="str">
        <x:v>Exam Types</x:v>
      </x:c>
      <x:c r="F1107" s="339" t="str">
        <x:v>Successful Exam Types happy path</x:v>
      </x:c>
      <x:c r="G1107" s="339" t="str">
        <x:v>all mandatory prerequisites and valid data are available</x:v>
      </x:c>
      <x:c r="H1107" s="339" t="str">
        <x:v>the Exam Coordinator completes the primary action on Exam Types</x:v>
      </x:c>
      <x:c r="I1107" s="339" t="str">
        <x:v>the system validates the request, saves it atomically, shows a clear confirmation and reflects the updated state</x:v>
      </x:c>
      <x:c r="J1107" s="339" t="str">
        <x:v>Positive</x:v>
      </x:c>
      <x:c r="K1107" s="339" t="str">
        <x:v>Functional</x:v>
      </x:c>
    </x:row>
    <x:row r="1108">
      <x:c r="A1108" s="339" t="str">
        <x:v>AC-01107</x:v>
      </x:c>
      <x:c r="B1108" s="339" t="str">
        <x:v>US-0277</x:v>
      </x:c>
      <x:c r="C1108" s="339" t="str">
        <x:v>SCR-139</x:v>
      </x:c>
      <x:c r="D1108" s="339" t="str">
        <x:v>Examinations / Marks / Results</x:v>
      </x:c>
      <x:c r="E1108" s="339" t="str">
        <x:v>Exam Types</x:v>
      </x:c>
      <x:c r="F1108" s="339" t="str">
        <x:v>State and dependency integrity</x:v>
      </x:c>
      <x:c r="G1108" s="339" t="str">
        <x:v>the current record is in an allowed state (Draft → Scheduled → Marks Entry → Verification → Approved → Published → Revised (controlled))</x:v>
      </x:c>
      <x:c r="H1108" s="339" t="str">
        <x:v>the user attempts a state-changing action</x:v>
      </x:c>
      <x:c r="I1108" s="339" t="str">
        <x:v>only a valid transition is accepted and dependent records are updated according to configured business rules</x:v>
      </x:c>
      <x:c r="J1108" s="339" t="str">
        <x:v>Positive</x:v>
      </x:c>
      <x:c r="K1108" s="339" t="str">
        <x:v>Functional</x:v>
      </x:c>
    </x:row>
    <x:row r="1109">
      <x:c r="A1109" s="339" t="str">
        <x:v>AC-01108</x:v>
      </x:c>
      <x:c r="B1109" s="339" t="str">
        <x:v>US-0277</x:v>
      </x:c>
      <x:c r="C1109" s="339" t="str">
        <x:v>SCR-139</x:v>
      </x:c>
      <x:c r="D1109" s="339" t="str">
        <x:v>Examinations / Marks / Results</x:v>
      </x:c>
      <x:c r="E1109" s="339" t="str">
        <x:v>Exam Types</x:v>
      </x:c>
      <x:c r="F1109" s="339" t="str">
        <x:v>Auditability</x:v>
      </x:c>
      <x:c r="G1109" s="339" t="str">
        <x:v>a material create/update/approve/reverse action occurs</x:v>
      </x:c>
      <x:c r="H1109" s="339" t="str">
        <x:v>the transaction succeeds</x:v>
      </x:c>
      <x:c r="I1109" s="339" t="str">
        <x:v>the system records actor, timestamp, action, target and relevant before/after or reason context in the audit trail</x:v>
      </x:c>
      <x:c r="J1109" s="339" t="str">
        <x:v>Positive</x:v>
      </x:c>
      <x:c r="K1109" s="339" t="str">
        <x:v>Functional</x:v>
      </x:c>
    </x:row>
    <x:row r="1110">
      <x:c r="A1110" s="339" t="str">
        <x:v>AC-01109</x:v>
      </x:c>
      <x:c r="B1110" s="339" t="str">
        <x:v>US-0278</x:v>
      </x:c>
      <x:c r="C1110" s="339" t="str">
        <x:v>SCR-139</x:v>
      </x:c>
      <x:c r="D1110" s="339" t="str">
        <x:v>Examinations / Marks / Results</x:v>
      </x:c>
      <x:c r="E1110" s="339" t="str">
        <x:v>Exam Types</x:v>
      </x:c>
      <x:c r="F1110" s="339" t="str">
        <x:v>Valid status transition</x:v>
      </x:c>
      <x:c r="G1110" s="339" t="str">
        <x:v>the record is in a state described by Draft → Scheduled → Marks Entry → Verification → Approved → Published → Revised (controlled)</x:v>
      </x:c>
      <x:c r="H1110" s="339" t="str">
        <x:v>the user requests a transition</x:v>
      </x:c>
      <x:c r="I1110" s="339" t="str">
        <x:v>the system accepts only transitions allowed for that role and state</x:v>
      </x:c>
      <x:c r="J1110" s="339" t="str">
        <x:v>Positive</x:v>
      </x:c>
      <x:c r="K1110" s="339" t="str">
        <x:v>Functional</x:v>
      </x:c>
    </x:row>
    <x:row r="1111">
      <x:c r="A1111" s="339" t="str">
        <x:v>AC-01110</x:v>
      </x:c>
      <x:c r="B1111" s="339" t="str">
        <x:v>US-0278</x:v>
      </x:c>
      <x:c r="C1111" s="339" t="str">
        <x:v>SCR-139</x:v>
      </x:c>
      <x:c r="D1111" s="339" t="str">
        <x:v>Examinations / Marks / Results</x:v>
      </x:c>
      <x:c r="E1111" s="339" t="str">
        <x:v>Exam Types</x:v>
      </x:c>
      <x:c r="F1111" s="339" t="str">
        <x:v>Approval authority</x:v>
      </x:c>
      <x:c r="G1111" s="339" t="str">
        <x:v>an action requires approval</x:v>
      </x:c>
      <x:c r="H1111" s="339" t="str">
        <x:v>a non-authorized user attempts approval/rejection</x:v>
      </x:c>
      <x:c r="I1111" s="339" t="str">
        <x:v>the system denies the decision and does not change status</x:v>
      </x:c>
      <x:c r="J1111" s="339" t="str">
        <x:v>Negative</x:v>
      </x:c>
      <x:c r="K1111" s="339" t="str">
        <x:v>Functional</x:v>
      </x:c>
    </x:row>
    <x:row r="1112">
      <x:c r="A1112" s="339" t="str">
        <x:v>AC-01111</x:v>
      </x:c>
      <x:c r="B1112" s="339" t="str">
        <x:v>US-0278</x:v>
      </x:c>
      <x:c r="C1112" s="339" t="str">
        <x:v>SCR-139</x:v>
      </x:c>
      <x:c r="D1112" s="339" t="str">
        <x:v>Examinations / Marks / Results</x:v>
      </x:c>
      <x:c r="E1112" s="339" t="str">
        <x:v>Exam Types</x:v>
      </x:c>
      <x:c r="F1112" s="339" t="str">
        <x:v>Failure rollback</x:v>
      </x:c>
      <x:c r="G1112" s="339" t="str">
        <x:v>a downstream dependency fails during a multi-step transaction</x:v>
      </x:c>
      <x:c r="H1112" s="339" t="str">
        <x:v>the workflow executes</x:v>
      </x:c>
      <x:c r="I1112" s="339" t="str">
        <x:v>the system does not leave an invalid partial final state and surfaces a recoverable error</x:v>
      </x:c>
      <x:c r="J1112" s="339" t="str">
        <x:v>Positive</x:v>
      </x:c>
      <x:c r="K1112" s="339" t="str">
        <x:v>Functional</x:v>
      </x:c>
    </x:row>
    <x:row r="1113">
      <x:c r="A1113" s="339" t="str">
        <x:v>AC-01112</x:v>
      </x:c>
      <x:c r="B1113" s="339" t="str">
        <x:v>US-0278</x:v>
      </x:c>
      <x:c r="C1113" s="339" t="str">
        <x:v>SCR-139</x:v>
      </x:c>
      <x:c r="D1113" s="339" t="str">
        <x:v>Examinations / Marks / Results</x:v>
      </x:c>
      <x:c r="E1113" s="339" t="str">
        <x:v>Exam Types</x:v>
      </x:c>
      <x:c r="F1113" s="339" t="str">
        <x:v>Exception traceability</x:v>
      </x:c>
      <x:c r="G1113" s="339" t="str">
        <x:v>an authorized override/exception is used</x:v>
      </x:c>
      <x:c r="H1113" s="339" t="str">
        <x:v>the action is confirmed</x:v>
      </x:c>
      <x:c r="I1113" s="339" t="str">
        <x:v>the system requires reason/context and records it in the audit history</x:v>
      </x:c>
      <x:c r="J1113" s="339" t="str">
        <x:v>Positive</x:v>
      </x:c>
      <x:c r="K1113" s="339" t="str">
        <x:v>Functional</x:v>
      </x:c>
    </x:row>
    <x:row r="1114">
      <x:c r="A1114" s="339" t="str">
        <x:v>AC-01113</x:v>
      </x:c>
      <x:c r="B1114" s="339" t="str">
        <x:v>US-0279</x:v>
      </x:c>
      <x:c r="C1114" s="339" t="str">
        <x:v>SCR-140</x:v>
      </x:c>
      <x:c r="D1114" s="339" t="str">
        <x:v>Examinations / Marks / Results</x:v>
      </x:c>
      <x:c r="E1114" s="339" t="str">
        <x:v>Exam Setup</x:v>
      </x:c>
      <x:c r="F1114" s="339" t="str">
        <x:v>Authorized access to Exam Setup</x:v>
      </x:c>
      <x:c r="G1114" s="339" t="str">
        <x:v>the Exam Coordinator is authenticated and has access to Exam Setup</x:v>
      </x:c>
      <x:c r="H1114" s="339" t="str">
        <x:v>the user opens or invokes Exam Setup</x:v>
      </x:c>
      <x:c r="I1114" s="339" t="str">
        <x:v>the system loads only records and actions within the user's permitted tenant/school/data scope</x:v>
      </x:c>
      <x:c r="J1114" s="339" t="str">
        <x:v>Positive</x:v>
      </x:c>
      <x:c r="K1114" s="339" t="str">
        <x:v>Functional / Security</x:v>
      </x:c>
    </x:row>
    <x:row r="1115">
      <x:c r="A1115" s="339" t="str">
        <x:v>AC-01114</x:v>
      </x:c>
      <x:c r="B1115" s="339" t="str">
        <x:v>US-0279</x:v>
      </x:c>
      <x:c r="C1115" s="339" t="str">
        <x:v>SCR-140</x:v>
      </x:c>
      <x:c r="D1115" s="339" t="str">
        <x:v>Examinations / Marks / Results</x:v>
      </x:c>
      <x:c r="E1115" s="339" t="str">
        <x:v>Exam Setup</x:v>
      </x:c>
      <x:c r="F1115" s="339" t="str">
        <x:v>Successful Exam Setup happy path</x:v>
      </x:c>
      <x:c r="G1115" s="339" t="str">
        <x:v>all mandatory prerequisites and valid data are available</x:v>
      </x:c>
      <x:c r="H1115" s="339" t="str">
        <x:v>the Exam Coordinator completes the primary action on Exam Setup</x:v>
      </x:c>
      <x:c r="I1115" s="339" t="str">
        <x:v>the system validates the request, saves it atomically, shows a clear confirmation and reflects the updated state</x:v>
      </x:c>
      <x:c r="J1115" s="339" t="str">
        <x:v>Positive</x:v>
      </x:c>
      <x:c r="K1115" s="339" t="str">
        <x:v>Functional</x:v>
      </x:c>
    </x:row>
    <x:row r="1116">
      <x:c r="A1116" s="339" t="str">
        <x:v>AC-01115</x:v>
      </x:c>
      <x:c r="B1116" s="339" t="str">
        <x:v>US-0279</x:v>
      </x:c>
      <x:c r="C1116" s="339" t="str">
        <x:v>SCR-140</x:v>
      </x:c>
      <x:c r="D1116" s="339" t="str">
        <x:v>Examinations / Marks / Results</x:v>
      </x:c>
      <x:c r="E1116" s="339" t="str">
        <x:v>Exam Setup</x:v>
      </x:c>
      <x:c r="F1116" s="339" t="str">
        <x:v>State and dependency integrity</x:v>
      </x:c>
      <x:c r="G1116" s="339" t="str">
        <x:v>the current record is in an allowed state (Draft → Scheduled → Marks Entry → Verification → Approved → Published → Revised (controlled))</x:v>
      </x:c>
      <x:c r="H1116" s="339" t="str">
        <x:v>the user attempts a state-changing action</x:v>
      </x:c>
      <x:c r="I1116" s="339" t="str">
        <x:v>only a valid transition is accepted and dependent records are updated according to configured business rules</x:v>
      </x:c>
      <x:c r="J1116" s="339" t="str">
        <x:v>Positive</x:v>
      </x:c>
      <x:c r="K1116" s="339" t="str">
        <x:v>Functional</x:v>
      </x:c>
    </x:row>
    <x:row r="1117">
      <x:c r="A1117" s="339" t="str">
        <x:v>AC-01116</x:v>
      </x:c>
      <x:c r="B1117" s="339" t="str">
        <x:v>US-0279</x:v>
      </x:c>
      <x:c r="C1117" s="339" t="str">
        <x:v>SCR-140</x:v>
      </x:c>
      <x:c r="D1117" s="339" t="str">
        <x:v>Examinations / Marks / Results</x:v>
      </x:c>
      <x:c r="E1117" s="339" t="str">
        <x:v>Exam Setup</x:v>
      </x:c>
      <x:c r="F1117" s="339" t="str">
        <x:v>Auditability</x:v>
      </x:c>
      <x:c r="G1117" s="339" t="str">
        <x:v>a material create/update/approve/reverse action occurs</x:v>
      </x:c>
      <x:c r="H1117" s="339" t="str">
        <x:v>the transaction succeeds</x:v>
      </x:c>
      <x:c r="I1117" s="339" t="str">
        <x:v>the system records actor, timestamp, action, target and relevant before/after or reason context in the audit trail</x:v>
      </x:c>
      <x:c r="J1117" s="339" t="str">
        <x:v>Positive</x:v>
      </x:c>
      <x:c r="K1117" s="339" t="str">
        <x:v>Functional</x:v>
      </x:c>
    </x:row>
    <x:row r="1118">
      <x:c r="A1118" s="339" t="str">
        <x:v>AC-01117</x:v>
      </x:c>
      <x:c r="B1118" s="339" t="str">
        <x:v>US-0280</x:v>
      </x:c>
      <x:c r="C1118" s="339" t="str">
        <x:v>SCR-140</x:v>
      </x:c>
      <x:c r="D1118" s="339" t="str">
        <x:v>Examinations / Marks / Results</x:v>
      </x:c>
      <x:c r="E1118" s="339" t="str">
        <x:v>Exam Setup</x:v>
      </x:c>
      <x:c r="F1118" s="339" t="str">
        <x:v>Required-field validation</x:v>
      </x:c>
      <x:c r="G1118" s="339" t="str">
        <x:v>one or more required values are missing/invalid</x:v>
      </x:c>
      <x:c r="H1118" s="339" t="str">
        <x:v>the user submits the form</x:v>
      </x:c>
      <x:c r="I1118" s="339" t="str">
        <x:v>submission is blocked and field-level messages identify what must be corrected</x:v>
      </x:c>
      <x:c r="J1118" s="339" t="str">
        <x:v>Positive</x:v>
      </x:c>
      <x:c r="K1118" s="339" t="str">
        <x:v>Functional</x:v>
      </x:c>
    </x:row>
    <x:row r="1119">
      <x:c r="A1119" s="339" t="str">
        <x:v>AC-01118</x:v>
      </x:c>
      <x:c r="B1119" s="339" t="str">
        <x:v>US-0280</x:v>
      </x:c>
      <x:c r="C1119" s="339" t="str">
        <x:v>SCR-140</x:v>
      </x:c>
      <x:c r="D1119" s="339" t="str">
        <x:v>Examinations / Marks / Results</x:v>
      </x:c>
      <x:c r="E1119" s="339" t="str">
        <x:v>Exam Setup</x:v>
      </x:c>
      <x:c r="F1119" s="339" t="str">
        <x:v>Duplicate prevention</x:v>
      </x:c>
      <x:c r="G1119" s="339" t="str">
        <x:v>a potentially duplicate record exists</x:v>
      </x:c>
      <x:c r="H1119" s="339" t="str">
        <x:v>the user submits matching identity/master data</x:v>
      </x:c>
      <x:c r="I1119" s="339" t="str">
        <x:v>the system blocks or warns according to configured duplicate policy before creating another record</x:v>
      </x:c>
      <x:c r="J1119" s="339" t="str">
        <x:v>Negative</x:v>
      </x:c>
      <x:c r="K1119" s="339" t="str">
        <x:v>Functional</x:v>
      </x:c>
    </x:row>
    <x:row r="1120">
      <x:c r="A1120" s="339" t="str">
        <x:v>AC-01119</x:v>
      </x:c>
      <x:c r="B1120" s="339" t="str">
        <x:v>US-0280</x:v>
      </x:c>
      <x:c r="C1120" s="339" t="str">
        <x:v>SCR-140</x:v>
      </x:c>
      <x:c r="D1120" s="339" t="str">
        <x:v>Examinations / Marks / Results</x:v>
      </x:c>
      <x:c r="E1120" s="339" t="str">
        <x:v>Exam Setup</x:v>
      </x:c>
      <x:c r="F1120" s="339" t="str">
        <x:v>Reference-data integrity</x:v>
      </x:c>
      <x:c r="G1120" s="339" t="str">
        <x:v>the form contains master-data selections</x:v>
      </x:c>
      <x:c r="H1120" s="339" t="str">
        <x:v>the user submits</x:v>
      </x:c>
      <x:c r="I1120" s="339" t="str">
        <x:v>all referenced values are active, effective and within the user's scope at the time of save</x:v>
      </x:c>
      <x:c r="J1120" s="339" t="str">
        <x:v>Positive</x:v>
      </x:c>
      <x:c r="K1120" s="339" t="str">
        <x:v>Functional</x:v>
      </x:c>
    </x:row>
    <x:row r="1121">
      <x:c r="A1121" s="339" t="str">
        <x:v>AC-01120</x:v>
      </x:c>
      <x:c r="B1121" s="339" t="str">
        <x:v>US-0280</x:v>
      </x:c>
      <x:c r="C1121" s="339" t="str">
        <x:v>SCR-140</x:v>
      </x:c>
      <x:c r="D1121" s="339" t="str">
        <x:v>Examinations / Marks / Results</x:v>
      </x:c>
      <x:c r="E1121" s="339" t="str">
        <x:v>Exam Setup</x:v>
      </x:c>
      <x:c r="F1121" s="339" t="str">
        <x:v>Retry safety</x:v>
      </x:c>
      <x:c r="G1121" s="339" t="str">
        <x:v>a network retry or repeated click occurs</x:v>
      </x:c>
      <x:c r="H1121" s="339" t="str">
        <x:v>the same transaction is submitted again</x:v>
      </x:c>
      <x:c r="I1121" s="339" t="str">
        <x:v>the system prevents unintended duplicate transactions through idempotency or duplicate detection</x:v>
      </x:c>
      <x:c r="J1121" s="339" t="str">
        <x:v>Positive</x:v>
      </x:c>
      <x:c r="K1121" s="339" t="str">
        <x:v>Functional</x:v>
      </x:c>
    </x:row>
    <x:row r="1122">
      <x:c r="A1122" s="339" t="str">
        <x:v>AC-01121</x:v>
      </x:c>
      <x:c r="B1122" s="339" t="str">
        <x:v>US-0281</x:v>
      </x:c>
      <x:c r="C1122" s="339" t="str">
        <x:v>SCR-141</x:v>
      </x:c>
      <x:c r="D1122" s="339" t="str">
        <x:v>Examinations / Marks / Results</x:v>
      </x:c>
      <x:c r="E1122" s="339" t="str">
        <x:v>Exam Schedule</x:v>
      </x:c>
      <x:c r="F1122" s="339" t="str">
        <x:v>Authorized access to Exam Schedule</x:v>
      </x:c>
      <x:c r="G1122" s="339" t="str">
        <x:v>the Exam Coordinator is authenticated and has access to Exam Schedule</x:v>
      </x:c>
      <x:c r="H1122" s="339" t="str">
        <x:v>the user opens or invokes Exam Schedule</x:v>
      </x:c>
      <x:c r="I1122" s="339" t="str">
        <x:v>the system loads only records and actions within the user's permitted tenant/school/data scope</x:v>
      </x:c>
      <x:c r="J1122" s="339" t="str">
        <x:v>Positive</x:v>
      </x:c>
      <x:c r="K1122" s="339" t="str">
        <x:v>Functional / Security</x:v>
      </x:c>
    </x:row>
    <x:row r="1123">
      <x:c r="A1123" s="339" t="str">
        <x:v>AC-01122</x:v>
      </x:c>
      <x:c r="B1123" s="339" t="str">
        <x:v>US-0281</x:v>
      </x:c>
      <x:c r="C1123" s="339" t="str">
        <x:v>SCR-141</x:v>
      </x:c>
      <x:c r="D1123" s="339" t="str">
        <x:v>Examinations / Marks / Results</x:v>
      </x:c>
      <x:c r="E1123" s="339" t="str">
        <x:v>Exam Schedule</x:v>
      </x:c>
      <x:c r="F1123" s="339" t="str">
        <x:v>Successful Exam Schedule happy path</x:v>
      </x:c>
      <x:c r="G1123" s="339" t="str">
        <x:v>all mandatory prerequisites and valid data are available</x:v>
      </x:c>
      <x:c r="H1123" s="339" t="str">
        <x:v>the Exam Coordinator completes the primary action on Exam Schedule</x:v>
      </x:c>
      <x:c r="I1123" s="339" t="str">
        <x:v>the system validates the request, saves it atomically, shows a clear confirmation and reflects the updated state</x:v>
      </x:c>
      <x:c r="J1123" s="339" t="str">
        <x:v>Positive</x:v>
      </x:c>
      <x:c r="K1123" s="339" t="str">
        <x:v>Functional</x:v>
      </x:c>
    </x:row>
    <x:row r="1124">
      <x:c r="A1124" s="339" t="str">
        <x:v>AC-01123</x:v>
      </x:c>
      <x:c r="B1124" s="339" t="str">
        <x:v>US-0281</x:v>
      </x:c>
      <x:c r="C1124" s="339" t="str">
        <x:v>SCR-141</x:v>
      </x:c>
      <x:c r="D1124" s="339" t="str">
        <x:v>Examinations / Marks / Results</x:v>
      </x:c>
      <x:c r="E1124" s="339" t="str">
        <x:v>Exam Schedule</x:v>
      </x:c>
      <x:c r="F1124" s="339" t="str">
        <x:v>State and dependency integrity</x:v>
      </x:c>
      <x:c r="G1124" s="339" t="str">
        <x:v>the current record is in an allowed state (Draft → Scheduled → Marks Entry → Verification → Approved → Published → Revised (controlled))</x:v>
      </x:c>
      <x:c r="H1124" s="339" t="str">
        <x:v>the user attempts a state-changing action</x:v>
      </x:c>
      <x:c r="I1124" s="339" t="str">
        <x:v>only a valid transition is accepted and dependent records are updated according to configured business rules</x:v>
      </x:c>
      <x:c r="J1124" s="339" t="str">
        <x:v>Positive</x:v>
      </x:c>
      <x:c r="K1124" s="339" t="str">
        <x:v>Functional</x:v>
      </x:c>
    </x:row>
    <x:row r="1125">
      <x:c r="A1125" s="339" t="str">
        <x:v>AC-01124</x:v>
      </x:c>
      <x:c r="B1125" s="339" t="str">
        <x:v>US-0281</x:v>
      </x:c>
      <x:c r="C1125" s="339" t="str">
        <x:v>SCR-141</x:v>
      </x:c>
      <x:c r="D1125" s="339" t="str">
        <x:v>Examinations / Marks / Results</x:v>
      </x:c>
      <x:c r="E1125" s="339" t="str">
        <x:v>Exam Schedule</x:v>
      </x:c>
      <x:c r="F1125" s="339" t="str">
        <x:v>Auditability</x:v>
      </x:c>
      <x:c r="G1125" s="339" t="str">
        <x:v>a material create/update/approve/reverse action occurs</x:v>
      </x:c>
      <x:c r="H1125" s="339" t="str">
        <x:v>the transaction succeeds</x:v>
      </x:c>
      <x:c r="I1125" s="339" t="str">
        <x:v>the system records actor, timestamp, action, target and relevant before/after or reason context in the audit trail</x:v>
      </x:c>
      <x:c r="J1125" s="339" t="str">
        <x:v>Positive</x:v>
      </x:c>
      <x:c r="K1125" s="339" t="str">
        <x:v>Functional</x:v>
      </x:c>
    </x:row>
    <x:row r="1126">
      <x:c r="A1126" s="339" t="str">
        <x:v>AC-01125</x:v>
      </x:c>
      <x:c r="B1126" s="339" t="str">
        <x:v>US-0282</x:v>
      </x:c>
      <x:c r="C1126" s="339" t="str">
        <x:v>SCR-141</x:v>
      </x:c>
      <x:c r="D1126" s="339" t="str">
        <x:v>Examinations / Marks / Results</x:v>
      </x:c>
      <x:c r="E1126" s="339" t="str">
        <x:v>Exam Schedule</x:v>
      </x:c>
      <x:c r="F1126" s="339" t="str">
        <x:v>Conflict detection</x:v>
      </x:c>
      <x:c r="G1126" s="339" t="str">
        <x:v>a teacher/class/room/resource is already committed in the requested slot</x:v>
      </x:c>
      <x:c r="H1126" s="339" t="str">
        <x:v>the user schedules an overlapping item</x:v>
      </x:c>
      <x:c r="I1126" s="339" t="str">
        <x:v>the system blocks or flags the conflict according to override policy</x:v>
      </x:c>
      <x:c r="J1126" s="339" t="str">
        <x:v>Negative</x:v>
      </x:c>
      <x:c r="K1126" s="339" t="str">
        <x:v>Functional</x:v>
      </x:c>
    </x:row>
    <x:row r="1127">
      <x:c r="A1127" s="339" t="str">
        <x:v>AC-01126</x:v>
      </x:c>
      <x:c r="B1127" s="339" t="str">
        <x:v>US-0282</x:v>
      </x:c>
      <x:c r="C1127" s="339" t="str">
        <x:v>SCR-141</x:v>
      </x:c>
      <x:c r="D1127" s="339" t="str">
        <x:v>Examinations / Marks / Results</x:v>
      </x:c>
      <x:c r="E1127" s="339" t="str">
        <x:v>Exam Schedule</x:v>
      </x:c>
      <x:c r="F1127" s="339" t="str">
        <x:v>Reschedule integrity</x:v>
      </x:c>
      <x:c r="G1127" s="339" t="str">
        <x:v>an existing schedule item is changed</x:v>
      </x:c>
      <x:c r="H1127" s="339" t="str">
        <x:v>the user confirms the new slot</x:v>
      </x:c>
      <x:c r="I1127" s="339" t="str">
        <x:v>the system updates the schedule atomically and retains change history</x:v>
      </x:c>
      <x:c r="J1127" s="339" t="str">
        <x:v>Positive</x:v>
      </x:c>
      <x:c r="K1127" s="339" t="str">
        <x:v>Functional</x:v>
      </x:c>
    </x:row>
    <x:row r="1128">
      <x:c r="A1128" s="339" t="str">
        <x:v>AC-01127</x:v>
      </x:c>
      <x:c r="B1128" s="339" t="str">
        <x:v>US-0282</x:v>
      </x:c>
      <x:c r="C1128" s="339" t="str">
        <x:v>SCR-141</x:v>
      </x:c>
      <x:c r="D1128" s="339" t="str">
        <x:v>Examinations / Marks / Results</x:v>
      </x:c>
      <x:c r="E1128" s="339" t="str">
        <x:v>Exam Schedule</x:v>
      </x:c>
      <x:c r="F1128" s="339" t="str">
        <x:v>Audience update</x:v>
      </x:c>
      <x:c r="G1128" s="339" t="str">
        <x:v>a published schedule changes</x:v>
      </x:c>
      <x:c r="H1128" s="339" t="str">
        <x:v>the change is saved</x:v>
      </x:c>
      <x:c r="I1128" s="339" t="str">
        <x:v>affected users receive updated visibility/notification according to communication rules</x:v>
      </x:c>
      <x:c r="J1128" s="339" t="str">
        <x:v>Positive</x:v>
      </x:c>
      <x:c r="K1128" s="339" t="str">
        <x:v>Functional</x:v>
      </x:c>
    </x:row>
    <x:row r="1129">
      <x:c r="A1129" s="339" t="str">
        <x:v>AC-01128</x:v>
      </x:c>
      <x:c r="B1129" s="339" t="str">
        <x:v>US-0282</x:v>
      </x:c>
      <x:c r="C1129" s="339" t="str">
        <x:v>SCR-141</x:v>
      </x:c>
      <x:c r="D1129" s="339" t="str">
        <x:v>Examinations / Marks / Results</x:v>
      </x:c>
      <x:c r="E1129" s="339" t="str">
        <x:v>Exam Schedule</x:v>
      </x:c>
      <x:c r="F1129" s="339" t="str">
        <x:v>Timezone/effective date</x:v>
      </x:c>
      <x:c r="G1129" s="339" t="str">
        <x:v>users operate in configured school timezone</x:v>
      </x:c>
      <x:c r="H1129" s="339" t="str">
        <x:v>times are displayed or saved</x:v>
      </x:c>
      <x:c r="I1129" s="339" t="str">
        <x:v>the system consistently stores and renders the intended local schedule without date-shift errors</x:v>
      </x:c>
      <x:c r="J1129" s="339" t="str">
        <x:v>Positive</x:v>
      </x:c>
      <x:c r="K1129" s="339" t="str">
        <x:v>Functional</x:v>
      </x:c>
    </x:row>
    <x:row r="1130">
      <x:c r="A1130" s="339" t="str">
        <x:v>AC-01129</x:v>
      </x:c>
      <x:c r="B1130" s="339" t="str">
        <x:v>US-0283</x:v>
      </x:c>
      <x:c r="C1130" s="339" t="str">
        <x:v>SCR-142</x:v>
      </x:c>
      <x:c r="D1130" s="339" t="str">
        <x:v>Examinations / Marks / Results</x:v>
      </x:c>
      <x:c r="E1130" s="339" t="str">
        <x:v>Hall / Room Allocation</x:v>
      </x:c>
      <x:c r="F1130" s="339" t="str">
        <x:v>Authorized access to Hall / Room Allocation</x:v>
      </x:c>
      <x:c r="G1130" s="339" t="str">
        <x:v>the Exam Coordinator is authenticated and has access to Hall / Room Allocation</x:v>
      </x:c>
      <x:c r="H1130" s="339" t="str">
        <x:v>the user opens or invokes Hall / Room Allocation</x:v>
      </x:c>
      <x:c r="I1130" s="339" t="str">
        <x:v>the system loads only records and actions within the user's permitted tenant/school/data scope</x:v>
      </x:c>
      <x:c r="J1130" s="339" t="str">
        <x:v>Positive</x:v>
      </x:c>
      <x:c r="K1130" s="339" t="str">
        <x:v>Functional / Security</x:v>
      </x:c>
    </x:row>
    <x:row r="1131">
      <x:c r="A1131" s="339" t="str">
        <x:v>AC-01130</x:v>
      </x:c>
      <x:c r="B1131" s="339" t="str">
        <x:v>US-0283</x:v>
      </x:c>
      <x:c r="C1131" s="339" t="str">
        <x:v>SCR-142</x:v>
      </x:c>
      <x:c r="D1131" s="339" t="str">
        <x:v>Examinations / Marks / Results</x:v>
      </x:c>
      <x:c r="E1131" s="339" t="str">
        <x:v>Hall / Room Allocation</x:v>
      </x:c>
      <x:c r="F1131" s="339" t="str">
        <x:v>Successful Hall / Room Allocation happy path</x:v>
      </x:c>
      <x:c r="G1131" s="339" t="str">
        <x:v>all mandatory prerequisites and valid data are available</x:v>
      </x:c>
      <x:c r="H1131" s="339" t="str">
        <x:v>the Exam Coordinator completes the primary action on Hall / Room Allocation</x:v>
      </x:c>
      <x:c r="I1131" s="339" t="str">
        <x:v>the system validates the request, saves it atomically, shows a clear confirmation and reflects the updated state</x:v>
      </x:c>
      <x:c r="J1131" s="339" t="str">
        <x:v>Positive</x:v>
      </x:c>
      <x:c r="K1131" s="339" t="str">
        <x:v>Functional</x:v>
      </x:c>
    </x:row>
    <x:row r="1132">
      <x:c r="A1132" s="339" t="str">
        <x:v>AC-01131</x:v>
      </x:c>
      <x:c r="B1132" s="339" t="str">
        <x:v>US-0283</x:v>
      </x:c>
      <x:c r="C1132" s="339" t="str">
        <x:v>SCR-142</x:v>
      </x:c>
      <x:c r="D1132" s="339" t="str">
        <x:v>Examinations / Marks / Results</x:v>
      </x:c>
      <x:c r="E1132" s="339" t="str">
        <x:v>Hall / Room Allocation</x:v>
      </x:c>
      <x:c r="F1132" s="339" t="str">
        <x:v>State and dependency integrity</x:v>
      </x:c>
      <x:c r="G1132" s="339" t="str">
        <x:v>the current record is in an allowed state (Draft → Scheduled → Marks Entry → Verification → Approved → Published → Revised (controlled))</x:v>
      </x:c>
      <x:c r="H1132" s="339" t="str">
        <x:v>the user attempts a state-changing action</x:v>
      </x:c>
      <x:c r="I1132" s="339" t="str">
        <x:v>only a valid transition is accepted and dependent records are updated according to configured business rules</x:v>
      </x:c>
      <x:c r="J1132" s="339" t="str">
        <x:v>Positive</x:v>
      </x:c>
      <x:c r="K1132" s="339" t="str">
        <x:v>Functional</x:v>
      </x:c>
    </x:row>
    <x:row r="1133">
      <x:c r="A1133" s="339" t="str">
        <x:v>AC-01132</x:v>
      </x:c>
      <x:c r="B1133" s="339" t="str">
        <x:v>US-0283</x:v>
      </x:c>
      <x:c r="C1133" s="339" t="str">
        <x:v>SCR-142</x:v>
      </x:c>
      <x:c r="D1133" s="339" t="str">
        <x:v>Examinations / Marks / Results</x:v>
      </x:c>
      <x:c r="E1133" s="339" t="str">
        <x:v>Hall / Room Allocation</x:v>
      </x:c>
      <x:c r="F1133" s="339" t="str">
        <x:v>Auditability</x:v>
      </x:c>
      <x:c r="G1133" s="339" t="str">
        <x:v>a material create/update/approve/reverse action occurs</x:v>
      </x:c>
      <x:c r="H1133" s="339" t="str">
        <x:v>the transaction succeeds</x:v>
      </x:c>
      <x:c r="I1133" s="339" t="str">
        <x:v>the system records actor, timestamp, action, target and relevant before/after or reason context in the audit trail</x:v>
      </x:c>
      <x:c r="J1133" s="339" t="str">
        <x:v>Positive</x:v>
      </x:c>
      <x:c r="K1133" s="339" t="str">
        <x:v>Functional</x:v>
      </x:c>
    </x:row>
    <x:row r="1134">
      <x:c r="A1134" s="339" t="str">
        <x:v>AC-01133</x:v>
      </x:c>
      <x:c r="B1134" s="339" t="str">
        <x:v>US-0284</x:v>
      </x:c>
      <x:c r="C1134" s="339" t="str">
        <x:v>SCR-142</x:v>
      </x:c>
      <x:c r="D1134" s="339" t="str">
        <x:v>Examinations / Marks / Results</x:v>
      </x:c>
      <x:c r="E1134" s="339" t="str">
        <x:v>Hall / Room Allocation</x:v>
      </x:c>
      <x:c r="F1134" s="339" t="str">
        <x:v>Valid status transition</x:v>
      </x:c>
      <x:c r="G1134" s="339" t="str">
        <x:v>the record is in a state described by Draft → Scheduled → Marks Entry → Verification → Approved → Published → Revised (controlled)</x:v>
      </x:c>
      <x:c r="H1134" s="339" t="str">
        <x:v>the user requests a transition</x:v>
      </x:c>
      <x:c r="I1134" s="339" t="str">
        <x:v>the system accepts only transitions allowed for that role and state</x:v>
      </x:c>
      <x:c r="J1134" s="339" t="str">
        <x:v>Positive</x:v>
      </x:c>
      <x:c r="K1134" s="339" t="str">
        <x:v>Functional</x:v>
      </x:c>
    </x:row>
    <x:row r="1135">
      <x:c r="A1135" s="339" t="str">
        <x:v>AC-01134</x:v>
      </x:c>
      <x:c r="B1135" s="339" t="str">
        <x:v>US-0284</x:v>
      </x:c>
      <x:c r="C1135" s="339" t="str">
        <x:v>SCR-142</x:v>
      </x:c>
      <x:c r="D1135" s="339" t="str">
        <x:v>Examinations / Marks / Results</x:v>
      </x:c>
      <x:c r="E1135" s="339" t="str">
        <x:v>Hall / Room Allocation</x:v>
      </x:c>
      <x:c r="F1135" s="339" t="str">
        <x:v>Approval authority</x:v>
      </x:c>
      <x:c r="G1135" s="339" t="str">
        <x:v>an action requires approval</x:v>
      </x:c>
      <x:c r="H1135" s="339" t="str">
        <x:v>a non-authorized user attempts approval/rejection</x:v>
      </x:c>
      <x:c r="I1135" s="339" t="str">
        <x:v>the system denies the decision and does not change status</x:v>
      </x:c>
      <x:c r="J1135" s="339" t="str">
        <x:v>Negative</x:v>
      </x:c>
      <x:c r="K1135" s="339" t="str">
        <x:v>Functional</x:v>
      </x:c>
    </x:row>
    <x:row r="1136">
      <x:c r="A1136" s="339" t="str">
        <x:v>AC-01135</x:v>
      </x:c>
      <x:c r="B1136" s="339" t="str">
        <x:v>US-0284</x:v>
      </x:c>
      <x:c r="C1136" s="339" t="str">
        <x:v>SCR-142</x:v>
      </x:c>
      <x:c r="D1136" s="339" t="str">
        <x:v>Examinations / Marks / Results</x:v>
      </x:c>
      <x:c r="E1136" s="339" t="str">
        <x:v>Hall / Room Allocation</x:v>
      </x:c>
      <x:c r="F1136" s="339" t="str">
        <x:v>Failure rollback</x:v>
      </x:c>
      <x:c r="G1136" s="339" t="str">
        <x:v>a downstream dependency fails during a multi-step transaction</x:v>
      </x:c>
      <x:c r="H1136" s="339" t="str">
        <x:v>the workflow executes</x:v>
      </x:c>
      <x:c r="I1136" s="339" t="str">
        <x:v>the system does not leave an invalid partial final state and surfaces a recoverable error</x:v>
      </x:c>
      <x:c r="J1136" s="339" t="str">
        <x:v>Positive</x:v>
      </x:c>
      <x:c r="K1136" s="339" t="str">
        <x:v>Functional</x:v>
      </x:c>
    </x:row>
    <x:row r="1137">
      <x:c r="A1137" s="339" t="str">
        <x:v>AC-01136</x:v>
      </x:c>
      <x:c r="B1137" s="339" t="str">
        <x:v>US-0284</x:v>
      </x:c>
      <x:c r="C1137" s="339" t="str">
        <x:v>SCR-142</x:v>
      </x:c>
      <x:c r="D1137" s="339" t="str">
        <x:v>Examinations / Marks / Results</x:v>
      </x:c>
      <x:c r="E1137" s="339" t="str">
        <x:v>Hall / Room Allocation</x:v>
      </x:c>
      <x:c r="F1137" s="339" t="str">
        <x:v>Exception traceability</x:v>
      </x:c>
      <x:c r="G1137" s="339" t="str">
        <x:v>an authorized override/exception is used</x:v>
      </x:c>
      <x:c r="H1137" s="339" t="str">
        <x:v>the action is confirmed</x:v>
      </x:c>
      <x:c r="I1137" s="339" t="str">
        <x:v>the system requires reason/context and records it in the audit history</x:v>
      </x:c>
      <x:c r="J1137" s="339" t="str">
        <x:v>Positive</x:v>
      </x:c>
      <x:c r="K1137" s="339" t="str">
        <x:v>Functional</x:v>
      </x:c>
    </x:row>
    <x:row r="1138">
      <x:c r="A1138" s="339" t="str">
        <x:v>AC-01137</x:v>
      </x:c>
      <x:c r="B1138" s="339" t="str">
        <x:v>US-0285</x:v>
      </x:c>
      <x:c r="C1138" s="339" t="str">
        <x:v>SCR-143</x:v>
      </x:c>
      <x:c r="D1138" s="339" t="str">
        <x:v>Examinations / Marks / Results</x:v>
      </x:c>
      <x:c r="E1138" s="339" t="str">
        <x:v>Invigilation Assignment</x:v>
      </x:c>
      <x:c r="F1138" s="339" t="str">
        <x:v>Authorized access to Invigilation Assignment</x:v>
      </x:c>
      <x:c r="G1138" s="339" t="str">
        <x:v>the Exam Coordinator is authenticated and has access to Invigilation Assignment</x:v>
      </x:c>
      <x:c r="H1138" s="339" t="str">
        <x:v>the user opens or invokes Invigilation Assignment</x:v>
      </x:c>
      <x:c r="I1138" s="339" t="str">
        <x:v>the system loads only records and actions within the user's permitted tenant/school/data scope</x:v>
      </x:c>
      <x:c r="J1138" s="339" t="str">
        <x:v>Positive</x:v>
      </x:c>
      <x:c r="K1138" s="339" t="str">
        <x:v>Functional / Security</x:v>
      </x:c>
    </x:row>
    <x:row r="1139">
      <x:c r="A1139" s="339" t="str">
        <x:v>AC-01138</x:v>
      </x:c>
      <x:c r="B1139" s="339" t="str">
        <x:v>US-0285</x:v>
      </x:c>
      <x:c r="C1139" s="339" t="str">
        <x:v>SCR-143</x:v>
      </x:c>
      <x:c r="D1139" s="339" t="str">
        <x:v>Examinations / Marks / Results</x:v>
      </x:c>
      <x:c r="E1139" s="339" t="str">
        <x:v>Invigilation Assignment</x:v>
      </x:c>
      <x:c r="F1139" s="339" t="str">
        <x:v>Successful Invigilation Assignment happy path</x:v>
      </x:c>
      <x:c r="G1139" s="339" t="str">
        <x:v>all mandatory prerequisites and valid data are available</x:v>
      </x:c>
      <x:c r="H1139" s="339" t="str">
        <x:v>the Exam Coordinator completes the primary action on Invigilation Assignment</x:v>
      </x:c>
      <x:c r="I1139" s="339" t="str">
        <x:v>the system validates the request, saves it atomically, shows a clear confirmation and reflects the updated state</x:v>
      </x:c>
      <x:c r="J1139" s="339" t="str">
        <x:v>Positive</x:v>
      </x:c>
      <x:c r="K1139" s="339" t="str">
        <x:v>Functional</x:v>
      </x:c>
    </x:row>
    <x:row r="1140">
      <x:c r="A1140" s="339" t="str">
        <x:v>AC-01139</x:v>
      </x:c>
      <x:c r="B1140" s="339" t="str">
        <x:v>US-0285</x:v>
      </x:c>
      <x:c r="C1140" s="339" t="str">
        <x:v>SCR-143</x:v>
      </x:c>
      <x:c r="D1140" s="339" t="str">
        <x:v>Examinations / Marks / Results</x:v>
      </x:c>
      <x:c r="E1140" s="339" t="str">
        <x:v>Invigilation Assignment</x:v>
      </x:c>
      <x:c r="F1140" s="339" t="str">
        <x:v>State and dependency integrity</x:v>
      </x:c>
      <x:c r="G1140" s="339" t="str">
        <x:v>the current record is in an allowed state (Draft → Scheduled → Marks Entry → Verification → Approved → Published → Revised (controlled))</x:v>
      </x:c>
      <x:c r="H1140" s="339" t="str">
        <x:v>the user attempts a state-changing action</x:v>
      </x:c>
      <x:c r="I1140" s="339" t="str">
        <x:v>only a valid transition is accepted and dependent records are updated according to configured business rules</x:v>
      </x:c>
      <x:c r="J1140" s="339" t="str">
        <x:v>Positive</x:v>
      </x:c>
      <x:c r="K1140" s="339" t="str">
        <x:v>Functional</x:v>
      </x:c>
    </x:row>
    <x:row r="1141">
      <x:c r="A1141" s="339" t="str">
        <x:v>AC-01140</x:v>
      </x:c>
      <x:c r="B1141" s="339" t="str">
        <x:v>US-0285</x:v>
      </x:c>
      <x:c r="C1141" s="339" t="str">
        <x:v>SCR-143</x:v>
      </x:c>
      <x:c r="D1141" s="339" t="str">
        <x:v>Examinations / Marks / Results</x:v>
      </x:c>
      <x:c r="E1141" s="339" t="str">
        <x:v>Invigilation Assignment</x:v>
      </x:c>
      <x:c r="F1141" s="339" t="str">
        <x:v>Auditability</x:v>
      </x:c>
      <x:c r="G1141" s="339" t="str">
        <x:v>a material create/update/approve/reverse action occurs</x:v>
      </x:c>
      <x:c r="H1141" s="339" t="str">
        <x:v>the transaction succeeds</x:v>
      </x:c>
      <x:c r="I1141" s="339" t="str">
        <x:v>the system records actor, timestamp, action, target and relevant before/after or reason context in the audit trail</x:v>
      </x:c>
      <x:c r="J1141" s="339" t="str">
        <x:v>Positive</x:v>
      </x:c>
      <x:c r="K1141" s="339" t="str">
        <x:v>Functional</x:v>
      </x:c>
    </x:row>
    <x:row r="1142">
      <x:c r="A1142" s="339" t="str">
        <x:v>AC-01141</x:v>
      </x:c>
      <x:c r="B1142" s="339" t="str">
        <x:v>US-0286</x:v>
      </x:c>
      <x:c r="C1142" s="339" t="str">
        <x:v>SCR-143</x:v>
      </x:c>
      <x:c r="D1142" s="339" t="str">
        <x:v>Examinations / Marks / Results</x:v>
      </x:c>
      <x:c r="E1142" s="339" t="str">
        <x:v>Invigilation Assignment</x:v>
      </x:c>
      <x:c r="F1142" s="339" t="str">
        <x:v>Valid status transition</x:v>
      </x:c>
      <x:c r="G1142" s="339" t="str">
        <x:v>the record is in a state described by Draft → Scheduled → Marks Entry → Verification → Approved → Published → Revised (controlled)</x:v>
      </x:c>
      <x:c r="H1142" s="339" t="str">
        <x:v>the user requests a transition</x:v>
      </x:c>
      <x:c r="I1142" s="339" t="str">
        <x:v>the system accepts only transitions allowed for that role and state</x:v>
      </x:c>
      <x:c r="J1142" s="339" t="str">
        <x:v>Positive</x:v>
      </x:c>
      <x:c r="K1142" s="339" t="str">
        <x:v>Functional</x:v>
      </x:c>
    </x:row>
    <x:row r="1143">
      <x:c r="A1143" s="339" t="str">
        <x:v>AC-01142</x:v>
      </x:c>
      <x:c r="B1143" s="339" t="str">
        <x:v>US-0286</x:v>
      </x:c>
      <x:c r="C1143" s="339" t="str">
        <x:v>SCR-143</x:v>
      </x:c>
      <x:c r="D1143" s="339" t="str">
        <x:v>Examinations / Marks / Results</x:v>
      </x:c>
      <x:c r="E1143" s="339" t="str">
        <x:v>Invigilation Assignment</x:v>
      </x:c>
      <x:c r="F1143" s="339" t="str">
        <x:v>Approval authority</x:v>
      </x:c>
      <x:c r="G1143" s="339" t="str">
        <x:v>an action requires approval</x:v>
      </x:c>
      <x:c r="H1143" s="339" t="str">
        <x:v>a non-authorized user attempts approval/rejection</x:v>
      </x:c>
      <x:c r="I1143" s="339" t="str">
        <x:v>the system denies the decision and does not change status</x:v>
      </x:c>
      <x:c r="J1143" s="339" t="str">
        <x:v>Negative</x:v>
      </x:c>
      <x:c r="K1143" s="339" t="str">
        <x:v>Functional</x:v>
      </x:c>
    </x:row>
    <x:row r="1144">
      <x:c r="A1144" s="339" t="str">
        <x:v>AC-01143</x:v>
      </x:c>
      <x:c r="B1144" s="339" t="str">
        <x:v>US-0286</x:v>
      </x:c>
      <x:c r="C1144" s="339" t="str">
        <x:v>SCR-143</x:v>
      </x:c>
      <x:c r="D1144" s="339" t="str">
        <x:v>Examinations / Marks / Results</x:v>
      </x:c>
      <x:c r="E1144" s="339" t="str">
        <x:v>Invigilation Assignment</x:v>
      </x:c>
      <x:c r="F1144" s="339" t="str">
        <x:v>Failure rollback</x:v>
      </x:c>
      <x:c r="G1144" s="339" t="str">
        <x:v>a downstream dependency fails during a multi-step transaction</x:v>
      </x:c>
      <x:c r="H1144" s="339" t="str">
        <x:v>the workflow executes</x:v>
      </x:c>
      <x:c r="I1144" s="339" t="str">
        <x:v>the system does not leave an invalid partial final state and surfaces a recoverable error</x:v>
      </x:c>
      <x:c r="J1144" s="339" t="str">
        <x:v>Positive</x:v>
      </x:c>
      <x:c r="K1144" s="339" t="str">
        <x:v>Functional</x:v>
      </x:c>
    </x:row>
    <x:row r="1145">
      <x:c r="A1145" s="339" t="str">
        <x:v>AC-01144</x:v>
      </x:c>
      <x:c r="B1145" s="339" t="str">
        <x:v>US-0286</x:v>
      </x:c>
      <x:c r="C1145" s="339" t="str">
        <x:v>SCR-143</x:v>
      </x:c>
      <x:c r="D1145" s="339" t="str">
        <x:v>Examinations / Marks / Results</x:v>
      </x:c>
      <x:c r="E1145" s="339" t="str">
        <x:v>Invigilation Assignment</x:v>
      </x:c>
      <x:c r="F1145" s="339" t="str">
        <x:v>Exception traceability</x:v>
      </x:c>
      <x:c r="G1145" s="339" t="str">
        <x:v>an authorized override/exception is used</x:v>
      </x:c>
      <x:c r="H1145" s="339" t="str">
        <x:v>the action is confirmed</x:v>
      </x:c>
      <x:c r="I1145" s="339" t="str">
        <x:v>the system requires reason/context and records it in the audit history</x:v>
      </x:c>
      <x:c r="J1145" s="339" t="str">
        <x:v>Positive</x:v>
      </x:c>
      <x:c r="K1145" s="339" t="str">
        <x:v>Functional</x:v>
      </x:c>
    </x:row>
    <x:row r="1146">
      <x:c r="A1146" s="339" t="str">
        <x:v>AC-01145</x:v>
      </x:c>
      <x:c r="B1146" s="339" t="str">
        <x:v>US-0287</x:v>
      </x:c>
      <x:c r="C1146" s="339" t="str">
        <x:v>SCR-144</x:v>
      </x:c>
      <x:c r="D1146" s="339" t="str">
        <x:v>Examinations / Marks / Results</x:v>
      </x:c>
      <x:c r="E1146" s="339" t="str">
        <x:v>Admit Card</x:v>
      </x:c>
      <x:c r="F1146" s="339" t="str">
        <x:v>Authorized access to Admit Card</x:v>
      </x:c>
      <x:c r="G1146" s="339" t="str">
        <x:v>the Exam Coordinator is authenticated and has access to Admit Card</x:v>
      </x:c>
      <x:c r="H1146" s="339" t="str">
        <x:v>the user opens or invokes Admit Card</x:v>
      </x:c>
      <x:c r="I1146" s="339" t="str">
        <x:v>the system loads only records and actions within the user's permitted tenant/school/data scope</x:v>
      </x:c>
      <x:c r="J1146" s="339" t="str">
        <x:v>Positive</x:v>
      </x:c>
      <x:c r="K1146" s="339" t="str">
        <x:v>Functional / Security</x:v>
      </x:c>
    </x:row>
    <x:row r="1147">
      <x:c r="A1147" s="339" t="str">
        <x:v>AC-01146</x:v>
      </x:c>
      <x:c r="B1147" s="339" t="str">
        <x:v>US-0287</x:v>
      </x:c>
      <x:c r="C1147" s="339" t="str">
        <x:v>SCR-144</x:v>
      </x:c>
      <x:c r="D1147" s="339" t="str">
        <x:v>Examinations / Marks / Results</x:v>
      </x:c>
      <x:c r="E1147" s="339" t="str">
        <x:v>Admit Card</x:v>
      </x:c>
      <x:c r="F1147" s="339" t="str">
        <x:v>Successful Admit Card happy path</x:v>
      </x:c>
      <x:c r="G1147" s="339" t="str">
        <x:v>all mandatory prerequisites and valid data are available</x:v>
      </x:c>
      <x:c r="H1147" s="339" t="str">
        <x:v>the Exam Coordinator completes the primary action on Admit Card</x:v>
      </x:c>
      <x:c r="I1147" s="339" t="str">
        <x:v>the system validates the request, saves it atomically, shows a clear confirmation and reflects the updated state</x:v>
      </x:c>
      <x:c r="J1147" s="339" t="str">
        <x:v>Positive</x:v>
      </x:c>
      <x:c r="K1147" s="339" t="str">
        <x:v>Functional</x:v>
      </x:c>
    </x:row>
    <x:row r="1148">
      <x:c r="A1148" s="339" t="str">
        <x:v>AC-01147</x:v>
      </x:c>
      <x:c r="B1148" s="339" t="str">
        <x:v>US-0287</x:v>
      </x:c>
      <x:c r="C1148" s="339" t="str">
        <x:v>SCR-144</x:v>
      </x:c>
      <x:c r="D1148" s="339" t="str">
        <x:v>Examinations / Marks / Results</x:v>
      </x:c>
      <x:c r="E1148" s="339" t="str">
        <x:v>Admit Card</x:v>
      </x:c>
      <x:c r="F1148" s="339" t="str">
        <x:v>State and dependency integrity</x:v>
      </x:c>
      <x:c r="G1148" s="339" t="str">
        <x:v>the current record is in an allowed state (Draft → Scheduled → Marks Entry → Verification → Approved → Published → Revised (controlled))</x:v>
      </x:c>
      <x:c r="H1148" s="339" t="str">
        <x:v>the user attempts a state-changing action</x:v>
      </x:c>
      <x:c r="I1148" s="339" t="str">
        <x:v>only a valid transition is accepted and dependent records are updated according to configured business rules</x:v>
      </x:c>
      <x:c r="J1148" s="339" t="str">
        <x:v>Positive</x:v>
      </x:c>
      <x:c r="K1148" s="339" t="str">
        <x:v>Functional</x:v>
      </x:c>
    </x:row>
    <x:row r="1149">
      <x:c r="A1149" s="339" t="str">
        <x:v>AC-01148</x:v>
      </x:c>
      <x:c r="B1149" s="339" t="str">
        <x:v>US-0287</x:v>
      </x:c>
      <x:c r="C1149" s="339" t="str">
        <x:v>SCR-144</x:v>
      </x:c>
      <x:c r="D1149" s="339" t="str">
        <x:v>Examinations / Marks / Results</x:v>
      </x:c>
      <x:c r="E1149" s="339" t="str">
        <x:v>Admit Card</x:v>
      </x:c>
      <x:c r="F1149" s="339" t="str">
        <x:v>Auditability</x:v>
      </x:c>
      <x:c r="G1149" s="339" t="str">
        <x:v>a material create/update/approve/reverse action occurs</x:v>
      </x:c>
      <x:c r="H1149" s="339" t="str">
        <x:v>the transaction succeeds</x:v>
      </x:c>
      <x:c r="I1149" s="339" t="str">
        <x:v>the system records actor, timestamp, action, target and relevant before/after or reason context in the audit trail</x:v>
      </x:c>
      <x:c r="J1149" s="339" t="str">
        <x:v>Positive</x:v>
      </x:c>
      <x:c r="K1149" s="339" t="str">
        <x:v>Functional</x:v>
      </x:c>
    </x:row>
    <x:row r="1150">
      <x:c r="A1150" s="339" t="str">
        <x:v>AC-01149</x:v>
      </x:c>
      <x:c r="B1150" s="339" t="str">
        <x:v>US-0288</x:v>
      </x:c>
      <x:c r="C1150" s="339" t="str">
        <x:v>SCR-144</x:v>
      </x:c>
      <x:c r="D1150" s="339" t="str">
        <x:v>Examinations / Marks / Results</x:v>
      </x:c>
      <x:c r="E1150" s="339" t="str">
        <x:v>Admit Card</x:v>
      </x:c>
      <x:c r="F1150" s="339" t="str">
        <x:v>Valid status transition</x:v>
      </x:c>
      <x:c r="G1150" s="339" t="str">
        <x:v>the record is in a state described by Draft → Scheduled → Marks Entry → Verification → Approved → Published → Revised (controlled)</x:v>
      </x:c>
      <x:c r="H1150" s="339" t="str">
        <x:v>the user requests a transition</x:v>
      </x:c>
      <x:c r="I1150" s="339" t="str">
        <x:v>the system accepts only transitions allowed for that role and state</x:v>
      </x:c>
      <x:c r="J1150" s="339" t="str">
        <x:v>Positive</x:v>
      </x:c>
      <x:c r="K1150" s="339" t="str">
        <x:v>Functional</x:v>
      </x:c>
    </x:row>
    <x:row r="1151">
      <x:c r="A1151" s="339" t="str">
        <x:v>AC-01150</x:v>
      </x:c>
      <x:c r="B1151" s="339" t="str">
        <x:v>US-0288</x:v>
      </x:c>
      <x:c r="C1151" s="339" t="str">
        <x:v>SCR-144</x:v>
      </x:c>
      <x:c r="D1151" s="339" t="str">
        <x:v>Examinations / Marks / Results</x:v>
      </x:c>
      <x:c r="E1151" s="339" t="str">
        <x:v>Admit Card</x:v>
      </x:c>
      <x:c r="F1151" s="339" t="str">
        <x:v>Approval authority</x:v>
      </x:c>
      <x:c r="G1151" s="339" t="str">
        <x:v>an action requires approval</x:v>
      </x:c>
      <x:c r="H1151" s="339" t="str">
        <x:v>a non-authorized user attempts approval/rejection</x:v>
      </x:c>
      <x:c r="I1151" s="339" t="str">
        <x:v>the system denies the decision and does not change status</x:v>
      </x:c>
      <x:c r="J1151" s="339" t="str">
        <x:v>Negative</x:v>
      </x:c>
      <x:c r="K1151" s="339" t="str">
        <x:v>Functional</x:v>
      </x:c>
    </x:row>
    <x:row r="1152">
      <x:c r="A1152" s="339" t="str">
        <x:v>AC-01151</x:v>
      </x:c>
      <x:c r="B1152" s="339" t="str">
        <x:v>US-0288</x:v>
      </x:c>
      <x:c r="C1152" s="339" t="str">
        <x:v>SCR-144</x:v>
      </x:c>
      <x:c r="D1152" s="339" t="str">
        <x:v>Examinations / Marks / Results</x:v>
      </x:c>
      <x:c r="E1152" s="339" t="str">
        <x:v>Admit Card</x:v>
      </x:c>
      <x:c r="F1152" s="339" t="str">
        <x:v>Failure rollback</x:v>
      </x:c>
      <x:c r="G1152" s="339" t="str">
        <x:v>a downstream dependency fails during a multi-step transaction</x:v>
      </x:c>
      <x:c r="H1152" s="339" t="str">
        <x:v>the workflow executes</x:v>
      </x:c>
      <x:c r="I1152" s="339" t="str">
        <x:v>the system does not leave an invalid partial final state and surfaces a recoverable error</x:v>
      </x:c>
      <x:c r="J1152" s="339" t="str">
        <x:v>Positive</x:v>
      </x:c>
      <x:c r="K1152" s="339" t="str">
        <x:v>Functional</x:v>
      </x:c>
    </x:row>
    <x:row r="1153">
      <x:c r="A1153" s="339" t="str">
        <x:v>AC-01152</x:v>
      </x:c>
      <x:c r="B1153" s="339" t="str">
        <x:v>US-0288</x:v>
      </x:c>
      <x:c r="C1153" s="339" t="str">
        <x:v>SCR-144</x:v>
      </x:c>
      <x:c r="D1153" s="339" t="str">
        <x:v>Examinations / Marks / Results</x:v>
      </x:c>
      <x:c r="E1153" s="339" t="str">
        <x:v>Admit Card</x:v>
      </x:c>
      <x:c r="F1153" s="339" t="str">
        <x:v>Exception traceability</x:v>
      </x:c>
      <x:c r="G1153" s="339" t="str">
        <x:v>an authorized override/exception is used</x:v>
      </x:c>
      <x:c r="H1153" s="339" t="str">
        <x:v>the action is confirmed</x:v>
      </x:c>
      <x:c r="I1153" s="339" t="str">
        <x:v>the system requires reason/context and records it in the audit history</x:v>
      </x:c>
      <x:c r="J1153" s="339" t="str">
        <x:v>Positive</x:v>
      </x:c>
      <x:c r="K1153" s="339" t="str">
        <x:v>Functional</x:v>
      </x:c>
    </x:row>
    <x:row r="1154">
      <x:c r="A1154" s="339" t="str">
        <x:v>AC-01153</x:v>
      </x:c>
      <x:c r="B1154" s="339" t="str">
        <x:v>US-0289</x:v>
      </x:c>
      <x:c r="C1154" s="339" t="str">
        <x:v>SCR-145</x:v>
      </x:c>
      <x:c r="D1154" s="339" t="str">
        <x:v>Examinations / Marks / Results</x:v>
      </x:c>
      <x:c r="E1154" s="339" t="str">
        <x:v>Marks Entry</x:v>
      </x:c>
      <x:c r="F1154" s="339" t="str">
        <x:v>Authorized access to Marks Entry</x:v>
      </x:c>
      <x:c r="G1154" s="339" t="str">
        <x:v>the Teacher is authenticated and has access to Marks Entry</x:v>
      </x:c>
      <x:c r="H1154" s="339" t="str">
        <x:v>the user opens or invokes Marks Entry</x:v>
      </x:c>
      <x:c r="I1154" s="339" t="str">
        <x:v>the system loads only records and actions within the user's permitted tenant/school/data scope</x:v>
      </x:c>
      <x:c r="J1154" s="339" t="str">
        <x:v>Positive</x:v>
      </x:c>
      <x:c r="K1154" s="339" t="str">
        <x:v>Functional / Security</x:v>
      </x:c>
    </x:row>
    <x:row r="1155">
      <x:c r="A1155" s="339" t="str">
        <x:v>AC-01154</x:v>
      </x:c>
      <x:c r="B1155" s="339" t="str">
        <x:v>US-0289</x:v>
      </x:c>
      <x:c r="C1155" s="339" t="str">
        <x:v>SCR-145</x:v>
      </x:c>
      <x:c r="D1155" s="339" t="str">
        <x:v>Examinations / Marks / Results</x:v>
      </x:c>
      <x:c r="E1155" s="339" t="str">
        <x:v>Marks Entry</x:v>
      </x:c>
      <x:c r="F1155" s="339" t="str">
        <x:v>Successful Marks Entry happy path</x:v>
      </x:c>
      <x:c r="G1155" s="339" t="str">
        <x:v>all mandatory prerequisites and valid data are available</x:v>
      </x:c>
      <x:c r="H1155" s="339" t="str">
        <x:v>the Teacher completes the primary action on Marks Entry</x:v>
      </x:c>
      <x:c r="I1155" s="339" t="str">
        <x:v>the system validates the request, saves it atomically, shows a clear confirmation and reflects the updated state</x:v>
      </x:c>
      <x:c r="J1155" s="339" t="str">
        <x:v>Positive</x:v>
      </x:c>
      <x:c r="K1155" s="339" t="str">
        <x:v>Functional</x:v>
      </x:c>
    </x:row>
    <x:row r="1156">
      <x:c r="A1156" s="339" t="str">
        <x:v>AC-01155</x:v>
      </x:c>
      <x:c r="B1156" s="339" t="str">
        <x:v>US-0289</x:v>
      </x:c>
      <x:c r="C1156" s="339" t="str">
        <x:v>SCR-145</x:v>
      </x:c>
      <x:c r="D1156" s="339" t="str">
        <x:v>Examinations / Marks / Results</x:v>
      </x:c>
      <x:c r="E1156" s="339" t="str">
        <x:v>Marks Entry</x:v>
      </x:c>
      <x:c r="F1156" s="339" t="str">
        <x:v>State and dependency integrity</x:v>
      </x:c>
      <x:c r="G1156" s="339" t="str">
        <x:v>the current record is in an allowed state (Draft → Scheduled → Marks Entry → Verification → Approved → Published → Revised (controlled))</x:v>
      </x:c>
      <x:c r="H1156" s="339" t="str">
        <x:v>the user attempts a state-changing action</x:v>
      </x:c>
      <x:c r="I1156" s="339" t="str">
        <x:v>only a valid transition is accepted and dependent records are updated according to configured business rules</x:v>
      </x:c>
      <x:c r="J1156" s="339" t="str">
        <x:v>Positive</x:v>
      </x:c>
      <x:c r="K1156" s="339" t="str">
        <x:v>Functional</x:v>
      </x:c>
    </x:row>
    <x:row r="1157">
      <x:c r="A1157" s="339" t="str">
        <x:v>AC-01156</x:v>
      </x:c>
      <x:c r="B1157" s="339" t="str">
        <x:v>US-0289</x:v>
      </x:c>
      <x:c r="C1157" s="339" t="str">
        <x:v>SCR-145</x:v>
      </x:c>
      <x:c r="D1157" s="339" t="str">
        <x:v>Examinations / Marks / Results</x:v>
      </x:c>
      <x:c r="E1157" s="339" t="str">
        <x:v>Marks Entry</x:v>
      </x:c>
      <x:c r="F1157" s="339" t="str">
        <x:v>Auditability</x:v>
      </x:c>
      <x:c r="G1157" s="339" t="str">
        <x:v>a material create/update/approve/reverse action occurs</x:v>
      </x:c>
      <x:c r="H1157" s="339" t="str">
        <x:v>the transaction succeeds</x:v>
      </x:c>
      <x:c r="I1157" s="339" t="str">
        <x:v>the system records actor, timestamp, action, target and relevant before/after or reason context in the audit trail</x:v>
      </x:c>
      <x:c r="J1157" s="339" t="str">
        <x:v>Positive</x:v>
      </x:c>
      <x:c r="K1157" s="339" t="str">
        <x:v>Functional</x:v>
      </x:c>
    </x:row>
    <x:row r="1158">
      <x:c r="A1158" s="339" t="str">
        <x:v>AC-01157</x:v>
      </x:c>
      <x:c r="B1158" s="339" t="str">
        <x:v>US-0290</x:v>
      </x:c>
      <x:c r="C1158" s="339" t="str">
        <x:v>SCR-145</x:v>
      </x:c>
      <x:c r="D1158" s="339" t="str">
        <x:v>Examinations / Marks / Results</x:v>
      </x:c>
      <x:c r="E1158" s="339" t="str">
        <x:v>Marks Entry</x:v>
      </x:c>
      <x:c r="F1158" s="339" t="str">
        <x:v>Required-field validation</x:v>
      </x:c>
      <x:c r="G1158" s="339" t="str">
        <x:v>one or more required values are missing/invalid</x:v>
      </x:c>
      <x:c r="H1158" s="339" t="str">
        <x:v>the user submits the form</x:v>
      </x:c>
      <x:c r="I1158" s="339" t="str">
        <x:v>submission is blocked and field-level messages identify what must be corrected</x:v>
      </x:c>
      <x:c r="J1158" s="339" t="str">
        <x:v>Positive</x:v>
      </x:c>
      <x:c r="K1158" s="339" t="str">
        <x:v>Functional</x:v>
      </x:c>
    </x:row>
    <x:row r="1159">
      <x:c r="A1159" s="339" t="str">
        <x:v>AC-01158</x:v>
      </x:c>
      <x:c r="B1159" s="339" t="str">
        <x:v>US-0290</x:v>
      </x:c>
      <x:c r="C1159" s="339" t="str">
        <x:v>SCR-145</x:v>
      </x:c>
      <x:c r="D1159" s="339" t="str">
        <x:v>Examinations / Marks / Results</x:v>
      </x:c>
      <x:c r="E1159" s="339" t="str">
        <x:v>Marks Entry</x:v>
      </x:c>
      <x:c r="F1159" s="339" t="str">
        <x:v>Duplicate prevention</x:v>
      </x:c>
      <x:c r="G1159" s="339" t="str">
        <x:v>a potentially duplicate record exists</x:v>
      </x:c>
      <x:c r="H1159" s="339" t="str">
        <x:v>the user submits matching identity/master data</x:v>
      </x:c>
      <x:c r="I1159" s="339" t="str">
        <x:v>the system blocks or warns according to configured duplicate policy before creating another record</x:v>
      </x:c>
      <x:c r="J1159" s="339" t="str">
        <x:v>Negative</x:v>
      </x:c>
      <x:c r="K1159" s="339" t="str">
        <x:v>Functional</x:v>
      </x:c>
    </x:row>
    <x:row r="1160">
      <x:c r="A1160" s="339" t="str">
        <x:v>AC-01159</x:v>
      </x:c>
      <x:c r="B1160" s="339" t="str">
        <x:v>US-0290</x:v>
      </x:c>
      <x:c r="C1160" s="339" t="str">
        <x:v>SCR-145</x:v>
      </x:c>
      <x:c r="D1160" s="339" t="str">
        <x:v>Examinations / Marks / Results</x:v>
      </x:c>
      <x:c r="E1160" s="339" t="str">
        <x:v>Marks Entry</x:v>
      </x:c>
      <x:c r="F1160" s="339" t="str">
        <x:v>Reference-data integrity</x:v>
      </x:c>
      <x:c r="G1160" s="339" t="str">
        <x:v>the form contains master-data selections</x:v>
      </x:c>
      <x:c r="H1160" s="339" t="str">
        <x:v>the user submits</x:v>
      </x:c>
      <x:c r="I1160" s="339" t="str">
        <x:v>all referenced values are active, effective and within the user's scope at the time of save</x:v>
      </x:c>
      <x:c r="J1160" s="339" t="str">
        <x:v>Positive</x:v>
      </x:c>
      <x:c r="K1160" s="339" t="str">
        <x:v>Functional</x:v>
      </x:c>
    </x:row>
    <x:row r="1161">
      <x:c r="A1161" s="339" t="str">
        <x:v>AC-01160</x:v>
      </x:c>
      <x:c r="B1161" s="339" t="str">
        <x:v>US-0290</x:v>
      </x:c>
      <x:c r="C1161" s="339" t="str">
        <x:v>SCR-145</x:v>
      </x:c>
      <x:c r="D1161" s="339" t="str">
        <x:v>Examinations / Marks / Results</x:v>
      </x:c>
      <x:c r="E1161" s="339" t="str">
        <x:v>Marks Entry</x:v>
      </x:c>
      <x:c r="F1161" s="339" t="str">
        <x:v>Retry safety</x:v>
      </x:c>
      <x:c r="G1161" s="339" t="str">
        <x:v>a network retry or repeated click occurs</x:v>
      </x:c>
      <x:c r="H1161" s="339" t="str">
        <x:v>the same transaction is submitted again</x:v>
      </x:c>
      <x:c r="I1161" s="339" t="str">
        <x:v>the system prevents unintended duplicate transactions through idempotency or duplicate detection</x:v>
      </x:c>
      <x:c r="J1161" s="339" t="str">
        <x:v>Positive</x:v>
      </x:c>
      <x:c r="K1161" s="339" t="str">
        <x:v>Functional</x:v>
      </x:c>
    </x:row>
    <x:row r="1162">
      <x:c r="A1162" s="339" t="str">
        <x:v>AC-01161</x:v>
      </x:c>
      <x:c r="B1162" s="339" t="str">
        <x:v>US-0291</x:v>
      </x:c>
      <x:c r="C1162" s="339" t="str">
        <x:v>SCR-146</x:v>
      </x:c>
      <x:c r="D1162" s="339" t="str">
        <x:v>Examinations / Marks / Results</x:v>
      </x:c>
      <x:c r="E1162" s="339" t="str">
        <x:v>Practical / Internal Marks</x:v>
      </x:c>
      <x:c r="F1162" s="339" t="str">
        <x:v>Authorized access to Practical / Internal Marks</x:v>
      </x:c>
      <x:c r="G1162" s="339" t="str">
        <x:v>the Teacher is authenticated and has access to Practical / Internal Marks</x:v>
      </x:c>
      <x:c r="H1162" s="339" t="str">
        <x:v>the user opens or invokes Practical / Internal Marks</x:v>
      </x:c>
      <x:c r="I1162" s="339" t="str">
        <x:v>the system loads only records and actions within the user's permitted tenant/school/data scope</x:v>
      </x:c>
      <x:c r="J1162" s="339" t="str">
        <x:v>Positive</x:v>
      </x:c>
      <x:c r="K1162" s="339" t="str">
        <x:v>Functional / Security</x:v>
      </x:c>
    </x:row>
    <x:row r="1163">
      <x:c r="A1163" s="339" t="str">
        <x:v>AC-01162</x:v>
      </x:c>
      <x:c r="B1163" s="339" t="str">
        <x:v>US-0291</x:v>
      </x:c>
      <x:c r="C1163" s="339" t="str">
        <x:v>SCR-146</x:v>
      </x:c>
      <x:c r="D1163" s="339" t="str">
        <x:v>Examinations / Marks / Results</x:v>
      </x:c>
      <x:c r="E1163" s="339" t="str">
        <x:v>Practical / Internal Marks</x:v>
      </x:c>
      <x:c r="F1163" s="339" t="str">
        <x:v>Successful Practical / Internal Marks happy path</x:v>
      </x:c>
      <x:c r="G1163" s="339" t="str">
        <x:v>all mandatory prerequisites and valid data are available</x:v>
      </x:c>
      <x:c r="H1163" s="339" t="str">
        <x:v>the Teacher completes the primary action on Practical / Internal Marks</x:v>
      </x:c>
      <x:c r="I1163" s="339" t="str">
        <x:v>the system validates the request, saves it atomically, shows a clear confirmation and reflects the updated state</x:v>
      </x:c>
      <x:c r="J1163" s="339" t="str">
        <x:v>Positive</x:v>
      </x:c>
      <x:c r="K1163" s="339" t="str">
        <x:v>Functional</x:v>
      </x:c>
    </x:row>
    <x:row r="1164">
      <x:c r="A1164" s="339" t="str">
        <x:v>AC-01163</x:v>
      </x:c>
      <x:c r="B1164" s="339" t="str">
        <x:v>US-0291</x:v>
      </x:c>
      <x:c r="C1164" s="339" t="str">
        <x:v>SCR-146</x:v>
      </x:c>
      <x:c r="D1164" s="339" t="str">
        <x:v>Examinations / Marks / Results</x:v>
      </x:c>
      <x:c r="E1164" s="339" t="str">
        <x:v>Practical / Internal Marks</x:v>
      </x:c>
      <x:c r="F1164" s="339" t="str">
        <x:v>State and dependency integrity</x:v>
      </x:c>
      <x:c r="G1164" s="339" t="str">
        <x:v>the current record is in an allowed state (Draft → Scheduled → Marks Entry → Verification → Approved → Published → Revised (controlled))</x:v>
      </x:c>
      <x:c r="H1164" s="339" t="str">
        <x:v>the user attempts a state-changing action</x:v>
      </x:c>
      <x:c r="I1164" s="339" t="str">
        <x:v>only a valid transition is accepted and dependent records are updated according to configured business rules</x:v>
      </x:c>
      <x:c r="J1164" s="339" t="str">
        <x:v>Positive</x:v>
      </x:c>
      <x:c r="K1164" s="339" t="str">
        <x:v>Functional</x:v>
      </x:c>
    </x:row>
    <x:row r="1165">
      <x:c r="A1165" s="339" t="str">
        <x:v>AC-01164</x:v>
      </x:c>
      <x:c r="B1165" s="339" t="str">
        <x:v>US-0291</x:v>
      </x:c>
      <x:c r="C1165" s="339" t="str">
        <x:v>SCR-146</x:v>
      </x:c>
      <x:c r="D1165" s="339" t="str">
        <x:v>Examinations / Marks / Results</x:v>
      </x:c>
      <x:c r="E1165" s="339" t="str">
        <x:v>Practical / Internal Marks</x:v>
      </x:c>
      <x:c r="F1165" s="339" t="str">
        <x:v>Auditability</x:v>
      </x:c>
      <x:c r="G1165" s="339" t="str">
        <x:v>a material create/update/approve/reverse action occurs</x:v>
      </x:c>
      <x:c r="H1165" s="339" t="str">
        <x:v>the transaction succeeds</x:v>
      </x:c>
      <x:c r="I1165" s="339" t="str">
        <x:v>the system records actor, timestamp, action, target and relevant before/after or reason context in the audit trail</x:v>
      </x:c>
      <x:c r="J1165" s="339" t="str">
        <x:v>Positive</x:v>
      </x:c>
      <x:c r="K1165" s="339" t="str">
        <x:v>Functional</x:v>
      </x:c>
    </x:row>
    <x:row r="1166">
      <x:c r="A1166" s="339" t="str">
        <x:v>AC-01165</x:v>
      </x:c>
      <x:c r="B1166" s="339" t="str">
        <x:v>US-0292</x:v>
      </x:c>
      <x:c r="C1166" s="339" t="str">
        <x:v>SCR-146</x:v>
      </x:c>
      <x:c r="D1166" s="339" t="str">
        <x:v>Examinations / Marks / Results</x:v>
      </x:c>
      <x:c r="E1166" s="339" t="str">
        <x:v>Practical / Internal Marks</x:v>
      </x:c>
      <x:c r="F1166" s="339" t="str">
        <x:v>Valid status transition</x:v>
      </x:c>
      <x:c r="G1166" s="339" t="str">
        <x:v>the record is in a state described by Draft → Scheduled → Marks Entry → Verification → Approved → Published → Revised (controlled)</x:v>
      </x:c>
      <x:c r="H1166" s="339" t="str">
        <x:v>the user requests a transition</x:v>
      </x:c>
      <x:c r="I1166" s="339" t="str">
        <x:v>the system accepts only transitions allowed for that role and state</x:v>
      </x:c>
      <x:c r="J1166" s="339" t="str">
        <x:v>Positive</x:v>
      </x:c>
      <x:c r="K1166" s="339" t="str">
        <x:v>Functional</x:v>
      </x:c>
    </x:row>
    <x:row r="1167">
      <x:c r="A1167" s="339" t="str">
        <x:v>AC-01166</x:v>
      </x:c>
      <x:c r="B1167" s="339" t="str">
        <x:v>US-0292</x:v>
      </x:c>
      <x:c r="C1167" s="339" t="str">
        <x:v>SCR-146</x:v>
      </x:c>
      <x:c r="D1167" s="339" t="str">
        <x:v>Examinations / Marks / Results</x:v>
      </x:c>
      <x:c r="E1167" s="339" t="str">
        <x:v>Practical / Internal Marks</x:v>
      </x:c>
      <x:c r="F1167" s="339" t="str">
        <x:v>Approval authority</x:v>
      </x:c>
      <x:c r="G1167" s="339" t="str">
        <x:v>an action requires approval</x:v>
      </x:c>
      <x:c r="H1167" s="339" t="str">
        <x:v>a non-authorized user attempts approval/rejection</x:v>
      </x:c>
      <x:c r="I1167" s="339" t="str">
        <x:v>the system denies the decision and does not change status</x:v>
      </x:c>
      <x:c r="J1167" s="339" t="str">
        <x:v>Negative</x:v>
      </x:c>
      <x:c r="K1167" s="339" t="str">
        <x:v>Functional</x:v>
      </x:c>
    </x:row>
    <x:row r="1168">
      <x:c r="A1168" s="339" t="str">
        <x:v>AC-01167</x:v>
      </x:c>
      <x:c r="B1168" s="339" t="str">
        <x:v>US-0292</x:v>
      </x:c>
      <x:c r="C1168" s="339" t="str">
        <x:v>SCR-146</x:v>
      </x:c>
      <x:c r="D1168" s="339" t="str">
        <x:v>Examinations / Marks / Results</x:v>
      </x:c>
      <x:c r="E1168" s="339" t="str">
        <x:v>Practical / Internal Marks</x:v>
      </x:c>
      <x:c r="F1168" s="339" t="str">
        <x:v>Failure rollback</x:v>
      </x:c>
      <x:c r="G1168" s="339" t="str">
        <x:v>a downstream dependency fails during a multi-step transaction</x:v>
      </x:c>
      <x:c r="H1168" s="339" t="str">
        <x:v>the workflow executes</x:v>
      </x:c>
      <x:c r="I1168" s="339" t="str">
        <x:v>the system does not leave an invalid partial final state and surfaces a recoverable error</x:v>
      </x:c>
      <x:c r="J1168" s="339" t="str">
        <x:v>Positive</x:v>
      </x:c>
      <x:c r="K1168" s="339" t="str">
        <x:v>Functional</x:v>
      </x:c>
    </x:row>
    <x:row r="1169">
      <x:c r="A1169" s="339" t="str">
        <x:v>AC-01168</x:v>
      </x:c>
      <x:c r="B1169" s="339" t="str">
        <x:v>US-0292</x:v>
      </x:c>
      <x:c r="C1169" s="339" t="str">
        <x:v>SCR-146</x:v>
      </x:c>
      <x:c r="D1169" s="339" t="str">
        <x:v>Examinations / Marks / Results</x:v>
      </x:c>
      <x:c r="E1169" s="339" t="str">
        <x:v>Practical / Internal Marks</x:v>
      </x:c>
      <x:c r="F1169" s="339" t="str">
        <x:v>Exception traceability</x:v>
      </x:c>
      <x:c r="G1169" s="339" t="str">
        <x:v>an authorized override/exception is used</x:v>
      </x:c>
      <x:c r="H1169" s="339" t="str">
        <x:v>the action is confirmed</x:v>
      </x:c>
      <x:c r="I1169" s="339" t="str">
        <x:v>the system requires reason/context and records it in the audit history</x:v>
      </x:c>
      <x:c r="J1169" s="339" t="str">
        <x:v>Positive</x:v>
      </x:c>
      <x:c r="K1169" s="339" t="str">
        <x:v>Functional</x:v>
      </x:c>
    </x:row>
    <x:row r="1170">
      <x:c r="A1170" s="339" t="str">
        <x:v>AC-01169</x:v>
      </x:c>
      <x:c r="B1170" s="339" t="str">
        <x:v>US-0293</x:v>
      </x:c>
      <x:c r="C1170" s="339" t="str">
        <x:v>SCR-147</x:v>
      </x:c>
      <x:c r="D1170" s="339" t="str">
        <x:v>Examinations / Marks / Results</x:v>
      </x:c>
      <x:c r="E1170" s="339" t="str">
        <x:v>Bulk Marks Import</x:v>
      </x:c>
      <x:c r="F1170" s="339" t="str">
        <x:v>Authorized access to Bulk Marks Import</x:v>
      </x:c>
      <x:c r="G1170" s="339" t="str">
        <x:v>the Teacher is authenticated and has access to Bulk Marks Import</x:v>
      </x:c>
      <x:c r="H1170" s="339" t="str">
        <x:v>the user opens or invokes Bulk Marks Import</x:v>
      </x:c>
      <x:c r="I1170" s="339" t="str">
        <x:v>the system loads only records and actions within the user's permitted tenant/school/data scope</x:v>
      </x:c>
      <x:c r="J1170" s="339" t="str">
        <x:v>Positive</x:v>
      </x:c>
      <x:c r="K1170" s="339" t="str">
        <x:v>Functional / Security</x:v>
      </x:c>
    </x:row>
    <x:row r="1171">
      <x:c r="A1171" s="339" t="str">
        <x:v>AC-01170</x:v>
      </x:c>
      <x:c r="B1171" s="339" t="str">
        <x:v>US-0293</x:v>
      </x:c>
      <x:c r="C1171" s="339" t="str">
        <x:v>SCR-147</x:v>
      </x:c>
      <x:c r="D1171" s="339" t="str">
        <x:v>Examinations / Marks / Results</x:v>
      </x:c>
      <x:c r="E1171" s="339" t="str">
        <x:v>Bulk Marks Import</x:v>
      </x:c>
      <x:c r="F1171" s="339" t="str">
        <x:v>Successful Bulk Marks Import happy path</x:v>
      </x:c>
      <x:c r="G1171" s="339" t="str">
        <x:v>all mandatory prerequisites and valid data are available</x:v>
      </x:c>
      <x:c r="H1171" s="339" t="str">
        <x:v>the Teacher completes the primary action on Bulk Marks Import</x:v>
      </x:c>
      <x:c r="I1171" s="339" t="str">
        <x:v>the system validates the request, saves it atomically, shows a clear confirmation and reflects the updated state</x:v>
      </x:c>
      <x:c r="J1171" s="339" t="str">
        <x:v>Positive</x:v>
      </x:c>
      <x:c r="K1171" s="339" t="str">
        <x:v>Functional</x:v>
      </x:c>
    </x:row>
    <x:row r="1172">
      <x:c r="A1172" s="339" t="str">
        <x:v>AC-01171</x:v>
      </x:c>
      <x:c r="B1172" s="339" t="str">
        <x:v>US-0293</x:v>
      </x:c>
      <x:c r="C1172" s="339" t="str">
        <x:v>SCR-147</x:v>
      </x:c>
      <x:c r="D1172" s="339" t="str">
        <x:v>Examinations / Marks / Results</x:v>
      </x:c>
      <x:c r="E1172" s="339" t="str">
        <x:v>Bulk Marks Import</x:v>
      </x:c>
      <x:c r="F1172" s="339" t="str">
        <x:v>State and dependency integrity</x:v>
      </x:c>
      <x:c r="G1172" s="339" t="str">
        <x:v>the current record is in an allowed state (Draft → Scheduled → Marks Entry → Verification → Approved → Published → Revised (controlled))</x:v>
      </x:c>
      <x:c r="H1172" s="339" t="str">
        <x:v>the user attempts a state-changing action</x:v>
      </x:c>
      <x:c r="I1172" s="339" t="str">
        <x:v>only a valid transition is accepted and dependent records are updated according to configured business rules</x:v>
      </x:c>
      <x:c r="J1172" s="339" t="str">
        <x:v>Positive</x:v>
      </x:c>
      <x:c r="K1172" s="339" t="str">
        <x:v>Functional</x:v>
      </x:c>
    </x:row>
    <x:row r="1173">
      <x:c r="A1173" s="339" t="str">
        <x:v>AC-01172</x:v>
      </x:c>
      <x:c r="B1173" s="339" t="str">
        <x:v>US-0293</x:v>
      </x:c>
      <x:c r="C1173" s="339" t="str">
        <x:v>SCR-147</x:v>
      </x:c>
      <x:c r="D1173" s="339" t="str">
        <x:v>Examinations / Marks / Results</x:v>
      </x:c>
      <x:c r="E1173" s="339" t="str">
        <x:v>Bulk Marks Import</x:v>
      </x:c>
      <x:c r="F1173" s="339" t="str">
        <x:v>Auditability</x:v>
      </x:c>
      <x:c r="G1173" s="339" t="str">
        <x:v>a material create/update/approve/reverse action occurs</x:v>
      </x:c>
      <x:c r="H1173" s="339" t="str">
        <x:v>the transaction succeeds</x:v>
      </x:c>
      <x:c r="I1173" s="339" t="str">
        <x:v>the system records actor, timestamp, action, target and relevant before/after or reason context in the audit trail</x:v>
      </x:c>
      <x:c r="J1173" s="339" t="str">
        <x:v>Positive</x:v>
      </x:c>
      <x:c r="K1173" s="339" t="str">
        <x:v>Functional</x:v>
      </x:c>
    </x:row>
    <x:row r="1174">
      <x:c r="A1174" s="339" t="str">
        <x:v>AC-01173</x:v>
      </x:c>
      <x:c r="B1174" s="339" t="str">
        <x:v>US-0294</x:v>
      </x:c>
      <x:c r="C1174" s="339" t="str">
        <x:v>SCR-147</x:v>
      </x:c>
      <x:c r="D1174" s="339" t="str">
        <x:v>Examinations / Marks / Results</x:v>
      </x:c>
      <x:c r="E1174" s="339" t="str">
        <x:v>Bulk Marks Import</x:v>
      </x:c>
      <x:c r="F1174" s="339" t="str">
        <x:v>Valid status transition</x:v>
      </x:c>
      <x:c r="G1174" s="339" t="str">
        <x:v>the record is in a state described by Draft → Scheduled → Marks Entry → Verification → Approved → Published → Revised (controlled)</x:v>
      </x:c>
      <x:c r="H1174" s="339" t="str">
        <x:v>the user requests a transition</x:v>
      </x:c>
      <x:c r="I1174" s="339" t="str">
        <x:v>the system accepts only transitions allowed for that role and state</x:v>
      </x:c>
      <x:c r="J1174" s="339" t="str">
        <x:v>Positive</x:v>
      </x:c>
      <x:c r="K1174" s="339" t="str">
        <x:v>Functional</x:v>
      </x:c>
    </x:row>
    <x:row r="1175">
      <x:c r="A1175" s="339" t="str">
        <x:v>AC-01174</x:v>
      </x:c>
      <x:c r="B1175" s="339" t="str">
        <x:v>US-0294</x:v>
      </x:c>
      <x:c r="C1175" s="339" t="str">
        <x:v>SCR-147</x:v>
      </x:c>
      <x:c r="D1175" s="339" t="str">
        <x:v>Examinations / Marks / Results</x:v>
      </x:c>
      <x:c r="E1175" s="339" t="str">
        <x:v>Bulk Marks Import</x:v>
      </x:c>
      <x:c r="F1175" s="339" t="str">
        <x:v>Approval authority</x:v>
      </x:c>
      <x:c r="G1175" s="339" t="str">
        <x:v>an action requires approval</x:v>
      </x:c>
      <x:c r="H1175" s="339" t="str">
        <x:v>a non-authorized user attempts approval/rejection</x:v>
      </x:c>
      <x:c r="I1175" s="339" t="str">
        <x:v>the system denies the decision and does not change status</x:v>
      </x:c>
      <x:c r="J1175" s="339" t="str">
        <x:v>Negative</x:v>
      </x:c>
      <x:c r="K1175" s="339" t="str">
        <x:v>Functional</x:v>
      </x:c>
    </x:row>
    <x:row r="1176">
      <x:c r="A1176" s="339" t="str">
        <x:v>AC-01175</x:v>
      </x:c>
      <x:c r="B1176" s="339" t="str">
        <x:v>US-0294</x:v>
      </x:c>
      <x:c r="C1176" s="339" t="str">
        <x:v>SCR-147</x:v>
      </x:c>
      <x:c r="D1176" s="339" t="str">
        <x:v>Examinations / Marks / Results</x:v>
      </x:c>
      <x:c r="E1176" s="339" t="str">
        <x:v>Bulk Marks Import</x:v>
      </x:c>
      <x:c r="F1176" s="339" t="str">
        <x:v>Failure rollback</x:v>
      </x:c>
      <x:c r="G1176" s="339" t="str">
        <x:v>a downstream dependency fails during a multi-step transaction</x:v>
      </x:c>
      <x:c r="H1176" s="339" t="str">
        <x:v>the workflow executes</x:v>
      </x:c>
      <x:c r="I1176" s="339" t="str">
        <x:v>the system does not leave an invalid partial final state and surfaces a recoverable error</x:v>
      </x:c>
      <x:c r="J1176" s="339" t="str">
        <x:v>Positive</x:v>
      </x:c>
      <x:c r="K1176" s="339" t="str">
        <x:v>Functional</x:v>
      </x:c>
    </x:row>
    <x:row r="1177">
      <x:c r="A1177" s="339" t="str">
        <x:v>AC-01176</x:v>
      </x:c>
      <x:c r="B1177" s="339" t="str">
        <x:v>US-0294</x:v>
      </x:c>
      <x:c r="C1177" s="339" t="str">
        <x:v>SCR-147</x:v>
      </x:c>
      <x:c r="D1177" s="339" t="str">
        <x:v>Examinations / Marks / Results</x:v>
      </x:c>
      <x:c r="E1177" s="339" t="str">
        <x:v>Bulk Marks Import</x:v>
      </x:c>
      <x:c r="F1177" s="339" t="str">
        <x:v>Exception traceability</x:v>
      </x:c>
      <x:c r="G1177" s="339" t="str">
        <x:v>an authorized override/exception is used</x:v>
      </x:c>
      <x:c r="H1177" s="339" t="str">
        <x:v>the action is confirmed</x:v>
      </x:c>
      <x:c r="I1177" s="339" t="str">
        <x:v>the system requires reason/context and records it in the audit history</x:v>
      </x:c>
      <x:c r="J1177" s="339" t="str">
        <x:v>Positive</x:v>
      </x:c>
      <x:c r="K1177" s="339" t="str">
        <x:v>Functional</x:v>
      </x:c>
    </x:row>
    <x:row r="1178">
      <x:c r="A1178" s="339" t="str">
        <x:v>AC-01177</x:v>
      </x:c>
      <x:c r="B1178" s="339" t="str">
        <x:v>US-0295</x:v>
      </x:c>
      <x:c r="C1178" s="339" t="str">
        <x:v>SCR-148</x:v>
      </x:c>
      <x:c r="D1178" s="339" t="str">
        <x:v>Examinations / Marks / Results</x:v>
      </x:c>
      <x:c r="E1178" s="339" t="str">
        <x:v>Marks Verification</x:v>
      </x:c>
      <x:c r="F1178" s="339" t="str">
        <x:v>Authorized access to Marks Verification</x:v>
      </x:c>
      <x:c r="G1178" s="339" t="str">
        <x:v>the Teacher is authenticated and has access to Marks Verification</x:v>
      </x:c>
      <x:c r="H1178" s="339" t="str">
        <x:v>the user opens or invokes Marks Verification</x:v>
      </x:c>
      <x:c r="I1178" s="339" t="str">
        <x:v>the system loads only records and actions within the user's permitted tenant/school/data scope</x:v>
      </x:c>
      <x:c r="J1178" s="339" t="str">
        <x:v>Positive</x:v>
      </x:c>
      <x:c r="K1178" s="339" t="str">
        <x:v>Functional / Security</x:v>
      </x:c>
    </x:row>
    <x:row r="1179">
      <x:c r="A1179" s="339" t="str">
        <x:v>AC-01178</x:v>
      </x:c>
      <x:c r="B1179" s="339" t="str">
        <x:v>US-0295</x:v>
      </x:c>
      <x:c r="C1179" s="339" t="str">
        <x:v>SCR-148</x:v>
      </x:c>
      <x:c r="D1179" s="339" t="str">
        <x:v>Examinations / Marks / Results</x:v>
      </x:c>
      <x:c r="E1179" s="339" t="str">
        <x:v>Marks Verification</x:v>
      </x:c>
      <x:c r="F1179" s="339" t="str">
        <x:v>Successful Marks Verification happy path</x:v>
      </x:c>
      <x:c r="G1179" s="339" t="str">
        <x:v>all mandatory prerequisites and valid data are available</x:v>
      </x:c>
      <x:c r="H1179" s="339" t="str">
        <x:v>the Teacher completes the primary action on Marks Verification</x:v>
      </x:c>
      <x:c r="I1179" s="339" t="str">
        <x:v>the system validates the request, saves it atomically, shows a clear confirmation and reflects the updated state</x:v>
      </x:c>
      <x:c r="J1179" s="339" t="str">
        <x:v>Positive</x:v>
      </x:c>
      <x:c r="K1179" s="339" t="str">
        <x:v>Functional</x:v>
      </x:c>
    </x:row>
    <x:row r="1180">
      <x:c r="A1180" s="339" t="str">
        <x:v>AC-01179</x:v>
      </x:c>
      <x:c r="B1180" s="339" t="str">
        <x:v>US-0295</x:v>
      </x:c>
      <x:c r="C1180" s="339" t="str">
        <x:v>SCR-148</x:v>
      </x:c>
      <x:c r="D1180" s="339" t="str">
        <x:v>Examinations / Marks / Results</x:v>
      </x:c>
      <x:c r="E1180" s="339" t="str">
        <x:v>Marks Verification</x:v>
      </x:c>
      <x:c r="F1180" s="339" t="str">
        <x:v>State and dependency integrity</x:v>
      </x:c>
      <x:c r="G1180" s="339" t="str">
        <x:v>the current record is in an allowed state (Draft → Scheduled → Marks Entry → Verification → Approved → Published → Revised (controlled))</x:v>
      </x:c>
      <x:c r="H1180" s="339" t="str">
        <x:v>the user attempts a state-changing action</x:v>
      </x:c>
      <x:c r="I1180" s="339" t="str">
        <x:v>only a valid transition is accepted and dependent records are updated according to configured business rules</x:v>
      </x:c>
      <x:c r="J1180" s="339" t="str">
        <x:v>Positive</x:v>
      </x:c>
      <x:c r="K1180" s="339" t="str">
        <x:v>Functional</x:v>
      </x:c>
    </x:row>
    <x:row r="1181">
      <x:c r="A1181" s="339" t="str">
        <x:v>AC-01180</x:v>
      </x:c>
      <x:c r="B1181" s="339" t="str">
        <x:v>US-0295</x:v>
      </x:c>
      <x:c r="C1181" s="339" t="str">
        <x:v>SCR-148</x:v>
      </x:c>
      <x:c r="D1181" s="339" t="str">
        <x:v>Examinations / Marks / Results</x:v>
      </x:c>
      <x:c r="E1181" s="339" t="str">
        <x:v>Marks Verification</x:v>
      </x:c>
      <x:c r="F1181" s="339" t="str">
        <x:v>Auditability</x:v>
      </x:c>
      <x:c r="G1181" s="339" t="str">
        <x:v>a material create/update/approve/reverse action occurs</x:v>
      </x:c>
      <x:c r="H1181" s="339" t="str">
        <x:v>the transaction succeeds</x:v>
      </x:c>
      <x:c r="I1181" s="339" t="str">
        <x:v>the system records actor, timestamp, action, target and relevant before/after or reason context in the audit trail</x:v>
      </x:c>
      <x:c r="J1181" s="339" t="str">
        <x:v>Positive</x:v>
      </x:c>
      <x:c r="K1181" s="339" t="str">
        <x:v>Functional</x:v>
      </x:c>
    </x:row>
    <x:row r="1182">
      <x:c r="A1182" s="339" t="str">
        <x:v>AC-01181</x:v>
      </x:c>
      <x:c r="B1182" s="339" t="str">
        <x:v>US-0296</x:v>
      </x:c>
      <x:c r="C1182" s="339" t="str">
        <x:v>SCR-148</x:v>
      </x:c>
      <x:c r="D1182" s="339" t="str">
        <x:v>Examinations / Marks / Results</x:v>
      </x:c>
      <x:c r="E1182" s="339" t="str">
        <x:v>Marks Verification</x:v>
      </x:c>
      <x:c r="F1182" s="339" t="str">
        <x:v>Valid status transition</x:v>
      </x:c>
      <x:c r="G1182" s="339" t="str">
        <x:v>the record is in a state described by Draft → Scheduled → Marks Entry → Verification → Approved → Published → Revised (controlled)</x:v>
      </x:c>
      <x:c r="H1182" s="339" t="str">
        <x:v>the user requests a transition</x:v>
      </x:c>
      <x:c r="I1182" s="339" t="str">
        <x:v>the system accepts only transitions allowed for that role and state</x:v>
      </x:c>
      <x:c r="J1182" s="339" t="str">
        <x:v>Positive</x:v>
      </x:c>
      <x:c r="K1182" s="339" t="str">
        <x:v>Functional</x:v>
      </x:c>
    </x:row>
    <x:row r="1183">
      <x:c r="A1183" s="339" t="str">
        <x:v>AC-01182</x:v>
      </x:c>
      <x:c r="B1183" s="339" t="str">
        <x:v>US-0296</x:v>
      </x:c>
      <x:c r="C1183" s="339" t="str">
        <x:v>SCR-148</x:v>
      </x:c>
      <x:c r="D1183" s="339" t="str">
        <x:v>Examinations / Marks / Results</x:v>
      </x:c>
      <x:c r="E1183" s="339" t="str">
        <x:v>Marks Verification</x:v>
      </x:c>
      <x:c r="F1183" s="339" t="str">
        <x:v>Approval authority</x:v>
      </x:c>
      <x:c r="G1183" s="339" t="str">
        <x:v>an action requires approval</x:v>
      </x:c>
      <x:c r="H1183" s="339" t="str">
        <x:v>a non-authorized user attempts approval/rejection</x:v>
      </x:c>
      <x:c r="I1183" s="339" t="str">
        <x:v>the system denies the decision and does not change status</x:v>
      </x:c>
      <x:c r="J1183" s="339" t="str">
        <x:v>Negative</x:v>
      </x:c>
      <x:c r="K1183" s="339" t="str">
        <x:v>Functional</x:v>
      </x:c>
    </x:row>
    <x:row r="1184">
      <x:c r="A1184" s="339" t="str">
        <x:v>AC-01183</x:v>
      </x:c>
      <x:c r="B1184" s="339" t="str">
        <x:v>US-0296</x:v>
      </x:c>
      <x:c r="C1184" s="339" t="str">
        <x:v>SCR-148</x:v>
      </x:c>
      <x:c r="D1184" s="339" t="str">
        <x:v>Examinations / Marks / Results</x:v>
      </x:c>
      <x:c r="E1184" s="339" t="str">
        <x:v>Marks Verification</x:v>
      </x:c>
      <x:c r="F1184" s="339" t="str">
        <x:v>Failure rollback</x:v>
      </x:c>
      <x:c r="G1184" s="339" t="str">
        <x:v>a downstream dependency fails during a multi-step transaction</x:v>
      </x:c>
      <x:c r="H1184" s="339" t="str">
        <x:v>the workflow executes</x:v>
      </x:c>
      <x:c r="I1184" s="339" t="str">
        <x:v>the system does not leave an invalid partial final state and surfaces a recoverable error</x:v>
      </x:c>
      <x:c r="J1184" s="339" t="str">
        <x:v>Positive</x:v>
      </x:c>
      <x:c r="K1184" s="339" t="str">
        <x:v>Functional</x:v>
      </x:c>
    </x:row>
    <x:row r="1185">
      <x:c r="A1185" s="339" t="str">
        <x:v>AC-01184</x:v>
      </x:c>
      <x:c r="B1185" s="339" t="str">
        <x:v>US-0296</x:v>
      </x:c>
      <x:c r="C1185" s="339" t="str">
        <x:v>SCR-148</x:v>
      </x:c>
      <x:c r="D1185" s="339" t="str">
        <x:v>Examinations / Marks / Results</x:v>
      </x:c>
      <x:c r="E1185" s="339" t="str">
        <x:v>Marks Verification</x:v>
      </x:c>
      <x:c r="F1185" s="339" t="str">
        <x:v>Exception traceability</x:v>
      </x:c>
      <x:c r="G1185" s="339" t="str">
        <x:v>an authorized override/exception is used</x:v>
      </x:c>
      <x:c r="H1185" s="339" t="str">
        <x:v>the action is confirmed</x:v>
      </x:c>
      <x:c r="I1185" s="339" t="str">
        <x:v>the system requires reason/context and records it in the audit history</x:v>
      </x:c>
      <x:c r="J1185" s="339" t="str">
        <x:v>Positive</x:v>
      </x:c>
      <x:c r="K1185" s="339" t="str">
        <x:v>Functional</x:v>
      </x:c>
    </x:row>
    <x:row r="1186">
      <x:c r="A1186" s="339" t="str">
        <x:v>AC-01185</x:v>
      </x:c>
      <x:c r="B1186" s="339" t="str">
        <x:v>US-0297</x:v>
      </x:c>
      <x:c r="C1186" s="339" t="str">
        <x:v>SCR-149</x:v>
      </x:c>
      <x:c r="D1186" s="339" t="str">
        <x:v>Examinations / Marks / Results</x:v>
      </x:c>
      <x:c r="E1186" s="339" t="str">
        <x:v>Grade / Grading Setup</x:v>
      </x:c>
      <x:c r="F1186" s="339" t="str">
        <x:v>Authorized access to Grade / Grading Setup</x:v>
      </x:c>
      <x:c r="G1186" s="339" t="str">
        <x:v>the Exam Coordinator is authenticated and has access to Grade / Grading Setup</x:v>
      </x:c>
      <x:c r="H1186" s="339" t="str">
        <x:v>the user opens or invokes Grade / Grading Setup</x:v>
      </x:c>
      <x:c r="I1186" s="339" t="str">
        <x:v>the system loads only records and actions within the user's permitted tenant/school/data scope</x:v>
      </x:c>
      <x:c r="J1186" s="339" t="str">
        <x:v>Positive</x:v>
      </x:c>
      <x:c r="K1186" s="339" t="str">
        <x:v>Functional / Security</x:v>
      </x:c>
    </x:row>
    <x:row r="1187">
      <x:c r="A1187" s="339" t="str">
        <x:v>AC-01186</x:v>
      </x:c>
      <x:c r="B1187" s="339" t="str">
        <x:v>US-0297</x:v>
      </x:c>
      <x:c r="C1187" s="339" t="str">
        <x:v>SCR-149</x:v>
      </x:c>
      <x:c r="D1187" s="339" t="str">
        <x:v>Examinations / Marks / Results</x:v>
      </x:c>
      <x:c r="E1187" s="339" t="str">
        <x:v>Grade / Grading Setup</x:v>
      </x:c>
      <x:c r="F1187" s="339" t="str">
        <x:v>Successful Grade / Grading Setup happy path</x:v>
      </x:c>
      <x:c r="G1187" s="339" t="str">
        <x:v>all mandatory prerequisites and valid data are available</x:v>
      </x:c>
      <x:c r="H1187" s="339" t="str">
        <x:v>the Exam Coordinator completes the primary action on Grade / Grading Setup</x:v>
      </x:c>
      <x:c r="I1187" s="339" t="str">
        <x:v>the system validates the request, saves it atomically, shows a clear confirmation and reflects the updated state</x:v>
      </x:c>
      <x:c r="J1187" s="339" t="str">
        <x:v>Positive</x:v>
      </x:c>
      <x:c r="K1187" s="339" t="str">
        <x:v>Functional</x:v>
      </x:c>
    </x:row>
    <x:row r="1188">
      <x:c r="A1188" s="339" t="str">
        <x:v>AC-01187</x:v>
      </x:c>
      <x:c r="B1188" s="339" t="str">
        <x:v>US-0297</x:v>
      </x:c>
      <x:c r="C1188" s="339" t="str">
        <x:v>SCR-149</x:v>
      </x:c>
      <x:c r="D1188" s="339" t="str">
        <x:v>Examinations / Marks / Results</x:v>
      </x:c>
      <x:c r="E1188" s="339" t="str">
        <x:v>Grade / Grading Setup</x:v>
      </x:c>
      <x:c r="F1188" s="339" t="str">
        <x:v>State and dependency integrity</x:v>
      </x:c>
      <x:c r="G1188" s="339" t="str">
        <x:v>the current record is in an allowed state (Draft → Scheduled → Marks Entry → Verification → Approved → Published → Revised (controlled))</x:v>
      </x:c>
      <x:c r="H1188" s="339" t="str">
        <x:v>the user attempts a state-changing action</x:v>
      </x:c>
      <x:c r="I1188" s="339" t="str">
        <x:v>only a valid transition is accepted and dependent records are updated according to configured business rules</x:v>
      </x:c>
      <x:c r="J1188" s="339" t="str">
        <x:v>Positive</x:v>
      </x:c>
      <x:c r="K1188" s="339" t="str">
        <x:v>Functional</x:v>
      </x:c>
    </x:row>
    <x:row r="1189">
      <x:c r="A1189" s="339" t="str">
        <x:v>AC-01188</x:v>
      </x:c>
      <x:c r="B1189" s="339" t="str">
        <x:v>US-0297</x:v>
      </x:c>
      <x:c r="C1189" s="339" t="str">
        <x:v>SCR-149</x:v>
      </x:c>
      <x:c r="D1189" s="339" t="str">
        <x:v>Examinations / Marks / Results</x:v>
      </x:c>
      <x:c r="E1189" s="339" t="str">
        <x:v>Grade / Grading Setup</x:v>
      </x:c>
      <x:c r="F1189" s="339" t="str">
        <x:v>Auditability</x:v>
      </x:c>
      <x:c r="G1189" s="339" t="str">
        <x:v>a material create/update/approve/reverse action occurs</x:v>
      </x:c>
      <x:c r="H1189" s="339" t="str">
        <x:v>the transaction succeeds</x:v>
      </x:c>
      <x:c r="I1189" s="339" t="str">
        <x:v>the system records actor, timestamp, action, target and relevant before/after or reason context in the audit trail</x:v>
      </x:c>
      <x:c r="J1189" s="339" t="str">
        <x:v>Positive</x:v>
      </x:c>
      <x:c r="K1189" s="339" t="str">
        <x:v>Functional</x:v>
      </x:c>
    </x:row>
    <x:row r="1190">
      <x:c r="A1190" s="339" t="str">
        <x:v>AC-01189</x:v>
      </x:c>
      <x:c r="B1190" s="339" t="str">
        <x:v>US-0298</x:v>
      </x:c>
      <x:c r="C1190" s="339" t="str">
        <x:v>SCR-149</x:v>
      </x:c>
      <x:c r="D1190" s="339" t="str">
        <x:v>Examinations / Marks / Results</x:v>
      </x:c>
      <x:c r="E1190" s="339" t="str">
        <x:v>Grade / Grading Setup</x:v>
      </x:c>
      <x:c r="F1190" s="339" t="str">
        <x:v>Required-field validation</x:v>
      </x:c>
      <x:c r="G1190" s="339" t="str">
        <x:v>one or more required values are missing/invalid</x:v>
      </x:c>
      <x:c r="H1190" s="339" t="str">
        <x:v>the user submits the form</x:v>
      </x:c>
      <x:c r="I1190" s="339" t="str">
        <x:v>submission is blocked and field-level messages identify what must be corrected</x:v>
      </x:c>
      <x:c r="J1190" s="339" t="str">
        <x:v>Positive</x:v>
      </x:c>
      <x:c r="K1190" s="339" t="str">
        <x:v>Functional</x:v>
      </x:c>
    </x:row>
    <x:row r="1191">
      <x:c r="A1191" s="339" t="str">
        <x:v>AC-01190</x:v>
      </x:c>
      <x:c r="B1191" s="339" t="str">
        <x:v>US-0298</x:v>
      </x:c>
      <x:c r="C1191" s="339" t="str">
        <x:v>SCR-149</x:v>
      </x:c>
      <x:c r="D1191" s="339" t="str">
        <x:v>Examinations / Marks / Results</x:v>
      </x:c>
      <x:c r="E1191" s="339" t="str">
        <x:v>Grade / Grading Setup</x:v>
      </x:c>
      <x:c r="F1191" s="339" t="str">
        <x:v>Duplicate prevention</x:v>
      </x:c>
      <x:c r="G1191" s="339" t="str">
        <x:v>a potentially duplicate record exists</x:v>
      </x:c>
      <x:c r="H1191" s="339" t="str">
        <x:v>the user submits matching identity/master data</x:v>
      </x:c>
      <x:c r="I1191" s="339" t="str">
        <x:v>the system blocks or warns according to configured duplicate policy before creating another record</x:v>
      </x:c>
      <x:c r="J1191" s="339" t="str">
        <x:v>Negative</x:v>
      </x:c>
      <x:c r="K1191" s="339" t="str">
        <x:v>Functional</x:v>
      </x:c>
    </x:row>
    <x:row r="1192">
      <x:c r="A1192" s="339" t="str">
        <x:v>AC-01191</x:v>
      </x:c>
      <x:c r="B1192" s="339" t="str">
        <x:v>US-0298</x:v>
      </x:c>
      <x:c r="C1192" s="339" t="str">
        <x:v>SCR-149</x:v>
      </x:c>
      <x:c r="D1192" s="339" t="str">
        <x:v>Examinations / Marks / Results</x:v>
      </x:c>
      <x:c r="E1192" s="339" t="str">
        <x:v>Grade / Grading Setup</x:v>
      </x:c>
      <x:c r="F1192" s="339" t="str">
        <x:v>Reference-data integrity</x:v>
      </x:c>
      <x:c r="G1192" s="339" t="str">
        <x:v>the form contains master-data selections</x:v>
      </x:c>
      <x:c r="H1192" s="339" t="str">
        <x:v>the user submits</x:v>
      </x:c>
      <x:c r="I1192" s="339" t="str">
        <x:v>all referenced values are active, effective and within the user's scope at the time of save</x:v>
      </x:c>
      <x:c r="J1192" s="339" t="str">
        <x:v>Positive</x:v>
      </x:c>
      <x:c r="K1192" s="339" t="str">
        <x:v>Functional</x:v>
      </x:c>
    </x:row>
    <x:row r="1193">
      <x:c r="A1193" s="339" t="str">
        <x:v>AC-01192</x:v>
      </x:c>
      <x:c r="B1193" s="339" t="str">
        <x:v>US-0298</x:v>
      </x:c>
      <x:c r="C1193" s="339" t="str">
        <x:v>SCR-149</x:v>
      </x:c>
      <x:c r="D1193" s="339" t="str">
        <x:v>Examinations / Marks / Results</x:v>
      </x:c>
      <x:c r="E1193" s="339" t="str">
        <x:v>Grade / Grading Setup</x:v>
      </x:c>
      <x:c r="F1193" s="339" t="str">
        <x:v>Retry safety</x:v>
      </x:c>
      <x:c r="G1193" s="339" t="str">
        <x:v>a network retry or repeated click occurs</x:v>
      </x:c>
      <x:c r="H1193" s="339" t="str">
        <x:v>the same transaction is submitted again</x:v>
      </x:c>
      <x:c r="I1193" s="339" t="str">
        <x:v>the system prevents unintended duplicate transactions through idempotency or duplicate detection</x:v>
      </x:c>
      <x:c r="J1193" s="339" t="str">
        <x:v>Positive</x:v>
      </x:c>
      <x:c r="K1193" s="339" t="str">
        <x:v>Functional</x:v>
      </x:c>
    </x:row>
    <x:row r="1194">
      <x:c r="A1194" s="339" t="str">
        <x:v>AC-01193</x:v>
      </x:c>
      <x:c r="B1194" s="339" t="str">
        <x:v>US-0299</x:v>
      </x:c>
      <x:c r="C1194" s="339" t="str">
        <x:v>SCR-150</x:v>
      </x:c>
      <x:c r="D1194" s="339" t="str">
        <x:v>Examinations / Marks / Results</x:v>
      </x:c>
      <x:c r="E1194" s="339" t="str">
        <x:v>Publish Results</x:v>
      </x:c>
      <x:c r="F1194" s="339" t="str">
        <x:v>Authorized access to Publish Results</x:v>
      </x:c>
      <x:c r="G1194" s="339" t="str">
        <x:v>the Principal is authenticated and has access to Publish Results</x:v>
      </x:c>
      <x:c r="H1194" s="339" t="str">
        <x:v>the user opens or invokes Publish Results</x:v>
      </x:c>
      <x:c r="I1194" s="339" t="str">
        <x:v>the system loads only records and actions within the user's permitted tenant/school/data scope</x:v>
      </x:c>
      <x:c r="J1194" s="339" t="str">
        <x:v>Positive</x:v>
      </x:c>
      <x:c r="K1194" s="339" t="str">
        <x:v>Functional / Security</x:v>
      </x:c>
    </x:row>
    <x:row r="1195">
      <x:c r="A1195" s="339" t="str">
        <x:v>AC-01194</x:v>
      </x:c>
      <x:c r="B1195" s="339" t="str">
        <x:v>US-0299</x:v>
      </x:c>
      <x:c r="C1195" s="339" t="str">
        <x:v>SCR-150</x:v>
      </x:c>
      <x:c r="D1195" s="339" t="str">
        <x:v>Examinations / Marks / Results</x:v>
      </x:c>
      <x:c r="E1195" s="339" t="str">
        <x:v>Publish Results</x:v>
      </x:c>
      <x:c r="F1195" s="339" t="str">
        <x:v>Successful Publish Results happy path</x:v>
      </x:c>
      <x:c r="G1195" s="339" t="str">
        <x:v>all mandatory prerequisites and valid data are available</x:v>
      </x:c>
      <x:c r="H1195" s="339" t="str">
        <x:v>the Principal completes the primary action on Publish Results</x:v>
      </x:c>
      <x:c r="I1195" s="339" t="str">
        <x:v>the system validates the request, saves it atomically, shows a clear confirmation and reflects the updated state</x:v>
      </x:c>
      <x:c r="J1195" s="339" t="str">
        <x:v>Positive</x:v>
      </x:c>
      <x:c r="K1195" s="339" t="str">
        <x:v>Functional</x:v>
      </x:c>
    </x:row>
    <x:row r="1196">
      <x:c r="A1196" s="339" t="str">
        <x:v>AC-01195</x:v>
      </x:c>
      <x:c r="B1196" s="339" t="str">
        <x:v>US-0299</x:v>
      </x:c>
      <x:c r="C1196" s="339" t="str">
        <x:v>SCR-150</x:v>
      </x:c>
      <x:c r="D1196" s="339" t="str">
        <x:v>Examinations / Marks / Results</x:v>
      </x:c>
      <x:c r="E1196" s="339" t="str">
        <x:v>Publish Results</x:v>
      </x:c>
      <x:c r="F1196" s="339" t="str">
        <x:v>State and dependency integrity</x:v>
      </x:c>
      <x:c r="G1196" s="339" t="str">
        <x:v>the current record is in an allowed state (Draft → Scheduled → Marks Entry → Verification → Approved → Published → Revised (controlled))</x:v>
      </x:c>
      <x:c r="H1196" s="339" t="str">
        <x:v>the user attempts a state-changing action</x:v>
      </x:c>
      <x:c r="I1196" s="339" t="str">
        <x:v>only a valid transition is accepted and dependent records are updated according to configured business rules</x:v>
      </x:c>
      <x:c r="J1196" s="339" t="str">
        <x:v>Positive</x:v>
      </x:c>
      <x:c r="K1196" s="339" t="str">
        <x:v>Functional</x:v>
      </x:c>
    </x:row>
    <x:row r="1197">
      <x:c r="A1197" s="339" t="str">
        <x:v>AC-01196</x:v>
      </x:c>
      <x:c r="B1197" s="339" t="str">
        <x:v>US-0299</x:v>
      </x:c>
      <x:c r="C1197" s="339" t="str">
        <x:v>SCR-150</x:v>
      </x:c>
      <x:c r="D1197" s="339" t="str">
        <x:v>Examinations / Marks / Results</x:v>
      </x:c>
      <x:c r="E1197" s="339" t="str">
        <x:v>Publish Results</x:v>
      </x:c>
      <x:c r="F1197" s="339" t="str">
        <x:v>Auditability</x:v>
      </x:c>
      <x:c r="G1197" s="339" t="str">
        <x:v>a material create/update/approve/reverse action occurs</x:v>
      </x:c>
      <x:c r="H1197" s="339" t="str">
        <x:v>the transaction succeeds</x:v>
      </x:c>
      <x:c r="I1197" s="339" t="str">
        <x:v>the system records actor, timestamp, action, target and relevant before/after or reason context in the audit trail</x:v>
      </x:c>
      <x:c r="J1197" s="339" t="str">
        <x:v>Positive</x:v>
      </x:c>
      <x:c r="K1197" s="339" t="str">
        <x:v>Functional</x:v>
      </x:c>
    </x:row>
    <x:row r="1198">
      <x:c r="A1198" s="339" t="str">
        <x:v>AC-01197</x:v>
      </x:c>
      <x:c r="B1198" s="339" t="str">
        <x:v>US-0300</x:v>
      </x:c>
      <x:c r="C1198" s="339" t="str">
        <x:v>SCR-150</x:v>
      </x:c>
      <x:c r="D1198" s="339" t="str">
        <x:v>Examinations / Marks / Results</x:v>
      </x:c>
      <x:c r="E1198" s="339" t="str">
        <x:v>Publish Results</x:v>
      </x:c>
      <x:c r="F1198" s="339" t="str">
        <x:v>Complete authorized view</x:v>
      </x:c>
      <x:c r="G1198" s="339" t="str">
        <x:v>the record exists and the user is authorized</x:v>
      </x:c>
      <x:c r="H1198" s="339" t="str">
        <x:v>the detail/profile opens</x:v>
      </x:c>
      <x:c r="I1198" s="339" t="str">
        <x:v>the system loads the required summary, relationships and history while masking restricted fields</x:v>
      </x:c>
      <x:c r="J1198" s="339" t="str">
        <x:v>Positive</x:v>
      </x:c>
      <x:c r="K1198" s="339" t="str">
        <x:v>Functional / Security</x:v>
      </x:c>
    </x:row>
    <x:row r="1199">
      <x:c r="A1199" s="339" t="str">
        <x:v>AC-01198</x:v>
      </x:c>
      <x:c r="B1199" s="339" t="str">
        <x:v>US-0300</x:v>
      </x:c>
      <x:c r="C1199" s="339" t="str">
        <x:v>SCR-150</x:v>
      </x:c>
      <x:c r="D1199" s="339" t="str">
        <x:v>Examinations / Marks / Results</x:v>
      </x:c>
      <x:c r="E1199" s="339" t="str">
        <x:v>Publish Results</x:v>
      </x:c>
      <x:c r="F1199" s="339" t="str">
        <x:v>Controlled edit</x:v>
      </x:c>
      <x:c r="G1199" s="339" t="str">
        <x:v>the user has edit permission and the record is editable</x:v>
      </x:c>
      <x:c r="H1199" s="339" t="str">
        <x:v>the user saves a change</x:v>
      </x:c>
      <x:c r="I1199" s="339" t="str">
        <x:v>validation and state rules run before the update is committed</x:v>
      </x:c>
      <x:c r="J1199" s="339" t="str">
        <x:v>Positive</x:v>
      </x:c>
      <x:c r="K1199" s="339" t="str">
        <x:v>Functional</x:v>
      </x:c>
    </x:row>
    <x:row r="1200">
      <x:c r="A1200" s="339" t="str">
        <x:v>AC-01199</x:v>
      </x:c>
      <x:c r="B1200" s="339" t="str">
        <x:v>US-0300</x:v>
      </x:c>
      <x:c r="C1200" s="339" t="str">
        <x:v>SCR-150</x:v>
      </x:c>
      <x:c r="D1200" s="339" t="str">
        <x:v>Examinations / Marks / Results</x:v>
      </x:c>
      <x:c r="E1200" s="339" t="str">
        <x:v>Publish Results</x:v>
      </x:c>
      <x:c r="F1200" s="339" t="str">
        <x:v>Concurrent edit protection</x:v>
      </x:c>
      <x:c r="G1200" s="339" t="str">
        <x:v>another user has changed the record after it was loaded</x:v>
      </x:c>
      <x:c r="H1200" s="339" t="str">
        <x:v>the first user attempts to save stale data</x:v>
      </x:c>
      <x:c r="I1200" s="339" t="str">
        <x:v>the system detects the version conflict or preserves fields safely instead of silently overwriting</x:v>
      </x:c>
      <x:c r="J1200" s="339" t="str">
        <x:v>Positive</x:v>
      </x:c>
      <x:c r="K1200" s="339" t="str">
        <x:v>Functional</x:v>
      </x:c>
    </x:row>
    <x:row r="1201">
      <x:c r="A1201" s="339" t="str">
        <x:v>AC-01200</x:v>
      </x:c>
      <x:c r="B1201" s="339" t="str">
        <x:v>US-0300</x:v>
      </x:c>
      <x:c r="C1201" s="339" t="str">
        <x:v>SCR-150</x:v>
      </x:c>
      <x:c r="D1201" s="339" t="str">
        <x:v>Examinations / Marks / Results</x:v>
      </x:c>
      <x:c r="E1201" s="339" t="str">
        <x:v>Publish Results</x:v>
      </x:c>
      <x:c r="F1201" s="339" t="str">
        <x:v>History retention</x:v>
      </x:c>
      <x:c r="G1201" s="339" t="str">
        <x:v>the record has prior changes/statuses</x:v>
      </x:c>
      <x:c r="H1201" s="339" t="str">
        <x:v>the user views history</x:v>
      </x:c>
      <x:c r="I1201" s="339" t="str">
        <x:v>the audit/activity timeline shows traceable material changes without exposing restricted notes</x:v>
      </x:c>
      <x:c r="J1201" s="339" t="str">
        <x:v>Positive</x:v>
      </x:c>
      <x:c r="K1201" s="339" t="str">
        <x:v>Functional</x:v>
      </x:c>
    </x:row>
    <x:row r="1202">
      <x:c r="A1202" s="339" t="str">
        <x:v>AC-01201</x:v>
      </x:c>
      <x:c r="B1202" s="339" t="str">
        <x:v>US-0301</x:v>
      </x:c>
      <x:c r="C1202" s="339" t="str">
        <x:v>SCR-151</x:v>
      </x:c>
      <x:c r="D1202" s="339" t="str">
        <x:v>Examinations / Marks / Results</x:v>
      </x:c>
      <x:c r="E1202" s="339" t="str">
        <x:v>Student Result</x:v>
      </x:c>
      <x:c r="F1202" s="339" t="str">
        <x:v>Authorized access to Student Result</x:v>
      </x:c>
      <x:c r="G1202" s="339" t="str">
        <x:v>the Student is authenticated and has access to Student Result</x:v>
      </x:c>
      <x:c r="H1202" s="339" t="str">
        <x:v>the user opens or invokes Student Result</x:v>
      </x:c>
      <x:c r="I1202" s="339" t="str">
        <x:v>the system loads only records and actions within the user's permitted tenant/school/data scope</x:v>
      </x:c>
      <x:c r="J1202" s="339" t="str">
        <x:v>Positive</x:v>
      </x:c>
      <x:c r="K1202" s="339" t="str">
        <x:v>Functional / Security</x:v>
      </x:c>
    </x:row>
    <x:row r="1203">
      <x:c r="A1203" s="339" t="str">
        <x:v>AC-01202</x:v>
      </x:c>
      <x:c r="B1203" s="339" t="str">
        <x:v>US-0301</x:v>
      </x:c>
      <x:c r="C1203" s="339" t="str">
        <x:v>SCR-151</x:v>
      </x:c>
      <x:c r="D1203" s="339" t="str">
        <x:v>Examinations / Marks / Results</x:v>
      </x:c>
      <x:c r="E1203" s="339" t="str">
        <x:v>Student Result</x:v>
      </x:c>
      <x:c r="F1203" s="339" t="str">
        <x:v>Successful Student Result happy path</x:v>
      </x:c>
      <x:c r="G1203" s="339" t="str">
        <x:v>all mandatory prerequisites and valid data are available</x:v>
      </x:c>
      <x:c r="H1203" s="339" t="str">
        <x:v>the Student completes the primary action on Student Result</x:v>
      </x:c>
      <x:c r="I1203" s="339" t="str">
        <x:v>the system validates the request, saves it atomically, shows a clear confirmation and reflects the updated state</x:v>
      </x:c>
      <x:c r="J1203" s="339" t="str">
        <x:v>Positive</x:v>
      </x:c>
      <x:c r="K1203" s="339" t="str">
        <x:v>Functional</x:v>
      </x:c>
    </x:row>
    <x:row r="1204">
      <x:c r="A1204" s="339" t="str">
        <x:v>AC-01203</x:v>
      </x:c>
      <x:c r="B1204" s="339" t="str">
        <x:v>US-0301</x:v>
      </x:c>
      <x:c r="C1204" s="339" t="str">
        <x:v>SCR-151</x:v>
      </x:c>
      <x:c r="D1204" s="339" t="str">
        <x:v>Examinations / Marks / Results</x:v>
      </x:c>
      <x:c r="E1204" s="339" t="str">
        <x:v>Student Result</x:v>
      </x:c>
      <x:c r="F1204" s="339" t="str">
        <x:v>State and dependency integrity</x:v>
      </x:c>
      <x:c r="G1204" s="339" t="str">
        <x:v>the current record is in an allowed state (Draft → Scheduled → Marks Entry → Verification → Approved → Published → Revised (controlled))</x:v>
      </x:c>
      <x:c r="H1204" s="339" t="str">
        <x:v>the user attempts a state-changing action</x:v>
      </x:c>
      <x:c r="I1204" s="339" t="str">
        <x:v>only a valid transition is accepted and dependent records are updated according to configured business rules</x:v>
      </x:c>
      <x:c r="J1204" s="339" t="str">
        <x:v>Positive</x:v>
      </x:c>
      <x:c r="K1204" s="339" t="str">
        <x:v>Functional</x:v>
      </x:c>
    </x:row>
    <x:row r="1205">
      <x:c r="A1205" s="339" t="str">
        <x:v>AC-01204</x:v>
      </x:c>
      <x:c r="B1205" s="339" t="str">
        <x:v>US-0301</x:v>
      </x:c>
      <x:c r="C1205" s="339" t="str">
        <x:v>SCR-151</x:v>
      </x:c>
      <x:c r="D1205" s="339" t="str">
        <x:v>Examinations / Marks / Results</x:v>
      </x:c>
      <x:c r="E1205" s="339" t="str">
        <x:v>Student Result</x:v>
      </x:c>
      <x:c r="F1205" s="339" t="str">
        <x:v>Auditability</x:v>
      </x:c>
      <x:c r="G1205" s="339" t="str">
        <x:v>a material create/update/approve/reverse action occurs</x:v>
      </x:c>
      <x:c r="H1205" s="339" t="str">
        <x:v>the transaction succeeds</x:v>
      </x:c>
      <x:c r="I1205" s="339" t="str">
        <x:v>the system records actor, timestamp, action, target and relevant before/after or reason context in the audit trail</x:v>
      </x:c>
      <x:c r="J1205" s="339" t="str">
        <x:v>Positive</x:v>
      </x:c>
      <x:c r="K1205" s="339" t="str">
        <x:v>Functional</x:v>
      </x:c>
    </x:row>
    <x:row r="1206">
      <x:c r="A1206" s="339" t="str">
        <x:v>AC-01205</x:v>
      </x:c>
      <x:c r="B1206" s="339" t="str">
        <x:v>US-0302</x:v>
      </x:c>
      <x:c r="C1206" s="339" t="str">
        <x:v>SCR-151</x:v>
      </x:c>
      <x:c r="D1206" s="339" t="str">
        <x:v>Examinations / Marks / Results</x:v>
      </x:c>
      <x:c r="E1206" s="339" t="str">
        <x:v>Student Result</x:v>
      </x:c>
      <x:c r="F1206" s="339" t="str">
        <x:v>Complete authorized view</x:v>
      </x:c>
      <x:c r="G1206" s="339" t="str">
        <x:v>the record exists and the user is authorized</x:v>
      </x:c>
      <x:c r="H1206" s="339" t="str">
        <x:v>the detail/profile opens</x:v>
      </x:c>
      <x:c r="I1206" s="339" t="str">
        <x:v>the system loads the required summary, relationships and history while masking restricted fields</x:v>
      </x:c>
      <x:c r="J1206" s="339" t="str">
        <x:v>Positive</x:v>
      </x:c>
      <x:c r="K1206" s="339" t="str">
        <x:v>Functional / Security</x:v>
      </x:c>
    </x:row>
    <x:row r="1207">
      <x:c r="A1207" s="339" t="str">
        <x:v>AC-01206</x:v>
      </x:c>
      <x:c r="B1207" s="339" t="str">
        <x:v>US-0302</x:v>
      </x:c>
      <x:c r="C1207" s="339" t="str">
        <x:v>SCR-151</x:v>
      </x:c>
      <x:c r="D1207" s="339" t="str">
        <x:v>Examinations / Marks / Results</x:v>
      </x:c>
      <x:c r="E1207" s="339" t="str">
        <x:v>Student Result</x:v>
      </x:c>
      <x:c r="F1207" s="339" t="str">
        <x:v>Controlled edit</x:v>
      </x:c>
      <x:c r="G1207" s="339" t="str">
        <x:v>the user has edit permission and the record is editable</x:v>
      </x:c>
      <x:c r="H1207" s="339" t="str">
        <x:v>the user saves a change</x:v>
      </x:c>
      <x:c r="I1207" s="339" t="str">
        <x:v>validation and state rules run before the update is committed</x:v>
      </x:c>
      <x:c r="J1207" s="339" t="str">
        <x:v>Positive</x:v>
      </x:c>
      <x:c r="K1207" s="339" t="str">
        <x:v>Functional</x:v>
      </x:c>
    </x:row>
    <x:row r="1208">
      <x:c r="A1208" s="339" t="str">
        <x:v>AC-01207</x:v>
      </x:c>
      <x:c r="B1208" s="339" t="str">
        <x:v>US-0302</x:v>
      </x:c>
      <x:c r="C1208" s="339" t="str">
        <x:v>SCR-151</x:v>
      </x:c>
      <x:c r="D1208" s="339" t="str">
        <x:v>Examinations / Marks / Results</x:v>
      </x:c>
      <x:c r="E1208" s="339" t="str">
        <x:v>Student Result</x:v>
      </x:c>
      <x:c r="F1208" s="339" t="str">
        <x:v>Concurrent edit protection</x:v>
      </x:c>
      <x:c r="G1208" s="339" t="str">
        <x:v>another user has changed the record after it was loaded</x:v>
      </x:c>
      <x:c r="H1208" s="339" t="str">
        <x:v>the first user attempts to save stale data</x:v>
      </x:c>
      <x:c r="I1208" s="339" t="str">
        <x:v>the system detects the version conflict or preserves fields safely instead of silently overwriting</x:v>
      </x:c>
      <x:c r="J1208" s="339" t="str">
        <x:v>Positive</x:v>
      </x:c>
      <x:c r="K1208" s="339" t="str">
        <x:v>Functional</x:v>
      </x:c>
    </x:row>
    <x:row r="1209">
      <x:c r="A1209" s="339" t="str">
        <x:v>AC-01208</x:v>
      </x:c>
      <x:c r="B1209" s="339" t="str">
        <x:v>US-0302</x:v>
      </x:c>
      <x:c r="C1209" s="339" t="str">
        <x:v>SCR-151</x:v>
      </x:c>
      <x:c r="D1209" s="339" t="str">
        <x:v>Examinations / Marks / Results</x:v>
      </x:c>
      <x:c r="E1209" s="339" t="str">
        <x:v>Student Result</x:v>
      </x:c>
      <x:c r="F1209" s="339" t="str">
        <x:v>History retention</x:v>
      </x:c>
      <x:c r="G1209" s="339" t="str">
        <x:v>the record has prior changes/statuses</x:v>
      </x:c>
      <x:c r="H1209" s="339" t="str">
        <x:v>the user views history</x:v>
      </x:c>
      <x:c r="I1209" s="339" t="str">
        <x:v>the audit/activity timeline shows traceable material changes without exposing restricted notes</x:v>
      </x:c>
      <x:c r="J1209" s="339" t="str">
        <x:v>Positive</x:v>
      </x:c>
      <x:c r="K1209" s="339" t="str">
        <x:v>Functional</x:v>
      </x:c>
    </x:row>
    <x:row r="1210">
      <x:c r="A1210" s="339" t="str">
        <x:v>AC-01209</x:v>
      </x:c>
      <x:c r="B1210" s="339" t="str">
        <x:v>US-0303</x:v>
      </x:c>
      <x:c r="C1210" s="339" t="str">
        <x:v>SCR-152</x:v>
      </x:c>
      <x:c r="D1210" s="339" t="str">
        <x:v>Examinations / Marks / Results</x:v>
      </x:c>
      <x:c r="E1210" s="339" t="str">
        <x:v>Report Card</x:v>
      </x:c>
      <x:c r="F1210" s="339" t="str">
        <x:v>Authorized access to Report Card</x:v>
      </x:c>
      <x:c r="G1210" s="339" t="str">
        <x:v>the Student is authenticated and has access to Report Card</x:v>
      </x:c>
      <x:c r="H1210" s="339" t="str">
        <x:v>the user opens or invokes Report Card</x:v>
      </x:c>
      <x:c r="I1210" s="339" t="str">
        <x:v>the system loads only records and actions within the user's permitted tenant/school/data scope</x:v>
      </x:c>
      <x:c r="J1210" s="339" t="str">
        <x:v>Positive</x:v>
      </x:c>
      <x:c r="K1210" s="339" t="str">
        <x:v>Functional / Security</x:v>
      </x:c>
    </x:row>
    <x:row r="1211">
      <x:c r="A1211" s="339" t="str">
        <x:v>AC-01210</x:v>
      </x:c>
      <x:c r="B1211" s="339" t="str">
        <x:v>US-0303</x:v>
      </x:c>
      <x:c r="C1211" s="339" t="str">
        <x:v>SCR-152</x:v>
      </x:c>
      <x:c r="D1211" s="339" t="str">
        <x:v>Examinations / Marks / Results</x:v>
      </x:c>
      <x:c r="E1211" s="339" t="str">
        <x:v>Report Card</x:v>
      </x:c>
      <x:c r="F1211" s="339" t="str">
        <x:v>Successful Report Card happy path</x:v>
      </x:c>
      <x:c r="G1211" s="339" t="str">
        <x:v>all mandatory prerequisites and valid data are available</x:v>
      </x:c>
      <x:c r="H1211" s="339" t="str">
        <x:v>the Student completes the primary action on Report Card</x:v>
      </x:c>
      <x:c r="I1211" s="339" t="str">
        <x:v>the system validates the request, saves it atomically, shows a clear confirmation and reflects the updated state</x:v>
      </x:c>
      <x:c r="J1211" s="339" t="str">
        <x:v>Positive</x:v>
      </x:c>
      <x:c r="K1211" s="339" t="str">
        <x:v>Functional</x:v>
      </x:c>
    </x:row>
    <x:row r="1212">
      <x:c r="A1212" s="339" t="str">
        <x:v>AC-01211</x:v>
      </x:c>
      <x:c r="B1212" s="339" t="str">
        <x:v>US-0303</x:v>
      </x:c>
      <x:c r="C1212" s="339" t="str">
        <x:v>SCR-152</x:v>
      </x:c>
      <x:c r="D1212" s="339" t="str">
        <x:v>Examinations / Marks / Results</x:v>
      </x:c>
      <x:c r="E1212" s="339" t="str">
        <x:v>Report Card</x:v>
      </x:c>
      <x:c r="F1212" s="339" t="str">
        <x:v>State and dependency integrity</x:v>
      </x:c>
      <x:c r="G1212" s="339" t="str">
        <x:v>the current record is in an allowed state (Draft → Scheduled → Marks Entry → Verification → Approved → Published → Revised (controlled))</x:v>
      </x:c>
      <x:c r="H1212" s="339" t="str">
        <x:v>the user attempts a state-changing action</x:v>
      </x:c>
      <x:c r="I1212" s="339" t="str">
        <x:v>only a valid transition is accepted and dependent records are updated according to configured business rules</x:v>
      </x:c>
      <x:c r="J1212" s="339" t="str">
        <x:v>Positive</x:v>
      </x:c>
      <x:c r="K1212" s="339" t="str">
        <x:v>Functional</x:v>
      </x:c>
    </x:row>
    <x:row r="1213">
      <x:c r="A1213" s="339" t="str">
        <x:v>AC-01212</x:v>
      </x:c>
      <x:c r="B1213" s="339" t="str">
        <x:v>US-0303</x:v>
      </x:c>
      <x:c r="C1213" s="339" t="str">
        <x:v>SCR-152</x:v>
      </x:c>
      <x:c r="D1213" s="339" t="str">
        <x:v>Examinations / Marks / Results</x:v>
      </x:c>
      <x:c r="E1213" s="339" t="str">
        <x:v>Report Card</x:v>
      </x:c>
      <x:c r="F1213" s="339" t="str">
        <x:v>Auditability</x:v>
      </x:c>
      <x:c r="G1213" s="339" t="str">
        <x:v>a material create/update/approve/reverse action occurs</x:v>
      </x:c>
      <x:c r="H1213" s="339" t="str">
        <x:v>the transaction succeeds</x:v>
      </x:c>
      <x:c r="I1213" s="339" t="str">
        <x:v>the system records actor, timestamp, action, target and relevant before/after or reason context in the audit trail</x:v>
      </x:c>
      <x:c r="J1213" s="339" t="str">
        <x:v>Positive</x:v>
      </x:c>
      <x:c r="K1213" s="339" t="str">
        <x:v>Functional</x:v>
      </x:c>
    </x:row>
    <x:row r="1214">
      <x:c r="A1214" s="339" t="str">
        <x:v>AC-01213</x:v>
      </x:c>
      <x:c r="B1214" s="339" t="str">
        <x:v>US-0304</x:v>
      </x:c>
      <x:c r="C1214" s="339" t="str">
        <x:v>SCR-152</x:v>
      </x:c>
      <x:c r="D1214" s="339" t="str">
        <x:v>Examinations / Marks / Results</x:v>
      </x:c>
      <x:c r="E1214" s="339" t="str">
        <x:v>Report Card</x:v>
      </x:c>
      <x:c r="F1214" s="339" t="str">
        <x:v>Complete authorized view</x:v>
      </x:c>
      <x:c r="G1214" s="339" t="str">
        <x:v>the record exists and the user is authorized</x:v>
      </x:c>
      <x:c r="H1214" s="339" t="str">
        <x:v>the detail/profile opens</x:v>
      </x:c>
      <x:c r="I1214" s="339" t="str">
        <x:v>the system loads the required summary, relationships and history while masking restricted fields</x:v>
      </x:c>
      <x:c r="J1214" s="339" t="str">
        <x:v>Positive</x:v>
      </x:c>
      <x:c r="K1214" s="339" t="str">
        <x:v>Functional / Security</x:v>
      </x:c>
    </x:row>
    <x:row r="1215">
      <x:c r="A1215" s="339" t="str">
        <x:v>AC-01214</x:v>
      </x:c>
      <x:c r="B1215" s="339" t="str">
        <x:v>US-0304</x:v>
      </x:c>
      <x:c r="C1215" s="339" t="str">
        <x:v>SCR-152</x:v>
      </x:c>
      <x:c r="D1215" s="339" t="str">
        <x:v>Examinations / Marks / Results</x:v>
      </x:c>
      <x:c r="E1215" s="339" t="str">
        <x:v>Report Card</x:v>
      </x:c>
      <x:c r="F1215" s="339" t="str">
        <x:v>Controlled edit</x:v>
      </x:c>
      <x:c r="G1215" s="339" t="str">
        <x:v>the user has edit permission and the record is editable</x:v>
      </x:c>
      <x:c r="H1215" s="339" t="str">
        <x:v>the user saves a change</x:v>
      </x:c>
      <x:c r="I1215" s="339" t="str">
        <x:v>validation and state rules run before the update is committed</x:v>
      </x:c>
      <x:c r="J1215" s="339" t="str">
        <x:v>Positive</x:v>
      </x:c>
      <x:c r="K1215" s="339" t="str">
        <x:v>Functional</x:v>
      </x:c>
    </x:row>
    <x:row r="1216">
      <x:c r="A1216" s="339" t="str">
        <x:v>AC-01215</x:v>
      </x:c>
      <x:c r="B1216" s="339" t="str">
        <x:v>US-0304</x:v>
      </x:c>
      <x:c r="C1216" s="339" t="str">
        <x:v>SCR-152</x:v>
      </x:c>
      <x:c r="D1216" s="339" t="str">
        <x:v>Examinations / Marks / Results</x:v>
      </x:c>
      <x:c r="E1216" s="339" t="str">
        <x:v>Report Card</x:v>
      </x:c>
      <x:c r="F1216" s="339" t="str">
        <x:v>Concurrent edit protection</x:v>
      </x:c>
      <x:c r="G1216" s="339" t="str">
        <x:v>another user has changed the record after it was loaded</x:v>
      </x:c>
      <x:c r="H1216" s="339" t="str">
        <x:v>the first user attempts to save stale data</x:v>
      </x:c>
      <x:c r="I1216" s="339" t="str">
        <x:v>the system detects the version conflict or preserves fields safely instead of silently overwriting</x:v>
      </x:c>
      <x:c r="J1216" s="339" t="str">
        <x:v>Positive</x:v>
      </x:c>
      <x:c r="K1216" s="339" t="str">
        <x:v>Functional</x:v>
      </x:c>
    </x:row>
    <x:row r="1217">
      <x:c r="A1217" s="339" t="str">
        <x:v>AC-01216</x:v>
      </x:c>
      <x:c r="B1217" s="339" t="str">
        <x:v>US-0304</x:v>
      </x:c>
      <x:c r="C1217" s="339" t="str">
        <x:v>SCR-152</x:v>
      </x:c>
      <x:c r="D1217" s="339" t="str">
        <x:v>Examinations / Marks / Results</x:v>
      </x:c>
      <x:c r="E1217" s="339" t="str">
        <x:v>Report Card</x:v>
      </x:c>
      <x:c r="F1217" s="339" t="str">
        <x:v>History retention</x:v>
      </x:c>
      <x:c r="G1217" s="339" t="str">
        <x:v>the record has prior changes/statuses</x:v>
      </x:c>
      <x:c r="H1217" s="339" t="str">
        <x:v>the user views history</x:v>
      </x:c>
      <x:c r="I1217" s="339" t="str">
        <x:v>the audit/activity timeline shows traceable material changes without exposing restricted notes</x:v>
      </x:c>
      <x:c r="J1217" s="339" t="str">
        <x:v>Positive</x:v>
      </x:c>
      <x:c r="K1217" s="339" t="str">
        <x:v>Functional</x:v>
      </x:c>
    </x:row>
    <x:row r="1218">
      <x:c r="A1218" s="339" t="str">
        <x:v>AC-01217</x:v>
      </x:c>
      <x:c r="B1218" s="339" t="str">
        <x:v>US-0305</x:v>
      </x:c>
      <x:c r="C1218" s="339" t="str">
        <x:v>SCR-153</x:v>
      </x:c>
      <x:c r="D1218" s="339" t="str">
        <x:v>Examinations / Marks / Results</x:v>
      </x:c>
      <x:c r="E1218" s="339" t="str">
        <x:v>Promotion Decision</x:v>
      </x:c>
      <x:c r="F1218" s="339" t="str">
        <x:v>Authorized access to Promotion Decision</x:v>
      </x:c>
      <x:c r="G1218" s="339" t="str">
        <x:v>the Principal is authenticated and has access to Promotion Decision</x:v>
      </x:c>
      <x:c r="H1218" s="339" t="str">
        <x:v>the user opens or invokes Promotion Decision</x:v>
      </x:c>
      <x:c r="I1218" s="339" t="str">
        <x:v>the system loads only records and actions within the user's permitted tenant/school/data scope</x:v>
      </x:c>
      <x:c r="J1218" s="339" t="str">
        <x:v>Positive</x:v>
      </x:c>
      <x:c r="K1218" s="339" t="str">
        <x:v>Functional / Security</x:v>
      </x:c>
    </x:row>
    <x:row r="1219">
      <x:c r="A1219" s="339" t="str">
        <x:v>AC-01218</x:v>
      </x:c>
      <x:c r="B1219" s="339" t="str">
        <x:v>US-0305</x:v>
      </x:c>
      <x:c r="C1219" s="339" t="str">
        <x:v>SCR-153</x:v>
      </x:c>
      <x:c r="D1219" s="339" t="str">
        <x:v>Examinations / Marks / Results</x:v>
      </x:c>
      <x:c r="E1219" s="339" t="str">
        <x:v>Promotion Decision</x:v>
      </x:c>
      <x:c r="F1219" s="339" t="str">
        <x:v>Successful Promotion Decision happy path</x:v>
      </x:c>
      <x:c r="G1219" s="339" t="str">
        <x:v>all mandatory prerequisites and valid data are available</x:v>
      </x:c>
      <x:c r="H1219" s="339" t="str">
        <x:v>the Principal completes the primary action on Promotion Decision</x:v>
      </x:c>
      <x:c r="I1219" s="339" t="str">
        <x:v>the system validates the request, saves it atomically, shows a clear confirmation and reflects the updated state</x:v>
      </x:c>
      <x:c r="J1219" s="339" t="str">
        <x:v>Positive</x:v>
      </x:c>
      <x:c r="K1219" s="339" t="str">
        <x:v>Functional</x:v>
      </x:c>
    </x:row>
    <x:row r="1220">
      <x:c r="A1220" s="339" t="str">
        <x:v>AC-01219</x:v>
      </x:c>
      <x:c r="B1220" s="339" t="str">
        <x:v>US-0305</x:v>
      </x:c>
      <x:c r="C1220" s="339" t="str">
        <x:v>SCR-153</x:v>
      </x:c>
      <x:c r="D1220" s="339" t="str">
        <x:v>Examinations / Marks / Results</x:v>
      </x:c>
      <x:c r="E1220" s="339" t="str">
        <x:v>Promotion Decision</x:v>
      </x:c>
      <x:c r="F1220" s="339" t="str">
        <x:v>State and dependency integrity</x:v>
      </x:c>
      <x:c r="G1220" s="339" t="str">
        <x:v>the current record is in an allowed state (Draft → Scheduled → Marks Entry → Verification → Approved → Published → Revised (controlled))</x:v>
      </x:c>
      <x:c r="H1220" s="339" t="str">
        <x:v>the user attempts a state-changing action</x:v>
      </x:c>
      <x:c r="I1220" s="339" t="str">
        <x:v>only a valid transition is accepted and dependent records are updated according to configured business rules</x:v>
      </x:c>
      <x:c r="J1220" s="339" t="str">
        <x:v>Positive</x:v>
      </x:c>
      <x:c r="K1220" s="339" t="str">
        <x:v>Functional</x:v>
      </x:c>
    </x:row>
    <x:row r="1221">
      <x:c r="A1221" s="339" t="str">
        <x:v>AC-01220</x:v>
      </x:c>
      <x:c r="B1221" s="339" t="str">
        <x:v>US-0305</x:v>
      </x:c>
      <x:c r="C1221" s="339" t="str">
        <x:v>SCR-153</x:v>
      </x:c>
      <x:c r="D1221" s="339" t="str">
        <x:v>Examinations / Marks / Results</x:v>
      </x:c>
      <x:c r="E1221" s="339" t="str">
        <x:v>Promotion Decision</x:v>
      </x:c>
      <x:c r="F1221" s="339" t="str">
        <x:v>Auditability</x:v>
      </x:c>
      <x:c r="G1221" s="339" t="str">
        <x:v>a material create/update/approve/reverse action occurs</x:v>
      </x:c>
      <x:c r="H1221" s="339" t="str">
        <x:v>the transaction succeeds</x:v>
      </x:c>
      <x:c r="I1221" s="339" t="str">
        <x:v>the system records actor, timestamp, action, target and relevant before/after or reason context in the audit trail</x:v>
      </x:c>
      <x:c r="J1221" s="339" t="str">
        <x:v>Positive</x:v>
      </x:c>
      <x:c r="K1221" s="339" t="str">
        <x:v>Functional</x:v>
      </x:c>
    </x:row>
    <x:row r="1222">
      <x:c r="A1222" s="339" t="str">
        <x:v>AC-01221</x:v>
      </x:c>
      <x:c r="B1222" s="339" t="str">
        <x:v>US-0306</x:v>
      </x:c>
      <x:c r="C1222" s="339" t="str">
        <x:v>SCR-153</x:v>
      </x:c>
      <x:c r="D1222" s="339" t="str">
        <x:v>Examinations / Marks / Results</x:v>
      </x:c>
      <x:c r="E1222" s="339" t="str">
        <x:v>Promotion Decision</x:v>
      </x:c>
      <x:c r="F1222" s="339" t="str">
        <x:v>Valid status transition</x:v>
      </x:c>
      <x:c r="G1222" s="339" t="str">
        <x:v>the record is in a state described by Draft → Scheduled → Marks Entry → Verification → Approved → Published → Revised (controlled)</x:v>
      </x:c>
      <x:c r="H1222" s="339" t="str">
        <x:v>the user requests a transition</x:v>
      </x:c>
      <x:c r="I1222" s="339" t="str">
        <x:v>the system accepts only transitions allowed for that role and state</x:v>
      </x:c>
      <x:c r="J1222" s="339" t="str">
        <x:v>Positive</x:v>
      </x:c>
      <x:c r="K1222" s="339" t="str">
        <x:v>Functional</x:v>
      </x:c>
    </x:row>
    <x:row r="1223">
      <x:c r="A1223" s="339" t="str">
        <x:v>AC-01222</x:v>
      </x:c>
      <x:c r="B1223" s="339" t="str">
        <x:v>US-0306</x:v>
      </x:c>
      <x:c r="C1223" s="339" t="str">
        <x:v>SCR-153</x:v>
      </x:c>
      <x:c r="D1223" s="339" t="str">
        <x:v>Examinations / Marks / Results</x:v>
      </x:c>
      <x:c r="E1223" s="339" t="str">
        <x:v>Promotion Decision</x:v>
      </x:c>
      <x:c r="F1223" s="339" t="str">
        <x:v>Approval authority</x:v>
      </x:c>
      <x:c r="G1223" s="339" t="str">
        <x:v>an action requires approval</x:v>
      </x:c>
      <x:c r="H1223" s="339" t="str">
        <x:v>a non-authorized user attempts approval/rejection</x:v>
      </x:c>
      <x:c r="I1223" s="339" t="str">
        <x:v>the system denies the decision and does not change status</x:v>
      </x:c>
      <x:c r="J1223" s="339" t="str">
        <x:v>Negative</x:v>
      </x:c>
      <x:c r="K1223" s="339" t="str">
        <x:v>Functional</x:v>
      </x:c>
    </x:row>
    <x:row r="1224">
      <x:c r="A1224" s="339" t="str">
        <x:v>AC-01223</x:v>
      </x:c>
      <x:c r="B1224" s="339" t="str">
        <x:v>US-0306</x:v>
      </x:c>
      <x:c r="C1224" s="339" t="str">
        <x:v>SCR-153</x:v>
      </x:c>
      <x:c r="D1224" s="339" t="str">
        <x:v>Examinations / Marks / Results</x:v>
      </x:c>
      <x:c r="E1224" s="339" t="str">
        <x:v>Promotion Decision</x:v>
      </x:c>
      <x:c r="F1224" s="339" t="str">
        <x:v>Failure rollback</x:v>
      </x:c>
      <x:c r="G1224" s="339" t="str">
        <x:v>a downstream dependency fails during a multi-step transaction</x:v>
      </x:c>
      <x:c r="H1224" s="339" t="str">
        <x:v>the workflow executes</x:v>
      </x:c>
      <x:c r="I1224" s="339" t="str">
        <x:v>the system does not leave an invalid partial final state and surfaces a recoverable error</x:v>
      </x:c>
      <x:c r="J1224" s="339" t="str">
        <x:v>Positive</x:v>
      </x:c>
      <x:c r="K1224" s="339" t="str">
        <x:v>Functional</x:v>
      </x:c>
    </x:row>
    <x:row r="1225">
      <x:c r="A1225" s="339" t="str">
        <x:v>AC-01224</x:v>
      </x:c>
      <x:c r="B1225" s="339" t="str">
        <x:v>US-0306</x:v>
      </x:c>
      <x:c r="C1225" s="339" t="str">
        <x:v>SCR-153</x:v>
      </x:c>
      <x:c r="D1225" s="339" t="str">
        <x:v>Examinations / Marks / Results</x:v>
      </x:c>
      <x:c r="E1225" s="339" t="str">
        <x:v>Promotion Decision</x:v>
      </x:c>
      <x:c r="F1225" s="339" t="str">
        <x:v>Exception traceability</x:v>
      </x:c>
      <x:c r="G1225" s="339" t="str">
        <x:v>an authorized override/exception is used</x:v>
      </x:c>
      <x:c r="H1225" s="339" t="str">
        <x:v>the action is confirmed</x:v>
      </x:c>
      <x:c r="I1225" s="339" t="str">
        <x:v>the system requires reason/context and records it in the audit history</x:v>
      </x:c>
      <x:c r="J1225" s="339" t="str">
        <x:v>Positive</x:v>
      </x:c>
      <x:c r="K1225" s="339" t="str">
        <x:v>Functional</x:v>
      </x:c>
    </x:row>
    <x:row r="1226">
      <x:c r="A1226" s="339" t="str">
        <x:v>AC-01225</x:v>
      </x:c>
      <x:c r="B1226" s="339" t="str">
        <x:v>US-0307</x:v>
      </x:c>
      <x:c r="C1226" s="339" t="str">
        <x:v>SCR-154</x:v>
      </x:c>
      <x:c r="D1226" s="339" t="str">
        <x:v>Fees &amp; Finance</x:v>
      </x:c>
      <x:c r="E1226" s="339" t="str">
        <x:v>Fee Dashboard</x:v>
      </x:c>
      <x:c r="F1226" s="339" t="str">
        <x:v>Authorized access to Fee Dashboard</x:v>
      </x:c>
      <x:c r="G1226" s="339" t="str">
        <x:v>the Fee is authenticated and has access to Fee Dashboard</x:v>
      </x:c>
      <x:c r="H1226" s="339" t="str">
        <x:v>the user opens or invokes Fee Dashboard</x:v>
      </x:c>
      <x:c r="I1226" s="339" t="str">
        <x:v>the system loads only records and actions within the user's permitted tenant/school/data scope</x:v>
      </x:c>
      <x:c r="J1226" s="339" t="str">
        <x:v>Positive</x:v>
      </x:c>
      <x:c r="K1226" s="339" t="str">
        <x:v>Functional / Security</x:v>
      </x:c>
    </x:row>
    <x:row r="1227">
      <x:c r="A1227" s="339" t="str">
        <x:v>AC-01226</x:v>
      </x:c>
      <x:c r="B1227" s="339" t="str">
        <x:v>US-0307</x:v>
      </x:c>
      <x:c r="C1227" s="339" t="str">
        <x:v>SCR-154</x:v>
      </x:c>
      <x:c r="D1227" s="339" t="str">
        <x:v>Fees &amp; Finance</x:v>
      </x:c>
      <x:c r="E1227" s="339" t="str">
        <x:v>Fee Dashboard</x:v>
      </x:c>
      <x:c r="F1227" s="339" t="str">
        <x:v>Successful Fee Dashboard happy path</x:v>
      </x:c>
      <x:c r="G1227" s="339" t="str">
        <x:v>all mandatory prerequisites and valid data are available</x:v>
      </x:c>
      <x:c r="H1227" s="339" t="str">
        <x:v>the Fee completes the primary action on Fee Dashboard</x:v>
      </x:c>
      <x:c r="I1227" s="339" t="str">
        <x:v>the system validates the request, saves it atomically, shows a clear confirmation and reflects the updated state</x:v>
      </x:c>
      <x:c r="J1227" s="339" t="str">
        <x:v>Positive</x:v>
      </x:c>
      <x:c r="K1227" s="339" t="str">
        <x:v>Functional</x:v>
      </x:c>
    </x:row>
    <x:row r="1228">
      <x:c r="A1228" s="339" t="str">
        <x:v>AC-01227</x:v>
      </x:c>
      <x:c r="B1228" s="339" t="str">
        <x:v>US-0307</x:v>
      </x:c>
      <x:c r="C1228" s="339" t="str">
        <x:v>SCR-154</x:v>
      </x:c>
      <x:c r="D1228" s="339" t="str">
        <x:v>Fees &amp; Finance</x:v>
      </x:c>
      <x:c r="E1228" s="339" t="str">
        <x:v>Fee Dashboard</x:v>
      </x:c>
      <x:c r="F1228" s="339" t="str">
        <x:v>State and dependency integrity</x:v>
      </x:c>
      <x:c r="G1228" s="339" t="str">
        <x:v>the current record is in an allowed state (Draft / Posted → Due → Partially Paid → Paid / Overdue → Reversed / Refunded (controlled))</x:v>
      </x:c>
      <x:c r="H1228" s="339" t="str">
        <x:v>the user attempts a state-changing action</x:v>
      </x:c>
      <x:c r="I1228" s="339" t="str">
        <x:v>only a valid transition is accepted and dependent records are updated according to configured business rules</x:v>
      </x:c>
      <x:c r="J1228" s="339" t="str">
        <x:v>Positive</x:v>
      </x:c>
      <x:c r="K1228" s="339" t="str">
        <x:v>Functional</x:v>
      </x:c>
    </x:row>
    <x:row r="1229">
      <x:c r="A1229" s="339" t="str">
        <x:v>AC-01228</x:v>
      </x:c>
      <x:c r="B1229" s="339" t="str">
        <x:v>US-0307</x:v>
      </x:c>
      <x:c r="C1229" s="339" t="str">
        <x:v>SCR-154</x:v>
      </x:c>
      <x:c r="D1229" s="339" t="str">
        <x:v>Fees &amp; Finance</x:v>
      </x:c>
      <x:c r="E1229" s="339" t="str">
        <x:v>Fee Dashboard</x:v>
      </x:c>
      <x:c r="F1229" s="339" t="str">
        <x:v>Auditability</x:v>
      </x:c>
      <x:c r="G1229" s="339" t="str">
        <x:v>a material create/update/approve/reverse action occurs</x:v>
      </x:c>
      <x:c r="H1229" s="339" t="str">
        <x:v>the transaction succeeds</x:v>
      </x:c>
      <x:c r="I1229" s="339" t="str">
        <x:v>the system records actor, timestamp, action, target and relevant before/after or reason context in the audit trail</x:v>
      </x:c>
      <x:c r="J1229" s="339" t="str">
        <x:v>Positive</x:v>
      </x:c>
      <x:c r="K1229" s="339" t="str">
        <x:v>Functional</x:v>
      </x:c>
    </x:row>
    <x:row r="1230">
      <x:c r="A1230" s="339" t="str">
        <x:v>AC-01229</x:v>
      </x:c>
      <x:c r="B1230" s="339" t="str">
        <x:v>US-0308</x:v>
      </x:c>
      <x:c r="C1230" s="339" t="str">
        <x:v>SCR-154</x:v>
      </x:c>
      <x:c r="D1230" s="339" t="str">
        <x:v>Fees &amp; Finance</x:v>
      </x:c>
      <x:c r="E1230" s="339" t="str">
        <x:v>Fee Dashboard</x:v>
      </x:c>
      <x:c r="F1230" s="339" t="str">
        <x:v>KPI reconciliation</x:v>
      </x:c>
      <x:c r="G1230" s="339" t="str">
        <x:v>underlying source transactions exist</x:v>
      </x:c>
      <x:c r="H1230" s="339" t="str">
        <x:v>the dashboard calculates metrics</x:v>
      </x:c>
      <x:c r="I1230" s="339" t="str">
        <x:v>dashboard values reconcile to the same filtered source records used by detailed reports</x:v>
      </x:c>
      <x:c r="J1230" s="339" t="str">
        <x:v>Positive</x:v>
      </x:c>
      <x:c r="K1230" s="339" t="str">
        <x:v>Functional</x:v>
      </x:c>
    </x:row>
    <x:row r="1231">
      <x:c r="A1231" s="339" t="str">
        <x:v>AC-01230</x:v>
      </x:c>
      <x:c r="B1231" s="339" t="str">
        <x:v>US-0308</x:v>
      </x:c>
      <x:c r="C1231" s="339" t="str">
        <x:v>SCR-154</x:v>
      </x:c>
      <x:c r="D1231" s="339" t="str">
        <x:v>Fees &amp; Finance</x:v>
      </x:c>
      <x:c r="E1231" s="339" t="str">
        <x:v>Fee Dashboard</x:v>
      </x:c>
      <x:c r="F1231" s="339" t="str">
        <x:v>Drill-down context</x:v>
      </x:c>
      <x:c r="G1231" s="339" t="str">
        <x:v>a KPI or alert is visible</x:v>
      </x:c>
      <x:c r="H1231" s="339" t="str">
        <x:v>the user drills into it</x:v>
      </x:c>
      <x:c r="I1231" s="339" t="str">
        <x:v>the destination preserves relevant date/school/class/status filter context</x:v>
      </x:c>
      <x:c r="J1231" s="339" t="str">
        <x:v>Positive</x:v>
      </x:c>
      <x:c r="K1231" s="339" t="str">
        <x:v>Functional</x:v>
      </x:c>
    </x:row>
    <x:row r="1232">
      <x:c r="A1232" s="339" t="str">
        <x:v>AC-01231</x:v>
      </x:c>
      <x:c r="B1232" s="339" t="str">
        <x:v>US-0308</x:v>
      </x:c>
      <x:c r="C1232" s="339" t="str">
        <x:v>SCR-154</x:v>
      </x:c>
      <x:c r="D1232" s="339" t="str">
        <x:v>Fees &amp; Finance</x:v>
      </x:c>
      <x:c r="E1232" s="339" t="str">
        <x:v>Fee Dashboard</x:v>
      </x:c>
      <x:c r="F1232" s="339" t="str">
        <x:v>Freshness and failure handling</x:v>
      </x:c>
      <x:c r="G1232" s="339" t="str">
        <x:v>one source service is delayed or unavailable</x:v>
      </x:c>
      <x:c r="H1232" s="339" t="str">
        <x:v>the dashboard loads</x:v>
      </x:c>
      <x:c r="I1232" s="339" t="str">
        <x:v>the UI identifies stale/unavailable data without fabricating or silently zeroing the metric</x:v>
      </x:c>
      <x:c r="J1232" s="339" t="str">
        <x:v>Positive</x:v>
      </x:c>
      <x:c r="K1232" s="339" t="str">
        <x:v>Functional</x:v>
      </x:c>
    </x:row>
    <x:row r="1233">
      <x:c r="A1233" s="339" t="str">
        <x:v>AC-01232</x:v>
      </x:c>
      <x:c r="B1233" s="339" t="str">
        <x:v>US-0308</x:v>
      </x:c>
      <x:c r="C1233" s="339" t="str">
        <x:v>SCR-154</x:v>
      </x:c>
      <x:c r="D1233" s="339" t="str">
        <x:v>Fees &amp; Finance</x:v>
      </x:c>
      <x:c r="E1233" s="339" t="str">
        <x:v>Fee Dashboard</x:v>
      </x:c>
      <x:c r="F1233" s="339" t="str">
        <x:v>Scoped visibility</x:v>
      </x:c>
      <x:c r="G1233" s="339" t="str">
        <x:v>the same dashboard is used by users with different permissions</x:v>
      </x:c>
      <x:c r="H1233" s="339" t="str">
        <x:v>each user loads it</x:v>
      </x:c>
      <x:c r="I1233" s="339" t="str">
        <x:v>each sees only authorized metrics, alerts and record-level drill-downs</x:v>
      </x:c>
      <x:c r="J1233" s="339" t="str">
        <x:v>Positive</x:v>
      </x:c>
      <x:c r="K1233" s="339" t="str">
        <x:v>Functional</x:v>
      </x:c>
    </x:row>
    <x:row r="1234">
      <x:c r="A1234" s="339" t="str">
        <x:v>AC-01233</x:v>
      </x:c>
      <x:c r="B1234" s="339" t="str">
        <x:v>US-0309</x:v>
      </x:c>
      <x:c r="C1234" s="339" t="str">
        <x:v>SCR-155</x:v>
      </x:c>
      <x:c r="D1234" s="339" t="str">
        <x:v>Fees &amp; Finance</x:v>
      </x:c>
      <x:c r="E1234" s="339" t="str">
        <x:v>Fee Structure</x:v>
      </x:c>
      <x:c r="F1234" s="339" t="str">
        <x:v>Authorized access to Fee Structure</x:v>
      </x:c>
      <x:c r="G1234" s="339" t="str">
        <x:v>the Accountant is authenticated and has access to Fee Structure</x:v>
      </x:c>
      <x:c r="H1234" s="339" t="str">
        <x:v>the user opens or invokes Fee Structure</x:v>
      </x:c>
      <x:c r="I1234" s="339" t="str">
        <x:v>the system loads only records and actions within the user's permitted tenant/school/data scope</x:v>
      </x:c>
      <x:c r="J1234" s="339" t="str">
        <x:v>Positive</x:v>
      </x:c>
      <x:c r="K1234" s="339" t="str">
        <x:v>Functional / Security</x:v>
      </x:c>
    </x:row>
    <x:row r="1235">
      <x:c r="A1235" s="339" t="str">
        <x:v>AC-01234</x:v>
      </x:c>
      <x:c r="B1235" s="339" t="str">
        <x:v>US-0309</x:v>
      </x:c>
      <x:c r="C1235" s="339" t="str">
        <x:v>SCR-155</x:v>
      </x:c>
      <x:c r="D1235" s="339" t="str">
        <x:v>Fees &amp; Finance</x:v>
      </x:c>
      <x:c r="E1235" s="339" t="str">
        <x:v>Fee Structure</x:v>
      </x:c>
      <x:c r="F1235" s="339" t="str">
        <x:v>Successful Fee Structure happy path</x:v>
      </x:c>
      <x:c r="G1235" s="339" t="str">
        <x:v>all mandatory prerequisites and valid data are available</x:v>
      </x:c>
      <x:c r="H1235" s="339" t="str">
        <x:v>the Accountant completes the primary action on Fee Structure</x:v>
      </x:c>
      <x:c r="I1235" s="339" t="str">
        <x:v>the system validates the request, saves it atomically, shows a clear confirmation and reflects the updated state</x:v>
      </x:c>
      <x:c r="J1235" s="339" t="str">
        <x:v>Positive</x:v>
      </x:c>
      <x:c r="K1235" s="339" t="str">
        <x:v>Functional</x:v>
      </x:c>
    </x:row>
    <x:row r="1236">
      <x:c r="A1236" s="339" t="str">
        <x:v>AC-01235</x:v>
      </x:c>
      <x:c r="B1236" s="339" t="str">
        <x:v>US-0309</x:v>
      </x:c>
      <x:c r="C1236" s="339" t="str">
        <x:v>SCR-155</x:v>
      </x:c>
      <x:c r="D1236" s="339" t="str">
        <x:v>Fees &amp; Finance</x:v>
      </x:c>
      <x:c r="E1236" s="339" t="str">
        <x:v>Fee Structure</x:v>
      </x:c>
      <x:c r="F1236" s="339" t="str">
        <x:v>State and dependency integrity</x:v>
      </x:c>
      <x:c r="G1236" s="339" t="str">
        <x:v>the current record is in an allowed state (Draft / Posted → Due → Partially Paid → Paid / Overdue → Reversed / Refunded (controlled))</x:v>
      </x:c>
      <x:c r="H1236" s="339" t="str">
        <x:v>the user attempts a state-changing action</x:v>
      </x:c>
      <x:c r="I1236" s="339" t="str">
        <x:v>only a valid transition is accepted and dependent records are updated according to configured business rules</x:v>
      </x:c>
      <x:c r="J1236" s="339" t="str">
        <x:v>Positive</x:v>
      </x:c>
      <x:c r="K1236" s="339" t="str">
        <x:v>Functional</x:v>
      </x:c>
    </x:row>
    <x:row r="1237">
      <x:c r="A1237" s="339" t="str">
        <x:v>AC-01236</x:v>
      </x:c>
      <x:c r="B1237" s="339" t="str">
        <x:v>US-0309</x:v>
      </x:c>
      <x:c r="C1237" s="339" t="str">
        <x:v>SCR-155</x:v>
      </x:c>
      <x:c r="D1237" s="339" t="str">
        <x:v>Fees &amp; Finance</x:v>
      </x:c>
      <x:c r="E1237" s="339" t="str">
        <x:v>Fee Structure</x:v>
      </x:c>
      <x:c r="F1237" s="339" t="str">
        <x:v>Auditability</x:v>
      </x:c>
      <x:c r="G1237" s="339" t="str">
        <x:v>a material create/update/approve/reverse action occurs</x:v>
      </x:c>
      <x:c r="H1237" s="339" t="str">
        <x:v>the transaction succeeds</x:v>
      </x:c>
      <x:c r="I1237" s="339" t="str">
        <x:v>the system records actor, timestamp, action, target and relevant before/after or reason context in the audit trail</x:v>
      </x:c>
      <x:c r="J1237" s="339" t="str">
        <x:v>Positive</x:v>
      </x:c>
      <x:c r="K1237" s="339" t="str">
        <x:v>Functional</x:v>
      </x:c>
    </x:row>
    <x:row r="1238">
      <x:c r="A1238" s="339" t="str">
        <x:v>AC-01237</x:v>
      </x:c>
      <x:c r="B1238" s="339" t="str">
        <x:v>US-0310</x:v>
      </x:c>
      <x:c r="C1238" s="339" t="str">
        <x:v>SCR-155</x:v>
      </x:c>
      <x:c r="D1238" s="339" t="str">
        <x:v>Fees &amp; Finance</x:v>
      </x:c>
      <x:c r="E1238" s="339" t="str">
        <x:v>Fee Structure</x:v>
      </x:c>
      <x:c r="F1238" s="339" t="str">
        <x:v>Valid status transition</x:v>
      </x:c>
      <x:c r="G1238" s="339" t="str">
        <x:v>the record is in a state described by Draft / Posted → Due → Partially Paid → Paid / Overdue → Reversed / Refunded (controlled)</x:v>
      </x:c>
      <x:c r="H1238" s="339" t="str">
        <x:v>the user requests a transition</x:v>
      </x:c>
      <x:c r="I1238" s="339" t="str">
        <x:v>the system accepts only transitions allowed for that role and state</x:v>
      </x:c>
      <x:c r="J1238" s="339" t="str">
        <x:v>Positive</x:v>
      </x:c>
      <x:c r="K1238" s="339" t="str">
        <x:v>Functional</x:v>
      </x:c>
    </x:row>
    <x:row r="1239">
      <x:c r="A1239" s="339" t="str">
        <x:v>AC-01238</x:v>
      </x:c>
      <x:c r="B1239" s="339" t="str">
        <x:v>US-0310</x:v>
      </x:c>
      <x:c r="C1239" s="339" t="str">
        <x:v>SCR-155</x:v>
      </x:c>
      <x:c r="D1239" s="339" t="str">
        <x:v>Fees &amp; Finance</x:v>
      </x:c>
      <x:c r="E1239" s="339" t="str">
        <x:v>Fee Structure</x:v>
      </x:c>
      <x:c r="F1239" s="339" t="str">
        <x:v>Approval authority</x:v>
      </x:c>
      <x:c r="G1239" s="339" t="str">
        <x:v>an action requires approval</x:v>
      </x:c>
      <x:c r="H1239" s="339" t="str">
        <x:v>a non-authorized user attempts approval/rejection</x:v>
      </x:c>
      <x:c r="I1239" s="339" t="str">
        <x:v>the system denies the decision and does not change status</x:v>
      </x:c>
      <x:c r="J1239" s="339" t="str">
        <x:v>Negative</x:v>
      </x:c>
      <x:c r="K1239" s="339" t="str">
        <x:v>Functional</x:v>
      </x:c>
    </x:row>
    <x:row r="1240">
      <x:c r="A1240" s="339" t="str">
        <x:v>AC-01239</x:v>
      </x:c>
      <x:c r="B1240" s="339" t="str">
        <x:v>US-0310</x:v>
      </x:c>
      <x:c r="C1240" s="339" t="str">
        <x:v>SCR-155</x:v>
      </x:c>
      <x:c r="D1240" s="339" t="str">
        <x:v>Fees &amp; Finance</x:v>
      </x:c>
      <x:c r="E1240" s="339" t="str">
        <x:v>Fee Structure</x:v>
      </x:c>
      <x:c r="F1240" s="339" t="str">
        <x:v>Failure rollback</x:v>
      </x:c>
      <x:c r="G1240" s="339" t="str">
        <x:v>a downstream dependency fails during a multi-step transaction</x:v>
      </x:c>
      <x:c r="H1240" s="339" t="str">
        <x:v>the workflow executes</x:v>
      </x:c>
      <x:c r="I1240" s="339" t="str">
        <x:v>the system does not leave an invalid partial final state and surfaces a recoverable error</x:v>
      </x:c>
      <x:c r="J1240" s="339" t="str">
        <x:v>Positive</x:v>
      </x:c>
      <x:c r="K1240" s="339" t="str">
        <x:v>Functional</x:v>
      </x:c>
    </x:row>
    <x:row r="1241">
      <x:c r="A1241" s="339" t="str">
        <x:v>AC-01240</x:v>
      </x:c>
      <x:c r="B1241" s="339" t="str">
        <x:v>US-0310</x:v>
      </x:c>
      <x:c r="C1241" s="339" t="str">
        <x:v>SCR-155</x:v>
      </x:c>
      <x:c r="D1241" s="339" t="str">
        <x:v>Fees &amp; Finance</x:v>
      </x:c>
      <x:c r="E1241" s="339" t="str">
        <x:v>Fee Structure</x:v>
      </x:c>
      <x:c r="F1241" s="339" t="str">
        <x:v>Exception traceability</x:v>
      </x:c>
      <x:c r="G1241" s="339" t="str">
        <x:v>an authorized override/exception is used</x:v>
      </x:c>
      <x:c r="H1241" s="339" t="str">
        <x:v>the action is confirmed</x:v>
      </x:c>
      <x:c r="I1241" s="339" t="str">
        <x:v>the system requires reason/context and records it in the audit history</x:v>
      </x:c>
      <x:c r="J1241" s="339" t="str">
        <x:v>Positive</x:v>
      </x:c>
      <x:c r="K1241" s="339" t="str">
        <x:v>Functional</x:v>
      </x:c>
    </x:row>
    <x:row r="1242">
      <x:c r="A1242" s="339" t="str">
        <x:v>AC-01241</x:v>
      </x:c>
      <x:c r="B1242" s="339" t="str">
        <x:v>US-0311</x:v>
      </x:c>
      <x:c r="C1242" s="339" t="str">
        <x:v>SCR-156</x:v>
      </x:c>
      <x:c r="D1242" s="339" t="str">
        <x:v>Fees &amp; Finance</x:v>
      </x:c>
      <x:c r="E1242" s="339" t="str">
        <x:v>Create / Edit Fee Structure</x:v>
      </x:c>
      <x:c r="F1242" s="339" t="str">
        <x:v>Authorized access to Create / Edit Fee Structure</x:v>
      </x:c>
      <x:c r="G1242" s="339" t="str">
        <x:v>the Accountant is authenticated and has access to Create / Edit Fee Structure</x:v>
      </x:c>
      <x:c r="H1242" s="339" t="str">
        <x:v>the user opens or invokes Create / Edit Fee Structure</x:v>
      </x:c>
      <x:c r="I1242" s="339" t="str">
        <x:v>the system loads only records and actions within the user's permitted tenant/school/data scope</x:v>
      </x:c>
      <x:c r="J1242" s="339" t="str">
        <x:v>Positive</x:v>
      </x:c>
      <x:c r="K1242" s="339" t="str">
        <x:v>Functional / Security</x:v>
      </x:c>
    </x:row>
    <x:row r="1243">
      <x:c r="A1243" s="339" t="str">
        <x:v>AC-01242</x:v>
      </x:c>
      <x:c r="B1243" s="339" t="str">
        <x:v>US-0311</x:v>
      </x:c>
      <x:c r="C1243" s="339" t="str">
        <x:v>SCR-156</x:v>
      </x:c>
      <x:c r="D1243" s="339" t="str">
        <x:v>Fees &amp; Finance</x:v>
      </x:c>
      <x:c r="E1243" s="339" t="str">
        <x:v>Create / Edit Fee Structure</x:v>
      </x:c>
      <x:c r="F1243" s="339" t="str">
        <x:v>Successful Create / Edit Fee Structure happy path</x:v>
      </x:c>
      <x:c r="G1243" s="339" t="str">
        <x:v>all mandatory prerequisites and valid data are available</x:v>
      </x:c>
      <x:c r="H1243" s="339" t="str">
        <x:v>the Accountant completes the primary action on Create / Edit Fee Structure</x:v>
      </x:c>
      <x:c r="I1243" s="339" t="str">
        <x:v>the system validates the request, saves it atomically, shows a clear confirmation and reflects the updated state</x:v>
      </x:c>
      <x:c r="J1243" s="339" t="str">
        <x:v>Positive</x:v>
      </x:c>
      <x:c r="K1243" s="339" t="str">
        <x:v>Functional</x:v>
      </x:c>
    </x:row>
    <x:row r="1244">
      <x:c r="A1244" s="339" t="str">
        <x:v>AC-01243</x:v>
      </x:c>
      <x:c r="B1244" s="339" t="str">
        <x:v>US-0311</x:v>
      </x:c>
      <x:c r="C1244" s="339" t="str">
        <x:v>SCR-156</x:v>
      </x:c>
      <x:c r="D1244" s="339" t="str">
        <x:v>Fees &amp; Finance</x:v>
      </x:c>
      <x:c r="E1244" s="339" t="str">
        <x:v>Create / Edit Fee Structure</x:v>
      </x:c>
      <x:c r="F1244" s="339" t="str">
        <x:v>State and dependency integrity</x:v>
      </x:c>
      <x:c r="G1244" s="339" t="str">
        <x:v>the current record is in an allowed state (Draft / Posted → Due → Partially Paid → Paid / Overdue → Reversed / Refunded (controlled))</x:v>
      </x:c>
      <x:c r="H1244" s="339" t="str">
        <x:v>the user attempts a state-changing action</x:v>
      </x:c>
      <x:c r="I1244" s="339" t="str">
        <x:v>only a valid transition is accepted and dependent records are updated according to configured business rules</x:v>
      </x:c>
      <x:c r="J1244" s="339" t="str">
        <x:v>Positive</x:v>
      </x:c>
      <x:c r="K1244" s="339" t="str">
        <x:v>Functional</x:v>
      </x:c>
    </x:row>
    <x:row r="1245">
      <x:c r="A1245" s="339" t="str">
        <x:v>AC-01244</x:v>
      </x:c>
      <x:c r="B1245" s="339" t="str">
        <x:v>US-0311</x:v>
      </x:c>
      <x:c r="C1245" s="339" t="str">
        <x:v>SCR-156</x:v>
      </x:c>
      <x:c r="D1245" s="339" t="str">
        <x:v>Fees &amp; Finance</x:v>
      </x:c>
      <x:c r="E1245" s="339" t="str">
        <x:v>Create / Edit Fee Structure</x:v>
      </x:c>
      <x:c r="F1245" s="339" t="str">
        <x:v>Auditability</x:v>
      </x:c>
      <x:c r="G1245" s="339" t="str">
        <x:v>a material create/update/approve/reverse action occurs</x:v>
      </x:c>
      <x:c r="H1245" s="339" t="str">
        <x:v>the transaction succeeds</x:v>
      </x:c>
      <x:c r="I1245" s="339" t="str">
        <x:v>the system records actor, timestamp, action, target and relevant before/after or reason context in the audit trail</x:v>
      </x:c>
      <x:c r="J1245" s="339" t="str">
        <x:v>Positive</x:v>
      </x:c>
      <x:c r="K1245" s="339" t="str">
        <x:v>Functional</x:v>
      </x:c>
    </x:row>
    <x:row r="1246">
      <x:c r="A1246" s="339" t="str">
        <x:v>AC-01245</x:v>
      </x:c>
      <x:c r="B1246" s="339" t="str">
        <x:v>US-0312</x:v>
      </x:c>
      <x:c r="C1246" s="339" t="str">
        <x:v>SCR-156</x:v>
      </x:c>
      <x:c r="D1246" s="339" t="str">
        <x:v>Fees &amp; Finance</x:v>
      </x:c>
      <x:c r="E1246" s="339" t="str">
        <x:v>Create / Edit Fee Structure</x:v>
      </x:c>
      <x:c r="F1246" s="339" t="str">
        <x:v>Required-field validation</x:v>
      </x:c>
      <x:c r="G1246" s="339" t="str">
        <x:v>one or more required values are missing/invalid</x:v>
      </x:c>
      <x:c r="H1246" s="339" t="str">
        <x:v>the user submits the form</x:v>
      </x:c>
      <x:c r="I1246" s="339" t="str">
        <x:v>submission is blocked and field-level messages identify what must be corrected</x:v>
      </x:c>
      <x:c r="J1246" s="339" t="str">
        <x:v>Positive</x:v>
      </x:c>
      <x:c r="K1246" s="339" t="str">
        <x:v>Functional</x:v>
      </x:c>
    </x:row>
    <x:row r="1247">
      <x:c r="A1247" s="339" t="str">
        <x:v>AC-01246</x:v>
      </x:c>
      <x:c r="B1247" s="339" t="str">
        <x:v>US-0312</x:v>
      </x:c>
      <x:c r="C1247" s="339" t="str">
        <x:v>SCR-156</x:v>
      </x:c>
      <x:c r="D1247" s="339" t="str">
        <x:v>Fees &amp; Finance</x:v>
      </x:c>
      <x:c r="E1247" s="339" t="str">
        <x:v>Create / Edit Fee Structure</x:v>
      </x:c>
      <x:c r="F1247" s="339" t="str">
        <x:v>Duplicate prevention</x:v>
      </x:c>
      <x:c r="G1247" s="339" t="str">
        <x:v>a potentially duplicate record exists</x:v>
      </x:c>
      <x:c r="H1247" s="339" t="str">
        <x:v>the user submits matching identity/master data</x:v>
      </x:c>
      <x:c r="I1247" s="339" t="str">
        <x:v>the system blocks or warns according to configured duplicate policy before creating another record</x:v>
      </x:c>
      <x:c r="J1247" s="339" t="str">
        <x:v>Negative</x:v>
      </x:c>
      <x:c r="K1247" s="339" t="str">
        <x:v>Functional</x:v>
      </x:c>
    </x:row>
    <x:row r="1248">
      <x:c r="A1248" s="339" t="str">
        <x:v>AC-01247</x:v>
      </x:c>
      <x:c r="B1248" s="339" t="str">
        <x:v>US-0312</x:v>
      </x:c>
      <x:c r="C1248" s="339" t="str">
        <x:v>SCR-156</x:v>
      </x:c>
      <x:c r="D1248" s="339" t="str">
        <x:v>Fees &amp; Finance</x:v>
      </x:c>
      <x:c r="E1248" s="339" t="str">
        <x:v>Create / Edit Fee Structure</x:v>
      </x:c>
      <x:c r="F1248" s="339" t="str">
        <x:v>Reference-data integrity</x:v>
      </x:c>
      <x:c r="G1248" s="339" t="str">
        <x:v>the form contains master-data selections</x:v>
      </x:c>
      <x:c r="H1248" s="339" t="str">
        <x:v>the user submits</x:v>
      </x:c>
      <x:c r="I1248" s="339" t="str">
        <x:v>all referenced values are active, effective and within the user's scope at the time of save</x:v>
      </x:c>
      <x:c r="J1248" s="339" t="str">
        <x:v>Positive</x:v>
      </x:c>
      <x:c r="K1248" s="339" t="str">
        <x:v>Functional</x:v>
      </x:c>
    </x:row>
    <x:row r="1249">
      <x:c r="A1249" s="339" t="str">
        <x:v>AC-01248</x:v>
      </x:c>
      <x:c r="B1249" s="339" t="str">
        <x:v>US-0312</x:v>
      </x:c>
      <x:c r="C1249" s="339" t="str">
        <x:v>SCR-156</x:v>
      </x:c>
      <x:c r="D1249" s="339" t="str">
        <x:v>Fees &amp; Finance</x:v>
      </x:c>
      <x:c r="E1249" s="339" t="str">
        <x:v>Create / Edit Fee Structure</x:v>
      </x:c>
      <x:c r="F1249" s="339" t="str">
        <x:v>Retry safety</x:v>
      </x:c>
      <x:c r="G1249" s="339" t="str">
        <x:v>a network retry or repeated click occurs</x:v>
      </x:c>
      <x:c r="H1249" s="339" t="str">
        <x:v>the same transaction is submitted again</x:v>
      </x:c>
      <x:c r="I1249" s="339" t="str">
        <x:v>the system prevents unintended duplicate transactions through idempotency or duplicate detection</x:v>
      </x:c>
      <x:c r="J1249" s="339" t="str">
        <x:v>Positive</x:v>
      </x:c>
      <x:c r="K1249" s="339" t="str">
        <x:v>Functional</x:v>
      </x:c>
    </x:row>
    <x:row r="1250">
      <x:c r="A1250" s="339" t="str">
        <x:v>AC-01249</x:v>
      </x:c>
      <x:c r="B1250" s="339" t="str">
        <x:v>US-0313</x:v>
      </x:c>
      <x:c r="C1250" s="339" t="str">
        <x:v>SCR-157</x:v>
      </x:c>
      <x:c r="D1250" s="339" t="str">
        <x:v>Fees &amp; Finance</x:v>
      </x:c>
      <x:c r="E1250" s="339" t="str">
        <x:v>Student Fee Assignment</x:v>
      </x:c>
      <x:c r="F1250" s="339" t="str">
        <x:v>Authorized access to Student Fee Assignment</x:v>
      </x:c>
      <x:c r="G1250" s="339" t="str">
        <x:v>the Accountant is authenticated and has access to Student Fee Assignment</x:v>
      </x:c>
      <x:c r="H1250" s="339" t="str">
        <x:v>the user opens or invokes Student Fee Assignment</x:v>
      </x:c>
      <x:c r="I1250" s="339" t="str">
        <x:v>the system loads only records and actions within the user's permitted tenant/school/data scope</x:v>
      </x:c>
      <x:c r="J1250" s="339" t="str">
        <x:v>Positive</x:v>
      </x:c>
      <x:c r="K1250" s="339" t="str">
        <x:v>Functional / Security</x:v>
      </x:c>
    </x:row>
    <x:row r="1251">
      <x:c r="A1251" s="339" t="str">
        <x:v>AC-01250</x:v>
      </x:c>
      <x:c r="B1251" s="339" t="str">
        <x:v>US-0313</x:v>
      </x:c>
      <x:c r="C1251" s="339" t="str">
        <x:v>SCR-157</x:v>
      </x:c>
      <x:c r="D1251" s="339" t="str">
        <x:v>Fees &amp; Finance</x:v>
      </x:c>
      <x:c r="E1251" s="339" t="str">
        <x:v>Student Fee Assignment</x:v>
      </x:c>
      <x:c r="F1251" s="339" t="str">
        <x:v>Successful Student Fee Assignment happy path</x:v>
      </x:c>
      <x:c r="G1251" s="339" t="str">
        <x:v>all mandatory prerequisites and valid data are available</x:v>
      </x:c>
      <x:c r="H1251" s="339" t="str">
        <x:v>the Accountant completes the primary action on Student Fee Assignment</x:v>
      </x:c>
      <x:c r="I1251" s="339" t="str">
        <x:v>the system validates the request, saves it atomically, shows a clear confirmation and reflects the updated state</x:v>
      </x:c>
      <x:c r="J1251" s="339" t="str">
        <x:v>Positive</x:v>
      </x:c>
      <x:c r="K1251" s="339" t="str">
        <x:v>Functional</x:v>
      </x:c>
    </x:row>
    <x:row r="1252">
      <x:c r="A1252" s="339" t="str">
        <x:v>AC-01251</x:v>
      </x:c>
      <x:c r="B1252" s="339" t="str">
        <x:v>US-0313</x:v>
      </x:c>
      <x:c r="C1252" s="339" t="str">
        <x:v>SCR-157</x:v>
      </x:c>
      <x:c r="D1252" s="339" t="str">
        <x:v>Fees &amp; Finance</x:v>
      </x:c>
      <x:c r="E1252" s="339" t="str">
        <x:v>Student Fee Assignment</x:v>
      </x:c>
      <x:c r="F1252" s="339" t="str">
        <x:v>State and dependency integrity</x:v>
      </x:c>
      <x:c r="G1252" s="339" t="str">
        <x:v>the current record is in an allowed state (Draft / Posted → Due → Partially Paid → Paid / Overdue → Reversed / Refunded (controlled))</x:v>
      </x:c>
      <x:c r="H1252" s="339" t="str">
        <x:v>the user attempts a state-changing action</x:v>
      </x:c>
      <x:c r="I1252" s="339" t="str">
        <x:v>only a valid transition is accepted and dependent records are updated according to configured business rules</x:v>
      </x:c>
      <x:c r="J1252" s="339" t="str">
        <x:v>Positive</x:v>
      </x:c>
      <x:c r="K1252" s="339" t="str">
        <x:v>Functional</x:v>
      </x:c>
    </x:row>
    <x:row r="1253">
      <x:c r="A1253" s="339" t="str">
        <x:v>AC-01252</x:v>
      </x:c>
      <x:c r="B1253" s="339" t="str">
        <x:v>US-0313</x:v>
      </x:c>
      <x:c r="C1253" s="339" t="str">
        <x:v>SCR-157</x:v>
      </x:c>
      <x:c r="D1253" s="339" t="str">
        <x:v>Fees &amp; Finance</x:v>
      </x:c>
      <x:c r="E1253" s="339" t="str">
        <x:v>Student Fee Assignment</x:v>
      </x:c>
      <x:c r="F1253" s="339" t="str">
        <x:v>Auditability</x:v>
      </x:c>
      <x:c r="G1253" s="339" t="str">
        <x:v>a material create/update/approve/reverse action occurs</x:v>
      </x:c>
      <x:c r="H1253" s="339" t="str">
        <x:v>the transaction succeeds</x:v>
      </x:c>
      <x:c r="I1253" s="339" t="str">
        <x:v>the system records actor, timestamp, action, target and relevant before/after or reason context in the audit trail</x:v>
      </x:c>
      <x:c r="J1253" s="339" t="str">
        <x:v>Positive</x:v>
      </x:c>
      <x:c r="K1253" s="339" t="str">
        <x:v>Functional</x:v>
      </x:c>
    </x:row>
    <x:row r="1254">
      <x:c r="A1254" s="339" t="str">
        <x:v>AC-01253</x:v>
      </x:c>
      <x:c r="B1254" s="339" t="str">
        <x:v>US-0314</x:v>
      </x:c>
      <x:c r="C1254" s="339" t="str">
        <x:v>SCR-157</x:v>
      </x:c>
      <x:c r="D1254" s="339" t="str">
        <x:v>Fees &amp; Finance</x:v>
      </x:c>
      <x:c r="E1254" s="339" t="str">
        <x:v>Student Fee Assignment</x:v>
      </x:c>
      <x:c r="F1254" s="339" t="str">
        <x:v>Valid status transition</x:v>
      </x:c>
      <x:c r="G1254" s="339" t="str">
        <x:v>the record is in a state described by Draft / Posted → Due → Partially Paid → Paid / Overdue → Reversed / Refunded (controlled)</x:v>
      </x:c>
      <x:c r="H1254" s="339" t="str">
        <x:v>the user requests a transition</x:v>
      </x:c>
      <x:c r="I1254" s="339" t="str">
        <x:v>the system accepts only transitions allowed for that role and state</x:v>
      </x:c>
      <x:c r="J1254" s="339" t="str">
        <x:v>Positive</x:v>
      </x:c>
      <x:c r="K1254" s="339" t="str">
        <x:v>Functional</x:v>
      </x:c>
    </x:row>
    <x:row r="1255">
      <x:c r="A1255" s="339" t="str">
        <x:v>AC-01254</x:v>
      </x:c>
      <x:c r="B1255" s="339" t="str">
        <x:v>US-0314</x:v>
      </x:c>
      <x:c r="C1255" s="339" t="str">
        <x:v>SCR-157</x:v>
      </x:c>
      <x:c r="D1255" s="339" t="str">
        <x:v>Fees &amp; Finance</x:v>
      </x:c>
      <x:c r="E1255" s="339" t="str">
        <x:v>Student Fee Assignment</x:v>
      </x:c>
      <x:c r="F1255" s="339" t="str">
        <x:v>Approval authority</x:v>
      </x:c>
      <x:c r="G1255" s="339" t="str">
        <x:v>an action requires approval</x:v>
      </x:c>
      <x:c r="H1255" s="339" t="str">
        <x:v>a non-authorized user attempts approval/rejection</x:v>
      </x:c>
      <x:c r="I1255" s="339" t="str">
        <x:v>the system denies the decision and does not change status</x:v>
      </x:c>
      <x:c r="J1255" s="339" t="str">
        <x:v>Negative</x:v>
      </x:c>
      <x:c r="K1255" s="339" t="str">
        <x:v>Functional</x:v>
      </x:c>
    </x:row>
    <x:row r="1256">
      <x:c r="A1256" s="339" t="str">
        <x:v>AC-01255</x:v>
      </x:c>
      <x:c r="B1256" s="339" t="str">
        <x:v>US-0314</x:v>
      </x:c>
      <x:c r="C1256" s="339" t="str">
        <x:v>SCR-157</x:v>
      </x:c>
      <x:c r="D1256" s="339" t="str">
        <x:v>Fees &amp; Finance</x:v>
      </x:c>
      <x:c r="E1256" s="339" t="str">
        <x:v>Student Fee Assignment</x:v>
      </x:c>
      <x:c r="F1256" s="339" t="str">
        <x:v>Failure rollback</x:v>
      </x:c>
      <x:c r="G1256" s="339" t="str">
        <x:v>a downstream dependency fails during a multi-step transaction</x:v>
      </x:c>
      <x:c r="H1256" s="339" t="str">
        <x:v>the workflow executes</x:v>
      </x:c>
      <x:c r="I1256" s="339" t="str">
        <x:v>the system does not leave an invalid partial final state and surfaces a recoverable error</x:v>
      </x:c>
      <x:c r="J1256" s="339" t="str">
        <x:v>Positive</x:v>
      </x:c>
      <x:c r="K1256" s="339" t="str">
        <x:v>Functional</x:v>
      </x:c>
    </x:row>
    <x:row r="1257">
      <x:c r="A1257" s="339" t="str">
        <x:v>AC-01256</x:v>
      </x:c>
      <x:c r="B1257" s="339" t="str">
        <x:v>US-0314</x:v>
      </x:c>
      <x:c r="C1257" s="339" t="str">
        <x:v>SCR-157</x:v>
      </x:c>
      <x:c r="D1257" s="339" t="str">
        <x:v>Fees &amp; Finance</x:v>
      </x:c>
      <x:c r="E1257" s="339" t="str">
        <x:v>Student Fee Assignment</x:v>
      </x:c>
      <x:c r="F1257" s="339" t="str">
        <x:v>Exception traceability</x:v>
      </x:c>
      <x:c r="G1257" s="339" t="str">
        <x:v>an authorized override/exception is used</x:v>
      </x:c>
      <x:c r="H1257" s="339" t="str">
        <x:v>the action is confirmed</x:v>
      </x:c>
      <x:c r="I1257" s="339" t="str">
        <x:v>the system requires reason/context and records it in the audit history</x:v>
      </x:c>
      <x:c r="J1257" s="339" t="str">
        <x:v>Positive</x:v>
      </x:c>
      <x:c r="K1257" s="339" t="str">
        <x:v>Functional</x:v>
      </x:c>
    </x:row>
    <x:row r="1258">
      <x:c r="A1258" s="339" t="str">
        <x:v>AC-01257</x:v>
      </x:c>
      <x:c r="B1258" s="339" t="str">
        <x:v>US-0315</x:v>
      </x:c>
      <x:c r="C1258" s="339" t="str">
        <x:v>SCR-158</x:v>
      </x:c>
      <x:c r="D1258" s="339" t="str">
        <x:v>Fees &amp; Finance</x:v>
      </x:c>
      <x:c r="E1258" s="339" t="str">
        <x:v>Fee Collection</x:v>
      </x:c>
      <x:c r="F1258" s="339" t="str">
        <x:v>Authorized access to Fee Collection</x:v>
      </x:c>
      <x:c r="G1258" s="339" t="str">
        <x:v>the Accountant is authenticated and has access to Fee Collection</x:v>
      </x:c>
      <x:c r="H1258" s="339" t="str">
        <x:v>the user opens or invokes Fee Collection</x:v>
      </x:c>
      <x:c r="I1258" s="339" t="str">
        <x:v>the system loads only records and actions within the user's permitted tenant/school/data scope</x:v>
      </x:c>
      <x:c r="J1258" s="339" t="str">
        <x:v>Positive</x:v>
      </x:c>
      <x:c r="K1258" s="339" t="str">
        <x:v>Functional / Security</x:v>
      </x:c>
    </x:row>
    <x:row r="1259">
      <x:c r="A1259" s="339" t="str">
        <x:v>AC-01258</x:v>
      </x:c>
      <x:c r="B1259" s="339" t="str">
        <x:v>US-0315</x:v>
      </x:c>
      <x:c r="C1259" s="339" t="str">
        <x:v>SCR-158</x:v>
      </x:c>
      <x:c r="D1259" s="339" t="str">
        <x:v>Fees &amp; Finance</x:v>
      </x:c>
      <x:c r="E1259" s="339" t="str">
        <x:v>Fee Collection</x:v>
      </x:c>
      <x:c r="F1259" s="339" t="str">
        <x:v>Successful Fee Collection happy path</x:v>
      </x:c>
      <x:c r="G1259" s="339" t="str">
        <x:v>all mandatory prerequisites and valid data are available</x:v>
      </x:c>
      <x:c r="H1259" s="339" t="str">
        <x:v>the Accountant completes the primary action on Fee Collection</x:v>
      </x:c>
      <x:c r="I1259" s="339" t="str">
        <x:v>the system validates the request, saves it atomically, shows a clear confirmation and reflects the updated state</x:v>
      </x:c>
      <x:c r="J1259" s="339" t="str">
        <x:v>Positive</x:v>
      </x:c>
      <x:c r="K1259" s="339" t="str">
        <x:v>Functional</x:v>
      </x:c>
    </x:row>
    <x:row r="1260">
      <x:c r="A1260" s="339" t="str">
        <x:v>AC-01259</x:v>
      </x:c>
      <x:c r="B1260" s="339" t="str">
        <x:v>US-0315</x:v>
      </x:c>
      <x:c r="C1260" s="339" t="str">
        <x:v>SCR-158</x:v>
      </x:c>
      <x:c r="D1260" s="339" t="str">
        <x:v>Fees &amp; Finance</x:v>
      </x:c>
      <x:c r="E1260" s="339" t="str">
        <x:v>Fee Collection</x:v>
      </x:c>
      <x:c r="F1260" s="339" t="str">
        <x:v>State and dependency integrity</x:v>
      </x:c>
      <x:c r="G1260" s="339" t="str">
        <x:v>the current record is in an allowed state (Draft / Posted → Due → Partially Paid → Paid / Overdue → Reversed / Refunded (controlled))</x:v>
      </x:c>
      <x:c r="H1260" s="339" t="str">
        <x:v>the user attempts a state-changing action</x:v>
      </x:c>
      <x:c r="I1260" s="339" t="str">
        <x:v>only a valid transition is accepted and dependent records are updated according to configured business rules</x:v>
      </x:c>
      <x:c r="J1260" s="339" t="str">
        <x:v>Positive</x:v>
      </x:c>
      <x:c r="K1260" s="339" t="str">
        <x:v>Functional</x:v>
      </x:c>
    </x:row>
    <x:row r="1261">
      <x:c r="A1261" s="339" t="str">
        <x:v>AC-01260</x:v>
      </x:c>
      <x:c r="B1261" s="339" t="str">
        <x:v>US-0315</x:v>
      </x:c>
      <x:c r="C1261" s="339" t="str">
        <x:v>SCR-158</x:v>
      </x:c>
      <x:c r="D1261" s="339" t="str">
        <x:v>Fees &amp; Finance</x:v>
      </x:c>
      <x:c r="E1261" s="339" t="str">
        <x:v>Fee Collection</x:v>
      </x:c>
      <x:c r="F1261" s="339" t="str">
        <x:v>Auditability</x:v>
      </x:c>
      <x:c r="G1261" s="339" t="str">
        <x:v>a material create/update/approve/reverse action occurs</x:v>
      </x:c>
      <x:c r="H1261" s="339" t="str">
        <x:v>the transaction succeeds</x:v>
      </x:c>
      <x:c r="I1261" s="339" t="str">
        <x:v>the system records actor, timestamp, action, target and relevant before/after or reason context in the audit trail</x:v>
      </x:c>
      <x:c r="J1261" s="339" t="str">
        <x:v>Positive</x:v>
      </x:c>
      <x:c r="K1261" s="339" t="str">
        <x:v>Functional</x:v>
      </x:c>
    </x:row>
    <x:row r="1262">
      <x:c r="A1262" s="339" t="str">
        <x:v>AC-01261</x:v>
      </x:c>
      <x:c r="B1262" s="339" t="str">
        <x:v>US-0316</x:v>
      </x:c>
      <x:c r="C1262" s="339" t="str">
        <x:v>SCR-158</x:v>
      </x:c>
      <x:c r="D1262" s="339" t="str">
        <x:v>Fees &amp; Finance</x:v>
      </x:c>
      <x:c r="E1262" s="339" t="str">
        <x:v>Fee Collection</x:v>
      </x:c>
      <x:c r="F1262" s="339" t="str">
        <x:v>Required-field validation</x:v>
      </x:c>
      <x:c r="G1262" s="339" t="str">
        <x:v>one or more required values are missing/invalid</x:v>
      </x:c>
      <x:c r="H1262" s="339" t="str">
        <x:v>the user submits the form</x:v>
      </x:c>
      <x:c r="I1262" s="339" t="str">
        <x:v>submission is blocked and field-level messages identify what must be corrected</x:v>
      </x:c>
      <x:c r="J1262" s="339" t="str">
        <x:v>Positive</x:v>
      </x:c>
      <x:c r="K1262" s="339" t="str">
        <x:v>Functional</x:v>
      </x:c>
    </x:row>
    <x:row r="1263">
      <x:c r="A1263" s="339" t="str">
        <x:v>AC-01262</x:v>
      </x:c>
      <x:c r="B1263" s="339" t="str">
        <x:v>US-0316</x:v>
      </x:c>
      <x:c r="C1263" s="339" t="str">
        <x:v>SCR-158</x:v>
      </x:c>
      <x:c r="D1263" s="339" t="str">
        <x:v>Fees &amp; Finance</x:v>
      </x:c>
      <x:c r="E1263" s="339" t="str">
        <x:v>Fee Collection</x:v>
      </x:c>
      <x:c r="F1263" s="339" t="str">
        <x:v>Duplicate prevention</x:v>
      </x:c>
      <x:c r="G1263" s="339" t="str">
        <x:v>a potentially duplicate record exists</x:v>
      </x:c>
      <x:c r="H1263" s="339" t="str">
        <x:v>the user submits matching identity/master data</x:v>
      </x:c>
      <x:c r="I1263" s="339" t="str">
        <x:v>the system blocks or warns according to configured duplicate policy before creating another record</x:v>
      </x:c>
      <x:c r="J1263" s="339" t="str">
        <x:v>Negative</x:v>
      </x:c>
      <x:c r="K1263" s="339" t="str">
        <x:v>Functional</x:v>
      </x:c>
    </x:row>
    <x:row r="1264">
      <x:c r="A1264" s="339" t="str">
        <x:v>AC-01263</x:v>
      </x:c>
      <x:c r="B1264" s="339" t="str">
        <x:v>US-0316</x:v>
      </x:c>
      <x:c r="C1264" s="339" t="str">
        <x:v>SCR-158</x:v>
      </x:c>
      <x:c r="D1264" s="339" t="str">
        <x:v>Fees &amp; Finance</x:v>
      </x:c>
      <x:c r="E1264" s="339" t="str">
        <x:v>Fee Collection</x:v>
      </x:c>
      <x:c r="F1264" s="339" t="str">
        <x:v>Reference-data integrity</x:v>
      </x:c>
      <x:c r="G1264" s="339" t="str">
        <x:v>the form contains master-data selections</x:v>
      </x:c>
      <x:c r="H1264" s="339" t="str">
        <x:v>the user submits</x:v>
      </x:c>
      <x:c r="I1264" s="339" t="str">
        <x:v>all referenced values are active, effective and within the user's scope at the time of save</x:v>
      </x:c>
      <x:c r="J1264" s="339" t="str">
        <x:v>Positive</x:v>
      </x:c>
      <x:c r="K1264" s="339" t="str">
        <x:v>Functional</x:v>
      </x:c>
    </x:row>
    <x:row r="1265">
      <x:c r="A1265" s="339" t="str">
        <x:v>AC-01264</x:v>
      </x:c>
      <x:c r="B1265" s="339" t="str">
        <x:v>US-0316</x:v>
      </x:c>
      <x:c r="C1265" s="339" t="str">
        <x:v>SCR-158</x:v>
      </x:c>
      <x:c r="D1265" s="339" t="str">
        <x:v>Fees &amp; Finance</x:v>
      </x:c>
      <x:c r="E1265" s="339" t="str">
        <x:v>Fee Collection</x:v>
      </x:c>
      <x:c r="F1265" s="339" t="str">
        <x:v>Retry safety</x:v>
      </x:c>
      <x:c r="G1265" s="339" t="str">
        <x:v>a network retry or repeated click occurs</x:v>
      </x:c>
      <x:c r="H1265" s="339" t="str">
        <x:v>the same transaction is submitted again</x:v>
      </x:c>
      <x:c r="I1265" s="339" t="str">
        <x:v>the system prevents unintended duplicate transactions through idempotency or duplicate detection</x:v>
      </x:c>
      <x:c r="J1265" s="339" t="str">
        <x:v>Positive</x:v>
      </x:c>
      <x:c r="K1265" s="339" t="str">
        <x:v>Functional</x:v>
      </x:c>
    </x:row>
    <x:row r="1266">
      <x:c r="A1266" s="339" t="str">
        <x:v>AC-01265</x:v>
      </x:c>
      <x:c r="B1266" s="339" t="str">
        <x:v>US-0317</x:v>
      </x:c>
      <x:c r="C1266" s="339" t="str">
        <x:v>SCR-159</x:v>
      </x:c>
      <x:c r="D1266" s="339" t="str">
        <x:v>Fees &amp; Finance</x:v>
      </x:c>
      <x:c r="E1266" s="339" t="str">
        <x:v>Online Payment</x:v>
      </x:c>
      <x:c r="F1266" s="339" t="str">
        <x:v>Authorized access to Online Payment</x:v>
      </x:c>
      <x:c r="G1266" s="339" t="str">
        <x:v>the Parent is authenticated and has access to Online Payment</x:v>
      </x:c>
      <x:c r="H1266" s="339" t="str">
        <x:v>the user opens or invokes Online Payment</x:v>
      </x:c>
      <x:c r="I1266" s="339" t="str">
        <x:v>the system loads only records and actions within the user's permitted tenant/school/data scope</x:v>
      </x:c>
      <x:c r="J1266" s="339" t="str">
        <x:v>Positive</x:v>
      </x:c>
      <x:c r="K1266" s="339" t="str">
        <x:v>Functional / Security</x:v>
      </x:c>
    </x:row>
    <x:row r="1267">
      <x:c r="A1267" s="339" t="str">
        <x:v>AC-01266</x:v>
      </x:c>
      <x:c r="B1267" s="339" t="str">
        <x:v>US-0317</x:v>
      </x:c>
      <x:c r="C1267" s="339" t="str">
        <x:v>SCR-159</x:v>
      </x:c>
      <x:c r="D1267" s="339" t="str">
        <x:v>Fees &amp; Finance</x:v>
      </x:c>
      <x:c r="E1267" s="339" t="str">
        <x:v>Online Payment</x:v>
      </x:c>
      <x:c r="F1267" s="339" t="str">
        <x:v>Successful Online Payment happy path</x:v>
      </x:c>
      <x:c r="G1267" s="339" t="str">
        <x:v>all mandatory prerequisites and valid data are available</x:v>
      </x:c>
      <x:c r="H1267" s="339" t="str">
        <x:v>the Parent completes the primary action on Online Payment</x:v>
      </x:c>
      <x:c r="I1267" s="339" t="str">
        <x:v>the system validates the request, saves it atomically, shows a clear confirmation and reflects the updated state</x:v>
      </x:c>
      <x:c r="J1267" s="339" t="str">
        <x:v>Positive</x:v>
      </x:c>
      <x:c r="K1267" s="339" t="str">
        <x:v>Functional</x:v>
      </x:c>
    </x:row>
    <x:row r="1268">
      <x:c r="A1268" s="339" t="str">
        <x:v>AC-01267</x:v>
      </x:c>
      <x:c r="B1268" s="339" t="str">
        <x:v>US-0317</x:v>
      </x:c>
      <x:c r="C1268" s="339" t="str">
        <x:v>SCR-159</x:v>
      </x:c>
      <x:c r="D1268" s="339" t="str">
        <x:v>Fees &amp; Finance</x:v>
      </x:c>
      <x:c r="E1268" s="339" t="str">
        <x:v>Online Payment</x:v>
      </x:c>
      <x:c r="F1268" s="339" t="str">
        <x:v>State and dependency integrity</x:v>
      </x:c>
      <x:c r="G1268" s="339" t="str">
        <x:v>the current record is in an allowed state (Draft / Posted → Due → Partially Paid → Paid / Overdue → Reversed / Refunded (controlled))</x:v>
      </x:c>
      <x:c r="H1268" s="339" t="str">
        <x:v>the user attempts a state-changing action</x:v>
      </x:c>
      <x:c r="I1268" s="339" t="str">
        <x:v>only a valid transition is accepted and dependent records are updated according to configured business rules</x:v>
      </x:c>
      <x:c r="J1268" s="339" t="str">
        <x:v>Positive</x:v>
      </x:c>
      <x:c r="K1268" s="339" t="str">
        <x:v>Functional</x:v>
      </x:c>
    </x:row>
    <x:row r="1269">
      <x:c r="A1269" s="339" t="str">
        <x:v>AC-01268</x:v>
      </x:c>
      <x:c r="B1269" s="339" t="str">
        <x:v>US-0317</x:v>
      </x:c>
      <x:c r="C1269" s="339" t="str">
        <x:v>SCR-159</x:v>
      </x:c>
      <x:c r="D1269" s="339" t="str">
        <x:v>Fees &amp; Finance</x:v>
      </x:c>
      <x:c r="E1269" s="339" t="str">
        <x:v>Online Payment</x:v>
      </x:c>
      <x:c r="F1269" s="339" t="str">
        <x:v>Auditability</x:v>
      </x:c>
      <x:c r="G1269" s="339" t="str">
        <x:v>a material create/update/approve/reverse action occurs</x:v>
      </x:c>
      <x:c r="H1269" s="339" t="str">
        <x:v>the transaction succeeds</x:v>
      </x:c>
      <x:c r="I1269" s="339" t="str">
        <x:v>the system records actor, timestamp, action, target and relevant before/after or reason context in the audit trail</x:v>
      </x:c>
      <x:c r="J1269" s="339" t="str">
        <x:v>Positive</x:v>
      </x:c>
      <x:c r="K1269" s="339" t="str">
        <x:v>Functional</x:v>
      </x:c>
    </x:row>
    <x:row r="1270">
      <x:c r="A1270" s="339" t="str">
        <x:v>AC-01269</x:v>
      </x:c>
      <x:c r="B1270" s="339" t="str">
        <x:v>US-0318</x:v>
      </x:c>
      <x:c r="C1270" s="339" t="str">
        <x:v>SCR-159</x:v>
      </x:c>
      <x:c r="D1270" s="339" t="str">
        <x:v>Fees &amp; Finance</x:v>
      </x:c>
      <x:c r="E1270" s="339" t="str">
        <x:v>Online Payment</x:v>
      </x:c>
      <x:c r="F1270" s="339" t="str">
        <x:v>Valid status transition</x:v>
      </x:c>
      <x:c r="G1270" s="339" t="str">
        <x:v>the record is in a state described by Draft / Posted → Due → Partially Paid → Paid / Overdue → Reversed / Refunded (controlled)</x:v>
      </x:c>
      <x:c r="H1270" s="339" t="str">
        <x:v>the user requests a transition</x:v>
      </x:c>
      <x:c r="I1270" s="339" t="str">
        <x:v>the system accepts only transitions allowed for that role and state</x:v>
      </x:c>
      <x:c r="J1270" s="339" t="str">
        <x:v>Positive</x:v>
      </x:c>
      <x:c r="K1270" s="339" t="str">
        <x:v>Functional</x:v>
      </x:c>
    </x:row>
    <x:row r="1271">
      <x:c r="A1271" s="339" t="str">
        <x:v>AC-01270</x:v>
      </x:c>
      <x:c r="B1271" s="339" t="str">
        <x:v>US-0318</x:v>
      </x:c>
      <x:c r="C1271" s="339" t="str">
        <x:v>SCR-159</x:v>
      </x:c>
      <x:c r="D1271" s="339" t="str">
        <x:v>Fees &amp; Finance</x:v>
      </x:c>
      <x:c r="E1271" s="339" t="str">
        <x:v>Online Payment</x:v>
      </x:c>
      <x:c r="F1271" s="339" t="str">
        <x:v>Approval authority</x:v>
      </x:c>
      <x:c r="G1271" s="339" t="str">
        <x:v>an action requires approval</x:v>
      </x:c>
      <x:c r="H1271" s="339" t="str">
        <x:v>a non-authorized user attempts approval/rejection</x:v>
      </x:c>
      <x:c r="I1271" s="339" t="str">
        <x:v>the system denies the decision and does not change status</x:v>
      </x:c>
      <x:c r="J1271" s="339" t="str">
        <x:v>Negative</x:v>
      </x:c>
      <x:c r="K1271" s="339" t="str">
        <x:v>Functional</x:v>
      </x:c>
    </x:row>
    <x:row r="1272">
      <x:c r="A1272" s="339" t="str">
        <x:v>AC-01271</x:v>
      </x:c>
      <x:c r="B1272" s="339" t="str">
        <x:v>US-0318</x:v>
      </x:c>
      <x:c r="C1272" s="339" t="str">
        <x:v>SCR-159</x:v>
      </x:c>
      <x:c r="D1272" s="339" t="str">
        <x:v>Fees &amp; Finance</x:v>
      </x:c>
      <x:c r="E1272" s="339" t="str">
        <x:v>Online Payment</x:v>
      </x:c>
      <x:c r="F1272" s="339" t="str">
        <x:v>Failure rollback</x:v>
      </x:c>
      <x:c r="G1272" s="339" t="str">
        <x:v>a downstream dependency fails during a multi-step transaction</x:v>
      </x:c>
      <x:c r="H1272" s="339" t="str">
        <x:v>the workflow executes</x:v>
      </x:c>
      <x:c r="I1272" s="339" t="str">
        <x:v>the system does not leave an invalid partial final state and surfaces a recoverable error</x:v>
      </x:c>
      <x:c r="J1272" s="339" t="str">
        <x:v>Positive</x:v>
      </x:c>
      <x:c r="K1272" s="339" t="str">
        <x:v>Functional</x:v>
      </x:c>
    </x:row>
    <x:row r="1273">
      <x:c r="A1273" s="339" t="str">
        <x:v>AC-01272</x:v>
      </x:c>
      <x:c r="B1273" s="339" t="str">
        <x:v>US-0318</x:v>
      </x:c>
      <x:c r="C1273" s="339" t="str">
        <x:v>SCR-159</x:v>
      </x:c>
      <x:c r="D1273" s="339" t="str">
        <x:v>Fees &amp; Finance</x:v>
      </x:c>
      <x:c r="E1273" s="339" t="str">
        <x:v>Online Payment</x:v>
      </x:c>
      <x:c r="F1273" s="339" t="str">
        <x:v>Exception traceability</x:v>
      </x:c>
      <x:c r="G1273" s="339" t="str">
        <x:v>an authorized override/exception is used</x:v>
      </x:c>
      <x:c r="H1273" s="339" t="str">
        <x:v>the action is confirmed</x:v>
      </x:c>
      <x:c r="I1273" s="339" t="str">
        <x:v>the system requires reason/context and records it in the audit history</x:v>
      </x:c>
      <x:c r="J1273" s="339" t="str">
        <x:v>Positive</x:v>
      </x:c>
      <x:c r="K1273" s="339" t="str">
        <x:v>Functional</x:v>
      </x:c>
    </x:row>
    <x:row r="1274">
      <x:c r="A1274" s="339" t="str">
        <x:v>AC-01273</x:v>
      </x:c>
      <x:c r="B1274" s="339" t="str">
        <x:v>US-0319</x:v>
      </x:c>
      <x:c r="C1274" s="339" t="str">
        <x:v>SCR-160</x:v>
      </x:c>
      <x:c r="D1274" s="339" t="str">
        <x:v>Fees &amp; Finance</x:v>
      </x:c>
      <x:c r="E1274" s="339" t="str">
        <x:v>Payment Receipt</x:v>
      </x:c>
      <x:c r="F1274" s="339" t="str">
        <x:v>Authorized access to Payment Receipt</x:v>
      </x:c>
      <x:c r="G1274" s="339" t="str">
        <x:v>the Parent is authenticated and has access to Payment Receipt</x:v>
      </x:c>
      <x:c r="H1274" s="339" t="str">
        <x:v>the user opens or invokes Payment Receipt</x:v>
      </x:c>
      <x:c r="I1274" s="339" t="str">
        <x:v>the system loads only records and actions within the user's permitted tenant/school/data scope</x:v>
      </x:c>
      <x:c r="J1274" s="339" t="str">
        <x:v>Positive</x:v>
      </x:c>
      <x:c r="K1274" s="339" t="str">
        <x:v>Functional / Security</x:v>
      </x:c>
    </x:row>
    <x:row r="1275">
      <x:c r="A1275" s="339" t="str">
        <x:v>AC-01274</x:v>
      </x:c>
      <x:c r="B1275" s="339" t="str">
        <x:v>US-0319</x:v>
      </x:c>
      <x:c r="C1275" s="339" t="str">
        <x:v>SCR-160</x:v>
      </x:c>
      <x:c r="D1275" s="339" t="str">
        <x:v>Fees &amp; Finance</x:v>
      </x:c>
      <x:c r="E1275" s="339" t="str">
        <x:v>Payment Receipt</x:v>
      </x:c>
      <x:c r="F1275" s="339" t="str">
        <x:v>Successful Payment Receipt happy path</x:v>
      </x:c>
      <x:c r="G1275" s="339" t="str">
        <x:v>all mandatory prerequisites and valid data are available</x:v>
      </x:c>
      <x:c r="H1275" s="339" t="str">
        <x:v>the Parent completes the primary action on Payment Receipt</x:v>
      </x:c>
      <x:c r="I1275" s="339" t="str">
        <x:v>the system validates the request, saves it atomically, shows a clear confirmation and reflects the updated state</x:v>
      </x:c>
      <x:c r="J1275" s="339" t="str">
        <x:v>Positive</x:v>
      </x:c>
      <x:c r="K1275" s="339" t="str">
        <x:v>Functional</x:v>
      </x:c>
    </x:row>
    <x:row r="1276">
      <x:c r="A1276" s="339" t="str">
        <x:v>AC-01275</x:v>
      </x:c>
      <x:c r="B1276" s="339" t="str">
        <x:v>US-0319</x:v>
      </x:c>
      <x:c r="C1276" s="339" t="str">
        <x:v>SCR-160</x:v>
      </x:c>
      <x:c r="D1276" s="339" t="str">
        <x:v>Fees &amp; Finance</x:v>
      </x:c>
      <x:c r="E1276" s="339" t="str">
        <x:v>Payment Receipt</x:v>
      </x:c>
      <x:c r="F1276" s="339" t="str">
        <x:v>State and dependency integrity</x:v>
      </x:c>
      <x:c r="G1276" s="339" t="str">
        <x:v>the current record is in an allowed state (Draft / Posted → Due → Partially Paid → Paid / Overdue → Reversed / Refunded (controlled))</x:v>
      </x:c>
      <x:c r="H1276" s="339" t="str">
        <x:v>the user attempts a state-changing action</x:v>
      </x:c>
      <x:c r="I1276" s="339" t="str">
        <x:v>only a valid transition is accepted and dependent records are updated according to configured business rules</x:v>
      </x:c>
      <x:c r="J1276" s="339" t="str">
        <x:v>Positive</x:v>
      </x:c>
      <x:c r="K1276" s="339" t="str">
        <x:v>Functional</x:v>
      </x:c>
    </x:row>
    <x:row r="1277">
      <x:c r="A1277" s="339" t="str">
        <x:v>AC-01276</x:v>
      </x:c>
      <x:c r="B1277" s="339" t="str">
        <x:v>US-0319</x:v>
      </x:c>
      <x:c r="C1277" s="339" t="str">
        <x:v>SCR-160</x:v>
      </x:c>
      <x:c r="D1277" s="339" t="str">
        <x:v>Fees &amp; Finance</x:v>
      </x:c>
      <x:c r="E1277" s="339" t="str">
        <x:v>Payment Receipt</x:v>
      </x:c>
      <x:c r="F1277" s="339" t="str">
        <x:v>Auditability</x:v>
      </x:c>
      <x:c r="G1277" s="339" t="str">
        <x:v>a material create/update/approve/reverse action occurs</x:v>
      </x:c>
      <x:c r="H1277" s="339" t="str">
        <x:v>the transaction succeeds</x:v>
      </x:c>
      <x:c r="I1277" s="339" t="str">
        <x:v>the system records actor, timestamp, action, target and relevant before/after or reason context in the audit trail</x:v>
      </x:c>
      <x:c r="J1277" s="339" t="str">
        <x:v>Positive</x:v>
      </x:c>
      <x:c r="K1277" s="339" t="str">
        <x:v>Functional</x:v>
      </x:c>
    </x:row>
    <x:row r="1278">
      <x:c r="A1278" s="339" t="str">
        <x:v>AC-01277</x:v>
      </x:c>
      <x:c r="B1278" s="339" t="str">
        <x:v>US-0320</x:v>
      </x:c>
      <x:c r="C1278" s="339" t="str">
        <x:v>SCR-160</x:v>
      </x:c>
      <x:c r="D1278" s="339" t="str">
        <x:v>Fees &amp; Finance</x:v>
      </x:c>
      <x:c r="E1278" s="339" t="str">
        <x:v>Payment Receipt</x:v>
      </x:c>
      <x:c r="F1278" s="339" t="str">
        <x:v>Complete authorized view</x:v>
      </x:c>
      <x:c r="G1278" s="339" t="str">
        <x:v>the record exists and the user is authorized</x:v>
      </x:c>
      <x:c r="H1278" s="339" t="str">
        <x:v>the detail/profile opens</x:v>
      </x:c>
      <x:c r="I1278" s="339" t="str">
        <x:v>the system loads the required summary, relationships and history while masking restricted fields</x:v>
      </x:c>
      <x:c r="J1278" s="339" t="str">
        <x:v>Positive</x:v>
      </x:c>
      <x:c r="K1278" s="339" t="str">
        <x:v>Functional / Security</x:v>
      </x:c>
    </x:row>
    <x:row r="1279">
      <x:c r="A1279" s="339" t="str">
        <x:v>AC-01278</x:v>
      </x:c>
      <x:c r="B1279" s="339" t="str">
        <x:v>US-0320</x:v>
      </x:c>
      <x:c r="C1279" s="339" t="str">
        <x:v>SCR-160</x:v>
      </x:c>
      <x:c r="D1279" s="339" t="str">
        <x:v>Fees &amp; Finance</x:v>
      </x:c>
      <x:c r="E1279" s="339" t="str">
        <x:v>Payment Receipt</x:v>
      </x:c>
      <x:c r="F1279" s="339" t="str">
        <x:v>Controlled edit</x:v>
      </x:c>
      <x:c r="G1279" s="339" t="str">
        <x:v>the user has edit permission and the record is editable</x:v>
      </x:c>
      <x:c r="H1279" s="339" t="str">
        <x:v>the user saves a change</x:v>
      </x:c>
      <x:c r="I1279" s="339" t="str">
        <x:v>validation and state rules run before the update is committed</x:v>
      </x:c>
      <x:c r="J1279" s="339" t="str">
        <x:v>Positive</x:v>
      </x:c>
      <x:c r="K1279" s="339" t="str">
        <x:v>Functional</x:v>
      </x:c>
    </x:row>
    <x:row r="1280">
      <x:c r="A1280" s="339" t="str">
        <x:v>AC-01279</x:v>
      </x:c>
      <x:c r="B1280" s="339" t="str">
        <x:v>US-0320</x:v>
      </x:c>
      <x:c r="C1280" s="339" t="str">
        <x:v>SCR-160</x:v>
      </x:c>
      <x:c r="D1280" s="339" t="str">
        <x:v>Fees &amp; Finance</x:v>
      </x:c>
      <x:c r="E1280" s="339" t="str">
        <x:v>Payment Receipt</x:v>
      </x:c>
      <x:c r="F1280" s="339" t="str">
        <x:v>Concurrent edit protection</x:v>
      </x:c>
      <x:c r="G1280" s="339" t="str">
        <x:v>another user has changed the record after it was loaded</x:v>
      </x:c>
      <x:c r="H1280" s="339" t="str">
        <x:v>the first user attempts to save stale data</x:v>
      </x:c>
      <x:c r="I1280" s="339" t="str">
        <x:v>the system detects the version conflict or preserves fields safely instead of silently overwriting</x:v>
      </x:c>
      <x:c r="J1280" s="339" t="str">
        <x:v>Positive</x:v>
      </x:c>
      <x:c r="K1280" s="339" t="str">
        <x:v>Functional</x:v>
      </x:c>
    </x:row>
    <x:row r="1281">
      <x:c r="A1281" s="339" t="str">
        <x:v>AC-01280</x:v>
      </x:c>
      <x:c r="B1281" s="339" t="str">
        <x:v>US-0320</x:v>
      </x:c>
      <x:c r="C1281" s="339" t="str">
        <x:v>SCR-160</x:v>
      </x:c>
      <x:c r="D1281" s="339" t="str">
        <x:v>Fees &amp; Finance</x:v>
      </x:c>
      <x:c r="E1281" s="339" t="str">
        <x:v>Payment Receipt</x:v>
      </x:c>
      <x:c r="F1281" s="339" t="str">
        <x:v>History retention</x:v>
      </x:c>
      <x:c r="G1281" s="339" t="str">
        <x:v>the record has prior changes/statuses</x:v>
      </x:c>
      <x:c r="H1281" s="339" t="str">
        <x:v>the user views history</x:v>
      </x:c>
      <x:c r="I1281" s="339" t="str">
        <x:v>the audit/activity timeline shows traceable material changes without exposing restricted notes</x:v>
      </x:c>
      <x:c r="J1281" s="339" t="str">
        <x:v>Positive</x:v>
      </x:c>
      <x:c r="K1281" s="339" t="str">
        <x:v>Functional</x:v>
      </x:c>
    </x:row>
    <x:row r="1282">
      <x:c r="A1282" s="339" t="str">
        <x:v>AC-01281</x:v>
      </x:c>
      <x:c r="B1282" s="339" t="str">
        <x:v>US-0321</x:v>
      </x:c>
      <x:c r="C1282" s="339" t="str">
        <x:v>SCR-161</x:v>
      </x:c>
      <x:c r="D1282" s="339" t="str">
        <x:v>Fees &amp; Finance</x:v>
      </x:c>
      <x:c r="E1282" s="339" t="str">
        <x:v>Student Ledger</x:v>
      </x:c>
      <x:c r="F1282" s="339" t="str">
        <x:v>Authorized access to Student Ledger</x:v>
      </x:c>
      <x:c r="G1282" s="339" t="str">
        <x:v>the Accountant is authenticated and has access to Student Ledger</x:v>
      </x:c>
      <x:c r="H1282" s="339" t="str">
        <x:v>the user opens or invokes Student Ledger</x:v>
      </x:c>
      <x:c r="I1282" s="339" t="str">
        <x:v>the system loads only records and actions within the user's permitted tenant/school/data scope</x:v>
      </x:c>
      <x:c r="J1282" s="339" t="str">
        <x:v>Positive</x:v>
      </x:c>
      <x:c r="K1282" s="339" t="str">
        <x:v>Functional / Security</x:v>
      </x:c>
    </x:row>
    <x:row r="1283">
      <x:c r="A1283" s="339" t="str">
        <x:v>AC-01282</x:v>
      </x:c>
      <x:c r="B1283" s="339" t="str">
        <x:v>US-0321</x:v>
      </x:c>
      <x:c r="C1283" s="339" t="str">
        <x:v>SCR-161</x:v>
      </x:c>
      <x:c r="D1283" s="339" t="str">
        <x:v>Fees &amp; Finance</x:v>
      </x:c>
      <x:c r="E1283" s="339" t="str">
        <x:v>Student Ledger</x:v>
      </x:c>
      <x:c r="F1283" s="339" t="str">
        <x:v>Successful Student Ledger happy path</x:v>
      </x:c>
      <x:c r="G1283" s="339" t="str">
        <x:v>all mandatory prerequisites and valid data are available</x:v>
      </x:c>
      <x:c r="H1283" s="339" t="str">
        <x:v>the Accountant completes the primary action on Student Ledger</x:v>
      </x:c>
      <x:c r="I1283" s="339" t="str">
        <x:v>the system validates the request, saves it atomically, shows a clear confirmation and reflects the updated state</x:v>
      </x:c>
      <x:c r="J1283" s="339" t="str">
        <x:v>Positive</x:v>
      </x:c>
      <x:c r="K1283" s="339" t="str">
        <x:v>Functional</x:v>
      </x:c>
    </x:row>
    <x:row r="1284">
      <x:c r="A1284" s="339" t="str">
        <x:v>AC-01283</x:v>
      </x:c>
      <x:c r="B1284" s="339" t="str">
        <x:v>US-0321</x:v>
      </x:c>
      <x:c r="C1284" s="339" t="str">
        <x:v>SCR-161</x:v>
      </x:c>
      <x:c r="D1284" s="339" t="str">
        <x:v>Fees &amp; Finance</x:v>
      </x:c>
      <x:c r="E1284" s="339" t="str">
        <x:v>Student Ledger</x:v>
      </x:c>
      <x:c r="F1284" s="339" t="str">
        <x:v>State and dependency integrity</x:v>
      </x:c>
      <x:c r="G1284" s="339" t="str">
        <x:v>the current record is in an allowed state (Draft / Posted → Due → Partially Paid → Paid / Overdue → Reversed / Refunded (controlled))</x:v>
      </x:c>
      <x:c r="H1284" s="339" t="str">
        <x:v>the user attempts a state-changing action</x:v>
      </x:c>
      <x:c r="I1284" s="339" t="str">
        <x:v>only a valid transition is accepted and dependent records are updated according to configured business rules</x:v>
      </x:c>
      <x:c r="J1284" s="339" t="str">
        <x:v>Positive</x:v>
      </x:c>
      <x:c r="K1284" s="339" t="str">
        <x:v>Functional</x:v>
      </x:c>
    </x:row>
    <x:row r="1285">
      <x:c r="A1285" s="339" t="str">
        <x:v>AC-01284</x:v>
      </x:c>
      <x:c r="B1285" s="339" t="str">
        <x:v>US-0321</x:v>
      </x:c>
      <x:c r="C1285" s="339" t="str">
        <x:v>SCR-161</x:v>
      </x:c>
      <x:c r="D1285" s="339" t="str">
        <x:v>Fees &amp; Finance</x:v>
      </x:c>
      <x:c r="E1285" s="339" t="str">
        <x:v>Student Ledger</x:v>
      </x:c>
      <x:c r="F1285" s="339" t="str">
        <x:v>Auditability</x:v>
      </x:c>
      <x:c r="G1285" s="339" t="str">
        <x:v>a material create/update/approve/reverse action occurs</x:v>
      </x:c>
      <x:c r="H1285" s="339" t="str">
        <x:v>the transaction succeeds</x:v>
      </x:c>
      <x:c r="I1285" s="339" t="str">
        <x:v>the system records actor, timestamp, action, target and relevant before/after or reason context in the audit trail</x:v>
      </x:c>
      <x:c r="J1285" s="339" t="str">
        <x:v>Positive</x:v>
      </x:c>
      <x:c r="K1285" s="339" t="str">
        <x:v>Functional</x:v>
      </x:c>
    </x:row>
    <x:row r="1286">
      <x:c r="A1286" s="339" t="str">
        <x:v>AC-01285</x:v>
      </x:c>
      <x:c r="B1286" s="339" t="str">
        <x:v>US-0322</x:v>
      </x:c>
      <x:c r="C1286" s="339" t="str">
        <x:v>SCR-161</x:v>
      </x:c>
      <x:c r="D1286" s="339" t="str">
        <x:v>Fees &amp; Finance</x:v>
      </x:c>
      <x:c r="E1286" s="339" t="str">
        <x:v>Student Ledger</x:v>
      </x:c>
      <x:c r="F1286" s="339" t="str">
        <x:v>Complete authorized view</x:v>
      </x:c>
      <x:c r="G1286" s="339" t="str">
        <x:v>the record exists and the user is authorized</x:v>
      </x:c>
      <x:c r="H1286" s="339" t="str">
        <x:v>the detail/profile opens</x:v>
      </x:c>
      <x:c r="I1286" s="339" t="str">
        <x:v>the system loads the required summary, relationships and history while masking restricted fields</x:v>
      </x:c>
      <x:c r="J1286" s="339" t="str">
        <x:v>Positive</x:v>
      </x:c>
      <x:c r="K1286" s="339" t="str">
        <x:v>Functional / Security</x:v>
      </x:c>
    </x:row>
    <x:row r="1287">
      <x:c r="A1287" s="339" t="str">
        <x:v>AC-01286</x:v>
      </x:c>
      <x:c r="B1287" s="339" t="str">
        <x:v>US-0322</x:v>
      </x:c>
      <x:c r="C1287" s="339" t="str">
        <x:v>SCR-161</x:v>
      </x:c>
      <x:c r="D1287" s="339" t="str">
        <x:v>Fees &amp; Finance</x:v>
      </x:c>
      <x:c r="E1287" s="339" t="str">
        <x:v>Student Ledger</x:v>
      </x:c>
      <x:c r="F1287" s="339" t="str">
        <x:v>Controlled edit</x:v>
      </x:c>
      <x:c r="G1287" s="339" t="str">
        <x:v>the user has edit permission and the record is editable</x:v>
      </x:c>
      <x:c r="H1287" s="339" t="str">
        <x:v>the user saves a change</x:v>
      </x:c>
      <x:c r="I1287" s="339" t="str">
        <x:v>validation and state rules run before the update is committed</x:v>
      </x:c>
      <x:c r="J1287" s="339" t="str">
        <x:v>Positive</x:v>
      </x:c>
      <x:c r="K1287" s="339" t="str">
        <x:v>Functional</x:v>
      </x:c>
    </x:row>
    <x:row r="1288">
      <x:c r="A1288" s="339" t="str">
        <x:v>AC-01287</x:v>
      </x:c>
      <x:c r="B1288" s="339" t="str">
        <x:v>US-0322</x:v>
      </x:c>
      <x:c r="C1288" s="339" t="str">
        <x:v>SCR-161</x:v>
      </x:c>
      <x:c r="D1288" s="339" t="str">
        <x:v>Fees &amp; Finance</x:v>
      </x:c>
      <x:c r="E1288" s="339" t="str">
        <x:v>Student Ledger</x:v>
      </x:c>
      <x:c r="F1288" s="339" t="str">
        <x:v>Concurrent edit protection</x:v>
      </x:c>
      <x:c r="G1288" s="339" t="str">
        <x:v>another user has changed the record after it was loaded</x:v>
      </x:c>
      <x:c r="H1288" s="339" t="str">
        <x:v>the first user attempts to save stale data</x:v>
      </x:c>
      <x:c r="I1288" s="339" t="str">
        <x:v>the system detects the version conflict or preserves fields safely instead of silently overwriting</x:v>
      </x:c>
      <x:c r="J1288" s="339" t="str">
        <x:v>Positive</x:v>
      </x:c>
      <x:c r="K1288" s="339" t="str">
        <x:v>Functional</x:v>
      </x:c>
    </x:row>
    <x:row r="1289">
      <x:c r="A1289" s="339" t="str">
        <x:v>AC-01288</x:v>
      </x:c>
      <x:c r="B1289" s="339" t="str">
        <x:v>US-0322</x:v>
      </x:c>
      <x:c r="C1289" s="339" t="str">
        <x:v>SCR-161</x:v>
      </x:c>
      <x:c r="D1289" s="339" t="str">
        <x:v>Fees &amp; Finance</x:v>
      </x:c>
      <x:c r="E1289" s="339" t="str">
        <x:v>Student Ledger</x:v>
      </x:c>
      <x:c r="F1289" s="339" t="str">
        <x:v>History retention</x:v>
      </x:c>
      <x:c r="G1289" s="339" t="str">
        <x:v>the record has prior changes/statuses</x:v>
      </x:c>
      <x:c r="H1289" s="339" t="str">
        <x:v>the user views history</x:v>
      </x:c>
      <x:c r="I1289" s="339" t="str">
        <x:v>the audit/activity timeline shows traceable material changes without exposing restricted notes</x:v>
      </x:c>
      <x:c r="J1289" s="339" t="str">
        <x:v>Positive</x:v>
      </x:c>
      <x:c r="K1289" s="339" t="str">
        <x:v>Functional</x:v>
      </x:c>
    </x:row>
    <x:row r="1290">
      <x:c r="A1290" s="339" t="str">
        <x:v>AC-01289</x:v>
      </x:c>
      <x:c r="B1290" s="339" t="str">
        <x:v>US-0323</x:v>
      </x:c>
      <x:c r="C1290" s="339" t="str">
        <x:v>SCR-162</x:v>
      </x:c>
      <x:c r="D1290" s="339" t="str">
        <x:v>Fees &amp; Finance</x:v>
      </x:c>
      <x:c r="E1290" s="339" t="str">
        <x:v>Outstanding Dues</x:v>
      </x:c>
      <x:c r="F1290" s="339" t="str">
        <x:v>Authorized access to Outstanding Dues</x:v>
      </x:c>
      <x:c r="G1290" s="339" t="str">
        <x:v>the Accountant is authenticated and has access to Outstanding Dues</x:v>
      </x:c>
      <x:c r="H1290" s="339" t="str">
        <x:v>the user opens or invokes Outstanding Dues</x:v>
      </x:c>
      <x:c r="I1290" s="339" t="str">
        <x:v>the system loads only records and actions within the user's permitted tenant/school/data scope</x:v>
      </x:c>
      <x:c r="J1290" s="339" t="str">
        <x:v>Positive</x:v>
      </x:c>
      <x:c r="K1290" s="339" t="str">
        <x:v>Functional / Security</x:v>
      </x:c>
    </x:row>
    <x:row r="1291">
      <x:c r="A1291" s="339" t="str">
        <x:v>AC-01290</x:v>
      </x:c>
      <x:c r="B1291" s="339" t="str">
        <x:v>US-0323</x:v>
      </x:c>
      <x:c r="C1291" s="339" t="str">
        <x:v>SCR-162</x:v>
      </x:c>
      <x:c r="D1291" s="339" t="str">
        <x:v>Fees &amp; Finance</x:v>
      </x:c>
      <x:c r="E1291" s="339" t="str">
        <x:v>Outstanding Dues</x:v>
      </x:c>
      <x:c r="F1291" s="339" t="str">
        <x:v>Successful Outstanding Dues happy path</x:v>
      </x:c>
      <x:c r="G1291" s="339" t="str">
        <x:v>all mandatory prerequisites and valid data are available</x:v>
      </x:c>
      <x:c r="H1291" s="339" t="str">
        <x:v>the Accountant completes the primary action on Outstanding Dues</x:v>
      </x:c>
      <x:c r="I1291" s="339" t="str">
        <x:v>the system validates the request, saves it atomically, shows a clear confirmation and reflects the updated state</x:v>
      </x:c>
      <x:c r="J1291" s="339" t="str">
        <x:v>Positive</x:v>
      </x:c>
      <x:c r="K1291" s="339" t="str">
        <x:v>Functional</x:v>
      </x:c>
    </x:row>
    <x:row r="1292">
      <x:c r="A1292" s="339" t="str">
        <x:v>AC-01291</x:v>
      </x:c>
      <x:c r="B1292" s="339" t="str">
        <x:v>US-0323</x:v>
      </x:c>
      <x:c r="C1292" s="339" t="str">
        <x:v>SCR-162</x:v>
      </x:c>
      <x:c r="D1292" s="339" t="str">
        <x:v>Fees &amp; Finance</x:v>
      </x:c>
      <x:c r="E1292" s="339" t="str">
        <x:v>Outstanding Dues</x:v>
      </x:c>
      <x:c r="F1292" s="339" t="str">
        <x:v>State and dependency integrity</x:v>
      </x:c>
      <x:c r="G1292" s="339" t="str">
        <x:v>the current record is in an allowed state (Draft / Posted → Due → Partially Paid → Paid / Overdue → Reversed / Refunded (controlled))</x:v>
      </x:c>
      <x:c r="H1292" s="339" t="str">
        <x:v>the user attempts a state-changing action</x:v>
      </x:c>
      <x:c r="I1292" s="339" t="str">
        <x:v>only a valid transition is accepted and dependent records are updated according to configured business rules</x:v>
      </x:c>
      <x:c r="J1292" s="339" t="str">
        <x:v>Positive</x:v>
      </x:c>
      <x:c r="K1292" s="339" t="str">
        <x:v>Functional</x:v>
      </x:c>
    </x:row>
    <x:row r="1293">
      <x:c r="A1293" s="339" t="str">
        <x:v>AC-01292</x:v>
      </x:c>
      <x:c r="B1293" s="339" t="str">
        <x:v>US-0323</x:v>
      </x:c>
      <x:c r="C1293" s="339" t="str">
        <x:v>SCR-162</x:v>
      </x:c>
      <x:c r="D1293" s="339" t="str">
        <x:v>Fees &amp; Finance</x:v>
      </x:c>
      <x:c r="E1293" s="339" t="str">
        <x:v>Outstanding Dues</x:v>
      </x:c>
      <x:c r="F1293" s="339" t="str">
        <x:v>Auditability</x:v>
      </x:c>
      <x:c r="G1293" s="339" t="str">
        <x:v>a material create/update/approve/reverse action occurs</x:v>
      </x:c>
      <x:c r="H1293" s="339" t="str">
        <x:v>the transaction succeeds</x:v>
      </x:c>
      <x:c r="I1293" s="339" t="str">
        <x:v>the system records actor, timestamp, action, target and relevant before/after or reason context in the audit trail</x:v>
      </x:c>
      <x:c r="J1293" s="339" t="str">
        <x:v>Positive</x:v>
      </x:c>
      <x:c r="K1293" s="339" t="str">
        <x:v>Functional</x:v>
      </x:c>
    </x:row>
    <x:row r="1294">
      <x:c r="A1294" s="339" t="str">
        <x:v>AC-01293</x:v>
      </x:c>
      <x:c r="B1294" s="339" t="str">
        <x:v>US-0324</x:v>
      </x:c>
      <x:c r="C1294" s="339" t="str">
        <x:v>SCR-162</x:v>
      </x:c>
      <x:c r="D1294" s="339" t="str">
        <x:v>Fees &amp; Finance</x:v>
      </x:c>
      <x:c r="E1294" s="339" t="str">
        <x:v>Outstanding Dues</x:v>
      </x:c>
      <x:c r="F1294" s="339" t="str">
        <x:v>Valid status transition</x:v>
      </x:c>
      <x:c r="G1294" s="339" t="str">
        <x:v>the record is in a state described by Draft / Posted → Due → Partially Paid → Paid / Overdue → Reversed / Refunded (controlled)</x:v>
      </x:c>
      <x:c r="H1294" s="339" t="str">
        <x:v>the user requests a transition</x:v>
      </x:c>
      <x:c r="I1294" s="339" t="str">
        <x:v>the system accepts only transitions allowed for that role and state</x:v>
      </x:c>
      <x:c r="J1294" s="339" t="str">
        <x:v>Positive</x:v>
      </x:c>
      <x:c r="K1294" s="339" t="str">
        <x:v>Functional</x:v>
      </x:c>
    </x:row>
    <x:row r="1295">
      <x:c r="A1295" s="339" t="str">
        <x:v>AC-01294</x:v>
      </x:c>
      <x:c r="B1295" s="339" t="str">
        <x:v>US-0324</x:v>
      </x:c>
      <x:c r="C1295" s="339" t="str">
        <x:v>SCR-162</x:v>
      </x:c>
      <x:c r="D1295" s="339" t="str">
        <x:v>Fees &amp; Finance</x:v>
      </x:c>
      <x:c r="E1295" s="339" t="str">
        <x:v>Outstanding Dues</x:v>
      </x:c>
      <x:c r="F1295" s="339" t="str">
        <x:v>Approval authority</x:v>
      </x:c>
      <x:c r="G1295" s="339" t="str">
        <x:v>an action requires approval</x:v>
      </x:c>
      <x:c r="H1295" s="339" t="str">
        <x:v>a non-authorized user attempts approval/rejection</x:v>
      </x:c>
      <x:c r="I1295" s="339" t="str">
        <x:v>the system denies the decision and does not change status</x:v>
      </x:c>
      <x:c r="J1295" s="339" t="str">
        <x:v>Negative</x:v>
      </x:c>
      <x:c r="K1295" s="339" t="str">
        <x:v>Functional</x:v>
      </x:c>
    </x:row>
    <x:row r="1296">
      <x:c r="A1296" s="339" t="str">
        <x:v>AC-01295</x:v>
      </x:c>
      <x:c r="B1296" s="339" t="str">
        <x:v>US-0324</x:v>
      </x:c>
      <x:c r="C1296" s="339" t="str">
        <x:v>SCR-162</x:v>
      </x:c>
      <x:c r="D1296" s="339" t="str">
        <x:v>Fees &amp; Finance</x:v>
      </x:c>
      <x:c r="E1296" s="339" t="str">
        <x:v>Outstanding Dues</x:v>
      </x:c>
      <x:c r="F1296" s="339" t="str">
        <x:v>Failure rollback</x:v>
      </x:c>
      <x:c r="G1296" s="339" t="str">
        <x:v>a downstream dependency fails during a multi-step transaction</x:v>
      </x:c>
      <x:c r="H1296" s="339" t="str">
        <x:v>the workflow executes</x:v>
      </x:c>
      <x:c r="I1296" s="339" t="str">
        <x:v>the system does not leave an invalid partial final state and surfaces a recoverable error</x:v>
      </x:c>
      <x:c r="J1296" s="339" t="str">
        <x:v>Positive</x:v>
      </x:c>
      <x:c r="K1296" s="339" t="str">
        <x:v>Functional</x:v>
      </x:c>
    </x:row>
    <x:row r="1297">
      <x:c r="A1297" s="339" t="str">
        <x:v>AC-01296</x:v>
      </x:c>
      <x:c r="B1297" s="339" t="str">
        <x:v>US-0324</x:v>
      </x:c>
      <x:c r="C1297" s="339" t="str">
        <x:v>SCR-162</x:v>
      </x:c>
      <x:c r="D1297" s="339" t="str">
        <x:v>Fees &amp; Finance</x:v>
      </x:c>
      <x:c r="E1297" s="339" t="str">
        <x:v>Outstanding Dues</x:v>
      </x:c>
      <x:c r="F1297" s="339" t="str">
        <x:v>Exception traceability</x:v>
      </x:c>
      <x:c r="G1297" s="339" t="str">
        <x:v>an authorized override/exception is used</x:v>
      </x:c>
      <x:c r="H1297" s="339" t="str">
        <x:v>the action is confirmed</x:v>
      </x:c>
      <x:c r="I1297" s="339" t="str">
        <x:v>the system requires reason/context and records it in the audit history</x:v>
      </x:c>
      <x:c r="J1297" s="339" t="str">
        <x:v>Positive</x:v>
      </x:c>
      <x:c r="K1297" s="339" t="str">
        <x:v>Functional</x:v>
      </x:c>
    </x:row>
    <x:row r="1298">
      <x:c r="A1298" s="339" t="str">
        <x:v>AC-01297</x:v>
      </x:c>
      <x:c r="B1298" s="339" t="str">
        <x:v>US-0325</x:v>
      </x:c>
      <x:c r="C1298" s="339" t="str">
        <x:v>SCR-163</x:v>
      </x:c>
      <x:c r="D1298" s="339" t="str">
        <x:v>Fees &amp; Finance</x:v>
      </x:c>
      <x:c r="E1298" s="339" t="str">
        <x:v>Concession / Scholarship</x:v>
      </x:c>
      <x:c r="F1298" s="339" t="str">
        <x:v>Authorized access to Concession / Scholarship</x:v>
      </x:c>
      <x:c r="G1298" s="339" t="str">
        <x:v>the Accountant is authenticated and has access to Concession / Scholarship</x:v>
      </x:c>
      <x:c r="H1298" s="339" t="str">
        <x:v>the user opens or invokes Concession / Scholarship</x:v>
      </x:c>
      <x:c r="I1298" s="339" t="str">
        <x:v>the system loads only records and actions within the user's permitted tenant/school/data scope</x:v>
      </x:c>
      <x:c r="J1298" s="339" t="str">
        <x:v>Positive</x:v>
      </x:c>
      <x:c r="K1298" s="339" t="str">
        <x:v>Functional / Security</x:v>
      </x:c>
    </x:row>
    <x:row r="1299">
      <x:c r="A1299" s="339" t="str">
        <x:v>AC-01298</x:v>
      </x:c>
      <x:c r="B1299" s="339" t="str">
        <x:v>US-0325</x:v>
      </x:c>
      <x:c r="C1299" s="339" t="str">
        <x:v>SCR-163</x:v>
      </x:c>
      <x:c r="D1299" s="339" t="str">
        <x:v>Fees &amp; Finance</x:v>
      </x:c>
      <x:c r="E1299" s="339" t="str">
        <x:v>Concession / Scholarship</x:v>
      </x:c>
      <x:c r="F1299" s="339" t="str">
        <x:v>Successful Concession / Scholarship happy path</x:v>
      </x:c>
      <x:c r="G1299" s="339" t="str">
        <x:v>all mandatory prerequisites and valid data are available</x:v>
      </x:c>
      <x:c r="H1299" s="339" t="str">
        <x:v>the Accountant completes the primary action on Concession / Scholarship</x:v>
      </x:c>
      <x:c r="I1299" s="339" t="str">
        <x:v>the system validates the request, saves it atomically, shows a clear confirmation and reflects the updated state</x:v>
      </x:c>
      <x:c r="J1299" s="339" t="str">
        <x:v>Positive</x:v>
      </x:c>
      <x:c r="K1299" s="339" t="str">
        <x:v>Functional</x:v>
      </x:c>
    </x:row>
    <x:row r="1300">
      <x:c r="A1300" s="339" t="str">
        <x:v>AC-01299</x:v>
      </x:c>
      <x:c r="B1300" s="339" t="str">
        <x:v>US-0325</x:v>
      </x:c>
      <x:c r="C1300" s="339" t="str">
        <x:v>SCR-163</x:v>
      </x:c>
      <x:c r="D1300" s="339" t="str">
        <x:v>Fees &amp; Finance</x:v>
      </x:c>
      <x:c r="E1300" s="339" t="str">
        <x:v>Concession / Scholarship</x:v>
      </x:c>
      <x:c r="F1300" s="339" t="str">
        <x:v>State and dependency integrity</x:v>
      </x:c>
      <x:c r="G1300" s="339" t="str">
        <x:v>the current record is in an allowed state (Draft / Posted → Due → Partially Paid → Paid / Overdue → Reversed / Refunded (controlled))</x:v>
      </x:c>
      <x:c r="H1300" s="339" t="str">
        <x:v>the user attempts a state-changing action</x:v>
      </x:c>
      <x:c r="I1300" s="339" t="str">
        <x:v>only a valid transition is accepted and dependent records are updated according to configured business rules</x:v>
      </x:c>
      <x:c r="J1300" s="339" t="str">
        <x:v>Positive</x:v>
      </x:c>
      <x:c r="K1300" s="339" t="str">
        <x:v>Functional</x:v>
      </x:c>
    </x:row>
    <x:row r="1301">
      <x:c r="A1301" s="339" t="str">
        <x:v>AC-01300</x:v>
      </x:c>
      <x:c r="B1301" s="339" t="str">
        <x:v>US-0325</x:v>
      </x:c>
      <x:c r="C1301" s="339" t="str">
        <x:v>SCR-163</x:v>
      </x:c>
      <x:c r="D1301" s="339" t="str">
        <x:v>Fees &amp; Finance</x:v>
      </x:c>
      <x:c r="E1301" s="339" t="str">
        <x:v>Concession / Scholarship</x:v>
      </x:c>
      <x:c r="F1301" s="339" t="str">
        <x:v>Auditability</x:v>
      </x:c>
      <x:c r="G1301" s="339" t="str">
        <x:v>a material create/update/approve/reverse action occurs</x:v>
      </x:c>
      <x:c r="H1301" s="339" t="str">
        <x:v>the transaction succeeds</x:v>
      </x:c>
      <x:c r="I1301" s="339" t="str">
        <x:v>the system records actor, timestamp, action, target and relevant before/after or reason context in the audit trail</x:v>
      </x:c>
      <x:c r="J1301" s="339" t="str">
        <x:v>Positive</x:v>
      </x:c>
      <x:c r="K1301" s="339" t="str">
        <x:v>Functional</x:v>
      </x:c>
    </x:row>
    <x:row r="1302">
      <x:c r="A1302" s="339" t="str">
        <x:v>AC-01301</x:v>
      </x:c>
      <x:c r="B1302" s="339" t="str">
        <x:v>US-0326</x:v>
      </x:c>
      <x:c r="C1302" s="339" t="str">
        <x:v>SCR-163</x:v>
      </x:c>
      <x:c r="D1302" s="339" t="str">
        <x:v>Fees &amp; Finance</x:v>
      </x:c>
      <x:c r="E1302" s="339" t="str">
        <x:v>Concession / Scholarship</x:v>
      </x:c>
      <x:c r="F1302" s="339" t="str">
        <x:v>Valid status transition</x:v>
      </x:c>
      <x:c r="G1302" s="339" t="str">
        <x:v>the record is in a state described by Draft / Posted → Due → Partially Paid → Paid / Overdue → Reversed / Refunded (controlled)</x:v>
      </x:c>
      <x:c r="H1302" s="339" t="str">
        <x:v>the user requests a transition</x:v>
      </x:c>
      <x:c r="I1302" s="339" t="str">
        <x:v>the system accepts only transitions allowed for that role and state</x:v>
      </x:c>
      <x:c r="J1302" s="339" t="str">
        <x:v>Positive</x:v>
      </x:c>
      <x:c r="K1302" s="339" t="str">
        <x:v>Functional</x:v>
      </x:c>
    </x:row>
    <x:row r="1303">
      <x:c r="A1303" s="339" t="str">
        <x:v>AC-01302</x:v>
      </x:c>
      <x:c r="B1303" s="339" t="str">
        <x:v>US-0326</x:v>
      </x:c>
      <x:c r="C1303" s="339" t="str">
        <x:v>SCR-163</x:v>
      </x:c>
      <x:c r="D1303" s="339" t="str">
        <x:v>Fees &amp; Finance</x:v>
      </x:c>
      <x:c r="E1303" s="339" t="str">
        <x:v>Concession / Scholarship</x:v>
      </x:c>
      <x:c r="F1303" s="339" t="str">
        <x:v>Approval authority</x:v>
      </x:c>
      <x:c r="G1303" s="339" t="str">
        <x:v>an action requires approval</x:v>
      </x:c>
      <x:c r="H1303" s="339" t="str">
        <x:v>a non-authorized user attempts approval/rejection</x:v>
      </x:c>
      <x:c r="I1303" s="339" t="str">
        <x:v>the system denies the decision and does not change status</x:v>
      </x:c>
      <x:c r="J1303" s="339" t="str">
        <x:v>Negative</x:v>
      </x:c>
      <x:c r="K1303" s="339" t="str">
        <x:v>Functional</x:v>
      </x:c>
    </x:row>
    <x:row r="1304">
      <x:c r="A1304" s="339" t="str">
        <x:v>AC-01303</x:v>
      </x:c>
      <x:c r="B1304" s="339" t="str">
        <x:v>US-0326</x:v>
      </x:c>
      <x:c r="C1304" s="339" t="str">
        <x:v>SCR-163</x:v>
      </x:c>
      <x:c r="D1304" s="339" t="str">
        <x:v>Fees &amp; Finance</x:v>
      </x:c>
      <x:c r="E1304" s="339" t="str">
        <x:v>Concession / Scholarship</x:v>
      </x:c>
      <x:c r="F1304" s="339" t="str">
        <x:v>Failure rollback</x:v>
      </x:c>
      <x:c r="G1304" s="339" t="str">
        <x:v>a downstream dependency fails during a multi-step transaction</x:v>
      </x:c>
      <x:c r="H1304" s="339" t="str">
        <x:v>the workflow executes</x:v>
      </x:c>
      <x:c r="I1304" s="339" t="str">
        <x:v>the system does not leave an invalid partial final state and surfaces a recoverable error</x:v>
      </x:c>
      <x:c r="J1304" s="339" t="str">
        <x:v>Positive</x:v>
      </x:c>
      <x:c r="K1304" s="339" t="str">
        <x:v>Functional</x:v>
      </x:c>
    </x:row>
    <x:row r="1305">
      <x:c r="A1305" s="339" t="str">
        <x:v>AC-01304</x:v>
      </x:c>
      <x:c r="B1305" s="339" t="str">
        <x:v>US-0326</x:v>
      </x:c>
      <x:c r="C1305" s="339" t="str">
        <x:v>SCR-163</x:v>
      </x:c>
      <x:c r="D1305" s="339" t="str">
        <x:v>Fees &amp; Finance</x:v>
      </x:c>
      <x:c r="E1305" s="339" t="str">
        <x:v>Concession / Scholarship</x:v>
      </x:c>
      <x:c r="F1305" s="339" t="str">
        <x:v>Exception traceability</x:v>
      </x:c>
      <x:c r="G1305" s="339" t="str">
        <x:v>an authorized override/exception is used</x:v>
      </x:c>
      <x:c r="H1305" s="339" t="str">
        <x:v>the action is confirmed</x:v>
      </x:c>
      <x:c r="I1305" s="339" t="str">
        <x:v>the system requires reason/context and records it in the audit history</x:v>
      </x:c>
      <x:c r="J1305" s="339" t="str">
        <x:v>Positive</x:v>
      </x:c>
      <x:c r="K1305" s="339" t="str">
        <x:v>Functional</x:v>
      </x:c>
    </x:row>
    <x:row r="1306">
      <x:c r="A1306" s="339" t="str">
        <x:v>AC-01305</x:v>
      </x:c>
      <x:c r="B1306" s="339" t="str">
        <x:v>US-0327</x:v>
      </x:c>
      <x:c r="C1306" s="339" t="str">
        <x:v>SCR-164</x:v>
      </x:c>
      <x:c r="D1306" s="339" t="str">
        <x:v>Fees &amp; Finance</x:v>
      </x:c>
      <x:c r="E1306" s="339" t="str">
        <x:v>Fine Rules</x:v>
      </x:c>
      <x:c r="F1306" s="339" t="str">
        <x:v>Authorized access to Fine Rules</x:v>
      </x:c>
      <x:c r="G1306" s="339" t="str">
        <x:v>the Accountant is authenticated and has access to Fine Rules</x:v>
      </x:c>
      <x:c r="H1306" s="339" t="str">
        <x:v>the user opens or invokes Fine Rules</x:v>
      </x:c>
      <x:c r="I1306" s="339" t="str">
        <x:v>the system loads only records and actions within the user's permitted tenant/school/data scope</x:v>
      </x:c>
      <x:c r="J1306" s="339" t="str">
        <x:v>Positive</x:v>
      </x:c>
      <x:c r="K1306" s="339" t="str">
        <x:v>Functional / Security</x:v>
      </x:c>
    </x:row>
    <x:row r="1307">
      <x:c r="A1307" s="339" t="str">
        <x:v>AC-01306</x:v>
      </x:c>
      <x:c r="B1307" s="339" t="str">
        <x:v>US-0327</x:v>
      </x:c>
      <x:c r="C1307" s="339" t="str">
        <x:v>SCR-164</x:v>
      </x:c>
      <x:c r="D1307" s="339" t="str">
        <x:v>Fees &amp; Finance</x:v>
      </x:c>
      <x:c r="E1307" s="339" t="str">
        <x:v>Fine Rules</x:v>
      </x:c>
      <x:c r="F1307" s="339" t="str">
        <x:v>Successful Fine Rules happy path</x:v>
      </x:c>
      <x:c r="G1307" s="339" t="str">
        <x:v>all mandatory prerequisites and valid data are available</x:v>
      </x:c>
      <x:c r="H1307" s="339" t="str">
        <x:v>the Accountant completes the primary action on Fine Rules</x:v>
      </x:c>
      <x:c r="I1307" s="339" t="str">
        <x:v>the system validates the request, saves it atomically, shows a clear confirmation and reflects the updated state</x:v>
      </x:c>
      <x:c r="J1307" s="339" t="str">
        <x:v>Positive</x:v>
      </x:c>
      <x:c r="K1307" s="339" t="str">
        <x:v>Functional</x:v>
      </x:c>
    </x:row>
    <x:row r="1308">
      <x:c r="A1308" s="339" t="str">
        <x:v>AC-01307</x:v>
      </x:c>
      <x:c r="B1308" s="339" t="str">
        <x:v>US-0327</x:v>
      </x:c>
      <x:c r="C1308" s="339" t="str">
        <x:v>SCR-164</x:v>
      </x:c>
      <x:c r="D1308" s="339" t="str">
        <x:v>Fees &amp; Finance</x:v>
      </x:c>
      <x:c r="E1308" s="339" t="str">
        <x:v>Fine Rules</x:v>
      </x:c>
      <x:c r="F1308" s="339" t="str">
        <x:v>State and dependency integrity</x:v>
      </x:c>
      <x:c r="G1308" s="339" t="str">
        <x:v>the current record is in an allowed state (Draft / Posted → Due → Partially Paid → Paid / Overdue → Reversed / Refunded (controlled))</x:v>
      </x:c>
      <x:c r="H1308" s="339" t="str">
        <x:v>the user attempts a state-changing action</x:v>
      </x:c>
      <x:c r="I1308" s="339" t="str">
        <x:v>only a valid transition is accepted and dependent records are updated according to configured business rules</x:v>
      </x:c>
      <x:c r="J1308" s="339" t="str">
        <x:v>Positive</x:v>
      </x:c>
      <x:c r="K1308" s="339" t="str">
        <x:v>Functional</x:v>
      </x:c>
    </x:row>
    <x:row r="1309">
      <x:c r="A1309" s="339" t="str">
        <x:v>AC-01308</x:v>
      </x:c>
      <x:c r="B1309" s="339" t="str">
        <x:v>US-0327</x:v>
      </x:c>
      <x:c r="C1309" s="339" t="str">
        <x:v>SCR-164</x:v>
      </x:c>
      <x:c r="D1309" s="339" t="str">
        <x:v>Fees &amp; Finance</x:v>
      </x:c>
      <x:c r="E1309" s="339" t="str">
        <x:v>Fine Rules</x:v>
      </x:c>
      <x:c r="F1309" s="339" t="str">
        <x:v>Auditability</x:v>
      </x:c>
      <x:c r="G1309" s="339" t="str">
        <x:v>a material create/update/approve/reverse action occurs</x:v>
      </x:c>
      <x:c r="H1309" s="339" t="str">
        <x:v>the transaction succeeds</x:v>
      </x:c>
      <x:c r="I1309" s="339" t="str">
        <x:v>the system records actor, timestamp, action, target and relevant before/after or reason context in the audit trail</x:v>
      </x:c>
      <x:c r="J1309" s="339" t="str">
        <x:v>Positive</x:v>
      </x:c>
      <x:c r="K1309" s="339" t="str">
        <x:v>Functional</x:v>
      </x:c>
    </x:row>
    <x:row r="1310">
      <x:c r="A1310" s="339" t="str">
        <x:v>AC-01309</x:v>
      </x:c>
      <x:c r="B1310" s="339" t="str">
        <x:v>US-0328</x:v>
      </x:c>
      <x:c r="C1310" s="339" t="str">
        <x:v>SCR-164</x:v>
      </x:c>
      <x:c r="D1310" s="339" t="str">
        <x:v>Fees &amp; Finance</x:v>
      </x:c>
      <x:c r="E1310" s="339" t="str">
        <x:v>Fine Rules</x:v>
      </x:c>
      <x:c r="F1310" s="339" t="str">
        <x:v>Valid status transition</x:v>
      </x:c>
      <x:c r="G1310" s="339" t="str">
        <x:v>the record is in a state described by Draft / Posted → Due → Partially Paid → Paid / Overdue → Reversed / Refunded (controlled)</x:v>
      </x:c>
      <x:c r="H1310" s="339" t="str">
        <x:v>the user requests a transition</x:v>
      </x:c>
      <x:c r="I1310" s="339" t="str">
        <x:v>the system accepts only transitions allowed for that role and state</x:v>
      </x:c>
      <x:c r="J1310" s="339" t="str">
        <x:v>Positive</x:v>
      </x:c>
      <x:c r="K1310" s="339" t="str">
        <x:v>Functional</x:v>
      </x:c>
    </x:row>
    <x:row r="1311">
      <x:c r="A1311" s="339" t="str">
        <x:v>AC-01310</x:v>
      </x:c>
      <x:c r="B1311" s="339" t="str">
        <x:v>US-0328</x:v>
      </x:c>
      <x:c r="C1311" s="339" t="str">
        <x:v>SCR-164</x:v>
      </x:c>
      <x:c r="D1311" s="339" t="str">
        <x:v>Fees &amp; Finance</x:v>
      </x:c>
      <x:c r="E1311" s="339" t="str">
        <x:v>Fine Rules</x:v>
      </x:c>
      <x:c r="F1311" s="339" t="str">
        <x:v>Approval authority</x:v>
      </x:c>
      <x:c r="G1311" s="339" t="str">
        <x:v>an action requires approval</x:v>
      </x:c>
      <x:c r="H1311" s="339" t="str">
        <x:v>a non-authorized user attempts approval/rejection</x:v>
      </x:c>
      <x:c r="I1311" s="339" t="str">
        <x:v>the system denies the decision and does not change status</x:v>
      </x:c>
      <x:c r="J1311" s="339" t="str">
        <x:v>Negative</x:v>
      </x:c>
      <x:c r="K1311" s="339" t="str">
        <x:v>Functional</x:v>
      </x:c>
    </x:row>
    <x:row r="1312">
      <x:c r="A1312" s="339" t="str">
        <x:v>AC-01311</x:v>
      </x:c>
      <x:c r="B1312" s="339" t="str">
        <x:v>US-0328</x:v>
      </x:c>
      <x:c r="C1312" s="339" t="str">
        <x:v>SCR-164</x:v>
      </x:c>
      <x:c r="D1312" s="339" t="str">
        <x:v>Fees &amp; Finance</x:v>
      </x:c>
      <x:c r="E1312" s="339" t="str">
        <x:v>Fine Rules</x:v>
      </x:c>
      <x:c r="F1312" s="339" t="str">
        <x:v>Failure rollback</x:v>
      </x:c>
      <x:c r="G1312" s="339" t="str">
        <x:v>a downstream dependency fails during a multi-step transaction</x:v>
      </x:c>
      <x:c r="H1312" s="339" t="str">
        <x:v>the workflow executes</x:v>
      </x:c>
      <x:c r="I1312" s="339" t="str">
        <x:v>the system does not leave an invalid partial final state and surfaces a recoverable error</x:v>
      </x:c>
      <x:c r="J1312" s="339" t="str">
        <x:v>Positive</x:v>
      </x:c>
      <x:c r="K1312" s="339" t="str">
        <x:v>Functional</x:v>
      </x:c>
    </x:row>
    <x:row r="1313">
      <x:c r="A1313" s="339" t="str">
        <x:v>AC-01312</x:v>
      </x:c>
      <x:c r="B1313" s="339" t="str">
        <x:v>US-0328</x:v>
      </x:c>
      <x:c r="C1313" s="339" t="str">
        <x:v>SCR-164</x:v>
      </x:c>
      <x:c r="D1313" s="339" t="str">
        <x:v>Fees &amp; Finance</x:v>
      </x:c>
      <x:c r="E1313" s="339" t="str">
        <x:v>Fine Rules</x:v>
      </x:c>
      <x:c r="F1313" s="339" t="str">
        <x:v>Exception traceability</x:v>
      </x:c>
      <x:c r="G1313" s="339" t="str">
        <x:v>an authorized override/exception is used</x:v>
      </x:c>
      <x:c r="H1313" s="339" t="str">
        <x:v>the action is confirmed</x:v>
      </x:c>
      <x:c r="I1313" s="339" t="str">
        <x:v>the system requires reason/context and records it in the audit history</x:v>
      </x:c>
      <x:c r="J1313" s="339" t="str">
        <x:v>Positive</x:v>
      </x:c>
      <x:c r="K1313" s="339" t="str">
        <x:v>Functional</x:v>
      </x:c>
    </x:row>
    <x:row r="1314">
      <x:c r="A1314" s="339" t="str">
        <x:v>AC-01313</x:v>
      </x:c>
      <x:c r="B1314" s="339" t="str">
        <x:v>US-0329</x:v>
      </x:c>
      <x:c r="C1314" s="339" t="str">
        <x:v>SCR-165</x:v>
      </x:c>
      <x:c r="D1314" s="339" t="str">
        <x:v>Fees &amp; Finance</x:v>
      </x:c>
      <x:c r="E1314" s="339" t="str">
        <x:v>Refunds</x:v>
      </x:c>
      <x:c r="F1314" s="339" t="str">
        <x:v>Authorized access to Refunds</x:v>
      </x:c>
      <x:c r="G1314" s="339" t="str">
        <x:v>the Accountant is authenticated and has access to Refunds</x:v>
      </x:c>
      <x:c r="H1314" s="339" t="str">
        <x:v>the user opens or invokes Refunds</x:v>
      </x:c>
      <x:c r="I1314" s="339" t="str">
        <x:v>the system loads only records and actions within the user's permitted tenant/school/data scope</x:v>
      </x:c>
      <x:c r="J1314" s="339" t="str">
        <x:v>Positive</x:v>
      </x:c>
      <x:c r="K1314" s="339" t="str">
        <x:v>Functional / Security</x:v>
      </x:c>
    </x:row>
    <x:row r="1315">
      <x:c r="A1315" s="339" t="str">
        <x:v>AC-01314</x:v>
      </x:c>
      <x:c r="B1315" s="339" t="str">
        <x:v>US-0329</x:v>
      </x:c>
      <x:c r="C1315" s="339" t="str">
        <x:v>SCR-165</x:v>
      </x:c>
      <x:c r="D1315" s="339" t="str">
        <x:v>Fees &amp; Finance</x:v>
      </x:c>
      <x:c r="E1315" s="339" t="str">
        <x:v>Refunds</x:v>
      </x:c>
      <x:c r="F1315" s="339" t="str">
        <x:v>Successful Refunds happy path</x:v>
      </x:c>
      <x:c r="G1315" s="339" t="str">
        <x:v>all mandatory prerequisites and valid data are available</x:v>
      </x:c>
      <x:c r="H1315" s="339" t="str">
        <x:v>the Accountant completes the primary action on Refunds</x:v>
      </x:c>
      <x:c r="I1315" s="339" t="str">
        <x:v>the system validates the request, saves it atomically, shows a clear confirmation and reflects the updated state</x:v>
      </x:c>
      <x:c r="J1315" s="339" t="str">
        <x:v>Positive</x:v>
      </x:c>
      <x:c r="K1315" s="339" t="str">
        <x:v>Functional</x:v>
      </x:c>
    </x:row>
    <x:row r="1316">
      <x:c r="A1316" s="339" t="str">
        <x:v>AC-01315</x:v>
      </x:c>
      <x:c r="B1316" s="339" t="str">
        <x:v>US-0329</x:v>
      </x:c>
      <x:c r="C1316" s="339" t="str">
        <x:v>SCR-165</x:v>
      </x:c>
      <x:c r="D1316" s="339" t="str">
        <x:v>Fees &amp; Finance</x:v>
      </x:c>
      <x:c r="E1316" s="339" t="str">
        <x:v>Refunds</x:v>
      </x:c>
      <x:c r="F1316" s="339" t="str">
        <x:v>State and dependency integrity</x:v>
      </x:c>
      <x:c r="G1316" s="339" t="str">
        <x:v>the current record is in an allowed state (Draft / Posted → Due → Partially Paid → Paid / Overdue → Reversed / Refunded (controlled))</x:v>
      </x:c>
      <x:c r="H1316" s="339" t="str">
        <x:v>the user attempts a state-changing action</x:v>
      </x:c>
      <x:c r="I1316" s="339" t="str">
        <x:v>only a valid transition is accepted and dependent records are updated according to configured business rules</x:v>
      </x:c>
      <x:c r="J1316" s="339" t="str">
        <x:v>Positive</x:v>
      </x:c>
      <x:c r="K1316" s="339" t="str">
        <x:v>Functional</x:v>
      </x:c>
    </x:row>
    <x:row r="1317">
      <x:c r="A1317" s="339" t="str">
        <x:v>AC-01316</x:v>
      </x:c>
      <x:c r="B1317" s="339" t="str">
        <x:v>US-0329</x:v>
      </x:c>
      <x:c r="C1317" s="339" t="str">
        <x:v>SCR-165</x:v>
      </x:c>
      <x:c r="D1317" s="339" t="str">
        <x:v>Fees &amp; Finance</x:v>
      </x:c>
      <x:c r="E1317" s="339" t="str">
        <x:v>Refunds</x:v>
      </x:c>
      <x:c r="F1317" s="339" t="str">
        <x:v>Auditability</x:v>
      </x:c>
      <x:c r="G1317" s="339" t="str">
        <x:v>a material create/update/approve/reverse action occurs</x:v>
      </x:c>
      <x:c r="H1317" s="339" t="str">
        <x:v>the transaction succeeds</x:v>
      </x:c>
      <x:c r="I1317" s="339" t="str">
        <x:v>the system records actor, timestamp, action, target and relevant before/after or reason context in the audit trail</x:v>
      </x:c>
      <x:c r="J1317" s="339" t="str">
        <x:v>Positive</x:v>
      </x:c>
      <x:c r="K1317" s="339" t="str">
        <x:v>Functional</x:v>
      </x:c>
    </x:row>
    <x:row r="1318">
      <x:c r="A1318" s="339" t="str">
        <x:v>AC-01317</x:v>
      </x:c>
      <x:c r="B1318" s="339" t="str">
        <x:v>US-0330</x:v>
      </x:c>
      <x:c r="C1318" s="339" t="str">
        <x:v>SCR-165</x:v>
      </x:c>
      <x:c r="D1318" s="339" t="str">
        <x:v>Fees &amp; Finance</x:v>
      </x:c>
      <x:c r="E1318" s="339" t="str">
        <x:v>Refunds</x:v>
      </x:c>
      <x:c r="F1318" s="339" t="str">
        <x:v>Valid status transition</x:v>
      </x:c>
      <x:c r="G1318" s="339" t="str">
        <x:v>the record is in a state described by Draft / Posted → Due → Partially Paid → Paid / Overdue → Reversed / Refunded (controlled)</x:v>
      </x:c>
      <x:c r="H1318" s="339" t="str">
        <x:v>the user requests a transition</x:v>
      </x:c>
      <x:c r="I1318" s="339" t="str">
        <x:v>the system accepts only transitions allowed for that role and state</x:v>
      </x:c>
      <x:c r="J1318" s="339" t="str">
        <x:v>Positive</x:v>
      </x:c>
      <x:c r="K1318" s="339" t="str">
        <x:v>Functional</x:v>
      </x:c>
    </x:row>
    <x:row r="1319">
      <x:c r="A1319" s="339" t="str">
        <x:v>AC-01318</x:v>
      </x:c>
      <x:c r="B1319" s="339" t="str">
        <x:v>US-0330</x:v>
      </x:c>
      <x:c r="C1319" s="339" t="str">
        <x:v>SCR-165</x:v>
      </x:c>
      <x:c r="D1319" s="339" t="str">
        <x:v>Fees &amp; Finance</x:v>
      </x:c>
      <x:c r="E1319" s="339" t="str">
        <x:v>Refunds</x:v>
      </x:c>
      <x:c r="F1319" s="339" t="str">
        <x:v>Approval authority</x:v>
      </x:c>
      <x:c r="G1319" s="339" t="str">
        <x:v>an action requires approval</x:v>
      </x:c>
      <x:c r="H1319" s="339" t="str">
        <x:v>a non-authorized user attempts approval/rejection</x:v>
      </x:c>
      <x:c r="I1319" s="339" t="str">
        <x:v>the system denies the decision and does not change status</x:v>
      </x:c>
      <x:c r="J1319" s="339" t="str">
        <x:v>Negative</x:v>
      </x:c>
      <x:c r="K1319" s="339" t="str">
        <x:v>Functional</x:v>
      </x:c>
    </x:row>
    <x:row r="1320">
      <x:c r="A1320" s="339" t="str">
        <x:v>AC-01319</x:v>
      </x:c>
      <x:c r="B1320" s="339" t="str">
        <x:v>US-0330</x:v>
      </x:c>
      <x:c r="C1320" s="339" t="str">
        <x:v>SCR-165</x:v>
      </x:c>
      <x:c r="D1320" s="339" t="str">
        <x:v>Fees &amp; Finance</x:v>
      </x:c>
      <x:c r="E1320" s="339" t="str">
        <x:v>Refunds</x:v>
      </x:c>
      <x:c r="F1320" s="339" t="str">
        <x:v>Failure rollback</x:v>
      </x:c>
      <x:c r="G1320" s="339" t="str">
        <x:v>a downstream dependency fails during a multi-step transaction</x:v>
      </x:c>
      <x:c r="H1320" s="339" t="str">
        <x:v>the workflow executes</x:v>
      </x:c>
      <x:c r="I1320" s="339" t="str">
        <x:v>the system does not leave an invalid partial final state and surfaces a recoverable error</x:v>
      </x:c>
      <x:c r="J1320" s="339" t="str">
        <x:v>Positive</x:v>
      </x:c>
      <x:c r="K1320" s="339" t="str">
        <x:v>Functional</x:v>
      </x:c>
    </x:row>
    <x:row r="1321">
      <x:c r="A1321" s="339" t="str">
        <x:v>AC-01320</x:v>
      </x:c>
      <x:c r="B1321" s="339" t="str">
        <x:v>US-0330</x:v>
      </x:c>
      <x:c r="C1321" s="339" t="str">
        <x:v>SCR-165</x:v>
      </x:c>
      <x:c r="D1321" s="339" t="str">
        <x:v>Fees &amp; Finance</x:v>
      </x:c>
      <x:c r="E1321" s="339" t="str">
        <x:v>Refunds</x:v>
      </x:c>
      <x:c r="F1321" s="339" t="str">
        <x:v>Exception traceability</x:v>
      </x:c>
      <x:c r="G1321" s="339" t="str">
        <x:v>an authorized override/exception is used</x:v>
      </x:c>
      <x:c r="H1321" s="339" t="str">
        <x:v>the action is confirmed</x:v>
      </x:c>
      <x:c r="I1321" s="339" t="str">
        <x:v>the system requires reason/context and records it in the audit history</x:v>
      </x:c>
      <x:c r="J1321" s="339" t="str">
        <x:v>Positive</x:v>
      </x:c>
      <x:c r="K1321" s="339" t="str">
        <x:v>Functional</x:v>
      </x:c>
    </x:row>
    <x:row r="1322">
      <x:c r="A1322" s="339" t="str">
        <x:v>AC-01321</x:v>
      </x:c>
      <x:c r="B1322" s="339" t="str">
        <x:v>US-0331</x:v>
      </x:c>
      <x:c r="C1322" s="339" t="str">
        <x:v>SCR-166</x:v>
      </x:c>
      <x:c r="D1322" s="339" t="str">
        <x:v>Fees &amp; Finance</x:v>
      </x:c>
      <x:c r="E1322" s="339" t="str">
        <x:v>Income</x:v>
      </x:c>
      <x:c r="F1322" s="339" t="str">
        <x:v>Authorized access to Income</x:v>
      </x:c>
      <x:c r="G1322" s="339" t="str">
        <x:v>the Accountant is authenticated and has access to Income</x:v>
      </x:c>
      <x:c r="H1322" s="339" t="str">
        <x:v>the user opens or invokes Income</x:v>
      </x:c>
      <x:c r="I1322" s="339" t="str">
        <x:v>the system loads only records and actions within the user's permitted tenant/school/data scope</x:v>
      </x:c>
      <x:c r="J1322" s="339" t="str">
        <x:v>Positive</x:v>
      </x:c>
      <x:c r="K1322" s="339" t="str">
        <x:v>Functional / Security</x:v>
      </x:c>
    </x:row>
    <x:row r="1323">
      <x:c r="A1323" s="339" t="str">
        <x:v>AC-01322</x:v>
      </x:c>
      <x:c r="B1323" s="339" t="str">
        <x:v>US-0331</x:v>
      </x:c>
      <x:c r="C1323" s="339" t="str">
        <x:v>SCR-166</x:v>
      </x:c>
      <x:c r="D1323" s="339" t="str">
        <x:v>Fees &amp; Finance</x:v>
      </x:c>
      <x:c r="E1323" s="339" t="str">
        <x:v>Income</x:v>
      </x:c>
      <x:c r="F1323" s="339" t="str">
        <x:v>Successful Income happy path</x:v>
      </x:c>
      <x:c r="G1323" s="339" t="str">
        <x:v>all mandatory prerequisites and valid data are available</x:v>
      </x:c>
      <x:c r="H1323" s="339" t="str">
        <x:v>the Accountant completes the primary action on Income</x:v>
      </x:c>
      <x:c r="I1323" s="339" t="str">
        <x:v>the system validates the request, saves it atomically, shows a clear confirmation and reflects the updated state</x:v>
      </x:c>
      <x:c r="J1323" s="339" t="str">
        <x:v>Positive</x:v>
      </x:c>
      <x:c r="K1323" s="339" t="str">
        <x:v>Functional</x:v>
      </x:c>
    </x:row>
    <x:row r="1324">
      <x:c r="A1324" s="339" t="str">
        <x:v>AC-01323</x:v>
      </x:c>
      <x:c r="B1324" s="339" t="str">
        <x:v>US-0331</x:v>
      </x:c>
      <x:c r="C1324" s="339" t="str">
        <x:v>SCR-166</x:v>
      </x:c>
      <x:c r="D1324" s="339" t="str">
        <x:v>Fees &amp; Finance</x:v>
      </x:c>
      <x:c r="E1324" s="339" t="str">
        <x:v>Income</x:v>
      </x:c>
      <x:c r="F1324" s="339" t="str">
        <x:v>State and dependency integrity</x:v>
      </x:c>
      <x:c r="G1324" s="339" t="str">
        <x:v>the current record is in an allowed state (Draft / Posted → Due → Partially Paid → Paid / Overdue → Reversed / Refunded (controlled))</x:v>
      </x:c>
      <x:c r="H1324" s="339" t="str">
        <x:v>the user attempts a state-changing action</x:v>
      </x:c>
      <x:c r="I1324" s="339" t="str">
        <x:v>only a valid transition is accepted and dependent records are updated according to configured business rules</x:v>
      </x:c>
      <x:c r="J1324" s="339" t="str">
        <x:v>Positive</x:v>
      </x:c>
      <x:c r="K1324" s="339" t="str">
        <x:v>Functional</x:v>
      </x:c>
    </x:row>
    <x:row r="1325">
      <x:c r="A1325" s="339" t="str">
        <x:v>AC-01324</x:v>
      </x:c>
      <x:c r="B1325" s="339" t="str">
        <x:v>US-0331</x:v>
      </x:c>
      <x:c r="C1325" s="339" t="str">
        <x:v>SCR-166</x:v>
      </x:c>
      <x:c r="D1325" s="339" t="str">
        <x:v>Fees &amp; Finance</x:v>
      </x:c>
      <x:c r="E1325" s="339" t="str">
        <x:v>Income</x:v>
      </x:c>
      <x:c r="F1325" s="339" t="str">
        <x:v>Auditability</x:v>
      </x:c>
      <x:c r="G1325" s="339" t="str">
        <x:v>a material create/update/approve/reverse action occurs</x:v>
      </x:c>
      <x:c r="H1325" s="339" t="str">
        <x:v>the transaction succeeds</x:v>
      </x:c>
      <x:c r="I1325" s="339" t="str">
        <x:v>the system records actor, timestamp, action, target and relevant before/after or reason context in the audit trail</x:v>
      </x:c>
      <x:c r="J1325" s="339" t="str">
        <x:v>Positive</x:v>
      </x:c>
      <x:c r="K1325" s="339" t="str">
        <x:v>Functional</x:v>
      </x:c>
    </x:row>
    <x:row r="1326">
      <x:c r="A1326" s="339" t="str">
        <x:v>AC-01325</x:v>
      </x:c>
      <x:c r="B1326" s="339" t="str">
        <x:v>US-0332</x:v>
      </x:c>
      <x:c r="C1326" s="339" t="str">
        <x:v>SCR-166</x:v>
      </x:c>
      <x:c r="D1326" s="339" t="str">
        <x:v>Fees &amp; Finance</x:v>
      </x:c>
      <x:c r="E1326" s="339" t="str">
        <x:v>Income</x:v>
      </x:c>
      <x:c r="F1326" s="339" t="str">
        <x:v>Valid status transition</x:v>
      </x:c>
      <x:c r="G1326" s="339" t="str">
        <x:v>the record is in a state described by Draft / Posted → Due → Partially Paid → Paid / Overdue → Reversed / Refunded (controlled)</x:v>
      </x:c>
      <x:c r="H1326" s="339" t="str">
        <x:v>the user requests a transition</x:v>
      </x:c>
      <x:c r="I1326" s="339" t="str">
        <x:v>the system accepts only transitions allowed for that role and state</x:v>
      </x:c>
      <x:c r="J1326" s="339" t="str">
        <x:v>Positive</x:v>
      </x:c>
      <x:c r="K1326" s="339" t="str">
        <x:v>Functional</x:v>
      </x:c>
    </x:row>
    <x:row r="1327">
      <x:c r="A1327" s="339" t="str">
        <x:v>AC-01326</x:v>
      </x:c>
      <x:c r="B1327" s="339" t="str">
        <x:v>US-0332</x:v>
      </x:c>
      <x:c r="C1327" s="339" t="str">
        <x:v>SCR-166</x:v>
      </x:c>
      <x:c r="D1327" s="339" t="str">
        <x:v>Fees &amp; Finance</x:v>
      </x:c>
      <x:c r="E1327" s="339" t="str">
        <x:v>Income</x:v>
      </x:c>
      <x:c r="F1327" s="339" t="str">
        <x:v>Approval authority</x:v>
      </x:c>
      <x:c r="G1327" s="339" t="str">
        <x:v>an action requires approval</x:v>
      </x:c>
      <x:c r="H1327" s="339" t="str">
        <x:v>a non-authorized user attempts approval/rejection</x:v>
      </x:c>
      <x:c r="I1327" s="339" t="str">
        <x:v>the system denies the decision and does not change status</x:v>
      </x:c>
      <x:c r="J1327" s="339" t="str">
        <x:v>Negative</x:v>
      </x:c>
      <x:c r="K1327" s="339" t="str">
        <x:v>Functional</x:v>
      </x:c>
    </x:row>
    <x:row r="1328">
      <x:c r="A1328" s="339" t="str">
        <x:v>AC-01327</x:v>
      </x:c>
      <x:c r="B1328" s="339" t="str">
        <x:v>US-0332</x:v>
      </x:c>
      <x:c r="C1328" s="339" t="str">
        <x:v>SCR-166</x:v>
      </x:c>
      <x:c r="D1328" s="339" t="str">
        <x:v>Fees &amp; Finance</x:v>
      </x:c>
      <x:c r="E1328" s="339" t="str">
        <x:v>Income</x:v>
      </x:c>
      <x:c r="F1328" s="339" t="str">
        <x:v>Failure rollback</x:v>
      </x:c>
      <x:c r="G1328" s="339" t="str">
        <x:v>a downstream dependency fails during a multi-step transaction</x:v>
      </x:c>
      <x:c r="H1328" s="339" t="str">
        <x:v>the workflow executes</x:v>
      </x:c>
      <x:c r="I1328" s="339" t="str">
        <x:v>the system does not leave an invalid partial final state and surfaces a recoverable error</x:v>
      </x:c>
      <x:c r="J1328" s="339" t="str">
        <x:v>Positive</x:v>
      </x:c>
      <x:c r="K1328" s="339" t="str">
        <x:v>Functional</x:v>
      </x:c>
    </x:row>
    <x:row r="1329">
      <x:c r="A1329" s="339" t="str">
        <x:v>AC-01328</x:v>
      </x:c>
      <x:c r="B1329" s="339" t="str">
        <x:v>US-0332</x:v>
      </x:c>
      <x:c r="C1329" s="339" t="str">
        <x:v>SCR-166</x:v>
      </x:c>
      <x:c r="D1329" s="339" t="str">
        <x:v>Fees &amp; Finance</x:v>
      </x:c>
      <x:c r="E1329" s="339" t="str">
        <x:v>Income</x:v>
      </x:c>
      <x:c r="F1329" s="339" t="str">
        <x:v>Exception traceability</x:v>
      </x:c>
      <x:c r="G1329" s="339" t="str">
        <x:v>an authorized override/exception is used</x:v>
      </x:c>
      <x:c r="H1329" s="339" t="str">
        <x:v>the action is confirmed</x:v>
      </x:c>
      <x:c r="I1329" s="339" t="str">
        <x:v>the system requires reason/context and records it in the audit history</x:v>
      </x:c>
      <x:c r="J1329" s="339" t="str">
        <x:v>Positive</x:v>
      </x:c>
      <x:c r="K1329" s="339" t="str">
        <x:v>Functional</x:v>
      </x:c>
    </x:row>
    <x:row r="1330">
      <x:c r="A1330" s="339" t="str">
        <x:v>AC-01329</x:v>
      </x:c>
      <x:c r="B1330" s="339" t="str">
        <x:v>US-0333</x:v>
      </x:c>
      <x:c r="C1330" s="339" t="str">
        <x:v>SCR-167</x:v>
      </x:c>
      <x:c r="D1330" s="339" t="str">
        <x:v>Fees &amp; Finance</x:v>
      </x:c>
      <x:c r="E1330" s="339" t="str">
        <x:v>Expenses</x:v>
      </x:c>
      <x:c r="F1330" s="339" t="str">
        <x:v>Authorized access to Expenses</x:v>
      </x:c>
      <x:c r="G1330" s="339" t="str">
        <x:v>the Accountant is authenticated and has access to Expenses</x:v>
      </x:c>
      <x:c r="H1330" s="339" t="str">
        <x:v>the user opens or invokes Expenses</x:v>
      </x:c>
      <x:c r="I1330" s="339" t="str">
        <x:v>the system loads only records and actions within the user's permitted tenant/school/data scope</x:v>
      </x:c>
      <x:c r="J1330" s="339" t="str">
        <x:v>Positive</x:v>
      </x:c>
      <x:c r="K1330" s="339" t="str">
        <x:v>Functional / Security</x:v>
      </x:c>
    </x:row>
    <x:row r="1331">
      <x:c r="A1331" s="339" t="str">
        <x:v>AC-01330</x:v>
      </x:c>
      <x:c r="B1331" s="339" t="str">
        <x:v>US-0333</x:v>
      </x:c>
      <x:c r="C1331" s="339" t="str">
        <x:v>SCR-167</x:v>
      </x:c>
      <x:c r="D1331" s="339" t="str">
        <x:v>Fees &amp; Finance</x:v>
      </x:c>
      <x:c r="E1331" s="339" t="str">
        <x:v>Expenses</x:v>
      </x:c>
      <x:c r="F1331" s="339" t="str">
        <x:v>Successful Expenses happy path</x:v>
      </x:c>
      <x:c r="G1331" s="339" t="str">
        <x:v>all mandatory prerequisites and valid data are available</x:v>
      </x:c>
      <x:c r="H1331" s="339" t="str">
        <x:v>the Accountant completes the primary action on Expenses</x:v>
      </x:c>
      <x:c r="I1331" s="339" t="str">
        <x:v>the system validates the request, saves it atomically, shows a clear confirmation and reflects the updated state</x:v>
      </x:c>
      <x:c r="J1331" s="339" t="str">
        <x:v>Positive</x:v>
      </x:c>
      <x:c r="K1331" s="339" t="str">
        <x:v>Functional</x:v>
      </x:c>
    </x:row>
    <x:row r="1332">
      <x:c r="A1332" s="339" t="str">
        <x:v>AC-01331</x:v>
      </x:c>
      <x:c r="B1332" s="339" t="str">
        <x:v>US-0333</x:v>
      </x:c>
      <x:c r="C1332" s="339" t="str">
        <x:v>SCR-167</x:v>
      </x:c>
      <x:c r="D1332" s="339" t="str">
        <x:v>Fees &amp; Finance</x:v>
      </x:c>
      <x:c r="E1332" s="339" t="str">
        <x:v>Expenses</x:v>
      </x:c>
      <x:c r="F1332" s="339" t="str">
        <x:v>State and dependency integrity</x:v>
      </x:c>
      <x:c r="G1332" s="339" t="str">
        <x:v>the current record is in an allowed state (Draft / Posted → Due → Partially Paid → Paid / Overdue → Reversed / Refunded (controlled))</x:v>
      </x:c>
      <x:c r="H1332" s="339" t="str">
        <x:v>the user attempts a state-changing action</x:v>
      </x:c>
      <x:c r="I1332" s="339" t="str">
        <x:v>only a valid transition is accepted and dependent records are updated according to configured business rules</x:v>
      </x:c>
      <x:c r="J1332" s="339" t="str">
        <x:v>Positive</x:v>
      </x:c>
      <x:c r="K1332" s="339" t="str">
        <x:v>Functional</x:v>
      </x:c>
    </x:row>
    <x:row r="1333">
      <x:c r="A1333" s="339" t="str">
        <x:v>AC-01332</x:v>
      </x:c>
      <x:c r="B1333" s="339" t="str">
        <x:v>US-0333</x:v>
      </x:c>
      <x:c r="C1333" s="339" t="str">
        <x:v>SCR-167</x:v>
      </x:c>
      <x:c r="D1333" s="339" t="str">
        <x:v>Fees &amp; Finance</x:v>
      </x:c>
      <x:c r="E1333" s="339" t="str">
        <x:v>Expenses</x:v>
      </x:c>
      <x:c r="F1333" s="339" t="str">
        <x:v>Auditability</x:v>
      </x:c>
      <x:c r="G1333" s="339" t="str">
        <x:v>a material create/update/approve/reverse action occurs</x:v>
      </x:c>
      <x:c r="H1333" s="339" t="str">
        <x:v>the transaction succeeds</x:v>
      </x:c>
      <x:c r="I1333" s="339" t="str">
        <x:v>the system records actor, timestamp, action, target and relevant before/after or reason context in the audit trail</x:v>
      </x:c>
      <x:c r="J1333" s="339" t="str">
        <x:v>Positive</x:v>
      </x:c>
      <x:c r="K1333" s="339" t="str">
        <x:v>Functional</x:v>
      </x:c>
    </x:row>
    <x:row r="1334">
      <x:c r="A1334" s="339" t="str">
        <x:v>AC-01333</x:v>
      </x:c>
      <x:c r="B1334" s="339" t="str">
        <x:v>US-0334</x:v>
      </x:c>
      <x:c r="C1334" s="339" t="str">
        <x:v>SCR-167</x:v>
      </x:c>
      <x:c r="D1334" s="339" t="str">
        <x:v>Fees &amp; Finance</x:v>
      </x:c>
      <x:c r="E1334" s="339" t="str">
        <x:v>Expenses</x:v>
      </x:c>
      <x:c r="F1334" s="339" t="str">
        <x:v>Valid status transition</x:v>
      </x:c>
      <x:c r="G1334" s="339" t="str">
        <x:v>the record is in a state described by Draft / Posted → Due → Partially Paid → Paid / Overdue → Reversed / Refunded (controlled)</x:v>
      </x:c>
      <x:c r="H1334" s="339" t="str">
        <x:v>the user requests a transition</x:v>
      </x:c>
      <x:c r="I1334" s="339" t="str">
        <x:v>the system accepts only transitions allowed for that role and state</x:v>
      </x:c>
      <x:c r="J1334" s="339" t="str">
        <x:v>Positive</x:v>
      </x:c>
      <x:c r="K1334" s="339" t="str">
        <x:v>Functional</x:v>
      </x:c>
    </x:row>
    <x:row r="1335">
      <x:c r="A1335" s="339" t="str">
        <x:v>AC-01334</x:v>
      </x:c>
      <x:c r="B1335" s="339" t="str">
        <x:v>US-0334</x:v>
      </x:c>
      <x:c r="C1335" s="339" t="str">
        <x:v>SCR-167</x:v>
      </x:c>
      <x:c r="D1335" s="339" t="str">
        <x:v>Fees &amp; Finance</x:v>
      </x:c>
      <x:c r="E1335" s="339" t="str">
        <x:v>Expenses</x:v>
      </x:c>
      <x:c r="F1335" s="339" t="str">
        <x:v>Approval authority</x:v>
      </x:c>
      <x:c r="G1335" s="339" t="str">
        <x:v>an action requires approval</x:v>
      </x:c>
      <x:c r="H1335" s="339" t="str">
        <x:v>a non-authorized user attempts approval/rejection</x:v>
      </x:c>
      <x:c r="I1335" s="339" t="str">
        <x:v>the system denies the decision and does not change status</x:v>
      </x:c>
      <x:c r="J1335" s="339" t="str">
        <x:v>Negative</x:v>
      </x:c>
      <x:c r="K1335" s="339" t="str">
        <x:v>Functional</x:v>
      </x:c>
    </x:row>
    <x:row r="1336">
      <x:c r="A1336" s="339" t="str">
        <x:v>AC-01335</x:v>
      </x:c>
      <x:c r="B1336" s="339" t="str">
        <x:v>US-0334</x:v>
      </x:c>
      <x:c r="C1336" s="339" t="str">
        <x:v>SCR-167</x:v>
      </x:c>
      <x:c r="D1336" s="339" t="str">
        <x:v>Fees &amp; Finance</x:v>
      </x:c>
      <x:c r="E1336" s="339" t="str">
        <x:v>Expenses</x:v>
      </x:c>
      <x:c r="F1336" s="339" t="str">
        <x:v>Failure rollback</x:v>
      </x:c>
      <x:c r="G1336" s="339" t="str">
        <x:v>a downstream dependency fails during a multi-step transaction</x:v>
      </x:c>
      <x:c r="H1336" s="339" t="str">
        <x:v>the workflow executes</x:v>
      </x:c>
      <x:c r="I1336" s="339" t="str">
        <x:v>the system does not leave an invalid partial final state and surfaces a recoverable error</x:v>
      </x:c>
      <x:c r="J1336" s="339" t="str">
        <x:v>Positive</x:v>
      </x:c>
      <x:c r="K1336" s="339" t="str">
        <x:v>Functional</x:v>
      </x:c>
    </x:row>
    <x:row r="1337">
      <x:c r="A1337" s="339" t="str">
        <x:v>AC-01336</x:v>
      </x:c>
      <x:c r="B1337" s="339" t="str">
        <x:v>US-0334</x:v>
      </x:c>
      <x:c r="C1337" s="339" t="str">
        <x:v>SCR-167</x:v>
      </x:c>
      <x:c r="D1337" s="339" t="str">
        <x:v>Fees &amp; Finance</x:v>
      </x:c>
      <x:c r="E1337" s="339" t="str">
        <x:v>Expenses</x:v>
      </x:c>
      <x:c r="F1337" s="339" t="str">
        <x:v>Exception traceability</x:v>
      </x:c>
      <x:c r="G1337" s="339" t="str">
        <x:v>an authorized override/exception is used</x:v>
      </x:c>
      <x:c r="H1337" s="339" t="str">
        <x:v>the action is confirmed</x:v>
      </x:c>
      <x:c r="I1337" s="339" t="str">
        <x:v>the system requires reason/context and records it in the audit history</x:v>
      </x:c>
      <x:c r="J1337" s="339" t="str">
        <x:v>Positive</x:v>
      </x:c>
      <x:c r="K1337" s="339" t="str">
        <x:v>Functional</x:v>
      </x:c>
    </x:row>
    <x:row r="1338">
      <x:c r="A1338" s="339" t="str">
        <x:v>AC-01337</x:v>
      </x:c>
      <x:c r="B1338" s="339" t="str">
        <x:v>US-0335</x:v>
      </x:c>
      <x:c r="C1338" s="339" t="str">
        <x:v>SCR-168</x:v>
      </x:c>
      <x:c r="D1338" s="339" t="str">
        <x:v>Fees &amp; Finance</x:v>
      </x:c>
      <x:c r="E1338" s="339" t="str">
        <x:v>Vendor Management</x:v>
      </x:c>
      <x:c r="F1338" s="339" t="str">
        <x:v>Authorized access to Vendor Management</x:v>
      </x:c>
      <x:c r="G1338" s="339" t="str">
        <x:v>the Accountant is authenticated and has access to Vendor Management</x:v>
      </x:c>
      <x:c r="H1338" s="339" t="str">
        <x:v>the user opens or invokes Vendor Management</x:v>
      </x:c>
      <x:c r="I1338" s="339" t="str">
        <x:v>the system loads only records and actions within the user's permitted tenant/school/data scope</x:v>
      </x:c>
      <x:c r="J1338" s="339" t="str">
        <x:v>Positive</x:v>
      </x:c>
      <x:c r="K1338" s="339" t="str">
        <x:v>Functional / Security</x:v>
      </x:c>
    </x:row>
    <x:row r="1339">
      <x:c r="A1339" s="339" t="str">
        <x:v>AC-01338</x:v>
      </x:c>
      <x:c r="B1339" s="339" t="str">
        <x:v>US-0335</x:v>
      </x:c>
      <x:c r="C1339" s="339" t="str">
        <x:v>SCR-168</x:v>
      </x:c>
      <x:c r="D1339" s="339" t="str">
        <x:v>Fees &amp; Finance</x:v>
      </x:c>
      <x:c r="E1339" s="339" t="str">
        <x:v>Vendor Management</x:v>
      </x:c>
      <x:c r="F1339" s="339" t="str">
        <x:v>Successful Vendor Management happy path</x:v>
      </x:c>
      <x:c r="G1339" s="339" t="str">
        <x:v>all mandatory prerequisites and valid data are available</x:v>
      </x:c>
      <x:c r="H1339" s="339" t="str">
        <x:v>the Accountant completes the primary action on Vendor Management</x:v>
      </x:c>
      <x:c r="I1339" s="339" t="str">
        <x:v>the system validates the request, saves it atomically, shows a clear confirmation and reflects the updated state</x:v>
      </x:c>
      <x:c r="J1339" s="339" t="str">
        <x:v>Positive</x:v>
      </x:c>
      <x:c r="K1339" s="339" t="str">
        <x:v>Functional</x:v>
      </x:c>
    </x:row>
    <x:row r="1340">
      <x:c r="A1340" s="339" t="str">
        <x:v>AC-01339</x:v>
      </x:c>
      <x:c r="B1340" s="339" t="str">
        <x:v>US-0335</x:v>
      </x:c>
      <x:c r="C1340" s="339" t="str">
        <x:v>SCR-168</x:v>
      </x:c>
      <x:c r="D1340" s="339" t="str">
        <x:v>Fees &amp; Finance</x:v>
      </x:c>
      <x:c r="E1340" s="339" t="str">
        <x:v>Vendor Management</x:v>
      </x:c>
      <x:c r="F1340" s="339" t="str">
        <x:v>State and dependency integrity</x:v>
      </x:c>
      <x:c r="G1340" s="339" t="str">
        <x:v>the current record is in an allowed state (Draft / Posted → Due → Partially Paid → Paid / Overdue → Reversed / Refunded (controlled))</x:v>
      </x:c>
      <x:c r="H1340" s="339" t="str">
        <x:v>the user attempts a state-changing action</x:v>
      </x:c>
      <x:c r="I1340" s="339" t="str">
        <x:v>only a valid transition is accepted and dependent records are updated according to configured business rules</x:v>
      </x:c>
      <x:c r="J1340" s="339" t="str">
        <x:v>Positive</x:v>
      </x:c>
      <x:c r="K1340" s="339" t="str">
        <x:v>Functional</x:v>
      </x:c>
    </x:row>
    <x:row r="1341">
      <x:c r="A1341" s="339" t="str">
        <x:v>AC-01340</x:v>
      </x:c>
      <x:c r="B1341" s="339" t="str">
        <x:v>US-0335</x:v>
      </x:c>
      <x:c r="C1341" s="339" t="str">
        <x:v>SCR-168</x:v>
      </x:c>
      <x:c r="D1341" s="339" t="str">
        <x:v>Fees &amp; Finance</x:v>
      </x:c>
      <x:c r="E1341" s="339" t="str">
        <x:v>Vendor Management</x:v>
      </x:c>
      <x:c r="F1341" s="339" t="str">
        <x:v>Auditability</x:v>
      </x:c>
      <x:c r="G1341" s="339" t="str">
        <x:v>a material create/update/approve/reverse action occurs</x:v>
      </x:c>
      <x:c r="H1341" s="339" t="str">
        <x:v>the transaction succeeds</x:v>
      </x:c>
      <x:c r="I1341" s="339" t="str">
        <x:v>the system records actor, timestamp, action, target and relevant before/after or reason context in the audit trail</x:v>
      </x:c>
      <x:c r="J1341" s="339" t="str">
        <x:v>Positive</x:v>
      </x:c>
      <x:c r="K1341" s="339" t="str">
        <x:v>Functional</x:v>
      </x:c>
    </x:row>
    <x:row r="1342">
      <x:c r="A1342" s="339" t="str">
        <x:v>AC-01341</x:v>
      </x:c>
      <x:c r="B1342" s="339" t="str">
        <x:v>US-0336</x:v>
      </x:c>
      <x:c r="C1342" s="339" t="str">
        <x:v>SCR-168</x:v>
      </x:c>
      <x:c r="D1342" s="339" t="str">
        <x:v>Fees &amp; Finance</x:v>
      </x:c>
      <x:c r="E1342" s="339" t="str">
        <x:v>Vendor Management</x:v>
      </x:c>
      <x:c r="F1342" s="339" t="str">
        <x:v>Valid status transition</x:v>
      </x:c>
      <x:c r="G1342" s="339" t="str">
        <x:v>the record is in a state described by Draft / Posted → Due → Partially Paid → Paid / Overdue → Reversed / Refunded (controlled)</x:v>
      </x:c>
      <x:c r="H1342" s="339" t="str">
        <x:v>the user requests a transition</x:v>
      </x:c>
      <x:c r="I1342" s="339" t="str">
        <x:v>the system accepts only transitions allowed for that role and state</x:v>
      </x:c>
      <x:c r="J1342" s="339" t="str">
        <x:v>Positive</x:v>
      </x:c>
      <x:c r="K1342" s="339" t="str">
        <x:v>Functional</x:v>
      </x:c>
    </x:row>
    <x:row r="1343">
      <x:c r="A1343" s="339" t="str">
        <x:v>AC-01342</x:v>
      </x:c>
      <x:c r="B1343" s="339" t="str">
        <x:v>US-0336</x:v>
      </x:c>
      <x:c r="C1343" s="339" t="str">
        <x:v>SCR-168</x:v>
      </x:c>
      <x:c r="D1343" s="339" t="str">
        <x:v>Fees &amp; Finance</x:v>
      </x:c>
      <x:c r="E1343" s="339" t="str">
        <x:v>Vendor Management</x:v>
      </x:c>
      <x:c r="F1343" s="339" t="str">
        <x:v>Approval authority</x:v>
      </x:c>
      <x:c r="G1343" s="339" t="str">
        <x:v>an action requires approval</x:v>
      </x:c>
      <x:c r="H1343" s="339" t="str">
        <x:v>a non-authorized user attempts approval/rejection</x:v>
      </x:c>
      <x:c r="I1343" s="339" t="str">
        <x:v>the system denies the decision and does not change status</x:v>
      </x:c>
      <x:c r="J1343" s="339" t="str">
        <x:v>Negative</x:v>
      </x:c>
      <x:c r="K1343" s="339" t="str">
        <x:v>Functional</x:v>
      </x:c>
    </x:row>
    <x:row r="1344">
      <x:c r="A1344" s="339" t="str">
        <x:v>AC-01343</x:v>
      </x:c>
      <x:c r="B1344" s="339" t="str">
        <x:v>US-0336</x:v>
      </x:c>
      <x:c r="C1344" s="339" t="str">
        <x:v>SCR-168</x:v>
      </x:c>
      <x:c r="D1344" s="339" t="str">
        <x:v>Fees &amp; Finance</x:v>
      </x:c>
      <x:c r="E1344" s="339" t="str">
        <x:v>Vendor Management</x:v>
      </x:c>
      <x:c r="F1344" s="339" t="str">
        <x:v>Failure rollback</x:v>
      </x:c>
      <x:c r="G1344" s="339" t="str">
        <x:v>a downstream dependency fails during a multi-step transaction</x:v>
      </x:c>
      <x:c r="H1344" s="339" t="str">
        <x:v>the workflow executes</x:v>
      </x:c>
      <x:c r="I1344" s="339" t="str">
        <x:v>the system does not leave an invalid partial final state and surfaces a recoverable error</x:v>
      </x:c>
      <x:c r="J1344" s="339" t="str">
        <x:v>Positive</x:v>
      </x:c>
      <x:c r="K1344" s="339" t="str">
        <x:v>Functional</x:v>
      </x:c>
    </x:row>
    <x:row r="1345">
      <x:c r="A1345" s="339" t="str">
        <x:v>AC-01344</x:v>
      </x:c>
      <x:c r="B1345" s="339" t="str">
        <x:v>US-0336</x:v>
      </x:c>
      <x:c r="C1345" s="339" t="str">
        <x:v>SCR-168</x:v>
      </x:c>
      <x:c r="D1345" s="339" t="str">
        <x:v>Fees &amp; Finance</x:v>
      </x:c>
      <x:c r="E1345" s="339" t="str">
        <x:v>Vendor Management</x:v>
      </x:c>
      <x:c r="F1345" s="339" t="str">
        <x:v>Exception traceability</x:v>
      </x:c>
      <x:c r="G1345" s="339" t="str">
        <x:v>an authorized override/exception is used</x:v>
      </x:c>
      <x:c r="H1345" s="339" t="str">
        <x:v>the action is confirmed</x:v>
      </x:c>
      <x:c r="I1345" s="339" t="str">
        <x:v>the system requires reason/context and records it in the audit history</x:v>
      </x:c>
      <x:c r="J1345" s="339" t="str">
        <x:v>Positive</x:v>
      </x:c>
      <x:c r="K1345" s="339" t="str">
        <x:v>Functional</x:v>
      </x:c>
    </x:row>
    <x:row r="1346">
      <x:c r="A1346" s="339" t="str">
        <x:v>AC-01345</x:v>
      </x:c>
      <x:c r="B1346" s="339" t="str">
        <x:v>US-0337</x:v>
      </x:c>
      <x:c r="C1346" s="339" t="str">
        <x:v>SCR-169</x:v>
      </x:c>
      <x:c r="D1346" s="339" t="str">
        <x:v>Fees &amp; Finance</x:v>
      </x:c>
      <x:c r="E1346" s="339" t="str">
        <x:v>Purchase / Payment</x:v>
      </x:c>
      <x:c r="F1346" s="339" t="str">
        <x:v>Authorized access to Purchase / Payment</x:v>
      </x:c>
      <x:c r="G1346" s="339" t="str">
        <x:v>the Accountant is authenticated and has access to Purchase / Payment</x:v>
      </x:c>
      <x:c r="H1346" s="339" t="str">
        <x:v>the user opens or invokes Purchase / Payment</x:v>
      </x:c>
      <x:c r="I1346" s="339" t="str">
        <x:v>the system loads only records and actions within the user's permitted tenant/school/data scope</x:v>
      </x:c>
      <x:c r="J1346" s="339" t="str">
        <x:v>Positive</x:v>
      </x:c>
      <x:c r="K1346" s="339" t="str">
        <x:v>Functional / Security</x:v>
      </x:c>
    </x:row>
    <x:row r="1347">
      <x:c r="A1347" s="339" t="str">
        <x:v>AC-01346</x:v>
      </x:c>
      <x:c r="B1347" s="339" t="str">
        <x:v>US-0337</x:v>
      </x:c>
      <x:c r="C1347" s="339" t="str">
        <x:v>SCR-169</x:v>
      </x:c>
      <x:c r="D1347" s="339" t="str">
        <x:v>Fees &amp; Finance</x:v>
      </x:c>
      <x:c r="E1347" s="339" t="str">
        <x:v>Purchase / Payment</x:v>
      </x:c>
      <x:c r="F1347" s="339" t="str">
        <x:v>Successful Purchase / Payment happy path</x:v>
      </x:c>
      <x:c r="G1347" s="339" t="str">
        <x:v>all mandatory prerequisites and valid data are available</x:v>
      </x:c>
      <x:c r="H1347" s="339" t="str">
        <x:v>the Accountant completes the primary action on Purchase / Payment</x:v>
      </x:c>
      <x:c r="I1347" s="339" t="str">
        <x:v>the system validates the request, saves it atomically, shows a clear confirmation and reflects the updated state</x:v>
      </x:c>
      <x:c r="J1347" s="339" t="str">
        <x:v>Positive</x:v>
      </x:c>
      <x:c r="K1347" s="339" t="str">
        <x:v>Functional</x:v>
      </x:c>
    </x:row>
    <x:row r="1348">
      <x:c r="A1348" s="339" t="str">
        <x:v>AC-01347</x:v>
      </x:c>
      <x:c r="B1348" s="339" t="str">
        <x:v>US-0337</x:v>
      </x:c>
      <x:c r="C1348" s="339" t="str">
        <x:v>SCR-169</x:v>
      </x:c>
      <x:c r="D1348" s="339" t="str">
        <x:v>Fees &amp; Finance</x:v>
      </x:c>
      <x:c r="E1348" s="339" t="str">
        <x:v>Purchase / Payment</x:v>
      </x:c>
      <x:c r="F1348" s="339" t="str">
        <x:v>State and dependency integrity</x:v>
      </x:c>
      <x:c r="G1348" s="339" t="str">
        <x:v>the current record is in an allowed state (Draft / Posted → Due → Partially Paid → Paid / Overdue → Reversed / Refunded (controlled))</x:v>
      </x:c>
      <x:c r="H1348" s="339" t="str">
        <x:v>the user attempts a state-changing action</x:v>
      </x:c>
      <x:c r="I1348" s="339" t="str">
        <x:v>only a valid transition is accepted and dependent records are updated according to configured business rules</x:v>
      </x:c>
      <x:c r="J1348" s="339" t="str">
        <x:v>Positive</x:v>
      </x:c>
      <x:c r="K1348" s="339" t="str">
        <x:v>Functional</x:v>
      </x:c>
    </x:row>
    <x:row r="1349">
      <x:c r="A1349" s="339" t="str">
        <x:v>AC-01348</x:v>
      </x:c>
      <x:c r="B1349" s="339" t="str">
        <x:v>US-0337</x:v>
      </x:c>
      <x:c r="C1349" s="339" t="str">
        <x:v>SCR-169</x:v>
      </x:c>
      <x:c r="D1349" s="339" t="str">
        <x:v>Fees &amp; Finance</x:v>
      </x:c>
      <x:c r="E1349" s="339" t="str">
        <x:v>Purchase / Payment</x:v>
      </x:c>
      <x:c r="F1349" s="339" t="str">
        <x:v>Auditability</x:v>
      </x:c>
      <x:c r="G1349" s="339" t="str">
        <x:v>a material create/update/approve/reverse action occurs</x:v>
      </x:c>
      <x:c r="H1349" s="339" t="str">
        <x:v>the transaction succeeds</x:v>
      </x:c>
      <x:c r="I1349" s="339" t="str">
        <x:v>the system records actor, timestamp, action, target and relevant before/after or reason context in the audit trail</x:v>
      </x:c>
      <x:c r="J1349" s="339" t="str">
        <x:v>Positive</x:v>
      </x:c>
      <x:c r="K1349" s="339" t="str">
        <x:v>Functional</x:v>
      </x:c>
    </x:row>
    <x:row r="1350">
      <x:c r="A1350" s="339" t="str">
        <x:v>AC-01349</x:v>
      </x:c>
      <x:c r="B1350" s="339" t="str">
        <x:v>US-0338</x:v>
      </x:c>
      <x:c r="C1350" s="339" t="str">
        <x:v>SCR-169</x:v>
      </x:c>
      <x:c r="D1350" s="339" t="str">
        <x:v>Fees &amp; Finance</x:v>
      </x:c>
      <x:c r="E1350" s="339" t="str">
        <x:v>Purchase / Payment</x:v>
      </x:c>
      <x:c r="F1350" s="339" t="str">
        <x:v>Valid status transition</x:v>
      </x:c>
      <x:c r="G1350" s="339" t="str">
        <x:v>the record is in a state described by Draft / Posted → Due → Partially Paid → Paid / Overdue → Reversed / Refunded (controlled)</x:v>
      </x:c>
      <x:c r="H1350" s="339" t="str">
        <x:v>the user requests a transition</x:v>
      </x:c>
      <x:c r="I1350" s="339" t="str">
        <x:v>the system accepts only transitions allowed for that role and state</x:v>
      </x:c>
      <x:c r="J1350" s="339" t="str">
        <x:v>Positive</x:v>
      </x:c>
      <x:c r="K1350" s="339" t="str">
        <x:v>Functional</x:v>
      </x:c>
    </x:row>
    <x:row r="1351">
      <x:c r="A1351" s="339" t="str">
        <x:v>AC-01350</x:v>
      </x:c>
      <x:c r="B1351" s="339" t="str">
        <x:v>US-0338</x:v>
      </x:c>
      <x:c r="C1351" s="339" t="str">
        <x:v>SCR-169</x:v>
      </x:c>
      <x:c r="D1351" s="339" t="str">
        <x:v>Fees &amp; Finance</x:v>
      </x:c>
      <x:c r="E1351" s="339" t="str">
        <x:v>Purchase / Payment</x:v>
      </x:c>
      <x:c r="F1351" s="339" t="str">
        <x:v>Approval authority</x:v>
      </x:c>
      <x:c r="G1351" s="339" t="str">
        <x:v>an action requires approval</x:v>
      </x:c>
      <x:c r="H1351" s="339" t="str">
        <x:v>a non-authorized user attempts approval/rejection</x:v>
      </x:c>
      <x:c r="I1351" s="339" t="str">
        <x:v>the system denies the decision and does not change status</x:v>
      </x:c>
      <x:c r="J1351" s="339" t="str">
        <x:v>Negative</x:v>
      </x:c>
      <x:c r="K1351" s="339" t="str">
        <x:v>Functional</x:v>
      </x:c>
    </x:row>
    <x:row r="1352">
      <x:c r="A1352" s="339" t="str">
        <x:v>AC-01351</x:v>
      </x:c>
      <x:c r="B1352" s="339" t="str">
        <x:v>US-0338</x:v>
      </x:c>
      <x:c r="C1352" s="339" t="str">
        <x:v>SCR-169</x:v>
      </x:c>
      <x:c r="D1352" s="339" t="str">
        <x:v>Fees &amp; Finance</x:v>
      </x:c>
      <x:c r="E1352" s="339" t="str">
        <x:v>Purchase / Payment</x:v>
      </x:c>
      <x:c r="F1352" s="339" t="str">
        <x:v>Failure rollback</x:v>
      </x:c>
      <x:c r="G1352" s="339" t="str">
        <x:v>a downstream dependency fails during a multi-step transaction</x:v>
      </x:c>
      <x:c r="H1352" s="339" t="str">
        <x:v>the workflow executes</x:v>
      </x:c>
      <x:c r="I1352" s="339" t="str">
        <x:v>the system does not leave an invalid partial final state and surfaces a recoverable error</x:v>
      </x:c>
      <x:c r="J1352" s="339" t="str">
        <x:v>Positive</x:v>
      </x:c>
      <x:c r="K1352" s="339" t="str">
        <x:v>Functional</x:v>
      </x:c>
    </x:row>
    <x:row r="1353">
      <x:c r="A1353" s="339" t="str">
        <x:v>AC-01352</x:v>
      </x:c>
      <x:c r="B1353" s="339" t="str">
        <x:v>US-0338</x:v>
      </x:c>
      <x:c r="C1353" s="339" t="str">
        <x:v>SCR-169</x:v>
      </x:c>
      <x:c r="D1353" s="339" t="str">
        <x:v>Fees &amp; Finance</x:v>
      </x:c>
      <x:c r="E1353" s="339" t="str">
        <x:v>Purchase / Payment</x:v>
      </x:c>
      <x:c r="F1353" s="339" t="str">
        <x:v>Exception traceability</x:v>
      </x:c>
      <x:c r="G1353" s="339" t="str">
        <x:v>an authorized override/exception is used</x:v>
      </x:c>
      <x:c r="H1353" s="339" t="str">
        <x:v>the action is confirmed</x:v>
      </x:c>
      <x:c r="I1353" s="339" t="str">
        <x:v>the system requires reason/context and records it in the audit history</x:v>
      </x:c>
      <x:c r="J1353" s="339" t="str">
        <x:v>Positive</x:v>
      </x:c>
      <x:c r="K1353" s="339" t="str">
        <x:v>Functional</x:v>
      </x:c>
    </x:row>
    <x:row r="1354">
      <x:c r="A1354" s="339" t="str">
        <x:v>AC-01353</x:v>
      </x:c>
      <x:c r="B1354" s="339" t="str">
        <x:v>US-0339</x:v>
      </x:c>
      <x:c r="C1354" s="339" t="str">
        <x:v>SCR-170</x:v>
      </x:c>
      <x:c r="D1354" s="339" t="str">
        <x:v>Fees &amp; Finance</x:v>
      </x:c>
      <x:c r="E1354" s="339" t="str">
        <x:v>Cash &amp; Bank Book</x:v>
      </x:c>
      <x:c r="F1354" s="339" t="str">
        <x:v>Authorized access to Cash &amp; Bank Book</x:v>
      </x:c>
      <x:c r="G1354" s="339" t="str">
        <x:v>the Accountant is authenticated and has access to Cash &amp; Bank Book</x:v>
      </x:c>
      <x:c r="H1354" s="339" t="str">
        <x:v>the user opens or invokes Cash &amp; Bank Book</x:v>
      </x:c>
      <x:c r="I1354" s="339" t="str">
        <x:v>the system loads only records and actions within the user's permitted tenant/school/data scope</x:v>
      </x:c>
      <x:c r="J1354" s="339" t="str">
        <x:v>Positive</x:v>
      </x:c>
      <x:c r="K1354" s="339" t="str">
        <x:v>Functional / Security</x:v>
      </x:c>
    </x:row>
    <x:row r="1355">
      <x:c r="A1355" s="339" t="str">
        <x:v>AC-01354</x:v>
      </x:c>
      <x:c r="B1355" s="339" t="str">
        <x:v>US-0339</x:v>
      </x:c>
      <x:c r="C1355" s="339" t="str">
        <x:v>SCR-170</x:v>
      </x:c>
      <x:c r="D1355" s="339" t="str">
        <x:v>Fees &amp; Finance</x:v>
      </x:c>
      <x:c r="E1355" s="339" t="str">
        <x:v>Cash &amp; Bank Book</x:v>
      </x:c>
      <x:c r="F1355" s="339" t="str">
        <x:v>Successful Cash &amp; Bank Book happy path</x:v>
      </x:c>
      <x:c r="G1355" s="339" t="str">
        <x:v>all mandatory prerequisites and valid data are available</x:v>
      </x:c>
      <x:c r="H1355" s="339" t="str">
        <x:v>the Accountant completes the primary action on Cash &amp; Bank Book</x:v>
      </x:c>
      <x:c r="I1355" s="339" t="str">
        <x:v>the system validates the request, saves it atomically, shows a clear confirmation and reflects the updated state</x:v>
      </x:c>
      <x:c r="J1355" s="339" t="str">
        <x:v>Positive</x:v>
      </x:c>
      <x:c r="K1355" s="339" t="str">
        <x:v>Functional</x:v>
      </x:c>
    </x:row>
    <x:row r="1356">
      <x:c r="A1356" s="339" t="str">
        <x:v>AC-01355</x:v>
      </x:c>
      <x:c r="B1356" s="339" t="str">
        <x:v>US-0339</x:v>
      </x:c>
      <x:c r="C1356" s="339" t="str">
        <x:v>SCR-170</x:v>
      </x:c>
      <x:c r="D1356" s="339" t="str">
        <x:v>Fees &amp; Finance</x:v>
      </x:c>
      <x:c r="E1356" s="339" t="str">
        <x:v>Cash &amp; Bank Book</x:v>
      </x:c>
      <x:c r="F1356" s="339" t="str">
        <x:v>State and dependency integrity</x:v>
      </x:c>
      <x:c r="G1356" s="339" t="str">
        <x:v>the current record is in an allowed state (Draft / Posted → Due → Partially Paid → Paid / Overdue → Reversed / Refunded (controlled))</x:v>
      </x:c>
      <x:c r="H1356" s="339" t="str">
        <x:v>the user attempts a state-changing action</x:v>
      </x:c>
      <x:c r="I1356" s="339" t="str">
        <x:v>only a valid transition is accepted and dependent records are updated according to configured business rules</x:v>
      </x:c>
      <x:c r="J1356" s="339" t="str">
        <x:v>Positive</x:v>
      </x:c>
      <x:c r="K1356" s="339" t="str">
        <x:v>Functional</x:v>
      </x:c>
    </x:row>
    <x:row r="1357">
      <x:c r="A1357" s="339" t="str">
        <x:v>AC-01356</x:v>
      </x:c>
      <x:c r="B1357" s="339" t="str">
        <x:v>US-0339</x:v>
      </x:c>
      <x:c r="C1357" s="339" t="str">
        <x:v>SCR-170</x:v>
      </x:c>
      <x:c r="D1357" s="339" t="str">
        <x:v>Fees &amp; Finance</x:v>
      </x:c>
      <x:c r="E1357" s="339" t="str">
        <x:v>Cash &amp; Bank Book</x:v>
      </x:c>
      <x:c r="F1357" s="339" t="str">
        <x:v>Auditability</x:v>
      </x:c>
      <x:c r="G1357" s="339" t="str">
        <x:v>a material create/update/approve/reverse action occurs</x:v>
      </x:c>
      <x:c r="H1357" s="339" t="str">
        <x:v>the transaction succeeds</x:v>
      </x:c>
      <x:c r="I1357" s="339" t="str">
        <x:v>the system records actor, timestamp, action, target and relevant before/after or reason context in the audit trail</x:v>
      </x:c>
      <x:c r="J1357" s="339" t="str">
        <x:v>Positive</x:v>
      </x:c>
      <x:c r="K1357" s="339" t="str">
        <x:v>Functional</x:v>
      </x:c>
    </x:row>
    <x:row r="1358">
      <x:c r="A1358" s="339" t="str">
        <x:v>AC-01357</x:v>
      </x:c>
      <x:c r="B1358" s="339" t="str">
        <x:v>US-0340</x:v>
      </x:c>
      <x:c r="C1358" s="339" t="str">
        <x:v>SCR-170</x:v>
      </x:c>
      <x:c r="D1358" s="339" t="str">
        <x:v>Fees &amp; Finance</x:v>
      </x:c>
      <x:c r="E1358" s="339" t="str">
        <x:v>Cash &amp; Bank Book</x:v>
      </x:c>
      <x:c r="F1358" s="339" t="str">
        <x:v>Valid status transition</x:v>
      </x:c>
      <x:c r="G1358" s="339" t="str">
        <x:v>the record is in a state described by Draft / Posted → Due → Partially Paid → Paid / Overdue → Reversed / Refunded (controlled)</x:v>
      </x:c>
      <x:c r="H1358" s="339" t="str">
        <x:v>the user requests a transition</x:v>
      </x:c>
      <x:c r="I1358" s="339" t="str">
        <x:v>the system accepts only transitions allowed for that role and state</x:v>
      </x:c>
      <x:c r="J1358" s="339" t="str">
        <x:v>Positive</x:v>
      </x:c>
      <x:c r="K1358" s="339" t="str">
        <x:v>Functional</x:v>
      </x:c>
    </x:row>
    <x:row r="1359">
      <x:c r="A1359" s="339" t="str">
        <x:v>AC-01358</x:v>
      </x:c>
      <x:c r="B1359" s="339" t="str">
        <x:v>US-0340</x:v>
      </x:c>
      <x:c r="C1359" s="339" t="str">
        <x:v>SCR-170</x:v>
      </x:c>
      <x:c r="D1359" s="339" t="str">
        <x:v>Fees &amp; Finance</x:v>
      </x:c>
      <x:c r="E1359" s="339" t="str">
        <x:v>Cash &amp; Bank Book</x:v>
      </x:c>
      <x:c r="F1359" s="339" t="str">
        <x:v>Approval authority</x:v>
      </x:c>
      <x:c r="G1359" s="339" t="str">
        <x:v>an action requires approval</x:v>
      </x:c>
      <x:c r="H1359" s="339" t="str">
        <x:v>a non-authorized user attempts approval/rejection</x:v>
      </x:c>
      <x:c r="I1359" s="339" t="str">
        <x:v>the system denies the decision and does not change status</x:v>
      </x:c>
      <x:c r="J1359" s="339" t="str">
        <x:v>Negative</x:v>
      </x:c>
      <x:c r="K1359" s="339" t="str">
        <x:v>Functional</x:v>
      </x:c>
    </x:row>
    <x:row r="1360">
      <x:c r="A1360" s="339" t="str">
        <x:v>AC-01359</x:v>
      </x:c>
      <x:c r="B1360" s="339" t="str">
        <x:v>US-0340</x:v>
      </x:c>
      <x:c r="C1360" s="339" t="str">
        <x:v>SCR-170</x:v>
      </x:c>
      <x:c r="D1360" s="339" t="str">
        <x:v>Fees &amp; Finance</x:v>
      </x:c>
      <x:c r="E1360" s="339" t="str">
        <x:v>Cash &amp; Bank Book</x:v>
      </x:c>
      <x:c r="F1360" s="339" t="str">
        <x:v>Failure rollback</x:v>
      </x:c>
      <x:c r="G1360" s="339" t="str">
        <x:v>a downstream dependency fails during a multi-step transaction</x:v>
      </x:c>
      <x:c r="H1360" s="339" t="str">
        <x:v>the workflow executes</x:v>
      </x:c>
      <x:c r="I1360" s="339" t="str">
        <x:v>the system does not leave an invalid partial final state and surfaces a recoverable error</x:v>
      </x:c>
      <x:c r="J1360" s="339" t="str">
        <x:v>Positive</x:v>
      </x:c>
      <x:c r="K1360" s="339" t="str">
        <x:v>Functional</x:v>
      </x:c>
    </x:row>
    <x:row r="1361">
      <x:c r="A1361" s="339" t="str">
        <x:v>AC-01360</x:v>
      </x:c>
      <x:c r="B1361" s="339" t="str">
        <x:v>US-0340</x:v>
      </x:c>
      <x:c r="C1361" s="339" t="str">
        <x:v>SCR-170</x:v>
      </x:c>
      <x:c r="D1361" s="339" t="str">
        <x:v>Fees &amp; Finance</x:v>
      </x:c>
      <x:c r="E1361" s="339" t="str">
        <x:v>Cash &amp; Bank Book</x:v>
      </x:c>
      <x:c r="F1361" s="339" t="str">
        <x:v>Exception traceability</x:v>
      </x:c>
      <x:c r="G1361" s="339" t="str">
        <x:v>an authorized override/exception is used</x:v>
      </x:c>
      <x:c r="H1361" s="339" t="str">
        <x:v>the action is confirmed</x:v>
      </x:c>
      <x:c r="I1361" s="339" t="str">
        <x:v>the system requires reason/context and records it in the audit history</x:v>
      </x:c>
      <x:c r="J1361" s="339" t="str">
        <x:v>Positive</x:v>
      </x:c>
      <x:c r="K1361" s="339" t="str">
        <x:v>Functional</x:v>
      </x:c>
    </x:row>
    <x:row r="1362">
      <x:c r="A1362" s="339" t="str">
        <x:v>AC-01361</x:v>
      </x:c>
      <x:c r="B1362" s="339" t="str">
        <x:v>US-0341</x:v>
      </x:c>
      <x:c r="C1362" s="339" t="str">
        <x:v>SCR-171</x:v>
      </x:c>
      <x:c r="D1362" s="339" t="str">
        <x:v>Fees &amp; Finance</x:v>
      </x:c>
      <x:c r="E1362" s="339" t="str">
        <x:v>Finance Reports</x:v>
      </x:c>
      <x:c r="F1362" s="339" t="str">
        <x:v>Authorized access to Finance Reports</x:v>
      </x:c>
      <x:c r="G1362" s="339" t="str">
        <x:v>the Accountant is authenticated and has access to Finance Reports</x:v>
      </x:c>
      <x:c r="H1362" s="339" t="str">
        <x:v>the user opens or invokes Finance Reports</x:v>
      </x:c>
      <x:c r="I1362" s="339" t="str">
        <x:v>the system loads only records and actions within the user's permitted tenant/school/data scope</x:v>
      </x:c>
      <x:c r="J1362" s="339" t="str">
        <x:v>Positive</x:v>
      </x:c>
      <x:c r="K1362" s="339" t="str">
        <x:v>Functional / Security</x:v>
      </x:c>
    </x:row>
    <x:row r="1363">
      <x:c r="A1363" s="339" t="str">
        <x:v>AC-01362</x:v>
      </x:c>
      <x:c r="B1363" s="339" t="str">
        <x:v>US-0341</x:v>
      </x:c>
      <x:c r="C1363" s="339" t="str">
        <x:v>SCR-171</x:v>
      </x:c>
      <x:c r="D1363" s="339" t="str">
        <x:v>Fees &amp; Finance</x:v>
      </x:c>
      <x:c r="E1363" s="339" t="str">
        <x:v>Finance Reports</x:v>
      </x:c>
      <x:c r="F1363" s="339" t="str">
        <x:v>Successful Finance Reports happy path</x:v>
      </x:c>
      <x:c r="G1363" s="339" t="str">
        <x:v>all mandatory prerequisites and valid data are available</x:v>
      </x:c>
      <x:c r="H1363" s="339" t="str">
        <x:v>the Accountant completes the primary action on Finance Reports</x:v>
      </x:c>
      <x:c r="I1363" s="339" t="str">
        <x:v>the system validates the request, saves it atomically, shows a clear confirmation and reflects the updated state</x:v>
      </x:c>
      <x:c r="J1363" s="339" t="str">
        <x:v>Positive</x:v>
      </x:c>
      <x:c r="K1363" s="339" t="str">
        <x:v>Functional</x:v>
      </x:c>
    </x:row>
    <x:row r="1364">
      <x:c r="A1364" s="339" t="str">
        <x:v>AC-01363</x:v>
      </x:c>
      <x:c r="B1364" s="339" t="str">
        <x:v>US-0341</x:v>
      </x:c>
      <x:c r="C1364" s="339" t="str">
        <x:v>SCR-171</x:v>
      </x:c>
      <x:c r="D1364" s="339" t="str">
        <x:v>Fees &amp; Finance</x:v>
      </x:c>
      <x:c r="E1364" s="339" t="str">
        <x:v>Finance Reports</x:v>
      </x:c>
      <x:c r="F1364" s="339" t="str">
        <x:v>State and dependency integrity</x:v>
      </x:c>
      <x:c r="G1364" s="339" t="str">
        <x:v>the current record is in an allowed state (Draft / Posted → Due → Partially Paid → Paid / Overdue → Reversed / Refunded (controlled))</x:v>
      </x:c>
      <x:c r="H1364" s="339" t="str">
        <x:v>the user attempts a state-changing action</x:v>
      </x:c>
      <x:c r="I1364" s="339" t="str">
        <x:v>only a valid transition is accepted and dependent records are updated according to configured business rules</x:v>
      </x:c>
      <x:c r="J1364" s="339" t="str">
        <x:v>Positive</x:v>
      </x:c>
      <x:c r="K1364" s="339" t="str">
        <x:v>Functional</x:v>
      </x:c>
    </x:row>
    <x:row r="1365">
      <x:c r="A1365" s="339" t="str">
        <x:v>AC-01364</x:v>
      </x:c>
      <x:c r="B1365" s="339" t="str">
        <x:v>US-0341</x:v>
      </x:c>
      <x:c r="C1365" s="339" t="str">
        <x:v>SCR-171</x:v>
      </x:c>
      <x:c r="D1365" s="339" t="str">
        <x:v>Fees &amp; Finance</x:v>
      </x:c>
      <x:c r="E1365" s="339" t="str">
        <x:v>Finance Reports</x:v>
      </x:c>
      <x:c r="F1365" s="339" t="str">
        <x:v>Auditability</x:v>
      </x:c>
      <x:c r="G1365" s="339" t="str">
        <x:v>a material create/update/approve/reverse action occurs</x:v>
      </x:c>
      <x:c r="H1365" s="339" t="str">
        <x:v>the transaction succeeds</x:v>
      </x:c>
      <x:c r="I1365" s="339" t="str">
        <x:v>the system records actor, timestamp, action, target and relevant before/after or reason context in the audit trail</x:v>
      </x:c>
      <x:c r="J1365" s="339" t="str">
        <x:v>Positive</x:v>
      </x:c>
      <x:c r="K1365" s="339" t="str">
        <x:v>Functional</x:v>
      </x:c>
    </x:row>
    <x:row r="1366">
      <x:c r="A1366" s="339" t="str">
        <x:v>AC-01365</x:v>
      </x:c>
      <x:c r="B1366" s="339" t="str">
        <x:v>US-0342</x:v>
      </x:c>
      <x:c r="C1366" s="339" t="str">
        <x:v>SCR-171</x:v>
      </x:c>
      <x:c r="D1366" s="339" t="str">
        <x:v>Fees &amp; Finance</x:v>
      </x:c>
      <x:c r="E1366" s="339" t="str">
        <x:v>Finance Reports</x:v>
      </x:c>
      <x:c r="F1366" s="339" t="str">
        <x:v>Filter accuracy</x:v>
      </x:c>
      <x:c r="G1366" s="339" t="str">
        <x:v>source data exists across multiple periods/scopes</x:v>
      </x:c>
      <x:c r="H1366" s="339" t="str">
        <x:v>the user applies report filters</x:v>
      </x:c>
      <x:c r="I1366" s="339" t="str">
        <x:v>aggregates and rows include only authorized data matching the filters</x:v>
      </x:c>
      <x:c r="J1366" s="339" t="str">
        <x:v>Positive</x:v>
      </x:c>
      <x:c r="K1366" s="339" t="str">
        <x:v>Functional</x:v>
      </x:c>
    </x:row>
    <x:row r="1367">
      <x:c r="A1367" s="339" t="str">
        <x:v>AC-01366</x:v>
      </x:c>
      <x:c r="B1367" s="339" t="str">
        <x:v>US-0342</x:v>
      </x:c>
      <x:c r="C1367" s="339" t="str">
        <x:v>SCR-171</x:v>
      </x:c>
      <x:c r="D1367" s="339" t="str">
        <x:v>Fees &amp; Finance</x:v>
      </x:c>
      <x:c r="E1367" s="339" t="str">
        <x:v>Finance Reports</x:v>
      </x:c>
      <x:c r="F1367" s="339" t="str">
        <x:v>Formula consistency</x:v>
      </x:c>
      <x:c r="G1367" s="339" t="str">
        <x:v>the report contains calculated metrics</x:v>
      </x:c>
      <x:c r="H1367" s="339" t="str">
        <x:v>the report is generated</x:v>
      </x:c>
      <x:c r="I1367" s="339" t="str">
        <x:v>calculations follow the approved rule: Outstanding = posted charges + applicable fines - discounts/waivers/credits - settled payments ± reversals/adjustments.</x:v>
      </x:c>
      <x:c r="J1367" s="339" t="str">
        <x:v>Positive</x:v>
      </x:c>
      <x:c r="K1367" s="339" t="str">
        <x:v>Functional</x:v>
      </x:c>
    </x:row>
    <x:row r="1368">
      <x:c r="A1368" s="339" t="str">
        <x:v>AC-01367</x:v>
      </x:c>
      <x:c r="B1368" s="339" t="str">
        <x:v>US-0342</x:v>
      </x:c>
      <x:c r="C1368" s="339" t="str">
        <x:v>SCR-171</x:v>
      </x:c>
      <x:c r="D1368" s="339" t="str">
        <x:v>Fees &amp; Finance</x:v>
      </x:c>
      <x:c r="E1368" s="339" t="str">
        <x:v>Finance Reports</x:v>
      </x:c>
      <x:c r="F1368" s="339" t="str">
        <x:v>Reconciliation</x:v>
      </x:c>
      <x:c r="G1368" s="339" t="str">
        <x:v>a report total is displayed</x:v>
      </x:c>
      <x:c r="H1368" s="339" t="str">
        <x:v>the user drills to supporting data</x:v>
      </x:c>
      <x:c r="I1368" s="339" t="str">
        <x:v>the supporting rows reconcile to the displayed total within defined rounding rules</x:v>
      </x:c>
      <x:c r="J1368" s="339" t="str">
        <x:v>Positive</x:v>
      </x:c>
      <x:c r="K1368" s="339" t="str">
        <x:v>Functional</x:v>
      </x:c>
    </x:row>
    <x:row r="1369">
      <x:c r="A1369" s="339" t="str">
        <x:v>AC-01368</x:v>
      </x:c>
      <x:c r="B1369" s="339" t="str">
        <x:v>US-0342</x:v>
      </x:c>
      <x:c r="C1369" s="339" t="str">
        <x:v>SCR-171</x:v>
      </x:c>
      <x:c r="D1369" s="339" t="str">
        <x:v>Fees &amp; Finance</x:v>
      </x:c>
      <x:c r="E1369" s="339" t="str">
        <x:v>Finance Reports</x:v>
      </x:c>
      <x:c r="F1369" s="339" t="str">
        <x:v>Export fidelity</x:v>
      </x:c>
      <x:c r="G1369" s="339" t="str">
        <x:v>the user has export permission</x:v>
      </x:c>
      <x:c r="H1369" s="339" t="str">
        <x:v>the report is exported</x:v>
      </x:c>
      <x:c r="I1369" s="339" t="str">
        <x:v>the export preserves filter context, values and permitted columns and includes a run timestamp/context where appropriate</x:v>
      </x:c>
      <x:c r="J1369" s="339" t="str">
        <x:v>Positive</x:v>
      </x:c>
      <x:c r="K1369" s="339" t="str">
        <x:v>Functional</x:v>
      </x:c>
    </x:row>
    <x:row r="1370">
      <x:c r="A1370" s="339" t="str">
        <x:v>AC-01369</x:v>
      </x:c>
      <x:c r="B1370" s="339" t="str">
        <x:v>US-0343</x:v>
      </x:c>
      <x:c r="C1370" s="339" t="str">
        <x:v>SCR-172</x:v>
      </x:c>
      <x:c r="D1370" s="339" t="str">
        <x:v>HR / Leave / Payroll</x:v>
      </x:c>
      <x:c r="E1370" s="339" t="str">
        <x:v>Recruitment Requisitions</x:v>
      </x:c>
      <x:c r="F1370" s="339" t="str">
        <x:v>Authorized access to Recruitment Requisitions</x:v>
      </x:c>
      <x:c r="G1370" s="339" t="str">
        <x:v>the HR is authenticated and has access to Recruitment Requisitions</x:v>
      </x:c>
      <x:c r="H1370" s="339" t="str">
        <x:v>the user opens or invokes Recruitment Requisitions</x:v>
      </x:c>
      <x:c r="I1370" s="339" t="str">
        <x:v>the system loads only records and actions within the user's permitted tenant/school/data scope</x:v>
      </x:c>
      <x:c r="J1370" s="339" t="str">
        <x:v>Positive</x:v>
      </x:c>
      <x:c r="K1370" s="339" t="str">
        <x:v>Functional / Security</x:v>
      </x:c>
    </x:row>
    <x:row r="1371">
      <x:c r="A1371" s="339" t="str">
        <x:v>AC-01370</x:v>
      </x:c>
      <x:c r="B1371" s="339" t="str">
        <x:v>US-0343</x:v>
      </x:c>
      <x:c r="C1371" s="339" t="str">
        <x:v>SCR-172</x:v>
      </x:c>
      <x:c r="D1371" s="339" t="str">
        <x:v>HR / Leave / Payroll</x:v>
      </x:c>
      <x:c r="E1371" s="339" t="str">
        <x:v>Recruitment Requisitions</x:v>
      </x:c>
      <x:c r="F1371" s="339" t="str">
        <x:v>Successful Recruitment Requisitions happy path</x:v>
      </x:c>
      <x:c r="G1371" s="339" t="str">
        <x:v>all mandatory prerequisites and valid data are available</x:v>
      </x:c>
      <x:c r="H1371" s="339" t="str">
        <x:v>the HR completes the primary action on Recruitment Requisitions</x:v>
      </x:c>
      <x:c r="I1371" s="339" t="str">
        <x:v>the system validates the request, saves it atomically, shows a clear confirmation and reflects the updated state</x:v>
      </x:c>
      <x:c r="J1371" s="339" t="str">
        <x:v>Positive</x:v>
      </x:c>
      <x:c r="K1371" s="339" t="str">
        <x:v>Functional</x:v>
      </x:c>
    </x:row>
    <x:row r="1372">
      <x:c r="A1372" s="339" t="str">
        <x:v>AC-01371</x:v>
      </x:c>
      <x:c r="B1372" s="339" t="str">
        <x:v>US-0343</x:v>
      </x:c>
      <x:c r="C1372" s="339" t="str">
        <x:v>SCR-172</x:v>
      </x:c>
      <x:c r="D1372" s="339" t="str">
        <x:v>HR / Leave / Payroll</x:v>
      </x:c>
      <x:c r="E1372" s="339" t="str">
        <x:v>Recruitment Requisitions</x:v>
      </x:c>
      <x:c r="F1372" s="339" t="str">
        <x:v>State and dependency integrity</x:v>
      </x:c>
      <x:c r="G1372" s="339" t="str">
        <x:v>the current record is in an allowed state (Draft → Active → Completed / Closed)</x:v>
      </x:c>
      <x:c r="H1372" s="339" t="str">
        <x:v>the user attempts a state-changing action</x:v>
      </x:c>
      <x:c r="I1372" s="339" t="str">
        <x:v>only a valid transition is accepted and dependent records are updated according to configured business rules</x:v>
      </x:c>
      <x:c r="J1372" s="339" t="str">
        <x:v>Positive</x:v>
      </x:c>
      <x:c r="K1372" s="339" t="str">
        <x:v>Functional</x:v>
      </x:c>
    </x:row>
    <x:row r="1373">
      <x:c r="A1373" s="339" t="str">
        <x:v>AC-01372</x:v>
      </x:c>
      <x:c r="B1373" s="339" t="str">
        <x:v>US-0343</x:v>
      </x:c>
      <x:c r="C1373" s="339" t="str">
        <x:v>SCR-172</x:v>
      </x:c>
      <x:c r="D1373" s="339" t="str">
        <x:v>HR / Leave / Payroll</x:v>
      </x:c>
      <x:c r="E1373" s="339" t="str">
        <x:v>Recruitment Requisitions</x:v>
      </x:c>
      <x:c r="F1373" s="339" t="str">
        <x:v>Auditability</x:v>
      </x:c>
      <x:c r="G1373" s="339" t="str">
        <x:v>a material create/update/approve/reverse action occurs</x:v>
      </x:c>
      <x:c r="H1373" s="339" t="str">
        <x:v>the transaction succeeds</x:v>
      </x:c>
      <x:c r="I1373" s="339" t="str">
        <x:v>the system records actor, timestamp, action, target and relevant before/after or reason context in the audit trail</x:v>
      </x:c>
      <x:c r="J1373" s="339" t="str">
        <x:v>Positive</x:v>
      </x:c>
      <x:c r="K1373" s="339" t="str">
        <x:v>Functional</x:v>
      </x:c>
    </x:row>
    <x:row r="1374">
      <x:c r="A1374" s="339" t="str">
        <x:v>AC-01373</x:v>
      </x:c>
      <x:c r="B1374" s="339" t="str">
        <x:v>US-0344</x:v>
      </x:c>
      <x:c r="C1374" s="339" t="str">
        <x:v>SCR-172</x:v>
      </x:c>
      <x:c r="D1374" s="339" t="str">
        <x:v>HR / Leave / Payroll</x:v>
      </x:c>
      <x:c r="E1374" s="339" t="str">
        <x:v>Recruitment Requisitions</x:v>
      </x:c>
      <x:c r="F1374" s="339" t="str">
        <x:v>Valid status transition</x:v>
      </x:c>
      <x:c r="G1374" s="339" t="str">
        <x:v>the record is in a state described by Draft → Active → Completed / Closed</x:v>
      </x:c>
      <x:c r="H1374" s="339" t="str">
        <x:v>the user requests a transition</x:v>
      </x:c>
      <x:c r="I1374" s="339" t="str">
        <x:v>the system accepts only transitions allowed for that role and state</x:v>
      </x:c>
      <x:c r="J1374" s="339" t="str">
        <x:v>Positive</x:v>
      </x:c>
      <x:c r="K1374" s="339" t="str">
        <x:v>Functional</x:v>
      </x:c>
    </x:row>
    <x:row r="1375">
      <x:c r="A1375" s="339" t="str">
        <x:v>AC-01374</x:v>
      </x:c>
      <x:c r="B1375" s="339" t="str">
        <x:v>US-0344</x:v>
      </x:c>
      <x:c r="C1375" s="339" t="str">
        <x:v>SCR-172</x:v>
      </x:c>
      <x:c r="D1375" s="339" t="str">
        <x:v>HR / Leave / Payroll</x:v>
      </x:c>
      <x:c r="E1375" s="339" t="str">
        <x:v>Recruitment Requisitions</x:v>
      </x:c>
      <x:c r="F1375" s="339" t="str">
        <x:v>Approval authority</x:v>
      </x:c>
      <x:c r="G1375" s="339" t="str">
        <x:v>an action requires approval</x:v>
      </x:c>
      <x:c r="H1375" s="339" t="str">
        <x:v>a non-authorized user attempts approval/rejection</x:v>
      </x:c>
      <x:c r="I1375" s="339" t="str">
        <x:v>the system denies the decision and does not change status</x:v>
      </x:c>
      <x:c r="J1375" s="339" t="str">
        <x:v>Negative</x:v>
      </x:c>
      <x:c r="K1375" s="339" t="str">
        <x:v>Functional</x:v>
      </x:c>
    </x:row>
    <x:row r="1376">
      <x:c r="A1376" s="339" t="str">
        <x:v>AC-01375</x:v>
      </x:c>
      <x:c r="B1376" s="339" t="str">
        <x:v>US-0344</x:v>
      </x:c>
      <x:c r="C1376" s="339" t="str">
        <x:v>SCR-172</x:v>
      </x:c>
      <x:c r="D1376" s="339" t="str">
        <x:v>HR / Leave / Payroll</x:v>
      </x:c>
      <x:c r="E1376" s="339" t="str">
        <x:v>Recruitment Requisitions</x:v>
      </x:c>
      <x:c r="F1376" s="339" t="str">
        <x:v>Failure rollback</x:v>
      </x:c>
      <x:c r="G1376" s="339" t="str">
        <x:v>a downstream dependency fails during a multi-step transaction</x:v>
      </x:c>
      <x:c r="H1376" s="339" t="str">
        <x:v>the workflow executes</x:v>
      </x:c>
      <x:c r="I1376" s="339" t="str">
        <x:v>the system does not leave an invalid partial final state and surfaces a recoverable error</x:v>
      </x:c>
      <x:c r="J1376" s="339" t="str">
        <x:v>Positive</x:v>
      </x:c>
      <x:c r="K1376" s="339" t="str">
        <x:v>Functional</x:v>
      </x:c>
    </x:row>
    <x:row r="1377">
      <x:c r="A1377" s="339" t="str">
        <x:v>AC-01376</x:v>
      </x:c>
      <x:c r="B1377" s="339" t="str">
        <x:v>US-0344</x:v>
      </x:c>
      <x:c r="C1377" s="339" t="str">
        <x:v>SCR-172</x:v>
      </x:c>
      <x:c r="D1377" s="339" t="str">
        <x:v>HR / Leave / Payroll</x:v>
      </x:c>
      <x:c r="E1377" s="339" t="str">
        <x:v>Recruitment Requisitions</x:v>
      </x:c>
      <x:c r="F1377" s="339" t="str">
        <x:v>Exception traceability</x:v>
      </x:c>
      <x:c r="G1377" s="339" t="str">
        <x:v>an authorized override/exception is used</x:v>
      </x:c>
      <x:c r="H1377" s="339" t="str">
        <x:v>the action is confirmed</x:v>
      </x:c>
      <x:c r="I1377" s="339" t="str">
        <x:v>the system requires reason/context and records it in the audit history</x:v>
      </x:c>
      <x:c r="J1377" s="339" t="str">
        <x:v>Positive</x:v>
      </x:c>
      <x:c r="K1377" s="339" t="str">
        <x:v>Functional</x:v>
      </x:c>
    </x:row>
    <x:row r="1378">
      <x:c r="A1378" s="339" t="str">
        <x:v>AC-01377</x:v>
      </x:c>
      <x:c r="B1378" s="339" t="str">
        <x:v>US-0345</x:v>
      </x:c>
      <x:c r="C1378" s="339" t="str">
        <x:v>SCR-173</x:v>
      </x:c>
      <x:c r="D1378" s="339" t="str">
        <x:v>HR / Leave / Payroll</x:v>
      </x:c>
      <x:c r="E1378" s="339" t="str">
        <x:v>Job Openings</x:v>
      </x:c>
      <x:c r="F1378" s="339" t="str">
        <x:v>Authorized access to Job Openings</x:v>
      </x:c>
      <x:c r="G1378" s="339" t="str">
        <x:v>the HR is authenticated and has access to Job Openings</x:v>
      </x:c>
      <x:c r="H1378" s="339" t="str">
        <x:v>the user opens or invokes Job Openings</x:v>
      </x:c>
      <x:c r="I1378" s="339" t="str">
        <x:v>the system loads only records and actions within the user's permitted tenant/school/data scope</x:v>
      </x:c>
      <x:c r="J1378" s="339" t="str">
        <x:v>Positive</x:v>
      </x:c>
      <x:c r="K1378" s="339" t="str">
        <x:v>Functional / Security</x:v>
      </x:c>
    </x:row>
    <x:row r="1379">
      <x:c r="A1379" s="339" t="str">
        <x:v>AC-01378</x:v>
      </x:c>
      <x:c r="B1379" s="339" t="str">
        <x:v>US-0345</x:v>
      </x:c>
      <x:c r="C1379" s="339" t="str">
        <x:v>SCR-173</x:v>
      </x:c>
      <x:c r="D1379" s="339" t="str">
        <x:v>HR / Leave / Payroll</x:v>
      </x:c>
      <x:c r="E1379" s="339" t="str">
        <x:v>Job Openings</x:v>
      </x:c>
      <x:c r="F1379" s="339" t="str">
        <x:v>Successful Job Openings happy path</x:v>
      </x:c>
      <x:c r="G1379" s="339" t="str">
        <x:v>all mandatory prerequisites and valid data are available</x:v>
      </x:c>
      <x:c r="H1379" s="339" t="str">
        <x:v>the HR completes the primary action on Job Openings</x:v>
      </x:c>
      <x:c r="I1379" s="339" t="str">
        <x:v>the system validates the request, saves it atomically, shows a clear confirmation and reflects the updated state</x:v>
      </x:c>
      <x:c r="J1379" s="339" t="str">
        <x:v>Positive</x:v>
      </x:c>
      <x:c r="K1379" s="339" t="str">
        <x:v>Functional</x:v>
      </x:c>
    </x:row>
    <x:row r="1380">
      <x:c r="A1380" s="339" t="str">
        <x:v>AC-01379</x:v>
      </x:c>
      <x:c r="B1380" s="339" t="str">
        <x:v>US-0345</x:v>
      </x:c>
      <x:c r="C1380" s="339" t="str">
        <x:v>SCR-173</x:v>
      </x:c>
      <x:c r="D1380" s="339" t="str">
        <x:v>HR / Leave / Payroll</x:v>
      </x:c>
      <x:c r="E1380" s="339" t="str">
        <x:v>Job Openings</x:v>
      </x:c>
      <x:c r="F1380" s="339" t="str">
        <x:v>State and dependency integrity</x:v>
      </x:c>
      <x:c r="G1380" s="339" t="str">
        <x:v>the current record is in an allowed state (Draft → Active → Completed / Closed)</x:v>
      </x:c>
      <x:c r="H1380" s="339" t="str">
        <x:v>the user attempts a state-changing action</x:v>
      </x:c>
      <x:c r="I1380" s="339" t="str">
        <x:v>only a valid transition is accepted and dependent records are updated according to configured business rules</x:v>
      </x:c>
      <x:c r="J1380" s="339" t="str">
        <x:v>Positive</x:v>
      </x:c>
      <x:c r="K1380" s="339" t="str">
        <x:v>Functional</x:v>
      </x:c>
    </x:row>
    <x:row r="1381">
      <x:c r="A1381" s="339" t="str">
        <x:v>AC-01380</x:v>
      </x:c>
      <x:c r="B1381" s="339" t="str">
        <x:v>US-0345</x:v>
      </x:c>
      <x:c r="C1381" s="339" t="str">
        <x:v>SCR-173</x:v>
      </x:c>
      <x:c r="D1381" s="339" t="str">
        <x:v>HR / Leave / Payroll</x:v>
      </x:c>
      <x:c r="E1381" s="339" t="str">
        <x:v>Job Openings</x:v>
      </x:c>
      <x:c r="F1381" s="339" t="str">
        <x:v>Auditability</x:v>
      </x:c>
      <x:c r="G1381" s="339" t="str">
        <x:v>a material create/update/approve/reverse action occurs</x:v>
      </x:c>
      <x:c r="H1381" s="339" t="str">
        <x:v>the transaction succeeds</x:v>
      </x:c>
      <x:c r="I1381" s="339" t="str">
        <x:v>the system records actor, timestamp, action, target and relevant before/after or reason context in the audit trail</x:v>
      </x:c>
      <x:c r="J1381" s="339" t="str">
        <x:v>Positive</x:v>
      </x:c>
      <x:c r="K1381" s="339" t="str">
        <x:v>Functional</x:v>
      </x:c>
    </x:row>
    <x:row r="1382">
      <x:c r="A1382" s="339" t="str">
        <x:v>AC-01381</x:v>
      </x:c>
      <x:c r="B1382" s="339" t="str">
        <x:v>US-0346</x:v>
      </x:c>
      <x:c r="C1382" s="339" t="str">
        <x:v>SCR-173</x:v>
      </x:c>
      <x:c r="D1382" s="339" t="str">
        <x:v>HR / Leave / Payroll</x:v>
      </x:c>
      <x:c r="E1382" s="339" t="str">
        <x:v>Job Openings</x:v>
      </x:c>
      <x:c r="F1382" s="339" t="str">
        <x:v>Search and filtering</x:v>
      </x:c>
      <x:c r="G1382" s="339" t="str">
        <x:v>authorized records exist across multiple values</x:v>
      </x:c>
      <x:c r="H1382" s="339" t="str">
        <x:v>the user applies search, filters, sorting or pagination</x:v>
      </x:c>
      <x:c r="I1382" s="339" t="str">
        <x:v>the results match all selected criteria and remain within the user's data scope</x:v>
      </x:c>
      <x:c r="J1382" s="339" t="str">
        <x:v>Positive</x:v>
      </x:c>
      <x:c r="K1382" s="339" t="str">
        <x:v>Functional</x:v>
      </x:c>
    </x:row>
    <x:row r="1383">
      <x:c r="A1383" s="339" t="str">
        <x:v>AC-01382</x:v>
      </x:c>
      <x:c r="B1383" s="339" t="str">
        <x:v>US-0346</x:v>
      </x:c>
      <x:c r="C1383" s="339" t="str">
        <x:v>SCR-173</x:v>
      </x:c>
      <x:c r="D1383" s="339" t="str">
        <x:v>HR / Leave / Payroll</x:v>
      </x:c>
      <x:c r="E1383" s="339" t="str">
        <x:v>Job Openings</x:v>
      </x:c>
      <x:c r="F1383" s="339" t="str">
        <x:v>Controlled row actions</x:v>
      </x:c>
      <x:c r="G1383" s="339" t="str">
        <x:v>records are returned in the list</x:v>
      </x:c>
      <x:c r="H1383" s="339" t="str">
        <x:v>the user opens the action menu</x:v>
      </x:c>
      <x:c r="I1383" s="339" t="str">
        <x:v>only actions permitted for the user's role and the record's current state are offered</x:v>
      </x:c>
      <x:c r="J1383" s="339" t="str">
        <x:v>Positive</x:v>
      </x:c>
      <x:c r="K1383" s="339" t="str">
        <x:v>Functional</x:v>
      </x:c>
    </x:row>
    <x:row r="1384">
      <x:c r="A1384" s="339" t="str">
        <x:v>AC-01383</x:v>
      </x:c>
      <x:c r="B1384" s="339" t="str">
        <x:v>US-0346</x:v>
      </x:c>
      <x:c r="C1384" s="339" t="str">
        <x:v>SCR-173</x:v>
      </x:c>
      <x:c r="D1384" s="339" t="str">
        <x:v>HR / Leave / Payroll</x:v>
      </x:c>
      <x:c r="E1384" s="339" t="str">
        <x:v>Job Openings</x:v>
      </x:c>
      <x:c r="F1384" s="339" t="str">
        <x:v>Empty/no-result handling</x:v>
      </x:c>
      <x:c r="G1384" s="339" t="str">
        <x:v>no record matches the current criteria</x:v>
      </x:c>
      <x:c r="H1384" s="339" t="str">
        <x:v>the query completes</x:v>
      </x:c>
      <x:c r="I1384" s="339" t="str">
        <x:v>the system shows a clear empty state without treating it as an application error</x:v>
      </x:c>
      <x:c r="J1384" s="339" t="str">
        <x:v>Positive</x:v>
      </x:c>
      <x:c r="K1384" s="339" t="str">
        <x:v>Functional</x:v>
      </x:c>
    </x:row>
    <x:row r="1385">
      <x:c r="A1385" s="339" t="str">
        <x:v>AC-01384</x:v>
      </x:c>
      <x:c r="B1385" s="339" t="str">
        <x:v>US-0346</x:v>
      </x:c>
      <x:c r="C1385" s="339" t="str">
        <x:v>SCR-173</x:v>
      </x:c>
      <x:c r="D1385" s="339" t="str">
        <x:v>HR / Leave / Payroll</x:v>
      </x:c>
      <x:c r="E1385" s="339" t="str">
        <x:v>Job Openings</x:v>
      </x:c>
      <x:c r="F1385" s="339" t="str">
        <x:v>Export scope</x:v>
      </x:c>
      <x:c r="G1385" s="339" t="str">
        <x:v>the user has export permission</x:v>
      </x:c>
      <x:c r="H1385" s="339" t="str">
        <x:v>the user exports the filtered list</x:v>
      </x:c>
      <x:c r="I1385" s="339" t="str">
        <x:v>the export contains the same authorized filter scope and excludes restricted fields</x:v>
      </x:c>
      <x:c r="J1385" s="339" t="str">
        <x:v>Positive</x:v>
      </x:c>
      <x:c r="K1385" s="339" t="str">
        <x:v>Functional</x:v>
      </x:c>
    </x:row>
    <x:row r="1386">
      <x:c r="A1386" s="339" t="str">
        <x:v>AC-01385</x:v>
      </x:c>
      <x:c r="B1386" s="339" t="str">
        <x:v>US-0347</x:v>
      </x:c>
      <x:c r="C1386" s="339" t="str">
        <x:v>SCR-174</x:v>
      </x:c>
      <x:c r="D1386" s="339" t="str">
        <x:v>HR / Leave / Payroll</x:v>
      </x:c>
      <x:c r="E1386" s="339" t="str">
        <x:v>Candidate Applications</x:v>
      </x:c>
      <x:c r="F1386" s="339" t="str">
        <x:v>Authorized access to Candidate Applications</x:v>
      </x:c>
      <x:c r="G1386" s="339" t="str">
        <x:v>the HR is authenticated and has access to Candidate Applications</x:v>
      </x:c>
      <x:c r="H1386" s="339" t="str">
        <x:v>the user opens or invokes Candidate Applications</x:v>
      </x:c>
      <x:c r="I1386" s="339" t="str">
        <x:v>the system loads only records and actions within the user's permitted tenant/school/data scope</x:v>
      </x:c>
      <x:c r="J1386" s="339" t="str">
        <x:v>Positive</x:v>
      </x:c>
      <x:c r="K1386" s="339" t="str">
        <x:v>Functional / Security</x:v>
      </x:c>
    </x:row>
    <x:row r="1387">
      <x:c r="A1387" s="339" t="str">
        <x:v>AC-01386</x:v>
      </x:c>
      <x:c r="B1387" s="339" t="str">
        <x:v>US-0347</x:v>
      </x:c>
      <x:c r="C1387" s="339" t="str">
        <x:v>SCR-174</x:v>
      </x:c>
      <x:c r="D1387" s="339" t="str">
        <x:v>HR / Leave / Payroll</x:v>
      </x:c>
      <x:c r="E1387" s="339" t="str">
        <x:v>Candidate Applications</x:v>
      </x:c>
      <x:c r="F1387" s="339" t="str">
        <x:v>Successful Candidate Applications happy path</x:v>
      </x:c>
      <x:c r="G1387" s="339" t="str">
        <x:v>all mandatory prerequisites and valid data are available</x:v>
      </x:c>
      <x:c r="H1387" s="339" t="str">
        <x:v>the HR completes the primary action on Candidate Applications</x:v>
      </x:c>
      <x:c r="I1387" s="339" t="str">
        <x:v>the system validates the request, saves it atomically, shows a clear confirmation and reflects the updated state</x:v>
      </x:c>
      <x:c r="J1387" s="339" t="str">
        <x:v>Positive</x:v>
      </x:c>
      <x:c r="K1387" s="339" t="str">
        <x:v>Functional</x:v>
      </x:c>
    </x:row>
    <x:row r="1388">
      <x:c r="A1388" s="339" t="str">
        <x:v>AC-01387</x:v>
      </x:c>
      <x:c r="B1388" s="339" t="str">
        <x:v>US-0347</x:v>
      </x:c>
      <x:c r="C1388" s="339" t="str">
        <x:v>SCR-174</x:v>
      </x:c>
      <x:c r="D1388" s="339" t="str">
        <x:v>HR / Leave / Payroll</x:v>
      </x:c>
      <x:c r="E1388" s="339" t="str">
        <x:v>Candidate Applications</x:v>
      </x:c>
      <x:c r="F1388" s="339" t="str">
        <x:v>State and dependency integrity</x:v>
      </x:c>
      <x:c r="G1388" s="339" t="str">
        <x:v>the current record is in an allowed state (Draft → Active → Completed / Closed)</x:v>
      </x:c>
      <x:c r="H1388" s="339" t="str">
        <x:v>the user attempts a state-changing action</x:v>
      </x:c>
      <x:c r="I1388" s="339" t="str">
        <x:v>only a valid transition is accepted and dependent records are updated according to configured business rules</x:v>
      </x:c>
      <x:c r="J1388" s="339" t="str">
        <x:v>Positive</x:v>
      </x:c>
      <x:c r="K1388" s="339" t="str">
        <x:v>Functional</x:v>
      </x:c>
    </x:row>
    <x:row r="1389">
      <x:c r="A1389" s="339" t="str">
        <x:v>AC-01388</x:v>
      </x:c>
      <x:c r="B1389" s="339" t="str">
        <x:v>US-0347</x:v>
      </x:c>
      <x:c r="C1389" s="339" t="str">
        <x:v>SCR-174</x:v>
      </x:c>
      <x:c r="D1389" s="339" t="str">
        <x:v>HR / Leave / Payroll</x:v>
      </x:c>
      <x:c r="E1389" s="339" t="str">
        <x:v>Candidate Applications</x:v>
      </x:c>
      <x:c r="F1389" s="339" t="str">
        <x:v>Auditability</x:v>
      </x:c>
      <x:c r="G1389" s="339" t="str">
        <x:v>a material create/update/approve/reverse action occurs</x:v>
      </x:c>
      <x:c r="H1389" s="339" t="str">
        <x:v>the transaction succeeds</x:v>
      </x:c>
      <x:c r="I1389" s="339" t="str">
        <x:v>the system records actor, timestamp, action, target and relevant before/after or reason context in the audit trail</x:v>
      </x:c>
      <x:c r="J1389" s="339" t="str">
        <x:v>Positive</x:v>
      </x:c>
      <x:c r="K1389" s="339" t="str">
        <x:v>Functional</x:v>
      </x:c>
    </x:row>
    <x:row r="1390">
      <x:c r="A1390" s="339" t="str">
        <x:v>AC-01389</x:v>
      </x:c>
      <x:c r="B1390" s="339" t="str">
        <x:v>US-0348</x:v>
      </x:c>
      <x:c r="C1390" s="339" t="str">
        <x:v>SCR-174</x:v>
      </x:c>
      <x:c r="D1390" s="339" t="str">
        <x:v>HR / Leave / Payroll</x:v>
      </x:c>
      <x:c r="E1390" s="339" t="str">
        <x:v>Candidate Applications</x:v>
      </x:c>
      <x:c r="F1390" s="339" t="str">
        <x:v>Search and filtering</x:v>
      </x:c>
      <x:c r="G1390" s="339" t="str">
        <x:v>authorized records exist across multiple values</x:v>
      </x:c>
      <x:c r="H1390" s="339" t="str">
        <x:v>the user applies search, filters, sorting or pagination</x:v>
      </x:c>
      <x:c r="I1390" s="339" t="str">
        <x:v>the results match all selected criteria and remain within the user's data scope</x:v>
      </x:c>
      <x:c r="J1390" s="339" t="str">
        <x:v>Positive</x:v>
      </x:c>
      <x:c r="K1390" s="339" t="str">
        <x:v>Functional</x:v>
      </x:c>
    </x:row>
    <x:row r="1391">
      <x:c r="A1391" s="339" t="str">
        <x:v>AC-01390</x:v>
      </x:c>
      <x:c r="B1391" s="339" t="str">
        <x:v>US-0348</x:v>
      </x:c>
      <x:c r="C1391" s="339" t="str">
        <x:v>SCR-174</x:v>
      </x:c>
      <x:c r="D1391" s="339" t="str">
        <x:v>HR / Leave / Payroll</x:v>
      </x:c>
      <x:c r="E1391" s="339" t="str">
        <x:v>Candidate Applications</x:v>
      </x:c>
      <x:c r="F1391" s="339" t="str">
        <x:v>Controlled row actions</x:v>
      </x:c>
      <x:c r="G1391" s="339" t="str">
        <x:v>records are returned in the list</x:v>
      </x:c>
      <x:c r="H1391" s="339" t="str">
        <x:v>the user opens the action menu</x:v>
      </x:c>
      <x:c r="I1391" s="339" t="str">
        <x:v>only actions permitted for the user's role and the record's current state are offered</x:v>
      </x:c>
      <x:c r="J1391" s="339" t="str">
        <x:v>Positive</x:v>
      </x:c>
      <x:c r="K1391" s="339" t="str">
        <x:v>Functional</x:v>
      </x:c>
    </x:row>
    <x:row r="1392">
      <x:c r="A1392" s="339" t="str">
        <x:v>AC-01391</x:v>
      </x:c>
      <x:c r="B1392" s="339" t="str">
        <x:v>US-0348</x:v>
      </x:c>
      <x:c r="C1392" s="339" t="str">
        <x:v>SCR-174</x:v>
      </x:c>
      <x:c r="D1392" s="339" t="str">
        <x:v>HR / Leave / Payroll</x:v>
      </x:c>
      <x:c r="E1392" s="339" t="str">
        <x:v>Candidate Applications</x:v>
      </x:c>
      <x:c r="F1392" s="339" t="str">
        <x:v>Empty/no-result handling</x:v>
      </x:c>
      <x:c r="G1392" s="339" t="str">
        <x:v>no record matches the current criteria</x:v>
      </x:c>
      <x:c r="H1392" s="339" t="str">
        <x:v>the query completes</x:v>
      </x:c>
      <x:c r="I1392" s="339" t="str">
        <x:v>the system shows a clear empty state without treating it as an application error</x:v>
      </x:c>
      <x:c r="J1392" s="339" t="str">
        <x:v>Positive</x:v>
      </x:c>
      <x:c r="K1392" s="339" t="str">
        <x:v>Functional</x:v>
      </x:c>
    </x:row>
    <x:row r="1393">
      <x:c r="A1393" s="339" t="str">
        <x:v>AC-01392</x:v>
      </x:c>
      <x:c r="B1393" s="339" t="str">
        <x:v>US-0348</x:v>
      </x:c>
      <x:c r="C1393" s="339" t="str">
        <x:v>SCR-174</x:v>
      </x:c>
      <x:c r="D1393" s="339" t="str">
        <x:v>HR / Leave / Payroll</x:v>
      </x:c>
      <x:c r="E1393" s="339" t="str">
        <x:v>Candidate Applications</x:v>
      </x:c>
      <x:c r="F1393" s="339" t="str">
        <x:v>Export scope</x:v>
      </x:c>
      <x:c r="G1393" s="339" t="str">
        <x:v>the user has export permission</x:v>
      </x:c>
      <x:c r="H1393" s="339" t="str">
        <x:v>the user exports the filtered list</x:v>
      </x:c>
      <x:c r="I1393" s="339" t="str">
        <x:v>the export contains the same authorized filter scope and excludes restricted fields</x:v>
      </x:c>
      <x:c r="J1393" s="339" t="str">
        <x:v>Positive</x:v>
      </x:c>
      <x:c r="K1393" s="339" t="str">
        <x:v>Functional</x:v>
      </x:c>
    </x:row>
    <x:row r="1394">
      <x:c r="A1394" s="339" t="str">
        <x:v>AC-01393</x:v>
      </x:c>
      <x:c r="B1394" s="339" t="str">
        <x:v>US-0349</x:v>
      </x:c>
      <x:c r="C1394" s="339" t="str">
        <x:v>SCR-175</x:v>
      </x:c>
      <x:c r="D1394" s="339" t="str">
        <x:v>HR / Leave / Payroll</x:v>
      </x:c>
      <x:c r="E1394" s="339" t="str">
        <x:v>Candidate Details</x:v>
      </x:c>
      <x:c r="F1394" s="339" t="str">
        <x:v>Authorized access to Candidate Details</x:v>
      </x:c>
      <x:c r="G1394" s="339" t="str">
        <x:v>the HR is authenticated and has access to Candidate Details</x:v>
      </x:c>
      <x:c r="H1394" s="339" t="str">
        <x:v>the user opens or invokes Candidate Details</x:v>
      </x:c>
      <x:c r="I1394" s="339" t="str">
        <x:v>the system loads only records and actions within the user's permitted tenant/school/data scope</x:v>
      </x:c>
      <x:c r="J1394" s="339" t="str">
        <x:v>Positive</x:v>
      </x:c>
      <x:c r="K1394" s="339" t="str">
        <x:v>Functional / Security</x:v>
      </x:c>
    </x:row>
    <x:row r="1395">
      <x:c r="A1395" s="339" t="str">
        <x:v>AC-01394</x:v>
      </x:c>
      <x:c r="B1395" s="339" t="str">
        <x:v>US-0349</x:v>
      </x:c>
      <x:c r="C1395" s="339" t="str">
        <x:v>SCR-175</x:v>
      </x:c>
      <x:c r="D1395" s="339" t="str">
        <x:v>HR / Leave / Payroll</x:v>
      </x:c>
      <x:c r="E1395" s="339" t="str">
        <x:v>Candidate Details</x:v>
      </x:c>
      <x:c r="F1395" s="339" t="str">
        <x:v>Successful Candidate Details happy path</x:v>
      </x:c>
      <x:c r="G1395" s="339" t="str">
        <x:v>all mandatory prerequisites and valid data are available</x:v>
      </x:c>
      <x:c r="H1395" s="339" t="str">
        <x:v>the HR completes the primary action on Candidate Details</x:v>
      </x:c>
      <x:c r="I1395" s="339" t="str">
        <x:v>the system validates the request, saves it atomically, shows a clear confirmation and reflects the updated state</x:v>
      </x:c>
      <x:c r="J1395" s="339" t="str">
        <x:v>Positive</x:v>
      </x:c>
      <x:c r="K1395" s="339" t="str">
        <x:v>Functional</x:v>
      </x:c>
    </x:row>
    <x:row r="1396">
      <x:c r="A1396" s="339" t="str">
        <x:v>AC-01395</x:v>
      </x:c>
      <x:c r="B1396" s="339" t="str">
        <x:v>US-0349</x:v>
      </x:c>
      <x:c r="C1396" s="339" t="str">
        <x:v>SCR-175</x:v>
      </x:c>
      <x:c r="D1396" s="339" t="str">
        <x:v>HR / Leave / Payroll</x:v>
      </x:c>
      <x:c r="E1396" s="339" t="str">
        <x:v>Candidate Details</x:v>
      </x:c>
      <x:c r="F1396" s="339" t="str">
        <x:v>State and dependency integrity</x:v>
      </x:c>
      <x:c r="G1396" s="339" t="str">
        <x:v>the current record is in an allowed state (Draft → Active → Completed / Closed)</x:v>
      </x:c>
      <x:c r="H1396" s="339" t="str">
        <x:v>the user attempts a state-changing action</x:v>
      </x:c>
      <x:c r="I1396" s="339" t="str">
        <x:v>only a valid transition is accepted and dependent records are updated according to configured business rules</x:v>
      </x:c>
      <x:c r="J1396" s="339" t="str">
        <x:v>Positive</x:v>
      </x:c>
      <x:c r="K1396" s="339" t="str">
        <x:v>Functional</x:v>
      </x:c>
    </x:row>
    <x:row r="1397">
      <x:c r="A1397" s="339" t="str">
        <x:v>AC-01396</x:v>
      </x:c>
      <x:c r="B1397" s="339" t="str">
        <x:v>US-0349</x:v>
      </x:c>
      <x:c r="C1397" s="339" t="str">
        <x:v>SCR-175</x:v>
      </x:c>
      <x:c r="D1397" s="339" t="str">
        <x:v>HR / Leave / Payroll</x:v>
      </x:c>
      <x:c r="E1397" s="339" t="str">
        <x:v>Candidate Details</x:v>
      </x:c>
      <x:c r="F1397" s="339" t="str">
        <x:v>Auditability</x:v>
      </x:c>
      <x:c r="G1397" s="339" t="str">
        <x:v>a material create/update/approve/reverse action occurs</x:v>
      </x:c>
      <x:c r="H1397" s="339" t="str">
        <x:v>the transaction succeeds</x:v>
      </x:c>
      <x:c r="I1397" s="339" t="str">
        <x:v>the system records actor, timestamp, action, target and relevant before/after or reason context in the audit trail</x:v>
      </x:c>
      <x:c r="J1397" s="339" t="str">
        <x:v>Positive</x:v>
      </x:c>
      <x:c r="K1397" s="339" t="str">
        <x:v>Functional</x:v>
      </x:c>
    </x:row>
    <x:row r="1398">
      <x:c r="A1398" s="339" t="str">
        <x:v>AC-01397</x:v>
      </x:c>
      <x:c r="B1398" s="339" t="str">
        <x:v>US-0350</x:v>
      </x:c>
      <x:c r="C1398" s="339" t="str">
        <x:v>SCR-175</x:v>
      </x:c>
      <x:c r="D1398" s="339" t="str">
        <x:v>HR / Leave / Payroll</x:v>
      </x:c>
      <x:c r="E1398" s="339" t="str">
        <x:v>Candidate Details</x:v>
      </x:c>
      <x:c r="F1398" s="339" t="str">
        <x:v>Complete authorized view</x:v>
      </x:c>
      <x:c r="G1398" s="339" t="str">
        <x:v>the record exists and the user is authorized</x:v>
      </x:c>
      <x:c r="H1398" s="339" t="str">
        <x:v>the detail/profile opens</x:v>
      </x:c>
      <x:c r="I1398" s="339" t="str">
        <x:v>the system loads the required summary, relationships and history while masking restricted fields</x:v>
      </x:c>
      <x:c r="J1398" s="339" t="str">
        <x:v>Positive</x:v>
      </x:c>
      <x:c r="K1398" s="339" t="str">
        <x:v>Functional / Security</x:v>
      </x:c>
    </x:row>
    <x:row r="1399">
      <x:c r="A1399" s="339" t="str">
        <x:v>AC-01398</x:v>
      </x:c>
      <x:c r="B1399" s="339" t="str">
        <x:v>US-0350</x:v>
      </x:c>
      <x:c r="C1399" s="339" t="str">
        <x:v>SCR-175</x:v>
      </x:c>
      <x:c r="D1399" s="339" t="str">
        <x:v>HR / Leave / Payroll</x:v>
      </x:c>
      <x:c r="E1399" s="339" t="str">
        <x:v>Candidate Details</x:v>
      </x:c>
      <x:c r="F1399" s="339" t="str">
        <x:v>Controlled edit</x:v>
      </x:c>
      <x:c r="G1399" s="339" t="str">
        <x:v>the user has edit permission and the record is editable</x:v>
      </x:c>
      <x:c r="H1399" s="339" t="str">
        <x:v>the user saves a change</x:v>
      </x:c>
      <x:c r="I1399" s="339" t="str">
        <x:v>validation and state rules run before the update is committed</x:v>
      </x:c>
      <x:c r="J1399" s="339" t="str">
        <x:v>Positive</x:v>
      </x:c>
      <x:c r="K1399" s="339" t="str">
        <x:v>Functional</x:v>
      </x:c>
    </x:row>
    <x:row r="1400">
      <x:c r="A1400" s="339" t="str">
        <x:v>AC-01399</x:v>
      </x:c>
      <x:c r="B1400" s="339" t="str">
        <x:v>US-0350</x:v>
      </x:c>
      <x:c r="C1400" s="339" t="str">
        <x:v>SCR-175</x:v>
      </x:c>
      <x:c r="D1400" s="339" t="str">
        <x:v>HR / Leave / Payroll</x:v>
      </x:c>
      <x:c r="E1400" s="339" t="str">
        <x:v>Candidate Details</x:v>
      </x:c>
      <x:c r="F1400" s="339" t="str">
        <x:v>Concurrent edit protection</x:v>
      </x:c>
      <x:c r="G1400" s="339" t="str">
        <x:v>another user has changed the record after it was loaded</x:v>
      </x:c>
      <x:c r="H1400" s="339" t="str">
        <x:v>the first user attempts to save stale data</x:v>
      </x:c>
      <x:c r="I1400" s="339" t="str">
        <x:v>the system detects the version conflict or preserves fields safely instead of silently overwriting</x:v>
      </x:c>
      <x:c r="J1400" s="339" t="str">
        <x:v>Positive</x:v>
      </x:c>
      <x:c r="K1400" s="339" t="str">
        <x:v>Functional</x:v>
      </x:c>
    </x:row>
    <x:row r="1401">
      <x:c r="A1401" s="339" t="str">
        <x:v>AC-01400</x:v>
      </x:c>
      <x:c r="B1401" s="339" t="str">
        <x:v>US-0350</x:v>
      </x:c>
      <x:c r="C1401" s="339" t="str">
        <x:v>SCR-175</x:v>
      </x:c>
      <x:c r="D1401" s="339" t="str">
        <x:v>HR / Leave / Payroll</x:v>
      </x:c>
      <x:c r="E1401" s="339" t="str">
        <x:v>Candidate Details</x:v>
      </x:c>
      <x:c r="F1401" s="339" t="str">
        <x:v>History retention</x:v>
      </x:c>
      <x:c r="G1401" s="339" t="str">
        <x:v>the record has prior changes/statuses</x:v>
      </x:c>
      <x:c r="H1401" s="339" t="str">
        <x:v>the user views history</x:v>
      </x:c>
      <x:c r="I1401" s="339" t="str">
        <x:v>the audit/activity timeline shows traceable material changes without exposing restricted notes</x:v>
      </x:c>
      <x:c r="J1401" s="339" t="str">
        <x:v>Positive</x:v>
      </x:c>
      <x:c r="K1401" s="339" t="str">
        <x:v>Functional</x:v>
      </x:c>
    </x:row>
    <x:row r="1402">
      <x:c r="A1402" s="339" t="str">
        <x:v>AC-01401</x:v>
      </x:c>
      <x:c r="B1402" s="339" t="str">
        <x:v>US-0351</x:v>
      </x:c>
      <x:c r="C1402" s="339" t="str">
        <x:v>SCR-176</x:v>
      </x:c>
      <x:c r="D1402" s="339" t="str">
        <x:v>HR / Leave / Payroll</x:v>
      </x:c>
      <x:c r="E1402" s="339" t="str">
        <x:v>Interview Schedule</x:v>
      </x:c>
      <x:c r="F1402" s="339" t="str">
        <x:v>Authorized access to Interview Schedule</x:v>
      </x:c>
      <x:c r="G1402" s="339" t="str">
        <x:v>the HR is authenticated and has access to Interview Schedule</x:v>
      </x:c>
      <x:c r="H1402" s="339" t="str">
        <x:v>the user opens or invokes Interview Schedule</x:v>
      </x:c>
      <x:c r="I1402" s="339" t="str">
        <x:v>the system loads only records and actions within the user's permitted tenant/school/data scope</x:v>
      </x:c>
      <x:c r="J1402" s="339" t="str">
        <x:v>Positive</x:v>
      </x:c>
      <x:c r="K1402" s="339" t="str">
        <x:v>Functional / Security</x:v>
      </x:c>
    </x:row>
    <x:row r="1403">
      <x:c r="A1403" s="339" t="str">
        <x:v>AC-01402</x:v>
      </x:c>
      <x:c r="B1403" s="339" t="str">
        <x:v>US-0351</x:v>
      </x:c>
      <x:c r="C1403" s="339" t="str">
        <x:v>SCR-176</x:v>
      </x:c>
      <x:c r="D1403" s="339" t="str">
        <x:v>HR / Leave / Payroll</x:v>
      </x:c>
      <x:c r="E1403" s="339" t="str">
        <x:v>Interview Schedule</x:v>
      </x:c>
      <x:c r="F1403" s="339" t="str">
        <x:v>Successful Interview Schedule happy path</x:v>
      </x:c>
      <x:c r="G1403" s="339" t="str">
        <x:v>all mandatory prerequisites and valid data are available</x:v>
      </x:c>
      <x:c r="H1403" s="339" t="str">
        <x:v>the HR completes the primary action on Interview Schedule</x:v>
      </x:c>
      <x:c r="I1403" s="339" t="str">
        <x:v>the system validates the request, saves it atomically, shows a clear confirmation and reflects the updated state</x:v>
      </x:c>
      <x:c r="J1403" s="339" t="str">
        <x:v>Positive</x:v>
      </x:c>
      <x:c r="K1403" s="339" t="str">
        <x:v>Functional</x:v>
      </x:c>
    </x:row>
    <x:row r="1404">
      <x:c r="A1404" s="339" t="str">
        <x:v>AC-01403</x:v>
      </x:c>
      <x:c r="B1404" s="339" t="str">
        <x:v>US-0351</x:v>
      </x:c>
      <x:c r="C1404" s="339" t="str">
        <x:v>SCR-176</x:v>
      </x:c>
      <x:c r="D1404" s="339" t="str">
        <x:v>HR / Leave / Payroll</x:v>
      </x:c>
      <x:c r="E1404" s="339" t="str">
        <x:v>Interview Schedule</x:v>
      </x:c>
      <x:c r="F1404" s="339" t="str">
        <x:v>State and dependency integrity</x:v>
      </x:c>
      <x:c r="G1404" s="339" t="str">
        <x:v>the current record is in an allowed state (Draft → Active → Completed / Closed)</x:v>
      </x:c>
      <x:c r="H1404" s="339" t="str">
        <x:v>the user attempts a state-changing action</x:v>
      </x:c>
      <x:c r="I1404" s="339" t="str">
        <x:v>only a valid transition is accepted and dependent records are updated according to configured business rules</x:v>
      </x:c>
      <x:c r="J1404" s="339" t="str">
        <x:v>Positive</x:v>
      </x:c>
      <x:c r="K1404" s="339" t="str">
        <x:v>Functional</x:v>
      </x:c>
    </x:row>
    <x:row r="1405">
      <x:c r="A1405" s="339" t="str">
        <x:v>AC-01404</x:v>
      </x:c>
      <x:c r="B1405" s="339" t="str">
        <x:v>US-0351</x:v>
      </x:c>
      <x:c r="C1405" s="339" t="str">
        <x:v>SCR-176</x:v>
      </x:c>
      <x:c r="D1405" s="339" t="str">
        <x:v>HR / Leave / Payroll</x:v>
      </x:c>
      <x:c r="E1405" s="339" t="str">
        <x:v>Interview Schedule</x:v>
      </x:c>
      <x:c r="F1405" s="339" t="str">
        <x:v>Auditability</x:v>
      </x:c>
      <x:c r="G1405" s="339" t="str">
        <x:v>a material create/update/approve/reverse action occurs</x:v>
      </x:c>
      <x:c r="H1405" s="339" t="str">
        <x:v>the transaction succeeds</x:v>
      </x:c>
      <x:c r="I1405" s="339" t="str">
        <x:v>the system records actor, timestamp, action, target and relevant before/after or reason context in the audit trail</x:v>
      </x:c>
      <x:c r="J1405" s="339" t="str">
        <x:v>Positive</x:v>
      </x:c>
      <x:c r="K1405" s="339" t="str">
        <x:v>Functional</x:v>
      </x:c>
    </x:row>
    <x:row r="1406">
      <x:c r="A1406" s="339" t="str">
        <x:v>AC-01405</x:v>
      </x:c>
      <x:c r="B1406" s="339" t="str">
        <x:v>US-0352</x:v>
      </x:c>
      <x:c r="C1406" s="339" t="str">
        <x:v>SCR-176</x:v>
      </x:c>
      <x:c r="D1406" s="339" t="str">
        <x:v>HR / Leave / Payroll</x:v>
      </x:c>
      <x:c r="E1406" s="339" t="str">
        <x:v>Interview Schedule</x:v>
      </x:c>
      <x:c r="F1406" s="339" t="str">
        <x:v>Conflict detection</x:v>
      </x:c>
      <x:c r="G1406" s="339" t="str">
        <x:v>a teacher/class/room/resource is already committed in the requested slot</x:v>
      </x:c>
      <x:c r="H1406" s="339" t="str">
        <x:v>the user schedules an overlapping item</x:v>
      </x:c>
      <x:c r="I1406" s="339" t="str">
        <x:v>the system blocks or flags the conflict according to override policy</x:v>
      </x:c>
      <x:c r="J1406" s="339" t="str">
        <x:v>Negative</x:v>
      </x:c>
      <x:c r="K1406" s="339" t="str">
        <x:v>Functional</x:v>
      </x:c>
    </x:row>
    <x:row r="1407">
      <x:c r="A1407" s="339" t="str">
        <x:v>AC-01406</x:v>
      </x:c>
      <x:c r="B1407" s="339" t="str">
        <x:v>US-0352</x:v>
      </x:c>
      <x:c r="C1407" s="339" t="str">
        <x:v>SCR-176</x:v>
      </x:c>
      <x:c r="D1407" s="339" t="str">
        <x:v>HR / Leave / Payroll</x:v>
      </x:c>
      <x:c r="E1407" s="339" t="str">
        <x:v>Interview Schedule</x:v>
      </x:c>
      <x:c r="F1407" s="339" t="str">
        <x:v>Reschedule integrity</x:v>
      </x:c>
      <x:c r="G1407" s="339" t="str">
        <x:v>an existing schedule item is changed</x:v>
      </x:c>
      <x:c r="H1407" s="339" t="str">
        <x:v>the user confirms the new slot</x:v>
      </x:c>
      <x:c r="I1407" s="339" t="str">
        <x:v>the system updates the schedule atomically and retains change history</x:v>
      </x:c>
      <x:c r="J1407" s="339" t="str">
        <x:v>Positive</x:v>
      </x:c>
      <x:c r="K1407" s="339" t="str">
        <x:v>Functional</x:v>
      </x:c>
    </x:row>
    <x:row r="1408">
      <x:c r="A1408" s="339" t="str">
        <x:v>AC-01407</x:v>
      </x:c>
      <x:c r="B1408" s="339" t="str">
        <x:v>US-0352</x:v>
      </x:c>
      <x:c r="C1408" s="339" t="str">
        <x:v>SCR-176</x:v>
      </x:c>
      <x:c r="D1408" s="339" t="str">
        <x:v>HR / Leave / Payroll</x:v>
      </x:c>
      <x:c r="E1408" s="339" t="str">
        <x:v>Interview Schedule</x:v>
      </x:c>
      <x:c r="F1408" s="339" t="str">
        <x:v>Audience update</x:v>
      </x:c>
      <x:c r="G1408" s="339" t="str">
        <x:v>a published schedule changes</x:v>
      </x:c>
      <x:c r="H1408" s="339" t="str">
        <x:v>the change is saved</x:v>
      </x:c>
      <x:c r="I1408" s="339" t="str">
        <x:v>affected users receive updated visibility/notification according to communication rules</x:v>
      </x:c>
      <x:c r="J1408" s="339" t="str">
        <x:v>Positive</x:v>
      </x:c>
      <x:c r="K1408" s="339" t="str">
        <x:v>Functional</x:v>
      </x:c>
    </x:row>
    <x:row r="1409">
      <x:c r="A1409" s="339" t="str">
        <x:v>AC-01408</x:v>
      </x:c>
      <x:c r="B1409" s="339" t="str">
        <x:v>US-0352</x:v>
      </x:c>
      <x:c r="C1409" s="339" t="str">
        <x:v>SCR-176</x:v>
      </x:c>
      <x:c r="D1409" s="339" t="str">
        <x:v>HR / Leave / Payroll</x:v>
      </x:c>
      <x:c r="E1409" s="339" t="str">
        <x:v>Interview Schedule</x:v>
      </x:c>
      <x:c r="F1409" s="339" t="str">
        <x:v>Timezone/effective date</x:v>
      </x:c>
      <x:c r="G1409" s="339" t="str">
        <x:v>users operate in configured school timezone</x:v>
      </x:c>
      <x:c r="H1409" s="339" t="str">
        <x:v>times are displayed or saved</x:v>
      </x:c>
      <x:c r="I1409" s="339" t="str">
        <x:v>the system consistently stores and renders the intended local schedule without date-shift errors</x:v>
      </x:c>
      <x:c r="J1409" s="339" t="str">
        <x:v>Positive</x:v>
      </x:c>
      <x:c r="K1409" s="339" t="str">
        <x:v>Functional</x:v>
      </x:c>
    </x:row>
    <x:row r="1410">
      <x:c r="A1410" s="339" t="str">
        <x:v>AC-01409</x:v>
      </x:c>
      <x:c r="B1410" s="339" t="str">
        <x:v>US-0353</x:v>
      </x:c>
      <x:c r="C1410" s="339" t="str">
        <x:v>SCR-177</x:v>
      </x:c>
      <x:c r="D1410" s="339" t="str">
        <x:v>HR / Leave / Payroll</x:v>
      </x:c>
      <x:c r="E1410" s="339" t="str">
        <x:v>Offer &amp; Appointment</x:v>
      </x:c>
      <x:c r="F1410" s="339" t="str">
        <x:v>Authorized access to Offer &amp; Appointment</x:v>
      </x:c>
      <x:c r="G1410" s="339" t="str">
        <x:v>the HR is authenticated and has access to Offer &amp; Appointment</x:v>
      </x:c>
      <x:c r="H1410" s="339" t="str">
        <x:v>the user opens or invokes Offer &amp; Appointment</x:v>
      </x:c>
      <x:c r="I1410" s="339" t="str">
        <x:v>the system loads only records and actions within the user's permitted tenant/school/data scope</x:v>
      </x:c>
      <x:c r="J1410" s="339" t="str">
        <x:v>Positive</x:v>
      </x:c>
      <x:c r="K1410" s="339" t="str">
        <x:v>Functional / Security</x:v>
      </x:c>
    </x:row>
    <x:row r="1411">
      <x:c r="A1411" s="339" t="str">
        <x:v>AC-01410</x:v>
      </x:c>
      <x:c r="B1411" s="339" t="str">
        <x:v>US-0353</x:v>
      </x:c>
      <x:c r="C1411" s="339" t="str">
        <x:v>SCR-177</x:v>
      </x:c>
      <x:c r="D1411" s="339" t="str">
        <x:v>HR / Leave / Payroll</x:v>
      </x:c>
      <x:c r="E1411" s="339" t="str">
        <x:v>Offer &amp; Appointment</x:v>
      </x:c>
      <x:c r="F1411" s="339" t="str">
        <x:v>Successful Offer &amp; Appointment happy path</x:v>
      </x:c>
      <x:c r="G1411" s="339" t="str">
        <x:v>all mandatory prerequisites and valid data are available</x:v>
      </x:c>
      <x:c r="H1411" s="339" t="str">
        <x:v>the HR completes the primary action on Offer &amp; Appointment</x:v>
      </x:c>
      <x:c r="I1411" s="339" t="str">
        <x:v>the system validates the request, saves it atomically, shows a clear confirmation and reflects the updated state</x:v>
      </x:c>
      <x:c r="J1411" s="339" t="str">
        <x:v>Positive</x:v>
      </x:c>
      <x:c r="K1411" s="339" t="str">
        <x:v>Functional</x:v>
      </x:c>
    </x:row>
    <x:row r="1412">
      <x:c r="A1412" s="339" t="str">
        <x:v>AC-01411</x:v>
      </x:c>
      <x:c r="B1412" s="339" t="str">
        <x:v>US-0353</x:v>
      </x:c>
      <x:c r="C1412" s="339" t="str">
        <x:v>SCR-177</x:v>
      </x:c>
      <x:c r="D1412" s="339" t="str">
        <x:v>HR / Leave / Payroll</x:v>
      </x:c>
      <x:c r="E1412" s="339" t="str">
        <x:v>Offer &amp; Appointment</x:v>
      </x:c>
      <x:c r="F1412" s="339" t="str">
        <x:v>State and dependency integrity</x:v>
      </x:c>
      <x:c r="G1412" s="339" t="str">
        <x:v>the current record is in an allowed state (Draft → Active → Completed / Closed)</x:v>
      </x:c>
      <x:c r="H1412" s="339" t="str">
        <x:v>the user attempts a state-changing action</x:v>
      </x:c>
      <x:c r="I1412" s="339" t="str">
        <x:v>only a valid transition is accepted and dependent records are updated according to configured business rules</x:v>
      </x:c>
      <x:c r="J1412" s="339" t="str">
        <x:v>Positive</x:v>
      </x:c>
      <x:c r="K1412" s="339" t="str">
        <x:v>Functional</x:v>
      </x:c>
    </x:row>
    <x:row r="1413">
      <x:c r="A1413" s="339" t="str">
        <x:v>AC-01412</x:v>
      </x:c>
      <x:c r="B1413" s="339" t="str">
        <x:v>US-0353</x:v>
      </x:c>
      <x:c r="C1413" s="339" t="str">
        <x:v>SCR-177</x:v>
      </x:c>
      <x:c r="D1413" s="339" t="str">
        <x:v>HR / Leave / Payroll</x:v>
      </x:c>
      <x:c r="E1413" s="339" t="str">
        <x:v>Offer &amp; Appointment</x:v>
      </x:c>
      <x:c r="F1413" s="339" t="str">
        <x:v>Auditability</x:v>
      </x:c>
      <x:c r="G1413" s="339" t="str">
        <x:v>a material create/update/approve/reverse action occurs</x:v>
      </x:c>
      <x:c r="H1413" s="339" t="str">
        <x:v>the transaction succeeds</x:v>
      </x:c>
      <x:c r="I1413" s="339" t="str">
        <x:v>the system records actor, timestamp, action, target and relevant before/after or reason context in the audit trail</x:v>
      </x:c>
      <x:c r="J1413" s="339" t="str">
        <x:v>Positive</x:v>
      </x:c>
      <x:c r="K1413" s="339" t="str">
        <x:v>Functional</x:v>
      </x:c>
    </x:row>
    <x:row r="1414">
      <x:c r="A1414" s="339" t="str">
        <x:v>AC-01413</x:v>
      </x:c>
      <x:c r="B1414" s="339" t="str">
        <x:v>US-0354</x:v>
      </x:c>
      <x:c r="C1414" s="339" t="str">
        <x:v>SCR-177</x:v>
      </x:c>
      <x:c r="D1414" s="339" t="str">
        <x:v>HR / Leave / Payroll</x:v>
      </x:c>
      <x:c r="E1414" s="339" t="str">
        <x:v>Offer &amp; Appointment</x:v>
      </x:c>
      <x:c r="F1414" s="339" t="str">
        <x:v>Valid status transition</x:v>
      </x:c>
      <x:c r="G1414" s="339" t="str">
        <x:v>the record is in a state described by Draft → Active → Completed / Closed</x:v>
      </x:c>
      <x:c r="H1414" s="339" t="str">
        <x:v>the user requests a transition</x:v>
      </x:c>
      <x:c r="I1414" s="339" t="str">
        <x:v>the system accepts only transitions allowed for that role and state</x:v>
      </x:c>
      <x:c r="J1414" s="339" t="str">
        <x:v>Positive</x:v>
      </x:c>
      <x:c r="K1414" s="339" t="str">
        <x:v>Functional</x:v>
      </x:c>
    </x:row>
    <x:row r="1415">
      <x:c r="A1415" s="339" t="str">
        <x:v>AC-01414</x:v>
      </x:c>
      <x:c r="B1415" s="339" t="str">
        <x:v>US-0354</x:v>
      </x:c>
      <x:c r="C1415" s="339" t="str">
        <x:v>SCR-177</x:v>
      </x:c>
      <x:c r="D1415" s="339" t="str">
        <x:v>HR / Leave / Payroll</x:v>
      </x:c>
      <x:c r="E1415" s="339" t="str">
        <x:v>Offer &amp; Appointment</x:v>
      </x:c>
      <x:c r="F1415" s="339" t="str">
        <x:v>Approval authority</x:v>
      </x:c>
      <x:c r="G1415" s="339" t="str">
        <x:v>an action requires approval</x:v>
      </x:c>
      <x:c r="H1415" s="339" t="str">
        <x:v>a non-authorized user attempts approval/rejection</x:v>
      </x:c>
      <x:c r="I1415" s="339" t="str">
        <x:v>the system denies the decision and does not change status</x:v>
      </x:c>
      <x:c r="J1415" s="339" t="str">
        <x:v>Negative</x:v>
      </x:c>
      <x:c r="K1415" s="339" t="str">
        <x:v>Functional</x:v>
      </x:c>
    </x:row>
    <x:row r="1416">
      <x:c r="A1416" s="339" t="str">
        <x:v>AC-01415</x:v>
      </x:c>
      <x:c r="B1416" s="339" t="str">
        <x:v>US-0354</x:v>
      </x:c>
      <x:c r="C1416" s="339" t="str">
        <x:v>SCR-177</x:v>
      </x:c>
      <x:c r="D1416" s="339" t="str">
        <x:v>HR / Leave / Payroll</x:v>
      </x:c>
      <x:c r="E1416" s="339" t="str">
        <x:v>Offer &amp; Appointment</x:v>
      </x:c>
      <x:c r="F1416" s="339" t="str">
        <x:v>Failure rollback</x:v>
      </x:c>
      <x:c r="G1416" s="339" t="str">
        <x:v>a downstream dependency fails during a multi-step transaction</x:v>
      </x:c>
      <x:c r="H1416" s="339" t="str">
        <x:v>the workflow executes</x:v>
      </x:c>
      <x:c r="I1416" s="339" t="str">
        <x:v>the system does not leave an invalid partial final state and surfaces a recoverable error</x:v>
      </x:c>
      <x:c r="J1416" s="339" t="str">
        <x:v>Positive</x:v>
      </x:c>
      <x:c r="K1416" s="339" t="str">
        <x:v>Functional</x:v>
      </x:c>
    </x:row>
    <x:row r="1417">
      <x:c r="A1417" s="339" t="str">
        <x:v>AC-01416</x:v>
      </x:c>
      <x:c r="B1417" s="339" t="str">
        <x:v>US-0354</x:v>
      </x:c>
      <x:c r="C1417" s="339" t="str">
        <x:v>SCR-177</x:v>
      </x:c>
      <x:c r="D1417" s="339" t="str">
        <x:v>HR / Leave / Payroll</x:v>
      </x:c>
      <x:c r="E1417" s="339" t="str">
        <x:v>Offer &amp; Appointment</x:v>
      </x:c>
      <x:c r="F1417" s="339" t="str">
        <x:v>Exception traceability</x:v>
      </x:c>
      <x:c r="G1417" s="339" t="str">
        <x:v>an authorized override/exception is used</x:v>
      </x:c>
      <x:c r="H1417" s="339" t="str">
        <x:v>the action is confirmed</x:v>
      </x:c>
      <x:c r="I1417" s="339" t="str">
        <x:v>the system requires reason/context and records it in the audit history</x:v>
      </x:c>
      <x:c r="J1417" s="339" t="str">
        <x:v>Positive</x:v>
      </x:c>
      <x:c r="K1417" s="339" t="str">
        <x:v>Functional</x:v>
      </x:c>
    </x:row>
    <x:row r="1418">
      <x:c r="A1418" s="339" t="str">
        <x:v>AC-01417</x:v>
      </x:c>
      <x:c r="B1418" s="339" t="str">
        <x:v>US-0355</x:v>
      </x:c>
      <x:c r="C1418" s="339" t="str">
        <x:v>SCR-178</x:v>
      </x:c>
      <x:c r="D1418" s="339" t="str">
        <x:v>HR / Leave / Payroll</x:v>
      </x:c>
      <x:c r="E1418" s="339" t="str">
        <x:v>Employee Onboarding Checklist</x:v>
      </x:c>
      <x:c r="F1418" s="339" t="str">
        <x:v>Authorized access to Employee Onboarding Checklist</x:v>
      </x:c>
      <x:c r="G1418" s="339" t="str">
        <x:v>the HR is authenticated and has access to Employee Onboarding Checklist</x:v>
      </x:c>
      <x:c r="H1418" s="339" t="str">
        <x:v>the user opens or invokes Employee Onboarding Checklist</x:v>
      </x:c>
      <x:c r="I1418" s="339" t="str">
        <x:v>the system loads only records and actions within the user's permitted tenant/school/data scope</x:v>
      </x:c>
      <x:c r="J1418" s="339" t="str">
        <x:v>Positive</x:v>
      </x:c>
      <x:c r="K1418" s="339" t="str">
        <x:v>Functional / Security</x:v>
      </x:c>
    </x:row>
    <x:row r="1419">
      <x:c r="A1419" s="339" t="str">
        <x:v>AC-01418</x:v>
      </x:c>
      <x:c r="B1419" s="339" t="str">
        <x:v>US-0355</x:v>
      </x:c>
      <x:c r="C1419" s="339" t="str">
        <x:v>SCR-178</x:v>
      </x:c>
      <x:c r="D1419" s="339" t="str">
        <x:v>HR / Leave / Payroll</x:v>
      </x:c>
      <x:c r="E1419" s="339" t="str">
        <x:v>Employee Onboarding Checklist</x:v>
      </x:c>
      <x:c r="F1419" s="339" t="str">
        <x:v>Successful Employee Onboarding Checklist happy path</x:v>
      </x:c>
      <x:c r="G1419" s="339" t="str">
        <x:v>all mandatory prerequisites and valid data are available</x:v>
      </x:c>
      <x:c r="H1419" s="339" t="str">
        <x:v>the HR completes the primary action on Employee Onboarding Checklist</x:v>
      </x:c>
      <x:c r="I1419" s="339" t="str">
        <x:v>the system validates the request, saves it atomically, shows a clear confirmation and reflects the updated state</x:v>
      </x:c>
      <x:c r="J1419" s="339" t="str">
        <x:v>Positive</x:v>
      </x:c>
      <x:c r="K1419" s="339" t="str">
        <x:v>Functional</x:v>
      </x:c>
    </x:row>
    <x:row r="1420">
      <x:c r="A1420" s="339" t="str">
        <x:v>AC-01419</x:v>
      </x:c>
      <x:c r="B1420" s="339" t="str">
        <x:v>US-0355</x:v>
      </x:c>
      <x:c r="C1420" s="339" t="str">
        <x:v>SCR-178</x:v>
      </x:c>
      <x:c r="D1420" s="339" t="str">
        <x:v>HR / Leave / Payroll</x:v>
      </x:c>
      <x:c r="E1420" s="339" t="str">
        <x:v>Employee Onboarding Checklist</x:v>
      </x:c>
      <x:c r="F1420" s="339" t="str">
        <x:v>State and dependency integrity</x:v>
      </x:c>
      <x:c r="G1420" s="339" t="str">
        <x:v>the current record is in an allowed state (Draft → Active → Completed / Closed)</x:v>
      </x:c>
      <x:c r="H1420" s="339" t="str">
        <x:v>the user attempts a state-changing action</x:v>
      </x:c>
      <x:c r="I1420" s="339" t="str">
        <x:v>only a valid transition is accepted and dependent records are updated according to configured business rules</x:v>
      </x:c>
      <x:c r="J1420" s="339" t="str">
        <x:v>Positive</x:v>
      </x:c>
      <x:c r="K1420" s="339" t="str">
        <x:v>Functional</x:v>
      </x:c>
    </x:row>
    <x:row r="1421">
      <x:c r="A1421" s="339" t="str">
        <x:v>AC-01420</x:v>
      </x:c>
      <x:c r="B1421" s="339" t="str">
        <x:v>US-0355</x:v>
      </x:c>
      <x:c r="C1421" s="339" t="str">
        <x:v>SCR-178</x:v>
      </x:c>
      <x:c r="D1421" s="339" t="str">
        <x:v>HR / Leave / Payroll</x:v>
      </x:c>
      <x:c r="E1421" s="339" t="str">
        <x:v>Employee Onboarding Checklist</x:v>
      </x:c>
      <x:c r="F1421" s="339" t="str">
        <x:v>Auditability</x:v>
      </x:c>
      <x:c r="G1421" s="339" t="str">
        <x:v>a material create/update/approve/reverse action occurs</x:v>
      </x:c>
      <x:c r="H1421" s="339" t="str">
        <x:v>the transaction succeeds</x:v>
      </x:c>
      <x:c r="I1421" s="339" t="str">
        <x:v>the system records actor, timestamp, action, target and relevant before/after or reason context in the audit trail</x:v>
      </x:c>
      <x:c r="J1421" s="339" t="str">
        <x:v>Positive</x:v>
      </x:c>
      <x:c r="K1421" s="339" t="str">
        <x:v>Functional</x:v>
      </x:c>
    </x:row>
    <x:row r="1422">
      <x:c r="A1422" s="339" t="str">
        <x:v>AC-01421</x:v>
      </x:c>
      <x:c r="B1422" s="339" t="str">
        <x:v>US-0356</x:v>
      </x:c>
      <x:c r="C1422" s="339" t="str">
        <x:v>SCR-178</x:v>
      </x:c>
      <x:c r="D1422" s="339" t="str">
        <x:v>HR / Leave / Payroll</x:v>
      </x:c>
      <x:c r="E1422" s="339" t="str">
        <x:v>Employee Onboarding Checklist</x:v>
      </x:c>
      <x:c r="F1422" s="339" t="str">
        <x:v>Search and filtering</x:v>
      </x:c>
      <x:c r="G1422" s="339" t="str">
        <x:v>authorized records exist across multiple values</x:v>
      </x:c>
      <x:c r="H1422" s="339" t="str">
        <x:v>the user applies search, filters, sorting or pagination</x:v>
      </x:c>
      <x:c r="I1422" s="339" t="str">
        <x:v>the results match all selected criteria and remain within the user's data scope</x:v>
      </x:c>
      <x:c r="J1422" s="339" t="str">
        <x:v>Positive</x:v>
      </x:c>
      <x:c r="K1422" s="339" t="str">
        <x:v>Functional</x:v>
      </x:c>
    </x:row>
    <x:row r="1423">
      <x:c r="A1423" s="339" t="str">
        <x:v>AC-01422</x:v>
      </x:c>
      <x:c r="B1423" s="339" t="str">
        <x:v>US-0356</x:v>
      </x:c>
      <x:c r="C1423" s="339" t="str">
        <x:v>SCR-178</x:v>
      </x:c>
      <x:c r="D1423" s="339" t="str">
        <x:v>HR / Leave / Payroll</x:v>
      </x:c>
      <x:c r="E1423" s="339" t="str">
        <x:v>Employee Onboarding Checklist</x:v>
      </x:c>
      <x:c r="F1423" s="339" t="str">
        <x:v>Controlled row actions</x:v>
      </x:c>
      <x:c r="G1423" s="339" t="str">
        <x:v>records are returned in the list</x:v>
      </x:c>
      <x:c r="H1423" s="339" t="str">
        <x:v>the user opens the action menu</x:v>
      </x:c>
      <x:c r="I1423" s="339" t="str">
        <x:v>only actions permitted for the user's role and the record's current state are offered</x:v>
      </x:c>
      <x:c r="J1423" s="339" t="str">
        <x:v>Positive</x:v>
      </x:c>
      <x:c r="K1423" s="339" t="str">
        <x:v>Functional</x:v>
      </x:c>
    </x:row>
    <x:row r="1424">
      <x:c r="A1424" s="339" t="str">
        <x:v>AC-01423</x:v>
      </x:c>
      <x:c r="B1424" s="339" t="str">
        <x:v>US-0356</x:v>
      </x:c>
      <x:c r="C1424" s="339" t="str">
        <x:v>SCR-178</x:v>
      </x:c>
      <x:c r="D1424" s="339" t="str">
        <x:v>HR / Leave / Payroll</x:v>
      </x:c>
      <x:c r="E1424" s="339" t="str">
        <x:v>Employee Onboarding Checklist</x:v>
      </x:c>
      <x:c r="F1424" s="339" t="str">
        <x:v>Empty/no-result handling</x:v>
      </x:c>
      <x:c r="G1424" s="339" t="str">
        <x:v>no record matches the current criteria</x:v>
      </x:c>
      <x:c r="H1424" s="339" t="str">
        <x:v>the query completes</x:v>
      </x:c>
      <x:c r="I1424" s="339" t="str">
        <x:v>the system shows a clear empty state without treating it as an application error</x:v>
      </x:c>
      <x:c r="J1424" s="339" t="str">
        <x:v>Positive</x:v>
      </x:c>
      <x:c r="K1424" s="339" t="str">
        <x:v>Functional</x:v>
      </x:c>
    </x:row>
    <x:row r="1425">
      <x:c r="A1425" s="339" t="str">
        <x:v>AC-01424</x:v>
      </x:c>
      <x:c r="B1425" s="339" t="str">
        <x:v>US-0356</x:v>
      </x:c>
      <x:c r="C1425" s="339" t="str">
        <x:v>SCR-178</x:v>
      </x:c>
      <x:c r="D1425" s="339" t="str">
        <x:v>HR / Leave / Payroll</x:v>
      </x:c>
      <x:c r="E1425" s="339" t="str">
        <x:v>Employee Onboarding Checklist</x:v>
      </x:c>
      <x:c r="F1425" s="339" t="str">
        <x:v>Export scope</x:v>
      </x:c>
      <x:c r="G1425" s="339" t="str">
        <x:v>the user has export permission</x:v>
      </x:c>
      <x:c r="H1425" s="339" t="str">
        <x:v>the user exports the filtered list</x:v>
      </x:c>
      <x:c r="I1425" s="339" t="str">
        <x:v>the export contains the same authorized filter scope and excludes restricted fields</x:v>
      </x:c>
      <x:c r="J1425" s="339" t="str">
        <x:v>Positive</x:v>
      </x:c>
      <x:c r="K1425" s="339" t="str">
        <x:v>Functional</x:v>
      </x:c>
    </x:row>
    <x:row r="1426">
      <x:c r="A1426" s="339" t="str">
        <x:v>AC-01425</x:v>
      </x:c>
      <x:c r="B1426" s="339" t="str">
        <x:v>US-0357</x:v>
      </x:c>
      <x:c r="C1426" s="339" t="str">
        <x:v>SCR-179</x:v>
      </x:c>
      <x:c r="D1426" s="339" t="str">
        <x:v>HR / Leave / Payroll</x:v>
      </x:c>
      <x:c r="E1426" s="339" t="str">
        <x:v>Staff Attendance Management</x:v>
      </x:c>
      <x:c r="F1426" s="339" t="str">
        <x:v>Authorized access to Staff Attendance Management</x:v>
      </x:c>
      <x:c r="G1426" s="339" t="str">
        <x:v>the HR is authenticated and has access to Staff Attendance Management</x:v>
      </x:c>
      <x:c r="H1426" s="339" t="str">
        <x:v>the user opens or invokes Staff Attendance Management</x:v>
      </x:c>
      <x:c r="I1426" s="339" t="str">
        <x:v>the system loads only records and actions within the user's permitted tenant/school/data scope</x:v>
      </x:c>
      <x:c r="J1426" s="339" t="str">
        <x:v>Positive</x:v>
      </x:c>
      <x:c r="K1426" s="339" t="str">
        <x:v>Functional / Security</x:v>
      </x:c>
    </x:row>
    <x:row r="1427">
      <x:c r="A1427" s="339" t="str">
        <x:v>AC-01426</x:v>
      </x:c>
      <x:c r="B1427" s="339" t="str">
        <x:v>US-0357</x:v>
      </x:c>
      <x:c r="C1427" s="339" t="str">
        <x:v>SCR-179</x:v>
      </x:c>
      <x:c r="D1427" s="339" t="str">
        <x:v>HR / Leave / Payroll</x:v>
      </x:c>
      <x:c r="E1427" s="339" t="str">
        <x:v>Staff Attendance Management</x:v>
      </x:c>
      <x:c r="F1427" s="339" t="str">
        <x:v>Successful Staff Attendance Management happy path</x:v>
      </x:c>
      <x:c r="G1427" s="339" t="str">
        <x:v>all mandatory prerequisites and valid data are available</x:v>
      </x:c>
      <x:c r="H1427" s="339" t="str">
        <x:v>the HR completes the primary action on Staff Attendance Management</x:v>
      </x:c>
      <x:c r="I1427" s="339" t="str">
        <x:v>the system validates the request, saves it atomically, shows a clear confirmation and reflects the updated state</x:v>
      </x:c>
      <x:c r="J1427" s="339" t="str">
        <x:v>Positive</x:v>
      </x:c>
      <x:c r="K1427" s="339" t="str">
        <x:v>Functional</x:v>
      </x:c>
    </x:row>
    <x:row r="1428">
      <x:c r="A1428" s="339" t="str">
        <x:v>AC-01427</x:v>
      </x:c>
      <x:c r="B1428" s="339" t="str">
        <x:v>US-0357</x:v>
      </x:c>
      <x:c r="C1428" s="339" t="str">
        <x:v>SCR-179</x:v>
      </x:c>
      <x:c r="D1428" s="339" t="str">
        <x:v>HR / Leave / Payroll</x:v>
      </x:c>
      <x:c r="E1428" s="339" t="str">
        <x:v>Staff Attendance Management</x:v>
      </x:c>
      <x:c r="F1428" s="339" t="str">
        <x:v>State and dependency integrity</x:v>
      </x:c>
      <x:c r="G1428" s="339" t="str">
        <x:v>the current record is in an allowed state (Draft → Active → Completed / Closed)</x:v>
      </x:c>
      <x:c r="H1428" s="339" t="str">
        <x:v>the user attempts a state-changing action</x:v>
      </x:c>
      <x:c r="I1428" s="339" t="str">
        <x:v>only a valid transition is accepted and dependent records are updated according to configured business rules</x:v>
      </x:c>
      <x:c r="J1428" s="339" t="str">
        <x:v>Positive</x:v>
      </x:c>
      <x:c r="K1428" s="339" t="str">
        <x:v>Functional</x:v>
      </x:c>
    </x:row>
    <x:row r="1429">
      <x:c r="A1429" s="339" t="str">
        <x:v>AC-01428</x:v>
      </x:c>
      <x:c r="B1429" s="339" t="str">
        <x:v>US-0357</x:v>
      </x:c>
      <x:c r="C1429" s="339" t="str">
        <x:v>SCR-179</x:v>
      </x:c>
      <x:c r="D1429" s="339" t="str">
        <x:v>HR / Leave / Payroll</x:v>
      </x:c>
      <x:c r="E1429" s="339" t="str">
        <x:v>Staff Attendance Management</x:v>
      </x:c>
      <x:c r="F1429" s="339" t="str">
        <x:v>Auditability</x:v>
      </x:c>
      <x:c r="G1429" s="339" t="str">
        <x:v>a material create/update/approve/reverse action occurs</x:v>
      </x:c>
      <x:c r="H1429" s="339" t="str">
        <x:v>the transaction succeeds</x:v>
      </x:c>
      <x:c r="I1429" s="339" t="str">
        <x:v>the system records actor, timestamp, action, target and relevant before/after or reason context in the audit trail</x:v>
      </x:c>
      <x:c r="J1429" s="339" t="str">
        <x:v>Positive</x:v>
      </x:c>
      <x:c r="K1429" s="339" t="str">
        <x:v>Functional</x:v>
      </x:c>
    </x:row>
    <x:row r="1430">
      <x:c r="A1430" s="339" t="str">
        <x:v>AC-01429</x:v>
      </x:c>
      <x:c r="B1430" s="339" t="str">
        <x:v>US-0358</x:v>
      </x:c>
      <x:c r="C1430" s="339" t="str">
        <x:v>SCR-179</x:v>
      </x:c>
      <x:c r="D1430" s="339" t="str">
        <x:v>HR / Leave / Payroll</x:v>
      </x:c>
      <x:c r="E1430" s="339" t="str">
        <x:v>Staff Attendance Management</x:v>
      </x:c>
      <x:c r="F1430" s="339" t="str">
        <x:v>Valid status transition</x:v>
      </x:c>
      <x:c r="G1430" s="339" t="str">
        <x:v>the record is in a state described by Draft → Active → Completed / Closed</x:v>
      </x:c>
      <x:c r="H1430" s="339" t="str">
        <x:v>the user requests a transition</x:v>
      </x:c>
      <x:c r="I1430" s="339" t="str">
        <x:v>the system accepts only transitions allowed for that role and state</x:v>
      </x:c>
      <x:c r="J1430" s="339" t="str">
        <x:v>Positive</x:v>
      </x:c>
      <x:c r="K1430" s="339" t="str">
        <x:v>Functional</x:v>
      </x:c>
    </x:row>
    <x:row r="1431">
      <x:c r="A1431" s="339" t="str">
        <x:v>AC-01430</x:v>
      </x:c>
      <x:c r="B1431" s="339" t="str">
        <x:v>US-0358</x:v>
      </x:c>
      <x:c r="C1431" s="339" t="str">
        <x:v>SCR-179</x:v>
      </x:c>
      <x:c r="D1431" s="339" t="str">
        <x:v>HR / Leave / Payroll</x:v>
      </x:c>
      <x:c r="E1431" s="339" t="str">
        <x:v>Staff Attendance Management</x:v>
      </x:c>
      <x:c r="F1431" s="339" t="str">
        <x:v>Approval authority</x:v>
      </x:c>
      <x:c r="G1431" s="339" t="str">
        <x:v>an action requires approval</x:v>
      </x:c>
      <x:c r="H1431" s="339" t="str">
        <x:v>a non-authorized user attempts approval/rejection</x:v>
      </x:c>
      <x:c r="I1431" s="339" t="str">
        <x:v>the system denies the decision and does not change status</x:v>
      </x:c>
      <x:c r="J1431" s="339" t="str">
        <x:v>Negative</x:v>
      </x:c>
      <x:c r="K1431" s="339" t="str">
        <x:v>Functional</x:v>
      </x:c>
    </x:row>
    <x:row r="1432">
      <x:c r="A1432" s="339" t="str">
        <x:v>AC-01431</x:v>
      </x:c>
      <x:c r="B1432" s="339" t="str">
        <x:v>US-0358</x:v>
      </x:c>
      <x:c r="C1432" s="339" t="str">
        <x:v>SCR-179</x:v>
      </x:c>
      <x:c r="D1432" s="339" t="str">
        <x:v>HR / Leave / Payroll</x:v>
      </x:c>
      <x:c r="E1432" s="339" t="str">
        <x:v>Staff Attendance Management</x:v>
      </x:c>
      <x:c r="F1432" s="339" t="str">
        <x:v>Failure rollback</x:v>
      </x:c>
      <x:c r="G1432" s="339" t="str">
        <x:v>a downstream dependency fails during a multi-step transaction</x:v>
      </x:c>
      <x:c r="H1432" s="339" t="str">
        <x:v>the workflow executes</x:v>
      </x:c>
      <x:c r="I1432" s="339" t="str">
        <x:v>the system does not leave an invalid partial final state and surfaces a recoverable error</x:v>
      </x:c>
      <x:c r="J1432" s="339" t="str">
        <x:v>Positive</x:v>
      </x:c>
      <x:c r="K1432" s="339" t="str">
        <x:v>Functional</x:v>
      </x:c>
    </x:row>
    <x:row r="1433">
      <x:c r="A1433" s="339" t="str">
        <x:v>AC-01432</x:v>
      </x:c>
      <x:c r="B1433" s="339" t="str">
        <x:v>US-0358</x:v>
      </x:c>
      <x:c r="C1433" s="339" t="str">
        <x:v>SCR-179</x:v>
      </x:c>
      <x:c r="D1433" s="339" t="str">
        <x:v>HR / Leave / Payroll</x:v>
      </x:c>
      <x:c r="E1433" s="339" t="str">
        <x:v>Staff Attendance Management</x:v>
      </x:c>
      <x:c r="F1433" s="339" t="str">
        <x:v>Exception traceability</x:v>
      </x:c>
      <x:c r="G1433" s="339" t="str">
        <x:v>an authorized override/exception is used</x:v>
      </x:c>
      <x:c r="H1433" s="339" t="str">
        <x:v>the action is confirmed</x:v>
      </x:c>
      <x:c r="I1433" s="339" t="str">
        <x:v>the system requires reason/context and records it in the audit history</x:v>
      </x:c>
      <x:c r="J1433" s="339" t="str">
        <x:v>Positive</x:v>
      </x:c>
      <x:c r="K1433" s="339" t="str">
        <x:v>Functional</x:v>
      </x:c>
    </x:row>
    <x:row r="1434">
      <x:c r="A1434" s="339" t="str">
        <x:v>AC-01433</x:v>
      </x:c>
      <x:c r="B1434" s="339" t="str">
        <x:v>US-0359</x:v>
      </x:c>
      <x:c r="C1434" s="339" t="str">
        <x:v>SCR-180</x:v>
      </x:c>
      <x:c r="D1434" s="339" t="str">
        <x:v>HR / Leave / Payroll</x:v>
      </x:c>
      <x:c r="E1434" s="339" t="str">
        <x:v>Leave Policies</x:v>
      </x:c>
      <x:c r="F1434" s="339" t="str">
        <x:v>Authorized access to Leave Policies</x:v>
      </x:c>
      <x:c r="G1434" s="339" t="str">
        <x:v>the HR is authenticated and has access to Leave Policies</x:v>
      </x:c>
      <x:c r="H1434" s="339" t="str">
        <x:v>the user opens or invokes Leave Policies</x:v>
      </x:c>
      <x:c r="I1434" s="339" t="str">
        <x:v>the system loads only records and actions within the user's permitted tenant/school/data scope</x:v>
      </x:c>
      <x:c r="J1434" s="339" t="str">
        <x:v>Positive</x:v>
      </x:c>
      <x:c r="K1434" s="339" t="str">
        <x:v>Functional / Security</x:v>
      </x:c>
    </x:row>
    <x:row r="1435">
      <x:c r="A1435" s="339" t="str">
        <x:v>AC-01434</x:v>
      </x:c>
      <x:c r="B1435" s="339" t="str">
        <x:v>US-0359</x:v>
      </x:c>
      <x:c r="C1435" s="339" t="str">
        <x:v>SCR-180</x:v>
      </x:c>
      <x:c r="D1435" s="339" t="str">
        <x:v>HR / Leave / Payroll</x:v>
      </x:c>
      <x:c r="E1435" s="339" t="str">
        <x:v>Leave Policies</x:v>
      </x:c>
      <x:c r="F1435" s="339" t="str">
        <x:v>Successful Leave Policies happy path</x:v>
      </x:c>
      <x:c r="G1435" s="339" t="str">
        <x:v>all mandatory prerequisites and valid data are available</x:v>
      </x:c>
      <x:c r="H1435" s="339" t="str">
        <x:v>the HR completes the primary action on Leave Policies</x:v>
      </x:c>
      <x:c r="I1435" s="339" t="str">
        <x:v>the system validates the request, saves it atomically, shows a clear confirmation and reflects the updated state</x:v>
      </x:c>
      <x:c r="J1435" s="339" t="str">
        <x:v>Positive</x:v>
      </x:c>
      <x:c r="K1435" s="339" t="str">
        <x:v>Functional</x:v>
      </x:c>
    </x:row>
    <x:row r="1436">
      <x:c r="A1436" s="339" t="str">
        <x:v>AC-01435</x:v>
      </x:c>
      <x:c r="B1436" s="339" t="str">
        <x:v>US-0359</x:v>
      </x:c>
      <x:c r="C1436" s="339" t="str">
        <x:v>SCR-180</x:v>
      </x:c>
      <x:c r="D1436" s="339" t="str">
        <x:v>HR / Leave / Payroll</x:v>
      </x:c>
      <x:c r="E1436" s="339" t="str">
        <x:v>Leave Policies</x:v>
      </x:c>
      <x:c r="F1436" s="339" t="str">
        <x:v>State and dependency integrity</x:v>
      </x:c>
      <x:c r="G1436" s="339" t="str">
        <x:v>the current record is in an allowed state (Draft → Submitted → Approved / Rejected → Cancelled)</x:v>
      </x:c>
      <x:c r="H1436" s="339" t="str">
        <x:v>the user attempts a state-changing action</x:v>
      </x:c>
      <x:c r="I1436" s="339" t="str">
        <x:v>only a valid transition is accepted and dependent records are updated according to configured business rules</x:v>
      </x:c>
      <x:c r="J1436" s="339" t="str">
        <x:v>Positive</x:v>
      </x:c>
      <x:c r="K1436" s="339" t="str">
        <x:v>Functional</x:v>
      </x:c>
    </x:row>
    <x:row r="1437">
      <x:c r="A1437" s="339" t="str">
        <x:v>AC-01436</x:v>
      </x:c>
      <x:c r="B1437" s="339" t="str">
        <x:v>US-0359</x:v>
      </x:c>
      <x:c r="C1437" s="339" t="str">
        <x:v>SCR-180</x:v>
      </x:c>
      <x:c r="D1437" s="339" t="str">
        <x:v>HR / Leave / Payroll</x:v>
      </x:c>
      <x:c r="E1437" s="339" t="str">
        <x:v>Leave Policies</x:v>
      </x:c>
      <x:c r="F1437" s="339" t="str">
        <x:v>Auditability</x:v>
      </x:c>
      <x:c r="G1437" s="339" t="str">
        <x:v>a material create/update/approve/reverse action occurs</x:v>
      </x:c>
      <x:c r="H1437" s="339" t="str">
        <x:v>the transaction succeeds</x:v>
      </x:c>
      <x:c r="I1437" s="339" t="str">
        <x:v>the system records actor, timestamp, action, target and relevant before/after or reason context in the audit trail</x:v>
      </x:c>
      <x:c r="J1437" s="339" t="str">
        <x:v>Positive</x:v>
      </x:c>
      <x:c r="K1437" s="339" t="str">
        <x:v>Functional</x:v>
      </x:c>
    </x:row>
    <x:row r="1438">
      <x:c r="A1438" s="339" t="str">
        <x:v>AC-01437</x:v>
      </x:c>
      <x:c r="B1438" s="339" t="str">
        <x:v>US-0360</x:v>
      </x:c>
      <x:c r="C1438" s="339" t="str">
        <x:v>SCR-180</x:v>
      </x:c>
      <x:c r="D1438" s="339" t="str">
        <x:v>HR / Leave / Payroll</x:v>
      </x:c>
      <x:c r="E1438" s="339" t="str">
        <x:v>Leave Policies</x:v>
      </x:c>
      <x:c r="F1438" s="339" t="str">
        <x:v>Valid status transition</x:v>
      </x:c>
      <x:c r="G1438" s="339" t="str">
        <x:v>the record is in a state described by Draft → Submitted → Approved / Rejected → Cancelled</x:v>
      </x:c>
      <x:c r="H1438" s="339" t="str">
        <x:v>the user requests a transition</x:v>
      </x:c>
      <x:c r="I1438" s="339" t="str">
        <x:v>the system accepts only transitions allowed for that role and state</x:v>
      </x:c>
      <x:c r="J1438" s="339" t="str">
        <x:v>Positive</x:v>
      </x:c>
      <x:c r="K1438" s="339" t="str">
        <x:v>Functional</x:v>
      </x:c>
    </x:row>
    <x:row r="1439">
      <x:c r="A1439" s="339" t="str">
        <x:v>AC-01438</x:v>
      </x:c>
      <x:c r="B1439" s="339" t="str">
        <x:v>US-0360</x:v>
      </x:c>
      <x:c r="C1439" s="339" t="str">
        <x:v>SCR-180</x:v>
      </x:c>
      <x:c r="D1439" s="339" t="str">
        <x:v>HR / Leave / Payroll</x:v>
      </x:c>
      <x:c r="E1439" s="339" t="str">
        <x:v>Leave Policies</x:v>
      </x:c>
      <x:c r="F1439" s="339" t="str">
        <x:v>Approval authority</x:v>
      </x:c>
      <x:c r="G1439" s="339" t="str">
        <x:v>an action requires approval</x:v>
      </x:c>
      <x:c r="H1439" s="339" t="str">
        <x:v>a non-authorized user attempts approval/rejection</x:v>
      </x:c>
      <x:c r="I1439" s="339" t="str">
        <x:v>the system denies the decision and does not change status</x:v>
      </x:c>
      <x:c r="J1439" s="339" t="str">
        <x:v>Negative</x:v>
      </x:c>
      <x:c r="K1439" s="339" t="str">
        <x:v>Functional</x:v>
      </x:c>
    </x:row>
    <x:row r="1440">
      <x:c r="A1440" s="339" t="str">
        <x:v>AC-01439</x:v>
      </x:c>
      <x:c r="B1440" s="339" t="str">
        <x:v>US-0360</x:v>
      </x:c>
      <x:c r="C1440" s="339" t="str">
        <x:v>SCR-180</x:v>
      </x:c>
      <x:c r="D1440" s="339" t="str">
        <x:v>HR / Leave / Payroll</x:v>
      </x:c>
      <x:c r="E1440" s="339" t="str">
        <x:v>Leave Policies</x:v>
      </x:c>
      <x:c r="F1440" s="339" t="str">
        <x:v>Failure rollback</x:v>
      </x:c>
      <x:c r="G1440" s="339" t="str">
        <x:v>a downstream dependency fails during a multi-step transaction</x:v>
      </x:c>
      <x:c r="H1440" s="339" t="str">
        <x:v>the workflow executes</x:v>
      </x:c>
      <x:c r="I1440" s="339" t="str">
        <x:v>the system does not leave an invalid partial final state and surfaces a recoverable error</x:v>
      </x:c>
      <x:c r="J1440" s="339" t="str">
        <x:v>Positive</x:v>
      </x:c>
      <x:c r="K1440" s="339" t="str">
        <x:v>Functional</x:v>
      </x:c>
    </x:row>
    <x:row r="1441">
      <x:c r="A1441" s="339" t="str">
        <x:v>AC-01440</x:v>
      </x:c>
      <x:c r="B1441" s="339" t="str">
        <x:v>US-0360</x:v>
      </x:c>
      <x:c r="C1441" s="339" t="str">
        <x:v>SCR-180</x:v>
      </x:c>
      <x:c r="D1441" s="339" t="str">
        <x:v>HR / Leave / Payroll</x:v>
      </x:c>
      <x:c r="E1441" s="339" t="str">
        <x:v>Leave Policies</x:v>
      </x:c>
      <x:c r="F1441" s="339" t="str">
        <x:v>Exception traceability</x:v>
      </x:c>
      <x:c r="G1441" s="339" t="str">
        <x:v>an authorized override/exception is used</x:v>
      </x:c>
      <x:c r="H1441" s="339" t="str">
        <x:v>the action is confirmed</x:v>
      </x:c>
      <x:c r="I1441" s="339" t="str">
        <x:v>the system requires reason/context and records it in the audit history</x:v>
      </x:c>
      <x:c r="J1441" s="339" t="str">
        <x:v>Positive</x:v>
      </x:c>
      <x:c r="K1441" s="339" t="str">
        <x:v>Functional</x:v>
      </x:c>
    </x:row>
    <x:row r="1442">
      <x:c r="A1442" s="339" t="str">
        <x:v>AC-01441</x:v>
      </x:c>
      <x:c r="B1442" s="339" t="str">
        <x:v>US-0361</x:v>
      </x:c>
      <x:c r="C1442" s="339" t="str">
        <x:v>SCR-181</x:v>
      </x:c>
      <x:c r="D1442" s="339" t="str">
        <x:v>HR / Leave / Payroll</x:v>
      </x:c>
      <x:c r="E1442" s="339" t="str">
        <x:v>Staff Leave Requests</x:v>
      </x:c>
      <x:c r="F1442" s="339" t="str">
        <x:v>Authorized access to Staff Leave Requests</x:v>
      </x:c>
      <x:c r="G1442" s="339" t="str">
        <x:v>the HR is authenticated and has access to Staff Leave Requests</x:v>
      </x:c>
      <x:c r="H1442" s="339" t="str">
        <x:v>the user opens or invokes Staff Leave Requests</x:v>
      </x:c>
      <x:c r="I1442" s="339" t="str">
        <x:v>the system loads only records and actions within the user's permitted tenant/school/data scope</x:v>
      </x:c>
      <x:c r="J1442" s="339" t="str">
        <x:v>Positive</x:v>
      </x:c>
      <x:c r="K1442" s="339" t="str">
        <x:v>Functional / Security</x:v>
      </x:c>
    </x:row>
    <x:row r="1443">
      <x:c r="A1443" s="339" t="str">
        <x:v>AC-01442</x:v>
      </x:c>
      <x:c r="B1443" s="339" t="str">
        <x:v>US-0361</x:v>
      </x:c>
      <x:c r="C1443" s="339" t="str">
        <x:v>SCR-181</x:v>
      </x:c>
      <x:c r="D1443" s="339" t="str">
        <x:v>HR / Leave / Payroll</x:v>
      </x:c>
      <x:c r="E1443" s="339" t="str">
        <x:v>Staff Leave Requests</x:v>
      </x:c>
      <x:c r="F1443" s="339" t="str">
        <x:v>Successful Staff Leave Requests happy path</x:v>
      </x:c>
      <x:c r="G1443" s="339" t="str">
        <x:v>all mandatory prerequisites and valid data are available</x:v>
      </x:c>
      <x:c r="H1443" s="339" t="str">
        <x:v>the HR completes the primary action on Staff Leave Requests</x:v>
      </x:c>
      <x:c r="I1443" s="339" t="str">
        <x:v>the system validates the request, saves it atomically, shows a clear confirmation and reflects the updated state</x:v>
      </x:c>
      <x:c r="J1443" s="339" t="str">
        <x:v>Positive</x:v>
      </x:c>
      <x:c r="K1443" s="339" t="str">
        <x:v>Functional</x:v>
      </x:c>
    </x:row>
    <x:row r="1444">
      <x:c r="A1444" s="339" t="str">
        <x:v>AC-01443</x:v>
      </x:c>
      <x:c r="B1444" s="339" t="str">
        <x:v>US-0361</x:v>
      </x:c>
      <x:c r="C1444" s="339" t="str">
        <x:v>SCR-181</x:v>
      </x:c>
      <x:c r="D1444" s="339" t="str">
        <x:v>HR / Leave / Payroll</x:v>
      </x:c>
      <x:c r="E1444" s="339" t="str">
        <x:v>Staff Leave Requests</x:v>
      </x:c>
      <x:c r="F1444" s="339" t="str">
        <x:v>State and dependency integrity</x:v>
      </x:c>
      <x:c r="G1444" s="339" t="str">
        <x:v>the current record is in an allowed state (Draft → Submitted → Approved / Rejected → Cancelled)</x:v>
      </x:c>
      <x:c r="H1444" s="339" t="str">
        <x:v>the user attempts a state-changing action</x:v>
      </x:c>
      <x:c r="I1444" s="339" t="str">
        <x:v>only a valid transition is accepted and dependent records are updated according to configured business rules</x:v>
      </x:c>
      <x:c r="J1444" s="339" t="str">
        <x:v>Positive</x:v>
      </x:c>
      <x:c r="K1444" s="339" t="str">
        <x:v>Functional</x:v>
      </x:c>
    </x:row>
    <x:row r="1445">
      <x:c r="A1445" s="339" t="str">
        <x:v>AC-01444</x:v>
      </x:c>
      <x:c r="B1445" s="339" t="str">
        <x:v>US-0361</x:v>
      </x:c>
      <x:c r="C1445" s="339" t="str">
        <x:v>SCR-181</x:v>
      </x:c>
      <x:c r="D1445" s="339" t="str">
        <x:v>HR / Leave / Payroll</x:v>
      </x:c>
      <x:c r="E1445" s="339" t="str">
        <x:v>Staff Leave Requests</x:v>
      </x:c>
      <x:c r="F1445" s="339" t="str">
        <x:v>Auditability</x:v>
      </x:c>
      <x:c r="G1445" s="339" t="str">
        <x:v>a material create/update/approve/reverse action occurs</x:v>
      </x:c>
      <x:c r="H1445" s="339" t="str">
        <x:v>the transaction succeeds</x:v>
      </x:c>
      <x:c r="I1445" s="339" t="str">
        <x:v>the system records actor, timestamp, action, target and relevant before/after or reason context in the audit trail</x:v>
      </x:c>
      <x:c r="J1445" s="339" t="str">
        <x:v>Positive</x:v>
      </x:c>
      <x:c r="K1445" s="339" t="str">
        <x:v>Functional</x:v>
      </x:c>
    </x:row>
    <x:row r="1446">
      <x:c r="A1446" s="339" t="str">
        <x:v>AC-01445</x:v>
      </x:c>
      <x:c r="B1446" s="339" t="str">
        <x:v>US-0362</x:v>
      </x:c>
      <x:c r="C1446" s="339" t="str">
        <x:v>SCR-181</x:v>
      </x:c>
      <x:c r="D1446" s="339" t="str">
        <x:v>HR / Leave / Payroll</x:v>
      </x:c>
      <x:c r="E1446" s="339" t="str">
        <x:v>Staff Leave Requests</x:v>
      </x:c>
      <x:c r="F1446" s="339" t="str">
        <x:v>Valid status transition</x:v>
      </x:c>
      <x:c r="G1446" s="339" t="str">
        <x:v>the record is in a state described by Draft → Submitted → Approved / Rejected → Cancelled</x:v>
      </x:c>
      <x:c r="H1446" s="339" t="str">
        <x:v>the user requests a transition</x:v>
      </x:c>
      <x:c r="I1446" s="339" t="str">
        <x:v>the system accepts only transitions allowed for that role and state</x:v>
      </x:c>
      <x:c r="J1446" s="339" t="str">
        <x:v>Positive</x:v>
      </x:c>
      <x:c r="K1446" s="339" t="str">
        <x:v>Functional</x:v>
      </x:c>
    </x:row>
    <x:row r="1447">
      <x:c r="A1447" s="339" t="str">
        <x:v>AC-01446</x:v>
      </x:c>
      <x:c r="B1447" s="339" t="str">
        <x:v>US-0362</x:v>
      </x:c>
      <x:c r="C1447" s="339" t="str">
        <x:v>SCR-181</x:v>
      </x:c>
      <x:c r="D1447" s="339" t="str">
        <x:v>HR / Leave / Payroll</x:v>
      </x:c>
      <x:c r="E1447" s="339" t="str">
        <x:v>Staff Leave Requests</x:v>
      </x:c>
      <x:c r="F1447" s="339" t="str">
        <x:v>Approval authority</x:v>
      </x:c>
      <x:c r="G1447" s="339" t="str">
        <x:v>an action requires approval</x:v>
      </x:c>
      <x:c r="H1447" s="339" t="str">
        <x:v>a non-authorized user attempts approval/rejection</x:v>
      </x:c>
      <x:c r="I1447" s="339" t="str">
        <x:v>the system denies the decision and does not change status</x:v>
      </x:c>
      <x:c r="J1447" s="339" t="str">
        <x:v>Negative</x:v>
      </x:c>
      <x:c r="K1447" s="339" t="str">
        <x:v>Functional</x:v>
      </x:c>
    </x:row>
    <x:row r="1448">
      <x:c r="A1448" s="339" t="str">
        <x:v>AC-01447</x:v>
      </x:c>
      <x:c r="B1448" s="339" t="str">
        <x:v>US-0362</x:v>
      </x:c>
      <x:c r="C1448" s="339" t="str">
        <x:v>SCR-181</x:v>
      </x:c>
      <x:c r="D1448" s="339" t="str">
        <x:v>HR / Leave / Payroll</x:v>
      </x:c>
      <x:c r="E1448" s="339" t="str">
        <x:v>Staff Leave Requests</x:v>
      </x:c>
      <x:c r="F1448" s="339" t="str">
        <x:v>Failure rollback</x:v>
      </x:c>
      <x:c r="G1448" s="339" t="str">
        <x:v>a downstream dependency fails during a multi-step transaction</x:v>
      </x:c>
      <x:c r="H1448" s="339" t="str">
        <x:v>the workflow executes</x:v>
      </x:c>
      <x:c r="I1448" s="339" t="str">
        <x:v>the system does not leave an invalid partial final state and surfaces a recoverable error</x:v>
      </x:c>
      <x:c r="J1448" s="339" t="str">
        <x:v>Positive</x:v>
      </x:c>
      <x:c r="K1448" s="339" t="str">
        <x:v>Functional</x:v>
      </x:c>
    </x:row>
    <x:row r="1449">
      <x:c r="A1449" s="339" t="str">
        <x:v>AC-01448</x:v>
      </x:c>
      <x:c r="B1449" s="339" t="str">
        <x:v>US-0362</x:v>
      </x:c>
      <x:c r="C1449" s="339" t="str">
        <x:v>SCR-181</x:v>
      </x:c>
      <x:c r="D1449" s="339" t="str">
        <x:v>HR / Leave / Payroll</x:v>
      </x:c>
      <x:c r="E1449" s="339" t="str">
        <x:v>Staff Leave Requests</x:v>
      </x:c>
      <x:c r="F1449" s="339" t="str">
        <x:v>Exception traceability</x:v>
      </x:c>
      <x:c r="G1449" s="339" t="str">
        <x:v>an authorized override/exception is used</x:v>
      </x:c>
      <x:c r="H1449" s="339" t="str">
        <x:v>the action is confirmed</x:v>
      </x:c>
      <x:c r="I1449" s="339" t="str">
        <x:v>the system requires reason/context and records it in the audit history</x:v>
      </x:c>
      <x:c r="J1449" s="339" t="str">
        <x:v>Positive</x:v>
      </x:c>
      <x:c r="K1449" s="339" t="str">
        <x:v>Functional</x:v>
      </x:c>
    </x:row>
    <x:row r="1450">
      <x:c r="A1450" s="339" t="str">
        <x:v>AC-01449</x:v>
      </x:c>
      <x:c r="B1450" s="339" t="str">
        <x:v>US-0363</x:v>
      </x:c>
      <x:c r="C1450" s="339" t="str">
        <x:v>SCR-182</x:v>
      </x:c>
      <x:c r="D1450" s="339" t="str">
        <x:v>HR / Leave / Payroll</x:v>
      </x:c>
      <x:c r="E1450" s="339" t="str">
        <x:v>Leave Approval</x:v>
      </x:c>
      <x:c r="F1450" s="339" t="str">
        <x:v>Authorized access to Leave Approval</x:v>
      </x:c>
      <x:c r="G1450" s="339" t="str">
        <x:v>the HR is authenticated and has access to Leave Approval</x:v>
      </x:c>
      <x:c r="H1450" s="339" t="str">
        <x:v>the user opens or invokes Leave Approval</x:v>
      </x:c>
      <x:c r="I1450" s="339" t="str">
        <x:v>the system loads only records and actions within the user's permitted tenant/school/data scope</x:v>
      </x:c>
      <x:c r="J1450" s="339" t="str">
        <x:v>Positive</x:v>
      </x:c>
      <x:c r="K1450" s="339" t="str">
        <x:v>Functional / Security</x:v>
      </x:c>
    </x:row>
    <x:row r="1451">
      <x:c r="A1451" s="339" t="str">
        <x:v>AC-01450</x:v>
      </x:c>
      <x:c r="B1451" s="339" t="str">
        <x:v>US-0363</x:v>
      </x:c>
      <x:c r="C1451" s="339" t="str">
        <x:v>SCR-182</x:v>
      </x:c>
      <x:c r="D1451" s="339" t="str">
        <x:v>HR / Leave / Payroll</x:v>
      </x:c>
      <x:c r="E1451" s="339" t="str">
        <x:v>Leave Approval</x:v>
      </x:c>
      <x:c r="F1451" s="339" t="str">
        <x:v>Successful Leave Approval happy path</x:v>
      </x:c>
      <x:c r="G1451" s="339" t="str">
        <x:v>all mandatory prerequisites and valid data are available</x:v>
      </x:c>
      <x:c r="H1451" s="339" t="str">
        <x:v>the HR completes the primary action on Leave Approval</x:v>
      </x:c>
      <x:c r="I1451" s="339" t="str">
        <x:v>the system validates the request, saves it atomically, shows a clear confirmation and reflects the updated state</x:v>
      </x:c>
      <x:c r="J1451" s="339" t="str">
        <x:v>Positive</x:v>
      </x:c>
      <x:c r="K1451" s="339" t="str">
        <x:v>Functional</x:v>
      </x:c>
    </x:row>
    <x:row r="1452">
      <x:c r="A1452" s="339" t="str">
        <x:v>AC-01451</x:v>
      </x:c>
      <x:c r="B1452" s="339" t="str">
        <x:v>US-0363</x:v>
      </x:c>
      <x:c r="C1452" s="339" t="str">
        <x:v>SCR-182</x:v>
      </x:c>
      <x:c r="D1452" s="339" t="str">
        <x:v>HR / Leave / Payroll</x:v>
      </x:c>
      <x:c r="E1452" s="339" t="str">
        <x:v>Leave Approval</x:v>
      </x:c>
      <x:c r="F1452" s="339" t="str">
        <x:v>State and dependency integrity</x:v>
      </x:c>
      <x:c r="G1452" s="339" t="str">
        <x:v>the current record is in an allowed state (Draft → Submitted → Approved / Rejected → Cancelled)</x:v>
      </x:c>
      <x:c r="H1452" s="339" t="str">
        <x:v>the user attempts a state-changing action</x:v>
      </x:c>
      <x:c r="I1452" s="339" t="str">
        <x:v>only a valid transition is accepted and dependent records are updated according to configured business rules</x:v>
      </x:c>
      <x:c r="J1452" s="339" t="str">
        <x:v>Positive</x:v>
      </x:c>
      <x:c r="K1452" s="339" t="str">
        <x:v>Functional</x:v>
      </x:c>
    </x:row>
    <x:row r="1453">
      <x:c r="A1453" s="339" t="str">
        <x:v>AC-01452</x:v>
      </x:c>
      <x:c r="B1453" s="339" t="str">
        <x:v>US-0363</x:v>
      </x:c>
      <x:c r="C1453" s="339" t="str">
        <x:v>SCR-182</x:v>
      </x:c>
      <x:c r="D1453" s="339" t="str">
        <x:v>HR / Leave / Payroll</x:v>
      </x:c>
      <x:c r="E1453" s="339" t="str">
        <x:v>Leave Approval</x:v>
      </x:c>
      <x:c r="F1453" s="339" t="str">
        <x:v>Auditability</x:v>
      </x:c>
      <x:c r="G1453" s="339" t="str">
        <x:v>a material create/update/approve/reverse action occurs</x:v>
      </x:c>
      <x:c r="H1453" s="339" t="str">
        <x:v>the transaction succeeds</x:v>
      </x:c>
      <x:c r="I1453" s="339" t="str">
        <x:v>the system records actor, timestamp, action, target and relevant before/after or reason context in the audit trail</x:v>
      </x:c>
      <x:c r="J1453" s="339" t="str">
        <x:v>Positive</x:v>
      </x:c>
      <x:c r="K1453" s="339" t="str">
        <x:v>Functional</x:v>
      </x:c>
    </x:row>
    <x:row r="1454">
      <x:c r="A1454" s="339" t="str">
        <x:v>AC-01453</x:v>
      </x:c>
      <x:c r="B1454" s="339" t="str">
        <x:v>US-0364</x:v>
      </x:c>
      <x:c r="C1454" s="339" t="str">
        <x:v>SCR-182</x:v>
      </x:c>
      <x:c r="D1454" s="339" t="str">
        <x:v>HR / Leave / Payroll</x:v>
      </x:c>
      <x:c r="E1454" s="339" t="str">
        <x:v>Leave Approval</x:v>
      </x:c>
      <x:c r="F1454" s="339" t="str">
        <x:v>Valid status transition</x:v>
      </x:c>
      <x:c r="G1454" s="339" t="str">
        <x:v>the record is in a state described by Draft → Submitted → Approved / Rejected → Cancelled</x:v>
      </x:c>
      <x:c r="H1454" s="339" t="str">
        <x:v>the user requests a transition</x:v>
      </x:c>
      <x:c r="I1454" s="339" t="str">
        <x:v>the system accepts only transitions allowed for that role and state</x:v>
      </x:c>
      <x:c r="J1454" s="339" t="str">
        <x:v>Positive</x:v>
      </x:c>
      <x:c r="K1454" s="339" t="str">
        <x:v>Functional</x:v>
      </x:c>
    </x:row>
    <x:row r="1455">
      <x:c r="A1455" s="339" t="str">
        <x:v>AC-01454</x:v>
      </x:c>
      <x:c r="B1455" s="339" t="str">
        <x:v>US-0364</x:v>
      </x:c>
      <x:c r="C1455" s="339" t="str">
        <x:v>SCR-182</x:v>
      </x:c>
      <x:c r="D1455" s="339" t="str">
        <x:v>HR / Leave / Payroll</x:v>
      </x:c>
      <x:c r="E1455" s="339" t="str">
        <x:v>Leave Approval</x:v>
      </x:c>
      <x:c r="F1455" s="339" t="str">
        <x:v>Approval authority</x:v>
      </x:c>
      <x:c r="G1455" s="339" t="str">
        <x:v>an action requires approval</x:v>
      </x:c>
      <x:c r="H1455" s="339" t="str">
        <x:v>a non-authorized user attempts approval/rejection</x:v>
      </x:c>
      <x:c r="I1455" s="339" t="str">
        <x:v>the system denies the decision and does not change status</x:v>
      </x:c>
      <x:c r="J1455" s="339" t="str">
        <x:v>Negative</x:v>
      </x:c>
      <x:c r="K1455" s="339" t="str">
        <x:v>Functional</x:v>
      </x:c>
    </x:row>
    <x:row r="1456">
      <x:c r="A1456" s="339" t="str">
        <x:v>AC-01455</x:v>
      </x:c>
      <x:c r="B1456" s="339" t="str">
        <x:v>US-0364</x:v>
      </x:c>
      <x:c r="C1456" s="339" t="str">
        <x:v>SCR-182</x:v>
      </x:c>
      <x:c r="D1456" s="339" t="str">
        <x:v>HR / Leave / Payroll</x:v>
      </x:c>
      <x:c r="E1456" s="339" t="str">
        <x:v>Leave Approval</x:v>
      </x:c>
      <x:c r="F1456" s="339" t="str">
        <x:v>Failure rollback</x:v>
      </x:c>
      <x:c r="G1456" s="339" t="str">
        <x:v>a downstream dependency fails during a multi-step transaction</x:v>
      </x:c>
      <x:c r="H1456" s="339" t="str">
        <x:v>the workflow executes</x:v>
      </x:c>
      <x:c r="I1456" s="339" t="str">
        <x:v>the system does not leave an invalid partial final state and surfaces a recoverable error</x:v>
      </x:c>
      <x:c r="J1456" s="339" t="str">
        <x:v>Positive</x:v>
      </x:c>
      <x:c r="K1456" s="339" t="str">
        <x:v>Functional</x:v>
      </x:c>
    </x:row>
    <x:row r="1457">
      <x:c r="A1457" s="339" t="str">
        <x:v>AC-01456</x:v>
      </x:c>
      <x:c r="B1457" s="339" t="str">
        <x:v>US-0364</x:v>
      </x:c>
      <x:c r="C1457" s="339" t="str">
        <x:v>SCR-182</x:v>
      </x:c>
      <x:c r="D1457" s="339" t="str">
        <x:v>HR / Leave / Payroll</x:v>
      </x:c>
      <x:c r="E1457" s="339" t="str">
        <x:v>Leave Approval</x:v>
      </x:c>
      <x:c r="F1457" s="339" t="str">
        <x:v>Exception traceability</x:v>
      </x:c>
      <x:c r="G1457" s="339" t="str">
        <x:v>an authorized override/exception is used</x:v>
      </x:c>
      <x:c r="H1457" s="339" t="str">
        <x:v>the action is confirmed</x:v>
      </x:c>
      <x:c r="I1457" s="339" t="str">
        <x:v>the system requires reason/context and records it in the audit history</x:v>
      </x:c>
      <x:c r="J1457" s="339" t="str">
        <x:v>Positive</x:v>
      </x:c>
      <x:c r="K1457" s="339" t="str">
        <x:v>Functional</x:v>
      </x:c>
    </x:row>
    <x:row r="1458">
      <x:c r="A1458" s="339" t="str">
        <x:v>AC-01457</x:v>
      </x:c>
      <x:c r="B1458" s="339" t="str">
        <x:v>US-0365</x:v>
      </x:c>
      <x:c r="C1458" s="339" t="str">
        <x:v>SCR-183</x:v>
      </x:c>
      <x:c r="D1458" s="339" t="str">
        <x:v>HR / Leave / Payroll</x:v>
      </x:c>
      <x:c r="E1458" s="339" t="str">
        <x:v>Payroll Setup</x:v>
      </x:c>
      <x:c r="F1458" s="339" t="str">
        <x:v>Authorized access to Payroll Setup</x:v>
      </x:c>
      <x:c r="G1458" s="339" t="str">
        <x:v>the HR is authenticated and has access to Payroll Setup</x:v>
      </x:c>
      <x:c r="H1458" s="339" t="str">
        <x:v>the user opens or invokes Payroll Setup</x:v>
      </x:c>
      <x:c r="I1458" s="339" t="str">
        <x:v>the system loads only records and actions within the user's permitted tenant/school/data scope</x:v>
      </x:c>
      <x:c r="J1458" s="339" t="str">
        <x:v>Positive</x:v>
      </x:c>
      <x:c r="K1458" s="339" t="str">
        <x:v>Functional / Security</x:v>
      </x:c>
    </x:row>
    <x:row r="1459">
      <x:c r="A1459" s="339" t="str">
        <x:v>AC-01458</x:v>
      </x:c>
      <x:c r="B1459" s="339" t="str">
        <x:v>US-0365</x:v>
      </x:c>
      <x:c r="C1459" s="339" t="str">
        <x:v>SCR-183</x:v>
      </x:c>
      <x:c r="D1459" s="339" t="str">
        <x:v>HR / Leave / Payroll</x:v>
      </x:c>
      <x:c r="E1459" s="339" t="str">
        <x:v>Payroll Setup</x:v>
      </x:c>
      <x:c r="F1459" s="339" t="str">
        <x:v>Successful Payroll Setup happy path</x:v>
      </x:c>
      <x:c r="G1459" s="339" t="str">
        <x:v>all mandatory prerequisites and valid data are available</x:v>
      </x:c>
      <x:c r="H1459" s="339" t="str">
        <x:v>the HR completes the primary action on Payroll Setup</x:v>
      </x:c>
      <x:c r="I1459" s="339" t="str">
        <x:v>the system validates the request, saves it atomically, shows a clear confirmation and reflects the updated state</x:v>
      </x:c>
      <x:c r="J1459" s="339" t="str">
        <x:v>Positive</x:v>
      </x:c>
      <x:c r="K1459" s="339" t="str">
        <x:v>Functional</x:v>
      </x:c>
    </x:row>
    <x:row r="1460">
      <x:c r="A1460" s="339" t="str">
        <x:v>AC-01459</x:v>
      </x:c>
      <x:c r="B1460" s="339" t="str">
        <x:v>US-0365</x:v>
      </x:c>
      <x:c r="C1460" s="339" t="str">
        <x:v>SCR-183</x:v>
      </x:c>
      <x:c r="D1460" s="339" t="str">
        <x:v>HR / Leave / Payroll</x:v>
      </x:c>
      <x:c r="E1460" s="339" t="str">
        <x:v>Payroll Setup</x:v>
      </x:c>
      <x:c r="F1460" s="339" t="str">
        <x:v>State and dependency integrity</x:v>
      </x:c>
      <x:c r="G1460" s="339" t="str">
        <x:v>the current record is in an allowed state (Draft → Calculated → Reviewed → Approved → Posted / Paid → Adjustment)</x:v>
      </x:c>
      <x:c r="H1460" s="339" t="str">
        <x:v>the user attempts a state-changing action</x:v>
      </x:c>
      <x:c r="I1460" s="339" t="str">
        <x:v>only a valid transition is accepted and dependent records are updated according to configured business rules</x:v>
      </x:c>
      <x:c r="J1460" s="339" t="str">
        <x:v>Positive</x:v>
      </x:c>
      <x:c r="K1460" s="339" t="str">
        <x:v>Functional</x:v>
      </x:c>
    </x:row>
    <x:row r="1461">
      <x:c r="A1461" s="339" t="str">
        <x:v>AC-01460</x:v>
      </x:c>
      <x:c r="B1461" s="339" t="str">
        <x:v>US-0365</x:v>
      </x:c>
      <x:c r="C1461" s="339" t="str">
        <x:v>SCR-183</x:v>
      </x:c>
      <x:c r="D1461" s="339" t="str">
        <x:v>HR / Leave / Payroll</x:v>
      </x:c>
      <x:c r="E1461" s="339" t="str">
        <x:v>Payroll Setup</x:v>
      </x:c>
      <x:c r="F1461" s="339" t="str">
        <x:v>Auditability</x:v>
      </x:c>
      <x:c r="G1461" s="339" t="str">
        <x:v>a material create/update/approve/reverse action occurs</x:v>
      </x:c>
      <x:c r="H1461" s="339" t="str">
        <x:v>the transaction succeeds</x:v>
      </x:c>
      <x:c r="I1461" s="339" t="str">
        <x:v>the system records actor, timestamp, action, target and relevant before/after or reason context in the audit trail</x:v>
      </x:c>
      <x:c r="J1461" s="339" t="str">
        <x:v>Positive</x:v>
      </x:c>
      <x:c r="K1461" s="339" t="str">
        <x:v>Functional</x:v>
      </x:c>
    </x:row>
    <x:row r="1462">
      <x:c r="A1462" s="339" t="str">
        <x:v>AC-01461</x:v>
      </x:c>
      <x:c r="B1462" s="339" t="str">
        <x:v>US-0366</x:v>
      </x:c>
      <x:c r="C1462" s="339" t="str">
        <x:v>SCR-183</x:v>
      </x:c>
      <x:c r="D1462" s="339" t="str">
        <x:v>HR / Leave / Payroll</x:v>
      </x:c>
      <x:c r="E1462" s="339" t="str">
        <x:v>Payroll Setup</x:v>
      </x:c>
      <x:c r="F1462" s="339" t="str">
        <x:v>Required-field validation</x:v>
      </x:c>
      <x:c r="G1462" s="339" t="str">
        <x:v>one or more required values are missing/invalid</x:v>
      </x:c>
      <x:c r="H1462" s="339" t="str">
        <x:v>the user submits the form</x:v>
      </x:c>
      <x:c r="I1462" s="339" t="str">
        <x:v>submission is blocked and field-level messages identify what must be corrected</x:v>
      </x:c>
      <x:c r="J1462" s="339" t="str">
        <x:v>Positive</x:v>
      </x:c>
      <x:c r="K1462" s="339" t="str">
        <x:v>Functional</x:v>
      </x:c>
    </x:row>
    <x:row r="1463">
      <x:c r="A1463" s="339" t="str">
        <x:v>AC-01462</x:v>
      </x:c>
      <x:c r="B1463" s="339" t="str">
        <x:v>US-0366</x:v>
      </x:c>
      <x:c r="C1463" s="339" t="str">
        <x:v>SCR-183</x:v>
      </x:c>
      <x:c r="D1463" s="339" t="str">
        <x:v>HR / Leave / Payroll</x:v>
      </x:c>
      <x:c r="E1463" s="339" t="str">
        <x:v>Payroll Setup</x:v>
      </x:c>
      <x:c r="F1463" s="339" t="str">
        <x:v>Duplicate prevention</x:v>
      </x:c>
      <x:c r="G1463" s="339" t="str">
        <x:v>a potentially duplicate record exists</x:v>
      </x:c>
      <x:c r="H1463" s="339" t="str">
        <x:v>the user submits matching identity/master data</x:v>
      </x:c>
      <x:c r="I1463" s="339" t="str">
        <x:v>the system blocks or warns according to configured duplicate policy before creating another record</x:v>
      </x:c>
      <x:c r="J1463" s="339" t="str">
        <x:v>Negative</x:v>
      </x:c>
      <x:c r="K1463" s="339" t="str">
        <x:v>Functional</x:v>
      </x:c>
    </x:row>
    <x:row r="1464">
      <x:c r="A1464" s="339" t="str">
        <x:v>AC-01463</x:v>
      </x:c>
      <x:c r="B1464" s="339" t="str">
        <x:v>US-0366</x:v>
      </x:c>
      <x:c r="C1464" s="339" t="str">
        <x:v>SCR-183</x:v>
      </x:c>
      <x:c r="D1464" s="339" t="str">
        <x:v>HR / Leave / Payroll</x:v>
      </x:c>
      <x:c r="E1464" s="339" t="str">
        <x:v>Payroll Setup</x:v>
      </x:c>
      <x:c r="F1464" s="339" t="str">
        <x:v>Reference-data integrity</x:v>
      </x:c>
      <x:c r="G1464" s="339" t="str">
        <x:v>the form contains master-data selections</x:v>
      </x:c>
      <x:c r="H1464" s="339" t="str">
        <x:v>the user submits</x:v>
      </x:c>
      <x:c r="I1464" s="339" t="str">
        <x:v>all referenced values are active, effective and within the user's scope at the time of save</x:v>
      </x:c>
      <x:c r="J1464" s="339" t="str">
        <x:v>Positive</x:v>
      </x:c>
      <x:c r="K1464" s="339" t="str">
        <x:v>Functional</x:v>
      </x:c>
    </x:row>
    <x:row r="1465">
      <x:c r="A1465" s="339" t="str">
        <x:v>AC-01464</x:v>
      </x:c>
      <x:c r="B1465" s="339" t="str">
        <x:v>US-0366</x:v>
      </x:c>
      <x:c r="C1465" s="339" t="str">
        <x:v>SCR-183</x:v>
      </x:c>
      <x:c r="D1465" s="339" t="str">
        <x:v>HR / Leave / Payroll</x:v>
      </x:c>
      <x:c r="E1465" s="339" t="str">
        <x:v>Payroll Setup</x:v>
      </x:c>
      <x:c r="F1465" s="339" t="str">
        <x:v>Retry safety</x:v>
      </x:c>
      <x:c r="G1465" s="339" t="str">
        <x:v>a network retry or repeated click occurs</x:v>
      </x:c>
      <x:c r="H1465" s="339" t="str">
        <x:v>the same transaction is submitted again</x:v>
      </x:c>
      <x:c r="I1465" s="339" t="str">
        <x:v>the system prevents unintended duplicate transactions through idempotency or duplicate detection</x:v>
      </x:c>
      <x:c r="J1465" s="339" t="str">
        <x:v>Positive</x:v>
      </x:c>
      <x:c r="K1465" s="339" t="str">
        <x:v>Functional</x:v>
      </x:c>
    </x:row>
    <x:row r="1466">
      <x:c r="A1466" s="339" t="str">
        <x:v>AC-01465</x:v>
      </x:c>
      <x:c r="B1466" s="339" t="str">
        <x:v>US-0367</x:v>
      </x:c>
      <x:c r="C1466" s="339" t="str">
        <x:v>SCR-184</x:v>
      </x:c>
      <x:c r="D1466" s="339" t="str">
        <x:v>HR / Leave / Payroll</x:v>
      </x:c>
      <x:c r="E1466" s="339" t="str">
        <x:v>Payroll Processing</x:v>
      </x:c>
      <x:c r="F1466" s="339" t="str">
        <x:v>Authorized access to Payroll Processing</x:v>
      </x:c>
      <x:c r="G1466" s="339" t="str">
        <x:v>the HR is authenticated and has access to Payroll Processing</x:v>
      </x:c>
      <x:c r="H1466" s="339" t="str">
        <x:v>the user opens or invokes Payroll Processing</x:v>
      </x:c>
      <x:c r="I1466" s="339" t="str">
        <x:v>the system loads only records and actions within the user's permitted tenant/school/data scope</x:v>
      </x:c>
      <x:c r="J1466" s="339" t="str">
        <x:v>Positive</x:v>
      </x:c>
      <x:c r="K1466" s="339" t="str">
        <x:v>Functional / Security</x:v>
      </x:c>
    </x:row>
    <x:row r="1467">
      <x:c r="A1467" s="339" t="str">
        <x:v>AC-01466</x:v>
      </x:c>
      <x:c r="B1467" s="339" t="str">
        <x:v>US-0367</x:v>
      </x:c>
      <x:c r="C1467" s="339" t="str">
        <x:v>SCR-184</x:v>
      </x:c>
      <x:c r="D1467" s="339" t="str">
        <x:v>HR / Leave / Payroll</x:v>
      </x:c>
      <x:c r="E1467" s="339" t="str">
        <x:v>Payroll Processing</x:v>
      </x:c>
      <x:c r="F1467" s="339" t="str">
        <x:v>Successful Payroll Processing happy path</x:v>
      </x:c>
      <x:c r="G1467" s="339" t="str">
        <x:v>all mandatory prerequisites and valid data are available</x:v>
      </x:c>
      <x:c r="H1467" s="339" t="str">
        <x:v>the HR completes the primary action on Payroll Processing</x:v>
      </x:c>
      <x:c r="I1467" s="339" t="str">
        <x:v>the system validates the request, saves it atomically, shows a clear confirmation and reflects the updated state</x:v>
      </x:c>
      <x:c r="J1467" s="339" t="str">
        <x:v>Positive</x:v>
      </x:c>
      <x:c r="K1467" s="339" t="str">
        <x:v>Functional</x:v>
      </x:c>
    </x:row>
    <x:row r="1468">
      <x:c r="A1468" s="339" t="str">
        <x:v>AC-01467</x:v>
      </x:c>
      <x:c r="B1468" s="339" t="str">
        <x:v>US-0367</x:v>
      </x:c>
      <x:c r="C1468" s="339" t="str">
        <x:v>SCR-184</x:v>
      </x:c>
      <x:c r="D1468" s="339" t="str">
        <x:v>HR / Leave / Payroll</x:v>
      </x:c>
      <x:c r="E1468" s="339" t="str">
        <x:v>Payroll Processing</x:v>
      </x:c>
      <x:c r="F1468" s="339" t="str">
        <x:v>State and dependency integrity</x:v>
      </x:c>
      <x:c r="G1468" s="339" t="str">
        <x:v>the current record is in an allowed state (Draft → Calculated → Reviewed → Approved → Posted / Paid → Adjustment)</x:v>
      </x:c>
      <x:c r="H1468" s="339" t="str">
        <x:v>the user attempts a state-changing action</x:v>
      </x:c>
      <x:c r="I1468" s="339" t="str">
        <x:v>only a valid transition is accepted and dependent records are updated according to configured business rules</x:v>
      </x:c>
      <x:c r="J1468" s="339" t="str">
        <x:v>Positive</x:v>
      </x:c>
      <x:c r="K1468" s="339" t="str">
        <x:v>Functional</x:v>
      </x:c>
    </x:row>
    <x:row r="1469">
      <x:c r="A1469" s="339" t="str">
        <x:v>AC-01468</x:v>
      </x:c>
      <x:c r="B1469" s="339" t="str">
        <x:v>US-0367</x:v>
      </x:c>
      <x:c r="C1469" s="339" t="str">
        <x:v>SCR-184</x:v>
      </x:c>
      <x:c r="D1469" s="339" t="str">
        <x:v>HR / Leave / Payroll</x:v>
      </x:c>
      <x:c r="E1469" s="339" t="str">
        <x:v>Payroll Processing</x:v>
      </x:c>
      <x:c r="F1469" s="339" t="str">
        <x:v>Auditability</x:v>
      </x:c>
      <x:c r="G1469" s="339" t="str">
        <x:v>a material create/update/approve/reverse action occurs</x:v>
      </x:c>
      <x:c r="H1469" s="339" t="str">
        <x:v>the transaction succeeds</x:v>
      </x:c>
      <x:c r="I1469" s="339" t="str">
        <x:v>the system records actor, timestamp, action, target and relevant before/after or reason context in the audit trail</x:v>
      </x:c>
      <x:c r="J1469" s="339" t="str">
        <x:v>Positive</x:v>
      </x:c>
      <x:c r="K1469" s="339" t="str">
        <x:v>Functional</x:v>
      </x:c>
    </x:row>
    <x:row r="1470">
      <x:c r="A1470" s="339" t="str">
        <x:v>AC-01469</x:v>
      </x:c>
      <x:c r="B1470" s="339" t="str">
        <x:v>US-0368</x:v>
      </x:c>
      <x:c r="C1470" s="339" t="str">
        <x:v>SCR-184</x:v>
      </x:c>
      <x:c r="D1470" s="339" t="str">
        <x:v>HR / Leave / Payroll</x:v>
      </x:c>
      <x:c r="E1470" s="339" t="str">
        <x:v>Payroll Processing</x:v>
      </x:c>
      <x:c r="F1470" s="339" t="str">
        <x:v>Required-field validation</x:v>
      </x:c>
      <x:c r="G1470" s="339" t="str">
        <x:v>one or more required values are missing/invalid</x:v>
      </x:c>
      <x:c r="H1470" s="339" t="str">
        <x:v>the user submits the form</x:v>
      </x:c>
      <x:c r="I1470" s="339" t="str">
        <x:v>submission is blocked and field-level messages identify what must be corrected</x:v>
      </x:c>
      <x:c r="J1470" s="339" t="str">
        <x:v>Positive</x:v>
      </x:c>
      <x:c r="K1470" s="339" t="str">
        <x:v>Functional</x:v>
      </x:c>
    </x:row>
    <x:row r="1471">
      <x:c r="A1471" s="339" t="str">
        <x:v>AC-01470</x:v>
      </x:c>
      <x:c r="B1471" s="339" t="str">
        <x:v>US-0368</x:v>
      </x:c>
      <x:c r="C1471" s="339" t="str">
        <x:v>SCR-184</x:v>
      </x:c>
      <x:c r="D1471" s="339" t="str">
        <x:v>HR / Leave / Payroll</x:v>
      </x:c>
      <x:c r="E1471" s="339" t="str">
        <x:v>Payroll Processing</x:v>
      </x:c>
      <x:c r="F1471" s="339" t="str">
        <x:v>Duplicate prevention</x:v>
      </x:c>
      <x:c r="G1471" s="339" t="str">
        <x:v>a potentially duplicate record exists</x:v>
      </x:c>
      <x:c r="H1471" s="339" t="str">
        <x:v>the user submits matching identity/master data</x:v>
      </x:c>
      <x:c r="I1471" s="339" t="str">
        <x:v>the system blocks or warns according to configured duplicate policy before creating another record</x:v>
      </x:c>
      <x:c r="J1471" s="339" t="str">
        <x:v>Negative</x:v>
      </x:c>
      <x:c r="K1471" s="339" t="str">
        <x:v>Functional</x:v>
      </x:c>
    </x:row>
    <x:row r="1472">
      <x:c r="A1472" s="339" t="str">
        <x:v>AC-01471</x:v>
      </x:c>
      <x:c r="B1472" s="339" t="str">
        <x:v>US-0368</x:v>
      </x:c>
      <x:c r="C1472" s="339" t="str">
        <x:v>SCR-184</x:v>
      </x:c>
      <x:c r="D1472" s="339" t="str">
        <x:v>HR / Leave / Payroll</x:v>
      </x:c>
      <x:c r="E1472" s="339" t="str">
        <x:v>Payroll Processing</x:v>
      </x:c>
      <x:c r="F1472" s="339" t="str">
        <x:v>Reference-data integrity</x:v>
      </x:c>
      <x:c r="G1472" s="339" t="str">
        <x:v>the form contains master-data selections</x:v>
      </x:c>
      <x:c r="H1472" s="339" t="str">
        <x:v>the user submits</x:v>
      </x:c>
      <x:c r="I1472" s="339" t="str">
        <x:v>all referenced values are active, effective and within the user's scope at the time of save</x:v>
      </x:c>
      <x:c r="J1472" s="339" t="str">
        <x:v>Positive</x:v>
      </x:c>
      <x:c r="K1472" s="339" t="str">
        <x:v>Functional</x:v>
      </x:c>
    </x:row>
    <x:row r="1473">
      <x:c r="A1473" s="339" t="str">
        <x:v>AC-01472</x:v>
      </x:c>
      <x:c r="B1473" s="339" t="str">
        <x:v>US-0368</x:v>
      </x:c>
      <x:c r="C1473" s="339" t="str">
        <x:v>SCR-184</x:v>
      </x:c>
      <x:c r="D1473" s="339" t="str">
        <x:v>HR / Leave / Payroll</x:v>
      </x:c>
      <x:c r="E1473" s="339" t="str">
        <x:v>Payroll Processing</x:v>
      </x:c>
      <x:c r="F1473" s="339" t="str">
        <x:v>Retry safety</x:v>
      </x:c>
      <x:c r="G1473" s="339" t="str">
        <x:v>a network retry or repeated click occurs</x:v>
      </x:c>
      <x:c r="H1473" s="339" t="str">
        <x:v>the same transaction is submitted again</x:v>
      </x:c>
      <x:c r="I1473" s="339" t="str">
        <x:v>the system prevents unintended duplicate transactions through idempotency or duplicate detection</x:v>
      </x:c>
      <x:c r="J1473" s="339" t="str">
        <x:v>Positive</x:v>
      </x:c>
      <x:c r="K1473" s="339" t="str">
        <x:v>Functional</x:v>
      </x:c>
    </x:row>
    <x:row r="1474">
      <x:c r="A1474" s="339" t="str">
        <x:v>AC-01473</x:v>
      </x:c>
      <x:c r="B1474" s="339" t="str">
        <x:v>US-0369</x:v>
      </x:c>
      <x:c r="C1474" s="339" t="str">
        <x:v>SCR-185</x:v>
      </x:c>
      <x:c r="D1474" s="339" t="str">
        <x:v>HR / Leave / Payroll</x:v>
      </x:c>
      <x:c r="E1474" s="339" t="str">
        <x:v>Payslip &amp; Payroll History</x:v>
      </x:c>
      <x:c r="F1474" s="339" t="str">
        <x:v>Authorized access to Payslip &amp; Payroll History</x:v>
      </x:c>
      <x:c r="G1474" s="339" t="str">
        <x:v>the HR is authenticated and has access to Payslip &amp; Payroll History</x:v>
      </x:c>
      <x:c r="H1474" s="339" t="str">
        <x:v>the user opens or invokes Payslip &amp; Payroll History</x:v>
      </x:c>
      <x:c r="I1474" s="339" t="str">
        <x:v>the system loads only records and actions within the user's permitted tenant/school/data scope</x:v>
      </x:c>
      <x:c r="J1474" s="339" t="str">
        <x:v>Positive</x:v>
      </x:c>
      <x:c r="K1474" s="339" t="str">
        <x:v>Functional / Security</x:v>
      </x:c>
    </x:row>
    <x:row r="1475">
      <x:c r="A1475" s="339" t="str">
        <x:v>AC-01474</x:v>
      </x:c>
      <x:c r="B1475" s="339" t="str">
        <x:v>US-0369</x:v>
      </x:c>
      <x:c r="C1475" s="339" t="str">
        <x:v>SCR-185</x:v>
      </x:c>
      <x:c r="D1475" s="339" t="str">
        <x:v>HR / Leave / Payroll</x:v>
      </x:c>
      <x:c r="E1475" s="339" t="str">
        <x:v>Payslip &amp; Payroll History</x:v>
      </x:c>
      <x:c r="F1475" s="339" t="str">
        <x:v>Successful Payslip &amp; Payroll History happy path</x:v>
      </x:c>
      <x:c r="G1475" s="339" t="str">
        <x:v>all mandatory prerequisites and valid data are available</x:v>
      </x:c>
      <x:c r="H1475" s="339" t="str">
        <x:v>the HR completes the primary action on Payslip &amp; Payroll History</x:v>
      </x:c>
      <x:c r="I1475" s="339" t="str">
        <x:v>the system validates the request, saves it atomically, shows a clear confirmation and reflects the updated state</x:v>
      </x:c>
      <x:c r="J1475" s="339" t="str">
        <x:v>Positive</x:v>
      </x:c>
      <x:c r="K1475" s="339" t="str">
        <x:v>Functional</x:v>
      </x:c>
    </x:row>
    <x:row r="1476">
      <x:c r="A1476" s="339" t="str">
        <x:v>AC-01475</x:v>
      </x:c>
      <x:c r="B1476" s="339" t="str">
        <x:v>US-0369</x:v>
      </x:c>
      <x:c r="C1476" s="339" t="str">
        <x:v>SCR-185</x:v>
      </x:c>
      <x:c r="D1476" s="339" t="str">
        <x:v>HR / Leave / Payroll</x:v>
      </x:c>
      <x:c r="E1476" s="339" t="str">
        <x:v>Payslip &amp; Payroll History</x:v>
      </x:c>
      <x:c r="F1476" s="339" t="str">
        <x:v>State and dependency integrity</x:v>
      </x:c>
      <x:c r="G1476" s="339" t="str">
        <x:v>the current record is in an allowed state (Draft → Calculated → Reviewed → Approved → Posted / Paid → Adjustment)</x:v>
      </x:c>
      <x:c r="H1476" s="339" t="str">
        <x:v>the user attempts a state-changing action</x:v>
      </x:c>
      <x:c r="I1476" s="339" t="str">
        <x:v>only a valid transition is accepted and dependent records are updated according to configured business rules</x:v>
      </x:c>
      <x:c r="J1476" s="339" t="str">
        <x:v>Positive</x:v>
      </x:c>
      <x:c r="K1476" s="339" t="str">
        <x:v>Functional</x:v>
      </x:c>
    </x:row>
    <x:row r="1477">
      <x:c r="A1477" s="339" t="str">
        <x:v>AC-01476</x:v>
      </x:c>
      <x:c r="B1477" s="339" t="str">
        <x:v>US-0369</x:v>
      </x:c>
      <x:c r="C1477" s="339" t="str">
        <x:v>SCR-185</x:v>
      </x:c>
      <x:c r="D1477" s="339" t="str">
        <x:v>HR / Leave / Payroll</x:v>
      </x:c>
      <x:c r="E1477" s="339" t="str">
        <x:v>Payslip &amp; Payroll History</x:v>
      </x:c>
      <x:c r="F1477" s="339" t="str">
        <x:v>Auditability</x:v>
      </x:c>
      <x:c r="G1477" s="339" t="str">
        <x:v>a material create/update/approve/reverse action occurs</x:v>
      </x:c>
      <x:c r="H1477" s="339" t="str">
        <x:v>the transaction succeeds</x:v>
      </x:c>
      <x:c r="I1477" s="339" t="str">
        <x:v>the system records actor, timestamp, action, target and relevant before/after or reason context in the audit trail</x:v>
      </x:c>
      <x:c r="J1477" s="339" t="str">
        <x:v>Positive</x:v>
      </x:c>
      <x:c r="K1477" s="339" t="str">
        <x:v>Functional</x:v>
      </x:c>
    </x:row>
    <x:row r="1478">
      <x:c r="A1478" s="339" t="str">
        <x:v>AC-01477</x:v>
      </x:c>
      <x:c r="B1478" s="339" t="str">
        <x:v>US-0370</x:v>
      </x:c>
      <x:c r="C1478" s="339" t="str">
        <x:v>SCR-185</x:v>
      </x:c>
      <x:c r="D1478" s="339" t="str">
        <x:v>HR / Leave / Payroll</x:v>
      </x:c>
      <x:c r="E1478" s="339" t="str">
        <x:v>Payslip &amp; Payroll History</x:v>
      </x:c>
      <x:c r="F1478" s="339" t="str">
        <x:v>Complete authorized view</x:v>
      </x:c>
      <x:c r="G1478" s="339" t="str">
        <x:v>the record exists and the user is authorized</x:v>
      </x:c>
      <x:c r="H1478" s="339" t="str">
        <x:v>the detail/profile opens</x:v>
      </x:c>
      <x:c r="I1478" s="339" t="str">
        <x:v>the system loads the required summary, relationships and history while masking restricted fields</x:v>
      </x:c>
      <x:c r="J1478" s="339" t="str">
        <x:v>Positive</x:v>
      </x:c>
      <x:c r="K1478" s="339" t="str">
        <x:v>Functional / Security</x:v>
      </x:c>
    </x:row>
    <x:row r="1479">
      <x:c r="A1479" s="339" t="str">
        <x:v>AC-01478</x:v>
      </x:c>
      <x:c r="B1479" s="339" t="str">
        <x:v>US-0370</x:v>
      </x:c>
      <x:c r="C1479" s="339" t="str">
        <x:v>SCR-185</x:v>
      </x:c>
      <x:c r="D1479" s="339" t="str">
        <x:v>HR / Leave / Payroll</x:v>
      </x:c>
      <x:c r="E1479" s="339" t="str">
        <x:v>Payslip &amp; Payroll History</x:v>
      </x:c>
      <x:c r="F1479" s="339" t="str">
        <x:v>Controlled edit</x:v>
      </x:c>
      <x:c r="G1479" s="339" t="str">
        <x:v>the user has edit permission and the record is editable</x:v>
      </x:c>
      <x:c r="H1479" s="339" t="str">
        <x:v>the user saves a change</x:v>
      </x:c>
      <x:c r="I1479" s="339" t="str">
        <x:v>validation and state rules run before the update is committed</x:v>
      </x:c>
      <x:c r="J1479" s="339" t="str">
        <x:v>Positive</x:v>
      </x:c>
      <x:c r="K1479" s="339" t="str">
        <x:v>Functional</x:v>
      </x:c>
    </x:row>
    <x:row r="1480">
      <x:c r="A1480" s="339" t="str">
        <x:v>AC-01479</x:v>
      </x:c>
      <x:c r="B1480" s="339" t="str">
        <x:v>US-0370</x:v>
      </x:c>
      <x:c r="C1480" s="339" t="str">
        <x:v>SCR-185</x:v>
      </x:c>
      <x:c r="D1480" s="339" t="str">
        <x:v>HR / Leave / Payroll</x:v>
      </x:c>
      <x:c r="E1480" s="339" t="str">
        <x:v>Payslip &amp; Payroll History</x:v>
      </x:c>
      <x:c r="F1480" s="339" t="str">
        <x:v>Concurrent edit protection</x:v>
      </x:c>
      <x:c r="G1480" s="339" t="str">
        <x:v>another user has changed the record after it was loaded</x:v>
      </x:c>
      <x:c r="H1480" s="339" t="str">
        <x:v>the first user attempts to save stale data</x:v>
      </x:c>
      <x:c r="I1480" s="339" t="str">
        <x:v>the system detects the version conflict or preserves fields safely instead of silently overwriting</x:v>
      </x:c>
      <x:c r="J1480" s="339" t="str">
        <x:v>Positive</x:v>
      </x:c>
      <x:c r="K1480" s="339" t="str">
        <x:v>Functional</x:v>
      </x:c>
    </x:row>
    <x:row r="1481">
      <x:c r="A1481" s="339" t="str">
        <x:v>AC-01480</x:v>
      </x:c>
      <x:c r="B1481" s="339" t="str">
        <x:v>US-0370</x:v>
      </x:c>
      <x:c r="C1481" s="339" t="str">
        <x:v>SCR-185</x:v>
      </x:c>
      <x:c r="D1481" s="339" t="str">
        <x:v>HR / Leave / Payroll</x:v>
      </x:c>
      <x:c r="E1481" s="339" t="str">
        <x:v>Payslip &amp; Payroll History</x:v>
      </x:c>
      <x:c r="F1481" s="339" t="str">
        <x:v>History retention</x:v>
      </x:c>
      <x:c r="G1481" s="339" t="str">
        <x:v>the record has prior changes/statuses</x:v>
      </x:c>
      <x:c r="H1481" s="339" t="str">
        <x:v>the user views history</x:v>
      </x:c>
      <x:c r="I1481" s="339" t="str">
        <x:v>the audit/activity timeline shows traceable material changes without exposing restricted notes</x:v>
      </x:c>
      <x:c r="J1481" s="339" t="str">
        <x:v>Positive</x:v>
      </x:c>
      <x:c r="K1481" s="339" t="str">
        <x:v>Functional</x:v>
      </x:c>
    </x:row>
    <x:row r="1482">
      <x:c r="A1482" s="339" t="str">
        <x:v>AC-01481</x:v>
      </x:c>
      <x:c r="B1482" s="339" t="str">
        <x:v>US-0371</x:v>
      </x:c>
      <x:c r="C1482" s="339" t="str">
        <x:v>SCR-186</x:v>
      </x:c>
      <x:c r="D1482" s="339" t="str">
        <x:v>Transport / Bus / GPS</x:v>
      </x:c>
      <x:c r="E1482" s="339" t="str">
        <x:v>Vehicles</x:v>
      </x:c>
      <x:c r="F1482" s="339" t="str">
        <x:v>Authorized access to Vehicles</x:v>
      </x:c>
      <x:c r="G1482" s="339" t="str">
        <x:v>the Transport Manager is authenticated and has access to Vehicles</x:v>
      </x:c>
      <x:c r="H1482" s="339" t="str">
        <x:v>the user opens or invokes Vehicles</x:v>
      </x:c>
      <x:c r="I1482" s="339" t="str">
        <x:v>the system loads only records and actions within the user's permitted tenant/school/data scope</x:v>
      </x:c>
      <x:c r="J1482" s="339" t="str">
        <x:v>Positive</x:v>
      </x:c>
      <x:c r="K1482" s="339" t="str">
        <x:v>Functional / Security</x:v>
      </x:c>
    </x:row>
    <x:row r="1483">
      <x:c r="A1483" s="339" t="str">
        <x:v>AC-01482</x:v>
      </x:c>
      <x:c r="B1483" s="339" t="str">
        <x:v>US-0371</x:v>
      </x:c>
      <x:c r="C1483" s="339" t="str">
        <x:v>SCR-186</x:v>
      </x:c>
      <x:c r="D1483" s="339" t="str">
        <x:v>Transport / Bus / GPS</x:v>
      </x:c>
      <x:c r="E1483" s="339" t="str">
        <x:v>Vehicles</x:v>
      </x:c>
      <x:c r="F1483" s="339" t="str">
        <x:v>Successful Vehicles happy path</x:v>
      </x:c>
      <x:c r="G1483" s="339" t="str">
        <x:v>all mandatory prerequisites and valid data are available</x:v>
      </x:c>
      <x:c r="H1483" s="339" t="str">
        <x:v>the Transport Manager completes the primary action on Vehicles</x:v>
      </x:c>
      <x:c r="I1483" s="339" t="str">
        <x:v>the system validates the request, saves it atomically, shows a clear confirmation and reflects the updated state</x:v>
      </x:c>
      <x:c r="J1483" s="339" t="str">
        <x:v>Positive</x:v>
      </x:c>
      <x:c r="K1483" s="339" t="str">
        <x:v>Functional</x:v>
      </x:c>
    </x:row>
    <x:row r="1484">
      <x:c r="A1484" s="339" t="str">
        <x:v>AC-01483</x:v>
      </x:c>
      <x:c r="B1484" s="339" t="str">
        <x:v>US-0371</x:v>
      </x:c>
      <x:c r="C1484" s="339" t="str">
        <x:v>SCR-186</x:v>
      </x:c>
      <x:c r="D1484" s="339" t="str">
        <x:v>Transport / Bus / GPS</x:v>
      </x:c>
      <x:c r="E1484" s="339" t="str">
        <x:v>Vehicles</x:v>
      </x:c>
      <x:c r="F1484" s="339" t="str">
        <x:v>State and dependency integrity</x:v>
      </x:c>
      <x:c r="G1484" s="339" t="str">
        <x:v>the current record is in an allowed state (Draft → Active → Inactive / Maintenance / Archived)</x:v>
      </x:c>
      <x:c r="H1484" s="339" t="str">
        <x:v>the user attempts a state-changing action</x:v>
      </x:c>
      <x:c r="I1484" s="339" t="str">
        <x:v>only a valid transition is accepted and dependent records are updated according to configured business rules</x:v>
      </x:c>
      <x:c r="J1484" s="339" t="str">
        <x:v>Positive</x:v>
      </x:c>
      <x:c r="K1484" s="339" t="str">
        <x:v>Functional</x:v>
      </x:c>
    </x:row>
    <x:row r="1485">
      <x:c r="A1485" s="339" t="str">
        <x:v>AC-01484</x:v>
      </x:c>
      <x:c r="B1485" s="339" t="str">
        <x:v>US-0371</x:v>
      </x:c>
      <x:c r="C1485" s="339" t="str">
        <x:v>SCR-186</x:v>
      </x:c>
      <x:c r="D1485" s="339" t="str">
        <x:v>Transport / Bus / GPS</x:v>
      </x:c>
      <x:c r="E1485" s="339" t="str">
        <x:v>Vehicles</x:v>
      </x:c>
      <x:c r="F1485" s="339" t="str">
        <x:v>Auditability</x:v>
      </x:c>
      <x:c r="G1485" s="339" t="str">
        <x:v>a material create/update/approve/reverse action occurs</x:v>
      </x:c>
      <x:c r="H1485" s="339" t="str">
        <x:v>the transaction succeeds</x:v>
      </x:c>
      <x:c r="I1485" s="339" t="str">
        <x:v>the system records actor, timestamp, action, target and relevant before/after or reason context in the audit trail</x:v>
      </x:c>
      <x:c r="J1485" s="339" t="str">
        <x:v>Positive</x:v>
      </x:c>
      <x:c r="K1485" s="339" t="str">
        <x:v>Functional</x:v>
      </x:c>
    </x:row>
    <x:row r="1486">
      <x:c r="A1486" s="339" t="str">
        <x:v>AC-01485</x:v>
      </x:c>
      <x:c r="B1486" s="339" t="str">
        <x:v>US-0372</x:v>
      </x:c>
      <x:c r="C1486" s="339" t="str">
        <x:v>SCR-186</x:v>
      </x:c>
      <x:c r="D1486" s="339" t="str">
        <x:v>Transport / Bus / GPS</x:v>
      </x:c>
      <x:c r="E1486" s="339" t="str">
        <x:v>Vehicles</x:v>
      </x:c>
      <x:c r="F1486" s="339" t="str">
        <x:v>Search and filtering</x:v>
      </x:c>
      <x:c r="G1486" s="339" t="str">
        <x:v>authorized records exist across multiple values</x:v>
      </x:c>
      <x:c r="H1486" s="339" t="str">
        <x:v>the user applies search, filters, sorting or pagination</x:v>
      </x:c>
      <x:c r="I1486" s="339" t="str">
        <x:v>the results match all selected criteria and remain within the user's data scope</x:v>
      </x:c>
      <x:c r="J1486" s="339" t="str">
        <x:v>Positive</x:v>
      </x:c>
      <x:c r="K1486" s="339" t="str">
        <x:v>Functional</x:v>
      </x:c>
    </x:row>
    <x:row r="1487">
      <x:c r="A1487" s="339" t="str">
        <x:v>AC-01486</x:v>
      </x:c>
      <x:c r="B1487" s="339" t="str">
        <x:v>US-0372</x:v>
      </x:c>
      <x:c r="C1487" s="339" t="str">
        <x:v>SCR-186</x:v>
      </x:c>
      <x:c r="D1487" s="339" t="str">
        <x:v>Transport / Bus / GPS</x:v>
      </x:c>
      <x:c r="E1487" s="339" t="str">
        <x:v>Vehicles</x:v>
      </x:c>
      <x:c r="F1487" s="339" t="str">
        <x:v>Controlled row actions</x:v>
      </x:c>
      <x:c r="G1487" s="339" t="str">
        <x:v>records are returned in the list</x:v>
      </x:c>
      <x:c r="H1487" s="339" t="str">
        <x:v>the user opens the action menu</x:v>
      </x:c>
      <x:c r="I1487" s="339" t="str">
        <x:v>only actions permitted for the user's role and the record's current state are offered</x:v>
      </x:c>
      <x:c r="J1487" s="339" t="str">
        <x:v>Positive</x:v>
      </x:c>
      <x:c r="K1487" s="339" t="str">
        <x:v>Functional</x:v>
      </x:c>
    </x:row>
    <x:row r="1488">
      <x:c r="A1488" s="339" t="str">
        <x:v>AC-01487</x:v>
      </x:c>
      <x:c r="B1488" s="339" t="str">
        <x:v>US-0372</x:v>
      </x:c>
      <x:c r="C1488" s="339" t="str">
        <x:v>SCR-186</x:v>
      </x:c>
      <x:c r="D1488" s="339" t="str">
        <x:v>Transport / Bus / GPS</x:v>
      </x:c>
      <x:c r="E1488" s="339" t="str">
        <x:v>Vehicles</x:v>
      </x:c>
      <x:c r="F1488" s="339" t="str">
        <x:v>Empty/no-result handling</x:v>
      </x:c>
      <x:c r="G1488" s="339" t="str">
        <x:v>no record matches the current criteria</x:v>
      </x:c>
      <x:c r="H1488" s="339" t="str">
        <x:v>the query completes</x:v>
      </x:c>
      <x:c r="I1488" s="339" t="str">
        <x:v>the system shows a clear empty state without treating it as an application error</x:v>
      </x:c>
      <x:c r="J1488" s="339" t="str">
        <x:v>Positive</x:v>
      </x:c>
      <x:c r="K1488" s="339" t="str">
        <x:v>Functional</x:v>
      </x:c>
    </x:row>
    <x:row r="1489">
      <x:c r="A1489" s="339" t="str">
        <x:v>AC-01488</x:v>
      </x:c>
      <x:c r="B1489" s="339" t="str">
        <x:v>US-0372</x:v>
      </x:c>
      <x:c r="C1489" s="339" t="str">
        <x:v>SCR-186</x:v>
      </x:c>
      <x:c r="D1489" s="339" t="str">
        <x:v>Transport / Bus / GPS</x:v>
      </x:c>
      <x:c r="E1489" s="339" t="str">
        <x:v>Vehicles</x:v>
      </x:c>
      <x:c r="F1489" s="339" t="str">
        <x:v>Export scope</x:v>
      </x:c>
      <x:c r="G1489" s="339" t="str">
        <x:v>the user has export permission</x:v>
      </x:c>
      <x:c r="H1489" s="339" t="str">
        <x:v>the user exports the filtered list</x:v>
      </x:c>
      <x:c r="I1489" s="339" t="str">
        <x:v>the export contains the same authorized filter scope and excludes restricted fields</x:v>
      </x:c>
      <x:c r="J1489" s="339" t="str">
        <x:v>Positive</x:v>
      </x:c>
      <x:c r="K1489" s="339" t="str">
        <x:v>Functional</x:v>
      </x:c>
    </x:row>
    <x:row r="1490">
      <x:c r="A1490" s="339" t="str">
        <x:v>AC-01489</x:v>
      </x:c>
      <x:c r="B1490" s="339" t="str">
        <x:v>US-0373</x:v>
      </x:c>
      <x:c r="C1490" s="339" t="str">
        <x:v>SCR-187</x:v>
      </x:c>
      <x:c r="D1490" s="339" t="str">
        <x:v>Transport / Bus / GPS</x:v>
      </x:c>
      <x:c r="E1490" s="339" t="str">
        <x:v>Add / Edit Vehicle</x:v>
      </x:c>
      <x:c r="F1490" s="339" t="str">
        <x:v>Authorized access to Add / Edit Vehicle</x:v>
      </x:c>
      <x:c r="G1490" s="339" t="str">
        <x:v>the Transport Manager is authenticated and has access to Add / Edit Vehicle</x:v>
      </x:c>
      <x:c r="H1490" s="339" t="str">
        <x:v>the user opens or invokes Add / Edit Vehicle</x:v>
      </x:c>
      <x:c r="I1490" s="339" t="str">
        <x:v>the system loads only records and actions within the user's permitted tenant/school/data scope</x:v>
      </x:c>
      <x:c r="J1490" s="339" t="str">
        <x:v>Positive</x:v>
      </x:c>
      <x:c r="K1490" s="339" t="str">
        <x:v>Functional / Security</x:v>
      </x:c>
    </x:row>
    <x:row r="1491">
      <x:c r="A1491" s="339" t="str">
        <x:v>AC-01490</x:v>
      </x:c>
      <x:c r="B1491" s="339" t="str">
        <x:v>US-0373</x:v>
      </x:c>
      <x:c r="C1491" s="339" t="str">
        <x:v>SCR-187</x:v>
      </x:c>
      <x:c r="D1491" s="339" t="str">
        <x:v>Transport / Bus / GPS</x:v>
      </x:c>
      <x:c r="E1491" s="339" t="str">
        <x:v>Add / Edit Vehicle</x:v>
      </x:c>
      <x:c r="F1491" s="339" t="str">
        <x:v>Successful Add / Edit Vehicle happy path</x:v>
      </x:c>
      <x:c r="G1491" s="339" t="str">
        <x:v>all mandatory prerequisites and valid data are available</x:v>
      </x:c>
      <x:c r="H1491" s="339" t="str">
        <x:v>the Transport Manager completes the primary action on Add / Edit Vehicle</x:v>
      </x:c>
      <x:c r="I1491" s="339" t="str">
        <x:v>the system validates the request, saves it atomically, shows a clear confirmation and reflects the updated state</x:v>
      </x:c>
      <x:c r="J1491" s="339" t="str">
        <x:v>Positive</x:v>
      </x:c>
      <x:c r="K1491" s="339" t="str">
        <x:v>Functional</x:v>
      </x:c>
    </x:row>
    <x:row r="1492">
      <x:c r="A1492" s="339" t="str">
        <x:v>AC-01491</x:v>
      </x:c>
      <x:c r="B1492" s="339" t="str">
        <x:v>US-0373</x:v>
      </x:c>
      <x:c r="C1492" s="339" t="str">
        <x:v>SCR-187</x:v>
      </x:c>
      <x:c r="D1492" s="339" t="str">
        <x:v>Transport / Bus / GPS</x:v>
      </x:c>
      <x:c r="E1492" s="339" t="str">
        <x:v>Add / Edit Vehicle</x:v>
      </x:c>
      <x:c r="F1492" s="339" t="str">
        <x:v>State and dependency integrity</x:v>
      </x:c>
      <x:c r="G1492" s="339" t="str">
        <x:v>the current record is in an allowed state (Draft → Active → Inactive / Maintenance / Archived)</x:v>
      </x:c>
      <x:c r="H1492" s="339" t="str">
        <x:v>the user attempts a state-changing action</x:v>
      </x:c>
      <x:c r="I1492" s="339" t="str">
        <x:v>only a valid transition is accepted and dependent records are updated according to configured business rules</x:v>
      </x:c>
      <x:c r="J1492" s="339" t="str">
        <x:v>Positive</x:v>
      </x:c>
      <x:c r="K1492" s="339" t="str">
        <x:v>Functional</x:v>
      </x:c>
    </x:row>
    <x:row r="1493">
      <x:c r="A1493" s="339" t="str">
        <x:v>AC-01492</x:v>
      </x:c>
      <x:c r="B1493" s="339" t="str">
        <x:v>US-0373</x:v>
      </x:c>
      <x:c r="C1493" s="339" t="str">
        <x:v>SCR-187</x:v>
      </x:c>
      <x:c r="D1493" s="339" t="str">
        <x:v>Transport / Bus / GPS</x:v>
      </x:c>
      <x:c r="E1493" s="339" t="str">
        <x:v>Add / Edit Vehicle</x:v>
      </x:c>
      <x:c r="F1493" s="339" t="str">
        <x:v>Auditability</x:v>
      </x:c>
      <x:c r="G1493" s="339" t="str">
        <x:v>a material create/update/approve/reverse action occurs</x:v>
      </x:c>
      <x:c r="H1493" s="339" t="str">
        <x:v>the transaction succeeds</x:v>
      </x:c>
      <x:c r="I1493" s="339" t="str">
        <x:v>the system records actor, timestamp, action, target and relevant before/after or reason context in the audit trail</x:v>
      </x:c>
      <x:c r="J1493" s="339" t="str">
        <x:v>Positive</x:v>
      </x:c>
      <x:c r="K1493" s="339" t="str">
        <x:v>Functional</x:v>
      </x:c>
    </x:row>
    <x:row r="1494">
      <x:c r="A1494" s="339" t="str">
        <x:v>AC-01493</x:v>
      </x:c>
      <x:c r="B1494" s="339" t="str">
        <x:v>US-0374</x:v>
      </x:c>
      <x:c r="C1494" s="339" t="str">
        <x:v>SCR-187</x:v>
      </x:c>
      <x:c r="D1494" s="339" t="str">
        <x:v>Transport / Bus / GPS</x:v>
      </x:c>
      <x:c r="E1494" s="339" t="str">
        <x:v>Add / Edit Vehicle</x:v>
      </x:c>
      <x:c r="F1494" s="339" t="str">
        <x:v>Required-field validation</x:v>
      </x:c>
      <x:c r="G1494" s="339" t="str">
        <x:v>one or more required values are missing/invalid</x:v>
      </x:c>
      <x:c r="H1494" s="339" t="str">
        <x:v>the user submits the form</x:v>
      </x:c>
      <x:c r="I1494" s="339" t="str">
        <x:v>submission is blocked and field-level messages identify what must be corrected</x:v>
      </x:c>
      <x:c r="J1494" s="339" t="str">
        <x:v>Positive</x:v>
      </x:c>
      <x:c r="K1494" s="339" t="str">
        <x:v>Functional</x:v>
      </x:c>
    </x:row>
    <x:row r="1495">
      <x:c r="A1495" s="339" t="str">
        <x:v>AC-01494</x:v>
      </x:c>
      <x:c r="B1495" s="339" t="str">
        <x:v>US-0374</x:v>
      </x:c>
      <x:c r="C1495" s="339" t="str">
        <x:v>SCR-187</x:v>
      </x:c>
      <x:c r="D1495" s="339" t="str">
        <x:v>Transport / Bus / GPS</x:v>
      </x:c>
      <x:c r="E1495" s="339" t="str">
        <x:v>Add / Edit Vehicle</x:v>
      </x:c>
      <x:c r="F1495" s="339" t="str">
        <x:v>Duplicate prevention</x:v>
      </x:c>
      <x:c r="G1495" s="339" t="str">
        <x:v>a potentially duplicate record exists</x:v>
      </x:c>
      <x:c r="H1495" s="339" t="str">
        <x:v>the user submits matching identity/master data</x:v>
      </x:c>
      <x:c r="I1495" s="339" t="str">
        <x:v>the system blocks or warns according to configured duplicate policy before creating another record</x:v>
      </x:c>
      <x:c r="J1495" s="339" t="str">
        <x:v>Negative</x:v>
      </x:c>
      <x:c r="K1495" s="339" t="str">
        <x:v>Functional</x:v>
      </x:c>
    </x:row>
    <x:row r="1496">
      <x:c r="A1496" s="339" t="str">
        <x:v>AC-01495</x:v>
      </x:c>
      <x:c r="B1496" s="339" t="str">
        <x:v>US-0374</x:v>
      </x:c>
      <x:c r="C1496" s="339" t="str">
        <x:v>SCR-187</x:v>
      </x:c>
      <x:c r="D1496" s="339" t="str">
        <x:v>Transport / Bus / GPS</x:v>
      </x:c>
      <x:c r="E1496" s="339" t="str">
        <x:v>Add / Edit Vehicle</x:v>
      </x:c>
      <x:c r="F1496" s="339" t="str">
        <x:v>Reference-data integrity</x:v>
      </x:c>
      <x:c r="G1496" s="339" t="str">
        <x:v>the form contains master-data selections</x:v>
      </x:c>
      <x:c r="H1496" s="339" t="str">
        <x:v>the user submits</x:v>
      </x:c>
      <x:c r="I1496" s="339" t="str">
        <x:v>all referenced values are active, effective and within the user's scope at the time of save</x:v>
      </x:c>
      <x:c r="J1496" s="339" t="str">
        <x:v>Positive</x:v>
      </x:c>
      <x:c r="K1496" s="339" t="str">
        <x:v>Functional</x:v>
      </x:c>
    </x:row>
    <x:row r="1497">
      <x:c r="A1497" s="339" t="str">
        <x:v>AC-01496</x:v>
      </x:c>
      <x:c r="B1497" s="339" t="str">
        <x:v>US-0374</x:v>
      </x:c>
      <x:c r="C1497" s="339" t="str">
        <x:v>SCR-187</x:v>
      </x:c>
      <x:c r="D1497" s="339" t="str">
        <x:v>Transport / Bus / GPS</x:v>
      </x:c>
      <x:c r="E1497" s="339" t="str">
        <x:v>Add / Edit Vehicle</x:v>
      </x:c>
      <x:c r="F1497" s="339" t="str">
        <x:v>Retry safety</x:v>
      </x:c>
      <x:c r="G1497" s="339" t="str">
        <x:v>a network retry or repeated click occurs</x:v>
      </x:c>
      <x:c r="H1497" s="339" t="str">
        <x:v>the same transaction is submitted again</x:v>
      </x:c>
      <x:c r="I1497" s="339" t="str">
        <x:v>the system prevents unintended duplicate transactions through idempotency or duplicate detection</x:v>
      </x:c>
      <x:c r="J1497" s="339" t="str">
        <x:v>Positive</x:v>
      </x:c>
      <x:c r="K1497" s="339" t="str">
        <x:v>Functional</x:v>
      </x:c>
    </x:row>
    <x:row r="1498">
      <x:c r="A1498" s="339" t="str">
        <x:v>AC-01497</x:v>
      </x:c>
      <x:c r="B1498" s="339" t="str">
        <x:v>US-0375</x:v>
      </x:c>
      <x:c r="C1498" s="339" t="str">
        <x:v>SCR-188</x:v>
      </x:c>
      <x:c r="D1498" s="339" t="str">
        <x:v>Transport / Bus / GPS</x:v>
      </x:c>
      <x:c r="E1498" s="339" t="str">
        <x:v>Vehicle Details</x:v>
      </x:c>
      <x:c r="F1498" s="339" t="str">
        <x:v>Authorized access to Vehicle Details</x:v>
      </x:c>
      <x:c r="G1498" s="339" t="str">
        <x:v>the Transport Manager is authenticated and has access to Vehicle Details</x:v>
      </x:c>
      <x:c r="H1498" s="339" t="str">
        <x:v>the user opens or invokes Vehicle Details</x:v>
      </x:c>
      <x:c r="I1498" s="339" t="str">
        <x:v>the system loads only records and actions within the user's permitted tenant/school/data scope</x:v>
      </x:c>
      <x:c r="J1498" s="339" t="str">
        <x:v>Positive</x:v>
      </x:c>
      <x:c r="K1498" s="339" t="str">
        <x:v>Functional / Security</x:v>
      </x:c>
    </x:row>
    <x:row r="1499">
      <x:c r="A1499" s="339" t="str">
        <x:v>AC-01498</x:v>
      </x:c>
      <x:c r="B1499" s="339" t="str">
        <x:v>US-0375</x:v>
      </x:c>
      <x:c r="C1499" s="339" t="str">
        <x:v>SCR-188</x:v>
      </x:c>
      <x:c r="D1499" s="339" t="str">
        <x:v>Transport / Bus / GPS</x:v>
      </x:c>
      <x:c r="E1499" s="339" t="str">
        <x:v>Vehicle Details</x:v>
      </x:c>
      <x:c r="F1499" s="339" t="str">
        <x:v>Successful Vehicle Details happy path</x:v>
      </x:c>
      <x:c r="G1499" s="339" t="str">
        <x:v>all mandatory prerequisites and valid data are available</x:v>
      </x:c>
      <x:c r="H1499" s="339" t="str">
        <x:v>the Transport Manager completes the primary action on Vehicle Details</x:v>
      </x:c>
      <x:c r="I1499" s="339" t="str">
        <x:v>the system validates the request, saves it atomically, shows a clear confirmation and reflects the updated state</x:v>
      </x:c>
      <x:c r="J1499" s="339" t="str">
        <x:v>Positive</x:v>
      </x:c>
      <x:c r="K1499" s="339" t="str">
        <x:v>Functional</x:v>
      </x:c>
    </x:row>
    <x:row r="1500">
      <x:c r="A1500" s="339" t="str">
        <x:v>AC-01499</x:v>
      </x:c>
      <x:c r="B1500" s="339" t="str">
        <x:v>US-0375</x:v>
      </x:c>
      <x:c r="C1500" s="339" t="str">
        <x:v>SCR-188</x:v>
      </x:c>
      <x:c r="D1500" s="339" t="str">
        <x:v>Transport / Bus / GPS</x:v>
      </x:c>
      <x:c r="E1500" s="339" t="str">
        <x:v>Vehicle Details</x:v>
      </x:c>
      <x:c r="F1500" s="339" t="str">
        <x:v>State and dependency integrity</x:v>
      </x:c>
      <x:c r="G1500" s="339" t="str">
        <x:v>the current record is in an allowed state (Draft → Active → Inactive / Maintenance / Archived)</x:v>
      </x:c>
      <x:c r="H1500" s="339" t="str">
        <x:v>the user attempts a state-changing action</x:v>
      </x:c>
      <x:c r="I1500" s="339" t="str">
        <x:v>only a valid transition is accepted and dependent records are updated according to configured business rules</x:v>
      </x:c>
      <x:c r="J1500" s="339" t="str">
        <x:v>Positive</x:v>
      </x:c>
      <x:c r="K1500" s="339" t="str">
        <x:v>Functional</x:v>
      </x:c>
    </x:row>
    <x:row r="1501">
      <x:c r="A1501" s="339" t="str">
        <x:v>AC-01500</x:v>
      </x:c>
      <x:c r="B1501" s="339" t="str">
        <x:v>US-0375</x:v>
      </x:c>
      <x:c r="C1501" s="339" t="str">
        <x:v>SCR-188</x:v>
      </x:c>
      <x:c r="D1501" s="339" t="str">
        <x:v>Transport / Bus / GPS</x:v>
      </x:c>
      <x:c r="E1501" s="339" t="str">
        <x:v>Vehicle Details</x:v>
      </x:c>
      <x:c r="F1501" s="339" t="str">
        <x:v>Auditability</x:v>
      </x:c>
      <x:c r="G1501" s="339" t="str">
        <x:v>a material create/update/approve/reverse action occurs</x:v>
      </x:c>
      <x:c r="H1501" s="339" t="str">
        <x:v>the transaction succeeds</x:v>
      </x:c>
      <x:c r="I1501" s="339" t="str">
        <x:v>the system records actor, timestamp, action, target and relevant before/after or reason context in the audit trail</x:v>
      </x:c>
      <x:c r="J1501" s="339" t="str">
        <x:v>Positive</x:v>
      </x:c>
      <x:c r="K1501" s="339" t="str">
        <x:v>Functional</x:v>
      </x:c>
    </x:row>
    <x:row r="1502">
      <x:c r="A1502" s="339" t="str">
        <x:v>AC-01501</x:v>
      </x:c>
      <x:c r="B1502" s="339" t="str">
        <x:v>US-0376</x:v>
      </x:c>
      <x:c r="C1502" s="339" t="str">
        <x:v>SCR-188</x:v>
      </x:c>
      <x:c r="D1502" s="339" t="str">
        <x:v>Transport / Bus / GPS</x:v>
      </x:c>
      <x:c r="E1502" s="339" t="str">
        <x:v>Vehicle Details</x:v>
      </x:c>
      <x:c r="F1502" s="339" t="str">
        <x:v>Complete authorized view</x:v>
      </x:c>
      <x:c r="G1502" s="339" t="str">
        <x:v>the record exists and the user is authorized</x:v>
      </x:c>
      <x:c r="H1502" s="339" t="str">
        <x:v>the detail/profile opens</x:v>
      </x:c>
      <x:c r="I1502" s="339" t="str">
        <x:v>the system loads the required summary, relationships and history while masking restricted fields</x:v>
      </x:c>
      <x:c r="J1502" s="339" t="str">
        <x:v>Positive</x:v>
      </x:c>
      <x:c r="K1502" s="339" t="str">
        <x:v>Functional / Security</x:v>
      </x:c>
    </x:row>
    <x:row r="1503">
      <x:c r="A1503" s="339" t="str">
        <x:v>AC-01502</x:v>
      </x:c>
      <x:c r="B1503" s="339" t="str">
        <x:v>US-0376</x:v>
      </x:c>
      <x:c r="C1503" s="339" t="str">
        <x:v>SCR-188</x:v>
      </x:c>
      <x:c r="D1503" s="339" t="str">
        <x:v>Transport / Bus / GPS</x:v>
      </x:c>
      <x:c r="E1503" s="339" t="str">
        <x:v>Vehicle Details</x:v>
      </x:c>
      <x:c r="F1503" s="339" t="str">
        <x:v>Controlled edit</x:v>
      </x:c>
      <x:c r="G1503" s="339" t="str">
        <x:v>the user has edit permission and the record is editable</x:v>
      </x:c>
      <x:c r="H1503" s="339" t="str">
        <x:v>the user saves a change</x:v>
      </x:c>
      <x:c r="I1503" s="339" t="str">
        <x:v>validation and state rules run before the update is committed</x:v>
      </x:c>
      <x:c r="J1503" s="339" t="str">
        <x:v>Positive</x:v>
      </x:c>
      <x:c r="K1503" s="339" t="str">
        <x:v>Functional</x:v>
      </x:c>
    </x:row>
    <x:row r="1504">
      <x:c r="A1504" s="339" t="str">
        <x:v>AC-01503</x:v>
      </x:c>
      <x:c r="B1504" s="339" t="str">
        <x:v>US-0376</x:v>
      </x:c>
      <x:c r="C1504" s="339" t="str">
        <x:v>SCR-188</x:v>
      </x:c>
      <x:c r="D1504" s="339" t="str">
        <x:v>Transport / Bus / GPS</x:v>
      </x:c>
      <x:c r="E1504" s="339" t="str">
        <x:v>Vehicle Details</x:v>
      </x:c>
      <x:c r="F1504" s="339" t="str">
        <x:v>Concurrent edit protection</x:v>
      </x:c>
      <x:c r="G1504" s="339" t="str">
        <x:v>another user has changed the record after it was loaded</x:v>
      </x:c>
      <x:c r="H1504" s="339" t="str">
        <x:v>the first user attempts to save stale data</x:v>
      </x:c>
      <x:c r="I1504" s="339" t="str">
        <x:v>the system detects the version conflict or preserves fields safely instead of silently overwriting</x:v>
      </x:c>
      <x:c r="J1504" s="339" t="str">
        <x:v>Positive</x:v>
      </x:c>
      <x:c r="K1504" s="339" t="str">
        <x:v>Functional</x:v>
      </x:c>
    </x:row>
    <x:row r="1505">
      <x:c r="A1505" s="339" t="str">
        <x:v>AC-01504</x:v>
      </x:c>
      <x:c r="B1505" s="339" t="str">
        <x:v>US-0376</x:v>
      </x:c>
      <x:c r="C1505" s="339" t="str">
        <x:v>SCR-188</x:v>
      </x:c>
      <x:c r="D1505" s="339" t="str">
        <x:v>Transport / Bus / GPS</x:v>
      </x:c>
      <x:c r="E1505" s="339" t="str">
        <x:v>Vehicle Details</x:v>
      </x:c>
      <x:c r="F1505" s="339" t="str">
        <x:v>History retention</x:v>
      </x:c>
      <x:c r="G1505" s="339" t="str">
        <x:v>the record has prior changes/statuses</x:v>
      </x:c>
      <x:c r="H1505" s="339" t="str">
        <x:v>the user views history</x:v>
      </x:c>
      <x:c r="I1505" s="339" t="str">
        <x:v>the audit/activity timeline shows traceable material changes without exposing restricted notes</x:v>
      </x:c>
      <x:c r="J1505" s="339" t="str">
        <x:v>Positive</x:v>
      </x:c>
      <x:c r="K1505" s="339" t="str">
        <x:v>Functional</x:v>
      </x:c>
    </x:row>
    <x:row r="1506">
      <x:c r="A1506" s="339" t="str">
        <x:v>AC-01505</x:v>
      </x:c>
      <x:c r="B1506" s="339" t="str">
        <x:v>US-0377</x:v>
      </x:c>
      <x:c r="C1506" s="339" t="str">
        <x:v>SCR-189</x:v>
      </x:c>
      <x:c r="D1506" s="339" t="str">
        <x:v>Transport / Bus / GPS</x:v>
      </x:c>
      <x:c r="E1506" s="339" t="str">
        <x:v>Routes</x:v>
      </x:c>
      <x:c r="F1506" s="339" t="str">
        <x:v>Authorized access to Routes</x:v>
      </x:c>
      <x:c r="G1506" s="339" t="str">
        <x:v>the Transport Manager is authenticated and has access to Routes</x:v>
      </x:c>
      <x:c r="H1506" s="339" t="str">
        <x:v>the user opens or invokes Routes</x:v>
      </x:c>
      <x:c r="I1506" s="339" t="str">
        <x:v>the system loads only records and actions within the user's permitted tenant/school/data scope</x:v>
      </x:c>
      <x:c r="J1506" s="339" t="str">
        <x:v>Positive</x:v>
      </x:c>
      <x:c r="K1506" s="339" t="str">
        <x:v>Functional / Security</x:v>
      </x:c>
    </x:row>
    <x:row r="1507">
      <x:c r="A1507" s="339" t="str">
        <x:v>AC-01506</x:v>
      </x:c>
      <x:c r="B1507" s="339" t="str">
        <x:v>US-0377</x:v>
      </x:c>
      <x:c r="C1507" s="339" t="str">
        <x:v>SCR-189</x:v>
      </x:c>
      <x:c r="D1507" s="339" t="str">
        <x:v>Transport / Bus / GPS</x:v>
      </x:c>
      <x:c r="E1507" s="339" t="str">
        <x:v>Routes</x:v>
      </x:c>
      <x:c r="F1507" s="339" t="str">
        <x:v>Successful Routes happy path</x:v>
      </x:c>
      <x:c r="G1507" s="339" t="str">
        <x:v>all mandatory prerequisites and valid data are available</x:v>
      </x:c>
      <x:c r="H1507" s="339" t="str">
        <x:v>the Transport Manager completes the primary action on Routes</x:v>
      </x:c>
      <x:c r="I1507" s="339" t="str">
        <x:v>the system validates the request, saves it atomically, shows a clear confirmation and reflects the updated state</x:v>
      </x:c>
      <x:c r="J1507" s="339" t="str">
        <x:v>Positive</x:v>
      </x:c>
      <x:c r="K1507" s="339" t="str">
        <x:v>Functional</x:v>
      </x:c>
    </x:row>
    <x:row r="1508">
      <x:c r="A1508" s="339" t="str">
        <x:v>AC-01507</x:v>
      </x:c>
      <x:c r="B1508" s="339" t="str">
        <x:v>US-0377</x:v>
      </x:c>
      <x:c r="C1508" s="339" t="str">
        <x:v>SCR-189</x:v>
      </x:c>
      <x:c r="D1508" s="339" t="str">
        <x:v>Transport / Bus / GPS</x:v>
      </x:c>
      <x:c r="E1508" s="339" t="str">
        <x:v>Routes</x:v>
      </x:c>
      <x:c r="F1508" s="339" t="str">
        <x:v>State and dependency integrity</x:v>
      </x:c>
      <x:c r="G1508" s="339" t="str">
        <x:v>the current record is in an allowed state (Draft → Active → Inactive / Maintenance / Archived)</x:v>
      </x:c>
      <x:c r="H1508" s="339" t="str">
        <x:v>the user attempts a state-changing action</x:v>
      </x:c>
      <x:c r="I1508" s="339" t="str">
        <x:v>only a valid transition is accepted and dependent records are updated according to configured business rules</x:v>
      </x:c>
      <x:c r="J1508" s="339" t="str">
        <x:v>Positive</x:v>
      </x:c>
      <x:c r="K1508" s="339" t="str">
        <x:v>Functional</x:v>
      </x:c>
    </x:row>
    <x:row r="1509">
      <x:c r="A1509" s="339" t="str">
        <x:v>AC-01508</x:v>
      </x:c>
      <x:c r="B1509" s="339" t="str">
        <x:v>US-0377</x:v>
      </x:c>
      <x:c r="C1509" s="339" t="str">
        <x:v>SCR-189</x:v>
      </x:c>
      <x:c r="D1509" s="339" t="str">
        <x:v>Transport / Bus / GPS</x:v>
      </x:c>
      <x:c r="E1509" s="339" t="str">
        <x:v>Routes</x:v>
      </x:c>
      <x:c r="F1509" s="339" t="str">
        <x:v>Auditability</x:v>
      </x:c>
      <x:c r="G1509" s="339" t="str">
        <x:v>a material create/update/approve/reverse action occurs</x:v>
      </x:c>
      <x:c r="H1509" s="339" t="str">
        <x:v>the transaction succeeds</x:v>
      </x:c>
      <x:c r="I1509" s="339" t="str">
        <x:v>the system records actor, timestamp, action, target and relevant before/after or reason context in the audit trail</x:v>
      </x:c>
      <x:c r="J1509" s="339" t="str">
        <x:v>Positive</x:v>
      </x:c>
      <x:c r="K1509" s="339" t="str">
        <x:v>Functional</x:v>
      </x:c>
    </x:row>
    <x:row r="1510">
      <x:c r="A1510" s="339" t="str">
        <x:v>AC-01509</x:v>
      </x:c>
      <x:c r="B1510" s="339" t="str">
        <x:v>US-0378</x:v>
      </x:c>
      <x:c r="C1510" s="339" t="str">
        <x:v>SCR-189</x:v>
      </x:c>
      <x:c r="D1510" s="339" t="str">
        <x:v>Transport / Bus / GPS</x:v>
      </x:c>
      <x:c r="E1510" s="339" t="str">
        <x:v>Routes</x:v>
      </x:c>
      <x:c r="F1510" s="339" t="str">
        <x:v>Search and filtering</x:v>
      </x:c>
      <x:c r="G1510" s="339" t="str">
        <x:v>authorized records exist across multiple values</x:v>
      </x:c>
      <x:c r="H1510" s="339" t="str">
        <x:v>the user applies search, filters, sorting or pagination</x:v>
      </x:c>
      <x:c r="I1510" s="339" t="str">
        <x:v>the results match all selected criteria and remain within the user's data scope</x:v>
      </x:c>
      <x:c r="J1510" s="339" t="str">
        <x:v>Positive</x:v>
      </x:c>
      <x:c r="K1510" s="339" t="str">
        <x:v>Functional</x:v>
      </x:c>
    </x:row>
    <x:row r="1511">
      <x:c r="A1511" s="339" t="str">
        <x:v>AC-01510</x:v>
      </x:c>
      <x:c r="B1511" s="339" t="str">
        <x:v>US-0378</x:v>
      </x:c>
      <x:c r="C1511" s="339" t="str">
        <x:v>SCR-189</x:v>
      </x:c>
      <x:c r="D1511" s="339" t="str">
        <x:v>Transport / Bus / GPS</x:v>
      </x:c>
      <x:c r="E1511" s="339" t="str">
        <x:v>Routes</x:v>
      </x:c>
      <x:c r="F1511" s="339" t="str">
        <x:v>Controlled row actions</x:v>
      </x:c>
      <x:c r="G1511" s="339" t="str">
        <x:v>records are returned in the list</x:v>
      </x:c>
      <x:c r="H1511" s="339" t="str">
        <x:v>the user opens the action menu</x:v>
      </x:c>
      <x:c r="I1511" s="339" t="str">
        <x:v>only actions permitted for the user's role and the record's current state are offered</x:v>
      </x:c>
      <x:c r="J1511" s="339" t="str">
        <x:v>Positive</x:v>
      </x:c>
      <x:c r="K1511" s="339" t="str">
        <x:v>Functional</x:v>
      </x:c>
    </x:row>
    <x:row r="1512">
      <x:c r="A1512" s="339" t="str">
        <x:v>AC-01511</x:v>
      </x:c>
      <x:c r="B1512" s="339" t="str">
        <x:v>US-0378</x:v>
      </x:c>
      <x:c r="C1512" s="339" t="str">
        <x:v>SCR-189</x:v>
      </x:c>
      <x:c r="D1512" s="339" t="str">
        <x:v>Transport / Bus / GPS</x:v>
      </x:c>
      <x:c r="E1512" s="339" t="str">
        <x:v>Routes</x:v>
      </x:c>
      <x:c r="F1512" s="339" t="str">
        <x:v>Empty/no-result handling</x:v>
      </x:c>
      <x:c r="G1512" s="339" t="str">
        <x:v>no record matches the current criteria</x:v>
      </x:c>
      <x:c r="H1512" s="339" t="str">
        <x:v>the query completes</x:v>
      </x:c>
      <x:c r="I1512" s="339" t="str">
        <x:v>the system shows a clear empty state without treating it as an application error</x:v>
      </x:c>
      <x:c r="J1512" s="339" t="str">
        <x:v>Positive</x:v>
      </x:c>
      <x:c r="K1512" s="339" t="str">
        <x:v>Functional</x:v>
      </x:c>
    </x:row>
    <x:row r="1513">
      <x:c r="A1513" s="339" t="str">
        <x:v>AC-01512</x:v>
      </x:c>
      <x:c r="B1513" s="339" t="str">
        <x:v>US-0378</x:v>
      </x:c>
      <x:c r="C1513" s="339" t="str">
        <x:v>SCR-189</x:v>
      </x:c>
      <x:c r="D1513" s="339" t="str">
        <x:v>Transport / Bus / GPS</x:v>
      </x:c>
      <x:c r="E1513" s="339" t="str">
        <x:v>Routes</x:v>
      </x:c>
      <x:c r="F1513" s="339" t="str">
        <x:v>Export scope</x:v>
      </x:c>
      <x:c r="G1513" s="339" t="str">
        <x:v>the user has export permission</x:v>
      </x:c>
      <x:c r="H1513" s="339" t="str">
        <x:v>the user exports the filtered list</x:v>
      </x:c>
      <x:c r="I1513" s="339" t="str">
        <x:v>the export contains the same authorized filter scope and excludes restricted fields</x:v>
      </x:c>
      <x:c r="J1513" s="339" t="str">
        <x:v>Positive</x:v>
      </x:c>
      <x:c r="K1513" s="339" t="str">
        <x:v>Functional</x:v>
      </x:c>
    </x:row>
    <x:row r="1514">
      <x:c r="A1514" s="339" t="str">
        <x:v>AC-01513</x:v>
      </x:c>
      <x:c r="B1514" s="339" t="str">
        <x:v>US-0379</x:v>
      </x:c>
      <x:c r="C1514" s="339" t="str">
        <x:v>SCR-190</x:v>
      </x:c>
      <x:c r="D1514" s="339" t="str">
        <x:v>Transport / Bus / GPS</x:v>
      </x:c>
      <x:c r="E1514" s="339" t="str">
        <x:v>Create / Edit Route</x:v>
      </x:c>
      <x:c r="F1514" s="339" t="str">
        <x:v>Authorized access to Create / Edit Route</x:v>
      </x:c>
      <x:c r="G1514" s="339" t="str">
        <x:v>the Transport Manager is authenticated and has access to Create / Edit Route</x:v>
      </x:c>
      <x:c r="H1514" s="339" t="str">
        <x:v>the user opens or invokes Create / Edit Route</x:v>
      </x:c>
      <x:c r="I1514" s="339" t="str">
        <x:v>the system loads only records and actions within the user's permitted tenant/school/data scope</x:v>
      </x:c>
      <x:c r="J1514" s="339" t="str">
        <x:v>Positive</x:v>
      </x:c>
      <x:c r="K1514" s="339" t="str">
        <x:v>Functional / Security</x:v>
      </x:c>
    </x:row>
    <x:row r="1515">
      <x:c r="A1515" s="339" t="str">
        <x:v>AC-01514</x:v>
      </x:c>
      <x:c r="B1515" s="339" t="str">
        <x:v>US-0379</x:v>
      </x:c>
      <x:c r="C1515" s="339" t="str">
        <x:v>SCR-190</x:v>
      </x:c>
      <x:c r="D1515" s="339" t="str">
        <x:v>Transport / Bus / GPS</x:v>
      </x:c>
      <x:c r="E1515" s="339" t="str">
        <x:v>Create / Edit Route</x:v>
      </x:c>
      <x:c r="F1515" s="339" t="str">
        <x:v>Successful Create / Edit Route happy path</x:v>
      </x:c>
      <x:c r="G1515" s="339" t="str">
        <x:v>all mandatory prerequisites and valid data are available</x:v>
      </x:c>
      <x:c r="H1515" s="339" t="str">
        <x:v>the Transport Manager completes the primary action on Create / Edit Route</x:v>
      </x:c>
      <x:c r="I1515" s="339" t="str">
        <x:v>the system validates the request, saves it atomically, shows a clear confirmation and reflects the updated state</x:v>
      </x:c>
      <x:c r="J1515" s="339" t="str">
        <x:v>Positive</x:v>
      </x:c>
      <x:c r="K1515" s="339" t="str">
        <x:v>Functional</x:v>
      </x:c>
    </x:row>
    <x:row r="1516">
      <x:c r="A1516" s="339" t="str">
        <x:v>AC-01515</x:v>
      </x:c>
      <x:c r="B1516" s="339" t="str">
        <x:v>US-0379</x:v>
      </x:c>
      <x:c r="C1516" s="339" t="str">
        <x:v>SCR-190</x:v>
      </x:c>
      <x:c r="D1516" s="339" t="str">
        <x:v>Transport / Bus / GPS</x:v>
      </x:c>
      <x:c r="E1516" s="339" t="str">
        <x:v>Create / Edit Route</x:v>
      </x:c>
      <x:c r="F1516" s="339" t="str">
        <x:v>State and dependency integrity</x:v>
      </x:c>
      <x:c r="G1516" s="339" t="str">
        <x:v>the current record is in an allowed state (Draft → Active → Inactive / Maintenance / Archived)</x:v>
      </x:c>
      <x:c r="H1516" s="339" t="str">
        <x:v>the user attempts a state-changing action</x:v>
      </x:c>
      <x:c r="I1516" s="339" t="str">
        <x:v>only a valid transition is accepted and dependent records are updated according to configured business rules</x:v>
      </x:c>
      <x:c r="J1516" s="339" t="str">
        <x:v>Positive</x:v>
      </x:c>
      <x:c r="K1516" s="339" t="str">
        <x:v>Functional</x:v>
      </x:c>
    </x:row>
    <x:row r="1517">
      <x:c r="A1517" s="339" t="str">
        <x:v>AC-01516</x:v>
      </x:c>
      <x:c r="B1517" s="339" t="str">
        <x:v>US-0379</x:v>
      </x:c>
      <x:c r="C1517" s="339" t="str">
        <x:v>SCR-190</x:v>
      </x:c>
      <x:c r="D1517" s="339" t="str">
        <x:v>Transport / Bus / GPS</x:v>
      </x:c>
      <x:c r="E1517" s="339" t="str">
        <x:v>Create / Edit Route</x:v>
      </x:c>
      <x:c r="F1517" s="339" t="str">
        <x:v>Auditability</x:v>
      </x:c>
      <x:c r="G1517" s="339" t="str">
        <x:v>a material create/update/approve/reverse action occurs</x:v>
      </x:c>
      <x:c r="H1517" s="339" t="str">
        <x:v>the transaction succeeds</x:v>
      </x:c>
      <x:c r="I1517" s="339" t="str">
        <x:v>the system records actor, timestamp, action, target and relevant before/after or reason context in the audit trail</x:v>
      </x:c>
      <x:c r="J1517" s="339" t="str">
        <x:v>Positive</x:v>
      </x:c>
      <x:c r="K1517" s="339" t="str">
        <x:v>Functional</x:v>
      </x:c>
    </x:row>
    <x:row r="1518">
      <x:c r="A1518" s="339" t="str">
        <x:v>AC-01517</x:v>
      </x:c>
      <x:c r="B1518" s="339" t="str">
        <x:v>US-0380</x:v>
      </x:c>
      <x:c r="C1518" s="339" t="str">
        <x:v>SCR-190</x:v>
      </x:c>
      <x:c r="D1518" s="339" t="str">
        <x:v>Transport / Bus / GPS</x:v>
      </x:c>
      <x:c r="E1518" s="339" t="str">
        <x:v>Create / Edit Route</x:v>
      </x:c>
      <x:c r="F1518" s="339" t="str">
        <x:v>Required-field validation</x:v>
      </x:c>
      <x:c r="G1518" s="339" t="str">
        <x:v>one or more required values are missing/invalid</x:v>
      </x:c>
      <x:c r="H1518" s="339" t="str">
        <x:v>the user submits the form</x:v>
      </x:c>
      <x:c r="I1518" s="339" t="str">
        <x:v>submission is blocked and field-level messages identify what must be corrected</x:v>
      </x:c>
      <x:c r="J1518" s="339" t="str">
        <x:v>Positive</x:v>
      </x:c>
      <x:c r="K1518" s="339" t="str">
        <x:v>Functional</x:v>
      </x:c>
    </x:row>
    <x:row r="1519">
      <x:c r="A1519" s="339" t="str">
        <x:v>AC-01518</x:v>
      </x:c>
      <x:c r="B1519" s="339" t="str">
        <x:v>US-0380</x:v>
      </x:c>
      <x:c r="C1519" s="339" t="str">
        <x:v>SCR-190</x:v>
      </x:c>
      <x:c r="D1519" s="339" t="str">
        <x:v>Transport / Bus / GPS</x:v>
      </x:c>
      <x:c r="E1519" s="339" t="str">
        <x:v>Create / Edit Route</x:v>
      </x:c>
      <x:c r="F1519" s="339" t="str">
        <x:v>Duplicate prevention</x:v>
      </x:c>
      <x:c r="G1519" s="339" t="str">
        <x:v>a potentially duplicate record exists</x:v>
      </x:c>
      <x:c r="H1519" s="339" t="str">
        <x:v>the user submits matching identity/master data</x:v>
      </x:c>
      <x:c r="I1519" s="339" t="str">
        <x:v>the system blocks or warns according to configured duplicate policy before creating another record</x:v>
      </x:c>
      <x:c r="J1519" s="339" t="str">
        <x:v>Negative</x:v>
      </x:c>
      <x:c r="K1519" s="339" t="str">
        <x:v>Functional</x:v>
      </x:c>
    </x:row>
    <x:row r="1520">
      <x:c r="A1520" s="339" t="str">
        <x:v>AC-01519</x:v>
      </x:c>
      <x:c r="B1520" s="339" t="str">
        <x:v>US-0380</x:v>
      </x:c>
      <x:c r="C1520" s="339" t="str">
        <x:v>SCR-190</x:v>
      </x:c>
      <x:c r="D1520" s="339" t="str">
        <x:v>Transport / Bus / GPS</x:v>
      </x:c>
      <x:c r="E1520" s="339" t="str">
        <x:v>Create / Edit Route</x:v>
      </x:c>
      <x:c r="F1520" s="339" t="str">
        <x:v>Reference-data integrity</x:v>
      </x:c>
      <x:c r="G1520" s="339" t="str">
        <x:v>the form contains master-data selections</x:v>
      </x:c>
      <x:c r="H1520" s="339" t="str">
        <x:v>the user submits</x:v>
      </x:c>
      <x:c r="I1520" s="339" t="str">
        <x:v>all referenced values are active, effective and within the user's scope at the time of save</x:v>
      </x:c>
      <x:c r="J1520" s="339" t="str">
        <x:v>Positive</x:v>
      </x:c>
      <x:c r="K1520" s="339" t="str">
        <x:v>Functional</x:v>
      </x:c>
    </x:row>
    <x:row r="1521">
      <x:c r="A1521" s="339" t="str">
        <x:v>AC-01520</x:v>
      </x:c>
      <x:c r="B1521" s="339" t="str">
        <x:v>US-0380</x:v>
      </x:c>
      <x:c r="C1521" s="339" t="str">
        <x:v>SCR-190</x:v>
      </x:c>
      <x:c r="D1521" s="339" t="str">
        <x:v>Transport / Bus / GPS</x:v>
      </x:c>
      <x:c r="E1521" s="339" t="str">
        <x:v>Create / Edit Route</x:v>
      </x:c>
      <x:c r="F1521" s="339" t="str">
        <x:v>Retry safety</x:v>
      </x:c>
      <x:c r="G1521" s="339" t="str">
        <x:v>a network retry or repeated click occurs</x:v>
      </x:c>
      <x:c r="H1521" s="339" t="str">
        <x:v>the same transaction is submitted again</x:v>
      </x:c>
      <x:c r="I1521" s="339" t="str">
        <x:v>the system prevents unintended duplicate transactions through idempotency or duplicate detection</x:v>
      </x:c>
      <x:c r="J1521" s="339" t="str">
        <x:v>Positive</x:v>
      </x:c>
      <x:c r="K1521" s="339" t="str">
        <x:v>Functional</x:v>
      </x:c>
    </x:row>
    <x:row r="1522">
      <x:c r="A1522" s="339" t="str">
        <x:v>AC-01521</x:v>
      </x:c>
      <x:c r="B1522" s="339" t="str">
        <x:v>US-0381</x:v>
      </x:c>
      <x:c r="C1522" s="339" t="str">
        <x:v>SCR-191</x:v>
      </x:c>
      <x:c r="D1522" s="339" t="str">
        <x:v>Transport / Bus / GPS</x:v>
      </x:c>
      <x:c r="E1522" s="339" t="str">
        <x:v>Stops</x:v>
      </x:c>
      <x:c r="F1522" s="339" t="str">
        <x:v>Authorized access to Stops</x:v>
      </x:c>
      <x:c r="G1522" s="339" t="str">
        <x:v>the Transport Manager is authenticated and has access to Stops</x:v>
      </x:c>
      <x:c r="H1522" s="339" t="str">
        <x:v>the user opens or invokes Stops</x:v>
      </x:c>
      <x:c r="I1522" s="339" t="str">
        <x:v>the system loads only records and actions within the user's permitted tenant/school/data scope</x:v>
      </x:c>
      <x:c r="J1522" s="339" t="str">
        <x:v>Positive</x:v>
      </x:c>
      <x:c r="K1522" s="339" t="str">
        <x:v>Functional / Security</x:v>
      </x:c>
    </x:row>
    <x:row r="1523">
      <x:c r="A1523" s="339" t="str">
        <x:v>AC-01522</x:v>
      </x:c>
      <x:c r="B1523" s="339" t="str">
        <x:v>US-0381</x:v>
      </x:c>
      <x:c r="C1523" s="339" t="str">
        <x:v>SCR-191</x:v>
      </x:c>
      <x:c r="D1523" s="339" t="str">
        <x:v>Transport / Bus / GPS</x:v>
      </x:c>
      <x:c r="E1523" s="339" t="str">
        <x:v>Stops</x:v>
      </x:c>
      <x:c r="F1523" s="339" t="str">
        <x:v>Successful Stops happy path</x:v>
      </x:c>
      <x:c r="G1523" s="339" t="str">
        <x:v>all mandatory prerequisites and valid data are available</x:v>
      </x:c>
      <x:c r="H1523" s="339" t="str">
        <x:v>the Transport Manager completes the primary action on Stops</x:v>
      </x:c>
      <x:c r="I1523" s="339" t="str">
        <x:v>the system validates the request, saves it atomically, shows a clear confirmation and reflects the updated state</x:v>
      </x:c>
      <x:c r="J1523" s="339" t="str">
        <x:v>Positive</x:v>
      </x:c>
      <x:c r="K1523" s="339" t="str">
        <x:v>Functional</x:v>
      </x:c>
    </x:row>
    <x:row r="1524">
      <x:c r="A1524" s="339" t="str">
        <x:v>AC-01523</x:v>
      </x:c>
      <x:c r="B1524" s="339" t="str">
        <x:v>US-0381</x:v>
      </x:c>
      <x:c r="C1524" s="339" t="str">
        <x:v>SCR-191</x:v>
      </x:c>
      <x:c r="D1524" s="339" t="str">
        <x:v>Transport / Bus / GPS</x:v>
      </x:c>
      <x:c r="E1524" s="339" t="str">
        <x:v>Stops</x:v>
      </x:c>
      <x:c r="F1524" s="339" t="str">
        <x:v>State and dependency integrity</x:v>
      </x:c>
      <x:c r="G1524" s="339" t="str">
        <x:v>the current record is in an allowed state (Draft → Active → Inactive / Maintenance / Archived)</x:v>
      </x:c>
      <x:c r="H1524" s="339" t="str">
        <x:v>the user attempts a state-changing action</x:v>
      </x:c>
      <x:c r="I1524" s="339" t="str">
        <x:v>only a valid transition is accepted and dependent records are updated according to configured business rules</x:v>
      </x:c>
      <x:c r="J1524" s="339" t="str">
        <x:v>Positive</x:v>
      </x:c>
      <x:c r="K1524" s="339" t="str">
        <x:v>Functional</x:v>
      </x:c>
    </x:row>
    <x:row r="1525">
      <x:c r="A1525" s="339" t="str">
        <x:v>AC-01524</x:v>
      </x:c>
      <x:c r="B1525" s="339" t="str">
        <x:v>US-0381</x:v>
      </x:c>
      <x:c r="C1525" s="339" t="str">
        <x:v>SCR-191</x:v>
      </x:c>
      <x:c r="D1525" s="339" t="str">
        <x:v>Transport / Bus / GPS</x:v>
      </x:c>
      <x:c r="E1525" s="339" t="str">
        <x:v>Stops</x:v>
      </x:c>
      <x:c r="F1525" s="339" t="str">
        <x:v>Auditability</x:v>
      </x:c>
      <x:c r="G1525" s="339" t="str">
        <x:v>a material create/update/approve/reverse action occurs</x:v>
      </x:c>
      <x:c r="H1525" s="339" t="str">
        <x:v>the transaction succeeds</x:v>
      </x:c>
      <x:c r="I1525" s="339" t="str">
        <x:v>the system records actor, timestamp, action, target and relevant before/after or reason context in the audit trail</x:v>
      </x:c>
      <x:c r="J1525" s="339" t="str">
        <x:v>Positive</x:v>
      </x:c>
      <x:c r="K1525" s="339" t="str">
        <x:v>Functional</x:v>
      </x:c>
    </x:row>
    <x:row r="1526">
      <x:c r="A1526" s="339" t="str">
        <x:v>AC-01525</x:v>
      </x:c>
      <x:c r="B1526" s="339" t="str">
        <x:v>US-0382</x:v>
      </x:c>
      <x:c r="C1526" s="339" t="str">
        <x:v>SCR-191</x:v>
      </x:c>
      <x:c r="D1526" s="339" t="str">
        <x:v>Transport / Bus / GPS</x:v>
      </x:c>
      <x:c r="E1526" s="339" t="str">
        <x:v>Stops</x:v>
      </x:c>
      <x:c r="F1526" s="339" t="str">
        <x:v>Valid status transition</x:v>
      </x:c>
      <x:c r="G1526" s="339" t="str">
        <x:v>the record is in a state described by Draft → Active → Inactive / Maintenance / Archived</x:v>
      </x:c>
      <x:c r="H1526" s="339" t="str">
        <x:v>the user requests a transition</x:v>
      </x:c>
      <x:c r="I1526" s="339" t="str">
        <x:v>the system accepts only transitions allowed for that role and state</x:v>
      </x:c>
      <x:c r="J1526" s="339" t="str">
        <x:v>Positive</x:v>
      </x:c>
      <x:c r="K1526" s="339" t="str">
        <x:v>Functional</x:v>
      </x:c>
    </x:row>
    <x:row r="1527">
      <x:c r="A1527" s="339" t="str">
        <x:v>AC-01526</x:v>
      </x:c>
      <x:c r="B1527" s="339" t="str">
        <x:v>US-0382</x:v>
      </x:c>
      <x:c r="C1527" s="339" t="str">
        <x:v>SCR-191</x:v>
      </x:c>
      <x:c r="D1527" s="339" t="str">
        <x:v>Transport / Bus / GPS</x:v>
      </x:c>
      <x:c r="E1527" s="339" t="str">
        <x:v>Stops</x:v>
      </x:c>
      <x:c r="F1527" s="339" t="str">
        <x:v>Approval authority</x:v>
      </x:c>
      <x:c r="G1527" s="339" t="str">
        <x:v>an action requires approval</x:v>
      </x:c>
      <x:c r="H1527" s="339" t="str">
        <x:v>a non-authorized user attempts approval/rejection</x:v>
      </x:c>
      <x:c r="I1527" s="339" t="str">
        <x:v>the system denies the decision and does not change status</x:v>
      </x:c>
      <x:c r="J1527" s="339" t="str">
        <x:v>Negative</x:v>
      </x:c>
      <x:c r="K1527" s="339" t="str">
        <x:v>Functional</x:v>
      </x:c>
    </x:row>
    <x:row r="1528">
      <x:c r="A1528" s="339" t="str">
        <x:v>AC-01527</x:v>
      </x:c>
      <x:c r="B1528" s="339" t="str">
        <x:v>US-0382</x:v>
      </x:c>
      <x:c r="C1528" s="339" t="str">
        <x:v>SCR-191</x:v>
      </x:c>
      <x:c r="D1528" s="339" t="str">
        <x:v>Transport / Bus / GPS</x:v>
      </x:c>
      <x:c r="E1528" s="339" t="str">
        <x:v>Stops</x:v>
      </x:c>
      <x:c r="F1528" s="339" t="str">
        <x:v>Failure rollback</x:v>
      </x:c>
      <x:c r="G1528" s="339" t="str">
        <x:v>a downstream dependency fails during a multi-step transaction</x:v>
      </x:c>
      <x:c r="H1528" s="339" t="str">
        <x:v>the workflow executes</x:v>
      </x:c>
      <x:c r="I1528" s="339" t="str">
        <x:v>the system does not leave an invalid partial final state and surfaces a recoverable error</x:v>
      </x:c>
      <x:c r="J1528" s="339" t="str">
        <x:v>Positive</x:v>
      </x:c>
      <x:c r="K1528" s="339" t="str">
        <x:v>Functional</x:v>
      </x:c>
    </x:row>
    <x:row r="1529">
      <x:c r="A1529" s="339" t="str">
        <x:v>AC-01528</x:v>
      </x:c>
      <x:c r="B1529" s="339" t="str">
        <x:v>US-0382</x:v>
      </x:c>
      <x:c r="C1529" s="339" t="str">
        <x:v>SCR-191</x:v>
      </x:c>
      <x:c r="D1529" s="339" t="str">
        <x:v>Transport / Bus / GPS</x:v>
      </x:c>
      <x:c r="E1529" s="339" t="str">
        <x:v>Stops</x:v>
      </x:c>
      <x:c r="F1529" s="339" t="str">
        <x:v>Exception traceability</x:v>
      </x:c>
      <x:c r="G1529" s="339" t="str">
        <x:v>an authorized override/exception is used</x:v>
      </x:c>
      <x:c r="H1529" s="339" t="str">
        <x:v>the action is confirmed</x:v>
      </x:c>
      <x:c r="I1529" s="339" t="str">
        <x:v>the system requires reason/context and records it in the audit history</x:v>
      </x:c>
      <x:c r="J1529" s="339" t="str">
        <x:v>Positive</x:v>
      </x:c>
      <x:c r="K1529" s="339" t="str">
        <x:v>Functional</x:v>
      </x:c>
    </x:row>
    <x:row r="1530">
      <x:c r="A1530" s="339" t="str">
        <x:v>AC-01529</x:v>
      </x:c>
      <x:c r="B1530" s="339" t="str">
        <x:v>US-0383</x:v>
      </x:c>
      <x:c r="C1530" s="339" t="str">
        <x:v>SCR-192</x:v>
      </x:c>
      <x:c r="D1530" s="339" t="str">
        <x:v>Transport / Bus / GPS</x:v>
      </x:c>
      <x:c r="E1530" s="339" t="str">
        <x:v>Drivers &amp; Conductors</x:v>
      </x:c>
      <x:c r="F1530" s="339" t="str">
        <x:v>Authorized access to Drivers &amp; Conductors</x:v>
      </x:c>
      <x:c r="G1530" s="339" t="str">
        <x:v>the Transport Manager is authenticated and has access to Drivers &amp; Conductors</x:v>
      </x:c>
      <x:c r="H1530" s="339" t="str">
        <x:v>the user opens or invokes Drivers &amp; Conductors</x:v>
      </x:c>
      <x:c r="I1530" s="339" t="str">
        <x:v>the system loads only records and actions within the user's permitted tenant/school/data scope</x:v>
      </x:c>
      <x:c r="J1530" s="339" t="str">
        <x:v>Positive</x:v>
      </x:c>
      <x:c r="K1530" s="339" t="str">
        <x:v>Functional / Security</x:v>
      </x:c>
    </x:row>
    <x:row r="1531">
      <x:c r="A1531" s="339" t="str">
        <x:v>AC-01530</x:v>
      </x:c>
      <x:c r="B1531" s="339" t="str">
        <x:v>US-0383</x:v>
      </x:c>
      <x:c r="C1531" s="339" t="str">
        <x:v>SCR-192</x:v>
      </x:c>
      <x:c r="D1531" s="339" t="str">
        <x:v>Transport / Bus / GPS</x:v>
      </x:c>
      <x:c r="E1531" s="339" t="str">
        <x:v>Drivers &amp; Conductors</x:v>
      </x:c>
      <x:c r="F1531" s="339" t="str">
        <x:v>Successful Drivers &amp; Conductors happy path</x:v>
      </x:c>
      <x:c r="G1531" s="339" t="str">
        <x:v>all mandatory prerequisites and valid data are available</x:v>
      </x:c>
      <x:c r="H1531" s="339" t="str">
        <x:v>the Transport Manager completes the primary action on Drivers &amp; Conductors</x:v>
      </x:c>
      <x:c r="I1531" s="339" t="str">
        <x:v>the system validates the request, saves it atomically, shows a clear confirmation and reflects the updated state</x:v>
      </x:c>
      <x:c r="J1531" s="339" t="str">
        <x:v>Positive</x:v>
      </x:c>
      <x:c r="K1531" s="339" t="str">
        <x:v>Functional</x:v>
      </x:c>
    </x:row>
    <x:row r="1532">
      <x:c r="A1532" s="339" t="str">
        <x:v>AC-01531</x:v>
      </x:c>
      <x:c r="B1532" s="339" t="str">
        <x:v>US-0383</x:v>
      </x:c>
      <x:c r="C1532" s="339" t="str">
        <x:v>SCR-192</x:v>
      </x:c>
      <x:c r="D1532" s="339" t="str">
        <x:v>Transport / Bus / GPS</x:v>
      </x:c>
      <x:c r="E1532" s="339" t="str">
        <x:v>Drivers &amp; Conductors</x:v>
      </x:c>
      <x:c r="F1532" s="339" t="str">
        <x:v>State and dependency integrity</x:v>
      </x:c>
      <x:c r="G1532" s="339" t="str">
        <x:v>the current record is in an allowed state (Draft → Active → Inactive / Maintenance / Archived)</x:v>
      </x:c>
      <x:c r="H1532" s="339" t="str">
        <x:v>the user attempts a state-changing action</x:v>
      </x:c>
      <x:c r="I1532" s="339" t="str">
        <x:v>only a valid transition is accepted and dependent records are updated according to configured business rules</x:v>
      </x:c>
      <x:c r="J1532" s="339" t="str">
        <x:v>Positive</x:v>
      </x:c>
      <x:c r="K1532" s="339" t="str">
        <x:v>Functional</x:v>
      </x:c>
    </x:row>
    <x:row r="1533">
      <x:c r="A1533" s="339" t="str">
        <x:v>AC-01532</x:v>
      </x:c>
      <x:c r="B1533" s="339" t="str">
        <x:v>US-0383</x:v>
      </x:c>
      <x:c r="C1533" s="339" t="str">
        <x:v>SCR-192</x:v>
      </x:c>
      <x:c r="D1533" s="339" t="str">
        <x:v>Transport / Bus / GPS</x:v>
      </x:c>
      <x:c r="E1533" s="339" t="str">
        <x:v>Drivers &amp; Conductors</x:v>
      </x:c>
      <x:c r="F1533" s="339" t="str">
        <x:v>Auditability</x:v>
      </x:c>
      <x:c r="G1533" s="339" t="str">
        <x:v>a material create/update/approve/reverse action occurs</x:v>
      </x:c>
      <x:c r="H1533" s="339" t="str">
        <x:v>the transaction succeeds</x:v>
      </x:c>
      <x:c r="I1533" s="339" t="str">
        <x:v>the system records actor, timestamp, action, target and relevant before/after or reason context in the audit trail</x:v>
      </x:c>
      <x:c r="J1533" s="339" t="str">
        <x:v>Positive</x:v>
      </x:c>
      <x:c r="K1533" s="339" t="str">
        <x:v>Functional</x:v>
      </x:c>
    </x:row>
    <x:row r="1534">
      <x:c r="A1534" s="339" t="str">
        <x:v>AC-01533</x:v>
      </x:c>
      <x:c r="B1534" s="339" t="str">
        <x:v>US-0384</x:v>
      </x:c>
      <x:c r="C1534" s="339" t="str">
        <x:v>SCR-192</x:v>
      </x:c>
      <x:c r="D1534" s="339" t="str">
        <x:v>Transport / Bus / GPS</x:v>
      </x:c>
      <x:c r="E1534" s="339" t="str">
        <x:v>Drivers &amp; Conductors</x:v>
      </x:c>
      <x:c r="F1534" s="339" t="str">
        <x:v>Valid status transition</x:v>
      </x:c>
      <x:c r="G1534" s="339" t="str">
        <x:v>the record is in a state described by Draft → Active → Inactive / Maintenance / Archived</x:v>
      </x:c>
      <x:c r="H1534" s="339" t="str">
        <x:v>the user requests a transition</x:v>
      </x:c>
      <x:c r="I1534" s="339" t="str">
        <x:v>the system accepts only transitions allowed for that role and state</x:v>
      </x:c>
      <x:c r="J1534" s="339" t="str">
        <x:v>Positive</x:v>
      </x:c>
      <x:c r="K1534" s="339" t="str">
        <x:v>Functional</x:v>
      </x:c>
    </x:row>
    <x:row r="1535">
      <x:c r="A1535" s="339" t="str">
        <x:v>AC-01534</x:v>
      </x:c>
      <x:c r="B1535" s="339" t="str">
        <x:v>US-0384</x:v>
      </x:c>
      <x:c r="C1535" s="339" t="str">
        <x:v>SCR-192</x:v>
      </x:c>
      <x:c r="D1535" s="339" t="str">
        <x:v>Transport / Bus / GPS</x:v>
      </x:c>
      <x:c r="E1535" s="339" t="str">
        <x:v>Drivers &amp; Conductors</x:v>
      </x:c>
      <x:c r="F1535" s="339" t="str">
        <x:v>Approval authority</x:v>
      </x:c>
      <x:c r="G1535" s="339" t="str">
        <x:v>an action requires approval</x:v>
      </x:c>
      <x:c r="H1535" s="339" t="str">
        <x:v>a non-authorized user attempts approval/rejection</x:v>
      </x:c>
      <x:c r="I1535" s="339" t="str">
        <x:v>the system denies the decision and does not change status</x:v>
      </x:c>
      <x:c r="J1535" s="339" t="str">
        <x:v>Negative</x:v>
      </x:c>
      <x:c r="K1535" s="339" t="str">
        <x:v>Functional</x:v>
      </x:c>
    </x:row>
    <x:row r="1536">
      <x:c r="A1536" s="339" t="str">
        <x:v>AC-01535</x:v>
      </x:c>
      <x:c r="B1536" s="339" t="str">
        <x:v>US-0384</x:v>
      </x:c>
      <x:c r="C1536" s="339" t="str">
        <x:v>SCR-192</x:v>
      </x:c>
      <x:c r="D1536" s="339" t="str">
        <x:v>Transport / Bus / GPS</x:v>
      </x:c>
      <x:c r="E1536" s="339" t="str">
        <x:v>Drivers &amp; Conductors</x:v>
      </x:c>
      <x:c r="F1536" s="339" t="str">
        <x:v>Failure rollback</x:v>
      </x:c>
      <x:c r="G1536" s="339" t="str">
        <x:v>a downstream dependency fails during a multi-step transaction</x:v>
      </x:c>
      <x:c r="H1536" s="339" t="str">
        <x:v>the workflow executes</x:v>
      </x:c>
      <x:c r="I1536" s="339" t="str">
        <x:v>the system does not leave an invalid partial final state and surfaces a recoverable error</x:v>
      </x:c>
      <x:c r="J1536" s="339" t="str">
        <x:v>Positive</x:v>
      </x:c>
      <x:c r="K1536" s="339" t="str">
        <x:v>Functional</x:v>
      </x:c>
    </x:row>
    <x:row r="1537">
      <x:c r="A1537" s="339" t="str">
        <x:v>AC-01536</x:v>
      </x:c>
      <x:c r="B1537" s="339" t="str">
        <x:v>US-0384</x:v>
      </x:c>
      <x:c r="C1537" s="339" t="str">
        <x:v>SCR-192</x:v>
      </x:c>
      <x:c r="D1537" s="339" t="str">
        <x:v>Transport / Bus / GPS</x:v>
      </x:c>
      <x:c r="E1537" s="339" t="str">
        <x:v>Drivers &amp; Conductors</x:v>
      </x:c>
      <x:c r="F1537" s="339" t="str">
        <x:v>Exception traceability</x:v>
      </x:c>
      <x:c r="G1537" s="339" t="str">
        <x:v>an authorized override/exception is used</x:v>
      </x:c>
      <x:c r="H1537" s="339" t="str">
        <x:v>the action is confirmed</x:v>
      </x:c>
      <x:c r="I1537" s="339" t="str">
        <x:v>the system requires reason/context and records it in the audit history</x:v>
      </x:c>
      <x:c r="J1537" s="339" t="str">
        <x:v>Positive</x:v>
      </x:c>
      <x:c r="K1537" s="339" t="str">
        <x:v>Functional</x:v>
      </x:c>
    </x:row>
    <x:row r="1538">
      <x:c r="A1538" s="339" t="str">
        <x:v>AC-01537</x:v>
      </x:c>
      <x:c r="B1538" s="339" t="str">
        <x:v>US-0385</x:v>
      </x:c>
      <x:c r="C1538" s="339" t="str">
        <x:v>SCR-193</x:v>
      </x:c>
      <x:c r="D1538" s="339" t="str">
        <x:v>Transport / Bus / GPS</x:v>
      </x:c>
      <x:c r="E1538" s="339" t="str">
        <x:v>Student Route Assignment</x:v>
      </x:c>
      <x:c r="F1538" s="339" t="str">
        <x:v>Authorized access to Student Route Assignment</x:v>
      </x:c>
      <x:c r="G1538" s="339" t="str">
        <x:v>the Transport Manager is authenticated and has access to Student Route Assignment</x:v>
      </x:c>
      <x:c r="H1538" s="339" t="str">
        <x:v>the user opens or invokes Student Route Assignment</x:v>
      </x:c>
      <x:c r="I1538" s="339" t="str">
        <x:v>the system loads only records and actions within the user's permitted tenant/school/data scope</x:v>
      </x:c>
      <x:c r="J1538" s="339" t="str">
        <x:v>Positive</x:v>
      </x:c>
      <x:c r="K1538" s="339" t="str">
        <x:v>Functional / Security</x:v>
      </x:c>
    </x:row>
    <x:row r="1539">
      <x:c r="A1539" s="339" t="str">
        <x:v>AC-01538</x:v>
      </x:c>
      <x:c r="B1539" s="339" t="str">
        <x:v>US-0385</x:v>
      </x:c>
      <x:c r="C1539" s="339" t="str">
        <x:v>SCR-193</x:v>
      </x:c>
      <x:c r="D1539" s="339" t="str">
        <x:v>Transport / Bus / GPS</x:v>
      </x:c>
      <x:c r="E1539" s="339" t="str">
        <x:v>Student Route Assignment</x:v>
      </x:c>
      <x:c r="F1539" s="339" t="str">
        <x:v>Successful Student Route Assignment happy path</x:v>
      </x:c>
      <x:c r="G1539" s="339" t="str">
        <x:v>all mandatory prerequisites and valid data are available</x:v>
      </x:c>
      <x:c r="H1539" s="339" t="str">
        <x:v>the Transport Manager completes the primary action on Student Route Assignment</x:v>
      </x:c>
      <x:c r="I1539" s="339" t="str">
        <x:v>the system validates the request, saves it atomically, shows a clear confirmation and reflects the updated state</x:v>
      </x:c>
      <x:c r="J1539" s="339" t="str">
        <x:v>Positive</x:v>
      </x:c>
      <x:c r="K1539" s="339" t="str">
        <x:v>Functional</x:v>
      </x:c>
    </x:row>
    <x:row r="1540">
      <x:c r="A1540" s="339" t="str">
        <x:v>AC-01539</x:v>
      </x:c>
      <x:c r="B1540" s="339" t="str">
        <x:v>US-0385</x:v>
      </x:c>
      <x:c r="C1540" s="339" t="str">
        <x:v>SCR-193</x:v>
      </x:c>
      <x:c r="D1540" s="339" t="str">
        <x:v>Transport / Bus / GPS</x:v>
      </x:c>
      <x:c r="E1540" s="339" t="str">
        <x:v>Student Route Assignment</x:v>
      </x:c>
      <x:c r="F1540" s="339" t="str">
        <x:v>State and dependency integrity</x:v>
      </x:c>
      <x:c r="G1540" s="339" t="str">
        <x:v>the current record is in an allowed state (Draft → Active → Inactive / Maintenance / Archived)</x:v>
      </x:c>
      <x:c r="H1540" s="339" t="str">
        <x:v>the user attempts a state-changing action</x:v>
      </x:c>
      <x:c r="I1540" s="339" t="str">
        <x:v>only a valid transition is accepted and dependent records are updated according to configured business rules</x:v>
      </x:c>
      <x:c r="J1540" s="339" t="str">
        <x:v>Positive</x:v>
      </x:c>
      <x:c r="K1540" s="339" t="str">
        <x:v>Functional</x:v>
      </x:c>
    </x:row>
    <x:row r="1541">
      <x:c r="A1541" s="339" t="str">
        <x:v>AC-01540</x:v>
      </x:c>
      <x:c r="B1541" s="339" t="str">
        <x:v>US-0385</x:v>
      </x:c>
      <x:c r="C1541" s="339" t="str">
        <x:v>SCR-193</x:v>
      </x:c>
      <x:c r="D1541" s="339" t="str">
        <x:v>Transport / Bus / GPS</x:v>
      </x:c>
      <x:c r="E1541" s="339" t="str">
        <x:v>Student Route Assignment</x:v>
      </x:c>
      <x:c r="F1541" s="339" t="str">
        <x:v>Auditability</x:v>
      </x:c>
      <x:c r="G1541" s="339" t="str">
        <x:v>a material create/update/approve/reverse action occurs</x:v>
      </x:c>
      <x:c r="H1541" s="339" t="str">
        <x:v>the transaction succeeds</x:v>
      </x:c>
      <x:c r="I1541" s="339" t="str">
        <x:v>the system records actor, timestamp, action, target and relevant before/after or reason context in the audit trail</x:v>
      </x:c>
      <x:c r="J1541" s="339" t="str">
        <x:v>Positive</x:v>
      </x:c>
      <x:c r="K1541" s="339" t="str">
        <x:v>Functional</x:v>
      </x:c>
    </x:row>
    <x:row r="1542">
      <x:c r="A1542" s="339" t="str">
        <x:v>AC-01541</x:v>
      </x:c>
      <x:c r="B1542" s="339" t="str">
        <x:v>US-0386</x:v>
      </x:c>
      <x:c r="C1542" s="339" t="str">
        <x:v>SCR-193</x:v>
      </x:c>
      <x:c r="D1542" s="339" t="str">
        <x:v>Transport / Bus / GPS</x:v>
      </x:c>
      <x:c r="E1542" s="339" t="str">
        <x:v>Student Route Assignment</x:v>
      </x:c>
      <x:c r="F1542" s="339" t="str">
        <x:v>Valid status transition</x:v>
      </x:c>
      <x:c r="G1542" s="339" t="str">
        <x:v>the record is in a state described by Draft → Active → Inactive / Maintenance / Archived</x:v>
      </x:c>
      <x:c r="H1542" s="339" t="str">
        <x:v>the user requests a transition</x:v>
      </x:c>
      <x:c r="I1542" s="339" t="str">
        <x:v>the system accepts only transitions allowed for that role and state</x:v>
      </x:c>
      <x:c r="J1542" s="339" t="str">
        <x:v>Positive</x:v>
      </x:c>
      <x:c r="K1542" s="339" t="str">
        <x:v>Functional</x:v>
      </x:c>
    </x:row>
    <x:row r="1543">
      <x:c r="A1543" s="339" t="str">
        <x:v>AC-01542</x:v>
      </x:c>
      <x:c r="B1543" s="339" t="str">
        <x:v>US-0386</x:v>
      </x:c>
      <x:c r="C1543" s="339" t="str">
        <x:v>SCR-193</x:v>
      </x:c>
      <x:c r="D1543" s="339" t="str">
        <x:v>Transport / Bus / GPS</x:v>
      </x:c>
      <x:c r="E1543" s="339" t="str">
        <x:v>Student Route Assignment</x:v>
      </x:c>
      <x:c r="F1543" s="339" t="str">
        <x:v>Approval authority</x:v>
      </x:c>
      <x:c r="G1543" s="339" t="str">
        <x:v>an action requires approval</x:v>
      </x:c>
      <x:c r="H1543" s="339" t="str">
        <x:v>a non-authorized user attempts approval/rejection</x:v>
      </x:c>
      <x:c r="I1543" s="339" t="str">
        <x:v>the system denies the decision and does not change status</x:v>
      </x:c>
      <x:c r="J1543" s="339" t="str">
        <x:v>Negative</x:v>
      </x:c>
      <x:c r="K1543" s="339" t="str">
        <x:v>Functional</x:v>
      </x:c>
    </x:row>
    <x:row r="1544">
      <x:c r="A1544" s="339" t="str">
        <x:v>AC-01543</x:v>
      </x:c>
      <x:c r="B1544" s="339" t="str">
        <x:v>US-0386</x:v>
      </x:c>
      <x:c r="C1544" s="339" t="str">
        <x:v>SCR-193</x:v>
      </x:c>
      <x:c r="D1544" s="339" t="str">
        <x:v>Transport / Bus / GPS</x:v>
      </x:c>
      <x:c r="E1544" s="339" t="str">
        <x:v>Student Route Assignment</x:v>
      </x:c>
      <x:c r="F1544" s="339" t="str">
        <x:v>Failure rollback</x:v>
      </x:c>
      <x:c r="G1544" s="339" t="str">
        <x:v>a downstream dependency fails during a multi-step transaction</x:v>
      </x:c>
      <x:c r="H1544" s="339" t="str">
        <x:v>the workflow executes</x:v>
      </x:c>
      <x:c r="I1544" s="339" t="str">
        <x:v>the system does not leave an invalid partial final state and surfaces a recoverable error</x:v>
      </x:c>
      <x:c r="J1544" s="339" t="str">
        <x:v>Positive</x:v>
      </x:c>
      <x:c r="K1544" s="339" t="str">
        <x:v>Functional</x:v>
      </x:c>
    </x:row>
    <x:row r="1545">
      <x:c r="A1545" s="339" t="str">
        <x:v>AC-01544</x:v>
      </x:c>
      <x:c r="B1545" s="339" t="str">
        <x:v>US-0386</x:v>
      </x:c>
      <x:c r="C1545" s="339" t="str">
        <x:v>SCR-193</x:v>
      </x:c>
      <x:c r="D1545" s="339" t="str">
        <x:v>Transport / Bus / GPS</x:v>
      </x:c>
      <x:c r="E1545" s="339" t="str">
        <x:v>Student Route Assignment</x:v>
      </x:c>
      <x:c r="F1545" s="339" t="str">
        <x:v>Exception traceability</x:v>
      </x:c>
      <x:c r="G1545" s="339" t="str">
        <x:v>an authorized override/exception is used</x:v>
      </x:c>
      <x:c r="H1545" s="339" t="str">
        <x:v>the action is confirmed</x:v>
      </x:c>
      <x:c r="I1545" s="339" t="str">
        <x:v>the system requires reason/context and records it in the audit history</x:v>
      </x:c>
      <x:c r="J1545" s="339" t="str">
        <x:v>Positive</x:v>
      </x:c>
      <x:c r="K1545" s="339" t="str">
        <x:v>Functional</x:v>
      </x:c>
    </x:row>
    <x:row r="1546">
      <x:c r="A1546" s="339" t="str">
        <x:v>AC-01545</x:v>
      </x:c>
      <x:c r="B1546" s="339" t="str">
        <x:v>US-0387</x:v>
      </x:c>
      <x:c r="C1546" s="339" t="str">
        <x:v>SCR-194</x:v>
      </x:c>
      <x:c r="D1546" s="339" t="str">
        <x:v>Transport / Bus / GPS</x:v>
      </x:c>
      <x:c r="E1546" s="339" t="str">
        <x:v>Trip Sheet</x:v>
      </x:c>
      <x:c r="F1546" s="339" t="str">
        <x:v>Authorized access to Trip Sheet</x:v>
      </x:c>
      <x:c r="G1546" s="339" t="str">
        <x:v>the Transport Manager is authenticated and has access to Trip Sheet</x:v>
      </x:c>
      <x:c r="H1546" s="339" t="str">
        <x:v>the user opens or invokes Trip Sheet</x:v>
      </x:c>
      <x:c r="I1546" s="339" t="str">
        <x:v>the system loads only records and actions within the user's permitted tenant/school/data scope</x:v>
      </x:c>
      <x:c r="J1546" s="339" t="str">
        <x:v>Positive</x:v>
      </x:c>
      <x:c r="K1546" s="339" t="str">
        <x:v>Functional / Security</x:v>
      </x:c>
    </x:row>
    <x:row r="1547">
      <x:c r="A1547" s="339" t="str">
        <x:v>AC-01546</x:v>
      </x:c>
      <x:c r="B1547" s="339" t="str">
        <x:v>US-0387</x:v>
      </x:c>
      <x:c r="C1547" s="339" t="str">
        <x:v>SCR-194</x:v>
      </x:c>
      <x:c r="D1547" s="339" t="str">
        <x:v>Transport / Bus / GPS</x:v>
      </x:c>
      <x:c r="E1547" s="339" t="str">
        <x:v>Trip Sheet</x:v>
      </x:c>
      <x:c r="F1547" s="339" t="str">
        <x:v>Successful Trip Sheet happy path</x:v>
      </x:c>
      <x:c r="G1547" s="339" t="str">
        <x:v>all mandatory prerequisites and valid data are available</x:v>
      </x:c>
      <x:c r="H1547" s="339" t="str">
        <x:v>the Transport Manager completes the primary action on Trip Sheet</x:v>
      </x:c>
      <x:c r="I1547" s="339" t="str">
        <x:v>the system validates the request, saves it atomically, shows a clear confirmation and reflects the updated state</x:v>
      </x:c>
      <x:c r="J1547" s="339" t="str">
        <x:v>Positive</x:v>
      </x:c>
      <x:c r="K1547" s="339" t="str">
        <x:v>Functional</x:v>
      </x:c>
    </x:row>
    <x:row r="1548">
      <x:c r="A1548" s="339" t="str">
        <x:v>AC-01547</x:v>
      </x:c>
      <x:c r="B1548" s="339" t="str">
        <x:v>US-0387</x:v>
      </x:c>
      <x:c r="C1548" s="339" t="str">
        <x:v>SCR-194</x:v>
      </x:c>
      <x:c r="D1548" s="339" t="str">
        <x:v>Transport / Bus / GPS</x:v>
      </x:c>
      <x:c r="E1548" s="339" t="str">
        <x:v>Trip Sheet</x:v>
      </x:c>
      <x:c r="F1548" s="339" t="str">
        <x:v>State and dependency integrity</x:v>
      </x:c>
      <x:c r="G1548" s="339" t="str">
        <x:v>the current record is in an allowed state (Planned → Started → In Progress → Completed / Cancelled)</x:v>
      </x:c>
      <x:c r="H1548" s="339" t="str">
        <x:v>the user attempts a state-changing action</x:v>
      </x:c>
      <x:c r="I1548" s="339" t="str">
        <x:v>only a valid transition is accepted and dependent records are updated according to configured business rules</x:v>
      </x:c>
      <x:c r="J1548" s="339" t="str">
        <x:v>Positive</x:v>
      </x:c>
      <x:c r="K1548" s="339" t="str">
        <x:v>Functional</x:v>
      </x:c>
    </x:row>
    <x:row r="1549">
      <x:c r="A1549" s="339" t="str">
        <x:v>AC-01548</x:v>
      </x:c>
      <x:c r="B1549" s="339" t="str">
        <x:v>US-0387</x:v>
      </x:c>
      <x:c r="C1549" s="339" t="str">
        <x:v>SCR-194</x:v>
      </x:c>
      <x:c r="D1549" s="339" t="str">
        <x:v>Transport / Bus / GPS</x:v>
      </x:c>
      <x:c r="E1549" s="339" t="str">
        <x:v>Trip Sheet</x:v>
      </x:c>
      <x:c r="F1549" s="339" t="str">
        <x:v>Auditability</x:v>
      </x:c>
      <x:c r="G1549" s="339" t="str">
        <x:v>a material create/update/approve/reverse action occurs</x:v>
      </x:c>
      <x:c r="H1549" s="339" t="str">
        <x:v>the transaction succeeds</x:v>
      </x:c>
      <x:c r="I1549" s="339" t="str">
        <x:v>the system records actor, timestamp, action, target and relevant before/after or reason context in the audit trail</x:v>
      </x:c>
      <x:c r="J1549" s="339" t="str">
        <x:v>Positive</x:v>
      </x:c>
      <x:c r="K1549" s="339" t="str">
        <x:v>Functional</x:v>
      </x:c>
    </x:row>
    <x:row r="1550">
      <x:c r="A1550" s="339" t="str">
        <x:v>AC-01549</x:v>
      </x:c>
      <x:c r="B1550" s="339" t="str">
        <x:v>US-0388</x:v>
      </x:c>
      <x:c r="C1550" s="339" t="str">
        <x:v>SCR-194</x:v>
      </x:c>
      <x:c r="D1550" s="339" t="str">
        <x:v>Transport / Bus / GPS</x:v>
      </x:c>
      <x:c r="E1550" s="339" t="str">
        <x:v>Trip Sheet</x:v>
      </x:c>
      <x:c r="F1550" s="339" t="str">
        <x:v>Valid status transition</x:v>
      </x:c>
      <x:c r="G1550" s="339" t="str">
        <x:v>the record is in a state described by Planned → Started → In Progress → Completed / Cancelled</x:v>
      </x:c>
      <x:c r="H1550" s="339" t="str">
        <x:v>the user requests a transition</x:v>
      </x:c>
      <x:c r="I1550" s="339" t="str">
        <x:v>the system accepts only transitions allowed for that role and state</x:v>
      </x:c>
      <x:c r="J1550" s="339" t="str">
        <x:v>Positive</x:v>
      </x:c>
      <x:c r="K1550" s="339" t="str">
        <x:v>Functional</x:v>
      </x:c>
    </x:row>
    <x:row r="1551">
      <x:c r="A1551" s="339" t="str">
        <x:v>AC-01550</x:v>
      </x:c>
      <x:c r="B1551" s="339" t="str">
        <x:v>US-0388</x:v>
      </x:c>
      <x:c r="C1551" s="339" t="str">
        <x:v>SCR-194</x:v>
      </x:c>
      <x:c r="D1551" s="339" t="str">
        <x:v>Transport / Bus / GPS</x:v>
      </x:c>
      <x:c r="E1551" s="339" t="str">
        <x:v>Trip Sheet</x:v>
      </x:c>
      <x:c r="F1551" s="339" t="str">
        <x:v>Approval authority</x:v>
      </x:c>
      <x:c r="G1551" s="339" t="str">
        <x:v>an action requires approval</x:v>
      </x:c>
      <x:c r="H1551" s="339" t="str">
        <x:v>a non-authorized user attempts approval/rejection</x:v>
      </x:c>
      <x:c r="I1551" s="339" t="str">
        <x:v>the system denies the decision and does not change status</x:v>
      </x:c>
      <x:c r="J1551" s="339" t="str">
        <x:v>Negative</x:v>
      </x:c>
      <x:c r="K1551" s="339" t="str">
        <x:v>Functional</x:v>
      </x:c>
    </x:row>
    <x:row r="1552">
      <x:c r="A1552" s="339" t="str">
        <x:v>AC-01551</x:v>
      </x:c>
      <x:c r="B1552" s="339" t="str">
        <x:v>US-0388</x:v>
      </x:c>
      <x:c r="C1552" s="339" t="str">
        <x:v>SCR-194</x:v>
      </x:c>
      <x:c r="D1552" s="339" t="str">
        <x:v>Transport / Bus / GPS</x:v>
      </x:c>
      <x:c r="E1552" s="339" t="str">
        <x:v>Trip Sheet</x:v>
      </x:c>
      <x:c r="F1552" s="339" t="str">
        <x:v>Failure rollback</x:v>
      </x:c>
      <x:c r="G1552" s="339" t="str">
        <x:v>a downstream dependency fails during a multi-step transaction</x:v>
      </x:c>
      <x:c r="H1552" s="339" t="str">
        <x:v>the workflow executes</x:v>
      </x:c>
      <x:c r="I1552" s="339" t="str">
        <x:v>the system does not leave an invalid partial final state and surfaces a recoverable error</x:v>
      </x:c>
      <x:c r="J1552" s="339" t="str">
        <x:v>Positive</x:v>
      </x:c>
      <x:c r="K1552" s="339" t="str">
        <x:v>Functional</x:v>
      </x:c>
    </x:row>
    <x:row r="1553">
      <x:c r="A1553" s="339" t="str">
        <x:v>AC-01552</x:v>
      </x:c>
      <x:c r="B1553" s="339" t="str">
        <x:v>US-0388</x:v>
      </x:c>
      <x:c r="C1553" s="339" t="str">
        <x:v>SCR-194</x:v>
      </x:c>
      <x:c r="D1553" s="339" t="str">
        <x:v>Transport / Bus / GPS</x:v>
      </x:c>
      <x:c r="E1553" s="339" t="str">
        <x:v>Trip Sheet</x:v>
      </x:c>
      <x:c r="F1553" s="339" t="str">
        <x:v>Exception traceability</x:v>
      </x:c>
      <x:c r="G1553" s="339" t="str">
        <x:v>an authorized override/exception is used</x:v>
      </x:c>
      <x:c r="H1553" s="339" t="str">
        <x:v>the action is confirmed</x:v>
      </x:c>
      <x:c r="I1553" s="339" t="str">
        <x:v>the system requires reason/context and records it in the audit history</x:v>
      </x:c>
      <x:c r="J1553" s="339" t="str">
        <x:v>Positive</x:v>
      </x:c>
      <x:c r="K1553" s="339" t="str">
        <x:v>Functional</x:v>
      </x:c>
    </x:row>
    <x:row r="1554">
      <x:c r="A1554" s="339" t="str">
        <x:v>AC-01553</x:v>
      </x:c>
      <x:c r="B1554" s="339" t="str">
        <x:v>US-0389</x:v>
      </x:c>
      <x:c r="C1554" s="339" t="str">
        <x:v>SCR-195</x:v>
      </x:c>
      <x:c r="D1554" s="339" t="str">
        <x:v>Transport / Bus / GPS</x:v>
      </x:c>
      <x:c r="E1554" s="339" t="str">
        <x:v>Live GPS Tracking</x:v>
      </x:c>
      <x:c r="F1554" s="339" t="str">
        <x:v>Authorized access to Live GPS Tracking</x:v>
      </x:c>
      <x:c r="G1554" s="339" t="str">
        <x:v>the Transport Manager is authenticated and has access to Live GPS Tracking</x:v>
      </x:c>
      <x:c r="H1554" s="339" t="str">
        <x:v>the user opens or invokes Live GPS Tracking</x:v>
      </x:c>
      <x:c r="I1554" s="339" t="str">
        <x:v>the system loads only records and actions within the user's permitted tenant/school/data scope</x:v>
      </x:c>
      <x:c r="J1554" s="339" t="str">
        <x:v>Positive</x:v>
      </x:c>
      <x:c r="K1554" s="339" t="str">
        <x:v>Functional / Security</x:v>
      </x:c>
    </x:row>
    <x:row r="1555">
      <x:c r="A1555" s="339" t="str">
        <x:v>AC-01554</x:v>
      </x:c>
      <x:c r="B1555" s="339" t="str">
        <x:v>US-0389</x:v>
      </x:c>
      <x:c r="C1555" s="339" t="str">
        <x:v>SCR-195</x:v>
      </x:c>
      <x:c r="D1555" s="339" t="str">
        <x:v>Transport / Bus / GPS</x:v>
      </x:c>
      <x:c r="E1555" s="339" t="str">
        <x:v>Live GPS Tracking</x:v>
      </x:c>
      <x:c r="F1555" s="339" t="str">
        <x:v>Successful Live GPS Tracking happy path</x:v>
      </x:c>
      <x:c r="G1555" s="339" t="str">
        <x:v>all mandatory prerequisites and valid data are available</x:v>
      </x:c>
      <x:c r="H1555" s="339" t="str">
        <x:v>the Transport Manager completes the primary action on Live GPS Tracking</x:v>
      </x:c>
      <x:c r="I1555" s="339" t="str">
        <x:v>the system validates the request, saves it atomically, shows a clear confirmation and reflects the updated state</x:v>
      </x:c>
      <x:c r="J1555" s="339" t="str">
        <x:v>Positive</x:v>
      </x:c>
      <x:c r="K1555" s="339" t="str">
        <x:v>Functional</x:v>
      </x:c>
    </x:row>
    <x:row r="1556">
      <x:c r="A1556" s="339" t="str">
        <x:v>AC-01555</x:v>
      </x:c>
      <x:c r="B1556" s="339" t="str">
        <x:v>US-0389</x:v>
      </x:c>
      <x:c r="C1556" s="339" t="str">
        <x:v>SCR-195</x:v>
      </x:c>
      <x:c r="D1556" s="339" t="str">
        <x:v>Transport / Bus / GPS</x:v>
      </x:c>
      <x:c r="E1556" s="339" t="str">
        <x:v>Live GPS Tracking</x:v>
      </x:c>
      <x:c r="F1556" s="339" t="str">
        <x:v>State and dependency integrity</x:v>
      </x:c>
      <x:c r="G1556" s="339" t="str">
        <x:v>the current record is in an allowed state (Planned → Started → In Progress → Completed / Cancelled)</x:v>
      </x:c>
      <x:c r="H1556" s="339" t="str">
        <x:v>the user attempts a state-changing action</x:v>
      </x:c>
      <x:c r="I1556" s="339" t="str">
        <x:v>only a valid transition is accepted and dependent records are updated according to configured business rules</x:v>
      </x:c>
      <x:c r="J1556" s="339" t="str">
        <x:v>Positive</x:v>
      </x:c>
      <x:c r="K1556" s="339" t="str">
        <x:v>Functional</x:v>
      </x:c>
    </x:row>
    <x:row r="1557">
      <x:c r="A1557" s="339" t="str">
        <x:v>AC-01556</x:v>
      </x:c>
      <x:c r="B1557" s="339" t="str">
        <x:v>US-0389</x:v>
      </x:c>
      <x:c r="C1557" s="339" t="str">
        <x:v>SCR-195</x:v>
      </x:c>
      <x:c r="D1557" s="339" t="str">
        <x:v>Transport / Bus / GPS</x:v>
      </x:c>
      <x:c r="E1557" s="339" t="str">
        <x:v>Live GPS Tracking</x:v>
      </x:c>
      <x:c r="F1557" s="339" t="str">
        <x:v>Auditability</x:v>
      </x:c>
      <x:c r="G1557" s="339" t="str">
        <x:v>a material create/update/approve/reverse action occurs</x:v>
      </x:c>
      <x:c r="H1557" s="339" t="str">
        <x:v>the transaction succeeds</x:v>
      </x:c>
      <x:c r="I1557" s="339" t="str">
        <x:v>the system records actor, timestamp, action, target and relevant before/after or reason context in the audit trail</x:v>
      </x:c>
      <x:c r="J1557" s="339" t="str">
        <x:v>Positive</x:v>
      </x:c>
      <x:c r="K1557" s="339" t="str">
        <x:v>Functional</x:v>
      </x:c>
    </x:row>
    <x:row r="1558">
      <x:c r="A1558" s="339" t="str">
        <x:v>AC-01557</x:v>
      </x:c>
      <x:c r="B1558" s="339" t="str">
        <x:v>US-0390</x:v>
      </x:c>
      <x:c r="C1558" s="339" t="str">
        <x:v>SCR-195</x:v>
      </x:c>
      <x:c r="D1558" s="339" t="str">
        <x:v>Transport / Bus / GPS</x:v>
      </x:c>
      <x:c r="E1558" s="339" t="str">
        <x:v>Live GPS Tracking</x:v>
      </x:c>
      <x:c r="F1558" s="339" t="str">
        <x:v>Valid status transition</x:v>
      </x:c>
      <x:c r="G1558" s="339" t="str">
        <x:v>the record is in a state described by Planned → Started → In Progress → Completed / Cancelled</x:v>
      </x:c>
      <x:c r="H1558" s="339" t="str">
        <x:v>the user requests a transition</x:v>
      </x:c>
      <x:c r="I1558" s="339" t="str">
        <x:v>the system accepts only transitions allowed for that role and state</x:v>
      </x:c>
      <x:c r="J1558" s="339" t="str">
        <x:v>Positive</x:v>
      </x:c>
      <x:c r="K1558" s="339" t="str">
        <x:v>Functional</x:v>
      </x:c>
    </x:row>
    <x:row r="1559">
      <x:c r="A1559" s="339" t="str">
        <x:v>AC-01558</x:v>
      </x:c>
      <x:c r="B1559" s="339" t="str">
        <x:v>US-0390</x:v>
      </x:c>
      <x:c r="C1559" s="339" t="str">
        <x:v>SCR-195</x:v>
      </x:c>
      <x:c r="D1559" s="339" t="str">
        <x:v>Transport / Bus / GPS</x:v>
      </x:c>
      <x:c r="E1559" s="339" t="str">
        <x:v>Live GPS Tracking</x:v>
      </x:c>
      <x:c r="F1559" s="339" t="str">
        <x:v>Approval authority</x:v>
      </x:c>
      <x:c r="G1559" s="339" t="str">
        <x:v>an action requires approval</x:v>
      </x:c>
      <x:c r="H1559" s="339" t="str">
        <x:v>a non-authorized user attempts approval/rejection</x:v>
      </x:c>
      <x:c r="I1559" s="339" t="str">
        <x:v>the system denies the decision and does not change status</x:v>
      </x:c>
      <x:c r="J1559" s="339" t="str">
        <x:v>Negative</x:v>
      </x:c>
      <x:c r="K1559" s="339" t="str">
        <x:v>Functional</x:v>
      </x:c>
    </x:row>
    <x:row r="1560">
      <x:c r="A1560" s="339" t="str">
        <x:v>AC-01559</x:v>
      </x:c>
      <x:c r="B1560" s="339" t="str">
        <x:v>US-0390</x:v>
      </x:c>
      <x:c r="C1560" s="339" t="str">
        <x:v>SCR-195</x:v>
      </x:c>
      <x:c r="D1560" s="339" t="str">
        <x:v>Transport / Bus / GPS</x:v>
      </x:c>
      <x:c r="E1560" s="339" t="str">
        <x:v>Live GPS Tracking</x:v>
      </x:c>
      <x:c r="F1560" s="339" t="str">
        <x:v>Failure rollback</x:v>
      </x:c>
      <x:c r="G1560" s="339" t="str">
        <x:v>a downstream dependency fails during a multi-step transaction</x:v>
      </x:c>
      <x:c r="H1560" s="339" t="str">
        <x:v>the workflow executes</x:v>
      </x:c>
      <x:c r="I1560" s="339" t="str">
        <x:v>the system does not leave an invalid partial final state and surfaces a recoverable error</x:v>
      </x:c>
      <x:c r="J1560" s="339" t="str">
        <x:v>Positive</x:v>
      </x:c>
      <x:c r="K1560" s="339" t="str">
        <x:v>Functional</x:v>
      </x:c>
    </x:row>
    <x:row r="1561">
      <x:c r="A1561" s="339" t="str">
        <x:v>AC-01560</x:v>
      </x:c>
      <x:c r="B1561" s="339" t="str">
        <x:v>US-0390</x:v>
      </x:c>
      <x:c r="C1561" s="339" t="str">
        <x:v>SCR-195</x:v>
      </x:c>
      <x:c r="D1561" s="339" t="str">
        <x:v>Transport / Bus / GPS</x:v>
      </x:c>
      <x:c r="E1561" s="339" t="str">
        <x:v>Live GPS Tracking</x:v>
      </x:c>
      <x:c r="F1561" s="339" t="str">
        <x:v>Exception traceability</x:v>
      </x:c>
      <x:c r="G1561" s="339" t="str">
        <x:v>an authorized override/exception is used</x:v>
      </x:c>
      <x:c r="H1561" s="339" t="str">
        <x:v>the action is confirmed</x:v>
      </x:c>
      <x:c r="I1561" s="339" t="str">
        <x:v>the system requires reason/context and records it in the audit history</x:v>
      </x:c>
      <x:c r="J1561" s="339" t="str">
        <x:v>Positive</x:v>
      </x:c>
      <x:c r="K1561" s="339" t="str">
        <x:v>Functional</x:v>
      </x:c>
    </x:row>
    <x:row r="1562">
      <x:c r="A1562" s="339" t="str">
        <x:v>AC-01561</x:v>
      </x:c>
      <x:c r="B1562" s="339" t="str">
        <x:v>US-0391</x:v>
      </x:c>
      <x:c r="C1562" s="339" t="str">
        <x:v>SCR-196</x:v>
      </x:c>
      <x:c r="D1562" s="339" t="str">
        <x:v>Transport / Bus / GPS</x:v>
      </x:c>
      <x:c r="E1562" s="339" t="str">
        <x:v>Boarding / Drop Attendance</x:v>
      </x:c>
      <x:c r="F1562" s="339" t="str">
        <x:v>Authorized access to Boarding / Drop Attendance</x:v>
      </x:c>
      <x:c r="G1562" s="339" t="str">
        <x:v>the Transport Manager is authenticated and has access to Boarding / Drop Attendance</x:v>
      </x:c>
      <x:c r="H1562" s="339" t="str">
        <x:v>the user opens or invokes Boarding / Drop Attendance</x:v>
      </x:c>
      <x:c r="I1562" s="339" t="str">
        <x:v>the system loads only records and actions within the user's permitted tenant/school/data scope</x:v>
      </x:c>
      <x:c r="J1562" s="339" t="str">
        <x:v>Positive</x:v>
      </x:c>
      <x:c r="K1562" s="339" t="str">
        <x:v>Functional / Security</x:v>
      </x:c>
    </x:row>
    <x:row r="1563">
      <x:c r="A1563" s="339" t="str">
        <x:v>AC-01562</x:v>
      </x:c>
      <x:c r="B1563" s="339" t="str">
        <x:v>US-0391</x:v>
      </x:c>
      <x:c r="C1563" s="339" t="str">
        <x:v>SCR-196</x:v>
      </x:c>
      <x:c r="D1563" s="339" t="str">
        <x:v>Transport / Bus / GPS</x:v>
      </x:c>
      <x:c r="E1563" s="339" t="str">
        <x:v>Boarding / Drop Attendance</x:v>
      </x:c>
      <x:c r="F1563" s="339" t="str">
        <x:v>Successful Boarding / Drop Attendance happy path</x:v>
      </x:c>
      <x:c r="G1563" s="339" t="str">
        <x:v>all mandatory prerequisites and valid data are available</x:v>
      </x:c>
      <x:c r="H1563" s="339" t="str">
        <x:v>the Transport Manager completes the primary action on Boarding / Drop Attendance</x:v>
      </x:c>
      <x:c r="I1563" s="339" t="str">
        <x:v>the system validates the request, saves it atomically, shows a clear confirmation and reflects the updated state</x:v>
      </x:c>
      <x:c r="J1563" s="339" t="str">
        <x:v>Positive</x:v>
      </x:c>
      <x:c r="K1563" s="339" t="str">
        <x:v>Functional</x:v>
      </x:c>
    </x:row>
    <x:row r="1564">
      <x:c r="A1564" s="339" t="str">
        <x:v>AC-01563</x:v>
      </x:c>
      <x:c r="B1564" s="339" t="str">
        <x:v>US-0391</x:v>
      </x:c>
      <x:c r="C1564" s="339" t="str">
        <x:v>SCR-196</x:v>
      </x:c>
      <x:c r="D1564" s="339" t="str">
        <x:v>Transport / Bus / GPS</x:v>
      </x:c>
      <x:c r="E1564" s="339" t="str">
        <x:v>Boarding / Drop Attendance</x:v>
      </x:c>
      <x:c r="F1564" s="339" t="str">
        <x:v>State and dependency integrity</x:v>
      </x:c>
      <x:c r="G1564" s="339" t="str">
        <x:v>the current record is in an allowed state (Planned → Started → In Progress → Completed / Cancelled)</x:v>
      </x:c>
      <x:c r="H1564" s="339" t="str">
        <x:v>the user attempts a state-changing action</x:v>
      </x:c>
      <x:c r="I1564" s="339" t="str">
        <x:v>only a valid transition is accepted and dependent records are updated according to configured business rules</x:v>
      </x:c>
      <x:c r="J1564" s="339" t="str">
        <x:v>Positive</x:v>
      </x:c>
      <x:c r="K1564" s="339" t="str">
        <x:v>Functional</x:v>
      </x:c>
    </x:row>
    <x:row r="1565">
      <x:c r="A1565" s="339" t="str">
        <x:v>AC-01564</x:v>
      </x:c>
      <x:c r="B1565" s="339" t="str">
        <x:v>US-0391</x:v>
      </x:c>
      <x:c r="C1565" s="339" t="str">
        <x:v>SCR-196</x:v>
      </x:c>
      <x:c r="D1565" s="339" t="str">
        <x:v>Transport / Bus / GPS</x:v>
      </x:c>
      <x:c r="E1565" s="339" t="str">
        <x:v>Boarding / Drop Attendance</x:v>
      </x:c>
      <x:c r="F1565" s="339" t="str">
        <x:v>Auditability</x:v>
      </x:c>
      <x:c r="G1565" s="339" t="str">
        <x:v>a material create/update/approve/reverse action occurs</x:v>
      </x:c>
      <x:c r="H1565" s="339" t="str">
        <x:v>the transaction succeeds</x:v>
      </x:c>
      <x:c r="I1565" s="339" t="str">
        <x:v>the system records actor, timestamp, action, target and relevant before/after or reason context in the audit trail</x:v>
      </x:c>
      <x:c r="J1565" s="339" t="str">
        <x:v>Positive</x:v>
      </x:c>
      <x:c r="K1565" s="339" t="str">
        <x:v>Functional</x:v>
      </x:c>
    </x:row>
    <x:row r="1566">
      <x:c r="A1566" s="339" t="str">
        <x:v>AC-01565</x:v>
      </x:c>
      <x:c r="B1566" s="339" t="str">
        <x:v>US-0392</x:v>
      </x:c>
      <x:c r="C1566" s="339" t="str">
        <x:v>SCR-196</x:v>
      </x:c>
      <x:c r="D1566" s="339" t="str">
        <x:v>Transport / Bus / GPS</x:v>
      </x:c>
      <x:c r="E1566" s="339" t="str">
        <x:v>Boarding / Drop Attendance</x:v>
      </x:c>
      <x:c r="F1566" s="339" t="str">
        <x:v>Valid status transition</x:v>
      </x:c>
      <x:c r="G1566" s="339" t="str">
        <x:v>the record is in a state described by Planned → Started → In Progress → Completed / Cancelled</x:v>
      </x:c>
      <x:c r="H1566" s="339" t="str">
        <x:v>the user requests a transition</x:v>
      </x:c>
      <x:c r="I1566" s="339" t="str">
        <x:v>the system accepts only transitions allowed for that role and state</x:v>
      </x:c>
      <x:c r="J1566" s="339" t="str">
        <x:v>Positive</x:v>
      </x:c>
      <x:c r="K1566" s="339" t="str">
        <x:v>Functional</x:v>
      </x:c>
    </x:row>
    <x:row r="1567">
      <x:c r="A1567" s="339" t="str">
        <x:v>AC-01566</x:v>
      </x:c>
      <x:c r="B1567" s="339" t="str">
        <x:v>US-0392</x:v>
      </x:c>
      <x:c r="C1567" s="339" t="str">
        <x:v>SCR-196</x:v>
      </x:c>
      <x:c r="D1567" s="339" t="str">
        <x:v>Transport / Bus / GPS</x:v>
      </x:c>
      <x:c r="E1567" s="339" t="str">
        <x:v>Boarding / Drop Attendance</x:v>
      </x:c>
      <x:c r="F1567" s="339" t="str">
        <x:v>Approval authority</x:v>
      </x:c>
      <x:c r="G1567" s="339" t="str">
        <x:v>an action requires approval</x:v>
      </x:c>
      <x:c r="H1567" s="339" t="str">
        <x:v>a non-authorized user attempts approval/rejection</x:v>
      </x:c>
      <x:c r="I1567" s="339" t="str">
        <x:v>the system denies the decision and does not change status</x:v>
      </x:c>
      <x:c r="J1567" s="339" t="str">
        <x:v>Negative</x:v>
      </x:c>
      <x:c r="K1567" s="339" t="str">
        <x:v>Functional</x:v>
      </x:c>
    </x:row>
    <x:row r="1568">
      <x:c r="A1568" s="339" t="str">
        <x:v>AC-01567</x:v>
      </x:c>
      <x:c r="B1568" s="339" t="str">
        <x:v>US-0392</x:v>
      </x:c>
      <x:c r="C1568" s="339" t="str">
        <x:v>SCR-196</x:v>
      </x:c>
      <x:c r="D1568" s="339" t="str">
        <x:v>Transport / Bus / GPS</x:v>
      </x:c>
      <x:c r="E1568" s="339" t="str">
        <x:v>Boarding / Drop Attendance</x:v>
      </x:c>
      <x:c r="F1568" s="339" t="str">
        <x:v>Failure rollback</x:v>
      </x:c>
      <x:c r="G1568" s="339" t="str">
        <x:v>a downstream dependency fails during a multi-step transaction</x:v>
      </x:c>
      <x:c r="H1568" s="339" t="str">
        <x:v>the workflow executes</x:v>
      </x:c>
      <x:c r="I1568" s="339" t="str">
        <x:v>the system does not leave an invalid partial final state and surfaces a recoverable error</x:v>
      </x:c>
      <x:c r="J1568" s="339" t="str">
        <x:v>Positive</x:v>
      </x:c>
      <x:c r="K1568" s="339" t="str">
        <x:v>Functional</x:v>
      </x:c>
    </x:row>
    <x:row r="1569">
      <x:c r="A1569" s="339" t="str">
        <x:v>AC-01568</x:v>
      </x:c>
      <x:c r="B1569" s="339" t="str">
        <x:v>US-0392</x:v>
      </x:c>
      <x:c r="C1569" s="339" t="str">
        <x:v>SCR-196</x:v>
      </x:c>
      <x:c r="D1569" s="339" t="str">
        <x:v>Transport / Bus / GPS</x:v>
      </x:c>
      <x:c r="E1569" s="339" t="str">
        <x:v>Boarding / Drop Attendance</x:v>
      </x:c>
      <x:c r="F1569" s="339" t="str">
        <x:v>Exception traceability</x:v>
      </x:c>
      <x:c r="G1569" s="339" t="str">
        <x:v>an authorized override/exception is used</x:v>
      </x:c>
      <x:c r="H1569" s="339" t="str">
        <x:v>the action is confirmed</x:v>
      </x:c>
      <x:c r="I1569" s="339" t="str">
        <x:v>the system requires reason/context and records it in the audit history</x:v>
      </x:c>
      <x:c r="J1569" s="339" t="str">
        <x:v>Positive</x:v>
      </x:c>
      <x:c r="K1569" s="339" t="str">
        <x:v>Functional</x:v>
      </x:c>
    </x:row>
    <x:row r="1570">
      <x:c r="A1570" s="339" t="str">
        <x:v>AC-01569</x:v>
      </x:c>
      <x:c r="B1570" s="339" t="str">
        <x:v>US-0393</x:v>
      </x:c>
      <x:c r="C1570" s="339" t="str">
        <x:v>SCR-197</x:v>
      </x:c>
      <x:c r="D1570" s="339" t="str">
        <x:v>Transport / Bus / GPS</x:v>
      </x:c>
      <x:c r="E1570" s="339" t="str">
        <x:v>Vehicle Maintenance &amp; Fuel</x:v>
      </x:c>
      <x:c r="F1570" s="339" t="str">
        <x:v>Authorized access to Vehicle Maintenance &amp; Fuel</x:v>
      </x:c>
      <x:c r="G1570" s="339" t="str">
        <x:v>the Transport Manager is authenticated and has access to Vehicle Maintenance &amp; Fuel</x:v>
      </x:c>
      <x:c r="H1570" s="339" t="str">
        <x:v>the user opens or invokes Vehicle Maintenance &amp; Fuel</x:v>
      </x:c>
      <x:c r="I1570" s="339" t="str">
        <x:v>the system loads only records and actions within the user's permitted tenant/school/data scope</x:v>
      </x:c>
      <x:c r="J1570" s="339" t="str">
        <x:v>Positive</x:v>
      </x:c>
      <x:c r="K1570" s="339" t="str">
        <x:v>Functional / Security</x:v>
      </x:c>
    </x:row>
    <x:row r="1571">
      <x:c r="A1571" s="339" t="str">
        <x:v>AC-01570</x:v>
      </x:c>
      <x:c r="B1571" s="339" t="str">
        <x:v>US-0393</x:v>
      </x:c>
      <x:c r="C1571" s="339" t="str">
        <x:v>SCR-197</x:v>
      </x:c>
      <x:c r="D1571" s="339" t="str">
        <x:v>Transport / Bus / GPS</x:v>
      </x:c>
      <x:c r="E1571" s="339" t="str">
        <x:v>Vehicle Maintenance &amp; Fuel</x:v>
      </x:c>
      <x:c r="F1571" s="339" t="str">
        <x:v>Successful Vehicle Maintenance &amp; Fuel happy path</x:v>
      </x:c>
      <x:c r="G1571" s="339" t="str">
        <x:v>all mandatory prerequisites and valid data are available</x:v>
      </x:c>
      <x:c r="H1571" s="339" t="str">
        <x:v>the Transport Manager completes the primary action on Vehicle Maintenance &amp; Fuel</x:v>
      </x:c>
      <x:c r="I1571" s="339" t="str">
        <x:v>the system validates the request, saves it atomically, shows a clear confirmation and reflects the updated state</x:v>
      </x:c>
      <x:c r="J1571" s="339" t="str">
        <x:v>Positive</x:v>
      </x:c>
      <x:c r="K1571" s="339" t="str">
        <x:v>Functional</x:v>
      </x:c>
    </x:row>
    <x:row r="1572">
      <x:c r="A1572" s="339" t="str">
        <x:v>AC-01571</x:v>
      </x:c>
      <x:c r="B1572" s="339" t="str">
        <x:v>US-0393</x:v>
      </x:c>
      <x:c r="C1572" s="339" t="str">
        <x:v>SCR-197</x:v>
      </x:c>
      <x:c r="D1572" s="339" t="str">
        <x:v>Transport / Bus / GPS</x:v>
      </x:c>
      <x:c r="E1572" s="339" t="str">
        <x:v>Vehicle Maintenance &amp; Fuel</x:v>
      </x:c>
      <x:c r="F1572" s="339" t="str">
        <x:v>State and dependency integrity</x:v>
      </x:c>
      <x:c r="G1572" s="339" t="str">
        <x:v>the current record is in an allowed state (Draft → Active → Inactive / Maintenance / Archived)</x:v>
      </x:c>
      <x:c r="H1572" s="339" t="str">
        <x:v>the user attempts a state-changing action</x:v>
      </x:c>
      <x:c r="I1572" s="339" t="str">
        <x:v>only a valid transition is accepted and dependent records are updated according to configured business rules</x:v>
      </x:c>
      <x:c r="J1572" s="339" t="str">
        <x:v>Positive</x:v>
      </x:c>
      <x:c r="K1572" s="339" t="str">
        <x:v>Functional</x:v>
      </x:c>
    </x:row>
    <x:row r="1573">
      <x:c r="A1573" s="339" t="str">
        <x:v>AC-01572</x:v>
      </x:c>
      <x:c r="B1573" s="339" t="str">
        <x:v>US-0393</x:v>
      </x:c>
      <x:c r="C1573" s="339" t="str">
        <x:v>SCR-197</x:v>
      </x:c>
      <x:c r="D1573" s="339" t="str">
        <x:v>Transport / Bus / GPS</x:v>
      </x:c>
      <x:c r="E1573" s="339" t="str">
        <x:v>Vehicle Maintenance &amp; Fuel</x:v>
      </x:c>
      <x:c r="F1573" s="339" t="str">
        <x:v>Auditability</x:v>
      </x:c>
      <x:c r="G1573" s="339" t="str">
        <x:v>a material create/update/approve/reverse action occurs</x:v>
      </x:c>
      <x:c r="H1573" s="339" t="str">
        <x:v>the transaction succeeds</x:v>
      </x:c>
      <x:c r="I1573" s="339" t="str">
        <x:v>the system records actor, timestamp, action, target and relevant before/after or reason context in the audit trail</x:v>
      </x:c>
      <x:c r="J1573" s="339" t="str">
        <x:v>Positive</x:v>
      </x:c>
      <x:c r="K1573" s="339" t="str">
        <x:v>Functional</x:v>
      </x:c>
    </x:row>
    <x:row r="1574">
      <x:c r="A1574" s="339" t="str">
        <x:v>AC-01573</x:v>
      </x:c>
      <x:c r="B1574" s="339" t="str">
        <x:v>US-0394</x:v>
      </x:c>
      <x:c r="C1574" s="339" t="str">
        <x:v>SCR-197</x:v>
      </x:c>
      <x:c r="D1574" s="339" t="str">
        <x:v>Transport / Bus / GPS</x:v>
      </x:c>
      <x:c r="E1574" s="339" t="str">
        <x:v>Vehicle Maintenance &amp; Fuel</x:v>
      </x:c>
      <x:c r="F1574" s="339" t="str">
        <x:v>Valid status transition</x:v>
      </x:c>
      <x:c r="G1574" s="339" t="str">
        <x:v>the record is in a state described by Draft → Active → Inactive / Maintenance / Archived</x:v>
      </x:c>
      <x:c r="H1574" s="339" t="str">
        <x:v>the user requests a transition</x:v>
      </x:c>
      <x:c r="I1574" s="339" t="str">
        <x:v>the system accepts only transitions allowed for that role and state</x:v>
      </x:c>
      <x:c r="J1574" s="339" t="str">
        <x:v>Positive</x:v>
      </x:c>
      <x:c r="K1574" s="339" t="str">
        <x:v>Functional</x:v>
      </x:c>
    </x:row>
    <x:row r="1575">
      <x:c r="A1575" s="339" t="str">
        <x:v>AC-01574</x:v>
      </x:c>
      <x:c r="B1575" s="339" t="str">
        <x:v>US-0394</x:v>
      </x:c>
      <x:c r="C1575" s="339" t="str">
        <x:v>SCR-197</x:v>
      </x:c>
      <x:c r="D1575" s="339" t="str">
        <x:v>Transport / Bus / GPS</x:v>
      </x:c>
      <x:c r="E1575" s="339" t="str">
        <x:v>Vehicle Maintenance &amp; Fuel</x:v>
      </x:c>
      <x:c r="F1575" s="339" t="str">
        <x:v>Approval authority</x:v>
      </x:c>
      <x:c r="G1575" s="339" t="str">
        <x:v>an action requires approval</x:v>
      </x:c>
      <x:c r="H1575" s="339" t="str">
        <x:v>a non-authorized user attempts approval/rejection</x:v>
      </x:c>
      <x:c r="I1575" s="339" t="str">
        <x:v>the system denies the decision and does not change status</x:v>
      </x:c>
      <x:c r="J1575" s="339" t="str">
        <x:v>Negative</x:v>
      </x:c>
      <x:c r="K1575" s="339" t="str">
        <x:v>Functional</x:v>
      </x:c>
    </x:row>
    <x:row r="1576">
      <x:c r="A1576" s="339" t="str">
        <x:v>AC-01575</x:v>
      </x:c>
      <x:c r="B1576" s="339" t="str">
        <x:v>US-0394</x:v>
      </x:c>
      <x:c r="C1576" s="339" t="str">
        <x:v>SCR-197</x:v>
      </x:c>
      <x:c r="D1576" s="339" t="str">
        <x:v>Transport / Bus / GPS</x:v>
      </x:c>
      <x:c r="E1576" s="339" t="str">
        <x:v>Vehicle Maintenance &amp; Fuel</x:v>
      </x:c>
      <x:c r="F1576" s="339" t="str">
        <x:v>Failure rollback</x:v>
      </x:c>
      <x:c r="G1576" s="339" t="str">
        <x:v>a downstream dependency fails during a multi-step transaction</x:v>
      </x:c>
      <x:c r="H1576" s="339" t="str">
        <x:v>the workflow executes</x:v>
      </x:c>
      <x:c r="I1576" s="339" t="str">
        <x:v>the system does not leave an invalid partial final state and surfaces a recoverable error</x:v>
      </x:c>
      <x:c r="J1576" s="339" t="str">
        <x:v>Positive</x:v>
      </x:c>
      <x:c r="K1576" s="339" t="str">
        <x:v>Functional</x:v>
      </x:c>
    </x:row>
    <x:row r="1577">
      <x:c r="A1577" s="339" t="str">
        <x:v>AC-01576</x:v>
      </x:c>
      <x:c r="B1577" s="339" t="str">
        <x:v>US-0394</x:v>
      </x:c>
      <x:c r="C1577" s="339" t="str">
        <x:v>SCR-197</x:v>
      </x:c>
      <x:c r="D1577" s="339" t="str">
        <x:v>Transport / Bus / GPS</x:v>
      </x:c>
      <x:c r="E1577" s="339" t="str">
        <x:v>Vehicle Maintenance &amp; Fuel</x:v>
      </x:c>
      <x:c r="F1577" s="339" t="str">
        <x:v>Exception traceability</x:v>
      </x:c>
      <x:c r="G1577" s="339" t="str">
        <x:v>an authorized override/exception is used</x:v>
      </x:c>
      <x:c r="H1577" s="339" t="str">
        <x:v>the action is confirmed</x:v>
      </x:c>
      <x:c r="I1577" s="339" t="str">
        <x:v>the system requires reason/context and records it in the audit history</x:v>
      </x:c>
      <x:c r="J1577" s="339" t="str">
        <x:v>Positive</x:v>
      </x:c>
      <x:c r="K1577" s="339" t="str">
        <x:v>Functional</x:v>
      </x:c>
    </x:row>
    <x:row r="1578">
      <x:c r="A1578" s="339" t="str">
        <x:v>AC-01577</x:v>
      </x:c>
      <x:c r="B1578" s="339" t="str">
        <x:v>US-0395</x:v>
      </x:c>
      <x:c r="C1578" s="339" t="str">
        <x:v>SCR-198</x:v>
      </x:c>
      <x:c r="D1578" s="339" t="str">
        <x:v>Library</x:v>
      </x:c>
      <x:c r="E1578" s="339" t="str">
        <x:v>Library Catalogue</x:v>
      </x:c>
      <x:c r="F1578" s="339" t="str">
        <x:v>Authorized access to Library Catalogue</x:v>
      </x:c>
      <x:c r="G1578" s="339" t="str">
        <x:v>the Librarian is authenticated and has access to Library Catalogue</x:v>
      </x:c>
      <x:c r="H1578" s="339" t="str">
        <x:v>the user opens or invokes Library Catalogue</x:v>
      </x:c>
      <x:c r="I1578" s="339" t="str">
        <x:v>the system loads only records and actions within the user's permitted tenant/school/data scope</x:v>
      </x:c>
      <x:c r="J1578" s="339" t="str">
        <x:v>Positive</x:v>
      </x:c>
      <x:c r="K1578" s="339" t="str">
        <x:v>Functional / Security</x:v>
      </x:c>
    </x:row>
    <x:row r="1579">
      <x:c r="A1579" s="339" t="str">
        <x:v>AC-01578</x:v>
      </x:c>
      <x:c r="B1579" s="339" t="str">
        <x:v>US-0395</x:v>
      </x:c>
      <x:c r="C1579" s="339" t="str">
        <x:v>SCR-198</x:v>
      </x:c>
      <x:c r="D1579" s="339" t="str">
        <x:v>Library</x:v>
      </x:c>
      <x:c r="E1579" s="339" t="str">
        <x:v>Library Catalogue</x:v>
      </x:c>
      <x:c r="F1579" s="339" t="str">
        <x:v>Successful Library Catalogue happy path</x:v>
      </x:c>
      <x:c r="G1579" s="339" t="str">
        <x:v>all mandatory prerequisites and valid data are available</x:v>
      </x:c>
      <x:c r="H1579" s="339" t="str">
        <x:v>the Librarian completes the primary action on Library Catalogue</x:v>
      </x:c>
      <x:c r="I1579" s="339" t="str">
        <x:v>the system validates the request, saves it atomically, shows a clear confirmation and reflects the updated state</x:v>
      </x:c>
      <x:c r="J1579" s="339" t="str">
        <x:v>Positive</x:v>
      </x:c>
      <x:c r="K1579" s="339" t="str">
        <x:v>Functional</x:v>
      </x:c>
    </x:row>
    <x:row r="1580">
      <x:c r="A1580" s="339" t="str">
        <x:v>AC-01579</x:v>
      </x:c>
      <x:c r="B1580" s="339" t="str">
        <x:v>US-0395</x:v>
      </x:c>
      <x:c r="C1580" s="339" t="str">
        <x:v>SCR-198</x:v>
      </x:c>
      <x:c r="D1580" s="339" t="str">
        <x:v>Library</x:v>
      </x:c>
      <x:c r="E1580" s="339" t="str">
        <x:v>Library Catalogue</x:v>
      </x:c>
      <x:c r="F1580" s="339" t="str">
        <x:v>State and dependency integrity</x:v>
      </x:c>
      <x:c r="G1580" s="339" t="str">
        <x:v>the current record is in an allowed state (Available → Reserved / Issued → Overdue → Returned / Lost / Damaged)</x:v>
      </x:c>
      <x:c r="H1580" s="339" t="str">
        <x:v>the user attempts a state-changing action</x:v>
      </x:c>
      <x:c r="I1580" s="339" t="str">
        <x:v>only a valid transition is accepted and dependent records are updated according to configured business rules</x:v>
      </x:c>
      <x:c r="J1580" s="339" t="str">
        <x:v>Positive</x:v>
      </x:c>
      <x:c r="K1580" s="339" t="str">
        <x:v>Functional</x:v>
      </x:c>
    </x:row>
    <x:row r="1581">
      <x:c r="A1581" s="339" t="str">
        <x:v>AC-01580</x:v>
      </x:c>
      <x:c r="B1581" s="339" t="str">
        <x:v>US-0395</x:v>
      </x:c>
      <x:c r="C1581" s="339" t="str">
        <x:v>SCR-198</x:v>
      </x:c>
      <x:c r="D1581" s="339" t="str">
        <x:v>Library</x:v>
      </x:c>
      <x:c r="E1581" s="339" t="str">
        <x:v>Library Catalogue</x:v>
      </x:c>
      <x:c r="F1581" s="339" t="str">
        <x:v>Auditability</x:v>
      </x:c>
      <x:c r="G1581" s="339" t="str">
        <x:v>a material create/update/approve/reverse action occurs</x:v>
      </x:c>
      <x:c r="H1581" s="339" t="str">
        <x:v>the transaction succeeds</x:v>
      </x:c>
      <x:c r="I1581" s="339" t="str">
        <x:v>the system records actor, timestamp, action, target and relevant before/after or reason context in the audit trail</x:v>
      </x:c>
      <x:c r="J1581" s="339" t="str">
        <x:v>Positive</x:v>
      </x:c>
      <x:c r="K1581" s="339" t="str">
        <x:v>Functional</x:v>
      </x:c>
    </x:row>
    <x:row r="1582">
      <x:c r="A1582" s="339" t="str">
        <x:v>AC-01581</x:v>
      </x:c>
      <x:c r="B1582" s="339" t="str">
        <x:v>US-0396</x:v>
      </x:c>
      <x:c r="C1582" s="339" t="str">
        <x:v>SCR-198</x:v>
      </x:c>
      <x:c r="D1582" s="339" t="str">
        <x:v>Library</x:v>
      </x:c>
      <x:c r="E1582" s="339" t="str">
        <x:v>Library Catalogue</x:v>
      </x:c>
      <x:c r="F1582" s="339" t="str">
        <x:v>Search and filtering</x:v>
      </x:c>
      <x:c r="G1582" s="339" t="str">
        <x:v>authorized records exist across multiple values</x:v>
      </x:c>
      <x:c r="H1582" s="339" t="str">
        <x:v>the user applies search, filters, sorting or pagination</x:v>
      </x:c>
      <x:c r="I1582" s="339" t="str">
        <x:v>the results match all selected criteria and remain within the user's data scope</x:v>
      </x:c>
      <x:c r="J1582" s="339" t="str">
        <x:v>Positive</x:v>
      </x:c>
      <x:c r="K1582" s="339" t="str">
        <x:v>Functional</x:v>
      </x:c>
    </x:row>
    <x:row r="1583">
      <x:c r="A1583" s="339" t="str">
        <x:v>AC-01582</x:v>
      </x:c>
      <x:c r="B1583" s="339" t="str">
        <x:v>US-0396</x:v>
      </x:c>
      <x:c r="C1583" s="339" t="str">
        <x:v>SCR-198</x:v>
      </x:c>
      <x:c r="D1583" s="339" t="str">
        <x:v>Library</x:v>
      </x:c>
      <x:c r="E1583" s="339" t="str">
        <x:v>Library Catalogue</x:v>
      </x:c>
      <x:c r="F1583" s="339" t="str">
        <x:v>Controlled row actions</x:v>
      </x:c>
      <x:c r="G1583" s="339" t="str">
        <x:v>records are returned in the list</x:v>
      </x:c>
      <x:c r="H1583" s="339" t="str">
        <x:v>the user opens the action menu</x:v>
      </x:c>
      <x:c r="I1583" s="339" t="str">
        <x:v>only actions permitted for the user's role and the record's current state are offered</x:v>
      </x:c>
      <x:c r="J1583" s="339" t="str">
        <x:v>Positive</x:v>
      </x:c>
      <x:c r="K1583" s="339" t="str">
        <x:v>Functional</x:v>
      </x:c>
    </x:row>
    <x:row r="1584">
      <x:c r="A1584" s="339" t="str">
        <x:v>AC-01583</x:v>
      </x:c>
      <x:c r="B1584" s="339" t="str">
        <x:v>US-0396</x:v>
      </x:c>
      <x:c r="C1584" s="339" t="str">
        <x:v>SCR-198</x:v>
      </x:c>
      <x:c r="D1584" s="339" t="str">
        <x:v>Library</x:v>
      </x:c>
      <x:c r="E1584" s="339" t="str">
        <x:v>Library Catalogue</x:v>
      </x:c>
      <x:c r="F1584" s="339" t="str">
        <x:v>Empty/no-result handling</x:v>
      </x:c>
      <x:c r="G1584" s="339" t="str">
        <x:v>no record matches the current criteria</x:v>
      </x:c>
      <x:c r="H1584" s="339" t="str">
        <x:v>the query completes</x:v>
      </x:c>
      <x:c r="I1584" s="339" t="str">
        <x:v>the system shows a clear empty state without treating it as an application error</x:v>
      </x:c>
      <x:c r="J1584" s="339" t="str">
        <x:v>Positive</x:v>
      </x:c>
      <x:c r="K1584" s="339" t="str">
        <x:v>Functional</x:v>
      </x:c>
    </x:row>
    <x:row r="1585">
      <x:c r="A1585" s="339" t="str">
        <x:v>AC-01584</x:v>
      </x:c>
      <x:c r="B1585" s="339" t="str">
        <x:v>US-0396</x:v>
      </x:c>
      <x:c r="C1585" s="339" t="str">
        <x:v>SCR-198</x:v>
      </x:c>
      <x:c r="D1585" s="339" t="str">
        <x:v>Library</x:v>
      </x:c>
      <x:c r="E1585" s="339" t="str">
        <x:v>Library Catalogue</x:v>
      </x:c>
      <x:c r="F1585" s="339" t="str">
        <x:v>Export scope</x:v>
      </x:c>
      <x:c r="G1585" s="339" t="str">
        <x:v>the user has export permission</x:v>
      </x:c>
      <x:c r="H1585" s="339" t="str">
        <x:v>the user exports the filtered list</x:v>
      </x:c>
      <x:c r="I1585" s="339" t="str">
        <x:v>the export contains the same authorized filter scope and excludes restricted fields</x:v>
      </x:c>
      <x:c r="J1585" s="339" t="str">
        <x:v>Positive</x:v>
      </x:c>
      <x:c r="K1585" s="339" t="str">
        <x:v>Functional</x:v>
      </x:c>
    </x:row>
    <x:row r="1586">
      <x:c r="A1586" s="339" t="str">
        <x:v>AC-01585</x:v>
      </x:c>
      <x:c r="B1586" s="339" t="str">
        <x:v>US-0397</x:v>
      </x:c>
      <x:c r="C1586" s="339" t="str">
        <x:v>SCR-199</x:v>
      </x:c>
      <x:c r="D1586" s="339" t="str">
        <x:v>Library</x:v>
      </x:c>
      <x:c r="E1586" s="339" t="str">
        <x:v>Add / Edit Book</x:v>
      </x:c>
      <x:c r="F1586" s="339" t="str">
        <x:v>Authorized access to Add / Edit Book</x:v>
      </x:c>
      <x:c r="G1586" s="339" t="str">
        <x:v>the Librarian is authenticated and has access to Add / Edit Book</x:v>
      </x:c>
      <x:c r="H1586" s="339" t="str">
        <x:v>the user opens or invokes Add / Edit Book</x:v>
      </x:c>
      <x:c r="I1586" s="339" t="str">
        <x:v>the system loads only records and actions within the user's permitted tenant/school/data scope</x:v>
      </x:c>
      <x:c r="J1586" s="339" t="str">
        <x:v>Positive</x:v>
      </x:c>
      <x:c r="K1586" s="339" t="str">
        <x:v>Functional / Security</x:v>
      </x:c>
    </x:row>
    <x:row r="1587">
      <x:c r="A1587" s="339" t="str">
        <x:v>AC-01586</x:v>
      </x:c>
      <x:c r="B1587" s="339" t="str">
        <x:v>US-0397</x:v>
      </x:c>
      <x:c r="C1587" s="339" t="str">
        <x:v>SCR-199</x:v>
      </x:c>
      <x:c r="D1587" s="339" t="str">
        <x:v>Library</x:v>
      </x:c>
      <x:c r="E1587" s="339" t="str">
        <x:v>Add / Edit Book</x:v>
      </x:c>
      <x:c r="F1587" s="339" t="str">
        <x:v>Successful Add / Edit Book happy path</x:v>
      </x:c>
      <x:c r="G1587" s="339" t="str">
        <x:v>all mandatory prerequisites and valid data are available</x:v>
      </x:c>
      <x:c r="H1587" s="339" t="str">
        <x:v>the Librarian completes the primary action on Add / Edit Book</x:v>
      </x:c>
      <x:c r="I1587" s="339" t="str">
        <x:v>the system validates the request, saves it atomically, shows a clear confirmation and reflects the updated state</x:v>
      </x:c>
      <x:c r="J1587" s="339" t="str">
        <x:v>Positive</x:v>
      </x:c>
      <x:c r="K1587" s="339" t="str">
        <x:v>Functional</x:v>
      </x:c>
    </x:row>
    <x:row r="1588">
      <x:c r="A1588" s="339" t="str">
        <x:v>AC-01587</x:v>
      </x:c>
      <x:c r="B1588" s="339" t="str">
        <x:v>US-0397</x:v>
      </x:c>
      <x:c r="C1588" s="339" t="str">
        <x:v>SCR-199</x:v>
      </x:c>
      <x:c r="D1588" s="339" t="str">
        <x:v>Library</x:v>
      </x:c>
      <x:c r="E1588" s="339" t="str">
        <x:v>Add / Edit Book</x:v>
      </x:c>
      <x:c r="F1588" s="339" t="str">
        <x:v>State and dependency integrity</x:v>
      </x:c>
      <x:c r="G1588" s="339" t="str">
        <x:v>the current record is in an allowed state (Available → Reserved / Issued → Overdue → Returned / Lost / Damaged)</x:v>
      </x:c>
      <x:c r="H1588" s="339" t="str">
        <x:v>the user attempts a state-changing action</x:v>
      </x:c>
      <x:c r="I1588" s="339" t="str">
        <x:v>only a valid transition is accepted and dependent records are updated according to configured business rules</x:v>
      </x:c>
      <x:c r="J1588" s="339" t="str">
        <x:v>Positive</x:v>
      </x:c>
      <x:c r="K1588" s="339" t="str">
        <x:v>Functional</x:v>
      </x:c>
    </x:row>
    <x:row r="1589">
      <x:c r="A1589" s="339" t="str">
        <x:v>AC-01588</x:v>
      </x:c>
      <x:c r="B1589" s="339" t="str">
        <x:v>US-0397</x:v>
      </x:c>
      <x:c r="C1589" s="339" t="str">
        <x:v>SCR-199</x:v>
      </x:c>
      <x:c r="D1589" s="339" t="str">
        <x:v>Library</x:v>
      </x:c>
      <x:c r="E1589" s="339" t="str">
        <x:v>Add / Edit Book</x:v>
      </x:c>
      <x:c r="F1589" s="339" t="str">
        <x:v>Auditability</x:v>
      </x:c>
      <x:c r="G1589" s="339" t="str">
        <x:v>a material create/update/approve/reverse action occurs</x:v>
      </x:c>
      <x:c r="H1589" s="339" t="str">
        <x:v>the transaction succeeds</x:v>
      </x:c>
      <x:c r="I1589" s="339" t="str">
        <x:v>the system records actor, timestamp, action, target and relevant before/after or reason context in the audit trail</x:v>
      </x:c>
      <x:c r="J1589" s="339" t="str">
        <x:v>Positive</x:v>
      </x:c>
      <x:c r="K1589" s="339" t="str">
        <x:v>Functional</x:v>
      </x:c>
    </x:row>
    <x:row r="1590">
      <x:c r="A1590" s="339" t="str">
        <x:v>AC-01589</x:v>
      </x:c>
      <x:c r="B1590" s="339" t="str">
        <x:v>US-0398</x:v>
      </x:c>
      <x:c r="C1590" s="339" t="str">
        <x:v>SCR-199</x:v>
      </x:c>
      <x:c r="D1590" s="339" t="str">
        <x:v>Library</x:v>
      </x:c>
      <x:c r="E1590" s="339" t="str">
        <x:v>Add / Edit Book</x:v>
      </x:c>
      <x:c r="F1590" s="339" t="str">
        <x:v>Required-field validation</x:v>
      </x:c>
      <x:c r="G1590" s="339" t="str">
        <x:v>one or more required values are missing/invalid</x:v>
      </x:c>
      <x:c r="H1590" s="339" t="str">
        <x:v>the user submits the form</x:v>
      </x:c>
      <x:c r="I1590" s="339" t="str">
        <x:v>submission is blocked and field-level messages identify what must be corrected</x:v>
      </x:c>
      <x:c r="J1590" s="339" t="str">
        <x:v>Positive</x:v>
      </x:c>
      <x:c r="K1590" s="339" t="str">
        <x:v>Functional</x:v>
      </x:c>
    </x:row>
    <x:row r="1591">
      <x:c r="A1591" s="339" t="str">
        <x:v>AC-01590</x:v>
      </x:c>
      <x:c r="B1591" s="339" t="str">
        <x:v>US-0398</x:v>
      </x:c>
      <x:c r="C1591" s="339" t="str">
        <x:v>SCR-199</x:v>
      </x:c>
      <x:c r="D1591" s="339" t="str">
        <x:v>Library</x:v>
      </x:c>
      <x:c r="E1591" s="339" t="str">
        <x:v>Add / Edit Book</x:v>
      </x:c>
      <x:c r="F1591" s="339" t="str">
        <x:v>Duplicate prevention</x:v>
      </x:c>
      <x:c r="G1591" s="339" t="str">
        <x:v>a potentially duplicate record exists</x:v>
      </x:c>
      <x:c r="H1591" s="339" t="str">
        <x:v>the user submits matching identity/master data</x:v>
      </x:c>
      <x:c r="I1591" s="339" t="str">
        <x:v>the system blocks or warns according to configured duplicate policy before creating another record</x:v>
      </x:c>
      <x:c r="J1591" s="339" t="str">
        <x:v>Negative</x:v>
      </x:c>
      <x:c r="K1591" s="339" t="str">
        <x:v>Functional</x:v>
      </x:c>
    </x:row>
    <x:row r="1592">
      <x:c r="A1592" s="339" t="str">
        <x:v>AC-01591</x:v>
      </x:c>
      <x:c r="B1592" s="339" t="str">
        <x:v>US-0398</x:v>
      </x:c>
      <x:c r="C1592" s="339" t="str">
        <x:v>SCR-199</x:v>
      </x:c>
      <x:c r="D1592" s="339" t="str">
        <x:v>Library</x:v>
      </x:c>
      <x:c r="E1592" s="339" t="str">
        <x:v>Add / Edit Book</x:v>
      </x:c>
      <x:c r="F1592" s="339" t="str">
        <x:v>Reference-data integrity</x:v>
      </x:c>
      <x:c r="G1592" s="339" t="str">
        <x:v>the form contains master-data selections</x:v>
      </x:c>
      <x:c r="H1592" s="339" t="str">
        <x:v>the user submits</x:v>
      </x:c>
      <x:c r="I1592" s="339" t="str">
        <x:v>all referenced values are active, effective and within the user's scope at the time of save</x:v>
      </x:c>
      <x:c r="J1592" s="339" t="str">
        <x:v>Positive</x:v>
      </x:c>
      <x:c r="K1592" s="339" t="str">
        <x:v>Functional</x:v>
      </x:c>
    </x:row>
    <x:row r="1593">
      <x:c r="A1593" s="339" t="str">
        <x:v>AC-01592</x:v>
      </x:c>
      <x:c r="B1593" s="339" t="str">
        <x:v>US-0398</x:v>
      </x:c>
      <x:c r="C1593" s="339" t="str">
        <x:v>SCR-199</x:v>
      </x:c>
      <x:c r="D1593" s="339" t="str">
        <x:v>Library</x:v>
      </x:c>
      <x:c r="E1593" s="339" t="str">
        <x:v>Add / Edit Book</x:v>
      </x:c>
      <x:c r="F1593" s="339" t="str">
        <x:v>Retry safety</x:v>
      </x:c>
      <x:c r="G1593" s="339" t="str">
        <x:v>a network retry or repeated click occurs</x:v>
      </x:c>
      <x:c r="H1593" s="339" t="str">
        <x:v>the same transaction is submitted again</x:v>
      </x:c>
      <x:c r="I1593" s="339" t="str">
        <x:v>the system prevents unintended duplicate transactions through idempotency or duplicate detection</x:v>
      </x:c>
      <x:c r="J1593" s="339" t="str">
        <x:v>Positive</x:v>
      </x:c>
      <x:c r="K1593" s="339" t="str">
        <x:v>Functional</x:v>
      </x:c>
    </x:row>
    <x:row r="1594">
      <x:c r="A1594" s="339" t="str">
        <x:v>AC-01593</x:v>
      </x:c>
      <x:c r="B1594" s="339" t="str">
        <x:v>US-0399</x:v>
      </x:c>
      <x:c r="C1594" s="339" t="str">
        <x:v>SCR-200</x:v>
      </x:c>
      <x:c r="D1594" s="339" t="str">
        <x:v>Library</x:v>
      </x:c>
      <x:c r="E1594" s="339" t="str">
        <x:v>Book Details &amp; Copies</x:v>
      </x:c>
      <x:c r="F1594" s="339" t="str">
        <x:v>Authorized access to Book Details &amp; Copies</x:v>
      </x:c>
      <x:c r="G1594" s="339" t="str">
        <x:v>the Librarian is authenticated and has access to Book Details &amp; Copies</x:v>
      </x:c>
      <x:c r="H1594" s="339" t="str">
        <x:v>the user opens or invokes Book Details &amp; Copies</x:v>
      </x:c>
      <x:c r="I1594" s="339" t="str">
        <x:v>the system loads only records and actions within the user's permitted tenant/school/data scope</x:v>
      </x:c>
      <x:c r="J1594" s="339" t="str">
        <x:v>Positive</x:v>
      </x:c>
      <x:c r="K1594" s="339" t="str">
        <x:v>Functional / Security</x:v>
      </x:c>
    </x:row>
    <x:row r="1595">
      <x:c r="A1595" s="339" t="str">
        <x:v>AC-01594</x:v>
      </x:c>
      <x:c r="B1595" s="339" t="str">
        <x:v>US-0399</x:v>
      </x:c>
      <x:c r="C1595" s="339" t="str">
        <x:v>SCR-200</x:v>
      </x:c>
      <x:c r="D1595" s="339" t="str">
        <x:v>Library</x:v>
      </x:c>
      <x:c r="E1595" s="339" t="str">
        <x:v>Book Details &amp; Copies</x:v>
      </x:c>
      <x:c r="F1595" s="339" t="str">
        <x:v>Successful Book Details &amp; Copies happy path</x:v>
      </x:c>
      <x:c r="G1595" s="339" t="str">
        <x:v>all mandatory prerequisites and valid data are available</x:v>
      </x:c>
      <x:c r="H1595" s="339" t="str">
        <x:v>the Librarian completes the primary action on Book Details &amp; Copies</x:v>
      </x:c>
      <x:c r="I1595" s="339" t="str">
        <x:v>the system validates the request, saves it atomically, shows a clear confirmation and reflects the updated state</x:v>
      </x:c>
      <x:c r="J1595" s="339" t="str">
        <x:v>Positive</x:v>
      </x:c>
      <x:c r="K1595" s="339" t="str">
        <x:v>Functional</x:v>
      </x:c>
    </x:row>
    <x:row r="1596">
      <x:c r="A1596" s="339" t="str">
        <x:v>AC-01595</x:v>
      </x:c>
      <x:c r="B1596" s="339" t="str">
        <x:v>US-0399</x:v>
      </x:c>
      <x:c r="C1596" s="339" t="str">
        <x:v>SCR-200</x:v>
      </x:c>
      <x:c r="D1596" s="339" t="str">
        <x:v>Library</x:v>
      </x:c>
      <x:c r="E1596" s="339" t="str">
        <x:v>Book Details &amp; Copies</x:v>
      </x:c>
      <x:c r="F1596" s="339" t="str">
        <x:v>State and dependency integrity</x:v>
      </x:c>
      <x:c r="G1596" s="339" t="str">
        <x:v>the current record is in an allowed state (Available → Reserved / Issued → Overdue → Returned / Lost / Damaged)</x:v>
      </x:c>
      <x:c r="H1596" s="339" t="str">
        <x:v>the user attempts a state-changing action</x:v>
      </x:c>
      <x:c r="I1596" s="339" t="str">
        <x:v>only a valid transition is accepted and dependent records are updated according to configured business rules</x:v>
      </x:c>
      <x:c r="J1596" s="339" t="str">
        <x:v>Positive</x:v>
      </x:c>
      <x:c r="K1596" s="339" t="str">
        <x:v>Functional</x:v>
      </x:c>
    </x:row>
    <x:row r="1597">
      <x:c r="A1597" s="339" t="str">
        <x:v>AC-01596</x:v>
      </x:c>
      <x:c r="B1597" s="339" t="str">
        <x:v>US-0399</x:v>
      </x:c>
      <x:c r="C1597" s="339" t="str">
        <x:v>SCR-200</x:v>
      </x:c>
      <x:c r="D1597" s="339" t="str">
        <x:v>Library</x:v>
      </x:c>
      <x:c r="E1597" s="339" t="str">
        <x:v>Book Details &amp; Copies</x:v>
      </x:c>
      <x:c r="F1597" s="339" t="str">
        <x:v>Auditability</x:v>
      </x:c>
      <x:c r="G1597" s="339" t="str">
        <x:v>a material create/update/approve/reverse action occurs</x:v>
      </x:c>
      <x:c r="H1597" s="339" t="str">
        <x:v>the transaction succeeds</x:v>
      </x:c>
      <x:c r="I1597" s="339" t="str">
        <x:v>the system records actor, timestamp, action, target and relevant before/after or reason context in the audit trail</x:v>
      </x:c>
      <x:c r="J1597" s="339" t="str">
        <x:v>Positive</x:v>
      </x:c>
      <x:c r="K1597" s="339" t="str">
        <x:v>Functional</x:v>
      </x:c>
    </x:row>
    <x:row r="1598">
      <x:c r="A1598" s="339" t="str">
        <x:v>AC-01597</x:v>
      </x:c>
      <x:c r="B1598" s="339" t="str">
        <x:v>US-0400</x:v>
      </x:c>
      <x:c r="C1598" s="339" t="str">
        <x:v>SCR-200</x:v>
      </x:c>
      <x:c r="D1598" s="339" t="str">
        <x:v>Library</x:v>
      </x:c>
      <x:c r="E1598" s="339" t="str">
        <x:v>Book Details &amp; Copies</x:v>
      </x:c>
      <x:c r="F1598" s="339" t="str">
        <x:v>Complete authorized view</x:v>
      </x:c>
      <x:c r="G1598" s="339" t="str">
        <x:v>the record exists and the user is authorized</x:v>
      </x:c>
      <x:c r="H1598" s="339" t="str">
        <x:v>the detail/profile opens</x:v>
      </x:c>
      <x:c r="I1598" s="339" t="str">
        <x:v>the system loads the required summary, relationships and history while masking restricted fields</x:v>
      </x:c>
      <x:c r="J1598" s="339" t="str">
        <x:v>Positive</x:v>
      </x:c>
      <x:c r="K1598" s="339" t="str">
        <x:v>Functional / Security</x:v>
      </x:c>
    </x:row>
    <x:row r="1599">
      <x:c r="A1599" s="339" t="str">
        <x:v>AC-01598</x:v>
      </x:c>
      <x:c r="B1599" s="339" t="str">
        <x:v>US-0400</x:v>
      </x:c>
      <x:c r="C1599" s="339" t="str">
        <x:v>SCR-200</x:v>
      </x:c>
      <x:c r="D1599" s="339" t="str">
        <x:v>Library</x:v>
      </x:c>
      <x:c r="E1599" s="339" t="str">
        <x:v>Book Details &amp; Copies</x:v>
      </x:c>
      <x:c r="F1599" s="339" t="str">
        <x:v>Controlled edit</x:v>
      </x:c>
      <x:c r="G1599" s="339" t="str">
        <x:v>the user has edit permission and the record is editable</x:v>
      </x:c>
      <x:c r="H1599" s="339" t="str">
        <x:v>the user saves a change</x:v>
      </x:c>
      <x:c r="I1599" s="339" t="str">
        <x:v>validation and state rules run before the update is committed</x:v>
      </x:c>
      <x:c r="J1599" s="339" t="str">
        <x:v>Positive</x:v>
      </x:c>
      <x:c r="K1599" s="339" t="str">
        <x:v>Functional</x:v>
      </x:c>
    </x:row>
    <x:row r="1600">
      <x:c r="A1600" s="339" t="str">
        <x:v>AC-01599</x:v>
      </x:c>
      <x:c r="B1600" s="339" t="str">
        <x:v>US-0400</x:v>
      </x:c>
      <x:c r="C1600" s="339" t="str">
        <x:v>SCR-200</x:v>
      </x:c>
      <x:c r="D1600" s="339" t="str">
        <x:v>Library</x:v>
      </x:c>
      <x:c r="E1600" s="339" t="str">
        <x:v>Book Details &amp; Copies</x:v>
      </x:c>
      <x:c r="F1600" s="339" t="str">
        <x:v>Concurrent edit protection</x:v>
      </x:c>
      <x:c r="G1600" s="339" t="str">
        <x:v>another user has changed the record after it was loaded</x:v>
      </x:c>
      <x:c r="H1600" s="339" t="str">
        <x:v>the first user attempts to save stale data</x:v>
      </x:c>
      <x:c r="I1600" s="339" t="str">
        <x:v>the system detects the version conflict or preserves fields safely instead of silently overwriting</x:v>
      </x:c>
      <x:c r="J1600" s="339" t="str">
        <x:v>Positive</x:v>
      </x:c>
      <x:c r="K1600" s="339" t="str">
        <x:v>Functional</x:v>
      </x:c>
    </x:row>
    <x:row r="1601">
      <x:c r="A1601" s="339" t="str">
        <x:v>AC-01600</x:v>
      </x:c>
      <x:c r="B1601" s="339" t="str">
        <x:v>US-0400</x:v>
      </x:c>
      <x:c r="C1601" s="339" t="str">
        <x:v>SCR-200</x:v>
      </x:c>
      <x:c r="D1601" s="339" t="str">
        <x:v>Library</x:v>
      </x:c>
      <x:c r="E1601" s="339" t="str">
        <x:v>Book Details &amp; Copies</x:v>
      </x:c>
      <x:c r="F1601" s="339" t="str">
        <x:v>History retention</x:v>
      </x:c>
      <x:c r="G1601" s="339" t="str">
        <x:v>the record has prior changes/statuses</x:v>
      </x:c>
      <x:c r="H1601" s="339" t="str">
        <x:v>the user views history</x:v>
      </x:c>
      <x:c r="I1601" s="339" t="str">
        <x:v>the audit/activity timeline shows traceable material changes without exposing restricted notes</x:v>
      </x:c>
      <x:c r="J1601" s="339" t="str">
        <x:v>Positive</x:v>
      </x:c>
      <x:c r="K1601" s="339" t="str">
        <x:v>Functional</x:v>
      </x:c>
    </x:row>
    <x:row r="1602">
      <x:c r="A1602" s="339" t="str">
        <x:v>AC-01601</x:v>
      </x:c>
      <x:c r="B1602" s="339" t="str">
        <x:v>US-0401</x:v>
      </x:c>
      <x:c r="C1602" s="339" t="str">
        <x:v>SCR-201</x:v>
      </x:c>
      <x:c r="D1602" s="339" t="str">
        <x:v>Library</x:v>
      </x:c>
      <x:c r="E1602" s="339" t="str">
        <x:v>Library Members</x:v>
      </x:c>
      <x:c r="F1602" s="339" t="str">
        <x:v>Authorized access to Library Members</x:v>
      </x:c>
      <x:c r="G1602" s="339" t="str">
        <x:v>the Librarian is authenticated and has access to Library Members</x:v>
      </x:c>
      <x:c r="H1602" s="339" t="str">
        <x:v>the user opens or invokes Library Members</x:v>
      </x:c>
      <x:c r="I1602" s="339" t="str">
        <x:v>the system loads only records and actions within the user's permitted tenant/school/data scope</x:v>
      </x:c>
      <x:c r="J1602" s="339" t="str">
        <x:v>Positive</x:v>
      </x:c>
      <x:c r="K1602" s="339" t="str">
        <x:v>Functional / Security</x:v>
      </x:c>
    </x:row>
    <x:row r="1603">
      <x:c r="A1603" s="339" t="str">
        <x:v>AC-01602</x:v>
      </x:c>
      <x:c r="B1603" s="339" t="str">
        <x:v>US-0401</x:v>
      </x:c>
      <x:c r="C1603" s="339" t="str">
        <x:v>SCR-201</x:v>
      </x:c>
      <x:c r="D1603" s="339" t="str">
        <x:v>Library</x:v>
      </x:c>
      <x:c r="E1603" s="339" t="str">
        <x:v>Library Members</x:v>
      </x:c>
      <x:c r="F1603" s="339" t="str">
        <x:v>Successful Library Members happy path</x:v>
      </x:c>
      <x:c r="G1603" s="339" t="str">
        <x:v>all mandatory prerequisites and valid data are available</x:v>
      </x:c>
      <x:c r="H1603" s="339" t="str">
        <x:v>the Librarian completes the primary action on Library Members</x:v>
      </x:c>
      <x:c r="I1603" s="339" t="str">
        <x:v>the system validates the request, saves it atomically, shows a clear confirmation and reflects the updated state</x:v>
      </x:c>
      <x:c r="J1603" s="339" t="str">
        <x:v>Positive</x:v>
      </x:c>
      <x:c r="K1603" s="339" t="str">
        <x:v>Functional</x:v>
      </x:c>
    </x:row>
    <x:row r="1604">
      <x:c r="A1604" s="339" t="str">
        <x:v>AC-01603</x:v>
      </x:c>
      <x:c r="B1604" s="339" t="str">
        <x:v>US-0401</x:v>
      </x:c>
      <x:c r="C1604" s="339" t="str">
        <x:v>SCR-201</x:v>
      </x:c>
      <x:c r="D1604" s="339" t="str">
        <x:v>Library</x:v>
      </x:c>
      <x:c r="E1604" s="339" t="str">
        <x:v>Library Members</x:v>
      </x:c>
      <x:c r="F1604" s="339" t="str">
        <x:v>State and dependency integrity</x:v>
      </x:c>
      <x:c r="G1604" s="339" t="str">
        <x:v>the current record is in an allowed state (Available → Reserved / Issued → Overdue → Returned / Lost / Damaged)</x:v>
      </x:c>
      <x:c r="H1604" s="339" t="str">
        <x:v>the user attempts a state-changing action</x:v>
      </x:c>
      <x:c r="I1604" s="339" t="str">
        <x:v>only a valid transition is accepted and dependent records are updated according to configured business rules</x:v>
      </x:c>
      <x:c r="J1604" s="339" t="str">
        <x:v>Positive</x:v>
      </x:c>
      <x:c r="K1604" s="339" t="str">
        <x:v>Functional</x:v>
      </x:c>
    </x:row>
    <x:row r="1605">
      <x:c r="A1605" s="339" t="str">
        <x:v>AC-01604</x:v>
      </x:c>
      <x:c r="B1605" s="339" t="str">
        <x:v>US-0401</x:v>
      </x:c>
      <x:c r="C1605" s="339" t="str">
        <x:v>SCR-201</x:v>
      </x:c>
      <x:c r="D1605" s="339" t="str">
        <x:v>Library</x:v>
      </x:c>
      <x:c r="E1605" s="339" t="str">
        <x:v>Library Members</x:v>
      </x:c>
      <x:c r="F1605" s="339" t="str">
        <x:v>Auditability</x:v>
      </x:c>
      <x:c r="G1605" s="339" t="str">
        <x:v>a material create/update/approve/reverse action occurs</x:v>
      </x:c>
      <x:c r="H1605" s="339" t="str">
        <x:v>the transaction succeeds</x:v>
      </x:c>
      <x:c r="I1605" s="339" t="str">
        <x:v>the system records actor, timestamp, action, target and relevant before/after or reason context in the audit trail</x:v>
      </x:c>
      <x:c r="J1605" s="339" t="str">
        <x:v>Positive</x:v>
      </x:c>
      <x:c r="K1605" s="339" t="str">
        <x:v>Functional</x:v>
      </x:c>
    </x:row>
    <x:row r="1606">
      <x:c r="A1606" s="339" t="str">
        <x:v>AC-01605</x:v>
      </x:c>
      <x:c r="B1606" s="339" t="str">
        <x:v>US-0402</x:v>
      </x:c>
      <x:c r="C1606" s="339" t="str">
        <x:v>SCR-201</x:v>
      </x:c>
      <x:c r="D1606" s="339" t="str">
        <x:v>Library</x:v>
      </x:c>
      <x:c r="E1606" s="339" t="str">
        <x:v>Library Members</x:v>
      </x:c>
      <x:c r="F1606" s="339" t="str">
        <x:v>Search and filtering</x:v>
      </x:c>
      <x:c r="G1606" s="339" t="str">
        <x:v>authorized records exist across multiple values</x:v>
      </x:c>
      <x:c r="H1606" s="339" t="str">
        <x:v>the user applies search, filters, sorting or pagination</x:v>
      </x:c>
      <x:c r="I1606" s="339" t="str">
        <x:v>the results match all selected criteria and remain within the user's data scope</x:v>
      </x:c>
      <x:c r="J1606" s="339" t="str">
        <x:v>Positive</x:v>
      </x:c>
      <x:c r="K1606" s="339" t="str">
        <x:v>Functional</x:v>
      </x:c>
    </x:row>
    <x:row r="1607">
      <x:c r="A1607" s="339" t="str">
        <x:v>AC-01606</x:v>
      </x:c>
      <x:c r="B1607" s="339" t="str">
        <x:v>US-0402</x:v>
      </x:c>
      <x:c r="C1607" s="339" t="str">
        <x:v>SCR-201</x:v>
      </x:c>
      <x:c r="D1607" s="339" t="str">
        <x:v>Library</x:v>
      </x:c>
      <x:c r="E1607" s="339" t="str">
        <x:v>Library Members</x:v>
      </x:c>
      <x:c r="F1607" s="339" t="str">
        <x:v>Controlled row actions</x:v>
      </x:c>
      <x:c r="G1607" s="339" t="str">
        <x:v>records are returned in the list</x:v>
      </x:c>
      <x:c r="H1607" s="339" t="str">
        <x:v>the user opens the action menu</x:v>
      </x:c>
      <x:c r="I1607" s="339" t="str">
        <x:v>only actions permitted for the user's role and the record's current state are offered</x:v>
      </x:c>
      <x:c r="J1607" s="339" t="str">
        <x:v>Positive</x:v>
      </x:c>
      <x:c r="K1607" s="339" t="str">
        <x:v>Functional</x:v>
      </x:c>
    </x:row>
    <x:row r="1608">
      <x:c r="A1608" s="339" t="str">
        <x:v>AC-01607</x:v>
      </x:c>
      <x:c r="B1608" s="339" t="str">
        <x:v>US-0402</x:v>
      </x:c>
      <x:c r="C1608" s="339" t="str">
        <x:v>SCR-201</x:v>
      </x:c>
      <x:c r="D1608" s="339" t="str">
        <x:v>Library</x:v>
      </x:c>
      <x:c r="E1608" s="339" t="str">
        <x:v>Library Members</x:v>
      </x:c>
      <x:c r="F1608" s="339" t="str">
        <x:v>Empty/no-result handling</x:v>
      </x:c>
      <x:c r="G1608" s="339" t="str">
        <x:v>no record matches the current criteria</x:v>
      </x:c>
      <x:c r="H1608" s="339" t="str">
        <x:v>the query completes</x:v>
      </x:c>
      <x:c r="I1608" s="339" t="str">
        <x:v>the system shows a clear empty state without treating it as an application error</x:v>
      </x:c>
      <x:c r="J1608" s="339" t="str">
        <x:v>Positive</x:v>
      </x:c>
      <x:c r="K1608" s="339" t="str">
        <x:v>Functional</x:v>
      </x:c>
    </x:row>
    <x:row r="1609">
      <x:c r="A1609" s="339" t="str">
        <x:v>AC-01608</x:v>
      </x:c>
      <x:c r="B1609" s="339" t="str">
        <x:v>US-0402</x:v>
      </x:c>
      <x:c r="C1609" s="339" t="str">
        <x:v>SCR-201</x:v>
      </x:c>
      <x:c r="D1609" s="339" t="str">
        <x:v>Library</x:v>
      </x:c>
      <x:c r="E1609" s="339" t="str">
        <x:v>Library Members</x:v>
      </x:c>
      <x:c r="F1609" s="339" t="str">
        <x:v>Export scope</x:v>
      </x:c>
      <x:c r="G1609" s="339" t="str">
        <x:v>the user has export permission</x:v>
      </x:c>
      <x:c r="H1609" s="339" t="str">
        <x:v>the user exports the filtered list</x:v>
      </x:c>
      <x:c r="I1609" s="339" t="str">
        <x:v>the export contains the same authorized filter scope and excludes restricted fields</x:v>
      </x:c>
      <x:c r="J1609" s="339" t="str">
        <x:v>Positive</x:v>
      </x:c>
      <x:c r="K1609" s="339" t="str">
        <x:v>Functional</x:v>
      </x:c>
    </x:row>
    <x:row r="1610">
      <x:c r="A1610" s="339" t="str">
        <x:v>AC-01609</x:v>
      </x:c>
      <x:c r="B1610" s="339" t="str">
        <x:v>US-0403</x:v>
      </x:c>
      <x:c r="C1610" s="339" t="str">
        <x:v>SCR-202</x:v>
      </x:c>
      <x:c r="D1610" s="339" t="str">
        <x:v>Library</x:v>
      </x:c>
      <x:c r="E1610" s="339" t="str">
        <x:v>Issue Book</x:v>
      </x:c>
      <x:c r="F1610" s="339" t="str">
        <x:v>Authorized access to Issue Book</x:v>
      </x:c>
      <x:c r="G1610" s="339" t="str">
        <x:v>the Librarian is authenticated and has access to Issue Book</x:v>
      </x:c>
      <x:c r="H1610" s="339" t="str">
        <x:v>the user opens or invokes Issue Book</x:v>
      </x:c>
      <x:c r="I1610" s="339" t="str">
        <x:v>the system loads only records and actions within the user's permitted tenant/school/data scope</x:v>
      </x:c>
      <x:c r="J1610" s="339" t="str">
        <x:v>Positive</x:v>
      </x:c>
      <x:c r="K1610" s="339" t="str">
        <x:v>Functional / Security</x:v>
      </x:c>
    </x:row>
    <x:row r="1611">
      <x:c r="A1611" s="339" t="str">
        <x:v>AC-01610</x:v>
      </x:c>
      <x:c r="B1611" s="339" t="str">
        <x:v>US-0403</x:v>
      </x:c>
      <x:c r="C1611" s="339" t="str">
        <x:v>SCR-202</x:v>
      </x:c>
      <x:c r="D1611" s="339" t="str">
        <x:v>Library</x:v>
      </x:c>
      <x:c r="E1611" s="339" t="str">
        <x:v>Issue Book</x:v>
      </x:c>
      <x:c r="F1611" s="339" t="str">
        <x:v>Successful Issue Book happy path</x:v>
      </x:c>
      <x:c r="G1611" s="339" t="str">
        <x:v>all mandatory prerequisites and valid data are available</x:v>
      </x:c>
      <x:c r="H1611" s="339" t="str">
        <x:v>the Librarian completes the primary action on Issue Book</x:v>
      </x:c>
      <x:c r="I1611" s="339" t="str">
        <x:v>the system validates the request, saves it atomically, shows a clear confirmation and reflects the updated state</x:v>
      </x:c>
      <x:c r="J1611" s="339" t="str">
        <x:v>Positive</x:v>
      </x:c>
      <x:c r="K1611" s="339" t="str">
        <x:v>Functional</x:v>
      </x:c>
    </x:row>
    <x:row r="1612">
      <x:c r="A1612" s="339" t="str">
        <x:v>AC-01611</x:v>
      </x:c>
      <x:c r="B1612" s="339" t="str">
        <x:v>US-0403</x:v>
      </x:c>
      <x:c r="C1612" s="339" t="str">
        <x:v>SCR-202</x:v>
      </x:c>
      <x:c r="D1612" s="339" t="str">
        <x:v>Library</x:v>
      </x:c>
      <x:c r="E1612" s="339" t="str">
        <x:v>Issue Book</x:v>
      </x:c>
      <x:c r="F1612" s="339" t="str">
        <x:v>State and dependency integrity</x:v>
      </x:c>
      <x:c r="G1612" s="339" t="str">
        <x:v>the current record is in an allowed state (Available → Reserved / Issued → Overdue → Returned / Lost / Damaged)</x:v>
      </x:c>
      <x:c r="H1612" s="339" t="str">
        <x:v>the user attempts a state-changing action</x:v>
      </x:c>
      <x:c r="I1612" s="339" t="str">
        <x:v>only a valid transition is accepted and dependent records are updated according to configured business rules</x:v>
      </x:c>
      <x:c r="J1612" s="339" t="str">
        <x:v>Positive</x:v>
      </x:c>
      <x:c r="K1612" s="339" t="str">
        <x:v>Functional</x:v>
      </x:c>
    </x:row>
    <x:row r="1613">
      <x:c r="A1613" s="339" t="str">
        <x:v>AC-01612</x:v>
      </x:c>
      <x:c r="B1613" s="339" t="str">
        <x:v>US-0403</x:v>
      </x:c>
      <x:c r="C1613" s="339" t="str">
        <x:v>SCR-202</x:v>
      </x:c>
      <x:c r="D1613" s="339" t="str">
        <x:v>Library</x:v>
      </x:c>
      <x:c r="E1613" s="339" t="str">
        <x:v>Issue Book</x:v>
      </x:c>
      <x:c r="F1613" s="339" t="str">
        <x:v>Auditability</x:v>
      </x:c>
      <x:c r="G1613" s="339" t="str">
        <x:v>a material create/update/approve/reverse action occurs</x:v>
      </x:c>
      <x:c r="H1613" s="339" t="str">
        <x:v>the transaction succeeds</x:v>
      </x:c>
      <x:c r="I1613" s="339" t="str">
        <x:v>the system records actor, timestamp, action, target and relevant before/after or reason context in the audit trail</x:v>
      </x:c>
      <x:c r="J1613" s="339" t="str">
        <x:v>Positive</x:v>
      </x:c>
      <x:c r="K1613" s="339" t="str">
        <x:v>Functional</x:v>
      </x:c>
    </x:row>
    <x:row r="1614">
      <x:c r="A1614" s="339" t="str">
        <x:v>AC-01613</x:v>
      </x:c>
      <x:c r="B1614" s="339" t="str">
        <x:v>US-0404</x:v>
      </x:c>
      <x:c r="C1614" s="339" t="str">
        <x:v>SCR-202</x:v>
      </x:c>
      <x:c r="D1614" s="339" t="str">
        <x:v>Library</x:v>
      </x:c>
      <x:c r="E1614" s="339" t="str">
        <x:v>Issue Book</x:v>
      </x:c>
      <x:c r="F1614" s="339" t="str">
        <x:v>Valid status transition</x:v>
      </x:c>
      <x:c r="G1614" s="339" t="str">
        <x:v>the record is in a state described by Available → Reserved / Issued → Overdue → Returned / Lost / Damaged</x:v>
      </x:c>
      <x:c r="H1614" s="339" t="str">
        <x:v>the user requests a transition</x:v>
      </x:c>
      <x:c r="I1614" s="339" t="str">
        <x:v>the system accepts only transitions allowed for that role and state</x:v>
      </x:c>
      <x:c r="J1614" s="339" t="str">
        <x:v>Positive</x:v>
      </x:c>
      <x:c r="K1614" s="339" t="str">
        <x:v>Functional</x:v>
      </x:c>
    </x:row>
    <x:row r="1615">
      <x:c r="A1615" s="339" t="str">
        <x:v>AC-01614</x:v>
      </x:c>
      <x:c r="B1615" s="339" t="str">
        <x:v>US-0404</x:v>
      </x:c>
      <x:c r="C1615" s="339" t="str">
        <x:v>SCR-202</x:v>
      </x:c>
      <x:c r="D1615" s="339" t="str">
        <x:v>Library</x:v>
      </x:c>
      <x:c r="E1615" s="339" t="str">
        <x:v>Issue Book</x:v>
      </x:c>
      <x:c r="F1615" s="339" t="str">
        <x:v>Approval authority</x:v>
      </x:c>
      <x:c r="G1615" s="339" t="str">
        <x:v>an action requires approval</x:v>
      </x:c>
      <x:c r="H1615" s="339" t="str">
        <x:v>a non-authorized user attempts approval/rejection</x:v>
      </x:c>
      <x:c r="I1615" s="339" t="str">
        <x:v>the system denies the decision and does not change status</x:v>
      </x:c>
      <x:c r="J1615" s="339" t="str">
        <x:v>Negative</x:v>
      </x:c>
      <x:c r="K1615" s="339" t="str">
        <x:v>Functional</x:v>
      </x:c>
    </x:row>
    <x:row r="1616">
      <x:c r="A1616" s="339" t="str">
        <x:v>AC-01615</x:v>
      </x:c>
      <x:c r="B1616" s="339" t="str">
        <x:v>US-0404</x:v>
      </x:c>
      <x:c r="C1616" s="339" t="str">
        <x:v>SCR-202</x:v>
      </x:c>
      <x:c r="D1616" s="339" t="str">
        <x:v>Library</x:v>
      </x:c>
      <x:c r="E1616" s="339" t="str">
        <x:v>Issue Book</x:v>
      </x:c>
      <x:c r="F1616" s="339" t="str">
        <x:v>Failure rollback</x:v>
      </x:c>
      <x:c r="G1616" s="339" t="str">
        <x:v>a downstream dependency fails during a multi-step transaction</x:v>
      </x:c>
      <x:c r="H1616" s="339" t="str">
        <x:v>the workflow executes</x:v>
      </x:c>
      <x:c r="I1616" s="339" t="str">
        <x:v>the system does not leave an invalid partial final state and surfaces a recoverable error</x:v>
      </x:c>
      <x:c r="J1616" s="339" t="str">
        <x:v>Positive</x:v>
      </x:c>
      <x:c r="K1616" s="339" t="str">
        <x:v>Functional</x:v>
      </x:c>
    </x:row>
    <x:row r="1617">
      <x:c r="A1617" s="339" t="str">
        <x:v>AC-01616</x:v>
      </x:c>
      <x:c r="B1617" s="339" t="str">
        <x:v>US-0404</x:v>
      </x:c>
      <x:c r="C1617" s="339" t="str">
        <x:v>SCR-202</x:v>
      </x:c>
      <x:c r="D1617" s="339" t="str">
        <x:v>Library</x:v>
      </x:c>
      <x:c r="E1617" s="339" t="str">
        <x:v>Issue Book</x:v>
      </x:c>
      <x:c r="F1617" s="339" t="str">
        <x:v>Exception traceability</x:v>
      </x:c>
      <x:c r="G1617" s="339" t="str">
        <x:v>an authorized override/exception is used</x:v>
      </x:c>
      <x:c r="H1617" s="339" t="str">
        <x:v>the action is confirmed</x:v>
      </x:c>
      <x:c r="I1617" s="339" t="str">
        <x:v>the system requires reason/context and records it in the audit history</x:v>
      </x:c>
      <x:c r="J1617" s="339" t="str">
        <x:v>Positive</x:v>
      </x:c>
      <x:c r="K1617" s="339" t="str">
        <x:v>Functional</x:v>
      </x:c>
    </x:row>
    <x:row r="1618">
      <x:c r="A1618" s="339" t="str">
        <x:v>AC-01617</x:v>
      </x:c>
      <x:c r="B1618" s="339" t="str">
        <x:v>US-0405</x:v>
      </x:c>
      <x:c r="C1618" s="339" t="str">
        <x:v>SCR-203</x:v>
      </x:c>
      <x:c r="D1618" s="339" t="str">
        <x:v>Library</x:v>
      </x:c>
      <x:c r="E1618" s="339" t="str">
        <x:v>Return Book</x:v>
      </x:c>
      <x:c r="F1618" s="339" t="str">
        <x:v>Authorized access to Return Book</x:v>
      </x:c>
      <x:c r="G1618" s="339" t="str">
        <x:v>the Librarian is authenticated and has access to Return Book</x:v>
      </x:c>
      <x:c r="H1618" s="339" t="str">
        <x:v>the user opens or invokes Return Book</x:v>
      </x:c>
      <x:c r="I1618" s="339" t="str">
        <x:v>the system loads only records and actions within the user's permitted tenant/school/data scope</x:v>
      </x:c>
      <x:c r="J1618" s="339" t="str">
        <x:v>Positive</x:v>
      </x:c>
      <x:c r="K1618" s="339" t="str">
        <x:v>Functional / Security</x:v>
      </x:c>
    </x:row>
    <x:row r="1619">
      <x:c r="A1619" s="339" t="str">
        <x:v>AC-01618</x:v>
      </x:c>
      <x:c r="B1619" s="339" t="str">
        <x:v>US-0405</x:v>
      </x:c>
      <x:c r="C1619" s="339" t="str">
        <x:v>SCR-203</x:v>
      </x:c>
      <x:c r="D1619" s="339" t="str">
        <x:v>Library</x:v>
      </x:c>
      <x:c r="E1619" s="339" t="str">
        <x:v>Return Book</x:v>
      </x:c>
      <x:c r="F1619" s="339" t="str">
        <x:v>Successful Return Book happy path</x:v>
      </x:c>
      <x:c r="G1619" s="339" t="str">
        <x:v>all mandatory prerequisites and valid data are available</x:v>
      </x:c>
      <x:c r="H1619" s="339" t="str">
        <x:v>the Librarian completes the primary action on Return Book</x:v>
      </x:c>
      <x:c r="I1619" s="339" t="str">
        <x:v>the system validates the request, saves it atomically, shows a clear confirmation and reflects the updated state</x:v>
      </x:c>
      <x:c r="J1619" s="339" t="str">
        <x:v>Positive</x:v>
      </x:c>
      <x:c r="K1619" s="339" t="str">
        <x:v>Functional</x:v>
      </x:c>
    </x:row>
    <x:row r="1620">
      <x:c r="A1620" s="339" t="str">
        <x:v>AC-01619</x:v>
      </x:c>
      <x:c r="B1620" s="339" t="str">
        <x:v>US-0405</x:v>
      </x:c>
      <x:c r="C1620" s="339" t="str">
        <x:v>SCR-203</x:v>
      </x:c>
      <x:c r="D1620" s="339" t="str">
        <x:v>Library</x:v>
      </x:c>
      <x:c r="E1620" s="339" t="str">
        <x:v>Return Book</x:v>
      </x:c>
      <x:c r="F1620" s="339" t="str">
        <x:v>State and dependency integrity</x:v>
      </x:c>
      <x:c r="G1620" s="339" t="str">
        <x:v>the current record is in an allowed state (Available → Reserved / Issued → Overdue → Returned / Lost / Damaged)</x:v>
      </x:c>
      <x:c r="H1620" s="339" t="str">
        <x:v>the user attempts a state-changing action</x:v>
      </x:c>
      <x:c r="I1620" s="339" t="str">
        <x:v>only a valid transition is accepted and dependent records are updated according to configured business rules</x:v>
      </x:c>
      <x:c r="J1620" s="339" t="str">
        <x:v>Positive</x:v>
      </x:c>
      <x:c r="K1620" s="339" t="str">
        <x:v>Functional</x:v>
      </x:c>
    </x:row>
    <x:row r="1621">
      <x:c r="A1621" s="339" t="str">
        <x:v>AC-01620</x:v>
      </x:c>
      <x:c r="B1621" s="339" t="str">
        <x:v>US-0405</x:v>
      </x:c>
      <x:c r="C1621" s="339" t="str">
        <x:v>SCR-203</x:v>
      </x:c>
      <x:c r="D1621" s="339" t="str">
        <x:v>Library</x:v>
      </x:c>
      <x:c r="E1621" s="339" t="str">
        <x:v>Return Book</x:v>
      </x:c>
      <x:c r="F1621" s="339" t="str">
        <x:v>Auditability</x:v>
      </x:c>
      <x:c r="G1621" s="339" t="str">
        <x:v>a material create/update/approve/reverse action occurs</x:v>
      </x:c>
      <x:c r="H1621" s="339" t="str">
        <x:v>the transaction succeeds</x:v>
      </x:c>
      <x:c r="I1621" s="339" t="str">
        <x:v>the system records actor, timestamp, action, target and relevant before/after or reason context in the audit trail</x:v>
      </x:c>
      <x:c r="J1621" s="339" t="str">
        <x:v>Positive</x:v>
      </x:c>
      <x:c r="K1621" s="339" t="str">
        <x:v>Functional</x:v>
      </x:c>
    </x:row>
    <x:row r="1622">
      <x:c r="A1622" s="339" t="str">
        <x:v>AC-01621</x:v>
      </x:c>
      <x:c r="B1622" s="339" t="str">
        <x:v>US-0406</x:v>
      </x:c>
      <x:c r="C1622" s="339" t="str">
        <x:v>SCR-203</x:v>
      </x:c>
      <x:c r="D1622" s="339" t="str">
        <x:v>Library</x:v>
      </x:c>
      <x:c r="E1622" s="339" t="str">
        <x:v>Return Book</x:v>
      </x:c>
      <x:c r="F1622" s="339" t="str">
        <x:v>Valid status transition</x:v>
      </x:c>
      <x:c r="G1622" s="339" t="str">
        <x:v>the record is in a state described by Available → Reserved / Issued → Overdue → Returned / Lost / Damaged</x:v>
      </x:c>
      <x:c r="H1622" s="339" t="str">
        <x:v>the user requests a transition</x:v>
      </x:c>
      <x:c r="I1622" s="339" t="str">
        <x:v>the system accepts only transitions allowed for that role and state</x:v>
      </x:c>
      <x:c r="J1622" s="339" t="str">
        <x:v>Positive</x:v>
      </x:c>
      <x:c r="K1622" s="339" t="str">
        <x:v>Functional</x:v>
      </x:c>
    </x:row>
    <x:row r="1623">
      <x:c r="A1623" s="339" t="str">
        <x:v>AC-01622</x:v>
      </x:c>
      <x:c r="B1623" s="339" t="str">
        <x:v>US-0406</x:v>
      </x:c>
      <x:c r="C1623" s="339" t="str">
        <x:v>SCR-203</x:v>
      </x:c>
      <x:c r="D1623" s="339" t="str">
        <x:v>Library</x:v>
      </x:c>
      <x:c r="E1623" s="339" t="str">
        <x:v>Return Book</x:v>
      </x:c>
      <x:c r="F1623" s="339" t="str">
        <x:v>Approval authority</x:v>
      </x:c>
      <x:c r="G1623" s="339" t="str">
        <x:v>an action requires approval</x:v>
      </x:c>
      <x:c r="H1623" s="339" t="str">
        <x:v>a non-authorized user attempts approval/rejection</x:v>
      </x:c>
      <x:c r="I1623" s="339" t="str">
        <x:v>the system denies the decision and does not change status</x:v>
      </x:c>
      <x:c r="J1623" s="339" t="str">
        <x:v>Negative</x:v>
      </x:c>
      <x:c r="K1623" s="339" t="str">
        <x:v>Functional</x:v>
      </x:c>
    </x:row>
    <x:row r="1624">
      <x:c r="A1624" s="339" t="str">
        <x:v>AC-01623</x:v>
      </x:c>
      <x:c r="B1624" s="339" t="str">
        <x:v>US-0406</x:v>
      </x:c>
      <x:c r="C1624" s="339" t="str">
        <x:v>SCR-203</x:v>
      </x:c>
      <x:c r="D1624" s="339" t="str">
        <x:v>Library</x:v>
      </x:c>
      <x:c r="E1624" s="339" t="str">
        <x:v>Return Book</x:v>
      </x:c>
      <x:c r="F1624" s="339" t="str">
        <x:v>Failure rollback</x:v>
      </x:c>
      <x:c r="G1624" s="339" t="str">
        <x:v>a downstream dependency fails during a multi-step transaction</x:v>
      </x:c>
      <x:c r="H1624" s="339" t="str">
        <x:v>the workflow executes</x:v>
      </x:c>
      <x:c r="I1624" s="339" t="str">
        <x:v>the system does not leave an invalid partial final state and surfaces a recoverable error</x:v>
      </x:c>
      <x:c r="J1624" s="339" t="str">
        <x:v>Positive</x:v>
      </x:c>
      <x:c r="K1624" s="339" t="str">
        <x:v>Functional</x:v>
      </x:c>
    </x:row>
    <x:row r="1625">
      <x:c r="A1625" s="339" t="str">
        <x:v>AC-01624</x:v>
      </x:c>
      <x:c r="B1625" s="339" t="str">
        <x:v>US-0406</x:v>
      </x:c>
      <x:c r="C1625" s="339" t="str">
        <x:v>SCR-203</x:v>
      </x:c>
      <x:c r="D1625" s="339" t="str">
        <x:v>Library</x:v>
      </x:c>
      <x:c r="E1625" s="339" t="str">
        <x:v>Return Book</x:v>
      </x:c>
      <x:c r="F1625" s="339" t="str">
        <x:v>Exception traceability</x:v>
      </x:c>
      <x:c r="G1625" s="339" t="str">
        <x:v>an authorized override/exception is used</x:v>
      </x:c>
      <x:c r="H1625" s="339" t="str">
        <x:v>the action is confirmed</x:v>
      </x:c>
      <x:c r="I1625" s="339" t="str">
        <x:v>the system requires reason/context and records it in the audit history</x:v>
      </x:c>
      <x:c r="J1625" s="339" t="str">
        <x:v>Positive</x:v>
      </x:c>
      <x:c r="K1625" s="339" t="str">
        <x:v>Functional</x:v>
      </x:c>
    </x:row>
    <x:row r="1626">
      <x:c r="A1626" s="339" t="str">
        <x:v>AC-01625</x:v>
      </x:c>
      <x:c r="B1626" s="339" t="str">
        <x:v>US-0407</x:v>
      </x:c>
      <x:c r="C1626" s="339" t="str">
        <x:v>SCR-204</x:v>
      </x:c>
      <x:c r="D1626" s="339" t="str">
        <x:v>Library</x:v>
      </x:c>
      <x:c r="E1626" s="339" t="str">
        <x:v>Renew / Reserve Book</x:v>
      </x:c>
      <x:c r="F1626" s="339" t="str">
        <x:v>Authorized access to Renew / Reserve Book</x:v>
      </x:c>
      <x:c r="G1626" s="339" t="str">
        <x:v>the Librarian is authenticated and has access to Renew / Reserve Book</x:v>
      </x:c>
      <x:c r="H1626" s="339" t="str">
        <x:v>the user opens or invokes Renew / Reserve Book</x:v>
      </x:c>
      <x:c r="I1626" s="339" t="str">
        <x:v>the system loads only records and actions within the user's permitted tenant/school/data scope</x:v>
      </x:c>
      <x:c r="J1626" s="339" t="str">
        <x:v>Positive</x:v>
      </x:c>
      <x:c r="K1626" s="339" t="str">
        <x:v>Functional / Security</x:v>
      </x:c>
    </x:row>
    <x:row r="1627">
      <x:c r="A1627" s="339" t="str">
        <x:v>AC-01626</x:v>
      </x:c>
      <x:c r="B1627" s="339" t="str">
        <x:v>US-0407</x:v>
      </x:c>
      <x:c r="C1627" s="339" t="str">
        <x:v>SCR-204</x:v>
      </x:c>
      <x:c r="D1627" s="339" t="str">
        <x:v>Library</x:v>
      </x:c>
      <x:c r="E1627" s="339" t="str">
        <x:v>Renew / Reserve Book</x:v>
      </x:c>
      <x:c r="F1627" s="339" t="str">
        <x:v>Successful Renew / Reserve Book happy path</x:v>
      </x:c>
      <x:c r="G1627" s="339" t="str">
        <x:v>all mandatory prerequisites and valid data are available</x:v>
      </x:c>
      <x:c r="H1627" s="339" t="str">
        <x:v>the Librarian completes the primary action on Renew / Reserve Book</x:v>
      </x:c>
      <x:c r="I1627" s="339" t="str">
        <x:v>the system validates the request, saves it atomically, shows a clear confirmation and reflects the updated state</x:v>
      </x:c>
      <x:c r="J1627" s="339" t="str">
        <x:v>Positive</x:v>
      </x:c>
      <x:c r="K1627" s="339" t="str">
        <x:v>Functional</x:v>
      </x:c>
    </x:row>
    <x:row r="1628">
      <x:c r="A1628" s="339" t="str">
        <x:v>AC-01627</x:v>
      </x:c>
      <x:c r="B1628" s="339" t="str">
        <x:v>US-0407</x:v>
      </x:c>
      <x:c r="C1628" s="339" t="str">
        <x:v>SCR-204</x:v>
      </x:c>
      <x:c r="D1628" s="339" t="str">
        <x:v>Library</x:v>
      </x:c>
      <x:c r="E1628" s="339" t="str">
        <x:v>Renew / Reserve Book</x:v>
      </x:c>
      <x:c r="F1628" s="339" t="str">
        <x:v>State and dependency integrity</x:v>
      </x:c>
      <x:c r="G1628" s="339" t="str">
        <x:v>the current record is in an allowed state (Available → Reserved / Issued → Overdue → Returned / Lost / Damaged)</x:v>
      </x:c>
      <x:c r="H1628" s="339" t="str">
        <x:v>the user attempts a state-changing action</x:v>
      </x:c>
      <x:c r="I1628" s="339" t="str">
        <x:v>only a valid transition is accepted and dependent records are updated according to configured business rules</x:v>
      </x:c>
      <x:c r="J1628" s="339" t="str">
        <x:v>Positive</x:v>
      </x:c>
      <x:c r="K1628" s="339" t="str">
        <x:v>Functional</x:v>
      </x:c>
    </x:row>
    <x:row r="1629">
      <x:c r="A1629" s="339" t="str">
        <x:v>AC-01628</x:v>
      </x:c>
      <x:c r="B1629" s="339" t="str">
        <x:v>US-0407</x:v>
      </x:c>
      <x:c r="C1629" s="339" t="str">
        <x:v>SCR-204</x:v>
      </x:c>
      <x:c r="D1629" s="339" t="str">
        <x:v>Library</x:v>
      </x:c>
      <x:c r="E1629" s="339" t="str">
        <x:v>Renew / Reserve Book</x:v>
      </x:c>
      <x:c r="F1629" s="339" t="str">
        <x:v>Auditability</x:v>
      </x:c>
      <x:c r="G1629" s="339" t="str">
        <x:v>a material create/update/approve/reverse action occurs</x:v>
      </x:c>
      <x:c r="H1629" s="339" t="str">
        <x:v>the transaction succeeds</x:v>
      </x:c>
      <x:c r="I1629" s="339" t="str">
        <x:v>the system records actor, timestamp, action, target and relevant before/after or reason context in the audit trail</x:v>
      </x:c>
      <x:c r="J1629" s="339" t="str">
        <x:v>Positive</x:v>
      </x:c>
      <x:c r="K1629" s="339" t="str">
        <x:v>Functional</x:v>
      </x:c>
    </x:row>
    <x:row r="1630">
      <x:c r="A1630" s="339" t="str">
        <x:v>AC-01629</x:v>
      </x:c>
      <x:c r="B1630" s="339" t="str">
        <x:v>US-0408</x:v>
      </x:c>
      <x:c r="C1630" s="339" t="str">
        <x:v>SCR-204</x:v>
      </x:c>
      <x:c r="D1630" s="339" t="str">
        <x:v>Library</x:v>
      </x:c>
      <x:c r="E1630" s="339" t="str">
        <x:v>Renew / Reserve Book</x:v>
      </x:c>
      <x:c r="F1630" s="339" t="str">
        <x:v>Required-field validation</x:v>
      </x:c>
      <x:c r="G1630" s="339" t="str">
        <x:v>one or more required values are missing/invalid</x:v>
      </x:c>
      <x:c r="H1630" s="339" t="str">
        <x:v>the user submits the form</x:v>
      </x:c>
      <x:c r="I1630" s="339" t="str">
        <x:v>submission is blocked and field-level messages identify what must be corrected</x:v>
      </x:c>
      <x:c r="J1630" s="339" t="str">
        <x:v>Positive</x:v>
      </x:c>
      <x:c r="K1630" s="339" t="str">
        <x:v>Functional</x:v>
      </x:c>
    </x:row>
    <x:row r="1631">
      <x:c r="A1631" s="339" t="str">
        <x:v>AC-01630</x:v>
      </x:c>
      <x:c r="B1631" s="339" t="str">
        <x:v>US-0408</x:v>
      </x:c>
      <x:c r="C1631" s="339" t="str">
        <x:v>SCR-204</x:v>
      </x:c>
      <x:c r="D1631" s="339" t="str">
        <x:v>Library</x:v>
      </x:c>
      <x:c r="E1631" s="339" t="str">
        <x:v>Renew / Reserve Book</x:v>
      </x:c>
      <x:c r="F1631" s="339" t="str">
        <x:v>Duplicate prevention</x:v>
      </x:c>
      <x:c r="G1631" s="339" t="str">
        <x:v>a potentially duplicate record exists</x:v>
      </x:c>
      <x:c r="H1631" s="339" t="str">
        <x:v>the user submits matching identity/master data</x:v>
      </x:c>
      <x:c r="I1631" s="339" t="str">
        <x:v>the system blocks or warns according to configured duplicate policy before creating another record</x:v>
      </x:c>
      <x:c r="J1631" s="339" t="str">
        <x:v>Negative</x:v>
      </x:c>
      <x:c r="K1631" s="339" t="str">
        <x:v>Functional</x:v>
      </x:c>
    </x:row>
    <x:row r="1632">
      <x:c r="A1632" s="339" t="str">
        <x:v>AC-01631</x:v>
      </x:c>
      <x:c r="B1632" s="339" t="str">
        <x:v>US-0408</x:v>
      </x:c>
      <x:c r="C1632" s="339" t="str">
        <x:v>SCR-204</x:v>
      </x:c>
      <x:c r="D1632" s="339" t="str">
        <x:v>Library</x:v>
      </x:c>
      <x:c r="E1632" s="339" t="str">
        <x:v>Renew / Reserve Book</x:v>
      </x:c>
      <x:c r="F1632" s="339" t="str">
        <x:v>Reference-data integrity</x:v>
      </x:c>
      <x:c r="G1632" s="339" t="str">
        <x:v>the form contains master-data selections</x:v>
      </x:c>
      <x:c r="H1632" s="339" t="str">
        <x:v>the user submits</x:v>
      </x:c>
      <x:c r="I1632" s="339" t="str">
        <x:v>all referenced values are active, effective and within the user's scope at the time of save</x:v>
      </x:c>
      <x:c r="J1632" s="339" t="str">
        <x:v>Positive</x:v>
      </x:c>
      <x:c r="K1632" s="339" t="str">
        <x:v>Functional</x:v>
      </x:c>
    </x:row>
    <x:row r="1633">
      <x:c r="A1633" s="339" t="str">
        <x:v>AC-01632</x:v>
      </x:c>
      <x:c r="B1633" s="339" t="str">
        <x:v>US-0408</x:v>
      </x:c>
      <x:c r="C1633" s="339" t="str">
        <x:v>SCR-204</x:v>
      </x:c>
      <x:c r="D1633" s="339" t="str">
        <x:v>Library</x:v>
      </x:c>
      <x:c r="E1633" s="339" t="str">
        <x:v>Renew / Reserve Book</x:v>
      </x:c>
      <x:c r="F1633" s="339" t="str">
        <x:v>Retry safety</x:v>
      </x:c>
      <x:c r="G1633" s="339" t="str">
        <x:v>a network retry or repeated click occurs</x:v>
      </x:c>
      <x:c r="H1633" s="339" t="str">
        <x:v>the same transaction is submitted again</x:v>
      </x:c>
      <x:c r="I1633" s="339" t="str">
        <x:v>the system prevents unintended duplicate transactions through idempotency or duplicate detection</x:v>
      </x:c>
      <x:c r="J1633" s="339" t="str">
        <x:v>Positive</x:v>
      </x:c>
      <x:c r="K1633" s="339" t="str">
        <x:v>Functional</x:v>
      </x:c>
    </x:row>
    <x:row r="1634">
      <x:c r="A1634" s="339" t="str">
        <x:v>AC-01633</x:v>
      </x:c>
      <x:c r="B1634" s="339" t="str">
        <x:v>US-0409</x:v>
      </x:c>
      <x:c r="C1634" s="339" t="str">
        <x:v>SCR-205</x:v>
      </x:c>
      <x:c r="D1634" s="339" t="str">
        <x:v>Library</x:v>
      </x:c>
      <x:c r="E1634" s="339" t="str">
        <x:v>Fine / Lost / Damaged Book</x:v>
      </x:c>
      <x:c r="F1634" s="339" t="str">
        <x:v>Authorized access to Fine / Lost / Damaged Book</x:v>
      </x:c>
      <x:c r="G1634" s="339" t="str">
        <x:v>the Librarian is authenticated and has access to Fine / Lost / Damaged Book</x:v>
      </x:c>
      <x:c r="H1634" s="339" t="str">
        <x:v>the user opens or invokes Fine / Lost / Damaged Book</x:v>
      </x:c>
      <x:c r="I1634" s="339" t="str">
        <x:v>the system loads only records and actions within the user's permitted tenant/school/data scope</x:v>
      </x:c>
      <x:c r="J1634" s="339" t="str">
        <x:v>Positive</x:v>
      </x:c>
      <x:c r="K1634" s="339" t="str">
        <x:v>Functional / Security</x:v>
      </x:c>
    </x:row>
    <x:row r="1635">
      <x:c r="A1635" s="339" t="str">
        <x:v>AC-01634</x:v>
      </x:c>
      <x:c r="B1635" s="339" t="str">
        <x:v>US-0409</x:v>
      </x:c>
      <x:c r="C1635" s="339" t="str">
        <x:v>SCR-205</x:v>
      </x:c>
      <x:c r="D1635" s="339" t="str">
        <x:v>Library</x:v>
      </x:c>
      <x:c r="E1635" s="339" t="str">
        <x:v>Fine / Lost / Damaged Book</x:v>
      </x:c>
      <x:c r="F1635" s="339" t="str">
        <x:v>Successful Fine / Lost / Damaged Book happy path</x:v>
      </x:c>
      <x:c r="G1635" s="339" t="str">
        <x:v>all mandatory prerequisites and valid data are available</x:v>
      </x:c>
      <x:c r="H1635" s="339" t="str">
        <x:v>the Librarian completes the primary action on Fine / Lost / Damaged Book</x:v>
      </x:c>
      <x:c r="I1635" s="339" t="str">
        <x:v>the system validates the request, saves it atomically, shows a clear confirmation and reflects the updated state</x:v>
      </x:c>
      <x:c r="J1635" s="339" t="str">
        <x:v>Positive</x:v>
      </x:c>
      <x:c r="K1635" s="339" t="str">
        <x:v>Functional</x:v>
      </x:c>
    </x:row>
    <x:row r="1636">
      <x:c r="A1636" s="339" t="str">
        <x:v>AC-01635</x:v>
      </x:c>
      <x:c r="B1636" s="339" t="str">
        <x:v>US-0409</x:v>
      </x:c>
      <x:c r="C1636" s="339" t="str">
        <x:v>SCR-205</x:v>
      </x:c>
      <x:c r="D1636" s="339" t="str">
        <x:v>Library</x:v>
      </x:c>
      <x:c r="E1636" s="339" t="str">
        <x:v>Fine / Lost / Damaged Book</x:v>
      </x:c>
      <x:c r="F1636" s="339" t="str">
        <x:v>State and dependency integrity</x:v>
      </x:c>
      <x:c r="G1636" s="339" t="str">
        <x:v>the current record is in an allowed state (Available → Reserved / Issued → Overdue → Returned / Lost / Damaged)</x:v>
      </x:c>
      <x:c r="H1636" s="339" t="str">
        <x:v>the user attempts a state-changing action</x:v>
      </x:c>
      <x:c r="I1636" s="339" t="str">
        <x:v>only a valid transition is accepted and dependent records are updated according to configured business rules</x:v>
      </x:c>
      <x:c r="J1636" s="339" t="str">
        <x:v>Positive</x:v>
      </x:c>
      <x:c r="K1636" s="339" t="str">
        <x:v>Functional</x:v>
      </x:c>
    </x:row>
    <x:row r="1637">
      <x:c r="A1637" s="339" t="str">
        <x:v>AC-01636</x:v>
      </x:c>
      <x:c r="B1637" s="339" t="str">
        <x:v>US-0409</x:v>
      </x:c>
      <x:c r="C1637" s="339" t="str">
        <x:v>SCR-205</x:v>
      </x:c>
      <x:c r="D1637" s="339" t="str">
        <x:v>Library</x:v>
      </x:c>
      <x:c r="E1637" s="339" t="str">
        <x:v>Fine / Lost / Damaged Book</x:v>
      </x:c>
      <x:c r="F1637" s="339" t="str">
        <x:v>Auditability</x:v>
      </x:c>
      <x:c r="G1637" s="339" t="str">
        <x:v>a material create/update/approve/reverse action occurs</x:v>
      </x:c>
      <x:c r="H1637" s="339" t="str">
        <x:v>the transaction succeeds</x:v>
      </x:c>
      <x:c r="I1637" s="339" t="str">
        <x:v>the system records actor, timestamp, action, target and relevant before/after or reason context in the audit trail</x:v>
      </x:c>
      <x:c r="J1637" s="339" t="str">
        <x:v>Positive</x:v>
      </x:c>
      <x:c r="K1637" s="339" t="str">
        <x:v>Functional</x:v>
      </x:c>
    </x:row>
    <x:row r="1638">
      <x:c r="A1638" s="339" t="str">
        <x:v>AC-01637</x:v>
      </x:c>
      <x:c r="B1638" s="339" t="str">
        <x:v>US-0410</x:v>
      </x:c>
      <x:c r="C1638" s="339" t="str">
        <x:v>SCR-205</x:v>
      </x:c>
      <x:c r="D1638" s="339" t="str">
        <x:v>Library</x:v>
      </x:c>
      <x:c r="E1638" s="339" t="str">
        <x:v>Fine / Lost / Damaged Book</x:v>
      </x:c>
      <x:c r="F1638" s="339" t="str">
        <x:v>Valid status transition</x:v>
      </x:c>
      <x:c r="G1638" s="339" t="str">
        <x:v>the record is in a state described by Available → Reserved / Issued → Overdue → Returned / Lost / Damaged</x:v>
      </x:c>
      <x:c r="H1638" s="339" t="str">
        <x:v>the user requests a transition</x:v>
      </x:c>
      <x:c r="I1638" s="339" t="str">
        <x:v>the system accepts only transitions allowed for that role and state</x:v>
      </x:c>
      <x:c r="J1638" s="339" t="str">
        <x:v>Positive</x:v>
      </x:c>
      <x:c r="K1638" s="339" t="str">
        <x:v>Functional</x:v>
      </x:c>
    </x:row>
    <x:row r="1639">
      <x:c r="A1639" s="339" t="str">
        <x:v>AC-01638</x:v>
      </x:c>
      <x:c r="B1639" s="339" t="str">
        <x:v>US-0410</x:v>
      </x:c>
      <x:c r="C1639" s="339" t="str">
        <x:v>SCR-205</x:v>
      </x:c>
      <x:c r="D1639" s="339" t="str">
        <x:v>Library</x:v>
      </x:c>
      <x:c r="E1639" s="339" t="str">
        <x:v>Fine / Lost / Damaged Book</x:v>
      </x:c>
      <x:c r="F1639" s="339" t="str">
        <x:v>Approval authority</x:v>
      </x:c>
      <x:c r="G1639" s="339" t="str">
        <x:v>an action requires approval</x:v>
      </x:c>
      <x:c r="H1639" s="339" t="str">
        <x:v>a non-authorized user attempts approval/rejection</x:v>
      </x:c>
      <x:c r="I1639" s="339" t="str">
        <x:v>the system denies the decision and does not change status</x:v>
      </x:c>
      <x:c r="J1639" s="339" t="str">
        <x:v>Negative</x:v>
      </x:c>
      <x:c r="K1639" s="339" t="str">
        <x:v>Functional</x:v>
      </x:c>
    </x:row>
    <x:row r="1640">
      <x:c r="A1640" s="339" t="str">
        <x:v>AC-01639</x:v>
      </x:c>
      <x:c r="B1640" s="339" t="str">
        <x:v>US-0410</x:v>
      </x:c>
      <x:c r="C1640" s="339" t="str">
        <x:v>SCR-205</x:v>
      </x:c>
      <x:c r="D1640" s="339" t="str">
        <x:v>Library</x:v>
      </x:c>
      <x:c r="E1640" s="339" t="str">
        <x:v>Fine / Lost / Damaged Book</x:v>
      </x:c>
      <x:c r="F1640" s="339" t="str">
        <x:v>Failure rollback</x:v>
      </x:c>
      <x:c r="G1640" s="339" t="str">
        <x:v>a downstream dependency fails during a multi-step transaction</x:v>
      </x:c>
      <x:c r="H1640" s="339" t="str">
        <x:v>the workflow executes</x:v>
      </x:c>
      <x:c r="I1640" s="339" t="str">
        <x:v>the system does not leave an invalid partial final state and surfaces a recoverable error</x:v>
      </x:c>
      <x:c r="J1640" s="339" t="str">
        <x:v>Positive</x:v>
      </x:c>
      <x:c r="K1640" s="339" t="str">
        <x:v>Functional</x:v>
      </x:c>
    </x:row>
    <x:row r="1641">
      <x:c r="A1641" s="339" t="str">
        <x:v>AC-01640</x:v>
      </x:c>
      <x:c r="B1641" s="339" t="str">
        <x:v>US-0410</x:v>
      </x:c>
      <x:c r="C1641" s="339" t="str">
        <x:v>SCR-205</x:v>
      </x:c>
      <x:c r="D1641" s="339" t="str">
        <x:v>Library</x:v>
      </x:c>
      <x:c r="E1641" s="339" t="str">
        <x:v>Fine / Lost / Damaged Book</x:v>
      </x:c>
      <x:c r="F1641" s="339" t="str">
        <x:v>Exception traceability</x:v>
      </x:c>
      <x:c r="G1641" s="339" t="str">
        <x:v>an authorized override/exception is used</x:v>
      </x:c>
      <x:c r="H1641" s="339" t="str">
        <x:v>the action is confirmed</x:v>
      </x:c>
      <x:c r="I1641" s="339" t="str">
        <x:v>the system requires reason/context and records it in the audit history</x:v>
      </x:c>
      <x:c r="J1641" s="339" t="str">
        <x:v>Positive</x:v>
      </x:c>
      <x:c r="K1641" s="339" t="str">
        <x:v>Functional</x:v>
      </x:c>
    </x:row>
    <x:row r="1642">
      <x:c r="A1642" s="339" t="str">
        <x:v>AC-01641</x:v>
      </x:c>
      <x:c r="B1642" s="339" t="str">
        <x:v>US-0411</x:v>
      </x:c>
      <x:c r="C1642" s="339" t="str">
        <x:v>SCR-206</x:v>
      </x:c>
      <x:c r="D1642" s="339" t="str">
        <x:v>Library</x:v>
      </x:c>
      <x:c r="E1642" s="339" t="str">
        <x:v>Digital Library</x:v>
      </x:c>
      <x:c r="F1642" s="339" t="str">
        <x:v>Authorized access to Digital Library</x:v>
      </x:c>
      <x:c r="G1642" s="339" t="str">
        <x:v>the Librarian is authenticated and has access to Digital Library</x:v>
      </x:c>
      <x:c r="H1642" s="339" t="str">
        <x:v>the user opens or invokes Digital Library</x:v>
      </x:c>
      <x:c r="I1642" s="339" t="str">
        <x:v>the system loads only records and actions within the user's permitted tenant/school/data scope</x:v>
      </x:c>
      <x:c r="J1642" s="339" t="str">
        <x:v>Positive</x:v>
      </x:c>
      <x:c r="K1642" s="339" t="str">
        <x:v>Functional / Security</x:v>
      </x:c>
    </x:row>
    <x:row r="1643">
      <x:c r="A1643" s="339" t="str">
        <x:v>AC-01642</x:v>
      </x:c>
      <x:c r="B1643" s="339" t="str">
        <x:v>US-0411</x:v>
      </x:c>
      <x:c r="C1643" s="339" t="str">
        <x:v>SCR-206</x:v>
      </x:c>
      <x:c r="D1643" s="339" t="str">
        <x:v>Library</x:v>
      </x:c>
      <x:c r="E1643" s="339" t="str">
        <x:v>Digital Library</x:v>
      </x:c>
      <x:c r="F1643" s="339" t="str">
        <x:v>Successful Digital Library happy path</x:v>
      </x:c>
      <x:c r="G1643" s="339" t="str">
        <x:v>all mandatory prerequisites and valid data are available</x:v>
      </x:c>
      <x:c r="H1643" s="339" t="str">
        <x:v>the Librarian completes the primary action on Digital Library</x:v>
      </x:c>
      <x:c r="I1643" s="339" t="str">
        <x:v>the system validates the request, saves it atomically, shows a clear confirmation and reflects the updated state</x:v>
      </x:c>
      <x:c r="J1643" s="339" t="str">
        <x:v>Positive</x:v>
      </x:c>
      <x:c r="K1643" s="339" t="str">
        <x:v>Functional</x:v>
      </x:c>
    </x:row>
    <x:row r="1644">
      <x:c r="A1644" s="339" t="str">
        <x:v>AC-01643</x:v>
      </x:c>
      <x:c r="B1644" s="339" t="str">
        <x:v>US-0411</x:v>
      </x:c>
      <x:c r="C1644" s="339" t="str">
        <x:v>SCR-206</x:v>
      </x:c>
      <x:c r="D1644" s="339" t="str">
        <x:v>Library</x:v>
      </x:c>
      <x:c r="E1644" s="339" t="str">
        <x:v>Digital Library</x:v>
      </x:c>
      <x:c r="F1644" s="339" t="str">
        <x:v>State and dependency integrity</x:v>
      </x:c>
      <x:c r="G1644" s="339" t="str">
        <x:v>the current record is in an allowed state (Available → Reserved / Issued → Overdue → Returned / Lost / Damaged)</x:v>
      </x:c>
      <x:c r="H1644" s="339" t="str">
        <x:v>the user attempts a state-changing action</x:v>
      </x:c>
      <x:c r="I1644" s="339" t="str">
        <x:v>only a valid transition is accepted and dependent records are updated according to configured business rules</x:v>
      </x:c>
      <x:c r="J1644" s="339" t="str">
        <x:v>Positive</x:v>
      </x:c>
      <x:c r="K1644" s="339" t="str">
        <x:v>Functional</x:v>
      </x:c>
    </x:row>
    <x:row r="1645">
      <x:c r="A1645" s="339" t="str">
        <x:v>AC-01644</x:v>
      </x:c>
      <x:c r="B1645" s="339" t="str">
        <x:v>US-0411</x:v>
      </x:c>
      <x:c r="C1645" s="339" t="str">
        <x:v>SCR-206</x:v>
      </x:c>
      <x:c r="D1645" s="339" t="str">
        <x:v>Library</x:v>
      </x:c>
      <x:c r="E1645" s="339" t="str">
        <x:v>Digital Library</x:v>
      </x:c>
      <x:c r="F1645" s="339" t="str">
        <x:v>Auditability</x:v>
      </x:c>
      <x:c r="G1645" s="339" t="str">
        <x:v>a material create/update/approve/reverse action occurs</x:v>
      </x:c>
      <x:c r="H1645" s="339" t="str">
        <x:v>the transaction succeeds</x:v>
      </x:c>
      <x:c r="I1645" s="339" t="str">
        <x:v>the system records actor, timestamp, action, target and relevant before/after or reason context in the audit trail</x:v>
      </x:c>
      <x:c r="J1645" s="339" t="str">
        <x:v>Positive</x:v>
      </x:c>
      <x:c r="K1645" s="339" t="str">
        <x:v>Functional</x:v>
      </x:c>
    </x:row>
    <x:row r="1646">
      <x:c r="A1646" s="339" t="str">
        <x:v>AC-01645</x:v>
      </x:c>
      <x:c r="B1646" s="339" t="str">
        <x:v>US-0412</x:v>
      </x:c>
      <x:c r="C1646" s="339" t="str">
        <x:v>SCR-206</x:v>
      </x:c>
      <x:c r="D1646" s="339" t="str">
        <x:v>Library</x:v>
      </x:c>
      <x:c r="E1646" s="339" t="str">
        <x:v>Digital Library</x:v>
      </x:c>
      <x:c r="F1646" s="339" t="str">
        <x:v>Valid status transition</x:v>
      </x:c>
      <x:c r="G1646" s="339" t="str">
        <x:v>the record is in a state described by Available → Reserved / Issued → Overdue → Returned / Lost / Damaged</x:v>
      </x:c>
      <x:c r="H1646" s="339" t="str">
        <x:v>the user requests a transition</x:v>
      </x:c>
      <x:c r="I1646" s="339" t="str">
        <x:v>the system accepts only transitions allowed for that role and state</x:v>
      </x:c>
      <x:c r="J1646" s="339" t="str">
        <x:v>Positive</x:v>
      </x:c>
      <x:c r="K1646" s="339" t="str">
        <x:v>Functional</x:v>
      </x:c>
    </x:row>
    <x:row r="1647">
      <x:c r="A1647" s="339" t="str">
        <x:v>AC-01646</x:v>
      </x:c>
      <x:c r="B1647" s="339" t="str">
        <x:v>US-0412</x:v>
      </x:c>
      <x:c r="C1647" s="339" t="str">
        <x:v>SCR-206</x:v>
      </x:c>
      <x:c r="D1647" s="339" t="str">
        <x:v>Library</x:v>
      </x:c>
      <x:c r="E1647" s="339" t="str">
        <x:v>Digital Library</x:v>
      </x:c>
      <x:c r="F1647" s="339" t="str">
        <x:v>Approval authority</x:v>
      </x:c>
      <x:c r="G1647" s="339" t="str">
        <x:v>an action requires approval</x:v>
      </x:c>
      <x:c r="H1647" s="339" t="str">
        <x:v>a non-authorized user attempts approval/rejection</x:v>
      </x:c>
      <x:c r="I1647" s="339" t="str">
        <x:v>the system denies the decision and does not change status</x:v>
      </x:c>
      <x:c r="J1647" s="339" t="str">
        <x:v>Negative</x:v>
      </x:c>
      <x:c r="K1647" s="339" t="str">
        <x:v>Functional</x:v>
      </x:c>
    </x:row>
    <x:row r="1648">
      <x:c r="A1648" s="339" t="str">
        <x:v>AC-01647</x:v>
      </x:c>
      <x:c r="B1648" s="339" t="str">
        <x:v>US-0412</x:v>
      </x:c>
      <x:c r="C1648" s="339" t="str">
        <x:v>SCR-206</x:v>
      </x:c>
      <x:c r="D1648" s="339" t="str">
        <x:v>Library</x:v>
      </x:c>
      <x:c r="E1648" s="339" t="str">
        <x:v>Digital Library</x:v>
      </x:c>
      <x:c r="F1648" s="339" t="str">
        <x:v>Failure rollback</x:v>
      </x:c>
      <x:c r="G1648" s="339" t="str">
        <x:v>a downstream dependency fails during a multi-step transaction</x:v>
      </x:c>
      <x:c r="H1648" s="339" t="str">
        <x:v>the workflow executes</x:v>
      </x:c>
      <x:c r="I1648" s="339" t="str">
        <x:v>the system does not leave an invalid partial final state and surfaces a recoverable error</x:v>
      </x:c>
      <x:c r="J1648" s="339" t="str">
        <x:v>Positive</x:v>
      </x:c>
      <x:c r="K1648" s="339" t="str">
        <x:v>Functional</x:v>
      </x:c>
    </x:row>
    <x:row r="1649">
      <x:c r="A1649" s="339" t="str">
        <x:v>AC-01648</x:v>
      </x:c>
      <x:c r="B1649" s="339" t="str">
        <x:v>US-0412</x:v>
      </x:c>
      <x:c r="C1649" s="339" t="str">
        <x:v>SCR-206</x:v>
      </x:c>
      <x:c r="D1649" s="339" t="str">
        <x:v>Library</x:v>
      </x:c>
      <x:c r="E1649" s="339" t="str">
        <x:v>Digital Library</x:v>
      </x:c>
      <x:c r="F1649" s="339" t="str">
        <x:v>Exception traceability</x:v>
      </x:c>
      <x:c r="G1649" s="339" t="str">
        <x:v>an authorized override/exception is used</x:v>
      </x:c>
      <x:c r="H1649" s="339" t="str">
        <x:v>the action is confirmed</x:v>
      </x:c>
      <x:c r="I1649" s="339" t="str">
        <x:v>the system requires reason/context and records it in the audit history</x:v>
      </x:c>
      <x:c r="J1649" s="339" t="str">
        <x:v>Positive</x:v>
      </x:c>
      <x:c r="K1649" s="339" t="str">
        <x:v>Functional</x:v>
      </x:c>
    </x:row>
    <x:row r="1650">
      <x:c r="A1650" s="339" t="str">
        <x:v>AC-01649</x:v>
      </x:c>
      <x:c r="B1650" s="339" t="str">
        <x:v>US-0413</x:v>
      </x:c>
      <x:c r="C1650" s="339" t="str">
        <x:v>SCR-207</x:v>
      </x:c>
      <x:c r="D1650" s="339" t="str">
        <x:v>Library</x:v>
      </x:c>
      <x:c r="E1650" s="339" t="str">
        <x:v>Library Reports</x:v>
      </x:c>
      <x:c r="F1650" s="339" t="str">
        <x:v>Authorized access to Library Reports</x:v>
      </x:c>
      <x:c r="G1650" s="339" t="str">
        <x:v>the Librarian is authenticated and has access to Library Reports</x:v>
      </x:c>
      <x:c r="H1650" s="339" t="str">
        <x:v>the user opens or invokes Library Reports</x:v>
      </x:c>
      <x:c r="I1650" s="339" t="str">
        <x:v>the system loads only records and actions within the user's permitted tenant/school/data scope</x:v>
      </x:c>
      <x:c r="J1650" s="339" t="str">
        <x:v>Positive</x:v>
      </x:c>
      <x:c r="K1650" s="339" t="str">
        <x:v>Functional / Security</x:v>
      </x:c>
    </x:row>
    <x:row r="1651">
      <x:c r="A1651" s="339" t="str">
        <x:v>AC-01650</x:v>
      </x:c>
      <x:c r="B1651" s="339" t="str">
        <x:v>US-0413</x:v>
      </x:c>
      <x:c r="C1651" s="339" t="str">
        <x:v>SCR-207</x:v>
      </x:c>
      <x:c r="D1651" s="339" t="str">
        <x:v>Library</x:v>
      </x:c>
      <x:c r="E1651" s="339" t="str">
        <x:v>Library Reports</x:v>
      </x:c>
      <x:c r="F1651" s="339" t="str">
        <x:v>Successful Library Reports happy path</x:v>
      </x:c>
      <x:c r="G1651" s="339" t="str">
        <x:v>all mandatory prerequisites and valid data are available</x:v>
      </x:c>
      <x:c r="H1651" s="339" t="str">
        <x:v>the Librarian completes the primary action on Library Reports</x:v>
      </x:c>
      <x:c r="I1651" s="339" t="str">
        <x:v>the system validates the request, saves it atomically, shows a clear confirmation and reflects the updated state</x:v>
      </x:c>
      <x:c r="J1651" s="339" t="str">
        <x:v>Positive</x:v>
      </x:c>
      <x:c r="K1651" s="339" t="str">
        <x:v>Functional</x:v>
      </x:c>
    </x:row>
    <x:row r="1652">
      <x:c r="A1652" s="339" t="str">
        <x:v>AC-01651</x:v>
      </x:c>
      <x:c r="B1652" s="339" t="str">
        <x:v>US-0413</x:v>
      </x:c>
      <x:c r="C1652" s="339" t="str">
        <x:v>SCR-207</x:v>
      </x:c>
      <x:c r="D1652" s="339" t="str">
        <x:v>Library</x:v>
      </x:c>
      <x:c r="E1652" s="339" t="str">
        <x:v>Library Reports</x:v>
      </x:c>
      <x:c r="F1652" s="339" t="str">
        <x:v>State and dependency integrity</x:v>
      </x:c>
      <x:c r="G1652" s="339" t="str">
        <x:v>the current record is in an allowed state (Available → Reserved / Issued → Overdue → Returned / Lost / Damaged)</x:v>
      </x:c>
      <x:c r="H1652" s="339" t="str">
        <x:v>the user attempts a state-changing action</x:v>
      </x:c>
      <x:c r="I1652" s="339" t="str">
        <x:v>only a valid transition is accepted and dependent records are updated according to configured business rules</x:v>
      </x:c>
      <x:c r="J1652" s="339" t="str">
        <x:v>Positive</x:v>
      </x:c>
      <x:c r="K1652" s="339" t="str">
        <x:v>Functional</x:v>
      </x:c>
    </x:row>
    <x:row r="1653">
      <x:c r="A1653" s="339" t="str">
        <x:v>AC-01652</x:v>
      </x:c>
      <x:c r="B1653" s="339" t="str">
        <x:v>US-0413</x:v>
      </x:c>
      <x:c r="C1653" s="339" t="str">
        <x:v>SCR-207</x:v>
      </x:c>
      <x:c r="D1653" s="339" t="str">
        <x:v>Library</x:v>
      </x:c>
      <x:c r="E1653" s="339" t="str">
        <x:v>Library Reports</x:v>
      </x:c>
      <x:c r="F1653" s="339" t="str">
        <x:v>Auditability</x:v>
      </x:c>
      <x:c r="G1653" s="339" t="str">
        <x:v>a material create/update/approve/reverse action occurs</x:v>
      </x:c>
      <x:c r="H1653" s="339" t="str">
        <x:v>the transaction succeeds</x:v>
      </x:c>
      <x:c r="I1653" s="339" t="str">
        <x:v>the system records actor, timestamp, action, target and relevant before/after or reason context in the audit trail</x:v>
      </x:c>
      <x:c r="J1653" s="339" t="str">
        <x:v>Positive</x:v>
      </x:c>
      <x:c r="K1653" s="339" t="str">
        <x:v>Functional</x:v>
      </x:c>
    </x:row>
    <x:row r="1654">
      <x:c r="A1654" s="339" t="str">
        <x:v>AC-01653</x:v>
      </x:c>
      <x:c r="B1654" s="339" t="str">
        <x:v>US-0414</x:v>
      </x:c>
      <x:c r="C1654" s="339" t="str">
        <x:v>SCR-207</x:v>
      </x:c>
      <x:c r="D1654" s="339" t="str">
        <x:v>Library</x:v>
      </x:c>
      <x:c r="E1654" s="339" t="str">
        <x:v>Library Reports</x:v>
      </x:c>
      <x:c r="F1654" s="339" t="str">
        <x:v>Filter accuracy</x:v>
      </x:c>
      <x:c r="G1654" s="339" t="str">
        <x:v>source data exists across multiple periods/scopes</x:v>
      </x:c>
      <x:c r="H1654" s="339" t="str">
        <x:v>the user applies report filters</x:v>
      </x:c>
      <x:c r="I1654" s="339" t="str">
        <x:v>aggregates and rows include only authorized data matching the filters</x:v>
      </x:c>
      <x:c r="J1654" s="339" t="str">
        <x:v>Positive</x:v>
      </x:c>
      <x:c r="K1654" s="339" t="str">
        <x:v>Functional</x:v>
      </x:c>
    </x:row>
    <x:row r="1655">
      <x:c r="A1655" s="339" t="str">
        <x:v>AC-01654</x:v>
      </x:c>
      <x:c r="B1655" s="339" t="str">
        <x:v>US-0414</x:v>
      </x:c>
      <x:c r="C1655" s="339" t="str">
        <x:v>SCR-207</x:v>
      </x:c>
      <x:c r="D1655" s="339" t="str">
        <x:v>Library</x:v>
      </x:c>
      <x:c r="E1655" s="339" t="str">
        <x:v>Library Reports</x:v>
      </x:c>
      <x:c r="F1655" s="339" t="str">
        <x:v>Formula consistency</x:v>
      </x:c>
      <x:c r="G1655" s="339" t="str">
        <x:v>the report contains calculated metrics</x:v>
      </x:c>
      <x:c r="H1655" s="339" t="str">
        <x:v>the report is generated</x:v>
      </x:c>
      <x:c r="I1655" s="339" t="str">
        <x:v>calculations follow the approved rule: Fine = max(0, overdue days - grace days) × configured daily rate, subject to member/category cap and waivers.</x:v>
      </x:c>
      <x:c r="J1655" s="339" t="str">
        <x:v>Positive</x:v>
      </x:c>
      <x:c r="K1655" s="339" t="str">
        <x:v>Functional</x:v>
      </x:c>
    </x:row>
    <x:row r="1656">
      <x:c r="A1656" s="339" t="str">
        <x:v>AC-01655</x:v>
      </x:c>
      <x:c r="B1656" s="339" t="str">
        <x:v>US-0414</x:v>
      </x:c>
      <x:c r="C1656" s="339" t="str">
        <x:v>SCR-207</x:v>
      </x:c>
      <x:c r="D1656" s="339" t="str">
        <x:v>Library</x:v>
      </x:c>
      <x:c r="E1656" s="339" t="str">
        <x:v>Library Reports</x:v>
      </x:c>
      <x:c r="F1656" s="339" t="str">
        <x:v>Reconciliation</x:v>
      </x:c>
      <x:c r="G1656" s="339" t="str">
        <x:v>a report total is displayed</x:v>
      </x:c>
      <x:c r="H1656" s="339" t="str">
        <x:v>the user drills to supporting data</x:v>
      </x:c>
      <x:c r="I1656" s="339" t="str">
        <x:v>the supporting rows reconcile to the displayed total within defined rounding rules</x:v>
      </x:c>
      <x:c r="J1656" s="339" t="str">
        <x:v>Positive</x:v>
      </x:c>
      <x:c r="K1656" s="339" t="str">
        <x:v>Functional</x:v>
      </x:c>
    </x:row>
    <x:row r="1657">
      <x:c r="A1657" s="339" t="str">
        <x:v>AC-01656</x:v>
      </x:c>
      <x:c r="B1657" s="339" t="str">
        <x:v>US-0414</x:v>
      </x:c>
      <x:c r="C1657" s="339" t="str">
        <x:v>SCR-207</x:v>
      </x:c>
      <x:c r="D1657" s="339" t="str">
        <x:v>Library</x:v>
      </x:c>
      <x:c r="E1657" s="339" t="str">
        <x:v>Library Reports</x:v>
      </x:c>
      <x:c r="F1657" s="339" t="str">
        <x:v>Export fidelity</x:v>
      </x:c>
      <x:c r="G1657" s="339" t="str">
        <x:v>the user has export permission</x:v>
      </x:c>
      <x:c r="H1657" s="339" t="str">
        <x:v>the report is exported</x:v>
      </x:c>
      <x:c r="I1657" s="339" t="str">
        <x:v>the export preserves filter context, values and permitted columns and includes a run timestamp/context where appropriate</x:v>
      </x:c>
      <x:c r="J1657" s="339" t="str">
        <x:v>Positive</x:v>
      </x:c>
      <x:c r="K1657" s="339" t="str">
        <x:v>Functional</x:v>
      </x:c>
    </x:row>
    <x:row r="1658">
      <x:c r="A1658" s="339" t="str">
        <x:v>AC-01657</x:v>
      </x:c>
      <x:c r="B1658" s="339" t="str">
        <x:v>US-0415</x:v>
      </x:c>
      <x:c r="C1658" s="339" t="str">
        <x:v>SCR-208</x:v>
      </x:c>
      <x:c r="D1658" s="339" t="str">
        <x:v>Hostel</x:v>
      </x:c>
      <x:c r="E1658" s="339" t="str">
        <x:v>Hostels / Buildings</x:v>
      </x:c>
      <x:c r="F1658" s="339" t="str">
        <x:v>Authorized access to Hostels / Buildings</x:v>
      </x:c>
      <x:c r="G1658" s="339" t="str">
        <x:v>the Hostel Warden is authenticated and has access to Hostels / Buildings</x:v>
      </x:c>
      <x:c r="H1658" s="339" t="str">
        <x:v>the user opens or invokes Hostels / Buildings</x:v>
      </x:c>
      <x:c r="I1658" s="339" t="str">
        <x:v>the system loads only records and actions within the user's permitted tenant/school/data scope</x:v>
      </x:c>
      <x:c r="J1658" s="339" t="str">
        <x:v>Positive</x:v>
      </x:c>
      <x:c r="K1658" s="339" t="str">
        <x:v>Functional / Security</x:v>
      </x:c>
    </x:row>
    <x:row r="1659">
      <x:c r="A1659" s="339" t="str">
        <x:v>AC-01658</x:v>
      </x:c>
      <x:c r="B1659" s="339" t="str">
        <x:v>US-0415</x:v>
      </x:c>
      <x:c r="C1659" s="339" t="str">
        <x:v>SCR-208</x:v>
      </x:c>
      <x:c r="D1659" s="339" t="str">
        <x:v>Hostel</x:v>
      </x:c>
      <x:c r="E1659" s="339" t="str">
        <x:v>Hostels / Buildings</x:v>
      </x:c>
      <x:c r="F1659" s="339" t="str">
        <x:v>Successful Hostels / Buildings happy path</x:v>
      </x:c>
      <x:c r="G1659" s="339" t="str">
        <x:v>all mandatory prerequisites and valid data are available</x:v>
      </x:c>
      <x:c r="H1659" s="339" t="str">
        <x:v>the Hostel Warden completes the primary action on Hostels / Buildings</x:v>
      </x:c>
      <x:c r="I1659" s="339" t="str">
        <x:v>the system validates the request, saves it atomically, shows a clear confirmation and reflects the updated state</x:v>
      </x:c>
      <x:c r="J1659" s="339" t="str">
        <x:v>Positive</x:v>
      </x:c>
      <x:c r="K1659" s="339" t="str">
        <x:v>Functional</x:v>
      </x:c>
    </x:row>
    <x:row r="1660">
      <x:c r="A1660" s="339" t="str">
        <x:v>AC-01659</x:v>
      </x:c>
      <x:c r="B1660" s="339" t="str">
        <x:v>US-0415</x:v>
      </x:c>
      <x:c r="C1660" s="339" t="str">
        <x:v>SCR-208</x:v>
      </x:c>
      <x:c r="D1660" s="339" t="str">
        <x:v>Hostel</x:v>
      </x:c>
      <x:c r="E1660" s="339" t="str">
        <x:v>Hostels / Buildings</x:v>
      </x:c>
      <x:c r="F1660" s="339" t="str">
        <x:v>State and dependency integrity</x:v>
      </x:c>
      <x:c r="G1660" s="339" t="str">
        <x:v>the current record is in an allowed state (Available → Allocated → Occupied → Transfer / Vacated → Closed)</x:v>
      </x:c>
      <x:c r="H1660" s="339" t="str">
        <x:v>the user attempts a state-changing action</x:v>
      </x:c>
      <x:c r="I1660" s="339" t="str">
        <x:v>only a valid transition is accepted and dependent records are updated according to configured business rules</x:v>
      </x:c>
      <x:c r="J1660" s="339" t="str">
        <x:v>Positive</x:v>
      </x:c>
      <x:c r="K1660" s="339" t="str">
        <x:v>Functional</x:v>
      </x:c>
    </x:row>
    <x:row r="1661">
      <x:c r="A1661" s="339" t="str">
        <x:v>AC-01660</x:v>
      </x:c>
      <x:c r="B1661" s="339" t="str">
        <x:v>US-0415</x:v>
      </x:c>
      <x:c r="C1661" s="339" t="str">
        <x:v>SCR-208</x:v>
      </x:c>
      <x:c r="D1661" s="339" t="str">
        <x:v>Hostel</x:v>
      </x:c>
      <x:c r="E1661" s="339" t="str">
        <x:v>Hostels / Buildings</x:v>
      </x:c>
      <x:c r="F1661" s="339" t="str">
        <x:v>Auditability</x:v>
      </x:c>
      <x:c r="G1661" s="339" t="str">
        <x:v>a material create/update/approve/reverse action occurs</x:v>
      </x:c>
      <x:c r="H1661" s="339" t="str">
        <x:v>the transaction succeeds</x:v>
      </x:c>
      <x:c r="I1661" s="339" t="str">
        <x:v>the system records actor, timestamp, action, target and relevant before/after or reason context in the audit trail</x:v>
      </x:c>
      <x:c r="J1661" s="339" t="str">
        <x:v>Positive</x:v>
      </x:c>
      <x:c r="K1661" s="339" t="str">
        <x:v>Functional</x:v>
      </x:c>
    </x:row>
    <x:row r="1662">
      <x:c r="A1662" s="339" t="str">
        <x:v>AC-01661</x:v>
      </x:c>
      <x:c r="B1662" s="339" t="str">
        <x:v>US-0416</x:v>
      </x:c>
      <x:c r="C1662" s="339" t="str">
        <x:v>SCR-208</x:v>
      </x:c>
      <x:c r="D1662" s="339" t="str">
        <x:v>Hostel</x:v>
      </x:c>
      <x:c r="E1662" s="339" t="str">
        <x:v>Hostels / Buildings</x:v>
      </x:c>
      <x:c r="F1662" s="339" t="str">
        <x:v>Valid status transition</x:v>
      </x:c>
      <x:c r="G1662" s="339" t="str">
        <x:v>the record is in a state described by Available → Allocated → Occupied → Transfer / Vacated → Closed</x:v>
      </x:c>
      <x:c r="H1662" s="339" t="str">
        <x:v>the user requests a transition</x:v>
      </x:c>
      <x:c r="I1662" s="339" t="str">
        <x:v>the system accepts only transitions allowed for that role and state</x:v>
      </x:c>
      <x:c r="J1662" s="339" t="str">
        <x:v>Positive</x:v>
      </x:c>
      <x:c r="K1662" s="339" t="str">
        <x:v>Functional</x:v>
      </x:c>
    </x:row>
    <x:row r="1663">
      <x:c r="A1663" s="339" t="str">
        <x:v>AC-01662</x:v>
      </x:c>
      <x:c r="B1663" s="339" t="str">
        <x:v>US-0416</x:v>
      </x:c>
      <x:c r="C1663" s="339" t="str">
        <x:v>SCR-208</x:v>
      </x:c>
      <x:c r="D1663" s="339" t="str">
        <x:v>Hostel</x:v>
      </x:c>
      <x:c r="E1663" s="339" t="str">
        <x:v>Hostels / Buildings</x:v>
      </x:c>
      <x:c r="F1663" s="339" t="str">
        <x:v>Approval authority</x:v>
      </x:c>
      <x:c r="G1663" s="339" t="str">
        <x:v>an action requires approval</x:v>
      </x:c>
      <x:c r="H1663" s="339" t="str">
        <x:v>a non-authorized user attempts approval/rejection</x:v>
      </x:c>
      <x:c r="I1663" s="339" t="str">
        <x:v>the system denies the decision and does not change status</x:v>
      </x:c>
      <x:c r="J1663" s="339" t="str">
        <x:v>Negative</x:v>
      </x:c>
      <x:c r="K1663" s="339" t="str">
        <x:v>Functional</x:v>
      </x:c>
    </x:row>
    <x:row r="1664">
      <x:c r="A1664" s="339" t="str">
        <x:v>AC-01663</x:v>
      </x:c>
      <x:c r="B1664" s="339" t="str">
        <x:v>US-0416</x:v>
      </x:c>
      <x:c r="C1664" s="339" t="str">
        <x:v>SCR-208</x:v>
      </x:c>
      <x:c r="D1664" s="339" t="str">
        <x:v>Hostel</x:v>
      </x:c>
      <x:c r="E1664" s="339" t="str">
        <x:v>Hostels / Buildings</x:v>
      </x:c>
      <x:c r="F1664" s="339" t="str">
        <x:v>Failure rollback</x:v>
      </x:c>
      <x:c r="G1664" s="339" t="str">
        <x:v>a downstream dependency fails during a multi-step transaction</x:v>
      </x:c>
      <x:c r="H1664" s="339" t="str">
        <x:v>the workflow executes</x:v>
      </x:c>
      <x:c r="I1664" s="339" t="str">
        <x:v>the system does not leave an invalid partial final state and surfaces a recoverable error</x:v>
      </x:c>
      <x:c r="J1664" s="339" t="str">
        <x:v>Positive</x:v>
      </x:c>
      <x:c r="K1664" s="339" t="str">
        <x:v>Functional</x:v>
      </x:c>
    </x:row>
    <x:row r="1665">
      <x:c r="A1665" s="339" t="str">
        <x:v>AC-01664</x:v>
      </x:c>
      <x:c r="B1665" s="339" t="str">
        <x:v>US-0416</x:v>
      </x:c>
      <x:c r="C1665" s="339" t="str">
        <x:v>SCR-208</x:v>
      </x:c>
      <x:c r="D1665" s="339" t="str">
        <x:v>Hostel</x:v>
      </x:c>
      <x:c r="E1665" s="339" t="str">
        <x:v>Hostels / Buildings</x:v>
      </x:c>
      <x:c r="F1665" s="339" t="str">
        <x:v>Exception traceability</x:v>
      </x:c>
      <x:c r="G1665" s="339" t="str">
        <x:v>an authorized override/exception is used</x:v>
      </x:c>
      <x:c r="H1665" s="339" t="str">
        <x:v>the action is confirmed</x:v>
      </x:c>
      <x:c r="I1665" s="339" t="str">
        <x:v>the system requires reason/context and records it in the audit history</x:v>
      </x:c>
      <x:c r="J1665" s="339" t="str">
        <x:v>Positive</x:v>
      </x:c>
      <x:c r="K1665" s="339" t="str">
        <x:v>Functional</x:v>
      </x:c>
    </x:row>
    <x:row r="1666">
      <x:c r="A1666" s="339" t="str">
        <x:v>AC-01665</x:v>
      </x:c>
      <x:c r="B1666" s="339" t="str">
        <x:v>US-0417</x:v>
      </x:c>
      <x:c r="C1666" s="339" t="str">
        <x:v>SCR-209</x:v>
      </x:c>
      <x:c r="D1666" s="339" t="str">
        <x:v>Hostel</x:v>
      </x:c>
      <x:c r="E1666" s="339" t="str">
        <x:v>Rooms &amp; Beds</x:v>
      </x:c>
      <x:c r="F1666" s="339" t="str">
        <x:v>Authorized access to Rooms &amp; Beds</x:v>
      </x:c>
      <x:c r="G1666" s="339" t="str">
        <x:v>the Hostel Warden is authenticated and has access to Rooms &amp; Beds</x:v>
      </x:c>
      <x:c r="H1666" s="339" t="str">
        <x:v>the user opens or invokes Rooms &amp; Beds</x:v>
      </x:c>
      <x:c r="I1666" s="339" t="str">
        <x:v>the system loads only records and actions within the user's permitted tenant/school/data scope</x:v>
      </x:c>
      <x:c r="J1666" s="339" t="str">
        <x:v>Positive</x:v>
      </x:c>
      <x:c r="K1666" s="339" t="str">
        <x:v>Functional / Security</x:v>
      </x:c>
    </x:row>
    <x:row r="1667">
      <x:c r="A1667" s="339" t="str">
        <x:v>AC-01666</x:v>
      </x:c>
      <x:c r="B1667" s="339" t="str">
        <x:v>US-0417</x:v>
      </x:c>
      <x:c r="C1667" s="339" t="str">
        <x:v>SCR-209</x:v>
      </x:c>
      <x:c r="D1667" s="339" t="str">
        <x:v>Hostel</x:v>
      </x:c>
      <x:c r="E1667" s="339" t="str">
        <x:v>Rooms &amp; Beds</x:v>
      </x:c>
      <x:c r="F1667" s="339" t="str">
        <x:v>Successful Rooms &amp; Beds happy path</x:v>
      </x:c>
      <x:c r="G1667" s="339" t="str">
        <x:v>all mandatory prerequisites and valid data are available</x:v>
      </x:c>
      <x:c r="H1667" s="339" t="str">
        <x:v>the Hostel Warden completes the primary action on Rooms &amp; Beds</x:v>
      </x:c>
      <x:c r="I1667" s="339" t="str">
        <x:v>the system validates the request, saves it atomically, shows a clear confirmation and reflects the updated state</x:v>
      </x:c>
      <x:c r="J1667" s="339" t="str">
        <x:v>Positive</x:v>
      </x:c>
      <x:c r="K1667" s="339" t="str">
        <x:v>Functional</x:v>
      </x:c>
    </x:row>
    <x:row r="1668">
      <x:c r="A1668" s="339" t="str">
        <x:v>AC-01667</x:v>
      </x:c>
      <x:c r="B1668" s="339" t="str">
        <x:v>US-0417</x:v>
      </x:c>
      <x:c r="C1668" s="339" t="str">
        <x:v>SCR-209</x:v>
      </x:c>
      <x:c r="D1668" s="339" t="str">
        <x:v>Hostel</x:v>
      </x:c>
      <x:c r="E1668" s="339" t="str">
        <x:v>Rooms &amp; Beds</x:v>
      </x:c>
      <x:c r="F1668" s="339" t="str">
        <x:v>State and dependency integrity</x:v>
      </x:c>
      <x:c r="G1668" s="339" t="str">
        <x:v>the current record is in an allowed state (Available → Allocated → Occupied → Transfer / Vacated → Closed)</x:v>
      </x:c>
      <x:c r="H1668" s="339" t="str">
        <x:v>the user attempts a state-changing action</x:v>
      </x:c>
      <x:c r="I1668" s="339" t="str">
        <x:v>only a valid transition is accepted and dependent records are updated according to configured business rules</x:v>
      </x:c>
      <x:c r="J1668" s="339" t="str">
        <x:v>Positive</x:v>
      </x:c>
      <x:c r="K1668" s="339" t="str">
        <x:v>Functional</x:v>
      </x:c>
    </x:row>
    <x:row r="1669">
      <x:c r="A1669" s="339" t="str">
        <x:v>AC-01668</x:v>
      </x:c>
      <x:c r="B1669" s="339" t="str">
        <x:v>US-0417</x:v>
      </x:c>
      <x:c r="C1669" s="339" t="str">
        <x:v>SCR-209</x:v>
      </x:c>
      <x:c r="D1669" s="339" t="str">
        <x:v>Hostel</x:v>
      </x:c>
      <x:c r="E1669" s="339" t="str">
        <x:v>Rooms &amp; Beds</x:v>
      </x:c>
      <x:c r="F1669" s="339" t="str">
        <x:v>Auditability</x:v>
      </x:c>
      <x:c r="G1669" s="339" t="str">
        <x:v>a material create/update/approve/reverse action occurs</x:v>
      </x:c>
      <x:c r="H1669" s="339" t="str">
        <x:v>the transaction succeeds</x:v>
      </x:c>
      <x:c r="I1669" s="339" t="str">
        <x:v>the system records actor, timestamp, action, target and relevant before/after or reason context in the audit trail</x:v>
      </x:c>
      <x:c r="J1669" s="339" t="str">
        <x:v>Positive</x:v>
      </x:c>
      <x:c r="K1669" s="339" t="str">
        <x:v>Functional</x:v>
      </x:c>
    </x:row>
    <x:row r="1670">
      <x:c r="A1670" s="339" t="str">
        <x:v>AC-01669</x:v>
      </x:c>
      <x:c r="B1670" s="339" t="str">
        <x:v>US-0418</x:v>
      </x:c>
      <x:c r="C1670" s="339" t="str">
        <x:v>SCR-209</x:v>
      </x:c>
      <x:c r="D1670" s="339" t="str">
        <x:v>Hostel</x:v>
      </x:c>
      <x:c r="E1670" s="339" t="str">
        <x:v>Rooms &amp; Beds</x:v>
      </x:c>
      <x:c r="F1670" s="339" t="str">
        <x:v>Valid status transition</x:v>
      </x:c>
      <x:c r="G1670" s="339" t="str">
        <x:v>the record is in a state described by Available → Allocated → Occupied → Transfer / Vacated → Closed</x:v>
      </x:c>
      <x:c r="H1670" s="339" t="str">
        <x:v>the user requests a transition</x:v>
      </x:c>
      <x:c r="I1670" s="339" t="str">
        <x:v>the system accepts only transitions allowed for that role and state</x:v>
      </x:c>
      <x:c r="J1670" s="339" t="str">
        <x:v>Positive</x:v>
      </x:c>
      <x:c r="K1670" s="339" t="str">
        <x:v>Functional</x:v>
      </x:c>
    </x:row>
    <x:row r="1671">
      <x:c r="A1671" s="339" t="str">
        <x:v>AC-01670</x:v>
      </x:c>
      <x:c r="B1671" s="339" t="str">
        <x:v>US-0418</x:v>
      </x:c>
      <x:c r="C1671" s="339" t="str">
        <x:v>SCR-209</x:v>
      </x:c>
      <x:c r="D1671" s="339" t="str">
        <x:v>Hostel</x:v>
      </x:c>
      <x:c r="E1671" s="339" t="str">
        <x:v>Rooms &amp; Beds</x:v>
      </x:c>
      <x:c r="F1671" s="339" t="str">
        <x:v>Approval authority</x:v>
      </x:c>
      <x:c r="G1671" s="339" t="str">
        <x:v>an action requires approval</x:v>
      </x:c>
      <x:c r="H1671" s="339" t="str">
        <x:v>a non-authorized user attempts approval/rejection</x:v>
      </x:c>
      <x:c r="I1671" s="339" t="str">
        <x:v>the system denies the decision and does not change status</x:v>
      </x:c>
      <x:c r="J1671" s="339" t="str">
        <x:v>Negative</x:v>
      </x:c>
      <x:c r="K1671" s="339" t="str">
        <x:v>Functional</x:v>
      </x:c>
    </x:row>
    <x:row r="1672">
      <x:c r="A1672" s="339" t="str">
        <x:v>AC-01671</x:v>
      </x:c>
      <x:c r="B1672" s="339" t="str">
        <x:v>US-0418</x:v>
      </x:c>
      <x:c r="C1672" s="339" t="str">
        <x:v>SCR-209</x:v>
      </x:c>
      <x:c r="D1672" s="339" t="str">
        <x:v>Hostel</x:v>
      </x:c>
      <x:c r="E1672" s="339" t="str">
        <x:v>Rooms &amp; Beds</x:v>
      </x:c>
      <x:c r="F1672" s="339" t="str">
        <x:v>Failure rollback</x:v>
      </x:c>
      <x:c r="G1672" s="339" t="str">
        <x:v>a downstream dependency fails during a multi-step transaction</x:v>
      </x:c>
      <x:c r="H1672" s="339" t="str">
        <x:v>the workflow executes</x:v>
      </x:c>
      <x:c r="I1672" s="339" t="str">
        <x:v>the system does not leave an invalid partial final state and surfaces a recoverable error</x:v>
      </x:c>
      <x:c r="J1672" s="339" t="str">
        <x:v>Positive</x:v>
      </x:c>
      <x:c r="K1672" s="339" t="str">
        <x:v>Functional</x:v>
      </x:c>
    </x:row>
    <x:row r="1673">
      <x:c r="A1673" s="339" t="str">
        <x:v>AC-01672</x:v>
      </x:c>
      <x:c r="B1673" s="339" t="str">
        <x:v>US-0418</x:v>
      </x:c>
      <x:c r="C1673" s="339" t="str">
        <x:v>SCR-209</x:v>
      </x:c>
      <x:c r="D1673" s="339" t="str">
        <x:v>Hostel</x:v>
      </x:c>
      <x:c r="E1673" s="339" t="str">
        <x:v>Rooms &amp; Beds</x:v>
      </x:c>
      <x:c r="F1673" s="339" t="str">
        <x:v>Exception traceability</x:v>
      </x:c>
      <x:c r="G1673" s="339" t="str">
        <x:v>an authorized override/exception is used</x:v>
      </x:c>
      <x:c r="H1673" s="339" t="str">
        <x:v>the action is confirmed</x:v>
      </x:c>
      <x:c r="I1673" s="339" t="str">
        <x:v>the system requires reason/context and records it in the audit history</x:v>
      </x:c>
      <x:c r="J1673" s="339" t="str">
        <x:v>Positive</x:v>
      </x:c>
      <x:c r="K1673" s="339" t="str">
        <x:v>Functional</x:v>
      </x:c>
    </x:row>
    <x:row r="1674">
      <x:c r="A1674" s="339" t="str">
        <x:v>AC-01673</x:v>
      </x:c>
      <x:c r="B1674" s="339" t="str">
        <x:v>US-0419</x:v>
      </x:c>
      <x:c r="C1674" s="339" t="str">
        <x:v>SCR-210</x:v>
      </x:c>
      <x:c r="D1674" s="339" t="str">
        <x:v>Hostel</x:v>
      </x:c>
      <x:c r="E1674" s="339" t="str">
        <x:v>Student Hostel Allocation</x:v>
      </x:c>
      <x:c r="F1674" s="339" t="str">
        <x:v>Authorized access to Student Hostel Allocation</x:v>
      </x:c>
      <x:c r="G1674" s="339" t="str">
        <x:v>the Hostel Warden is authenticated and has access to Student Hostel Allocation</x:v>
      </x:c>
      <x:c r="H1674" s="339" t="str">
        <x:v>the user opens or invokes Student Hostel Allocation</x:v>
      </x:c>
      <x:c r="I1674" s="339" t="str">
        <x:v>the system loads only records and actions within the user's permitted tenant/school/data scope</x:v>
      </x:c>
      <x:c r="J1674" s="339" t="str">
        <x:v>Positive</x:v>
      </x:c>
      <x:c r="K1674" s="339" t="str">
        <x:v>Functional / Security</x:v>
      </x:c>
    </x:row>
    <x:row r="1675">
      <x:c r="A1675" s="339" t="str">
        <x:v>AC-01674</x:v>
      </x:c>
      <x:c r="B1675" s="339" t="str">
        <x:v>US-0419</x:v>
      </x:c>
      <x:c r="C1675" s="339" t="str">
        <x:v>SCR-210</x:v>
      </x:c>
      <x:c r="D1675" s="339" t="str">
        <x:v>Hostel</x:v>
      </x:c>
      <x:c r="E1675" s="339" t="str">
        <x:v>Student Hostel Allocation</x:v>
      </x:c>
      <x:c r="F1675" s="339" t="str">
        <x:v>Successful Student Hostel Allocation happy path</x:v>
      </x:c>
      <x:c r="G1675" s="339" t="str">
        <x:v>all mandatory prerequisites and valid data are available</x:v>
      </x:c>
      <x:c r="H1675" s="339" t="str">
        <x:v>the Hostel Warden completes the primary action on Student Hostel Allocation</x:v>
      </x:c>
      <x:c r="I1675" s="339" t="str">
        <x:v>the system validates the request, saves it atomically, shows a clear confirmation and reflects the updated state</x:v>
      </x:c>
      <x:c r="J1675" s="339" t="str">
        <x:v>Positive</x:v>
      </x:c>
      <x:c r="K1675" s="339" t="str">
        <x:v>Functional</x:v>
      </x:c>
    </x:row>
    <x:row r="1676">
      <x:c r="A1676" s="339" t="str">
        <x:v>AC-01675</x:v>
      </x:c>
      <x:c r="B1676" s="339" t="str">
        <x:v>US-0419</x:v>
      </x:c>
      <x:c r="C1676" s="339" t="str">
        <x:v>SCR-210</x:v>
      </x:c>
      <x:c r="D1676" s="339" t="str">
        <x:v>Hostel</x:v>
      </x:c>
      <x:c r="E1676" s="339" t="str">
        <x:v>Student Hostel Allocation</x:v>
      </x:c>
      <x:c r="F1676" s="339" t="str">
        <x:v>State and dependency integrity</x:v>
      </x:c>
      <x:c r="G1676" s="339" t="str">
        <x:v>the current record is in an allowed state (Available → Allocated → Occupied → Transfer / Vacated → Closed)</x:v>
      </x:c>
      <x:c r="H1676" s="339" t="str">
        <x:v>the user attempts a state-changing action</x:v>
      </x:c>
      <x:c r="I1676" s="339" t="str">
        <x:v>only a valid transition is accepted and dependent records are updated according to configured business rules</x:v>
      </x:c>
      <x:c r="J1676" s="339" t="str">
        <x:v>Positive</x:v>
      </x:c>
      <x:c r="K1676" s="339" t="str">
        <x:v>Functional</x:v>
      </x:c>
    </x:row>
    <x:row r="1677">
      <x:c r="A1677" s="339" t="str">
        <x:v>AC-01676</x:v>
      </x:c>
      <x:c r="B1677" s="339" t="str">
        <x:v>US-0419</x:v>
      </x:c>
      <x:c r="C1677" s="339" t="str">
        <x:v>SCR-210</x:v>
      </x:c>
      <x:c r="D1677" s="339" t="str">
        <x:v>Hostel</x:v>
      </x:c>
      <x:c r="E1677" s="339" t="str">
        <x:v>Student Hostel Allocation</x:v>
      </x:c>
      <x:c r="F1677" s="339" t="str">
        <x:v>Auditability</x:v>
      </x:c>
      <x:c r="G1677" s="339" t="str">
        <x:v>a material create/update/approve/reverse action occurs</x:v>
      </x:c>
      <x:c r="H1677" s="339" t="str">
        <x:v>the transaction succeeds</x:v>
      </x:c>
      <x:c r="I1677" s="339" t="str">
        <x:v>the system records actor, timestamp, action, target and relevant before/after or reason context in the audit trail</x:v>
      </x:c>
      <x:c r="J1677" s="339" t="str">
        <x:v>Positive</x:v>
      </x:c>
      <x:c r="K1677" s="339" t="str">
        <x:v>Functional</x:v>
      </x:c>
    </x:row>
    <x:row r="1678">
      <x:c r="A1678" s="339" t="str">
        <x:v>AC-01677</x:v>
      </x:c>
      <x:c r="B1678" s="339" t="str">
        <x:v>US-0420</x:v>
      </x:c>
      <x:c r="C1678" s="339" t="str">
        <x:v>SCR-210</x:v>
      </x:c>
      <x:c r="D1678" s="339" t="str">
        <x:v>Hostel</x:v>
      </x:c>
      <x:c r="E1678" s="339" t="str">
        <x:v>Student Hostel Allocation</x:v>
      </x:c>
      <x:c r="F1678" s="339" t="str">
        <x:v>Valid status transition</x:v>
      </x:c>
      <x:c r="G1678" s="339" t="str">
        <x:v>the record is in a state described by Available → Allocated → Occupied → Transfer / Vacated → Closed</x:v>
      </x:c>
      <x:c r="H1678" s="339" t="str">
        <x:v>the user requests a transition</x:v>
      </x:c>
      <x:c r="I1678" s="339" t="str">
        <x:v>the system accepts only transitions allowed for that role and state</x:v>
      </x:c>
      <x:c r="J1678" s="339" t="str">
        <x:v>Positive</x:v>
      </x:c>
      <x:c r="K1678" s="339" t="str">
        <x:v>Functional</x:v>
      </x:c>
    </x:row>
    <x:row r="1679">
      <x:c r="A1679" s="339" t="str">
        <x:v>AC-01678</x:v>
      </x:c>
      <x:c r="B1679" s="339" t="str">
        <x:v>US-0420</x:v>
      </x:c>
      <x:c r="C1679" s="339" t="str">
        <x:v>SCR-210</x:v>
      </x:c>
      <x:c r="D1679" s="339" t="str">
        <x:v>Hostel</x:v>
      </x:c>
      <x:c r="E1679" s="339" t="str">
        <x:v>Student Hostel Allocation</x:v>
      </x:c>
      <x:c r="F1679" s="339" t="str">
        <x:v>Approval authority</x:v>
      </x:c>
      <x:c r="G1679" s="339" t="str">
        <x:v>an action requires approval</x:v>
      </x:c>
      <x:c r="H1679" s="339" t="str">
        <x:v>a non-authorized user attempts approval/rejection</x:v>
      </x:c>
      <x:c r="I1679" s="339" t="str">
        <x:v>the system denies the decision and does not change status</x:v>
      </x:c>
      <x:c r="J1679" s="339" t="str">
        <x:v>Negative</x:v>
      </x:c>
      <x:c r="K1679" s="339" t="str">
        <x:v>Functional</x:v>
      </x:c>
    </x:row>
    <x:row r="1680">
      <x:c r="A1680" s="339" t="str">
        <x:v>AC-01679</x:v>
      </x:c>
      <x:c r="B1680" s="339" t="str">
        <x:v>US-0420</x:v>
      </x:c>
      <x:c r="C1680" s="339" t="str">
        <x:v>SCR-210</x:v>
      </x:c>
      <x:c r="D1680" s="339" t="str">
        <x:v>Hostel</x:v>
      </x:c>
      <x:c r="E1680" s="339" t="str">
        <x:v>Student Hostel Allocation</x:v>
      </x:c>
      <x:c r="F1680" s="339" t="str">
        <x:v>Failure rollback</x:v>
      </x:c>
      <x:c r="G1680" s="339" t="str">
        <x:v>a downstream dependency fails during a multi-step transaction</x:v>
      </x:c>
      <x:c r="H1680" s="339" t="str">
        <x:v>the workflow executes</x:v>
      </x:c>
      <x:c r="I1680" s="339" t="str">
        <x:v>the system does not leave an invalid partial final state and surfaces a recoverable error</x:v>
      </x:c>
      <x:c r="J1680" s="339" t="str">
        <x:v>Positive</x:v>
      </x:c>
      <x:c r="K1680" s="339" t="str">
        <x:v>Functional</x:v>
      </x:c>
    </x:row>
    <x:row r="1681">
      <x:c r="A1681" s="339" t="str">
        <x:v>AC-01680</x:v>
      </x:c>
      <x:c r="B1681" s="339" t="str">
        <x:v>US-0420</x:v>
      </x:c>
      <x:c r="C1681" s="339" t="str">
        <x:v>SCR-210</x:v>
      </x:c>
      <x:c r="D1681" s="339" t="str">
        <x:v>Hostel</x:v>
      </x:c>
      <x:c r="E1681" s="339" t="str">
        <x:v>Student Hostel Allocation</x:v>
      </x:c>
      <x:c r="F1681" s="339" t="str">
        <x:v>Exception traceability</x:v>
      </x:c>
      <x:c r="G1681" s="339" t="str">
        <x:v>an authorized override/exception is used</x:v>
      </x:c>
      <x:c r="H1681" s="339" t="str">
        <x:v>the action is confirmed</x:v>
      </x:c>
      <x:c r="I1681" s="339" t="str">
        <x:v>the system requires reason/context and records it in the audit history</x:v>
      </x:c>
      <x:c r="J1681" s="339" t="str">
        <x:v>Positive</x:v>
      </x:c>
      <x:c r="K1681" s="339" t="str">
        <x:v>Functional</x:v>
      </x:c>
    </x:row>
    <x:row r="1682">
      <x:c r="A1682" s="339" t="str">
        <x:v>AC-01681</x:v>
      </x:c>
      <x:c r="B1682" s="339" t="str">
        <x:v>US-0421</x:v>
      </x:c>
      <x:c r="C1682" s="339" t="str">
        <x:v>SCR-211</x:v>
      </x:c>
      <x:c r="D1682" s="339" t="str">
        <x:v>Hostel</x:v>
      </x:c>
      <x:c r="E1682" s="339" t="str">
        <x:v>Warden Management</x:v>
      </x:c>
      <x:c r="F1682" s="339" t="str">
        <x:v>Authorized access to Warden Management</x:v>
      </x:c>
      <x:c r="G1682" s="339" t="str">
        <x:v>the Hostel Warden is authenticated and has access to Warden Management</x:v>
      </x:c>
      <x:c r="H1682" s="339" t="str">
        <x:v>the user opens or invokes Warden Management</x:v>
      </x:c>
      <x:c r="I1682" s="339" t="str">
        <x:v>the system loads only records and actions within the user's permitted tenant/school/data scope</x:v>
      </x:c>
      <x:c r="J1682" s="339" t="str">
        <x:v>Positive</x:v>
      </x:c>
      <x:c r="K1682" s="339" t="str">
        <x:v>Functional / Security</x:v>
      </x:c>
    </x:row>
    <x:row r="1683">
      <x:c r="A1683" s="339" t="str">
        <x:v>AC-01682</x:v>
      </x:c>
      <x:c r="B1683" s="339" t="str">
        <x:v>US-0421</x:v>
      </x:c>
      <x:c r="C1683" s="339" t="str">
        <x:v>SCR-211</x:v>
      </x:c>
      <x:c r="D1683" s="339" t="str">
        <x:v>Hostel</x:v>
      </x:c>
      <x:c r="E1683" s="339" t="str">
        <x:v>Warden Management</x:v>
      </x:c>
      <x:c r="F1683" s="339" t="str">
        <x:v>Successful Warden Management happy path</x:v>
      </x:c>
      <x:c r="G1683" s="339" t="str">
        <x:v>all mandatory prerequisites and valid data are available</x:v>
      </x:c>
      <x:c r="H1683" s="339" t="str">
        <x:v>the Hostel Warden completes the primary action on Warden Management</x:v>
      </x:c>
      <x:c r="I1683" s="339" t="str">
        <x:v>the system validates the request, saves it atomically, shows a clear confirmation and reflects the updated state</x:v>
      </x:c>
      <x:c r="J1683" s="339" t="str">
        <x:v>Positive</x:v>
      </x:c>
      <x:c r="K1683" s="339" t="str">
        <x:v>Functional</x:v>
      </x:c>
    </x:row>
    <x:row r="1684">
      <x:c r="A1684" s="339" t="str">
        <x:v>AC-01683</x:v>
      </x:c>
      <x:c r="B1684" s="339" t="str">
        <x:v>US-0421</x:v>
      </x:c>
      <x:c r="C1684" s="339" t="str">
        <x:v>SCR-211</x:v>
      </x:c>
      <x:c r="D1684" s="339" t="str">
        <x:v>Hostel</x:v>
      </x:c>
      <x:c r="E1684" s="339" t="str">
        <x:v>Warden Management</x:v>
      </x:c>
      <x:c r="F1684" s="339" t="str">
        <x:v>State and dependency integrity</x:v>
      </x:c>
      <x:c r="G1684" s="339" t="str">
        <x:v>the current record is in an allowed state (Available → Allocated → Occupied → Transfer / Vacated → Closed)</x:v>
      </x:c>
      <x:c r="H1684" s="339" t="str">
        <x:v>the user attempts a state-changing action</x:v>
      </x:c>
      <x:c r="I1684" s="339" t="str">
        <x:v>only a valid transition is accepted and dependent records are updated according to configured business rules</x:v>
      </x:c>
      <x:c r="J1684" s="339" t="str">
        <x:v>Positive</x:v>
      </x:c>
      <x:c r="K1684" s="339" t="str">
        <x:v>Functional</x:v>
      </x:c>
    </x:row>
    <x:row r="1685">
      <x:c r="A1685" s="339" t="str">
        <x:v>AC-01684</x:v>
      </x:c>
      <x:c r="B1685" s="339" t="str">
        <x:v>US-0421</x:v>
      </x:c>
      <x:c r="C1685" s="339" t="str">
        <x:v>SCR-211</x:v>
      </x:c>
      <x:c r="D1685" s="339" t="str">
        <x:v>Hostel</x:v>
      </x:c>
      <x:c r="E1685" s="339" t="str">
        <x:v>Warden Management</x:v>
      </x:c>
      <x:c r="F1685" s="339" t="str">
        <x:v>Auditability</x:v>
      </x:c>
      <x:c r="G1685" s="339" t="str">
        <x:v>a material create/update/approve/reverse action occurs</x:v>
      </x:c>
      <x:c r="H1685" s="339" t="str">
        <x:v>the transaction succeeds</x:v>
      </x:c>
      <x:c r="I1685" s="339" t="str">
        <x:v>the system records actor, timestamp, action, target and relevant before/after or reason context in the audit trail</x:v>
      </x:c>
      <x:c r="J1685" s="339" t="str">
        <x:v>Positive</x:v>
      </x:c>
      <x:c r="K1685" s="339" t="str">
        <x:v>Functional</x:v>
      </x:c>
    </x:row>
    <x:row r="1686">
      <x:c r="A1686" s="339" t="str">
        <x:v>AC-01685</x:v>
      </x:c>
      <x:c r="B1686" s="339" t="str">
        <x:v>US-0422</x:v>
      </x:c>
      <x:c r="C1686" s="339" t="str">
        <x:v>SCR-211</x:v>
      </x:c>
      <x:c r="D1686" s="339" t="str">
        <x:v>Hostel</x:v>
      </x:c>
      <x:c r="E1686" s="339" t="str">
        <x:v>Warden Management</x:v>
      </x:c>
      <x:c r="F1686" s="339" t="str">
        <x:v>Valid status transition</x:v>
      </x:c>
      <x:c r="G1686" s="339" t="str">
        <x:v>the record is in a state described by Available → Allocated → Occupied → Transfer / Vacated → Closed</x:v>
      </x:c>
      <x:c r="H1686" s="339" t="str">
        <x:v>the user requests a transition</x:v>
      </x:c>
      <x:c r="I1686" s="339" t="str">
        <x:v>the system accepts only transitions allowed for that role and state</x:v>
      </x:c>
      <x:c r="J1686" s="339" t="str">
        <x:v>Positive</x:v>
      </x:c>
      <x:c r="K1686" s="339" t="str">
        <x:v>Functional</x:v>
      </x:c>
    </x:row>
    <x:row r="1687">
      <x:c r="A1687" s="339" t="str">
        <x:v>AC-01686</x:v>
      </x:c>
      <x:c r="B1687" s="339" t="str">
        <x:v>US-0422</x:v>
      </x:c>
      <x:c r="C1687" s="339" t="str">
        <x:v>SCR-211</x:v>
      </x:c>
      <x:c r="D1687" s="339" t="str">
        <x:v>Hostel</x:v>
      </x:c>
      <x:c r="E1687" s="339" t="str">
        <x:v>Warden Management</x:v>
      </x:c>
      <x:c r="F1687" s="339" t="str">
        <x:v>Approval authority</x:v>
      </x:c>
      <x:c r="G1687" s="339" t="str">
        <x:v>an action requires approval</x:v>
      </x:c>
      <x:c r="H1687" s="339" t="str">
        <x:v>a non-authorized user attempts approval/rejection</x:v>
      </x:c>
      <x:c r="I1687" s="339" t="str">
        <x:v>the system denies the decision and does not change status</x:v>
      </x:c>
      <x:c r="J1687" s="339" t="str">
        <x:v>Negative</x:v>
      </x:c>
      <x:c r="K1687" s="339" t="str">
        <x:v>Functional</x:v>
      </x:c>
    </x:row>
    <x:row r="1688">
      <x:c r="A1688" s="339" t="str">
        <x:v>AC-01687</x:v>
      </x:c>
      <x:c r="B1688" s="339" t="str">
        <x:v>US-0422</x:v>
      </x:c>
      <x:c r="C1688" s="339" t="str">
        <x:v>SCR-211</x:v>
      </x:c>
      <x:c r="D1688" s="339" t="str">
        <x:v>Hostel</x:v>
      </x:c>
      <x:c r="E1688" s="339" t="str">
        <x:v>Warden Management</x:v>
      </x:c>
      <x:c r="F1688" s="339" t="str">
        <x:v>Failure rollback</x:v>
      </x:c>
      <x:c r="G1688" s="339" t="str">
        <x:v>a downstream dependency fails during a multi-step transaction</x:v>
      </x:c>
      <x:c r="H1688" s="339" t="str">
        <x:v>the workflow executes</x:v>
      </x:c>
      <x:c r="I1688" s="339" t="str">
        <x:v>the system does not leave an invalid partial final state and surfaces a recoverable error</x:v>
      </x:c>
      <x:c r="J1688" s="339" t="str">
        <x:v>Positive</x:v>
      </x:c>
      <x:c r="K1688" s="339" t="str">
        <x:v>Functional</x:v>
      </x:c>
    </x:row>
    <x:row r="1689">
      <x:c r="A1689" s="339" t="str">
        <x:v>AC-01688</x:v>
      </x:c>
      <x:c r="B1689" s="339" t="str">
        <x:v>US-0422</x:v>
      </x:c>
      <x:c r="C1689" s="339" t="str">
        <x:v>SCR-211</x:v>
      </x:c>
      <x:c r="D1689" s="339" t="str">
        <x:v>Hostel</x:v>
      </x:c>
      <x:c r="E1689" s="339" t="str">
        <x:v>Warden Management</x:v>
      </x:c>
      <x:c r="F1689" s="339" t="str">
        <x:v>Exception traceability</x:v>
      </x:c>
      <x:c r="G1689" s="339" t="str">
        <x:v>an authorized override/exception is used</x:v>
      </x:c>
      <x:c r="H1689" s="339" t="str">
        <x:v>the action is confirmed</x:v>
      </x:c>
      <x:c r="I1689" s="339" t="str">
        <x:v>the system requires reason/context and records it in the audit history</x:v>
      </x:c>
      <x:c r="J1689" s="339" t="str">
        <x:v>Positive</x:v>
      </x:c>
      <x:c r="K1689" s="339" t="str">
        <x:v>Functional</x:v>
      </x:c>
    </x:row>
    <x:row r="1690">
      <x:c r="A1690" s="339" t="str">
        <x:v>AC-01689</x:v>
      </x:c>
      <x:c r="B1690" s="339" t="str">
        <x:v>US-0423</x:v>
      </x:c>
      <x:c r="C1690" s="339" t="str">
        <x:v>SCR-212</x:v>
      </x:c>
      <x:c r="D1690" s="339" t="str">
        <x:v>Hostel</x:v>
      </x:c>
      <x:c r="E1690" s="339" t="str">
        <x:v>Hostel Attendance</x:v>
      </x:c>
      <x:c r="F1690" s="339" t="str">
        <x:v>Authorized access to Hostel Attendance</x:v>
      </x:c>
      <x:c r="G1690" s="339" t="str">
        <x:v>the Hostel Warden is authenticated and has access to Hostel Attendance</x:v>
      </x:c>
      <x:c r="H1690" s="339" t="str">
        <x:v>the user opens or invokes Hostel Attendance</x:v>
      </x:c>
      <x:c r="I1690" s="339" t="str">
        <x:v>the system loads only records and actions within the user's permitted tenant/school/data scope</x:v>
      </x:c>
      <x:c r="J1690" s="339" t="str">
        <x:v>Positive</x:v>
      </x:c>
      <x:c r="K1690" s="339" t="str">
        <x:v>Functional / Security</x:v>
      </x:c>
    </x:row>
    <x:row r="1691">
      <x:c r="A1691" s="339" t="str">
        <x:v>AC-01690</x:v>
      </x:c>
      <x:c r="B1691" s="339" t="str">
        <x:v>US-0423</x:v>
      </x:c>
      <x:c r="C1691" s="339" t="str">
        <x:v>SCR-212</x:v>
      </x:c>
      <x:c r="D1691" s="339" t="str">
        <x:v>Hostel</x:v>
      </x:c>
      <x:c r="E1691" s="339" t="str">
        <x:v>Hostel Attendance</x:v>
      </x:c>
      <x:c r="F1691" s="339" t="str">
        <x:v>Successful Hostel Attendance happy path</x:v>
      </x:c>
      <x:c r="G1691" s="339" t="str">
        <x:v>all mandatory prerequisites and valid data are available</x:v>
      </x:c>
      <x:c r="H1691" s="339" t="str">
        <x:v>the Hostel Warden completes the primary action on Hostel Attendance</x:v>
      </x:c>
      <x:c r="I1691" s="339" t="str">
        <x:v>the system validates the request, saves it atomically, shows a clear confirmation and reflects the updated state</x:v>
      </x:c>
      <x:c r="J1691" s="339" t="str">
        <x:v>Positive</x:v>
      </x:c>
      <x:c r="K1691" s="339" t="str">
        <x:v>Functional</x:v>
      </x:c>
    </x:row>
    <x:row r="1692">
      <x:c r="A1692" s="339" t="str">
        <x:v>AC-01691</x:v>
      </x:c>
      <x:c r="B1692" s="339" t="str">
        <x:v>US-0423</x:v>
      </x:c>
      <x:c r="C1692" s="339" t="str">
        <x:v>SCR-212</x:v>
      </x:c>
      <x:c r="D1692" s="339" t="str">
        <x:v>Hostel</x:v>
      </x:c>
      <x:c r="E1692" s="339" t="str">
        <x:v>Hostel Attendance</x:v>
      </x:c>
      <x:c r="F1692" s="339" t="str">
        <x:v>State and dependency integrity</x:v>
      </x:c>
      <x:c r="G1692" s="339" t="str">
        <x:v>the current record is in an allowed state (Available → Allocated → Occupied → Transfer / Vacated → Closed)</x:v>
      </x:c>
      <x:c r="H1692" s="339" t="str">
        <x:v>the user attempts a state-changing action</x:v>
      </x:c>
      <x:c r="I1692" s="339" t="str">
        <x:v>only a valid transition is accepted and dependent records are updated according to configured business rules</x:v>
      </x:c>
      <x:c r="J1692" s="339" t="str">
        <x:v>Positive</x:v>
      </x:c>
      <x:c r="K1692" s="339" t="str">
        <x:v>Functional</x:v>
      </x:c>
    </x:row>
    <x:row r="1693">
      <x:c r="A1693" s="339" t="str">
        <x:v>AC-01692</x:v>
      </x:c>
      <x:c r="B1693" s="339" t="str">
        <x:v>US-0423</x:v>
      </x:c>
      <x:c r="C1693" s="339" t="str">
        <x:v>SCR-212</x:v>
      </x:c>
      <x:c r="D1693" s="339" t="str">
        <x:v>Hostel</x:v>
      </x:c>
      <x:c r="E1693" s="339" t="str">
        <x:v>Hostel Attendance</x:v>
      </x:c>
      <x:c r="F1693" s="339" t="str">
        <x:v>Auditability</x:v>
      </x:c>
      <x:c r="G1693" s="339" t="str">
        <x:v>a material create/update/approve/reverse action occurs</x:v>
      </x:c>
      <x:c r="H1693" s="339" t="str">
        <x:v>the transaction succeeds</x:v>
      </x:c>
      <x:c r="I1693" s="339" t="str">
        <x:v>the system records actor, timestamp, action, target and relevant before/after or reason context in the audit trail</x:v>
      </x:c>
      <x:c r="J1693" s="339" t="str">
        <x:v>Positive</x:v>
      </x:c>
      <x:c r="K1693" s="339" t="str">
        <x:v>Functional</x:v>
      </x:c>
    </x:row>
    <x:row r="1694">
      <x:c r="A1694" s="339" t="str">
        <x:v>AC-01693</x:v>
      </x:c>
      <x:c r="B1694" s="339" t="str">
        <x:v>US-0424</x:v>
      </x:c>
      <x:c r="C1694" s="339" t="str">
        <x:v>SCR-212</x:v>
      </x:c>
      <x:c r="D1694" s="339" t="str">
        <x:v>Hostel</x:v>
      </x:c>
      <x:c r="E1694" s="339" t="str">
        <x:v>Hostel Attendance</x:v>
      </x:c>
      <x:c r="F1694" s="339" t="str">
        <x:v>Valid status transition</x:v>
      </x:c>
      <x:c r="G1694" s="339" t="str">
        <x:v>the record is in a state described by Available → Allocated → Occupied → Transfer / Vacated → Closed</x:v>
      </x:c>
      <x:c r="H1694" s="339" t="str">
        <x:v>the user requests a transition</x:v>
      </x:c>
      <x:c r="I1694" s="339" t="str">
        <x:v>the system accepts only transitions allowed for that role and state</x:v>
      </x:c>
      <x:c r="J1694" s="339" t="str">
        <x:v>Positive</x:v>
      </x:c>
      <x:c r="K1694" s="339" t="str">
        <x:v>Functional</x:v>
      </x:c>
    </x:row>
    <x:row r="1695">
      <x:c r="A1695" s="339" t="str">
        <x:v>AC-01694</x:v>
      </x:c>
      <x:c r="B1695" s="339" t="str">
        <x:v>US-0424</x:v>
      </x:c>
      <x:c r="C1695" s="339" t="str">
        <x:v>SCR-212</x:v>
      </x:c>
      <x:c r="D1695" s="339" t="str">
        <x:v>Hostel</x:v>
      </x:c>
      <x:c r="E1695" s="339" t="str">
        <x:v>Hostel Attendance</x:v>
      </x:c>
      <x:c r="F1695" s="339" t="str">
        <x:v>Approval authority</x:v>
      </x:c>
      <x:c r="G1695" s="339" t="str">
        <x:v>an action requires approval</x:v>
      </x:c>
      <x:c r="H1695" s="339" t="str">
        <x:v>a non-authorized user attempts approval/rejection</x:v>
      </x:c>
      <x:c r="I1695" s="339" t="str">
        <x:v>the system denies the decision and does not change status</x:v>
      </x:c>
      <x:c r="J1695" s="339" t="str">
        <x:v>Negative</x:v>
      </x:c>
      <x:c r="K1695" s="339" t="str">
        <x:v>Functional</x:v>
      </x:c>
    </x:row>
    <x:row r="1696">
      <x:c r="A1696" s="339" t="str">
        <x:v>AC-01695</x:v>
      </x:c>
      <x:c r="B1696" s="339" t="str">
        <x:v>US-0424</x:v>
      </x:c>
      <x:c r="C1696" s="339" t="str">
        <x:v>SCR-212</x:v>
      </x:c>
      <x:c r="D1696" s="339" t="str">
        <x:v>Hostel</x:v>
      </x:c>
      <x:c r="E1696" s="339" t="str">
        <x:v>Hostel Attendance</x:v>
      </x:c>
      <x:c r="F1696" s="339" t="str">
        <x:v>Failure rollback</x:v>
      </x:c>
      <x:c r="G1696" s="339" t="str">
        <x:v>a downstream dependency fails during a multi-step transaction</x:v>
      </x:c>
      <x:c r="H1696" s="339" t="str">
        <x:v>the workflow executes</x:v>
      </x:c>
      <x:c r="I1696" s="339" t="str">
        <x:v>the system does not leave an invalid partial final state and surfaces a recoverable error</x:v>
      </x:c>
      <x:c r="J1696" s="339" t="str">
        <x:v>Positive</x:v>
      </x:c>
      <x:c r="K1696" s="339" t="str">
        <x:v>Functional</x:v>
      </x:c>
    </x:row>
    <x:row r="1697">
      <x:c r="A1697" s="339" t="str">
        <x:v>AC-01696</x:v>
      </x:c>
      <x:c r="B1697" s="339" t="str">
        <x:v>US-0424</x:v>
      </x:c>
      <x:c r="C1697" s="339" t="str">
        <x:v>SCR-212</x:v>
      </x:c>
      <x:c r="D1697" s="339" t="str">
        <x:v>Hostel</x:v>
      </x:c>
      <x:c r="E1697" s="339" t="str">
        <x:v>Hostel Attendance</x:v>
      </x:c>
      <x:c r="F1697" s="339" t="str">
        <x:v>Exception traceability</x:v>
      </x:c>
      <x:c r="G1697" s="339" t="str">
        <x:v>an authorized override/exception is used</x:v>
      </x:c>
      <x:c r="H1697" s="339" t="str">
        <x:v>the action is confirmed</x:v>
      </x:c>
      <x:c r="I1697" s="339" t="str">
        <x:v>the system requires reason/context and records it in the audit history</x:v>
      </x:c>
      <x:c r="J1697" s="339" t="str">
        <x:v>Positive</x:v>
      </x:c>
      <x:c r="K1697" s="339" t="str">
        <x:v>Functional</x:v>
      </x:c>
    </x:row>
    <x:row r="1698">
      <x:c r="A1698" s="339" t="str">
        <x:v>AC-01697</x:v>
      </x:c>
      <x:c r="B1698" s="339" t="str">
        <x:v>US-0425</x:v>
      </x:c>
      <x:c r="C1698" s="339" t="str">
        <x:v>SCR-213</x:v>
      </x:c>
      <x:c r="D1698" s="339" t="str">
        <x:v>Hostel</x:v>
      </x:c>
      <x:c r="E1698" s="339" t="str">
        <x:v>Leave / Outing</x:v>
      </x:c>
      <x:c r="F1698" s="339" t="str">
        <x:v>Authorized access to Leave / Outing</x:v>
      </x:c>
      <x:c r="G1698" s="339" t="str">
        <x:v>the Hostel Warden is authenticated and has access to Leave / Outing</x:v>
      </x:c>
      <x:c r="H1698" s="339" t="str">
        <x:v>the user opens or invokes Leave / Outing</x:v>
      </x:c>
      <x:c r="I1698" s="339" t="str">
        <x:v>the system loads only records and actions within the user's permitted tenant/school/data scope</x:v>
      </x:c>
      <x:c r="J1698" s="339" t="str">
        <x:v>Positive</x:v>
      </x:c>
      <x:c r="K1698" s="339" t="str">
        <x:v>Functional / Security</x:v>
      </x:c>
    </x:row>
    <x:row r="1699">
      <x:c r="A1699" s="339" t="str">
        <x:v>AC-01698</x:v>
      </x:c>
      <x:c r="B1699" s="339" t="str">
        <x:v>US-0425</x:v>
      </x:c>
      <x:c r="C1699" s="339" t="str">
        <x:v>SCR-213</x:v>
      </x:c>
      <x:c r="D1699" s="339" t="str">
        <x:v>Hostel</x:v>
      </x:c>
      <x:c r="E1699" s="339" t="str">
        <x:v>Leave / Outing</x:v>
      </x:c>
      <x:c r="F1699" s="339" t="str">
        <x:v>Successful Leave / Outing happy path</x:v>
      </x:c>
      <x:c r="G1699" s="339" t="str">
        <x:v>all mandatory prerequisites and valid data are available</x:v>
      </x:c>
      <x:c r="H1699" s="339" t="str">
        <x:v>the Hostel Warden completes the primary action on Leave / Outing</x:v>
      </x:c>
      <x:c r="I1699" s="339" t="str">
        <x:v>the system validates the request, saves it atomically, shows a clear confirmation and reflects the updated state</x:v>
      </x:c>
      <x:c r="J1699" s="339" t="str">
        <x:v>Positive</x:v>
      </x:c>
      <x:c r="K1699" s="339" t="str">
        <x:v>Functional</x:v>
      </x:c>
    </x:row>
    <x:row r="1700">
      <x:c r="A1700" s="339" t="str">
        <x:v>AC-01699</x:v>
      </x:c>
      <x:c r="B1700" s="339" t="str">
        <x:v>US-0425</x:v>
      </x:c>
      <x:c r="C1700" s="339" t="str">
        <x:v>SCR-213</x:v>
      </x:c>
      <x:c r="D1700" s="339" t="str">
        <x:v>Hostel</x:v>
      </x:c>
      <x:c r="E1700" s="339" t="str">
        <x:v>Leave / Outing</x:v>
      </x:c>
      <x:c r="F1700" s="339" t="str">
        <x:v>State and dependency integrity</x:v>
      </x:c>
      <x:c r="G1700" s="339" t="str">
        <x:v>the current record is in an allowed state (Available → Allocated → Occupied → Transfer / Vacated → Closed)</x:v>
      </x:c>
      <x:c r="H1700" s="339" t="str">
        <x:v>the user attempts a state-changing action</x:v>
      </x:c>
      <x:c r="I1700" s="339" t="str">
        <x:v>only a valid transition is accepted and dependent records are updated according to configured business rules</x:v>
      </x:c>
      <x:c r="J1700" s="339" t="str">
        <x:v>Positive</x:v>
      </x:c>
      <x:c r="K1700" s="339" t="str">
        <x:v>Functional</x:v>
      </x:c>
    </x:row>
    <x:row r="1701">
      <x:c r="A1701" s="339" t="str">
        <x:v>AC-01700</x:v>
      </x:c>
      <x:c r="B1701" s="339" t="str">
        <x:v>US-0425</x:v>
      </x:c>
      <x:c r="C1701" s="339" t="str">
        <x:v>SCR-213</x:v>
      </x:c>
      <x:c r="D1701" s="339" t="str">
        <x:v>Hostel</x:v>
      </x:c>
      <x:c r="E1701" s="339" t="str">
        <x:v>Leave / Outing</x:v>
      </x:c>
      <x:c r="F1701" s="339" t="str">
        <x:v>Auditability</x:v>
      </x:c>
      <x:c r="G1701" s="339" t="str">
        <x:v>a material create/update/approve/reverse action occurs</x:v>
      </x:c>
      <x:c r="H1701" s="339" t="str">
        <x:v>the transaction succeeds</x:v>
      </x:c>
      <x:c r="I1701" s="339" t="str">
        <x:v>the system records actor, timestamp, action, target and relevant before/after or reason context in the audit trail</x:v>
      </x:c>
      <x:c r="J1701" s="339" t="str">
        <x:v>Positive</x:v>
      </x:c>
      <x:c r="K1701" s="339" t="str">
        <x:v>Functional</x:v>
      </x:c>
    </x:row>
    <x:row r="1702">
      <x:c r="A1702" s="339" t="str">
        <x:v>AC-01701</x:v>
      </x:c>
      <x:c r="B1702" s="339" t="str">
        <x:v>US-0426</x:v>
      </x:c>
      <x:c r="C1702" s="339" t="str">
        <x:v>SCR-213</x:v>
      </x:c>
      <x:c r="D1702" s="339" t="str">
        <x:v>Hostel</x:v>
      </x:c>
      <x:c r="E1702" s="339" t="str">
        <x:v>Leave / Outing</x:v>
      </x:c>
      <x:c r="F1702" s="339" t="str">
        <x:v>Valid status transition</x:v>
      </x:c>
      <x:c r="G1702" s="339" t="str">
        <x:v>the record is in a state described by Available → Allocated → Occupied → Transfer / Vacated → Closed</x:v>
      </x:c>
      <x:c r="H1702" s="339" t="str">
        <x:v>the user requests a transition</x:v>
      </x:c>
      <x:c r="I1702" s="339" t="str">
        <x:v>the system accepts only transitions allowed for that role and state</x:v>
      </x:c>
      <x:c r="J1702" s="339" t="str">
        <x:v>Positive</x:v>
      </x:c>
      <x:c r="K1702" s="339" t="str">
        <x:v>Functional</x:v>
      </x:c>
    </x:row>
    <x:row r="1703">
      <x:c r="A1703" s="339" t="str">
        <x:v>AC-01702</x:v>
      </x:c>
      <x:c r="B1703" s="339" t="str">
        <x:v>US-0426</x:v>
      </x:c>
      <x:c r="C1703" s="339" t="str">
        <x:v>SCR-213</x:v>
      </x:c>
      <x:c r="D1703" s="339" t="str">
        <x:v>Hostel</x:v>
      </x:c>
      <x:c r="E1703" s="339" t="str">
        <x:v>Leave / Outing</x:v>
      </x:c>
      <x:c r="F1703" s="339" t="str">
        <x:v>Approval authority</x:v>
      </x:c>
      <x:c r="G1703" s="339" t="str">
        <x:v>an action requires approval</x:v>
      </x:c>
      <x:c r="H1703" s="339" t="str">
        <x:v>a non-authorized user attempts approval/rejection</x:v>
      </x:c>
      <x:c r="I1703" s="339" t="str">
        <x:v>the system denies the decision and does not change status</x:v>
      </x:c>
      <x:c r="J1703" s="339" t="str">
        <x:v>Negative</x:v>
      </x:c>
      <x:c r="K1703" s="339" t="str">
        <x:v>Functional</x:v>
      </x:c>
    </x:row>
    <x:row r="1704">
      <x:c r="A1704" s="339" t="str">
        <x:v>AC-01703</x:v>
      </x:c>
      <x:c r="B1704" s="339" t="str">
        <x:v>US-0426</x:v>
      </x:c>
      <x:c r="C1704" s="339" t="str">
        <x:v>SCR-213</x:v>
      </x:c>
      <x:c r="D1704" s="339" t="str">
        <x:v>Hostel</x:v>
      </x:c>
      <x:c r="E1704" s="339" t="str">
        <x:v>Leave / Outing</x:v>
      </x:c>
      <x:c r="F1704" s="339" t="str">
        <x:v>Failure rollback</x:v>
      </x:c>
      <x:c r="G1704" s="339" t="str">
        <x:v>a downstream dependency fails during a multi-step transaction</x:v>
      </x:c>
      <x:c r="H1704" s="339" t="str">
        <x:v>the workflow executes</x:v>
      </x:c>
      <x:c r="I1704" s="339" t="str">
        <x:v>the system does not leave an invalid partial final state and surfaces a recoverable error</x:v>
      </x:c>
      <x:c r="J1704" s="339" t="str">
        <x:v>Positive</x:v>
      </x:c>
      <x:c r="K1704" s="339" t="str">
        <x:v>Functional</x:v>
      </x:c>
    </x:row>
    <x:row r="1705">
      <x:c r="A1705" s="339" t="str">
        <x:v>AC-01704</x:v>
      </x:c>
      <x:c r="B1705" s="339" t="str">
        <x:v>US-0426</x:v>
      </x:c>
      <x:c r="C1705" s="339" t="str">
        <x:v>SCR-213</x:v>
      </x:c>
      <x:c r="D1705" s="339" t="str">
        <x:v>Hostel</x:v>
      </x:c>
      <x:c r="E1705" s="339" t="str">
        <x:v>Leave / Outing</x:v>
      </x:c>
      <x:c r="F1705" s="339" t="str">
        <x:v>Exception traceability</x:v>
      </x:c>
      <x:c r="G1705" s="339" t="str">
        <x:v>an authorized override/exception is used</x:v>
      </x:c>
      <x:c r="H1705" s="339" t="str">
        <x:v>the action is confirmed</x:v>
      </x:c>
      <x:c r="I1705" s="339" t="str">
        <x:v>the system requires reason/context and records it in the audit history</x:v>
      </x:c>
      <x:c r="J1705" s="339" t="str">
        <x:v>Positive</x:v>
      </x:c>
      <x:c r="K1705" s="339" t="str">
        <x:v>Functional</x:v>
      </x:c>
    </x:row>
    <x:row r="1706">
      <x:c r="A1706" s="339" t="str">
        <x:v>AC-01705</x:v>
      </x:c>
      <x:c r="B1706" s="339" t="str">
        <x:v>US-0427</x:v>
      </x:c>
      <x:c r="C1706" s="339" t="str">
        <x:v>SCR-214</x:v>
      </x:c>
      <x:c r="D1706" s="339" t="str">
        <x:v>Hostel</x:v>
      </x:c>
      <x:c r="E1706" s="339" t="str">
        <x:v>Mess / Meal Schedule</x:v>
      </x:c>
      <x:c r="F1706" s="339" t="str">
        <x:v>Authorized access to Mess / Meal Schedule</x:v>
      </x:c>
      <x:c r="G1706" s="339" t="str">
        <x:v>the Hostel Warden is authenticated and has access to Mess / Meal Schedule</x:v>
      </x:c>
      <x:c r="H1706" s="339" t="str">
        <x:v>the user opens or invokes Mess / Meal Schedule</x:v>
      </x:c>
      <x:c r="I1706" s="339" t="str">
        <x:v>the system loads only records and actions within the user's permitted tenant/school/data scope</x:v>
      </x:c>
      <x:c r="J1706" s="339" t="str">
        <x:v>Positive</x:v>
      </x:c>
      <x:c r="K1706" s="339" t="str">
        <x:v>Functional / Security</x:v>
      </x:c>
    </x:row>
    <x:row r="1707">
      <x:c r="A1707" s="339" t="str">
        <x:v>AC-01706</x:v>
      </x:c>
      <x:c r="B1707" s="339" t="str">
        <x:v>US-0427</x:v>
      </x:c>
      <x:c r="C1707" s="339" t="str">
        <x:v>SCR-214</x:v>
      </x:c>
      <x:c r="D1707" s="339" t="str">
        <x:v>Hostel</x:v>
      </x:c>
      <x:c r="E1707" s="339" t="str">
        <x:v>Mess / Meal Schedule</x:v>
      </x:c>
      <x:c r="F1707" s="339" t="str">
        <x:v>Successful Mess / Meal Schedule happy path</x:v>
      </x:c>
      <x:c r="G1707" s="339" t="str">
        <x:v>all mandatory prerequisites and valid data are available</x:v>
      </x:c>
      <x:c r="H1707" s="339" t="str">
        <x:v>the Hostel Warden completes the primary action on Mess / Meal Schedule</x:v>
      </x:c>
      <x:c r="I1707" s="339" t="str">
        <x:v>the system validates the request, saves it atomically, shows a clear confirmation and reflects the updated state</x:v>
      </x:c>
      <x:c r="J1707" s="339" t="str">
        <x:v>Positive</x:v>
      </x:c>
      <x:c r="K1707" s="339" t="str">
        <x:v>Functional</x:v>
      </x:c>
    </x:row>
    <x:row r="1708">
      <x:c r="A1708" s="339" t="str">
        <x:v>AC-01707</x:v>
      </x:c>
      <x:c r="B1708" s="339" t="str">
        <x:v>US-0427</x:v>
      </x:c>
      <x:c r="C1708" s="339" t="str">
        <x:v>SCR-214</x:v>
      </x:c>
      <x:c r="D1708" s="339" t="str">
        <x:v>Hostel</x:v>
      </x:c>
      <x:c r="E1708" s="339" t="str">
        <x:v>Mess / Meal Schedule</x:v>
      </x:c>
      <x:c r="F1708" s="339" t="str">
        <x:v>State and dependency integrity</x:v>
      </x:c>
      <x:c r="G1708" s="339" t="str">
        <x:v>the current record is in an allowed state (Available → Allocated → Occupied → Transfer / Vacated → Closed)</x:v>
      </x:c>
      <x:c r="H1708" s="339" t="str">
        <x:v>the user attempts a state-changing action</x:v>
      </x:c>
      <x:c r="I1708" s="339" t="str">
        <x:v>only a valid transition is accepted and dependent records are updated according to configured business rules</x:v>
      </x:c>
      <x:c r="J1708" s="339" t="str">
        <x:v>Positive</x:v>
      </x:c>
      <x:c r="K1708" s="339" t="str">
        <x:v>Functional</x:v>
      </x:c>
    </x:row>
    <x:row r="1709">
      <x:c r="A1709" s="339" t="str">
        <x:v>AC-01708</x:v>
      </x:c>
      <x:c r="B1709" s="339" t="str">
        <x:v>US-0427</x:v>
      </x:c>
      <x:c r="C1709" s="339" t="str">
        <x:v>SCR-214</x:v>
      </x:c>
      <x:c r="D1709" s="339" t="str">
        <x:v>Hostel</x:v>
      </x:c>
      <x:c r="E1709" s="339" t="str">
        <x:v>Mess / Meal Schedule</x:v>
      </x:c>
      <x:c r="F1709" s="339" t="str">
        <x:v>Auditability</x:v>
      </x:c>
      <x:c r="G1709" s="339" t="str">
        <x:v>a material create/update/approve/reverse action occurs</x:v>
      </x:c>
      <x:c r="H1709" s="339" t="str">
        <x:v>the transaction succeeds</x:v>
      </x:c>
      <x:c r="I1709" s="339" t="str">
        <x:v>the system records actor, timestamp, action, target and relevant before/after or reason context in the audit trail</x:v>
      </x:c>
      <x:c r="J1709" s="339" t="str">
        <x:v>Positive</x:v>
      </x:c>
      <x:c r="K1709" s="339" t="str">
        <x:v>Functional</x:v>
      </x:c>
    </x:row>
    <x:row r="1710">
      <x:c r="A1710" s="339" t="str">
        <x:v>AC-01709</x:v>
      </x:c>
      <x:c r="B1710" s="339" t="str">
        <x:v>US-0428</x:v>
      </x:c>
      <x:c r="C1710" s="339" t="str">
        <x:v>SCR-214</x:v>
      </x:c>
      <x:c r="D1710" s="339" t="str">
        <x:v>Hostel</x:v>
      </x:c>
      <x:c r="E1710" s="339" t="str">
        <x:v>Mess / Meal Schedule</x:v>
      </x:c>
      <x:c r="F1710" s="339" t="str">
        <x:v>Conflict detection</x:v>
      </x:c>
      <x:c r="G1710" s="339" t="str">
        <x:v>a teacher/class/room/resource is already committed in the requested slot</x:v>
      </x:c>
      <x:c r="H1710" s="339" t="str">
        <x:v>the user schedules an overlapping item</x:v>
      </x:c>
      <x:c r="I1710" s="339" t="str">
        <x:v>the system blocks or flags the conflict according to override policy</x:v>
      </x:c>
      <x:c r="J1710" s="339" t="str">
        <x:v>Negative</x:v>
      </x:c>
      <x:c r="K1710" s="339" t="str">
        <x:v>Functional</x:v>
      </x:c>
    </x:row>
    <x:row r="1711">
      <x:c r="A1711" s="339" t="str">
        <x:v>AC-01710</x:v>
      </x:c>
      <x:c r="B1711" s="339" t="str">
        <x:v>US-0428</x:v>
      </x:c>
      <x:c r="C1711" s="339" t="str">
        <x:v>SCR-214</x:v>
      </x:c>
      <x:c r="D1711" s="339" t="str">
        <x:v>Hostel</x:v>
      </x:c>
      <x:c r="E1711" s="339" t="str">
        <x:v>Mess / Meal Schedule</x:v>
      </x:c>
      <x:c r="F1711" s="339" t="str">
        <x:v>Reschedule integrity</x:v>
      </x:c>
      <x:c r="G1711" s="339" t="str">
        <x:v>an existing schedule item is changed</x:v>
      </x:c>
      <x:c r="H1711" s="339" t="str">
        <x:v>the user confirms the new slot</x:v>
      </x:c>
      <x:c r="I1711" s="339" t="str">
        <x:v>the system updates the schedule atomically and retains change history</x:v>
      </x:c>
      <x:c r="J1711" s="339" t="str">
        <x:v>Positive</x:v>
      </x:c>
      <x:c r="K1711" s="339" t="str">
        <x:v>Functional</x:v>
      </x:c>
    </x:row>
    <x:row r="1712">
      <x:c r="A1712" s="339" t="str">
        <x:v>AC-01711</x:v>
      </x:c>
      <x:c r="B1712" s="339" t="str">
        <x:v>US-0428</x:v>
      </x:c>
      <x:c r="C1712" s="339" t="str">
        <x:v>SCR-214</x:v>
      </x:c>
      <x:c r="D1712" s="339" t="str">
        <x:v>Hostel</x:v>
      </x:c>
      <x:c r="E1712" s="339" t="str">
        <x:v>Mess / Meal Schedule</x:v>
      </x:c>
      <x:c r="F1712" s="339" t="str">
        <x:v>Audience update</x:v>
      </x:c>
      <x:c r="G1712" s="339" t="str">
        <x:v>a published schedule changes</x:v>
      </x:c>
      <x:c r="H1712" s="339" t="str">
        <x:v>the change is saved</x:v>
      </x:c>
      <x:c r="I1712" s="339" t="str">
        <x:v>affected users receive updated visibility/notification according to communication rules</x:v>
      </x:c>
      <x:c r="J1712" s="339" t="str">
        <x:v>Positive</x:v>
      </x:c>
      <x:c r="K1712" s="339" t="str">
        <x:v>Functional</x:v>
      </x:c>
    </x:row>
    <x:row r="1713">
      <x:c r="A1713" s="339" t="str">
        <x:v>AC-01712</x:v>
      </x:c>
      <x:c r="B1713" s="339" t="str">
        <x:v>US-0428</x:v>
      </x:c>
      <x:c r="C1713" s="339" t="str">
        <x:v>SCR-214</x:v>
      </x:c>
      <x:c r="D1713" s="339" t="str">
        <x:v>Hostel</x:v>
      </x:c>
      <x:c r="E1713" s="339" t="str">
        <x:v>Mess / Meal Schedule</x:v>
      </x:c>
      <x:c r="F1713" s="339" t="str">
        <x:v>Timezone/effective date</x:v>
      </x:c>
      <x:c r="G1713" s="339" t="str">
        <x:v>users operate in configured school timezone</x:v>
      </x:c>
      <x:c r="H1713" s="339" t="str">
        <x:v>times are displayed or saved</x:v>
      </x:c>
      <x:c r="I1713" s="339" t="str">
        <x:v>the system consistently stores and renders the intended local schedule without date-shift errors</x:v>
      </x:c>
      <x:c r="J1713" s="339" t="str">
        <x:v>Positive</x:v>
      </x:c>
      <x:c r="K1713" s="339" t="str">
        <x:v>Functional</x:v>
      </x:c>
    </x:row>
    <x:row r="1714">
      <x:c r="A1714" s="339" t="str">
        <x:v>AC-01713</x:v>
      </x:c>
      <x:c r="B1714" s="339" t="str">
        <x:v>US-0429</x:v>
      </x:c>
      <x:c r="C1714" s="339" t="str">
        <x:v>SCR-215</x:v>
      </x:c>
      <x:c r="D1714" s="339" t="str">
        <x:v>Hostel</x:v>
      </x:c>
      <x:c r="E1714" s="339" t="str">
        <x:v>Hostel Complaints &amp; Fees</x:v>
      </x:c>
      <x:c r="F1714" s="339" t="str">
        <x:v>Authorized access to Hostel Complaints &amp; Fees</x:v>
      </x:c>
      <x:c r="G1714" s="339" t="str">
        <x:v>the Hostel Warden is authenticated and has access to Hostel Complaints &amp; Fees</x:v>
      </x:c>
      <x:c r="H1714" s="339" t="str">
        <x:v>the user opens or invokes Hostel Complaints &amp; Fees</x:v>
      </x:c>
      <x:c r="I1714" s="339" t="str">
        <x:v>the system loads only records and actions within the user's permitted tenant/school/data scope</x:v>
      </x:c>
      <x:c r="J1714" s="339" t="str">
        <x:v>Positive</x:v>
      </x:c>
      <x:c r="K1714" s="339" t="str">
        <x:v>Functional / Security</x:v>
      </x:c>
    </x:row>
    <x:row r="1715">
      <x:c r="A1715" s="339" t="str">
        <x:v>AC-01714</x:v>
      </x:c>
      <x:c r="B1715" s="339" t="str">
        <x:v>US-0429</x:v>
      </x:c>
      <x:c r="C1715" s="339" t="str">
        <x:v>SCR-215</x:v>
      </x:c>
      <x:c r="D1715" s="339" t="str">
        <x:v>Hostel</x:v>
      </x:c>
      <x:c r="E1715" s="339" t="str">
        <x:v>Hostel Complaints &amp; Fees</x:v>
      </x:c>
      <x:c r="F1715" s="339" t="str">
        <x:v>Successful Hostel Complaints &amp; Fees happy path</x:v>
      </x:c>
      <x:c r="G1715" s="339" t="str">
        <x:v>all mandatory prerequisites and valid data are available</x:v>
      </x:c>
      <x:c r="H1715" s="339" t="str">
        <x:v>the Hostel Warden completes the primary action on Hostel Complaints &amp; Fees</x:v>
      </x:c>
      <x:c r="I1715" s="339" t="str">
        <x:v>the system validates the request, saves it atomically, shows a clear confirmation and reflects the updated state</x:v>
      </x:c>
      <x:c r="J1715" s="339" t="str">
        <x:v>Positive</x:v>
      </x:c>
      <x:c r="K1715" s="339" t="str">
        <x:v>Functional</x:v>
      </x:c>
    </x:row>
    <x:row r="1716">
      <x:c r="A1716" s="339" t="str">
        <x:v>AC-01715</x:v>
      </x:c>
      <x:c r="B1716" s="339" t="str">
        <x:v>US-0429</x:v>
      </x:c>
      <x:c r="C1716" s="339" t="str">
        <x:v>SCR-215</x:v>
      </x:c>
      <x:c r="D1716" s="339" t="str">
        <x:v>Hostel</x:v>
      </x:c>
      <x:c r="E1716" s="339" t="str">
        <x:v>Hostel Complaints &amp; Fees</x:v>
      </x:c>
      <x:c r="F1716" s="339" t="str">
        <x:v>State and dependency integrity</x:v>
      </x:c>
      <x:c r="G1716" s="339" t="str">
        <x:v>the current record is in an allowed state (Available → Allocated → Occupied → Transfer / Vacated → Closed)</x:v>
      </x:c>
      <x:c r="H1716" s="339" t="str">
        <x:v>the user attempts a state-changing action</x:v>
      </x:c>
      <x:c r="I1716" s="339" t="str">
        <x:v>only a valid transition is accepted and dependent records are updated according to configured business rules</x:v>
      </x:c>
      <x:c r="J1716" s="339" t="str">
        <x:v>Positive</x:v>
      </x:c>
      <x:c r="K1716" s="339" t="str">
        <x:v>Functional</x:v>
      </x:c>
    </x:row>
    <x:row r="1717">
      <x:c r="A1717" s="339" t="str">
        <x:v>AC-01716</x:v>
      </x:c>
      <x:c r="B1717" s="339" t="str">
        <x:v>US-0429</x:v>
      </x:c>
      <x:c r="C1717" s="339" t="str">
        <x:v>SCR-215</x:v>
      </x:c>
      <x:c r="D1717" s="339" t="str">
        <x:v>Hostel</x:v>
      </x:c>
      <x:c r="E1717" s="339" t="str">
        <x:v>Hostel Complaints &amp; Fees</x:v>
      </x:c>
      <x:c r="F1717" s="339" t="str">
        <x:v>Auditability</x:v>
      </x:c>
      <x:c r="G1717" s="339" t="str">
        <x:v>a material create/update/approve/reverse action occurs</x:v>
      </x:c>
      <x:c r="H1717" s="339" t="str">
        <x:v>the transaction succeeds</x:v>
      </x:c>
      <x:c r="I1717" s="339" t="str">
        <x:v>the system records actor, timestamp, action, target and relevant before/after or reason context in the audit trail</x:v>
      </x:c>
      <x:c r="J1717" s="339" t="str">
        <x:v>Positive</x:v>
      </x:c>
      <x:c r="K1717" s="339" t="str">
        <x:v>Functional</x:v>
      </x:c>
    </x:row>
    <x:row r="1718">
      <x:c r="A1718" s="339" t="str">
        <x:v>AC-01717</x:v>
      </x:c>
      <x:c r="B1718" s="339" t="str">
        <x:v>US-0430</x:v>
      </x:c>
      <x:c r="C1718" s="339" t="str">
        <x:v>SCR-215</x:v>
      </x:c>
      <x:c r="D1718" s="339" t="str">
        <x:v>Hostel</x:v>
      </x:c>
      <x:c r="E1718" s="339" t="str">
        <x:v>Hostel Complaints &amp; Fees</x:v>
      </x:c>
      <x:c r="F1718" s="339" t="str">
        <x:v>Valid status transition</x:v>
      </x:c>
      <x:c r="G1718" s="339" t="str">
        <x:v>the record is in a state described by Available → Allocated → Occupied → Transfer / Vacated → Closed</x:v>
      </x:c>
      <x:c r="H1718" s="339" t="str">
        <x:v>the user requests a transition</x:v>
      </x:c>
      <x:c r="I1718" s="339" t="str">
        <x:v>the system accepts only transitions allowed for that role and state</x:v>
      </x:c>
      <x:c r="J1718" s="339" t="str">
        <x:v>Positive</x:v>
      </x:c>
      <x:c r="K1718" s="339" t="str">
        <x:v>Functional</x:v>
      </x:c>
    </x:row>
    <x:row r="1719">
      <x:c r="A1719" s="339" t="str">
        <x:v>AC-01718</x:v>
      </x:c>
      <x:c r="B1719" s="339" t="str">
        <x:v>US-0430</x:v>
      </x:c>
      <x:c r="C1719" s="339" t="str">
        <x:v>SCR-215</x:v>
      </x:c>
      <x:c r="D1719" s="339" t="str">
        <x:v>Hostel</x:v>
      </x:c>
      <x:c r="E1719" s="339" t="str">
        <x:v>Hostel Complaints &amp; Fees</x:v>
      </x:c>
      <x:c r="F1719" s="339" t="str">
        <x:v>Approval authority</x:v>
      </x:c>
      <x:c r="G1719" s="339" t="str">
        <x:v>an action requires approval</x:v>
      </x:c>
      <x:c r="H1719" s="339" t="str">
        <x:v>a non-authorized user attempts approval/rejection</x:v>
      </x:c>
      <x:c r="I1719" s="339" t="str">
        <x:v>the system denies the decision and does not change status</x:v>
      </x:c>
      <x:c r="J1719" s="339" t="str">
        <x:v>Negative</x:v>
      </x:c>
      <x:c r="K1719" s="339" t="str">
        <x:v>Functional</x:v>
      </x:c>
    </x:row>
    <x:row r="1720">
      <x:c r="A1720" s="339" t="str">
        <x:v>AC-01719</x:v>
      </x:c>
      <x:c r="B1720" s="339" t="str">
        <x:v>US-0430</x:v>
      </x:c>
      <x:c r="C1720" s="339" t="str">
        <x:v>SCR-215</x:v>
      </x:c>
      <x:c r="D1720" s="339" t="str">
        <x:v>Hostel</x:v>
      </x:c>
      <x:c r="E1720" s="339" t="str">
        <x:v>Hostel Complaints &amp; Fees</x:v>
      </x:c>
      <x:c r="F1720" s="339" t="str">
        <x:v>Failure rollback</x:v>
      </x:c>
      <x:c r="G1720" s="339" t="str">
        <x:v>a downstream dependency fails during a multi-step transaction</x:v>
      </x:c>
      <x:c r="H1720" s="339" t="str">
        <x:v>the workflow executes</x:v>
      </x:c>
      <x:c r="I1720" s="339" t="str">
        <x:v>the system does not leave an invalid partial final state and surfaces a recoverable error</x:v>
      </x:c>
      <x:c r="J1720" s="339" t="str">
        <x:v>Positive</x:v>
      </x:c>
      <x:c r="K1720" s="339" t="str">
        <x:v>Functional</x:v>
      </x:c>
    </x:row>
    <x:row r="1721">
      <x:c r="A1721" s="339" t="str">
        <x:v>AC-01720</x:v>
      </x:c>
      <x:c r="B1721" s="339" t="str">
        <x:v>US-0430</x:v>
      </x:c>
      <x:c r="C1721" s="339" t="str">
        <x:v>SCR-215</x:v>
      </x:c>
      <x:c r="D1721" s="339" t="str">
        <x:v>Hostel</x:v>
      </x:c>
      <x:c r="E1721" s="339" t="str">
        <x:v>Hostel Complaints &amp; Fees</x:v>
      </x:c>
      <x:c r="F1721" s="339" t="str">
        <x:v>Exception traceability</x:v>
      </x:c>
      <x:c r="G1721" s="339" t="str">
        <x:v>an authorized override/exception is used</x:v>
      </x:c>
      <x:c r="H1721" s="339" t="str">
        <x:v>the action is confirmed</x:v>
      </x:c>
      <x:c r="I1721" s="339" t="str">
        <x:v>the system requires reason/context and records it in the audit history</x:v>
      </x:c>
      <x:c r="J1721" s="339" t="str">
        <x:v>Positive</x:v>
      </x:c>
      <x:c r="K1721" s="339" t="str">
        <x:v>Functional</x:v>
      </x:c>
    </x:row>
    <x:row r="1722">
      <x:c r="A1722" s="339" t="str">
        <x:v>AC-01721</x:v>
      </x:c>
      <x:c r="B1722" s="339" t="str">
        <x:v>US-0431</x:v>
      </x:c>
      <x:c r="C1722" s="339" t="str">
        <x:v>SCR-216</x:v>
      </x:c>
      <x:c r="D1722" s="339" t="str">
        <x:v>Health / Counselling / Discipline</x:v>
      </x:c>
      <x:c r="E1722" s="339" t="str">
        <x:v>Health Dashboard</x:v>
      </x:c>
      <x:c r="F1722" s="339" t="str">
        <x:v>Authorized access to Health Dashboard</x:v>
      </x:c>
      <x:c r="G1722" s="339" t="str">
        <x:v>the Health is authenticated and has access to Health Dashboard</x:v>
      </x:c>
      <x:c r="H1722" s="339" t="str">
        <x:v>the user opens or invokes Health Dashboard</x:v>
      </x:c>
      <x:c r="I1722" s="339" t="str">
        <x:v>the system loads only records and actions within the user's permitted tenant/school/data scope</x:v>
      </x:c>
      <x:c r="J1722" s="339" t="str">
        <x:v>Positive</x:v>
      </x:c>
      <x:c r="K1722" s="339" t="str">
        <x:v>Functional / Security</x:v>
      </x:c>
    </x:row>
    <x:row r="1723">
      <x:c r="A1723" s="339" t="str">
        <x:v>AC-01722</x:v>
      </x:c>
      <x:c r="B1723" s="339" t="str">
        <x:v>US-0431</x:v>
      </x:c>
      <x:c r="C1723" s="339" t="str">
        <x:v>SCR-216</x:v>
      </x:c>
      <x:c r="D1723" s="339" t="str">
        <x:v>Health / Counselling / Discipline</x:v>
      </x:c>
      <x:c r="E1723" s="339" t="str">
        <x:v>Health Dashboard</x:v>
      </x:c>
      <x:c r="F1723" s="339" t="str">
        <x:v>Successful Health Dashboard happy path</x:v>
      </x:c>
      <x:c r="G1723" s="339" t="str">
        <x:v>all mandatory prerequisites and valid data are available</x:v>
      </x:c>
      <x:c r="H1723" s="339" t="str">
        <x:v>the Health completes the primary action on Health Dashboard</x:v>
      </x:c>
      <x:c r="I1723" s="339" t="str">
        <x:v>the system validates the request, saves it atomically, shows a clear confirmation and reflects the updated state</x:v>
      </x:c>
      <x:c r="J1723" s="339" t="str">
        <x:v>Positive</x:v>
      </x:c>
      <x:c r="K1723" s="339" t="str">
        <x:v>Functional</x:v>
      </x:c>
    </x:row>
    <x:row r="1724">
      <x:c r="A1724" s="339" t="str">
        <x:v>AC-01723</x:v>
      </x:c>
      <x:c r="B1724" s="339" t="str">
        <x:v>US-0431</x:v>
      </x:c>
      <x:c r="C1724" s="339" t="str">
        <x:v>SCR-216</x:v>
      </x:c>
      <x:c r="D1724" s="339" t="str">
        <x:v>Health / Counselling / Discipline</x:v>
      </x:c>
      <x:c r="E1724" s="339" t="str">
        <x:v>Health Dashboard</x:v>
      </x:c>
      <x:c r="F1724" s="339" t="str">
        <x:v>State and dependency integrity</x:v>
      </x:c>
      <x:c r="G1724" s="339" t="str">
        <x:v>the current record is in an allowed state (Open → In Progress / Monitoring → Escalated (if needed) → Resolved / Closed)</x:v>
      </x:c>
      <x:c r="H1724" s="339" t="str">
        <x:v>the user attempts a state-changing action</x:v>
      </x:c>
      <x:c r="I1724" s="339" t="str">
        <x:v>only a valid transition is accepted and dependent records are updated according to configured business rules</x:v>
      </x:c>
      <x:c r="J1724" s="339" t="str">
        <x:v>Positive</x:v>
      </x:c>
      <x:c r="K1724" s="339" t="str">
        <x:v>Functional</x:v>
      </x:c>
    </x:row>
    <x:row r="1725">
      <x:c r="A1725" s="339" t="str">
        <x:v>AC-01724</x:v>
      </x:c>
      <x:c r="B1725" s="339" t="str">
        <x:v>US-0431</x:v>
      </x:c>
      <x:c r="C1725" s="339" t="str">
        <x:v>SCR-216</x:v>
      </x:c>
      <x:c r="D1725" s="339" t="str">
        <x:v>Health / Counselling / Discipline</x:v>
      </x:c>
      <x:c r="E1725" s="339" t="str">
        <x:v>Health Dashboard</x:v>
      </x:c>
      <x:c r="F1725" s="339" t="str">
        <x:v>Auditability</x:v>
      </x:c>
      <x:c r="G1725" s="339" t="str">
        <x:v>a material create/update/approve/reverse action occurs</x:v>
      </x:c>
      <x:c r="H1725" s="339" t="str">
        <x:v>the transaction succeeds</x:v>
      </x:c>
      <x:c r="I1725" s="339" t="str">
        <x:v>the system records actor, timestamp, action, target and relevant before/after or reason context in the audit trail</x:v>
      </x:c>
      <x:c r="J1725" s="339" t="str">
        <x:v>Positive</x:v>
      </x:c>
      <x:c r="K1725" s="339" t="str">
        <x:v>Functional</x:v>
      </x:c>
    </x:row>
    <x:row r="1726">
      <x:c r="A1726" s="339" t="str">
        <x:v>AC-01725</x:v>
      </x:c>
      <x:c r="B1726" s="339" t="str">
        <x:v>US-0432</x:v>
      </x:c>
      <x:c r="C1726" s="339" t="str">
        <x:v>SCR-216</x:v>
      </x:c>
      <x:c r="D1726" s="339" t="str">
        <x:v>Health / Counselling / Discipline</x:v>
      </x:c>
      <x:c r="E1726" s="339" t="str">
        <x:v>Health Dashboard</x:v>
      </x:c>
      <x:c r="F1726" s="339" t="str">
        <x:v>KPI reconciliation</x:v>
      </x:c>
      <x:c r="G1726" s="339" t="str">
        <x:v>underlying source transactions exist</x:v>
      </x:c>
      <x:c r="H1726" s="339" t="str">
        <x:v>the dashboard calculates metrics</x:v>
      </x:c>
      <x:c r="I1726" s="339" t="str">
        <x:v>dashboard values reconcile to the same filtered source records used by detailed reports</x:v>
      </x:c>
      <x:c r="J1726" s="339" t="str">
        <x:v>Positive</x:v>
      </x:c>
      <x:c r="K1726" s="339" t="str">
        <x:v>Functional</x:v>
      </x:c>
    </x:row>
    <x:row r="1727">
      <x:c r="A1727" s="339" t="str">
        <x:v>AC-01726</x:v>
      </x:c>
      <x:c r="B1727" s="339" t="str">
        <x:v>US-0432</x:v>
      </x:c>
      <x:c r="C1727" s="339" t="str">
        <x:v>SCR-216</x:v>
      </x:c>
      <x:c r="D1727" s="339" t="str">
        <x:v>Health / Counselling / Discipline</x:v>
      </x:c>
      <x:c r="E1727" s="339" t="str">
        <x:v>Health Dashboard</x:v>
      </x:c>
      <x:c r="F1727" s="339" t="str">
        <x:v>Drill-down context</x:v>
      </x:c>
      <x:c r="G1727" s="339" t="str">
        <x:v>a KPI or alert is visible</x:v>
      </x:c>
      <x:c r="H1727" s="339" t="str">
        <x:v>the user drills into it</x:v>
      </x:c>
      <x:c r="I1727" s="339" t="str">
        <x:v>the destination preserves relevant date/school/class/status filter context</x:v>
      </x:c>
      <x:c r="J1727" s="339" t="str">
        <x:v>Positive</x:v>
      </x:c>
      <x:c r="K1727" s="339" t="str">
        <x:v>Functional</x:v>
      </x:c>
    </x:row>
    <x:row r="1728">
      <x:c r="A1728" s="339" t="str">
        <x:v>AC-01727</x:v>
      </x:c>
      <x:c r="B1728" s="339" t="str">
        <x:v>US-0432</x:v>
      </x:c>
      <x:c r="C1728" s="339" t="str">
        <x:v>SCR-216</x:v>
      </x:c>
      <x:c r="D1728" s="339" t="str">
        <x:v>Health / Counselling / Discipline</x:v>
      </x:c>
      <x:c r="E1728" s="339" t="str">
        <x:v>Health Dashboard</x:v>
      </x:c>
      <x:c r="F1728" s="339" t="str">
        <x:v>Freshness and failure handling</x:v>
      </x:c>
      <x:c r="G1728" s="339" t="str">
        <x:v>one source service is delayed or unavailable</x:v>
      </x:c>
      <x:c r="H1728" s="339" t="str">
        <x:v>the dashboard loads</x:v>
      </x:c>
      <x:c r="I1728" s="339" t="str">
        <x:v>the UI identifies stale/unavailable data without fabricating or silently zeroing the metric</x:v>
      </x:c>
      <x:c r="J1728" s="339" t="str">
        <x:v>Positive</x:v>
      </x:c>
      <x:c r="K1728" s="339" t="str">
        <x:v>Functional</x:v>
      </x:c>
    </x:row>
    <x:row r="1729">
      <x:c r="A1729" s="339" t="str">
        <x:v>AC-01728</x:v>
      </x:c>
      <x:c r="B1729" s="339" t="str">
        <x:v>US-0432</x:v>
      </x:c>
      <x:c r="C1729" s="339" t="str">
        <x:v>SCR-216</x:v>
      </x:c>
      <x:c r="D1729" s="339" t="str">
        <x:v>Health / Counselling / Discipline</x:v>
      </x:c>
      <x:c r="E1729" s="339" t="str">
        <x:v>Health Dashboard</x:v>
      </x:c>
      <x:c r="F1729" s="339" t="str">
        <x:v>Scoped visibility</x:v>
      </x:c>
      <x:c r="G1729" s="339" t="str">
        <x:v>the same dashboard is used by users with different permissions</x:v>
      </x:c>
      <x:c r="H1729" s="339" t="str">
        <x:v>each user loads it</x:v>
      </x:c>
      <x:c r="I1729" s="339" t="str">
        <x:v>each sees only authorized metrics, alerts and record-level drill-downs</x:v>
      </x:c>
      <x:c r="J1729" s="339" t="str">
        <x:v>Positive</x:v>
      </x:c>
      <x:c r="K1729" s="339" t="str">
        <x:v>Functional</x:v>
      </x:c>
    </x:row>
    <x:row r="1730">
      <x:c r="A1730" s="339" t="str">
        <x:v>AC-01729</x:v>
      </x:c>
      <x:c r="B1730" s="339" t="str">
        <x:v>US-0433</x:v>
      </x:c>
      <x:c r="C1730" s="339" t="str">
        <x:v>SCR-217</x:v>
      </x:c>
      <x:c r="D1730" s="339" t="str">
        <x:v>Health / Counselling / Discipline</x:v>
      </x:c>
      <x:c r="E1730" s="339" t="str">
        <x:v>Student Medical Profile</x:v>
      </x:c>
      <x:c r="F1730" s="339" t="str">
        <x:v>Authorized access to Student Medical Profile</x:v>
      </x:c>
      <x:c r="G1730" s="339" t="str">
        <x:v>the Nurse/Medical Officer is authenticated and has access to Student Medical Profile</x:v>
      </x:c>
      <x:c r="H1730" s="339" t="str">
        <x:v>the user opens or invokes Student Medical Profile</x:v>
      </x:c>
      <x:c r="I1730" s="339" t="str">
        <x:v>the system loads only records and actions within the user's permitted tenant/school/data scope</x:v>
      </x:c>
      <x:c r="J1730" s="339" t="str">
        <x:v>Positive</x:v>
      </x:c>
      <x:c r="K1730" s="339" t="str">
        <x:v>Functional / Security</x:v>
      </x:c>
    </x:row>
    <x:row r="1731">
      <x:c r="A1731" s="339" t="str">
        <x:v>AC-01730</x:v>
      </x:c>
      <x:c r="B1731" s="339" t="str">
        <x:v>US-0433</x:v>
      </x:c>
      <x:c r="C1731" s="339" t="str">
        <x:v>SCR-217</x:v>
      </x:c>
      <x:c r="D1731" s="339" t="str">
        <x:v>Health / Counselling / Discipline</x:v>
      </x:c>
      <x:c r="E1731" s="339" t="str">
        <x:v>Student Medical Profile</x:v>
      </x:c>
      <x:c r="F1731" s="339" t="str">
        <x:v>Successful Student Medical Profile happy path</x:v>
      </x:c>
      <x:c r="G1731" s="339" t="str">
        <x:v>all mandatory prerequisites and valid data are available</x:v>
      </x:c>
      <x:c r="H1731" s="339" t="str">
        <x:v>the Nurse/Medical Officer completes the primary action on Student Medical Profile</x:v>
      </x:c>
      <x:c r="I1731" s="339" t="str">
        <x:v>the system validates the request, saves it atomically, shows a clear confirmation and reflects the updated state</x:v>
      </x:c>
      <x:c r="J1731" s="339" t="str">
        <x:v>Positive</x:v>
      </x:c>
      <x:c r="K1731" s="339" t="str">
        <x:v>Functional</x:v>
      </x:c>
    </x:row>
    <x:row r="1732">
      <x:c r="A1732" s="339" t="str">
        <x:v>AC-01731</x:v>
      </x:c>
      <x:c r="B1732" s="339" t="str">
        <x:v>US-0433</x:v>
      </x:c>
      <x:c r="C1732" s="339" t="str">
        <x:v>SCR-217</x:v>
      </x:c>
      <x:c r="D1732" s="339" t="str">
        <x:v>Health / Counselling / Discipline</x:v>
      </x:c>
      <x:c r="E1732" s="339" t="str">
        <x:v>Student Medical Profile</x:v>
      </x:c>
      <x:c r="F1732" s="339" t="str">
        <x:v>State and dependency integrity</x:v>
      </x:c>
      <x:c r="G1732" s="339" t="str">
        <x:v>the current record is in an allowed state (Open → In Progress / Monitoring → Escalated (if needed) → Resolved / Closed)</x:v>
      </x:c>
      <x:c r="H1732" s="339" t="str">
        <x:v>the user attempts a state-changing action</x:v>
      </x:c>
      <x:c r="I1732" s="339" t="str">
        <x:v>only a valid transition is accepted and dependent records are updated according to configured business rules</x:v>
      </x:c>
      <x:c r="J1732" s="339" t="str">
        <x:v>Positive</x:v>
      </x:c>
      <x:c r="K1732" s="339" t="str">
        <x:v>Functional</x:v>
      </x:c>
    </x:row>
    <x:row r="1733">
      <x:c r="A1733" s="339" t="str">
        <x:v>AC-01732</x:v>
      </x:c>
      <x:c r="B1733" s="339" t="str">
        <x:v>US-0433</x:v>
      </x:c>
      <x:c r="C1733" s="339" t="str">
        <x:v>SCR-217</x:v>
      </x:c>
      <x:c r="D1733" s="339" t="str">
        <x:v>Health / Counselling / Discipline</x:v>
      </x:c>
      <x:c r="E1733" s="339" t="str">
        <x:v>Student Medical Profile</x:v>
      </x:c>
      <x:c r="F1733" s="339" t="str">
        <x:v>Auditability</x:v>
      </x:c>
      <x:c r="G1733" s="339" t="str">
        <x:v>a material create/update/approve/reverse action occurs</x:v>
      </x:c>
      <x:c r="H1733" s="339" t="str">
        <x:v>the transaction succeeds</x:v>
      </x:c>
      <x:c r="I1733" s="339" t="str">
        <x:v>the system records actor, timestamp, action, target and relevant before/after or reason context in the audit trail</x:v>
      </x:c>
      <x:c r="J1733" s="339" t="str">
        <x:v>Positive</x:v>
      </x:c>
      <x:c r="K1733" s="339" t="str">
        <x:v>Functional</x:v>
      </x:c>
    </x:row>
    <x:row r="1734">
      <x:c r="A1734" s="339" t="str">
        <x:v>AC-01733</x:v>
      </x:c>
      <x:c r="B1734" s="339" t="str">
        <x:v>US-0434</x:v>
      </x:c>
      <x:c r="C1734" s="339" t="str">
        <x:v>SCR-217</x:v>
      </x:c>
      <x:c r="D1734" s="339" t="str">
        <x:v>Health / Counselling / Discipline</x:v>
      </x:c>
      <x:c r="E1734" s="339" t="str">
        <x:v>Student Medical Profile</x:v>
      </x:c>
      <x:c r="F1734" s="339" t="str">
        <x:v>Complete authorized view</x:v>
      </x:c>
      <x:c r="G1734" s="339" t="str">
        <x:v>the record exists and the user is authorized</x:v>
      </x:c>
      <x:c r="H1734" s="339" t="str">
        <x:v>the detail/profile opens</x:v>
      </x:c>
      <x:c r="I1734" s="339" t="str">
        <x:v>the system loads the required summary, relationships and history while masking restricted fields</x:v>
      </x:c>
      <x:c r="J1734" s="339" t="str">
        <x:v>Positive</x:v>
      </x:c>
      <x:c r="K1734" s="339" t="str">
        <x:v>Functional / Security</x:v>
      </x:c>
    </x:row>
    <x:row r="1735">
      <x:c r="A1735" s="339" t="str">
        <x:v>AC-01734</x:v>
      </x:c>
      <x:c r="B1735" s="339" t="str">
        <x:v>US-0434</x:v>
      </x:c>
      <x:c r="C1735" s="339" t="str">
        <x:v>SCR-217</x:v>
      </x:c>
      <x:c r="D1735" s="339" t="str">
        <x:v>Health / Counselling / Discipline</x:v>
      </x:c>
      <x:c r="E1735" s="339" t="str">
        <x:v>Student Medical Profile</x:v>
      </x:c>
      <x:c r="F1735" s="339" t="str">
        <x:v>Controlled edit</x:v>
      </x:c>
      <x:c r="G1735" s="339" t="str">
        <x:v>the user has edit permission and the record is editable</x:v>
      </x:c>
      <x:c r="H1735" s="339" t="str">
        <x:v>the user saves a change</x:v>
      </x:c>
      <x:c r="I1735" s="339" t="str">
        <x:v>validation and state rules run before the update is committed</x:v>
      </x:c>
      <x:c r="J1735" s="339" t="str">
        <x:v>Positive</x:v>
      </x:c>
      <x:c r="K1735" s="339" t="str">
        <x:v>Functional</x:v>
      </x:c>
    </x:row>
    <x:row r="1736">
      <x:c r="A1736" s="339" t="str">
        <x:v>AC-01735</x:v>
      </x:c>
      <x:c r="B1736" s="339" t="str">
        <x:v>US-0434</x:v>
      </x:c>
      <x:c r="C1736" s="339" t="str">
        <x:v>SCR-217</x:v>
      </x:c>
      <x:c r="D1736" s="339" t="str">
        <x:v>Health / Counselling / Discipline</x:v>
      </x:c>
      <x:c r="E1736" s="339" t="str">
        <x:v>Student Medical Profile</x:v>
      </x:c>
      <x:c r="F1736" s="339" t="str">
        <x:v>Concurrent edit protection</x:v>
      </x:c>
      <x:c r="G1736" s="339" t="str">
        <x:v>another user has changed the record after it was loaded</x:v>
      </x:c>
      <x:c r="H1736" s="339" t="str">
        <x:v>the first user attempts to save stale data</x:v>
      </x:c>
      <x:c r="I1736" s="339" t="str">
        <x:v>the system detects the version conflict or preserves fields safely instead of silently overwriting</x:v>
      </x:c>
      <x:c r="J1736" s="339" t="str">
        <x:v>Positive</x:v>
      </x:c>
      <x:c r="K1736" s="339" t="str">
        <x:v>Functional</x:v>
      </x:c>
    </x:row>
    <x:row r="1737">
      <x:c r="A1737" s="339" t="str">
        <x:v>AC-01736</x:v>
      </x:c>
      <x:c r="B1737" s="339" t="str">
        <x:v>US-0434</x:v>
      </x:c>
      <x:c r="C1737" s="339" t="str">
        <x:v>SCR-217</x:v>
      </x:c>
      <x:c r="D1737" s="339" t="str">
        <x:v>Health / Counselling / Discipline</x:v>
      </x:c>
      <x:c r="E1737" s="339" t="str">
        <x:v>Student Medical Profile</x:v>
      </x:c>
      <x:c r="F1737" s="339" t="str">
        <x:v>History retention</x:v>
      </x:c>
      <x:c r="G1737" s="339" t="str">
        <x:v>the record has prior changes/statuses</x:v>
      </x:c>
      <x:c r="H1737" s="339" t="str">
        <x:v>the user views history</x:v>
      </x:c>
      <x:c r="I1737" s="339" t="str">
        <x:v>the audit/activity timeline shows traceable material changes without exposing restricted notes</x:v>
      </x:c>
      <x:c r="J1737" s="339" t="str">
        <x:v>Positive</x:v>
      </x:c>
      <x:c r="K1737" s="339" t="str">
        <x:v>Functional</x:v>
      </x:c>
    </x:row>
    <x:row r="1738">
      <x:c r="A1738" s="339" t="str">
        <x:v>AC-01737</x:v>
      </x:c>
      <x:c r="B1738" s="339" t="str">
        <x:v>US-0435</x:v>
      </x:c>
      <x:c r="C1738" s="339" t="str">
        <x:v>SCR-218</x:v>
      </x:c>
      <x:c r="D1738" s="339" t="str">
        <x:v>Health / Counselling / Discipline</x:v>
      </x:c>
      <x:c r="E1738" s="339" t="str">
        <x:v>Clinic Visit</x:v>
      </x:c>
      <x:c r="F1738" s="339" t="str">
        <x:v>Authorized access to Clinic Visit</x:v>
      </x:c>
      <x:c r="G1738" s="339" t="str">
        <x:v>the Nurse/Medical Officer is authenticated and has access to Clinic Visit</x:v>
      </x:c>
      <x:c r="H1738" s="339" t="str">
        <x:v>the user opens or invokes Clinic Visit</x:v>
      </x:c>
      <x:c r="I1738" s="339" t="str">
        <x:v>the system loads only records and actions within the user's permitted tenant/school/data scope</x:v>
      </x:c>
      <x:c r="J1738" s="339" t="str">
        <x:v>Positive</x:v>
      </x:c>
      <x:c r="K1738" s="339" t="str">
        <x:v>Functional / Security</x:v>
      </x:c>
    </x:row>
    <x:row r="1739">
      <x:c r="A1739" s="339" t="str">
        <x:v>AC-01738</x:v>
      </x:c>
      <x:c r="B1739" s="339" t="str">
        <x:v>US-0435</x:v>
      </x:c>
      <x:c r="C1739" s="339" t="str">
        <x:v>SCR-218</x:v>
      </x:c>
      <x:c r="D1739" s="339" t="str">
        <x:v>Health / Counselling / Discipline</x:v>
      </x:c>
      <x:c r="E1739" s="339" t="str">
        <x:v>Clinic Visit</x:v>
      </x:c>
      <x:c r="F1739" s="339" t="str">
        <x:v>Successful Clinic Visit happy path</x:v>
      </x:c>
      <x:c r="G1739" s="339" t="str">
        <x:v>all mandatory prerequisites and valid data are available</x:v>
      </x:c>
      <x:c r="H1739" s="339" t="str">
        <x:v>the Nurse/Medical Officer completes the primary action on Clinic Visit</x:v>
      </x:c>
      <x:c r="I1739" s="339" t="str">
        <x:v>the system validates the request, saves it atomically, shows a clear confirmation and reflects the updated state</x:v>
      </x:c>
      <x:c r="J1739" s="339" t="str">
        <x:v>Positive</x:v>
      </x:c>
      <x:c r="K1739" s="339" t="str">
        <x:v>Functional</x:v>
      </x:c>
    </x:row>
    <x:row r="1740">
      <x:c r="A1740" s="339" t="str">
        <x:v>AC-01739</x:v>
      </x:c>
      <x:c r="B1740" s="339" t="str">
        <x:v>US-0435</x:v>
      </x:c>
      <x:c r="C1740" s="339" t="str">
        <x:v>SCR-218</x:v>
      </x:c>
      <x:c r="D1740" s="339" t="str">
        <x:v>Health / Counselling / Discipline</x:v>
      </x:c>
      <x:c r="E1740" s="339" t="str">
        <x:v>Clinic Visit</x:v>
      </x:c>
      <x:c r="F1740" s="339" t="str">
        <x:v>State and dependency integrity</x:v>
      </x:c>
      <x:c r="G1740" s="339" t="str">
        <x:v>the current record is in an allowed state (Open → In Progress / Monitoring → Escalated (if needed) → Resolved / Closed)</x:v>
      </x:c>
      <x:c r="H1740" s="339" t="str">
        <x:v>the user attempts a state-changing action</x:v>
      </x:c>
      <x:c r="I1740" s="339" t="str">
        <x:v>only a valid transition is accepted and dependent records are updated according to configured business rules</x:v>
      </x:c>
      <x:c r="J1740" s="339" t="str">
        <x:v>Positive</x:v>
      </x:c>
      <x:c r="K1740" s="339" t="str">
        <x:v>Functional</x:v>
      </x:c>
    </x:row>
    <x:row r="1741">
      <x:c r="A1741" s="339" t="str">
        <x:v>AC-01740</x:v>
      </x:c>
      <x:c r="B1741" s="339" t="str">
        <x:v>US-0435</x:v>
      </x:c>
      <x:c r="C1741" s="339" t="str">
        <x:v>SCR-218</x:v>
      </x:c>
      <x:c r="D1741" s="339" t="str">
        <x:v>Health / Counselling / Discipline</x:v>
      </x:c>
      <x:c r="E1741" s="339" t="str">
        <x:v>Clinic Visit</x:v>
      </x:c>
      <x:c r="F1741" s="339" t="str">
        <x:v>Auditability</x:v>
      </x:c>
      <x:c r="G1741" s="339" t="str">
        <x:v>a material create/update/approve/reverse action occurs</x:v>
      </x:c>
      <x:c r="H1741" s="339" t="str">
        <x:v>the transaction succeeds</x:v>
      </x:c>
      <x:c r="I1741" s="339" t="str">
        <x:v>the system records actor, timestamp, action, target and relevant before/after or reason context in the audit trail</x:v>
      </x:c>
      <x:c r="J1741" s="339" t="str">
        <x:v>Positive</x:v>
      </x:c>
      <x:c r="K1741" s="339" t="str">
        <x:v>Functional</x:v>
      </x:c>
    </x:row>
    <x:row r="1742">
      <x:c r="A1742" s="339" t="str">
        <x:v>AC-01741</x:v>
      </x:c>
      <x:c r="B1742" s="339" t="str">
        <x:v>US-0436</x:v>
      </x:c>
      <x:c r="C1742" s="339" t="str">
        <x:v>SCR-218</x:v>
      </x:c>
      <x:c r="D1742" s="339" t="str">
        <x:v>Health / Counselling / Discipline</x:v>
      </x:c>
      <x:c r="E1742" s="339" t="str">
        <x:v>Clinic Visit</x:v>
      </x:c>
      <x:c r="F1742" s="339" t="str">
        <x:v>Valid status transition</x:v>
      </x:c>
      <x:c r="G1742" s="339" t="str">
        <x:v>the record is in a state described by Open → In Progress / Monitoring → Escalated (if needed) → Resolved / Closed</x:v>
      </x:c>
      <x:c r="H1742" s="339" t="str">
        <x:v>the user requests a transition</x:v>
      </x:c>
      <x:c r="I1742" s="339" t="str">
        <x:v>the system accepts only transitions allowed for that role and state</x:v>
      </x:c>
      <x:c r="J1742" s="339" t="str">
        <x:v>Positive</x:v>
      </x:c>
      <x:c r="K1742" s="339" t="str">
        <x:v>Functional</x:v>
      </x:c>
    </x:row>
    <x:row r="1743">
      <x:c r="A1743" s="339" t="str">
        <x:v>AC-01742</x:v>
      </x:c>
      <x:c r="B1743" s="339" t="str">
        <x:v>US-0436</x:v>
      </x:c>
      <x:c r="C1743" s="339" t="str">
        <x:v>SCR-218</x:v>
      </x:c>
      <x:c r="D1743" s="339" t="str">
        <x:v>Health / Counselling / Discipline</x:v>
      </x:c>
      <x:c r="E1743" s="339" t="str">
        <x:v>Clinic Visit</x:v>
      </x:c>
      <x:c r="F1743" s="339" t="str">
        <x:v>Approval authority</x:v>
      </x:c>
      <x:c r="G1743" s="339" t="str">
        <x:v>an action requires approval</x:v>
      </x:c>
      <x:c r="H1743" s="339" t="str">
        <x:v>a non-authorized user attempts approval/rejection</x:v>
      </x:c>
      <x:c r="I1743" s="339" t="str">
        <x:v>the system denies the decision and does not change status</x:v>
      </x:c>
      <x:c r="J1743" s="339" t="str">
        <x:v>Negative</x:v>
      </x:c>
      <x:c r="K1743" s="339" t="str">
        <x:v>Functional</x:v>
      </x:c>
    </x:row>
    <x:row r="1744">
      <x:c r="A1744" s="339" t="str">
        <x:v>AC-01743</x:v>
      </x:c>
      <x:c r="B1744" s="339" t="str">
        <x:v>US-0436</x:v>
      </x:c>
      <x:c r="C1744" s="339" t="str">
        <x:v>SCR-218</x:v>
      </x:c>
      <x:c r="D1744" s="339" t="str">
        <x:v>Health / Counselling / Discipline</x:v>
      </x:c>
      <x:c r="E1744" s="339" t="str">
        <x:v>Clinic Visit</x:v>
      </x:c>
      <x:c r="F1744" s="339" t="str">
        <x:v>Failure rollback</x:v>
      </x:c>
      <x:c r="G1744" s="339" t="str">
        <x:v>a downstream dependency fails during a multi-step transaction</x:v>
      </x:c>
      <x:c r="H1744" s="339" t="str">
        <x:v>the workflow executes</x:v>
      </x:c>
      <x:c r="I1744" s="339" t="str">
        <x:v>the system does not leave an invalid partial final state and surfaces a recoverable error</x:v>
      </x:c>
      <x:c r="J1744" s="339" t="str">
        <x:v>Positive</x:v>
      </x:c>
      <x:c r="K1744" s="339" t="str">
        <x:v>Functional</x:v>
      </x:c>
    </x:row>
    <x:row r="1745">
      <x:c r="A1745" s="339" t="str">
        <x:v>AC-01744</x:v>
      </x:c>
      <x:c r="B1745" s="339" t="str">
        <x:v>US-0436</x:v>
      </x:c>
      <x:c r="C1745" s="339" t="str">
        <x:v>SCR-218</x:v>
      </x:c>
      <x:c r="D1745" s="339" t="str">
        <x:v>Health / Counselling / Discipline</x:v>
      </x:c>
      <x:c r="E1745" s="339" t="str">
        <x:v>Clinic Visit</x:v>
      </x:c>
      <x:c r="F1745" s="339" t="str">
        <x:v>Exception traceability</x:v>
      </x:c>
      <x:c r="G1745" s="339" t="str">
        <x:v>an authorized override/exception is used</x:v>
      </x:c>
      <x:c r="H1745" s="339" t="str">
        <x:v>the action is confirmed</x:v>
      </x:c>
      <x:c r="I1745" s="339" t="str">
        <x:v>the system requires reason/context and records it in the audit history</x:v>
      </x:c>
      <x:c r="J1745" s="339" t="str">
        <x:v>Positive</x:v>
      </x:c>
      <x:c r="K1745" s="339" t="str">
        <x:v>Functional</x:v>
      </x:c>
    </x:row>
    <x:row r="1746">
      <x:c r="A1746" s="339" t="str">
        <x:v>AC-01745</x:v>
      </x:c>
      <x:c r="B1746" s="339" t="str">
        <x:v>US-0437</x:v>
      </x:c>
      <x:c r="C1746" s="339" t="str">
        <x:v>SCR-219</x:v>
      </x:c>
      <x:c r="D1746" s="339" t="str">
        <x:v>Health / Counselling / Discipline</x:v>
      </x:c>
      <x:c r="E1746" s="339" t="str">
        <x:v>Medication / First Aid</x:v>
      </x:c>
      <x:c r="F1746" s="339" t="str">
        <x:v>Authorized access to Medication / First Aid</x:v>
      </x:c>
      <x:c r="G1746" s="339" t="str">
        <x:v>the Nurse/Medical Officer is authenticated and has access to Medication / First Aid</x:v>
      </x:c>
      <x:c r="H1746" s="339" t="str">
        <x:v>the user opens or invokes Medication / First Aid</x:v>
      </x:c>
      <x:c r="I1746" s="339" t="str">
        <x:v>the system loads only records and actions within the user's permitted tenant/school/data scope</x:v>
      </x:c>
      <x:c r="J1746" s="339" t="str">
        <x:v>Positive</x:v>
      </x:c>
      <x:c r="K1746" s="339" t="str">
        <x:v>Functional / Security</x:v>
      </x:c>
    </x:row>
    <x:row r="1747">
      <x:c r="A1747" s="339" t="str">
        <x:v>AC-01746</x:v>
      </x:c>
      <x:c r="B1747" s="339" t="str">
        <x:v>US-0437</x:v>
      </x:c>
      <x:c r="C1747" s="339" t="str">
        <x:v>SCR-219</x:v>
      </x:c>
      <x:c r="D1747" s="339" t="str">
        <x:v>Health / Counselling / Discipline</x:v>
      </x:c>
      <x:c r="E1747" s="339" t="str">
        <x:v>Medication / First Aid</x:v>
      </x:c>
      <x:c r="F1747" s="339" t="str">
        <x:v>Successful Medication / First Aid happy path</x:v>
      </x:c>
      <x:c r="G1747" s="339" t="str">
        <x:v>all mandatory prerequisites and valid data are available</x:v>
      </x:c>
      <x:c r="H1747" s="339" t="str">
        <x:v>the Nurse/Medical Officer completes the primary action on Medication / First Aid</x:v>
      </x:c>
      <x:c r="I1747" s="339" t="str">
        <x:v>the system validates the request, saves it atomically, shows a clear confirmation and reflects the updated state</x:v>
      </x:c>
      <x:c r="J1747" s="339" t="str">
        <x:v>Positive</x:v>
      </x:c>
      <x:c r="K1747" s="339" t="str">
        <x:v>Functional</x:v>
      </x:c>
    </x:row>
    <x:row r="1748">
      <x:c r="A1748" s="339" t="str">
        <x:v>AC-01747</x:v>
      </x:c>
      <x:c r="B1748" s="339" t="str">
        <x:v>US-0437</x:v>
      </x:c>
      <x:c r="C1748" s="339" t="str">
        <x:v>SCR-219</x:v>
      </x:c>
      <x:c r="D1748" s="339" t="str">
        <x:v>Health / Counselling / Discipline</x:v>
      </x:c>
      <x:c r="E1748" s="339" t="str">
        <x:v>Medication / First Aid</x:v>
      </x:c>
      <x:c r="F1748" s="339" t="str">
        <x:v>State and dependency integrity</x:v>
      </x:c>
      <x:c r="G1748" s="339" t="str">
        <x:v>the current record is in an allowed state (Open → In Progress / Monitoring → Escalated (if needed) → Resolved / Closed)</x:v>
      </x:c>
      <x:c r="H1748" s="339" t="str">
        <x:v>the user attempts a state-changing action</x:v>
      </x:c>
      <x:c r="I1748" s="339" t="str">
        <x:v>only a valid transition is accepted and dependent records are updated according to configured business rules</x:v>
      </x:c>
      <x:c r="J1748" s="339" t="str">
        <x:v>Positive</x:v>
      </x:c>
      <x:c r="K1748" s="339" t="str">
        <x:v>Functional</x:v>
      </x:c>
    </x:row>
    <x:row r="1749">
      <x:c r="A1749" s="339" t="str">
        <x:v>AC-01748</x:v>
      </x:c>
      <x:c r="B1749" s="339" t="str">
        <x:v>US-0437</x:v>
      </x:c>
      <x:c r="C1749" s="339" t="str">
        <x:v>SCR-219</x:v>
      </x:c>
      <x:c r="D1749" s="339" t="str">
        <x:v>Health / Counselling / Discipline</x:v>
      </x:c>
      <x:c r="E1749" s="339" t="str">
        <x:v>Medication / First Aid</x:v>
      </x:c>
      <x:c r="F1749" s="339" t="str">
        <x:v>Auditability</x:v>
      </x:c>
      <x:c r="G1749" s="339" t="str">
        <x:v>a material create/update/approve/reverse action occurs</x:v>
      </x:c>
      <x:c r="H1749" s="339" t="str">
        <x:v>the transaction succeeds</x:v>
      </x:c>
      <x:c r="I1749" s="339" t="str">
        <x:v>the system records actor, timestamp, action, target and relevant before/after or reason context in the audit trail</x:v>
      </x:c>
      <x:c r="J1749" s="339" t="str">
        <x:v>Positive</x:v>
      </x:c>
      <x:c r="K1749" s="339" t="str">
        <x:v>Functional</x:v>
      </x:c>
    </x:row>
    <x:row r="1750">
      <x:c r="A1750" s="339" t="str">
        <x:v>AC-01749</x:v>
      </x:c>
      <x:c r="B1750" s="339" t="str">
        <x:v>US-0438</x:v>
      </x:c>
      <x:c r="C1750" s="339" t="str">
        <x:v>SCR-219</x:v>
      </x:c>
      <x:c r="D1750" s="339" t="str">
        <x:v>Health / Counselling / Discipline</x:v>
      </x:c>
      <x:c r="E1750" s="339" t="str">
        <x:v>Medication / First Aid</x:v>
      </x:c>
      <x:c r="F1750" s="339" t="str">
        <x:v>Valid status transition</x:v>
      </x:c>
      <x:c r="G1750" s="339" t="str">
        <x:v>the record is in a state described by Open → In Progress / Monitoring → Escalated (if needed) → Resolved / Closed</x:v>
      </x:c>
      <x:c r="H1750" s="339" t="str">
        <x:v>the user requests a transition</x:v>
      </x:c>
      <x:c r="I1750" s="339" t="str">
        <x:v>the system accepts only transitions allowed for that role and state</x:v>
      </x:c>
      <x:c r="J1750" s="339" t="str">
        <x:v>Positive</x:v>
      </x:c>
      <x:c r="K1750" s="339" t="str">
        <x:v>Functional</x:v>
      </x:c>
    </x:row>
    <x:row r="1751">
      <x:c r="A1751" s="339" t="str">
        <x:v>AC-01750</x:v>
      </x:c>
      <x:c r="B1751" s="339" t="str">
        <x:v>US-0438</x:v>
      </x:c>
      <x:c r="C1751" s="339" t="str">
        <x:v>SCR-219</x:v>
      </x:c>
      <x:c r="D1751" s="339" t="str">
        <x:v>Health / Counselling / Discipline</x:v>
      </x:c>
      <x:c r="E1751" s="339" t="str">
        <x:v>Medication / First Aid</x:v>
      </x:c>
      <x:c r="F1751" s="339" t="str">
        <x:v>Approval authority</x:v>
      </x:c>
      <x:c r="G1751" s="339" t="str">
        <x:v>an action requires approval</x:v>
      </x:c>
      <x:c r="H1751" s="339" t="str">
        <x:v>a non-authorized user attempts approval/rejection</x:v>
      </x:c>
      <x:c r="I1751" s="339" t="str">
        <x:v>the system denies the decision and does not change status</x:v>
      </x:c>
      <x:c r="J1751" s="339" t="str">
        <x:v>Negative</x:v>
      </x:c>
      <x:c r="K1751" s="339" t="str">
        <x:v>Functional</x:v>
      </x:c>
    </x:row>
    <x:row r="1752">
      <x:c r="A1752" s="339" t="str">
        <x:v>AC-01751</x:v>
      </x:c>
      <x:c r="B1752" s="339" t="str">
        <x:v>US-0438</x:v>
      </x:c>
      <x:c r="C1752" s="339" t="str">
        <x:v>SCR-219</x:v>
      </x:c>
      <x:c r="D1752" s="339" t="str">
        <x:v>Health / Counselling / Discipline</x:v>
      </x:c>
      <x:c r="E1752" s="339" t="str">
        <x:v>Medication / First Aid</x:v>
      </x:c>
      <x:c r="F1752" s="339" t="str">
        <x:v>Failure rollback</x:v>
      </x:c>
      <x:c r="G1752" s="339" t="str">
        <x:v>a downstream dependency fails during a multi-step transaction</x:v>
      </x:c>
      <x:c r="H1752" s="339" t="str">
        <x:v>the workflow executes</x:v>
      </x:c>
      <x:c r="I1752" s="339" t="str">
        <x:v>the system does not leave an invalid partial final state and surfaces a recoverable error</x:v>
      </x:c>
      <x:c r="J1752" s="339" t="str">
        <x:v>Positive</x:v>
      </x:c>
      <x:c r="K1752" s="339" t="str">
        <x:v>Functional</x:v>
      </x:c>
    </x:row>
    <x:row r="1753">
      <x:c r="A1753" s="339" t="str">
        <x:v>AC-01752</x:v>
      </x:c>
      <x:c r="B1753" s="339" t="str">
        <x:v>US-0438</x:v>
      </x:c>
      <x:c r="C1753" s="339" t="str">
        <x:v>SCR-219</x:v>
      </x:c>
      <x:c r="D1753" s="339" t="str">
        <x:v>Health / Counselling / Discipline</x:v>
      </x:c>
      <x:c r="E1753" s="339" t="str">
        <x:v>Medication / First Aid</x:v>
      </x:c>
      <x:c r="F1753" s="339" t="str">
        <x:v>Exception traceability</x:v>
      </x:c>
      <x:c r="G1753" s="339" t="str">
        <x:v>an authorized override/exception is used</x:v>
      </x:c>
      <x:c r="H1753" s="339" t="str">
        <x:v>the action is confirmed</x:v>
      </x:c>
      <x:c r="I1753" s="339" t="str">
        <x:v>the system requires reason/context and records it in the audit history</x:v>
      </x:c>
      <x:c r="J1753" s="339" t="str">
        <x:v>Positive</x:v>
      </x:c>
      <x:c r="K1753" s="339" t="str">
        <x:v>Functional</x:v>
      </x:c>
    </x:row>
    <x:row r="1754">
      <x:c r="A1754" s="339" t="str">
        <x:v>AC-01753</x:v>
      </x:c>
      <x:c r="B1754" s="339" t="str">
        <x:v>US-0439</x:v>
      </x:c>
      <x:c r="C1754" s="339" t="str">
        <x:v>SCR-220</x:v>
      </x:c>
      <x:c r="D1754" s="339" t="str">
        <x:v>Health / Counselling / Discipline</x:v>
      </x:c>
      <x:c r="E1754" s="339" t="str">
        <x:v>Immunization / Allergy</x:v>
      </x:c>
      <x:c r="F1754" s="339" t="str">
        <x:v>Authorized access to Immunization / Allergy</x:v>
      </x:c>
      <x:c r="G1754" s="339" t="str">
        <x:v>the Nurse/Medical Officer is authenticated and has access to Immunization / Allergy</x:v>
      </x:c>
      <x:c r="H1754" s="339" t="str">
        <x:v>the user opens or invokes Immunization / Allergy</x:v>
      </x:c>
      <x:c r="I1754" s="339" t="str">
        <x:v>the system loads only records and actions within the user's permitted tenant/school/data scope</x:v>
      </x:c>
      <x:c r="J1754" s="339" t="str">
        <x:v>Positive</x:v>
      </x:c>
      <x:c r="K1754" s="339" t="str">
        <x:v>Functional / Security</x:v>
      </x:c>
    </x:row>
    <x:row r="1755">
      <x:c r="A1755" s="339" t="str">
        <x:v>AC-01754</x:v>
      </x:c>
      <x:c r="B1755" s="339" t="str">
        <x:v>US-0439</x:v>
      </x:c>
      <x:c r="C1755" s="339" t="str">
        <x:v>SCR-220</x:v>
      </x:c>
      <x:c r="D1755" s="339" t="str">
        <x:v>Health / Counselling / Discipline</x:v>
      </x:c>
      <x:c r="E1755" s="339" t="str">
        <x:v>Immunization / Allergy</x:v>
      </x:c>
      <x:c r="F1755" s="339" t="str">
        <x:v>Successful Immunization / Allergy happy path</x:v>
      </x:c>
      <x:c r="G1755" s="339" t="str">
        <x:v>all mandatory prerequisites and valid data are available</x:v>
      </x:c>
      <x:c r="H1755" s="339" t="str">
        <x:v>the Nurse/Medical Officer completes the primary action on Immunization / Allergy</x:v>
      </x:c>
      <x:c r="I1755" s="339" t="str">
        <x:v>the system validates the request, saves it atomically, shows a clear confirmation and reflects the updated state</x:v>
      </x:c>
      <x:c r="J1755" s="339" t="str">
        <x:v>Positive</x:v>
      </x:c>
      <x:c r="K1755" s="339" t="str">
        <x:v>Functional</x:v>
      </x:c>
    </x:row>
    <x:row r="1756">
      <x:c r="A1756" s="339" t="str">
        <x:v>AC-01755</x:v>
      </x:c>
      <x:c r="B1756" s="339" t="str">
        <x:v>US-0439</x:v>
      </x:c>
      <x:c r="C1756" s="339" t="str">
        <x:v>SCR-220</x:v>
      </x:c>
      <x:c r="D1756" s="339" t="str">
        <x:v>Health / Counselling / Discipline</x:v>
      </x:c>
      <x:c r="E1756" s="339" t="str">
        <x:v>Immunization / Allergy</x:v>
      </x:c>
      <x:c r="F1756" s="339" t="str">
        <x:v>State and dependency integrity</x:v>
      </x:c>
      <x:c r="G1756" s="339" t="str">
        <x:v>the current record is in an allowed state (Open → In Progress / Monitoring → Escalated (if needed) → Resolved / Closed)</x:v>
      </x:c>
      <x:c r="H1756" s="339" t="str">
        <x:v>the user attempts a state-changing action</x:v>
      </x:c>
      <x:c r="I1756" s="339" t="str">
        <x:v>only a valid transition is accepted and dependent records are updated according to configured business rules</x:v>
      </x:c>
      <x:c r="J1756" s="339" t="str">
        <x:v>Positive</x:v>
      </x:c>
      <x:c r="K1756" s="339" t="str">
        <x:v>Functional</x:v>
      </x:c>
    </x:row>
    <x:row r="1757">
      <x:c r="A1757" s="339" t="str">
        <x:v>AC-01756</x:v>
      </x:c>
      <x:c r="B1757" s="339" t="str">
        <x:v>US-0439</x:v>
      </x:c>
      <x:c r="C1757" s="339" t="str">
        <x:v>SCR-220</x:v>
      </x:c>
      <x:c r="D1757" s="339" t="str">
        <x:v>Health / Counselling / Discipline</x:v>
      </x:c>
      <x:c r="E1757" s="339" t="str">
        <x:v>Immunization / Allergy</x:v>
      </x:c>
      <x:c r="F1757" s="339" t="str">
        <x:v>Auditability</x:v>
      </x:c>
      <x:c r="G1757" s="339" t="str">
        <x:v>a material create/update/approve/reverse action occurs</x:v>
      </x:c>
      <x:c r="H1757" s="339" t="str">
        <x:v>the transaction succeeds</x:v>
      </x:c>
      <x:c r="I1757" s="339" t="str">
        <x:v>the system records actor, timestamp, action, target and relevant before/after or reason context in the audit trail</x:v>
      </x:c>
      <x:c r="J1757" s="339" t="str">
        <x:v>Positive</x:v>
      </x:c>
      <x:c r="K1757" s="339" t="str">
        <x:v>Functional</x:v>
      </x:c>
    </x:row>
    <x:row r="1758">
      <x:c r="A1758" s="339" t="str">
        <x:v>AC-01757</x:v>
      </x:c>
      <x:c r="B1758" s="339" t="str">
        <x:v>US-0440</x:v>
      </x:c>
      <x:c r="C1758" s="339" t="str">
        <x:v>SCR-220</x:v>
      </x:c>
      <x:c r="D1758" s="339" t="str">
        <x:v>Health / Counselling / Discipline</x:v>
      </x:c>
      <x:c r="E1758" s="339" t="str">
        <x:v>Immunization / Allergy</x:v>
      </x:c>
      <x:c r="F1758" s="339" t="str">
        <x:v>Valid status transition</x:v>
      </x:c>
      <x:c r="G1758" s="339" t="str">
        <x:v>the record is in a state described by Open → In Progress / Monitoring → Escalated (if needed) → Resolved / Closed</x:v>
      </x:c>
      <x:c r="H1758" s="339" t="str">
        <x:v>the user requests a transition</x:v>
      </x:c>
      <x:c r="I1758" s="339" t="str">
        <x:v>the system accepts only transitions allowed for that role and state</x:v>
      </x:c>
      <x:c r="J1758" s="339" t="str">
        <x:v>Positive</x:v>
      </x:c>
      <x:c r="K1758" s="339" t="str">
        <x:v>Functional</x:v>
      </x:c>
    </x:row>
    <x:row r="1759">
      <x:c r="A1759" s="339" t="str">
        <x:v>AC-01758</x:v>
      </x:c>
      <x:c r="B1759" s="339" t="str">
        <x:v>US-0440</x:v>
      </x:c>
      <x:c r="C1759" s="339" t="str">
        <x:v>SCR-220</x:v>
      </x:c>
      <x:c r="D1759" s="339" t="str">
        <x:v>Health / Counselling / Discipline</x:v>
      </x:c>
      <x:c r="E1759" s="339" t="str">
        <x:v>Immunization / Allergy</x:v>
      </x:c>
      <x:c r="F1759" s="339" t="str">
        <x:v>Approval authority</x:v>
      </x:c>
      <x:c r="G1759" s="339" t="str">
        <x:v>an action requires approval</x:v>
      </x:c>
      <x:c r="H1759" s="339" t="str">
        <x:v>a non-authorized user attempts approval/rejection</x:v>
      </x:c>
      <x:c r="I1759" s="339" t="str">
        <x:v>the system denies the decision and does not change status</x:v>
      </x:c>
      <x:c r="J1759" s="339" t="str">
        <x:v>Negative</x:v>
      </x:c>
      <x:c r="K1759" s="339" t="str">
        <x:v>Functional</x:v>
      </x:c>
    </x:row>
    <x:row r="1760">
      <x:c r="A1760" s="339" t="str">
        <x:v>AC-01759</x:v>
      </x:c>
      <x:c r="B1760" s="339" t="str">
        <x:v>US-0440</x:v>
      </x:c>
      <x:c r="C1760" s="339" t="str">
        <x:v>SCR-220</x:v>
      </x:c>
      <x:c r="D1760" s="339" t="str">
        <x:v>Health / Counselling / Discipline</x:v>
      </x:c>
      <x:c r="E1760" s="339" t="str">
        <x:v>Immunization / Allergy</x:v>
      </x:c>
      <x:c r="F1760" s="339" t="str">
        <x:v>Failure rollback</x:v>
      </x:c>
      <x:c r="G1760" s="339" t="str">
        <x:v>a downstream dependency fails during a multi-step transaction</x:v>
      </x:c>
      <x:c r="H1760" s="339" t="str">
        <x:v>the workflow executes</x:v>
      </x:c>
      <x:c r="I1760" s="339" t="str">
        <x:v>the system does not leave an invalid partial final state and surfaces a recoverable error</x:v>
      </x:c>
      <x:c r="J1760" s="339" t="str">
        <x:v>Positive</x:v>
      </x:c>
      <x:c r="K1760" s="339" t="str">
        <x:v>Functional</x:v>
      </x:c>
    </x:row>
    <x:row r="1761">
      <x:c r="A1761" s="339" t="str">
        <x:v>AC-01760</x:v>
      </x:c>
      <x:c r="B1761" s="339" t="str">
        <x:v>US-0440</x:v>
      </x:c>
      <x:c r="C1761" s="339" t="str">
        <x:v>SCR-220</x:v>
      </x:c>
      <x:c r="D1761" s="339" t="str">
        <x:v>Health / Counselling / Discipline</x:v>
      </x:c>
      <x:c r="E1761" s="339" t="str">
        <x:v>Immunization / Allergy</x:v>
      </x:c>
      <x:c r="F1761" s="339" t="str">
        <x:v>Exception traceability</x:v>
      </x:c>
      <x:c r="G1761" s="339" t="str">
        <x:v>an authorized override/exception is used</x:v>
      </x:c>
      <x:c r="H1761" s="339" t="str">
        <x:v>the action is confirmed</x:v>
      </x:c>
      <x:c r="I1761" s="339" t="str">
        <x:v>the system requires reason/context and records it in the audit history</x:v>
      </x:c>
      <x:c r="J1761" s="339" t="str">
        <x:v>Positive</x:v>
      </x:c>
      <x:c r="K1761" s="339" t="str">
        <x:v>Functional</x:v>
      </x:c>
    </x:row>
    <x:row r="1762">
      <x:c r="A1762" s="339" t="str">
        <x:v>AC-01761</x:v>
      </x:c>
      <x:c r="B1762" s="339" t="str">
        <x:v>US-0441</x:v>
      </x:c>
      <x:c r="C1762" s="339" t="str">
        <x:v>SCR-221</x:v>
      </x:c>
      <x:c r="D1762" s="339" t="str">
        <x:v>Health / Counselling / Discipline</x:v>
      </x:c>
      <x:c r="E1762" s="339" t="str">
        <x:v>Counselling Appointments</x:v>
      </x:c>
      <x:c r="F1762" s="339" t="str">
        <x:v>Authorized access to Counselling Appointments</x:v>
      </x:c>
      <x:c r="G1762" s="339" t="str">
        <x:v>the Nurse/Medical Officer is authenticated and has access to Counselling Appointments</x:v>
      </x:c>
      <x:c r="H1762" s="339" t="str">
        <x:v>the user opens or invokes Counselling Appointments</x:v>
      </x:c>
      <x:c r="I1762" s="339" t="str">
        <x:v>the system loads only records and actions within the user's permitted tenant/school/data scope</x:v>
      </x:c>
      <x:c r="J1762" s="339" t="str">
        <x:v>Positive</x:v>
      </x:c>
      <x:c r="K1762" s="339" t="str">
        <x:v>Functional / Security</x:v>
      </x:c>
    </x:row>
    <x:row r="1763">
      <x:c r="A1763" s="339" t="str">
        <x:v>AC-01762</x:v>
      </x:c>
      <x:c r="B1763" s="339" t="str">
        <x:v>US-0441</x:v>
      </x:c>
      <x:c r="C1763" s="339" t="str">
        <x:v>SCR-221</x:v>
      </x:c>
      <x:c r="D1763" s="339" t="str">
        <x:v>Health / Counselling / Discipline</x:v>
      </x:c>
      <x:c r="E1763" s="339" t="str">
        <x:v>Counselling Appointments</x:v>
      </x:c>
      <x:c r="F1763" s="339" t="str">
        <x:v>Successful Counselling Appointments happy path</x:v>
      </x:c>
      <x:c r="G1763" s="339" t="str">
        <x:v>all mandatory prerequisites and valid data are available</x:v>
      </x:c>
      <x:c r="H1763" s="339" t="str">
        <x:v>the Nurse/Medical Officer completes the primary action on Counselling Appointments</x:v>
      </x:c>
      <x:c r="I1763" s="339" t="str">
        <x:v>the system validates the request, saves it atomically, shows a clear confirmation and reflects the updated state</x:v>
      </x:c>
      <x:c r="J1763" s="339" t="str">
        <x:v>Positive</x:v>
      </x:c>
      <x:c r="K1763" s="339" t="str">
        <x:v>Functional</x:v>
      </x:c>
    </x:row>
    <x:row r="1764">
      <x:c r="A1764" s="339" t="str">
        <x:v>AC-01763</x:v>
      </x:c>
      <x:c r="B1764" s="339" t="str">
        <x:v>US-0441</x:v>
      </x:c>
      <x:c r="C1764" s="339" t="str">
        <x:v>SCR-221</x:v>
      </x:c>
      <x:c r="D1764" s="339" t="str">
        <x:v>Health / Counselling / Discipline</x:v>
      </x:c>
      <x:c r="E1764" s="339" t="str">
        <x:v>Counselling Appointments</x:v>
      </x:c>
      <x:c r="F1764" s="339" t="str">
        <x:v>State and dependency integrity</x:v>
      </x:c>
      <x:c r="G1764" s="339" t="str">
        <x:v>the current record is in an allowed state (Open → In Progress / Monitoring → Escalated (if needed) → Resolved / Closed)</x:v>
      </x:c>
      <x:c r="H1764" s="339" t="str">
        <x:v>the user attempts a state-changing action</x:v>
      </x:c>
      <x:c r="I1764" s="339" t="str">
        <x:v>only a valid transition is accepted and dependent records are updated according to configured business rules</x:v>
      </x:c>
      <x:c r="J1764" s="339" t="str">
        <x:v>Positive</x:v>
      </x:c>
      <x:c r="K1764" s="339" t="str">
        <x:v>Functional</x:v>
      </x:c>
    </x:row>
    <x:row r="1765">
      <x:c r="A1765" s="339" t="str">
        <x:v>AC-01764</x:v>
      </x:c>
      <x:c r="B1765" s="339" t="str">
        <x:v>US-0441</x:v>
      </x:c>
      <x:c r="C1765" s="339" t="str">
        <x:v>SCR-221</x:v>
      </x:c>
      <x:c r="D1765" s="339" t="str">
        <x:v>Health / Counselling / Discipline</x:v>
      </x:c>
      <x:c r="E1765" s="339" t="str">
        <x:v>Counselling Appointments</x:v>
      </x:c>
      <x:c r="F1765" s="339" t="str">
        <x:v>Auditability</x:v>
      </x:c>
      <x:c r="G1765" s="339" t="str">
        <x:v>a material create/update/approve/reverse action occurs</x:v>
      </x:c>
      <x:c r="H1765" s="339" t="str">
        <x:v>the transaction succeeds</x:v>
      </x:c>
      <x:c r="I1765" s="339" t="str">
        <x:v>the system records actor, timestamp, action, target and relevant before/after or reason context in the audit trail</x:v>
      </x:c>
      <x:c r="J1765" s="339" t="str">
        <x:v>Positive</x:v>
      </x:c>
      <x:c r="K1765" s="339" t="str">
        <x:v>Functional</x:v>
      </x:c>
    </x:row>
    <x:row r="1766">
      <x:c r="A1766" s="339" t="str">
        <x:v>AC-01765</x:v>
      </x:c>
      <x:c r="B1766" s="339" t="str">
        <x:v>US-0442</x:v>
      </x:c>
      <x:c r="C1766" s="339" t="str">
        <x:v>SCR-221</x:v>
      </x:c>
      <x:c r="D1766" s="339" t="str">
        <x:v>Health / Counselling / Discipline</x:v>
      </x:c>
      <x:c r="E1766" s="339" t="str">
        <x:v>Counselling Appointments</x:v>
      </x:c>
      <x:c r="F1766" s="339" t="str">
        <x:v>Valid status transition</x:v>
      </x:c>
      <x:c r="G1766" s="339" t="str">
        <x:v>the record is in a state described by Open → In Progress / Monitoring → Escalated (if needed) → Resolved / Closed</x:v>
      </x:c>
      <x:c r="H1766" s="339" t="str">
        <x:v>the user requests a transition</x:v>
      </x:c>
      <x:c r="I1766" s="339" t="str">
        <x:v>the system accepts only transitions allowed for that role and state</x:v>
      </x:c>
      <x:c r="J1766" s="339" t="str">
        <x:v>Positive</x:v>
      </x:c>
      <x:c r="K1766" s="339" t="str">
        <x:v>Functional</x:v>
      </x:c>
    </x:row>
    <x:row r="1767">
      <x:c r="A1767" s="339" t="str">
        <x:v>AC-01766</x:v>
      </x:c>
      <x:c r="B1767" s="339" t="str">
        <x:v>US-0442</x:v>
      </x:c>
      <x:c r="C1767" s="339" t="str">
        <x:v>SCR-221</x:v>
      </x:c>
      <x:c r="D1767" s="339" t="str">
        <x:v>Health / Counselling / Discipline</x:v>
      </x:c>
      <x:c r="E1767" s="339" t="str">
        <x:v>Counselling Appointments</x:v>
      </x:c>
      <x:c r="F1767" s="339" t="str">
        <x:v>Approval authority</x:v>
      </x:c>
      <x:c r="G1767" s="339" t="str">
        <x:v>an action requires approval</x:v>
      </x:c>
      <x:c r="H1767" s="339" t="str">
        <x:v>a non-authorized user attempts approval/rejection</x:v>
      </x:c>
      <x:c r="I1767" s="339" t="str">
        <x:v>the system denies the decision and does not change status</x:v>
      </x:c>
      <x:c r="J1767" s="339" t="str">
        <x:v>Negative</x:v>
      </x:c>
      <x:c r="K1767" s="339" t="str">
        <x:v>Functional</x:v>
      </x:c>
    </x:row>
    <x:row r="1768">
      <x:c r="A1768" s="339" t="str">
        <x:v>AC-01767</x:v>
      </x:c>
      <x:c r="B1768" s="339" t="str">
        <x:v>US-0442</x:v>
      </x:c>
      <x:c r="C1768" s="339" t="str">
        <x:v>SCR-221</x:v>
      </x:c>
      <x:c r="D1768" s="339" t="str">
        <x:v>Health / Counselling / Discipline</x:v>
      </x:c>
      <x:c r="E1768" s="339" t="str">
        <x:v>Counselling Appointments</x:v>
      </x:c>
      <x:c r="F1768" s="339" t="str">
        <x:v>Failure rollback</x:v>
      </x:c>
      <x:c r="G1768" s="339" t="str">
        <x:v>a downstream dependency fails during a multi-step transaction</x:v>
      </x:c>
      <x:c r="H1768" s="339" t="str">
        <x:v>the workflow executes</x:v>
      </x:c>
      <x:c r="I1768" s="339" t="str">
        <x:v>the system does not leave an invalid partial final state and surfaces a recoverable error</x:v>
      </x:c>
      <x:c r="J1768" s="339" t="str">
        <x:v>Positive</x:v>
      </x:c>
      <x:c r="K1768" s="339" t="str">
        <x:v>Functional</x:v>
      </x:c>
    </x:row>
    <x:row r="1769">
      <x:c r="A1769" s="339" t="str">
        <x:v>AC-01768</x:v>
      </x:c>
      <x:c r="B1769" s="339" t="str">
        <x:v>US-0442</x:v>
      </x:c>
      <x:c r="C1769" s="339" t="str">
        <x:v>SCR-221</x:v>
      </x:c>
      <x:c r="D1769" s="339" t="str">
        <x:v>Health / Counselling / Discipline</x:v>
      </x:c>
      <x:c r="E1769" s="339" t="str">
        <x:v>Counselling Appointments</x:v>
      </x:c>
      <x:c r="F1769" s="339" t="str">
        <x:v>Exception traceability</x:v>
      </x:c>
      <x:c r="G1769" s="339" t="str">
        <x:v>an authorized override/exception is used</x:v>
      </x:c>
      <x:c r="H1769" s="339" t="str">
        <x:v>the action is confirmed</x:v>
      </x:c>
      <x:c r="I1769" s="339" t="str">
        <x:v>the system requires reason/context and records it in the audit history</x:v>
      </x:c>
      <x:c r="J1769" s="339" t="str">
        <x:v>Positive</x:v>
      </x:c>
      <x:c r="K1769" s="339" t="str">
        <x:v>Functional</x:v>
      </x:c>
    </x:row>
    <x:row r="1770">
      <x:c r="A1770" s="339" t="str">
        <x:v>AC-01769</x:v>
      </x:c>
      <x:c r="B1770" s="339" t="str">
        <x:v>US-0443</x:v>
      </x:c>
      <x:c r="C1770" s="339" t="str">
        <x:v>SCR-222</x:v>
      </x:c>
      <x:c r="D1770" s="339" t="str">
        <x:v>Health / Counselling / Discipline</x:v>
      </x:c>
      <x:c r="E1770" s="339" t="str">
        <x:v>Counselling Case Notes</x:v>
      </x:c>
      <x:c r="F1770" s="339" t="str">
        <x:v>Authorized access to Counselling Case Notes</x:v>
      </x:c>
      <x:c r="G1770" s="339" t="str">
        <x:v>the Nurse/Medical Officer is authenticated and has access to Counselling Case Notes</x:v>
      </x:c>
      <x:c r="H1770" s="339" t="str">
        <x:v>the user opens or invokes Counselling Case Notes</x:v>
      </x:c>
      <x:c r="I1770" s="339" t="str">
        <x:v>the system loads only records and actions within the user's permitted tenant/school/data scope</x:v>
      </x:c>
      <x:c r="J1770" s="339" t="str">
        <x:v>Positive</x:v>
      </x:c>
      <x:c r="K1770" s="339" t="str">
        <x:v>Functional / Security</x:v>
      </x:c>
    </x:row>
    <x:row r="1771">
      <x:c r="A1771" s="339" t="str">
        <x:v>AC-01770</x:v>
      </x:c>
      <x:c r="B1771" s="339" t="str">
        <x:v>US-0443</x:v>
      </x:c>
      <x:c r="C1771" s="339" t="str">
        <x:v>SCR-222</x:v>
      </x:c>
      <x:c r="D1771" s="339" t="str">
        <x:v>Health / Counselling / Discipline</x:v>
      </x:c>
      <x:c r="E1771" s="339" t="str">
        <x:v>Counselling Case Notes</x:v>
      </x:c>
      <x:c r="F1771" s="339" t="str">
        <x:v>Successful Counselling Case Notes happy path</x:v>
      </x:c>
      <x:c r="G1771" s="339" t="str">
        <x:v>all mandatory prerequisites and valid data are available</x:v>
      </x:c>
      <x:c r="H1771" s="339" t="str">
        <x:v>the Nurse/Medical Officer completes the primary action on Counselling Case Notes</x:v>
      </x:c>
      <x:c r="I1771" s="339" t="str">
        <x:v>the system validates the request, saves it atomically, shows a clear confirmation and reflects the updated state</x:v>
      </x:c>
      <x:c r="J1771" s="339" t="str">
        <x:v>Positive</x:v>
      </x:c>
      <x:c r="K1771" s="339" t="str">
        <x:v>Functional</x:v>
      </x:c>
    </x:row>
    <x:row r="1772">
      <x:c r="A1772" s="339" t="str">
        <x:v>AC-01771</x:v>
      </x:c>
      <x:c r="B1772" s="339" t="str">
        <x:v>US-0443</x:v>
      </x:c>
      <x:c r="C1772" s="339" t="str">
        <x:v>SCR-222</x:v>
      </x:c>
      <x:c r="D1772" s="339" t="str">
        <x:v>Health / Counselling / Discipline</x:v>
      </x:c>
      <x:c r="E1772" s="339" t="str">
        <x:v>Counselling Case Notes</x:v>
      </x:c>
      <x:c r="F1772" s="339" t="str">
        <x:v>State and dependency integrity</x:v>
      </x:c>
      <x:c r="G1772" s="339" t="str">
        <x:v>the current record is in an allowed state (Open → In Progress / Monitoring → Escalated (if needed) → Resolved / Closed)</x:v>
      </x:c>
      <x:c r="H1772" s="339" t="str">
        <x:v>the user attempts a state-changing action</x:v>
      </x:c>
      <x:c r="I1772" s="339" t="str">
        <x:v>only a valid transition is accepted and dependent records are updated according to configured business rules</x:v>
      </x:c>
      <x:c r="J1772" s="339" t="str">
        <x:v>Positive</x:v>
      </x:c>
      <x:c r="K1772" s="339" t="str">
        <x:v>Functional</x:v>
      </x:c>
    </x:row>
    <x:row r="1773">
      <x:c r="A1773" s="339" t="str">
        <x:v>AC-01772</x:v>
      </x:c>
      <x:c r="B1773" s="339" t="str">
        <x:v>US-0443</x:v>
      </x:c>
      <x:c r="C1773" s="339" t="str">
        <x:v>SCR-222</x:v>
      </x:c>
      <x:c r="D1773" s="339" t="str">
        <x:v>Health / Counselling / Discipline</x:v>
      </x:c>
      <x:c r="E1773" s="339" t="str">
        <x:v>Counselling Case Notes</x:v>
      </x:c>
      <x:c r="F1773" s="339" t="str">
        <x:v>Auditability</x:v>
      </x:c>
      <x:c r="G1773" s="339" t="str">
        <x:v>a material create/update/approve/reverse action occurs</x:v>
      </x:c>
      <x:c r="H1773" s="339" t="str">
        <x:v>the transaction succeeds</x:v>
      </x:c>
      <x:c r="I1773" s="339" t="str">
        <x:v>the system records actor, timestamp, action, target and relevant before/after or reason context in the audit trail</x:v>
      </x:c>
      <x:c r="J1773" s="339" t="str">
        <x:v>Positive</x:v>
      </x:c>
      <x:c r="K1773" s="339" t="str">
        <x:v>Functional</x:v>
      </x:c>
    </x:row>
    <x:row r="1774">
      <x:c r="A1774" s="339" t="str">
        <x:v>AC-01773</x:v>
      </x:c>
      <x:c r="B1774" s="339" t="str">
        <x:v>US-0444</x:v>
      </x:c>
      <x:c r="C1774" s="339" t="str">
        <x:v>SCR-222</x:v>
      </x:c>
      <x:c r="D1774" s="339" t="str">
        <x:v>Health / Counselling / Discipline</x:v>
      </x:c>
      <x:c r="E1774" s="339" t="str">
        <x:v>Counselling Case Notes</x:v>
      </x:c>
      <x:c r="F1774" s="339" t="str">
        <x:v>Valid status transition</x:v>
      </x:c>
      <x:c r="G1774" s="339" t="str">
        <x:v>the record is in a state described by Open → In Progress / Monitoring → Escalated (if needed) → Resolved / Closed</x:v>
      </x:c>
      <x:c r="H1774" s="339" t="str">
        <x:v>the user requests a transition</x:v>
      </x:c>
      <x:c r="I1774" s="339" t="str">
        <x:v>the system accepts only transitions allowed for that role and state</x:v>
      </x:c>
      <x:c r="J1774" s="339" t="str">
        <x:v>Positive</x:v>
      </x:c>
      <x:c r="K1774" s="339" t="str">
        <x:v>Functional</x:v>
      </x:c>
    </x:row>
    <x:row r="1775">
      <x:c r="A1775" s="339" t="str">
        <x:v>AC-01774</x:v>
      </x:c>
      <x:c r="B1775" s="339" t="str">
        <x:v>US-0444</x:v>
      </x:c>
      <x:c r="C1775" s="339" t="str">
        <x:v>SCR-222</x:v>
      </x:c>
      <x:c r="D1775" s="339" t="str">
        <x:v>Health / Counselling / Discipline</x:v>
      </x:c>
      <x:c r="E1775" s="339" t="str">
        <x:v>Counselling Case Notes</x:v>
      </x:c>
      <x:c r="F1775" s="339" t="str">
        <x:v>Approval authority</x:v>
      </x:c>
      <x:c r="G1775" s="339" t="str">
        <x:v>an action requires approval</x:v>
      </x:c>
      <x:c r="H1775" s="339" t="str">
        <x:v>a non-authorized user attempts approval/rejection</x:v>
      </x:c>
      <x:c r="I1775" s="339" t="str">
        <x:v>the system denies the decision and does not change status</x:v>
      </x:c>
      <x:c r="J1775" s="339" t="str">
        <x:v>Negative</x:v>
      </x:c>
      <x:c r="K1775" s="339" t="str">
        <x:v>Functional</x:v>
      </x:c>
    </x:row>
    <x:row r="1776">
      <x:c r="A1776" s="339" t="str">
        <x:v>AC-01775</x:v>
      </x:c>
      <x:c r="B1776" s="339" t="str">
        <x:v>US-0444</x:v>
      </x:c>
      <x:c r="C1776" s="339" t="str">
        <x:v>SCR-222</x:v>
      </x:c>
      <x:c r="D1776" s="339" t="str">
        <x:v>Health / Counselling / Discipline</x:v>
      </x:c>
      <x:c r="E1776" s="339" t="str">
        <x:v>Counselling Case Notes</x:v>
      </x:c>
      <x:c r="F1776" s="339" t="str">
        <x:v>Failure rollback</x:v>
      </x:c>
      <x:c r="G1776" s="339" t="str">
        <x:v>a downstream dependency fails during a multi-step transaction</x:v>
      </x:c>
      <x:c r="H1776" s="339" t="str">
        <x:v>the workflow executes</x:v>
      </x:c>
      <x:c r="I1776" s="339" t="str">
        <x:v>the system does not leave an invalid partial final state and surfaces a recoverable error</x:v>
      </x:c>
      <x:c r="J1776" s="339" t="str">
        <x:v>Positive</x:v>
      </x:c>
      <x:c r="K1776" s="339" t="str">
        <x:v>Functional</x:v>
      </x:c>
    </x:row>
    <x:row r="1777">
      <x:c r="A1777" s="339" t="str">
        <x:v>AC-01776</x:v>
      </x:c>
      <x:c r="B1777" s="339" t="str">
        <x:v>US-0444</x:v>
      </x:c>
      <x:c r="C1777" s="339" t="str">
        <x:v>SCR-222</x:v>
      </x:c>
      <x:c r="D1777" s="339" t="str">
        <x:v>Health / Counselling / Discipline</x:v>
      </x:c>
      <x:c r="E1777" s="339" t="str">
        <x:v>Counselling Case Notes</x:v>
      </x:c>
      <x:c r="F1777" s="339" t="str">
        <x:v>Exception traceability</x:v>
      </x:c>
      <x:c r="G1777" s="339" t="str">
        <x:v>an authorized override/exception is used</x:v>
      </x:c>
      <x:c r="H1777" s="339" t="str">
        <x:v>the action is confirmed</x:v>
      </x:c>
      <x:c r="I1777" s="339" t="str">
        <x:v>the system requires reason/context and records it in the audit history</x:v>
      </x:c>
      <x:c r="J1777" s="339" t="str">
        <x:v>Positive</x:v>
      </x:c>
      <x:c r="K1777" s="339" t="str">
        <x:v>Functional</x:v>
      </x:c>
    </x:row>
    <x:row r="1778">
      <x:c r="A1778" s="339" t="str">
        <x:v>AC-01777</x:v>
      </x:c>
      <x:c r="B1778" s="339" t="str">
        <x:v>US-0445</x:v>
      </x:c>
      <x:c r="C1778" s="339" t="str">
        <x:v>SCR-223</x:v>
      </x:c>
      <x:c r="D1778" s="339" t="str">
        <x:v>Health / Counselling / Discipline</x:v>
      </x:c>
      <x:c r="E1778" s="339" t="str">
        <x:v>Behaviour / Discipline Incidents</x:v>
      </x:c>
      <x:c r="F1778" s="339" t="str">
        <x:v>Authorized access to Behaviour / Discipline Incidents</x:v>
      </x:c>
      <x:c r="G1778" s="339" t="str">
        <x:v>the Nurse/Medical Officer is authenticated and has access to Behaviour / Discipline Incidents</x:v>
      </x:c>
      <x:c r="H1778" s="339" t="str">
        <x:v>the user opens or invokes Behaviour / Discipline Incidents</x:v>
      </x:c>
      <x:c r="I1778" s="339" t="str">
        <x:v>the system loads only records and actions within the user's permitted tenant/school/data scope</x:v>
      </x:c>
      <x:c r="J1778" s="339" t="str">
        <x:v>Positive</x:v>
      </x:c>
      <x:c r="K1778" s="339" t="str">
        <x:v>Functional / Security</x:v>
      </x:c>
    </x:row>
    <x:row r="1779">
      <x:c r="A1779" s="339" t="str">
        <x:v>AC-01778</x:v>
      </x:c>
      <x:c r="B1779" s="339" t="str">
        <x:v>US-0445</x:v>
      </x:c>
      <x:c r="C1779" s="339" t="str">
        <x:v>SCR-223</x:v>
      </x:c>
      <x:c r="D1779" s="339" t="str">
        <x:v>Health / Counselling / Discipline</x:v>
      </x:c>
      <x:c r="E1779" s="339" t="str">
        <x:v>Behaviour / Discipline Incidents</x:v>
      </x:c>
      <x:c r="F1779" s="339" t="str">
        <x:v>Successful Behaviour / Discipline Incidents happy path</x:v>
      </x:c>
      <x:c r="G1779" s="339" t="str">
        <x:v>all mandatory prerequisites and valid data are available</x:v>
      </x:c>
      <x:c r="H1779" s="339" t="str">
        <x:v>the Nurse/Medical Officer completes the primary action on Behaviour / Discipline Incidents</x:v>
      </x:c>
      <x:c r="I1779" s="339" t="str">
        <x:v>the system validates the request, saves it atomically, shows a clear confirmation and reflects the updated state</x:v>
      </x:c>
      <x:c r="J1779" s="339" t="str">
        <x:v>Positive</x:v>
      </x:c>
      <x:c r="K1779" s="339" t="str">
        <x:v>Functional</x:v>
      </x:c>
    </x:row>
    <x:row r="1780">
      <x:c r="A1780" s="339" t="str">
        <x:v>AC-01779</x:v>
      </x:c>
      <x:c r="B1780" s="339" t="str">
        <x:v>US-0445</x:v>
      </x:c>
      <x:c r="C1780" s="339" t="str">
        <x:v>SCR-223</x:v>
      </x:c>
      <x:c r="D1780" s="339" t="str">
        <x:v>Health / Counselling / Discipline</x:v>
      </x:c>
      <x:c r="E1780" s="339" t="str">
        <x:v>Behaviour / Discipline Incidents</x:v>
      </x:c>
      <x:c r="F1780" s="339" t="str">
        <x:v>State and dependency integrity</x:v>
      </x:c>
      <x:c r="G1780" s="339" t="str">
        <x:v>the current record is in an allowed state (Open → In Progress / Monitoring → Escalated (if needed) → Resolved / Closed)</x:v>
      </x:c>
      <x:c r="H1780" s="339" t="str">
        <x:v>the user attempts a state-changing action</x:v>
      </x:c>
      <x:c r="I1780" s="339" t="str">
        <x:v>only a valid transition is accepted and dependent records are updated according to configured business rules</x:v>
      </x:c>
      <x:c r="J1780" s="339" t="str">
        <x:v>Positive</x:v>
      </x:c>
      <x:c r="K1780" s="339" t="str">
        <x:v>Functional</x:v>
      </x:c>
    </x:row>
    <x:row r="1781">
      <x:c r="A1781" s="339" t="str">
        <x:v>AC-01780</x:v>
      </x:c>
      <x:c r="B1781" s="339" t="str">
        <x:v>US-0445</x:v>
      </x:c>
      <x:c r="C1781" s="339" t="str">
        <x:v>SCR-223</x:v>
      </x:c>
      <x:c r="D1781" s="339" t="str">
        <x:v>Health / Counselling / Discipline</x:v>
      </x:c>
      <x:c r="E1781" s="339" t="str">
        <x:v>Behaviour / Discipline Incidents</x:v>
      </x:c>
      <x:c r="F1781" s="339" t="str">
        <x:v>Auditability</x:v>
      </x:c>
      <x:c r="G1781" s="339" t="str">
        <x:v>a material create/update/approve/reverse action occurs</x:v>
      </x:c>
      <x:c r="H1781" s="339" t="str">
        <x:v>the transaction succeeds</x:v>
      </x:c>
      <x:c r="I1781" s="339" t="str">
        <x:v>the system records actor, timestamp, action, target and relevant before/after or reason context in the audit trail</x:v>
      </x:c>
      <x:c r="J1781" s="339" t="str">
        <x:v>Positive</x:v>
      </x:c>
      <x:c r="K1781" s="339" t="str">
        <x:v>Functional</x:v>
      </x:c>
    </x:row>
    <x:row r="1782">
      <x:c r="A1782" s="339" t="str">
        <x:v>AC-01781</x:v>
      </x:c>
      <x:c r="B1782" s="339" t="str">
        <x:v>US-0446</x:v>
      </x:c>
      <x:c r="C1782" s="339" t="str">
        <x:v>SCR-223</x:v>
      </x:c>
      <x:c r="D1782" s="339" t="str">
        <x:v>Health / Counselling / Discipline</x:v>
      </x:c>
      <x:c r="E1782" s="339" t="str">
        <x:v>Behaviour / Discipline Incidents</x:v>
      </x:c>
      <x:c r="F1782" s="339" t="str">
        <x:v>Search and filtering</x:v>
      </x:c>
      <x:c r="G1782" s="339" t="str">
        <x:v>authorized records exist across multiple values</x:v>
      </x:c>
      <x:c r="H1782" s="339" t="str">
        <x:v>the user applies search, filters, sorting or pagination</x:v>
      </x:c>
      <x:c r="I1782" s="339" t="str">
        <x:v>the results match all selected criteria and remain within the user's data scope</x:v>
      </x:c>
      <x:c r="J1782" s="339" t="str">
        <x:v>Positive</x:v>
      </x:c>
      <x:c r="K1782" s="339" t="str">
        <x:v>Functional</x:v>
      </x:c>
    </x:row>
    <x:row r="1783">
      <x:c r="A1783" s="339" t="str">
        <x:v>AC-01782</x:v>
      </x:c>
      <x:c r="B1783" s="339" t="str">
        <x:v>US-0446</x:v>
      </x:c>
      <x:c r="C1783" s="339" t="str">
        <x:v>SCR-223</x:v>
      </x:c>
      <x:c r="D1783" s="339" t="str">
        <x:v>Health / Counselling / Discipline</x:v>
      </x:c>
      <x:c r="E1783" s="339" t="str">
        <x:v>Behaviour / Discipline Incidents</x:v>
      </x:c>
      <x:c r="F1783" s="339" t="str">
        <x:v>Controlled row actions</x:v>
      </x:c>
      <x:c r="G1783" s="339" t="str">
        <x:v>records are returned in the list</x:v>
      </x:c>
      <x:c r="H1783" s="339" t="str">
        <x:v>the user opens the action menu</x:v>
      </x:c>
      <x:c r="I1783" s="339" t="str">
        <x:v>only actions permitted for the user's role and the record's current state are offered</x:v>
      </x:c>
      <x:c r="J1783" s="339" t="str">
        <x:v>Positive</x:v>
      </x:c>
      <x:c r="K1783" s="339" t="str">
        <x:v>Functional</x:v>
      </x:c>
    </x:row>
    <x:row r="1784">
      <x:c r="A1784" s="339" t="str">
        <x:v>AC-01783</x:v>
      </x:c>
      <x:c r="B1784" s="339" t="str">
        <x:v>US-0446</x:v>
      </x:c>
      <x:c r="C1784" s="339" t="str">
        <x:v>SCR-223</x:v>
      </x:c>
      <x:c r="D1784" s="339" t="str">
        <x:v>Health / Counselling / Discipline</x:v>
      </x:c>
      <x:c r="E1784" s="339" t="str">
        <x:v>Behaviour / Discipline Incidents</x:v>
      </x:c>
      <x:c r="F1784" s="339" t="str">
        <x:v>Empty/no-result handling</x:v>
      </x:c>
      <x:c r="G1784" s="339" t="str">
        <x:v>no record matches the current criteria</x:v>
      </x:c>
      <x:c r="H1784" s="339" t="str">
        <x:v>the query completes</x:v>
      </x:c>
      <x:c r="I1784" s="339" t="str">
        <x:v>the system shows a clear empty state without treating it as an application error</x:v>
      </x:c>
      <x:c r="J1784" s="339" t="str">
        <x:v>Positive</x:v>
      </x:c>
      <x:c r="K1784" s="339" t="str">
        <x:v>Functional</x:v>
      </x:c>
    </x:row>
    <x:row r="1785">
      <x:c r="A1785" s="339" t="str">
        <x:v>AC-01784</x:v>
      </x:c>
      <x:c r="B1785" s="339" t="str">
        <x:v>US-0446</x:v>
      </x:c>
      <x:c r="C1785" s="339" t="str">
        <x:v>SCR-223</x:v>
      </x:c>
      <x:c r="D1785" s="339" t="str">
        <x:v>Health / Counselling / Discipline</x:v>
      </x:c>
      <x:c r="E1785" s="339" t="str">
        <x:v>Behaviour / Discipline Incidents</x:v>
      </x:c>
      <x:c r="F1785" s="339" t="str">
        <x:v>Export scope</x:v>
      </x:c>
      <x:c r="G1785" s="339" t="str">
        <x:v>the user has export permission</x:v>
      </x:c>
      <x:c r="H1785" s="339" t="str">
        <x:v>the user exports the filtered list</x:v>
      </x:c>
      <x:c r="I1785" s="339" t="str">
        <x:v>the export contains the same authorized filter scope and excludes restricted fields</x:v>
      </x:c>
      <x:c r="J1785" s="339" t="str">
        <x:v>Positive</x:v>
      </x:c>
      <x:c r="K1785" s="339" t="str">
        <x:v>Functional</x:v>
      </x:c>
    </x:row>
    <x:row r="1786">
      <x:c r="A1786" s="339" t="str">
        <x:v>AC-01785</x:v>
      </x:c>
      <x:c r="B1786" s="339" t="str">
        <x:v>US-0447</x:v>
      </x:c>
      <x:c r="C1786" s="339" t="str">
        <x:v>SCR-224</x:v>
      </x:c>
      <x:c r="D1786" s="339" t="str">
        <x:v>Health / Counselling / Discipline</x:v>
      </x:c>
      <x:c r="E1786" s="339" t="str">
        <x:v>Incident Action &amp; Follow-up</x:v>
      </x:c>
      <x:c r="F1786" s="339" t="str">
        <x:v>Authorized access to Incident Action &amp; Follow-up</x:v>
      </x:c>
      <x:c r="G1786" s="339" t="str">
        <x:v>the Nurse/Medical Officer is authenticated and has access to Incident Action &amp; Follow-up</x:v>
      </x:c>
      <x:c r="H1786" s="339" t="str">
        <x:v>the user opens or invokes Incident Action &amp; Follow-up</x:v>
      </x:c>
      <x:c r="I1786" s="339" t="str">
        <x:v>the system loads only records and actions within the user's permitted tenant/school/data scope</x:v>
      </x:c>
      <x:c r="J1786" s="339" t="str">
        <x:v>Positive</x:v>
      </x:c>
      <x:c r="K1786" s="339" t="str">
        <x:v>Functional / Security</x:v>
      </x:c>
    </x:row>
    <x:row r="1787">
      <x:c r="A1787" s="339" t="str">
        <x:v>AC-01786</x:v>
      </x:c>
      <x:c r="B1787" s="339" t="str">
        <x:v>US-0447</x:v>
      </x:c>
      <x:c r="C1787" s="339" t="str">
        <x:v>SCR-224</x:v>
      </x:c>
      <x:c r="D1787" s="339" t="str">
        <x:v>Health / Counselling / Discipline</x:v>
      </x:c>
      <x:c r="E1787" s="339" t="str">
        <x:v>Incident Action &amp; Follow-up</x:v>
      </x:c>
      <x:c r="F1787" s="339" t="str">
        <x:v>Successful Incident Action &amp; Follow-up happy path</x:v>
      </x:c>
      <x:c r="G1787" s="339" t="str">
        <x:v>all mandatory prerequisites and valid data are available</x:v>
      </x:c>
      <x:c r="H1787" s="339" t="str">
        <x:v>the Nurse/Medical Officer completes the primary action on Incident Action &amp; Follow-up</x:v>
      </x:c>
      <x:c r="I1787" s="339" t="str">
        <x:v>the system validates the request, saves it atomically, shows a clear confirmation and reflects the updated state</x:v>
      </x:c>
      <x:c r="J1787" s="339" t="str">
        <x:v>Positive</x:v>
      </x:c>
      <x:c r="K1787" s="339" t="str">
        <x:v>Functional</x:v>
      </x:c>
    </x:row>
    <x:row r="1788">
      <x:c r="A1788" s="339" t="str">
        <x:v>AC-01787</x:v>
      </x:c>
      <x:c r="B1788" s="339" t="str">
        <x:v>US-0447</x:v>
      </x:c>
      <x:c r="C1788" s="339" t="str">
        <x:v>SCR-224</x:v>
      </x:c>
      <x:c r="D1788" s="339" t="str">
        <x:v>Health / Counselling / Discipline</x:v>
      </x:c>
      <x:c r="E1788" s="339" t="str">
        <x:v>Incident Action &amp; Follow-up</x:v>
      </x:c>
      <x:c r="F1788" s="339" t="str">
        <x:v>State and dependency integrity</x:v>
      </x:c>
      <x:c r="G1788" s="339" t="str">
        <x:v>the current record is in an allowed state (Open → In Progress / Monitoring → Escalated (if needed) → Resolved / Closed)</x:v>
      </x:c>
      <x:c r="H1788" s="339" t="str">
        <x:v>the user attempts a state-changing action</x:v>
      </x:c>
      <x:c r="I1788" s="339" t="str">
        <x:v>only a valid transition is accepted and dependent records are updated according to configured business rules</x:v>
      </x:c>
      <x:c r="J1788" s="339" t="str">
        <x:v>Positive</x:v>
      </x:c>
      <x:c r="K1788" s="339" t="str">
        <x:v>Functional</x:v>
      </x:c>
    </x:row>
    <x:row r="1789">
      <x:c r="A1789" s="339" t="str">
        <x:v>AC-01788</x:v>
      </x:c>
      <x:c r="B1789" s="339" t="str">
        <x:v>US-0447</x:v>
      </x:c>
      <x:c r="C1789" s="339" t="str">
        <x:v>SCR-224</x:v>
      </x:c>
      <x:c r="D1789" s="339" t="str">
        <x:v>Health / Counselling / Discipline</x:v>
      </x:c>
      <x:c r="E1789" s="339" t="str">
        <x:v>Incident Action &amp; Follow-up</x:v>
      </x:c>
      <x:c r="F1789" s="339" t="str">
        <x:v>Auditability</x:v>
      </x:c>
      <x:c r="G1789" s="339" t="str">
        <x:v>a material create/update/approve/reverse action occurs</x:v>
      </x:c>
      <x:c r="H1789" s="339" t="str">
        <x:v>the transaction succeeds</x:v>
      </x:c>
      <x:c r="I1789" s="339" t="str">
        <x:v>the system records actor, timestamp, action, target and relevant before/after or reason context in the audit trail</x:v>
      </x:c>
      <x:c r="J1789" s="339" t="str">
        <x:v>Positive</x:v>
      </x:c>
      <x:c r="K1789" s="339" t="str">
        <x:v>Functional</x:v>
      </x:c>
    </x:row>
    <x:row r="1790">
      <x:c r="A1790" s="339" t="str">
        <x:v>AC-01789</x:v>
      </x:c>
      <x:c r="B1790" s="339" t="str">
        <x:v>US-0448</x:v>
      </x:c>
      <x:c r="C1790" s="339" t="str">
        <x:v>SCR-224</x:v>
      </x:c>
      <x:c r="D1790" s="339" t="str">
        <x:v>Health / Counselling / Discipline</x:v>
      </x:c>
      <x:c r="E1790" s="339" t="str">
        <x:v>Incident Action &amp; Follow-up</x:v>
      </x:c>
      <x:c r="F1790" s="339" t="str">
        <x:v>Valid status transition</x:v>
      </x:c>
      <x:c r="G1790" s="339" t="str">
        <x:v>the record is in a state described by Open → In Progress / Monitoring → Escalated (if needed) → Resolved / Closed</x:v>
      </x:c>
      <x:c r="H1790" s="339" t="str">
        <x:v>the user requests a transition</x:v>
      </x:c>
      <x:c r="I1790" s="339" t="str">
        <x:v>the system accepts only transitions allowed for that role and state</x:v>
      </x:c>
      <x:c r="J1790" s="339" t="str">
        <x:v>Positive</x:v>
      </x:c>
      <x:c r="K1790" s="339" t="str">
        <x:v>Functional</x:v>
      </x:c>
    </x:row>
    <x:row r="1791">
      <x:c r="A1791" s="339" t="str">
        <x:v>AC-01790</x:v>
      </x:c>
      <x:c r="B1791" s="339" t="str">
        <x:v>US-0448</x:v>
      </x:c>
      <x:c r="C1791" s="339" t="str">
        <x:v>SCR-224</x:v>
      </x:c>
      <x:c r="D1791" s="339" t="str">
        <x:v>Health / Counselling / Discipline</x:v>
      </x:c>
      <x:c r="E1791" s="339" t="str">
        <x:v>Incident Action &amp; Follow-up</x:v>
      </x:c>
      <x:c r="F1791" s="339" t="str">
        <x:v>Approval authority</x:v>
      </x:c>
      <x:c r="G1791" s="339" t="str">
        <x:v>an action requires approval</x:v>
      </x:c>
      <x:c r="H1791" s="339" t="str">
        <x:v>a non-authorized user attempts approval/rejection</x:v>
      </x:c>
      <x:c r="I1791" s="339" t="str">
        <x:v>the system denies the decision and does not change status</x:v>
      </x:c>
      <x:c r="J1791" s="339" t="str">
        <x:v>Negative</x:v>
      </x:c>
      <x:c r="K1791" s="339" t="str">
        <x:v>Functional</x:v>
      </x:c>
    </x:row>
    <x:row r="1792">
      <x:c r="A1792" s="339" t="str">
        <x:v>AC-01791</x:v>
      </x:c>
      <x:c r="B1792" s="339" t="str">
        <x:v>US-0448</x:v>
      </x:c>
      <x:c r="C1792" s="339" t="str">
        <x:v>SCR-224</x:v>
      </x:c>
      <x:c r="D1792" s="339" t="str">
        <x:v>Health / Counselling / Discipline</x:v>
      </x:c>
      <x:c r="E1792" s="339" t="str">
        <x:v>Incident Action &amp; Follow-up</x:v>
      </x:c>
      <x:c r="F1792" s="339" t="str">
        <x:v>Failure rollback</x:v>
      </x:c>
      <x:c r="G1792" s="339" t="str">
        <x:v>a downstream dependency fails during a multi-step transaction</x:v>
      </x:c>
      <x:c r="H1792" s="339" t="str">
        <x:v>the workflow executes</x:v>
      </x:c>
      <x:c r="I1792" s="339" t="str">
        <x:v>the system does not leave an invalid partial final state and surfaces a recoverable error</x:v>
      </x:c>
      <x:c r="J1792" s="339" t="str">
        <x:v>Positive</x:v>
      </x:c>
      <x:c r="K1792" s="339" t="str">
        <x:v>Functional</x:v>
      </x:c>
    </x:row>
    <x:row r="1793">
      <x:c r="A1793" s="339" t="str">
        <x:v>AC-01792</x:v>
      </x:c>
      <x:c r="B1793" s="339" t="str">
        <x:v>US-0448</x:v>
      </x:c>
      <x:c r="C1793" s="339" t="str">
        <x:v>SCR-224</x:v>
      </x:c>
      <x:c r="D1793" s="339" t="str">
        <x:v>Health / Counselling / Discipline</x:v>
      </x:c>
      <x:c r="E1793" s="339" t="str">
        <x:v>Incident Action &amp; Follow-up</x:v>
      </x:c>
      <x:c r="F1793" s="339" t="str">
        <x:v>Exception traceability</x:v>
      </x:c>
      <x:c r="G1793" s="339" t="str">
        <x:v>an authorized override/exception is used</x:v>
      </x:c>
      <x:c r="H1793" s="339" t="str">
        <x:v>the action is confirmed</x:v>
      </x:c>
      <x:c r="I1793" s="339" t="str">
        <x:v>the system requires reason/context and records it in the audit history</x:v>
      </x:c>
      <x:c r="J1793" s="339" t="str">
        <x:v>Positive</x:v>
      </x:c>
      <x:c r="K1793" s="339" t="str">
        <x:v>Functional</x:v>
      </x:c>
    </x:row>
    <x:row r="1794">
      <x:c r="A1794" s="339" t="str">
        <x:v>AC-01793</x:v>
      </x:c>
      <x:c r="B1794" s="339" t="str">
        <x:v>US-0449</x:v>
      </x:c>
      <x:c r="C1794" s="339" t="str">
        <x:v>SCR-225</x:v>
      </x:c>
      <x:c r="D1794" s="339" t="str">
        <x:v>Health / Counselling / Discipline</x:v>
      </x:c>
      <x:c r="E1794" s="339" t="str">
        <x:v>Emergency Contacts &amp; Escalation</x:v>
      </x:c>
      <x:c r="F1794" s="339" t="str">
        <x:v>Authorized access to Emergency Contacts &amp; Escalation</x:v>
      </x:c>
      <x:c r="G1794" s="339" t="str">
        <x:v>the Nurse/Medical Officer is authenticated and has access to Emergency Contacts &amp; Escalation</x:v>
      </x:c>
      <x:c r="H1794" s="339" t="str">
        <x:v>the user opens or invokes Emergency Contacts &amp; Escalation</x:v>
      </x:c>
      <x:c r="I1794" s="339" t="str">
        <x:v>the system loads only records and actions within the user's permitted tenant/school/data scope</x:v>
      </x:c>
      <x:c r="J1794" s="339" t="str">
        <x:v>Positive</x:v>
      </x:c>
      <x:c r="K1794" s="339" t="str">
        <x:v>Functional / Security</x:v>
      </x:c>
    </x:row>
    <x:row r="1795">
      <x:c r="A1795" s="339" t="str">
        <x:v>AC-01794</x:v>
      </x:c>
      <x:c r="B1795" s="339" t="str">
        <x:v>US-0449</x:v>
      </x:c>
      <x:c r="C1795" s="339" t="str">
        <x:v>SCR-225</x:v>
      </x:c>
      <x:c r="D1795" s="339" t="str">
        <x:v>Health / Counselling / Discipline</x:v>
      </x:c>
      <x:c r="E1795" s="339" t="str">
        <x:v>Emergency Contacts &amp; Escalation</x:v>
      </x:c>
      <x:c r="F1795" s="339" t="str">
        <x:v>Successful Emergency Contacts &amp; Escalation happy path</x:v>
      </x:c>
      <x:c r="G1795" s="339" t="str">
        <x:v>all mandatory prerequisites and valid data are available</x:v>
      </x:c>
      <x:c r="H1795" s="339" t="str">
        <x:v>the Nurse/Medical Officer completes the primary action on Emergency Contacts &amp; Escalation</x:v>
      </x:c>
      <x:c r="I1795" s="339" t="str">
        <x:v>the system validates the request, saves it atomically, shows a clear confirmation and reflects the updated state</x:v>
      </x:c>
      <x:c r="J1795" s="339" t="str">
        <x:v>Positive</x:v>
      </x:c>
      <x:c r="K1795" s="339" t="str">
        <x:v>Functional</x:v>
      </x:c>
    </x:row>
    <x:row r="1796">
      <x:c r="A1796" s="339" t="str">
        <x:v>AC-01795</x:v>
      </x:c>
      <x:c r="B1796" s="339" t="str">
        <x:v>US-0449</x:v>
      </x:c>
      <x:c r="C1796" s="339" t="str">
        <x:v>SCR-225</x:v>
      </x:c>
      <x:c r="D1796" s="339" t="str">
        <x:v>Health / Counselling / Discipline</x:v>
      </x:c>
      <x:c r="E1796" s="339" t="str">
        <x:v>Emergency Contacts &amp; Escalation</x:v>
      </x:c>
      <x:c r="F1796" s="339" t="str">
        <x:v>State and dependency integrity</x:v>
      </x:c>
      <x:c r="G1796" s="339" t="str">
        <x:v>the current record is in an allowed state (Open → In Progress / Monitoring → Escalated (if needed) → Resolved / Closed)</x:v>
      </x:c>
      <x:c r="H1796" s="339" t="str">
        <x:v>the user attempts a state-changing action</x:v>
      </x:c>
      <x:c r="I1796" s="339" t="str">
        <x:v>only a valid transition is accepted and dependent records are updated according to configured business rules</x:v>
      </x:c>
      <x:c r="J1796" s="339" t="str">
        <x:v>Positive</x:v>
      </x:c>
      <x:c r="K1796" s="339" t="str">
        <x:v>Functional</x:v>
      </x:c>
    </x:row>
    <x:row r="1797">
      <x:c r="A1797" s="339" t="str">
        <x:v>AC-01796</x:v>
      </x:c>
      <x:c r="B1797" s="339" t="str">
        <x:v>US-0449</x:v>
      </x:c>
      <x:c r="C1797" s="339" t="str">
        <x:v>SCR-225</x:v>
      </x:c>
      <x:c r="D1797" s="339" t="str">
        <x:v>Health / Counselling / Discipline</x:v>
      </x:c>
      <x:c r="E1797" s="339" t="str">
        <x:v>Emergency Contacts &amp; Escalation</x:v>
      </x:c>
      <x:c r="F1797" s="339" t="str">
        <x:v>Auditability</x:v>
      </x:c>
      <x:c r="G1797" s="339" t="str">
        <x:v>a material create/update/approve/reverse action occurs</x:v>
      </x:c>
      <x:c r="H1797" s="339" t="str">
        <x:v>the transaction succeeds</x:v>
      </x:c>
      <x:c r="I1797" s="339" t="str">
        <x:v>the system records actor, timestamp, action, target and relevant before/after or reason context in the audit trail</x:v>
      </x:c>
      <x:c r="J1797" s="339" t="str">
        <x:v>Positive</x:v>
      </x:c>
      <x:c r="K1797" s="339" t="str">
        <x:v>Functional</x:v>
      </x:c>
    </x:row>
    <x:row r="1798">
      <x:c r="A1798" s="339" t="str">
        <x:v>AC-01797</x:v>
      </x:c>
      <x:c r="B1798" s="339" t="str">
        <x:v>US-0450</x:v>
      </x:c>
      <x:c r="C1798" s="339" t="str">
        <x:v>SCR-225</x:v>
      </x:c>
      <x:c r="D1798" s="339" t="str">
        <x:v>Health / Counselling / Discipline</x:v>
      </x:c>
      <x:c r="E1798" s="339" t="str">
        <x:v>Emergency Contacts &amp; Escalation</x:v>
      </x:c>
      <x:c r="F1798" s="339" t="str">
        <x:v>Valid status transition</x:v>
      </x:c>
      <x:c r="G1798" s="339" t="str">
        <x:v>the record is in a state described by Open → In Progress / Monitoring → Escalated (if needed) → Resolved / Closed</x:v>
      </x:c>
      <x:c r="H1798" s="339" t="str">
        <x:v>the user requests a transition</x:v>
      </x:c>
      <x:c r="I1798" s="339" t="str">
        <x:v>the system accepts only transitions allowed for that role and state</x:v>
      </x:c>
      <x:c r="J1798" s="339" t="str">
        <x:v>Positive</x:v>
      </x:c>
      <x:c r="K1798" s="339" t="str">
        <x:v>Functional</x:v>
      </x:c>
    </x:row>
    <x:row r="1799">
      <x:c r="A1799" s="339" t="str">
        <x:v>AC-01798</x:v>
      </x:c>
      <x:c r="B1799" s="339" t="str">
        <x:v>US-0450</x:v>
      </x:c>
      <x:c r="C1799" s="339" t="str">
        <x:v>SCR-225</x:v>
      </x:c>
      <x:c r="D1799" s="339" t="str">
        <x:v>Health / Counselling / Discipline</x:v>
      </x:c>
      <x:c r="E1799" s="339" t="str">
        <x:v>Emergency Contacts &amp; Escalation</x:v>
      </x:c>
      <x:c r="F1799" s="339" t="str">
        <x:v>Approval authority</x:v>
      </x:c>
      <x:c r="G1799" s="339" t="str">
        <x:v>an action requires approval</x:v>
      </x:c>
      <x:c r="H1799" s="339" t="str">
        <x:v>a non-authorized user attempts approval/rejection</x:v>
      </x:c>
      <x:c r="I1799" s="339" t="str">
        <x:v>the system denies the decision and does not change status</x:v>
      </x:c>
      <x:c r="J1799" s="339" t="str">
        <x:v>Negative</x:v>
      </x:c>
      <x:c r="K1799" s="339" t="str">
        <x:v>Functional</x:v>
      </x:c>
    </x:row>
    <x:row r="1800">
      <x:c r="A1800" s="339" t="str">
        <x:v>AC-01799</x:v>
      </x:c>
      <x:c r="B1800" s="339" t="str">
        <x:v>US-0450</x:v>
      </x:c>
      <x:c r="C1800" s="339" t="str">
        <x:v>SCR-225</x:v>
      </x:c>
      <x:c r="D1800" s="339" t="str">
        <x:v>Health / Counselling / Discipline</x:v>
      </x:c>
      <x:c r="E1800" s="339" t="str">
        <x:v>Emergency Contacts &amp; Escalation</x:v>
      </x:c>
      <x:c r="F1800" s="339" t="str">
        <x:v>Failure rollback</x:v>
      </x:c>
      <x:c r="G1800" s="339" t="str">
        <x:v>a downstream dependency fails during a multi-step transaction</x:v>
      </x:c>
      <x:c r="H1800" s="339" t="str">
        <x:v>the workflow executes</x:v>
      </x:c>
      <x:c r="I1800" s="339" t="str">
        <x:v>the system does not leave an invalid partial final state and surfaces a recoverable error</x:v>
      </x:c>
      <x:c r="J1800" s="339" t="str">
        <x:v>Positive</x:v>
      </x:c>
      <x:c r="K1800" s="339" t="str">
        <x:v>Functional</x:v>
      </x:c>
    </x:row>
    <x:row r="1801">
      <x:c r="A1801" s="339" t="str">
        <x:v>AC-01800</x:v>
      </x:c>
      <x:c r="B1801" s="339" t="str">
        <x:v>US-0450</x:v>
      </x:c>
      <x:c r="C1801" s="339" t="str">
        <x:v>SCR-225</x:v>
      </x:c>
      <x:c r="D1801" s="339" t="str">
        <x:v>Health / Counselling / Discipline</x:v>
      </x:c>
      <x:c r="E1801" s="339" t="str">
        <x:v>Emergency Contacts &amp; Escalation</x:v>
      </x:c>
      <x:c r="F1801" s="339" t="str">
        <x:v>Exception traceability</x:v>
      </x:c>
      <x:c r="G1801" s="339" t="str">
        <x:v>an authorized override/exception is used</x:v>
      </x:c>
      <x:c r="H1801" s="339" t="str">
        <x:v>the action is confirmed</x:v>
      </x:c>
      <x:c r="I1801" s="339" t="str">
        <x:v>the system requires reason/context and records it in the audit history</x:v>
      </x:c>
      <x:c r="J1801" s="339" t="str">
        <x:v>Positive</x:v>
      </x:c>
      <x:c r="K1801" s="339" t="str">
        <x:v>Functional</x:v>
      </x:c>
    </x:row>
    <x:row r="1802">
      <x:c r="A1802" s="339" t="str">
        <x:v>AC-01801</x:v>
      </x:c>
      <x:c r="B1802" s="339" t="str">
        <x:v>US-0451</x:v>
      </x:c>
      <x:c r="C1802" s="339" t="str">
        <x:v>SCR-226</x:v>
      </x:c>
      <x:c r="D1802" s="339" t="str">
        <x:v>Visitor / Gate / Security</x:v>
      </x:c>
      <x:c r="E1802" s="339" t="str">
        <x:v>Visitor Dashboard</x:v>
      </x:c>
      <x:c r="F1802" s="339" t="str">
        <x:v>Authorized access to Visitor Dashboard</x:v>
      </x:c>
      <x:c r="G1802" s="339" t="str">
        <x:v>the Visitor is authenticated and has access to Visitor Dashboard</x:v>
      </x:c>
      <x:c r="H1802" s="339" t="str">
        <x:v>the user opens or invokes Visitor Dashboard</x:v>
      </x:c>
      <x:c r="I1802" s="339" t="str">
        <x:v>the system loads only records and actions within the user's permitted tenant/school/data scope</x:v>
      </x:c>
      <x:c r="J1802" s="339" t="str">
        <x:v>Positive</x:v>
      </x:c>
      <x:c r="K1802" s="339" t="str">
        <x:v>Functional / Security</x:v>
      </x:c>
    </x:row>
    <x:row r="1803">
      <x:c r="A1803" s="339" t="str">
        <x:v>AC-01802</x:v>
      </x:c>
      <x:c r="B1803" s="339" t="str">
        <x:v>US-0451</x:v>
      </x:c>
      <x:c r="C1803" s="339" t="str">
        <x:v>SCR-226</x:v>
      </x:c>
      <x:c r="D1803" s="339" t="str">
        <x:v>Visitor / Gate / Security</x:v>
      </x:c>
      <x:c r="E1803" s="339" t="str">
        <x:v>Visitor Dashboard</x:v>
      </x:c>
      <x:c r="F1803" s="339" t="str">
        <x:v>Successful Visitor Dashboard happy path</x:v>
      </x:c>
      <x:c r="G1803" s="339" t="str">
        <x:v>all mandatory prerequisites and valid data are available</x:v>
      </x:c>
      <x:c r="H1803" s="339" t="str">
        <x:v>the Visitor completes the primary action on Visitor Dashboard</x:v>
      </x:c>
      <x:c r="I1803" s="339" t="str">
        <x:v>the system validates the request, saves it atomically, shows a clear confirmation and reflects the updated state</x:v>
      </x:c>
      <x:c r="J1803" s="339" t="str">
        <x:v>Positive</x:v>
      </x:c>
      <x:c r="K1803" s="339" t="str">
        <x:v>Functional</x:v>
      </x:c>
    </x:row>
    <x:row r="1804">
      <x:c r="A1804" s="339" t="str">
        <x:v>AC-01803</x:v>
      </x:c>
      <x:c r="B1804" s="339" t="str">
        <x:v>US-0451</x:v>
      </x:c>
      <x:c r="C1804" s="339" t="str">
        <x:v>SCR-226</x:v>
      </x:c>
      <x:c r="D1804" s="339" t="str">
        <x:v>Visitor / Gate / Security</x:v>
      </x:c>
      <x:c r="E1804" s="339" t="str">
        <x:v>Visitor Dashboard</x:v>
      </x:c>
      <x:c r="F1804" s="339" t="str">
        <x:v>State and dependency integrity</x:v>
      </x:c>
      <x:c r="G1804" s="339" t="str">
        <x:v>the current record is in an allowed state (Requested / Registered → Approved / Denied → Checked In → Checked Out / Cancelled)</x:v>
      </x:c>
      <x:c r="H1804" s="339" t="str">
        <x:v>the user attempts a state-changing action</x:v>
      </x:c>
      <x:c r="I1804" s="339" t="str">
        <x:v>only a valid transition is accepted and dependent records are updated according to configured business rules</x:v>
      </x:c>
      <x:c r="J1804" s="339" t="str">
        <x:v>Positive</x:v>
      </x:c>
      <x:c r="K1804" s="339" t="str">
        <x:v>Functional</x:v>
      </x:c>
    </x:row>
    <x:row r="1805">
      <x:c r="A1805" s="339" t="str">
        <x:v>AC-01804</x:v>
      </x:c>
      <x:c r="B1805" s="339" t="str">
        <x:v>US-0451</x:v>
      </x:c>
      <x:c r="C1805" s="339" t="str">
        <x:v>SCR-226</x:v>
      </x:c>
      <x:c r="D1805" s="339" t="str">
        <x:v>Visitor / Gate / Security</x:v>
      </x:c>
      <x:c r="E1805" s="339" t="str">
        <x:v>Visitor Dashboard</x:v>
      </x:c>
      <x:c r="F1805" s="339" t="str">
        <x:v>Auditability</x:v>
      </x:c>
      <x:c r="G1805" s="339" t="str">
        <x:v>a material create/update/approve/reverse action occurs</x:v>
      </x:c>
      <x:c r="H1805" s="339" t="str">
        <x:v>the transaction succeeds</x:v>
      </x:c>
      <x:c r="I1805" s="339" t="str">
        <x:v>the system records actor, timestamp, action, target and relevant before/after or reason context in the audit trail</x:v>
      </x:c>
      <x:c r="J1805" s="339" t="str">
        <x:v>Positive</x:v>
      </x:c>
      <x:c r="K1805" s="339" t="str">
        <x:v>Functional</x:v>
      </x:c>
    </x:row>
    <x:row r="1806">
      <x:c r="A1806" s="339" t="str">
        <x:v>AC-01805</x:v>
      </x:c>
      <x:c r="B1806" s="339" t="str">
        <x:v>US-0452</x:v>
      </x:c>
      <x:c r="C1806" s="339" t="str">
        <x:v>SCR-226</x:v>
      </x:c>
      <x:c r="D1806" s="339" t="str">
        <x:v>Visitor / Gate / Security</x:v>
      </x:c>
      <x:c r="E1806" s="339" t="str">
        <x:v>Visitor Dashboard</x:v>
      </x:c>
      <x:c r="F1806" s="339" t="str">
        <x:v>KPI reconciliation</x:v>
      </x:c>
      <x:c r="G1806" s="339" t="str">
        <x:v>underlying source transactions exist</x:v>
      </x:c>
      <x:c r="H1806" s="339" t="str">
        <x:v>the dashboard calculates metrics</x:v>
      </x:c>
      <x:c r="I1806" s="339" t="str">
        <x:v>dashboard values reconcile to the same filtered source records used by detailed reports</x:v>
      </x:c>
      <x:c r="J1806" s="339" t="str">
        <x:v>Positive</x:v>
      </x:c>
      <x:c r="K1806" s="339" t="str">
        <x:v>Functional</x:v>
      </x:c>
    </x:row>
    <x:row r="1807">
      <x:c r="A1807" s="339" t="str">
        <x:v>AC-01806</x:v>
      </x:c>
      <x:c r="B1807" s="339" t="str">
        <x:v>US-0452</x:v>
      </x:c>
      <x:c r="C1807" s="339" t="str">
        <x:v>SCR-226</x:v>
      </x:c>
      <x:c r="D1807" s="339" t="str">
        <x:v>Visitor / Gate / Security</x:v>
      </x:c>
      <x:c r="E1807" s="339" t="str">
        <x:v>Visitor Dashboard</x:v>
      </x:c>
      <x:c r="F1807" s="339" t="str">
        <x:v>Drill-down context</x:v>
      </x:c>
      <x:c r="G1807" s="339" t="str">
        <x:v>a KPI or alert is visible</x:v>
      </x:c>
      <x:c r="H1807" s="339" t="str">
        <x:v>the user drills into it</x:v>
      </x:c>
      <x:c r="I1807" s="339" t="str">
        <x:v>the destination preserves relevant date/school/class/status filter context</x:v>
      </x:c>
      <x:c r="J1807" s="339" t="str">
        <x:v>Positive</x:v>
      </x:c>
      <x:c r="K1807" s="339" t="str">
        <x:v>Functional</x:v>
      </x:c>
    </x:row>
    <x:row r="1808">
      <x:c r="A1808" s="339" t="str">
        <x:v>AC-01807</x:v>
      </x:c>
      <x:c r="B1808" s="339" t="str">
        <x:v>US-0452</x:v>
      </x:c>
      <x:c r="C1808" s="339" t="str">
        <x:v>SCR-226</x:v>
      </x:c>
      <x:c r="D1808" s="339" t="str">
        <x:v>Visitor / Gate / Security</x:v>
      </x:c>
      <x:c r="E1808" s="339" t="str">
        <x:v>Visitor Dashboard</x:v>
      </x:c>
      <x:c r="F1808" s="339" t="str">
        <x:v>Freshness and failure handling</x:v>
      </x:c>
      <x:c r="G1808" s="339" t="str">
        <x:v>one source service is delayed or unavailable</x:v>
      </x:c>
      <x:c r="H1808" s="339" t="str">
        <x:v>the dashboard loads</x:v>
      </x:c>
      <x:c r="I1808" s="339" t="str">
        <x:v>the UI identifies stale/unavailable data without fabricating or silently zeroing the metric</x:v>
      </x:c>
      <x:c r="J1808" s="339" t="str">
        <x:v>Positive</x:v>
      </x:c>
      <x:c r="K1808" s="339" t="str">
        <x:v>Functional</x:v>
      </x:c>
    </x:row>
    <x:row r="1809">
      <x:c r="A1809" s="339" t="str">
        <x:v>AC-01808</x:v>
      </x:c>
      <x:c r="B1809" s="339" t="str">
        <x:v>US-0452</x:v>
      </x:c>
      <x:c r="C1809" s="339" t="str">
        <x:v>SCR-226</x:v>
      </x:c>
      <x:c r="D1809" s="339" t="str">
        <x:v>Visitor / Gate / Security</x:v>
      </x:c>
      <x:c r="E1809" s="339" t="str">
        <x:v>Visitor Dashboard</x:v>
      </x:c>
      <x:c r="F1809" s="339" t="str">
        <x:v>Scoped visibility</x:v>
      </x:c>
      <x:c r="G1809" s="339" t="str">
        <x:v>the same dashboard is used by users with different permissions</x:v>
      </x:c>
      <x:c r="H1809" s="339" t="str">
        <x:v>each user loads it</x:v>
      </x:c>
      <x:c r="I1809" s="339" t="str">
        <x:v>each sees only authorized metrics, alerts and record-level drill-downs</x:v>
      </x:c>
      <x:c r="J1809" s="339" t="str">
        <x:v>Positive</x:v>
      </x:c>
      <x:c r="K1809" s="339" t="str">
        <x:v>Functional</x:v>
      </x:c>
    </x:row>
    <x:row r="1810">
      <x:c r="A1810" s="339" t="str">
        <x:v>AC-01809</x:v>
      </x:c>
      <x:c r="B1810" s="339" t="str">
        <x:v>US-0453</x:v>
      </x:c>
      <x:c r="C1810" s="339" t="str">
        <x:v>SCR-227</x:v>
      </x:c>
      <x:c r="D1810" s="339" t="str">
        <x:v>Visitor / Gate / Security</x:v>
      </x:c>
      <x:c r="E1810" s="339" t="str">
        <x:v>Visitor Check-in</x:v>
      </x:c>
      <x:c r="F1810" s="339" t="str">
        <x:v>Authorized access to Visitor Check-in</x:v>
      </x:c>
      <x:c r="G1810" s="339" t="str">
        <x:v>the Security is authenticated and has access to Visitor Check-in</x:v>
      </x:c>
      <x:c r="H1810" s="339" t="str">
        <x:v>the user opens or invokes Visitor Check-in</x:v>
      </x:c>
      <x:c r="I1810" s="339" t="str">
        <x:v>the system loads only records and actions within the user's permitted tenant/school/data scope</x:v>
      </x:c>
      <x:c r="J1810" s="339" t="str">
        <x:v>Positive</x:v>
      </x:c>
      <x:c r="K1810" s="339" t="str">
        <x:v>Functional / Security</x:v>
      </x:c>
    </x:row>
    <x:row r="1811">
      <x:c r="A1811" s="339" t="str">
        <x:v>AC-01810</x:v>
      </x:c>
      <x:c r="B1811" s="339" t="str">
        <x:v>US-0453</x:v>
      </x:c>
      <x:c r="C1811" s="339" t="str">
        <x:v>SCR-227</x:v>
      </x:c>
      <x:c r="D1811" s="339" t="str">
        <x:v>Visitor / Gate / Security</x:v>
      </x:c>
      <x:c r="E1811" s="339" t="str">
        <x:v>Visitor Check-in</x:v>
      </x:c>
      <x:c r="F1811" s="339" t="str">
        <x:v>Successful Visitor Check-in happy path</x:v>
      </x:c>
      <x:c r="G1811" s="339" t="str">
        <x:v>all mandatory prerequisites and valid data are available</x:v>
      </x:c>
      <x:c r="H1811" s="339" t="str">
        <x:v>the Security completes the primary action on Visitor Check-in</x:v>
      </x:c>
      <x:c r="I1811" s="339" t="str">
        <x:v>the system validates the request, saves it atomically, shows a clear confirmation and reflects the updated state</x:v>
      </x:c>
      <x:c r="J1811" s="339" t="str">
        <x:v>Positive</x:v>
      </x:c>
      <x:c r="K1811" s="339" t="str">
        <x:v>Functional</x:v>
      </x:c>
    </x:row>
    <x:row r="1812">
      <x:c r="A1812" s="339" t="str">
        <x:v>AC-01811</x:v>
      </x:c>
      <x:c r="B1812" s="339" t="str">
        <x:v>US-0453</x:v>
      </x:c>
      <x:c r="C1812" s="339" t="str">
        <x:v>SCR-227</x:v>
      </x:c>
      <x:c r="D1812" s="339" t="str">
        <x:v>Visitor / Gate / Security</x:v>
      </x:c>
      <x:c r="E1812" s="339" t="str">
        <x:v>Visitor Check-in</x:v>
      </x:c>
      <x:c r="F1812" s="339" t="str">
        <x:v>State and dependency integrity</x:v>
      </x:c>
      <x:c r="G1812" s="339" t="str">
        <x:v>the current record is in an allowed state (Requested / Registered → Approved / Denied → Checked In → Checked Out / Cancelled)</x:v>
      </x:c>
      <x:c r="H1812" s="339" t="str">
        <x:v>the user attempts a state-changing action</x:v>
      </x:c>
      <x:c r="I1812" s="339" t="str">
        <x:v>only a valid transition is accepted and dependent records are updated according to configured business rules</x:v>
      </x:c>
      <x:c r="J1812" s="339" t="str">
        <x:v>Positive</x:v>
      </x:c>
      <x:c r="K1812" s="339" t="str">
        <x:v>Functional</x:v>
      </x:c>
    </x:row>
    <x:row r="1813">
      <x:c r="A1813" s="339" t="str">
        <x:v>AC-01812</x:v>
      </x:c>
      <x:c r="B1813" s="339" t="str">
        <x:v>US-0453</x:v>
      </x:c>
      <x:c r="C1813" s="339" t="str">
        <x:v>SCR-227</x:v>
      </x:c>
      <x:c r="D1813" s="339" t="str">
        <x:v>Visitor / Gate / Security</x:v>
      </x:c>
      <x:c r="E1813" s="339" t="str">
        <x:v>Visitor Check-in</x:v>
      </x:c>
      <x:c r="F1813" s="339" t="str">
        <x:v>Auditability</x:v>
      </x:c>
      <x:c r="G1813" s="339" t="str">
        <x:v>a material create/update/approve/reverse action occurs</x:v>
      </x:c>
      <x:c r="H1813" s="339" t="str">
        <x:v>the transaction succeeds</x:v>
      </x:c>
      <x:c r="I1813" s="339" t="str">
        <x:v>the system records actor, timestamp, action, target and relevant before/after or reason context in the audit trail</x:v>
      </x:c>
      <x:c r="J1813" s="339" t="str">
        <x:v>Positive</x:v>
      </x:c>
      <x:c r="K1813" s="339" t="str">
        <x:v>Functional</x:v>
      </x:c>
    </x:row>
    <x:row r="1814">
      <x:c r="A1814" s="339" t="str">
        <x:v>AC-01813</x:v>
      </x:c>
      <x:c r="B1814" s="339" t="str">
        <x:v>US-0454</x:v>
      </x:c>
      <x:c r="C1814" s="339" t="str">
        <x:v>SCR-227</x:v>
      </x:c>
      <x:c r="D1814" s="339" t="str">
        <x:v>Visitor / Gate / Security</x:v>
      </x:c>
      <x:c r="E1814" s="339" t="str">
        <x:v>Visitor Check-in</x:v>
      </x:c>
      <x:c r="F1814" s="339" t="str">
        <x:v>Required-field validation</x:v>
      </x:c>
      <x:c r="G1814" s="339" t="str">
        <x:v>one or more required values are missing/invalid</x:v>
      </x:c>
      <x:c r="H1814" s="339" t="str">
        <x:v>the user submits the form</x:v>
      </x:c>
      <x:c r="I1814" s="339" t="str">
        <x:v>submission is blocked and field-level messages identify what must be corrected</x:v>
      </x:c>
      <x:c r="J1814" s="339" t="str">
        <x:v>Positive</x:v>
      </x:c>
      <x:c r="K1814" s="339" t="str">
        <x:v>Functional</x:v>
      </x:c>
    </x:row>
    <x:row r="1815">
      <x:c r="A1815" s="339" t="str">
        <x:v>AC-01814</x:v>
      </x:c>
      <x:c r="B1815" s="339" t="str">
        <x:v>US-0454</x:v>
      </x:c>
      <x:c r="C1815" s="339" t="str">
        <x:v>SCR-227</x:v>
      </x:c>
      <x:c r="D1815" s="339" t="str">
        <x:v>Visitor / Gate / Security</x:v>
      </x:c>
      <x:c r="E1815" s="339" t="str">
        <x:v>Visitor Check-in</x:v>
      </x:c>
      <x:c r="F1815" s="339" t="str">
        <x:v>Duplicate prevention</x:v>
      </x:c>
      <x:c r="G1815" s="339" t="str">
        <x:v>a potentially duplicate record exists</x:v>
      </x:c>
      <x:c r="H1815" s="339" t="str">
        <x:v>the user submits matching identity/master data</x:v>
      </x:c>
      <x:c r="I1815" s="339" t="str">
        <x:v>the system blocks or warns according to configured duplicate policy before creating another record</x:v>
      </x:c>
      <x:c r="J1815" s="339" t="str">
        <x:v>Negative</x:v>
      </x:c>
      <x:c r="K1815" s="339" t="str">
        <x:v>Functional</x:v>
      </x:c>
    </x:row>
    <x:row r="1816">
      <x:c r="A1816" s="339" t="str">
        <x:v>AC-01815</x:v>
      </x:c>
      <x:c r="B1816" s="339" t="str">
        <x:v>US-0454</x:v>
      </x:c>
      <x:c r="C1816" s="339" t="str">
        <x:v>SCR-227</x:v>
      </x:c>
      <x:c r="D1816" s="339" t="str">
        <x:v>Visitor / Gate / Security</x:v>
      </x:c>
      <x:c r="E1816" s="339" t="str">
        <x:v>Visitor Check-in</x:v>
      </x:c>
      <x:c r="F1816" s="339" t="str">
        <x:v>Reference-data integrity</x:v>
      </x:c>
      <x:c r="G1816" s="339" t="str">
        <x:v>the form contains master-data selections</x:v>
      </x:c>
      <x:c r="H1816" s="339" t="str">
        <x:v>the user submits</x:v>
      </x:c>
      <x:c r="I1816" s="339" t="str">
        <x:v>all referenced values are active, effective and within the user's scope at the time of save</x:v>
      </x:c>
      <x:c r="J1816" s="339" t="str">
        <x:v>Positive</x:v>
      </x:c>
      <x:c r="K1816" s="339" t="str">
        <x:v>Functional</x:v>
      </x:c>
    </x:row>
    <x:row r="1817">
      <x:c r="A1817" s="339" t="str">
        <x:v>AC-01816</x:v>
      </x:c>
      <x:c r="B1817" s="339" t="str">
        <x:v>US-0454</x:v>
      </x:c>
      <x:c r="C1817" s="339" t="str">
        <x:v>SCR-227</x:v>
      </x:c>
      <x:c r="D1817" s="339" t="str">
        <x:v>Visitor / Gate / Security</x:v>
      </x:c>
      <x:c r="E1817" s="339" t="str">
        <x:v>Visitor Check-in</x:v>
      </x:c>
      <x:c r="F1817" s="339" t="str">
        <x:v>Retry safety</x:v>
      </x:c>
      <x:c r="G1817" s="339" t="str">
        <x:v>a network retry or repeated click occurs</x:v>
      </x:c>
      <x:c r="H1817" s="339" t="str">
        <x:v>the same transaction is submitted again</x:v>
      </x:c>
      <x:c r="I1817" s="339" t="str">
        <x:v>the system prevents unintended duplicate transactions through idempotency or duplicate detection</x:v>
      </x:c>
      <x:c r="J1817" s="339" t="str">
        <x:v>Positive</x:v>
      </x:c>
      <x:c r="K1817" s="339" t="str">
        <x:v>Functional</x:v>
      </x:c>
    </x:row>
    <x:row r="1818">
      <x:c r="A1818" s="339" t="str">
        <x:v>AC-01817</x:v>
      </x:c>
      <x:c r="B1818" s="339" t="str">
        <x:v>US-0455</x:v>
      </x:c>
      <x:c r="C1818" s="339" t="str">
        <x:v>SCR-228</x:v>
      </x:c>
      <x:c r="D1818" s="339" t="str">
        <x:v>Visitor / Gate / Security</x:v>
      </x:c>
      <x:c r="E1818" s="339" t="str">
        <x:v>Visitor Approval</x:v>
      </x:c>
      <x:c r="F1818" s="339" t="str">
        <x:v>Authorized access to Visitor Approval</x:v>
      </x:c>
      <x:c r="G1818" s="339" t="str">
        <x:v>the Security is authenticated and has access to Visitor Approval</x:v>
      </x:c>
      <x:c r="H1818" s="339" t="str">
        <x:v>the user opens or invokes Visitor Approval</x:v>
      </x:c>
      <x:c r="I1818" s="339" t="str">
        <x:v>the system loads only records and actions within the user's permitted tenant/school/data scope</x:v>
      </x:c>
      <x:c r="J1818" s="339" t="str">
        <x:v>Positive</x:v>
      </x:c>
      <x:c r="K1818" s="339" t="str">
        <x:v>Functional / Security</x:v>
      </x:c>
    </x:row>
    <x:row r="1819">
      <x:c r="A1819" s="339" t="str">
        <x:v>AC-01818</x:v>
      </x:c>
      <x:c r="B1819" s="339" t="str">
        <x:v>US-0455</x:v>
      </x:c>
      <x:c r="C1819" s="339" t="str">
        <x:v>SCR-228</x:v>
      </x:c>
      <x:c r="D1819" s="339" t="str">
        <x:v>Visitor / Gate / Security</x:v>
      </x:c>
      <x:c r="E1819" s="339" t="str">
        <x:v>Visitor Approval</x:v>
      </x:c>
      <x:c r="F1819" s="339" t="str">
        <x:v>Successful Visitor Approval happy path</x:v>
      </x:c>
      <x:c r="G1819" s="339" t="str">
        <x:v>all mandatory prerequisites and valid data are available</x:v>
      </x:c>
      <x:c r="H1819" s="339" t="str">
        <x:v>the Security completes the primary action on Visitor Approval</x:v>
      </x:c>
      <x:c r="I1819" s="339" t="str">
        <x:v>the system validates the request, saves it atomically, shows a clear confirmation and reflects the updated state</x:v>
      </x:c>
      <x:c r="J1819" s="339" t="str">
        <x:v>Positive</x:v>
      </x:c>
      <x:c r="K1819" s="339" t="str">
        <x:v>Functional</x:v>
      </x:c>
    </x:row>
    <x:row r="1820">
      <x:c r="A1820" s="339" t="str">
        <x:v>AC-01819</x:v>
      </x:c>
      <x:c r="B1820" s="339" t="str">
        <x:v>US-0455</x:v>
      </x:c>
      <x:c r="C1820" s="339" t="str">
        <x:v>SCR-228</x:v>
      </x:c>
      <x:c r="D1820" s="339" t="str">
        <x:v>Visitor / Gate / Security</x:v>
      </x:c>
      <x:c r="E1820" s="339" t="str">
        <x:v>Visitor Approval</x:v>
      </x:c>
      <x:c r="F1820" s="339" t="str">
        <x:v>State and dependency integrity</x:v>
      </x:c>
      <x:c r="G1820" s="339" t="str">
        <x:v>the current record is in an allowed state (Requested / Registered → Approved / Denied → Checked In → Checked Out / Cancelled)</x:v>
      </x:c>
      <x:c r="H1820" s="339" t="str">
        <x:v>the user attempts a state-changing action</x:v>
      </x:c>
      <x:c r="I1820" s="339" t="str">
        <x:v>only a valid transition is accepted and dependent records are updated according to configured business rules</x:v>
      </x:c>
      <x:c r="J1820" s="339" t="str">
        <x:v>Positive</x:v>
      </x:c>
      <x:c r="K1820" s="339" t="str">
        <x:v>Functional</x:v>
      </x:c>
    </x:row>
    <x:row r="1821">
      <x:c r="A1821" s="339" t="str">
        <x:v>AC-01820</x:v>
      </x:c>
      <x:c r="B1821" s="339" t="str">
        <x:v>US-0455</x:v>
      </x:c>
      <x:c r="C1821" s="339" t="str">
        <x:v>SCR-228</x:v>
      </x:c>
      <x:c r="D1821" s="339" t="str">
        <x:v>Visitor / Gate / Security</x:v>
      </x:c>
      <x:c r="E1821" s="339" t="str">
        <x:v>Visitor Approval</x:v>
      </x:c>
      <x:c r="F1821" s="339" t="str">
        <x:v>Auditability</x:v>
      </x:c>
      <x:c r="G1821" s="339" t="str">
        <x:v>a material create/update/approve/reverse action occurs</x:v>
      </x:c>
      <x:c r="H1821" s="339" t="str">
        <x:v>the transaction succeeds</x:v>
      </x:c>
      <x:c r="I1821" s="339" t="str">
        <x:v>the system records actor, timestamp, action, target and relevant before/after or reason context in the audit trail</x:v>
      </x:c>
      <x:c r="J1821" s="339" t="str">
        <x:v>Positive</x:v>
      </x:c>
      <x:c r="K1821" s="339" t="str">
        <x:v>Functional</x:v>
      </x:c>
    </x:row>
    <x:row r="1822">
      <x:c r="A1822" s="339" t="str">
        <x:v>AC-01821</x:v>
      </x:c>
      <x:c r="B1822" s="339" t="str">
        <x:v>US-0456</x:v>
      </x:c>
      <x:c r="C1822" s="339" t="str">
        <x:v>SCR-228</x:v>
      </x:c>
      <x:c r="D1822" s="339" t="str">
        <x:v>Visitor / Gate / Security</x:v>
      </x:c>
      <x:c r="E1822" s="339" t="str">
        <x:v>Visitor Approval</x:v>
      </x:c>
      <x:c r="F1822" s="339" t="str">
        <x:v>Valid status transition</x:v>
      </x:c>
      <x:c r="G1822" s="339" t="str">
        <x:v>the record is in a state described by Requested / Registered → Approved / Denied → Checked In → Checked Out / Cancelled</x:v>
      </x:c>
      <x:c r="H1822" s="339" t="str">
        <x:v>the user requests a transition</x:v>
      </x:c>
      <x:c r="I1822" s="339" t="str">
        <x:v>the system accepts only transitions allowed for that role and state</x:v>
      </x:c>
      <x:c r="J1822" s="339" t="str">
        <x:v>Positive</x:v>
      </x:c>
      <x:c r="K1822" s="339" t="str">
        <x:v>Functional</x:v>
      </x:c>
    </x:row>
    <x:row r="1823">
      <x:c r="A1823" s="339" t="str">
        <x:v>AC-01822</x:v>
      </x:c>
      <x:c r="B1823" s="339" t="str">
        <x:v>US-0456</x:v>
      </x:c>
      <x:c r="C1823" s="339" t="str">
        <x:v>SCR-228</x:v>
      </x:c>
      <x:c r="D1823" s="339" t="str">
        <x:v>Visitor / Gate / Security</x:v>
      </x:c>
      <x:c r="E1823" s="339" t="str">
        <x:v>Visitor Approval</x:v>
      </x:c>
      <x:c r="F1823" s="339" t="str">
        <x:v>Approval authority</x:v>
      </x:c>
      <x:c r="G1823" s="339" t="str">
        <x:v>an action requires approval</x:v>
      </x:c>
      <x:c r="H1823" s="339" t="str">
        <x:v>a non-authorized user attempts approval/rejection</x:v>
      </x:c>
      <x:c r="I1823" s="339" t="str">
        <x:v>the system denies the decision and does not change status</x:v>
      </x:c>
      <x:c r="J1823" s="339" t="str">
        <x:v>Negative</x:v>
      </x:c>
      <x:c r="K1823" s="339" t="str">
        <x:v>Functional</x:v>
      </x:c>
    </x:row>
    <x:row r="1824">
      <x:c r="A1824" s="339" t="str">
        <x:v>AC-01823</x:v>
      </x:c>
      <x:c r="B1824" s="339" t="str">
        <x:v>US-0456</x:v>
      </x:c>
      <x:c r="C1824" s="339" t="str">
        <x:v>SCR-228</x:v>
      </x:c>
      <x:c r="D1824" s="339" t="str">
        <x:v>Visitor / Gate / Security</x:v>
      </x:c>
      <x:c r="E1824" s="339" t="str">
        <x:v>Visitor Approval</x:v>
      </x:c>
      <x:c r="F1824" s="339" t="str">
        <x:v>Failure rollback</x:v>
      </x:c>
      <x:c r="G1824" s="339" t="str">
        <x:v>a downstream dependency fails during a multi-step transaction</x:v>
      </x:c>
      <x:c r="H1824" s="339" t="str">
        <x:v>the workflow executes</x:v>
      </x:c>
      <x:c r="I1824" s="339" t="str">
        <x:v>the system does not leave an invalid partial final state and surfaces a recoverable error</x:v>
      </x:c>
      <x:c r="J1824" s="339" t="str">
        <x:v>Positive</x:v>
      </x:c>
      <x:c r="K1824" s="339" t="str">
        <x:v>Functional</x:v>
      </x:c>
    </x:row>
    <x:row r="1825">
      <x:c r="A1825" s="339" t="str">
        <x:v>AC-01824</x:v>
      </x:c>
      <x:c r="B1825" s="339" t="str">
        <x:v>US-0456</x:v>
      </x:c>
      <x:c r="C1825" s="339" t="str">
        <x:v>SCR-228</x:v>
      </x:c>
      <x:c r="D1825" s="339" t="str">
        <x:v>Visitor / Gate / Security</x:v>
      </x:c>
      <x:c r="E1825" s="339" t="str">
        <x:v>Visitor Approval</x:v>
      </x:c>
      <x:c r="F1825" s="339" t="str">
        <x:v>Exception traceability</x:v>
      </x:c>
      <x:c r="G1825" s="339" t="str">
        <x:v>an authorized override/exception is used</x:v>
      </x:c>
      <x:c r="H1825" s="339" t="str">
        <x:v>the action is confirmed</x:v>
      </x:c>
      <x:c r="I1825" s="339" t="str">
        <x:v>the system requires reason/context and records it in the audit history</x:v>
      </x:c>
      <x:c r="J1825" s="339" t="str">
        <x:v>Positive</x:v>
      </x:c>
      <x:c r="K1825" s="339" t="str">
        <x:v>Functional</x:v>
      </x:c>
    </x:row>
    <x:row r="1826">
      <x:c r="A1826" s="339" t="str">
        <x:v>AC-01825</x:v>
      </x:c>
      <x:c r="B1826" s="339" t="str">
        <x:v>US-0457</x:v>
      </x:c>
      <x:c r="C1826" s="339" t="str">
        <x:v>SCR-229</x:v>
      </x:c>
      <x:c r="D1826" s="339" t="str">
        <x:v>Visitor / Gate / Security</x:v>
      </x:c>
      <x:c r="E1826" s="339" t="str">
        <x:v>Visitor Pass</x:v>
      </x:c>
      <x:c r="F1826" s="339" t="str">
        <x:v>Authorized access to Visitor Pass</x:v>
      </x:c>
      <x:c r="G1826" s="339" t="str">
        <x:v>the Security is authenticated and has access to Visitor Pass</x:v>
      </x:c>
      <x:c r="H1826" s="339" t="str">
        <x:v>the user opens or invokes Visitor Pass</x:v>
      </x:c>
      <x:c r="I1826" s="339" t="str">
        <x:v>the system loads only records and actions within the user's permitted tenant/school/data scope</x:v>
      </x:c>
      <x:c r="J1826" s="339" t="str">
        <x:v>Positive</x:v>
      </x:c>
      <x:c r="K1826" s="339" t="str">
        <x:v>Functional / Security</x:v>
      </x:c>
    </x:row>
    <x:row r="1827">
      <x:c r="A1827" s="339" t="str">
        <x:v>AC-01826</x:v>
      </x:c>
      <x:c r="B1827" s="339" t="str">
        <x:v>US-0457</x:v>
      </x:c>
      <x:c r="C1827" s="339" t="str">
        <x:v>SCR-229</x:v>
      </x:c>
      <x:c r="D1827" s="339" t="str">
        <x:v>Visitor / Gate / Security</x:v>
      </x:c>
      <x:c r="E1827" s="339" t="str">
        <x:v>Visitor Pass</x:v>
      </x:c>
      <x:c r="F1827" s="339" t="str">
        <x:v>Successful Visitor Pass happy path</x:v>
      </x:c>
      <x:c r="G1827" s="339" t="str">
        <x:v>all mandatory prerequisites and valid data are available</x:v>
      </x:c>
      <x:c r="H1827" s="339" t="str">
        <x:v>the Security completes the primary action on Visitor Pass</x:v>
      </x:c>
      <x:c r="I1827" s="339" t="str">
        <x:v>the system validates the request, saves it atomically, shows a clear confirmation and reflects the updated state</x:v>
      </x:c>
      <x:c r="J1827" s="339" t="str">
        <x:v>Positive</x:v>
      </x:c>
      <x:c r="K1827" s="339" t="str">
        <x:v>Functional</x:v>
      </x:c>
    </x:row>
    <x:row r="1828">
      <x:c r="A1828" s="339" t="str">
        <x:v>AC-01827</x:v>
      </x:c>
      <x:c r="B1828" s="339" t="str">
        <x:v>US-0457</x:v>
      </x:c>
      <x:c r="C1828" s="339" t="str">
        <x:v>SCR-229</x:v>
      </x:c>
      <x:c r="D1828" s="339" t="str">
        <x:v>Visitor / Gate / Security</x:v>
      </x:c>
      <x:c r="E1828" s="339" t="str">
        <x:v>Visitor Pass</x:v>
      </x:c>
      <x:c r="F1828" s="339" t="str">
        <x:v>State and dependency integrity</x:v>
      </x:c>
      <x:c r="G1828" s="339" t="str">
        <x:v>the current record is in an allowed state (Requested / Registered → Approved / Denied → Checked In → Checked Out / Cancelled)</x:v>
      </x:c>
      <x:c r="H1828" s="339" t="str">
        <x:v>the user attempts a state-changing action</x:v>
      </x:c>
      <x:c r="I1828" s="339" t="str">
        <x:v>only a valid transition is accepted and dependent records are updated according to configured business rules</x:v>
      </x:c>
      <x:c r="J1828" s="339" t="str">
        <x:v>Positive</x:v>
      </x:c>
      <x:c r="K1828" s="339" t="str">
        <x:v>Functional</x:v>
      </x:c>
    </x:row>
    <x:row r="1829">
      <x:c r="A1829" s="339" t="str">
        <x:v>AC-01828</x:v>
      </x:c>
      <x:c r="B1829" s="339" t="str">
        <x:v>US-0457</x:v>
      </x:c>
      <x:c r="C1829" s="339" t="str">
        <x:v>SCR-229</x:v>
      </x:c>
      <x:c r="D1829" s="339" t="str">
        <x:v>Visitor / Gate / Security</x:v>
      </x:c>
      <x:c r="E1829" s="339" t="str">
        <x:v>Visitor Pass</x:v>
      </x:c>
      <x:c r="F1829" s="339" t="str">
        <x:v>Auditability</x:v>
      </x:c>
      <x:c r="G1829" s="339" t="str">
        <x:v>a material create/update/approve/reverse action occurs</x:v>
      </x:c>
      <x:c r="H1829" s="339" t="str">
        <x:v>the transaction succeeds</x:v>
      </x:c>
      <x:c r="I1829" s="339" t="str">
        <x:v>the system records actor, timestamp, action, target and relevant before/after or reason context in the audit trail</x:v>
      </x:c>
      <x:c r="J1829" s="339" t="str">
        <x:v>Positive</x:v>
      </x:c>
      <x:c r="K1829" s="339" t="str">
        <x:v>Functional</x:v>
      </x:c>
    </x:row>
    <x:row r="1830">
      <x:c r="A1830" s="339" t="str">
        <x:v>AC-01829</x:v>
      </x:c>
      <x:c r="B1830" s="339" t="str">
        <x:v>US-0458</x:v>
      </x:c>
      <x:c r="C1830" s="339" t="str">
        <x:v>SCR-229</x:v>
      </x:c>
      <x:c r="D1830" s="339" t="str">
        <x:v>Visitor / Gate / Security</x:v>
      </x:c>
      <x:c r="E1830" s="339" t="str">
        <x:v>Visitor Pass</x:v>
      </x:c>
      <x:c r="F1830" s="339" t="str">
        <x:v>Valid status transition</x:v>
      </x:c>
      <x:c r="G1830" s="339" t="str">
        <x:v>the record is in a state described by Requested / Registered → Approved / Denied → Checked In → Checked Out / Cancelled</x:v>
      </x:c>
      <x:c r="H1830" s="339" t="str">
        <x:v>the user requests a transition</x:v>
      </x:c>
      <x:c r="I1830" s="339" t="str">
        <x:v>the system accepts only transitions allowed for that role and state</x:v>
      </x:c>
      <x:c r="J1830" s="339" t="str">
        <x:v>Positive</x:v>
      </x:c>
      <x:c r="K1830" s="339" t="str">
        <x:v>Functional</x:v>
      </x:c>
    </x:row>
    <x:row r="1831">
      <x:c r="A1831" s="339" t="str">
        <x:v>AC-01830</x:v>
      </x:c>
      <x:c r="B1831" s="339" t="str">
        <x:v>US-0458</x:v>
      </x:c>
      <x:c r="C1831" s="339" t="str">
        <x:v>SCR-229</x:v>
      </x:c>
      <x:c r="D1831" s="339" t="str">
        <x:v>Visitor / Gate / Security</x:v>
      </x:c>
      <x:c r="E1831" s="339" t="str">
        <x:v>Visitor Pass</x:v>
      </x:c>
      <x:c r="F1831" s="339" t="str">
        <x:v>Approval authority</x:v>
      </x:c>
      <x:c r="G1831" s="339" t="str">
        <x:v>an action requires approval</x:v>
      </x:c>
      <x:c r="H1831" s="339" t="str">
        <x:v>a non-authorized user attempts approval/rejection</x:v>
      </x:c>
      <x:c r="I1831" s="339" t="str">
        <x:v>the system denies the decision and does not change status</x:v>
      </x:c>
      <x:c r="J1831" s="339" t="str">
        <x:v>Negative</x:v>
      </x:c>
      <x:c r="K1831" s="339" t="str">
        <x:v>Functional</x:v>
      </x:c>
    </x:row>
    <x:row r="1832">
      <x:c r="A1832" s="339" t="str">
        <x:v>AC-01831</x:v>
      </x:c>
      <x:c r="B1832" s="339" t="str">
        <x:v>US-0458</x:v>
      </x:c>
      <x:c r="C1832" s="339" t="str">
        <x:v>SCR-229</x:v>
      </x:c>
      <x:c r="D1832" s="339" t="str">
        <x:v>Visitor / Gate / Security</x:v>
      </x:c>
      <x:c r="E1832" s="339" t="str">
        <x:v>Visitor Pass</x:v>
      </x:c>
      <x:c r="F1832" s="339" t="str">
        <x:v>Failure rollback</x:v>
      </x:c>
      <x:c r="G1832" s="339" t="str">
        <x:v>a downstream dependency fails during a multi-step transaction</x:v>
      </x:c>
      <x:c r="H1832" s="339" t="str">
        <x:v>the workflow executes</x:v>
      </x:c>
      <x:c r="I1832" s="339" t="str">
        <x:v>the system does not leave an invalid partial final state and surfaces a recoverable error</x:v>
      </x:c>
      <x:c r="J1832" s="339" t="str">
        <x:v>Positive</x:v>
      </x:c>
      <x:c r="K1832" s="339" t="str">
        <x:v>Functional</x:v>
      </x:c>
    </x:row>
    <x:row r="1833">
      <x:c r="A1833" s="339" t="str">
        <x:v>AC-01832</x:v>
      </x:c>
      <x:c r="B1833" s="339" t="str">
        <x:v>US-0458</x:v>
      </x:c>
      <x:c r="C1833" s="339" t="str">
        <x:v>SCR-229</x:v>
      </x:c>
      <x:c r="D1833" s="339" t="str">
        <x:v>Visitor / Gate / Security</x:v>
      </x:c>
      <x:c r="E1833" s="339" t="str">
        <x:v>Visitor Pass</x:v>
      </x:c>
      <x:c r="F1833" s="339" t="str">
        <x:v>Exception traceability</x:v>
      </x:c>
      <x:c r="G1833" s="339" t="str">
        <x:v>an authorized override/exception is used</x:v>
      </x:c>
      <x:c r="H1833" s="339" t="str">
        <x:v>the action is confirmed</x:v>
      </x:c>
      <x:c r="I1833" s="339" t="str">
        <x:v>the system requires reason/context and records it in the audit history</x:v>
      </x:c>
      <x:c r="J1833" s="339" t="str">
        <x:v>Positive</x:v>
      </x:c>
      <x:c r="K1833" s="339" t="str">
        <x:v>Functional</x:v>
      </x:c>
    </x:row>
    <x:row r="1834">
      <x:c r="A1834" s="339" t="str">
        <x:v>AC-01833</x:v>
      </x:c>
      <x:c r="B1834" s="339" t="str">
        <x:v>US-0459</x:v>
      </x:c>
      <x:c r="C1834" s="339" t="str">
        <x:v>SCR-230</x:v>
      </x:c>
      <x:c r="D1834" s="339" t="str">
        <x:v>Visitor / Gate / Security</x:v>
      </x:c>
      <x:c r="E1834" s="339" t="str">
        <x:v>Visitor Check-out</x:v>
      </x:c>
      <x:c r="F1834" s="339" t="str">
        <x:v>Authorized access to Visitor Check-out</x:v>
      </x:c>
      <x:c r="G1834" s="339" t="str">
        <x:v>the Security is authenticated and has access to Visitor Check-out</x:v>
      </x:c>
      <x:c r="H1834" s="339" t="str">
        <x:v>the user opens or invokes Visitor Check-out</x:v>
      </x:c>
      <x:c r="I1834" s="339" t="str">
        <x:v>the system loads only records and actions within the user's permitted tenant/school/data scope</x:v>
      </x:c>
      <x:c r="J1834" s="339" t="str">
        <x:v>Positive</x:v>
      </x:c>
      <x:c r="K1834" s="339" t="str">
        <x:v>Functional / Security</x:v>
      </x:c>
    </x:row>
    <x:row r="1835">
      <x:c r="A1835" s="339" t="str">
        <x:v>AC-01834</x:v>
      </x:c>
      <x:c r="B1835" s="339" t="str">
        <x:v>US-0459</x:v>
      </x:c>
      <x:c r="C1835" s="339" t="str">
        <x:v>SCR-230</x:v>
      </x:c>
      <x:c r="D1835" s="339" t="str">
        <x:v>Visitor / Gate / Security</x:v>
      </x:c>
      <x:c r="E1835" s="339" t="str">
        <x:v>Visitor Check-out</x:v>
      </x:c>
      <x:c r="F1835" s="339" t="str">
        <x:v>Successful Visitor Check-out happy path</x:v>
      </x:c>
      <x:c r="G1835" s="339" t="str">
        <x:v>all mandatory prerequisites and valid data are available</x:v>
      </x:c>
      <x:c r="H1835" s="339" t="str">
        <x:v>the Security completes the primary action on Visitor Check-out</x:v>
      </x:c>
      <x:c r="I1835" s="339" t="str">
        <x:v>the system validates the request, saves it atomically, shows a clear confirmation and reflects the updated state</x:v>
      </x:c>
      <x:c r="J1835" s="339" t="str">
        <x:v>Positive</x:v>
      </x:c>
      <x:c r="K1835" s="339" t="str">
        <x:v>Functional</x:v>
      </x:c>
    </x:row>
    <x:row r="1836">
      <x:c r="A1836" s="339" t="str">
        <x:v>AC-01835</x:v>
      </x:c>
      <x:c r="B1836" s="339" t="str">
        <x:v>US-0459</x:v>
      </x:c>
      <x:c r="C1836" s="339" t="str">
        <x:v>SCR-230</x:v>
      </x:c>
      <x:c r="D1836" s="339" t="str">
        <x:v>Visitor / Gate / Security</x:v>
      </x:c>
      <x:c r="E1836" s="339" t="str">
        <x:v>Visitor Check-out</x:v>
      </x:c>
      <x:c r="F1836" s="339" t="str">
        <x:v>State and dependency integrity</x:v>
      </x:c>
      <x:c r="G1836" s="339" t="str">
        <x:v>the current record is in an allowed state (Requested / Registered → Approved / Denied → Checked In → Checked Out / Cancelled)</x:v>
      </x:c>
      <x:c r="H1836" s="339" t="str">
        <x:v>the user attempts a state-changing action</x:v>
      </x:c>
      <x:c r="I1836" s="339" t="str">
        <x:v>only a valid transition is accepted and dependent records are updated according to configured business rules</x:v>
      </x:c>
      <x:c r="J1836" s="339" t="str">
        <x:v>Positive</x:v>
      </x:c>
      <x:c r="K1836" s="339" t="str">
        <x:v>Functional</x:v>
      </x:c>
    </x:row>
    <x:row r="1837">
      <x:c r="A1837" s="339" t="str">
        <x:v>AC-01836</x:v>
      </x:c>
      <x:c r="B1837" s="339" t="str">
        <x:v>US-0459</x:v>
      </x:c>
      <x:c r="C1837" s="339" t="str">
        <x:v>SCR-230</x:v>
      </x:c>
      <x:c r="D1837" s="339" t="str">
        <x:v>Visitor / Gate / Security</x:v>
      </x:c>
      <x:c r="E1837" s="339" t="str">
        <x:v>Visitor Check-out</x:v>
      </x:c>
      <x:c r="F1837" s="339" t="str">
        <x:v>Auditability</x:v>
      </x:c>
      <x:c r="G1837" s="339" t="str">
        <x:v>a material create/update/approve/reverse action occurs</x:v>
      </x:c>
      <x:c r="H1837" s="339" t="str">
        <x:v>the transaction succeeds</x:v>
      </x:c>
      <x:c r="I1837" s="339" t="str">
        <x:v>the system records actor, timestamp, action, target and relevant before/after or reason context in the audit trail</x:v>
      </x:c>
      <x:c r="J1837" s="339" t="str">
        <x:v>Positive</x:v>
      </x:c>
      <x:c r="K1837" s="339" t="str">
        <x:v>Functional</x:v>
      </x:c>
    </x:row>
    <x:row r="1838">
      <x:c r="A1838" s="339" t="str">
        <x:v>AC-01837</x:v>
      </x:c>
      <x:c r="B1838" s="339" t="str">
        <x:v>US-0460</x:v>
      </x:c>
      <x:c r="C1838" s="339" t="str">
        <x:v>SCR-230</x:v>
      </x:c>
      <x:c r="D1838" s="339" t="str">
        <x:v>Visitor / Gate / Security</x:v>
      </x:c>
      <x:c r="E1838" s="339" t="str">
        <x:v>Visitor Check-out</x:v>
      </x:c>
      <x:c r="F1838" s="339" t="str">
        <x:v>Valid status transition</x:v>
      </x:c>
      <x:c r="G1838" s="339" t="str">
        <x:v>the record is in a state described by Requested / Registered → Approved / Denied → Checked In → Checked Out / Cancelled</x:v>
      </x:c>
      <x:c r="H1838" s="339" t="str">
        <x:v>the user requests a transition</x:v>
      </x:c>
      <x:c r="I1838" s="339" t="str">
        <x:v>the system accepts only transitions allowed for that role and state</x:v>
      </x:c>
      <x:c r="J1838" s="339" t="str">
        <x:v>Positive</x:v>
      </x:c>
      <x:c r="K1838" s="339" t="str">
        <x:v>Functional</x:v>
      </x:c>
    </x:row>
    <x:row r="1839">
      <x:c r="A1839" s="339" t="str">
        <x:v>AC-01838</x:v>
      </x:c>
      <x:c r="B1839" s="339" t="str">
        <x:v>US-0460</x:v>
      </x:c>
      <x:c r="C1839" s="339" t="str">
        <x:v>SCR-230</x:v>
      </x:c>
      <x:c r="D1839" s="339" t="str">
        <x:v>Visitor / Gate / Security</x:v>
      </x:c>
      <x:c r="E1839" s="339" t="str">
        <x:v>Visitor Check-out</x:v>
      </x:c>
      <x:c r="F1839" s="339" t="str">
        <x:v>Approval authority</x:v>
      </x:c>
      <x:c r="G1839" s="339" t="str">
        <x:v>an action requires approval</x:v>
      </x:c>
      <x:c r="H1839" s="339" t="str">
        <x:v>a non-authorized user attempts approval/rejection</x:v>
      </x:c>
      <x:c r="I1839" s="339" t="str">
        <x:v>the system denies the decision and does not change status</x:v>
      </x:c>
      <x:c r="J1839" s="339" t="str">
        <x:v>Negative</x:v>
      </x:c>
      <x:c r="K1839" s="339" t="str">
        <x:v>Functional</x:v>
      </x:c>
    </x:row>
    <x:row r="1840">
      <x:c r="A1840" s="339" t="str">
        <x:v>AC-01839</x:v>
      </x:c>
      <x:c r="B1840" s="339" t="str">
        <x:v>US-0460</x:v>
      </x:c>
      <x:c r="C1840" s="339" t="str">
        <x:v>SCR-230</x:v>
      </x:c>
      <x:c r="D1840" s="339" t="str">
        <x:v>Visitor / Gate / Security</x:v>
      </x:c>
      <x:c r="E1840" s="339" t="str">
        <x:v>Visitor Check-out</x:v>
      </x:c>
      <x:c r="F1840" s="339" t="str">
        <x:v>Failure rollback</x:v>
      </x:c>
      <x:c r="G1840" s="339" t="str">
        <x:v>a downstream dependency fails during a multi-step transaction</x:v>
      </x:c>
      <x:c r="H1840" s="339" t="str">
        <x:v>the workflow executes</x:v>
      </x:c>
      <x:c r="I1840" s="339" t="str">
        <x:v>the system does not leave an invalid partial final state and surfaces a recoverable error</x:v>
      </x:c>
      <x:c r="J1840" s="339" t="str">
        <x:v>Positive</x:v>
      </x:c>
      <x:c r="K1840" s="339" t="str">
        <x:v>Functional</x:v>
      </x:c>
    </x:row>
    <x:row r="1841">
      <x:c r="A1841" s="339" t="str">
        <x:v>AC-01840</x:v>
      </x:c>
      <x:c r="B1841" s="339" t="str">
        <x:v>US-0460</x:v>
      </x:c>
      <x:c r="C1841" s="339" t="str">
        <x:v>SCR-230</x:v>
      </x:c>
      <x:c r="D1841" s="339" t="str">
        <x:v>Visitor / Gate / Security</x:v>
      </x:c>
      <x:c r="E1841" s="339" t="str">
        <x:v>Visitor Check-out</x:v>
      </x:c>
      <x:c r="F1841" s="339" t="str">
        <x:v>Exception traceability</x:v>
      </x:c>
      <x:c r="G1841" s="339" t="str">
        <x:v>an authorized override/exception is used</x:v>
      </x:c>
      <x:c r="H1841" s="339" t="str">
        <x:v>the action is confirmed</x:v>
      </x:c>
      <x:c r="I1841" s="339" t="str">
        <x:v>the system requires reason/context and records it in the audit history</x:v>
      </x:c>
      <x:c r="J1841" s="339" t="str">
        <x:v>Positive</x:v>
      </x:c>
      <x:c r="K1841" s="339" t="str">
        <x:v>Functional</x:v>
      </x:c>
    </x:row>
    <x:row r="1842">
      <x:c r="A1842" s="339" t="str">
        <x:v>AC-01841</x:v>
      </x:c>
      <x:c r="B1842" s="339" t="str">
        <x:v>US-0461</x:v>
      </x:c>
      <x:c r="C1842" s="339" t="str">
        <x:v>SCR-231</x:v>
      </x:c>
      <x:c r="D1842" s="339" t="str">
        <x:v>Visitor / Gate / Security</x:v>
      </x:c>
      <x:c r="E1842" s="339" t="str">
        <x:v>Student Early Pickup / Gate Pass</x:v>
      </x:c>
      <x:c r="F1842" s="339" t="str">
        <x:v>Authorized access to Student Early Pickup / Gate Pass</x:v>
      </x:c>
      <x:c r="G1842" s="339" t="str">
        <x:v>the Security is authenticated and has access to Student Early Pickup / Gate Pass</x:v>
      </x:c>
      <x:c r="H1842" s="339" t="str">
        <x:v>the user opens or invokes Student Early Pickup / Gate Pass</x:v>
      </x:c>
      <x:c r="I1842" s="339" t="str">
        <x:v>the system loads only records and actions within the user's permitted tenant/school/data scope</x:v>
      </x:c>
      <x:c r="J1842" s="339" t="str">
        <x:v>Positive</x:v>
      </x:c>
      <x:c r="K1842" s="339" t="str">
        <x:v>Functional / Security</x:v>
      </x:c>
    </x:row>
    <x:row r="1843">
      <x:c r="A1843" s="339" t="str">
        <x:v>AC-01842</x:v>
      </x:c>
      <x:c r="B1843" s="339" t="str">
        <x:v>US-0461</x:v>
      </x:c>
      <x:c r="C1843" s="339" t="str">
        <x:v>SCR-231</x:v>
      </x:c>
      <x:c r="D1843" s="339" t="str">
        <x:v>Visitor / Gate / Security</x:v>
      </x:c>
      <x:c r="E1843" s="339" t="str">
        <x:v>Student Early Pickup / Gate Pass</x:v>
      </x:c>
      <x:c r="F1843" s="339" t="str">
        <x:v>Successful Student Early Pickup / Gate Pass happy path</x:v>
      </x:c>
      <x:c r="G1843" s="339" t="str">
        <x:v>all mandatory prerequisites and valid data are available</x:v>
      </x:c>
      <x:c r="H1843" s="339" t="str">
        <x:v>the Security completes the primary action on Student Early Pickup / Gate Pass</x:v>
      </x:c>
      <x:c r="I1843" s="339" t="str">
        <x:v>the system validates the request, saves it atomically, shows a clear confirmation and reflects the updated state</x:v>
      </x:c>
      <x:c r="J1843" s="339" t="str">
        <x:v>Positive</x:v>
      </x:c>
      <x:c r="K1843" s="339" t="str">
        <x:v>Functional</x:v>
      </x:c>
    </x:row>
    <x:row r="1844">
      <x:c r="A1844" s="339" t="str">
        <x:v>AC-01843</x:v>
      </x:c>
      <x:c r="B1844" s="339" t="str">
        <x:v>US-0461</x:v>
      </x:c>
      <x:c r="C1844" s="339" t="str">
        <x:v>SCR-231</x:v>
      </x:c>
      <x:c r="D1844" s="339" t="str">
        <x:v>Visitor / Gate / Security</x:v>
      </x:c>
      <x:c r="E1844" s="339" t="str">
        <x:v>Student Early Pickup / Gate Pass</x:v>
      </x:c>
      <x:c r="F1844" s="339" t="str">
        <x:v>State and dependency integrity</x:v>
      </x:c>
      <x:c r="G1844" s="339" t="str">
        <x:v>the current record is in an allowed state (Requested / Registered → Approved / Denied → Checked In → Checked Out / Cancelled)</x:v>
      </x:c>
      <x:c r="H1844" s="339" t="str">
        <x:v>the user attempts a state-changing action</x:v>
      </x:c>
      <x:c r="I1844" s="339" t="str">
        <x:v>only a valid transition is accepted and dependent records are updated according to configured business rules</x:v>
      </x:c>
      <x:c r="J1844" s="339" t="str">
        <x:v>Positive</x:v>
      </x:c>
      <x:c r="K1844" s="339" t="str">
        <x:v>Functional</x:v>
      </x:c>
    </x:row>
    <x:row r="1845">
      <x:c r="A1845" s="339" t="str">
        <x:v>AC-01844</x:v>
      </x:c>
      <x:c r="B1845" s="339" t="str">
        <x:v>US-0461</x:v>
      </x:c>
      <x:c r="C1845" s="339" t="str">
        <x:v>SCR-231</x:v>
      </x:c>
      <x:c r="D1845" s="339" t="str">
        <x:v>Visitor / Gate / Security</x:v>
      </x:c>
      <x:c r="E1845" s="339" t="str">
        <x:v>Student Early Pickup / Gate Pass</x:v>
      </x:c>
      <x:c r="F1845" s="339" t="str">
        <x:v>Auditability</x:v>
      </x:c>
      <x:c r="G1845" s="339" t="str">
        <x:v>a material create/update/approve/reverse action occurs</x:v>
      </x:c>
      <x:c r="H1845" s="339" t="str">
        <x:v>the transaction succeeds</x:v>
      </x:c>
      <x:c r="I1845" s="339" t="str">
        <x:v>the system records actor, timestamp, action, target and relevant before/after or reason context in the audit trail</x:v>
      </x:c>
      <x:c r="J1845" s="339" t="str">
        <x:v>Positive</x:v>
      </x:c>
      <x:c r="K1845" s="339" t="str">
        <x:v>Functional</x:v>
      </x:c>
    </x:row>
    <x:row r="1846">
      <x:c r="A1846" s="339" t="str">
        <x:v>AC-01845</x:v>
      </x:c>
      <x:c r="B1846" s="339" t="str">
        <x:v>US-0462</x:v>
      </x:c>
      <x:c r="C1846" s="339" t="str">
        <x:v>SCR-231</x:v>
      </x:c>
      <x:c r="D1846" s="339" t="str">
        <x:v>Visitor / Gate / Security</x:v>
      </x:c>
      <x:c r="E1846" s="339" t="str">
        <x:v>Student Early Pickup / Gate Pass</x:v>
      </x:c>
      <x:c r="F1846" s="339" t="str">
        <x:v>Valid status transition</x:v>
      </x:c>
      <x:c r="G1846" s="339" t="str">
        <x:v>the record is in a state described by Requested / Registered → Approved / Denied → Checked In → Checked Out / Cancelled</x:v>
      </x:c>
      <x:c r="H1846" s="339" t="str">
        <x:v>the user requests a transition</x:v>
      </x:c>
      <x:c r="I1846" s="339" t="str">
        <x:v>the system accepts only transitions allowed for that role and state</x:v>
      </x:c>
      <x:c r="J1846" s="339" t="str">
        <x:v>Positive</x:v>
      </x:c>
      <x:c r="K1846" s="339" t="str">
        <x:v>Functional</x:v>
      </x:c>
    </x:row>
    <x:row r="1847">
      <x:c r="A1847" s="339" t="str">
        <x:v>AC-01846</x:v>
      </x:c>
      <x:c r="B1847" s="339" t="str">
        <x:v>US-0462</x:v>
      </x:c>
      <x:c r="C1847" s="339" t="str">
        <x:v>SCR-231</x:v>
      </x:c>
      <x:c r="D1847" s="339" t="str">
        <x:v>Visitor / Gate / Security</x:v>
      </x:c>
      <x:c r="E1847" s="339" t="str">
        <x:v>Student Early Pickup / Gate Pass</x:v>
      </x:c>
      <x:c r="F1847" s="339" t="str">
        <x:v>Approval authority</x:v>
      </x:c>
      <x:c r="G1847" s="339" t="str">
        <x:v>an action requires approval</x:v>
      </x:c>
      <x:c r="H1847" s="339" t="str">
        <x:v>a non-authorized user attempts approval/rejection</x:v>
      </x:c>
      <x:c r="I1847" s="339" t="str">
        <x:v>the system denies the decision and does not change status</x:v>
      </x:c>
      <x:c r="J1847" s="339" t="str">
        <x:v>Negative</x:v>
      </x:c>
      <x:c r="K1847" s="339" t="str">
        <x:v>Functional</x:v>
      </x:c>
    </x:row>
    <x:row r="1848">
      <x:c r="A1848" s="339" t="str">
        <x:v>AC-01847</x:v>
      </x:c>
      <x:c r="B1848" s="339" t="str">
        <x:v>US-0462</x:v>
      </x:c>
      <x:c r="C1848" s="339" t="str">
        <x:v>SCR-231</x:v>
      </x:c>
      <x:c r="D1848" s="339" t="str">
        <x:v>Visitor / Gate / Security</x:v>
      </x:c>
      <x:c r="E1848" s="339" t="str">
        <x:v>Student Early Pickup / Gate Pass</x:v>
      </x:c>
      <x:c r="F1848" s="339" t="str">
        <x:v>Failure rollback</x:v>
      </x:c>
      <x:c r="G1848" s="339" t="str">
        <x:v>a downstream dependency fails during a multi-step transaction</x:v>
      </x:c>
      <x:c r="H1848" s="339" t="str">
        <x:v>the workflow executes</x:v>
      </x:c>
      <x:c r="I1848" s="339" t="str">
        <x:v>the system does not leave an invalid partial final state and surfaces a recoverable error</x:v>
      </x:c>
      <x:c r="J1848" s="339" t="str">
        <x:v>Positive</x:v>
      </x:c>
      <x:c r="K1848" s="339" t="str">
        <x:v>Functional</x:v>
      </x:c>
    </x:row>
    <x:row r="1849">
      <x:c r="A1849" s="339" t="str">
        <x:v>AC-01848</x:v>
      </x:c>
      <x:c r="B1849" s="339" t="str">
        <x:v>US-0462</x:v>
      </x:c>
      <x:c r="C1849" s="339" t="str">
        <x:v>SCR-231</x:v>
      </x:c>
      <x:c r="D1849" s="339" t="str">
        <x:v>Visitor / Gate / Security</x:v>
      </x:c>
      <x:c r="E1849" s="339" t="str">
        <x:v>Student Early Pickup / Gate Pass</x:v>
      </x:c>
      <x:c r="F1849" s="339" t="str">
        <x:v>Exception traceability</x:v>
      </x:c>
      <x:c r="G1849" s="339" t="str">
        <x:v>an authorized override/exception is used</x:v>
      </x:c>
      <x:c r="H1849" s="339" t="str">
        <x:v>the action is confirmed</x:v>
      </x:c>
      <x:c r="I1849" s="339" t="str">
        <x:v>the system requires reason/context and records it in the audit history</x:v>
      </x:c>
      <x:c r="J1849" s="339" t="str">
        <x:v>Positive</x:v>
      </x:c>
      <x:c r="K1849" s="339" t="str">
        <x:v>Functional</x:v>
      </x:c>
    </x:row>
    <x:row r="1850">
      <x:c r="A1850" s="339" t="str">
        <x:v>AC-01849</x:v>
      </x:c>
      <x:c r="B1850" s="339" t="str">
        <x:v>US-0463</x:v>
      </x:c>
      <x:c r="C1850" s="339" t="str">
        <x:v>SCR-232</x:v>
      </x:c>
      <x:c r="D1850" s="339" t="str">
        <x:v>Visitor / Gate / Security</x:v>
      </x:c>
      <x:c r="E1850" s="339" t="str">
        <x:v>Staff &amp; Vehicle Gate Log</x:v>
      </x:c>
      <x:c r="F1850" s="339" t="str">
        <x:v>Authorized access to Staff &amp; Vehicle Gate Log</x:v>
      </x:c>
      <x:c r="G1850" s="339" t="str">
        <x:v>the Security is authenticated and has access to Staff &amp; Vehicle Gate Log</x:v>
      </x:c>
      <x:c r="H1850" s="339" t="str">
        <x:v>the user opens or invokes Staff &amp; Vehicle Gate Log</x:v>
      </x:c>
      <x:c r="I1850" s="339" t="str">
        <x:v>the system loads only records and actions within the user's permitted tenant/school/data scope</x:v>
      </x:c>
      <x:c r="J1850" s="339" t="str">
        <x:v>Positive</x:v>
      </x:c>
      <x:c r="K1850" s="339" t="str">
        <x:v>Functional / Security</x:v>
      </x:c>
    </x:row>
    <x:row r="1851">
      <x:c r="A1851" s="339" t="str">
        <x:v>AC-01850</x:v>
      </x:c>
      <x:c r="B1851" s="339" t="str">
        <x:v>US-0463</x:v>
      </x:c>
      <x:c r="C1851" s="339" t="str">
        <x:v>SCR-232</x:v>
      </x:c>
      <x:c r="D1851" s="339" t="str">
        <x:v>Visitor / Gate / Security</x:v>
      </x:c>
      <x:c r="E1851" s="339" t="str">
        <x:v>Staff &amp; Vehicle Gate Log</x:v>
      </x:c>
      <x:c r="F1851" s="339" t="str">
        <x:v>Successful Staff &amp; Vehicle Gate Log happy path</x:v>
      </x:c>
      <x:c r="G1851" s="339" t="str">
        <x:v>all mandatory prerequisites and valid data are available</x:v>
      </x:c>
      <x:c r="H1851" s="339" t="str">
        <x:v>the Security completes the primary action on Staff &amp; Vehicle Gate Log</x:v>
      </x:c>
      <x:c r="I1851" s="339" t="str">
        <x:v>the system validates the request, saves it atomically, shows a clear confirmation and reflects the updated state</x:v>
      </x:c>
      <x:c r="J1851" s="339" t="str">
        <x:v>Positive</x:v>
      </x:c>
      <x:c r="K1851" s="339" t="str">
        <x:v>Functional</x:v>
      </x:c>
    </x:row>
    <x:row r="1852">
      <x:c r="A1852" s="339" t="str">
        <x:v>AC-01851</x:v>
      </x:c>
      <x:c r="B1852" s="339" t="str">
        <x:v>US-0463</x:v>
      </x:c>
      <x:c r="C1852" s="339" t="str">
        <x:v>SCR-232</x:v>
      </x:c>
      <x:c r="D1852" s="339" t="str">
        <x:v>Visitor / Gate / Security</x:v>
      </x:c>
      <x:c r="E1852" s="339" t="str">
        <x:v>Staff &amp; Vehicle Gate Log</x:v>
      </x:c>
      <x:c r="F1852" s="339" t="str">
        <x:v>State and dependency integrity</x:v>
      </x:c>
      <x:c r="G1852" s="339" t="str">
        <x:v>the current record is in an allowed state (Requested / Registered → Approved / Denied → Checked In → Checked Out / Cancelled)</x:v>
      </x:c>
      <x:c r="H1852" s="339" t="str">
        <x:v>the user attempts a state-changing action</x:v>
      </x:c>
      <x:c r="I1852" s="339" t="str">
        <x:v>only a valid transition is accepted and dependent records are updated according to configured business rules</x:v>
      </x:c>
      <x:c r="J1852" s="339" t="str">
        <x:v>Positive</x:v>
      </x:c>
      <x:c r="K1852" s="339" t="str">
        <x:v>Functional</x:v>
      </x:c>
    </x:row>
    <x:row r="1853">
      <x:c r="A1853" s="339" t="str">
        <x:v>AC-01852</x:v>
      </x:c>
      <x:c r="B1853" s="339" t="str">
        <x:v>US-0463</x:v>
      </x:c>
      <x:c r="C1853" s="339" t="str">
        <x:v>SCR-232</x:v>
      </x:c>
      <x:c r="D1853" s="339" t="str">
        <x:v>Visitor / Gate / Security</x:v>
      </x:c>
      <x:c r="E1853" s="339" t="str">
        <x:v>Staff &amp; Vehicle Gate Log</x:v>
      </x:c>
      <x:c r="F1853" s="339" t="str">
        <x:v>Auditability</x:v>
      </x:c>
      <x:c r="G1853" s="339" t="str">
        <x:v>a material create/update/approve/reverse action occurs</x:v>
      </x:c>
      <x:c r="H1853" s="339" t="str">
        <x:v>the transaction succeeds</x:v>
      </x:c>
      <x:c r="I1853" s="339" t="str">
        <x:v>the system records actor, timestamp, action, target and relevant before/after or reason context in the audit trail</x:v>
      </x:c>
      <x:c r="J1853" s="339" t="str">
        <x:v>Positive</x:v>
      </x:c>
      <x:c r="K1853" s="339" t="str">
        <x:v>Functional</x:v>
      </x:c>
    </x:row>
    <x:row r="1854">
      <x:c r="A1854" s="339" t="str">
        <x:v>AC-01853</x:v>
      </x:c>
      <x:c r="B1854" s="339" t="str">
        <x:v>US-0464</x:v>
      </x:c>
      <x:c r="C1854" s="339" t="str">
        <x:v>SCR-232</x:v>
      </x:c>
      <x:c r="D1854" s="339" t="str">
        <x:v>Visitor / Gate / Security</x:v>
      </x:c>
      <x:c r="E1854" s="339" t="str">
        <x:v>Staff &amp; Vehicle Gate Log</x:v>
      </x:c>
      <x:c r="F1854" s="339" t="str">
        <x:v>Valid status transition</x:v>
      </x:c>
      <x:c r="G1854" s="339" t="str">
        <x:v>the record is in a state described by Requested / Registered → Approved / Denied → Checked In → Checked Out / Cancelled</x:v>
      </x:c>
      <x:c r="H1854" s="339" t="str">
        <x:v>the user requests a transition</x:v>
      </x:c>
      <x:c r="I1854" s="339" t="str">
        <x:v>the system accepts only transitions allowed for that role and state</x:v>
      </x:c>
      <x:c r="J1854" s="339" t="str">
        <x:v>Positive</x:v>
      </x:c>
      <x:c r="K1854" s="339" t="str">
        <x:v>Functional</x:v>
      </x:c>
    </x:row>
    <x:row r="1855">
      <x:c r="A1855" s="339" t="str">
        <x:v>AC-01854</x:v>
      </x:c>
      <x:c r="B1855" s="339" t="str">
        <x:v>US-0464</x:v>
      </x:c>
      <x:c r="C1855" s="339" t="str">
        <x:v>SCR-232</x:v>
      </x:c>
      <x:c r="D1855" s="339" t="str">
        <x:v>Visitor / Gate / Security</x:v>
      </x:c>
      <x:c r="E1855" s="339" t="str">
        <x:v>Staff &amp; Vehicle Gate Log</x:v>
      </x:c>
      <x:c r="F1855" s="339" t="str">
        <x:v>Approval authority</x:v>
      </x:c>
      <x:c r="G1855" s="339" t="str">
        <x:v>an action requires approval</x:v>
      </x:c>
      <x:c r="H1855" s="339" t="str">
        <x:v>a non-authorized user attempts approval/rejection</x:v>
      </x:c>
      <x:c r="I1855" s="339" t="str">
        <x:v>the system denies the decision and does not change status</x:v>
      </x:c>
      <x:c r="J1855" s="339" t="str">
        <x:v>Negative</x:v>
      </x:c>
      <x:c r="K1855" s="339" t="str">
        <x:v>Functional</x:v>
      </x:c>
    </x:row>
    <x:row r="1856">
      <x:c r="A1856" s="339" t="str">
        <x:v>AC-01855</x:v>
      </x:c>
      <x:c r="B1856" s="339" t="str">
        <x:v>US-0464</x:v>
      </x:c>
      <x:c r="C1856" s="339" t="str">
        <x:v>SCR-232</x:v>
      </x:c>
      <x:c r="D1856" s="339" t="str">
        <x:v>Visitor / Gate / Security</x:v>
      </x:c>
      <x:c r="E1856" s="339" t="str">
        <x:v>Staff &amp; Vehicle Gate Log</x:v>
      </x:c>
      <x:c r="F1856" s="339" t="str">
        <x:v>Failure rollback</x:v>
      </x:c>
      <x:c r="G1856" s="339" t="str">
        <x:v>a downstream dependency fails during a multi-step transaction</x:v>
      </x:c>
      <x:c r="H1856" s="339" t="str">
        <x:v>the workflow executes</x:v>
      </x:c>
      <x:c r="I1856" s="339" t="str">
        <x:v>the system does not leave an invalid partial final state and surfaces a recoverable error</x:v>
      </x:c>
      <x:c r="J1856" s="339" t="str">
        <x:v>Positive</x:v>
      </x:c>
      <x:c r="K1856" s="339" t="str">
        <x:v>Functional</x:v>
      </x:c>
    </x:row>
    <x:row r="1857">
      <x:c r="A1857" s="339" t="str">
        <x:v>AC-01856</x:v>
      </x:c>
      <x:c r="B1857" s="339" t="str">
        <x:v>US-0464</x:v>
      </x:c>
      <x:c r="C1857" s="339" t="str">
        <x:v>SCR-232</x:v>
      </x:c>
      <x:c r="D1857" s="339" t="str">
        <x:v>Visitor / Gate / Security</x:v>
      </x:c>
      <x:c r="E1857" s="339" t="str">
        <x:v>Staff &amp; Vehicle Gate Log</x:v>
      </x:c>
      <x:c r="F1857" s="339" t="str">
        <x:v>Exception traceability</x:v>
      </x:c>
      <x:c r="G1857" s="339" t="str">
        <x:v>an authorized override/exception is used</x:v>
      </x:c>
      <x:c r="H1857" s="339" t="str">
        <x:v>the action is confirmed</x:v>
      </x:c>
      <x:c r="I1857" s="339" t="str">
        <x:v>the system requires reason/context and records it in the audit history</x:v>
      </x:c>
      <x:c r="J1857" s="339" t="str">
        <x:v>Positive</x:v>
      </x:c>
      <x:c r="K1857" s="339" t="str">
        <x:v>Functional</x:v>
      </x:c>
    </x:row>
    <x:row r="1858">
      <x:c r="A1858" s="339" t="str">
        <x:v>AC-01857</x:v>
      </x:c>
      <x:c r="B1858" s="339" t="str">
        <x:v>US-0465</x:v>
      </x:c>
      <x:c r="C1858" s="339" t="str">
        <x:v>SCR-233</x:v>
      </x:c>
      <x:c r="D1858" s="339" t="str">
        <x:v>Visitor / Gate / Security</x:v>
      </x:c>
      <x:c r="E1858" s="339" t="str">
        <x:v>Security Incident Log</x:v>
      </x:c>
      <x:c r="F1858" s="339" t="str">
        <x:v>Authorized access to Security Incident Log</x:v>
      </x:c>
      <x:c r="G1858" s="339" t="str">
        <x:v>the Security is authenticated and has access to Security Incident Log</x:v>
      </x:c>
      <x:c r="H1858" s="339" t="str">
        <x:v>the user opens or invokes Security Incident Log</x:v>
      </x:c>
      <x:c r="I1858" s="339" t="str">
        <x:v>the system loads only records and actions within the user's permitted tenant/school/data scope</x:v>
      </x:c>
      <x:c r="J1858" s="339" t="str">
        <x:v>Positive</x:v>
      </x:c>
      <x:c r="K1858" s="339" t="str">
        <x:v>Functional / Security</x:v>
      </x:c>
    </x:row>
    <x:row r="1859">
      <x:c r="A1859" s="339" t="str">
        <x:v>AC-01858</x:v>
      </x:c>
      <x:c r="B1859" s="339" t="str">
        <x:v>US-0465</x:v>
      </x:c>
      <x:c r="C1859" s="339" t="str">
        <x:v>SCR-233</x:v>
      </x:c>
      <x:c r="D1859" s="339" t="str">
        <x:v>Visitor / Gate / Security</x:v>
      </x:c>
      <x:c r="E1859" s="339" t="str">
        <x:v>Security Incident Log</x:v>
      </x:c>
      <x:c r="F1859" s="339" t="str">
        <x:v>Successful Security Incident Log happy path</x:v>
      </x:c>
      <x:c r="G1859" s="339" t="str">
        <x:v>all mandatory prerequisites and valid data are available</x:v>
      </x:c>
      <x:c r="H1859" s="339" t="str">
        <x:v>the Security completes the primary action on Security Incident Log</x:v>
      </x:c>
      <x:c r="I1859" s="339" t="str">
        <x:v>the system validates the request, saves it atomically, shows a clear confirmation and reflects the updated state</x:v>
      </x:c>
      <x:c r="J1859" s="339" t="str">
        <x:v>Positive</x:v>
      </x:c>
      <x:c r="K1859" s="339" t="str">
        <x:v>Functional</x:v>
      </x:c>
    </x:row>
    <x:row r="1860">
      <x:c r="A1860" s="339" t="str">
        <x:v>AC-01859</x:v>
      </x:c>
      <x:c r="B1860" s="339" t="str">
        <x:v>US-0465</x:v>
      </x:c>
      <x:c r="C1860" s="339" t="str">
        <x:v>SCR-233</x:v>
      </x:c>
      <x:c r="D1860" s="339" t="str">
        <x:v>Visitor / Gate / Security</x:v>
      </x:c>
      <x:c r="E1860" s="339" t="str">
        <x:v>Security Incident Log</x:v>
      </x:c>
      <x:c r="F1860" s="339" t="str">
        <x:v>State and dependency integrity</x:v>
      </x:c>
      <x:c r="G1860" s="339" t="str">
        <x:v>the current record is in an allowed state (Requested / Registered → Approved / Denied → Checked In → Checked Out / Cancelled)</x:v>
      </x:c>
      <x:c r="H1860" s="339" t="str">
        <x:v>the user attempts a state-changing action</x:v>
      </x:c>
      <x:c r="I1860" s="339" t="str">
        <x:v>only a valid transition is accepted and dependent records are updated according to configured business rules</x:v>
      </x:c>
      <x:c r="J1860" s="339" t="str">
        <x:v>Positive</x:v>
      </x:c>
      <x:c r="K1860" s="339" t="str">
        <x:v>Functional</x:v>
      </x:c>
    </x:row>
    <x:row r="1861">
      <x:c r="A1861" s="339" t="str">
        <x:v>AC-01860</x:v>
      </x:c>
      <x:c r="B1861" s="339" t="str">
        <x:v>US-0465</x:v>
      </x:c>
      <x:c r="C1861" s="339" t="str">
        <x:v>SCR-233</x:v>
      </x:c>
      <x:c r="D1861" s="339" t="str">
        <x:v>Visitor / Gate / Security</x:v>
      </x:c>
      <x:c r="E1861" s="339" t="str">
        <x:v>Security Incident Log</x:v>
      </x:c>
      <x:c r="F1861" s="339" t="str">
        <x:v>Auditability</x:v>
      </x:c>
      <x:c r="G1861" s="339" t="str">
        <x:v>a material create/update/approve/reverse action occurs</x:v>
      </x:c>
      <x:c r="H1861" s="339" t="str">
        <x:v>the transaction succeeds</x:v>
      </x:c>
      <x:c r="I1861" s="339" t="str">
        <x:v>the system records actor, timestamp, action, target and relevant before/after or reason context in the audit trail</x:v>
      </x:c>
      <x:c r="J1861" s="339" t="str">
        <x:v>Positive</x:v>
      </x:c>
      <x:c r="K1861" s="339" t="str">
        <x:v>Functional</x:v>
      </x:c>
    </x:row>
    <x:row r="1862">
      <x:c r="A1862" s="339" t="str">
        <x:v>AC-01861</x:v>
      </x:c>
      <x:c r="B1862" s="339" t="str">
        <x:v>US-0466</x:v>
      </x:c>
      <x:c r="C1862" s="339" t="str">
        <x:v>SCR-233</x:v>
      </x:c>
      <x:c r="D1862" s="339" t="str">
        <x:v>Visitor / Gate / Security</x:v>
      </x:c>
      <x:c r="E1862" s="339" t="str">
        <x:v>Security Incident Log</x:v>
      </x:c>
      <x:c r="F1862" s="339" t="str">
        <x:v>Valid status transition</x:v>
      </x:c>
      <x:c r="G1862" s="339" t="str">
        <x:v>the record is in a state described by Requested / Registered → Approved / Denied → Checked In → Checked Out / Cancelled</x:v>
      </x:c>
      <x:c r="H1862" s="339" t="str">
        <x:v>the user requests a transition</x:v>
      </x:c>
      <x:c r="I1862" s="339" t="str">
        <x:v>the system accepts only transitions allowed for that role and state</x:v>
      </x:c>
      <x:c r="J1862" s="339" t="str">
        <x:v>Positive</x:v>
      </x:c>
      <x:c r="K1862" s="339" t="str">
        <x:v>Functional</x:v>
      </x:c>
    </x:row>
    <x:row r="1863">
      <x:c r="A1863" s="339" t="str">
        <x:v>AC-01862</x:v>
      </x:c>
      <x:c r="B1863" s="339" t="str">
        <x:v>US-0466</x:v>
      </x:c>
      <x:c r="C1863" s="339" t="str">
        <x:v>SCR-233</x:v>
      </x:c>
      <x:c r="D1863" s="339" t="str">
        <x:v>Visitor / Gate / Security</x:v>
      </x:c>
      <x:c r="E1863" s="339" t="str">
        <x:v>Security Incident Log</x:v>
      </x:c>
      <x:c r="F1863" s="339" t="str">
        <x:v>Approval authority</x:v>
      </x:c>
      <x:c r="G1863" s="339" t="str">
        <x:v>an action requires approval</x:v>
      </x:c>
      <x:c r="H1863" s="339" t="str">
        <x:v>a non-authorized user attempts approval/rejection</x:v>
      </x:c>
      <x:c r="I1863" s="339" t="str">
        <x:v>the system denies the decision and does not change status</x:v>
      </x:c>
      <x:c r="J1863" s="339" t="str">
        <x:v>Negative</x:v>
      </x:c>
      <x:c r="K1863" s="339" t="str">
        <x:v>Functional</x:v>
      </x:c>
    </x:row>
    <x:row r="1864">
      <x:c r="A1864" s="339" t="str">
        <x:v>AC-01863</x:v>
      </x:c>
      <x:c r="B1864" s="339" t="str">
        <x:v>US-0466</x:v>
      </x:c>
      <x:c r="C1864" s="339" t="str">
        <x:v>SCR-233</x:v>
      </x:c>
      <x:c r="D1864" s="339" t="str">
        <x:v>Visitor / Gate / Security</x:v>
      </x:c>
      <x:c r="E1864" s="339" t="str">
        <x:v>Security Incident Log</x:v>
      </x:c>
      <x:c r="F1864" s="339" t="str">
        <x:v>Failure rollback</x:v>
      </x:c>
      <x:c r="G1864" s="339" t="str">
        <x:v>a downstream dependency fails during a multi-step transaction</x:v>
      </x:c>
      <x:c r="H1864" s="339" t="str">
        <x:v>the workflow executes</x:v>
      </x:c>
      <x:c r="I1864" s="339" t="str">
        <x:v>the system does not leave an invalid partial final state and surfaces a recoverable error</x:v>
      </x:c>
      <x:c r="J1864" s="339" t="str">
        <x:v>Positive</x:v>
      </x:c>
      <x:c r="K1864" s="339" t="str">
        <x:v>Functional</x:v>
      </x:c>
    </x:row>
    <x:row r="1865">
      <x:c r="A1865" s="339" t="str">
        <x:v>AC-01864</x:v>
      </x:c>
      <x:c r="B1865" s="339" t="str">
        <x:v>US-0466</x:v>
      </x:c>
      <x:c r="C1865" s="339" t="str">
        <x:v>SCR-233</x:v>
      </x:c>
      <x:c r="D1865" s="339" t="str">
        <x:v>Visitor / Gate / Security</x:v>
      </x:c>
      <x:c r="E1865" s="339" t="str">
        <x:v>Security Incident Log</x:v>
      </x:c>
      <x:c r="F1865" s="339" t="str">
        <x:v>Exception traceability</x:v>
      </x:c>
      <x:c r="G1865" s="339" t="str">
        <x:v>an authorized override/exception is used</x:v>
      </x:c>
      <x:c r="H1865" s="339" t="str">
        <x:v>the action is confirmed</x:v>
      </x:c>
      <x:c r="I1865" s="339" t="str">
        <x:v>the system requires reason/context and records it in the audit history</x:v>
      </x:c>
      <x:c r="J1865" s="339" t="str">
        <x:v>Positive</x:v>
      </x:c>
      <x:c r="K1865" s="339" t="str">
        <x:v>Functional</x:v>
      </x:c>
    </x:row>
    <x:row r="1866">
      <x:c r="A1866" s="339" t="str">
        <x:v>AC-01865</x:v>
      </x:c>
      <x:c r="B1866" s="339" t="str">
        <x:v>US-0467</x:v>
      </x:c>
      <x:c r="C1866" s="339" t="str">
        <x:v>SCR-234</x:v>
      </x:c>
      <x:c r="D1866" s="339" t="str">
        <x:v>Inventory / Assets / Labs</x:v>
      </x:c>
      <x:c r="E1866" s="339" t="str">
        <x:v>Inventory Dashboard</x:v>
      </x:c>
      <x:c r="F1866" s="339" t="str">
        <x:v>Authorized access to Inventory Dashboard</x:v>
      </x:c>
      <x:c r="G1866" s="339" t="str">
        <x:v>the Inventory is authenticated and has access to Inventory Dashboard</x:v>
      </x:c>
      <x:c r="H1866" s="339" t="str">
        <x:v>the user opens or invokes Inventory Dashboard</x:v>
      </x:c>
      <x:c r="I1866" s="339" t="str">
        <x:v>the system loads only records and actions within the user's permitted tenant/school/data scope</x:v>
      </x:c>
      <x:c r="J1866" s="339" t="str">
        <x:v>Positive</x:v>
      </x:c>
      <x:c r="K1866" s="339" t="str">
        <x:v>Functional / Security</x:v>
      </x:c>
    </x:row>
    <x:row r="1867">
      <x:c r="A1867" s="339" t="str">
        <x:v>AC-01866</x:v>
      </x:c>
      <x:c r="B1867" s="339" t="str">
        <x:v>US-0467</x:v>
      </x:c>
      <x:c r="C1867" s="339" t="str">
        <x:v>SCR-234</x:v>
      </x:c>
      <x:c r="D1867" s="339" t="str">
        <x:v>Inventory / Assets / Labs</x:v>
      </x:c>
      <x:c r="E1867" s="339" t="str">
        <x:v>Inventory Dashboard</x:v>
      </x:c>
      <x:c r="F1867" s="339" t="str">
        <x:v>Successful Inventory Dashboard happy path</x:v>
      </x:c>
      <x:c r="G1867" s="339" t="str">
        <x:v>all mandatory prerequisites and valid data are available</x:v>
      </x:c>
      <x:c r="H1867" s="339" t="str">
        <x:v>the Inventory completes the primary action on Inventory Dashboard</x:v>
      </x:c>
      <x:c r="I1867" s="339" t="str">
        <x:v>the system validates the request, saves it atomically, shows a clear confirmation and reflects the updated state</x:v>
      </x:c>
      <x:c r="J1867" s="339" t="str">
        <x:v>Positive</x:v>
      </x:c>
      <x:c r="K1867" s="339" t="str">
        <x:v>Functional</x:v>
      </x:c>
    </x:row>
    <x:row r="1868">
      <x:c r="A1868" s="339" t="str">
        <x:v>AC-01867</x:v>
      </x:c>
      <x:c r="B1868" s="339" t="str">
        <x:v>US-0467</x:v>
      </x:c>
      <x:c r="C1868" s="339" t="str">
        <x:v>SCR-234</x:v>
      </x:c>
      <x:c r="D1868" s="339" t="str">
        <x:v>Inventory / Assets / Labs</x:v>
      </x:c>
      <x:c r="E1868" s="339" t="str">
        <x:v>Inventory Dashboard</x:v>
      </x:c>
      <x:c r="F1868" s="339" t="str">
        <x:v>State and dependency integrity</x:v>
      </x:c>
      <x:c r="G1868" s="339" t="str">
        <x:v>the current record is in an allowed state (Available → Assigned / Issued / Reserved → Returned / Maintenance → Retired / Written Off)</x:v>
      </x:c>
      <x:c r="H1868" s="339" t="str">
        <x:v>the user attempts a state-changing action</x:v>
      </x:c>
      <x:c r="I1868" s="339" t="str">
        <x:v>only a valid transition is accepted and dependent records are updated according to configured business rules</x:v>
      </x:c>
      <x:c r="J1868" s="339" t="str">
        <x:v>Positive</x:v>
      </x:c>
      <x:c r="K1868" s="339" t="str">
        <x:v>Functional</x:v>
      </x:c>
    </x:row>
    <x:row r="1869">
      <x:c r="A1869" s="339" t="str">
        <x:v>AC-01868</x:v>
      </x:c>
      <x:c r="B1869" s="339" t="str">
        <x:v>US-0467</x:v>
      </x:c>
      <x:c r="C1869" s="339" t="str">
        <x:v>SCR-234</x:v>
      </x:c>
      <x:c r="D1869" s="339" t="str">
        <x:v>Inventory / Assets / Labs</x:v>
      </x:c>
      <x:c r="E1869" s="339" t="str">
        <x:v>Inventory Dashboard</x:v>
      </x:c>
      <x:c r="F1869" s="339" t="str">
        <x:v>Auditability</x:v>
      </x:c>
      <x:c r="G1869" s="339" t="str">
        <x:v>a material create/update/approve/reverse action occurs</x:v>
      </x:c>
      <x:c r="H1869" s="339" t="str">
        <x:v>the transaction succeeds</x:v>
      </x:c>
      <x:c r="I1869" s="339" t="str">
        <x:v>the system records actor, timestamp, action, target and relevant before/after or reason context in the audit trail</x:v>
      </x:c>
      <x:c r="J1869" s="339" t="str">
        <x:v>Positive</x:v>
      </x:c>
      <x:c r="K1869" s="339" t="str">
        <x:v>Functional</x:v>
      </x:c>
    </x:row>
    <x:row r="1870">
      <x:c r="A1870" s="339" t="str">
        <x:v>AC-01869</x:v>
      </x:c>
      <x:c r="B1870" s="339" t="str">
        <x:v>US-0468</x:v>
      </x:c>
      <x:c r="C1870" s="339" t="str">
        <x:v>SCR-234</x:v>
      </x:c>
      <x:c r="D1870" s="339" t="str">
        <x:v>Inventory / Assets / Labs</x:v>
      </x:c>
      <x:c r="E1870" s="339" t="str">
        <x:v>Inventory Dashboard</x:v>
      </x:c>
      <x:c r="F1870" s="339" t="str">
        <x:v>KPI reconciliation</x:v>
      </x:c>
      <x:c r="G1870" s="339" t="str">
        <x:v>underlying source transactions exist</x:v>
      </x:c>
      <x:c r="H1870" s="339" t="str">
        <x:v>the dashboard calculates metrics</x:v>
      </x:c>
      <x:c r="I1870" s="339" t="str">
        <x:v>dashboard values reconcile to the same filtered source records used by detailed reports</x:v>
      </x:c>
      <x:c r="J1870" s="339" t="str">
        <x:v>Positive</x:v>
      </x:c>
      <x:c r="K1870" s="339" t="str">
        <x:v>Functional</x:v>
      </x:c>
    </x:row>
    <x:row r="1871">
      <x:c r="A1871" s="339" t="str">
        <x:v>AC-01870</x:v>
      </x:c>
      <x:c r="B1871" s="339" t="str">
        <x:v>US-0468</x:v>
      </x:c>
      <x:c r="C1871" s="339" t="str">
        <x:v>SCR-234</x:v>
      </x:c>
      <x:c r="D1871" s="339" t="str">
        <x:v>Inventory / Assets / Labs</x:v>
      </x:c>
      <x:c r="E1871" s="339" t="str">
        <x:v>Inventory Dashboard</x:v>
      </x:c>
      <x:c r="F1871" s="339" t="str">
        <x:v>Drill-down context</x:v>
      </x:c>
      <x:c r="G1871" s="339" t="str">
        <x:v>a KPI or alert is visible</x:v>
      </x:c>
      <x:c r="H1871" s="339" t="str">
        <x:v>the user drills into it</x:v>
      </x:c>
      <x:c r="I1871" s="339" t="str">
        <x:v>the destination preserves relevant date/school/class/status filter context</x:v>
      </x:c>
      <x:c r="J1871" s="339" t="str">
        <x:v>Positive</x:v>
      </x:c>
      <x:c r="K1871" s="339" t="str">
        <x:v>Functional</x:v>
      </x:c>
    </x:row>
    <x:row r="1872">
      <x:c r="A1872" s="339" t="str">
        <x:v>AC-01871</x:v>
      </x:c>
      <x:c r="B1872" s="339" t="str">
        <x:v>US-0468</x:v>
      </x:c>
      <x:c r="C1872" s="339" t="str">
        <x:v>SCR-234</x:v>
      </x:c>
      <x:c r="D1872" s="339" t="str">
        <x:v>Inventory / Assets / Labs</x:v>
      </x:c>
      <x:c r="E1872" s="339" t="str">
        <x:v>Inventory Dashboard</x:v>
      </x:c>
      <x:c r="F1872" s="339" t="str">
        <x:v>Freshness and failure handling</x:v>
      </x:c>
      <x:c r="G1872" s="339" t="str">
        <x:v>one source service is delayed or unavailable</x:v>
      </x:c>
      <x:c r="H1872" s="339" t="str">
        <x:v>the dashboard loads</x:v>
      </x:c>
      <x:c r="I1872" s="339" t="str">
        <x:v>the UI identifies stale/unavailable data without fabricating or silently zeroing the metric</x:v>
      </x:c>
      <x:c r="J1872" s="339" t="str">
        <x:v>Positive</x:v>
      </x:c>
      <x:c r="K1872" s="339" t="str">
        <x:v>Functional</x:v>
      </x:c>
    </x:row>
    <x:row r="1873">
      <x:c r="A1873" s="339" t="str">
        <x:v>AC-01872</x:v>
      </x:c>
      <x:c r="B1873" s="339" t="str">
        <x:v>US-0468</x:v>
      </x:c>
      <x:c r="C1873" s="339" t="str">
        <x:v>SCR-234</x:v>
      </x:c>
      <x:c r="D1873" s="339" t="str">
        <x:v>Inventory / Assets / Labs</x:v>
      </x:c>
      <x:c r="E1873" s="339" t="str">
        <x:v>Inventory Dashboard</x:v>
      </x:c>
      <x:c r="F1873" s="339" t="str">
        <x:v>Scoped visibility</x:v>
      </x:c>
      <x:c r="G1873" s="339" t="str">
        <x:v>the same dashboard is used by users with different permissions</x:v>
      </x:c>
      <x:c r="H1873" s="339" t="str">
        <x:v>each user loads it</x:v>
      </x:c>
      <x:c r="I1873" s="339" t="str">
        <x:v>each sees only authorized metrics, alerts and record-level drill-downs</x:v>
      </x:c>
      <x:c r="J1873" s="339" t="str">
        <x:v>Positive</x:v>
      </x:c>
      <x:c r="K1873" s="339" t="str">
        <x:v>Functional</x:v>
      </x:c>
    </x:row>
    <x:row r="1874">
      <x:c r="A1874" s="339" t="str">
        <x:v>AC-01873</x:v>
      </x:c>
      <x:c r="B1874" s="339" t="str">
        <x:v>US-0469</x:v>
      </x:c>
      <x:c r="C1874" s="339" t="str">
        <x:v>SCR-235</x:v>
      </x:c>
      <x:c r="D1874" s="339" t="str">
        <x:v>Inventory / Assets / Labs</x:v>
      </x:c>
      <x:c r="E1874" s="339" t="str">
        <x:v>Item Catalogue</x:v>
      </x:c>
      <x:c r="F1874" s="339" t="str">
        <x:v>Authorized access to Item Catalogue</x:v>
      </x:c>
      <x:c r="G1874" s="339" t="str">
        <x:v>the Store Manager is authenticated and has access to Item Catalogue</x:v>
      </x:c>
      <x:c r="H1874" s="339" t="str">
        <x:v>the user opens or invokes Item Catalogue</x:v>
      </x:c>
      <x:c r="I1874" s="339" t="str">
        <x:v>the system loads only records and actions within the user's permitted tenant/school/data scope</x:v>
      </x:c>
      <x:c r="J1874" s="339" t="str">
        <x:v>Positive</x:v>
      </x:c>
      <x:c r="K1874" s="339" t="str">
        <x:v>Functional / Security</x:v>
      </x:c>
    </x:row>
    <x:row r="1875">
      <x:c r="A1875" s="339" t="str">
        <x:v>AC-01874</x:v>
      </x:c>
      <x:c r="B1875" s="339" t="str">
        <x:v>US-0469</x:v>
      </x:c>
      <x:c r="C1875" s="339" t="str">
        <x:v>SCR-235</x:v>
      </x:c>
      <x:c r="D1875" s="339" t="str">
        <x:v>Inventory / Assets / Labs</x:v>
      </x:c>
      <x:c r="E1875" s="339" t="str">
        <x:v>Item Catalogue</x:v>
      </x:c>
      <x:c r="F1875" s="339" t="str">
        <x:v>Successful Item Catalogue happy path</x:v>
      </x:c>
      <x:c r="G1875" s="339" t="str">
        <x:v>all mandatory prerequisites and valid data are available</x:v>
      </x:c>
      <x:c r="H1875" s="339" t="str">
        <x:v>the Store Manager completes the primary action on Item Catalogue</x:v>
      </x:c>
      <x:c r="I1875" s="339" t="str">
        <x:v>the system validates the request, saves it atomically, shows a clear confirmation and reflects the updated state</x:v>
      </x:c>
      <x:c r="J1875" s="339" t="str">
        <x:v>Positive</x:v>
      </x:c>
      <x:c r="K1875" s="339" t="str">
        <x:v>Functional</x:v>
      </x:c>
    </x:row>
    <x:row r="1876">
      <x:c r="A1876" s="339" t="str">
        <x:v>AC-01875</x:v>
      </x:c>
      <x:c r="B1876" s="339" t="str">
        <x:v>US-0469</x:v>
      </x:c>
      <x:c r="C1876" s="339" t="str">
        <x:v>SCR-235</x:v>
      </x:c>
      <x:c r="D1876" s="339" t="str">
        <x:v>Inventory / Assets / Labs</x:v>
      </x:c>
      <x:c r="E1876" s="339" t="str">
        <x:v>Item Catalogue</x:v>
      </x:c>
      <x:c r="F1876" s="339" t="str">
        <x:v>State and dependency integrity</x:v>
      </x:c>
      <x:c r="G1876" s="339" t="str">
        <x:v>the current record is in an allowed state (Available → Assigned / Issued / Reserved → Returned / Maintenance → Retired / Written Off)</x:v>
      </x:c>
      <x:c r="H1876" s="339" t="str">
        <x:v>the user attempts a state-changing action</x:v>
      </x:c>
      <x:c r="I1876" s="339" t="str">
        <x:v>only a valid transition is accepted and dependent records are updated according to configured business rules</x:v>
      </x:c>
      <x:c r="J1876" s="339" t="str">
        <x:v>Positive</x:v>
      </x:c>
      <x:c r="K1876" s="339" t="str">
        <x:v>Functional</x:v>
      </x:c>
    </x:row>
    <x:row r="1877">
      <x:c r="A1877" s="339" t="str">
        <x:v>AC-01876</x:v>
      </x:c>
      <x:c r="B1877" s="339" t="str">
        <x:v>US-0469</x:v>
      </x:c>
      <x:c r="C1877" s="339" t="str">
        <x:v>SCR-235</x:v>
      </x:c>
      <x:c r="D1877" s="339" t="str">
        <x:v>Inventory / Assets / Labs</x:v>
      </x:c>
      <x:c r="E1877" s="339" t="str">
        <x:v>Item Catalogue</x:v>
      </x:c>
      <x:c r="F1877" s="339" t="str">
        <x:v>Auditability</x:v>
      </x:c>
      <x:c r="G1877" s="339" t="str">
        <x:v>a material create/update/approve/reverse action occurs</x:v>
      </x:c>
      <x:c r="H1877" s="339" t="str">
        <x:v>the transaction succeeds</x:v>
      </x:c>
      <x:c r="I1877" s="339" t="str">
        <x:v>the system records actor, timestamp, action, target and relevant before/after or reason context in the audit trail</x:v>
      </x:c>
      <x:c r="J1877" s="339" t="str">
        <x:v>Positive</x:v>
      </x:c>
      <x:c r="K1877" s="339" t="str">
        <x:v>Functional</x:v>
      </x:c>
    </x:row>
    <x:row r="1878">
      <x:c r="A1878" s="339" t="str">
        <x:v>AC-01877</x:v>
      </x:c>
      <x:c r="B1878" s="339" t="str">
        <x:v>US-0470</x:v>
      </x:c>
      <x:c r="C1878" s="339" t="str">
        <x:v>SCR-235</x:v>
      </x:c>
      <x:c r="D1878" s="339" t="str">
        <x:v>Inventory / Assets / Labs</x:v>
      </x:c>
      <x:c r="E1878" s="339" t="str">
        <x:v>Item Catalogue</x:v>
      </x:c>
      <x:c r="F1878" s="339" t="str">
        <x:v>Search and filtering</x:v>
      </x:c>
      <x:c r="G1878" s="339" t="str">
        <x:v>authorized records exist across multiple values</x:v>
      </x:c>
      <x:c r="H1878" s="339" t="str">
        <x:v>the user applies search, filters, sorting or pagination</x:v>
      </x:c>
      <x:c r="I1878" s="339" t="str">
        <x:v>the results match all selected criteria and remain within the user's data scope</x:v>
      </x:c>
      <x:c r="J1878" s="339" t="str">
        <x:v>Positive</x:v>
      </x:c>
      <x:c r="K1878" s="339" t="str">
        <x:v>Functional</x:v>
      </x:c>
    </x:row>
    <x:row r="1879">
      <x:c r="A1879" s="339" t="str">
        <x:v>AC-01878</x:v>
      </x:c>
      <x:c r="B1879" s="339" t="str">
        <x:v>US-0470</x:v>
      </x:c>
      <x:c r="C1879" s="339" t="str">
        <x:v>SCR-235</x:v>
      </x:c>
      <x:c r="D1879" s="339" t="str">
        <x:v>Inventory / Assets / Labs</x:v>
      </x:c>
      <x:c r="E1879" s="339" t="str">
        <x:v>Item Catalogue</x:v>
      </x:c>
      <x:c r="F1879" s="339" t="str">
        <x:v>Controlled row actions</x:v>
      </x:c>
      <x:c r="G1879" s="339" t="str">
        <x:v>records are returned in the list</x:v>
      </x:c>
      <x:c r="H1879" s="339" t="str">
        <x:v>the user opens the action menu</x:v>
      </x:c>
      <x:c r="I1879" s="339" t="str">
        <x:v>only actions permitted for the user's role and the record's current state are offered</x:v>
      </x:c>
      <x:c r="J1879" s="339" t="str">
        <x:v>Positive</x:v>
      </x:c>
      <x:c r="K1879" s="339" t="str">
        <x:v>Functional</x:v>
      </x:c>
    </x:row>
    <x:row r="1880">
      <x:c r="A1880" s="339" t="str">
        <x:v>AC-01879</x:v>
      </x:c>
      <x:c r="B1880" s="339" t="str">
        <x:v>US-0470</x:v>
      </x:c>
      <x:c r="C1880" s="339" t="str">
        <x:v>SCR-235</x:v>
      </x:c>
      <x:c r="D1880" s="339" t="str">
        <x:v>Inventory / Assets / Labs</x:v>
      </x:c>
      <x:c r="E1880" s="339" t="str">
        <x:v>Item Catalogue</x:v>
      </x:c>
      <x:c r="F1880" s="339" t="str">
        <x:v>Empty/no-result handling</x:v>
      </x:c>
      <x:c r="G1880" s="339" t="str">
        <x:v>no record matches the current criteria</x:v>
      </x:c>
      <x:c r="H1880" s="339" t="str">
        <x:v>the query completes</x:v>
      </x:c>
      <x:c r="I1880" s="339" t="str">
        <x:v>the system shows a clear empty state without treating it as an application error</x:v>
      </x:c>
      <x:c r="J1880" s="339" t="str">
        <x:v>Positive</x:v>
      </x:c>
      <x:c r="K1880" s="339" t="str">
        <x:v>Functional</x:v>
      </x:c>
    </x:row>
    <x:row r="1881">
      <x:c r="A1881" s="339" t="str">
        <x:v>AC-01880</x:v>
      </x:c>
      <x:c r="B1881" s="339" t="str">
        <x:v>US-0470</x:v>
      </x:c>
      <x:c r="C1881" s="339" t="str">
        <x:v>SCR-235</x:v>
      </x:c>
      <x:c r="D1881" s="339" t="str">
        <x:v>Inventory / Assets / Labs</x:v>
      </x:c>
      <x:c r="E1881" s="339" t="str">
        <x:v>Item Catalogue</x:v>
      </x:c>
      <x:c r="F1881" s="339" t="str">
        <x:v>Export scope</x:v>
      </x:c>
      <x:c r="G1881" s="339" t="str">
        <x:v>the user has export permission</x:v>
      </x:c>
      <x:c r="H1881" s="339" t="str">
        <x:v>the user exports the filtered list</x:v>
      </x:c>
      <x:c r="I1881" s="339" t="str">
        <x:v>the export contains the same authorized filter scope and excludes restricted fields</x:v>
      </x:c>
      <x:c r="J1881" s="339" t="str">
        <x:v>Positive</x:v>
      </x:c>
      <x:c r="K1881" s="339" t="str">
        <x:v>Functional</x:v>
      </x:c>
    </x:row>
    <x:row r="1882">
      <x:c r="A1882" s="339" t="str">
        <x:v>AC-01881</x:v>
      </x:c>
      <x:c r="B1882" s="339" t="str">
        <x:v>US-0471</x:v>
      </x:c>
      <x:c r="C1882" s="339" t="str">
        <x:v>SCR-236</x:v>
      </x:c>
      <x:c r="D1882" s="339" t="str">
        <x:v>Inventory / Assets / Labs</x:v>
      </x:c>
      <x:c r="E1882" s="339" t="str">
        <x:v>Stock In / Purchase Receipt</x:v>
      </x:c>
      <x:c r="F1882" s="339" t="str">
        <x:v>Authorized access to Stock In / Purchase Receipt</x:v>
      </x:c>
      <x:c r="G1882" s="339" t="str">
        <x:v>the Store Manager is authenticated and has access to Stock In / Purchase Receipt</x:v>
      </x:c>
      <x:c r="H1882" s="339" t="str">
        <x:v>the user opens or invokes Stock In / Purchase Receipt</x:v>
      </x:c>
      <x:c r="I1882" s="339" t="str">
        <x:v>the system loads only records and actions within the user's permitted tenant/school/data scope</x:v>
      </x:c>
      <x:c r="J1882" s="339" t="str">
        <x:v>Positive</x:v>
      </x:c>
      <x:c r="K1882" s="339" t="str">
        <x:v>Functional / Security</x:v>
      </x:c>
    </x:row>
    <x:row r="1883">
      <x:c r="A1883" s="339" t="str">
        <x:v>AC-01882</x:v>
      </x:c>
      <x:c r="B1883" s="339" t="str">
        <x:v>US-0471</x:v>
      </x:c>
      <x:c r="C1883" s="339" t="str">
        <x:v>SCR-236</x:v>
      </x:c>
      <x:c r="D1883" s="339" t="str">
        <x:v>Inventory / Assets / Labs</x:v>
      </x:c>
      <x:c r="E1883" s="339" t="str">
        <x:v>Stock In / Purchase Receipt</x:v>
      </x:c>
      <x:c r="F1883" s="339" t="str">
        <x:v>Successful Stock In / Purchase Receipt happy path</x:v>
      </x:c>
      <x:c r="G1883" s="339" t="str">
        <x:v>all mandatory prerequisites and valid data are available</x:v>
      </x:c>
      <x:c r="H1883" s="339" t="str">
        <x:v>the Store Manager completes the primary action on Stock In / Purchase Receipt</x:v>
      </x:c>
      <x:c r="I1883" s="339" t="str">
        <x:v>the system validates the request, saves it atomically, shows a clear confirmation and reflects the updated state</x:v>
      </x:c>
      <x:c r="J1883" s="339" t="str">
        <x:v>Positive</x:v>
      </x:c>
      <x:c r="K1883" s="339" t="str">
        <x:v>Functional</x:v>
      </x:c>
    </x:row>
    <x:row r="1884">
      <x:c r="A1884" s="339" t="str">
        <x:v>AC-01883</x:v>
      </x:c>
      <x:c r="B1884" s="339" t="str">
        <x:v>US-0471</x:v>
      </x:c>
      <x:c r="C1884" s="339" t="str">
        <x:v>SCR-236</x:v>
      </x:c>
      <x:c r="D1884" s="339" t="str">
        <x:v>Inventory / Assets / Labs</x:v>
      </x:c>
      <x:c r="E1884" s="339" t="str">
        <x:v>Stock In / Purchase Receipt</x:v>
      </x:c>
      <x:c r="F1884" s="339" t="str">
        <x:v>State and dependency integrity</x:v>
      </x:c>
      <x:c r="G1884" s="339" t="str">
        <x:v>the current record is in an allowed state (Available → Assigned / Issued / Reserved → Returned / Maintenance → Retired / Written Off)</x:v>
      </x:c>
      <x:c r="H1884" s="339" t="str">
        <x:v>the user attempts a state-changing action</x:v>
      </x:c>
      <x:c r="I1884" s="339" t="str">
        <x:v>only a valid transition is accepted and dependent records are updated according to configured business rules</x:v>
      </x:c>
      <x:c r="J1884" s="339" t="str">
        <x:v>Positive</x:v>
      </x:c>
      <x:c r="K1884" s="339" t="str">
        <x:v>Functional</x:v>
      </x:c>
    </x:row>
    <x:row r="1885">
      <x:c r="A1885" s="339" t="str">
        <x:v>AC-01884</x:v>
      </x:c>
      <x:c r="B1885" s="339" t="str">
        <x:v>US-0471</x:v>
      </x:c>
      <x:c r="C1885" s="339" t="str">
        <x:v>SCR-236</x:v>
      </x:c>
      <x:c r="D1885" s="339" t="str">
        <x:v>Inventory / Assets / Labs</x:v>
      </x:c>
      <x:c r="E1885" s="339" t="str">
        <x:v>Stock In / Purchase Receipt</x:v>
      </x:c>
      <x:c r="F1885" s="339" t="str">
        <x:v>Auditability</x:v>
      </x:c>
      <x:c r="G1885" s="339" t="str">
        <x:v>a material create/update/approve/reverse action occurs</x:v>
      </x:c>
      <x:c r="H1885" s="339" t="str">
        <x:v>the transaction succeeds</x:v>
      </x:c>
      <x:c r="I1885" s="339" t="str">
        <x:v>the system records actor, timestamp, action, target and relevant before/after or reason context in the audit trail</x:v>
      </x:c>
      <x:c r="J1885" s="339" t="str">
        <x:v>Positive</x:v>
      </x:c>
      <x:c r="K1885" s="339" t="str">
        <x:v>Functional</x:v>
      </x:c>
    </x:row>
    <x:row r="1886">
      <x:c r="A1886" s="339" t="str">
        <x:v>AC-01885</x:v>
      </x:c>
      <x:c r="B1886" s="339" t="str">
        <x:v>US-0472</x:v>
      </x:c>
      <x:c r="C1886" s="339" t="str">
        <x:v>SCR-236</x:v>
      </x:c>
      <x:c r="D1886" s="339" t="str">
        <x:v>Inventory / Assets / Labs</x:v>
      </x:c>
      <x:c r="E1886" s="339" t="str">
        <x:v>Stock In / Purchase Receipt</x:v>
      </x:c>
      <x:c r="F1886" s="339" t="str">
        <x:v>Complete authorized view</x:v>
      </x:c>
      <x:c r="G1886" s="339" t="str">
        <x:v>the record exists and the user is authorized</x:v>
      </x:c>
      <x:c r="H1886" s="339" t="str">
        <x:v>the detail/profile opens</x:v>
      </x:c>
      <x:c r="I1886" s="339" t="str">
        <x:v>the system loads the required summary, relationships and history while masking restricted fields</x:v>
      </x:c>
      <x:c r="J1886" s="339" t="str">
        <x:v>Positive</x:v>
      </x:c>
      <x:c r="K1886" s="339" t="str">
        <x:v>Functional / Security</x:v>
      </x:c>
    </x:row>
    <x:row r="1887">
      <x:c r="A1887" s="339" t="str">
        <x:v>AC-01886</x:v>
      </x:c>
      <x:c r="B1887" s="339" t="str">
        <x:v>US-0472</x:v>
      </x:c>
      <x:c r="C1887" s="339" t="str">
        <x:v>SCR-236</x:v>
      </x:c>
      <x:c r="D1887" s="339" t="str">
        <x:v>Inventory / Assets / Labs</x:v>
      </x:c>
      <x:c r="E1887" s="339" t="str">
        <x:v>Stock In / Purchase Receipt</x:v>
      </x:c>
      <x:c r="F1887" s="339" t="str">
        <x:v>Controlled edit</x:v>
      </x:c>
      <x:c r="G1887" s="339" t="str">
        <x:v>the user has edit permission and the record is editable</x:v>
      </x:c>
      <x:c r="H1887" s="339" t="str">
        <x:v>the user saves a change</x:v>
      </x:c>
      <x:c r="I1887" s="339" t="str">
        <x:v>validation and state rules run before the update is committed</x:v>
      </x:c>
      <x:c r="J1887" s="339" t="str">
        <x:v>Positive</x:v>
      </x:c>
      <x:c r="K1887" s="339" t="str">
        <x:v>Functional</x:v>
      </x:c>
    </x:row>
    <x:row r="1888">
      <x:c r="A1888" s="339" t="str">
        <x:v>AC-01887</x:v>
      </x:c>
      <x:c r="B1888" s="339" t="str">
        <x:v>US-0472</x:v>
      </x:c>
      <x:c r="C1888" s="339" t="str">
        <x:v>SCR-236</x:v>
      </x:c>
      <x:c r="D1888" s="339" t="str">
        <x:v>Inventory / Assets / Labs</x:v>
      </x:c>
      <x:c r="E1888" s="339" t="str">
        <x:v>Stock In / Purchase Receipt</x:v>
      </x:c>
      <x:c r="F1888" s="339" t="str">
        <x:v>Concurrent edit protection</x:v>
      </x:c>
      <x:c r="G1888" s="339" t="str">
        <x:v>another user has changed the record after it was loaded</x:v>
      </x:c>
      <x:c r="H1888" s="339" t="str">
        <x:v>the first user attempts to save stale data</x:v>
      </x:c>
      <x:c r="I1888" s="339" t="str">
        <x:v>the system detects the version conflict or preserves fields safely instead of silently overwriting</x:v>
      </x:c>
      <x:c r="J1888" s="339" t="str">
        <x:v>Positive</x:v>
      </x:c>
      <x:c r="K1888" s="339" t="str">
        <x:v>Functional</x:v>
      </x:c>
    </x:row>
    <x:row r="1889">
      <x:c r="A1889" s="339" t="str">
        <x:v>AC-01888</x:v>
      </x:c>
      <x:c r="B1889" s="339" t="str">
        <x:v>US-0472</x:v>
      </x:c>
      <x:c r="C1889" s="339" t="str">
        <x:v>SCR-236</x:v>
      </x:c>
      <x:c r="D1889" s="339" t="str">
        <x:v>Inventory / Assets / Labs</x:v>
      </x:c>
      <x:c r="E1889" s="339" t="str">
        <x:v>Stock In / Purchase Receipt</x:v>
      </x:c>
      <x:c r="F1889" s="339" t="str">
        <x:v>History retention</x:v>
      </x:c>
      <x:c r="G1889" s="339" t="str">
        <x:v>the record has prior changes/statuses</x:v>
      </x:c>
      <x:c r="H1889" s="339" t="str">
        <x:v>the user views history</x:v>
      </x:c>
      <x:c r="I1889" s="339" t="str">
        <x:v>the audit/activity timeline shows traceable material changes without exposing restricted notes</x:v>
      </x:c>
      <x:c r="J1889" s="339" t="str">
        <x:v>Positive</x:v>
      </x:c>
      <x:c r="K1889" s="339" t="str">
        <x:v>Functional</x:v>
      </x:c>
    </x:row>
    <x:row r="1890">
      <x:c r="A1890" s="339" t="str">
        <x:v>AC-01889</x:v>
      </x:c>
      <x:c r="B1890" s="339" t="str">
        <x:v>US-0473</x:v>
      </x:c>
      <x:c r="C1890" s="339" t="str">
        <x:v>SCR-237</x:v>
      </x:c>
      <x:c r="D1890" s="339" t="str">
        <x:v>Inventory / Assets / Labs</x:v>
      </x:c>
      <x:c r="E1890" s="339" t="str">
        <x:v>Stock Issue / Return</x:v>
      </x:c>
      <x:c r="F1890" s="339" t="str">
        <x:v>Authorized access to Stock Issue / Return</x:v>
      </x:c>
      <x:c r="G1890" s="339" t="str">
        <x:v>the Store Manager is authenticated and has access to Stock Issue / Return</x:v>
      </x:c>
      <x:c r="H1890" s="339" t="str">
        <x:v>the user opens or invokes Stock Issue / Return</x:v>
      </x:c>
      <x:c r="I1890" s="339" t="str">
        <x:v>the system loads only records and actions within the user's permitted tenant/school/data scope</x:v>
      </x:c>
      <x:c r="J1890" s="339" t="str">
        <x:v>Positive</x:v>
      </x:c>
      <x:c r="K1890" s="339" t="str">
        <x:v>Functional / Security</x:v>
      </x:c>
    </x:row>
    <x:row r="1891">
      <x:c r="A1891" s="339" t="str">
        <x:v>AC-01890</x:v>
      </x:c>
      <x:c r="B1891" s="339" t="str">
        <x:v>US-0473</x:v>
      </x:c>
      <x:c r="C1891" s="339" t="str">
        <x:v>SCR-237</x:v>
      </x:c>
      <x:c r="D1891" s="339" t="str">
        <x:v>Inventory / Assets / Labs</x:v>
      </x:c>
      <x:c r="E1891" s="339" t="str">
        <x:v>Stock Issue / Return</x:v>
      </x:c>
      <x:c r="F1891" s="339" t="str">
        <x:v>Successful Stock Issue / Return happy path</x:v>
      </x:c>
      <x:c r="G1891" s="339" t="str">
        <x:v>all mandatory prerequisites and valid data are available</x:v>
      </x:c>
      <x:c r="H1891" s="339" t="str">
        <x:v>the Store Manager completes the primary action on Stock Issue / Return</x:v>
      </x:c>
      <x:c r="I1891" s="339" t="str">
        <x:v>the system validates the request, saves it atomically, shows a clear confirmation and reflects the updated state</x:v>
      </x:c>
      <x:c r="J1891" s="339" t="str">
        <x:v>Positive</x:v>
      </x:c>
      <x:c r="K1891" s="339" t="str">
        <x:v>Functional</x:v>
      </x:c>
    </x:row>
    <x:row r="1892">
      <x:c r="A1892" s="339" t="str">
        <x:v>AC-01891</x:v>
      </x:c>
      <x:c r="B1892" s="339" t="str">
        <x:v>US-0473</x:v>
      </x:c>
      <x:c r="C1892" s="339" t="str">
        <x:v>SCR-237</x:v>
      </x:c>
      <x:c r="D1892" s="339" t="str">
        <x:v>Inventory / Assets / Labs</x:v>
      </x:c>
      <x:c r="E1892" s="339" t="str">
        <x:v>Stock Issue / Return</x:v>
      </x:c>
      <x:c r="F1892" s="339" t="str">
        <x:v>State and dependency integrity</x:v>
      </x:c>
      <x:c r="G1892" s="339" t="str">
        <x:v>the current record is in an allowed state (Available → Assigned / Issued / Reserved → Returned / Maintenance → Retired / Written Off)</x:v>
      </x:c>
      <x:c r="H1892" s="339" t="str">
        <x:v>the user attempts a state-changing action</x:v>
      </x:c>
      <x:c r="I1892" s="339" t="str">
        <x:v>only a valid transition is accepted and dependent records are updated according to configured business rules</x:v>
      </x:c>
      <x:c r="J1892" s="339" t="str">
        <x:v>Positive</x:v>
      </x:c>
      <x:c r="K1892" s="339" t="str">
        <x:v>Functional</x:v>
      </x:c>
    </x:row>
    <x:row r="1893">
      <x:c r="A1893" s="339" t="str">
        <x:v>AC-01892</x:v>
      </x:c>
      <x:c r="B1893" s="339" t="str">
        <x:v>US-0473</x:v>
      </x:c>
      <x:c r="C1893" s="339" t="str">
        <x:v>SCR-237</x:v>
      </x:c>
      <x:c r="D1893" s="339" t="str">
        <x:v>Inventory / Assets / Labs</x:v>
      </x:c>
      <x:c r="E1893" s="339" t="str">
        <x:v>Stock Issue / Return</x:v>
      </x:c>
      <x:c r="F1893" s="339" t="str">
        <x:v>Auditability</x:v>
      </x:c>
      <x:c r="G1893" s="339" t="str">
        <x:v>a material create/update/approve/reverse action occurs</x:v>
      </x:c>
      <x:c r="H1893" s="339" t="str">
        <x:v>the transaction succeeds</x:v>
      </x:c>
      <x:c r="I1893" s="339" t="str">
        <x:v>the system records actor, timestamp, action, target and relevant before/after or reason context in the audit trail</x:v>
      </x:c>
      <x:c r="J1893" s="339" t="str">
        <x:v>Positive</x:v>
      </x:c>
      <x:c r="K1893" s="339" t="str">
        <x:v>Functional</x:v>
      </x:c>
    </x:row>
    <x:row r="1894">
      <x:c r="A1894" s="339" t="str">
        <x:v>AC-01893</x:v>
      </x:c>
      <x:c r="B1894" s="339" t="str">
        <x:v>US-0474</x:v>
      </x:c>
      <x:c r="C1894" s="339" t="str">
        <x:v>SCR-237</x:v>
      </x:c>
      <x:c r="D1894" s="339" t="str">
        <x:v>Inventory / Assets / Labs</x:v>
      </x:c>
      <x:c r="E1894" s="339" t="str">
        <x:v>Stock Issue / Return</x:v>
      </x:c>
      <x:c r="F1894" s="339" t="str">
        <x:v>Valid status transition</x:v>
      </x:c>
      <x:c r="G1894" s="339" t="str">
        <x:v>the record is in a state described by Available → Assigned / Issued / Reserved → Returned / Maintenance → Retired / Written Off</x:v>
      </x:c>
      <x:c r="H1894" s="339" t="str">
        <x:v>the user requests a transition</x:v>
      </x:c>
      <x:c r="I1894" s="339" t="str">
        <x:v>the system accepts only transitions allowed for that role and state</x:v>
      </x:c>
      <x:c r="J1894" s="339" t="str">
        <x:v>Positive</x:v>
      </x:c>
      <x:c r="K1894" s="339" t="str">
        <x:v>Functional</x:v>
      </x:c>
    </x:row>
    <x:row r="1895">
      <x:c r="A1895" s="339" t="str">
        <x:v>AC-01894</x:v>
      </x:c>
      <x:c r="B1895" s="339" t="str">
        <x:v>US-0474</x:v>
      </x:c>
      <x:c r="C1895" s="339" t="str">
        <x:v>SCR-237</x:v>
      </x:c>
      <x:c r="D1895" s="339" t="str">
        <x:v>Inventory / Assets / Labs</x:v>
      </x:c>
      <x:c r="E1895" s="339" t="str">
        <x:v>Stock Issue / Return</x:v>
      </x:c>
      <x:c r="F1895" s="339" t="str">
        <x:v>Approval authority</x:v>
      </x:c>
      <x:c r="G1895" s="339" t="str">
        <x:v>an action requires approval</x:v>
      </x:c>
      <x:c r="H1895" s="339" t="str">
        <x:v>a non-authorized user attempts approval/rejection</x:v>
      </x:c>
      <x:c r="I1895" s="339" t="str">
        <x:v>the system denies the decision and does not change status</x:v>
      </x:c>
      <x:c r="J1895" s="339" t="str">
        <x:v>Negative</x:v>
      </x:c>
      <x:c r="K1895" s="339" t="str">
        <x:v>Functional</x:v>
      </x:c>
    </x:row>
    <x:row r="1896">
      <x:c r="A1896" s="339" t="str">
        <x:v>AC-01895</x:v>
      </x:c>
      <x:c r="B1896" s="339" t="str">
        <x:v>US-0474</x:v>
      </x:c>
      <x:c r="C1896" s="339" t="str">
        <x:v>SCR-237</x:v>
      </x:c>
      <x:c r="D1896" s="339" t="str">
        <x:v>Inventory / Assets / Labs</x:v>
      </x:c>
      <x:c r="E1896" s="339" t="str">
        <x:v>Stock Issue / Return</x:v>
      </x:c>
      <x:c r="F1896" s="339" t="str">
        <x:v>Failure rollback</x:v>
      </x:c>
      <x:c r="G1896" s="339" t="str">
        <x:v>a downstream dependency fails during a multi-step transaction</x:v>
      </x:c>
      <x:c r="H1896" s="339" t="str">
        <x:v>the workflow executes</x:v>
      </x:c>
      <x:c r="I1896" s="339" t="str">
        <x:v>the system does not leave an invalid partial final state and surfaces a recoverable error</x:v>
      </x:c>
      <x:c r="J1896" s="339" t="str">
        <x:v>Positive</x:v>
      </x:c>
      <x:c r="K1896" s="339" t="str">
        <x:v>Functional</x:v>
      </x:c>
    </x:row>
    <x:row r="1897">
      <x:c r="A1897" s="339" t="str">
        <x:v>AC-01896</x:v>
      </x:c>
      <x:c r="B1897" s="339" t="str">
        <x:v>US-0474</x:v>
      </x:c>
      <x:c r="C1897" s="339" t="str">
        <x:v>SCR-237</x:v>
      </x:c>
      <x:c r="D1897" s="339" t="str">
        <x:v>Inventory / Assets / Labs</x:v>
      </x:c>
      <x:c r="E1897" s="339" t="str">
        <x:v>Stock Issue / Return</x:v>
      </x:c>
      <x:c r="F1897" s="339" t="str">
        <x:v>Exception traceability</x:v>
      </x:c>
      <x:c r="G1897" s="339" t="str">
        <x:v>an authorized override/exception is used</x:v>
      </x:c>
      <x:c r="H1897" s="339" t="str">
        <x:v>the action is confirmed</x:v>
      </x:c>
      <x:c r="I1897" s="339" t="str">
        <x:v>the system requires reason/context and records it in the audit history</x:v>
      </x:c>
      <x:c r="J1897" s="339" t="str">
        <x:v>Positive</x:v>
      </x:c>
      <x:c r="K1897" s="339" t="str">
        <x:v>Functional</x:v>
      </x:c>
    </x:row>
    <x:row r="1898">
      <x:c r="A1898" s="339" t="str">
        <x:v>AC-01897</x:v>
      </x:c>
      <x:c r="B1898" s="339" t="str">
        <x:v>US-0475</x:v>
      </x:c>
      <x:c r="C1898" s="339" t="str">
        <x:v>SCR-238</x:v>
      </x:c>
      <x:c r="D1898" s="339" t="str">
        <x:v>Inventory / Assets / Labs</x:v>
      </x:c>
      <x:c r="E1898" s="339" t="str">
        <x:v>Supplier Management</x:v>
      </x:c>
      <x:c r="F1898" s="339" t="str">
        <x:v>Authorized access to Supplier Management</x:v>
      </x:c>
      <x:c r="G1898" s="339" t="str">
        <x:v>the Store Manager is authenticated and has access to Supplier Management</x:v>
      </x:c>
      <x:c r="H1898" s="339" t="str">
        <x:v>the user opens or invokes Supplier Management</x:v>
      </x:c>
      <x:c r="I1898" s="339" t="str">
        <x:v>the system loads only records and actions within the user's permitted tenant/school/data scope</x:v>
      </x:c>
      <x:c r="J1898" s="339" t="str">
        <x:v>Positive</x:v>
      </x:c>
      <x:c r="K1898" s="339" t="str">
        <x:v>Functional / Security</x:v>
      </x:c>
    </x:row>
    <x:row r="1899">
      <x:c r="A1899" s="339" t="str">
        <x:v>AC-01898</x:v>
      </x:c>
      <x:c r="B1899" s="339" t="str">
        <x:v>US-0475</x:v>
      </x:c>
      <x:c r="C1899" s="339" t="str">
        <x:v>SCR-238</x:v>
      </x:c>
      <x:c r="D1899" s="339" t="str">
        <x:v>Inventory / Assets / Labs</x:v>
      </x:c>
      <x:c r="E1899" s="339" t="str">
        <x:v>Supplier Management</x:v>
      </x:c>
      <x:c r="F1899" s="339" t="str">
        <x:v>Successful Supplier Management happy path</x:v>
      </x:c>
      <x:c r="G1899" s="339" t="str">
        <x:v>all mandatory prerequisites and valid data are available</x:v>
      </x:c>
      <x:c r="H1899" s="339" t="str">
        <x:v>the Store Manager completes the primary action on Supplier Management</x:v>
      </x:c>
      <x:c r="I1899" s="339" t="str">
        <x:v>the system validates the request, saves it atomically, shows a clear confirmation and reflects the updated state</x:v>
      </x:c>
      <x:c r="J1899" s="339" t="str">
        <x:v>Positive</x:v>
      </x:c>
      <x:c r="K1899" s="339" t="str">
        <x:v>Functional</x:v>
      </x:c>
    </x:row>
    <x:row r="1900">
      <x:c r="A1900" s="339" t="str">
        <x:v>AC-01899</x:v>
      </x:c>
      <x:c r="B1900" s="339" t="str">
        <x:v>US-0475</x:v>
      </x:c>
      <x:c r="C1900" s="339" t="str">
        <x:v>SCR-238</x:v>
      </x:c>
      <x:c r="D1900" s="339" t="str">
        <x:v>Inventory / Assets / Labs</x:v>
      </x:c>
      <x:c r="E1900" s="339" t="str">
        <x:v>Supplier Management</x:v>
      </x:c>
      <x:c r="F1900" s="339" t="str">
        <x:v>State and dependency integrity</x:v>
      </x:c>
      <x:c r="G1900" s="339" t="str">
        <x:v>the current record is in an allowed state (Available → Assigned / Issued / Reserved → Returned / Maintenance → Retired / Written Off)</x:v>
      </x:c>
      <x:c r="H1900" s="339" t="str">
        <x:v>the user attempts a state-changing action</x:v>
      </x:c>
      <x:c r="I1900" s="339" t="str">
        <x:v>only a valid transition is accepted and dependent records are updated according to configured business rules</x:v>
      </x:c>
      <x:c r="J1900" s="339" t="str">
        <x:v>Positive</x:v>
      </x:c>
      <x:c r="K1900" s="339" t="str">
        <x:v>Functional</x:v>
      </x:c>
    </x:row>
    <x:row r="1901">
      <x:c r="A1901" s="339" t="str">
        <x:v>AC-01900</x:v>
      </x:c>
      <x:c r="B1901" s="339" t="str">
        <x:v>US-0475</x:v>
      </x:c>
      <x:c r="C1901" s="339" t="str">
        <x:v>SCR-238</x:v>
      </x:c>
      <x:c r="D1901" s="339" t="str">
        <x:v>Inventory / Assets / Labs</x:v>
      </x:c>
      <x:c r="E1901" s="339" t="str">
        <x:v>Supplier Management</x:v>
      </x:c>
      <x:c r="F1901" s="339" t="str">
        <x:v>Auditability</x:v>
      </x:c>
      <x:c r="G1901" s="339" t="str">
        <x:v>a material create/update/approve/reverse action occurs</x:v>
      </x:c>
      <x:c r="H1901" s="339" t="str">
        <x:v>the transaction succeeds</x:v>
      </x:c>
      <x:c r="I1901" s="339" t="str">
        <x:v>the system records actor, timestamp, action, target and relevant before/after or reason context in the audit trail</x:v>
      </x:c>
      <x:c r="J1901" s="339" t="str">
        <x:v>Positive</x:v>
      </x:c>
      <x:c r="K1901" s="339" t="str">
        <x:v>Functional</x:v>
      </x:c>
    </x:row>
    <x:row r="1902">
      <x:c r="A1902" s="339" t="str">
        <x:v>AC-01901</x:v>
      </x:c>
      <x:c r="B1902" s="339" t="str">
        <x:v>US-0476</x:v>
      </x:c>
      <x:c r="C1902" s="339" t="str">
        <x:v>SCR-238</x:v>
      </x:c>
      <x:c r="D1902" s="339" t="str">
        <x:v>Inventory / Assets / Labs</x:v>
      </x:c>
      <x:c r="E1902" s="339" t="str">
        <x:v>Supplier Management</x:v>
      </x:c>
      <x:c r="F1902" s="339" t="str">
        <x:v>Valid status transition</x:v>
      </x:c>
      <x:c r="G1902" s="339" t="str">
        <x:v>the record is in a state described by Available → Assigned / Issued / Reserved → Returned / Maintenance → Retired / Written Off</x:v>
      </x:c>
      <x:c r="H1902" s="339" t="str">
        <x:v>the user requests a transition</x:v>
      </x:c>
      <x:c r="I1902" s="339" t="str">
        <x:v>the system accepts only transitions allowed for that role and state</x:v>
      </x:c>
      <x:c r="J1902" s="339" t="str">
        <x:v>Positive</x:v>
      </x:c>
      <x:c r="K1902" s="339" t="str">
        <x:v>Functional</x:v>
      </x:c>
    </x:row>
    <x:row r="1903">
      <x:c r="A1903" s="339" t="str">
        <x:v>AC-01902</x:v>
      </x:c>
      <x:c r="B1903" s="339" t="str">
        <x:v>US-0476</x:v>
      </x:c>
      <x:c r="C1903" s="339" t="str">
        <x:v>SCR-238</x:v>
      </x:c>
      <x:c r="D1903" s="339" t="str">
        <x:v>Inventory / Assets / Labs</x:v>
      </x:c>
      <x:c r="E1903" s="339" t="str">
        <x:v>Supplier Management</x:v>
      </x:c>
      <x:c r="F1903" s="339" t="str">
        <x:v>Approval authority</x:v>
      </x:c>
      <x:c r="G1903" s="339" t="str">
        <x:v>an action requires approval</x:v>
      </x:c>
      <x:c r="H1903" s="339" t="str">
        <x:v>a non-authorized user attempts approval/rejection</x:v>
      </x:c>
      <x:c r="I1903" s="339" t="str">
        <x:v>the system denies the decision and does not change status</x:v>
      </x:c>
      <x:c r="J1903" s="339" t="str">
        <x:v>Negative</x:v>
      </x:c>
      <x:c r="K1903" s="339" t="str">
        <x:v>Functional</x:v>
      </x:c>
    </x:row>
    <x:row r="1904">
      <x:c r="A1904" s="339" t="str">
        <x:v>AC-01903</x:v>
      </x:c>
      <x:c r="B1904" s="339" t="str">
        <x:v>US-0476</x:v>
      </x:c>
      <x:c r="C1904" s="339" t="str">
        <x:v>SCR-238</x:v>
      </x:c>
      <x:c r="D1904" s="339" t="str">
        <x:v>Inventory / Assets / Labs</x:v>
      </x:c>
      <x:c r="E1904" s="339" t="str">
        <x:v>Supplier Management</x:v>
      </x:c>
      <x:c r="F1904" s="339" t="str">
        <x:v>Failure rollback</x:v>
      </x:c>
      <x:c r="G1904" s="339" t="str">
        <x:v>a downstream dependency fails during a multi-step transaction</x:v>
      </x:c>
      <x:c r="H1904" s="339" t="str">
        <x:v>the workflow executes</x:v>
      </x:c>
      <x:c r="I1904" s="339" t="str">
        <x:v>the system does not leave an invalid partial final state and surfaces a recoverable error</x:v>
      </x:c>
      <x:c r="J1904" s="339" t="str">
        <x:v>Positive</x:v>
      </x:c>
      <x:c r="K1904" s="339" t="str">
        <x:v>Functional</x:v>
      </x:c>
    </x:row>
    <x:row r="1905">
      <x:c r="A1905" s="339" t="str">
        <x:v>AC-01904</x:v>
      </x:c>
      <x:c r="B1905" s="339" t="str">
        <x:v>US-0476</x:v>
      </x:c>
      <x:c r="C1905" s="339" t="str">
        <x:v>SCR-238</x:v>
      </x:c>
      <x:c r="D1905" s="339" t="str">
        <x:v>Inventory / Assets / Labs</x:v>
      </x:c>
      <x:c r="E1905" s="339" t="str">
        <x:v>Supplier Management</x:v>
      </x:c>
      <x:c r="F1905" s="339" t="str">
        <x:v>Exception traceability</x:v>
      </x:c>
      <x:c r="G1905" s="339" t="str">
        <x:v>an authorized override/exception is used</x:v>
      </x:c>
      <x:c r="H1905" s="339" t="str">
        <x:v>the action is confirmed</x:v>
      </x:c>
      <x:c r="I1905" s="339" t="str">
        <x:v>the system requires reason/context and records it in the audit history</x:v>
      </x:c>
      <x:c r="J1905" s="339" t="str">
        <x:v>Positive</x:v>
      </x:c>
      <x:c r="K1905" s="339" t="str">
        <x:v>Functional</x:v>
      </x:c>
    </x:row>
    <x:row r="1906">
      <x:c r="A1906" s="339" t="str">
        <x:v>AC-01905</x:v>
      </x:c>
      <x:c r="B1906" s="339" t="str">
        <x:v>US-0477</x:v>
      </x:c>
      <x:c r="C1906" s="339" t="str">
        <x:v>SCR-239</x:v>
      </x:c>
      <x:c r="D1906" s="339" t="str">
        <x:v>Inventory / Assets / Labs</x:v>
      </x:c>
      <x:c r="E1906" s="339" t="str">
        <x:v>Asset Register</x:v>
      </x:c>
      <x:c r="F1906" s="339" t="str">
        <x:v>Authorized access to Asset Register</x:v>
      </x:c>
      <x:c r="G1906" s="339" t="str">
        <x:v>the Store Manager is authenticated and has access to Asset Register</x:v>
      </x:c>
      <x:c r="H1906" s="339" t="str">
        <x:v>the user opens or invokes Asset Register</x:v>
      </x:c>
      <x:c r="I1906" s="339" t="str">
        <x:v>the system loads only records and actions within the user's permitted tenant/school/data scope</x:v>
      </x:c>
      <x:c r="J1906" s="339" t="str">
        <x:v>Positive</x:v>
      </x:c>
      <x:c r="K1906" s="339" t="str">
        <x:v>Functional / Security</x:v>
      </x:c>
    </x:row>
    <x:row r="1907">
      <x:c r="A1907" s="339" t="str">
        <x:v>AC-01906</x:v>
      </x:c>
      <x:c r="B1907" s="339" t="str">
        <x:v>US-0477</x:v>
      </x:c>
      <x:c r="C1907" s="339" t="str">
        <x:v>SCR-239</x:v>
      </x:c>
      <x:c r="D1907" s="339" t="str">
        <x:v>Inventory / Assets / Labs</x:v>
      </x:c>
      <x:c r="E1907" s="339" t="str">
        <x:v>Asset Register</x:v>
      </x:c>
      <x:c r="F1907" s="339" t="str">
        <x:v>Successful Asset Register happy path</x:v>
      </x:c>
      <x:c r="G1907" s="339" t="str">
        <x:v>all mandatory prerequisites and valid data are available</x:v>
      </x:c>
      <x:c r="H1907" s="339" t="str">
        <x:v>the Store Manager completes the primary action on Asset Register</x:v>
      </x:c>
      <x:c r="I1907" s="339" t="str">
        <x:v>the system validates the request, saves it atomically, shows a clear confirmation and reflects the updated state</x:v>
      </x:c>
      <x:c r="J1907" s="339" t="str">
        <x:v>Positive</x:v>
      </x:c>
      <x:c r="K1907" s="339" t="str">
        <x:v>Functional</x:v>
      </x:c>
    </x:row>
    <x:row r="1908">
      <x:c r="A1908" s="339" t="str">
        <x:v>AC-01907</x:v>
      </x:c>
      <x:c r="B1908" s="339" t="str">
        <x:v>US-0477</x:v>
      </x:c>
      <x:c r="C1908" s="339" t="str">
        <x:v>SCR-239</x:v>
      </x:c>
      <x:c r="D1908" s="339" t="str">
        <x:v>Inventory / Assets / Labs</x:v>
      </x:c>
      <x:c r="E1908" s="339" t="str">
        <x:v>Asset Register</x:v>
      </x:c>
      <x:c r="F1908" s="339" t="str">
        <x:v>State and dependency integrity</x:v>
      </x:c>
      <x:c r="G1908" s="339" t="str">
        <x:v>the current record is in an allowed state (Available → Assigned / Issued / Reserved → Returned / Maintenance → Retired / Written Off)</x:v>
      </x:c>
      <x:c r="H1908" s="339" t="str">
        <x:v>the user attempts a state-changing action</x:v>
      </x:c>
      <x:c r="I1908" s="339" t="str">
        <x:v>only a valid transition is accepted and dependent records are updated according to configured business rules</x:v>
      </x:c>
      <x:c r="J1908" s="339" t="str">
        <x:v>Positive</x:v>
      </x:c>
      <x:c r="K1908" s="339" t="str">
        <x:v>Functional</x:v>
      </x:c>
    </x:row>
    <x:row r="1909">
      <x:c r="A1909" s="339" t="str">
        <x:v>AC-01908</x:v>
      </x:c>
      <x:c r="B1909" s="339" t="str">
        <x:v>US-0477</x:v>
      </x:c>
      <x:c r="C1909" s="339" t="str">
        <x:v>SCR-239</x:v>
      </x:c>
      <x:c r="D1909" s="339" t="str">
        <x:v>Inventory / Assets / Labs</x:v>
      </x:c>
      <x:c r="E1909" s="339" t="str">
        <x:v>Asset Register</x:v>
      </x:c>
      <x:c r="F1909" s="339" t="str">
        <x:v>Auditability</x:v>
      </x:c>
      <x:c r="G1909" s="339" t="str">
        <x:v>a material create/update/approve/reverse action occurs</x:v>
      </x:c>
      <x:c r="H1909" s="339" t="str">
        <x:v>the transaction succeeds</x:v>
      </x:c>
      <x:c r="I1909" s="339" t="str">
        <x:v>the system records actor, timestamp, action, target and relevant before/after or reason context in the audit trail</x:v>
      </x:c>
      <x:c r="J1909" s="339" t="str">
        <x:v>Positive</x:v>
      </x:c>
      <x:c r="K1909" s="339" t="str">
        <x:v>Functional</x:v>
      </x:c>
    </x:row>
    <x:row r="1910">
      <x:c r="A1910" s="339" t="str">
        <x:v>AC-01909</x:v>
      </x:c>
      <x:c r="B1910" s="339" t="str">
        <x:v>US-0478</x:v>
      </x:c>
      <x:c r="C1910" s="339" t="str">
        <x:v>SCR-239</x:v>
      </x:c>
      <x:c r="D1910" s="339" t="str">
        <x:v>Inventory / Assets / Labs</x:v>
      </x:c>
      <x:c r="E1910" s="339" t="str">
        <x:v>Asset Register</x:v>
      </x:c>
      <x:c r="F1910" s="339" t="str">
        <x:v>Complete authorized view</x:v>
      </x:c>
      <x:c r="G1910" s="339" t="str">
        <x:v>the record exists and the user is authorized</x:v>
      </x:c>
      <x:c r="H1910" s="339" t="str">
        <x:v>the detail/profile opens</x:v>
      </x:c>
      <x:c r="I1910" s="339" t="str">
        <x:v>the system loads the required summary, relationships and history while masking restricted fields</x:v>
      </x:c>
      <x:c r="J1910" s="339" t="str">
        <x:v>Positive</x:v>
      </x:c>
      <x:c r="K1910" s="339" t="str">
        <x:v>Functional / Security</x:v>
      </x:c>
    </x:row>
    <x:row r="1911">
      <x:c r="A1911" s="339" t="str">
        <x:v>AC-01910</x:v>
      </x:c>
      <x:c r="B1911" s="339" t="str">
        <x:v>US-0478</x:v>
      </x:c>
      <x:c r="C1911" s="339" t="str">
        <x:v>SCR-239</x:v>
      </x:c>
      <x:c r="D1911" s="339" t="str">
        <x:v>Inventory / Assets / Labs</x:v>
      </x:c>
      <x:c r="E1911" s="339" t="str">
        <x:v>Asset Register</x:v>
      </x:c>
      <x:c r="F1911" s="339" t="str">
        <x:v>Controlled edit</x:v>
      </x:c>
      <x:c r="G1911" s="339" t="str">
        <x:v>the user has edit permission and the record is editable</x:v>
      </x:c>
      <x:c r="H1911" s="339" t="str">
        <x:v>the user saves a change</x:v>
      </x:c>
      <x:c r="I1911" s="339" t="str">
        <x:v>validation and state rules run before the update is committed</x:v>
      </x:c>
      <x:c r="J1911" s="339" t="str">
        <x:v>Positive</x:v>
      </x:c>
      <x:c r="K1911" s="339" t="str">
        <x:v>Functional</x:v>
      </x:c>
    </x:row>
    <x:row r="1912">
      <x:c r="A1912" s="339" t="str">
        <x:v>AC-01911</x:v>
      </x:c>
      <x:c r="B1912" s="339" t="str">
        <x:v>US-0478</x:v>
      </x:c>
      <x:c r="C1912" s="339" t="str">
        <x:v>SCR-239</x:v>
      </x:c>
      <x:c r="D1912" s="339" t="str">
        <x:v>Inventory / Assets / Labs</x:v>
      </x:c>
      <x:c r="E1912" s="339" t="str">
        <x:v>Asset Register</x:v>
      </x:c>
      <x:c r="F1912" s="339" t="str">
        <x:v>Concurrent edit protection</x:v>
      </x:c>
      <x:c r="G1912" s="339" t="str">
        <x:v>another user has changed the record after it was loaded</x:v>
      </x:c>
      <x:c r="H1912" s="339" t="str">
        <x:v>the first user attempts to save stale data</x:v>
      </x:c>
      <x:c r="I1912" s="339" t="str">
        <x:v>the system detects the version conflict or preserves fields safely instead of silently overwriting</x:v>
      </x:c>
      <x:c r="J1912" s="339" t="str">
        <x:v>Positive</x:v>
      </x:c>
      <x:c r="K1912" s="339" t="str">
        <x:v>Functional</x:v>
      </x:c>
    </x:row>
    <x:row r="1913">
      <x:c r="A1913" s="339" t="str">
        <x:v>AC-01912</x:v>
      </x:c>
      <x:c r="B1913" s="339" t="str">
        <x:v>US-0478</x:v>
      </x:c>
      <x:c r="C1913" s="339" t="str">
        <x:v>SCR-239</x:v>
      </x:c>
      <x:c r="D1913" s="339" t="str">
        <x:v>Inventory / Assets / Labs</x:v>
      </x:c>
      <x:c r="E1913" s="339" t="str">
        <x:v>Asset Register</x:v>
      </x:c>
      <x:c r="F1913" s="339" t="str">
        <x:v>History retention</x:v>
      </x:c>
      <x:c r="G1913" s="339" t="str">
        <x:v>the record has prior changes/statuses</x:v>
      </x:c>
      <x:c r="H1913" s="339" t="str">
        <x:v>the user views history</x:v>
      </x:c>
      <x:c r="I1913" s="339" t="str">
        <x:v>the audit/activity timeline shows traceable material changes without exposing restricted notes</x:v>
      </x:c>
      <x:c r="J1913" s="339" t="str">
        <x:v>Positive</x:v>
      </x:c>
      <x:c r="K1913" s="339" t="str">
        <x:v>Functional</x:v>
      </x:c>
    </x:row>
    <x:row r="1914">
      <x:c r="A1914" s="339" t="str">
        <x:v>AC-01913</x:v>
      </x:c>
      <x:c r="B1914" s="339" t="str">
        <x:v>US-0479</x:v>
      </x:c>
      <x:c r="C1914" s="339" t="str">
        <x:v>SCR-240</x:v>
      </x:c>
      <x:c r="D1914" s="339" t="str">
        <x:v>Inventory / Assets / Labs</x:v>
      </x:c>
      <x:c r="E1914" s="339" t="str">
        <x:v>Asset Assignment / Transfer</x:v>
      </x:c>
      <x:c r="F1914" s="339" t="str">
        <x:v>Authorized access to Asset Assignment / Transfer</x:v>
      </x:c>
      <x:c r="G1914" s="339" t="str">
        <x:v>the Store Manager is authenticated and has access to Asset Assignment / Transfer</x:v>
      </x:c>
      <x:c r="H1914" s="339" t="str">
        <x:v>the user opens or invokes Asset Assignment / Transfer</x:v>
      </x:c>
      <x:c r="I1914" s="339" t="str">
        <x:v>the system loads only records and actions within the user's permitted tenant/school/data scope</x:v>
      </x:c>
      <x:c r="J1914" s="339" t="str">
        <x:v>Positive</x:v>
      </x:c>
      <x:c r="K1914" s="339" t="str">
        <x:v>Functional / Security</x:v>
      </x:c>
    </x:row>
    <x:row r="1915">
      <x:c r="A1915" s="339" t="str">
        <x:v>AC-01914</x:v>
      </x:c>
      <x:c r="B1915" s="339" t="str">
        <x:v>US-0479</x:v>
      </x:c>
      <x:c r="C1915" s="339" t="str">
        <x:v>SCR-240</x:v>
      </x:c>
      <x:c r="D1915" s="339" t="str">
        <x:v>Inventory / Assets / Labs</x:v>
      </x:c>
      <x:c r="E1915" s="339" t="str">
        <x:v>Asset Assignment / Transfer</x:v>
      </x:c>
      <x:c r="F1915" s="339" t="str">
        <x:v>Successful Asset Assignment / Transfer happy path</x:v>
      </x:c>
      <x:c r="G1915" s="339" t="str">
        <x:v>all mandatory prerequisites and valid data are available</x:v>
      </x:c>
      <x:c r="H1915" s="339" t="str">
        <x:v>the Store Manager completes the primary action on Asset Assignment / Transfer</x:v>
      </x:c>
      <x:c r="I1915" s="339" t="str">
        <x:v>the system validates the request, saves it atomically, shows a clear confirmation and reflects the updated state</x:v>
      </x:c>
      <x:c r="J1915" s="339" t="str">
        <x:v>Positive</x:v>
      </x:c>
      <x:c r="K1915" s="339" t="str">
        <x:v>Functional</x:v>
      </x:c>
    </x:row>
    <x:row r="1916">
      <x:c r="A1916" s="339" t="str">
        <x:v>AC-01915</x:v>
      </x:c>
      <x:c r="B1916" s="339" t="str">
        <x:v>US-0479</x:v>
      </x:c>
      <x:c r="C1916" s="339" t="str">
        <x:v>SCR-240</x:v>
      </x:c>
      <x:c r="D1916" s="339" t="str">
        <x:v>Inventory / Assets / Labs</x:v>
      </x:c>
      <x:c r="E1916" s="339" t="str">
        <x:v>Asset Assignment / Transfer</x:v>
      </x:c>
      <x:c r="F1916" s="339" t="str">
        <x:v>State and dependency integrity</x:v>
      </x:c>
      <x:c r="G1916" s="339" t="str">
        <x:v>the current record is in an allowed state (Available → Assigned / Issued / Reserved → Returned / Maintenance → Retired / Written Off)</x:v>
      </x:c>
      <x:c r="H1916" s="339" t="str">
        <x:v>the user attempts a state-changing action</x:v>
      </x:c>
      <x:c r="I1916" s="339" t="str">
        <x:v>only a valid transition is accepted and dependent records are updated according to configured business rules</x:v>
      </x:c>
      <x:c r="J1916" s="339" t="str">
        <x:v>Positive</x:v>
      </x:c>
      <x:c r="K1916" s="339" t="str">
        <x:v>Functional</x:v>
      </x:c>
    </x:row>
    <x:row r="1917">
      <x:c r="A1917" s="339" t="str">
        <x:v>AC-01916</x:v>
      </x:c>
      <x:c r="B1917" s="339" t="str">
        <x:v>US-0479</x:v>
      </x:c>
      <x:c r="C1917" s="339" t="str">
        <x:v>SCR-240</x:v>
      </x:c>
      <x:c r="D1917" s="339" t="str">
        <x:v>Inventory / Assets / Labs</x:v>
      </x:c>
      <x:c r="E1917" s="339" t="str">
        <x:v>Asset Assignment / Transfer</x:v>
      </x:c>
      <x:c r="F1917" s="339" t="str">
        <x:v>Auditability</x:v>
      </x:c>
      <x:c r="G1917" s="339" t="str">
        <x:v>a material create/update/approve/reverse action occurs</x:v>
      </x:c>
      <x:c r="H1917" s="339" t="str">
        <x:v>the transaction succeeds</x:v>
      </x:c>
      <x:c r="I1917" s="339" t="str">
        <x:v>the system records actor, timestamp, action, target and relevant before/after or reason context in the audit trail</x:v>
      </x:c>
      <x:c r="J1917" s="339" t="str">
        <x:v>Positive</x:v>
      </x:c>
      <x:c r="K1917" s="339" t="str">
        <x:v>Functional</x:v>
      </x:c>
    </x:row>
    <x:row r="1918">
      <x:c r="A1918" s="339" t="str">
        <x:v>AC-01917</x:v>
      </x:c>
      <x:c r="B1918" s="339" t="str">
        <x:v>US-0480</x:v>
      </x:c>
      <x:c r="C1918" s="339" t="str">
        <x:v>SCR-240</x:v>
      </x:c>
      <x:c r="D1918" s="339" t="str">
        <x:v>Inventory / Assets / Labs</x:v>
      </x:c>
      <x:c r="E1918" s="339" t="str">
        <x:v>Asset Assignment / Transfer</x:v>
      </x:c>
      <x:c r="F1918" s="339" t="str">
        <x:v>Valid status transition</x:v>
      </x:c>
      <x:c r="G1918" s="339" t="str">
        <x:v>the record is in a state described by Available → Assigned / Issued / Reserved → Returned / Maintenance → Retired / Written Off</x:v>
      </x:c>
      <x:c r="H1918" s="339" t="str">
        <x:v>the user requests a transition</x:v>
      </x:c>
      <x:c r="I1918" s="339" t="str">
        <x:v>the system accepts only transitions allowed for that role and state</x:v>
      </x:c>
      <x:c r="J1918" s="339" t="str">
        <x:v>Positive</x:v>
      </x:c>
      <x:c r="K1918" s="339" t="str">
        <x:v>Functional</x:v>
      </x:c>
    </x:row>
    <x:row r="1919">
      <x:c r="A1919" s="339" t="str">
        <x:v>AC-01918</x:v>
      </x:c>
      <x:c r="B1919" s="339" t="str">
        <x:v>US-0480</x:v>
      </x:c>
      <x:c r="C1919" s="339" t="str">
        <x:v>SCR-240</x:v>
      </x:c>
      <x:c r="D1919" s="339" t="str">
        <x:v>Inventory / Assets / Labs</x:v>
      </x:c>
      <x:c r="E1919" s="339" t="str">
        <x:v>Asset Assignment / Transfer</x:v>
      </x:c>
      <x:c r="F1919" s="339" t="str">
        <x:v>Approval authority</x:v>
      </x:c>
      <x:c r="G1919" s="339" t="str">
        <x:v>an action requires approval</x:v>
      </x:c>
      <x:c r="H1919" s="339" t="str">
        <x:v>a non-authorized user attempts approval/rejection</x:v>
      </x:c>
      <x:c r="I1919" s="339" t="str">
        <x:v>the system denies the decision and does not change status</x:v>
      </x:c>
      <x:c r="J1919" s="339" t="str">
        <x:v>Negative</x:v>
      </x:c>
      <x:c r="K1919" s="339" t="str">
        <x:v>Functional</x:v>
      </x:c>
    </x:row>
    <x:row r="1920">
      <x:c r="A1920" s="339" t="str">
        <x:v>AC-01919</x:v>
      </x:c>
      <x:c r="B1920" s="339" t="str">
        <x:v>US-0480</x:v>
      </x:c>
      <x:c r="C1920" s="339" t="str">
        <x:v>SCR-240</x:v>
      </x:c>
      <x:c r="D1920" s="339" t="str">
        <x:v>Inventory / Assets / Labs</x:v>
      </x:c>
      <x:c r="E1920" s="339" t="str">
        <x:v>Asset Assignment / Transfer</x:v>
      </x:c>
      <x:c r="F1920" s="339" t="str">
        <x:v>Failure rollback</x:v>
      </x:c>
      <x:c r="G1920" s="339" t="str">
        <x:v>a downstream dependency fails during a multi-step transaction</x:v>
      </x:c>
      <x:c r="H1920" s="339" t="str">
        <x:v>the workflow executes</x:v>
      </x:c>
      <x:c r="I1920" s="339" t="str">
        <x:v>the system does not leave an invalid partial final state and surfaces a recoverable error</x:v>
      </x:c>
      <x:c r="J1920" s="339" t="str">
        <x:v>Positive</x:v>
      </x:c>
      <x:c r="K1920" s="339" t="str">
        <x:v>Functional</x:v>
      </x:c>
    </x:row>
    <x:row r="1921">
      <x:c r="A1921" s="339" t="str">
        <x:v>AC-01920</x:v>
      </x:c>
      <x:c r="B1921" s="339" t="str">
        <x:v>US-0480</x:v>
      </x:c>
      <x:c r="C1921" s="339" t="str">
        <x:v>SCR-240</x:v>
      </x:c>
      <x:c r="D1921" s="339" t="str">
        <x:v>Inventory / Assets / Labs</x:v>
      </x:c>
      <x:c r="E1921" s="339" t="str">
        <x:v>Asset Assignment / Transfer</x:v>
      </x:c>
      <x:c r="F1921" s="339" t="str">
        <x:v>Exception traceability</x:v>
      </x:c>
      <x:c r="G1921" s="339" t="str">
        <x:v>an authorized override/exception is used</x:v>
      </x:c>
      <x:c r="H1921" s="339" t="str">
        <x:v>the action is confirmed</x:v>
      </x:c>
      <x:c r="I1921" s="339" t="str">
        <x:v>the system requires reason/context and records it in the audit history</x:v>
      </x:c>
      <x:c r="J1921" s="339" t="str">
        <x:v>Positive</x:v>
      </x:c>
      <x:c r="K1921" s="339" t="str">
        <x:v>Functional</x:v>
      </x:c>
    </x:row>
    <x:row r="1922">
      <x:c r="A1922" s="339" t="str">
        <x:v>AC-01921</x:v>
      </x:c>
      <x:c r="B1922" s="339" t="str">
        <x:v>US-0481</x:v>
      </x:c>
      <x:c r="C1922" s="339" t="str">
        <x:v>SCR-241</x:v>
      </x:c>
      <x:c r="D1922" s="339" t="str">
        <x:v>Inventory / Assets / Labs</x:v>
      </x:c>
      <x:c r="E1922" s="339" t="str">
        <x:v>Asset Maintenance</x:v>
      </x:c>
      <x:c r="F1922" s="339" t="str">
        <x:v>Authorized access to Asset Maintenance</x:v>
      </x:c>
      <x:c r="G1922" s="339" t="str">
        <x:v>the Store Manager is authenticated and has access to Asset Maintenance</x:v>
      </x:c>
      <x:c r="H1922" s="339" t="str">
        <x:v>the user opens or invokes Asset Maintenance</x:v>
      </x:c>
      <x:c r="I1922" s="339" t="str">
        <x:v>the system loads only records and actions within the user's permitted tenant/school/data scope</x:v>
      </x:c>
      <x:c r="J1922" s="339" t="str">
        <x:v>Positive</x:v>
      </x:c>
      <x:c r="K1922" s="339" t="str">
        <x:v>Functional / Security</x:v>
      </x:c>
    </x:row>
    <x:row r="1923">
      <x:c r="A1923" s="339" t="str">
        <x:v>AC-01922</x:v>
      </x:c>
      <x:c r="B1923" s="339" t="str">
        <x:v>US-0481</x:v>
      </x:c>
      <x:c r="C1923" s="339" t="str">
        <x:v>SCR-241</x:v>
      </x:c>
      <x:c r="D1923" s="339" t="str">
        <x:v>Inventory / Assets / Labs</x:v>
      </x:c>
      <x:c r="E1923" s="339" t="str">
        <x:v>Asset Maintenance</x:v>
      </x:c>
      <x:c r="F1923" s="339" t="str">
        <x:v>Successful Asset Maintenance happy path</x:v>
      </x:c>
      <x:c r="G1923" s="339" t="str">
        <x:v>all mandatory prerequisites and valid data are available</x:v>
      </x:c>
      <x:c r="H1923" s="339" t="str">
        <x:v>the Store Manager completes the primary action on Asset Maintenance</x:v>
      </x:c>
      <x:c r="I1923" s="339" t="str">
        <x:v>the system validates the request, saves it atomically, shows a clear confirmation and reflects the updated state</x:v>
      </x:c>
      <x:c r="J1923" s="339" t="str">
        <x:v>Positive</x:v>
      </x:c>
      <x:c r="K1923" s="339" t="str">
        <x:v>Functional</x:v>
      </x:c>
    </x:row>
    <x:row r="1924">
      <x:c r="A1924" s="339" t="str">
        <x:v>AC-01923</x:v>
      </x:c>
      <x:c r="B1924" s="339" t="str">
        <x:v>US-0481</x:v>
      </x:c>
      <x:c r="C1924" s="339" t="str">
        <x:v>SCR-241</x:v>
      </x:c>
      <x:c r="D1924" s="339" t="str">
        <x:v>Inventory / Assets / Labs</x:v>
      </x:c>
      <x:c r="E1924" s="339" t="str">
        <x:v>Asset Maintenance</x:v>
      </x:c>
      <x:c r="F1924" s="339" t="str">
        <x:v>State and dependency integrity</x:v>
      </x:c>
      <x:c r="G1924" s="339" t="str">
        <x:v>the current record is in an allowed state (Available → Assigned / Issued / Reserved → Returned / Maintenance → Retired / Written Off)</x:v>
      </x:c>
      <x:c r="H1924" s="339" t="str">
        <x:v>the user attempts a state-changing action</x:v>
      </x:c>
      <x:c r="I1924" s="339" t="str">
        <x:v>only a valid transition is accepted and dependent records are updated according to configured business rules</x:v>
      </x:c>
      <x:c r="J1924" s="339" t="str">
        <x:v>Positive</x:v>
      </x:c>
      <x:c r="K1924" s="339" t="str">
        <x:v>Functional</x:v>
      </x:c>
    </x:row>
    <x:row r="1925">
      <x:c r="A1925" s="339" t="str">
        <x:v>AC-01924</x:v>
      </x:c>
      <x:c r="B1925" s="339" t="str">
        <x:v>US-0481</x:v>
      </x:c>
      <x:c r="C1925" s="339" t="str">
        <x:v>SCR-241</x:v>
      </x:c>
      <x:c r="D1925" s="339" t="str">
        <x:v>Inventory / Assets / Labs</x:v>
      </x:c>
      <x:c r="E1925" s="339" t="str">
        <x:v>Asset Maintenance</x:v>
      </x:c>
      <x:c r="F1925" s="339" t="str">
        <x:v>Auditability</x:v>
      </x:c>
      <x:c r="G1925" s="339" t="str">
        <x:v>a material create/update/approve/reverse action occurs</x:v>
      </x:c>
      <x:c r="H1925" s="339" t="str">
        <x:v>the transaction succeeds</x:v>
      </x:c>
      <x:c r="I1925" s="339" t="str">
        <x:v>the system records actor, timestamp, action, target and relevant before/after or reason context in the audit trail</x:v>
      </x:c>
      <x:c r="J1925" s="339" t="str">
        <x:v>Positive</x:v>
      </x:c>
      <x:c r="K1925" s="339" t="str">
        <x:v>Functional</x:v>
      </x:c>
    </x:row>
    <x:row r="1926">
      <x:c r="A1926" s="339" t="str">
        <x:v>AC-01925</x:v>
      </x:c>
      <x:c r="B1926" s="339" t="str">
        <x:v>US-0482</x:v>
      </x:c>
      <x:c r="C1926" s="339" t="str">
        <x:v>SCR-241</x:v>
      </x:c>
      <x:c r="D1926" s="339" t="str">
        <x:v>Inventory / Assets / Labs</x:v>
      </x:c>
      <x:c r="E1926" s="339" t="str">
        <x:v>Asset Maintenance</x:v>
      </x:c>
      <x:c r="F1926" s="339" t="str">
        <x:v>Valid status transition</x:v>
      </x:c>
      <x:c r="G1926" s="339" t="str">
        <x:v>the record is in a state described by Available → Assigned / Issued / Reserved → Returned / Maintenance → Retired / Written Off</x:v>
      </x:c>
      <x:c r="H1926" s="339" t="str">
        <x:v>the user requests a transition</x:v>
      </x:c>
      <x:c r="I1926" s="339" t="str">
        <x:v>the system accepts only transitions allowed for that role and state</x:v>
      </x:c>
      <x:c r="J1926" s="339" t="str">
        <x:v>Positive</x:v>
      </x:c>
      <x:c r="K1926" s="339" t="str">
        <x:v>Functional</x:v>
      </x:c>
    </x:row>
    <x:row r="1927">
      <x:c r="A1927" s="339" t="str">
        <x:v>AC-01926</x:v>
      </x:c>
      <x:c r="B1927" s="339" t="str">
        <x:v>US-0482</x:v>
      </x:c>
      <x:c r="C1927" s="339" t="str">
        <x:v>SCR-241</x:v>
      </x:c>
      <x:c r="D1927" s="339" t="str">
        <x:v>Inventory / Assets / Labs</x:v>
      </x:c>
      <x:c r="E1927" s="339" t="str">
        <x:v>Asset Maintenance</x:v>
      </x:c>
      <x:c r="F1927" s="339" t="str">
        <x:v>Approval authority</x:v>
      </x:c>
      <x:c r="G1927" s="339" t="str">
        <x:v>an action requires approval</x:v>
      </x:c>
      <x:c r="H1927" s="339" t="str">
        <x:v>a non-authorized user attempts approval/rejection</x:v>
      </x:c>
      <x:c r="I1927" s="339" t="str">
        <x:v>the system denies the decision and does not change status</x:v>
      </x:c>
      <x:c r="J1927" s="339" t="str">
        <x:v>Negative</x:v>
      </x:c>
      <x:c r="K1927" s="339" t="str">
        <x:v>Functional</x:v>
      </x:c>
    </x:row>
    <x:row r="1928">
      <x:c r="A1928" s="339" t="str">
        <x:v>AC-01927</x:v>
      </x:c>
      <x:c r="B1928" s="339" t="str">
        <x:v>US-0482</x:v>
      </x:c>
      <x:c r="C1928" s="339" t="str">
        <x:v>SCR-241</x:v>
      </x:c>
      <x:c r="D1928" s="339" t="str">
        <x:v>Inventory / Assets / Labs</x:v>
      </x:c>
      <x:c r="E1928" s="339" t="str">
        <x:v>Asset Maintenance</x:v>
      </x:c>
      <x:c r="F1928" s="339" t="str">
        <x:v>Failure rollback</x:v>
      </x:c>
      <x:c r="G1928" s="339" t="str">
        <x:v>a downstream dependency fails during a multi-step transaction</x:v>
      </x:c>
      <x:c r="H1928" s="339" t="str">
        <x:v>the workflow executes</x:v>
      </x:c>
      <x:c r="I1928" s="339" t="str">
        <x:v>the system does not leave an invalid partial final state and surfaces a recoverable error</x:v>
      </x:c>
      <x:c r="J1928" s="339" t="str">
        <x:v>Positive</x:v>
      </x:c>
      <x:c r="K1928" s="339" t="str">
        <x:v>Functional</x:v>
      </x:c>
    </x:row>
    <x:row r="1929">
      <x:c r="A1929" s="339" t="str">
        <x:v>AC-01928</x:v>
      </x:c>
      <x:c r="B1929" s="339" t="str">
        <x:v>US-0482</x:v>
      </x:c>
      <x:c r="C1929" s="339" t="str">
        <x:v>SCR-241</x:v>
      </x:c>
      <x:c r="D1929" s="339" t="str">
        <x:v>Inventory / Assets / Labs</x:v>
      </x:c>
      <x:c r="E1929" s="339" t="str">
        <x:v>Asset Maintenance</x:v>
      </x:c>
      <x:c r="F1929" s="339" t="str">
        <x:v>Exception traceability</x:v>
      </x:c>
      <x:c r="G1929" s="339" t="str">
        <x:v>an authorized override/exception is used</x:v>
      </x:c>
      <x:c r="H1929" s="339" t="str">
        <x:v>the action is confirmed</x:v>
      </x:c>
      <x:c r="I1929" s="339" t="str">
        <x:v>the system requires reason/context and records it in the audit history</x:v>
      </x:c>
      <x:c r="J1929" s="339" t="str">
        <x:v>Positive</x:v>
      </x:c>
      <x:c r="K1929" s="339" t="str">
        <x:v>Functional</x:v>
      </x:c>
    </x:row>
    <x:row r="1930">
      <x:c r="A1930" s="339" t="str">
        <x:v>AC-01929</x:v>
      </x:c>
      <x:c r="B1930" s="339" t="str">
        <x:v>US-0483</x:v>
      </x:c>
      <x:c r="C1930" s="339" t="str">
        <x:v>SCR-242</x:v>
      </x:c>
      <x:c r="D1930" s="339" t="str">
        <x:v>Inventory / Assets / Labs</x:v>
      </x:c>
      <x:c r="E1930" s="339" t="str">
        <x:v>Lab Register</x:v>
      </x:c>
      <x:c r="F1930" s="339" t="str">
        <x:v>Authorized access to Lab Register</x:v>
      </x:c>
      <x:c r="G1930" s="339" t="str">
        <x:v>the Store Manager is authenticated and has access to Lab Register</x:v>
      </x:c>
      <x:c r="H1930" s="339" t="str">
        <x:v>the user opens or invokes Lab Register</x:v>
      </x:c>
      <x:c r="I1930" s="339" t="str">
        <x:v>the system loads only records and actions within the user's permitted tenant/school/data scope</x:v>
      </x:c>
      <x:c r="J1930" s="339" t="str">
        <x:v>Positive</x:v>
      </x:c>
      <x:c r="K1930" s="339" t="str">
        <x:v>Functional / Security</x:v>
      </x:c>
    </x:row>
    <x:row r="1931">
      <x:c r="A1931" s="339" t="str">
        <x:v>AC-01930</x:v>
      </x:c>
      <x:c r="B1931" s="339" t="str">
        <x:v>US-0483</x:v>
      </x:c>
      <x:c r="C1931" s="339" t="str">
        <x:v>SCR-242</x:v>
      </x:c>
      <x:c r="D1931" s="339" t="str">
        <x:v>Inventory / Assets / Labs</x:v>
      </x:c>
      <x:c r="E1931" s="339" t="str">
        <x:v>Lab Register</x:v>
      </x:c>
      <x:c r="F1931" s="339" t="str">
        <x:v>Successful Lab Register happy path</x:v>
      </x:c>
      <x:c r="G1931" s="339" t="str">
        <x:v>all mandatory prerequisites and valid data are available</x:v>
      </x:c>
      <x:c r="H1931" s="339" t="str">
        <x:v>the Store Manager completes the primary action on Lab Register</x:v>
      </x:c>
      <x:c r="I1931" s="339" t="str">
        <x:v>the system validates the request, saves it atomically, shows a clear confirmation and reflects the updated state</x:v>
      </x:c>
      <x:c r="J1931" s="339" t="str">
        <x:v>Positive</x:v>
      </x:c>
      <x:c r="K1931" s="339" t="str">
        <x:v>Functional</x:v>
      </x:c>
    </x:row>
    <x:row r="1932">
      <x:c r="A1932" s="339" t="str">
        <x:v>AC-01931</x:v>
      </x:c>
      <x:c r="B1932" s="339" t="str">
        <x:v>US-0483</x:v>
      </x:c>
      <x:c r="C1932" s="339" t="str">
        <x:v>SCR-242</x:v>
      </x:c>
      <x:c r="D1932" s="339" t="str">
        <x:v>Inventory / Assets / Labs</x:v>
      </x:c>
      <x:c r="E1932" s="339" t="str">
        <x:v>Lab Register</x:v>
      </x:c>
      <x:c r="F1932" s="339" t="str">
        <x:v>State and dependency integrity</x:v>
      </x:c>
      <x:c r="G1932" s="339" t="str">
        <x:v>the current record is in an allowed state (Available → Assigned / Issued / Reserved → Returned / Maintenance → Retired / Written Off)</x:v>
      </x:c>
      <x:c r="H1932" s="339" t="str">
        <x:v>the user attempts a state-changing action</x:v>
      </x:c>
      <x:c r="I1932" s="339" t="str">
        <x:v>only a valid transition is accepted and dependent records are updated according to configured business rules</x:v>
      </x:c>
      <x:c r="J1932" s="339" t="str">
        <x:v>Positive</x:v>
      </x:c>
      <x:c r="K1932" s="339" t="str">
        <x:v>Functional</x:v>
      </x:c>
    </x:row>
    <x:row r="1933">
      <x:c r="A1933" s="339" t="str">
        <x:v>AC-01932</x:v>
      </x:c>
      <x:c r="B1933" s="339" t="str">
        <x:v>US-0483</x:v>
      </x:c>
      <x:c r="C1933" s="339" t="str">
        <x:v>SCR-242</x:v>
      </x:c>
      <x:c r="D1933" s="339" t="str">
        <x:v>Inventory / Assets / Labs</x:v>
      </x:c>
      <x:c r="E1933" s="339" t="str">
        <x:v>Lab Register</x:v>
      </x:c>
      <x:c r="F1933" s="339" t="str">
        <x:v>Auditability</x:v>
      </x:c>
      <x:c r="G1933" s="339" t="str">
        <x:v>a material create/update/approve/reverse action occurs</x:v>
      </x:c>
      <x:c r="H1933" s="339" t="str">
        <x:v>the transaction succeeds</x:v>
      </x:c>
      <x:c r="I1933" s="339" t="str">
        <x:v>the system records actor, timestamp, action, target and relevant before/after or reason context in the audit trail</x:v>
      </x:c>
      <x:c r="J1933" s="339" t="str">
        <x:v>Positive</x:v>
      </x:c>
      <x:c r="K1933" s="339" t="str">
        <x:v>Functional</x:v>
      </x:c>
    </x:row>
    <x:row r="1934">
      <x:c r="A1934" s="339" t="str">
        <x:v>AC-01933</x:v>
      </x:c>
      <x:c r="B1934" s="339" t="str">
        <x:v>US-0484</x:v>
      </x:c>
      <x:c r="C1934" s="339" t="str">
        <x:v>SCR-242</x:v>
      </x:c>
      <x:c r="D1934" s="339" t="str">
        <x:v>Inventory / Assets / Labs</x:v>
      </x:c>
      <x:c r="E1934" s="339" t="str">
        <x:v>Lab Register</x:v>
      </x:c>
      <x:c r="F1934" s="339" t="str">
        <x:v>Complete authorized view</x:v>
      </x:c>
      <x:c r="G1934" s="339" t="str">
        <x:v>the record exists and the user is authorized</x:v>
      </x:c>
      <x:c r="H1934" s="339" t="str">
        <x:v>the detail/profile opens</x:v>
      </x:c>
      <x:c r="I1934" s="339" t="str">
        <x:v>the system loads the required summary, relationships and history while masking restricted fields</x:v>
      </x:c>
      <x:c r="J1934" s="339" t="str">
        <x:v>Positive</x:v>
      </x:c>
      <x:c r="K1934" s="339" t="str">
        <x:v>Functional / Security</x:v>
      </x:c>
    </x:row>
    <x:row r="1935">
      <x:c r="A1935" s="339" t="str">
        <x:v>AC-01934</x:v>
      </x:c>
      <x:c r="B1935" s="339" t="str">
        <x:v>US-0484</x:v>
      </x:c>
      <x:c r="C1935" s="339" t="str">
        <x:v>SCR-242</x:v>
      </x:c>
      <x:c r="D1935" s="339" t="str">
        <x:v>Inventory / Assets / Labs</x:v>
      </x:c>
      <x:c r="E1935" s="339" t="str">
        <x:v>Lab Register</x:v>
      </x:c>
      <x:c r="F1935" s="339" t="str">
        <x:v>Controlled edit</x:v>
      </x:c>
      <x:c r="G1935" s="339" t="str">
        <x:v>the user has edit permission and the record is editable</x:v>
      </x:c>
      <x:c r="H1935" s="339" t="str">
        <x:v>the user saves a change</x:v>
      </x:c>
      <x:c r="I1935" s="339" t="str">
        <x:v>validation and state rules run before the update is committed</x:v>
      </x:c>
      <x:c r="J1935" s="339" t="str">
        <x:v>Positive</x:v>
      </x:c>
      <x:c r="K1935" s="339" t="str">
        <x:v>Functional</x:v>
      </x:c>
    </x:row>
    <x:row r="1936">
      <x:c r="A1936" s="339" t="str">
        <x:v>AC-01935</x:v>
      </x:c>
      <x:c r="B1936" s="339" t="str">
        <x:v>US-0484</x:v>
      </x:c>
      <x:c r="C1936" s="339" t="str">
        <x:v>SCR-242</x:v>
      </x:c>
      <x:c r="D1936" s="339" t="str">
        <x:v>Inventory / Assets / Labs</x:v>
      </x:c>
      <x:c r="E1936" s="339" t="str">
        <x:v>Lab Register</x:v>
      </x:c>
      <x:c r="F1936" s="339" t="str">
        <x:v>Concurrent edit protection</x:v>
      </x:c>
      <x:c r="G1936" s="339" t="str">
        <x:v>another user has changed the record after it was loaded</x:v>
      </x:c>
      <x:c r="H1936" s="339" t="str">
        <x:v>the first user attempts to save stale data</x:v>
      </x:c>
      <x:c r="I1936" s="339" t="str">
        <x:v>the system detects the version conflict or preserves fields safely instead of silently overwriting</x:v>
      </x:c>
      <x:c r="J1936" s="339" t="str">
        <x:v>Positive</x:v>
      </x:c>
      <x:c r="K1936" s="339" t="str">
        <x:v>Functional</x:v>
      </x:c>
    </x:row>
    <x:row r="1937">
      <x:c r="A1937" s="339" t="str">
        <x:v>AC-01936</x:v>
      </x:c>
      <x:c r="B1937" s="339" t="str">
        <x:v>US-0484</x:v>
      </x:c>
      <x:c r="C1937" s="339" t="str">
        <x:v>SCR-242</x:v>
      </x:c>
      <x:c r="D1937" s="339" t="str">
        <x:v>Inventory / Assets / Labs</x:v>
      </x:c>
      <x:c r="E1937" s="339" t="str">
        <x:v>Lab Register</x:v>
      </x:c>
      <x:c r="F1937" s="339" t="str">
        <x:v>History retention</x:v>
      </x:c>
      <x:c r="G1937" s="339" t="str">
        <x:v>the record has prior changes/statuses</x:v>
      </x:c>
      <x:c r="H1937" s="339" t="str">
        <x:v>the user views history</x:v>
      </x:c>
      <x:c r="I1937" s="339" t="str">
        <x:v>the audit/activity timeline shows traceable material changes without exposing restricted notes</x:v>
      </x:c>
      <x:c r="J1937" s="339" t="str">
        <x:v>Positive</x:v>
      </x:c>
      <x:c r="K1937" s="339" t="str">
        <x:v>Functional</x:v>
      </x:c>
    </x:row>
    <x:row r="1938">
      <x:c r="A1938" s="339" t="str">
        <x:v>AC-01937</x:v>
      </x:c>
      <x:c r="B1938" s="339" t="str">
        <x:v>US-0485</x:v>
      </x:c>
      <x:c r="C1938" s="339" t="str">
        <x:v>SCR-243</x:v>
      </x:c>
      <x:c r="D1938" s="339" t="str">
        <x:v>Inventory / Assets / Labs</x:v>
      </x:c>
      <x:c r="E1938" s="339" t="str">
        <x:v>Lab Equipment &amp; Consumables</x:v>
      </x:c>
      <x:c r="F1938" s="339" t="str">
        <x:v>Authorized access to Lab Equipment &amp; Consumables</x:v>
      </x:c>
      <x:c r="G1938" s="339" t="str">
        <x:v>the Store Manager is authenticated and has access to Lab Equipment &amp; Consumables</x:v>
      </x:c>
      <x:c r="H1938" s="339" t="str">
        <x:v>the user opens or invokes Lab Equipment &amp; Consumables</x:v>
      </x:c>
      <x:c r="I1938" s="339" t="str">
        <x:v>the system loads only records and actions within the user's permitted tenant/school/data scope</x:v>
      </x:c>
      <x:c r="J1938" s="339" t="str">
        <x:v>Positive</x:v>
      </x:c>
      <x:c r="K1938" s="339" t="str">
        <x:v>Functional / Security</x:v>
      </x:c>
    </x:row>
    <x:row r="1939">
      <x:c r="A1939" s="339" t="str">
        <x:v>AC-01938</x:v>
      </x:c>
      <x:c r="B1939" s="339" t="str">
        <x:v>US-0485</x:v>
      </x:c>
      <x:c r="C1939" s="339" t="str">
        <x:v>SCR-243</x:v>
      </x:c>
      <x:c r="D1939" s="339" t="str">
        <x:v>Inventory / Assets / Labs</x:v>
      </x:c>
      <x:c r="E1939" s="339" t="str">
        <x:v>Lab Equipment &amp; Consumables</x:v>
      </x:c>
      <x:c r="F1939" s="339" t="str">
        <x:v>Successful Lab Equipment &amp; Consumables happy path</x:v>
      </x:c>
      <x:c r="G1939" s="339" t="str">
        <x:v>all mandatory prerequisites and valid data are available</x:v>
      </x:c>
      <x:c r="H1939" s="339" t="str">
        <x:v>the Store Manager completes the primary action on Lab Equipment &amp; Consumables</x:v>
      </x:c>
      <x:c r="I1939" s="339" t="str">
        <x:v>the system validates the request, saves it atomically, shows a clear confirmation and reflects the updated state</x:v>
      </x:c>
      <x:c r="J1939" s="339" t="str">
        <x:v>Positive</x:v>
      </x:c>
      <x:c r="K1939" s="339" t="str">
        <x:v>Functional</x:v>
      </x:c>
    </x:row>
    <x:row r="1940">
      <x:c r="A1940" s="339" t="str">
        <x:v>AC-01939</x:v>
      </x:c>
      <x:c r="B1940" s="339" t="str">
        <x:v>US-0485</x:v>
      </x:c>
      <x:c r="C1940" s="339" t="str">
        <x:v>SCR-243</x:v>
      </x:c>
      <x:c r="D1940" s="339" t="str">
        <x:v>Inventory / Assets / Labs</x:v>
      </x:c>
      <x:c r="E1940" s="339" t="str">
        <x:v>Lab Equipment &amp; Consumables</x:v>
      </x:c>
      <x:c r="F1940" s="339" t="str">
        <x:v>State and dependency integrity</x:v>
      </x:c>
      <x:c r="G1940" s="339" t="str">
        <x:v>the current record is in an allowed state (Available → Assigned / Issued / Reserved → Returned / Maintenance → Retired / Written Off)</x:v>
      </x:c>
      <x:c r="H1940" s="339" t="str">
        <x:v>the user attempts a state-changing action</x:v>
      </x:c>
      <x:c r="I1940" s="339" t="str">
        <x:v>only a valid transition is accepted and dependent records are updated according to configured business rules</x:v>
      </x:c>
      <x:c r="J1940" s="339" t="str">
        <x:v>Positive</x:v>
      </x:c>
      <x:c r="K1940" s="339" t="str">
        <x:v>Functional</x:v>
      </x:c>
    </x:row>
    <x:row r="1941">
      <x:c r="A1941" s="339" t="str">
        <x:v>AC-01940</x:v>
      </x:c>
      <x:c r="B1941" s="339" t="str">
        <x:v>US-0485</x:v>
      </x:c>
      <x:c r="C1941" s="339" t="str">
        <x:v>SCR-243</x:v>
      </x:c>
      <x:c r="D1941" s="339" t="str">
        <x:v>Inventory / Assets / Labs</x:v>
      </x:c>
      <x:c r="E1941" s="339" t="str">
        <x:v>Lab Equipment &amp; Consumables</x:v>
      </x:c>
      <x:c r="F1941" s="339" t="str">
        <x:v>Auditability</x:v>
      </x:c>
      <x:c r="G1941" s="339" t="str">
        <x:v>a material create/update/approve/reverse action occurs</x:v>
      </x:c>
      <x:c r="H1941" s="339" t="str">
        <x:v>the transaction succeeds</x:v>
      </x:c>
      <x:c r="I1941" s="339" t="str">
        <x:v>the system records actor, timestamp, action, target and relevant before/after or reason context in the audit trail</x:v>
      </x:c>
      <x:c r="J1941" s="339" t="str">
        <x:v>Positive</x:v>
      </x:c>
      <x:c r="K1941" s="339" t="str">
        <x:v>Functional</x:v>
      </x:c>
    </x:row>
    <x:row r="1942">
      <x:c r="A1942" s="339" t="str">
        <x:v>AC-01941</x:v>
      </x:c>
      <x:c r="B1942" s="339" t="str">
        <x:v>US-0486</x:v>
      </x:c>
      <x:c r="C1942" s="339" t="str">
        <x:v>SCR-243</x:v>
      </x:c>
      <x:c r="D1942" s="339" t="str">
        <x:v>Inventory / Assets / Labs</x:v>
      </x:c>
      <x:c r="E1942" s="339" t="str">
        <x:v>Lab Equipment &amp; Consumables</x:v>
      </x:c>
      <x:c r="F1942" s="339" t="str">
        <x:v>Valid status transition</x:v>
      </x:c>
      <x:c r="G1942" s="339" t="str">
        <x:v>the record is in a state described by Available → Assigned / Issued / Reserved → Returned / Maintenance → Retired / Written Off</x:v>
      </x:c>
      <x:c r="H1942" s="339" t="str">
        <x:v>the user requests a transition</x:v>
      </x:c>
      <x:c r="I1942" s="339" t="str">
        <x:v>the system accepts only transitions allowed for that role and state</x:v>
      </x:c>
      <x:c r="J1942" s="339" t="str">
        <x:v>Positive</x:v>
      </x:c>
      <x:c r="K1942" s="339" t="str">
        <x:v>Functional</x:v>
      </x:c>
    </x:row>
    <x:row r="1943">
      <x:c r="A1943" s="339" t="str">
        <x:v>AC-01942</x:v>
      </x:c>
      <x:c r="B1943" s="339" t="str">
        <x:v>US-0486</x:v>
      </x:c>
      <x:c r="C1943" s="339" t="str">
        <x:v>SCR-243</x:v>
      </x:c>
      <x:c r="D1943" s="339" t="str">
        <x:v>Inventory / Assets / Labs</x:v>
      </x:c>
      <x:c r="E1943" s="339" t="str">
        <x:v>Lab Equipment &amp; Consumables</x:v>
      </x:c>
      <x:c r="F1943" s="339" t="str">
        <x:v>Approval authority</x:v>
      </x:c>
      <x:c r="G1943" s="339" t="str">
        <x:v>an action requires approval</x:v>
      </x:c>
      <x:c r="H1943" s="339" t="str">
        <x:v>a non-authorized user attempts approval/rejection</x:v>
      </x:c>
      <x:c r="I1943" s="339" t="str">
        <x:v>the system denies the decision and does not change status</x:v>
      </x:c>
      <x:c r="J1943" s="339" t="str">
        <x:v>Negative</x:v>
      </x:c>
      <x:c r="K1943" s="339" t="str">
        <x:v>Functional</x:v>
      </x:c>
    </x:row>
    <x:row r="1944">
      <x:c r="A1944" s="339" t="str">
        <x:v>AC-01943</x:v>
      </x:c>
      <x:c r="B1944" s="339" t="str">
        <x:v>US-0486</x:v>
      </x:c>
      <x:c r="C1944" s="339" t="str">
        <x:v>SCR-243</x:v>
      </x:c>
      <x:c r="D1944" s="339" t="str">
        <x:v>Inventory / Assets / Labs</x:v>
      </x:c>
      <x:c r="E1944" s="339" t="str">
        <x:v>Lab Equipment &amp; Consumables</x:v>
      </x:c>
      <x:c r="F1944" s="339" t="str">
        <x:v>Failure rollback</x:v>
      </x:c>
      <x:c r="G1944" s="339" t="str">
        <x:v>a downstream dependency fails during a multi-step transaction</x:v>
      </x:c>
      <x:c r="H1944" s="339" t="str">
        <x:v>the workflow executes</x:v>
      </x:c>
      <x:c r="I1944" s="339" t="str">
        <x:v>the system does not leave an invalid partial final state and surfaces a recoverable error</x:v>
      </x:c>
      <x:c r="J1944" s="339" t="str">
        <x:v>Positive</x:v>
      </x:c>
      <x:c r="K1944" s="339" t="str">
        <x:v>Functional</x:v>
      </x:c>
    </x:row>
    <x:row r="1945">
      <x:c r="A1945" s="339" t="str">
        <x:v>AC-01944</x:v>
      </x:c>
      <x:c r="B1945" s="339" t="str">
        <x:v>US-0486</x:v>
      </x:c>
      <x:c r="C1945" s="339" t="str">
        <x:v>SCR-243</x:v>
      </x:c>
      <x:c r="D1945" s="339" t="str">
        <x:v>Inventory / Assets / Labs</x:v>
      </x:c>
      <x:c r="E1945" s="339" t="str">
        <x:v>Lab Equipment &amp; Consumables</x:v>
      </x:c>
      <x:c r="F1945" s="339" t="str">
        <x:v>Exception traceability</x:v>
      </x:c>
      <x:c r="G1945" s="339" t="str">
        <x:v>an authorized override/exception is used</x:v>
      </x:c>
      <x:c r="H1945" s="339" t="str">
        <x:v>the action is confirmed</x:v>
      </x:c>
      <x:c r="I1945" s="339" t="str">
        <x:v>the system requires reason/context and records it in the audit history</x:v>
      </x:c>
      <x:c r="J1945" s="339" t="str">
        <x:v>Positive</x:v>
      </x:c>
      <x:c r="K1945" s="339" t="str">
        <x:v>Functional</x:v>
      </x:c>
    </x:row>
    <x:row r="1946">
      <x:c r="A1946" s="339" t="str">
        <x:v>AC-01945</x:v>
      </x:c>
      <x:c r="B1946" s="339" t="str">
        <x:v>US-0487</x:v>
      </x:c>
      <x:c r="C1946" s="339" t="str">
        <x:v>SCR-244</x:v>
      </x:c>
      <x:c r="D1946" s="339" t="str">
        <x:v>Inventory / Assets / Labs</x:v>
      </x:c>
      <x:c r="E1946" s="339" t="str">
        <x:v>Practical / Lab Booking</x:v>
      </x:c>
      <x:c r="F1946" s="339" t="str">
        <x:v>Authorized access to Practical / Lab Booking</x:v>
      </x:c>
      <x:c r="G1946" s="339" t="str">
        <x:v>the Store Manager is authenticated and has access to Practical / Lab Booking</x:v>
      </x:c>
      <x:c r="H1946" s="339" t="str">
        <x:v>the user opens or invokes Practical / Lab Booking</x:v>
      </x:c>
      <x:c r="I1946" s="339" t="str">
        <x:v>the system loads only records and actions within the user's permitted tenant/school/data scope</x:v>
      </x:c>
      <x:c r="J1946" s="339" t="str">
        <x:v>Positive</x:v>
      </x:c>
      <x:c r="K1946" s="339" t="str">
        <x:v>Functional / Security</x:v>
      </x:c>
    </x:row>
    <x:row r="1947">
      <x:c r="A1947" s="339" t="str">
        <x:v>AC-01946</x:v>
      </x:c>
      <x:c r="B1947" s="339" t="str">
        <x:v>US-0487</x:v>
      </x:c>
      <x:c r="C1947" s="339" t="str">
        <x:v>SCR-244</x:v>
      </x:c>
      <x:c r="D1947" s="339" t="str">
        <x:v>Inventory / Assets / Labs</x:v>
      </x:c>
      <x:c r="E1947" s="339" t="str">
        <x:v>Practical / Lab Booking</x:v>
      </x:c>
      <x:c r="F1947" s="339" t="str">
        <x:v>Successful Practical / Lab Booking happy path</x:v>
      </x:c>
      <x:c r="G1947" s="339" t="str">
        <x:v>all mandatory prerequisites and valid data are available</x:v>
      </x:c>
      <x:c r="H1947" s="339" t="str">
        <x:v>the Store Manager completes the primary action on Practical / Lab Booking</x:v>
      </x:c>
      <x:c r="I1947" s="339" t="str">
        <x:v>the system validates the request, saves it atomically, shows a clear confirmation and reflects the updated state</x:v>
      </x:c>
      <x:c r="J1947" s="339" t="str">
        <x:v>Positive</x:v>
      </x:c>
      <x:c r="K1947" s="339" t="str">
        <x:v>Functional</x:v>
      </x:c>
    </x:row>
    <x:row r="1948">
      <x:c r="A1948" s="339" t="str">
        <x:v>AC-01947</x:v>
      </x:c>
      <x:c r="B1948" s="339" t="str">
        <x:v>US-0487</x:v>
      </x:c>
      <x:c r="C1948" s="339" t="str">
        <x:v>SCR-244</x:v>
      </x:c>
      <x:c r="D1948" s="339" t="str">
        <x:v>Inventory / Assets / Labs</x:v>
      </x:c>
      <x:c r="E1948" s="339" t="str">
        <x:v>Practical / Lab Booking</x:v>
      </x:c>
      <x:c r="F1948" s="339" t="str">
        <x:v>State and dependency integrity</x:v>
      </x:c>
      <x:c r="G1948" s="339" t="str">
        <x:v>the current record is in an allowed state (Available → Assigned / Issued / Reserved → Returned / Maintenance → Retired / Written Off)</x:v>
      </x:c>
      <x:c r="H1948" s="339" t="str">
        <x:v>the user attempts a state-changing action</x:v>
      </x:c>
      <x:c r="I1948" s="339" t="str">
        <x:v>only a valid transition is accepted and dependent records are updated according to configured business rules</x:v>
      </x:c>
      <x:c r="J1948" s="339" t="str">
        <x:v>Positive</x:v>
      </x:c>
      <x:c r="K1948" s="339" t="str">
        <x:v>Functional</x:v>
      </x:c>
    </x:row>
    <x:row r="1949">
      <x:c r="A1949" s="339" t="str">
        <x:v>AC-01948</x:v>
      </x:c>
      <x:c r="B1949" s="339" t="str">
        <x:v>US-0487</x:v>
      </x:c>
      <x:c r="C1949" s="339" t="str">
        <x:v>SCR-244</x:v>
      </x:c>
      <x:c r="D1949" s="339" t="str">
        <x:v>Inventory / Assets / Labs</x:v>
      </x:c>
      <x:c r="E1949" s="339" t="str">
        <x:v>Practical / Lab Booking</x:v>
      </x:c>
      <x:c r="F1949" s="339" t="str">
        <x:v>Auditability</x:v>
      </x:c>
      <x:c r="G1949" s="339" t="str">
        <x:v>a material create/update/approve/reverse action occurs</x:v>
      </x:c>
      <x:c r="H1949" s="339" t="str">
        <x:v>the transaction succeeds</x:v>
      </x:c>
      <x:c r="I1949" s="339" t="str">
        <x:v>the system records actor, timestamp, action, target and relevant before/after or reason context in the audit trail</x:v>
      </x:c>
      <x:c r="J1949" s="339" t="str">
        <x:v>Positive</x:v>
      </x:c>
      <x:c r="K1949" s="339" t="str">
        <x:v>Functional</x:v>
      </x:c>
    </x:row>
    <x:row r="1950">
      <x:c r="A1950" s="339" t="str">
        <x:v>AC-01949</x:v>
      </x:c>
      <x:c r="B1950" s="339" t="str">
        <x:v>US-0488</x:v>
      </x:c>
      <x:c r="C1950" s="339" t="str">
        <x:v>SCR-244</x:v>
      </x:c>
      <x:c r="D1950" s="339" t="str">
        <x:v>Inventory / Assets / Labs</x:v>
      </x:c>
      <x:c r="E1950" s="339" t="str">
        <x:v>Practical / Lab Booking</x:v>
      </x:c>
      <x:c r="F1950" s="339" t="str">
        <x:v>Valid status transition</x:v>
      </x:c>
      <x:c r="G1950" s="339" t="str">
        <x:v>the record is in a state described by Available → Assigned / Issued / Reserved → Returned / Maintenance → Retired / Written Off</x:v>
      </x:c>
      <x:c r="H1950" s="339" t="str">
        <x:v>the user requests a transition</x:v>
      </x:c>
      <x:c r="I1950" s="339" t="str">
        <x:v>the system accepts only transitions allowed for that role and state</x:v>
      </x:c>
      <x:c r="J1950" s="339" t="str">
        <x:v>Positive</x:v>
      </x:c>
      <x:c r="K1950" s="339" t="str">
        <x:v>Functional</x:v>
      </x:c>
    </x:row>
    <x:row r="1951">
      <x:c r="A1951" s="339" t="str">
        <x:v>AC-01950</x:v>
      </x:c>
      <x:c r="B1951" s="339" t="str">
        <x:v>US-0488</x:v>
      </x:c>
      <x:c r="C1951" s="339" t="str">
        <x:v>SCR-244</x:v>
      </x:c>
      <x:c r="D1951" s="339" t="str">
        <x:v>Inventory / Assets / Labs</x:v>
      </x:c>
      <x:c r="E1951" s="339" t="str">
        <x:v>Practical / Lab Booking</x:v>
      </x:c>
      <x:c r="F1951" s="339" t="str">
        <x:v>Approval authority</x:v>
      </x:c>
      <x:c r="G1951" s="339" t="str">
        <x:v>an action requires approval</x:v>
      </x:c>
      <x:c r="H1951" s="339" t="str">
        <x:v>a non-authorized user attempts approval/rejection</x:v>
      </x:c>
      <x:c r="I1951" s="339" t="str">
        <x:v>the system denies the decision and does not change status</x:v>
      </x:c>
      <x:c r="J1951" s="339" t="str">
        <x:v>Negative</x:v>
      </x:c>
      <x:c r="K1951" s="339" t="str">
        <x:v>Functional</x:v>
      </x:c>
    </x:row>
    <x:row r="1952">
      <x:c r="A1952" s="339" t="str">
        <x:v>AC-01951</x:v>
      </x:c>
      <x:c r="B1952" s="339" t="str">
        <x:v>US-0488</x:v>
      </x:c>
      <x:c r="C1952" s="339" t="str">
        <x:v>SCR-244</x:v>
      </x:c>
      <x:c r="D1952" s="339" t="str">
        <x:v>Inventory / Assets / Labs</x:v>
      </x:c>
      <x:c r="E1952" s="339" t="str">
        <x:v>Practical / Lab Booking</x:v>
      </x:c>
      <x:c r="F1952" s="339" t="str">
        <x:v>Failure rollback</x:v>
      </x:c>
      <x:c r="G1952" s="339" t="str">
        <x:v>a downstream dependency fails during a multi-step transaction</x:v>
      </x:c>
      <x:c r="H1952" s="339" t="str">
        <x:v>the workflow executes</x:v>
      </x:c>
      <x:c r="I1952" s="339" t="str">
        <x:v>the system does not leave an invalid partial final state and surfaces a recoverable error</x:v>
      </x:c>
      <x:c r="J1952" s="339" t="str">
        <x:v>Positive</x:v>
      </x:c>
      <x:c r="K1952" s="339" t="str">
        <x:v>Functional</x:v>
      </x:c>
    </x:row>
    <x:row r="1953">
      <x:c r="A1953" s="339" t="str">
        <x:v>AC-01952</x:v>
      </x:c>
      <x:c r="B1953" s="339" t="str">
        <x:v>US-0488</x:v>
      </x:c>
      <x:c r="C1953" s="339" t="str">
        <x:v>SCR-244</x:v>
      </x:c>
      <x:c r="D1953" s="339" t="str">
        <x:v>Inventory / Assets / Labs</x:v>
      </x:c>
      <x:c r="E1953" s="339" t="str">
        <x:v>Practical / Lab Booking</x:v>
      </x:c>
      <x:c r="F1953" s="339" t="str">
        <x:v>Exception traceability</x:v>
      </x:c>
      <x:c r="G1953" s="339" t="str">
        <x:v>an authorized override/exception is used</x:v>
      </x:c>
      <x:c r="H1953" s="339" t="str">
        <x:v>the action is confirmed</x:v>
      </x:c>
      <x:c r="I1953" s="339" t="str">
        <x:v>the system requires reason/context and records it in the audit history</x:v>
      </x:c>
      <x:c r="J1953" s="339" t="str">
        <x:v>Positive</x:v>
      </x:c>
      <x:c r="K1953" s="339" t="str">
        <x:v>Functional</x:v>
      </x:c>
    </x:row>
    <x:row r="1954">
      <x:c r="A1954" s="339" t="str">
        <x:v>AC-01953</x:v>
      </x:c>
      <x:c r="B1954" s="339" t="str">
        <x:v>US-0489</x:v>
      </x:c>
      <x:c r="C1954" s="339" t="str">
        <x:v>SCR-245</x:v>
      </x:c>
      <x:c r="D1954" s="339" t="str">
        <x:v>Inventory / Assets / Labs</x:v>
      </x:c>
      <x:c r="E1954" s="339" t="str">
        <x:v>Stock &amp; Asset Reports</x:v>
      </x:c>
      <x:c r="F1954" s="339" t="str">
        <x:v>Authorized access to Stock &amp; Asset Reports</x:v>
      </x:c>
      <x:c r="G1954" s="339" t="str">
        <x:v>the Store Manager is authenticated and has access to Stock &amp; Asset Reports</x:v>
      </x:c>
      <x:c r="H1954" s="339" t="str">
        <x:v>the user opens or invokes Stock &amp; Asset Reports</x:v>
      </x:c>
      <x:c r="I1954" s="339" t="str">
        <x:v>the system loads only records and actions within the user's permitted tenant/school/data scope</x:v>
      </x:c>
      <x:c r="J1954" s="339" t="str">
        <x:v>Positive</x:v>
      </x:c>
      <x:c r="K1954" s="339" t="str">
        <x:v>Functional / Security</x:v>
      </x:c>
    </x:row>
    <x:row r="1955">
      <x:c r="A1955" s="339" t="str">
        <x:v>AC-01954</x:v>
      </x:c>
      <x:c r="B1955" s="339" t="str">
        <x:v>US-0489</x:v>
      </x:c>
      <x:c r="C1955" s="339" t="str">
        <x:v>SCR-245</x:v>
      </x:c>
      <x:c r="D1955" s="339" t="str">
        <x:v>Inventory / Assets / Labs</x:v>
      </x:c>
      <x:c r="E1955" s="339" t="str">
        <x:v>Stock &amp; Asset Reports</x:v>
      </x:c>
      <x:c r="F1955" s="339" t="str">
        <x:v>Successful Stock &amp; Asset Reports happy path</x:v>
      </x:c>
      <x:c r="G1955" s="339" t="str">
        <x:v>all mandatory prerequisites and valid data are available</x:v>
      </x:c>
      <x:c r="H1955" s="339" t="str">
        <x:v>the Store Manager completes the primary action on Stock &amp; Asset Reports</x:v>
      </x:c>
      <x:c r="I1955" s="339" t="str">
        <x:v>the system validates the request, saves it atomically, shows a clear confirmation and reflects the updated state</x:v>
      </x:c>
      <x:c r="J1955" s="339" t="str">
        <x:v>Positive</x:v>
      </x:c>
      <x:c r="K1955" s="339" t="str">
        <x:v>Functional</x:v>
      </x:c>
    </x:row>
    <x:row r="1956">
      <x:c r="A1956" s="339" t="str">
        <x:v>AC-01955</x:v>
      </x:c>
      <x:c r="B1956" s="339" t="str">
        <x:v>US-0489</x:v>
      </x:c>
      <x:c r="C1956" s="339" t="str">
        <x:v>SCR-245</x:v>
      </x:c>
      <x:c r="D1956" s="339" t="str">
        <x:v>Inventory / Assets / Labs</x:v>
      </x:c>
      <x:c r="E1956" s="339" t="str">
        <x:v>Stock &amp; Asset Reports</x:v>
      </x:c>
      <x:c r="F1956" s="339" t="str">
        <x:v>State and dependency integrity</x:v>
      </x:c>
      <x:c r="G1956" s="339" t="str">
        <x:v>the current record is in an allowed state (Available → Assigned / Issued / Reserved → Returned / Maintenance → Retired / Written Off)</x:v>
      </x:c>
      <x:c r="H1956" s="339" t="str">
        <x:v>the user attempts a state-changing action</x:v>
      </x:c>
      <x:c r="I1956" s="339" t="str">
        <x:v>only a valid transition is accepted and dependent records are updated according to configured business rules</x:v>
      </x:c>
      <x:c r="J1956" s="339" t="str">
        <x:v>Positive</x:v>
      </x:c>
      <x:c r="K1956" s="339" t="str">
        <x:v>Functional</x:v>
      </x:c>
    </x:row>
    <x:row r="1957">
      <x:c r="A1957" s="339" t="str">
        <x:v>AC-01956</x:v>
      </x:c>
      <x:c r="B1957" s="339" t="str">
        <x:v>US-0489</x:v>
      </x:c>
      <x:c r="C1957" s="339" t="str">
        <x:v>SCR-245</x:v>
      </x:c>
      <x:c r="D1957" s="339" t="str">
        <x:v>Inventory / Assets / Labs</x:v>
      </x:c>
      <x:c r="E1957" s="339" t="str">
        <x:v>Stock &amp; Asset Reports</x:v>
      </x:c>
      <x:c r="F1957" s="339" t="str">
        <x:v>Auditability</x:v>
      </x:c>
      <x:c r="G1957" s="339" t="str">
        <x:v>a material create/update/approve/reverse action occurs</x:v>
      </x:c>
      <x:c r="H1957" s="339" t="str">
        <x:v>the transaction succeeds</x:v>
      </x:c>
      <x:c r="I1957" s="339" t="str">
        <x:v>the system records actor, timestamp, action, target and relevant before/after or reason context in the audit trail</x:v>
      </x:c>
      <x:c r="J1957" s="339" t="str">
        <x:v>Positive</x:v>
      </x:c>
      <x:c r="K1957" s="339" t="str">
        <x:v>Functional</x:v>
      </x:c>
    </x:row>
    <x:row r="1958">
      <x:c r="A1958" s="339" t="str">
        <x:v>AC-01957</x:v>
      </x:c>
      <x:c r="B1958" s="339" t="str">
        <x:v>US-0490</x:v>
      </x:c>
      <x:c r="C1958" s="339" t="str">
        <x:v>SCR-245</x:v>
      </x:c>
      <x:c r="D1958" s="339" t="str">
        <x:v>Inventory / Assets / Labs</x:v>
      </x:c>
      <x:c r="E1958" s="339" t="str">
        <x:v>Stock &amp; Asset Reports</x:v>
      </x:c>
      <x:c r="F1958" s="339" t="str">
        <x:v>Filter accuracy</x:v>
      </x:c>
      <x:c r="G1958" s="339" t="str">
        <x:v>source data exists across multiple periods/scopes</x:v>
      </x:c>
      <x:c r="H1958" s="339" t="str">
        <x:v>the user applies report filters</x:v>
      </x:c>
      <x:c r="I1958" s="339" t="str">
        <x:v>aggregates and rows include only authorized data matching the filters</x:v>
      </x:c>
      <x:c r="J1958" s="339" t="str">
        <x:v>Positive</x:v>
      </x:c>
      <x:c r="K1958" s="339" t="str">
        <x:v>Functional</x:v>
      </x:c>
    </x:row>
    <x:row r="1959">
      <x:c r="A1959" s="339" t="str">
        <x:v>AC-01958</x:v>
      </x:c>
      <x:c r="B1959" s="339" t="str">
        <x:v>US-0490</x:v>
      </x:c>
      <x:c r="C1959" s="339" t="str">
        <x:v>SCR-245</x:v>
      </x:c>
      <x:c r="D1959" s="339" t="str">
        <x:v>Inventory / Assets / Labs</x:v>
      </x:c>
      <x:c r="E1959" s="339" t="str">
        <x:v>Stock &amp; Asset Reports</x:v>
      </x:c>
      <x:c r="F1959" s="339" t="str">
        <x:v>Formula consistency</x:v>
      </x:c>
      <x:c r="G1959" s="339" t="str">
        <x:v>the report contains calculated metrics</x:v>
      </x:c>
      <x:c r="H1959" s="339" t="str">
        <x:v>the report is generated</x:v>
      </x:c>
      <x:c r="I1959" s="339" t="str">
        <x:v>calculations follow the approved rule: Available stock = opening + receipts + returns + positive adjustments - issues - consumption - write-offs - negative adjustments.</x:v>
      </x:c>
      <x:c r="J1959" s="339" t="str">
        <x:v>Positive</x:v>
      </x:c>
      <x:c r="K1959" s="339" t="str">
        <x:v>Functional</x:v>
      </x:c>
    </x:row>
    <x:row r="1960">
      <x:c r="A1960" s="339" t="str">
        <x:v>AC-01959</x:v>
      </x:c>
      <x:c r="B1960" s="339" t="str">
        <x:v>US-0490</x:v>
      </x:c>
      <x:c r="C1960" s="339" t="str">
        <x:v>SCR-245</x:v>
      </x:c>
      <x:c r="D1960" s="339" t="str">
        <x:v>Inventory / Assets / Labs</x:v>
      </x:c>
      <x:c r="E1960" s="339" t="str">
        <x:v>Stock &amp; Asset Reports</x:v>
      </x:c>
      <x:c r="F1960" s="339" t="str">
        <x:v>Reconciliation</x:v>
      </x:c>
      <x:c r="G1960" s="339" t="str">
        <x:v>a report total is displayed</x:v>
      </x:c>
      <x:c r="H1960" s="339" t="str">
        <x:v>the user drills to supporting data</x:v>
      </x:c>
      <x:c r="I1960" s="339" t="str">
        <x:v>the supporting rows reconcile to the displayed total within defined rounding rules</x:v>
      </x:c>
      <x:c r="J1960" s="339" t="str">
        <x:v>Positive</x:v>
      </x:c>
      <x:c r="K1960" s="339" t="str">
        <x:v>Functional</x:v>
      </x:c>
    </x:row>
    <x:row r="1961">
      <x:c r="A1961" s="339" t="str">
        <x:v>AC-01960</x:v>
      </x:c>
      <x:c r="B1961" s="339" t="str">
        <x:v>US-0490</x:v>
      </x:c>
      <x:c r="C1961" s="339" t="str">
        <x:v>SCR-245</x:v>
      </x:c>
      <x:c r="D1961" s="339" t="str">
        <x:v>Inventory / Assets / Labs</x:v>
      </x:c>
      <x:c r="E1961" s="339" t="str">
        <x:v>Stock &amp; Asset Reports</x:v>
      </x:c>
      <x:c r="F1961" s="339" t="str">
        <x:v>Export fidelity</x:v>
      </x:c>
      <x:c r="G1961" s="339" t="str">
        <x:v>the user has export permission</x:v>
      </x:c>
      <x:c r="H1961" s="339" t="str">
        <x:v>the report is exported</x:v>
      </x:c>
      <x:c r="I1961" s="339" t="str">
        <x:v>the export preserves filter context, values and permitted columns and includes a run timestamp/context where appropriate</x:v>
      </x:c>
      <x:c r="J1961" s="339" t="str">
        <x:v>Positive</x:v>
      </x:c>
      <x:c r="K1961" s="339" t="str">
        <x:v>Functional</x:v>
      </x:c>
    </x:row>
    <x:row r="1962">
      <x:c r="A1962" s="339" t="str">
        <x:v>AC-01961</x:v>
      </x:c>
      <x:c r="B1962" s="339" t="str">
        <x:v>US-0491</x:v>
      </x:c>
      <x:c r="C1962" s="339" t="str">
        <x:v>SCR-246</x:v>
      </x:c>
      <x:c r="D1962" s="339" t="str">
        <x:v>Events / PTM / Communication</x:v>
      </x:c>
      <x:c r="E1962" s="339" t="str">
        <x:v>Events Calendar</x:v>
      </x:c>
      <x:c r="F1962" s="339" t="str">
        <x:v>Authorized access to Events Calendar</x:v>
      </x:c>
      <x:c r="G1962" s="339" t="str">
        <x:v>the School Admin is authenticated and has access to Events Calendar</x:v>
      </x:c>
      <x:c r="H1962" s="339" t="str">
        <x:v>the user opens or invokes Events Calendar</x:v>
      </x:c>
      <x:c r="I1962" s="339" t="str">
        <x:v>the system loads only records and actions within the user's permitted tenant/school/data scope</x:v>
      </x:c>
      <x:c r="J1962" s="339" t="str">
        <x:v>Positive</x:v>
      </x:c>
      <x:c r="K1962" s="339" t="str">
        <x:v>Functional / Security</x:v>
      </x:c>
    </x:row>
    <x:row r="1963">
      <x:c r="A1963" s="339" t="str">
        <x:v>AC-01962</x:v>
      </x:c>
      <x:c r="B1963" s="339" t="str">
        <x:v>US-0491</x:v>
      </x:c>
      <x:c r="C1963" s="339" t="str">
        <x:v>SCR-246</x:v>
      </x:c>
      <x:c r="D1963" s="339" t="str">
        <x:v>Events / PTM / Communication</x:v>
      </x:c>
      <x:c r="E1963" s="339" t="str">
        <x:v>Events Calendar</x:v>
      </x:c>
      <x:c r="F1963" s="339" t="str">
        <x:v>Successful Events Calendar happy path</x:v>
      </x:c>
      <x:c r="G1963" s="339" t="str">
        <x:v>all mandatory prerequisites and valid data are available</x:v>
      </x:c>
      <x:c r="H1963" s="339" t="str">
        <x:v>the School Admin completes the primary action on Events Calendar</x:v>
      </x:c>
      <x:c r="I1963" s="339" t="str">
        <x:v>the system validates the request, saves it atomically, shows a clear confirmation and reflects the updated state</x:v>
      </x:c>
      <x:c r="J1963" s="339" t="str">
        <x:v>Positive</x:v>
      </x:c>
      <x:c r="K1963" s="339" t="str">
        <x:v>Functional</x:v>
      </x:c>
    </x:row>
    <x:row r="1964">
      <x:c r="A1964" s="339" t="str">
        <x:v>AC-01963</x:v>
      </x:c>
      <x:c r="B1964" s="339" t="str">
        <x:v>US-0491</x:v>
      </x:c>
      <x:c r="C1964" s="339" t="str">
        <x:v>SCR-246</x:v>
      </x:c>
      <x:c r="D1964" s="339" t="str">
        <x:v>Events / PTM / Communication</x:v>
      </x:c>
      <x:c r="E1964" s="339" t="str">
        <x:v>Events Calendar</x:v>
      </x:c>
      <x:c r="F1964" s="339" t="str">
        <x:v>State and dependency integrity</x:v>
      </x:c>
      <x:c r="G1964" s="339" t="str">
        <x:v>the current record is in an allowed state (Draft → Scheduled / Published → In Progress / Sent → Completed / Delivered / Failed → Archived)</x:v>
      </x:c>
      <x:c r="H1964" s="339" t="str">
        <x:v>the user attempts a state-changing action</x:v>
      </x:c>
      <x:c r="I1964" s="339" t="str">
        <x:v>only a valid transition is accepted and dependent records are updated according to configured business rules</x:v>
      </x:c>
      <x:c r="J1964" s="339" t="str">
        <x:v>Positive</x:v>
      </x:c>
      <x:c r="K1964" s="339" t="str">
        <x:v>Functional</x:v>
      </x:c>
    </x:row>
    <x:row r="1965">
      <x:c r="A1965" s="339" t="str">
        <x:v>AC-01964</x:v>
      </x:c>
      <x:c r="B1965" s="339" t="str">
        <x:v>US-0491</x:v>
      </x:c>
      <x:c r="C1965" s="339" t="str">
        <x:v>SCR-246</x:v>
      </x:c>
      <x:c r="D1965" s="339" t="str">
        <x:v>Events / PTM / Communication</x:v>
      </x:c>
      <x:c r="E1965" s="339" t="str">
        <x:v>Events Calendar</x:v>
      </x:c>
      <x:c r="F1965" s="339" t="str">
        <x:v>Auditability</x:v>
      </x:c>
      <x:c r="G1965" s="339" t="str">
        <x:v>a material create/update/approve/reverse action occurs</x:v>
      </x:c>
      <x:c r="H1965" s="339" t="str">
        <x:v>the transaction succeeds</x:v>
      </x:c>
      <x:c r="I1965" s="339" t="str">
        <x:v>the system records actor, timestamp, action, target and relevant before/after or reason context in the audit trail</x:v>
      </x:c>
      <x:c r="J1965" s="339" t="str">
        <x:v>Positive</x:v>
      </x:c>
      <x:c r="K1965" s="339" t="str">
        <x:v>Functional</x:v>
      </x:c>
    </x:row>
    <x:row r="1966">
      <x:c r="A1966" s="339" t="str">
        <x:v>AC-01965</x:v>
      </x:c>
      <x:c r="B1966" s="339" t="str">
        <x:v>US-0492</x:v>
      </x:c>
      <x:c r="C1966" s="339" t="str">
        <x:v>SCR-246</x:v>
      </x:c>
      <x:c r="D1966" s="339" t="str">
        <x:v>Events / PTM / Communication</x:v>
      </x:c>
      <x:c r="E1966" s="339" t="str">
        <x:v>Events Calendar</x:v>
      </x:c>
      <x:c r="F1966" s="339" t="str">
        <x:v>Conflict detection</x:v>
      </x:c>
      <x:c r="G1966" s="339" t="str">
        <x:v>a teacher/class/room/resource is already committed in the requested slot</x:v>
      </x:c>
      <x:c r="H1966" s="339" t="str">
        <x:v>the user schedules an overlapping item</x:v>
      </x:c>
      <x:c r="I1966" s="339" t="str">
        <x:v>the system blocks or flags the conflict according to override policy</x:v>
      </x:c>
      <x:c r="J1966" s="339" t="str">
        <x:v>Negative</x:v>
      </x:c>
      <x:c r="K1966" s="339" t="str">
        <x:v>Functional</x:v>
      </x:c>
    </x:row>
    <x:row r="1967">
      <x:c r="A1967" s="339" t="str">
        <x:v>AC-01966</x:v>
      </x:c>
      <x:c r="B1967" s="339" t="str">
        <x:v>US-0492</x:v>
      </x:c>
      <x:c r="C1967" s="339" t="str">
        <x:v>SCR-246</x:v>
      </x:c>
      <x:c r="D1967" s="339" t="str">
        <x:v>Events / PTM / Communication</x:v>
      </x:c>
      <x:c r="E1967" s="339" t="str">
        <x:v>Events Calendar</x:v>
      </x:c>
      <x:c r="F1967" s="339" t="str">
        <x:v>Reschedule integrity</x:v>
      </x:c>
      <x:c r="G1967" s="339" t="str">
        <x:v>an existing schedule item is changed</x:v>
      </x:c>
      <x:c r="H1967" s="339" t="str">
        <x:v>the user confirms the new slot</x:v>
      </x:c>
      <x:c r="I1967" s="339" t="str">
        <x:v>the system updates the schedule atomically and retains change history</x:v>
      </x:c>
      <x:c r="J1967" s="339" t="str">
        <x:v>Positive</x:v>
      </x:c>
      <x:c r="K1967" s="339" t="str">
        <x:v>Functional</x:v>
      </x:c>
    </x:row>
    <x:row r="1968">
      <x:c r="A1968" s="339" t="str">
        <x:v>AC-01967</x:v>
      </x:c>
      <x:c r="B1968" s="339" t="str">
        <x:v>US-0492</x:v>
      </x:c>
      <x:c r="C1968" s="339" t="str">
        <x:v>SCR-246</x:v>
      </x:c>
      <x:c r="D1968" s="339" t="str">
        <x:v>Events / PTM / Communication</x:v>
      </x:c>
      <x:c r="E1968" s="339" t="str">
        <x:v>Events Calendar</x:v>
      </x:c>
      <x:c r="F1968" s="339" t="str">
        <x:v>Audience update</x:v>
      </x:c>
      <x:c r="G1968" s="339" t="str">
        <x:v>a published schedule changes</x:v>
      </x:c>
      <x:c r="H1968" s="339" t="str">
        <x:v>the change is saved</x:v>
      </x:c>
      <x:c r="I1968" s="339" t="str">
        <x:v>affected users receive updated visibility/notification according to communication rules</x:v>
      </x:c>
      <x:c r="J1968" s="339" t="str">
        <x:v>Positive</x:v>
      </x:c>
      <x:c r="K1968" s="339" t="str">
        <x:v>Functional</x:v>
      </x:c>
    </x:row>
    <x:row r="1969">
      <x:c r="A1969" s="339" t="str">
        <x:v>AC-01968</x:v>
      </x:c>
      <x:c r="B1969" s="339" t="str">
        <x:v>US-0492</x:v>
      </x:c>
      <x:c r="C1969" s="339" t="str">
        <x:v>SCR-246</x:v>
      </x:c>
      <x:c r="D1969" s="339" t="str">
        <x:v>Events / PTM / Communication</x:v>
      </x:c>
      <x:c r="E1969" s="339" t="str">
        <x:v>Events Calendar</x:v>
      </x:c>
      <x:c r="F1969" s="339" t="str">
        <x:v>Timezone/effective date</x:v>
      </x:c>
      <x:c r="G1969" s="339" t="str">
        <x:v>users operate in configured school timezone</x:v>
      </x:c>
      <x:c r="H1969" s="339" t="str">
        <x:v>times are displayed or saved</x:v>
      </x:c>
      <x:c r="I1969" s="339" t="str">
        <x:v>the system consistently stores and renders the intended local schedule without date-shift errors</x:v>
      </x:c>
      <x:c r="J1969" s="339" t="str">
        <x:v>Positive</x:v>
      </x:c>
      <x:c r="K1969" s="339" t="str">
        <x:v>Functional</x:v>
      </x:c>
    </x:row>
    <x:row r="1970">
      <x:c r="A1970" s="339" t="str">
        <x:v>AC-01969</x:v>
      </x:c>
      <x:c r="B1970" s="339" t="str">
        <x:v>US-0493</x:v>
      </x:c>
      <x:c r="C1970" s="339" t="str">
        <x:v>SCR-247</x:v>
      </x:c>
      <x:c r="D1970" s="339" t="str">
        <x:v>Events / PTM / Communication</x:v>
      </x:c>
      <x:c r="E1970" s="339" t="str">
        <x:v>Create / Edit Event</x:v>
      </x:c>
      <x:c r="F1970" s="339" t="str">
        <x:v>Authorized access to Create / Edit Event</x:v>
      </x:c>
      <x:c r="G1970" s="339" t="str">
        <x:v>the School Admin is authenticated and has access to Create / Edit Event</x:v>
      </x:c>
      <x:c r="H1970" s="339" t="str">
        <x:v>the user opens or invokes Create / Edit Event</x:v>
      </x:c>
      <x:c r="I1970" s="339" t="str">
        <x:v>the system loads only records and actions within the user's permitted tenant/school/data scope</x:v>
      </x:c>
      <x:c r="J1970" s="339" t="str">
        <x:v>Positive</x:v>
      </x:c>
      <x:c r="K1970" s="339" t="str">
        <x:v>Functional / Security</x:v>
      </x:c>
    </x:row>
    <x:row r="1971">
      <x:c r="A1971" s="339" t="str">
        <x:v>AC-01970</x:v>
      </x:c>
      <x:c r="B1971" s="339" t="str">
        <x:v>US-0493</x:v>
      </x:c>
      <x:c r="C1971" s="339" t="str">
        <x:v>SCR-247</x:v>
      </x:c>
      <x:c r="D1971" s="339" t="str">
        <x:v>Events / PTM / Communication</x:v>
      </x:c>
      <x:c r="E1971" s="339" t="str">
        <x:v>Create / Edit Event</x:v>
      </x:c>
      <x:c r="F1971" s="339" t="str">
        <x:v>Successful Create / Edit Event happy path</x:v>
      </x:c>
      <x:c r="G1971" s="339" t="str">
        <x:v>all mandatory prerequisites and valid data are available</x:v>
      </x:c>
      <x:c r="H1971" s="339" t="str">
        <x:v>the School Admin completes the primary action on Create / Edit Event</x:v>
      </x:c>
      <x:c r="I1971" s="339" t="str">
        <x:v>the system validates the request, saves it atomically, shows a clear confirmation and reflects the updated state</x:v>
      </x:c>
      <x:c r="J1971" s="339" t="str">
        <x:v>Positive</x:v>
      </x:c>
      <x:c r="K1971" s="339" t="str">
        <x:v>Functional</x:v>
      </x:c>
    </x:row>
    <x:row r="1972">
      <x:c r="A1972" s="339" t="str">
        <x:v>AC-01971</x:v>
      </x:c>
      <x:c r="B1972" s="339" t="str">
        <x:v>US-0493</x:v>
      </x:c>
      <x:c r="C1972" s="339" t="str">
        <x:v>SCR-247</x:v>
      </x:c>
      <x:c r="D1972" s="339" t="str">
        <x:v>Events / PTM / Communication</x:v>
      </x:c>
      <x:c r="E1972" s="339" t="str">
        <x:v>Create / Edit Event</x:v>
      </x:c>
      <x:c r="F1972" s="339" t="str">
        <x:v>State and dependency integrity</x:v>
      </x:c>
      <x:c r="G1972" s="339" t="str">
        <x:v>the current record is in an allowed state (Draft → Scheduled / Published → In Progress / Sent → Completed / Delivered / Failed → Archived)</x:v>
      </x:c>
      <x:c r="H1972" s="339" t="str">
        <x:v>the user attempts a state-changing action</x:v>
      </x:c>
      <x:c r="I1972" s="339" t="str">
        <x:v>only a valid transition is accepted and dependent records are updated according to configured business rules</x:v>
      </x:c>
      <x:c r="J1972" s="339" t="str">
        <x:v>Positive</x:v>
      </x:c>
      <x:c r="K1972" s="339" t="str">
        <x:v>Functional</x:v>
      </x:c>
    </x:row>
    <x:row r="1973">
      <x:c r="A1973" s="339" t="str">
        <x:v>AC-01972</x:v>
      </x:c>
      <x:c r="B1973" s="339" t="str">
        <x:v>US-0493</x:v>
      </x:c>
      <x:c r="C1973" s="339" t="str">
        <x:v>SCR-247</x:v>
      </x:c>
      <x:c r="D1973" s="339" t="str">
        <x:v>Events / PTM / Communication</x:v>
      </x:c>
      <x:c r="E1973" s="339" t="str">
        <x:v>Create / Edit Event</x:v>
      </x:c>
      <x:c r="F1973" s="339" t="str">
        <x:v>Auditability</x:v>
      </x:c>
      <x:c r="G1973" s="339" t="str">
        <x:v>a material create/update/approve/reverse action occurs</x:v>
      </x:c>
      <x:c r="H1973" s="339" t="str">
        <x:v>the transaction succeeds</x:v>
      </x:c>
      <x:c r="I1973" s="339" t="str">
        <x:v>the system records actor, timestamp, action, target and relevant before/after or reason context in the audit trail</x:v>
      </x:c>
      <x:c r="J1973" s="339" t="str">
        <x:v>Positive</x:v>
      </x:c>
      <x:c r="K1973" s="339" t="str">
        <x:v>Functional</x:v>
      </x:c>
    </x:row>
    <x:row r="1974">
      <x:c r="A1974" s="339" t="str">
        <x:v>AC-01973</x:v>
      </x:c>
      <x:c r="B1974" s="339" t="str">
        <x:v>US-0494</x:v>
      </x:c>
      <x:c r="C1974" s="339" t="str">
        <x:v>SCR-247</x:v>
      </x:c>
      <x:c r="D1974" s="339" t="str">
        <x:v>Events / PTM / Communication</x:v>
      </x:c>
      <x:c r="E1974" s="339" t="str">
        <x:v>Create / Edit Event</x:v>
      </x:c>
      <x:c r="F1974" s="339" t="str">
        <x:v>Required-field validation</x:v>
      </x:c>
      <x:c r="G1974" s="339" t="str">
        <x:v>one or more required values are missing/invalid</x:v>
      </x:c>
      <x:c r="H1974" s="339" t="str">
        <x:v>the user submits the form</x:v>
      </x:c>
      <x:c r="I1974" s="339" t="str">
        <x:v>submission is blocked and field-level messages identify what must be corrected</x:v>
      </x:c>
      <x:c r="J1974" s="339" t="str">
        <x:v>Positive</x:v>
      </x:c>
      <x:c r="K1974" s="339" t="str">
        <x:v>Functional</x:v>
      </x:c>
    </x:row>
    <x:row r="1975">
      <x:c r="A1975" s="339" t="str">
        <x:v>AC-01974</x:v>
      </x:c>
      <x:c r="B1975" s="339" t="str">
        <x:v>US-0494</x:v>
      </x:c>
      <x:c r="C1975" s="339" t="str">
        <x:v>SCR-247</x:v>
      </x:c>
      <x:c r="D1975" s="339" t="str">
        <x:v>Events / PTM / Communication</x:v>
      </x:c>
      <x:c r="E1975" s="339" t="str">
        <x:v>Create / Edit Event</x:v>
      </x:c>
      <x:c r="F1975" s="339" t="str">
        <x:v>Duplicate prevention</x:v>
      </x:c>
      <x:c r="G1975" s="339" t="str">
        <x:v>a potentially duplicate record exists</x:v>
      </x:c>
      <x:c r="H1975" s="339" t="str">
        <x:v>the user submits matching identity/master data</x:v>
      </x:c>
      <x:c r="I1975" s="339" t="str">
        <x:v>the system blocks or warns according to configured duplicate policy before creating another record</x:v>
      </x:c>
      <x:c r="J1975" s="339" t="str">
        <x:v>Negative</x:v>
      </x:c>
      <x:c r="K1975" s="339" t="str">
        <x:v>Functional</x:v>
      </x:c>
    </x:row>
    <x:row r="1976">
      <x:c r="A1976" s="339" t="str">
        <x:v>AC-01975</x:v>
      </x:c>
      <x:c r="B1976" s="339" t="str">
        <x:v>US-0494</x:v>
      </x:c>
      <x:c r="C1976" s="339" t="str">
        <x:v>SCR-247</x:v>
      </x:c>
      <x:c r="D1976" s="339" t="str">
        <x:v>Events / PTM / Communication</x:v>
      </x:c>
      <x:c r="E1976" s="339" t="str">
        <x:v>Create / Edit Event</x:v>
      </x:c>
      <x:c r="F1976" s="339" t="str">
        <x:v>Reference-data integrity</x:v>
      </x:c>
      <x:c r="G1976" s="339" t="str">
        <x:v>the form contains master-data selections</x:v>
      </x:c>
      <x:c r="H1976" s="339" t="str">
        <x:v>the user submits</x:v>
      </x:c>
      <x:c r="I1976" s="339" t="str">
        <x:v>all referenced values are active, effective and within the user's scope at the time of save</x:v>
      </x:c>
      <x:c r="J1976" s="339" t="str">
        <x:v>Positive</x:v>
      </x:c>
      <x:c r="K1976" s="339" t="str">
        <x:v>Functional</x:v>
      </x:c>
    </x:row>
    <x:row r="1977">
      <x:c r="A1977" s="339" t="str">
        <x:v>AC-01976</x:v>
      </x:c>
      <x:c r="B1977" s="339" t="str">
        <x:v>US-0494</x:v>
      </x:c>
      <x:c r="C1977" s="339" t="str">
        <x:v>SCR-247</x:v>
      </x:c>
      <x:c r="D1977" s="339" t="str">
        <x:v>Events / PTM / Communication</x:v>
      </x:c>
      <x:c r="E1977" s="339" t="str">
        <x:v>Create / Edit Event</x:v>
      </x:c>
      <x:c r="F1977" s="339" t="str">
        <x:v>Retry safety</x:v>
      </x:c>
      <x:c r="G1977" s="339" t="str">
        <x:v>a network retry or repeated click occurs</x:v>
      </x:c>
      <x:c r="H1977" s="339" t="str">
        <x:v>the same transaction is submitted again</x:v>
      </x:c>
      <x:c r="I1977" s="339" t="str">
        <x:v>the system prevents unintended duplicate transactions through idempotency or duplicate detection</x:v>
      </x:c>
      <x:c r="J1977" s="339" t="str">
        <x:v>Positive</x:v>
      </x:c>
      <x:c r="K1977" s="339" t="str">
        <x:v>Functional</x:v>
      </x:c>
    </x:row>
    <x:row r="1978">
      <x:c r="A1978" s="339" t="str">
        <x:v>AC-01977</x:v>
      </x:c>
      <x:c r="B1978" s="339" t="str">
        <x:v>US-0495</x:v>
      </x:c>
      <x:c r="C1978" s="339" t="str">
        <x:v>SCR-248</x:v>
      </x:c>
      <x:c r="D1978" s="339" t="str">
        <x:v>Events / PTM / Communication</x:v>
      </x:c>
      <x:c r="E1978" s="339" t="str">
        <x:v>Event Details &amp; Participants</x:v>
      </x:c>
      <x:c r="F1978" s="339" t="str">
        <x:v>Authorized access to Event Details &amp; Participants</x:v>
      </x:c>
      <x:c r="G1978" s="339" t="str">
        <x:v>the School Admin is authenticated and has access to Event Details &amp; Participants</x:v>
      </x:c>
      <x:c r="H1978" s="339" t="str">
        <x:v>the user opens or invokes Event Details &amp; Participants</x:v>
      </x:c>
      <x:c r="I1978" s="339" t="str">
        <x:v>the system loads only records and actions within the user's permitted tenant/school/data scope</x:v>
      </x:c>
      <x:c r="J1978" s="339" t="str">
        <x:v>Positive</x:v>
      </x:c>
      <x:c r="K1978" s="339" t="str">
        <x:v>Functional / Security</x:v>
      </x:c>
    </x:row>
    <x:row r="1979">
      <x:c r="A1979" s="339" t="str">
        <x:v>AC-01978</x:v>
      </x:c>
      <x:c r="B1979" s="339" t="str">
        <x:v>US-0495</x:v>
      </x:c>
      <x:c r="C1979" s="339" t="str">
        <x:v>SCR-248</x:v>
      </x:c>
      <x:c r="D1979" s="339" t="str">
        <x:v>Events / PTM / Communication</x:v>
      </x:c>
      <x:c r="E1979" s="339" t="str">
        <x:v>Event Details &amp; Participants</x:v>
      </x:c>
      <x:c r="F1979" s="339" t="str">
        <x:v>Successful Event Details &amp; Participants happy path</x:v>
      </x:c>
      <x:c r="G1979" s="339" t="str">
        <x:v>all mandatory prerequisites and valid data are available</x:v>
      </x:c>
      <x:c r="H1979" s="339" t="str">
        <x:v>the School Admin completes the primary action on Event Details &amp; Participants</x:v>
      </x:c>
      <x:c r="I1979" s="339" t="str">
        <x:v>the system validates the request, saves it atomically, shows a clear confirmation and reflects the updated state</x:v>
      </x:c>
      <x:c r="J1979" s="339" t="str">
        <x:v>Positive</x:v>
      </x:c>
      <x:c r="K1979" s="339" t="str">
        <x:v>Functional</x:v>
      </x:c>
    </x:row>
    <x:row r="1980">
      <x:c r="A1980" s="339" t="str">
        <x:v>AC-01979</x:v>
      </x:c>
      <x:c r="B1980" s="339" t="str">
        <x:v>US-0495</x:v>
      </x:c>
      <x:c r="C1980" s="339" t="str">
        <x:v>SCR-248</x:v>
      </x:c>
      <x:c r="D1980" s="339" t="str">
        <x:v>Events / PTM / Communication</x:v>
      </x:c>
      <x:c r="E1980" s="339" t="str">
        <x:v>Event Details &amp; Participants</x:v>
      </x:c>
      <x:c r="F1980" s="339" t="str">
        <x:v>State and dependency integrity</x:v>
      </x:c>
      <x:c r="G1980" s="339" t="str">
        <x:v>the current record is in an allowed state (Draft → Scheduled / Published → In Progress / Sent → Completed / Delivered / Failed → Archived)</x:v>
      </x:c>
      <x:c r="H1980" s="339" t="str">
        <x:v>the user attempts a state-changing action</x:v>
      </x:c>
      <x:c r="I1980" s="339" t="str">
        <x:v>only a valid transition is accepted and dependent records are updated according to configured business rules</x:v>
      </x:c>
      <x:c r="J1980" s="339" t="str">
        <x:v>Positive</x:v>
      </x:c>
      <x:c r="K1980" s="339" t="str">
        <x:v>Functional</x:v>
      </x:c>
    </x:row>
    <x:row r="1981">
      <x:c r="A1981" s="339" t="str">
        <x:v>AC-01980</x:v>
      </x:c>
      <x:c r="B1981" s="339" t="str">
        <x:v>US-0495</x:v>
      </x:c>
      <x:c r="C1981" s="339" t="str">
        <x:v>SCR-248</x:v>
      </x:c>
      <x:c r="D1981" s="339" t="str">
        <x:v>Events / PTM / Communication</x:v>
      </x:c>
      <x:c r="E1981" s="339" t="str">
        <x:v>Event Details &amp; Participants</x:v>
      </x:c>
      <x:c r="F1981" s="339" t="str">
        <x:v>Auditability</x:v>
      </x:c>
      <x:c r="G1981" s="339" t="str">
        <x:v>a material create/update/approve/reverse action occurs</x:v>
      </x:c>
      <x:c r="H1981" s="339" t="str">
        <x:v>the transaction succeeds</x:v>
      </x:c>
      <x:c r="I1981" s="339" t="str">
        <x:v>the system records actor, timestamp, action, target and relevant before/after or reason context in the audit trail</x:v>
      </x:c>
      <x:c r="J1981" s="339" t="str">
        <x:v>Positive</x:v>
      </x:c>
      <x:c r="K1981" s="339" t="str">
        <x:v>Functional</x:v>
      </x:c>
    </x:row>
    <x:row r="1982">
      <x:c r="A1982" s="339" t="str">
        <x:v>AC-01981</x:v>
      </x:c>
      <x:c r="B1982" s="339" t="str">
        <x:v>US-0496</x:v>
      </x:c>
      <x:c r="C1982" s="339" t="str">
        <x:v>SCR-248</x:v>
      </x:c>
      <x:c r="D1982" s="339" t="str">
        <x:v>Events / PTM / Communication</x:v>
      </x:c>
      <x:c r="E1982" s="339" t="str">
        <x:v>Event Details &amp; Participants</x:v>
      </x:c>
      <x:c r="F1982" s="339" t="str">
        <x:v>Complete authorized view</x:v>
      </x:c>
      <x:c r="G1982" s="339" t="str">
        <x:v>the record exists and the user is authorized</x:v>
      </x:c>
      <x:c r="H1982" s="339" t="str">
        <x:v>the detail/profile opens</x:v>
      </x:c>
      <x:c r="I1982" s="339" t="str">
        <x:v>the system loads the required summary, relationships and history while masking restricted fields</x:v>
      </x:c>
      <x:c r="J1982" s="339" t="str">
        <x:v>Positive</x:v>
      </x:c>
      <x:c r="K1982" s="339" t="str">
        <x:v>Functional / Security</x:v>
      </x:c>
    </x:row>
    <x:row r="1983">
      <x:c r="A1983" s="339" t="str">
        <x:v>AC-01982</x:v>
      </x:c>
      <x:c r="B1983" s="339" t="str">
        <x:v>US-0496</x:v>
      </x:c>
      <x:c r="C1983" s="339" t="str">
        <x:v>SCR-248</x:v>
      </x:c>
      <x:c r="D1983" s="339" t="str">
        <x:v>Events / PTM / Communication</x:v>
      </x:c>
      <x:c r="E1983" s="339" t="str">
        <x:v>Event Details &amp; Participants</x:v>
      </x:c>
      <x:c r="F1983" s="339" t="str">
        <x:v>Controlled edit</x:v>
      </x:c>
      <x:c r="G1983" s="339" t="str">
        <x:v>the user has edit permission and the record is editable</x:v>
      </x:c>
      <x:c r="H1983" s="339" t="str">
        <x:v>the user saves a change</x:v>
      </x:c>
      <x:c r="I1983" s="339" t="str">
        <x:v>validation and state rules run before the update is committed</x:v>
      </x:c>
      <x:c r="J1983" s="339" t="str">
        <x:v>Positive</x:v>
      </x:c>
      <x:c r="K1983" s="339" t="str">
        <x:v>Functional</x:v>
      </x:c>
    </x:row>
    <x:row r="1984">
      <x:c r="A1984" s="339" t="str">
        <x:v>AC-01983</x:v>
      </x:c>
      <x:c r="B1984" s="339" t="str">
        <x:v>US-0496</x:v>
      </x:c>
      <x:c r="C1984" s="339" t="str">
        <x:v>SCR-248</x:v>
      </x:c>
      <x:c r="D1984" s="339" t="str">
        <x:v>Events / PTM / Communication</x:v>
      </x:c>
      <x:c r="E1984" s="339" t="str">
        <x:v>Event Details &amp; Participants</x:v>
      </x:c>
      <x:c r="F1984" s="339" t="str">
        <x:v>Concurrent edit protection</x:v>
      </x:c>
      <x:c r="G1984" s="339" t="str">
        <x:v>another user has changed the record after it was loaded</x:v>
      </x:c>
      <x:c r="H1984" s="339" t="str">
        <x:v>the first user attempts to save stale data</x:v>
      </x:c>
      <x:c r="I1984" s="339" t="str">
        <x:v>the system detects the version conflict or preserves fields safely instead of silently overwriting</x:v>
      </x:c>
      <x:c r="J1984" s="339" t="str">
        <x:v>Positive</x:v>
      </x:c>
      <x:c r="K1984" s="339" t="str">
        <x:v>Functional</x:v>
      </x:c>
    </x:row>
    <x:row r="1985">
      <x:c r="A1985" s="339" t="str">
        <x:v>AC-01984</x:v>
      </x:c>
      <x:c r="B1985" s="339" t="str">
        <x:v>US-0496</x:v>
      </x:c>
      <x:c r="C1985" s="339" t="str">
        <x:v>SCR-248</x:v>
      </x:c>
      <x:c r="D1985" s="339" t="str">
        <x:v>Events / PTM / Communication</x:v>
      </x:c>
      <x:c r="E1985" s="339" t="str">
        <x:v>Event Details &amp; Participants</x:v>
      </x:c>
      <x:c r="F1985" s="339" t="str">
        <x:v>History retention</x:v>
      </x:c>
      <x:c r="G1985" s="339" t="str">
        <x:v>the record has prior changes/statuses</x:v>
      </x:c>
      <x:c r="H1985" s="339" t="str">
        <x:v>the user views history</x:v>
      </x:c>
      <x:c r="I1985" s="339" t="str">
        <x:v>the audit/activity timeline shows traceable material changes without exposing restricted notes</x:v>
      </x:c>
      <x:c r="J1985" s="339" t="str">
        <x:v>Positive</x:v>
      </x:c>
      <x:c r="K1985" s="339" t="str">
        <x:v>Functional</x:v>
      </x:c>
    </x:row>
    <x:row r="1986">
      <x:c r="A1986" s="339" t="str">
        <x:v>AC-01985</x:v>
      </x:c>
      <x:c r="B1986" s="339" t="str">
        <x:v>US-0497</x:v>
      </x:c>
      <x:c r="C1986" s="339" t="str">
        <x:v>SCR-249</x:v>
      </x:c>
      <x:c r="D1986" s="339" t="str">
        <x:v>Events / PTM / Communication</x:v>
      </x:c>
      <x:c r="E1986" s="339" t="str">
        <x:v>Field Trip &amp; Parent Consent</x:v>
      </x:c>
      <x:c r="F1986" s="339" t="str">
        <x:v>Authorized access to Field Trip &amp; Parent Consent</x:v>
      </x:c>
      <x:c r="G1986" s="339" t="str">
        <x:v>the School Admin is authenticated and has access to Field Trip &amp; Parent Consent</x:v>
      </x:c>
      <x:c r="H1986" s="339" t="str">
        <x:v>the user opens or invokes Field Trip &amp; Parent Consent</x:v>
      </x:c>
      <x:c r="I1986" s="339" t="str">
        <x:v>the system loads only records and actions within the user's permitted tenant/school/data scope</x:v>
      </x:c>
      <x:c r="J1986" s="339" t="str">
        <x:v>Positive</x:v>
      </x:c>
      <x:c r="K1986" s="339" t="str">
        <x:v>Functional / Security</x:v>
      </x:c>
    </x:row>
    <x:row r="1987">
      <x:c r="A1987" s="339" t="str">
        <x:v>AC-01986</x:v>
      </x:c>
      <x:c r="B1987" s="339" t="str">
        <x:v>US-0497</x:v>
      </x:c>
      <x:c r="C1987" s="339" t="str">
        <x:v>SCR-249</x:v>
      </x:c>
      <x:c r="D1987" s="339" t="str">
        <x:v>Events / PTM / Communication</x:v>
      </x:c>
      <x:c r="E1987" s="339" t="str">
        <x:v>Field Trip &amp; Parent Consent</x:v>
      </x:c>
      <x:c r="F1987" s="339" t="str">
        <x:v>Successful Field Trip &amp; Parent Consent happy path</x:v>
      </x:c>
      <x:c r="G1987" s="339" t="str">
        <x:v>all mandatory prerequisites and valid data are available</x:v>
      </x:c>
      <x:c r="H1987" s="339" t="str">
        <x:v>the School Admin completes the primary action on Field Trip &amp; Parent Consent</x:v>
      </x:c>
      <x:c r="I1987" s="339" t="str">
        <x:v>the system validates the request, saves it atomically, shows a clear confirmation and reflects the updated state</x:v>
      </x:c>
      <x:c r="J1987" s="339" t="str">
        <x:v>Positive</x:v>
      </x:c>
      <x:c r="K1987" s="339" t="str">
        <x:v>Functional</x:v>
      </x:c>
    </x:row>
    <x:row r="1988">
      <x:c r="A1988" s="339" t="str">
        <x:v>AC-01987</x:v>
      </x:c>
      <x:c r="B1988" s="339" t="str">
        <x:v>US-0497</x:v>
      </x:c>
      <x:c r="C1988" s="339" t="str">
        <x:v>SCR-249</x:v>
      </x:c>
      <x:c r="D1988" s="339" t="str">
        <x:v>Events / PTM / Communication</x:v>
      </x:c>
      <x:c r="E1988" s="339" t="str">
        <x:v>Field Trip &amp; Parent Consent</x:v>
      </x:c>
      <x:c r="F1988" s="339" t="str">
        <x:v>State and dependency integrity</x:v>
      </x:c>
      <x:c r="G1988" s="339" t="str">
        <x:v>the current record is in an allowed state (Draft → Scheduled / Published → In Progress / Sent → Completed / Delivered / Failed → Archived)</x:v>
      </x:c>
      <x:c r="H1988" s="339" t="str">
        <x:v>the user attempts a state-changing action</x:v>
      </x:c>
      <x:c r="I1988" s="339" t="str">
        <x:v>only a valid transition is accepted and dependent records are updated according to configured business rules</x:v>
      </x:c>
      <x:c r="J1988" s="339" t="str">
        <x:v>Positive</x:v>
      </x:c>
      <x:c r="K1988" s="339" t="str">
        <x:v>Functional</x:v>
      </x:c>
    </x:row>
    <x:row r="1989">
      <x:c r="A1989" s="339" t="str">
        <x:v>AC-01988</x:v>
      </x:c>
      <x:c r="B1989" s="339" t="str">
        <x:v>US-0497</x:v>
      </x:c>
      <x:c r="C1989" s="339" t="str">
        <x:v>SCR-249</x:v>
      </x:c>
      <x:c r="D1989" s="339" t="str">
        <x:v>Events / PTM / Communication</x:v>
      </x:c>
      <x:c r="E1989" s="339" t="str">
        <x:v>Field Trip &amp; Parent Consent</x:v>
      </x:c>
      <x:c r="F1989" s="339" t="str">
        <x:v>Auditability</x:v>
      </x:c>
      <x:c r="G1989" s="339" t="str">
        <x:v>a material create/update/approve/reverse action occurs</x:v>
      </x:c>
      <x:c r="H1989" s="339" t="str">
        <x:v>the transaction succeeds</x:v>
      </x:c>
      <x:c r="I1989" s="339" t="str">
        <x:v>the system records actor, timestamp, action, target and relevant before/after or reason context in the audit trail</x:v>
      </x:c>
      <x:c r="J1989" s="339" t="str">
        <x:v>Positive</x:v>
      </x:c>
      <x:c r="K1989" s="339" t="str">
        <x:v>Functional</x:v>
      </x:c>
    </x:row>
    <x:row r="1990">
      <x:c r="A1990" s="339" t="str">
        <x:v>AC-01989</x:v>
      </x:c>
      <x:c r="B1990" s="339" t="str">
        <x:v>US-0498</x:v>
      </x:c>
      <x:c r="C1990" s="339" t="str">
        <x:v>SCR-249</x:v>
      </x:c>
      <x:c r="D1990" s="339" t="str">
        <x:v>Events / PTM / Communication</x:v>
      </x:c>
      <x:c r="E1990" s="339" t="str">
        <x:v>Field Trip &amp; Parent Consent</x:v>
      </x:c>
      <x:c r="F1990" s="339" t="str">
        <x:v>Valid status transition</x:v>
      </x:c>
      <x:c r="G1990" s="339" t="str">
        <x:v>the record is in a state described by Draft → Scheduled / Published → In Progress / Sent → Completed / Delivered / Failed → Archived</x:v>
      </x:c>
      <x:c r="H1990" s="339" t="str">
        <x:v>the user requests a transition</x:v>
      </x:c>
      <x:c r="I1990" s="339" t="str">
        <x:v>the system accepts only transitions allowed for that role and state</x:v>
      </x:c>
      <x:c r="J1990" s="339" t="str">
        <x:v>Positive</x:v>
      </x:c>
      <x:c r="K1990" s="339" t="str">
        <x:v>Functional</x:v>
      </x:c>
    </x:row>
    <x:row r="1991">
      <x:c r="A1991" s="339" t="str">
        <x:v>AC-01990</x:v>
      </x:c>
      <x:c r="B1991" s="339" t="str">
        <x:v>US-0498</x:v>
      </x:c>
      <x:c r="C1991" s="339" t="str">
        <x:v>SCR-249</x:v>
      </x:c>
      <x:c r="D1991" s="339" t="str">
        <x:v>Events / PTM / Communication</x:v>
      </x:c>
      <x:c r="E1991" s="339" t="str">
        <x:v>Field Trip &amp; Parent Consent</x:v>
      </x:c>
      <x:c r="F1991" s="339" t="str">
        <x:v>Approval authority</x:v>
      </x:c>
      <x:c r="G1991" s="339" t="str">
        <x:v>an action requires approval</x:v>
      </x:c>
      <x:c r="H1991" s="339" t="str">
        <x:v>a non-authorized user attempts approval/rejection</x:v>
      </x:c>
      <x:c r="I1991" s="339" t="str">
        <x:v>the system denies the decision and does not change status</x:v>
      </x:c>
      <x:c r="J1991" s="339" t="str">
        <x:v>Negative</x:v>
      </x:c>
      <x:c r="K1991" s="339" t="str">
        <x:v>Functional</x:v>
      </x:c>
    </x:row>
    <x:row r="1992">
      <x:c r="A1992" s="339" t="str">
        <x:v>AC-01991</x:v>
      </x:c>
      <x:c r="B1992" s="339" t="str">
        <x:v>US-0498</x:v>
      </x:c>
      <x:c r="C1992" s="339" t="str">
        <x:v>SCR-249</x:v>
      </x:c>
      <x:c r="D1992" s="339" t="str">
        <x:v>Events / PTM / Communication</x:v>
      </x:c>
      <x:c r="E1992" s="339" t="str">
        <x:v>Field Trip &amp; Parent Consent</x:v>
      </x:c>
      <x:c r="F1992" s="339" t="str">
        <x:v>Failure rollback</x:v>
      </x:c>
      <x:c r="G1992" s="339" t="str">
        <x:v>a downstream dependency fails during a multi-step transaction</x:v>
      </x:c>
      <x:c r="H1992" s="339" t="str">
        <x:v>the workflow executes</x:v>
      </x:c>
      <x:c r="I1992" s="339" t="str">
        <x:v>the system does not leave an invalid partial final state and surfaces a recoverable error</x:v>
      </x:c>
      <x:c r="J1992" s="339" t="str">
        <x:v>Positive</x:v>
      </x:c>
      <x:c r="K1992" s="339" t="str">
        <x:v>Functional</x:v>
      </x:c>
    </x:row>
    <x:row r="1993">
      <x:c r="A1993" s="339" t="str">
        <x:v>AC-01992</x:v>
      </x:c>
      <x:c r="B1993" s="339" t="str">
        <x:v>US-0498</x:v>
      </x:c>
      <x:c r="C1993" s="339" t="str">
        <x:v>SCR-249</x:v>
      </x:c>
      <x:c r="D1993" s="339" t="str">
        <x:v>Events / PTM / Communication</x:v>
      </x:c>
      <x:c r="E1993" s="339" t="str">
        <x:v>Field Trip &amp; Parent Consent</x:v>
      </x:c>
      <x:c r="F1993" s="339" t="str">
        <x:v>Exception traceability</x:v>
      </x:c>
      <x:c r="G1993" s="339" t="str">
        <x:v>an authorized override/exception is used</x:v>
      </x:c>
      <x:c r="H1993" s="339" t="str">
        <x:v>the action is confirmed</x:v>
      </x:c>
      <x:c r="I1993" s="339" t="str">
        <x:v>the system requires reason/context and records it in the audit history</x:v>
      </x:c>
      <x:c r="J1993" s="339" t="str">
        <x:v>Positive</x:v>
      </x:c>
      <x:c r="K1993" s="339" t="str">
        <x:v>Functional</x:v>
      </x:c>
    </x:row>
    <x:row r="1994">
      <x:c r="A1994" s="339" t="str">
        <x:v>AC-01993</x:v>
      </x:c>
      <x:c r="B1994" s="339" t="str">
        <x:v>US-0499</x:v>
      </x:c>
      <x:c r="C1994" s="339" t="str">
        <x:v>SCR-250</x:v>
      </x:c>
      <x:c r="D1994" s="339" t="str">
        <x:v>Events / PTM / Communication</x:v>
      </x:c>
      <x:c r="E1994" s="339" t="str">
        <x:v>PTM Setup</x:v>
      </x:c>
      <x:c r="F1994" s="339" t="str">
        <x:v>Authorized access to PTM Setup</x:v>
      </x:c>
      <x:c r="G1994" s="339" t="str">
        <x:v>the Teacher is authenticated and has access to PTM Setup</x:v>
      </x:c>
      <x:c r="H1994" s="339" t="str">
        <x:v>the user opens or invokes PTM Setup</x:v>
      </x:c>
      <x:c r="I1994" s="339" t="str">
        <x:v>the system loads only records and actions within the user's permitted tenant/school/data scope</x:v>
      </x:c>
      <x:c r="J1994" s="339" t="str">
        <x:v>Positive</x:v>
      </x:c>
      <x:c r="K1994" s="339" t="str">
        <x:v>Functional / Security</x:v>
      </x:c>
    </x:row>
    <x:row r="1995">
      <x:c r="A1995" s="339" t="str">
        <x:v>AC-01994</x:v>
      </x:c>
      <x:c r="B1995" s="339" t="str">
        <x:v>US-0499</x:v>
      </x:c>
      <x:c r="C1995" s="339" t="str">
        <x:v>SCR-250</x:v>
      </x:c>
      <x:c r="D1995" s="339" t="str">
        <x:v>Events / PTM / Communication</x:v>
      </x:c>
      <x:c r="E1995" s="339" t="str">
        <x:v>PTM Setup</x:v>
      </x:c>
      <x:c r="F1995" s="339" t="str">
        <x:v>Successful PTM Setup happy path</x:v>
      </x:c>
      <x:c r="G1995" s="339" t="str">
        <x:v>all mandatory prerequisites and valid data are available</x:v>
      </x:c>
      <x:c r="H1995" s="339" t="str">
        <x:v>the Teacher completes the primary action on PTM Setup</x:v>
      </x:c>
      <x:c r="I1995" s="339" t="str">
        <x:v>the system validates the request, saves it atomically, shows a clear confirmation and reflects the updated state</x:v>
      </x:c>
      <x:c r="J1995" s="339" t="str">
        <x:v>Positive</x:v>
      </x:c>
      <x:c r="K1995" s="339" t="str">
        <x:v>Functional</x:v>
      </x:c>
    </x:row>
    <x:row r="1996">
      <x:c r="A1996" s="339" t="str">
        <x:v>AC-01995</x:v>
      </x:c>
      <x:c r="B1996" s="339" t="str">
        <x:v>US-0499</x:v>
      </x:c>
      <x:c r="C1996" s="339" t="str">
        <x:v>SCR-250</x:v>
      </x:c>
      <x:c r="D1996" s="339" t="str">
        <x:v>Events / PTM / Communication</x:v>
      </x:c>
      <x:c r="E1996" s="339" t="str">
        <x:v>PTM Setup</x:v>
      </x:c>
      <x:c r="F1996" s="339" t="str">
        <x:v>State and dependency integrity</x:v>
      </x:c>
      <x:c r="G1996" s="339" t="str">
        <x:v>the current record is in an allowed state (Draft → Scheduled / Published → In Progress / Sent → Completed / Delivered / Failed → Archived)</x:v>
      </x:c>
      <x:c r="H1996" s="339" t="str">
        <x:v>the user attempts a state-changing action</x:v>
      </x:c>
      <x:c r="I1996" s="339" t="str">
        <x:v>only a valid transition is accepted and dependent records are updated according to configured business rules</x:v>
      </x:c>
      <x:c r="J1996" s="339" t="str">
        <x:v>Positive</x:v>
      </x:c>
      <x:c r="K1996" s="339" t="str">
        <x:v>Functional</x:v>
      </x:c>
    </x:row>
    <x:row r="1997">
      <x:c r="A1997" s="339" t="str">
        <x:v>AC-01996</x:v>
      </x:c>
      <x:c r="B1997" s="339" t="str">
        <x:v>US-0499</x:v>
      </x:c>
      <x:c r="C1997" s="339" t="str">
        <x:v>SCR-250</x:v>
      </x:c>
      <x:c r="D1997" s="339" t="str">
        <x:v>Events / PTM / Communication</x:v>
      </x:c>
      <x:c r="E1997" s="339" t="str">
        <x:v>PTM Setup</x:v>
      </x:c>
      <x:c r="F1997" s="339" t="str">
        <x:v>Auditability</x:v>
      </x:c>
      <x:c r="G1997" s="339" t="str">
        <x:v>a material create/update/approve/reverse action occurs</x:v>
      </x:c>
      <x:c r="H1997" s="339" t="str">
        <x:v>the transaction succeeds</x:v>
      </x:c>
      <x:c r="I1997" s="339" t="str">
        <x:v>the system records actor, timestamp, action, target and relevant before/after or reason context in the audit trail</x:v>
      </x:c>
      <x:c r="J1997" s="339" t="str">
        <x:v>Positive</x:v>
      </x:c>
      <x:c r="K1997" s="339" t="str">
        <x:v>Functional</x:v>
      </x:c>
    </x:row>
    <x:row r="1998">
      <x:c r="A1998" s="339" t="str">
        <x:v>AC-01997</x:v>
      </x:c>
      <x:c r="B1998" s="339" t="str">
        <x:v>US-0500</x:v>
      </x:c>
      <x:c r="C1998" s="339" t="str">
        <x:v>SCR-250</x:v>
      </x:c>
      <x:c r="D1998" s="339" t="str">
        <x:v>Events / PTM / Communication</x:v>
      </x:c>
      <x:c r="E1998" s="339" t="str">
        <x:v>PTM Setup</x:v>
      </x:c>
      <x:c r="F1998" s="339" t="str">
        <x:v>Required-field validation</x:v>
      </x:c>
      <x:c r="G1998" s="339" t="str">
        <x:v>one or more required values are missing/invalid</x:v>
      </x:c>
      <x:c r="H1998" s="339" t="str">
        <x:v>the user submits the form</x:v>
      </x:c>
      <x:c r="I1998" s="339" t="str">
        <x:v>submission is blocked and field-level messages identify what must be corrected</x:v>
      </x:c>
      <x:c r="J1998" s="339" t="str">
        <x:v>Positive</x:v>
      </x:c>
      <x:c r="K1998" s="339" t="str">
        <x:v>Functional</x:v>
      </x:c>
    </x:row>
    <x:row r="1999">
      <x:c r="A1999" s="339" t="str">
        <x:v>AC-01998</x:v>
      </x:c>
      <x:c r="B1999" s="339" t="str">
        <x:v>US-0500</x:v>
      </x:c>
      <x:c r="C1999" s="339" t="str">
        <x:v>SCR-250</x:v>
      </x:c>
      <x:c r="D1999" s="339" t="str">
        <x:v>Events / PTM / Communication</x:v>
      </x:c>
      <x:c r="E1999" s="339" t="str">
        <x:v>PTM Setup</x:v>
      </x:c>
      <x:c r="F1999" s="339" t="str">
        <x:v>Duplicate prevention</x:v>
      </x:c>
      <x:c r="G1999" s="339" t="str">
        <x:v>a potentially duplicate record exists</x:v>
      </x:c>
      <x:c r="H1999" s="339" t="str">
        <x:v>the user submits matching identity/master data</x:v>
      </x:c>
      <x:c r="I1999" s="339" t="str">
        <x:v>the system blocks or warns according to configured duplicate policy before creating another record</x:v>
      </x:c>
      <x:c r="J1999" s="339" t="str">
        <x:v>Negative</x:v>
      </x:c>
      <x:c r="K1999" s="339" t="str">
        <x:v>Functional</x:v>
      </x:c>
    </x:row>
    <x:row r="2000">
      <x:c r="A2000" s="339" t="str">
        <x:v>AC-01999</x:v>
      </x:c>
      <x:c r="B2000" s="339" t="str">
        <x:v>US-0500</x:v>
      </x:c>
      <x:c r="C2000" s="339" t="str">
        <x:v>SCR-250</x:v>
      </x:c>
      <x:c r="D2000" s="339" t="str">
        <x:v>Events / PTM / Communication</x:v>
      </x:c>
      <x:c r="E2000" s="339" t="str">
        <x:v>PTM Setup</x:v>
      </x:c>
      <x:c r="F2000" s="339" t="str">
        <x:v>Reference-data integrity</x:v>
      </x:c>
      <x:c r="G2000" s="339" t="str">
        <x:v>the form contains master-data selections</x:v>
      </x:c>
      <x:c r="H2000" s="339" t="str">
        <x:v>the user submits</x:v>
      </x:c>
      <x:c r="I2000" s="339" t="str">
        <x:v>all referenced values are active, effective and within the user's scope at the time of save</x:v>
      </x:c>
      <x:c r="J2000" s="339" t="str">
        <x:v>Positive</x:v>
      </x:c>
      <x:c r="K2000" s="339" t="str">
        <x:v>Functional</x:v>
      </x:c>
    </x:row>
    <x:row r="2001">
      <x:c r="A2001" s="339" t="str">
        <x:v>AC-02000</x:v>
      </x:c>
      <x:c r="B2001" s="339" t="str">
        <x:v>US-0500</x:v>
      </x:c>
      <x:c r="C2001" s="339" t="str">
        <x:v>SCR-250</x:v>
      </x:c>
      <x:c r="D2001" s="339" t="str">
        <x:v>Events / PTM / Communication</x:v>
      </x:c>
      <x:c r="E2001" s="339" t="str">
        <x:v>PTM Setup</x:v>
      </x:c>
      <x:c r="F2001" s="339" t="str">
        <x:v>Retry safety</x:v>
      </x:c>
      <x:c r="G2001" s="339" t="str">
        <x:v>a network retry or repeated click occurs</x:v>
      </x:c>
      <x:c r="H2001" s="339" t="str">
        <x:v>the same transaction is submitted again</x:v>
      </x:c>
      <x:c r="I2001" s="339" t="str">
        <x:v>the system prevents unintended duplicate transactions through idempotency or duplicate detection</x:v>
      </x:c>
      <x:c r="J2001" s="339" t="str">
        <x:v>Positive</x:v>
      </x:c>
      <x:c r="K2001" s="339" t="str">
        <x:v>Functional</x:v>
      </x:c>
    </x:row>
    <x:row r="2002">
      <x:c r="A2002" s="339" t="str">
        <x:v>AC-02001</x:v>
      </x:c>
      <x:c r="B2002" s="339" t="str">
        <x:v>US-0501</x:v>
      </x:c>
      <x:c r="C2002" s="339" t="str">
        <x:v>SCR-251</x:v>
      </x:c>
      <x:c r="D2002" s="339" t="str">
        <x:v>Events / PTM / Communication</x:v>
      </x:c>
      <x:c r="E2002" s="339" t="str">
        <x:v>PTM Slot Booking</x:v>
      </x:c>
      <x:c r="F2002" s="339" t="str">
        <x:v>Authorized access to PTM Slot Booking</x:v>
      </x:c>
      <x:c r="G2002" s="339" t="str">
        <x:v>the Teacher is authenticated and has access to PTM Slot Booking</x:v>
      </x:c>
      <x:c r="H2002" s="339" t="str">
        <x:v>the user opens or invokes PTM Slot Booking</x:v>
      </x:c>
      <x:c r="I2002" s="339" t="str">
        <x:v>the system loads only records and actions within the user's permitted tenant/school/data scope</x:v>
      </x:c>
      <x:c r="J2002" s="339" t="str">
        <x:v>Positive</x:v>
      </x:c>
      <x:c r="K2002" s="339" t="str">
        <x:v>Functional / Security</x:v>
      </x:c>
    </x:row>
    <x:row r="2003">
      <x:c r="A2003" s="339" t="str">
        <x:v>AC-02002</x:v>
      </x:c>
      <x:c r="B2003" s="339" t="str">
        <x:v>US-0501</x:v>
      </x:c>
      <x:c r="C2003" s="339" t="str">
        <x:v>SCR-251</x:v>
      </x:c>
      <x:c r="D2003" s="339" t="str">
        <x:v>Events / PTM / Communication</x:v>
      </x:c>
      <x:c r="E2003" s="339" t="str">
        <x:v>PTM Slot Booking</x:v>
      </x:c>
      <x:c r="F2003" s="339" t="str">
        <x:v>Successful PTM Slot Booking happy path</x:v>
      </x:c>
      <x:c r="G2003" s="339" t="str">
        <x:v>all mandatory prerequisites and valid data are available</x:v>
      </x:c>
      <x:c r="H2003" s="339" t="str">
        <x:v>the Teacher completes the primary action on PTM Slot Booking</x:v>
      </x:c>
      <x:c r="I2003" s="339" t="str">
        <x:v>the system validates the request, saves it atomically, shows a clear confirmation and reflects the updated state</x:v>
      </x:c>
      <x:c r="J2003" s="339" t="str">
        <x:v>Positive</x:v>
      </x:c>
      <x:c r="K2003" s="339" t="str">
        <x:v>Functional</x:v>
      </x:c>
    </x:row>
    <x:row r="2004">
      <x:c r="A2004" s="339" t="str">
        <x:v>AC-02003</x:v>
      </x:c>
      <x:c r="B2004" s="339" t="str">
        <x:v>US-0501</x:v>
      </x:c>
      <x:c r="C2004" s="339" t="str">
        <x:v>SCR-251</x:v>
      </x:c>
      <x:c r="D2004" s="339" t="str">
        <x:v>Events / PTM / Communication</x:v>
      </x:c>
      <x:c r="E2004" s="339" t="str">
        <x:v>PTM Slot Booking</x:v>
      </x:c>
      <x:c r="F2004" s="339" t="str">
        <x:v>State and dependency integrity</x:v>
      </x:c>
      <x:c r="G2004" s="339" t="str">
        <x:v>the current record is in an allowed state (Draft → Scheduled / Published → In Progress / Sent → Completed / Delivered / Failed → Archived)</x:v>
      </x:c>
      <x:c r="H2004" s="339" t="str">
        <x:v>the user attempts a state-changing action</x:v>
      </x:c>
      <x:c r="I2004" s="339" t="str">
        <x:v>only a valid transition is accepted and dependent records are updated according to configured business rules</x:v>
      </x:c>
      <x:c r="J2004" s="339" t="str">
        <x:v>Positive</x:v>
      </x:c>
      <x:c r="K2004" s="339" t="str">
        <x:v>Functional</x:v>
      </x:c>
    </x:row>
    <x:row r="2005">
      <x:c r="A2005" s="339" t="str">
        <x:v>AC-02004</x:v>
      </x:c>
      <x:c r="B2005" s="339" t="str">
        <x:v>US-0501</x:v>
      </x:c>
      <x:c r="C2005" s="339" t="str">
        <x:v>SCR-251</x:v>
      </x:c>
      <x:c r="D2005" s="339" t="str">
        <x:v>Events / PTM / Communication</x:v>
      </x:c>
      <x:c r="E2005" s="339" t="str">
        <x:v>PTM Slot Booking</x:v>
      </x:c>
      <x:c r="F2005" s="339" t="str">
        <x:v>Auditability</x:v>
      </x:c>
      <x:c r="G2005" s="339" t="str">
        <x:v>a material create/update/approve/reverse action occurs</x:v>
      </x:c>
      <x:c r="H2005" s="339" t="str">
        <x:v>the transaction succeeds</x:v>
      </x:c>
      <x:c r="I2005" s="339" t="str">
        <x:v>the system records actor, timestamp, action, target and relevant before/after or reason context in the audit trail</x:v>
      </x:c>
      <x:c r="J2005" s="339" t="str">
        <x:v>Positive</x:v>
      </x:c>
      <x:c r="K2005" s="339" t="str">
        <x:v>Functional</x:v>
      </x:c>
    </x:row>
    <x:row r="2006">
      <x:c r="A2006" s="339" t="str">
        <x:v>AC-02005</x:v>
      </x:c>
      <x:c r="B2006" s="339" t="str">
        <x:v>US-0502</x:v>
      </x:c>
      <x:c r="C2006" s="339" t="str">
        <x:v>SCR-251</x:v>
      </x:c>
      <x:c r="D2006" s="339" t="str">
        <x:v>Events / PTM / Communication</x:v>
      </x:c>
      <x:c r="E2006" s="339" t="str">
        <x:v>PTM Slot Booking</x:v>
      </x:c>
      <x:c r="F2006" s="339" t="str">
        <x:v>Valid status transition</x:v>
      </x:c>
      <x:c r="G2006" s="339" t="str">
        <x:v>the record is in a state described by Draft → Scheduled / Published → In Progress / Sent → Completed / Delivered / Failed → Archived</x:v>
      </x:c>
      <x:c r="H2006" s="339" t="str">
        <x:v>the user requests a transition</x:v>
      </x:c>
      <x:c r="I2006" s="339" t="str">
        <x:v>the system accepts only transitions allowed for that role and state</x:v>
      </x:c>
      <x:c r="J2006" s="339" t="str">
        <x:v>Positive</x:v>
      </x:c>
      <x:c r="K2006" s="339" t="str">
        <x:v>Functional</x:v>
      </x:c>
    </x:row>
    <x:row r="2007">
      <x:c r="A2007" s="339" t="str">
        <x:v>AC-02006</x:v>
      </x:c>
      <x:c r="B2007" s="339" t="str">
        <x:v>US-0502</x:v>
      </x:c>
      <x:c r="C2007" s="339" t="str">
        <x:v>SCR-251</x:v>
      </x:c>
      <x:c r="D2007" s="339" t="str">
        <x:v>Events / PTM / Communication</x:v>
      </x:c>
      <x:c r="E2007" s="339" t="str">
        <x:v>PTM Slot Booking</x:v>
      </x:c>
      <x:c r="F2007" s="339" t="str">
        <x:v>Approval authority</x:v>
      </x:c>
      <x:c r="G2007" s="339" t="str">
        <x:v>an action requires approval</x:v>
      </x:c>
      <x:c r="H2007" s="339" t="str">
        <x:v>a non-authorized user attempts approval/rejection</x:v>
      </x:c>
      <x:c r="I2007" s="339" t="str">
        <x:v>the system denies the decision and does not change status</x:v>
      </x:c>
      <x:c r="J2007" s="339" t="str">
        <x:v>Negative</x:v>
      </x:c>
      <x:c r="K2007" s="339" t="str">
        <x:v>Functional</x:v>
      </x:c>
    </x:row>
    <x:row r="2008">
      <x:c r="A2008" s="339" t="str">
        <x:v>AC-02007</x:v>
      </x:c>
      <x:c r="B2008" s="339" t="str">
        <x:v>US-0502</x:v>
      </x:c>
      <x:c r="C2008" s="339" t="str">
        <x:v>SCR-251</x:v>
      </x:c>
      <x:c r="D2008" s="339" t="str">
        <x:v>Events / PTM / Communication</x:v>
      </x:c>
      <x:c r="E2008" s="339" t="str">
        <x:v>PTM Slot Booking</x:v>
      </x:c>
      <x:c r="F2008" s="339" t="str">
        <x:v>Failure rollback</x:v>
      </x:c>
      <x:c r="G2008" s="339" t="str">
        <x:v>a downstream dependency fails during a multi-step transaction</x:v>
      </x:c>
      <x:c r="H2008" s="339" t="str">
        <x:v>the workflow executes</x:v>
      </x:c>
      <x:c r="I2008" s="339" t="str">
        <x:v>the system does not leave an invalid partial final state and surfaces a recoverable error</x:v>
      </x:c>
      <x:c r="J2008" s="339" t="str">
        <x:v>Positive</x:v>
      </x:c>
      <x:c r="K2008" s="339" t="str">
        <x:v>Functional</x:v>
      </x:c>
    </x:row>
    <x:row r="2009">
      <x:c r="A2009" s="339" t="str">
        <x:v>AC-02008</x:v>
      </x:c>
      <x:c r="B2009" s="339" t="str">
        <x:v>US-0502</x:v>
      </x:c>
      <x:c r="C2009" s="339" t="str">
        <x:v>SCR-251</x:v>
      </x:c>
      <x:c r="D2009" s="339" t="str">
        <x:v>Events / PTM / Communication</x:v>
      </x:c>
      <x:c r="E2009" s="339" t="str">
        <x:v>PTM Slot Booking</x:v>
      </x:c>
      <x:c r="F2009" s="339" t="str">
        <x:v>Exception traceability</x:v>
      </x:c>
      <x:c r="G2009" s="339" t="str">
        <x:v>an authorized override/exception is used</x:v>
      </x:c>
      <x:c r="H2009" s="339" t="str">
        <x:v>the action is confirmed</x:v>
      </x:c>
      <x:c r="I2009" s="339" t="str">
        <x:v>the system requires reason/context and records it in the audit history</x:v>
      </x:c>
      <x:c r="J2009" s="339" t="str">
        <x:v>Positive</x:v>
      </x:c>
      <x:c r="K2009" s="339" t="str">
        <x:v>Functional</x:v>
      </x:c>
    </x:row>
    <x:row r="2010">
      <x:c r="A2010" s="339" t="str">
        <x:v>AC-02009</x:v>
      </x:c>
      <x:c r="B2010" s="339" t="str">
        <x:v>US-0503</x:v>
      </x:c>
      <x:c r="C2010" s="339" t="str">
        <x:v>SCR-252</x:v>
      </x:c>
      <x:c r="D2010" s="339" t="str">
        <x:v>Events / PTM / Communication</x:v>
      </x:c>
      <x:c r="E2010" s="339" t="str">
        <x:v>Announcements</x:v>
      </x:c>
      <x:c r="F2010" s="339" t="str">
        <x:v>Authorized access to Announcements</x:v>
      </x:c>
      <x:c r="G2010" s="339" t="str">
        <x:v>the School Admin is authenticated and has access to Announcements</x:v>
      </x:c>
      <x:c r="H2010" s="339" t="str">
        <x:v>the user opens or invokes Announcements</x:v>
      </x:c>
      <x:c r="I2010" s="339" t="str">
        <x:v>the system loads only records and actions within the user's permitted tenant/school/data scope</x:v>
      </x:c>
      <x:c r="J2010" s="339" t="str">
        <x:v>Positive</x:v>
      </x:c>
      <x:c r="K2010" s="339" t="str">
        <x:v>Functional / Security</x:v>
      </x:c>
    </x:row>
    <x:row r="2011">
      <x:c r="A2011" s="339" t="str">
        <x:v>AC-02010</x:v>
      </x:c>
      <x:c r="B2011" s="339" t="str">
        <x:v>US-0503</x:v>
      </x:c>
      <x:c r="C2011" s="339" t="str">
        <x:v>SCR-252</x:v>
      </x:c>
      <x:c r="D2011" s="339" t="str">
        <x:v>Events / PTM / Communication</x:v>
      </x:c>
      <x:c r="E2011" s="339" t="str">
        <x:v>Announcements</x:v>
      </x:c>
      <x:c r="F2011" s="339" t="str">
        <x:v>Successful Announcements happy path</x:v>
      </x:c>
      <x:c r="G2011" s="339" t="str">
        <x:v>all mandatory prerequisites and valid data are available</x:v>
      </x:c>
      <x:c r="H2011" s="339" t="str">
        <x:v>the School Admin completes the primary action on Announcements</x:v>
      </x:c>
      <x:c r="I2011" s="339" t="str">
        <x:v>the system validates the request, saves it atomically, shows a clear confirmation and reflects the updated state</x:v>
      </x:c>
      <x:c r="J2011" s="339" t="str">
        <x:v>Positive</x:v>
      </x:c>
      <x:c r="K2011" s="339" t="str">
        <x:v>Functional</x:v>
      </x:c>
    </x:row>
    <x:row r="2012">
      <x:c r="A2012" s="339" t="str">
        <x:v>AC-02011</x:v>
      </x:c>
      <x:c r="B2012" s="339" t="str">
        <x:v>US-0503</x:v>
      </x:c>
      <x:c r="C2012" s="339" t="str">
        <x:v>SCR-252</x:v>
      </x:c>
      <x:c r="D2012" s="339" t="str">
        <x:v>Events / PTM / Communication</x:v>
      </x:c>
      <x:c r="E2012" s="339" t="str">
        <x:v>Announcements</x:v>
      </x:c>
      <x:c r="F2012" s="339" t="str">
        <x:v>State and dependency integrity</x:v>
      </x:c>
      <x:c r="G2012" s="339" t="str">
        <x:v>the current record is in an allowed state (Draft → Scheduled / Published → In Progress / Sent → Completed / Delivered / Failed → Archived)</x:v>
      </x:c>
      <x:c r="H2012" s="339" t="str">
        <x:v>the user attempts a state-changing action</x:v>
      </x:c>
      <x:c r="I2012" s="339" t="str">
        <x:v>only a valid transition is accepted and dependent records are updated according to configured business rules</x:v>
      </x:c>
      <x:c r="J2012" s="339" t="str">
        <x:v>Positive</x:v>
      </x:c>
      <x:c r="K2012" s="339" t="str">
        <x:v>Functional</x:v>
      </x:c>
    </x:row>
    <x:row r="2013">
      <x:c r="A2013" s="339" t="str">
        <x:v>AC-02012</x:v>
      </x:c>
      <x:c r="B2013" s="339" t="str">
        <x:v>US-0503</x:v>
      </x:c>
      <x:c r="C2013" s="339" t="str">
        <x:v>SCR-252</x:v>
      </x:c>
      <x:c r="D2013" s="339" t="str">
        <x:v>Events / PTM / Communication</x:v>
      </x:c>
      <x:c r="E2013" s="339" t="str">
        <x:v>Announcements</x:v>
      </x:c>
      <x:c r="F2013" s="339" t="str">
        <x:v>Auditability</x:v>
      </x:c>
      <x:c r="G2013" s="339" t="str">
        <x:v>a material create/update/approve/reverse action occurs</x:v>
      </x:c>
      <x:c r="H2013" s="339" t="str">
        <x:v>the transaction succeeds</x:v>
      </x:c>
      <x:c r="I2013" s="339" t="str">
        <x:v>the system records actor, timestamp, action, target and relevant before/after or reason context in the audit trail</x:v>
      </x:c>
      <x:c r="J2013" s="339" t="str">
        <x:v>Positive</x:v>
      </x:c>
      <x:c r="K2013" s="339" t="str">
        <x:v>Functional</x:v>
      </x:c>
    </x:row>
    <x:row r="2014">
      <x:c r="A2014" s="339" t="str">
        <x:v>AC-02013</x:v>
      </x:c>
      <x:c r="B2014" s="339" t="str">
        <x:v>US-0504</x:v>
      </x:c>
      <x:c r="C2014" s="339" t="str">
        <x:v>SCR-252</x:v>
      </x:c>
      <x:c r="D2014" s="339" t="str">
        <x:v>Events / PTM / Communication</x:v>
      </x:c>
      <x:c r="E2014" s="339" t="str">
        <x:v>Announcements</x:v>
      </x:c>
      <x:c r="F2014" s="339" t="str">
        <x:v>Search and filtering</x:v>
      </x:c>
      <x:c r="G2014" s="339" t="str">
        <x:v>authorized records exist across multiple values</x:v>
      </x:c>
      <x:c r="H2014" s="339" t="str">
        <x:v>the user applies search, filters, sorting or pagination</x:v>
      </x:c>
      <x:c r="I2014" s="339" t="str">
        <x:v>the results match all selected criteria and remain within the user's data scope</x:v>
      </x:c>
      <x:c r="J2014" s="339" t="str">
        <x:v>Positive</x:v>
      </x:c>
      <x:c r="K2014" s="339" t="str">
        <x:v>Functional</x:v>
      </x:c>
    </x:row>
    <x:row r="2015">
      <x:c r="A2015" s="339" t="str">
        <x:v>AC-02014</x:v>
      </x:c>
      <x:c r="B2015" s="339" t="str">
        <x:v>US-0504</x:v>
      </x:c>
      <x:c r="C2015" s="339" t="str">
        <x:v>SCR-252</x:v>
      </x:c>
      <x:c r="D2015" s="339" t="str">
        <x:v>Events / PTM / Communication</x:v>
      </x:c>
      <x:c r="E2015" s="339" t="str">
        <x:v>Announcements</x:v>
      </x:c>
      <x:c r="F2015" s="339" t="str">
        <x:v>Controlled row actions</x:v>
      </x:c>
      <x:c r="G2015" s="339" t="str">
        <x:v>records are returned in the list</x:v>
      </x:c>
      <x:c r="H2015" s="339" t="str">
        <x:v>the user opens the action menu</x:v>
      </x:c>
      <x:c r="I2015" s="339" t="str">
        <x:v>only actions permitted for the user's role and the record's current state are offered</x:v>
      </x:c>
      <x:c r="J2015" s="339" t="str">
        <x:v>Positive</x:v>
      </x:c>
      <x:c r="K2015" s="339" t="str">
        <x:v>Functional</x:v>
      </x:c>
    </x:row>
    <x:row r="2016">
      <x:c r="A2016" s="339" t="str">
        <x:v>AC-02015</x:v>
      </x:c>
      <x:c r="B2016" s="339" t="str">
        <x:v>US-0504</x:v>
      </x:c>
      <x:c r="C2016" s="339" t="str">
        <x:v>SCR-252</x:v>
      </x:c>
      <x:c r="D2016" s="339" t="str">
        <x:v>Events / PTM / Communication</x:v>
      </x:c>
      <x:c r="E2016" s="339" t="str">
        <x:v>Announcements</x:v>
      </x:c>
      <x:c r="F2016" s="339" t="str">
        <x:v>Empty/no-result handling</x:v>
      </x:c>
      <x:c r="G2016" s="339" t="str">
        <x:v>no record matches the current criteria</x:v>
      </x:c>
      <x:c r="H2016" s="339" t="str">
        <x:v>the query completes</x:v>
      </x:c>
      <x:c r="I2016" s="339" t="str">
        <x:v>the system shows a clear empty state without treating it as an application error</x:v>
      </x:c>
      <x:c r="J2016" s="339" t="str">
        <x:v>Positive</x:v>
      </x:c>
      <x:c r="K2016" s="339" t="str">
        <x:v>Functional</x:v>
      </x:c>
    </x:row>
    <x:row r="2017">
      <x:c r="A2017" s="339" t="str">
        <x:v>AC-02016</x:v>
      </x:c>
      <x:c r="B2017" s="339" t="str">
        <x:v>US-0504</x:v>
      </x:c>
      <x:c r="C2017" s="339" t="str">
        <x:v>SCR-252</x:v>
      </x:c>
      <x:c r="D2017" s="339" t="str">
        <x:v>Events / PTM / Communication</x:v>
      </x:c>
      <x:c r="E2017" s="339" t="str">
        <x:v>Announcements</x:v>
      </x:c>
      <x:c r="F2017" s="339" t="str">
        <x:v>Export scope</x:v>
      </x:c>
      <x:c r="G2017" s="339" t="str">
        <x:v>the user has export permission</x:v>
      </x:c>
      <x:c r="H2017" s="339" t="str">
        <x:v>the user exports the filtered list</x:v>
      </x:c>
      <x:c r="I2017" s="339" t="str">
        <x:v>the export contains the same authorized filter scope and excludes restricted fields</x:v>
      </x:c>
      <x:c r="J2017" s="339" t="str">
        <x:v>Positive</x:v>
      </x:c>
      <x:c r="K2017" s="339" t="str">
        <x:v>Functional</x:v>
      </x:c>
    </x:row>
    <x:row r="2018">
      <x:c r="A2018" s="339" t="str">
        <x:v>AC-02017</x:v>
      </x:c>
      <x:c r="B2018" s="339" t="str">
        <x:v>US-0505</x:v>
      </x:c>
      <x:c r="C2018" s="339" t="str">
        <x:v>SCR-253</x:v>
      </x:c>
      <x:c r="D2018" s="339" t="str">
        <x:v>Events / PTM / Communication</x:v>
      </x:c>
      <x:c r="E2018" s="339" t="str">
        <x:v>Messaging / Inbox</x:v>
      </x:c>
      <x:c r="F2018" s="339" t="str">
        <x:v>Authorized access to Messaging / Inbox</x:v>
      </x:c>
      <x:c r="G2018" s="339" t="str">
        <x:v>the School Admin is authenticated and has access to Messaging / Inbox</x:v>
      </x:c>
      <x:c r="H2018" s="339" t="str">
        <x:v>the user opens or invokes Messaging / Inbox</x:v>
      </x:c>
      <x:c r="I2018" s="339" t="str">
        <x:v>the system loads only records and actions within the user's permitted tenant/school/data scope</x:v>
      </x:c>
      <x:c r="J2018" s="339" t="str">
        <x:v>Positive</x:v>
      </x:c>
      <x:c r="K2018" s="339" t="str">
        <x:v>Functional / Security</x:v>
      </x:c>
    </x:row>
    <x:row r="2019">
      <x:c r="A2019" s="339" t="str">
        <x:v>AC-02018</x:v>
      </x:c>
      <x:c r="B2019" s="339" t="str">
        <x:v>US-0505</x:v>
      </x:c>
      <x:c r="C2019" s="339" t="str">
        <x:v>SCR-253</x:v>
      </x:c>
      <x:c r="D2019" s="339" t="str">
        <x:v>Events / PTM / Communication</x:v>
      </x:c>
      <x:c r="E2019" s="339" t="str">
        <x:v>Messaging / Inbox</x:v>
      </x:c>
      <x:c r="F2019" s="339" t="str">
        <x:v>Successful Messaging / Inbox happy path</x:v>
      </x:c>
      <x:c r="G2019" s="339" t="str">
        <x:v>all mandatory prerequisites and valid data are available</x:v>
      </x:c>
      <x:c r="H2019" s="339" t="str">
        <x:v>the School Admin completes the primary action on Messaging / Inbox</x:v>
      </x:c>
      <x:c r="I2019" s="339" t="str">
        <x:v>the system validates the request, saves it atomically, shows a clear confirmation and reflects the updated state</x:v>
      </x:c>
      <x:c r="J2019" s="339" t="str">
        <x:v>Positive</x:v>
      </x:c>
      <x:c r="K2019" s="339" t="str">
        <x:v>Functional</x:v>
      </x:c>
    </x:row>
    <x:row r="2020">
      <x:c r="A2020" s="339" t="str">
        <x:v>AC-02019</x:v>
      </x:c>
      <x:c r="B2020" s="339" t="str">
        <x:v>US-0505</x:v>
      </x:c>
      <x:c r="C2020" s="339" t="str">
        <x:v>SCR-253</x:v>
      </x:c>
      <x:c r="D2020" s="339" t="str">
        <x:v>Events / PTM / Communication</x:v>
      </x:c>
      <x:c r="E2020" s="339" t="str">
        <x:v>Messaging / Inbox</x:v>
      </x:c>
      <x:c r="F2020" s="339" t="str">
        <x:v>State and dependency integrity</x:v>
      </x:c>
      <x:c r="G2020" s="339" t="str">
        <x:v>the current record is in an allowed state (Draft → Scheduled / Published → In Progress / Sent → Completed / Delivered / Failed → Archived)</x:v>
      </x:c>
      <x:c r="H2020" s="339" t="str">
        <x:v>the user attempts a state-changing action</x:v>
      </x:c>
      <x:c r="I2020" s="339" t="str">
        <x:v>only a valid transition is accepted and dependent records are updated according to configured business rules</x:v>
      </x:c>
      <x:c r="J2020" s="339" t="str">
        <x:v>Positive</x:v>
      </x:c>
      <x:c r="K2020" s="339" t="str">
        <x:v>Functional</x:v>
      </x:c>
    </x:row>
    <x:row r="2021">
      <x:c r="A2021" s="339" t="str">
        <x:v>AC-02020</x:v>
      </x:c>
      <x:c r="B2021" s="339" t="str">
        <x:v>US-0505</x:v>
      </x:c>
      <x:c r="C2021" s="339" t="str">
        <x:v>SCR-253</x:v>
      </x:c>
      <x:c r="D2021" s="339" t="str">
        <x:v>Events / PTM / Communication</x:v>
      </x:c>
      <x:c r="E2021" s="339" t="str">
        <x:v>Messaging / Inbox</x:v>
      </x:c>
      <x:c r="F2021" s="339" t="str">
        <x:v>Auditability</x:v>
      </x:c>
      <x:c r="G2021" s="339" t="str">
        <x:v>a material create/update/approve/reverse action occurs</x:v>
      </x:c>
      <x:c r="H2021" s="339" t="str">
        <x:v>the transaction succeeds</x:v>
      </x:c>
      <x:c r="I2021" s="339" t="str">
        <x:v>the system records actor, timestamp, action, target and relevant before/after or reason context in the audit trail</x:v>
      </x:c>
      <x:c r="J2021" s="339" t="str">
        <x:v>Positive</x:v>
      </x:c>
      <x:c r="K2021" s="339" t="str">
        <x:v>Functional</x:v>
      </x:c>
    </x:row>
    <x:row r="2022">
      <x:c r="A2022" s="339" t="str">
        <x:v>AC-02021</x:v>
      </x:c>
      <x:c r="B2022" s="339" t="str">
        <x:v>US-0506</x:v>
      </x:c>
      <x:c r="C2022" s="339" t="str">
        <x:v>SCR-253</x:v>
      </x:c>
      <x:c r="D2022" s="339" t="str">
        <x:v>Events / PTM / Communication</x:v>
      </x:c>
      <x:c r="E2022" s="339" t="str">
        <x:v>Messaging / Inbox</x:v>
      </x:c>
      <x:c r="F2022" s="339" t="str">
        <x:v>Valid status transition</x:v>
      </x:c>
      <x:c r="G2022" s="339" t="str">
        <x:v>the record is in a state described by Draft → Scheduled / Published → In Progress / Sent → Completed / Delivered / Failed → Archived</x:v>
      </x:c>
      <x:c r="H2022" s="339" t="str">
        <x:v>the user requests a transition</x:v>
      </x:c>
      <x:c r="I2022" s="339" t="str">
        <x:v>the system accepts only transitions allowed for that role and state</x:v>
      </x:c>
      <x:c r="J2022" s="339" t="str">
        <x:v>Positive</x:v>
      </x:c>
      <x:c r="K2022" s="339" t="str">
        <x:v>Functional</x:v>
      </x:c>
    </x:row>
    <x:row r="2023">
      <x:c r="A2023" s="339" t="str">
        <x:v>AC-02022</x:v>
      </x:c>
      <x:c r="B2023" s="339" t="str">
        <x:v>US-0506</x:v>
      </x:c>
      <x:c r="C2023" s="339" t="str">
        <x:v>SCR-253</x:v>
      </x:c>
      <x:c r="D2023" s="339" t="str">
        <x:v>Events / PTM / Communication</x:v>
      </x:c>
      <x:c r="E2023" s="339" t="str">
        <x:v>Messaging / Inbox</x:v>
      </x:c>
      <x:c r="F2023" s="339" t="str">
        <x:v>Approval authority</x:v>
      </x:c>
      <x:c r="G2023" s="339" t="str">
        <x:v>an action requires approval</x:v>
      </x:c>
      <x:c r="H2023" s="339" t="str">
        <x:v>a non-authorized user attempts approval/rejection</x:v>
      </x:c>
      <x:c r="I2023" s="339" t="str">
        <x:v>the system denies the decision and does not change status</x:v>
      </x:c>
      <x:c r="J2023" s="339" t="str">
        <x:v>Negative</x:v>
      </x:c>
      <x:c r="K2023" s="339" t="str">
        <x:v>Functional</x:v>
      </x:c>
    </x:row>
    <x:row r="2024">
      <x:c r="A2024" s="339" t="str">
        <x:v>AC-02023</x:v>
      </x:c>
      <x:c r="B2024" s="339" t="str">
        <x:v>US-0506</x:v>
      </x:c>
      <x:c r="C2024" s="339" t="str">
        <x:v>SCR-253</x:v>
      </x:c>
      <x:c r="D2024" s="339" t="str">
        <x:v>Events / PTM / Communication</x:v>
      </x:c>
      <x:c r="E2024" s="339" t="str">
        <x:v>Messaging / Inbox</x:v>
      </x:c>
      <x:c r="F2024" s="339" t="str">
        <x:v>Failure rollback</x:v>
      </x:c>
      <x:c r="G2024" s="339" t="str">
        <x:v>a downstream dependency fails during a multi-step transaction</x:v>
      </x:c>
      <x:c r="H2024" s="339" t="str">
        <x:v>the workflow executes</x:v>
      </x:c>
      <x:c r="I2024" s="339" t="str">
        <x:v>the system does not leave an invalid partial final state and surfaces a recoverable error</x:v>
      </x:c>
      <x:c r="J2024" s="339" t="str">
        <x:v>Positive</x:v>
      </x:c>
      <x:c r="K2024" s="339" t="str">
        <x:v>Functional</x:v>
      </x:c>
    </x:row>
    <x:row r="2025">
      <x:c r="A2025" s="339" t="str">
        <x:v>AC-02024</x:v>
      </x:c>
      <x:c r="B2025" s="339" t="str">
        <x:v>US-0506</x:v>
      </x:c>
      <x:c r="C2025" s="339" t="str">
        <x:v>SCR-253</x:v>
      </x:c>
      <x:c r="D2025" s="339" t="str">
        <x:v>Events / PTM / Communication</x:v>
      </x:c>
      <x:c r="E2025" s="339" t="str">
        <x:v>Messaging / Inbox</x:v>
      </x:c>
      <x:c r="F2025" s="339" t="str">
        <x:v>Exception traceability</x:v>
      </x:c>
      <x:c r="G2025" s="339" t="str">
        <x:v>an authorized override/exception is used</x:v>
      </x:c>
      <x:c r="H2025" s="339" t="str">
        <x:v>the action is confirmed</x:v>
      </x:c>
      <x:c r="I2025" s="339" t="str">
        <x:v>the system requires reason/context and records it in the audit history</x:v>
      </x:c>
      <x:c r="J2025" s="339" t="str">
        <x:v>Positive</x:v>
      </x:c>
      <x:c r="K2025" s="339" t="str">
        <x:v>Functional</x:v>
      </x:c>
    </x:row>
    <x:row r="2026">
      <x:c r="A2026" s="339" t="str">
        <x:v>AC-02025</x:v>
      </x:c>
      <x:c r="B2026" s="339" t="str">
        <x:v>US-0507</x:v>
      </x:c>
      <x:c r="C2026" s="339" t="str">
        <x:v>SCR-254</x:v>
      </x:c>
      <x:c r="D2026" s="339" t="str">
        <x:v>Events / PTM / Communication</x:v>
      </x:c>
      <x:c r="E2026" s="339" t="str">
        <x:v>Notification Campaigns</x:v>
      </x:c>
      <x:c r="F2026" s="339" t="str">
        <x:v>Authorized access to Notification Campaigns</x:v>
      </x:c>
      <x:c r="G2026" s="339" t="str">
        <x:v>the School Admin is authenticated and has access to Notification Campaigns</x:v>
      </x:c>
      <x:c r="H2026" s="339" t="str">
        <x:v>the user opens or invokes Notification Campaigns</x:v>
      </x:c>
      <x:c r="I2026" s="339" t="str">
        <x:v>the system loads only records and actions within the user's permitted tenant/school/data scope</x:v>
      </x:c>
      <x:c r="J2026" s="339" t="str">
        <x:v>Positive</x:v>
      </x:c>
      <x:c r="K2026" s="339" t="str">
        <x:v>Functional / Security</x:v>
      </x:c>
    </x:row>
    <x:row r="2027">
      <x:c r="A2027" s="339" t="str">
        <x:v>AC-02026</x:v>
      </x:c>
      <x:c r="B2027" s="339" t="str">
        <x:v>US-0507</x:v>
      </x:c>
      <x:c r="C2027" s="339" t="str">
        <x:v>SCR-254</x:v>
      </x:c>
      <x:c r="D2027" s="339" t="str">
        <x:v>Events / PTM / Communication</x:v>
      </x:c>
      <x:c r="E2027" s="339" t="str">
        <x:v>Notification Campaigns</x:v>
      </x:c>
      <x:c r="F2027" s="339" t="str">
        <x:v>Successful Notification Campaigns happy path</x:v>
      </x:c>
      <x:c r="G2027" s="339" t="str">
        <x:v>all mandatory prerequisites and valid data are available</x:v>
      </x:c>
      <x:c r="H2027" s="339" t="str">
        <x:v>the School Admin completes the primary action on Notification Campaigns</x:v>
      </x:c>
      <x:c r="I2027" s="339" t="str">
        <x:v>the system validates the request, saves it atomically, shows a clear confirmation and reflects the updated state</x:v>
      </x:c>
      <x:c r="J2027" s="339" t="str">
        <x:v>Positive</x:v>
      </x:c>
      <x:c r="K2027" s="339" t="str">
        <x:v>Functional</x:v>
      </x:c>
    </x:row>
    <x:row r="2028">
      <x:c r="A2028" s="339" t="str">
        <x:v>AC-02027</x:v>
      </x:c>
      <x:c r="B2028" s="339" t="str">
        <x:v>US-0507</x:v>
      </x:c>
      <x:c r="C2028" s="339" t="str">
        <x:v>SCR-254</x:v>
      </x:c>
      <x:c r="D2028" s="339" t="str">
        <x:v>Events / PTM / Communication</x:v>
      </x:c>
      <x:c r="E2028" s="339" t="str">
        <x:v>Notification Campaigns</x:v>
      </x:c>
      <x:c r="F2028" s="339" t="str">
        <x:v>State and dependency integrity</x:v>
      </x:c>
      <x:c r="G2028" s="339" t="str">
        <x:v>the current record is in an allowed state (Draft → Scheduled / Published → In Progress / Sent → Completed / Delivered / Failed → Archived)</x:v>
      </x:c>
      <x:c r="H2028" s="339" t="str">
        <x:v>the user attempts a state-changing action</x:v>
      </x:c>
      <x:c r="I2028" s="339" t="str">
        <x:v>only a valid transition is accepted and dependent records are updated according to configured business rules</x:v>
      </x:c>
      <x:c r="J2028" s="339" t="str">
        <x:v>Positive</x:v>
      </x:c>
      <x:c r="K2028" s="339" t="str">
        <x:v>Functional</x:v>
      </x:c>
    </x:row>
    <x:row r="2029">
      <x:c r="A2029" s="339" t="str">
        <x:v>AC-02028</x:v>
      </x:c>
      <x:c r="B2029" s="339" t="str">
        <x:v>US-0507</x:v>
      </x:c>
      <x:c r="C2029" s="339" t="str">
        <x:v>SCR-254</x:v>
      </x:c>
      <x:c r="D2029" s="339" t="str">
        <x:v>Events / PTM / Communication</x:v>
      </x:c>
      <x:c r="E2029" s="339" t="str">
        <x:v>Notification Campaigns</x:v>
      </x:c>
      <x:c r="F2029" s="339" t="str">
        <x:v>Auditability</x:v>
      </x:c>
      <x:c r="G2029" s="339" t="str">
        <x:v>a material create/update/approve/reverse action occurs</x:v>
      </x:c>
      <x:c r="H2029" s="339" t="str">
        <x:v>the transaction succeeds</x:v>
      </x:c>
      <x:c r="I2029" s="339" t="str">
        <x:v>the system records actor, timestamp, action, target and relevant before/after or reason context in the audit trail</x:v>
      </x:c>
      <x:c r="J2029" s="339" t="str">
        <x:v>Positive</x:v>
      </x:c>
      <x:c r="K2029" s="339" t="str">
        <x:v>Functional</x:v>
      </x:c>
    </x:row>
    <x:row r="2030">
      <x:c r="A2030" s="339" t="str">
        <x:v>AC-02029</x:v>
      </x:c>
      <x:c r="B2030" s="339" t="str">
        <x:v>US-0508</x:v>
      </x:c>
      <x:c r="C2030" s="339" t="str">
        <x:v>SCR-254</x:v>
      </x:c>
      <x:c r="D2030" s="339" t="str">
        <x:v>Events / PTM / Communication</x:v>
      </x:c>
      <x:c r="E2030" s="339" t="str">
        <x:v>Notification Campaigns</x:v>
      </x:c>
      <x:c r="F2030" s="339" t="str">
        <x:v>Valid status transition</x:v>
      </x:c>
      <x:c r="G2030" s="339" t="str">
        <x:v>the record is in a state described by Draft → Scheduled / Published → In Progress / Sent → Completed / Delivered / Failed → Archived</x:v>
      </x:c>
      <x:c r="H2030" s="339" t="str">
        <x:v>the user requests a transition</x:v>
      </x:c>
      <x:c r="I2030" s="339" t="str">
        <x:v>the system accepts only transitions allowed for that role and state</x:v>
      </x:c>
      <x:c r="J2030" s="339" t="str">
        <x:v>Positive</x:v>
      </x:c>
      <x:c r="K2030" s="339" t="str">
        <x:v>Functional</x:v>
      </x:c>
    </x:row>
    <x:row r="2031">
      <x:c r="A2031" s="339" t="str">
        <x:v>AC-02030</x:v>
      </x:c>
      <x:c r="B2031" s="339" t="str">
        <x:v>US-0508</x:v>
      </x:c>
      <x:c r="C2031" s="339" t="str">
        <x:v>SCR-254</x:v>
      </x:c>
      <x:c r="D2031" s="339" t="str">
        <x:v>Events / PTM / Communication</x:v>
      </x:c>
      <x:c r="E2031" s="339" t="str">
        <x:v>Notification Campaigns</x:v>
      </x:c>
      <x:c r="F2031" s="339" t="str">
        <x:v>Approval authority</x:v>
      </x:c>
      <x:c r="G2031" s="339" t="str">
        <x:v>an action requires approval</x:v>
      </x:c>
      <x:c r="H2031" s="339" t="str">
        <x:v>a non-authorized user attempts approval/rejection</x:v>
      </x:c>
      <x:c r="I2031" s="339" t="str">
        <x:v>the system denies the decision and does not change status</x:v>
      </x:c>
      <x:c r="J2031" s="339" t="str">
        <x:v>Negative</x:v>
      </x:c>
      <x:c r="K2031" s="339" t="str">
        <x:v>Functional</x:v>
      </x:c>
    </x:row>
    <x:row r="2032">
      <x:c r="A2032" s="339" t="str">
        <x:v>AC-02031</x:v>
      </x:c>
      <x:c r="B2032" s="339" t="str">
        <x:v>US-0508</x:v>
      </x:c>
      <x:c r="C2032" s="339" t="str">
        <x:v>SCR-254</x:v>
      </x:c>
      <x:c r="D2032" s="339" t="str">
        <x:v>Events / PTM / Communication</x:v>
      </x:c>
      <x:c r="E2032" s="339" t="str">
        <x:v>Notification Campaigns</x:v>
      </x:c>
      <x:c r="F2032" s="339" t="str">
        <x:v>Failure rollback</x:v>
      </x:c>
      <x:c r="G2032" s="339" t="str">
        <x:v>a downstream dependency fails during a multi-step transaction</x:v>
      </x:c>
      <x:c r="H2032" s="339" t="str">
        <x:v>the workflow executes</x:v>
      </x:c>
      <x:c r="I2032" s="339" t="str">
        <x:v>the system does not leave an invalid partial final state and surfaces a recoverable error</x:v>
      </x:c>
      <x:c r="J2032" s="339" t="str">
        <x:v>Positive</x:v>
      </x:c>
      <x:c r="K2032" s="339" t="str">
        <x:v>Functional</x:v>
      </x:c>
    </x:row>
    <x:row r="2033">
      <x:c r="A2033" s="339" t="str">
        <x:v>AC-02032</x:v>
      </x:c>
      <x:c r="B2033" s="339" t="str">
        <x:v>US-0508</x:v>
      </x:c>
      <x:c r="C2033" s="339" t="str">
        <x:v>SCR-254</x:v>
      </x:c>
      <x:c r="D2033" s="339" t="str">
        <x:v>Events / PTM / Communication</x:v>
      </x:c>
      <x:c r="E2033" s="339" t="str">
        <x:v>Notification Campaigns</x:v>
      </x:c>
      <x:c r="F2033" s="339" t="str">
        <x:v>Exception traceability</x:v>
      </x:c>
      <x:c r="G2033" s="339" t="str">
        <x:v>an authorized override/exception is used</x:v>
      </x:c>
      <x:c r="H2033" s="339" t="str">
        <x:v>the action is confirmed</x:v>
      </x:c>
      <x:c r="I2033" s="339" t="str">
        <x:v>the system requires reason/context and records it in the audit history</x:v>
      </x:c>
      <x:c r="J2033" s="339" t="str">
        <x:v>Positive</x:v>
      </x:c>
      <x:c r="K2033" s="339" t="str">
        <x:v>Functional</x:v>
      </x:c>
    </x:row>
    <x:row r="2034">
      <x:c r="A2034" s="339" t="str">
        <x:v>AC-02033</x:v>
      </x:c>
      <x:c r="B2034" s="339" t="str">
        <x:v>US-0509</x:v>
      </x:c>
      <x:c r="C2034" s="339" t="str">
        <x:v>SCR-255</x:v>
      </x:c>
      <x:c r="D2034" s="339" t="str">
        <x:v>Events / PTM / Communication</x:v>
      </x:c>
      <x:c r="E2034" s="339" t="str">
        <x:v>Communication History</x:v>
      </x:c>
      <x:c r="F2034" s="339" t="str">
        <x:v>Authorized access to Communication History</x:v>
      </x:c>
      <x:c r="G2034" s="339" t="str">
        <x:v>the School Admin is authenticated and has access to Communication History</x:v>
      </x:c>
      <x:c r="H2034" s="339" t="str">
        <x:v>the user opens or invokes Communication History</x:v>
      </x:c>
      <x:c r="I2034" s="339" t="str">
        <x:v>the system loads only records and actions within the user's permitted tenant/school/data scope</x:v>
      </x:c>
      <x:c r="J2034" s="339" t="str">
        <x:v>Positive</x:v>
      </x:c>
      <x:c r="K2034" s="339" t="str">
        <x:v>Functional / Security</x:v>
      </x:c>
    </x:row>
    <x:row r="2035">
      <x:c r="A2035" s="339" t="str">
        <x:v>AC-02034</x:v>
      </x:c>
      <x:c r="B2035" s="339" t="str">
        <x:v>US-0509</x:v>
      </x:c>
      <x:c r="C2035" s="339" t="str">
        <x:v>SCR-255</x:v>
      </x:c>
      <x:c r="D2035" s="339" t="str">
        <x:v>Events / PTM / Communication</x:v>
      </x:c>
      <x:c r="E2035" s="339" t="str">
        <x:v>Communication History</x:v>
      </x:c>
      <x:c r="F2035" s="339" t="str">
        <x:v>Successful Communication History happy path</x:v>
      </x:c>
      <x:c r="G2035" s="339" t="str">
        <x:v>all mandatory prerequisites and valid data are available</x:v>
      </x:c>
      <x:c r="H2035" s="339" t="str">
        <x:v>the School Admin completes the primary action on Communication History</x:v>
      </x:c>
      <x:c r="I2035" s="339" t="str">
        <x:v>the system validates the request, saves it atomically, shows a clear confirmation and reflects the updated state</x:v>
      </x:c>
      <x:c r="J2035" s="339" t="str">
        <x:v>Positive</x:v>
      </x:c>
      <x:c r="K2035" s="339" t="str">
        <x:v>Functional</x:v>
      </x:c>
    </x:row>
    <x:row r="2036">
      <x:c r="A2036" s="339" t="str">
        <x:v>AC-02035</x:v>
      </x:c>
      <x:c r="B2036" s="339" t="str">
        <x:v>US-0509</x:v>
      </x:c>
      <x:c r="C2036" s="339" t="str">
        <x:v>SCR-255</x:v>
      </x:c>
      <x:c r="D2036" s="339" t="str">
        <x:v>Events / PTM / Communication</x:v>
      </x:c>
      <x:c r="E2036" s="339" t="str">
        <x:v>Communication History</x:v>
      </x:c>
      <x:c r="F2036" s="339" t="str">
        <x:v>State and dependency integrity</x:v>
      </x:c>
      <x:c r="G2036" s="339" t="str">
        <x:v>the current record is in an allowed state (Draft → Scheduled / Published → In Progress / Sent → Completed / Delivered / Failed → Archived)</x:v>
      </x:c>
      <x:c r="H2036" s="339" t="str">
        <x:v>the user attempts a state-changing action</x:v>
      </x:c>
      <x:c r="I2036" s="339" t="str">
        <x:v>only a valid transition is accepted and dependent records are updated according to configured business rules</x:v>
      </x:c>
      <x:c r="J2036" s="339" t="str">
        <x:v>Positive</x:v>
      </x:c>
      <x:c r="K2036" s="339" t="str">
        <x:v>Functional</x:v>
      </x:c>
    </x:row>
    <x:row r="2037">
      <x:c r="A2037" s="339" t="str">
        <x:v>AC-02036</x:v>
      </x:c>
      <x:c r="B2037" s="339" t="str">
        <x:v>US-0509</x:v>
      </x:c>
      <x:c r="C2037" s="339" t="str">
        <x:v>SCR-255</x:v>
      </x:c>
      <x:c r="D2037" s="339" t="str">
        <x:v>Events / PTM / Communication</x:v>
      </x:c>
      <x:c r="E2037" s="339" t="str">
        <x:v>Communication History</x:v>
      </x:c>
      <x:c r="F2037" s="339" t="str">
        <x:v>Auditability</x:v>
      </x:c>
      <x:c r="G2037" s="339" t="str">
        <x:v>a material create/update/approve/reverse action occurs</x:v>
      </x:c>
      <x:c r="H2037" s="339" t="str">
        <x:v>the transaction succeeds</x:v>
      </x:c>
      <x:c r="I2037" s="339" t="str">
        <x:v>the system records actor, timestamp, action, target and relevant before/after or reason context in the audit trail</x:v>
      </x:c>
      <x:c r="J2037" s="339" t="str">
        <x:v>Positive</x:v>
      </x:c>
      <x:c r="K2037" s="339" t="str">
        <x:v>Functional</x:v>
      </x:c>
    </x:row>
    <x:row r="2038">
      <x:c r="A2038" s="339" t="str">
        <x:v>AC-02037</x:v>
      </x:c>
      <x:c r="B2038" s="339" t="str">
        <x:v>US-0510</x:v>
      </x:c>
      <x:c r="C2038" s="339" t="str">
        <x:v>SCR-255</x:v>
      </x:c>
      <x:c r="D2038" s="339" t="str">
        <x:v>Events / PTM / Communication</x:v>
      </x:c>
      <x:c r="E2038" s="339" t="str">
        <x:v>Communication History</x:v>
      </x:c>
      <x:c r="F2038" s="339" t="str">
        <x:v>Complete authorized view</x:v>
      </x:c>
      <x:c r="G2038" s="339" t="str">
        <x:v>the record exists and the user is authorized</x:v>
      </x:c>
      <x:c r="H2038" s="339" t="str">
        <x:v>the detail/profile opens</x:v>
      </x:c>
      <x:c r="I2038" s="339" t="str">
        <x:v>the system loads the required summary, relationships and history while masking restricted fields</x:v>
      </x:c>
      <x:c r="J2038" s="339" t="str">
        <x:v>Positive</x:v>
      </x:c>
      <x:c r="K2038" s="339" t="str">
        <x:v>Functional / Security</x:v>
      </x:c>
    </x:row>
    <x:row r="2039">
      <x:c r="A2039" s="339" t="str">
        <x:v>AC-02038</x:v>
      </x:c>
      <x:c r="B2039" s="339" t="str">
        <x:v>US-0510</x:v>
      </x:c>
      <x:c r="C2039" s="339" t="str">
        <x:v>SCR-255</x:v>
      </x:c>
      <x:c r="D2039" s="339" t="str">
        <x:v>Events / PTM / Communication</x:v>
      </x:c>
      <x:c r="E2039" s="339" t="str">
        <x:v>Communication History</x:v>
      </x:c>
      <x:c r="F2039" s="339" t="str">
        <x:v>Controlled edit</x:v>
      </x:c>
      <x:c r="G2039" s="339" t="str">
        <x:v>the user has edit permission and the record is editable</x:v>
      </x:c>
      <x:c r="H2039" s="339" t="str">
        <x:v>the user saves a change</x:v>
      </x:c>
      <x:c r="I2039" s="339" t="str">
        <x:v>validation and state rules run before the update is committed</x:v>
      </x:c>
      <x:c r="J2039" s="339" t="str">
        <x:v>Positive</x:v>
      </x:c>
      <x:c r="K2039" s="339" t="str">
        <x:v>Functional</x:v>
      </x:c>
    </x:row>
    <x:row r="2040">
      <x:c r="A2040" s="339" t="str">
        <x:v>AC-02039</x:v>
      </x:c>
      <x:c r="B2040" s="339" t="str">
        <x:v>US-0510</x:v>
      </x:c>
      <x:c r="C2040" s="339" t="str">
        <x:v>SCR-255</x:v>
      </x:c>
      <x:c r="D2040" s="339" t="str">
        <x:v>Events / PTM / Communication</x:v>
      </x:c>
      <x:c r="E2040" s="339" t="str">
        <x:v>Communication History</x:v>
      </x:c>
      <x:c r="F2040" s="339" t="str">
        <x:v>Concurrent edit protection</x:v>
      </x:c>
      <x:c r="G2040" s="339" t="str">
        <x:v>another user has changed the record after it was loaded</x:v>
      </x:c>
      <x:c r="H2040" s="339" t="str">
        <x:v>the first user attempts to save stale data</x:v>
      </x:c>
      <x:c r="I2040" s="339" t="str">
        <x:v>the system detects the version conflict or preserves fields safely instead of silently overwriting</x:v>
      </x:c>
      <x:c r="J2040" s="339" t="str">
        <x:v>Positive</x:v>
      </x:c>
      <x:c r="K2040" s="339" t="str">
        <x:v>Functional</x:v>
      </x:c>
    </x:row>
    <x:row r="2041">
      <x:c r="A2041" s="339" t="str">
        <x:v>AC-02040</x:v>
      </x:c>
      <x:c r="B2041" s="339" t="str">
        <x:v>US-0510</x:v>
      </x:c>
      <x:c r="C2041" s="339" t="str">
        <x:v>SCR-255</x:v>
      </x:c>
      <x:c r="D2041" s="339" t="str">
        <x:v>Events / PTM / Communication</x:v>
      </x:c>
      <x:c r="E2041" s="339" t="str">
        <x:v>Communication History</x:v>
      </x:c>
      <x:c r="F2041" s="339" t="str">
        <x:v>History retention</x:v>
      </x:c>
      <x:c r="G2041" s="339" t="str">
        <x:v>the record has prior changes/statuses</x:v>
      </x:c>
      <x:c r="H2041" s="339" t="str">
        <x:v>the user views history</x:v>
      </x:c>
      <x:c r="I2041" s="339" t="str">
        <x:v>the audit/activity timeline shows traceable material changes without exposing restricted notes</x:v>
      </x:c>
      <x:c r="J2041" s="339" t="str">
        <x:v>Positive</x:v>
      </x:c>
      <x:c r="K2041" s="339" t="str">
        <x:v>Functional</x:v>
      </x:c>
    </x:row>
    <x:row r="2042">
      <x:c r="A2042" s="339" t="str">
        <x:v>AC-02041</x:v>
      </x:c>
      <x:c r="B2042" s="339" t="str">
        <x:v>US-0511</x:v>
      </x:c>
      <x:c r="C2042" s="339" t="str">
        <x:v>SCR-256</x:v>
      </x:c>
      <x:c r="D2042" s="339" t="str">
        <x:v>Documents &amp; Certificates</x:v>
      </x:c>
      <x:c r="E2042" s="339" t="str">
        <x:v>Document Repository</x:v>
      </x:c>
      <x:c r="F2042" s="339" t="str">
        <x:v>Authorized access to Document Repository</x:v>
      </x:c>
      <x:c r="G2042" s="339" t="str">
        <x:v>the School Admin is authenticated and has access to Document Repository</x:v>
      </x:c>
      <x:c r="H2042" s="339" t="str">
        <x:v>the user opens or invokes Document Repository</x:v>
      </x:c>
      <x:c r="I2042" s="339" t="str">
        <x:v>the system loads only records and actions within the user's permitted tenant/school/data scope</x:v>
      </x:c>
      <x:c r="J2042" s="339" t="str">
        <x:v>Positive</x:v>
      </x:c>
      <x:c r="K2042" s="339" t="str">
        <x:v>Functional / Security</x:v>
      </x:c>
    </x:row>
    <x:row r="2043">
      <x:c r="A2043" s="339" t="str">
        <x:v>AC-02042</x:v>
      </x:c>
      <x:c r="B2043" s="339" t="str">
        <x:v>US-0511</x:v>
      </x:c>
      <x:c r="C2043" s="339" t="str">
        <x:v>SCR-256</x:v>
      </x:c>
      <x:c r="D2043" s="339" t="str">
        <x:v>Documents &amp; Certificates</x:v>
      </x:c>
      <x:c r="E2043" s="339" t="str">
        <x:v>Document Repository</x:v>
      </x:c>
      <x:c r="F2043" s="339" t="str">
        <x:v>Successful Document Repository happy path</x:v>
      </x:c>
      <x:c r="G2043" s="339" t="str">
        <x:v>all mandatory prerequisites and valid data are available</x:v>
      </x:c>
      <x:c r="H2043" s="339" t="str">
        <x:v>the School Admin completes the primary action on Document Repository</x:v>
      </x:c>
      <x:c r="I2043" s="339" t="str">
        <x:v>the system validates the request, saves it atomically, shows a clear confirmation and reflects the updated state</x:v>
      </x:c>
      <x:c r="J2043" s="339" t="str">
        <x:v>Positive</x:v>
      </x:c>
      <x:c r="K2043" s="339" t="str">
        <x:v>Functional</x:v>
      </x:c>
    </x:row>
    <x:row r="2044">
      <x:c r="A2044" s="339" t="str">
        <x:v>AC-02043</x:v>
      </x:c>
      <x:c r="B2044" s="339" t="str">
        <x:v>US-0511</x:v>
      </x:c>
      <x:c r="C2044" s="339" t="str">
        <x:v>SCR-256</x:v>
      </x:c>
      <x:c r="D2044" s="339" t="str">
        <x:v>Documents &amp; Certificates</x:v>
      </x:c>
      <x:c r="E2044" s="339" t="str">
        <x:v>Document Repository</x:v>
      </x:c>
      <x:c r="F2044" s="339" t="str">
        <x:v>State and dependency integrity</x:v>
      </x:c>
      <x:c r="G2044" s="339" t="str">
        <x:v>the current record is in an allowed state (Draft / Uploaded → Pending Verification → Verified / Rejected → Expired / Replaced / Archived)</x:v>
      </x:c>
      <x:c r="H2044" s="339" t="str">
        <x:v>the user attempts a state-changing action</x:v>
      </x:c>
      <x:c r="I2044" s="339" t="str">
        <x:v>only a valid transition is accepted and dependent records are updated according to configured business rules</x:v>
      </x:c>
      <x:c r="J2044" s="339" t="str">
        <x:v>Positive</x:v>
      </x:c>
      <x:c r="K2044" s="339" t="str">
        <x:v>Functional</x:v>
      </x:c>
    </x:row>
    <x:row r="2045">
      <x:c r="A2045" s="339" t="str">
        <x:v>AC-02044</x:v>
      </x:c>
      <x:c r="B2045" s="339" t="str">
        <x:v>US-0511</x:v>
      </x:c>
      <x:c r="C2045" s="339" t="str">
        <x:v>SCR-256</x:v>
      </x:c>
      <x:c r="D2045" s="339" t="str">
        <x:v>Documents &amp; Certificates</x:v>
      </x:c>
      <x:c r="E2045" s="339" t="str">
        <x:v>Document Repository</x:v>
      </x:c>
      <x:c r="F2045" s="339" t="str">
        <x:v>Auditability</x:v>
      </x:c>
      <x:c r="G2045" s="339" t="str">
        <x:v>a material create/update/approve/reverse action occurs</x:v>
      </x:c>
      <x:c r="H2045" s="339" t="str">
        <x:v>the transaction succeeds</x:v>
      </x:c>
      <x:c r="I2045" s="339" t="str">
        <x:v>the system records actor, timestamp, action, target and relevant before/after or reason context in the audit trail</x:v>
      </x:c>
      <x:c r="J2045" s="339" t="str">
        <x:v>Positive</x:v>
      </x:c>
      <x:c r="K2045" s="339" t="str">
        <x:v>Functional</x:v>
      </x:c>
    </x:row>
    <x:row r="2046">
      <x:c r="A2046" s="339" t="str">
        <x:v>AC-02045</x:v>
      </x:c>
      <x:c r="B2046" s="339" t="str">
        <x:v>US-0512</x:v>
      </x:c>
      <x:c r="C2046" s="339" t="str">
        <x:v>SCR-256</x:v>
      </x:c>
      <x:c r="D2046" s="339" t="str">
        <x:v>Documents &amp; Certificates</x:v>
      </x:c>
      <x:c r="E2046" s="339" t="str">
        <x:v>Document Repository</x:v>
      </x:c>
      <x:c r="F2046" s="339" t="str">
        <x:v>Valid status transition</x:v>
      </x:c>
      <x:c r="G2046" s="339" t="str">
        <x:v>the record is in a state described by Draft / Uploaded → Pending Verification → Verified / Rejected → Expired / Replaced / Archived</x:v>
      </x:c>
      <x:c r="H2046" s="339" t="str">
        <x:v>the user requests a transition</x:v>
      </x:c>
      <x:c r="I2046" s="339" t="str">
        <x:v>the system accepts only transitions allowed for that role and state</x:v>
      </x:c>
      <x:c r="J2046" s="339" t="str">
        <x:v>Positive</x:v>
      </x:c>
      <x:c r="K2046" s="339" t="str">
        <x:v>Functional</x:v>
      </x:c>
    </x:row>
    <x:row r="2047">
      <x:c r="A2047" s="339" t="str">
        <x:v>AC-02046</x:v>
      </x:c>
      <x:c r="B2047" s="339" t="str">
        <x:v>US-0512</x:v>
      </x:c>
      <x:c r="C2047" s="339" t="str">
        <x:v>SCR-256</x:v>
      </x:c>
      <x:c r="D2047" s="339" t="str">
        <x:v>Documents &amp; Certificates</x:v>
      </x:c>
      <x:c r="E2047" s="339" t="str">
        <x:v>Document Repository</x:v>
      </x:c>
      <x:c r="F2047" s="339" t="str">
        <x:v>Approval authority</x:v>
      </x:c>
      <x:c r="G2047" s="339" t="str">
        <x:v>an action requires approval</x:v>
      </x:c>
      <x:c r="H2047" s="339" t="str">
        <x:v>a non-authorized user attempts approval/rejection</x:v>
      </x:c>
      <x:c r="I2047" s="339" t="str">
        <x:v>the system denies the decision and does not change status</x:v>
      </x:c>
      <x:c r="J2047" s="339" t="str">
        <x:v>Negative</x:v>
      </x:c>
      <x:c r="K2047" s="339" t="str">
        <x:v>Functional</x:v>
      </x:c>
    </x:row>
    <x:row r="2048">
      <x:c r="A2048" s="339" t="str">
        <x:v>AC-02047</x:v>
      </x:c>
      <x:c r="B2048" s="339" t="str">
        <x:v>US-0512</x:v>
      </x:c>
      <x:c r="C2048" s="339" t="str">
        <x:v>SCR-256</x:v>
      </x:c>
      <x:c r="D2048" s="339" t="str">
        <x:v>Documents &amp; Certificates</x:v>
      </x:c>
      <x:c r="E2048" s="339" t="str">
        <x:v>Document Repository</x:v>
      </x:c>
      <x:c r="F2048" s="339" t="str">
        <x:v>Failure rollback</x:v>
      </x:c>
      <x:c r="G2048" s="339" t="str">
        <x:v>a downstream dependency fails during a multi-step transaction</x:v>
      </x:c>
      <x:c r="H2048" s="339" t="str">
        <x:v>the workflow executes</x:v>
      </x:c>
      <x:c r="I2048" s="339" t="str">
        <x:v>the system does not leave an invalid partial final state and surfaces a recoverable error</x:v>
      </x:c>
      <x:c r="J2048" s="339" t="str">
        <x:v>Positive</x:v>
      </x:c>
      <x:c r="K2048" s="339" t="str">
        <x:v>Functional</x:v>
      </x:c>
    </x:row>
    <x:row r="2049">
      <x:c r="A2049" s="339" t="str">
        <x:v>AC-02048</x:v>
      </x:c>
      <x:c r="B2049" s="339" t="str">
        <x:v>US-0512</x:v>
      </x:c>
      <x:c r="C2049" s="339" t="str">
        <x:v>SCR-256</x:v>
      </x:c>
      <x:c r="D2049" s="339" t="str">
        <x:v>Documents &amp; Certificates</x:v>
      </x:c>
      <x:c r="E2049" s="339" t="str">
        <x:v>Document Repository</x:v>
      </x:c>
      <x:c r="F2049" s="339" t="str">
        <x:v>Exception traceability</x:v>
      </x:c>
      <x:c r="G2049" s="339" t="str">
        <x:v>an authorized override/exception is used</x:v>
      </x:c>
      <x:c r="H2049" s="339" t="str">
        <x:v>the action is confirmed</x:v>
      </x:c>
      <x:c r="I2049" s="339" t="str">
        <x:v>the system requires reason/context and records it in the audit history</x:v>
      </x:c>
      <x:c r="J2049" s="339" t="str">
        <x:v>Positive</x:v>
      </x:c>
      <x:c r="K2049" s="339" t="str">
        <x:v>Functional</x:v>
      </x:c>
    </x:row>
    <x:row r="2050">
      <x:c r="A2050" s="339" t="str">
        <x:v>AC-02049</x:v>
      </x:c>
      <x:c r="B2050" s="339" t="str">
        <x:v>US-0513</x:v>
      </x:c>
      <x:c r="C2050" s="339" t="str">
        <x:v>SCR-257</x:v>
      </x:c>
      <x:c r="D2050" s="339" t="str">
        <x:v>Documents &amp; Certificates</x:v>
      </x:c>
      <x:c r="E2050" s="339" t="str">
        <x:v>Student Documents</x:v>
      </x:c>
      <x:c r="F2050" s="339" t="str">
        <x:v>Authorized access to Student Documents</x:v>
      </x:c>
      <x:c r="G2050" s="339" t="str">
        <x:v>the School Admin is authenticated and has access to Student Documents</x:v>
      </x:c>
      <x:c r="H2050" s="339" t="str">
        <x:v>the user opens or invokes Student Documents</x:v>
      </x:c>
      <x:c r="I2050" s="339" t="str">
        <x:v>the system loads only records and actions within the user's permitted tenant/school/data scope</x:v>
      </x:c>
      <x:c r="J2050" s="339" t="str">
        <x:v>Positive</x:v>
      </x:c>
      <x:c r="K2050" s="339" t="str">
        <x:v>Functional / Security</x:v>
      </x:c>
    </x:row>
    <x:row r="2051">
      <x:c r="A2051" s="339" t="str">
        <x:v>AC-02050</x:v>
      </x:c>
      <x:c r="B2051" s="339" t="str">
        <x:v>US-0513</x:v>
      </x:c>
      <x:c r="C2051" s="339" t="str">
        <x:v>SCR-257</x:v>
      </x:c>
      <x:c r="D2051" s="339" t="str">
        <x:v>Documents &amp; Certificates</x:v>
      </x:c>
      <x:c r="E2051" s="339" t="str">
        <x:v>Student Documents</x:v>
      </x:c>
      <x:c r="F2051" s="339" t="str">
        <x:v>Successful Student Documents happy path</x:v>
      </x:c>
      <x:c r="G2051" s="339" t="str">
        <x:v>all mandatory prerequisites and valid data are available</x:v>
      </x:c>
      <x:c r="H2051" s="339" t="str">
        <x:v>the School Admin completes the primary action on Student Documents</x:v>
      </x:c>
      <x:c r="I2051" s="339" t="str">
        <x:v>the system validates the request, saves it atomically, shows a clear confirmation and reflects the updated state</x:v>
      </x:c>
      <x:c r="J2051" s="339" t="str">
        <x:v>Positive</x:v>
      </x:c>
      <x:c r="K2051" s="339" t="str">
        <x:v>Functional</x:v>
      </x:c>
    </x:row>
    <x:row r="2052">
      <x:c r="A2052" s="339" t="str">
        <x:v>AC-02051</x:v>
      </x:c>
      <x:c r="B2052" s="339" t="str">
        <x:v>US-0513</x:v>
      </x:c>
      <x:c r="C2052" s="339" t="str">
        <x:v>SCR-257</x:v>
      </x:c>
      <x:c r="D2052" s="339" t="str">
        <x:v>Documents &amp; Certificates</x:v>
      </x:c>
      <x:c r="E2052" s="339" t="str">
        <x:v>Student Documents</x:v>
      </x:c>
      <x:c r="F2052" s="339" t="str">
        <x:v>State and dependency integrity</x:v>
      </x:c>
      <x:c r="G2052" s="339" t="str">
        <x:v>the current record is in an allowed state (Draft / Uploaded → Pending Verification → Verified / Rejected → Expired / Replaced / Archived)</x:v>
      </x:c>
      <x:c r="H2052" s="339" t="str">
        <x:v>the user attempts a state-changing action</x:v>
      </x:c>
      <x:c r="I2052" s="339" t="str">
        <x:v>only a valid transition is accepted and dependent records are updated according to configured business rules</x:v>
      </x:c>
      <x:c r="J2052" s="339" t="str">
        <x:v>Positive</x:v>
      </x:c>
      <x:c r="K2052" s="339" t="str">
        <x:v>Functional</x:v>
      </x:c>
    </x:row>
    <x:row r="2053">
      <x:c r="A2053" s="339" t="str">
        <x:v>AC-02052</x:v>
      </x:c>
      <x:c r="B2053" s="339" t="str">
        <x:v>US-0513</x:v>
      </x:c>
      <x:c r="C2053" s="339" t="str">
        <x:v>SCR-257</x:v>
      </x:c>
      <x:c r="D2053" s="339" t="str">
        <x:v>Documents &amp; Certificates</x:v>
      </x:c>
      <x:c r="E2053" s="339" t="str">
        <x:v>Student Documents</x:v>
      </x:c>
      <x:c r="F2053" s="339" t="str">
        <x:v>Auditability</x:v>
      </x:c>
      <x:c r="G2053" s="339" t="str">
        <x:v>a material create/update/approve/reverse action occurs</x:v>
      </x:c>
      <x:c r="H2053" s="339" t="str">
        <x:v>the transaction succeeds</x:v>
      </x:c>
      <x:c r="I2053" s="339" t="str">
        <x:v>the system records actor, timestamp, action, target and relevant before/after or reason context in the audit trail</x:v>
      </x:c>
      <x:c r="J2053" s="339" t="str">
        <x:v>Positive</x:v>
      </x:c>
      <x:c r="K2053" s="339" t="str">
        <x:v>Functional</x:v>
      </x:c>
    </x:row>
    <x:row r="2054">
      <x:c r="A2054" s="339" t="str">
        <x:v>AC-02053</x:v>
      </x:c>
      <x:c r="B2054" s="339" t="str">
        <x:v>US-0514</x:v>
      </x:c>
      <x:c r="C2054" s="339" t="str">
        <x:v>SCR-257</x:v>
      </x:c>
      <x:c r="D2054" s="339" t="str">
        <x:v>Documents &amp; Certificates</x:v>
      </x:c>
      <x:c r="E2054" s="339" t="str">
        <x:v>Student Documents</x:v>
      </x:c>
      <x:c r="F2054" s="339" t="str">
        <x:v>Valid status transition</x:v>
      </x:c>
      <x:c r="G2054" s="339" t="str">
        <x:v>the record is in a state described by Draft / Uploaded → Pending Verification → Verified / Rejected → Expired / Replaced / Archived</x:v>
      </x:c>
      <x:c r="H2054" s="339" t="str">
        <x:v>the user requests a transition</x:v>
      </x:c>
      <x:c r="I2054" s="339" t="str">
        <x:v>the system accepts only transitions allowed for that role and state</x:v>
      </x:c>
      <x:c r="J2054" s="339" t="str">
        <x:v>Positive</x:v>
      </x:c>
      <x:c r="K2054" s="339" t="str">
        <x:v>Functional</x:v>
      </x:c>
    </x:row>
    <x:row r="2055">
      <x:c r="A2055" s="339" t="str">
        <x:v>AC-02054</x:v>
      </x:c>
      <x:c r="B2055" s="339" t="str">
        <x:v>US-0514</x:v>
      </x:c>
      <x:c r="C2055" s="339" t="str">
        <x:v>SCR-257</x:v>
      </x:c>
      <x:c r="D2055" s="339" t="str">
        <x:v>Documents &amp; Certificates</x:v>
      </x:c>
      <x:c r="E2055" s="339" t="str">
        <x:v>Student Documents</x:v>
      </x:c>
      <x:c r="F2055" s="339" t="str">
        <x:v>Approval authority</x:v>
      </x:c>
      <x:c r="G2055" s="339" t="str">
        <x:v>an action requires approval</x:v>
      </x:c>
      <x:c r="H2055" s="339" t="str">
        <x:v>a non-authorized user attempts approval/rejection</x:v>
      </x:c>
      <x:c r="I2055" s="339" t="str">
        <x:v>the system denies the decision and does not change status</x:v>
      </x:c>
      <x:c r="J2055" s="339" t="str">
        <x:v>Negative</x:v>
      </x:c>
      <x:c r="K2055" s="339" t="str">
        <x:v>Functional</x:v>
      </x:c>
    </x:row>
    <x:row r="2056">
      <x:c r="A2056" s="339" t="str">
        <x:v>AC-02055</x:v>
      </x:c>
      <x:c r="B2056" s="339" t="str">
        <x:v>US-0514</x:v>
      </x:c>
      <x:c r="C2056" s="339" t="str">
        <x:v>SCR-257</x:v>
      </x:c>
      <x:c r="D2056" s="339" t="str">
        <x:v>Documents &amp; Certificates</x:v>
      </x:c>
      <x:c r="E2056" s="339" t="str">
        <x:v>Student Documents</x:v>
      </x:c>
      <x:c r="F2056" s="339" t="str">
        <x:v>Failure rollback</x:v>
      </x:c>
      <x:c r="G2056" s="339" t="str">
        <x:v>a downstream dependency fails during a multi-step transaction</x:v>
      </x:c>
      <x:c r="H2056" s="339" t="str">
        <x:v>the workflow executes</x:v>
      </x:c>
      <x:c r="I2056" s="339" t="str">
        <x:v>the system does not leave an invalid partial final state and surfaces a recoverable error</x:v>
      </x:c>
      <x:c r="J2056" s="339" t="str">
        <x:v>Positive</x:v>
      </x:c>
      <x:c r="K2056" s="339" t="str">
        <x:v>Functional</x:v>
      </x:c>
    </x:row>
    <x:row r="2057">
      <x:c r="A2057" s="339" t="str">
        <x:v>AC-02056</x:v>
      </x:c>
      <x:c r="B2057" s="339" t="str">
        <x:v>US-0514</x:v>
      </x:c>
      <x:c r="C2057" s="339" t="str">
        <x:v>SCR-257</x:v>
      </x:c>
      <x:c r="D2057" s="339" t="str">
        <x:v>Documents &amp; Certificates</x:v>
      </x:c>
      <x:c r="E2057" s="339" t="str">
        <x:v>Student Documents</x:v>
      </x:c>
      <x:c r="F2057" s="339" t="str">
        <x:v>Exception traceability</x:v>
      </x:c>
      <x:c r="G2057" s="339" t="str">
        <x:v>an authorized override/exception is used</x:v>
      </x:c>
      <x:c r="H2057" s="339" t="str">
        <x:v>the action is confirmed</x:v>
      </x:c>
      <x:c r="I2057" s="339" t="str">
        <x:v>the system requires reason/context and records it in the audit history</x:v>
      </x:c>
      <x:c r="J2057" s="339" t="str">
        <x:v>Positive</x:v>
      </x:c>
      <x:c r="K2057" s="339" t="str">
        <x:v>Functional</x:v>
      </x:c>
    </x:row>
    <x:row r="2058">
      <x:c r="A2058" s="339" t="str">
        <x:v>AC-02057</x:v>
      </x:c>
      <x:c r="B2058" s="339" t="str">
        <x:v>US-0515</x:v>
      </x:c>
      <x:c r="C2058" s="339" t="str">
        <x:v>SCR-258</x:v>
      </x:c>
      <x:c r="D2058" s="339" t="str">
        <x:v>Documents &amp; Certificates</x:v>
      </x:c>
      <x:c r="E2058" s="339" t="str">
        <x:v>Staff Documents</x:v>
      </x:c>
      <x:c r="F2058" s="339" t="str">
        <x:v>Authorized access to Staff Documents</x:v>
      </x:c>
      <x:c r="G2058" s="339" t="str">
        <x:v>the HR is authenticated and has access to Staff Documents</x:v>
      </x:c>
      <x:c r="H2058" s="339" t="str">
        <x:v>the user opens or invokes Staff Documents</x:v>
      </x:c>
      <x:c r="I2058" s="339" t="str">
        <x:v>the system loads only records and actions within the user's permitted tenant/school/data scope</x:v>
      </x:c>
      <x:c r="J2058" s="339" t="str">
        <x:v>Positive</x:v>
      </x:c>
      <x:c r="K2058" s="339" t="str">
        <x:v>Functional / Security</x:v>
      </x:c>
    </x:row>
    <x:row r="2059">
      <x:c r="A2059" s="339" t="str">
        <x:v>AC-02058</x:v>
      </x:c>
      <x:c r="B2059" s="339" t="str">
        <x:v>US-0515</x:v>
      </x:c>
      <x:c r="C2059" s="339" t="str">
        <x:v>SCR-258</x:v>
      </x:c>
      <x:c r="D2059" s="339" t="str">
        <x:v>Documents &amp; Certificates</x:v>
      </x:c>
      <x:c r="E2059" s="339" t="str">
        <x:v>Staff Documents</x:v>
      </x:c>
      <x:c r="F2059" s="339" t="str">
        <x:v>Successful Staff Documents happy path</x:v>
      </x:c>
      <x:c r="G2059" s="339" t="str">
        <x:v>all mandatory prerequisites and valid data are available</x:v>
      </x:c>
      <x:c r="H2059" s="339" t="str">
        <x:v>the HR completes the primary action on Staff Documents</x:v>
      </x:c>
      <x:c r="I2059" s="339" t="str">
        <x:v>the system validates the request, saves it atomically, shows a clear confirmation and reflects the updated state</x:v>
      </x:c>
      <x:c r="J2059" s="339" t="str">
        <x:v>Positive</x:v>
      </x:c>
      <x:c r="K2059" s="339" t="str">
        <x:v>Functional</x:v>
      </x:c>
    </x:row>
    <x:row r="2060">
      <x:c r="A2060" s="339" t="str">
        <x:v>AC-02059</x:v>
      </x:c>
      <x:c r="B2060" s="339" t="str">
        <x:v>US-0515</x:v>
      </x:c>
      <x:c r="C2060" s="339" t="str">
        <x:v>SCR-258</x:v>
      </x:c>
      <x:c r="D2060" s="339" t="str">
        <x:v>Documents &amp; Certificates</x:v>
      </x:c>
      <x:c r="E2060" s="339" t="str">
        <x:v>Staff Documents</x:v>
      </x:c>
      <x:c r="F2060" s="339" t="str">
        <x:v>State and dependency integrity</x:v>
      </x:c>
      <x:c r="G2060" s="339" t="str">
        <x:v>the current record is in an allowed state (Draft / Uploaded → Pending Verification → Verified / Rejected → Expired / Replaced / Archived)</x:v>
      </x:c>
      <x:c r="H2060" s="339" t="str">
        <x:v>the user attempts a state-changing action</x:v>
      </x:c>
      <x:c r="I2060" s="339" t="str">
        <x:v>only a valid transition is accepted and dependent records are updated according to configured business rules</x:v>
      </x:c>
      <x:c r="J2060" s="339" t="str">
        <x:v>Positive</x:v>
      </x:c>
      <x:c r="K2060" s="339" t="str">
        <x:v>Functional</x:v>
      </x:c>
    </x:row>
    <x:row r="2061">
      <x:c r="A2061" s="339" t="str">
        <x:v>AC-02060</x:v>
      </x:c>
      <x:c r="B2061" s="339" t="str">
        <x:v>US-0515</x:v>
      </x:c>
      <x:c r="C2061" s="339" t="str">
        <x:v>SCR-258</x:v>
      </x:c>
      <x:c r="D2061" s="339" t="str">
        <x:v>Documents &amp; Certificates</x:v>
      </x:c>
      <x:c r="E2061" s="339" t="str">
        <x:v>Staff Documents</x:v>
      </x:c>
      <x:c r="F2061" s="339" t="str">
        <x:v>Auditability</x:v>
      </x:c>
      <x:c r="G2061" s="339" t="str">
        <x:v>a material create/update/approve/reverse action occurs</x:v>
      </x:c>
      <x:c r="H2061" s="339" t="str">
        <x:v>the transaction succeeds</x:v>
      </x:c>
      <x:c r="I2061" s="339" t="str">
        <x:v>the system records actor, timestamp, action, target and relevant before/after or reason context in the audit trail</x:v>
      </x:c>
      <x:c r="J2061" s="339" t="str">
        <x:v>Positive</x:v>
      </x:c>
      <x:c r="K2061" s="339" t="str">
        <x:v>Functional</x:v>
      </x:c>
    </x:row>
    <x:row r="2062">
      <x:c r="A2062" s="339" t="str">
        <x:v>AC-02061</x:v>
      </x:c>
      <x:c r="B2062" s="339" t="str">
        <x:v>US-0516</x:v>
      </x:c>
      <x:c r="C2062" s="339" t="str">
        <x:v>SCR-258</x:v>
      </x:c>
      <x:c r="D2062" s="339" t="str">
        <x:v>Documents &amp; Certificates</x:v>
      </x:c>
      <x:c r="E2062" s="339" t="str">
        <x:v>Staff Documents</x:v>
      </x:c>
      <x:c r="F2062" s="339" t="str">
        <x:v>Valid status transition</x:v>
      </x:c>
      <x:c r="G2062" s="339" t="str">
        <x:v>the record is in a state described by Draft / Uploaded → Pending Verification → Verified / Rejected → Expired / Replaced / Archived</x:v>
      </x:c>
      <x:c r="H2062" s="339" t="str">
        <x:v>the user requests a transition</x:v>
      </x:c>
      <x:c r="I2062" s="339" t="str">
        <x:v>the system accepts only transitions allowed for that role and state</x:v>
      </x:c>
      <x:c r="J2062" s="339" t="str">
        <x:v>Positive</x:v>
      </x:c>
      <x:c r="K2062" s="339" t="str">
        <x:v>Functional</x:v>
      </x:c>
    </x:row>
    <x:row r="2063">
      <x:c r="A2063" s="339" t="str">
        <x:v>AC-02062</x:v>
      </x:c>
      <x:c r="B2063" s="339" t="str">
        <x:v>US-0516</x:v>
      </x:c>
      <x:c r="C2063" s="339" t="str">
        <x:v>SCR-258</x:v>
      </x:c>
      <x:c r="D2063" s="339" t="str">
        <x:v>Documents &amp; Certificates</x:v>
      </x:c>
      <x:c r="E2063" s="339" t="str">
        <x:v>Staff Documents</x:v>
      </x:c>
      <x:c r="F2063" s="339" t="str">
        <x:v>Approval authority</x:v>
      </x:c>
      <x:c r="G2063" s="339" t="str">
        <x:v>an action requires approval</x:v>
      </x:c>
      <x:c r="H2063" s="339" t="str">
        <x:v>a non-authorized user attempts approval/rejection</x:v>
      </x:c>
      <x:c r="I2063" s="339" t="str">
        <x:v>the system denies the decision and does not change status</x:v>
      </x:c>
      <x:c r="J2063" s="339" t="str">
        <x:v>Negative</x:v>
      </x:c>
      <x:c r="K2063" s="339" t="str">
        <x:v>Functional</x:v>
      </x:c>
    </x:row>
    <x:row r="2064">
      <x:c r="A2064" s="339" t="str">
        <x:v>AC-02063</x:v>
      </x:c>
      <x:c r="B2064" s="339" t="str">
        <x:v>US-0516</x:v>
      </x:c>
      <x:c r="C2064" s="339" t="str">
        <x:v>SCR-258</x:v>
      </x:c>
      <x:c r="D2064" s="339" t="str">
        <x:v>Documents &amp; Certificates</x:v>
      </x:c>
      <x:c r="E2064" s="339" t="str">
        <x:v>Staff Documents</x:v>
      </x:c>
      <x:c r="F2064" s="339" t="str">
        <x:v>Failure rollback</x:v>
      </x:c>
      <x:c r="G2064" s="339" t="str">
        <x:v>a downstream dependency fails during a multi-step transaction</x:v>
      </x:c>
      <x:c r="H2064" s="339" t="str">
        <x:v>the workflow executes</x:v>
      </x:c>
      <x:c r="I2064" s="339" t="str">
        <x:v>the system does not leave an invalid partial final state and surfaces a recoverable error</x:v>
      </x:c>
      <x:c r="J2064" s="339" t="str">
        <x:v>Positive</x:v>
      </x:c>
      <x:c r="K2064" s="339" t="str">
        <x:v>Functional</x:v>
      </x:c>
    </x:row>
    <x:row r="2065">
      <x:c r="A2065" s="339" t="str">
        <x:v>AC-02064</x:v>
      </x:c>
      <x:c r="B2065" s="339" t="str">
        <x:v>US-0516</x:v>
      </x:c>
      <x:c r="C2065" s="339" t="str">
        <x:v>SCR-258</x:v>
      </x:c>
      <x:c r="D2065" s="339" t="str">
        <x:v>Documents &amp; Certificates</x:v>
      </x:c>
      <x:c r="E2065" s="339" t="str">
        <x:v>Staff Documents</x:v>
      </x:c>
      <x:c r="F2065" s="339" t="str">
        <x:v>Exception traceability</x:v>
      </x:c>
      <x:c r="G2065" s="339" t="str">
        <x:v>an authorized override/exception is used</x:v>
      </x:c>
      <x:c r="H2065" s="339" t="str">
        <x:v>the action is confirmed</x:v>
      </x:c>
      <x:c r="I2065" s="339" t="str">
        <x:v>the system requires reason/context and records it in the audit history</x:v>
      </x:c>
      <x:c r="J2065" s="339" t="str">
        <x:v>Positive</x:v>
      </x:c>
      <x:c r="K2065" s="339" t="str">
        <x:v>Functional</x:v>
      </x:c>
    </x:row>
    <x:row r="2066">
      <x:c r="A2066" s="339" t="str">
        <x:v>AC-02065</x:v>
      </x:c>
      <x:c r="B2066" s="339" t="str">
        <x:v>US-0517</x:v>
      </x:c>
      <x:c r="C2066" s="339" t="str">
        <x:v>SCR-259</x:v>
      </x:c>
      <x:c r="D2066" s="339" t="str">
        <x:v>Documents &amp; Certificates</x:v>
      </x:c>
      <x:c r="E2066" s="339" t="str">
        <x:v>Upload &amp; Verification</x:v>
      </x:c>
      <x:c r="F2066" s="339" t="str">
        <x:v>Authorized access to Upload &amp; Verification</x:v>
      </x:c>
      <x:c r="G2066" s="339" t="str">
        <x:v>the School Admin is authenticated and has access to Upload &amp; Verification</x:v>
      </x:c>
      <x:c r="H2066" s="339" t="str">
        <x:v>the user opens or invokes Upload &amp; Verification</x:v>
      </x:c>
      <x:c r="I2066" s="339" t="str">
        <x:v>the system loads only records and actions within the user's permitted tenant/school/data scope</x:v>
      </x:c>
      <x:c r="J2066" s="339" t="str">
        <x:v>Positive</x:v>
      </x:c>
      <x:c r="K2066" s="339" t="str">
        <x:v>Functional / Security</x:v>
      </x:c>
    </x:row>
    <x:row r="2067">
      <x:c r="A2067" s="339" t="str">
        <x:v>AC-02066</x:v>
      </x:c>
      <x:c r="B2067" s="339" t="str">
        <x:v>US-0517</x:v>
      </x:c>
      <x:c r="C2067" s="339" t="str">
        <x:v>SCR-259</x:v>
      </x:c>
      <x:c r="D2067" s="339" t="str">
        <x:v>Documents &amp; Certificates</x:v>
      </x:c>
      <x:c r="E2067" s="339" t="str">
        <x:v>Upload &amp; Verification</x:v>
      </x:c>
      <x:c r="F2067" s="339" t="str">
        <x:v>Successful Upload &amp; Verification happy path</x:v>
      </x:c>
      <x:c r="G2067" s="339" t="str">
        <x:v>all mandatory prerequisites and valid data are available</x:v>
      </x:c>
      <x:c r="H2067" s="339" t="str">
        <x:v>the School Admin completes the primary action on Upload &amp; Verification</x:v>
      </x:c>
      <x:c r="I2067" s="339" t="str">
        <x:v>the system validates the request, saves it atomically, shows a clear confirmation and reflects the updated state</x:v>
      </x:c>
      <x:c r="J2067" s="339" t="str">
        <x:v>Positive</x:v>
      </x:c>
      <x:c r="K2067" s="339" t="str">
        <x:v>Functional</x:v>
      </x:c>
    </x:row>
    <x:row r="2068">
      <x:c r="A2068" s="339" t="str">
        <x:v>AC-02067</x:v>
      </x:c>
      <x:c r="B2068" s="339" t="str">
        <x:v>US-0517</x:v>
      </x:c>
      <x:c r="C2068" s="339" t="str">
        <x:v>SCR-259</x:v>
      </x:c>
      <x:c r="D2068" s="339" t="str">
        <x:v>Documents &amp; Certificates</x:v>
      </x:c>
      <x:c r="E2068" s="339" t="str">
        <x:v>Upload &amp; Verification</x:v>
      </x:c>
      <x:c r="F2068" s="339" t="str">
        <x:v>State and dependency integrity</x:v>
      </x:c>
      <x:c r="G2068" s="339" t="str">
        <x:v>the current record is in an allowed state (Draft / Uploaded → Pending Verification → Verified / Rejected → Expired / Replaced / Archived)</x:v>
      </x:c>
      <x:c r="H2068" s="339" t="str">
        <x:v>the user attempts a state-changing action</x:v>
      </x:c>
      <x:c r="I2068" s="339" t="str">
        <x:v>only a valid transition is accepted and dependent records are updated according to configured business rules</x:v>
      </x:c>
      <x:c r="J2068" s="339" t="str">
        <x:v>Positive</x:v>
      </x:c>
      <x:c r="K2068" s="339" t="str">
        <x:v>Functional</x:v>
      </x:c>
    </x:row>
    <x:row r="2069">
      <x:c r="A2069" s="339" t="str">
        <x:v>AC-02068</x:v>
      </x:c>
      <x:c r="B2069" s="339" t="str">
        <x:v>US-0517</x:v>
      </x:c>
      <x:c r="C2069" s="339" t="str">
        <x:v>SCR-259</x:v>
      </x:c>
      <x:c r="D2069" s="339" t="str">
        <x:v>Documents &amp; Certificates</x:v>
      </x:c>
      <x:c r="E2069" s="339" t="str">
        <x:v>Upload &amp; Verification</x:v>
      </x:c>
      <x:c r="F2069" s="339" t="str">
        <x:v>Auditability</x:v>
      </x:c>
      <x:c r="G2069" s="339" t="str">
        <x:v>a material create/update/approve/reverse action occurs</x:v>
      </x:c>
      <x:c r="H2069" s="339" t="str">
        <x:v>the transaction succeeds</x:v>
      </x:c>
      <x:c r="I2069" s="339" t="str">
        <x:v>the system records actor, timestamp, action, target and relevant before/after or reason context in the audit trail</x:v>
      </x:c>
      <x:c r="J2069" s="339" t="str">
        <x:v>Positive</x:v>
      </x:c>
      <x:c r="K2069" s="339" t="str">
        <x:v>Functional</x:v>
      </x:c>
    </x:row>
    <x:row r="2070">
      <x:c r="A2070" s="339" t="str">
        <x:v>AC-02069</x:v>
      </x:c>
      <x:c r="B2070" s="339" t="str">
        <x:v>US-0518</x:v>
      </x:c>
      <x:c r="C2070" s="339" t="str">
        <x:v>SCR-259</x:v>
      </x:c>
      <x:c r="D2070" s="339" t="str">
        <x:v>Documents &amp; Certificates</x:v>
      </x:c>
      <x:c r="E2070" s="339" t="str">
        <x:v>Upload &amp; Verification</x:v>
      </x:c>
      <x:c r="F2070" s="339" t="str">
        <x:v>Valid status transition</x:v>
      </x:c>
      <x:c r="G2070" s="339" t="str">
        <x:v>the record is in a state described by Draft / Uploaded → Pending Verification → Verified / Rejected → Expired / Replaced / Archived</x:v>
      </x:c>
      <x:c r="H2070" s="339" t="str">
        <x:v>the user requests a transition</x:v>
      </x:c>
      <x:c r="I2070" s="339" t="str">
        <x:v>the system accepts only transitions allowed for that role and state</x:v>
      </x:c>
      <x:c r="J2070" s="339" t="str">
        <x:v>Positive</x:v>
      </x:c>
      <x:c r="K2070" s="339" t="str">
        <x:v>Functional</x:v>
      </x:c>
    </x:row>
    <x:row r="2071">
      <x:c r="A2071" s="339" t="str">
        <x:v>AC-02070</x:v>
      </x:c>
      <x:c r="B2071" s="339" t="str">
        <x:v>US-0518</x:v>
      </x:c>
      <x:c r="C2071" s="339" t="str">
        <x:v>SCR-259</x:v>
      </x:c>
      <x:c r="D2071" s="339" t="str">
        <x:v>Documents &amp; Certificates</x:v>
      </x:c>
      <x:c r="E2071" s="339" t="str">
        <x:v>Upload &amp; Verification</x:v>
      </x:c>
      <x:c r="F2071" s="339" t="str">
        <x:v>Approval authority</x:v>
      </x:c>
      <x:c r="G2071" s="339" t="str">
        <x:v>an action requires approval</x:v>
      </x:c>
      <x:c r="H2071" s="339" t="str">
        <x:v>a non-authorized user attempts approval/rejection</x:v>
      </x:c>
      <x:c r="I2071" s="339" t="str">
        <x:v>the system denies the decision and does not change status</x:v>
      </x:c>
      <x:c r="J2071" s="339" t="str">
        <x:v>Negative</x:v>
      </x:c>
      <x:c r="K2071" s="339" t="str">
        <x:v>Functional</x:v>
      </x:c>
    </x:row>
    <x:row r="2072">
      <x:c r="A2072" s="339" t="str">
        <x:v>AC-02071</x:v>
      </x:c>
      <x:c r="B2072" s="339" t="str">
        <x:v>US-0518</x:v>
      </x:c>
      <x:c r="C2072" s="339" t="str">
        <x:v>SCR-259</x:v>
      </x:c>
      <x:c r="D2072" s="339" t="str">
        <x:v>Documents &amp; Certificates</x:v>
      </x:c>
      <x:c r="E2072" s="339" t="str">
        <x:v>Upload &amp; Verification</x:v>
      </x:c>
      <x:c r="F2072" s="339" t="str">
        <x:v>Failure rollback</x:v>
      </x:c>
      <x:c r="G2072" s="339" t="str">
        <x:v>a downstream dependency fails during a multi-step transaction</x:v>
      </x:c>
      <x:c r="H2072" s="339" t="str">
        <x:v>the workflow executes</x:v>
      </x:c>
      <x:c r="I2072" s="339" t="str">
        <x:v>the system does not leave an invalid partial final state and surfaces a recoverable error</x:v>
      </x:c>
      <x:c r="J2072" s="339" t="str">
        <x:v>Positive</x:v>
      </x:c>
      <x:c r="K2072" s="339" t="str">
        <x:v>Functional</x:v>
      </x:c>
    </x:row>
    <x:row r="2073">
      <x:c r="A2073" s="339" t="str">
        <x:v>AC-02072</x:v>
      </x:c>
      <x:c r="B2073" s="339" t="str">
        <x:v>US-0518</x:v>
      </x:c>
      <x:c r="C2073" s="339" t="str">
        <x:v>SCR-259</x:v>
      </x:c>
      <x:c r="D2073" s="339" t="str">
        <x:v>Documents &amp; Certificates</x:v>
      </x:c>
      <x:c r="E2073" s="339" t="str">
        <x:v>Upload &amp; Verification</x:v>
      </x:c>
      <x:c r="F2073" s="339" t="str">
        <x:v>Exception traceability</x:v>
      </x:c>
      <x:c r="G2073" s="339" t="str">
        <x:v>an authorized override/exception is used</x:v>
      </x:c>
      <x:c r="H2073" s="339" t="str">
        <x:v>the action is confirmed</x:v>
      </x:c>
      <x:c r="I2073" s="339" t="str">
        <x:v>the system requires reason/context and records it in the audit history</x:v>
      </x:c>
      <x:c r="J2073" s="339" t="str">
        <x:v>Positive</x:v>
      </x:c>
      <x:c r="K2073" s="339" t="str">
        <x:v>Functional</x:v>
      </x:c>
    </x:row>
    <x:row r="2074">
      <x:c r="A2074" s="339" t="str">
        <x:v>AC-02073</x:v>
      </x:c>
      <x:c r="B2074" s="339" t="str">
        <x:v>US-0519</x:v>
      </x:c>
      <x:c r="C2074" s="339" t="str">
        <x:v>SCR-260</x:v>
      </x:c>
      <x:c r="D2074" s="339" t="str">
        <x:v>Documents &amp; Certificates</x:v>
      </x:c>
      <x:c r="E2074" s="339" t="str">
        <x:v>Certificate Templates</x:v>
      </x:c>
      <x:c r="F2074" s="339" t="str">
        <x:v>Authorized access to Certificate Templates</x:v>
      </x:c>
      <x:c r="G2074" s="339" t="str">
        <x:v>the School Admin is authenticated and has access to Certificate Templates</x:v>
      </x:c>
      <x:c r="H2074" s="339" t="str">
        <x:v>the user opens or invokes Certificate Templates</x:v>
      </x:c>
      <x:c r="I2074" s="339" t="str">
        <x:v>the system loads only records and actions within the user's permitted tenant/school/data scope</x:v>
      </x:c>
      <x:c r="J2074" s="339" t="str">
        <x:v>Positive</x:v>
      </x:c>
      <x:c r="K2074" s="339" t="str">
        <x:v>Functional / Security</x:v>
      </x:c>
    </x:row>
    <x:row r="2075">
      <x:c r="A2075" s="339" t="str">
        <x:v>AC-02074</x:v>
      </x:c>
      <x:c r="B2075" s="339" t="str">
        <x:v>US-0519</x:v>
      </x:c>
      <x:c r="C2075" s="339" t="str">
        <x:v>SCR-260</x:v>
      </x:c>
      <x:c r="D2075" s="339" t="str">
        <x:v>Documents &amp; Certificates</x:v>
      </x:c>
      <x:c r="E2075" s="339" t="str">
        <x:v>Certificate Templates</x:v>
      </x:c>
      <x:c r="F2075" s="339" t="str">
        <x:v>Successful Certificate Templates happy path</x:v>
      </x:c>
      <x:c r="G2075" s="339" t="str">
        <x:v>all mandatory prerequisites and valid data are available</x:v>
      </x:c>
      <x:c r="H2075" s="339" t="str">
        <x:v>the School Admin completes the primary action on Certificate Templates</x:v>
      </x:c>
      <x:c r="I2075" s="339" t="str">
        <x:v>the system validates the request, saves it atomically, shows a clear confirmation and reflects the updated state</x:v>
      </x:c>
      <x:c r="J2075" s="339" t="str">
        <x:v>Positive</x:v>
      </x:c>
      <x:c r="K2075" s="339" t="str">
        <x:v>Functional</x:v>
      </x:c>
    </x:row>
    <x:row r="2076">
      <x:c r="A2076" s="339" t="str">
        <x:v>AC-02075</x:v>
      </x:c>
      <x:c r="B2076" s="339" t="str">
        <x:v>US-0519</x:v>
      </x:c>
      <x:c r="C2076" s="339" t="str">
        <x:v>SCR-260</x:v>
      </x:c>
      <x:c r="D2076" s="339" t="str">
        <x:v>Documents &amp; Certificates</x:v>
      </x:c>
      <x:c r="E2076" s="339" t="str">
        <x:v>Certificate Templates</x:v>
      </x:c>
      <x:c r="F2076" s="339" t="str">
        <x:v>State and dependency integrity</x:v>
      </x:c>
      <x:c r="G2076" s="339" t="str">
        <x:v>the current record is in an allowed state (Draft / Uploaded → Pending Verification → Verified / Rejected → Expired / Replaced / Archived)</x:v>
      </x:c>
      <x:c r="H2076" s="339" t="str">
        <x:v>the user attempts a state-changing action</x:v>
      </x:c>
      <x:c r="I2076" s="339" t="str">
        <x:v>only a valid transition is accepted and dependent records are updated according to configured business rules</x:v>
      </x:c>
      <x:c r="J2076" s="339" t="str">
        <x:v>Positive</x:v>
      </x:c>
      <x:c r="K2076" s="339" t="str">
        <x:v>Functional</x:v>
      </x:c>
    </x:row>
    <x:row r="2077">
      <x:c r="A2077" s="339" t="str">
        <x:v>AC-02076</x:v>
      </x:c>
      <x:c r="B2077" s="339" t="str">
        <x:v>US-0519</x:v>
      </x:c>
      <x:c r="C2077" s="339" t="str">
        <x:v>SCR-260</x:v>
      </x:c>
      <x:c r="D2077" s="339" t="str">
        <x:v>Documents &amp; Certificates</x:v>
      </x:c>
      <x:c r="E2077" s="339" t="str">
        <x:v>Certificate Templates</x:v>
      </x:c>
      <x:c r="F2077" s="339" t="str">
        <x:v>Auditability</x:v>
      </x:c>
      <x:c r="G2077" s="339" t="str">
        <x:v>a material create/update/approve/reverse action occurs</x:v>
      </x:c>
      <x:c r="H2077" s="339" t="str">
        <x:v>the transaction succeeds</x:v>
      </x:c>
      <x:c r="I2077" s="339" t="str">
        <x:v>the system records actor, timestamp, action, target and relevant before/after or reason context in the audit trail</x:v>
      </x:c>
      <x:c r="J2077" s="339" t="str">
        <x:v>Positive</x:v>
      </x:c>
      <x:c r="K2077" s="339" t="str">
        <x:v>Functional</x:v>
      </x:c>
    </x:row>
    <x:row r="2078">
      <x:c r="A2078" s="339" t="str">
        <x:v>AC-02077</x:v>
      </x:c>
      <x:c r="B2078" s="339" t="str">
        <x:v>US-0520</x:v>
      </x:c>
      <x:c r="C2078" s="339" t="str">
        <x:v>SCR-260</x:v>
      </x:c>
      <x:c r="D2078" s="339" t="str">
        <x:v>Documents &amp; Certificates</x:v>
      </x:c>
      <x:c r="E2078" s="339" t="str">
        <x:v>Certificate Templates</x:v>
      </x:c>
      <x:c r="F2078" s="339" t="str">
        <x:v>Dependency-safe change</x:v>
      </x:c>
      <x:c r="G2078" s="339" t="str">
        <x:v>the configuration is referenced by existing transactions</x:v>
      </x:c>
      <x:c r="H2078" s="339" t="str">
        <x:v>the user edits or deactivates it</x:v>
      </x:c>
      <x:c r="I2078" s="339" t="str">
        <x:v>the system prevents destructive changes and uses effective dating/inactivation/versioning as required</x:v>
      </x:c>
      <x:c r="J2078" s="339" t="str">
        <x:v>Positive</x:v>
      </x:c>
      <x:c r="K2078" s="339" t="str">
        <x:v>Functional</x:v>
      </x:c>
    </x:row>
    <x:row r="2079">
      <x:c r="A2079" s="339" t="str">
        <x:v>AC-02078</x:v>
      </x:c>
      <x:c r="B2079" s="339" t="str">
        <x:v>US-0520</x:v>
      </x:c>
      <x:c r="C2079" s="339" t="str">
        <x:v>SCR-260</x:v>
      </x:c>
      <x:c r="D2079" s="339" t="str">
        <x:v>Documents &amp; Certificates</x:v>
      </x:c>
      <x:c r="E2079" s="339" t="str">
        <x:v>Certificate Templates</x:v>
      </x:c>
      <x:c r="F2079" s="339" t="str">
        <x:v>No overlapping configuration</x:v>
      </x:c>
      <x:c r="G2079" s="339" t="str">
        <x:v>an active configuration already covers the same scope/date</x:v>
      </x:c>
      <x:c r="H2079" s="339" t="str">
        <x:v>the user creates another conflicting configuration</x:v>
      </x:c>
      <x:c r="I2079" s="339" t="str">
        <x:v>the system blocks the overlap or requires an authorized explicit resolution</x:v>
      </x:c>
      <x:c r="J2079" s="339" t="str">
        <x:v>Negative</x:v>
      </x:c>
      <x:c r="K2079" s="339" t="str">
        <x:v>Functional</x:v>
      </x:c>
    </x:row>
    <x:row r="2080">
      <x:c r="A2080" s="339" t="str">
        <x:v>AC-02079</x:v>
      </x:c>
      <x:c r="B2080" s="339" t="str">
        <x:v>US-0520</x:v>
      </x:c>
      <x:c r="C2080" s="339" t="str">
        <x:v>SCR-260</x:v>
      </x:c>
      <x:c r="D2080" s="339" t="str">
        <x:v>Documents &amp; Certificates</x:v>
      </x:c>
      <x:c r="E2080" s="339" t="str">
        <x:v>Certificate Templates</x:v>
      </x:c>
      <x:c r="F2080" s="339" t="str">
        <x:v>Permission control</x:v>
      </x:c>
      <x:c r="G2080" s="339" t="str">
        <x:v>a user lacks configuration permission</x:v>
      </x:c>
      <x:c r="H2080" s="339" t="str">
        <x:v>the user attempts to change settings</x:v>
      </x:c>
      <x:c r="I2080" s="339" t="str">
        <x:v>the system denies the update server-side and records the denied/high-risk event when required</x:v>
      </x:c>
      <x:c r="J2080" s="339" t="str">
        <x:v>Negative</x:v>
      </x:c>
      <x:c r="K2080" s="339" t="str">
        <x:v>Functional / Security</x:v>
      </x:c>
    </x:row>
    <x:row r="2081">
      <x:c r="A2081" s="339" t="str">
        <x:v>AC-02080</x:v>
      </x:c>
      <x:c r="B2081" s="339" t="str">
        <x:v>US-0520</x:v>
      </x:c>
      <x:c r="C2081" s="339" t="str">
        <x:v>SCR-260</x:v>
      </x:c>
      <x:c r="D2081" s="339" t="str">
        <x:v>Documents &amp; Certificates</x:v>
      </x:c>
      <x:c r="E2081" s="339" t="str">
        <x:v>Certificate Templates</x:v>
      </x:c>
      <x:c r="F2081" s="339" t="str">
        <x:v>Effective-time behavior</x:v>
      </x:c>
      <x:c r="G2081" s="339" t="str">
        <x:v>a configuration change has a future effective date</x:v>
      </x:c>
      <x:c r="H2081" s="339" t="str">
        <x:v>the change is saved</x:v>
      </x:c>
      <x:c r="I2081" s="339" t="str">
        <x:v>existing transactions use the current version until the effective time and new behavior starts predictably</x:v>
      </x:c>
      <x:c r="J2081" s="339" t="str">
        <x:v>Positive</x:v>
      </x:c>
      <x:c r="K2081" s="339" t="str">
        <x:v>Functional</x:v>
      </x:c>
    </x:row>
    <x:row r="2082">
      <x:c r="A2082" s="339" t="str">
        <x:v>AC-02081</x:v>
      </x:c>
      <x:c r="B2082" s="339" t="str">
        <x:v>US-0521</x:v>
      </x:c>
      <x:c r="C2082" s="339" t="str">
        <x:v>SCR-261</x:v>
      </x:c>
      <x:c r="D2082" s="339" t="str">
        <x:v>Documents &amp; Certificates</x:v>
      </x:c>
      <x:c r="E2082" s="339" t="str">
        <x:v>Generate Certificate</x:v>
      </x:c>
      <x:c r="F2082" s="339" t="str">
        <x:v>Authorized access to Generate Certificate</x:v>
      </x:c>
      <x:c r="G2082" s="339" t="str">
        <x:v>the School Admin is authenticated and has access to Generate Certificate</x:v>
      </x:c>
      <x:c r="H2082" s="339" t="str">
        <x:v>the user opens or invokes Generate Certificate</x:v>
      </x:c>
      <x:c r="I2082" s="339" t="str">
        <x:v>the system loads only records and actions within the user's permitted tenant/school/data scope</x:v>
      </x:c>
      <x:c r="J2082" s="339" t="str">
        <x:v>Positive</x:v>
      </x:c>
      <x:c r="K2082" s="339" t="str">
        <x:v>Functional / Security</x:v>
      </x:c>
    </x:row>
    <x:row r="2083">
      <x:c r="A2083" s="339" t="str">
        <x:v>AC-02082</x:v>
      </x:c>
      <x:c r="B2083" s="339" t="str">
        <x:v>US-0521</x:v>
      </x:c>
      <x:c r="C2083" s="339" t="str">
        <x:v>SCR-261</x:v>
      </x:c>
      <x:c r="D2083" s="339" t="str">
        <x:v>Documents &amp; Certificates</x:v>
      </x:c>
      <x:c r="E2083" s="339" t="str">
        <x:v>Generate Certificate</x:v>
      </x:c>
      <x:c r="F2083" s="339" t="str">
        <x:v>Successful Generate Certificate happy path</x:v>
      </x:c>
      <x:c r="G2083" s="339" t="str">
        <x:v>all mandatory prerequisites and valid data are available</x:v>
      </x:c>
      <x:c r="H2083" s="339" t="str">
        <x:v>the School Admin completes the primary action on Generate Certificate</x:v>
      </x:c>
      <x:c r="I2083" s="339" t="str">
        <x:v>the system validates the request, saves it atomically, shows a clear confirmation and reflects the updated state</x:v>
      </x:c>
      <x:c r="J2083" s="339" t="str">
        <x:v>Positive</x:v>
      </x:c>
      <x:c r="K2083" s="339" t="str">
        <x:v>Functional</x:v>
      </x:c>
    </x:row>
    <x:row r="2084">
      <x:c r="A2084" s="339" t="str">
        <x:v>AC-02083</x:v>
      </x:c>
      <x:c r="B2084" s="339" t="str">
        <x:v>US-0521</x:v>
      </x:c>
      <x:c r="C2084" s="339" t="str">
        <x:v>SCR-261</x:v>
      </x:c>
      <x:c r="D2084" s="339" t="str">
        <x:v>Documents &amp; Certificates</x:v>
      </x:c>
      <x:c r="E2084" s="339" t="str">
        <x:v>Generate Certificate</x:v>
      </x:c>
      <x:c r="F2084" s="339" t="str">
        <x:v>State and dependency integrity</x:v>
      </x:c>
      <x:c r="G2084" s="339" t="str">
        <x:v>the current record is in an allowed state (Draft / Uploaded → Pending Verification → Verified / Rejected → Expired / Replaced / Archived)</x:v>
      </x:c>
      <x:c r="H2084" s="339" t="str">
        <x:v>the user attempts a state-changing action</x:v>
      </x:c>
      <x:c r="I2084" s="339" t="str">
        <x:v>only a valid transition is accepted and dependent records are updated according to configured business rules</x:v>
      </x:c>
      <x:c r="J2084" s="339" t="str">
        <x:v>Positive</x:v>
      </x:c>
      <x:c r="K2084" s="339" t="str">
        <x:v>Functional</x:v>
      </x:c>
    </x:row>
    <x:row r="2085">
      <x:c r="A2085" s="339" t="str">
        <x:v>AC-02084</x:v>
      </x:c>
      <x:c r="B2085" s="339" t="str">
        <x:v>US-0521</x:v>
      </x:c>
      <x:c r="C2085" s="339" t="str">
        <x:v>SCR-261</x:v>
      </x:c>
      <x:c r="D2085" s="339" t="str">
        <x:v>Documents &amp; Certificates</x:v>
      </x:c>
      <x:c r="E2085" s="339" t="str">
        <x:v>Generate Certificate</x:v>
      </x:c>
      <x:c r="F2085" s="339" t="str">
        <x:v>Auditability</x:v>
      </x:c>
      <x:c r="G2085" s="339" t="str">
        <x:v>a material create/update/approve/reverse action occurs</x:v>
      </x:c>
      <x:c r="H2085" s="339" t="str">
        <x:v>the transaction succeeds</x:v>
      </x:c>
      <x:c r="I2085" s="339" t="str">
        <x:v>the system records actor, timestamp, action, target and relevant before/after or reason context in the audit trail</x:v>
      </x:c>
      <x:c r="J2085" s="339" t="str">
        <x:v>Positive</x:v>
      </x:c>
      <x:c r="K2085" s="339" t="str">
        <x:v>Functional</x:v>
      </x:c>
    </x:row>
    <x:row r="2086">
      <x:c r="A2086" s="339" t="str">
        <x:v>AC-02085</x:v>
      </x:c>
      <x:c r="B2086" s="339" t="str">
        <x:v>US-0522</x:v>
      </x:c>
      <x:c r="C2086" s="339" t="str">
        <x:v>SCR-261</x:v>
      </x:c>
      <x:c r="D2086" s="339" t="str">
        <x:v>Documents &amp; Certificates</x:v>
      </x:c>
      <x:c r="E2086" s="339" t="str">
        <x:v>Generate Certificate</x:v>
      </x:c>
      <x:c r="F2086" s="339" t="str">
        <x:v>Required-field validation</x:v>
      </x:c>
      <x:c r="G2086" s="339" t="str">
        <x:v>one or more required values are missing/invalid</x:v>
      </x:c>
      <x:c r="H2086" s="339" t="str">
        <x:v>the user submits the form</x:v>
      </x:c>
      <x:c r="I2086" s="339" t="str">
        <x:v>submission is blocked and field-level messages identify what must be corrected</x:v>
      </x:c>
      <x:c r="J2086" s="339" t="str">
        <x:v>Positive</x:v>
      </x:c>
      <x:c r="K2086" s="339" t="str">
        <x:v>Functional</x:v>
      </x:c>
    </x:row>
    <x:row r="2087">
      <x:c r="A2087" s="339" t="str">
        <x:v>AC-02086</x:v>
      </x:c>
      <x:c r="B2087" s="339" t="str">
        <x:v>US-0522</x:v>
      </x:c>
      <x:c r="C2087" s="339" t="str">
        <x:v>SCR-261</x:v>
      </x:c>
      <x:c r="D2087" s="339" t="str">
        <x:v>Documents &amp; Certificates</x:v>
      </x:c>
      <x:c r="E2087" s="339" t="str">
        <x:v>Generate Certificate</x:v>
      </x:c>
      <x:c r="F2087" s="339" t="str">
        <x:v>Duplicate prevention</x:v>
      </x:c>
      <x:c r="G2087" s="339" t="str">
        <x:v>a potentially duplicate record exists</x:v>
      </x:c>
      <x:c r="H2087" s="339" t="str">
        <x:v>the user submits matching identity/master data</x:v>
      </x:c>
      <x:c r="I2087" s="339" t="str">
        <x:v>the system blocks or warns according to configured duplicate policy before creating another record</x:v>
      </x:c>
      <x:c r="J2087" s="339" t="str">
        <x:v>Negative</x:v>
      </x:c>
      <x:c r="K2087" s="339" t="str">
        <x:v>Functional</x:v>
      </x:c>
    </x:row>
    <x:row r="2088">
      <x:c r="A2088" s="339" t="str">
        <x:v>AC-02087</x:v>
      </x:c>
      <x:c r="B2088" s="339" t="str">
        <x:v>US-0522</x:v>
      </x:c>
      <x:c r="C2088" s="339" t="str">
        <x:v>SCR-261</x:v>
      </x:c>
      <x:c r="D2088" s="339" t="str">
        <x:v>Documents &amp; Certificates</x:v>
      </x:c>
      <x:c r="E2088" s="339" t="str">
        <x:v>Generate Certificate</x:v>
      </x:c>
      <x:c r="F2088" s="339" t="str">
        <x:v>Reference-data integrity</x:v>
      </x:c>
      <x:c r="G2088" s="339" t="str">
        <x:v>the form contains master-data selections</x:v>
      </x:c>
      <x:c r="H2088" s="339" t="str">
        <x:v>the user submits</x:v>
      </x:c>
      <x:c r="I2088" s="339" t="str">
        <x:v>all referenced values are active, effective and within the user's scope at the time of save</x:v>
      </x:c>
      <x:c r="J2088" s="339" t="str">
        <x:v>Positive</x:v>
      </x:c>
      <x:c r="K2088" s="339" t="str">
        <x:v>Functional</x:v>
      </x:c>
    </x:row>
    <x:row r="2089">
      <x:c r="A2089" s="339" t="str">
        <x:v>AC-02088</x:v>
      </x:c>
      <x:c r="B2089" s="339" t="str">
        <x:v>US-0522</x:v>
      </x:c>
      <x:c r="C2089" s="339" t="str">
        <x:v>SCR-261</x:v>
      </x:c>
      <x:c r="D2089" s="339" t="str">
        <x:v>Documents &amp; Certificates</x:v>
      </x:c>
      <x:c r="E2089" s="339" t="str">
        <x:v>Generate Certificate</x:v>
      </x:c>
      <x:c r="F2089" s="339" t="str">
        <x:v>Retry safety</x:v>
      </x:c>
      <x:c r="G2089" s="339" t="str">
        <x:v>a network retry or repeated click occurs</x:v>
      </x:c>
      <x:c r="H2089" s="339" t="str">
        <x:v>the same transaction is submitted again</x:v>
      </x:c>
      <x:c r="I2089" s="339" t="str">
        <x:v>the system prevents unintended duplicate transactions through idempotency or duplicate detection</x:v>
      </x:c>
      <x:c r="J2089" s="339" t="str">
        <x:v>Positive</x:v>
      </x:c>
      <x:c r="K2089" s="339" t="str">
        <x:v>Functional</x:v>
      </x:c>
    </x:row>
    <x:row r="2090">
      <x:c r="A2090" s="339" t="str">
        <x:v>AC-02089</x:v>
      </x:c>
      <x:c r="B2090" s="339" t="str">
        <x:v>US-0523</x:v>
      </x:c>
      <x:c r="C2090" s="339" t="str">
        <x:v>SCR-262</x:v>
      </x:c>
      <x:c r="D2090" s="339" t="str">
        <x:v>Documents &amp; Certificates</x:v>
      </x:c>
      <x:c r="E2090" s="339" t="str">
        <x:v>Transfer Certificate</x:v>
      </x:c>
      <x:c r="F2090" s="339" t="str">
        <x:v>Authorized access to Transfer Certificate</x:v>
      </x:c>
      <x:c r="G2090" s="339" t="str">
        <x:v>the School Admin is authenticated and has access to Transfer Certificate</x:v>
      </x:c>
      <x:c r="H2090" s="339" t="str">
        <x:v>the user opens or invokes Transfer Certificate</x:v>
      </x:c>
      <x:c r="I2090" s="339" t="str">
        <x:v>the system loads only records and actions within the user's permitted tenant/school/data scope</x:v>
      </x:c>
      <x:c r="J2090" s="339" t="str">
        <x:v>Positive</x:v>
      </x:c>
      <x:c r="K2090" s="339" t="str">
        <x:v>Functional / Security</x:v>
      </x:c>
    </x:row>
    <x:row r="2091">
      <x:c r="A2091" s="339" t="str">
        <x:v>AC-02090</x:v>
      </x:c>
      <x:c r="B2091" s="339" t="str">
        <x:v>US-0523</x:v>
      </x:c>
      <x:c r="C2091" s="339" t="str">
        <x:v>SCR-262</x:v>
      </x:c>
      <x:c r="D2091" s="339" t="str">
        <x:v>Documents &amp; Certificates</x:v>
      </x:c>
      <x:c r="E2091" s="339" t="str">
        <x:v>Transfer Certificate</x:v>
      </x:c>
      <x:c r="F2091" s="339" t="str">
        <x:v>Successful Transfer Certificate happy path</x:v>
      </x:c>
      <x:c r="G2091" s="339" t="str">
        <x:v>all mandatory prerequisites and valid data are available</x:v>
      </x:c>
      <x:c r="H2091" s="339" t="str">
        <x:v>the School Admin completes the primary action on Transfer Certificate</x:v>
      </x:c>
      <x:c r="I2091" s="339" t="str">
        <x:v>the system validates the request, saves it atomically, shows a clear confirmation and reflects the updated state</x:v>
      </x:c>
      <x:c r="J2091" s="339" t="str">
        <x:v>Positive</x:v>
      </x:c>
      <x:c r="K2091" s="339" t="str">
        <x:v>Functional</x:v>
      </x:c>
    </x:row>
    <x:row r="2092">
      <x:c r="A2092" s="339" t="str">
        <x:v>AC-02091</x:v>
      </x:c>
      <x:c r="B2092" s="339" t="str">
        <x:v>US-0523</x:v>
      </x:c>
      <x:c r="C2092" s="339" t="str">
        <x:v>SCR-262</x:v>
      </x:c>
      <x:c r="D2092" s="339" t="str">
        <x:v>Documents &amp; Certificates</x:v>
      </x:c>
      <x:c r="E2092" s="339" t="str">
        <x:v>Transfer Certificate</x:v>
      </x:c>
      <x:c r="F2092" s="339" t="str">
        <x:v>State and dependency integrity</x:v>
      </x:c>
      <x:c r="G2092" s="339" t="str">
        <x:v>the current record is in an allowed state (Draft / Uploaded → Pending Verification → Verified / Rejected → Expired / Replaced / Archived)</x:v>
      </x:c>
      <x:c r="H2092" s="339" t="str">
        <x:v>the user attempts a state-changing action</x:v>
      </x:c>
      <x:c r="I2092" s="339" t="str">
        <x:v>only a valid transition is accepted and dependent records are updated according to configured business rules</x:v>
      </x:c>
      <x:c r="J2092" s="339" t="str">
        <x:v>Positive</x:v>
      </x:c>
      <x:c r="K2092" s="339" t="str">
        <x:v>Functional</x:v>
      </x:c>
    </x:row>
    <x:row r="2093">
      <x:c r="A2093" s="339" t="str">
        <x:v>AC-02092</x:v>
      </x:c>
      <x:c r="B2093" s="339" t="str">
        <x:v>US-0523</x:v>
      </x:c>
      <x:c r="C2093" s="339" t="str">
        <x:v>SCR-262</x:v>
      </x:c>
      <x:c r="D2093" s="339" t="str">
        <x:v>Documents &amp; Certificates</x:v>
      </x:c>
      <x:c r="E2093" s="339" t="str">
        <x:v>Transfer Certificate</x:v>
      </x:c>
      <x:c r="F2093" s="339" t="str">
        <x:v>Auditability</x:v>
      </x:c>
      <x:c r="G2093" s="339" t="str">
        <x:v>a material create/update/approve/reverse action occurs</x:v>
      </x:c>
      <x:c r="H2093" s="339" t="str">
        <x:v>the transaction succeeds</x:v>
      </x:c>
      <x:c r="I2093" s="339" t="str">
        <x:v>the system records actor, timestamp, action, target and relevant before/after or reason context in the audit trail</x:v>
      </x:c>
      <x:c r="J2093" s="339" t="str">
        <x:v>Positive</x:v>
      </x:c>
      <x:c r="K2093" s="339" t="str">
        <x:v>Functional</x:v>
      </x:c>
    </x:row>
    <x:row r="2094">
      <x:c r="A2094" s="339" t="str">
        <x:v>AC-02093</x:v>
      </x:c>
      <x:c r="B2094" s="339" t="str">
        <x:v>US-0524</x:v>
      </x:c>
      <x:c r="C2094" s="339" t="str">
        <x:v>SCR-262</x:v>
      </x:c>
      <x:c r="D2094" s="339" t="str">
        <x:v>Documents &amp; Certificates</x:v>
      </x:c>
      <x:c r="E2094" s="339" t="str">
        <x:v>Transfer Certificate</x:v>
      </x:c>
      <x:c r="F2094" s="339" t="str">
        <x:v>Valid status transition</x:v>
      </x:c>
      <x:c r="G2094" s="339" t="str">
        <x:v>the record is in a state described by Draft / Uploaded → Pending Verification → Verified / Rejected → Expired / Replaced / Archived</x:v>
      </x:c>
      <x:c r="H2094" s="339" t="str">
        <x:v>the user requests a transition</x:v>
      </x:c>
      <x:c r="I2094" s="339" t="str">
        <x:v>the system accepts only transitions allowed for that role and state</x:v>
      </x:c>
      <x:c r="J2094" s="339" t="str">
        <x:v>Positive</x:v>
      </x:c>
      <x:c r="K2094" s="339" t="str">
        <x:v>Functional</x:v>
      </x:c>
    </x:row>
    <x:row r="2095">
      <x:c r="A2095" s="339" t="str">
        <x:v>AC-02094</x:v>
      </x:c>
      <x:c r="B2095" s="339" t="str">
        <x:v>US-0524</x:v>
      </x:c>
      <x:c r="C2095" s="339" t="str">
        <x:v>SCR-262</x:v>
      </x:c>
      <x:c r="D2095" s="339" t="str">
        <x:v>Documents &amp; Certificates</x:v>
      </x:c>
      <x:c r="E2095" s="339" t="str">
        <x:v>Transfer Certificate</x:v>
      </x:c>
      <x:c r="F2095" s="339" t="str">
        <x:v>Approval authority</x:v>
      </x:c>
      <x:c r="G2095" s="339" t="str">
        <x:v>an action requires approval</x:v>
      </x:c>
      <x:c r="H2095" s="339" t="str">
        <x:v>a non-authorized user attempts approval/rejection</x:v>
      </x:c>
      <x:c r="I2095" s="339" t="str">
        <x:v>the system denies the decision and does not change status</x:v>
      </x:c>
      <x:c r="J2095" s="339" t="str">
        <x:v>Negative</x:v>
      </x:c>
      <x:c r="K2095" s="339" t="str">
        <x:v>Functional</x:v>
      </x:c>
    </x:row>
    <x:row r="2096">
      <x:c r="A2096" s="339" t="str">
        <x:v>AC-02095</x:v>
      </x:c>
      <x:c r="B2096" s="339" t="str">
        <x:v>US-0524</x:v>
      </x:c>
      <x:c r="C2096" s="339" t="str">
        <x:v>SCR-262</x:v>
      </x:c>
      <x:c r="D2096" s="339" t="str">
        <x:v>Documents &amp; Certificates</x:v>
      </x:c>
      <x:c r="E2096" s="339" t="str">
        <x:v>Transfer Certificate</x:v>
      </x:c>
      <x:c r="F2096" s="339" t="str">
        <x:v>Failure rollback</x:v>
      </x:c>
      <x:c r="G2096" s="339" t="str">
        <x:v>a downstream dependency fails during a multi-step transaction</x:v>
      </x:c>
      <x:c r="H2096" s="339" t="str">
        <x:v>the workflow executes</x:v>
      </x:c>
      <x:c r="I2096" s="339" t="str">
        <x:v>the system does not leave an invalid partial final state and surfaces a recoverable error</x:v>
      </x:c>
      <x:c r="J2096" s="339" t="str">
        <x:v>Positive</x:v>
      </x:c>
      <x:c r="K2096" s="339" t="str">
        <x:v>Functional</x:v>
      </x:c>
    </x:row>
    <x:row r="2097">
      <x:c r="A2097" s="339" t="str">
        <x:v>AC-02096</x:v>
      </x:c>
      <x:c r="B2097" s="339" t="str">
        <x:v>US-0524</x:v>
      </x:c>
      <x:c r="C2097" s="339" t="str">
        <x:v>SCR-262</x:v>
      </x:c>
      <x:c r="D2097" s="339" t="str">
        <x:v>Documents &amp; Certificates</x:v>
      </x:c>
      <x:c r="E2097" s="339" t="str">
        <x:v>Transfer Certificate</x:v>
      </x:c>
      <x:c r="F2097" s="339" t="str">
        <x:v>Exception traceability</x:v>
      </x:c>
      <x:c r="G2097" s="339" t="str">
        <x:v>an authorized override/exception is used</x:v>
      </x:c>
      <x:c r="H2097" s="339" t="str">
        <x:v>the action is confirmed</x:v>
      </x:c>
      <x:c r="I2097" s="339" t="str">
        <x:v>the system requires reason/context and records it in the audit history</x:v>
      </x:c>
      <x:c r="J2097" s="339" t="str">
        <x:v>Positive</x:v>
      </x:c>
      <x:c r="K2097" s="339" t="str">
        <x:v>Functional</x:v>
      </x:c>
    </x:row>
    <x:row r="2098">
      <x:c r="A2098" s="339" t="str">
        <x:v>AC-02097</x:v>
      </x:c>
      <x:c r="B2098" s="339" t="str">
        <x:v>US-0525</x:v>
      </x:c>
      <x:c r="C2098" s="339" t="str">
        <x:v>SCR-263</x:v>
      </x:c>
      <x:c r="D2098" s="339" t="str">
        <x:v>Documents &amp; Certificates</x:v>
      </x:c>
      <x:c r="E2098" s="339" t="str">
        <x:v>Certificate Register</x:v>
      </x:c>
      <x:c r="F2098" s="339" t="str">
        <x:v>Authorized access to Certificate Register</x:v>
      </x:c>
      <x:c r="G2098" s="339" t="str">
        <x:v>the School Admin is authenticated and has access to Certificate Register</x:v>
      </x:c>
      <x:c r="H2098" s="339" t="str">
        <x:v>the user opens or invokes Certificate Register</x:v>
      </x:c>
      <x:c r="I2098" s="339" t="str">
        <x:v>the system loads only records and actions within the user's permitted tenant/school/data scope</x:v>
      </x:c>
      <x:c r="J2098" s="339" t="str">
        <x:v>Positive</x:v>
      </x:c>
      <x:c r="K2098" s="339" t="str">
        <x:v>Functional / Security</x:v>
      </x:c>
    </x:row>
    <x:row r="2099">
      <x:c r="A2099" s="339" t="str">
        <x:v>AC-02098</x:v>
      </x:c>
      <x:c r="B2099" s="339" t="str">
        <x:v>US-0525</x:v>
      </x:c>
      <x:c r="C2099" s="339" t="str">
        <x:v>SCR-263</x:v>
      </x:c>
      <x:c r="D2099" s="339" t="str">
        <x:v>Documents &amp; Certificates</x:v>
      </x:c>
      <x:c r="E2099" s="339" t="str">
        <x:v>Certificate Register</x:v>
      </x:c>
      <x:c r="F2099" s="339" t="str">
        <x:v>Successful Certificate Register happy path</x:v>
      </x:c>
      <x:c r="G2099" s="339" t="str">
        <x:v>all mandatory prerequisites and valid data are available</x:v>
      </x:c>
      <x:c r="H2099" s="339" t="str">
        <x:v>the School Admin completes the primary action on Certificate Register</x:v>
      </x:c>
      <x:c r="I2099" s="339" t="str">
        <x:v>the system validates the request, saves it atomically, shows a clear confirmation and reflects the updated state</x:v>
      </x:c>
      <x:c r="J2099" s="339" t="str">
        <x:v>Positive</x:v>
      </x:c>
      <x:c r="K2099" s="339" t="str">
        <x:v>Functional</x:v>
      </x:c>
    </x:row>
    <x:row r="2100">
      <x:c r="A2100" s="339" t="str">
        <x:v>AC-02099</x:v>
      </x:c>
      <x:c r="B2100" s="339" t="str">
        <x:v>US-0525</x:v>
      </x:c>
      <x:c r="C2100" s="339" t="str">
        <x:v>SCR-263</x:v>
      </x:c>
      <x:c r="D2100" s="339" t="str">
        <x:v>Documents &amp; Certificates</x:v>
      </x:c>
      <x:c r="E2100" s="339" t="str">
        <x:v>Certificate Register</x:v>
      </x:c>
      <x:c r="F2100" s="339" t="str">
        <x:v>State and dependency integrity</x:v>
      </x:c>
      <x:c r="G2100" s="339" t="str">
        <x:v>the current record is in an allowed state (Draft / Uploaded → Pending Verification → Verified / Rejected → Expired / Replaced / Archived)</x:v>
      </x:c>
      <x:c r="H2100" s="339" t="str">
        <x:v>the user attempts a state-changing action</x:v>
      </x:c>
      <x:c r="I2100" s="339" t="str">
        <x:v>only a valid transition is accepted and dependent records are updated according to configured business rules</x:v>
      </x:c>
      <x:c r="J2100" s="339" t="str">
        <x:v>Positive</x:v>
      </x:c>
      <x:c r="K2100" s="339" t="str">
        <x:v>Functional</x:v>
      </x:c>
    </x:row>
    <x:row r="2101">
      <x:c r="A2101" s="339" t="str">
        <x:v>AC-02100</x:v>
      </x:c>
      <x:c r="B2101" s="339" t="str">
        <x:v>US-0525</x:v>
      </x:c>
      <x:c r="C2101" s="339" t="str">
        <x:v>SCR-263</x:v>
      </x:c>
      <x:c r="D2101" s="339" t="str">
        <x:v>Documents &amp; Certificates</x:v>
      </x:c>
      <x:c r="E2101" s="339" t="str">
        <x:v>Certificate Register</x:v>
      </x:c>
      <x:c r="F2101" s="339" t="str">
        <x:v>Auditability</x:v>
      </x:c>
      <x:c r="G2101" s="339" t="str">
        <x:v>a material create/update/approve/reverse action occurs</x:v>
      </x:c>
      <x:c r="H2101" s="339" t="str">
        <x:v>the transaction succeeds</x:v>
      </x:c>
      <x:c r="I2101" s="339" t="str">
        <x:v>the system records actor, timestamp, action, target and relevant before/after or reason context in the audit trail</x:v>
      </x:c>
      <x:c r="J2101" s="339" t="str">
        <x:v>Positive</x:v>
      </x:c>
      <x:c r="K2101" s="339" t="str">
        <x:v>Functional</x:v>
      </x:c>
    </x:row>
    <x:row r="2102">
      <x:c r="A2102" s="339" t="str">
        <x:v>AC-02101</x:v>
      </x:c>
      <x:c r="B2102" s="339" t="str">
        <x:v>US-0526</x:v>
      </x:c>
      <x:c r="C2102" s="339" t="str">
        <x:v>SCR-263</x:v>
      </x:c>
      <x:c r="D2102" s="339" t="str">
        <x:v>Documents &amp; Certificates</x:v>
      </x:c>
      <x:c r="E2102" s="339" t="str">
        <x:v>Certificate Register</x:v>
      </x:c>
      <x:c r="F2102" s="339" t="str">
        <x:v>Complete authorized view</x:v>
      </x:c>
      <x:c r="G2102" s="339" t="str">
        <x:v>the record exists and the user is authorized</x:v>
      </x:c>
      <x:c r="H2102" s="339" t="str">
        <x:v>the detail/profile opens</x:v>
      </x:c>
      <x:c r="I2102" s="339" t="str">
        <x:v>the system loads the required summary, relationships and history while masking restricted fields</x:v>
      </x:c>
      <x:c r="J2102" s="339" t="str">
        <x:v>Positive</x:v>
      </x:c>
      <x:c r="K2102" s="339" t="str">
        <x:v>Functional / Security</x:v>
      </x:c>
    </x:row>
    <x:row r="2103">
      <x:c r="A2103" s="339" t="str">
        <x:v>AC-02102</x:v>
      </x:c>
      <x:c r="B2103" s="339" t="str">
        <x:v>US-0526</x:v>
      </x:c>
      <x:c r="C2103" s="339" t="str">
        <x:v>SCR-263</x:v>
      </x:c>
      <x:c r="D2103" s="339" t="str">
        <x:v>Documents &amp; Certificates</x:v>
      </x:c>
      <x:c r="E2103" s="339" t="str">
        <x:v>Certificate Register</x:v>
      </x:c>
      <x:c r="F2103" s="339" t="str">
        <x:v>Controlled edit</x:v>
      </x:c>
      <x:c r="G2103" s="339" t="str">
        <x:v>the user has edit permission and the record is editable</x:v>
      </x:c>
      <x:c r="H2103" s="339" t="str">
        <x:v>the user saves a change</x:v>
      </x:c>
      <x:c r="I2103" s="339" t="str">
        <x:v>validation and state rules run before the update is committed</x:v>
      </x:c>
      <x:c r="J2103" s="339" t="str">
        <x:v>Positive</x:v>
      </x:c>
      <x:c r="K2103" s="339" t="str">
        <x:v>Functional</x:v>
      </x:c>
    </x:row>
    <x:row r="2104">
      <x:c r="A2104" s="339" t="str">
        <x:v>AC-02103</x:v>
      </x:c>
      <x:c r="B2104" s="339" t="str">
        <x:v>US-0526</x:v>
      </x:c>
      <x:c r="C2104" s="339" t="str">
        <x:v>SCR-263</x:v>
      </x:c>
      <x:c r="D2104" s="339" t="str">
        <x:v>Documents &amp; Certificates</x:v>
      </x:c>
      <x:c r="E2104" s="339" t="str">
        <x:v>Certificate Register</x:v>
      </x:c>
      <x:c r="F2104" s="339" t="str">
        <x:v>Concurrent edit protection</x:v>
      </x:c>
      <x:c r="G2104" s="339" t="str">
        <x:v>another user has changed the record after it was loaded</x:v>
      </x:c>
      <x:c r="H2104" s="339" t="str">
        <x:v>the first user attempts to save stale data</x:v>
      </x:c>
      <x:c r="I2104" s="339" t="str">
        <x:v>the system detects the version conflict or preserves fields safely instead of silently overwriting</x:v>
      </x:c>
      <x:c r="J2104" s="339" t="str">
        <x:v>Positive</x:v>
      </x:c>
      <x:c r="K2104" s="339" t="str">
        <x:v>Functional</x:v>
      </x:c>
    </x:row>
    <x:row r="2105">
      <x:c r="A2105" s="339" t="str">
        <x:v>AC-02104</x:v>
      </x:c>
      <x:c r="B2105" s="339" t="str">
        <x:v>US-0526</x:v>
      </x:c>
      <x:c r="C2105" s="339" t="str">
        <x:v>SCR-263</x:v>
      </x:c>
      <x:c r="D2105" s="339" t="str">
        <x:v>Documents &amp; Certificates</x:v>
      </x:c>
      <x:c r="E2105" s="339" t="str">
        <x:v>Certificate Register</x:v>
      </x:c>
      <x:c r="F2105" s="339" t="str">
        <x:v>History retention</x:v>
      </x:c>
      <x:c r="G2105" s="339" t="str">
        <x:v>the record has prior changes/statuses</x:v>
      </x:c>
      <x:c r="H2105" s="339" t="str">
        <x:v>the user views history</x:v>
      </x:c>
      <x:c r="I2105" s="339" t="str">
        <x:v>the audit/activity timeline shows traceable material changes without exposing restricted notes</x:v>
      </x:c>
      <x:c r="J2105" s="339" t="str">
        <x:v>Positive</x:v>
      </x:c>
      <x:c r="K2105" s="339" t="str">
        <x:v>Functional</x:v>
      </x:c>
    </x:row>
    <x:row r="2106">
      <x:c r="A2106" s="339" t="str">
        <x:v>AC-02105</x:v>
      </x:c>
      <x:c r="B2106" s="339" t="str">
        <x:v>US-0527</x:v>
      </x:c>
      <x:c r="C2106" s="339" t="str">
        <x:v>SCR-264</x:v>
      </x:c>
      <x:c r="D2106" s="339" t="str">
        <x:v>Reports &amp; Analytics</x:v>
      </x:c>
      <x:c r="E2106" s="339" t="str">
        <x:v>Executive Analytics Dashboard</x:v>
      </x:c>
      <x:c r="F2106" s="339" t="str">
        <x:v>Authorized access to Executive Analytics Dashboard</x:v>
      </x:c>
      <x:c r="G2106" s="339" t="str">
        <x:v>the Executive Analytics is authenticated and has access to Executive Analytics Dashboard</x:v>
      </x:c>
      <x:c r="H2106" s="339" t="str">
        <x:v>the user opens or invokes Executive Analytics Dashboard</x:v>
      </x:c>
      <x:c r="I2106" s="339" t="str">
        <x:v>the system loads only records and actions within the user's permitted tenant/school/data scope</x:v>
      </x:c>
      <x:c r="J2106" s="339" t="str">
        <x:v>Positive</x:v>
      </x:c>
      <x:c r="K2106" s="339" t="str">
        <x:v>Functional / Security</x:v>
      </x:c>
    </x:row>
    <x:row r="2107">
      <x:c r="A2107" s="339" t="str">
        <x:v>AC-02106</x:v>
      </x:c>
      <x:c r="B2107" s="339" t="str">
        <x:v>US-0527</x:v>
      </x:c>
      <x:c r="C2107" s="339" t="str">
        <x:v>SCR-264</x:v>
      </x:c>
      <x:c r="D2107" s="339" t="str">
        <x:v>Reports &amp; Analytics</x:v>
      </x:c>
      <x:c r="E2107" s="339" t="str">
        <x:v>Executive Analytics Dashboard</x:v>
      </x:c>
      <x:c r="F2107" s="339" t="str">
        <x:v>Successful Executive Analytics Dashboard happy path</x:v>
      </x:c>
      <x:c r="G2107" s="339" t="str">
        <x:v>all mandatory prerequisites and valid data are available</x:v>
      </x:c>
      <x:c r="H2107" s="339" t="str">
        <x:v>the Executive Analytics completes the primary action on Executive Analytics Dashboard</x:v>
      </x:c>
      <x:c r="I2107" s="339" t="str">
        <x:v>the system validates the request, saves it atomically, shows a clear confirmation and reflects the updated state</x:v>
      </x:c>
      <x:c r="J2107" s="339" t="str">
        <x:v>Positive</x:v>
      </x:c>
      <x:c r="K2107" s="339" t="str">
        <x:v>Functional</x:v>
      </x:c>
    </x:row>
    <x:row r="2108">
      <x:c r="A2108" s="339" t="str">
        <x:v>AC-02107</x:v>
      </x:c>
      <x:c r="B2108" s="339" t="str">
        <x:v>US-0527</x:v>
      </x:c>
      <x:c r="C2108" s="339" t="str">
        <x:v>SCR-264</x:v>
      </x:c>
      <x:c r="D2108" s="339" t="str">
        <x:v>Reports &amp; Analytics</x:v>
      </x:c>
      <x:c r="E2108" s="339" t="str">
        <x:v>Executive Analytics Dashboard</x:v>
      </x:c>
      <x:c r="F2108" s="339" t="str">
        <x:v>State and dependency integrity</x:v>
      </x:c>
      <x:c r="G2108" s="339" t="str">
        <x:v>the current record is in an allowed state (Filter Context Set → Report Generated → Viewed / Exported)</x:v>
      </x:c>
      <x:c r="H2108" s="339" t="str">
        <x:v>the user attempts a state-changing action</x:v>
      </x:c>
      <x:c r="I2108" s="339" t="str">
        <x:v>only a valid transition is accepted and dependent records are updated according to configured business rules</x:v>
      </x:c>
      <x:c r="J2108" s="339" t="str">
        <x:v>Positive</x:v>
      </x:c>
      <x:c r="K2108" s="339" t="str">
        <x:v>Functional</x:v>
      </x:c>
    </x:row>
    <x:row r="2109">
      <x:c r="A2109" s="339" t="str">
        <x:v>AC-02108</x:v>
      </x:c>
      <x:c r="B2109" s="339" t="str">
        <x:v>US-0527</x:v>
      </x:c>
      <x:c r="C2109" s="339" t="str">
        <x:v>SCR-264</x:v>
      </x:c>
      <x:c r="D2109" s="339" t="str">
        <x:v>Reports &amp; Analytics</x:v>
      </x:c>
      <x:c r="E2109" s="339" t="str">
        <x:v>Executive Analytics Dashboard</x:v>
      </x:c>
      <x:c r="F2109" s="339" t="str">
        <x:v>Auditability</x:v>
      </x:c>
      <x:c r="G2109" s="339" t="str">
        <x:v>a material create/update/approve/reverse action occurs</x:v>
      </x:c>
      <x:c r="H2109" s="339" t="str">
        <x:v>the transaction succeeds</x:v>
      </x:c>
      <x:c r="I2109" s="339" t="str">
        <x:v>the system records actor, timestamp, action, target and relevant before/after or reason context in the audit trail</x:v>
      </x:c>
      <x:c r="J2109" s="339" t="str">
        <x:v>Positive</x:v>
      </x:c>
      <x:c r="K2109" s="339" t="str">
        <x:v>Functional</x:v>
      </x:c>
    </x:row>
    <x:row r="2110">
      <x:c r="A2110" s="339" t="str">
        <x:v>AC-02109</x:v>
      </x:c>
      <x:c r="B2110" s="339" t="str">
        <x:v>US-0528</x:v>
      </x:c>
      <x:c r="C2110" s="339" t="str">
        <x:v>SCR-264</x:v>
      </x:c>
      <x:c r="D2110" s="339" t="str">
        <x:v>Reports &amp; Analytics</x:v>
      </x:c>
      <x:c r="E2110" s="339" t="str">
        <x:v>Executive Analytics Dashboard</x:v>
      </x:c>
      <x:c r="F2110" s="339" t="str">
        <x:v>KPI reconciliation</x:v>
      </x:c>
      <x:c r="G2110" s="339" t="str">
        <x:v>underlying source transactions exist</x:v>
      </x:c>
      <x:c r="H2110" s="339" t="str">
        <x:v>the dashboard calculates metrics</x:v>
      </x:c>
      <x:c r="I2110" s="339" t="str">
        <x:v>dashboard values reconcile to the same filtered source records used by detailed reports</x:v>
      </x:c>
      <x:c r="J2110" s="339" t="str">
        <x:v>Positive</x:v>
      </x:c>
      <x:c r="K2110" s="339" t="str">
        <x:v>Functional</x:v>
      </x:c>
    </x:row>
    <x:row r="2111">
      <x:c r="A2111" s="339" t="str">
        <x:v>AC-02110</x:v>
      </x:c>
      <x:c r="B2111" s="339" t="str">
        <x:v>US-0528</x:v>
      </x:c>
      <x:c r="C2111" s="339" t="str">
        <x:v>SCR-264</x:v>
      </x:c>
      <x:c r="D2111" s="339" t="str">
        <x:v>Reports &amp; Analytics</x:v>
      </x:c>
      <x:c r="E2111" s="339" t="str">
        <x:v>Executive Analytics Dashboard</x:v>
      </x:c>
      <x:c r="F2111" s="339" t="str">
        <x:v>Drill-down context</x:v>
      </x:c>
      <x:c r="G2111" s="339" t="str">
        <x:v>a KPI or alert is visible</x:v>
      </x:c>
      <x:c r="H2111" s="339" t="str">
        <x:v>the user drills into it</x:v>
      </x:c>
      <x:c r="I2111" s="339" t="str">
        <x:v>the destination preserves relevant date/school/class/status filter context</x:v>
      </x:c>
      <x:c r="J2111" s="339" t="str">
        <x:v>Positive</x:v>
      </x:c>
      <x:c r="K2111" s="339" t="str">
        <x:v>Functional</x:v>
      </x:c>
    </x:row>
    <x:row r="2112">
      <x:c r="A2112" s="339" t="str">
        <x:v>AC-02111</x:v>
      </x:c>
      <x:c r="B2112" s="339" t="str">
        <x:v>US-0528</x:v>
      </x:c>
      <x:c r="C2112" s="339" t="str">
        <x:v>SCR-264</x:v>
      </x:c>
      <x:c r="D2112" s="339" t="str">
        <x:v>Reports &amp; Analytics</x:v>
      </x:c>
      <x:c r="E2112" s="339" t="str">
        <x:v>Executive Analytics Dashboard</x:v>
      </x:c>
      <x:c r="F2112" s="339" t="str">
        <x:v>Freshness and failure handling</x:v>
      </x:c>
      <x:c r="G2112" s="339" t="str">
        <x:v>one source service is delayed or unavailable</x:v>
      </x:c>
      <x:c r="H2112" s="339" t="str">
        <x:v>the dashboard loads</x:v>
      </x:c>
      <x:c r="I2112" s="339" t="str">
        <x:v>the UI identifies stale/unavailable data without fabricating or silently zeroing the metric</x:v>
      </x:c>
      <x:c r="J2112" s="339" t="str">
        <x:v>Positive</x:v>
      </x:c>
      <x:c r="K2112" s="339" t="str">
        <x:v>Functional</x:v>
      </x:c>
    </x:row>
    <x:row r="2113">
      <x:c r="A2113" s="339" t="str">
        <x:v>AC-02112</x:v>
      </x:c>
      <x:c r="B2113" s="339" t="str">
        <x:v>US-0528</x:v>
      </x:c>
      <x:c r="C2113" s="339" t="str">
        <x:v>SCR-264</x:v>
      </x:c>
      <x:c r="D2113" s="339" t="str">
        <x:v>Reports &amp; Analytics</x:v>
      </x:c>
      <x:c r="E2113" s="339" t="str">
        <x:v>Executive Analytics Dashboard</x:v>
      </x:c>
      <x:c r="F2113" s="339" t="str">
        <x:v>Scoped visibility</x:v>
      </x:c>
      <x:c r="G2113" s="339" t="str">
        <x:v>the same dashboard is used by users with different permissions</x:v>
      </x:c>
      <x:c r="H2113" s="339" t="str">
        <x:v>each user loads it</x:v>
      </x:c>
      <x:c r="I2113" s="339" t="str">
        <x:v>each sees only authorized metrics, alerts and record-level drill-downs</x:v>
      </x:c>
      <x:c r="J2113" s="339" t="str">
        <x:v>Positive</x:v>
      </x:c>
      <x:c r="K2113" s="339" t="str">
        <x:v>Functional</x:v>
      </x:c>
    </x:row>
    <x:row r="2114">
      <x:c r="A2114" s="339" t="str">
        <x:v>AC-02113</x:v>
      </x:c>
      <x:c r="B2114" s="339" t="str">
        <x:v>US-0529</x:v>
      </x:c>
      <x:c r="C2114" s="339" t="str">
        <x:v>SCR-265</x:v>
      </x:c>
      <x:c r="D2114" s="339" t="str">
        <x:v>Reports &amp; Analytics</x:v>
      </x:c>
      <x:c r="E2114" s="339" t="str">
        <x:v>Admission Reports</x:v>
      </x:c>
      <x:c r="F2114" s="339" t="str">
        <x:v>Authorized access to Admission Reports</x:v>
      </x:c>
      <x:c r="G2114" s="339" t="str">
        <x:v>the School Admin is authenticated and has access to Admission Reports</x:v>
      </x:c>
      <x:c r="H2114" s="339" t="str">
        <x:v>the user opens or invokes Admission Reports</x:v>
      </x:c>
      <x:c r="I2114" s="339" t="str">
        <x:v>the system loads only records and actions within the user's permitted tenant/school/data scope</x:v>
      </x:c>
      <x:c r="J2114" s="339" t="str">
        <x:v>Positive</x:v>
      </x:c>
      <x:c r="K2114" s="339" t="str">
        <x:v>Functional / Security</x:v>
      </x:c>
    </x:row>
    <x:row r="2115">
      <x:c r="A2115" s="339" t="str">
        <x:v>AC-02114</x:v>
      </x:c>
      <x:c r="B2115" s="339" t="str">
        <x:v>US-0529</x:v>
      </x:c>
      <x:c r="C2115" s="339" t="str">
        <x:v>SCR-265</x:v>
      </x:c>
      <x:c r="D2115" s="339" t="str">
        <x:v>Reports &amp; Analytics</x:v>
      </x:c>
      <x:c r="E2115" s="339" t="str">
        <x:v>Admission Reports</x:v>
      </x:c>
      <x:c r="F2115" s="339" t="str">
        <x:v>Successful Admission Reports happy path</x:v>
      </x:c>
      <x:c r="G2115" s="339" t="str">
        <x:v>all mandatory prerequisites and valid data are available</x:v>
      </x:c>
      <x:c r="H2115" s="339" t="str">
        <x:v>the School Admin completes the primary action on Admission Reports</x:v>
      </x:c>
      <x:c r="I2115" s="339" t="str">
        <x:v>the system validates the request, saves it atomically, shows a clear confirmation and reflects the updated state</x:v>
      </x:c>
      <x:c r="J2115" s="339" t="str">
        <x:v>Positive</x:v>
      </x:c>
      <x:c r="K2115" s="339" t="str">
        <x:v>Functional</x:v>
      </x:c>
    </x:row>
    <x:row r="2116">
      <x:c r="A2116" s="339" t="str">
        <x:v>AC-02115</x:v>
      </x:c>
      <x:c r="B2116" s="339" t="str">
        <x:v>US-0529</x:v>
      </x:c>
      <x:c r="C2116" s="339" t="str">
        <x:v>SCR-265</x:v>
      </x:c>
      <x:c r="D2116" s="339" t="str">
        <x:v>Reports &amp; Analytics</x:v>
      </x:c>
      <x:c r="E2116" s="339" t="str">
        <x:v>Admission Reports</x:v>
      </x:c>
      <x:c r="F2116" s="339" t="str">
        <x:v>State and dependency integrity</x:v>
      </x:c>
      <x:c r="G2116" s="339" t="str">
        <x:v>the current record is in an allowed state (Filter Context Set → Report Generated → Viewed / Exported)</x:v>
      </x:c>
      <x:c r="H2116" s="339" t="str">
        <x:v>the user attempts a state-changing action</x:v>
      </x:c>
      <x:c r="I2116" s="339" t="str">
        <x:v>only a valid transition is accepted and dependent records are updated according to configured business rules</x:v>
      </x:c>
      <x:c r="J2116" s="339" t="str">
        <x:v>Positive</x:v>
      </x:c>
      <x:c r="K2116" s="339" t="str">
        <x:v>Functional</x:v>
      </x:c>
    </x:row>
    <x:row r="2117">
      <x:c r="A2117" s="339" t="str">
        <x:v>AC-02116</x:v>
      </x:c>
      <x:c r="B2117" s="339" t="str">
        <x:v>US-0529</x:v>
      </x:c>
      <x:c r="C2117" s="339" t="str">
        <x:v>SCR-265</x:v>
      </x:c>
      <x:c r="D2117" s="339" t="str">
        <x:v>Reports &amp; Analytics</x:v>
      </x:c>
      <x:c r="E2117" s="339" t="str">
        <x:v>Admission Reports</x:v>
      </x:c>
      <x:c r="F2117" s="339" t="str">
        <x:v>Auditability</x:v>
      </x:c>
      <x:c r="G2117" s="339" t="str">
        <x:v>a material create/update/approve/reverse action occurs</x:v>
      </x:c>
      <x:c r="H2117" s="339" t="str">
        <x:v>the transaction succeeds</x:v>
      </x:c>
      <x:c r="I2117" s="339" t="str">
        <x:v>the system records actor, timestamp, action, target and relevant before/after or reason context in the audit trail</x:v>
      </x:c>
      <x:c r="J2117" s="339" t="str">
        <x:v>Positive</x:v>
      </x:c>
      <x:c r="K2117" s="339" t="str">
        <x:v>Functional</x:v>
      </x:c>
    </x:row>
    <x:row r="2118">
      <x:c r="A2118" s="339" t="str">
        <x:v>AC-02117</x:v>
      </x:c>
      <x:c r="B2118" s="339" t="str">
        <x:v>US-0530</x:v>
      </x:c>
      <x:c r="C2118" s="339" t="str">
        <x:v>SCR-265</x:v>
      </x:c>
      <x:c r="D2118" s="339" t="str">
        <x:v>Reports &amp; Analytics</x:v>
      </x:c>
      <x:c r="E2118" s="339" t="str">
        <x:v>Admission Reports</x:v>
      </x:c>
      <x:c r="F2118" s="339" t="str">
        <x:v>Filter accuracy</x:v>
      </x:c>
      <x:c r="G2118" s="339" t="str">
        <x:v>source data exists across multiple periods/scopes</x:v>
      </x:c>
      <x:c r="H2118" s="339" t="str">
        <x:v>the user applies report filters</x:v>
      </x:c>
      <x:c r="I2118" s="339" t="str">
        <x:v>aggregates and rows include only authorized data matching the filters</x:v>
      </x:c>
      <x:c r="J2118" s="339" t="str">
        <x:v>Positive</x:v>
      </x:c>
      <x:c r="K2118" s="339" t="str">
        <x:v>Functional</x:v>
      </x:c>
    </x:row>
    <x:row r="2119">
      <x:c r="A2119" s="339" t="str">
        <x:v>AC-02118</x:v>
      </x:c>
      <x:c r="B2119" s="339" t="str">
        <x:v>US-0530</x:v>
      </x:c>
      <x:c r="C2119" s="339" t="str">
        <x:v>SCR-265</x:v>
      </x:c>
      <x:c r="D2119" s="339" t="str">
        <x:v>Reports &amp; Analytics</x:v>
      </x:c>
      <x:c r="E2119" s="339" t="str">
        <x:v>Admission Reports</x:v>
      </x:c>
      <x:c r="F2119" s="339" t="str">
        <x:v>Formula consistency</x:v>
      </x:c>
      <x:c r="G2119" s="339" t="str">
        <x:v>the report contains calculated metrics</x:v>
      </x:c>
      <x:c r="H2119" s="339" t="str">
        <x:v>the report is generated</x:v>
      </x:c>
      <x:c r="I2119" s="339" t="str">
        <x:v>calculations follow the approved rule: Metrics reuse the source-module formulas and must reconcile to filtered transaction counts/amounts.</x:v>
      </x:c>
      <x:c r="J2119" s="339" t="str">
        <x:v>Positive</x:v>
      </x:c>
      <x:c r="K2119" s="339" t="str">
        <x:v>Functional</x:v>
      </x:c>
    </x:row>
    <x:row r="2120">
      <x:c r="A2120" s="339" t="str">
        <x:v>AC-02119</x:v>
      </x:c>
      <x:c r="B2120" s="339" t="str">
        <x:v>US-0530</x:v>
      </x:c>
      <x:c r="C2120" s="339" t="str">
        <x:v>SCR-265</x:v>
      </x:c>
      <x:c r="D2120" s="339" t="str">
        <x:v>Reports &amp; Analytics</x:v>
      </x:c>
      <x:c r="E2120" s="339" t="str">
        <x:v>Admission Reports</x:v>
      </x:c>
      <x:c r="F2120" s="339" t="str">
        <x:v>Reconciliation</x:v>
      </x:c>
      <x:c r="G2120" s="339" t="str">
        <x:v>a report total is displayed</x:v>
      </x:c>
      <x:c r="H2120" s="339" t="str">
        <x:v>the user drills to supporting data</x:v>
      </x:c>
      <x:c r="I2120" s="339" t="str">
        <x:v>the supporting rows reconcile to the displayed total within defined rounding rules</x:v>
      </x:c>
      <x:c r="J2120" s="339" t="str">
        <x:v>Positive</x:v>
      </x:c>
      <x:c r="K2120" s="339" t="str">
        <x:v>Functional</x:v>
      </x:c>
    </x:row>
    <x:row r="2121">
      <x:c r="A2121" s="339" t="str">
        <x:v>AC-02120</x:v>
      </x:c>
      <x:c r="B2121" s="339" t="str">
        <x:v>US-0530</x:v>
      </x:c>
      <x:c r="C2121" s="339" t="str">
        <x:v>SCR-265</x:v>
      </x:c>
      <x:c r="D2121" s="339" t="str">
        <x:v>Reports &amp; Analytics</x:v>
      </x:c>
      <x:c r="E2121" s="339" t="str">
        <x:v>Admission Reports</x:v>
      </x:c>
      <x:c r="F2121" s="339" t="str">
        <x:v>Export fidelity</x:v>
      </x:c>
      <x:c r="G2121" s="339" t="str">
        <x:v>the user has export permission</x:v>
      </x:c>
      <x:c r="H2121" s="339" t="str">
        <x:v>the report is exported</x:v>
      </x:c>
      <x:c r="I2121" s="339" t="str">
        <x:v>the export preserves filter context, values and permitted columns and includes a run timestamp/context where appropriate</x:v>
      </x:c>
      <x:c r="J2121" s="339" t="str">
        <x:v>Positive</x:v>
      </x:c>
      <x:c r="K2121" s="339" t="str">
        <x:v>Functional</x:v>
      </x:c>
    </x:row>
    <x:row r="2122">
      <x:c r="A2122" s="339" t="str">
        <x:v>AC-02121</x:v>
      </x:c>
      <x:c r="B2122" s="339" t="str">
        <x:v>US-0531</x:v>
      </x:c>
      <x:c r="C2122" s="339" t="str">
        <x:v>SCR-266</x:v>
      </x:c>
      <x:c r="D2122" s="339" t="str">
        <x:v>Reports &amp; Analytics</x:v>
      </x:c>
      <x:c r="E2122" s="339" t="str">
        <x:v>Student Strength Report</x:v>
      </x:c>
      <x:c r="F2122" s="339" t="str">
        <x:v>Authorized access to Student Strength Report</x:v>
      </x:c>
      <x:c r="G2122" s="339" t="str">
        <x:v>the School Admin is authenticated and has access to Student Strength Report</x:v>
      </x:c>
      <x:c r="H2122" s="339" t="str">
        <x:v>the user opens or invokes Student Strength Report</x:v>
      </x:c>
      <x:c r="I2122" s="339" t="str">
        <x:v>the system loads only records and actions within the user's permitted tenant/school/data scope</x:v>
      </x:c>
      <x:c r="J2122" s="339" t="str">
        <x:v>Positive</x:v>
      </x:c>
      <x:c r="K2122" s="339" t="str">
        <x:v>Functional / Security</x:v>
      </x:c>
    </x:row>
    <x:row r="2123">
      <x:c r="A2123" s="339" t="str">
        <x:v>AC-02122</x:v>
      </x:c>
      <x:c r="B2123" s="339" t="str">
        <x:v>US-0531</x:v>
      </x:c>
      <x:c r="C2123" s="339" t="str">
        <x:v>SCR-266</x:v>
      </x:c>
      <x:c r="D2123" s="339" t="str">
        <x:v>Reports &amp; Analytics</x:v>
      </x:c>
      <x:c r="E2123" s="339" t="str">
        <x:v>Student Strength Report</x:v>
      </x:c>
      <x:c r="F2123" s="339" t="str">
        <x:v>Successful Student Strength Report happy path</x:v>
      </x:c>
      <x:c r="G2123" s="339" t="str">
        <x:v>all mandatory prerequisites and valid data are available</x:v>
      </x:c>
      <x:c r="H2123" s="339" t="str">
        <x:v>the School Admin completes the primary action on Student Strength Report</x:v>
      </x:c>
      <x:c r="I2123" s="339" t="str">
        <x:v>the system validates the request, saves it atomically, shows a clear confirmation and reflects the updated state</x:v>
      </x:c>
      <x:c r="J2123" s="339" t="str">
        <x:v>Positive</x:v>
      </x:c>
      <x:c r="K2123" s="339" t="str">
        <x:v>Functional</x:v>
      </x:c>
    </x:row>
    <x:row r="2124">
      <x:c r="A2124" s="339" t="str">
        <x:v>AC-02123</x:v>
      </x:c>
      <x:c r="B2124" s="339" t="str">
        <x:v>US-0531</x:v>
      </x:c>
      <x:c r="C2124" s="339" t="str">
        <x:v>SCR-266</x:v>
      </x:c>
      <x:c r="D2124" s="339" t="str">
        <x:v>Reports &amp; Analytics</x:v>
      </x:c>
      <x:c r="E2124" s="339" t="str">
        <x:v>Student Strength Report</x:v>
      </x:c>
      <x:c r="F2124" s="339" t="str">
        <x:v>State and dependency integrity</x:v>
      </x:c>
      <x:c r="G2124" s="339" t="str">
        <x:v>the current record is in an allowed state (Filter Context Set → Report Generated → Viewed / Exported)</x:v>
      </x:c>
      <x:c r="H2124" s="339" t="str">
        <x:v>the user attempts a state-changing action</x:v>
      </x:c>
      <x:c r="I2124" s="339" t="str">
        <x:v>only a valid transition is accepted and dependent records are updated according to configured business rules</x:v>
      </x:c>
      <x:c r="J2124" s="339" t="str">
        <x:v>Positive</x:v>
      </x:c>
      <x:c r="K2124" s="339" t="str">
        <x:v>Functional</x:v>
      </x:c>
    </x:row>
    <x:row r="2125">
      <x:c r="A2125" s="339" t="str">
        <x:v>AC-02124</x:v>
      </x:c>
      <x:c r="B2125" s="339" t="str">
        <x:v>US-0531</x:v>
      </x:c>
      <x:c r="C2125" s="339" t="str">
        <x:v>SCR-266</x:v>
      </x:c>
      <x:c r="D2125" s="339" t="str">
        <x:v>Reports &amp; Analytics</x:v>
      </x:c>
      <x:c r="E2125" s="339" t="str">
        <x:v>Student Strength Report</x:v>
      </x:c>
      <x:c r="F2125" s="339" t="str">
        <x:v>Auditability</x:v>
      </x:c>
      <x:c r="G2125" s="339" t="str">
        <x:v>a material create/update/approve/reverse action occurs</x:v>
      </x:c>
      <x:c r="H2125" s="339" t="str">
        <x:v>the transaction succeeds</x:v>
      </x:c>
      <x:c r="I2125" s="339" t="str">
        <x:v>the system records actor, timestamp, action, target and relevant before/after or reason context in the audit trail</x:v>
      </x:c>
      <x:c r="J2125" s="339" t="str">
        <x:v>Positive</x:v>
      </x:c>
      <x:c r="K2125" s="339" t="str">
        <x:v>Functional</x:v>
      </x:c>
    </x:row>
    <x:row r="2126">
      <x:c r="A2126" s="339" t="str">
        <x:v>AC-02125</x:v>
      </x:c>
      <x:c r="B2126" s="339" t="str">
        <x:v>US-0532</x:v>
      </x:c>
      <x:c r="C2126" s="339" t="str">
        <x:v>SCR-266</x:v>
      </x:c>
      <x:c r="D2126" s="339" t="str">
        <x:v>Reports &amp; Analytics</x:v>
      </x:c>
      <x:c r="E2126" s="339" t="str">
        <x:v>Student Strength Report</x:v>
      </x:c>
      <x:c r="F2126" s="339" t="str">
        <x:v>Filter accuracy</x:v>
      </x:c>
      <x:c r="G2126" s="339" t="str">
        <x:v>source data exists across multiple periods/scopes</x:v>
      </x:c>
      <x:c r="H2126" s="339" t="str">
        <x:v>the user applies report filters</x:v>
      </x:c>
      <x:c r="I2126" s="339" t="str">
        <x:v>aggregates and rows include only authorized data matching the filters</x:v>
      </x:c>
      <x:c r="J2126" s="339" t="str">
        <x:v>Positive</x:v>
      </x:c>
      <x:c r="K2126" s="339" t="str">
        <x:v>Functional</x:v>
      </x:c>
    </x:row>
    <x:row r="2127">
      <x:c r="A2127" s="339" t="str">
        <x:v>AC-02126</x:v>
      </x:c>
      <x:c r="B2127" s="339" t="str">
        <x:v>US-0532</x:v>
      </x:c>
      <x:c r="C2127" s="339" t="str">
        <x:v>SCR-266</x:v>
      </x:c>
      <x:c r="D2127" s="339" t="str">
        <x:v>Reports &amp; Analytics</x:v>
      </x:c>
      <x:c r="E2127" s="339" t="str">
        <x:v>Student Strength Report</x:v>
      </x:c>
      <x:c r="F2127" s="339" t="str">
        <x:v>Formula consistency</x:v>
      </x:c>
      <x:c r="G2127" s="339" t="str">
        <x:v>the report contains calculated metrics</x:v>
      </x:c>
      <x:c r="H2127" s="339" t="str">
        <x:v>the report is generated</x:v>
      </x:c>
      <x:c r="I2127" s="339" t="str">
        <x:v>calculations follow the approved rule: Metrics reuse the source-module formulas and must reconcile to filtered transaction counts/amounts.</x:v>
      </x:c>
      <x:c r="J2127" s="339" t="str">
        <x:v>Positive</x:v>
      </x:c>
      <x:c r="K2127" s="339" t="str">
        <x:v>Functional</x:v>
      </x:c>
    </x:row>
    <x:row r="2128">
      <x:c r="A2128" s="339" t="str">
        <x:v>AC-02127</x:v>
      </x:c>
      <x:c r="B2128" s="339" t="str">
        <x:v>US-0532</x:v>
      </x:c>
      <x:c r="C2128" s="339" t="str">
        <x:v>SCR-266</x:v>
      </x:c>
      <x:c r="D2128" s="339" t="str">
        <x:v>Reports &amp; Analytics</x:v>
      </x:c>
      <x:c r="E2128" s="339" t="str">
        <x:v>Student Strength Report</x:v>
      </x:c>
      <x:c r="F2128" s="339" t="str">
        <x:v>Reconciliation</x:v>
      </x:c>
      <x:c r="G2128" s="339" t="str">
        <x:v>a report total is displayed</x:v>
      </x:c>
      <x:c r="H2128" s="339" t="str">
        <x:v>the user drills to supporting data</x:v>
      </x:c>
      <x:c r="I2128" s="339" t="str">
        <x:v>the supporting rows reconcile to the displayed total within defined rounding rules</x:v>
      </x:c>
      <x:c r="J2128" s="339" t="str">
        <x:v>Positive</x:v>
      </x:c>
      <x:c r="K2128" s="339" t="str">
        <x:v>Functional</x:v>
      </x:c>
    </x:row>
    <x:row r="2129">
      <x:c r="A2129" s="339" t="str">
        <x:v>AC-02128</x:v>
      </x:c>
      <x:c r="B2129" s="339" t="str">
        <x:v>US-0532</x:v>
      </x:c>
      <x:c r="C2129" s="339" t="str">
        <x:v>SCR-266</x:v>
      </x:c>
      <x:c r="D2129" s="339" t="str">
        <x:v>Reports &amp; Analytics</x:v>
      </x:c>
      <x:c r="E2129" s="339" t="str">
        <x:v>Student Strength Report</x:v>
      </x:c>
      <x:c r="F2129" s="339" t="str">
        <x:v>Export fidelity</x:v>
      </x:c>
      <x:c r="G2129" s="339" t="str">
        <x:v>the user has export permission</x:v>
      </x:c>
      <x:c r="H2129" s="339" t="str">
        <x:v>the report is exported</x:v>
      </x:c>
      <x:c r="I2129" s="339" t="str">
        <x:v>the export preserves filter context, values and permitted columns and includes a run timestamp/context where appropriate</x:v>
      </x:c>
      <x:c r="J2129" s="339" t="str">
        <x:v>Positive</x:v>
      </x:c>
      <x:c r="K2129" s="339" t="str">
        <x:v>Functional</x:v>
      </x:c>
    </x:row>
    <x:row r="2130">
      <x:c r="A2130" s="339" t="str">
        <x:v>AC-02129</x:v>
      </x:c>
      <x:c r="B2130" s="339" t="str">
        <x:v>US-0533</x:v>
      </x:c>
      <x:c r="C2130" s="339" t="str">
        <x:v>SCR-267</x:v>
      </x:c>
      <x:c r="D2130" s="339" t="str">
        <x:v>Reports &amp; Analytics</x:v>
      </x:c>
      <x:c r="E2130" s="339" t="str">
        <x:v>Student Demographics</x:v>
      </x:c>
      <x:c r="F2130" s="339" t="str">
        <x:v>Authorized access to Student Demographics</x:v>
      </x:c>
      <x:c r="G2130" s="339" t="str">
        <x:v>the School Admin is authenticated and has access to Student Demographics</x:v>
      </x:c>
      <x:c r="H2130" s="339" t="str">
        <x:v>the user opens or invokes Student Demographics</x:v>
      </x:c>
      <x:c r="I2130" s="339" t="str">
        <x:v>the system loads only records and actions within the user's permitted tenant/school/data scope</x:v>
      </x:c>
      <x:c r="J2130" s="339" t="str">
        <x:v>Positive</x:v>
      </x:c>
      <x:c r="K2130" s="339" t="str">
        <x:v>Functional / Security</x:v>
      </x:c>
    </x:row>
    <x:row r="2131">
      <x:c r="A2131" s="339" t="str">
        <x:v>AC-02130</x:v>
      </x:c>
      <x:c r="B2131" s="339" t="str">
        <x:v>US-0533</x:v>
      </x:c>
      <x:c r="C2131" s="339" t="str">
        <x:v>SCR-267</x:v>
      </x:c>
      <x:c r="D2131" s="339" t="str">
        <x:v>Reports &amp; Analytics</x:v>
      </x:c>
      <x:c r="E2131" s="339" t="str">
        <x:v>Student Demographics</x:v>
      </x:c>
      <x:c r="F2131" s="339" t="str">
        <x:v>Successful Student Demographics happy path</x:v>
      </x:c>
      <x:c r="G2131" s="339" t="str">
        <x:v>all mandatory prerequisites and valid data are available</x:v>
      </x:c>
      <x:c r="H2131" s="339" t="str">
        <x:v>the School Admin completes the primary action on Student Demographics</x:v>
      </x:c>
      <x:c r="I2131" s="339" t="str">
        <x:v>the system validates the request, saves it atomically, shows a clear confirmation and reflects the updated state</x:v>
      </x:c>
      <x:c r="J2131" s="339" t="str">
        <x:v>Positive</x:v>
      </x:c>
      <x:c r="K2131" s="339" t="str">
        <x:v>Functional</x:v>
      </x:c>
    </x:row>
    <x:row r="2132">
      <x:c r="A2132" s="339" t="str">
        <x:v>AC-02131</x:v>
      </x:c>
      <x:c r="B2132" s="339" t="str">
        <x:v>US-0533</x:v>
      </x:c>
      <x:c r="C2132" s="339" t="str">
        <x:v>SCR-267</x:v>
      </x:c>
      <x:c r="D2132" s="339" t="str">
        <x:v>Reports &amp; Analytics</x:v>
      </x:c>
      <x:c r="E2132" s="339" t="str">
        <x:v>Student Demographics</x:v>
      </x:c>
      <x:c r="F2132" s="339" t="str">
        <x:v>State and dependency integrity</x:v>
      </x:c>
      <x:c r="G2132" s="339" t="str">
        <x:v>the current record is in an allowed state (Filter Context Set → Report Generated → Viewed / Exported)</x:v>
      </x:c>
      <x:c r="H2132" s="339" t="str">
        <x:v>the user attempts a state-changing action</x:v>
      </x:c>
      <x:c r="I2132" s="339" t="str">
        <x:v>only a valid transition is accepted and dependent records are updated according to configured business rules</x:v>
      </x:c>
      <x:c r="J2132" s="339" t="str">
        <x:v>Positive</x:v>
      </x:c>
      <x:c r="K2132" s="339" t="str">
        <x:v>Functional</x:v>
      </x:c>
    </x:row>
    <x:row r="2133">
      <x:c r="A2133" s="339" t="str">
        <x:v>AC-02132</x:v>
      </x:c>
      <x:c r="B2133" s="339" t="str">
        <x:v>US-0533</x:v>
      </x:c>
      <x:c r="C2133" s="339" t="str">
        <x:v>SCR-267</x:v>
      </x:c>
      <x:c r="D2133" s="339" t="str">
        <x:v>Reports &amp; Analytics</x:v>
      </x:c>
      <x:c r="E2133" s="339" t="str">
        <x:v>Student Demographics</x:v>
      </x:c>
      <x:c r="F2133" s="339" t="str">
        <x:v>Auditability</x:v>
      </x:c>
      <x:c r="G2133" s="339" t="str">
        <x:v>a material create/update/approve/reverse action occurs</x:v>
      </x:c>
      <x:c r="H2133" s="339" t="str">
        <x:v>the transaction succeeds</x:v>
      </x:c>
      <x:c r="I2133" s="339" t="str">
        <x:v>the system records actor, timestamp, action, target and relevant before/after or reason context in the audit trail</x:v>
      </x:c>
      <x:c r="J2133" s="339" t="str">
        <x:v>Positive</x:v>
      </x:c>
      <x:c r="K2133" s="339" t="str">
        <x:v>Functional</x:v>
      </x:c>
    </x:row>
    <x:row r="2134">
      <x:c r="A2134" s="339" t="str">
        <x:v>AC-02133</x:v>
      </x:c>
      <x:c r="B2134" s="339" t="str">
        <x:v>US-0534</x:v>
      </x:c>
      <x:c r="C2134" s="339" t="str">
        <x:v>SCR-267</x:v>
      </x:c>
      <x:c r="D2134" s="339" t="str">
        <x:v>Reports &amp; Analytics</x:v>
      </x:c>
      <x:c r="E2134" s="339" t="str">
        <x:v>Student Demographics</x:v>
      </x:c>
      <x:c r="F2134" s="339" t="str">
        <x:v>Valid status transition</x:v>
      </x:c>
      <x:c r="G2134" s="339" t="str">
        <x:v>the record is in a state described by Filter Context Set → Report Generated → Viewed / Exported</x:v>
      </x:c>
      <x:c r="H2134" s="339" t="str">
        <x:v>the user requests a transition</x:v>
      </x:c>
      <x:c r="I2134" s="339" t="str">
        <x:v>the system accepts only transitions allowed for that role and state</x:v>
      </x:c>
      <x:c r="J2134" s="339" t="str">
        <x:v>Positive</x:v>
      </x:c>
      <x:c r="K2134" s="339" t="str">
        <x:v>Functional</x:v>
      </x:c>
    </x:row>
    <x:row r="2135">
      <x:c r="A2135" s="339" t="str">
        <x:v>AC-02134</x:v>
      </x:c>
      <x:c r="B2135" s="339" t="str">
        <x:v>US-0534</x:v>
      </x:c>
      <x:c r="C2135" s="339" t="str">
        <x:v>SCR-267</x:v>
      </x:c>
      <x:c r="D2135" s="339" t="str">
        <x:v>Reports &amp; Analytics</x:v>
      </x:c>
      <x:c r="E2135" s="339" t="str">
        <x:v>Student Demographics</x:v>
      </x:c>
      <x:c r="F2135" s="339" t="str">
        <x:v>Approval authority</x:v>
      </x:c>
      <x:c r="G2135" s="339" t="str">
        <x:v>an action requires approval</x:v>
      </x:c>
      <x:c r="H2135" s="339" t="str">
        <x:v>a non-authorized user attempts approval/rejection</x:v>
      </x:c>
      <x:c r="I2135" s="339" t="str">
        <x:v>the system denies the decision and does not change status</x:v>
      </x:c>
      <x:c r="J2135" s="339" t="str">
        <x:v>Negative</x:v>
      </x:c>
      <x:c r="K2135" s="339" t="str">
        <x:v>Functional</x:v>
      </x:c>
    </x:row>
    <x:row r="2136">
      <x:c r="A2136" s="339" t="str">
        <x:v>AC-02135</x:v>
      </x:c>
      <x:c r="B2136" s="339" t="str">
        <x:v>US-0534</x:v>
      </x:c>
      <x:c r="C2136" s="339" t="str">
        <x:v>SCR-267</x:v>
      </x:c>
      <x:c r="D2136" s="339" t="str">
        <x:v>Reports &amp; Analytics</x:v>
      </x:c>
      <x:c r="E2136" s="339" t="str">
        <x:v>Student Demographics</x:v>
      </x:c>
      <x:c r="F2136" s="339" t="str">
        <x:v>Failure rollback</x:v>
      </x:c>
      <x:c r="G2136" s="339" t="str">
        <x:v>a downstream dependency fails during a multi-step transaction</x:v>
      </x:c>
      <x:c r="H2136" s="339" t="str">
        <x:v>the workflow executes</x:v>
      </x:c>
      <x:c r="I2136" s="339" t="str">
        <x:v>the system does not leave an invalid partial final state and surfaces a recoverable error</x:v>
      </x:c>
      <x:c r="J2136" s="339" t="str">
        <x:v>Positive</x:v>
      </x:c>
      <x:c r="K2136" s="339" t="str">
        <x:v>Functional</x:v>
      </x:c>
    </x:row>
    <x:row r="2137">
      <x:c r="A2137" s="339" t="str">
        <x:v>AC-02136</x:v>
      </x:c>
      <x:c r="B2137" s="339" t="str">
        <x:v>US-0534</x:v>
      </x:c>
      <x:c r="C2137" s="339" t="str">
        <x:v>SCR-267</x:v>
      </x:c>
      <x:c r="D2137" s="339" t="str">
        <x:v>Reports &amp; Analytics</x:v>
      </x:c>
      <x:c r="E2137" s="339" t="str">
        <x:v>Student Demographics</x:v>
      </x:c>
      <x:c r="F2137" s="339" t="str">
        <x:v>Exception traceability</x:v>
      </x:c>
      <x:c r="G2137" s="339" t="str">
        <x:v>an authorized override/exception is used</x:v>
      </x:c>
      <x:c r="H2137" s="339" t="str">
        <x:v>the action is confirmed</x:v>
      </x:c>
      <x:c r="I2137" s="339" t="str">
        <x:v>the system requires reason/context and records it in the audit history</x:v>
      </x:c>
      <x:c r="J2137" s="339" t="str">
        <x:v>Positive</x:v>
      </x:c>
      <x:c r="K2137" s="339" t="str">
        <x:v>Functional</x:v>
      </x:c>
    </x:row>
    <x:row r="2138">
      <x:c r="A2138" s="339" t="str">
        <x:v>AC-02137</x:v>
      </x:c>
      <x:c r="B2138" s="339" t="str">
        <x:v>US-0535</x:v>
      </x:c>
      <x:c r="C2138" s="339" t="str">
        <x:v>SCR-268</x:v>
      </x:c>
      <x:c r="D2138" s="339" t="str">
        <x:v>Reports &amp; Analytics</x:v>
      </x:c>
      <x:c r="E2138" s="339" t="str">
        <x:v>Attendance Analytics</x:v>
      </x:c>
      <x:c r="F2138" s="339" t="str">
        <x:v>Authorized access to Attendance Analytics</x:v>
      </x:c>
      <x:c r="G2138" s="339" t="str">
        <x:v>the School Admin is authenticated and has access to Attendance Analytics</x:v>
      </x:c>
      <x:c r="H2138" s="339" t="str">
        <x:v>the user opens or invokes Attendance Analytics</x:v>
      </x:c>
      <x:c r="I2138" s="339" t="str">
        <x:v>the system loads only records and actions within the user's permitted tenant/school/data scope</x:v>
      </x:c>
      <x:c r="J2138" s="339" t="str">
        <x:v>Positive</x:v>
      </x:c>
      <x:c r="K2138" s="339" t="str">
        <x:v>Functional / Security</x:v>
      </x:c>
    </x:row>
    <x:row r="2139">
      <x:c r="A2139" s="339" t="str">
        <x:v>AC-02138</x:v>
      </x:c>
      <x:c r="B2139" s="339" t="str">
        <x:v>US-0535</x:v>
      </x:c>
      <x:c r="C2139" s="339" t="str">
        <x:v>SCR-268</x:v>
      </x:c>
      <x:c r="D2139" s="339" t="str">
        <x:v>Reports &amp; Analytics</x:v>
      </x:c>
      <x:c r="E2139" s="339" t="str">
        <x:v>Attendance Analytics</x:v>
      </x:c>
      <x:c r="F2139" s="339" t="str">
        <x:v>Successful Attendance Analytics happy path</x:v>
      </x:c>
      <x:c r="G2139" s="339" t="str">
        <x:v>all mandatory prerequisites and valid data are available</x:v>
      </x:c>
      <x:c r="H2139" s="339" t="str">
        <x:v>the School Admin completes the primary action on Attendance Analytics</x:v>
      </x:c>
      <x:c r="I2139" s="339" t="str">
        <x:v>the system validates the request, saves it atomically, shows a clear confirmation and reflects the updated state</x:v>
      </x:c>
      <x:c r="J2139" s="339" t="str">
        <x:v>Positive</x:v>
      </x:c>
      <x:c r="K2139" s="339" t="str">
        <x:v>Functional</x:v>
      </x:c>
    </x:row>
    <x:row r="2140">
      <x:c r="A2140" s="339" t="str">
        <x:v>AC-02139</x:v>
      </x:c>
      <x:c r="B2140" s="339" t="str">
        <x:v>US-0535</x:v>
      </x:c>
      <x:c r="C2140" s="339" t="str">
        <x:v>SCR-268</x:v>
      </x:c>
      <x:c r="D2140" s="339" t="str">
        <x:v>Reports &amp; Analytics</x:v>
      </x:c>
      <x:c r="E2140" s="339" t="str">
        <x:v>Attendance Analytics</x:v>
      </x:c>
      <x:c r="F2140" s="339" t="str">
        <x:v>State and dependency integrity</x:v>
      </x:c>
      <x:c r="G2140" s="339" t="str">
        <x:v>the current record is in an allowed state (Filter Context Set → Report Generated → Viewed / Exported)</x:v>
      </x:c>
      <x:c r="H2140" s="339" t="str">
        <x:v>the user attempts a state-changing action</x:v>
      </x:c>
      <x:c r="I2140" s="339" t="str">
        <x:v>only a valid transition is accepted and dependent records are updated according to configured business rules</x:v>
      </x:c>
      <x:c r="J2140" s="339" t="str">
        <x:v>Positive</x:v>
      </x:c>
      <x:c r="K2140" s="339" t="str">
        <x:v>Functional</x:v>
      </x:c>
    </x:row>
    <x:row r="2141">
      <x:c r="A2141" s="339" t="str">
        <x:v>AC-02140</x:v>
      </x:c>
      <x:c r="B2141" s="339" t="str">
        <x:v>US-0535</x:v>
      </x:c>
      <x:c r="C2141" s="339" t="str">
        <x:v>SCR-268</x:v>
      </x:c>
      <x:c r="D2141" s="339" t="str">
        <x:v>Reports &amp; Analytics</x:v>
      </x:c>
      <x:c r="E2141" s="339" t="str">
        <x:v>Attendance Analytics</x:v>
      </x:c>
      <x:c r="F2141" s="339" t="str">
        <x:v>Auditability</x:v>
      </x:c>
      <x:c r="G2141" s="339" t="str">
        <x:v>a material create/update/approve/reverse action occurs</x:v>
      </x:c>
      <x:c r="H2141" s="339" t="str">
        <x:v>the transaction succeeds</x:v>
      </x:c>
      <x:c r="I2141" s="339" t="str">
        <x:v>the system records actor, timestamp, action, target and relevant before/after or reason context in the audit trail</x:v>
      </x:c>
      <x:c r="J2141" s="339" t="str">
        <x:v>Positive</x:v>
      </x:c>
      <x:c r="K2141" s="339" t="str">
        <x:v>Functional</x:v>
      </x:c>
    </x:row>
    <x:row r="2142">
      <x:c r="A2142" s="339" t="str">
        <x:v>AC-02141</x:v>
      </x:c>
      <x:c r="B2142" s="339" t="str">
        <x:v>US-0536</x:v>
      </x:c>
      <x:c r="C2142" s="339" t="str">
        <x:v>SCR-268</x:v>
      </x:c>
      <x:c r="D2142" s="339" t="str">
        <x:v>Reports &amp; Analytics</x:v>
      </x:c>
      <x:c r="E2142" s="339" t="str">
        <x:v>Attendance Analytics</x:v>
      </x:c>
      <x:c r="F2142" s="339" t="str">
        <x:v>Filter accuracy</x:v>
      </x:c>
      <x:c r="G2142" s="339" t="str">
        <x:v>source data exists across multiple periods/scopes</x:v>
      </x:c>
      <x:c r="H2142" s="339" t="str">
        <x:v>the user applies report filters</x:v>
      </x:c>
      <x:c r="I2142" s="339" t="str">
        <x:v>aggregates and rows include only authorized data matching the filters</x:v>
      </x:c>
      <x:c r="J2142" s="339" t="str">
        <x:v>Positive</x:v>
      </x:c>
      <x:c r="K2142" s="339" t="str">
        <x:v>Functional</x:v>
      </x:c>
    </x:row>
    <x:row r="2143">
      <x:c r="A2143" s="339" t="str">
        <x:v>AC-02142</x:v>
      </x:c>
      <x:c r="B2143" s="339" t="str">
        <x:v>US-0536</x:v>
      </x:c>
      <x:c r="C2143" s="339" t="str">
        <x:v>SCR-268</x:v>
      </x:c>
      <x:c r="D2143" s="339" t="str">
        <x:v>Reports &amp; Analytics</x:v>
      </x:c>
      <x:c r="E2143" s="339" t="str">
        <x:v>Attendance Analytics</x:v>
      </x:c>
      <x:c r="F2143" s="339" t="str">
        <x:v>Formula consistency</x:v>
      </x:c>
      <x:c r="G2143" s="339" t="str">
        <x:v>the report contains calculated metrics</x:v>
      </x:c>
      <x:c r="H2143" s="339" t="str">
        <x:v>the report is generated</x:v>
      </x:c>
      <x:c r="I2143" s="339" t="str">
        <x:v>calculations follow the approved rule: Metrics reuse the source-module formulas and must reconcile to filtered transaction counts/amounts.</x:v>
      </x:c>
      <x:c r="J2143" s="339" t="str">
        <x:v>Positive</x:v>
      </x:c>
      <x:c r="K2143" s="339" t="str">
        <x:v>Functional</x:v>
      </x:c>
    </x:row>
    <x:row r="2144">
      <x:c r="A2144" s="339" t="str">
        <x:v>AC-02143</x:v>
      </x:c>
      <x:c r="B2144" s="339" t="str">
        <x:v>US-0536</x:v>
      </x:c>
      <x:c r="C2144" s="339" t="str">
        <x:v>SCR-268</x:v>
      </x:c>
      <x:c r="D2144" s="339" t="str">
        <x:v>Reports &amp; Analytics</x:v>
      </x:c>
      <x:c r="E2144" s="339" t="str">
        <x:v>Attendance Analytics</x:v>
      </x:c>
      <x:c r="F2144" s="339" t="str">
        <x:v>Reconciliation</x:v>
      </x:c>
      <x:c r="G2144" s="339" t="str">
        <x:v>a report total is displayed</x:v>
      </x:c>
      <x:c r="H2144" s="339" t="str">
        <x:v>the user drills to supporting data</x:v>
      </x:c>
      <x:c r="I2144" s="339" t="str">
        <x:v>the supporting rows reconcile to the displayed total within defined rounding rules</x:v>
      </x:c>
      <x:c r="J2144" s="339" t="str">
        <x:v>Positive</x:v>
      </x:c>
      <x:c r="K2144" s="339" t="str">
        <x:v>Functional</x:v>
      </x:c>
    </x:row>
    <x:row r="2145">
      <x:c r="A2145" s="339" t="str">
        <x:v>AC-02144</x:v>
      </x:c>
      <x:c r="B2145" s="339" t="str">
        <x:v>US-0536</x:v>
      </x:c>
      <x:c r="C2145" s="339" t="str">
        <x:v>SCR-268</x:v>
      </x:c>
      <x:c r="D2145" s="339" t="str">
        <x:v>Reports &amp; Analytics</x:v>
      </x:c>
      <x:c r="E2145" s="339" t="str">
        <x:v>Attendance Analytics</x:v>
      </x:c>
      <x:c r="F2145" s="339" t="str">
        <x:v>Export fidelity</x:v>
      </x:c>
      <x:c r="G2145" s="339" t="str">
        <x:v>the user has export permission</x:v>
      </x:c>
      <x:c r="H2145" s="339" t="str">
        <x:v>the report is exported</x:v>
      </x:c>
      <x:c r="I2145" s="339" t="str">
        <x:v>the export preserves filter context, values and permitted columns and includes a run timestamp/context where appropriate</x:v>
      </x:c>
      <x:c r="J2145" s="339" t="str">
        <x:v>Positive</x:v>
      </x:c>
      <x:c r="K2145" s="339" t="str">
        <x:v>Functional</x:v>
      </x:c>
    </x:row>
    <x:row r="2146">
      <x:c r="A2146" s="339" t="str">
        <x:v>AC-02145</x:v>
      </x:c>
      <x:c r="B2146" s="339" t="str">
        <x:v>US-0537</x:v>
      </x:c>
      <x:c r="C2146" s="339" t="str">
        <x:v>SCR-269</x:v>
      </x:c>
      <x:c r="D2146" s="339" t="str">
        <x:v>Reports &amp; Analytics</x:v>
      </x:c>
      <x:c r="E2146" s="339" t="str">
        <x:v>Chronic Absenteeism Report</x:v>
      </x:c>
      <x:c r="F2146" s="339" t="str">
        <x:v>Authorized access to Chronic Absenteeism Report</x:v>
      </x:c>
      <x:c r="G2146" s="339" t="str">
        <x:v>the School Admin is authenticated and has access to Chronic Absenteeism Report</x:v>
      </x:c>
      <x:c r="H2146" s="339" t="str">
        <x:v>the user opens or invokes Chronic Absenteeism Report</x:v>
      </x:c>
      <x:c r="I2146" s="339" t="str">
        <x:v>the system loads only records and actions within the user's permitted tenant/school/data scope</x:v>
      </x:c>
      <x:c r="J2146" s="339" t="str">
        <x:v>Positive</x:v>
      </x:c>
      <x:c r="K2146" s="339" t="str">
        <x:v>Functional / Security</x:v>
      </x:c>
    </x:row>
    <x:row r="2147">
      <x:c r="A2147" s="339" t="str">
        <x:v>AC-02146</x:v>
      </x:c>
      <x:c r="B2147" s="339" t="str">
        <x:v>US-0537</x:v>
      </x:c>
      <x:c r="C2147" s="339" t="str">
        <x:v>SCR-269</x:v>
      </x:c>
      <x:c r="D2147" s="339" t="str">
        <x:v>Reports &amp; Analytics</x:v>
      </x:c>
      <x:c r="E2147" s="339" t="str">
        <x:v>Chronic Absenteeism Report</x:v>
      </x:c>
      <x:c r="F2147" s="339" t="str">
        <x:v>Successful Chronic Absenteeism Report happy path</x:v>
      </x:c>
      <x:c r="G2147" s="339" t="str">
        <x:v>all mandatory prerequisites and valid data are available</x:v>
      </x:c>
      <x:c r="H2147" s="339" t="str">
        <x:v>the School Admin completes the primary action on Chronic Absenteeism Report</x:v>
      </x:c>
      <x:c r="I2147" s="339" t="str">
        <x:v>the system validates the request, saves it atomically, shows a clear confirmation and reflects the updated state</x:v>
      </x:c>
      <x:c r="J2147" s="339" t="str">
        <x:v>Positive</x:v>
      </x:c>
      <x:c r="K2147" s="339" t="str">
        <x:v>Functional</x:v>
      </x:c>
    </x:row>
    <x:row r="2148">
      <x:c r="A2148" s="339" t="str">
        <x:v>AC-02147</x:v>
      </x:c>
      <x:c r="B2148" s="339" t="str">
        <x:v>US-0537</x:v>
      </x:c>
      <x:c r="C2148" s="339" t="str">
        <x:v>SCR-269</x:v>
      </x:c>
      <x:c r="D2148" s="339" t="str">
        <x:v>Reports &amp; Analytics</x:v>
      </x:c>
      <x:c r="E2148" s="339" t="str">
        <x:v>Chronic Absenteeism Report</x:v>
      </x:c>
      <x:c r="F2148" s="339" t="str">
        <x:v>State and dependency integrity</x:v>
      </x:c>
      <x:c r="G2148" s="339" t="str">
        <x:v>the current record is in an allowed state (Filter Context Set → Report Generated → Viewed / Exported)</x:v>
      </x:c>
      <x:c r="H2148" s="339" t="str">
        <x:v>the user attempts a state-changing action</x:v>
      </x:c>
      <x:c r="I2148" s="339" t="str">
        <x:v>only a valid transition is accepted and dependent records are updated according to configured business rules</x:v>
      </x:c>
      <x:c r="J2148" s="339" t="str">
        <x:v>Positive</x:v>
      </x:c>
      <x:c r="K2148" s="339" t="str">
        <x:v>Functional</x:v>
      </x:c>
    </x:row>
    <x:row r="2149">
      <x:c r="A2149" s="339" t="str">
        <x:v>AC-02148</x:v>
      </x:c>
      <x:c r="B2149" s="339" t="str">
        <x:v>US-0537</x:v>
      </x:c>
      <x:c r="C2149" s="339" t="str">
        <x:v>SCR-269</x:v>
      </x:c>
      <x:c r="D2149" s="339" t="str">
        <x:v>Reports &amp; Analytics</x:v>
      </x:c>
      <x:c r="E2149" s="339" t="str">
        <x:v>Chronic Absenteeism Report</x:v>
      </x:c>
      <x:c r="F2149" s="339" t="str">
        <x:v>Auditability</x:v>
      </x:c>
      <x:c r="G2149" s="339" t="str">
        <x:v>a material create/update/approve/reverse action occurs</x:v>
      </x:c>
      <x:c r="H2149" s="339" t="str">
        <x:v>the transaction succeeds</x:v>
      </x:c>
      <x:c r="I2149" s="339" t="str">
        <x:v>the system records actor, timestamp, action, target and relevant before/after or reason context in the audit trail</x:v>
      </x:c>
      <x:c r="J2149" s="339" t="str">
        <x:v>Positive</x:v>
      </x:c>
      <x:c r="K2149" s="339" t="str">
        <x:v>Functional</x:v>
      </x:c>
    </x:row>
    <x:row r="2150">
      <x:c r="A2150" s="339" t="str">
        <x:v>AC-02149</x:v>
      </x:c>
      <x:c r="B2150" s="339" t="str">
        <x:v>US-0538</x:v>
      </x:c>
      <x:c r="C2150" s="339" t="str">
        <x:v>SCR-269</x:v>
      </x:c>
      <x:c r="D2150" s="339" t="str">
        <x:v>Reports &amp; Analytics</x:v>
      </x:c>
      <x:c r="E2150" s="339" t="str">
        <x:v>Chronic Absenteeism Report</x:v>
      </x:c>
      <x:c r="F2150" s="339" t="str">
        <x:v>Filter accuracy</x:v>
      </x:c>
      <x:c r="G2150" s="339" t="str">
        <x:v>source data exists across multiple periods/scopes</x:v>
      </x:c>
      <x:c r="H2150" s="339" t="str">
        <x:v>the user applies report filters</x:v>
      </x:c>
      <x:c r="I2150" s="339" t="str">
        <x:v>aggregates and rows include only authorized data matching the filters</x:v>
      </x:c>
      <x:c r="J2150" s="339" t="str">
        <x:v>Positive</x:v>
      </x:c>
      <x:c r="K2150" s="339" t="str">
        <x:v>Functional</x:v>
      </x:c>
    </x:row>
    <x:row r="2151">
      <x:c r="A2151" s="339" t="str">
        <x:v>AC-02150</x:v>
      </x:c>
      <x:c r="B2151" s="339" t="str">
        <x:v>US-0538</x:v>
      </x:c>
      <x:c r="C2151" s="339" t="str">
        <x:v>SCR-269</x:v>
      </x:c>
      <x:c r="D2151" s="339" t="str">
        <x:v>Reports &amp; Analytics</x:v>
      </x:c>
      <x:c r="E2151" s="339" t="str">
        <x:v>Chronic Absenteeism Report</x:v>
      </x:c>
      <x:c r="F2151" s="339" t="str">
        <x:v>Formula consistency</x:v>
      </x:c>
      <x:c r="G2151" s="339" t="str">
        <x:v>the report contains calculated metrics</x:v>
      </x:c>
      <x:c r="H2151" s="339" t="str">
        <x:v>the report is generated</x:v>
      </x:c>
      <x:c r="I2151" s="339" t="str">
        <x:v>calculations follow the approved rule: Metrics reuse the source-module formulas and must reconcile to filtered transaction counts/amounts.</x:v>
      </x:c>
      <x:c r="J2151" s="339" t="str">
        <x:v>Positive</x:v>
      </x:c>
      <x:c r="K2151" s="339" t="str">
        <x:v>Functional</x:v>
      </x:c>
    </x:row>
    <x:row r="2152">
      <x:c r="A2152" s="339" t="str">
        <x:v>AC-02151</x:v>
      </x:c>
      <x:c r="B2152" s="339" t="str">
        <x:v>US-0538</x:v>
      </x:c>
      <x:c r="C2152" s="339" t="str">
        <x:v>SCR-269</x:v>
      </x:c>
      <x:c r="D2152" s="339" t="str">
        <x:v>Reports &amp; Analytics</x:v>
      </x:c>
      <x:c r="E2152" s="339" t="str">
        <x:v>Chronic Absenteeism Report</x:v>
      </x:c>
      <x:c r="F2152" s="339" t="str">
        <x:v>Reconciliation</x:v>
      </x:c>
      <x:c r="G2152" s="339" t="str">
        <x:v>a report total is displayed</x:v>
      </x:c>
      <x:c r="H2152" s="339" t="str">
        <x:v>the user drills to supporting data</x:v>
      </x:c>
      <x:c r="I2152" s="339" t="str">
        <x:v>the supporting rows reconcile to the displayed total within defined rounding rules</x:v>
      </x:c>
      <x:c r="J2152" s="339" t="str">
        <x:v>Positive</x:v>
      </x:c>
      <x:c r="K2152" s="339" t="str">
        <x:v>Functional</x:v>
      </x:c>
    </x:row>
    <x:row r="2153">
      <x:c r="A2153" s="339" t="str">
        <x:v>AC-02152</x:v>
      </x:c>
      <x:c r="B2153" s="339" t="str">
        <x:v>US-0538</x:v>
      </x:c>
      <x:c r="C2153" s="339" t="str">
        <x:v>SCR-269</x:v>
      </x:c>
      <x:c r="D2153" s="339" t="str">
        <x:v>Reports &amp; Analytics</x:v>
      </x:c>
      <x:c r="E2153" s="339" t="str">
        <x:v>Chronic Absenteeism Report</x:v>
      </x:c>
      <x:c r="F2153" s="339" t="str">
        <x:v>Export fidelity</x:v>
      </x:c>
      <x:c r="G2153" s="339" t="str">
        <x:v>the user has export permission</x:v>
      </x:c>
      <x:c r="H2153" s="339" t="str">
        <x:v>the report is exported</x:v>
      </x:c>
      <x:c r="I2153" s="339" t="str">
        <x:v>the export preserves filter context, values and permitted columns and includes a run timestamp/context where appropriate</x:v>
      </x:c>
      <x:c r="J2153" s="339" t="str">
        <x:v>Positive</x:v>
      </x:c>
      <x:c r="K2153" s="339" t="str">
        <x:v>Functional</x:v>
      </x:c>
    </x:row>
    <x:row r="2154">
      <x:c r="A2154" s="339" t="str">
        <x:v>AC-02153</x:v>
      </x:c>
      <x:c r="B2154" s="339" t="str">
        <x:v>US-0539</x:v>
      </x:c>
      <x:c r="C2154" s="339" t="str">
        <x:v>SCR-270</x:v>
      </x:c>
      <x:c r="D2154" s="339" t="str">
        <x:v>Reports &amp; Analytics</x:v>
      </x:c>
      <x:c r="E2154" s="339" t="str">
        <x:v>Academic Performance</x:v>
      </x:c>
      <x:c r="F2154" s="339" t="str">
        <x:v>Authorized access to Academic Performance</x:v>
      </x:c>
      <x:c r="G2154" s="339" t="str">
        <x:v>the School Admin is authenticated and has access to Academic Performance</x:v>
      </x:c>
      <x:c r="H2154" s="339" t="str">
        <x:v>the user opens or invokes Academic Performance</x:v>
      </x:c>
      <x:c r="I2154" s="339" t="str">
        <x:v>the system loads only records and actions within the user's permitted tenant/school/data scope</x:v>
      </x:c>
      <x:c r="J2154" s="339" t="str">
        <x:v>Positive</x:v>
      </x:c>
      <x:c r="K2154" s="339" t="str">
        <x:v>Functional / Security</x:v>
      </x:c>
    </x:row>
    <x:row r="2155">
      <x:c r="A2155" s="339" t="str">
        <x:v>AC-02154</x:v>
      </x:c>
      <x:c r="B2155" s="339" t="str">
        <x:v>US-0539</x:v>
      </x:c>
      <x:c r="C2155" s="339" t="str">
        <x:v>SCR-270</x:v>
      </x:c>
      <x:c r="D2155" s="339" t="str">
        <x:v>Reports &amp; Analytics</x:v>
      </x:c>
      <x:c r="E2155" s="339" t="str">
        <x:v>Academic Performance</x:v>
      </x:c>
      <x:c r="F2155" s="339" t="str">
        <x:v>Successful Academic Performance happy path</x:v>
      </x:c>
      <x:c r="G2155" s="339" t="str">
        <x:v>all mandatory prerequisites and valid data are available</x:v>
      </x:c>
      <x:c r="H2155" s="339" t="str">
        <x:v>the School Admin completes the primary action on Academic Performance</x:v>
      </x:c>
      <x:c r="I2155" s="339" t="str">
        <x:v>the system validates the request, saves it atomically, shows a clear confirmation and reflects the updated state</x:v>
      </x:c>
      <x:c r="J2155" s="339" t="str">
        <x:v>Positive</x:v>
      </x:c>
      <x:c r="K2155" s="339" t="str">
        <x:v>Functional</x:v>
      </x:c>
    </x:row>
    <x:row r="2156">
      <x:c r="A2156" s="339" t="str">
        <x:v>AC-02155</x:v>
      </x:c>
      <x:c r="B2156" s="339" t="str">
        <x:v>US-0539</x:v>
      </x:c>
      <x:c r="C2156" s="339" t="str">
        <x:v>SCR-270</x:v>
      </x:c>
      <x:c r="D2156" s="339" t="str">
        <x:v>Reports &amp; Analytics</x:v>
      </x:c>
      <x:c r="E2156" s="339" t="str">
        <x:v>Academic Performance</x:v>
      </x:c>
      <x:c r="F2156" s="339" t="str">
        <x:v>State and dependency integrity</x:v>
      </x:c>
      <x:c r="G2156" s="339" t="str">
        <x:v>the current record is in an allowed state (Filter Context Set → Report Generated → Viewed / Exported)</x:v>
      </x:c>
      <x:c r="H2156" s="339" t="str">
        <x:v>the user attempts a state-changing action</x:v>
      </x:c>
      <x:c r="I2156" s="339" t="str">
        <x:v>only a valid transition is accepted and dependent records are updated according to configured business rules</x:v>
      </x:c>
      <x:c r="J2156" s="339" t="str">
        <x:v>Positive</x:v>
      </x:c>
      <x:c r="K2156" s="339" t="str">
        <x:v>Functional</x:v>
      </x:c>
    </x:row>
    <x:row r="2157">
      <x:c r="A2157" s="339" t="str">
        <x:v>AC-02156</x:v>
      </x:c>
      <x:c r="B2157" s="339" t="str">
        <x:v>US-0539</x:v>
      </x:c>
      <x:c r="C2157" s="339" t="str">
        <x:v>SCR-270</x:v>
      </x:c>
      <x:c r="D2157" s="339" t="str">
        <x:v>Reports &amp; Analytics</x:v>
      </x:c>
      <x:c r="E2157" s="339" t="str">
        <x:v>Academic Performance</x:v>
      </x:c>
      <x:c r="F2157" s="339" t="str">
        <x:v>Auditability</x:v>
      </x:c>
      <x:c r="G2157" s="339" t="str">
        <x:v>a material create/update/approve/reverse action occurs</x:v>
      </x:c>
      <x:c r="H2157" s="339" t="str">
        <x:v>the transaction succeeds</x:v>
      </x:c>
      <x:c r="I2157" s="339" t="str">
        <x:v>the system records actor, timestamp, action, target and relevant before/after or reason context in the audit trail</x:v>
      </x:c>
      <x:c r="J2157" s="339" t="str">
        <x:v>Positive</x:v>
      </x:c>
      <x:c r="K2157" s="339" t="str">
        <x:v>Functional</x:v>
      </x:c>
    </x:row>
    <x:row r="2158">
      <x:c r="A2158" s="339" t="str">
        <x:v>AC-02157</x:v>
      </x:c>
      <x:c r="B2158" s="339" t="str">
        <x:v>US-0540</x:v>
      </x:c>
      <x:c r="C2158" s="339" t="str">
        <x:v>SCR-270</x:v>
      </x:c>
      <x:c r="D2158" s="339" t="str">
        <x:v>Reports &amp; Analytics</x:v>
      </x:c>
      <x:c r="E2158" s="339" t="str">
        <x:v>Academic Performance</x:v>
      </x:c>
      <x:c r="F2158" s="339" t="str">
        <x:v>Valid status transition</x:v>
      </x:c>
      <x:c r="G2158" s="339" t="str">
        <x:v>the record is in a state described by Filter Context Set → Report Generated → Viewed / Exported</x:v>
      </x:c>
      <x:c r="H2158" s="339" t="str">
        <x:v>the user requests a transition</x:v>
      </x:c>
      <x:c r="I2158" s="339" t="str">
        <x:v>the system accepts only transitions allowed for that role and state</x:v>
      </x:c>
      <x:c r="J2158" s="339" t="str">
        <x:v>Positive</x:v>
      </x:c>
      <x:c r="K2158" s="339" t="str">
        <x:v>Functional</x:v>
      </x:c>
    </x:row>
    <x:row r="2159">
      <x:c r="A2159" s="339" t="str">
        <x:v>AC-02158</x:v>
      </x:c>
      <x:c r="B2159" s="339" t="str">
        <x:v>US-0540</x:v>
      </x:c>
      <x:c r="C2159" s="339" t="str">
        <x:v>SCR-270</x:v>
      </x:c>
      <x:c r="D2159" s="339" t="str">
        <x:v>Reports &amp; Analytics</x:v>
      </x:c>
      <x:c r="E2159" s="339" t="str">
        <x:v>Academic Performance</x:v>
      </x:c>
      <x:c r="F2159" s="339" t="str">
        <x:v>Approval authority</x:v>
      </x:c>
      <x:c r="G2159" s="339" t="str">
        <x:v>an action requires approval</x:v>
      </x:c>
      <x:c r="H2159" s="339" t="str">
        <x:v>a non-authorized user attempts approval/rejection</x:v>
      </x:c>
      <x:c r="I2159" s="339" t="str">
        <x:v>the system denies the decision and does not change status</x:v>
      </x:c>
      <x:c r="J2159" s="339" t="str">
        <x:v>Negative</x:v>
      </x:c>
      <x:c r="K2159" s="339" t="str">
        <x:v>Functional</x:v>
      </x:c>
    </x:row>
    <x:row r="2160">
      <x:c r="A2160" s="339" t="str">
        <x:v>AC-02159</x:v>
      </x:c>
      <x:c r="B2160" s="339" t="str">
        <x:v>US-0540</x:v>
      </x:c>
      <x:c r="C2160" s="339" t="str">
        <x:v>SCR-270</x:v>
      </x:c>
      <x:c r="D2160" s="339" t="str">
        <x:v>Reports &amp; Analytics</x:v>
      </x:c>
      <x:c r="E2160" s="339" t="str">
        <x:v>Academic Performance</x:v>
      </x:c>
      <x:c r="F2160" s="339" t="str">
        <x:v>Failure rollback</x:v>
      </x:c>
      <x:c r="G2160" s="339" t="str">
        <x:v>a downstream dependency fails during a multi-step transaction</x:v>
      </x:c>
      <x:c r="H2160" s="339" t="str">
        <x:v>the workflow executes</x:v>
      </x:c>
      <x:c r="I2160" s="339" t="str">
        <x:v>the system does not leave an invalid partial final state and surfaces a recoverable error</x:v>
      </x:c>
      <x:c r="J2160" s="339" t="str">
        <x:v>Positive</x:v>
      </x:c>
      <x:c r="K2160" s="339" t="str">
        <x:v>Functional</x:v>
      </x:c>
    </x:row>
    <x:row r="2161">
      <x:c r="A2161" s="339" t="str">
        <x:v>AC-02160</x:v>
      </x:c>
      <x:c r="B2161" s="339" t="str">
        <x:v>US-0540</x:v>
      </x:c>
      <x:c r="C2161" s="339" t="str">
        <x:v>SCR-270</x:v>
      </x:c>
      <x:c r="D2161" s="339" t="str">
        <x:v>Reports &amp; Analytics</x:v>
      </x:c>
      <x:c r="E2161" s="339" t="str">
        <x:v>Academic Performance</x:v>
      </x:c>
      <x:c r="F2161" s="339" t="str">
        <x:v>Exception traceability</x:v>
      </x:c>
      <x:c r="G2161" s="339" t="str">
        <x:v>an authorized override/exception is used</x:v>
      </x:c>
      <x:c r="H2161" s="339" t="str">
        <x:v>the action is confirmed</x:v>
      </x:c>
      <x:c r="I2161" s="339" t="str">
        <x:v>the system requires reason/context and records it in the audit history</x:v>
      </x:c>
      <x:c r="J2161" s="339" t="str">
        <x:v>Positive</x:v>
      </x:c>
      <x:c r="K2161" s="339" t="str">
        <x:v>Functional</x:v>
      </x:c>
    </x:row>
    <x:row r="2162">
      <x:c r="A2162" s="339" t="str">
        <x:v>AC-02161</x:v>
      </x:c>
      <x:c r="B2162" s="339" t="str">
        <x:v>US-0541</x:v>
      </x:c>
      <x:c r="C2162" s="339" t="str">
        <x:v>SCR-271</x:v>
      </x:c>
      <x:c r="D2162" s="339" t="str">
        <x:v>Reports &amp; Analytics</x:v>
      </x:c>
      <x:c r="E2162" s="339" t="str">
        <x:v>Subject Performance</x:v>
      </x:c>
      <x:c r="F2162" s="339" t="str">
        <x:v>Authorized access to Subject Performance</x:v>
      </x:c>
      <x:c r="G2162" s="339" t="str">
        <x:v>the School Admin is authenticated and has access to Subject Performance</x:v>
      </x:c>
      <x:c r="H2162" s="339" t="str">
        <x:v>the user opens or invokes Subject Performance</x:v>
      </x:c>
      <x:c r="I2162" s="339" t="str">
        <x:v>the system loads only records and actions within the user's permitted tenant/school/data scope</x:v>
      </x:c>
      <x:c r="J2162" s="339" t="str">
        <x:v>Positive</x:v>
      </x:c>
      <x:c r="K2162" s="339" t="str">
        <x:v>Functional / Security</x:v>
      </x:c>
    </x:row>
    <x:row r="2163">
      <x:c r="A2163" s="339" t="str">
        <x:v>AC-02162</x:v>
      </x:c>
      <x:c r="B2163" s="339" t="str">
        <x:v>US-0541</x:v>
      </x:c>
      <x:c r="C2163" s="339" t="str">
        <x:v>SCR-271</x:v>
      </x:c>
      <x:c r="D2163" s="339" t="str">
        <x:v>Reports &amp; Analytics</x:v>
      </x:c>
      <x:c r="E2163" s="339" t="str">
        <x:v>Subject Performance</x:v>
      </x:c>
      <x:c r="F2163" s="339" t="str">
        <x:v>Successful Subject Performance happy path</x:v>
      </x:c>
      <x:c r="G2163" s="339" t="str">
        <x:v>all mandatory prerequisites and valid data are available</x:v>
      </x:c>
      <x:c r="H2163" s="339" t="str">
        <x:v>the School Admin completes the primary action on Subject Performance</x:v>
      </x:c>
      <x:c r="I2163" s="339" t="str">
        <x:v>the system validates the request, saves it atomically, shows a clear confirmation and reflects the updated state</x:v>
      </x:c>
      <x:c r="J2163" s="339" t="str">
        <x:v>Positive</x:v>
      </x:c>
      <x:c r="K2163" s="339" t="str">
        <x:v>Functional</x:v>
      </x:c>
    </x:row>
    <x:row r="2164">
      <x:c r="A2164" s="339" t="str">
        <x:v>AC-02163</x:v>
      </x:c>
      <x:c r="B2164" s="339" t="str">
        <x:v>US-0541</x:v>
      </x:c>
      <x:c r="C2164" s="339" t="str">
        <x:v>SCR-271</x:v>
      </x:c>
      <x:c r="D2164" s="339" t="str">
        <x:v>Reports &amp; Analytics</x:v>
      </x:c>
      <x:c r="E2164" s="339" t="str">
        <x:v>Subject Performance</x:v>
      </x:c>
      <x:c r="F2164" s="339" t="str">
        <x:v>State and dependency integrity</x:v>
      </x:c>
      <x:c r="G2164" s="339" t="str">
        <x:v>the current record is in an allowed state (Filter Context Set → Report Generated → Viewed / Exported)</x:v>
      </x:c>
      <x:c r="H2164" s="339" t="str">
        <x:v>the user attempts a state-changing action</x:v>
      </x:c>
      <x:c r="I2164" s="339" t="str">
        <x:v>only a valid transition is accepted and dependent records are updated according to configured business rules</x:v>
      </x:c>
      <x:c r="J2164" s="339" t="str">
        <x:v>Positive</x:v>
      </x:c>
      <x:c r="K2164" s="339" t="str">
        <x:v>Functional</x:v>
      </x:c>
    </x:row>
    <x:row r="2165">
      <x:c r="A2165" s="339" t="str">
        <x:v>AC-02164</x:v>
      </x:c>
      <x:c r="B2165" s="339" t="str">
        <x:v>US-0541</x:v>
      </x:c>
      <x:c r="C2165" s="339" t="str">
        <x:v>SCR-271</x:v>
      </x:c>
      <x:c r="D2165" s="339" t="str">
        <x:v>Reports &amp; Analytics</x:v>
      </x:c>
      <x:c r="E2165" s="339" t="str">
        <x:v>Subject Performance</x:v>
      </x:c>
      <x:c r="F2165" s="339" t="str">
        <x:v>Auditability</x:v>
      </x:c>
      <x:c r="G2165" s="339" t="str">
        <x:v>a material create/update/approve/reverse action occurs</x:v>
      </x:c>
      <x:c r="H2165" s="339" t="str">
        <x:v>the transaction succeeds</x:v>
      </x:c>
      <x:c r="I2165" s="339" t="str">
        <x:v>the system records actor, timestamp, action, target and relevant before/after or reason context in the audit trail</x:v>
      </x:c>
      <x:c r="J2165" s="339" t="str">
        <x:v>Positive</x:v>
      </x:c>
      <x:c r="K2165" s="339" t="str">
        <x:v>Functional</x:v>
      </x:c>
    </x:row>
    <x:row r="2166">
      <x:c r="A2166" s="339" t="str">
        <x:v>AC-02165</x:v>
      </x:c>
      <x:c r="B2166" s="339" t="str">
        <x:v>US-0542</x:v>
      </x:c>
      <x:c r="C2166" s="339" t="str">
        <x:v>SCR-271</x:v>
      </x:c>
      <x:c r="D2166" s="339" t="str">
        <x:v>Reports &amp; Analytics</x:v>
      </x:c>
      <x:c r="E2166" s="339" t="str">
        <x:v>Subject Performance</x:v>
      </x:c>
      <x:c r="F2166" s="339" t="str">
        <x:v>Valid status transition</x:v>
      </x:c>
      <x:c r="G2166" s="339" t="str">
        <x:v>the record is in a state described by Filter Context Set → Report Generated → Viewed / Exported</x:v>
      </x:c>
      <x:c r="H2166" s="339" t="str">
        <x:v>the user requests a transition</x:v>
      </x:c>
      <x:c r="I2166" s="339" t="str">
        <x:v>the system accepts only transitions allowed for that role and state</x:v>
      </x:c>
      <x:c r="J2166" s="339" t="str">
        <x:v>Positive</x:v>
      </x:c>
      <x:c r="K2166" s="339" t="str">
        <x:v>Functional</x:v>
      </x:c>
    </x:row>
    <x:row r="2167">
      <x:c r="A2167" s="339" t="str">
        <x:v>AC-02166</x:v>
      </x:c>
      <x:c r="B2167" s="339" t="str">
        <x:v>US-0542</x:v>
      </x:c>
      <x:c r="C2167" s="339" t="str">
        <x:v>SCR-271</x:v>
      </x:c>
      <x:c r="D2167" s="339" t="str">
        <x:v>Reports &amp; Analytics</x:v>
      </x:c>
      <x:c r="E2167" s="339" t="str">
        <x:v>Subject Performance</x:v>
      </x:c>
      <x:c r="F2167" s="339" t="str">
        <x:v>Approval authority</x:v>
      </x:c>
      <x:c r="G2167" s="339" t="str">
        <x:v>an action requires approval</x:v>
      </x:c>
      <x:c r="H2167" s="339" t="str">
        <x:v>a non-authorized user attempts approval/rejection</x:v>
      </x:c>
      <x:c r="I2167" s="339" t="str">
        <x:v>the system denies the decision and does not change status</x:v>
      </x:c>
      <x:c r="J2167" s="339" t="str">
        <x:v>Negative</x:v>
      </x:c>
      <x:c r="K2167" s="339" t="str">
        <x:v>Functional</x:v>
      </x:c>
    </x:row>
    <x:row r="2168">
      <x:c r="A2168" s="339" t="str">
        <x:v>AC-02167</x:v>
      </x:c>
      <x:c r="B2168" s="339" t="str">
        <x:v>US-0542</x:v>
      </x:c>
      <x:c r="C2168" s="339" t="str">
        <x:v>SCR-271</x:v>
      </x:c>
      <x:c r="D2168" s="339" t="str">
        <x:v>Reports &amp; Analytics</x:v>
      </x:c>
      <x:c r="E2168" s="339" t="str">
        <x:v>Subject Performance</x:v>
      </x:c>
      <x:c r="F2168" s="339" t="str">
        <x:v>Failure rollback</x:v>
      </x:c>
      <x:c r="G2168" s="339" t="str">
        <x:v>a downstream dependency fails during a multi-step transaction</x:v>
      </x:c>
      <x:c r="H2168" s="339" t="str">
        <x:v>the workflow executes</x:v>
      </x:c>
      <x:c r="I2168" s="339" t="str">
        <x:v>the system does not leave an invalid partial final state and surfaces a recoverable error</x:v>
      </x:c>
      <x:c r="J2168" s="339" t="str">
        <x:v>Positive</x:v>
      </x:c>
      <x:c r="K2168" s="339" t="str">
        <x:v>Functional</x:v>
      </x:c>
    </x:row>
    <x:row r="2169">
      <x:c r="A2169" s="339" t="str">
        <x:v>AC-02168</x:v>
      </x:c>
      <x:c r="B2169" s="339" t="str">
        <x:v>US-0542</x:v>
      </x:c>
      <x:c r="C2169" s="339" t="str">
        <x:v>SCR-271</x:v>
      </x:c>
      <x:c r="D2169" s="339" t="str">
        <x:v>Reports &amp; Analytics</x:v>
      </x:c>
      <x:c r="E2169" s="339" t="str">
        <x:v>Subject Performance</x:v>
      </x:c>
      <x:c r="F2169" s="339" t="str">
        <x:v>Exception traceability</x:v>
      </x:c>
      <x:c r="G2169" s="339" t="str">
        <x:v>an authorized override/exception is used</x:v>
      </x:c>
      <x:c r="H2169" s="339" t="str">
        <x:v>the action is confirmed</x:v>
      </x:c>
      <x:c r="I2169" s="339" t="str">
        <x:v>the system requires reason/context and records it in the audit history</x:v>
      </x:c>
      <x:c r="J2169" s="339" t="str">
        <x:v>Positive</x:v>
      </x:c>
      <x:c r="K2169" s="339" t="str">
        <x:v>Functional</x:v>
      </x:c>
    </x:row>
    <x:row r="2170">
      <x:c r="A2170" s="339" t="str">
        <x:v>AC-02169</x:v>
      </x:c>
      <x:c r="B2170" s="339" t="str">
        <x:v>US-0543</x:v>
      </x:c>
      <x:c r="C2170" s="339" t="str">
        <x:v>SCR-272</x:v>
      </x:c>
      <x:c r="D2170" s="339" t="str">
        <x:v>Reports &amp; Analytics</x:v>
      </x:c>
      <x:c r="E2170" s="339" t="str">
        <x:v>Exam Result Analysis</x:v>
      </x:c>
      <x:c r="F2170" s="339" t="str">
        <x:v>Authorized access to Exam Result Analysis</x:v>
      </x:c>
      <x:c r="G2170" s="339" t="str">
        <x:v>the School Admin is authenticated and has access to Exam Result Analysis</x:v>
      </x:c>
      <x:c r="H2170" s="339" t="str">
        <x:v>the user opens or invokes Exam Result Analysis</x:v>
      </x:c>
      <x:c r="I2170" s="339" t="str">
        <x:v>the system loads only records and actions within the user's permitted tenant/school/data scope</x:v>
      </x:c>
      <x:c r="J2170" s="339" t="str">
        <x:v>Positive</x:v>
      </x:c>
      <x:c r="K2170" s="339" t="str">
        <x:v>Functional / Security</x:v>
      </x:c>
    </x:row>
    <x:row r="2171">
      <x:c r="A2171" s="339" t="str">
        <x:v>AC-02170</x:v>
      </x:c>
      <x:c r="B2171" s="339" t="str">
        <x:v>US-0543</x:v>
      </x:c>
      <x:c r="C2171" s="339" t="str">
        <x:v>SCR-272</x:v>
      </x:c>
      <x:c r="D2171" s="339" t="str">
        <x:v>Reports &amp; Analytics</x:v>
      </x:c>
      <x:c r="E2171" s="339" t="str">
        <x:v>Exam Result Analysis</x:v>
      </x:c>
      <x:c r="F2171" s="339" t="str">
        <x:v>Successful Exam Result Analysis happy path</x:v>
      </x:c>
      <x:c r="G2171" s="339" t="str">
        <x:v>all mandatory prerequisites and valid data are available</x:v>
      </x:c>
      <x:c r="H2171" s="339" t="str">
        <x:v>the School Admin completes the primary action on Exam Result Analysis</x:v>
      </x:c>
      <x:c r="I2171" s="339" t="str">
        <x:v>the system validates the request, saves it atomically, shows a clear confirmation and reflects the updated state</x:v>
      </x:c>
      <x:c r="J2171" s="339" t="str">
        <x:v>Positive</x:v>
      </x:c>
      <x:c r="K2171" s="339" t="str">
        <x:v>Functional</x:v>
      </x:c>
    </x:row>
    <x:row r="2172">
      <x:c r="A2172" s="339" t="str">
        <x:v>AC-02171</x:v>
      </x:c>
      <x:c r="B2172" s="339" t="str">
        <x:v>US-0543</x:v>
      </x:c>
      <x:c r="C2172" s="339" t="str">
        <x:v>SCR-272</x:v>
      </x:c>
      <x:c r="D2172" s="339" t="str">
        <x:v>Reports &amp; Analytics</x:v>
      </x:c>
      <x:c r="E2172" s="339" t="str">
        <x:v>Exam Result Analysis</x:v>
      </x:c>
      <x:c r="F2172" s="339" t="str">
        <x:v>State and dependency integrity</x:v>
      </x:c>
      <x:c r="G2172" s="339" t="str">
        <x:v>the current record is in an allowed state (Filter Context Set → Report Generated → Viewed / Exported)</x:v>
      </x:c>
      <x:c r="H2172" s="339" t="str">
        <x:v>the user attempts a state-changing action</x:v>
      </x:c>
      <x:c r="I2172" s="339" t="str">
        <x:v>only a valid transition is accepted and dependent records are updated according to configured business rules</x:v>
      </x:c>
      <x:c r="J2172" s="339" t="str">
        <x:v>Positive</x:v>
      </x:c>
      <x:c r="K2172" s="339" t="str">
        <x:v>Functional</x:v>
      </x:c>
    </x:row>
    <x:row r="2173">
      <x:c r="A2173" s="339" t="str">
        <x:v>AC-02172</x:v>
      </x:c>
      <x:c r="B2173" s="339" t="str">
        <x:v>US-0543</x:v>
      </x:c>
      <x:c r="C2173" s="339" t="str">
        <x:v>SCR-272</x:v>
      </x:c>
      <x:c r="D2173" s="339" t="str">
        <x:v>Reports &amp; Analytics</x:v>
      </x:c>
      <x:c r="E2173" s="339" t="str">
        <x:v>Exam Result Analysis</x:v>
      </x:c>
      <x:c r="F2173" s="339" t="str">
        <x:v>Auditability</x:v>
      </x:c>
      <x:c r="G2173" s="339" t="str">
        <x:v>a material create/update/approve/reverse action occurs</x:v>
      </x:c>
      <x:c r="H2173" s="339" t="str">
        <x:v>the transaction succeeds</x:v>
      </x:c>
      <x:c r="I2173" s="339" t="str">
        <x:v>the system records actor, timestamp, action, target and relevant before/after or reason context in the audit trail</x:v>
      </x:c>
      <x:c r="J2173" s="339" t="str">
        <x:v>Positive</x:v>
      </x:c>
      <x:c r="K2173" s="339" t="str">
        <x:v>Functional</x:v>
      </x:c>
    </x:row>
    <x:row r="2174">
      <x:c r="A2174" s="339" t="str">
        <x:v>AC-02173</x:v>
      </x:c>
      <x:c r="B2174" s="339" t="str">
        <x:v>US-0544</x:v>
      </x:c>
      <x:c r="C2174" s="339" t="str">
        <x:v>SCR-272</x:v>
      </x:c>
      <x:c r="D2174" s="339" t="str">
        <x:v>Reports &amp; Analytics</x:v>
      </x:c>
      <x:c r="E2174" s="339" t="str">
        <x:v>Exam Result Analysis</x:v>
      </x:c>
      <x:c r="F2174" s="339" t="str">
        <x:v>Complete authorized view</x:v>
      </x:c>
      <x:c r="G2174" s="339" t="str">
        <x:v>the record exists and the user is authorized</x:v>
      </x:c>
      <x:c r="H2174" s="339" t="str">
        <x:v>the detail/profile opens</x:v>
      </x:c>
      <x:c r="I2174" s="339" t="str">
        <x:v>the system loads the required summary, relationships and history while masking restricted fields</x:v>
      </x:c>
      <x:c r="J2174" s="339" t="str">
        <x:v>Positive</x:v>
      </x:c>
      <x:c r="K2174" s="339" t="str">
        <x:v>Functional / Security</x:v>
      </x:c>
    </x:row>
    <x:row r="2175">
      <x:c r="A2175" s="339" t="str">
        <x:v>AC-02174</x:v>
      </x:c>
      <x:c r="B2175" s="339" t="str">
        <x:v>US-0544</x:v>
      </x:c>
      <x:c r="C2175" s="339" t="str">
        <x:v>SCR-272</x:v>
      </x:c>
      <x:c r="D2175" s="339" t="str">
        <x:v>Reports &amp; Analytics</x:v>
      </x:c>
      <x:c r="E2175" s="339" t="str">
        <x:v>Exam Result Analysis</x:v>
      </x:c>
      <x:c r="F2175" s="339" t="str">
        <x:v>Controlled edit</x:v>
      </x:c>
      <x:c r="G2175" s="339" t="str">
        <x:v>the user has edit permission and the record is editable</x:v>
      </x:c>
      <x:c r="H2175" s="339" t="str">
        <x:v>the user saves a change</x:v>
      </x:c>
      <x:c r="I2175" s="339" t="str">
        <x:v>validation and state rules run before the update is committed</x:v>
      </x:c>
      <x:c r="J2175" s="339" t="str">
        <x:v>Positive</x:v>
      </x:c>
      <x:c r="K2175" s="339" t="str">
        <x:v>Functional</x:v>
      </x:c>
    </x:row>
    <x:row r="2176">
      <x:c r="A2176" s="339" t="str">
        <x:v>AC-02175</x:v>
      </x:c>
      <x:c r="B2176" s="339" t="str">
        <x:v>US-0544</x:v>
      </x:c>
      <x:c r="C2176" s="339" t="str">
        <x:v>SCR-272</x:v>
      </x:c>
      <x:c r="D2176" s="339" t="str">
        <x:v>Reports &amp; Analytics</x:v>
      </x:c>
      <x:c r="E2176" s="339" t="str">
        <x:v>Exam Result Analysis</x:v>
      </x:c>
      <x:c r="F2176" s="339" t="str">
        <x:v>Concurrent edit protection</x:v>
      </x:c>
      <x:c r="G2176" s="339" t="str">
        <x:v>another user has changed the record after it was loaded</x:v>
      </x:c>
      <x:c r="H2176" s="339" t="str">
        <x:v>the first user attempts to save stale data</x:v>
      </x:c>
      <x:c r="I2176" s="339" t="str">
        <x:v>the system detects the version conflict or preserves fields safely instead of silently overwriting</x:v>
      </x:c>
      <x:c r="J2176" s="339" t="str">
        <x:v>Positive</x:v>
      </x:c>
      <x:c r="K2176" s="339" t="str">
        <x:v>Functional</x:v>
      </x:c>
    </x:row>
    <x:row r="2177">
      <x:c r="A2177" s="339" t="str">
        <x:v>AC-02176</x:v>
      </x:c>
      <x:c r="B2177" s="339" t="str">
        <x:v>US-0544</x:v>
      </x:c>
      <x:c r="C2177" s="339" t="str">
        <x:v>SCR-272</x:v>
      </x:c>
      <x:c r="D2177" s="339" t="str">
        <x:v>Reports &amp; Analytics</x:v>
      </x:c>
      <x:c r="E2177" s="339" t="str">
        <x:v>Exam Result Analysis</x:v>
      </x:c>
      <x:c r="F2177" s="339" t="str">
        <x:v>History retention</x:v>
      </x:c>
      <x:c r="G2177" s="339" t="str">
        <x:v>the record has prior changes/statuses</x:v>
      </x:c>
      <x:c r="H2177" s="339" t="str">
        <x:v>the user views history</x:v>
      </x:c>
      <x:c r="I2177" s="339" t="str">
        <x:v>the audit/activity timeline shows traceable material changes without exposing restricted notes</x:v>
      </x:c>
      <x:c r="J2177" s="339" t="str">
        <x:v>Positive</x:v>
      </x:c>
      <x:c r="K2177" s="339" t="str">
        <x:v>Functional</x:v>
      </x:c>
    </x:row>
    <x:row r="2178">
      <x:c r="A2178" s="339" t="str">
        <x:v>AC-02177</x:v>
      </x:c>
      <x:c r="B2178" s="339" t="str">
        <x:v>US-0545</x:v>
      </x:c>
      <x:c r="C2178" s="339" t="str">
        <x:v>SCR-273</x:v>
      </x:c>
      <x:c r="D2178" s="339" t="str">
        <x:v>Reports &amp; Analytics</x:v>
      </x:c>
      <x:c r="E2178" s="339" t="str">
        <x:v>Fee Collection Report</x:v>
      </x:c>
      <x:c r="F2178" s="339" t="str">
        <x:v>Authorized access to Fee Collection Report</x:v>
      </x:c>
      <x:c r="G2178" s="339" t="str">
        <x:v>the School Admin is authenticated and has access to Fee Collection Report</x:v>
      </x:c>
      <x:c r="H2178" s="339" t="str">
        <x:v>the user opens or invokes Fee Collection Report</x:v>
      </x:c>
      <x:c r="I2178" s="339" t="str">
        <x:v>the system loads only records and actions within the user's permitted tenant/school/data scope</x:v>
      </x:c>
      <x:c r="J2178" s="339" t="str">
        <x:v>Positive</x:v>
      </x:c>
      <x:c r="K2178" s="339" t="str">
        <x:v>Functional / Security</x:v>
      </x:c>
    </x:row>
    <x:row r="2179">
      <x:c r="A2179" s="339" t="str">
        <x:v>AC-02178</x:v>
      </x:c>
      <x:c r="B2179" s="339" t="str">
        <x:v>US-0545</x:v>
      </x:c>
      <x:c r="C2179" s="339" t="str">
        <x:v>SCR-273</x:v>
      </x:c>
      <x:c r="D2179" s="339" t="str">
        <x:v>Reports &amp; Analytics</x:v>
      </x:c>
      <x:c r="E2179" s="339" t="str">
        <x:v>Fee Collection Report</x:v>
      </x:c>
      <x:c r="F2179" s="339" t="str">
        <x:v>Successful Fee Collection Report happy path</x:v>
      </x:c>
      <x:c r="G2179" s="339" t="str">
        <x:v>all mandatory prerequisites and valid data are available</x:v>
      </x:c>
      <x:c r="H2179" s="339" t="str">
        <x:v>the School Admin completes the primary action on Fee Collection Report</x:v>
      </x:c>
      <x:c r="I2179" s="339" t="str">
        <x:v>the system validates the request, saves it atomically, shows a clear confirmation and reflects the updated state</x:v>
      </x:c>
      <x:c r="J2179" s="339" t="str">
        <x:v>Positive</x:v>
      </x:c>
      <x:c r="K2179" s="339" t="str">
        <x:v>Functional</x:v>
      </x:c>
    </x:row>
    <x:row r="2180">
      <x:c r="A2180" s="339" t="str">
        <x:v>AC-02179</x:v>
      </x:c>
      <x:c r="B2180" s="339" t="str">
        <x:v>US-0545</x:v>
      </x:c>
      <x:c r="C2180" s="339" t="str">
        <x:v>SCR-273</x:v>
      </x:c>
      <x:c r="D2180" s="339" t="str">
        <x:v>Reports &amp; Analytics</x:v>
      </x:c>
      <x:c r="E2180" s="339" t="str">
        <x:v>Fee Collection Report</x:v>
      </x:c>
      <x:c r="F2180" s="339" t="str">
        <x:v>State and dependency integrity</x:v>
      </x:c>
      <x:c r="G2180" s="339" t="str">
        <x:v>the current record is in an allowed state (Filter Context Set → Report Generated → Viewed / Exported)</x:v>
      </x:c>
      <x:c r="H2180" s="339" t="str">
        <x:v>the user attempts a state-changing action</x:v>
      </x:c>
      <x:c r="I2180" s="339" t="str">
        <x:v>only a valid transition is accepted and dependent records are updated according to configured business rules</x:v>
      </x:c>
      <x:c r="J2180" s="339" t="str">
        <x:v>Positive</x:v>
      </x:c>
      <x:c r="K2180" s="339" t="str">
        <x:v>Functional</x:v>
      </x:c>
    </x:row>
    <x:row r="2181">
      <x:c r="A2181" s="339" t="str">
        <x:v>AC-02180</x:v>
      </x:c>
      <x:c r="B2181" s="339" t="str">
        <x:v>US-0545</x:v>
      </x:c>
      <x:c r="C2181" s="339" t="str">
        <x:v>SCR-273</x:v>
      </x:c>
      <x:c r="D2181" s="339" t="str">
        <x:v>Reports &amp; Analytics</x:v>
      </x:c>
      <x:c r="E2181" s="339" t="str">
        <x:v>Fee Collection Report</x:v>
      </x:c>
      <x:c r="F2181" s="339" t="str">
        <x:v>Auditability</x:v>
      </x:c>
      <x:c r="G2181" s="339" t="str">
        <x:v>a material create/update/approve/reverse action occurs</x:v>
      </x:c>
      <x:c r="H2181" s="339" t="str">
        <x:v>the transaction succeeds</x:v>
      </x:c>
      <x:c r="I2181" s="339" t="str">
        <x:v>the system records actor, timestamp, action, target and relevant before/after or reason context in the audit trail</x:v>
      </x:c>
      <x:c r="J2181" s="339" t="str">
        <x:v>Positive</x:v>
      </x:c>
      <x:c r="K2181" s="339" t="str">
        <x:v>Functional</x:v>
      </x:c>
    </x:row>
    <x:row r="2182">
      <x:c r="A2182" s="339" t="str">
        <x:v>AC-02181</x:v>
      </x:c>
      <x:c r="B2182" s="339" t="str">
        <x:v>US-0546</x:v>
      </x:c>
      <x:c r="C2182" s="339" t="str">
        <x:v>SCR-273</x:v>
      </x:c>
      <x:c r="D2182" s="339" t="str">
        <x:v>Reports &amp; Analytics</x:v>
      </x:c>
      <x:c r="E2182" s="339" t="str">
        <x:v>Fee Collection Report</x:v>
      </x:c>
      <x:c r="F2182" s="339" t="str">
        <x:v>Required-field validation</x:v>
      </x:c>
      <x:c r="G2182" s="339" t="str">
        <x:v>one or more required values are missing/invalid</x:v>
      </x:c>
      <x:c r="H2182" s="339" t="str">
        <x:v>the user submits the form</x:v>
      </x:c>
      <x:c r="I2182" s="339" t="str">
        <x:v>submission is blocked and field-level messages identify what must be corrected</x:v>
      </x:c>
      <x:c r="J2182" s="339" t="str">
        <x:v>Positive</x:v>
      </x:c>
      <x:c r="K2182" s="339" t="str">
        <x:v>Functional</x:v>
      </x:c>
    </x:row>
    <x:row r="2183">
      <x:c r="A2183" s="339" t="str">
        <x:v>AC-02182</x:v>
      </x:c>
      <x:c r="B2183" s="339" t="str">
        <x:v>US-0546</x:v>
      </x:c>
      <x:c r="C2183" s="339" t="str">
        <x:v>SCR-273</x:v>
      </x:c>
      <x:c r="D2183" s="339" t="str">
        <x:v>Reports &amp; Analytics</x:v>
      </x:c>
      <x:c r="E2183" s="339" t="str">
        <x:v>Fee Collection Report</x:v>
      </x:c>
      <x:c r="F2183" s="339" t="str">
        <x:v>Duplicate prevention</x:v>
      </x:c>
      <x:c r="G2183" s="339" t="str">
        <x:v>a potentially duplicate record exists</x:v>
      </x:c>
      <x:c r="H2183" s="339" t="str">
        <x:v>the user submits matching identity/master data</x:v>
      </x:c>
      <x:c r="I2183" s="339" t="str">
        <x:v>the system blocks or warns according to configured duplicate policy before creating another record</x:v>
      </x:c>
      <x:c r="J2183" s="339" t="str">
        <x:v>Negative</x:v>
      </x:c>
      <x:c r="K2183" s="339" t="str">
        <x:v>Functional</x:v>
      </x:c>
    </x:row>
    <x:row r="2184">
      <x:c r="A2184" s="339" t="str">
        <x:v>AC-02183</x:v>
      </x:c>
      <x:c r="B2184" s="339" t="str">
        <x:v>US-0546</x:v>
      </x:c>
      <x:c r="C2184" s="339" t="str">
        <x:v>SCR-273</x:v>
      </x:c>
      <x:c r="D2184" s="339" t="str">
        <x:v>Reports &amp; Analytics</x:v>
      </x:c>
      <x:c r="E2184" s="339" t="str">
        <x:v>Fee Collection Report</x:v>
      </x:c>
      <x:c r="F2184" s="339" t="str">
        <x:v>Reference-data integrity</x:v>
      </x:c>
      <x:c r="G2184" s="339" t="str">
        <x:v>the form contains master-data selections</x:v>
      </x:c>
      <x:c r="H2184" s="339" t="str">
        <x:v>the user submits</x:v>
      </x:c>
      <x:c r="I2184" s="339" t="str">
        <x:v>all referenced values are active, effective and within the user's scope at the time of save</x:v>
      </x:c>
      <x:c r="J2184" s="339" t="str">
        <x:v>Positive</x:v>
      </x:c>
      <x:c r="K2184" s="339" t="str">
        <x:v>Functional</x:v>
      </x:c>
    </x:row>
    <x:row r="2185">
      <x:c r="A2185" s="339" t="str">
        <x:v>AC-02184</x:v>
      </x:c>
      <x:c r="B2185" s="339" t="str">
        <x:v>US-0546</x:v>
      </x:c>
      <x:c r="C2185" s="339" t="str">
        <x:v>SCR-273</x:v>
      </x:c>
      <x:c r="D2185" s="339" t="str">
        <x:v>Reports &amp; Analytics</x:v>
      </x:c>
      <x:c r="E2185" s="339" t="str">
        <x:v>Fee Collection Report</x:v>
      </x:c>
      <x:c r="F2185" s="339" t="str">
        <x:v>Retry safety</x:v>
      </x:c>
      <x:c r="G2185" s="339" t="str">
        <x:v>a network retry or repeated click occurs</x:v>
      </x:c>
      <x:c r="H2185" s="339" t="str">
        <x:v>the same transaction is submitted again</x:v>
      </x:c>
      <x:c r="I2185" s="339" t="str">
        <x:v>the system prevents unintended duplicate transactions through idempotency or duplicate detection</x:v>
      </x:c>
      <x:c r="J2185" s="339" t="str">
        <x:v>Positive</x:v>
      </x:c>
      <x:c r="K2185" s="339" t="str">
        <x:v>Functional</x:v>
      </x:c>
    </x:row>
    <x:row r="2186">
      <x:c r="A2186" s="339" t="str">
        <x:v>AC-02185</x:v>
      </x:c>
      <x:c r="B2186" s="339" t="str">
        <x:v>US-0547</x:v>
      </x:c>
      <x:c r="C2186" s="339" t="str">
        <x:v>SCR-274</x:v>
      </x:c>
      <x:c r="D2186" s="339" t="str">
        <x:v>Reports &amp; Analytics</x:v>
      </x:c>
      <x:c r="E2186" s="339" t="str">
        <x:v>Outstanding Dues Report</x:v>
      </x:c>
      <x:c r="F2186" s="339" t="str">
        <x:v>Authorized access to Outstanding Dues Report</x:v>
      </x:c>
      <x:c r="G2186" s="339" t="str">
        <x:v>the School Admin is authenticated and has access to Outstanding Dues Report</x:v>
      </x:c>
      <x:c r="H2186" s="339" t="str">
        <x:v>the user opens or invokes Outstanding Dues Report</x:v>
      </x:c>
      <x:c r="I2186" s="339" t="str">
        <x:v>the system loads only records and actions within the user's permitted tenant/school/data scope</x:v>
      </x:c>
      <x:c r="J2186" s="339" t="str">
        <x:v>Positive</x:v>
      </x:c>
      <x:c r="K2186" s="339" t="str">
        <x:v>Functional / Security</x:v>
      </x:c>
    </x:row>
    <x:row r="2187">
      <x:c r="A2187" s="339" t="str">
        <x:v>AC-02186</x:v>
      </x:c>
      <x:c r="B2187" s="339" t="str">
        <x:v>US-0547</x:v>
      </x:c>
      <x:c r="C2187" s="339" t="str">
        <x:v>SCR-274</x:v>
      </x:c>
      <x:c r="D2187" s="339" t="str">
        <x:v>Reports &amp; Analytics</x:v>
      </x:c>
      <x:c r="E2187" s="339" t="str">
        <x:v>Outstanding Dues Report</x:v>
      </x:c>
      <x:c r="F2187" s="339" t="str">
        <x:v>Successful Outstanding Dues Report happy path</x:v>
      </x:c>
      <x:c r="G2187" s="339" t="str">
        <x:v>all mandatory prerequisites and valid data are available</x:v>
      </x:c>
      <x:c r="H2187" s="339" t="str">
        <x:v>the School Admin completes the primary action on Outstanding Dues Report</x:v>
      </x:c>
      <x:c r="I2187" s="339" t="str">
        <x:v>the system validates the request, saves it atomically, shows a clear confirmation and reflects the updated state</x:v>
      </x:c>
      <x:c r="J2187" s="339" t="str">
        <x:v>Positive</x:v>
      </x:c>
      <x:c r="K2187" s="339" t="str">
        <x:v>Functional</x:v>
      </x:c>
    </x:row>
    <x:row r="2188">
      <x:c r="A2188" s="339" t="str">
        <x:v>AC-02187</x:v>
      </x:c>
      <x:c r="B2188" s="339" t="str">
        <x:v>US-0547</x:v>
      </x:c>
      <x:c r="C2188" s="339" t="str">
        <x:v>SCR-274</x:v>
      </x:c>
      <x:c r="D2188" s="339" t="str">
        <x:v>Reports &amp; Analytics</x:v>
      </x:c>
      <x:c r="E2188" s="339" t="str">
        <x:v>Outstanding Dues Report</x:v>
      </x:c>
      <x:c r="F2188" s="339" t="str">
        <x:v>State and dependency integrity</x:v>
      </x:c>
      <x:c r="G2188" s="339" t="str">
        <x:v>the current record is in an allowed state (Filter Context Set → Report Generated → Viewed / Exported)</x:v>
      </x:c>
      <x:c r="H2188" s="339" t="str">
        <x:v>the user attempts a state-changing action</x:v>
      </x:c>
      <x:c r="I2188" s="339" t="str">
        <x:v>only a valid transition is accepted and dependent records are updated according to configured business rules</x:v>
      </x:c>
      <x:c r="J2188" s="339" t="str">
        <x:v>Positive</x:v>
      </x:c>
      <x:c r="K2188" s="339" t="str">
        <x:v>Functional</x:v>
      </x:c>
    </x:row>
    <x:row r="2189">
      <x:c r="A2189" s="339" t="str">
        <x:v>AC-02188</x:v>
      </x:c>
      <x:c r="B2189" s="339" t="str">
        <x:v>US-0547</x:v>
      </x:c>
      <x:c r="C2189" s="339" t="str">
        <x:v>SCR-274</x:v>
      </x:c>
      <x:c r="D2189" s="339" t="str">
        <x:v>Reports &amp; Analytics</x:v>
      </x:c>
      <x:c r="E2189" s="339" t="str">
        <x:v>Outstanding Dues Report</x:v>
      </x:c>
      <x:c r="F2189" s="339" t="str">
        <x:v>Auditability</x:v>
      </x:c>
      <x:c r="G2189" s="339" t="str">
        <x:v>a material create/update/approve/reverse action occurs</x:v>
      </x:c>
      <x:c r="H2189" s="339" t="str">
        <x:v>the transaction succeeds</x:v>
      </x:c>
      <x:c r="I2189" s="339" t="str">
        <x:v>the system records actor, timestamp, action, target and relevant before/after or reason context in the audit trail</x:v>
      </x:c>
      <x:c r="J2189" s="339" t="str">
        <x:v>Positive</x:v>
      </x:c>
      <x:c r="K2189" s="339" t="str">
        <x:v>Functional</x:v>
      </x:c>
    </x:row>
    <x:row r="2190">
      <x:c r="A2190" s="339" t="str">
        <x:v>AC-02189</x:v>
      </x:c>
      <x:c r="B2190" s="339" t="str">
        <x:v>US-0548</x:v>
      </x:c>
      <x:c r="C2190" s="339" t="str">
        <x:v>SCR-274</x:v>
      </x:c>
      <x:c r="D2190" s="339" t="str">
        <x:v>Reports &amp; Analytics</x:v>
      </x:c>
      <x:c r="E2190" s="339" t="str">
        <x:v>Outstanding Dues Report</x:v>
      </x:c>
      <x:c r="F2190" s="339" t="str">
        <x:v>Filter accuracy</x:v>
      </x:c>
      <x:c r="G2190" s="339" t="str">
        <x:v>source data exists across multiple periods/scopes</x:v>
      </x:c>
      <x:c r="H2190" s="339" t="str">
        <x:v>the user applies report filters</x:v>
      </x:c>
      <x:c r="I2190" s="339" t="str">
        <x:v>aggregates and rows include only authorized data matching the filters</x:v>
      </x:c>
      <x:c r="J2190" s="339" t="str">
        <x:v>Positive</x:v>
      </x:c>
      <x:c r="K2190" s="339" t="str">
        <x:v>Functional</x:v>
      </x:c>
    </x:row>
    <x:row r="2191">
      <x:c r="A2191" s="339" t="str">
        <x:v>AC-02190</x:v>
      </x:c>
      <x:c r="B2191" s="339" t="str">
        <x:v>US-0548</x:v>
      </x:c>
      <x:c r="C2191" s="339" t="str">
        <x:v>SCR-274</x:v>
      </x:c>
      <x:c r="D2191" s="339" t="str">
        <x:v>Reports &amp; Analytics</x:v>
      </x:c>
      <x:c r="E2191" s="339" t="str">
        <x:v>Outstanding Dues Report</x:v>
      </x:c>
      <x:c r="F2191" s="339" t="str">
        <x:v>Formula consistency</x:v>
      </x:c>
      <x:c r="G2191" s="339" t="str">
        <x:v>the report contains calculated metrics</x:v>
      </x:c>
      <x:c r="H2191" s="339" t="str">
        <x:v>the report is generated</x:v>
      </x:c>
      <x:c r="I2191" s="339" t="str">
        <x:v>calculations follow the approved rule: Metrics reuse the source-module formulas and must reconcile to filtered transaction counts/amounts.</x:v>
      </x:c>
      <x:c r="J2191" s="339" t="str">
        <x:v>Positive</x:v>
      </x:c>
      <x:c r="K2191" s="339" t="str">
        <x:v>Functional</x:v>
      </x:c>
    </x:row>
    <x:row r="2192">
      <x:c r="A2192" s="339" t="str">
        <x:v>AC-02191</x:v>
      </x:c>
      <x:c r="B2192" s="339" t="str">
        <x:v>US-0548</x:v>
      </x:c>
      <x:c r="C2192" s="339" t="str">
        <x:v>SCR-274</x:v>
      </x:c>
      <x:c r="D2192" s="339" t="str">
        <x:v>Reports &amp; Analytics</x:v>
      </x:c>
      <x:c r="E2192" s="339" t="str">
        <x:v>Outstanding Dues Report</x:v>
      </x:c>
      <x:c r="F2192" s="339" t="str">
        <x:v>Reconciliation</x:v>
      </x:c>
      <x:c r="G2192" s="339" t="str">
        <x:v>a report total is displayed</x:v>
      </x:c>
      <x:c r="H2192" s="339" t="str">
        <x:v>the user drills to supporting data</x:v>
      </x:c>
      <x:c r="I2192" s="339" t="str">
        <x:v>the supporting rows reconcile to the displayed total within defined rounding rules</x:v>
      </x:c>
      <x:c r="J2192" s="339" t="str">
        <x:v>Positive</x:v>
      </x:c>
      <x:c r="K2192" s="339" t="str">
        <x:v>Functional</x:v>
      </x:c>
    </x:row>
    <x:row r="2193">
      <x:c r="A2193" s="339" t="str">
        <x:v>AC-02192</x:v>
      </x:c>
      <x:c r="B2193" s="339" t="str">
        <x:v>US-0548</x:v>
      </x:c>
      <x:c r="C2193" s="339" t="str">
        <x:v>SCR-274</x:v>
      </x:c>
      <x:c r="D2193" s="339" t="str">
        <x:v>Reports &amp; Analytics</x:v>
      </x:c>
      <x:c r="E2193" s="339" t="str">
        <x:v>Outstanding Dues Report</x:v>
      </x:c>
      <x:c r="F2193" s="339" t="str">
        <x:v>Export fidelity</x:v>
      </x:c>
      <x:c r="G2193" s="339" t="str">
        <x:v>the user has export permission</x:v>
      </x:c>
      <x:c r="H2193" s="339" t="str">
        <x:v>the report is exported</x:v>
      </x:c>
      <x:c r="I2193" s="339" t="str">
        <x:v>the export preserves filter context, values and permitted columns and includes a run timestamp/context where appropriate</x:v>
      </x:c>
      <x:c r="J2193" s="339" t="str">
        <x:v>Positive</x:v>
      </x:c>
      <x:c r="K2193" s="339" t="str">
        <x:v>Functional</x:v>
      </x:c>
    </x:row>
    <x:row r="2194">
      <x:c r="A2194" s="339" t="str">
        <x:v>AC-02193</x:v>
      </x:c>
      <x:c r="B2194" s="339" t="str">
        <x:v>US-0549</x:v>
      </x:c>
      <x:c r="C2194" s="339" t="str">
        <x:v>SCR-275</x:v>
      </x:c>
      <x:c r="D2194" s="339" t="str">
        <x:v>Reports &amp; Analytics</x:v>
      </x:c>
      <x:c r="E2194" s="339" t="str">
        <x:v>Finance Summary</x:v>
      </x:c>
      <x:c r="F2194" s="339" t="str">
        <x:v>Authorized access to Finance Summary</x:v>
      </x:c>
      <x:c r="G2194" s="339" t="str">
        <x:v>the School Admin is authenticated and has access to Finance Summary</x:v>
      </x:c>
      <x:c r="H2194" s="339" t="str">
        <x:v>the user opens or invokes Finance Summary</x:v>
      </x:c>
      <x:c r="I2194" s="339" t="str">
        <x:v>the system loads only records and actions within the user's permitted tenant/school/data scope</x:v>
      </x:c>
      <x:c r="J2194" s="339" t="str">
        <x:v>Positive</x:v>
      </x:c>
      <x:c r="K2194" s="339" t="str">
        <x:v>Functional / Security</x:v>
      </x:c>
    </x:row>
    <x:row r="2195">
      <x:c r="A2195" s="339" t="str">
        <x:v>AC-02194</x:v>
      </x:c>
      <x:c r="B2195" s="339" t="str">
        <x:v>US-0549</x:v>
      </x:c>
      <x:c r="C2195" s="339" t="str">
        <x:v>SCR-275</x:v>
      </x:c>
      <x:c r="D2195" s="339" t="str">
        <x:v>Reports &amp; Analytics</x:v>
      </x:c>
      <x:c r="E2195" s="339" t="str">
        <x:v>Finance Summary</x:v>
      </x:c>
      <x:c r="F2195" s="339" t="str">
        <x:v>Successful Finance Summary happy path</x:v>
      </x:c>
      <x:c r="G2195" s="339" t="str">
        <x:v>all mandatory prerequisites and valid data are available</x:v>
      </x:c>
      <x:c r="H2195" s="339" t="str">
        <x:v>the School Admin completes the primary action on Finance Summary</x:v>
      </x:c>
      <x:c r="I2195" s="339" t="str">
        <x:v>the system validates the request, saves it atomically, shows a clear confirmation and reflects the updated state</x:v>
      </x:c>
      <x:c r="J2195" s="339" t="str">
        <x:v>Positive</x:v>
      </x:c>
      <x:c r="K2195" s="339" t="str">
        <x:v>Functional</x:v>
      </x:c>
    </x:row>
    <x:row r="2196">
      <x:c r="A2196" s="339" t="str">
        <x:v>AC-02195</x:v>
      </x:c>
      <x:c r="B2196" s="339" t="str">
        <x:v>US-0549</x:v>
      </x:c>
      <x:c r="C2196" s="339" t="str">
        <x:v>SCR-275</x:v>
      </x:c>
      <x:c r="D2196" s="339" t="str">
        <x:v>Reports &amp; Analytics</x:v>
      </x:c>
      <x:c r="E2196" s="339" t="str">
        <x:v>Finance Summary</x:v>
      </x:c>
      <x:c r="F2196" s="339" t="str">
        <x:v>State and dependency integrity</x:v>
      </x:c>
      <x:c r="G2196" s="339" t="str">
        <x:v>the current record is in an allowed state (Filter Context Set → Report Generated → Viewed / Exported)</x:v>
      </x:c>
      <x:c r="H2196" s="339" t="str">
        <x:v>the user attempts a state-changing action</x:v>
      </x:c>
      <x:c r="I2196" s="339" t="str">
        <x:v>only a valid transition is accepted and dependent records are updated according to configured business rules</x:v>
      </x:c>
      <x:c r="J2196" s="339" t="str">
        <x:v>Positive</x:v>
      </x:c>
      <x:c r="K2196" s="339" t="str">
        <x:v>Functional</x:v>
      </x:c>
    </x:row>
    <x:row r="2197">
      <x:c r="A2197" s="339" t="str">
        <x:v>AC-02196</x:v>
      </x:c>
      <x:c r="B2197" s="339" t="str">
        <x:v>US-0549</x:v>
      </x:c>
      <x:c r="C2197" s="339" t="str">
        <x:v>SCR-275</x:v>
      </x:c>
      <x:c r="D2197" s="339" t="str">
        <x:v>Reports &amp; Analytics</x:v>
      </x:c>
      <x:c r="E2197" s="339" t="str">
        <x:v>Finance Summary</x:v>
      </x:c>
      <x:c r="F2197" s="339" t="str">
        <x:v>Auditability</x:v>
      </x:c>
      <x:c r="G2197" s="339" t="str">
        <x:v>a material create/update/approve/reverse action occurs</x:v>
      </x:c>
      <x:c r="H2197" s="339" t="str">
        <x:v>the transaction succeeds</x:v>
      </x:c>
      <x:c r="I2197" s="339" t="str">
        <x:v>the system records actor, timestamp, action, target and relevant before/after or reason context in the audit trail</x:v>
      </x:c>
      <x:c r="J2197" s="339" t="str">
        <x:v>Positive</x:v>
      </x:c>
      <x:c r="K2197" s="339" t="str">
        <x:v>Functional</x:v>
      </x:c>
    </x:row>
    <x:row r="2198">
      <x:c r="A2198" s="339" t="str">
        <x:v>AC-02197</x:v>
      </x:c>
      <x:c r="B2198" s="339" t="str">
        <x:v>US-0550</x:v>
      </x:c>
      <x:c r="C2198" s="339" t="str">
        <x:v>SCR-275</x:v>
      </x:c>
      <x:c r="D2198" s="339" t="str">
        <x:v>Reports &amp; Analytics</x:v>
      </x:c>
      <x:c r="E2198" s="339" t="str">
        <x:v>Finance Summary</x:v>
      </x:c>
      <x:c r="F2198" s="339" t="str">
        <x:v>Filter accuracy</x:v>
      </x:c>
      <x:c r="G2198" s="339" t="str">
        <x:v>source data exists across multiple periods/scopes</x:v>
      </x:c>
      <x:c r="H2198" s="339" t="str">
        <x:v>the user applies report filters</x:v>
      </x:c>
      <x:c r="I2198" s="339" t="str">
        <x:v>aggregates and rows include only authorized data matching the filters</x:v>
      </x:c>
      <x:c r="J2198" s="339" t="str">
        <x:v>Positive</x:v>
      </x:c>
      <x:c r="K2198" s="339" t="str">
        <x:v>Functional</x:v>
      </x:c>
    </x:row>
    <x:row r="2199">
      <x:c r="A2199" s="339" t="str">
        <x:v>AC-02198</x:v>
      </x:c>
      <x:c r="B2199" s="339" t="str">
        <x:v>US-0550</x:v>
      </x:c>
      <x:c r="C2199" s="339" t="str">
        <x:v>SCR-275</x:v>
      </x:c>
      <x:c r="D2199" s="339" t="str">
        <x:v>Reports &amp; Analytics</x:v>
      </x:c>
      <x:c r="E2199" s="339" t="str">
        <x:v>Finance Summary</x:v>
      </x:c>
      <x:c r="F2199" s="339" t="str">
        <x:v>Formula consistency</x:v>
      </x:c>
      <x:c r="G2199" s="339" t="str">
        <x:v>the report contains calculated metrics</x:v>
      </x:c>
      <x:c r="H2199" s="339" t="str">
        <x:v>the report is generated</x:v>
      </x:c>
      <x:c r="I2199" s="339" t="str">
        <x:v>calculations follow the approved rule: Metrics reuse the source-module formulas and must reconcile to filtered transaction counts/amounts.</x:v>
      </x:c>
      <x:c r="J2199" s="339" t="str">
        <x:v>Positive</x:v>
      </x:c>
      <x:c r="K2199" s="339" t="str">
        <x:v>Functional</x:v>
      </x:c>
    </x:row>
    <x:row r="2200">
      <x:c r="A2200" s="339" t="str">
        <x:v>AC-02199</x:v>
      </x:c>
      <x:c r="B2200" s="339" t="str">
        <x:v>US-0550</x:v>
      </x:c>
      <x:c r="C2200" s="339" t="str">
        <x:v>SCR-275</x:v>
      </x:c>
      <x:c r="D2200" s="339" t="str">
        <x:v>Reports &amp; Analytics</x:v>
      </x:c>
      <x:c r="E2200" s="339" t="str">
        <x:v>Finance Summary</x:v>
      </x:c>
      <x:c r="F2200" s="339" t="str">
        <x:v>Reconciliation</x:v>
      </x:c>
      <x:c r="G2200" s="339" t="str">
        <x:v>a report total is displayed</x:v>
      </x:c>
      <x:c r="H2200" s="339" t="str">
        <x:v>the user drills to supporting data</x:v>
      </x:c>
      <x:c r="I2200" s="339" t="str">
        <x:v>the supporting rows reconcile to the displayed total within defined rounding rules</x:v>
      </x:c>
      <x:c r="J2200" s="339" t="str">
        <x:v>Positive</x:v>
      </x:c>
      <x:c r="K2200" s="339" t="str">
        <x:v>Functional</x:v>
      </x:c>
    </x:row>
    <x:row r="2201">
      <x:c r="A2201" s="339" t="str">
        <x:v>AC-02200</x:v>
      </x:c>
      <x:c r="B2201" s="339" t="str">
        <x:v>US-0550</x:v>
      </x:c>
      <x:c r="C2201" s="339" t="str">
        <x:v>SCR-275</x:v>
      </x:c>
      <x:c r="D2201" s="339" t="str">
        <x:v>Reports &amp; Analytics</x:v>
      </x:c>
      <x:c r="E2201" s="339" t="str">
        <x:v>Finance Summary</x:v>
      </x:c>
      <x:c r="F2201" s="339" t="str">
        <x:v>Export fidelity</x:v>
      </x:c>
      <x:c r="G2201" s="339" t="str">
        <x:v>the user has export permission</x:v>
      </x:c>
      <x:c r="H2201" s="339" t="str">
        <x:v>the report is exported</x:v>
      </x:c>
      <x:c r="I2201" s="339" t="str">
        <x:v>the export preserves filter context, values and permitted columns and includes a run timestamp/context where appropriate</x:v>
      </x:c>
      <x:c r="J2201" s="339" t="str">
        <x:v>Positive</x:v>
      </x:c>
      <x:c r="K2201" s="339" t="str">
        <x:v>Functional</x:v>
      </x:c>
    </x:row>
    <x:row r="2202">
      <x:c r="A2202" s="339" t="str">
        <x:v>AC-02201</x:v>
      </x:c>
      <x:c r="B2202" s="339" t="str">
        <x:v>US-0551</x:v>
      </x:c>
      <x:c r="C2202" s="339" t="str">
        <x:v>SCR-276</x:v>
      </x:c>
      <x:c r="D2202" s="339" t="str">
        <x:v>Reports &amp; Analytics</x:v>
      </x:c>
      <x:c r="E2202" s="339" t="str">
        <x:v>Staff Attendance Report</x:v>
      </x:c>
      <x:c r="F2202" s="339" t="str">
        <x:v>Authorized access to Staff Attendance Report</x:v>
      </x:c>
      <x:c r="G2202" s="339" t="str">
        <x:v>the School Admin is authenticated and has access to Staff Attendance Report</x:v>
      </x:c>
      <x:c r="H2202" s="339" t="str">
        <x:v>the user opens or invokes Staff Attendance Report</x:v>
      </x:c>
      <x:c r="I2202" s="339" t="str">
        <x:v>the system loads only records and actions within the user's permitted tenant/school/data scope</x:v>
      </x:c>
      <x:c r="J2202" s="339" t="str">
        <x:v>Positive</x:v>
      </x:c>
      <x:c r="K2202" s="339" t="str">
        <x:v>Functional / Security</x:v>
      </x:c>
    </x:row>
    <x:row r="2203">
      <x:c r="A2203" s="339" t="str">
        <x:v>AC-02202</x:v>
      </x:c>
      <x:c r="B2203" s="339" t="str">
        <x:v>US-0551</x:v>
      </x:c>
      <x:c r="C2203" s="339" t="str">
        <x:v>SCR-276</x:v>
      </x:c>
      <x:c r="D2203" s="339" t="str">
        <x:v>Reports &amp; Analytics</x:v>
      </x:c>
      <x:c r="E2203" s="339" t="str">
        <x:v>Staff Attendance Report</x:v>
      </x:c>
      <x:c r="F2203" s="339" t="str">
        <x:v>Successful Staff Attendance Report happy path</x:v>
      </x:c>
      <x:c r="G2203" s="339" t="str">
        <x:v>all mandatory prerequisites and valid data are available</x:v>
      </x:c>
      <x:c r="H2203" s="339" t="str">
        <x:v>the School Admin completes the primary action on Staff Attendance Report</x:v>
      </x:c>
      <x:c r="I2203" s="339" t="str">
        <x:v>the system validates the request, saves it atomically, shows a clear confirmation and reflects the updated state</x:v>
      </x:c>
      <x:c r="J2203" s="339" t="str">
        <x:v>Positive</x:v>
      </x:c>
      <x:c r="K2203" s="339" t="str">
        <x:v>Functional</x:v>
      </x:c>
    </x:row>
    <x:row r="2204">
      <x:c r="A2204" s="339" t="str">
        <x:v>AC-02203</x:v>
      </x:c>
      <x:c r="B2204" s="339" t="str">
        <x:v>US-0551</x:v>
      </x:c>
      <x:c r="C2204" s="339" t="str">
        <x:v>SCR-276</x:v>
      </x:c>
      <x:c r="D2204" s="339" t="str">
        <x:v>Reports &amp; Analytics</x:v>
      </x:c>
      <x:c r="E2204" s="339" t="str">
        <x:v>Staff Attendance Report</x:v>
      </x:c>
      <x:c r="F2204" s="339" t="str">
        <x:v>State and dependency integrity</x:v>
      </x:c>
      <x:c r="G2204" s="339" t="str">
        <x:v>the current record is in an allowed state (Filter Context Set → Report Generated → Viewed / Exported)</x:v>
      </x:c>
      <x:c r="H2204" s="339" t="str">
        <x:v>the user attempts a state-changing action</x:v>
      </x:c>
      <x:c r="I2204" s="339" t="str">
        <x:v>only a valid transition is accepted and dependent records are updated according to configured business rules</x:v>
      </x:c>
      <x:c r="J2204" s="339" t="str">
        <x:v>Positive</x:v>
      </x:c>
      <x:c r="K2204" s="339" t="str">
        <x:v>Functional</x:v>
      </x:c>
    </x:row>
    <x:row r="2205">
      <x:c r="A2205" s="339" t="str">
        <x:v>AC-02204</x:v>
      </x:c>
      <x:c r="B2205" s="339" t="str">
        <x:v>US-0551</x:v>
      </x:c>
      <x:c r="C2205" s="339" t="str">
        <x:v>SCR-276</x:v>
      </x:c>
      <x:c r="D2205" s="339" t="str">
        <x:v>Reports &amp; Analytics</x:v>
      </x:c>
      <x:c r="E2205" s="339" t="str">
        <x:v>Staff Attendance Report</x:v>
      </x:c>
      <x:c r="F2205" s="339" t="str">
        <x:v>Auditability</x:v>
      </x:c>
      <x:c r="G2205" s="339" t="str">
        <x:v>a material create/update/approve/reverse action occurs</x:v>
      </x:c>
      <x:c r="H2205" s="339" t="str">
        <x:v>the transaction succeeds</x:v>
      </x:c>
      <x:c r="I2205" s="339" t="str">
        <x:v>the system records actor, timestamp, action, target and relevant before/after or reason context in the audit trail</x:v>
      </x:c>
      <x:c r="J2205" s="339" t="str">
        <x:v>Positive</x:v>
      </x:c>
      <x:c r="K2205" s="339" t="str">
        <x:v>Functional</x:v>
      </x:c>
    </x:row>
    <x:row r="2206">
      <x:c r="A2206" s="339" t="str">
        <x:v>AC-02205</x:v>
      </x:c>
      <x:c r="B2206" s="339" t="str">
        <x:v>US-0552</x:v>
      </x:c>
      <x:c r="C2206" s="339" t="str">
        <x:v>SCR-276</x:v>
      </x:c>
      <x:c r="D2206" s="339" t="str">
        <x:v>Reports &amp; Analytics</x:v>
      </x:c>
      <x:c r="E2206" s="339" t="str">
        <x:v>Staff Attendance Report</x:v>
      </x:c>
      <x:c r="F2206" s="339" t="str">
        <x:v>Filter accuracy</x:v>
      </x:c>
      <x:c r="G2206" s="339" t="str">
        <x:v>source data exists across multiple periods/scopes</x:v>
      </x:c>
      <x:c r="H2206" s="339" t="str">
        <x:v>the user applies report filters</x:v>
      </x:c>
      <x:c r="I2206" s="339" t="str">
        <x:v>aggregates and rows include only authorized data matching the filters</x:v>
      </x:c>
      <x:c r="J2206" s="339" t="str">
        <x:v>Positive</x:v>
      </x:c>
      <x:c r="K2206" s="339" t="str">
        <x:v>Functional</x:v>
      </x:c>
    </x:row>
    <x:row r="2207">
      <x:c r="A2207" s="339" t="str">
        <x:v>AC-02206</x:v>
      </x:c>
      <x:c r="B2207" s="339" t="str">
        <x:v>US-0552</x:v>
      </x:c>
      <x:c r="C2207" s="339" t="str">
        <x:v>SCR-276</x:v>
      </x:c>
      <x:c r="D2207" s="339" t="str">
        <x:v>Reports &amp; Analytics</x:v>
      </x:c>
      <x:c r="E2207" s="339" t="str">
        <x:v>Staff Attendance Report</x:v>
      </x:c>
      <x:c r="F2207" s="339" t="str">
        <x:v>Formula consistency</x:v>
      </x:c>
      <x:c r="G2207" s="339" t="str">
        <x:v>the report contains calculated metrics</x:v>
      </x:c>
      <x:c r="H2207" s="339" t="str">
        <x:v>the report is generated</x:v>
      </x:c>
      <x:c r="I2207" s="339" t="str">
        <x:v>calculations follow the approved rule: Metrics reuse the source-module formulas and must reconcile to filtered transaction counts/amounts.</x:v>
      </x:c>
      <x:c r="J2207" s="339" t="str">
        <x:v>Positive</x:v>
      </x:c>
      <x:c r="K2207" s="339" t="str">
        <x:v>Functional</x:v>
      </x:c>
    </x:row>
    <x:row r="2208">
      <x:c r="A2208" s="339" t="str">
        <x:v>AC-02207</x:v>
      </x:c>
      <x:c r="B2208" s="339" t="str">
        <x:v>US-0552</x:v>
      </x:c>
      <x:c r="C2208" s="339" t="str">
        <x:v>SCR-276</x:v>
      </x:c>
      <x:c r="D2208" s="339" t="str">
        <x:v>Reports &amp; Analytics</x:v>
      </x:c>
      <x:c r="E2208" s="339" t="str">
        <x:v>Staff Attendance Report</x:v>
      </x:c>
      <x:c r="F2208" s="339" t="str">
        <x:v>Reconciliation</x:v>
      </x:c>
      <x:c r="G2208" s="339" t="str">
        <x:v>a report total is displayed</x:v>
      </x:c>
      <x:c r="H2208" s="339" t="str">
        <x:v>the user drills to supporting data</x:v>
      </x:c>
      <x:c r="I2208" s="339" t="str">
        <x:v>the supporting rows reconcile to the displayed total within defined rounding rules</x:v>
      </x:c>
      <x:c r="J2208" s="339" t="str">
        <x:v>Positive</x:v>
      </x:c>
      <x:c r="K2208" s="339" t="str">
        <x:v>Functional</x:v>
      </x:c>
    </x:row>
    <x:row r="2209">
      <x:c r="A2209" s="339" t="str">
        <x:v>AC-02208</x:v>
      </x:c>
      <x:c r="B2209" s="339" t="str">
        <x:v>US-0552</x:v>
      </x:c>
      <x:c r="C2209" s="339" t="str">
        <x:v>SCR-276</x:v>
      </x:c>
      <x:c r="D2209" s="339" t="str">
        <x:v>Reports &amp; Analytics</x:v>
      </x:c>
      <x:c r="E2209" s="339" t="str">
        <x:v>Staff Attendance Report</x:v>
      </x:c>
      <x:c r="F2209" s="339" t="str">
        <x:v>Export fidelity</x:v>
      </x:c>
      <x:c r="G2209" s="339" t="str">
        <x:v>the user has export permission</x:v>
      </x:c>
      <x:c r="H2209" s="339" t="str">
        <x:v>the report is exported</x:v>
      </x:c>
      <x:c r="I2209" s="339" t="str">
        <x:v>the export preserves filter context, values and permitted columns and includes a run timestamp/context where appropriate</x:v>
      </x:c>
      <x:c r="J2209" s="339" t="str">
        <x:v>Positive</x:v>
      </x:c>
      <x:c r="K2209" s="339" t="str">
        <x:v>Functional</x:v>
      </x:c>
    </x:row>
    <x:row r="2210">
      <x:c r="A2210" s="339" t="str">
        <x:v>AC-02209</x:v>
      </x:c>
      <x:c r="B2210" s="339" t="str">
        <x:v>US-0553</x:v>
      </x:c>
      <x:c r="C2210" s="339" t="str">
        <x:v>SCR-277</x:v>
      </x:c>
      <x:c r="D2210" s="339" t="str">
        <x:v>Reports &amp; Analytics</x:v>
      </x:c>
      <x:c r="E2210" s="339" t="str">
        <x:v>Payroll Summary</x:v>
      </x:c>
      <x:c r="F2210" s="339" t="str">
        <x:v>Authorized access to Payroll Summary</x:v>
      </x:c>
      <x:c r="G2210" s="339" t="str">
        <x:v>the School Admin is authenticated and has access to Payroll Summary</x:v>
      </x:c>
      <x:c r="H2210" s="339" t="str">
        <x:v>the user opens or invokes Payroll Summary</x:v>
      </x:c>
      <x:c r="I2210" s="339" t="str">
        <x:v>the system loads only records and actions within the user's permitted tenant/school/data scope</x:v>
      </x:c>
      <x:c r="J2210" s="339" t="str">
        <x:v>Positive</x:v>
      </x:c>
      <x:c r="K2210" s="339" t="str">
        <x:v>Functional / Security</x:v>
      </x:c>
    </x:row>
    <x:row r="2211">
      <x:c r="A2211" s="339" t="str">
        <x:v>AC-02210</x:v>
      </x:c>
      <x:c r="B2211" s="339" t="str">
        <x:v>US-0553</x:v>
      </x:c>
      <x:c r="C2211" s="339" t="str">
        <x:v>SCR-277</x:v>
      </x:c>
      <x:c r="D2211" s="339" t="str">
        <x:v>Reports &amp; Analytics</x:v>
      </x:c>
      <x:c r="E2211" s="339" t="str">
        <x:v>Payroll Summary</x:v>
      </x:c>
      <x:c r="F2211" s="339" t="str">
        <x:v>Successful Payroll Summary happy path</x:v>
      </x:c>
      <x:c r="G2211" s="339" t="str">
        <x:v>all mandatory prerequisites and valid data are available</x:v>
      </x:c>
      <x:c r="H2211" s="339" t="str">
        <x:v>the School Admin completes the primary action on Payroll Summary</x:v>
      </x:c>
      <x:c r="I2211" s="339" t="str">
        <x:v>the system validates the request, saves it atomically, shows a clear confirmation and reflects the updated state</x:v>
      </x:c>
      <x:c r="J2211" s="339" t="str">
        <x:v>Positive</x:v>
      </x:c>
      <x:c r="K2211" s="339" t="str">
        <x:v>Functional</x:v>
      </x:c>
    </x:row>
    <x:row r="2212">
      <x:c r="A2212" s="339" t="str">
        <x:v>AC-02211</x:v>
      </x:c>
      <x:c r="B2212" s="339" t="str">
        <x:v>US-0553</x:v>
      </x:c>
      <x:c r="C2212" s="339" t="str">
        <x:v>SCR-277</x:v>
      </x:c>
      <x:c r="D2212" s="339" t="str">
        <x:v>Reports &amp; Analytics</x:v>
      </x:c>
      <x:c r="E2212" s="339" t="str">
        <x:v>Payroll Summary</x:v>
      </x:c>
      <x:c r="F2212" s="339" t="str">
        <x:v>State and dependency integrity</x:v>
      </x:c>
      <x:c r="G2212" s="339" t="str">
        <x:v>the current record is in an allowed state (Filter Context Set → Report Generated → Viewed / Exported)</x:v>
      </x:c>
      <x:c r="H2212" s="339" t="str">
        <x:v>the user attempts a state-changing action</x:v>
      </x:c>
      <x:c r="I2212" s="339" t="str">
        <x:v>only a valid transition is accepted and dependent records are updated according to configured business rules</x:v>
      </x:c>
      <x:c r="J2212" s="339" t="str">
        <x:v>Positive</x:v>
      </x:c>
      <x:c r="K2212" s="339" t="str">
        <x:v>Functional</x:v>
      </x:c>
    </x:row>
    <x:row r="2213">
      <x:c r="A2213" s="339" t="str">
        <x:v>AC-02212</x:v>
      </x:c>
      <x:c r="B2213" s="339" t="str">
        <x:v>US-0553</x:v>
      </x:c>
      <x:c r="C2213" s="339" t="str">
        <x:v>SCR-277</x:v>
      </x:c>
      <x:c r="D2213" s="339" t="str">
        <x:v>Reports &amp; Analytics</x:v>
      </x:c>
      <x:c r="E2213" s="339" t="str">
        <x:v>Payroll Summary</x:v>
      </x:c>
      <x:c r="F2213" s="339" t="str">
        <x:v>Auditability</x:v>
      </x:c>
      <x:c r="G2213" s="339" t="str">
        <x:v>a material create/update/approve/reverse action occurs</x:v>
      </x:c>
      <x:c r="H2213" s="339" t="str">
        <x:v>the transaction succeeds</x:v>
      </x:c>
      <x:c r="I2213" s="339" t="str">
        <x:v>the system records actor, timestamp, action, target and relevant before/after or reason context in the audit trail</x:v>
      </x:c>
      <x:c r="J2213" s="339" t="str">
        <x:v>Positive</x:v>
      </x:c>
      <x:c r="K2213" s="339" t="str">
        <x:v>Functional</x:v>
      </x:c>
    </x:row>
    <x:row r="2214">
      <x:c r="A2214" s="339" t="str">
        <x:v>AC-02213</x:v>
      </x:c>
      <x:c r="B2214" s="339" t="str">
        <x:v>US-0554</x:v>
      </x:c>
      <x:c r="C2214" s="339" t="str">
        <x:v>SCR-277</x:v>
      </x:c>
      <x:c r="D2214" s="339" t="str">
        <x:v>Reports &amp; Analytics</x:v>
      </x:c>
      <x:c r="E2214" s="339" t="str">
        <x:v>Payroll Summary</x:v>
      </x:c>
      <x:c r="F2214" s="339" t="str">
        <x:v>Filter accuracy</x:v>
      </x:c>
      <x:c r="G2214" s="339" t="str">
        <x:v>source data exists across multiple periods/scopes</x:v>
      </x:c>
      <x:c r="H2214" s="339" t="str">
        <x:v>the user applies report filters</x:v>
      </x:c>
      <x:c r="I2214" s="339" t="str">
        <x:v>aggregates and rows include only authorized data matching the filters</x:v>
      </x:c>
      <x:c r="J2214" s="339" t="str">
        <x:v>Positive</x:v>
      </x:c>
      <x:c r="K2214" s="339" t="str">
        <x:v>Functional</x:v>
      </x:c>
    </x:row>
    <x:row r="2215">
      <x:c r="A2215" s="339" t="str">
        <x:v>AC-02214</x:v>
      </x:c>
      <x:c r="B2215" s="339" t="str">
        <x:v>US-0554</x:v>
      </x:c>
      <x:c r="C2215" s="339" t="str">
        <x:v>SCR-277</x:v>
      </x:c>
      <x:c r="D2215" s="339" t="str">
        <x:v>Reports &amp; Analytics</x:v>
      </x:c>
      <x:c r="E2215" s="339" t="str">
        <x:v>Payroll Summary</x:v>
      </x:c>
      <x:c r="F2215" s="339" t="str">
        <x:v>Formula consistency</x:v>
      </x:c>
      <x:c r="G2215" s="339" t="str">
        <x:v>the report contains calculated metrics</x:v>
      </x:c>
      <x:c r="H2215" s="339" t="str">
        <x:v>the report is generated</x:v>
      </x:c>
      <x:c r="I2215" s="339" t="str">
        <x:v>calculations follow the approved rule: Metrics reuse the source-module formulas and must reconcile to filtered transaction counts/amounts.</x:v>
      </x:c>
      <x:c r="J2215" s="339" t="str">
        <x:v>Positive</x:v>
      </x:c>
      <x:c r="K2215" s="339" t="str">
        <x:v>Functional</x:v>
      </x:c>
    </x:row>
    <x:row r="2216">
      <x:c r="A2216" s="339" t="str">
        <x:v>AC-02215</x:v>
      </x:c>
      <x:c r="B2216" s="339" t="str">
        <x:v>US-0554</x:v>
      </x:c>
      <x:c r="C2216" s="339" t="str">
        <x:v>SCR-277</x:v>
      </x:c>
      <x:c r="D2216" s="339" t="str">
        <x:v>Reports &amp; Analytics</x:v>
      </x:c>
      <x:c r="E2216" s="339" t="str">
        <x:v>Payroll Summary</x:v>
      </x:c>
      <x:c r="F2216" s="339" t="str">
        <x:v>Reconciliation</x:v>
      </x:c>
      <x:c r="G2216" s="339" t="str">
        <x:v>a report total is displayed</x:v>
      </x:c>
      <x:c r="H2216" s="339" t="str">
        <x:v>the user drills to supporting data</x:v>
      </x:c>
      <x:c r="I2216" s="339" t="str">
        <x:v>the supporting rows reconcile to the displayed total within defined rounding rules</x:v>
      </x:c>
      <x:c r="J2216" s="339" t="str">
        <x:v>Positive</x:v>
      </x:c>
      <x:c r="K2216" s="339" t="str">
        <x:v>Functional</x:v>
      </x:c>
    </x:row>
    <x:row r="2217">
      <x:c r="A2217" s="339" t="str">
        <x:v>AC-02216</x:v>
      </x:c>
      <x:c r="B2217" s="339" t="str">
        <x:v>US-0554</x:v>
      </x:c>
      <x:c r="C2217" s="339" t="str">
        <x:v>SCR-277</x:v>
      </x:c>
      <x:c r="D2217" s="339" t="str">
        <x:v>Reports &amp; Analytics</x:v>
      </x:c>
      <x:c r="E2217" s="339" t="str">
        <x:v>Payroll Summary</x:v>
      </x:c>
      <x:c r="F2217" s="339" t="str">
        <x:v>Export fidelity</x:v>
      </x:c>
      <x:c r="G2217" s="339" t="str">
        <x:v>the user has export permission</x:v>
      </x:c>
      <x:c r="H2217" s="339" t="str">
        <x:v>the report is exported</x:v>
      </x:c>
      <x:c r="I2217" s="339" t="str">
        <x:v>the export preserves filter context, values and permitted columns and includes a run timestamp/context where appropriate</x:v>
      </x:c>
      <x:c r="J2217" s="339" t="str">
        <x:v>Positive</x:v>
      </x:c>
      <x:c r="K2217" s="339" t="str">
        <x:v>Functional</x:v>
      </x:c>
    </x:row>
    <x:row r="2218">
      <x:c r="A2218" s="339" t="str">
        <x:v>AC-02217</x:v>
      </x:c>
      <x:c r="B2218" s="339" t="str">
        <x:v>US-0555</x:v>
      </x:c>
      <x:c r="C2218" s="339" t="str">
        <x:v>SCR-278</x:v>
      </x:c>
      <x:c r="D2218" s="339" t="str">
        <x:v>Reports &amp; Analytics</x:v>
      </x:c>
      <x:c r="E2218" s="339" t="str">
        <x:v>Teacher Performance</x:v>
      </x:c>
      <x:c r="F2218" s="339" t="str">
        <x:v>Authorized access to Teacher Performance</x:v>
      </x:c>
      <x:c r="G2218" s="339" t="str">
        <x:v>the School Admin is authenticated and has access to Teacher Performance</x:v>
      </x:c>
      <x:c r="H2218" s="339" t="str">
        <x:v>the user opens or invokes Teacher Performance</x:v>
      </x:c>
      <x:c r="I2218" s="339" t="str">
        <x:v>the system loads only records and actions within the user's permitted tenant/school/data scope</x:v>
      </x:c>
      <x:c r="J2218" s="339" t="str">
        <x:v>Positive</x:v>
      </x:c>
      <x:c r="K2218" s="339" t="str">
        <x:v>Functional / Security</x:v>
      </x:c>
    </x:row>
    <x:row r="2219">
      <x:c r="A2219" s="339" t="str">
        <x:v>AC-02218</x:v>
      </x:c>
      <x:c r="B2219" s="339" t="str">
        <x:v>US-0555</x:v>
      </x:c>
      <x:c r="C2219" s="339" t="str">
        <x:v>SCR-278</x:v>
      </x:c>
      <x:c r="D2219" s="339" t="str">
        <x:v>Reports &amp; Analytics</x:v>
      </x:c>
      <x:c r="E2219" s="339" t="str">
        <x:v>Teacher Performance</x:v>
      </x:c>
      <x:c r="F2219" s="339" t="str">
        <x:v>Successful Teacher Performance happy path</x:v>
      </x:c>
      <x:c r="G2219" s="339" t="str">
        <x:v>all mandatory prerequisites and valid data are available</x:v>
      </x:c>
      <x:c r="H2219" s="339" t="str">
        <x:v>the School Admin completes the primary action on Teacher Performance</x:v>
      </x:c>
      <x:c r="I2219" s="339" t="str">
        <x:v>the system validates the request, saves it atomically, shows a clear confirmation and reflects the updated state</x:v>
      </x:c>
      <x:c r="J2219" s="339" t="str">
        <x:v>Positive</x:v>
      </x:c>
      <x:c r="K2219" s="339" t="str">
        <x:v>Functional</x:v>
      </x:c>
    </x:row>
    <x:row r="2220">
      <x:c r="A2220" s="339" t="str">
        <x:v>AC-02219</x:v>
      </x:c>
      <x:c r="B2220" s="339" t="str">
        <x:v>US-0555</x:v>
      </x:c>
      <x:c r="C2220" s="339" t="str">
        <x:v>SCR-278</x:v>
      </x:c>
      <x:c r="D2220" s="339" t="str">
        <x:v>Reports &amp; Analytics</x:v>
      </x:c>
      <x:c r="E2220" s="339" t="str">
        <x:v>Teacher Performance</x:v>
      </x:c>
      <x:c r="F2220" s="339" t="str">
        <x:v>State and dependency integrity</x:v>
      </x:c>
      <x:c r="G2220" s="339" t="str">
        <x:v>the current record is in an allowed state (Filter Context Set → Report Generated → Viewed / Exported)</x:v>
      </x:c>
      <x:c r="H2220" s="339" t="str">
        <x:v>the user attempts a state-changing action</x:v>
      </x:c>
      <x:c r="I2220" s="339" t="str">
        <x:v>only a valid transition is accepted and dependent records are updated according to configured business rules</x:v>
      </x:c>
      <x:c r="J2220" s="339" t="str">
        <x:v>Positive</x:v>
      </x:c>
      <x:c r="K2220" s="339" t="str">
        <x:v>Functional</x:v>
      </x:c>
    </x:row>
    <x:row r="2221">
      <x:c r="A2221" s="339" t="str">
        <x:v>AC-02220</x:v>
      </x:c>
      <x:c r="B2221" s="339" t="str">
        <x:v>US-0555</x:v>
      </x:c>
      <x:c r="C2221" s="339" t="str">
        <x:v>SCR-278</x:v>
      </x:c>
      <x:c r="D2221" s="339" t="str">
        <x:v>Reports &amp; Analytics</x:v>
      </x:c>
      <x:c r="E2221" s="339" t="str">
        <x:v>Teacher Performance</x:v>
      </x:c>
      <x:c r="F2221" s="339" t="str">
        <x:v>Auditability</x:v>
      </x:c>
      <x:c r="G2221" s="339" t="str">
        <x:v>a material create/update/approve/reverse action occurs</x:v>
      </x:c>
      <x:c r="H2221" s="339" t="str">
        <x:v>the transaction succeeds</x:v>
      </x:c>
      <x:c r="I2221" s="339" t="str">
        <x:v>the system records actor, timestamp, action, target and relevant before/after or reason context in the audit trail</x:v>
      </x:c>
      <x:c r="J2221" s="339" t="str">
        <x:v>Positive</x:v>
      </x:c>
      <x:c r="K2221" s="339" t="str">
        <x:v>Functional</x:v>
      </x:c>
    </x:row>
    <x:row r="2222">
      <x:c r="A2222" s="339" t="str">
        <x:v>AC-02221</x:v>
      </x:c>
      <x:c r="B2222" s="339" t="str">
        <x:v>US-0556</x:v>
      </x:c>
      <x:c r="C2222" s="339" t="str">
        <x:v>SCR-278</x:v>
      </x:c>
      <x:c r="D2222" s="339" t="str">
        <x:v>Reports &amp; Analytics</x:v>
      </x:c>
      <x:c r="E2222" s="339" t="str">
        <x:v>Teacher Performance</x:v>
      </x:c>
      <x:c r="F2222" s="339" t="str">
        <x:v>Valid status transition</x:v>
      </x:c>
      <x:c r="G2222" s="339" t="str">
        <x:v>the record is in a state described by Filter Context Set → Report Generated → Viewed / Exported</x:v>
      </x:c>
      <x:c r="H2222" s="339" t="str">
        <x:v>the user requests a transition</x:v>
      </x:c>
      <x:c r="I2222" s="339" t="str">
        <x:v>the system accepts only transitions allowed for that role and state</x:v>
      </x:c>
      <x:c r="J2222" s="339" t="str">
        <x:v>Positive</x:v>
      </x:c>
      <x:c r="K2222" s="339" t="str">
        <x:v>Functional</x:v>
      </x:c>
    </x:row>
    <x:row r="2223">
      <x:c r="A2223" s="339" t="str">
        <x:v>AC-02222</x:v>
      </x:c>
      <x:c r="B2223" s="339" t="str">
        <x:v>US-0556</x:v>
      </x:c>
      <x:c r="C2223" s="339" t="str">
        <x:v>SCR-278</x:v>
      </x:c>
      <x:c r="D2223" s="339" t="str">
        <x:v>Reports &amp; Analytics</x:v>
      </x:c>
      <x:c r="E2223" s="339" t="str">
        <x:v>Teacher Performance</x:v>
      </x:c>
      <x:c r="F2223" s="339" t="str">
        <x:v>Approval authority</x:v>
      </x:c>
      <x:c r="G2223" s="339" t="str">
        <x:v>an action requires approval</x:v>
      </x:c>
      <x:c r="H2223" s="339" t="str">
        <x:v>a non-authorized user attempts approval/rejection</x:v>
      </x:c>
      <x:c r="I2223" s="339" t="str">
        <x:v>the system denies the decision and does not change status</x:v>
      </x:c>
      <x:c r="J2223" s="339" t="str">
        <x:v>Negative</x:v>
      </x:c>
      <x:c r="K2223" s="339" t="str">
        <x:v>Functional</x:v>
      </x:c>
    </x:row>
    <x:row r="2224">
      <x:c r="A2224" s="339" t="str">
        <x:v>AC-02223</x:v>
      </x:c>
      <x:c r="B2224" s="339" t="str">
        <x:v>US-0556</x:v>
      </x:c>
      <x:c r="C2224" s="339" t="str">
        <x:v>SCR-278</x:v>
      </x:c>
      <x:c r="D2224" s="339" t="str">
        <x:v>Reports &amp; Analytics</x:v>
      </x:c>
      <x:c r="E2224" s="339" t="str">
        <x:v>Teacher Performance</x:v>
      </x:c>
      <x:c r="F2224" s="339" t="str">
        <x:v>Failure rollback</x:v>
      </x:c>
      <x:c r="G2224" s="339" t="str">
        <x:v>a downstream dependency fails during a multi-step transaction</x:v>
      </x:c>
      <x:c r="H2224" s="339" t="str">
        <x:v>the workflow executes</x:v>
      </x:c>
      <x:c r="I2224" s="339" t="str">
        <x:v>the system does not leave an invalid partial final state and surfaces a recoverable error</x:v>
      </x:c>
      <x:c r="J2224" s="339" t="str">
        <x:v>Positive</x:v>
      </x:c>
      <x:c r="K2224" s="339" t="str">
        <x:v>Functional</x:v>
      </x:c>
    </x:row>
    <x:row r="2225">
      <x:c r="A2225" s="339" t="str">
        <x:v>AC-02224</x:v>
      </x:c>
      <x:c r="B2225" s="339" t="str">
        <x:v>US-0556</x:v>
      </x:c>
      <x:c r="C2225" s="339" t="str">
        <x:v>SCR-278</x:v>
      </x:c>
      <x:c r="D2225" s="339" t="str">
        <x:v>Reports &amp; Analytics</x:v>
      </x:c>
      <x:c r="E2225" s="339" t="str">
        <x:v>Teacher Performance</x:v>
      </x:c>
      <x:c r="F2225" s="339" t="str">
        <x:v>Exception traceability</x:v>
      </x:c>
      <x:c r="G2225" s="339" t="str">
        <x:v>an authorized override/exception is used</x:v>
      </x:c>
      <x:c r="H2225" s="339" t="str">
        <x:v>the action is confirmed</x:v>
      </x:c>
      <x:c r="I2225" s="339" t="str">
        <x:v>the system requires reason/context and records it in the audit history</x:v>
      </x:c>
      <x:c r="J2225" s="339" t="str">
        <x:v>Positive</x:v>
      </x:c>
      <x:c r="K2225" s="339" t="str">
        <x:v>Functional</x:v>
      </x:c>
    </x:row>
    <x:row r="2226">
      <x:c r="A2226" s="339" t="str">
        <x:v>AC-02225</x:v>
      </x:c>
      <x:c r="B2226" s="339" t="str">
        <x:v>US-0557</x:v>
      </x:c>
      <x:c r="C2226" s="339" t="str">
        <x:v>SCR-279</x:v>
      </x:c>
      <x:c r="D2226" s="339" t="str">
        <x:v>Reports &amp; Analytics</x:v>
      </x:c>
      <x:c r="E2226" s="339" t="str">
        <x:v>Transport Utilization</x:v>
      </x:c>
      <x:c r="F2226" s="339" t="str">
        <x:v>Authorized access to Transport Utilization</x:v>
      </x:c>
      <x:c r="G2226" s="339" t="str">
        <x:v>the School Admin is authenticated and has access to Transport Utilization</x:v>
      </x:c>
      <x:c r="H2226" s="339" t="str">
        <x:v>the user opens or invokes Transport Utilization</x:v>
      </x:c>
      <x:c r="I2226" s="339" t="str">
        <x:v>the system loads only records and actions within the user's permitted tenant/school/data scope</x:v>
      </x:c>
      <x:c r="J2226" s="339" t="str">
        <x:v>Positive</x:v>
      </x:c>
      <x:c r="K2226" s="339" t="str">
        <x:v>Functional / Security</x:v>
      </x:c>
    </x:row>
    <x:row r="2227">
      <x:c r="A2227" s="339" t="str">
        <x:v>AC-02226</x:v>
      </x:c>
      <x:c r="B2227" s="339" t="str">
        <x:v>US-0557</x:v>
      </x:c>
      <x:c r="C2227" s="339" t="str">
        <x:v>SCR-279</x:v>
      </x:c>
      <x:c r="D2227" s="339" t="str">
        <x:v>Reports &amp; Analytics</x:v>
      </x:c>
      <x:c r="E2227" s="339" t="str">
        <x:v>Transport Utilization</x:v>
      </x:c>
      <x:c r="F2227" s="339" t="str">
        <x:v>Successful Transport Utilization happy path</x:v>
      </x:c>
      <x:c r="G2227" s="339" t="str">
        <x:v>all mandatory prerequisites and valid data are available</x:v>
      </x:c>
      <x:c r="H2227" s="339" t="str">
        <x:v>the School Admin completes the primary action on Transport Utilization</x:v>
      </x:c>
      <x:c r="I2227" s="339" t="str">
        <x:v>the system validates the request, saves it atomically, shows a clear confirmation and reflects the updated state</x:v>
      </x:c>
      <x:c r="J2227" s="339" t="str">
        <x:v>Positive</x:v>
      </x:c>
      <x:c r="K2227" s="339" t="str">
        <x:v>Functional</x:v>
      </x:c>
    </x:row>
    <x:row r="2228">
      <x:c r="A2228" s="339" t="str">
        <x:v>AC-02227</x:v>
      </x:c>
      <x:c r="B2228" s="339" t="str">
        <x:v>US-0557</x:v>
      </x:c>
      <x:c r="C2228" s="339" t="str">
        <x:v>SCR-279</x:v>
      </x:c>
      <x:c r="D2228" s="339" t="str">
        <x:v>Reports &amp; Analytics</x:v>
      </x:c>
      <x:c r="E2228" s="339" t="str">
        <x:v>Transport Utilization</x:v>
      </x:c>
      <x:c r="F2228" s="339" t="str">
        <x:v>State and dependency integrity</x:v>
      </x:c>
      <x:c r="G2228" s="339" t="str">
        <x:v>the current record is in an allowed state (Filter Context Set → Report Generated → Viewed / Exported)</x:v>
      </x:c>
      <x:c r="H2228" s="339" t="str">
        <x:v>the user attempts a state-changing action</x:v>
      </x:c>
      <x:c r="I2228" s="339" t="str">
        <x:v>only a valid transition is accepted and dependent records are updated according to configured business rules</x:v>
      </x:c>
      <x:c r="J2228" s="339" t="str">
        <x:v>Positive</x:v>
      </x:c>
      <x:c r="K2228" s="339" t="str">
        <x:v>Functional</x:v>
      </x:c>
    </x:row>
    <x:row r="2229">
      <x:c r="A2229" s="339" t="str">
        <x:v>AC-02228</x:v>
      </x:c>
      <x:c r="B2229" s="339" t="str">
        <x:v>US-0557</x:v>
      </x:c>
      <x:c r="C2229" s="339" t="str">
        <x:v>SCR-279</x:v>
      </x:c>
      <x:c r="D2229" s="339" t="str">
        <x:v>Reports &amp; Analytics</x:v>
      </x:c>
      <x:c r="E2229" s="339" t="str">
        <x:v>Transport Utilization</x:v>
      </x:c>
      <x:c r="F2229" s="339" t="str">
        <x:v>Auditability</x:v>
      </x:c>
      <x:c r="G2229" s="339" t="str">
        <x:v>a material create/update/approve/reverse action occurs</x:v>
      </x:c>
      <x:c r="H2229" s="339" t="str">
        <x:v>the transaction succeeds</x:v>
      </x:c>
      <x:c r="I2229" s="339" t="str">
        <x:v>the system records actor, timestamp, action, target and relevant before/after or reason context in the audit trail</x:v>
      </x:c>
      <x:c r="J2229" s="339" t="str">
        <x:v>Positive</x:v>
      </x:c>
      <x:c r="K2229" s="339" t="str">
        <x:v>Functional</x:v>
      </x:c>
    </x:row>
    <x:row r="2230">
      <x:c r="A2230" s="339" t="str">
        <x:v>AC-02229</x:v>
      </x:c>
      <x:c r="B2230" s="339" t="str">
        <x:v>US-0558</x:v>
      </x:c>
      <x:c r="C2230" s="339" t="str">
        <x:v>SCR-279</x:v>
      </x:c>
      <x:c r="D2230" s="339" t="str">
        <x:v>Reports &amp; Analytics</x:v>
      </x:c>
      <x:c r="E2230" s="339" t="str">
        <x:v>Transport Utilization</x:v>
      </x:c>
      <x:c r="F2230" s="339" t="str">
        <x:v>Filter accuracy</x:v>
      </x:c>
      <x:c r="G2230" s="339" t="str">
        <x:v>source data exists across multiple periods/scopes</x:v>
      </x:c>
      <x:c r="H2230" s="339" t="str">
        <x:v>the user applies report filters</x:v>
      </x:c>
      <x:c r="I2230" s="339" t="str">
        <x:v>aggregates and rows include only authorized data matching the filters</x:v>
      </x:c>
      <x:c r="J2230" s="339" t="str">
        <x:v>Positive</x:v>
      </x:c>
      <x:c r="K2230" s="339" t="str">
        <x:v>Functional</x:v>
      </x:c>
    </x:row>
    <x:row r="2231">
      <x:c r="A2231" s="339" t="str">
        <x:v>AC-02230</x:v>
      </x:c>
      <x:c r="B2231" s="339" t="str">
        <x:v>US-0558</x:v>
      </x:c>
      <x:c r="C2231" s="339" t="str">
        <x:v>SCR-279</x:v>
      </x:c>
      <x:c r="D2231" s="339" t="str">
        <x:v>Reports &amp; Analytics</x:v>
      </x:c>
      <x:c r="E2231" s="339" t="str">
        <x:v>Transport Utilization</x:v>
      </x:c>
      <x:c r="F2231" s="339" t="str">
        <x:v>Formula consistency</x:v>
      </x:c>
      <x:c r="G2231" s="339" t="str">
        <x:v>the report contains calculated metrics</x:v>
      </x:c>
      <x:c r="H2231" s="339" t="str">
        <x:v>the report is generated</x:v>
      </x:c>
      <x:c r="I2231" s="339" t="str">
        <x:v>calculations follow the approved rule: Metrics reuse the source-module formulas and must reconcile to filtered transaction counts/amounts.</x:v>
      </x:c>
      <x:c r="J2231" s="339" t="str">
        <x:v>Positive</x:v>
      </x:c>
      <x:c r="K2231" s="339" t="str">
        <x:v>Functional</x:v>
      </x:c>
    </x:row>
    <x:row r="2232">
      <x:c r="A2232" s="339" t="str">
        <x:v>AC-02231</x:v>
      </x:c>
      <x:c r="B2232" s="339" t="str">
        <x:v>US-0558</x:v>
      </x:c>
      <x:c r="C2232" s="339" t="str">
        <x:v>SCR-279</x:v>
      </x:c>
      <x:c r="D2232" s="339" t="str">
        <x:v>Reports &amp; Analytics</x:v>
      </x:c>
      <x:c r="E2232" s="339" t="str">
        <x:v>Transport Utilization</x:v>
      </x:c>
      <x:c r="F2232" s="339" t="str">
        <x:v>Reconciliation</x:v>
      </x:c>
      <x:c r="G2232" s="339" t="str">
        <x:v>a report total is displayed</x:v>
      </x:c>
      <x:c r="H2232" s="339" t="str">
        <x:v>the user drills to supporting data</x:v>
      </x:c>
      <x:c r="I2232" s="339" t="str">
        <x:v>the supporting rows reconcile to the displayed total within defined rounding rules</x:v>
      </x:c>
      <x:c r="J2232" s="339" t="str">
        <x:v>Positive</x:v>
      </x:c>
      <x:c r="K2232" s="339" t="str">
        <x:v>Functional</x:v>
      </x:c>
    </x:row>
    <x:row r="2233">
      <x:c r="A2233" s="339" t="str">
        <x:v>AC-02232</x:v>
      </x:c>
      <x:c r="B2233" s="339" t="str">
        <x:v>US-0558</x:v>
      </x:c>
      <x:c r="C2233" s="339" t="str">
        <x:v>SCR-279</x:v>
      </x:c>
      <x:c r="D2233" s="339" t="str">
        <x:v>Reports &amp; Analytics</x:v>
      </x:c>
      <x:c r="E2233" s="339" t="str">
        <x:v>Transport Utilization</x:v>
      </x:c>
      <x:c r="F2233" s="339" t="str">
        <x:v>Export fidelity</x:v>
      </x:c>
      <x:c r="G2233" s="339" t="str">
        <x:v>the user has export permission</x:v>
      </x:c>
      <x:c r="H2233" s="339" t="str">
        <x:v>the report is exported</x:v>
      </x:c>
      <x:c r="I2233" s="339" t="str">
        <x:v>the export preserves filter context, values and permitted columns and includes a run timestamp/context where appropriate</x:v>
      </x:c>
      <x:c r="J2233" s="339" t="str">
        <x:v>Positive</x:v>
      </x:c>
      <x:c r="K2233" s="339" t="str">
        <x:v>Functional</x:v>
      </x:c>
    </x:row>
    <x:row r="2234">
      <x:c r="A2234" s="339" t="str">
        <x:v>AC-02233</x:v>
      </x:c>
      <x:c r="B2234" s="339" t="str">
        <x:v>US-0559</x:v>
      </x:c>
      <x:c r="C2234" s="339" t="str">
        <x:v>SCR-280</x:v>
      </x:c>
      <x:c r="D2234" s="339" t="str">
        <x:v>Reports &amp; Analytics</x:v>
      </x:c>
      <x:c r="E2234" s="339" t="str">
        <x:v>Library Usage</x:v>
      </x:c>
      <x:c r="F2234" s="339" t="str">
        <x:v>Authorized access to Library Usage</x:v>
      </x:c>
      <x:c r="G2234" s="339" t="str">
        <x:v>the School Admin is authenticated and has access to Library Usage</x:v>
      </x:c>
      <x:c r="H2234" s="339" t="str">
        <x:v>the user opens or invokes Library Usage</x:v>
      </x:c>
      <x:c r="I2234" s="339" t="str">
        <x:v>the system loads only records and actions within the user's permitted tenant/school/data scope</x:v>
      </x:c>
      <x:c r="J2234" s="339" t="str">
        <x:v>Positive</x:v>
      </x:c>
      <x:c r="K2234" s="339" t="str">
        <x:v>Functional / Security</x:v>
      </x:c>
    </x:row>
    <x:row r="2235">
      <x:c r="A2235" s="339" t="str">
        <x:v>AC-02234</x:v>
      </x:c>
      <x:c r="B2235" s="339" t="str">
        <x:v>US-0559</x:v>
      </x:c>
      <x:c r="C2235" s="339" t="str">
        <x:v>SCR-280</x:v>
      </x:c>
      <x:c r="D2235" s="339" t="str">
        <x:v>Reports &amp; Analytics</x:v>
      </x:c>
      <x:c r="E2235" s="339" t="str">
        <x:v>Library Usage</x:v>
      </x:c>
      <x:c r="F2235" s="339" t="str">
        <x:v>Successful Library Usage happy path</x:v>
      </x:c>
      <x:c r="G2235" s="339" t="str">
        <x:v>all mandatory prerequisites and valid data are available</x:v>
      </x:c>
      <x:c r="H2235" s="339" t="str">
        <x:v>the School Admin completes the primary action on Library Usage</x:v>
      </x:c>
      <x:c r="I2235" s="339" t="str">
        <x:v>the system validates the request, saves it atomically, shows a clear confirmation and reflects the updated state</x:v>
      </x:c>
      <x:c r="J2235" s="339" t="str">
        <x:v>Positive</x:v>
      </x:c>
      <x:c r="K2235" s="339" t="str">
        <x:v>Functional</x:v>
      </x:c>
    </x:row>
    <x:row r="2236">
      <x:c r="A2236" s="339" t="str">
        <x:v>AC-02235</x:v>
      </x:c>
      <x:c r="B2236" s="339" t="str">
        <x:v>US-0559</x:v>
      </x:c>
      <x:c r="C2236" s="339" t="str">
        <x:v>SCR-280</x:v>
      </x:c>
      <x:c r="D2236" s="339" t="str">
        <x:v>Reports &amp; Analytics</x:v>
      </x:c>
      <x:c r="E2236" s="339" t="str">
        <x:v>Library Usage</x:v>
      </x:c>
      <x:c r="F2236" s="339" t="str">
        <x:v>State and dependency integrity</x:v>
      </x:c>
      <x:c r="G2236" s="339" t="str">
        <x:v>the current record is in an allowed state (Filter Context Set → Report Generated → Viewed / Exported)</x:v>
      </x:c>
      <x:c r="H2236" s="339" t="str">
        <x:v>the user attempts a state-changing action</x:v>
      </x:c>
      <x:c r="I2236" s="339" t="str">
        <x:v>only a valid transition is accepted and dependent records are updated according to configured business rules</x:v>
      </x:c>
      <x:c r="J2236" s="339" t="str">
        <x:v>Positive</x:v>
      </x:c>
      <x:c r="K2236" s="339" t="str">
        <x:v>Functional</x:v>
      </x:c>
    </x:row>
    <x:row r="2237">
      <x:c r="A2237" s="339" t="str">
        <x:v>AC-02236</x:v>
      </x:c>
      <x:c r="B2237" s="339" t="str">
        <x:v>US-0559</x:v>
      </x:c>
      <x:c r="C2237" s="339" t="str">
        <x:v>SCR-280</x:v>
      </x:c>
      <x:c r="D2237" s="339" t="str">
        <x:v>Reports &amp; Analytics</x:v>
      </x:c>
      <x:c r="E2237" s="339" t="str">
        <x:v>Library Usage</x:v>
      </x:c>
      <x:c r="F2237" s="339" t="str">
        <x:v>Auditability</x:v>
      </x:c>
      <x:c r="G2237" s="339" t="str">
        <x:v>a material create/update/approve/reverse action occurs</x:v>
      </x:c>
      <x:c r="H2237" s="339" t="str">
        <x:v>the transaction succeeds</x:v>
      </x:c>
      <x:c r="I2237" s="339" t="str">
        <x:v>the system records actor, timestamp, action, target and relevant before/after or reason context in the audit trail</x:v>
      </x:c>
      <x:c r="J2237" s="339" t="str">
        <x:v>Positive</x:v>
      </x:c>
      <x:c r="K2237" s="339" t="str">
        <x:v>Functional</x:v>
      </x:c>
    </x:row>
    <x:row r="2238">
      <x:c r="A2238" s="339" t="str">
        <x:v>AC-02237</x:v>
      </x:c>
      <x:c r="B2238" s="339" t="str">
        <x:v>US-0560</x:v>
      </x:c>
      <x:c r="C2238" s="339" t="str">
        <x:v>SCR-280</x:v>
      </x:c>
      <x:c r="D2238" s="339" t="str">
        <x:v>Reports &amp; Analytics</x:v>
      </x:c>
      <x:c r="E2238" s="339" t="str">
        <x:v>Library Usage</x:v>
      </x:c>
      <x:c r="F2238" s="339" t="str">
        <x:v>Filter accuracy</x:v>
      </x:c>
      <x:c r="G2238" s="339" t="str">
        <x:v>source data exists across multiple periods/scopes</x:v>
      </x:c>
      <x:c r="H2238" s="339" t="str">
        <x:v>the user applies report filters</x:v>
      </x:c>
      <x:c r="I2238" s="339" t="str">
        <x:v>aggregates and rows include only authorized data matching the filters</x:v>
      </x:c>
      <x:c r="J2238" s="339" t="str">
        <x:v>Positive</x:v>
      </x:c>
      <x:c r="K2238" s="339" t="str">
        <x:v>Functional</x:v>
      </x:c>
    </x:row>
    <x:row r="2239">
      <x:c r="A2239" s="339" t="str">
        <x:v>AC-02238</x:v>
      </x:c>
      <x:c r="B2239" s="339" t="str">
        <x:v>US-0560</x:v>
      </x:c>
      <x:c r="C2239" s="339" t="str">
        <x:v>SCR-280</x:v>
      </x:c>
      <x:c r="D2239" s="339" t="str">
        <x:v>Reports &amp; Analytics</x:v>
      </x:c>
      <x:c r="E2239" s="339" t="str">
        <x:v>Library Usage</x:v>
      </x:c>
      <x:c r="F2239" s="339" t="str">
        <x:v>Formula consistency</x:v>
      </x:c>
      <x:c r="G2239" s="339" t="str">
        <x:v>the report contains calculated metrics</x:v>
      </x:c>
      <x:c r="H2239" s="339" t="str">
        <x:v>the report is generated</x:v>
      </x:c>
      <x:c r="I2239" s="339" t="str">
        <x:v>calculations follow the approved rule: Metrics reuse the source-module formulas and must reconcile to filtered transaction counts/amounts.</x:v>
      </x:c>
      <x:c r="J2239" s="339" t="str">
        <x:v>Positive</x:v>
      </x:c>
      <x:c r="K2239" s="339" t="str">
        <x:v>Functional</x:v>
      </x:c>
    </x:row>
    <x:row r="2240">
      <x:c r="A2240" s="339" t="str">
        <x:v>AC-02239</x:v>
      </x:c>
      <x:c r="B2240" s="339" t="str">
        <x:v>US-0560</x:v>
      </x:c>
      <x:c r="C2240" s="339" t="str">
        <x:v>SCR-280</x:v>
      </x:c>
      <x:c r="D2240" s="339" t="str">
        <x:v>Reports &amp; Analytics</x:v>
      </x:c>
      <x:c r="E2240" s="339" t="str">
        <x:v>Library Usage</x:v>
      </x:c>
      <x:c r="F2240" s="339" t="str">
        <x:v>Reconciliation</x:v>
      </x:c>
      <x:c r="G2240" s="339" t="str">
        <x:v>a report total is displayed</x:v>
      </x:c>
      <x:c r="H2240" s="339" t="str">
        <x:v>the user drills to supporting data</x:v>
      </x:c>
      <x:c r="I2240" s="339" t="str">
        <x:v>the supporting rows reconcile to the displayed total within defined rounding rules</x:v>
      </x:c>
      <x:c r="J2240" s="339" t="str">
        <x:v>Positive</x:v>
      </x:c>
      <x:c r="K2240" s="339" t="str">
        <x:v>Functional</x:v>
      </x:c>
    </x:row>
    <x:row r="2241">
      <x:c r="A2241" s="339" t="str">
        <x:v>AC-02240</x:v>
      </x:c>
      <x:c r="B2241" s="339" t="str">
        <x:v>US-0560</x:v>
      </x:c>
      <x:c r="C2241" s="339" t="str">
        <x:v>SCR-280</x:v>
      </x:c>
      <x:c r="D2241" s="339" t="str">
        <x:v>Reports &amp; Analytics</x:v>
      </x:c>
      <x:c r="E2241" s="339" t="str">
        <x:v>Library Usage</x:v>
      </x:c>
      <x:c r="F2241" s="339" t="str">
        <x:v>Export fidelity</x:v>
      </x:c>
      <x:c r="G2241" s="339" t="str">
        <x:v>the user has export permission</x:v>
      </x:c>
      <x:c r="H2241" s="339" t="str">
        <x:v>the report is exported</x:v>
      </x:c>
      <x:c r="I2241" s="339" t="str">
        <x:v>the export preserves filter context, values and permitted columns and includes a run timestamp/context where appropriate</x:v>
      </x:c>
      <x:c r="J2241" s="339" t="str">
        <x:v>Positive</x:v>
      </x:c>
      <x:c r="K2241" s="339" t="str">
        <x:v>Functional</x:v>
      </x:c>
    </x:row>
    <x:row r="2242">
      <x:c r="A2242" s="339" t="str">
        <x:v>AC-02241</x:v>
      </x:c>
      <x:c r="B2242" s="339" t="str">
        <x:v>US-0561</x:v>
      </x:c>
      <x:c r="C2242" s="339" t="str">
        <x:v>SCR-281</x:v>
      </x:c>
      <x:c r="D2242" s="339" t="str">
        <x:v>Reports &amp; Analytics</x:v>
      </x:c>
      <x:c r="E2242" s="339" t="str">
        <x:v>Inventory &amp; Asset Report</x:v>
      </x:c>
      <x:c r="F2242" s="339" t="str">
        <x:v>Authorized access to Inventory &amp; Asset Report</x:v>
      </x:c>
      <x:c r="G2242" s="339" t="str">
        <x:v>the School Admin is authenticated and has access to Inventory &amp; Asset Report</x:v>
      </x:c>
      <x:c r="H2242" s="339" t="str">
        <x:v>the user opens or invokes Inventory &amp; Asset Report</x:v>
      </x:c>
      <x:c r="I2242" s="339" t="str">
        <x:v>the system loads only records and actions within the user's permitted tenant/school/data scope</x:v>
      </x:c>
      <x:c r="J2242" s="339" t="str">
        <x:v>Positive</x:v>
      </x:c>
      <x:c r="K2242" s="339" t="str">
        <x:v>Functional / Security</x:v>
      </x:c>
    </x:row>
    <x:row r="2243">
      <x:c r="A2243" s="339" t="str">
        <x:v>AC-02242</x:v>
      </x:c>
      <x:c r="B2243" s="339" t="str">
        <x:v>US-0561</x:v>
      </x:c>
      <x:c r="C2243" s="339" t="str">
        <x:v>SCR-281</x:v>
      </x:c>
      <x:c r="D2243" s="339" t="str">
        <x:v>Reports &amp; Analytics</x:v>
      </x:c>
      <x:c r="E2243" s="339" t="str">
        <x:v>Inventory &amp; Asset Report</x:v>
      </x:c>
      <x:c r="F2243" s="339" t="str">
        <x:v>Successful Inventory &amp; Asset Report happy path</x:v>
      </x:c>
      <x:c r="G2243" s="339" t="str">
        <x:v>all mandatory prerequisites and valid data are available</x:v>
      </x:c>
      <x:c r="H2243" s="339" t="str">
        <x:v>the School Admin completes the primary action on Inventory &amp; Asset Report</x:v>
      </x:c>
      <x:c r="I2243" s="339" t="str">
        <x:v>the system validates the request, saves it atomically, shows a clear confirmation and reflects the updated state</x:v>
      </x:c>
      <x:c r="J2243" s="339" t="str">
        <x:v>Positive</x:v>
      </x:c>
      <x:c r="K2243" s="339" t="str">
        <x:v>Functional</x:v>
      </x:c>
    </x:row>
    <x:row r="2244">
      <x:c r="A2244" s="339" t="str">
        <x:v>AC-02243</x:v>
      </x:c>
      <x:c r="B2244" s="339" t="str">
        <x:v>US-0561</x:v>
      </x:c>
      <x:c r="C2244" s="339" t="str">
        <x:v>SCR-281</x:v>
      </x:c>
      <x:c r="D2244" s="339" t="str">
        <x:v>Reports &amp; Analytics</x:v>
      </x:c>
      <x:c r="E2244" s="339" t="str">
        <x:v>Inventory &amp; Asset Report</x:v>
      </x:c>
      <x:c r="F2244" s="339" t="str">
        <x:v>State and dependency integrity</x:v>
      </x:c>
      <x:c r="G2244" s="339" t="str">
        <x:v>the current record is in an allowed state (Filter Context Set → Report Generated → Viewed / Exported)</x:v>
      </x:c>
      <x:c r="H2244" s="339" t="str">
        <x:v>the user attempts a state-changing action</x:v>
      </x:c>
      <x:c r="I2244" s="339" t="str">
        <x:v>only a valid transition is accepted and dependent records are updated according to configured business rules</x:v>
      </x:c>
      <x:c r="J2244" s="339" t="str">
        <x:v>Positive</x:v>
      </x:c>
      <x:c r="K2244" s="339" t="str">
        <x:v>Functional</x:v>
      </x:c>
    </x:row>
    <x:row r="2245">
      <x:c r="A2245" s="339" t="str">
        <x:v>AC-02244</x:v>
      </x:c>
      <x:c r="B2245" s="339" t="str">
        <x:v>US-0561</x:v>
      </x:c>
      <x:c r="C2245" s="339" t="str">
        <x:v>SCR-281</x:v>
      </x:c>
      <x:c r="D2245" s="339" t="str">
        <x:v>Reports &amp; Analytics</x:v>
      </x:c>
      <x:c r="E2245" s="339" t="str">
        <x:v>Inventory &amp; Asset Report</x:v>
      </x:c>
      <x:c r="F2245" s="339" t="str">
        <x:v>Auditability</x:v>
      </x:c>
      <x:c r="G2245" s="339" t="str">
        <x:v>a material create/update/approve/reverse action occurs</x:v>
      </x:c>
      <x:c r="H2245" s="339" t="str">
        <x:v>the transaction succeeds</x:v>
      </x:c>
      <x:c r="I2245" s="339" t="str">
        <x:v>the system records actor, timestamp, action, target and relevant before/after or reason context in the audit trail</x:v>
      </x:c>
      <x:c r="J2245" s="339" t="str">
        <x:v>Positive</x:v>
      </x:c>
      <x:c r="K2245" s="339" t="str">
        <x:v>Functional</x:v>
      </x:c>
    </x:row>
    <x:row r="2246">
      <x:c r="A2246" s="339" t="str">
        <x:v>AC-02245</x:v>
      </x:c>
      <x:c r="B2246" s="339" t="str">
        <x:v>US-0562</x:v>
      </x:c>
      <x:c r="C2246" s="339" t="str">
        <x:v>SCR-281</x:v>
      </x:c>
      <x:c r="D2246" s="339" t="str">
        <x:v>Reports &amp; Analytics</x:v>
      </x:c>
      <x:c r="E2246" s="339" t="str">
        <x:v>Inventory &amp; Asset Report</x:v>
      </x:c>
      <x:c r="F2246" s="339" t="str">
        <x:v>Filter accuracy</x:v>
      </x:c>
      <x:c r="G2246" s="339" t="str">
        <x:v>source data exists across multiple periods/scopes</x:v>
      </x:c>
      <x:c r="H2246" s="339" t="str">
        <x:v>the user applies report filters</x:v>
      </x:c>
      <x:c r="I2246" s="339" t="str">
        <x:v>aggregates and rows include only authorized data matching the filters</x:v>
      </x:c>
      <x:c r="J2246" s="339" t="str">
        <x:v>Positive</x:v>
      </x:c>
      <x:c r="K2246" s="339" t="str">
        <x:v>Functional</x:v>
      </x:c>
    </x:row>
    <x:row r="2247">
      <x:c r="A2247" s="339" t="str">
        <x:v>AC-02246</x:v>
      </x:c>
      <x:c r="B2247" s="339" t="str">
        <x:v>US-0562</x:v>
      </x:c>
      <x:c r="C2247" s="339" t="str">
        <x:v>SCR-281</x:v>
      </x:c>
      <x:c r="D2247" s="339" t="str">
        <x:v>Reports &amp; Analytics</x:v>
      </x:c>
      <x:c r="E2247" s="339" t="str">
        <x:v>Inventory &amp; Asset Report</x:v>
      </x:c>
      <x:c r="F2247" s="339" t="str">
        <x:v>Formula consistency</x:v>
      </x:c>
      <x:c r="G2247" s="339" t="str">
        <x:v>the report contains calculated metrics</x:v>
      </x:c>
      <x:c r="H2247" s="339" t="str">
        <x:v>the report is generated</x:v>
      </x:c>
      <x:c r="I2247" s="339" t="str">
        <x:v>calculations follow the approved rule: Metrics reuse the source-module formulas and must reconcile to filtered transaction counts/amounts.</x:v>
      </x:c>
      <x:c r="J2247" s="339" t="str">
        <x:v>Positive</x:v>
      </x:c>
      <x:c r="K2247" s="339" t="str">
        <x:v>Functional</x:v>
      </x:c>
    </x:row>
    <x:row r="2248">
      <x:c r="A2248" s="339" t="str">
        <x:v>AC-02247</x:v>
      </x:c>
      <x:c r="B2248" s="339" t="str">
        <x:v>US-0562</x:v>
      </x:c>
      <x:c r="C2248" s="339" t="str">
        <x:v>SCR-281</x:v>
      </x:c>
      <x:c r="D2248" s="339" t="str">
        <x:v>Reports &amp; Analytics</x:v>
      </x:c>
      <x:c r="E2248" s="339" t="str">
        <x:v>Inventory &amp; Asset Report</x:v>
      </x:c>
      <x:c r="F2248" s="339" t="str">
        <x:v>Reconciliation</x:v>
      </x:c>
      <x:c r="G2248" s="339" t="str">
        <x:v>a report total is displayed</x:v>
      </x:c>
      <x:c r="H2248" s="339" t="str">
        <x:v>the user drills to supporting data</x:v>
      </x:c>
      <x:c r="I2248" s="339" t="str">
        <x:v>the supporting rows reconcile to the displayed total within defined rounding rules</x:v>
      </x:c>
      <x:c r="J2248" s="339" t="str">
        <x:v>Positive</x:v>
      </x:c>
      <x:c r="K2248" s="339" t="str">
        <x:v>Functional</x:v>
      </x:c>
    </x:row>
    <x:row r="2249">
      <x:c r="A2249" s="339" t="str">
        <x:v>AC-02248</x:v>
      </x:c>
      <x:c r="B2249" s="339" t="str">
        <x:v>US-0562</x:v>
      </x:c>
      <x:c r="C2249" s="339" t="str">
        <x:v>SCR-281</x:v>
      </x:c>
      <x:c r="D2249" s="339" t="str">
        <x:v>Reports &amp; Analytics</x:v>
      </x:c>
      <x:c r="E2249" s="339" t="str">
        <x:v>Inventory &amp; Asset Report</x:v>
      </x:c>
      <x:c r="F2249" s="339" t="str">
        <x:v>Export fidelity</x:v>
      </x:c>
      <x:c r="G2249" s="339" t="str">
        <x:v>the user has export permission</x:v>
      </x:c>
      <x:c r="H2249" s="339" t="str">
        <x:v>the report is exported</x:v>
      </x:c>
      <x:c r="I2249" s="339" t="str">
        <x:v>the export preserves filter context, values and permitted columns and includes a run timestamp/context where appropriate</x:v>
      </x:c>
      <x:c r="J2249" s="339" t="str">
        <x:v>Positive</x:v>
      </x:c>
      <x:c r="K2249" s="339" t="str">
        <x:v>Functional</x:v>
      </x:c>
    </x:row>
    <x:row r="2250">
      <x:c r="A2250" s="339" t="str">
        <x:v>AC-02249</x:v>
      </x:c>
      <x:c r="B2250" s="339" t="str">
        <x:v>US-0563</x:v>
      </x:c>
      <x:c r="C2250" s="339" t="str">
        <x:v>SCR-282</x:v>
      </x:c>
      <x:c r="D2250" s="339" t="str">
        <x:v>Reports &amp; Analytics</x:v>
      </x:c>
      <x:c r="E2250" s="339" t="str">
        <x:v>Communication / Notification Report</x:v>
      </x:c>
      <x:c r="F2250" s="339" t="str">
        <x:v>Authorized access to Communication / Notification Report</x:v>
      </x:c>
      <x:c r="G2250" s="339" t="str">
        <x:v>the School Admin is authenticated and has access to Communication / Notification Report</x:v>
      </x:c>
      <x:c r="H2250" s="339" t="str">
        <x:v>the user opens or invokes Communication / Notification Report</x:v>
      </x:c>
      <x:c r="I2250" s="339" t="str">
        <x:v>the system loads only records and actions within the user's permitted tenant/school/data scope</x:v>
      </x:c>
      <x:c r="J2250" s="339" t="str">
        <x:v>Positive</x:v>
      </x:c>
      <x:c r="K2250" s="339" t="str">
        <x:v>Functional / Security</x:v>
      </x:c>
    </x:row>
    <x:row r="2251">
      <x:c r="A2251" s="339" t="str">
        <x:v>AC-02250</x:v>
      </x:c>
      <x:c r="B2251" s="339" t="str">
        <x:v>US-0563</x:v>
      </x:c>
      <x:c r="C2251" s="339" t="str">
        <x:v>SCR-282</x:v>
      </x:c>
      <x:c r="D2251" s="339" t="str">
        <x:v>Reports &amp; Analytics</x:v>
      </x:c>
      <x:c r="E2251" s="339" t="str">
        <x:v>Communication / Notification Report</x:v>
      </x:c>
      <x:c r="F2251" s="339" t="str">
        <x:v>Successful Communication / Notification Report happy path</x:v>
      </x:c>
      <x:c r="G2251" s="339" t="str">
        <x:v>all mandatory prerequisites and valid data are available</x:v>
      </x:c>
      <x:c r="H2251" s="339" t="str">
        <x:v>the School Admin completes the primary action on Communication / Notification Report</x:v>
      </x:c>
      <x:c r="I2251" s="339" t="str">
        <x:v>the system validates the request, saves it atomically, shows a clear confirmation and reflects the updated state</x:v>
      </x:c>
      <x:c r="J2251" s="339" t="str">
        <x:v>Positive</x:v>
      </x:c>
      <x:c r="K2251" s="339" t="str">
        <x:v>Functional</x:v>
      </x:c>
    </x:row>
    <x:row r="2252">
      <x:c r="A2252" s="339" t="str">
        <x:v>AC-02251</x:v>
      </x:c>
      <x:c r="B2252" s="339" t="str">
        <x:v>US-0563</x:v>
      </x:c>
      <x:c r="C2252" s="339" t="str">
        <x:v>SCR-282</x:v>
      </x:c>
      <x:c r="D2252" s="339" t="str">
        <x:v>Reports &amp; Analytics</x:v>
      </x:c>
      <x:c r="E2252" s="339" t="str">
        <x:v>Communication / Notification Report</x:v>
      </x:c>
      <x:c r="F2252" s="339" t="str">
        <x:v>State and dependency integrity</x:v>
      </x:c>
      <x:c r="G2252" s="339" t="str">
        <x:v>the current record is in an allowed state (Filter Context Set → Report Generated → Viewed / Exported)</x:v>
      </x:c>
      <x:c r="H2252" s="339" t="str">
        <x:v>the user attempts a state-changing action</x:v>
      </x:c>
      <x:c r="I2252" s="339" t="str">
        <x:v>only a valid transition is accepted and dependent records are updated according to configured business rules</x:v>
      </x:c>
      <x:c r="J2252" s="339" t="str">
        <x:v>Positive</x:v>
      </x:c>
      <x:c r="K2252" s="339" t="str">
        <x:v>Functional</x:v>
      </x:c>
    </x:row>
    <x:row r="2253">
      <x:c r="A2253" s="339" t="str">
        <x:v>AC-02252</x:v>
      </x:c>
      <x:c r="B2253" s="339" t="str">
        <x:v>US-0563</x:v>
      </x:c>
      <x:c r="C2253" s="339" t="str">
        <x:v>SCR-282</x:v>
      </x:c>
      <x:c r="D2253" s="339" t="str">
        <x:v>Reports &amp; Analytics</x:v>
      </x:c>
      <x:c r="E2253" s="339" t="str">
        <x:v>Communication / Notification Report</x:v>
      </x:c>
      <x:c r="F2253" s="339" t="str">
        <x:v>Auditability</x:v>
      </x:c>
      <x:c r="G2253" s="339" t="str">
        <x:v>a material create/update/approve/reverse action occurs</x:v>
      </x:c>
      <x:c r="H2253" s="339" t="str">
        <x:v>the transaction succeeds</x:v>
      </x:c>
      <x:c r="I2253" s="339" t="str">
        <x:v>the system records actor, timestamp, action, target and relevant before/after or reason context in the audit trail</x:v>
      </x:c>
      <x:c r="J2253" s="339" t="str">
        <x:v>Positive</x:v>
      </x:c>
      <x:c r="K2253" s="339" t="str">
        <x:v>Functional</x:v>
      </x:c>
    </x:row>
    <x:row r="2254">
      <x:c r="A2254" s="339" t="str">
        <x:v>AC-02253</x:v>
      </x:c>
      <x:c r="B2254" s="339" t="str">
        <x:v>US-0564</x:v>
      </x:c>
      <x:c r="C2254" s="339" t="str">
        <x:v>SCR-282</x:v>
      </x:c>
      <x:c r="D2254" s="339" t="str">
        <x:v>Reports &amp; Analytics</x:v>
      </x:c>
      <x:c r="E2254" s="339" t="str">
        <x:v>Communication / Notification Report</x:v>
      </x:c>
      <x:c r="F2254" s="339" t="str">
        <x:v>Filter accuracy</x:v>
      </x:c>
      <x:c r="G2254" s="339" t="str">
        <x:v>source data exists across multiple periods/scopes</x:v>
      </x:c>
      <x:c r="H2254" s="339" t="str">
        <x:v>the user applies report filters</x:v>
      </x:c>
      <x:c r="I2254" s="339" t="str">
        <x:v>aggregates and rows include only authorized data matching the filters</x:v>
      </x:c>
      <x:c r="J2254" s="339" t="str">
        <x:v>Positive</x:v>
      </x:c>
      <x:c r="K2254" s="339" t="str">
        <x:v>Functional</x:v>
      </x:c>
    </x:row>
    <x:row r="2255">
      <x:c r="A2255" s="339" t="str">
        <x:v>AC-02254</x:v>
      </x:c>
      <x:c r="B2255" s="339" t="str">
        <x:v>US-0564</x:v>
      </x:c>
      <x:c r="C2255" s="339" t="str">
        <x:v>SCR-282</x:v>
      </x:c>
      <x:c r="D2255" s="339" t="str">
        <x:v>Reports &amp; Analytics</x:v>
      </x:c>
      <x:c r="E2255" s="339" t="str">
        <x:v>Communication / Notification Report</x:v>
      </x:c>
      <x:c r="F2255" s="339" t="str">
        <x:v>Formula consistency</x:v>
      </x:c>
      <x:c r="G2255" s="339" t="str">
        <x:v>the report contains calculated metrics</x:v>
      </x:c>
      <x:c r="H2255" s="339" t="str">
        <x:v>the report is generated</x:v>
      </x:c>
      <x:c r="I2255" s="339" t="str">
        <x:v>calculations follow the approved rule: Metrics reuse the source-module formulas and must reconcile to filtered transaction counts/amounts.</x:v>
      </x:c>
      <x:c r="J2255" s="339" t="str">
        <x:v>Positive</x:v>
      </x:c>
      <x:c r="K2255" s="339" t="str">
        <x:v>Functional</x:v>
      </x:c>
    </x:row>
    <x:row r="2256">
      <x:c r="A2256" s="339" t="str">
        <x:v>AC-02255</x:v>
      </x:c>
      <x:c r="B2256" s="339" t="str">
        <x:v>US-0564</x:v>
      </x:c>
      <x:c r="C2256" s="339" t="str">
        <x:v>SCR-282</x:v>
      </x:c>
      <x:c r="D2256" s="339" t="str">
        <x:v>Reports &amp; Analytics</x:v>
      </x:c>
      <x:c r="E2256" s="339" t="str">
        <x:v>Communication / Notification Report</x:v>
      </x:c>
      <x:c r="F2256" s="339" t="str">
        <x:v>Reconciliation</x:v>
      </x:c>
      <x:c r="G2256" s="339" t="str">
        <x:v>a report total is displayed</x:v>
      </x:c>
      <x:c r="H2256" s="339" t="str">
        <x:v>the user drills to supporting data</x:v>
      </x:c>
      <x:c r="I2256" s="339" t="str">
        <x:v>the supporting rows reconcile to the displayed total within defined rounding rules</x:v>
      </x:c>
      <x:c r="J2256" s="339" t="str">
        <x:v>Positive</x:v>
      </x:c>
      <x:c r="K2256" s="339" t="str">
        <x:v>Functional</x:v>
      </x:c>
    </x:row>
    <x:row r="2257">
      <x:c r="A2257" s="339" t="str">
        <x:v>AC-02256</x:v>
      </x:c>
      <x:c r="B2257" s="339" t="str">
        <x:v>US-0564</x:v>
      </x:c>
      <x:c r="C2257" s="339" t="str">
        <x:v>SCR-282</x:v>
      </x:c>
      <x:c r="D2257" s="339" t="str">
        <x:v>Reports &amp; Analytics</x:v>
      </x:c>
      <x:c r="E2257" s="339" t="str">
        <x:v>Communication / Notification Report</x:v>
      </x:c>
      <x:c r="F2257" s="339" t="str">
        <x:v>Export fidelity</x:v>
      </x:c>
      <x:c r="G2257" s="339" t="str">
        <x:v>the user has export permission</x:v>
      </x:c>
      <x:c r="H2257" s="339" t="str">
        <x:v>the report is exported</x:v>
      </x:c>
      <x:c r="I2257" s="339" t="str">
        <x:v>the export preserves filter context, values and permitted columns and includes a run timestamp/context where appropriate</x:v>
      </x:c>
      <x:c r="J2257" s="339" t="str">
        <x:v>Positive</x:v>
      </x:c>
      <x:c r="K2257" s="339" t="str">
        <x:v>Functional</x:v>
      </x:c>
    </x:row>
    <x:row r="2258">
      <x:c r="A2258" s="339" t="str">
        <x:v>AC-02257</x:v>
      </x:c>
      <x:c r="B2258" s="339" t="str">
        <x:v>US-0565</x:v>
      </x:c>
      <x:c r="C2258" s="339" t="str">
        <x:v>SCR-283</x:v>
      </x:c>
      <x:c r="D2258" s="339" t="str">
        <x:v>Reports &amp; Analytics</x:v>
      </x:c>
      <x:c r="E2258" s="339" t="str">
        <x:v>Custom Report Builder</x:v>
      </x:c>
      <x:c r="F2258" s="339" t="str">
        <x:v>Authorized access to Custom Report Builder</x:v>
      </x:c>
      <x:c r="G2258" s="339" t="str">
        <x:v>the School Admin is authenticated and has access to Custom Report Builder</x:v>
      </x:c>
      <x:c r="H2258" s="339" t="str">
        <x:v>the user opens or invokes Custom Report Builder</x:v>
      </x:c>
      <x:c r="I2258" s="339" t="str">
        <x:v>the system loads only records and actions within the user's permitted tenant/school/data scope</x:v>
      </x:c>
      <x:c r="J2258" s="339" t="str">
        <x:v>Positive</x:v>
      </x:c>
      <x:c r="K2258" s="339" t="str">
        <x:v>Functional / Security</x:v>
      </x:c>
    </x:row>
    <x:row r="2259">
      <x:c r="A2259" s="339" t="str">
        <x:v>AC-02258</x:v>
      </x:c>
      <x:c r="B2259" s="339" t="str">
        <x:v>US-0565</x:v>
      </x:c>
      <x:c r="C2259" s="339" t="str">
        <x:v>SCR-283</x:v>
      </x:c>
      <x:c r="D2259" s="339" t="str">
        <x:v>Reports &amp; Analytics</x:v>
      </x:c>
      <x:c r="E2259" s="339" t="str">
        <x:v>Custom Report Builder</x:v>
      </x:c>
      <x:c r="F2259" s="339" t="str">
        <x:v>Successful Custom Report Builder happy path</x:v>
      </x:c>
      <x:c r="G2259" s="339" t="str">
        <x:v>all mandatory prerequisites and valid data are available</x:v>
      </x:c>
      <x:c r="H2259" s="339" t="str">
        <x:v>the School Admin completes the primary action on Custom Report Builder</x:v>
      </x:c>
      <x:c r="I2259" s="339" t="str">
        <x:v>the system validates the request, saves it atomically, shows a clear confirmation and reflects the updated state</x:v>
      </x:c>
      <x:c r="J2259" s="339" t="str">
        <x:v>Positive</x:v>
      </x:c>
      <x:c r="K2259" s="339" t="str">
        <x:v>Functional</x:v>
      </x:c>
    </x:row>
    <x:row r="2260">
      <x:c r="A2260" s="339" t="str">
        <x:v>AC-02259</x:v>
      </x:c>
      <x:c r="B2260" s="339" t="str">
        <x:v>US-0565</x:v>
      </x:c>
      <x:c r="C2260" s="339" t="str">
        <x:v>SCR-283</x:v>
      </x:c>
      <x:c r="D2260" s="339" t="str">
        <x:v>Reports &amp; Analytics</x:v>
      </x:c>
      <x:c r="E2260" s="339" t="str">
        <x:v>Custom Report Builder</x:v>
      </x:c>
      <x:c r="F2260" s="339" t="str">
        <x:v>State and dependency integrity</x:v>
      </x:c>
      <x:c r="G2260" s="339" t="str">
        <x:v>the current record is in an allowed state (Filter Context Set → Report Generated → Viewed / Exported)</x:v>
      </x:c>
      <x:c r="H2260" s="339" t="str">
        <x:v>the user attempts a state-changing action</x:v>
      </x:c>
      <x:c r="I2260" s="339" t="str">
        <x:v>only a valid transition is accepted and dependent records are updated according to configured business rules</x:v>
      </x:c>
      <x:c r="J2260" s="339" t="str">
        <x:v>Positive</x:v>
      </x:c>
      <x:c r="K2260" s="339" t="str">
        <x:v>Functional</x:v>
      </x:c>
    </x:row>
    <x:row r="2261">
      <x:c r="A2261" s="339" t="str">
        <x:v>AC-02260</x:v>
      </x:c>
      <x:c r="B2261" s="339" t="str">
        <x:v>US-0565</x:v>
      </x:c>
      <x:c r="C2261" s="339" t="str">
        <x:v>SCR-283</x:v>
      </x:c>
      <x:c r="D2261" s="339" t="str">
        <x:v>Reports &amp; Analytics</x:v>
      </x:c>
      <x:c r="E2261" s="339" t="str">
        <x:v>Custom Report Builder</x:v>
      </x:c>
      <x:c r="F2261" s="339" t="str">
        <x:v>Auditability</x:v>
      </x:c>
      <x:c r="G2261" s="339" t="str">
        <x:v>a material create/update/approve/reverse action occurs</x:v>
      </x:c>
      <x:c r="H2261" s="339" t="str">
        <x:v>the transaction succeeds</x:v>
      </x:c>
      <x:c r="I2261" s="339" t="str">
        <x:v>the system records actor, timestamp, action, target and relevant before/after or reason context in the audit trail</x:v>
      </x:c>
      <x:c r="J2261" s="339" t="str">
        <x:v>Positive</x:v>
      </x:c>
      <x:c r="K2261" s="339" t="str">
        <x:v>Functional</x:v>
      </x:c>
    </x:row>
    <x:row r="2262">
      <x:c r="A2262" s="339" t="str">
        <x:v>AC-02261</x:v>
      </x:c>
      <x:c r="B2262" s="339" t="str">
        <x:v>US-0566</x:v>
      </x:c>
      <x:c r="C2262" s="339" t="str">
        <x:v>SCR-283</x:v>
      </x:c>
      <x:c r="D2262" s="339" t="str">
        <x:v>Reports &amp; Analytics</x:v>
      </x:c>
      <x:c r="E2262" s="339" t="str">
        <x:v>Custom Report Builder</x:v>
      </x:c>
      <x:c r="F2262" s="339" t="str">
        <x:v>Filter accuracy</x:v>
      </x:c>
      <x:c r="G2262" s="339" t="str">
        <x:v>source data exists across multiple periods/scopes</x:v>
      </x:c>
      <x:c r="H2262" s="339" t="str">
        <x:v>the user applies report filters</x:v>
      </x:c>
      <x:c r="I2262" s="339" t="str">
        <x:v>aggregates and rows include only authorized data matching the filters</x:v>
      </x:c>
      <x:c r="J2262" s="339" t="str">
        <x:v>Positive</x:v>
      </x:c>
      <x:c r="K2262" s="339" t="str">
        <x:v>Functional</x:v>
      </x:c>
    </x:row>
    <x:row r="2263">
      <x:c r="A2263" s="339" t="str">
        <x:v>AC-02262</x:v>
      </x:c>
      <x:c r="B2263" s="339" t="str">
        <x:v>US-0566</x:v>
      </x:c>
      <x:c r="C2263" s="339" t="str">
        <x:v>SCR-283</x:v>
      </x:c>
      <x:c r="D2263" s="339" t="str">
        <x:v>Reports &amp; Analytics</x:v>
      </x:c>
      <x:c r="E2263" s="339" t="str">
        <x:v>Custom Report Builder</x:v>
      </x:c>
      <x:c r="F2263" s="339" t="str">
        <x:v>Formula consistency</x:v>
      </x:c>
      <x:c r="G2263" s="339" t="str">
        <x:v>the report contains calculated metrics</x:v>
      </x:c>
      <x:c r="H2263" s="339" t="str">
        <x:v>the report is generated</x:v>
      </x:c>
      <x:c r="I2263" s="339" t="str">
        <x:v>calculations follow the approved rule: Metrics reuse the source-module formulas and must reconcile to filtered transaction counts/amounts.</x:v>
      </x:c>
      <x:c r="J2263" s="339" t="str">
        <x:v>Positive</x:v>
      </x:c>
      <x:c r="K2263" s="339" t="str">
        <x:v>Functional</x:v>
      </x:c>
    </x:row>
    <x:row r="2264">
      <x:c r="A2264" s="339" t="str">
        <x:v>AC-02263</x:v>
      </x:c>
      <x:c r="B2264" s="339" t="str">
        <x:v>US-0566</x:v>
      </x:c>
      <x:c r="C2264" s="339" t="str">
        <x:v>SCR-283</x:v>
      </x:c>
      <x:c r="D2264" s="339" t="str">
        <x:v>Reports &amp; Analytics</x:v>
      </x:c>
      <x:c r="E2264" s="339" t="str">
        <x:v>Custom Report Builder</x:v>
      </x:c>
      <x:c r="F2264" s="339" t="str">
        <x:v>Reconciliation</x:v>
      </x:c>
      <x:c r="G2264" s="339" t="str">
        <x:v>a report total is displayed</x:v>
      </x:c>
      <x:c r="H2264" s="339" t="str">
        <x:v>the user drills to supporting data</x:v>
      </x:c>
      <x:c r="I2264" s="339" t="str">
        <x:v>the supporting rows reconcile to the displayed total within defined rounding rules</x:v>
      </x:c>
      <x:c r="J2264" s="339" t="str">
        <x:v>Positive</x:v>
      </x:c>
      <x:c r="K2264" s="339" t="str">
        <x:v>Functional</x:v>
      </x:c>
    </x:row>
    <x:row r="2265">
      <x:c r="A2265" s="339" t="str">
        <x:v>AC-02264</x:v>
      </x:c>
      <x:c r="B2265" s="339" t="str">
        <x:v>US-0566</x:v>
      </x:c>
      <x:c r="C2265" s="339" t="str">
        <x:v>SCR-283</x:v>
      </x:c>
      <x:c r="D2265" s="339" t="str">
        <x:v>Reports &amp; Analytics</x:v>
      </x:c>
      <x:c r="E2265" s="339" t="str">
        <x:v>Custom Report Builder</x:v>
      </x:c>
      <x:c r="F2265" s="339" t="str">
        <x:v>Export fidelity</x:v>
      </x:c>
      <x:c r="G2265" s="339" t="str">
        <x:v>the user has export permission</x:v>
      </x:c>
      <x:c r="H2265" s="339" t="str">
        <x:v>the report is exported</x:v>
      </x:c>
      <x:c r="I2265" s="339" t="str">
        <x:v>the export preserves filter context, values and permitted columns and includes a run timestamp/context where appropriate</x:v>
      </x:c>
      <x:c r="J2265" s="339" t="str">
        <x:v>Positive</x:v>
      </x:c>
      <x:c r="K2265" s="339" t="str">
        <x:v>Functional</x:v>
      </x:c>
    </x:row>
    <x:row r="2266">
      <x:c r="A2266" s="339" t="str">
        <x:v>AC-02265</x:v>
      </x:c>
      <x:c r="B2266" s="339" t="str">
        <x:v>US-0567</x:v>
      </x:c>
      <x:c r="C2266" s="339" t="str">
        <x:v>SCR-284</x:v>
      </x:c>
      <x:c r="D2266" s="339" t="str">
        <x:v>Settings / Roles / Permissions / Audit</x:v>
      </x:c>
      <x:c r="E2266" s="339" t="str">
        <x:v>User Management</x:v>
      </x:c>
      <x:c r="F2266" s="339" t="str">
        <x:v>Authorized access to User Management</x:v>
      </x:c>
      <x:c r="G2266" s="339" t="str">
        <x:v>the IT Admin is authenticated and has access to User Management</x:v>
      </x:c>
      <x:c r="H2266" s="339" t="str">
        <x:v>the user opens or invokes User Management</x:v>
      </x:c>
      <x:c r="I2266" s="339" t="str">
        <x:v>the system loads only records and actions within the user's permitted tenant/school/data scope</x:v>
      </x:c>
      <x:c r="J2266" s="339" t="str">
        <x:v>Positive</x:v>
      </x:c>
      <x:c r="K2266" s="339" t="str">
        <x:v>Functional / Security</x:v>
      </x:c>
    </x:row>
    <x:row r="2267">
      <x:c r="A2267" s="339" t="str">
        <x:v>AC-02266</x:v>
      </x:c>
      <x:c r="B2267" s="339" t="str">
        <x:v>US-0567</x:v>
      </x:c>
      <x:c r="C2267" s="339" t="str">
        <x:v>SCR-284</x:v>
      </x:c>
      <x:c r="D2267" s="339" t="str">
        <x:v>Settings / Roles / Permissions / Audit</x:v>
      </x:c>
      <x:c r="E2267" s="339" t="str">
        <x:v>User Management</x:v>
      </x:c>
      <x:c r="F2267" s="339" t="str">
        <x:v>Successful User Management happy path</x:v>
      </x:c>
      <x:c r="G2267" s="339" t="str">
        <x:v>all mandatory prerequisites and valid data are available</x:v>
      </x:c>
      <x:c r="H2267" s="339" t="str">
        <x:v>the IT Admin completes the primary action on User Management</x:v>
      </x:c>
      <x:c r="I2267" s="339" t="str">
        <x:v>the system validates the request, saves it atomically, shows a clear confirmation and reflects the updated state</x:v>
      </x:c>
      <x:c r="J2267" s="339" t="str">
        <x:v>Positive</x:v>
      </x:c>
      <x:c r="K2267" s="339" t="str">
        <x:v>Functional</x:v>
      </x:c>
    </x:row>
    <x:row r="2268">
      <x:c r="A2268" s="339" t="str">
        <x:v>AC-02267</x:v>
      </x:c>
      <x:c r="B2268" s="339" t="str">
        <x:v>US-0567</x:v>
      </x:c>
      <x:c r="C2268" s="339" t="str">
        <x:v>SCR-284</x:v>
      </x:c>
      <x:c r="D2268" s="339" t="str">
        <x:v>Settings / Roles / Permissions / Audit</x:v>
      </x:c>
      <x:c r="E2268" s="339" t="str">
        <x:v>User Management</x:v>
      </x:c>
      <x:c r="F2268" s="339" t="str">
        <x:v>State and dependency integrity</x:v>
      </x:c>
      <x:c r="G2268" s="339" t="str">
        <x:v>the current record is in an allowed state (Draft / Proposed → Active → Revised / Inactive; audit entries are append-only)</x:v>
      </x:c>
      <x:c r="H2268" s="339" t="str">
        <x:v>the user attempts a state-changing action</x:v>
      </x:c>
      <x:c r="I2268" s="339" t="str">
        <x:v>only a valid transition is accepted and dependent records are updated according to configured business rules</x:v>
      </x:c>
      <x:c r="J2268" s="339" t="str">
        <x:v>Positive</x:v>
      </x:c>
      <x:c r="K2268" s="339" t="str">
        <x:v>Functional</x:v>
      </x:c>
    </x:row>
    <x:row r="2269">
      <x:c r="A2269" s="339" t="str">
        <x:v>AC-02268</x:v>
      </x:c>
      <x:c r="B2269" s="339" t="str">
        <x:v>US-0567</x:v>
      </x:c>
      <x:c r="C2269" s="339" t="str">
        <x:v>SCR-284</x:v>
      </x:c>
      <x:c r="D2269" s="339" t="str">
        <x:v>Settings / Roles / Permissions / Audit</x:v>
      </x:c>
      <x:c r="E2269" s="339" t="str">
        <x:v>User Management</x:v>
      </x:c>
      <x:c r="F2269" s="339" t="str">
        <x:v>Auditability</x:v>
      </x:c>
      <x:c r="G2269" s="339" t="str">
        <x:v>a material create/update/approve/reverse action occurs</x:v>
      </x:c>
      <x:c r="H2269" s="339" t="str">
        <x:v>the transaction succeeds</x:v>
      </x:c>
      <x:c r="I2269" s="339" t="str">
        <x:v>the system records actor, timestamp, action, target and relevant before/after or reason context in the audit trail</x:v>
      </x:c>
      <x:c r="J2269" s="339" t="str">
        <x:v>Positive</x:v>
      </x:c>
      <x:c r="K2269" s="339" t="str">
        <x:v>Functional</x:v>
      </x:c>
    </x:row>
    <x:row r="2270">
      <x:c r="A2270" s="339" t="str">
        <x:v>AC-02269</x:v>
      </x:c>
      <x:c r="B2270" s="339" t="str">
        <x:v>US-0568</x:v>
      </x:c>
      <x:c r="C2270" s="339" t="str">
        <x:v>SCR-284</x:v>
      </x:c>
      <x:c r="D2270" s="339" t="str">
        <x:v>Settings / Roles / Permissions / Audit</x:v>
      </x:c>
      <x:c r="E2270" s="339" t="str">
        <x:v>User Management</x:v>
      </x:c>
      <x:c r="F2270" s="339" t="str">
        <x:v>Valid status transition</x:v>
      </x:c>
      <x:c r="G2270" s="339" t="str">
        <x:v>the record is in a state described by Draft / Proposed → Active → Revised / Inactive; audit entries are append-only</x:v>
      </x:c>
      <x:c r="H2270" s="339" t="str">
        <x:v>the user requests a transition</x:v>
      </x:c>
      <x:c r="I2270" s="339" t="str">
        <x:v>the system accepts only transitions allowed for that role and state</x:v>
      </x:c>
      <x:c r="J2270" s="339" t="str">
        <x:v>Positive</x:v>
      </x:c>
      <x:c r="K2270" s="339" t="str">
        <x:v>Functional</x:v>
      </x:c>
    </x:row>
    <x:row r="2271">
      <x:c r="A2271" s="339" t="str">
        <x:v>AC-02270</x:v>
      </x:c>
      <x:c r="B2271" s="339" t="str">
        <x:v>US-0568</x:v>
      </x:c>
      <x:c r="C2271" s="339" t="str">
        <x:v>SCR-284</x:v>
      </x:c>
      <x:c r="D2271" s="339" t="str">
        <x:v>Settings / Roles / Permissions / Audit</x:v>
      </x:c>
      <x:c r="E2271" s="339" t="str">
        <x:v>User Management</x:v>
      </x:c>
      <x:c r="F2271" s="339" t="str">
        <x:v>Approval authority</x:v>
      </x:c>
      <x:c r="G2271" s="339" t="str">
        <x:v>an action requires approval</x:v>
      </x:c>
      <x:c r="H2271" s="339" t="str">
        <x:v>a non-authorized user attempts approval/rejection</x:v>
      </x:c>
      <x:c r="I2271" s="339" t="str">
        <x:v>the system denies the decision and does not change status</x:v>
      </x:c>
      <x:c r="J2271" s="339" t="str">
        <x:v>Negative</x:v>
      </x:c>
      <x:c r="K2271" s="339" t="str">
        <x:v>Functional</x:v>
      </x:c>
    </x:row>
    <x:row r="2272">
      <x:c r="A2272" s="339" t="str">
        <x:v>AC-02271</x:v>
      </x:c>
      <x:c r="B2272" s="339" t="str">
        <x:v>US-0568</x:v>
      </x:c>
      <x:c r="C2272" s="339" t="str">
        <x:v>SCR-284</x:v>
      </x:c>
      <x:c r="D2272" s="339" t="str">
        <x:v>Settings / Roles / Permissions / Audit</x:v>
      </x:c>
      <x:c r="E2272" s="339" t="str">
        <x:v>User Management</x:v>
      </x:c>
      <x:c r="F2272" s="339" t="str">
        <x:v>Failure rollback</x:v>
      </x:c>
      <x:c r="G2272" s="339" t="str">
        <x:v>a downstream dependency fails during a multi-step transaction</x:v>
      </x:c>
      <x:c r="H2272" s="339" t="str">
        <x:v>the workflow executes</x:v>
      </x:c>
      <x:c r="I2272" s="339" t="str">
        <x:v>the system does not leave an invalid partial final state and surfaces a recoverable error</x:v>
      </x:c>
      <x:c r="J2272" s="339" t="str">
        <x:v>Positive</x:v>
      </x:c>
      <x:c r="K2272" s="339" t="str">
        <x:v>Functional</x:v>
      </x:c>
    </x:row>
    <x:row r="2273">
      <x:c r="A2273" s="339" t="str">
        <x:v>AC-02272</x:v>
      </x:c>
      <x:c r="B2273" s="339" t="str">
        <x:v>US-0568</x:v>
      </x:c>
      <x:c r="C2273" s="339" t="str">
        <x:v>SCR-284</x:v>
      </x:c>
      <x:c r="D2273" s="339" t="str">
        <x:v>Settings / Roles / Permissions / Audit</x:v>
      </x:c>
      <x:c r="E2273" s="339" t="str">
        <x:v>User Management</x:v>
      </x:c>
      <x:c r="F2273" s="339" t="str">
        <x:v>Exception traceability</x:v>
      </x:c>
      <x:c r="G2273" s="339" t="str">
        <x:v>an authorized override/exception is used</x:v>
      </x:c>
      <x:c r="H2273" s="339" t="str">
        <x:v>the action is confirmed</x:v>
      </x:c>
      <x:c r="I2273" s="339" t="str">
        <x:v>the system requires reason/context and records it in the audit history</x:v>
      </x:c>
      <x:c r="J2273" s="339" t="str">
        <x:v>Positive</x:v>
      </x:c>
      <x:c r="K2273" s="339" t="str">
        <x:v>Functional</x:v>
      </x:c>
    </x:row>
    <x:row r="2274">
      <x:c r="A2274" s="339" t="str">
        <x:v>AC-02273</x:v>
      </x:c>
      <x:c r="B2274" s="339" t="str">
        <x:v>US-0569</x:v>
      </x:c>
      <x:c r="C2274" s="339" t="str">
        <x:v>SCR-285</x:v>
      </x:c>
      <x:c r="D2274" s="339" t="str">
        <x:v>Settings / Roles / Permissions / Audit</x:v>
      </x:c>
      <x:c r="E2274" s="339" t="str">
        <x:v>Roles</x:v>
      </x:c>
      <x:c r="F2274" s="339" t="str">
        <x:v>Authorized access to Roles</x:v>
      </x:c>
      <x:c r="G2274" s="339" t="str">
        <x:v>the IT Admin is authenticated and has access to Roles</x:v>
      </x:c>
      <x:c r="H2274" s="339" t="str">
        <x:v>the user opens or invokes Roles</x:v>
      </x:c>
      <x:c r="I2274" s="339" t="str">
        <x:v>the system loads only records and actions within the user's permitted tenant/school/data scope</x:v>
      </x:c>
      <x:c r="J2274" s="339" t="str">
        <x:v>Positive</x:v>
      </x:c>
      <x:c r="K2274" s="339" t="str">
        <x:v>Functional / Security</x:v>
      </x:c>
    </x:row>
    <x:row r="2275">
      <x:c r="A2275" s="339" t="str">
        <x:v>AC-02274</x:v>
      </x:c>
      <x:c r="B2275" s="339" t="str">
        <x:v>US-0569</x:v>
      </x:c>
      <x:c r="C2275" s="339" t="str">
        <x:v>SCR-285</x:v>
      </x:c>
      <x:c r="D2275" s="339" t="str">
        <x:v>Settings / Roles / Permissions / Audit</x:v>
      </x:c>
      <x:c r="E2275" s="339" t="str">
        <x:v>Roles</x:v>
      </x:c>
      <x:c r="F2275" s="339" t="str">
        <x:v>Successful Roles happy path</x:v>
      </x:c>
      <x:c r="G2275" s="339" t="str">
        <x:v>all mandatory prerequisites and valid data are available</x:v>
      </x:c>
      <x:c r="H2275" s="339" t="str">
        <x:v>the IT Admin completes the primary action on Roles</x:v>
      </x:c>
      <x:c r="I2275" s="339" t="str">
        <x:v>the system validates the request, saves it atomically, shows a clear confirmation and reflects the updated state</x:v>
      </x:c>
      <x:c r="J2275" s="339" t="str">
        <x:v>Positive</x:v>
      </x:c>
      <x:c r="K2275" s="339" t="str">
        <x:v>Functional</x:v>
      </x:c>
    </x:row>
    <x:row r="2276">
      <x:c r="A2276" s="339" t="str">
        <x:v>AC-02275</x:v>
      </x:c>
      <x:c r="B2276" s="339" t="str">
        <x:v>US-0569</x:v>
      </x:c>
      <x:c r="C2276" s="339" t="str">
        <x:v>SCR-285</x:v>
      </x:c>
      <x:c r="D2276" s="339" t="str">
        <x:v>Settings / Roles / Permissions / Audit</x:v>
      </x:c>
      <x:c r="E2276" s="339" t="str">
        <x:v>Roles</x:v>
      </x:c>
      <x:c r="F2276" s="339" t="str">
        <x:v>State and dependency integrity</x:v>
      </x:c>
      <x:c r="G2276" s="339" t="str">
        <x:v>the current record is in an allowed state (Draft / Proposed → Active → Revised / Inactive; audit entries are append-only)</x:v>
      </x:c>
      <x:c r="H2276" s="339" t="str">
        <x:v>the user attempts a state-changing action</x:v>
      </x:c>
      <x:c r="I2276" s="339" t="str">
        <x:v>only a valid transition is accepted and dependent records are updated according to configured business rules</x:v>
      </x:c>
      <x:c r="J2276" s="339" t="str">
        <x:v>Positive</x:v>
      </x:c>
      <x:c r="K2276" s="339" t="str">
        <x:v>Functional</x:v>
      </x:c>
    </x:row>
    <x:row r="2277">
      <x:c r="A2277" s="339" t="str">
        <x:v>AC-02276</x:v>
      </x:c>
      <x:c r="B2277" s="339" t="str">
        <x:v>US-0569</x:v>
      </x:c>
      <x:c r="C2277" s="339" t="str">
        <x:v>SCR-285</x:v>
      </x:c>
      <x:c r="D2277" s="339" t="str">
        <x:v>Settings / Roles / Permissions / Audit</x:v>
      </x:c>
      <x:c r="E2277" s="339" t="str">
        <x:v>Roles</x:v>
      </x:c>
      <x:c r="F2277" s="339" t="str">
        <x:v>Auditability</x:v>
      </x:c>
      <x:c r="G2277" s="339" t="str">
        <x:v>a material create/update/approve/reverse action occurs</x:v>
      </x:c>
      <x:c r="H2277" s="339" t="str">
        <x:v>the transaction succeeds</x:v>
      </x:c>
      <x:c r="I2277" s="339" t="str">
        <x:v>the system records actor, timestamp, action, target and relevant before/after or reason context in the audit trail</x:v>
      </x:c>
      <x:c r="J2277" s="339" t="str">
        <x:v>Positive</x:v>
      </x:c>
      <x:c r="K2277" s="339" t="str">
        <x:v>Functional</x:v>
      </x:c>
    </x:row>
    <x:row r="2278">
      <x:c r="A2278" s="339" t="str">
        <x:v>AC-02277</x:v>
      </x:c>
      <x:c r="B2278" s="339" t="str">
        <x:v>US-0570</x:v>
      </x:c>
      <x:c r="C2278" s="339" t="str">
        <x:v>SCR-285</x:v>
      </x:c>
      <x:c r="D2278" s="339" t="str">
        <x:v>Settings / Roles / Permissions / Audit</x:v>
      </x:c>
      <x:c r="E2278" s="339" t="str">
        <x:v>Roles</x:v>
      </x:c>
      <x:c r="F2278" s="339" t="str">
        <x:v>Dependency-safe change</x:v>
      </x:c>
      <x:c r="G2278" s="339" t="str">
        <x:v>the configuration is referenced by existing transactions</x:v>
      </x:c>
      <x:c r="H2278" s="339" t="str">
        <x:v>the user edits or deactivates it</x:v>
      </x:c>
      <x:c r="I2278" s="339" t="str">
        <x:v>the system prevents destructive changes and uses effective dating/inactivation/versioning as required</x:v>
      </x:c>
      <x:c r="J2278" s="339" t="str">
        <x:v>Positive</x:v>
      </x:c>
      <x:c r="K2278" s="339" t="str">
        <x:v>Functional</x:v>
      </x:c>
    </x:row>
    <x:row r="2279">
      <x:c r="A2279" s="339" t="str">
        <x:v>AC-02278</x:v>
      </x:c>
      <x:c r="B2279" s="339" t="str">
        <x:v>US-0570</x:v>
      </x:c>
      <x:c r="C2279" s="339" t="str">
        <x:v>SCR-285</x:v>
      </x:c>
      <x:c r="D2279" s="339" t="str">
        <x:v>Settings / Roles / Permissions / Audit</x:v>
      </x:c>
      <x:c r="E2279" s="339" t="str">
        <x:v>Roles</x:v>
      </x:c>
      <x:c r="F2279" s="339" t="str">
        <x:v>No overlapping configuration</x:v>
      </x:c>
      <x:c r="G2279" s="339" t="str">
        <x:v>an active configuration already covers the same scope/date</x:v>
      </x:c>
      <x:c r="H2279" s="339" t="str">
        <x:v>the user creates another conflicting configuration</x:v>
      </x:c>
      <x:c r="I2279" s="339" t="str">
        <x:v>the system blocks the overlap or requires an authorized explicit resolution</x:v>
      </x:c>
      <x:c r="J2279" s="339" t="str">
        <x:v>Negative</x:v>
      </x:c>
      <x:c r="K2279" s="339" t="str">
        <x:v>Functional</x:v>
      </x:c>
    </x:row>
    <x:row r="2280">
      <x:c r="A2280" s="339" t="str">
        <x:v>AC-02279</x:v>
      </x:c>
      <x:c r="B2280" s="339" t="str">
        <x:v>US-0570</x:v>
      </x:c>
      <x:c r="C2280" s="339" t="str">
        <x:v>SCR-285</x:v>
      </x:c>
      <x:c r="D2280" s="339" t="str">
        <x:v>Settings / Roles / Permissions / Audit</x:v>
      </x:c>
      <x:c r="E2280" s="339" t="str">
        <x:v>Roles</x:v>
      </x:c>
      <x:c r="F2280" s="339" t="str">
        <x:v>Permission control</x:v>
      </x:c>
      <x:c r="G2280" s="339" t="str">
        <x:v>a user lacks configuration permission</x:v>
      </x:c>
      <x:c r="H2280" s="339" t="str">
        <x:v>the user attempts to change settings</x:v>
      </x:c>
      <x:c r="I2280" s="339" t="str">
        <x:v>the system denies the update server-side and records the denied/high-risk event when required</x:v>
      </x:c>
      <x:c r="J2280" s="339" t="str">
        <x:v>Negative</x:v>
      </x:c>
      <x:c r="K2280" s="339" t="str">
        <x:v>Functional / Security</x:v>
      </x:c>
    </x:row>
    <x:row r="2281">
      <x:c r="A2281" s="339" t="str">
        <x:v>AC-02280</x:v>
      </x:c>
      <x:c r="B2281" s="339" t="str">
        <x:v>US-0570</x:v>
      </x:c>
      <x:c r="C2281" s="339" t="str">
        <x:v>SCR-285</x:v>
      </x:c>
      <x:c r="D2281" s="339" t="str">
        <x:v>Settings / Roles / Permissions / Audit</x:v>
      </x:c>
      <x:c r="E2281" s="339" t="str">
        <x:v>Roles</x:v>
      </x:c>
      <x:c r="F2281" s="339" t="str">
        <x:v>Effective-time behavior</x:v>
      </x:c>
      <x:c r="G2281" s="339" t="str">
        <x:v>a configuration change has a future effective date</x:v>
      </x:c>
      <x:c r="H2281" s="339" t="str">
        <x:v>the change is saved</x:v>
      </x:c>
      <x:c r="I2281" s="339" t="str">
        <x:v>existing transactions use the current version until the effective time and new behavior starts predictably</x:v>
      </x:c>
      <x:c r="J2281" s="339" t="str">
        <x:v>Positive</x:v>
      </x:c>
      <x:c r="K2281" s="339" t="str">
        <x:v>Functional</x:v>
      </x:c>
    </x:row>
    <x:row r="2282">
      <x:c r="A2282" s="339" t="str">
        <x:v>AC-02281</x:v>
      </x:c>
      <x:c r="B2282" s="339" t="str">
        <x:v>US-0571</x:v>
      </x:c>
      <x:c r="C2282" s="339" t="str">
        <x:v>SCR-286</x:v>
      </x:c>
      <x:c r="D2282" s="339" t="str">
        <x:v>Settings / Roles / Permissions / Audit</x:v>
      </x:c>
      <x:c r="E2282" s="339" t="str">
        <x:v>Permissions</x:v>
      </x:c>
      <x:c r="F2282" s="339" t="str">
        <x:v>Authorized access to Permissions</x:v>
      </x:c>
      <x:c r="G2282" s="339" t="str">
        <x:v>the IT Admin is authenticated and has access to Permissions</x:v>
      </x:c>
      <x:c r="H2282" s="339" t="str">
        <x:v>the user opens or invokes Permissions</x:v>
      </x:c>
      <x:c r="I2282" s="339" t="str">
        <x:v>the system loads only records and actions within the user's permitted tenant/school/data scope</x:v>
      </x:c>
      <x:c r="J2282" s="339" t="str">
        <x:v>Positive</x:v>
      </x:c>
      <x:c r="K2282" s="339" t="str">
        <x:v>Functional / Security</x:v>
      </x:c>
    </x:row>
    <x:row r="2283">
      <x:c r="A2283" s="339" t="str">
        <x:v>AC-02282</x:v>
      </x:c>
      <x:c r="B2283" s="339" t="str">
        <x:v>US-0571</x:v>
      </x:c>
      <x:c r="C2283" s="339" t="str">
        <x:v>SCR-286</x:v>
      </x:c>
      <x:c r="D2283" s="339" t="str">
        <x:v>Settings / Roles / Permissions / Audit</x:v>
      </x:c>
      <x:c r="E2283" s="339" t="str">
        <x:v>Permissions</x:v>
      </x:c>
      <x:c r="F2283" s="339" t="str">
        <x:v>Successful Permissions happy path</x:v>
      </x:c>
      <x:c r="G2283" s="339" t="str">
        <x:v>all mandatory prerequisites and valid data are available</x:v>
      </x:c>
      <x:c r="H2283" s="339" t="str">
        <x:v>the IT Admin completes the primary action on Permissions</x:v>
      </x:c>
      <x:c r="I2283" s="339" t="str">
        <x:v>the system validates the request, saves it atomically, shows a clear confirmation and reflects the updated state</x:v>
      </x:c>
      <x:c r="J2283" s="339" t="str">
        <x:v>Positive</x:v>
      </x:c>
      <x:c r="K2283" s="339" t="str">
        <x:v>Functional / Security</x:v>
      </x:c>
    </x:row>
    <x:row r="2284">
      <x:c r="A2284" s="339" t="str">
        <x:v>AC-02283</x:v>
      </x:c>
      <x:c r="B2284" s="339" t="str">
        <x:v>US-0571</x:v>
      </x:c>
      <x:c r="C2284" s="339" t="str">
        <x:v>SCR-286</x:v>
      </x:c>
      <x:c r="D2284" s="339" t="str">
        <x:v>Settings / Roles / Permissions / Audit</x:v>
      </x:c>
      <x:c r="E2284" s="339" t="str">
        <x:v>Permissions</x:v>
      </x:c>
      <x:c r="F2284" s="339" t="str">
        <x:v>State and dependency integrity</x:v>
      </x:c>
      <x:c r="G2284" s="339" t="str">
        <x:v>the current record is in an allowed state (Draft / Proposed → Active → Revised / Inactive; audit entries are append-only)</x:v>
      </x:c>
      <x:c r="H2284" s="339" t="str">
        <x:v>the user attempts a state-changing action</x:v>
      </x:c>
      <x:c r="I2284" s="339" t="str">
        <x:v>only a valid transition is accepted and dependent records are updated according to configured business rules</x:v>
      </x:c>
      <x:c r="J2284" s="339" t="str">
        <x:v>Positive</x:v>
      </x:c>
      <x:c r="K2284" s="339" t="str">
        <x:v>Functional</x:v>
      </x:c>
    </x:row>
    <x:row r="2285">
      <x:c r="A2285" s="339" t="str">
        <x:v>AC-02284</x:v>
      </x:c>
      <x:c r="B2285" s="339" t="str">
        <x:v>US-0571</x:v>
      </x:c>
      <x:c r="C2285" s="339" t="str">
        <x:v>SCR-286</x:v>
      </x:c>
      <x:c r="D2285" s="339" t="str">
        <x:v>Settings / Roles / Permissions / Audit</x:v>
      </x:c>
      <x:c r="E2285" s="339" t="str">
        <x:v>Permissions</x:v>
      </x:c>
      <x:c r="F2285" s="339" t="str">
        <x:v>Auditability</x:v>
      </x:c>
      <x:c r="G2285" s="339" t="str">
        <x:v>a material create/update/approve/reverse action occurs</x:v>
      </x:c>
      <x:c r="H2285" s="339" t="str">
        <x:v>the transaction succeeds</x:v>
      </x:c>
      <x:c r="I2285" s="339" t="str">
        <x:v>the system records actor, timestamp, action, target and relevant before/after or reason context in the audit trail</x:v>
      </x:c>
      <x:c r="J2285" s="339" t="str">
        <x:v>Positive</x:v>
      </x:c>
      <x:c r="K2285" s="339" t="str">
        <x:v>Functional</x:v>
      </x:c>
    </x:row>
    <x:row r="2286">
      <x:c r="A2286" s="339" t="str">
        <x:v>AC-02285</x:v>
      </x:c>
      <x:c r="B2286" s="339" t="str">
        <x:v>US-0572</x:v>
      </x:c>
      <x:c r="C2286" s="339" t="str">
        <x:v>SCR-286</x:v>
      </x:c>
      <x:c r="D2286" s="339" t="str">
        <x:v>Settings / Roles / Permissions / Audit</x:v>
      </x:c>
      <x:c r="E2286" s="339" t="str">
        <x:v>Permissions</x:v>
      </x:c>
      <x:c r="F2286" s="339" t="str">
        <x:v>Dependency-safe change</x:v>
      </x:c>
      <x:c r="G2286" s="339" t="str">
        <x:v>the configuration is referenced by existing transactions</x:v>
      </x:c>
      <x:c r="H2286" s="339" t="str">
        <x:v>the user edits or deactivates it</x:v>
      </x:c>
      <x:c r="I2286" s="339" t="str">
        <x:v>the system prevents destructive changes and uses effective dating/inactivation/versioning as required</x:v>
      </x:c>
      <x:c r="J2286" s="339" t="str">
        <x:v>Positive</x:v>
      </x:c>
      <x:c r="K2286" s="339" t="str">
        <x:v>Functional</x:v>
      </x:c>
    </x:row>
    <x:row r="2287">
      <x:c r="A2287" s="339" t="str">
        <x:v>AC-02286</x:v>
      </x:c>
      <x:c r="B2287" s="339" t="str">
        <x:v>US-0572</x:v>
      </x:c>
      <x:c r="C2287" s="339" t="str">
        <x:v>SCR-286</x:v>
      </x:c>
      <x:c r="D2287" s="339" t="str">
        <x:v>Settings / Roles / Permissions / Audit</x:v>
      </x:c>
      <x:c r="E2287" s="339" t="str">
        <x:v>Permissions</x:v>
      </x:c>
      <x:c r="F2287" s="339" t="str">
        <x:v>No overlapping configuration</x:v>
      </x:c>
      <x:c r="G2287" s="339" t="str">
        <x:v>an active configuration already covers the same scope/date</x:v>
      </x:c>
      <x:c r="H2287" s="339" t="str">
        <x:v>the user creates another conflicting configuration</x:v>
      </x:c>
      <x:c r="I2287" s="339" t="str">
        <x:v>the system blocks the overlap or requires an authorized explicit resolution</x:v>
      </x:c>
      <x:c r="J2287" s="339" t="str">
        <x:v>Negative</x:v>
      </x:c>
      <x:c r="K2287" s="339" t="str">
        <x:v>Functional</x:v>
      </x:c>
    </x:row>
    <x:row r="2288">
      <x:c r="A2288" s="339" t="str">
        <x:v>AC-02287</x:v>
      </x:c>
      <x:c r="B2288" s="339" t="str">
        <x:v>US-0572</x:v>
      </x:c>
      <x:c r="C2288" s="339" t="str">
        <x:v>SCR-286</x:v>
      </x:c>
      <x:c r="D2288" s="339" t="str">
        <x:v>Settings / Roles / Permissions / Audit</x:v>
      </x:c>
      <x:c r="E2288" s="339" t="str">
        <x:v>Permissions</x:v>
      </x:c>
      <x:c r="F2288" s="339" t="str">
        <x:v>Permission control</x:v>
      </x:c>
      <x:c r="G2288" s="339" t="str">
        <x:v>a user lacks configuration permission</x:v>
      </x:c>
      <x:c r="H2288" s="339" t="str">
        <x:v>the user attempts to change settings</x:v>
      </x:c>
      <x:c r="I2288" s="339" t="str">
        <x:v>the system denies the update server-side and records the denied/high-risk event when required</x:v>
      </x:c>
      <x:c r="J2288" s="339" t="str">
        <x:v>Negative</x:v>
      </x:c>
      <x:c r="K2288" s="339" t="str">
        <x:v>Functional / Security</x:v>
      </x:c>
    </x:row>
    <x:row r="2289">
      <x:c r="A2289" s="339" t="str">
        <x:v>AC-02288</x:v>
      </x:c>
      <x:c r="B2289" s="339" t="str">
        <x:v>US-0572</x:v>
      </x:c>
      <x:c r="C2289" s="339" t="str">
        <x:v>SCR-286</x:v>
      </x:c>
      <x:c r="D2289" s="339" t="str">
        <x:v>Settings / Roles / Permissions / Audit</x:v>
      </x:c>
      <x:c r="E2289" s="339" t="str">
        <x:v>Permissions</x:v>
      </x:c>
      <x:c r="F2289" s="339" t="str">
        <x:v>Effective-time behavior</x:v>
      </x:c>
      <x:c r="G2289" s="339" t="str">
        <x:v>a configuration change has a future effective date</x:v>
      </x:c>
      <x:c r="H2289" s="339" t="str">
        <x:v>the change is saved</x:v>
      </x:c>
      <x:c r="I2289" s="339" t="str">
        <x:v>existing transactions use the current version until the effective time and new behavior starts predictably</x:v>
      </x:c>
      <x:c r="J2289" s="339" t="str">
        <x:v>Positive</x:v>
      </x:c>
      <x:c r="K2289" s="339" t="str">
        <x:v>Functional</x:v>
      </x:c>
    </x:row>
    <x:row r="2290">
      <x:c r="A2290" s="339" t="str">
        <x:v>AC-02289</x:v>
      </x:c>
      <x:c r="B2290" s="339" t="str">
        <x:v>US-0573</x:v>
      </x:c>
      <x:c r="C2290" s="339" t="str">
        <x:v>SCR-287</x:v>
      </x:c>
      <x:c r="D2290" s="339" t="str">
        <x:v>Settings / Roles / Permissions / Audit</x:v>
      </x:c>
      <x:c r="E2290" s="339" t="str">
        <x:v>Role Permission Matrix</x:v>
      </x:c>
      <x:c r="F2290" s="339" t="str">
        <x:v>Authorized access to Role Permission Matrix</x:v>
      </x:c>
      <x:c r="G2290" s="339" t="str">
        <x:v>the IT Admin is authenticated and has access to Role Permission Matrix</x:v>
      </x:c>
      <x:c r="H2290" s="339" t="str">
        <x:v>the user opens or invokes Role Permission Matrix</x:v>
      </x:c>
      <x:c r="I2290" s="339" t="str">
        <x:v>the system loads only records and actions within the user's permitted tenant/school/data scope</x:v>
      </x:c>
      <x:c r="J2290" s="339" t="str">
        <x:v>Positive</x:v>
      </x:c>
      <x:c r="K2290" s="339" t="str">
        <x:v>Functional / Security</x:v>
      </x:c>
    </x:row>
    <x:row r="2291">
      <x:c r="A2291" s="339" t="str">
        <x:v>AC-02290</x:v>
      </x:c>
      <x:c r="B2291" s="339" t="str">
        <x:v>US-0573</x:v>
      </x:c>
      <x:c r="C2291" s="339" t="str">
        <x:v>SCR-287</x:v>
      </x:c>
      <x:c r="D2291" s="339" t="str">
        <x:v>Settings / Roles / Permissions / Audit</x:v>
      </x:c>
      <x:c r="E2291" s="339" t="str">
        <x:v>Role Permission Matrix</x:v>
      </x:c>
      <x:c r="F2291" s="339" t="str">
        <x:v>Successful Role Permission Matrix happy path</x:v>
      </x:c>
      <x:c r="G2291" s="339" t="str">
        <x:v>all mandatory prerequisites and valid data are available</x:v>
      </x:c>
      <x:c r="H2291" s="339" t="str">
        <x:v>the IT Admin completes the primary action on Role Permission Matrix</x:v>
      </x:c>
      <x:c r="I2291" s="339" t="str">
        <x:v>the system validates the request, saves it atomically, shows a clear confirmation and reflects the updated state</x:v>
      </x:c>
      <x:c r="J2291" s="339" t="str">
        <x:v>Positive</x:v>
      </x:c>
      <x:c r="K2291" s="339" t="str">
        <x:v>Functional / Security</x:v>
      </x:c>
    </x:row>
    <x:row r="2292">
      <x:c r="A2292" s="339" t="str">
        <x:v>AC-02291</x:v>
      </x:c>
      <x:c r="B2292" s="339" t="str">
        <x:v>US-0573</x:v>
      </x:c>
      <x:c r="C2292" s="339" t="str">
        <x:v>SCR-287</x:v>
      </x:c>
      <x:c r="D2292" s="339" t="str">
        <x:v>Settings / Roles / Permissions / Audit</x:v>
      </x:c>
      <x:c r="E2292" s="339" t="str">
        <x:v>Role Permission Matrix</x:v>
      </x:c>
      <x:c r="F2292" s="339" t="str">
        <x:v>State and dependency integrity</x:v>
      </x:c>
      <x:c r="G2292" s="339" t="str">
        <x:v>the current record is in an allowed state (Draft / Proposed → Active → Revised / Inactive; audit entries are append-only)</x:v>
      </x:c>
      <x:c r="H2292" s="339" t="str">
        <x:v>the user attempts a state-changing action</x:v>
      </x:c>
      <x:c r="I2292" s="339" t="str">
        <x:v>only a valid transition is accepted and dependent records are updated according to configured business rules</x:v>
      </x:c>
      <x:c r="J2292" s="339" t="str">
        <x:v>Positive</x:v>
      </x:c>
      <x:c r="K2292" s="339" t="str">
        <x:v>Functional</x:v>
      </x:c>
    </x:row>
    <x:row r="2293">
      <x:c r="A2293" s="339" t="str">
        <x:v>AC-02292</x:v>
      </x:c>
      <x:c r="B2293" s="339" t="str">
        <x:v>US-0573</x:v>
      </x:c>
      <x:c r="C2293" s="339" t="str">
        <x:v>SCR-287</x:v>
      </x:c>
      <x:c r="D2293" s="339" t="str">
        <x:v>Settings / Roles / Permissions / Audit</x:v>
      </x:c>
      <x:c r="E2293" s="339" t="str">
        <x:v>Role Permission Matrix</x:v>
      </x:c>
      <x:c r="F2293" s="339" t="str">
        <x:v>Auditability</x:v>
      </x:c>
      <x:c r="G2293" s="339" t="str">
        <x:v>a material create/update/approve/reverse action occurs</x:v>
      </x:c>
      <x:c r="H2293" s="339" t="str">
        <x:v>the transaction succeeds</x:v>
      </x:c>
      <x:c r="I2293" s="339" t="str">
        <x:v>the system records actor, timestamp, action, target and relevant before/after or reason context in the audit trail</x:v>
      </x:c>
      <x:c r="J2293" s="339" t="str">
        <x:v>Positive</x:v>
      </x:c>
      <x:c r="K2293" s="339" t="str">
        <x:v>Functional</x:v>
      </x:c>
    </x:row>
    <x:row r="2294">
      <x:c r="A2294" s="339" t="str">
        <x:v>AC-02293</x:v>
      </x:c>
      <x:c r="B2294" s="339" t="str">
        <x:v>US-0574</x:v>
      </x:c>
      <x:c r="C2294" s="339" t="str">
        <x:v>SCR-287</x:v>
      </x:c>
      <x:c r="D2294" s="339" t="str">
        <x:v>Settings / Roles / Permissions / Audit</x:v>
      </x:c>
      <x:c r="E2294" s="339" t="str">
        <x:v>Role Permission Matrix</x:v>
      </x:c>
      <x:c r="F2294" s="339" t="str">
        <x:v>Valid status transition</x:v>
      </x:c>
      <x:c r="G2294" s="339" t="str">
        <x:v>the record is in a state described by Draft / Proposed → Active → Revised / Inactive; audit entries are append-only</x:v>
      </x:c>
      <x:c r="H2294" s="339" t="str">
        <x:v>the user requests a transition</x:v>
      </x:c>
      <x:c r="I2294" s="339" t="str">
        <x:v>the system accepts only transitions allowed for that role and state</x:v>
      </x:c>
      <x:c r="J2294" s="339" t="str">
        <x:v>Positive</x:v>
      </x:c>
      <x:c r="K2294" s="339" t="str">
        <x:v>Functional</x:v>
      </x:c>
    </x:row>
    <x:row r="2295">
      <x:c r="A2295" s="339" t="str">
        <x:v>AC-02294</x:v>
      </x:c>
      <x:c r="B2295" s="339" t="str">
        <x:v>US-0574</x:v>
      </x:c>
      <x:c r="C2295" s="339" t="str">
        <x:v>SCR-287</x:v>
      </x:c>
      <x:c r="D2295" s="339" t="str">
        <x:v>Settings / Roles / Permissions / Audit</x:v>
      </x:c>
      <x:c r="E2295" s="339" t="str">
        <x:v>Role Permission Matrix</x:v>
      </x:c>
      <x:c r="F2295" s="339" t="str">
        <x:v>Approval authority</x:v>
      </x:c>
      <x:c r="G2295" s="339" t="str">
        <x:v>an action requires approval</x:v>
      </x:c>
      <x:c r="H2295" s="339" t="str">
        <x:v>a non-authorized user attempts approval/rejection</x:v>
      </x:c>
      <x:c r="I2295" s="339" t="str">
        <x:v>the system denies the decision and does not change status</x:v>
      </x:c>
      <x:c r="J2295" s="339" t="str">
        <x:v>Negative</x:v>
      </x:c>
      <x:c r="K2295" s="339" t="str">
        <x:v>Functional</x:v>
      </x:c>
    </x:row>
    <x:row r="2296">
      <x:c r="A2296" s="339" t="str">
        <x:v>AC-02295</x:v>
      </x:c>
      <x:c r="B2296" s="339" t="str">
        <x:v>US-0574</x:v>
      </x:c>
      <x:c r="C2296" s="339" t="str">
        <x:v>SCR-287</x:v>
      </x:c>
      <x:c r="D2296" s="339" t="str">
        <x:v>Settings / Roles / Permissions / Audit</x:v>
      </x:c>
      <x:c r="E2296" s="339" t="str">
        <x:v>Role Permission Matrix</x:v>
      </x:c>
      <x:c r="F2296" s="339" t="str">
        <x:v>Failure rollback</x:v>
      </x:c>
      <x:c r="G2296" s="339" t="str">
        <x:v>a downstream dependency fails during a multi-step transaction</x:v>
      </x:c>
      <x:c r="H2296" s="339" t="str">
        <x:v>the workflow executes</x:v>
      </x:c>
      <x:c r="I2296" s="339" t="str">
        <x:v>the system does not leave an invalid partial final state and surfaces a recoverable error</x:v>
      </x:c>
      <x:c r="J2296" s="339" t="str">
        <x:v>Positive</x:v>
      </x:c>
      <x:c r="K2296" s="339" t="str">
        <x:v>Functional</x:v>
      </x:c>
    </x:row>
    <x:row r="2297">
      <x:c r="A2297" s="339" t="str">
        <x:v>AC-02296</x:v>
      </x:c>
      <x:c r="B2297" s="339" t="str">
        <x:v>US-0574</x:v>
      </x:c>
      <x:c r="C2297" s="339" t="str">
        <x:v>SCR-287</x:v>
      </x:c>
      <x:c r="D2297" s="339" t="str">
        <x:v>Settings / Roles / Permissions / Audit</x:v>
      </x:c>
      <x:c r="E2297" s="339" t="str">
        <x:v>Role Permission Matrix</x:v>
      </x:c>
      <x:c r="F2297" s="339" t="str">
        <x:v>Exception traceability</x:v>
      </x:c>
      <x:c r="G2297" s="339" t="str">
        <x:v>an authorized override/exception is used</x:v>
      </x:c>
      <x:c r="H2297" s="339" t="str">
        <x:v>the action is confirmed</x:v>
      </x:c>
      <x:c r="I2297" s="339" t="str">
        <x:v>the system requires reason/context and records it in the audit history</x:v>
      </x:c>
      <x:c r="J2297" s="339" t="str">
        <x:v>Positive</x:v>
      </x:c>
      <x:c r="K2297" s="339" t="str">
        <x:v>Functional</x:v>
      </x:c>
    </x:row>
    <x:row r="2298">
      <x:c r="A2298" s="339" t="str">
        <x:v>AC-02297</x:v>
      </x:c>
      <x:c r="B2298" s="339" t="str">
        <x:v>US-0575</x:v>
      </x:c>
      <x:c r="C2298" s="339" t="str">
        <x:v>SCR-288</x:v>
      </x:c>
      <x:c r="D2298" s="339" t="str">
        <x:v>Settings / Roles / Permissions / Audit</x:v>
      </x:c>
      <x:c r="E2298" s="339" t="str">
        <x:v>User Role Assignment</x:v>
      </x:c>
      <x:c r="F2298" s="339" t="str">
        <x:v>Authorized access to User Role Assignment</x:v>
      </x:c>
      <x:c r="G2298" s="339" t="str">
        <x:v>the IT Admin is authenticated and has access to User Role Assignment</x:v>
      </x:c>
      <x:c r="H2298" s="339" t="str">
        <x:v>the user opens or invokes User Role Assignment</x:v>
      </x:c>
      <x:c r="I2298" s="339" t="str">
        <x:v>the system loads only records and actions within the user's permitted tenant/school/data scope</x:v>
      </x:c>
      <x:c r="J2298" s="339" t="str">
        <x:v>Positive</x:v>
      </x:c>
      <x:c r="K2298" s="339" t="str">
        <x:v>Functional / Security</x:v>
      </x:c>
    </x:row>
    <x:row r="2299">
      <x:c r="A2299" s="339" t="str">
        <x:v>AC-02298</x:v>
      </x:c>
      <x:c r="B2299" s="339" t="str">
        <x:v>US-0575</x:v>
      </x:c>
      <x:c r="C2299" s="339" t="str">
        <x:v>SCR-288</x:v>
      </x:c>
      <x:c r="D2299" s="339" t="str">
        <x:v>Settings / Roles / Permissions / Audit</x:v>
      </x:c>
      <x:c r="E2299" s="339" t="str">
        <x:v>User Role Assignment</x:v>
      </x:c>
      <x:c r="F2299" s="339" t="str">
        <x:v>Successful User Role Assignment happy path</x:v>
      </x:c>
      <x:c r="G2299" s="339" t="str">
        <x:v>all mandatory prerequisites and valid data are available</x:v>
      </x:c>
      <x:c r="H2299" s="339" t="str">
        <x:v>the IT Admin completes the primary action on User Role Assignment</x:v>
      </x:c>
      <x:c r="I2299" s="339" t="str">
        <x:v>the system validates the request, saves it atomically, shows a clear confirmation and reflects the updated state</x:v>
      </x:c>
      <x:c r="J2299" s="339" t="str">
        <x:v>Positive</x:v>
      </x:c>
      <x:c r="K2299" s="339" t="str">
        <x:v>Functional</x:v>
      </x:c>
    </x:row>
    <x:row r="2300">
      <x:c r="A2300" s="339" t="str">
        <x:v>AC-02299</x:v>
      </x:c>
      <x:c r="B2300" s="339" t="str">
        <x:v>US-0575</x:v>
      </x:c>
      <x:c r="C2300" s="339" t="str">
        <x:v>SCR-288</x:v>
      </x:c>
      <x:c r="D2300" s="339" t="str">
        <x:v>Settings / Roles / Permissions / Audit</x:v>
      </x:c>
      <x:c r="E2300" s="339" t="str">
        <x:v>User Role Assignment</x:v>
      </x:c>
      <x:c r="F2300" s="339" t="str">
        <x:v>State and dependency integrity</x:v>
      </x:c>
      <x:c r="G2300" s="339" t="str">
        <x:v>the current record is in an allowed state (Draft / Proposed → Active → Revised / Inactive; audit entries are append-only)</x:v>
      </x:c>
      <x:c r="H2300" s="339" t="str">
        <x:v>the user attempts a state-changing action</x:v>
      </x:c>
      <x:c r="I2300" s="339" t="str">
        <x:v>only a valid transition is accepted and dependent records are updated according to configured business rules</x:v>
      </x:c>
      <x:c r="J2300" s="339" t="str">
        <x:v>Positive</x:v>
      </x:c>
      <x:c r="K2300" s="339" t="str">
        <x:v>Functional</x:v>
      </x:c>
    </x:row>
    <x:row r="2301">
      <x:c r="A2301" s="339" t="str">
        <x:v>AC-02300</x:v>
      </x:c>
      <x:c r="B2301" s="339" t="str">
        <x:v>US-0575</x:v>
      </x:c>
      <x:c r="C2301" s="339" t="str">
        <x:v>SCR-288</x:v>
      </x:c>
      <x:c r="D2301" s="339" t="str">
        <x:v>Settings / Roles / Permissions / Audit</x:v>
      </x:c>
      <x:c r="E2301" s="339" t="str">
        <x:v>User Role Assignment</x:v>
      </x:c>
      <x:c r="F2301" s="339" t="str">
        <x:v>Auditability</x:v>
      </x:c>
      <x:c r="G2301" s="339" t="str">
        <x:v>a material create/update/approve/reverse action occurs</x:v>
      </x:c>
      <x:c r="H2301" s="339" t="str">
        <x:v>the transaction succeeds</x:v>
      </x:c>
      <x:c r="I2301" s="339" t="str">
        <x:v>the system records actor, timestamp, action, target and relevant before/after or reason context in the audit trail</x:v>
      </x:c>
      <x:c r="J2301" s="339" t="str">
        <x:v>Positive</x:v>
      </x:c>
      <x:c r="K2301" s="339" t="str">
        <x:v>Functional</x:v>
      </x:c>
    </x:row>
    <x:row r="2302">
      <x:c r="A2302" s="339" t="str">
        <x:v>AC-02301</x:v>
      </x:c>
      <x:c r="B2302" s="339" t="str">
        <x:v>US-0576</x:v>
      </x:c>
      <x:c r="C2302" s="339" t="str">
        <x:v>SCR-288</x:v>
      </x:c>
      <x:c r="D2302" s="339" t="str">
        <x:v>Settings / Roles / Permissions / Audit</x:v>
      </x:c>
      <x:c r="E2302" s="339" t="str">
        <x:v>User Role Assignment</x:v>
      </x:c>
      <x:c r="F2302" s="339" t="str">
        <x:v>Valid status transition</x:v>
      </x:c>
      <x:c r="G2302" s="339" t="str">
        <x:v>the record is in a state described by Draft / Proposed → Active → Revised / Inactive; audit entries are append-only</x:v>
      </x:c>
      <x:c r="H2302" s="339" t="str">
        <x:v>the user requests a transition</x:v>
      </x:c>
      <x:c r="I2302" s="339" t="str">
        <x:v>the system accepts only transitions allowed for that role and state</x:v>
      </x:c>
      <x:c r="J2302" s="339" t="str">
        <x:v>Positive</x:v>
      </x:c>
      <x:c r="K2302" s="339" t="str">
        <x:v>Functional</x:v>
      </x:c>
    </x:row>
    <x:row r="2303">
      <x:c r="A2303" s="339" t="str">
        <x:v>AC-02302</x:v>
      </x:c>
      <x:c r="B2303" s="339" t="str">
        <x:v>US-0576</x:v>
      </x:c>
      <x:c r="C2303" s="339" t="str">
        <x:v>SCR-288</x:v>
      </x:c>
      <x:c r="D2303" s="339" t="str">
        <x:v>Settings / Roles / Permissions / Audit</x:v>
      </x:c>
      <x:c r="E2303" s="339" t="str">
        <x:v>User Role Assignment</x:v>
      </x:c>
      <x:c r="F2303" s="339" t="str">
        <x:v>Approval authority</x:v>
      </x:c>
      <x:c r="G2303" s="339" t="str">
        <x:v>an action requires approval</x:v>
      </x:c>
      <x:c r="H2303" s="339" t="str">
        <x:v>a non-authorized user attempts approval/rejection</x:v>
      </x:c>
      <x:c r="I2303" s="339" t="str">
        <x:v>the system denies the decision and does not change status</x:v>
      </x:c>
      <x:c r="J2303" s="339" t="str">
        <x:v>Negative</x:v>
      </x:c>
      <x:c r="K2303" s="339" t="str">
        <x:v>Functional</x:v>
      </x:c>
    </x:row>
    <x:row r="2304">
      <x:c r="A2304" s="339" t="str">
        <x:v>AC-02303</x:v>
      </x:c>
      <x:c r="B2304" s="339" t="str">
        <x:v>US-0576</x:v>
      </x:c>
      <x:c r="C2304" s="339" t="str">
        <x:v>SCR-288</x:v>
      </x:c>
      <x:c r="D2304" s="339" t="str">
        <x:v>Settings / Roles / Permissions / Audit</x:v>
      </x:c>
      <x:c r="E2304" s="339" t="str">
        <x:v>User Role Assignment</x:v>
      </x:c>
      <x:c r="F2304" s="339" t="str">
        <x:v>Failure rollback</x:v>
      </x:c>
      <x:c r="G2304" s="339" t="str">
        <x:v>a downstream dependency fails during a multi-step transaction</x:v>
      </x:c>
      <x:c r="H2304" s="339" t="str">
        <x:v>the workflow executes</x:v>
      </x:c>
      <x:c r="I2304" s="339" t="str">
        <x:v>the system does not leave an invalid partial final state and surfaces a recoverable error</x:v>
      </x:c>
      <x:c r="J2304" s="339" t="str">
        <x:v>Positive</x:v>
      </x:c>
      <x:c r="K2304" s="339" t="str">
        <x:v>Functional</x:v>
      </x:c>
    </x:row>
    <x:row r="2305">
      <x:c r="A2305" s="339" t="str">
        <x:v>AC-02304</x:v>
      </x:c>
      <x:c r="B2305" s="339" t="str">
        <x:v>US-0576</x:v>
      </x:c>
      <x:c r="C2305" s="339" t="str">
        <x:v>SCR-288</x:v>
      </x:c>
      <x:c r="D2305" s="339" t="str">
        <x:v>Settings / Roles / Permissions / Audit</x:v>
      </x:c>
      <x:c r="E2305" s="339" t="str">
        <x:v>User Role Assignment</x:v>
      </x:c>
      <x:c r="F2305" s="339" t="str">
        <x:v>Exception traceability</x:v>
      </x:c>
      <x:c r="G2305" s="339" t="str">
        <x:v>an authorized override/exception is used</x:v>
      </x:c>
      <x:c r="H2305" s="339" t="str">
        <x:v>the action is confirmed</x:v>
      </x:c>
      <x:c r="I2305" s="339" t="str">
        <x:v>the system requires reason/context and records it in the audit history</x:v>
      </x:c>
      <x:c r="J2305" s="339" t="str">
        <x:v>Positive</x:v>
      </x:c>
      <x:c r="K2305" s="339" t="str">
        <x:v>Functional</x:v>
      </x:c>
    </x:row>
    <x:row r="2306">
      <x:c r="A2306" s="339" t="str">
        <x:v>AC-02305</x:v>
      </x:c>
      <x:c r="B2306" s="339" t="str">
        <x:v>US-0577</x:v>
      </x:c>
      <x:c r="C2306" s="339" t="str">
        <x:v>SCR-289</x:v>
      </x:c>
      <x:c r="D2306" s="339" t="str">
        <x:v>Settings / Roles / Permissions / Audit</x:v>
      </x:c>
      <x:c r="E2306" s="339" t="str">
        <x:v>School Settings</x:v>
      </x:c>
      <x:c r="F2306" s="339" t="str">
        <x:v>Authorized access to School Settings</x:v>
      </x:c>
      <x:c r="G2306" s="339" t="str">
        <x:v>the IT Admin is authenticated and has access to School Settings</x:v>
      </x:c>
      <x:c r="H2306" s="339" t="str">
        <x:v>the user opens or invokes School Settings</x:v>
      </x:c>
      <x:c r="I2306" s="339" t="str">
        <x:v>the system loads only records and actions within the user's permitted tenant/school/data scope</x:v>
      </x:c>
      <x:c r="J2306" s="339" t="str">
        <x:v>Positive</x:v>
      </x:c>
      <x:c r="K2306" s="339" t="str">
        <x:v>Functional / Security</x:v>
      </x:c>
    </x:row>
    <x:row r="2307">
      <x:c r="A2307" s="339" t="str">
        <x:v>AC-02306</x:v>
      </x:c>
      <x:c r="B2307" s="339" t="str">
        <x:v>US-0577</x:v>
      </x:c>
      <x:c r="C2307" s="339" t="str">
        <x:v>SCR-289</x:v>
      </x:c>
      <x:c r="D2307" s="339" t="str">
        <x:v>Settings / Roles / Permissions / Audit</x:v>
      </x:c>
      <x:c r="E2307" s="339" t="str">
        <x:v>School Settings</x:v>
      </x:c>
      <x:c r="F2307" s="339" t="str">
        <x:v>Successful School Settings happy path</x:v>
      </x:c>
      <x:c r="G2307" s="339" t="str">
        <x:v>all mandatory prerequisites and valid data are available</x:v>
      </x:c>
      <x:c r="H2307" s="339" t="str">
        <x:v>the IT Admin completes the primary action on School Settings</x:v>
      </x:c>
      <x:c r="I2307" s="339" t="str">
        <x:v>the system validates the request, saves it atomically, shows a clear confirmation and reflects the updated state</x:v>
      </x:c>
      <x:c r="J2307" s="339" t="str">
        <x:v>Positive</x:v>
      </x:c>
      <x:c r="K2307" s="339" t="str">
        <x:v>Functional</x:v>
      </x:c>
    </x:row>
    <x:row r="2308">
      <x:c r="A2308" s="339" t="str">
        <x:v>AC-02307</x:v>
      </x:c>
      <x:c r="B2308" s="339" t="str">
        <x:v>US-0577</x:v>
      </x:c>
      <x:c r="C2308" s="339" t="str">
        <x:v>SCR-289</x:v>
      </x:c>
      <x:c r="D2308" s="339" t="str">
        <x:v>Settings / Roles / Permissions / Audit</x:v>
      </x:c>
      <x:c r="E2308" s="339" t="str">
        <x:v>School Settings</x:v>
      </x:c>
      <x:c r="F2308" s="339" t="str">
        <x:v>State and dependency integrity</x:v>
      </x:c>
      <x:c r="G2308" s="339" t="str">
        <x:v>the current record is in an allowed state (Draft / Proposed → Active → Revised / Inactive; audit entries are append-only)</x:v>
      </x:c>
      <x:c r="H2308" s="339" t="str">
        <x:v>the user attempts a state-changing action</x:v>
      </x:c>
      <x:c r="I2308" s="339" t="str">
        <x:v>only a valid transition is accepted and dependent records are updated according to configured business rules</x:v>
      </x:c>
      <x:c r="J2308" s="339" t="str">
        <x:v>Positive</x:v>
      </x:c>
      <x:c r="K2308" s="339" t="str">
        <x:v>Functional</x:v>
      </x:c>
    </x:row>
    <x:row r="2309">
      <x:c r="A2309" s="339" t="str">
        <x:v>AC-02308</x:v>
      </x:c>
      <x:c r="B2309" s="339" t="str">
        <x:v>US-0577</x:v>
      </x:c>
      <x:c r="C2309" s="339" t="str">
        <x:v>SCR-289</x:v>
      </x:c>
      <x:c r="D2309" s="339" t="str">
        <x:v>Settings / Roles / Permissions / Audit</x:v>
      </x:c>
      <x:c r="E2309" s="339" t="str">
        <x:v>School Settings</x:v>
      </x:c>
      <x:c r="F2309" s="339" t="str">
        <x:v>Auditability</x:v>
      </x:c>
      <x:c r="G2309" s="339" t="str">
        <x:v>a material create/update/approve/reverse action occurs</x:v>
      </x:c>
      <x:c r="H2309" s="339" t="str">
        <x:v>the transaction succeeds</x:v>
      </x:c>
      <x:c r="I2309" s="339" t="str">
        <x:v>the system records actor, timestamp, action, target and relevant before/after or reason context in the audit trail</x:v>
      </x:c>
      <x:c r="J2309" s="339" t="str">
        <x:v>Positive</x:v>
      </x:c>
      <x:c r="K2309" s="339" t="str">
        <x:v>Functional</x:v>
      </x:c>
    </x:row>
    <x:row r="2310">
      <x:c r="A2310" s="339" t="str">
        <x:v>AC-02309</x:v>
      </x:c>
      <x:c r="B2310" s="339" t="str">
        <x:v>US-0578</x:v>
      </x:c>
      <x:c r="C2310" s="339" t="str">
        <x:v>SCR-289</x:v>
      </x:c>
      <x:c r="D2310" s="339" t="str">
        <x:v>Settings / Roles / Permissions / Audit</x:v>
      </x:c>
      <x:c r="E2310" s="339" t="str">
        <x:v>School Settings</x:v>
      </x:c>
      <x:c r="F2310" s="339" t="str">
        <x:v>Dependency-safe change</x:v>
      </x:c>
      <x:c r="G2310" s="339" t="str">
        <x:v>the configuration is referenced by existing transactions</x:v>
      </x:c>
      <x:c r="H2310" s="339" t="str">
        <x:v>the user edits or deactivates it</x:v>
      </x:c>
      <x:c r="I2310" s="339" t="str">
        <x:v>the system prevents destructive changes and uses effective dating/inactivation/versioning as required</x:v>
      </x:c>
      <x:c r="J2310" s="339" t="str">
        <x:v>Positive</x:v>
      </x:c>
      <x:c r="K2310" s="339" t="str">
        <x:v>Functional</x:v>
      </x:c>
    </x:row>
    <x:row r="2311">
      <x:c r="A2311" s="339" t="str">
        <x:v>AC-02310</x:v>
      </x:c>
      <x:c r="B2311" s="339" t="str">
        <x:v>US-0578</x:v>
      </x:c>
      <x:c r="C2311" s="339" t="str">
        <x:v>SCR-289</x:v>
      </x:c>
      <x:c r="D2311" s="339" t="str">
        <x:v>Settings / Roles / Permissions / Audit</x:v>
      </x:c>
      <x:c r="E2311" s="339" t="str">
        <x:v>School Settings</x:v>
      </x:c>
      <x:c r="F2311" s="339" t="str">
        <x:v>No overlapping configuration</x:v>
      </x:c>
      <x:c r="G2311" s="339" t="str">
        <x:v>an active configuration already covers the same scope/date</x:v>
      </x:c>
      <x:c r="H2311" s="339" t="str">
        <x:v>the user creates another conflicting configuration</x:v>
      </x:c>
      <x:c r="I2311" s="339" t="str">
        <x:v>the system blocks the overlap or requires an authorized explicit resolution</x:v>
      </x:c>
      <x:c r="J2311" s="339" t="str">
        <x:v>Negative</x:v>
      </x:c>
      <x:c r="K2311" s="339" t="str">
        <x:v>Functional</x:v>
      </x:c>
    </x:row>
    <x:row r="2312">
      <x:c r="A2312" s="339" t="str">
        <x:v>AC-02311</x:v>
      </x:c>
      <x:c r="B2312" s="339" t="str">
        <x:v>US-0578</x:v>
      </x:c>
      <x:c r="C2312" s="339" t="str">
        <x:v>SCR-289</x:v>
      </x:c>
      <x:c r="D2312" s="339" t="str">
        <x:v>Settings / Roles / Permissions / Audit</x:v>
      </x:c>
      <x:c r="E2312" s="339" t="str">
        <x:v>School Settings</x:v>
      </x:c>
      <x:c r="F2312" s="339" t="str">
        <x:v>Permission control</x:v>
      </x:c>
      <x:c r="G2312" s="339" t="str">
        <x:v>a user lacks configuration permission</x:v>
      </x:c>
      <x:c r="H2312" s="339" t="str">
        <x:v>the user attempts to change settings</x:v>
      </x:c>
      <x:c r="I2312" s="339" t="str">
        <x:v>the system denies the update server-side and records the denied/high-risk event when required</x:v>
      </x:c>
      <x:c r="J2312" s="339" t="str">
        <x:v>Negative</x:v>
      </x:c>
      <x:c r="K2312" s="339" t="str">
        <x:v>Functional / Security</x:v>
      </x:c>
    </x:row>
    <x:row r="2313">
      <x:c r="A2313" s="339" t="str">
        <x:v>AC-02312</x:v>
      </x:c>
      <x:c r="B2313" s="339" t="str">
        <x:v>US-0578</x:v>
      </x:c>
      <x:c r="C2313" s="339" t="str">
        <x:v>SCR-289</x:v>
      </x:c>
      <x:c r="D2313" s="339" t="str">
        <x:v>Settings / Roles / Permissions / Audit</x:v>
      </x:c>
      <x:c r="E2313" s="339" t="str">
        <x:v>School Settings</x:v>
      </x:c>
      <x:c r="F2313" s="339" t="str">
        <x:v>Effective-time behavior</x:v>
      </x:c>
      <x:c r="G2313" s="339" t="str">
        <x:v>a configuration change has a future effective date</x:v>
      </x:c>
      <x:c r="H2313" s="339" t="str">
        <x:v>the change is saved</x:v>
      </x:c>
      <x:c r="I2313" s="339" t="str">
        <x:v>existing transactions use the current version until the effective time and new behavior starts predictably</x:v>
      </x:c>
      <x:c r="J2313" s="339" t="str">
        <x:v>Positive</x:v>
      </x:c>
      <x:c r="K2313" s="339" t="str">
        <x:v>Functional</x:v>
      </x:c>
    </x:row>
    <x:row r="2314">
      <x:c r="A2314" s="339" t="str">
        <x:v>AC-02313</x:v>
      </x:c>
      <x:c r="B2314" s="339" t="str">
        <x:v>US-0579</x:v>
      </x:c>
      <x:c r="C2314" s="339" t="str">
        <x:v>SCR-290</x:v>
      </x:c>
      <x:c r="D2314" s="339" t="str">
        <x:v>Settings / Roles / Permissions / Audit</x:v>
      </x:c>
      <x:c r="E2314" s="339" t="str">
        <x:v>Academic Settings</x:v>
      </x:c>
      <x:c r="F2314" s="339" t="str">
        <x:v>Authorized access to Academic Settings</x:v>
      </x:c>
      <x:c r="G2314" s="339" t="str">
        <x:v>the IT Admin is authenticated and has access to Academic Settings</x:v>
      </x:c>
      <x:c r="H2314" s="339" t="str">
        <x:v>the user opens or invokes Academic Settings</x:v>
      </x:c>
      <x:c r="I2314" s="339" t="str">
        <x:v>the system loads only records and actions within the user's permitted tenant/school/data scope</x:v>
      </x:c>
      <x:c r="J2314" s="339" t="str">
        <x:v>Positive</x:v>
      </x:c>
      <x:c r="K2314" s="339" t="str">
        <x:v>Functional / Security</x:v>
      </x:c>
    </x:row>
    <x:row r="2315">
      <x:c r="A2315" s="339" t="str">
        <x:v>AC-02314</x:v>
      </x:c>
      <x:c r="B2315" s="339" t="str">
        <x:v>US-0579</x:v>
      </x:c>
      <x:c r="C2315" s="339" t="str">
        <x:v>SCR-290</x:v>
      </x:c>
      <x:c r="D2315" s="339" t="str">
        <x:v>Settings / Roles / Permissions / Audit</x:v>
      </x:c>
      <x:c r="E2315" s="339" t="str">
        <x:v>Academic Settings</x:v>
      </x:c>
      <x:c r="F2315" s="339" t="str">
        <x:v>Successful Academic Settings happy path</x:v>
      </x:c>
      <x:c r="G2315" s="339" t="str">
        <x:v>all mandatory prerequisites and valid data are available</x:v>
      </x:c>
      <x:c r="H2315" s="339" t="str">
        <x:v>the IT Admin completes the primary action on Academic Settings</x:v>
      </x:c>
      <x:c r="I2315" s="339" t="str">
        <x:v>the system validates the request, saves it atomically, shows a clear confirmation and reflects the updated state</x:v>
      </x:c>
      <x:c r="J2315" s="339" t="str">
        <x:v>Positive</x:v>
      </x:c>
      <x:c r="K2315" s="339" t="str">
        <x:v>Functional</x:v>
      </x:c>
    </x:row>
    <x:row r="2316">
      <x:c r="A2316" s="339" t="str">
        <x:v>AC-02315</x:v>
      </x:c>
      <x:c r="B2316" s="339" t="str">
        <x:v>US-0579</x:v>
      </x:c>
      <x:c r="C2316" s="339" t="str">
        <x:v>SCR-290</x:v>
      </x:c>
      <x:c r="D2316" s="339" t="str">
        <x:v>Settings / Roles / Permissions / Audit</x:v>
      </x:c>
      <x:c r="E2316" s="339" t="str">
        <x:v>Academic Settings</x:v>
      </x:c>
      <x:c r="F2316" s="339" t="str">
        <x:v>State and dependency integrity</x:v>
      </x:c>
      <x:c r="G2316" s="339" t="str">
        <x:v>the current record is in an allowed state (Draft / Proposed → Active → Revised / Inactive; audit entries are append-only)</x:v>
      </x:c>
      <x:c r="H2316" s="339" t="str">
        <x:v>the user attempts a state-changing action</x:v>
      </x:c>
      <x:c r="I2316" s="339" t="str">
        <x:v>only a valid transition is accepted and dependent records are updated according to configured business rules</x:v>
      </x:c>
      <x:c r="J2316" s="339" t="str">
        <x:v>Positive</x:v>
      </x:c>
      <x:c r="K2316" s="339" t="str">
        <x:v>Functional</x:v>
      </x:c>
    </x:row>
    <x:row r="2317">
      <x:c r="A2317" s="339" t="str">
        <x:v>AC-02316</x:v>
      </x:c>
      <x:c r="B2317" s="339" t="str">
        <x:v>US-0579</x:v>
      </x:c>
      <x:c r="C2317" s="339" t="str">
        <x:v>SCR-290</x:v>
      </x:c>
      <x:c r="D2317" s="339" t="str">
        <x:v>Settings / Roles / Permissions / Audit</x:v>
      </x:c>
      <x:c r="E2317" s="339" t="str">
        <x:v>Academic Settings</x:v>
      </x:c>
      <x:c r="F2317" s="339" t="str">
        <x:v>Auditability</x:v>
      </x:c>
      <x:c r="G2317" s="339" t="str">
        <x:v>a material create/update/approve/reverse action occurs</x:v>
      </x:c>
      <x:c r="H2317" s="339" t="str">
        <x:v>the transaction succeeds</x:v>
      </x:c>
      <x:c r="I2317" s="339" t="str">
        <x:v>the system records actor, timestamp, action, target and relevant before/after or reason context in the audit trail</x:v>
      </x:c>
      <x:c r="J2317" s="339" t="str">
        <x:v>Positive</x:v>
      </x:c>
      <x:c r="K2317" s="339" t="str">
        <x:v>Functional</x:v>
      </x:c>
    </x:row>
    <x:row r="2318">
      <x:c r="A2318" s="339" t="str">
        <x:v>AC-02317</x:v>
      </x:c>
      <x:c r="B2318" s="339" t="str">
        <x:v>US-0580</x:v>
      </x:c>
      <x:c r="C2318" s="339" t="str">
        <x:v>SCR-290</x:v>
      </x:c>
      <x:c r="D2318" s="339" t="str">
        <x:v>Settings / Roles / Permissions / Audit</x:v>
      </x:c>
      <x:c r="E2318" s="339" t="str">
        <x:v>Academic Settings</x:v>
      </x:c>
      <x:c r="F2318" s="339" t="str">
        <x:v>Dependency-safe change</x:v>
      </x:c>
      <x:c r="G2318" s="339" t="str">
        <x:v>the configuration is referenced by existing transactions</x:v>
      </x:c>
      <x:c r="H2318" s="339" t="str">
        <x:v>the user edits or deactivates it</x:v>
      </x:c>
      <x:c r="I2318" s="339" t="str">
        <x:v>the system prevents destructive changes and uses effective dating/inactivation/versioning as required</x:v>
      </x:c>
      <x:c r="J2318" s="339" t="str">
        <x:v>Positive</x:v>
      </x:c>
      <x:c r="K2318" s="339" t="str">
        <x:v>Functional</x:v>
      </x:c>
    </x:row>
    <x:row r="2319">
      <x:c r="A2319" s="339" t="str">
        <x:v>AC-02318</x:v>
      </x:c>
      <x:c r="B2319" s="339" t="str">
        <x:v>US-0580</x:v>
      </x:c>
      <x:c r="C2319" s="339" t="str">
        <x:v>SCR-290</x:v>
      </x:c>
      <x:c r="D2319" s="339" t="str">
        <x:v>Settings / Roles / Permissions / Audit</x:v>
      </x:c>
      <x:c r="E2319" s="339" t="str">
        <x:v>Academic Settings</x:v>
      </x:c>
      <x:c r="F2319" s="339" t="str">
        <x:v>No overlapping configuration</x:v>
      </x:c>
      <x:c r="G2319" s="339" t="str">
        <x:v>an active configuration already covers the same scope/date</x:v>
      </x:c>
      <x:c r="H2319" s="339" t="str">
        <x:v>the user creates another conflicting configuration</x:v>
      </x:c>
      <x:c r="I2319" s="339" t="str">
        <x:v>the system blocks the overlap or requires an authorized explicit resolution</x:v>
      </x:c>
      <x:c r="J2319" s="339" t="str">
        <x:v>Negative</x:v>
      </x:c>
      <x:c r="K2319" s="339" t="str">
        <x:v>Functional</x:v>
      </x:c>
    </x:row>
    <x:row r="2320">
      <x:c r="A2320" s="339" t="str">
        <x:v>AC-02319</x:v>
      </x:c>
      <x:c r="B2320" s="339" t="str">
        <x:v>US-0580</x:v>
      </x:c>
      <x:c r="C2320" s="339" t="str">
        <x:v>SCR-290</x:v>
      </x:c>
      <x:c r="D2320" s="339" t="str">
        <x:v>Settings / Roles / Permissions / Audit</x:v>
      </x:c>
      <x:c r="E2320" s="339" t="str">
        <x:v>Academic Settings</x:v>
      </x:c>
      <x:c r="F2320" s="339" t="str">
        <x:v>Permission control</x:v>
      </x:c>
      <x:c r="G2320" s="339" t="str">
        <x:v>a user lacks configuration permission</x:v>
      </x:c>
      <x:c r="H2320" s="339" t="str">
        <x:v>the user attempts to change settings</x:v>
      </x:c>
      <x:c r="I2320" s="339" t="str">
        <x:v>the system denies the update server-side and records the denied/high-risk event when required</x:v>
      </x:c>
      <x:c r="J2320" s="339" t="str">
        <x:v>Negative</x:v>
      </x:c>
      <x:c r="K2320" s="339" t="str">
        <x:v>Functional / Security</x:v>
      </x:c>
    </x:row>
    <x:row r="2321">
      <x:c r="A2321" s="339" t="str">
        <x:v>AC-02320</x:v>
      </x:c>
      <x:c r="B2321" s="339" t="str">
        <x:v>US-0580</x:v>
      </x:c>
      <x:c r="C2321" s="339" t="str">
        <x:v>SCR-290</x:v>
      </x:c>
      <x:c r="D2321" s="339" t="str">
        <x:v>Settings / Roles / Permissions / Audit</x:v>
      </x:c>
      <x:c r="E2321" s="339" t="str">
        <x:v>Academic Settings</x:v>
      </x:c>
      <x:c r="F2321" s="339" t="str">
        <x:v>Effective-time behavior</x:v>
      </x:c>
      <x:c r="G2321" s="339" t="str">
        <x:v>a configuration change has a future effective date</x:v>
      </x:c>
      <x:c r="H2321" s="339" t="str">
        <x:v>the change is saved</x:v>
      </x:c>
      <x:c r="I2321" s="339" t="str">
        <x:v>existing transactions use the current version until the effective time and new behavior starts predictably</x:v>
      </x:c>
      <x:c r="J2321" s="339" t="str">
        <x:v>Positive</x:v>
      </x:c>
      <x:c r="K2321" s="339" t="str">
        <x:v>Functional</x:v>
      </x:c>
    </x:row>
    <x:row r="2322">
      <x:c r="A2322" s="339" t="str">
        <x:v>AC-02321</x:v>
      </x:c>
      <x:c r="B2322" s="339" t="str">
        <x:v>US-0581</x:v>
      </x:c>
      <x:c r="C2322" s="339" t="str">
        <x:v>SCR-291</x:v>
      </x:c>
      <x:c r="D2322" s="339" t="str">
        <x:v>Settings / Roles / Permissions / Audit</x:v>
      </x:c>
      <x:c r="E2322" s="339" t="str">
        <x:v>Notification Settings</x:v>
      </x:c>
      <x:c r="F2322" s="339" t="str">
        <x:v>Authorized access to Notification Settings</x:v>
      </x:c>
      <x:c r="G2322" s="339" t="str">
        <x:v>the IT Admin is authenticated and has access to Notification Settings</x:v>
      </x:c>
      <x:c r="H2322" s="339" t="str">
        <x:v>the user opens or invokes Notification Settings</x:v>
      </x:c>
      <x:c r="I2322" s="339" t="str">
        <x:v>the system loads only records and actions within the user's permitted tenant/school/data scope</x:v>
      </x:c>
      <x:c r="J2322" s="339" t="str">
        <x:v>Positive</x:v>
      </x:c>
      <x:c r="K2322" s="339" t="str">
        <x:v>Functional / Security</x:v>
      </x:c>
    </x:row>
    <x:row r="2323">
      <x:c r="A2323" s="339" t="str">
        <x:v>AC-02322</x:v>
      </x:c>
      <x:c r="B2323" s="339" t="str">
        <x:v>US-0581</x:v>
      </x:c>
      <x:c r="C2323" s="339" t="str">
        <x:v>SCR-291</x:v>
      </x:c>
      <x:c r="D2323" s="339" t="str">
        <x:v>Settings / Roles / Permissions / Audit</x:v>
      </x:c>
      <x:c r="E2323" s="339" t="str">
        <x:v>Notification Settings</x:v>
      </x:c>
      <x:c r="F2323" s="339" t="str">
        <x:v>Successful Notification Settings happy path</x:v>
      </x:c>
      <x:c r="G2323" s="339" t="str">
        <x:v>all mandatory prerequisites and valid data are available</x:v>
      </x:c>
      <x:c r="H2323" s="339" t="str">
        <x:v>the IT Admin completes the primary action on Notification Settings</x:v>
      </x:c>
      <x:c r="I2323" s="339" t="str">
        <x:v>the system validates the request, saves it atomically, shows a clear confirmation and reflects the updated state</x:v>
      </x:c>
      <x:c r="J2323" s="339" t="str">
        <x:v>Positive</x:v>
      </x:c>
      <x:c r="K2323" s="339" t="str">
        <x:v>Functional</x:v>
      </x:c>
    </x:row>
    <x:row r="2324">
      <x:c r="A2324" s="339" t="str">
        <x:v>AC-02323</x:v>
      </x:c>
      <x:c r="B2324" s="339" t="str">
        <x:v>US-0581</x:v>
      </x:c>
      <x:c r="C2324" s="339" t="str">
        <x:v>SCR-291</x:v>
      </x:c>
      <x:c r="D2324" s="339" t="str">
        <x:v>Settings / Roles / Permissions / Audit</x:v>
      </x:c>
      <x:c r="E2324" s="339" t="str">
        <x:v>Notification Settings</x:v>
      </x:c>
      <x:c r="F2324" s="339" t="str">
        <x:v>State and dependency integrity</x:v>
      </x:c>
      <x:c r="G2324" s="339" t="str">
        <x:v>the current record is in an allowed state (Draft / Proposed → Active → Revised / Inactive; audit entries are append-only)</x:v>
      </x:c>
      <x:c r="H2324" s="339" t="str">
        <x:v>the user attempts a state-changing action</x:v>
      </x:c>
      <x:c r="I2324" s="339" t="str">
        <x:v>only a valid transition is accepted and dependent records are updated according to configured business rules</x:v>
      </x:c>
      <x:c r="J2324" s="339" t="str">
        <x:v>Positive</x:v>
      </x:c>
      <x:c r="K2324" s="339" t="str">
        <x:v>Functional</x:v>
      </x:c>
    </x:row>
    <x:row r="2325">
      <x:c r="A2325" s="339" t="str">
        <x:v>AC-02324</x:v>
      </x:c>
      <x:c r="B2325" s="339" t="str">
        <x:v>US-0581</x:v>
      </x:c>
      <x:c r="C2325" s="339" t="str">
        <x:v>SCR-291</x:v>
      </x:c>
      <x:c r="D2325" s="339" t="str">
        <x:v>Settings / Roles / Permissions / Audit</x:v>
      </x:c>
      <x:c r="E2325" s="339" t="str">
        <x:v>Notification Settings</x:v>
      </x:c>
      <x:c r="F2325" s="339" t="str">
        <x:v>Auditability</x:v>
      </x:c>
      <x:c r="G2325" s="339" t="str">
        <x:v>a material create/update/approve/reverse action occurs</x:v>
      </x:c>
      <x:c r="H2325" s="339" t="str">
        <x:v>the transaction succeeds</x:v>
      </x:c>
      <x:c r="I2325" s="339" t="str">
        <x:v>the system records actor, timestamp, action, target and relevant before/after or reason context in the audit trail</x:v>
      </x:c>
      <x:c r="J2325" s="339" t="str">
        <x:v>Positive</x:v>
      </x:c>
      <x:c r="K2325" s="339" t="str">
        <x:v>Functional</x:v>
      </x:c>
    </x:row>
    <x:row r="2326">
      <x:c r="A2326" s="339" t="str">
        <x:v>AC-02325</x:v>
      </x:c>
      <x:c r="B2326" s="339" t="str">
        <x:v>US-0582</x:v>
      </x:c>
      <x:c r="C2326" s="339" t="str">
        <x:v>SCR-291</x:v>
      </x:c>
      <x:c r="D2326" s="339" t="str">
        <x:v>Settings / Roles / Permissions / Audit</x:v>
      </x:c>
      <x:c r="E2326" s="339" t="str">
        <x:v>Notification Settings</x:v>
      </x:c>
      <x:c r="F2326" s="339" t="str">
        <x:v>Dependency-safe change</x:v>
      </x:c>
      <x:c r="G2326" s="339" t="str">
        <x:v>the configuration is referenced by existing transactions</x:v>
      </x:c>
      <x:c r="H2326" s="339" t="str">
        <x:v>the user edits or deactivates it</x:v>
      </x:c>
      <x:c r="I2326" s="339" t="str">
        <x:v>the system prevents destructive changes and uses effective dating/inactivation/versioning as required</x:v>
      </x:c>
      <x:c r="J2326" s="339" t="str">
        <x:v>Positive</x:v>
      </x:c>
      <x:c r="K2326" s="339" t="str">
        <x:v>Functional</x:v>
      </x:c>
    </x:row>
    <x:row r="2327">
      <x:c r="A2327" s="339" t="str">
        <x:v>AC-02326</x:v>
      </x:c>
      <x:c r="B2327" s="339" t="str">
        <x:v>US-0582</x:v>
      </x:c>
      <x:c r="C2327" s="339" t="str">
        <x:v>SCR-291</x:v>
      </x:c>
      <x:c r="D2327" s="339" t="str">
        <x:v>Settings / Roles / Permissions / Audit</x:v>
      </x:c>
      <x:c r="E2327" s="339" t="str">
        <x:v>Notification Settings</x:v>
      </x:c>
      <x:c r="F2327" s="339" t="str">
        <x:v>No overlapping configuration</x:v>
      </x:c>
      <x:c r="G2327" s="339" t="str">
        <x:v>an active configuration already covers the same scope/date</x:v>
      </x:c>
      <x:c r="H2327" s="339" t="str">
        <x:v>the user creates another conflicting configuration</x:v>
      </x:c>
      <x:c r="I2327" s="339" t="str">
        <x:v>the system blocks the overlap or requires an authorized explicit resolution</x:v>
      </x:c>
      <x:c r="J2327" s="339" t="str">
        <x:v>Negative</x:v>
      </x:c>
      <x:c r="K2327" s="339" t="str">
        <x:v>Functional</x:v>
      </x:c>
    </x:row>
    <x:row r="2328">
      <x:c r="A2328" s="339" t="str">
        <x:v>AC-02327</x:v>
      </x:c>
      <x:c r="B2328" s="339" t="str">
        <x:v>US-0582</x:v>
      </x:c>
      <x:c r="C2328" s="339" t="str">
        <x:v>SCR-291</x:v>
      </x:c>
      <x:c r="D2328" s="339" t="str">
        <x:v>Settings / Roles / Permissions / Audit</x:v>
      </x:c>
      <x:c r="E2328" s="339" t="str">
        <x:v>Notification Settings</x:v>
      </x:c>
      <x:c r="F2328" s="339" t="str">
        <x:v>Permission control</x:v>
      </x:c>
      <x:c r="G2328" s="339" t="str">
        <x:v>a user lacks configuration permission</x:v>
      </x:c>
      <x:c r="H2328" s="339" t="str">
        <x:v>the user attempts to change settings</x:v>
      </x:c>
      <x:c r="I2328" s="339" t="str">
        <x:v>the system denies the update server-side and records the denied/high-risk event when required</x:v>
      </x:c>
      <x:c r="J2328" s="339" t="str">
        <x:v>Negative</x:v>
      </x:c>
      <x:c r="K2328" s="339" t="str">
        <x:v>Functional / Security</x:v>
      </x:c>
    </x:row>
    <x:row r="2329">
      <x:c r="A2329" s="339" t="str">
        <x:v>AC-02328</x:v>
      </x:c>
      <x:c r="B2329" s="339" t="str">
        <x:v>US-0582</x:v>
      </x:c>
      <x:c r="C2329" s="339" t="str">
        <x:v>SCR-291</x:v>
      </x:c>
      <x:c r="D2329" s="339" t="str">
        <x:v>Settings / Roles / Permissions / Audit</x:v>
      </x:c>
      <x:c r="E2329" s="339" t="str">
        <x:v>Notification Settings</x:v>
      </x:c>
      <x:c r="F2329" s="339" t="str">
        <x:v>Effective-time behavior</x:v>
      </x:c>
      <x:c r="G2329" s="339" t="str">
        <x:v>a configuration change has a future effective date</x:v>
      </x:c>
      <x:c r="H2329" s="339" t="str">
        <x:v>the change is saved</x:v>
      </x:c>
      <x:c r="I2329" s="339" t="str">
        <x:v>existing transactions use the current version until the effective time and new behavior starts predictably</x:v>
      </x:c>
      <x:c r="J2329" s="339" t="str">
        <x:v>Positive</x:v>
      </x:c>
      <x:c r="K2329" s="339" t="str">
        <x:v>Functional</x:v>
      </x:c>
    </x:row>
    <x:row r="2330">
      <x:c r="A2330" s="339" t="str">
        <x:v>AC-02329</x:v>
      </x:c>
      <x:c r="B2330" s="339" t="str">
        <x:v>US-0583</x:v>
      </x:c>
      <x:c r="C2330" s="339" t="str">
        <x:v>SCR-292</x:v>
      </x:c>
      <x:c r="D2330" s="339" t="str">
        <x:v>Settings / Roles / Permissions / Audit</x:v>
      </x:c>
      <x:c r="E2330" s="339" t="str">
        <x:v>Integration / API Settings</x:v>
      </x:c>
      <x:c r="F2330" s="339" t="str">
        <x:v>Authorized access to Integration / API Settings</x:v>
      </x:c>
      <x:c r="G2330" s="339" t="str">
        <x:v>the IT Admin is authenticated and has access to Integration / API Settings</x:v>
      </x:c>
      <x:c r="H2330" s="339" t="str">
        <x:v>the user opens or invokes Integration / API Settings</x:v>
      </x:c>
      <x:c r="I2330" s="339" t="str">
        <x:v>the system loads only records and actions within the user's permitted tenant/school/data scope</x:v>
      </x:c>
      <x:c r="J2330" s="339" t="str">
        <x:v>Positive</x:v>
      </x:c>
      <x:c r="K2330" s="339" t="str">
        <x:v>Functional / Security</x:v>
      </x:c>
    </x:row>
    <x:row r="2331">
      <x:c r="A2331" s="339" t="str">
        <x:v>AC-02330</x:v>
      </x:c>
      <x:c r="B2331" s="339" t="str">
        <x:v>US-0583</x:v>
      </x:c>
      <x:c r="C2331" s="339" t="str">
        <x:v>SCR-292</x:v>
      </x:c>
      <x:c r="D2331" s="339" t="str">
        <x:v>Settings / Roles / Permissions / Audit</x:v>
      </x:c>
      <x:c r="E2331" s="339" t="str">
        <x:v>Integration / API Settings</x:v>
      </x:c>
      <x:c r="F2331" s="339" t="str">
        <x:v>Successful Integration / API Settings happy path</x:v>
      </x:c>
      <x:c r="G2331" s="339" t="str">
        <x:v>all mandatory prerequisites and valid data are available</x:v>
      </x:c>
      <x:c r="H2331" s="339" t="str">
        <x:v>the IT Admin completes the primary action on Integration / API Settings</x:v>
      </x:c>
      <x:c r="I2331" s="339" t="str">
        <x:v>the system validates the request, saves it atomically, shows a clear confirmation and reflects the updated state</x:v>
      </x:c>
      <x:c r="J2331" s="339" t="str">
        <x:v>Positive</x:v>
      </x:c>
      <x:c r="K2331" s="339" t="str">
        <x:v>Functional</x:v>
      </x:c>
    </x:row>
    <x:row r="2332">
      <x:c r="A2332" s="339" t="str">
        <x:v>AC-02331</x:v>
      </x:c>
      <x:c r="B2332" s="339" t="str">
        <x:v>US-0583</x:v>
      </x:c>
      <x:c r="C2332" s="339" t="str">
        <x:v>SCR-292</x:v>
      </x:c>
      <x:c r="D2332" s="339" t="str">
        <x:v>Settings / Roles / Permissions / Audit</x:v>
      </x:c>
      <x:c r="E2332" s="339" t="str">
        <x:v>Integration / API Settings</x:v>
      </x:c>
      <x:c r="F2332" s="339" t="str">
        <x:v>State and dependency integrity</x:v>
      </x:c>
      <x:c r="G2332" s="339" t="str">
        <x:v>the current record is in an allowed state (Draft / Proposed → Active → Revised / Inactive; audit entries are append-only)</x:v>
      </x:c>
      <x:c r="H2332" s="339" t="str">
        <x:v>the user attempts a state-changing action</x:v>
      </x:c>
      <x:c r="I2332" s="339" t="str">
        <x:v>only a valid transition is accepted and dependent records are updated according to configured business rules</x:v>
      </x:c>
      <x:c r="J2332" s="339" t="str">
        <x:v>Positive</x:v>
      </x:c>
      <x:c r="K2332" s="339" t="str">
        <x:v>Functional</x:v>
      </x:c>
    </x:row>
    <x:row r="2333">
      <x:c r="A2333" s="339" t="str">
        <x:v>AC-02332</x:v>
      </x:c>
      <x:c r="B2333" s="339" t="str">
        <x:v>US-0583</x:v>
      </x:c>
      <x:c r="C2333" s="339" t="str">
        <x:v>SCR-292</x:v>
      </x:c>
      <x:c r="D2333" s="339" t="str">
        <x:v>Settings / Roles / Permissions / Audit</x:v>
      </x:c>
      <x:c r="E2333" s="339" t="str">
        <x:v>Integration / API Settings</x:v>
      </x:c>
      <x:c r="F2333" s="339" t="str">
        <x:v>Auditability</x:v>
      </x:c>
      <x:c r="G2333" s="339" t="str">
        <x:v>a material create/update/approve/reverse action occurs</x:v>
      </x:c>
      <x:c r="H2333" s="339" t="str">
        <x:v>the transaction succeeds</x:v>
      </x:c>
      <x:c r="I2333" s="339" t="str">
        <x:v>the system records actor, timestamp, action, target and relevant before/after or reason context in the audit trail</x:v>
      </x:c>
      <x:c r="J2333" s="339" t="str">
        <x:v>Positive</x:v>
      </x:c>
      <x:c r="K2333" s="339" t="str">
        <x:v>Functional</x:v>
      </x:c>
    </x:row>
    <x:row r="2334">
      <x:c r="A2334" s="339" t="str">
        <x:v>AC-02333</x:v>
      </x:c>
      <x:c r="B2334" s="339" t="str">
        <x:v>US-0584</x:v>
      </x:c>
      <x:c r="C2334" s="339" t="str">
        <x:v>SCR-292</x:v>
      </x:c>
      <x:c r="D2334" s="339" t="str">
        <x:v>Settings / Roles / Permissions / Audit</x:v>
      </x:c>
      <x:c r="E2334" s="339" t="str">
        <x:v>Integration / API Settings</x:v>
      </x:c>
      <x:c r="F2334" s="339" t="str">
        <x:v>Dependency-safe change</x:v>
      </x:c>
      <x:c r="G2334" s="339" t="str">
        <x:v>the configuration is referenced by existing transactions</x:v>
      </x:c>
      <x:c r="H2334" s="339" t="str">
        <x:v>the user edits or deactivates it</x:v>
      </x:c>
      <x:c r="I2334" s="339" t="str">
        <x:v>the system prevents destructive changes and uses effective dating/inactivation/versioning as required</x:v>
      </x:c>
      <x:c r="J2334" s="339" t="str">
        <x:v>Positive</x:v>
      </x:c>
      <x:c r="K2334" s="339" t="str">
        <x:v>Functional</x:v>
      </x:c>
    </x:row>
    <x:row r="2335">
      <x:c r="A2335" s="339" t="str">
        <x:v>AC-02334</x:v>
      </x:c>
      <x:c r="B2335" s="339" t="str">
        <x:v>US-0584</x:v>
      </x:c>
      <x:c r="C2335" s="339" t="str">
        <x:v>SCR-292</x:v>
      </x:c>
      <x:c r="D2335" s="339" t="str">
        <x:v>Settings / Roles / Permissions / Audit</x:v>
      </x:c>
      <x:c r="E2335" s="339" t="str">
        <x:v>Integration / API Settings</x:v>
      </x:c>
      <x:c r="F2335" s="339" t="str">
        <x:v>No overlapping configuration</x:v>
      </x:c>
      <x:c r="G2335" s="339" t="str">
        <x:v>an active configuration already covers the same scope/date</x:v>
      </x:c>
      <x:c r="H2335" s="339" t="str">
        <x:v>the user creates another conflicting configuration</x:v>
      </x:c>
      <x:c r="I2335" s="339" t="str">
        <x:v>the system blocks the overlap or requires an authorized explicit resolution</x:v>
      </x:c>
      <x:c r="J2335" s="339" t="str">
        <x:v>Negative</x:v>
      </x:c>
      <x:c r="K2335" s="339" t="str">
        <x:v>Functional</x:v>
      </x:c>
    </x:row>
    <x:row r="2336">
      <x:c r="A2336" s="339" t="str">
        <x:v>AC-02335</x:v>
      </x:c>
      <x:c r="B2336" s="339" t="str">
        <x:v>US-0584</x:v>
      </x:c>
      <x:c r="C2336" s="339" t="str">
        <x:v>SCR-292</x:v>
      </x:c>
      <x:c r="D2336" s="339" t="str">
        <x:v>Settings / Roles / Permissions / Audit</x:v>
      </x:c>
      <x:c r="E2336" s="339" t="str">
        <x:v>Integration / API Settings</x:v>
      </x:c>
      <x:c r="F2336" s="339" t="str">
        <x:v>Permission control</x:v>
      </x:c>
      <x:c r="G2336" s="339" t="str">
        <x:v>a user lacks configuration permission</x:v>
      </x:c>
      <x:c r="H2336" s="339" t="str">
        <x:v>the user attempts to change settings</x:v>
      </x:c>
      <x:c r="I2336" s="339" t="str">
        <x:v>the system denies the update server-side and records the denied/high-risk event when required</x:v>
      </x:c>
      <x:c r="J2336" s="339" t="str">
        <x:v>Negative</x:v>
      </x:c>
      <x:c r="K2336" s="339" t="str">
        <x:v>Functional / Security</x:v>
      </x:c>
    </x:row>
    <x:row r="2337">
      <x:c r="A2337" s="339" t="str">
        <x:v>AC-02336</x:v>
      </x:c>
      <x:c r="B2337" s="339" t="str">
        <x:v>US-0584</x:v>
      </x:c>
      <x:c r="C2337" s="339" t="str">
        <x:v>SCR-292</x:v>
      </x:c>
      <x:c r="D2337" s="339" t="str">
        <x:v>Settings / Roles / Permissions / Audit</x:v>
      </x:c>
      <x:c r="E2337" s="339" t="str">
        <x:v>Integration / API Settings</x:v>
      </x:c>
      <x:c r="F2337" s="339" t="str">
        <x:v>Effective-time behavior</x:v>
      </x:c>
      <x:c r="G2337" s="339" t="str">
        <x:v>a configuration change has a future effective date</x:v>
      </x:c>
      <x:c r="H2337" s="339" t="str">
        <x:v>the change is saved</x:v>
      </x:c>
      <x:c r="I2337" s="339" t="str">
        <x:v>existing transactions use the current version until the effective time and new behavior starts predictably</x:v>
      </x:c>
      <x:c r="J2337" s="339" t="str">
        <x:v>Positive</x:v>
      </x:c>
      <x:c r="K2337" s="339" t="str">
        <x:v>Functional</x:v>
      </x:c>
    </x:row>
    <x:row r="2338">
      <x:c r="A2338" s="339" t="str">
        <x:v>AC-02337</x:v>
      </x:c>
      <x:c r="B2338" s="339" t="str">
        <x:v>US-0585</x:v>
      </x:c>
      <x:c r="C2338" s="339" t="str">
        <x:v>SCR-293</x:v>
      </x:c>
      <x:c r="D2338" s="339" t="str">
        <x:v>Settings / Roles / Permissions / Audit</x:v>
      </x:c>
      <x:c r="E2338" s="339" t="str">
        <x:v>Security &amp; Password Policy</x:v>
      </x:c>
      <x:c r="F2338" s="339" t="str">
        <x:v>Authorized access to Security &amp; Password Policy</x:v>
      </x:c>
      <x:c r="G2338" s="339" t="str">
        <x:v>the IT Admin is authenticated and has access to Security &amp; Password Policy</x:v>
      </x:c>
      <x:c r="H2338" s="339" t="str">
        <x:v>the user opens or invokes Security &amp; Password Policy</x:v>
      </x:c>
      <x:c r="I2338" s="339" t="str">
        <x:v>the system loads only records and actions within the user's permitted tenant/school/data scope</x:v>
      </x:c>
      <x:c r="J2338" s="339" t="str">
        <x:v>Positive</x:v>
      </x:c>
      <x:c r="K2338" s="339" t="str">
        <x:v>Functional / Security</x:v>
      </x:c>
    </x:row>
    <x:row r="2339">
      <x:c r="A2339" s="339" t="str">
        <x:v>AC-02338</x:v>
      </x:c>
      <x:c r="B2339" s="339" t="str">
        <x:v>US-0585</x:v>
      </x:c>
      <x:c r="C2339" s="339" t="str">
        <x:v>SCR-293</x:v>
      </x:c>
      <x:c r="D2339" s="339" t="str">
        <x:v>Settings / Roles / Permissions / Audit</x:v>
      </x:c>
      <x:c r="E2339" s="339" t="str">
        <x:v>Security &amp; Password Policy</x:v>
      </x:c>
      <x:c r="F2339" s="339" t="str">
        <x:v>Successful Security &amp; Password Policy happy path</x:v>
      </x:c>
      <x:c r="G2339" s="339" t="str">
        <x:v>all mandatory prerequisites and valid data are available</x:v>
      </x:c>
      <x:c r="H2339" s="339" t="str">
        <x:v>the IT Admin completes the primary action on Security &amp; Password Policy</x:v>
      </x:c>
      <x:c r="I2339" s="339" t="str">
        <x:v>the system validates the request, saves it atomically, shows a clear confirmation and reflects the updated state</x:v>
      </x:c>
      <x:c r="J2339" s="339" t="str">
        <x:v>Positive</x:v>
      </x:c>
      <x:c r="K2339" s="339" t="str">
        <x:v>Functional</x:v>
      </x:c>
    </x:row>
    <x:row r="2340">
      <x:c r="A2340" s="339" t="str">
        <x:v>AC-02339</x:v>
      </x:c>
      <x:c r="B2340" s="339" t="str">
        <x:v>US-0585</x:v>
      </x:c>
      <x:c r="C2340" s="339" t="str">
        <x:v>SCR-293</x:v>
      </x:c>
      <x:c r="D2340" s="339" t="str">
        <x:v>Settings / Roles / Permissions / Audit</x:v>
      </x:c>
      <x:c r="E2340" s="339" t="str">
        <x:v>Security &amp; Password Policy</x:v>
      </x:c>
      <x:c r="F2340" s="339" t="str">
        <x:v>State and dependency integrity</x:v>
      </x:c>
      <x:c r="G2340" s="339" t="str">
        <x:v>the current record is in an allowed state (Draft / Proposed → Active → Revised / Inactive; audit entries are append-only)</x:v>
      </x:c>
      <x:c r="H2340" s="339" t="str">
        <x:v>the user attempts a state-changing action</x:v>
      </x:c>
      <x:c r="I2340" s="339" t="str">
        <x:v>only a valid transition is accepted and dependent records are updated according to configured business rules</x:v>
      </x:c>
      <x:c r="J2340" s="339" t="str">
        <x:v>Positive</x:v>
      </x:c>
      <x:c r="K2340" s="339" t="str">
        <x:v>Functional</x:v>
      </x:c>
    </x:row>
    <x:row r="2341">
      <x:c r="A2341" s="339" t="str">
        <x:v>AC-02340</x:v>
      </x:c>
      <x:c r="B2341" s="339" t="str">
        <x:v>US-0585</x:v>
      </x:c>
      <x:c r="C2341" s="339" t="str">
        <x:v>SCR-293</x:v>
      </x:c>
      <x:c r="D2341" s="339" t="str">
        <x:v>Settings / Roles / Permissions / Audit</x:v>
      </x:c>
      <x:c r="E2341" s="339" t="str">
        <x:v>Security &amp; Password Policy</x:v>
      </x:c>
      <x:c r="F2341" s="339" t="str">
        <x:v>Auditability</x:v>
      </x:c>
      <x:c r="G2341" s="339" t="str">
        <x:v>a material create/update/approve/reverse action occurs</x:v>
      </x:c>
      <x:c r="H2341" s="339" t="str">
        <x:v>the transaction succeeds</x:v>
      </x:c>
      <x:c r="I2341" s="339" t="str">
        <x:v>the system records actor, timestamp, action, target and relevant before/after or reason context in the audit trail</x:v>
      </x:c>
      <x:c r="J2341" s="339" t="str">
        <x:v>Positive</x:v>
      </x:c>
      <x:c r="K2341" s="339" t="str">
        <x:v>Functional</x:v>
      </x:c>
    </x:row>
    <x:row r="2342">
      <x:c r="A2342" s="339" t="str">
        <x:v>AC-02341</x:v>
      </x:c>
      <x:c r="B2342" s="339" t="str">
        <x:v>US-0586</x:v>
      </x:c>
      <x:c r="C2342" s="339" t="str">
        <x:v>SCR-293</x:v>
      </x:c>
      <x:c r="D2342" s="339" t="str">
        <x:v>Settings / Roles / Permissions / Audit</x:v>
      </x:c>
      <x:c r="E2342" s="339" t="str">
        <x:v>Security &amp; Password Policy</x:v>
      </x:c>
      <x:c r="F2342" s="339" t="str">
        <x:v>Dependency-safe change</x:v>
      </x:c>
      <x:c r="G2342" s="339" t="str">
        <x:v>the configuration is referenced by existing transactions</x:v>
      </x:c>
      <x:c r="H2342" s="339" t="str">
        <x:v>the user edits or deactivates it</x:v>
      </x:c>
      <x:c r="I2342" s="339" t="str">
        <x:v>the system prevents destructive changes and uses effective dating/inactivation/versioning as required</x:v>
      </x:c>
      <x:c r="J2342" s="339" t="str">
        <x:v>Positive</x:v>
      </x:c>
      <x:c r="K2342" s="339" t="str">
        <x:v>Functional</x:v>
      </x:c>
    </x:row>
    <x:row r="2343">
      <x:c r="A2343" s="339" t="str">
        <x:v>AC-02342</x:v>
      </x:c>
      <x:c r="B2343" s="339" t="str">
        <x:v>US-0586</x:v>
      </x:c>
      <x:c r="C2343" s="339" t="str">
        <x:v>SCR-293</x:v>
      </x:c>
      <x:c r="D2343" s="339" t="str">
        <x:v>Settings / Roles / Permissions / Audit</x:v>
      </x:c>
      <x:c r="E2343" s="339" t="str">
        <x:v>Security &amp; Password Policy</x:v>
      </x:c>
      <x:c r="F2343" s="339" t="str">
        <x:v>No overlapping configuration</x:v>
      </x:c>
      <x:c r="G2343" s="339" t="str">
        <x:v>an active configuration already covers the same scope/date</x:v>
      </x:c>
      <x:c r="H2343" s="339" t="str">
        <x:v>the user creates another conflicting configuration</x:v>
      </x:c>
      <x:c r="I2343" s="339" t="str">
        <x:v>the system blocks the overlap or requires an authorized explicit resolution</x:v>
      </x:c>
      <x:c r="J2343" s="339" t="str">
        <x:v>Negative</x:v>
      </x:c>
      <x:c r="K2343" s="339" t="str">
        <x:v>Functional</x:v>
      </x:c>
    </x:row>
    <x:row r="2344">
      <x:c r="A2344" s="339" t="str">
        <x:v>AC-02343</x:v>
      </x:c>
      <x:c r="B2344" s="339" t="str">
        <x:v>US-0586</x:v>
      </x:c>
      <x:c r="C2344" s="339" t="str">
        <x:v>SCR-293</x:v>
      </x:c>
      <x:c r="D2344" s="339" t="str">
        <x:v>Settings / Roles / Permissions / Audit</x:v>
      </x:c>
      <x:c r="E2344" s="339" t="str">
        <x:v>Security &amp; Password Policy</x:v>
      </x:c>
      <x:c r="F2344" s="339" t="str">
        <x:v>Permission control</x:v>
      </x:c>
      <x:c r="G2344" s="339" t="str">
        <x:v>a user lacks configuration permission</x:v>
      </x:c>
      <x:c r="H2344" s="339" t="str">
        <x:v>the user attempts to change settings</x:v>
      </x:c>
      <x:c r="I2344" s="339" t="str">
        <x:v>the system denies the update server-side and records the denied/high-risk event when required</x:v>
      </x:c>
      <x:c r="J2344" s="339" t="str">
        <x:v>Negative</x:v>
      </x:c>
      <x:c r="K2344" s="339" t="str">
        <x:v>Functional / Security</x:v>
      </x:c>
    </x:row>
    <x:row r="2345">
      <x:c r="A2345" s="339" t="str">
        <x:v>AC-02344</x:v>
      </x:c>
      <x:c r="B2345" s="339" t="str">
        <x:v>US-0586</x:v>
      </x:c>
      <x:c r="C2345" s="339" t="str">
        <x:v>SCR-293</x:v>
      </x:c>
      <x:c r="D2345" s="339" t="str">
        <x:v>Settings / Roles / Permissions / Audit</x:v>
      </x:c>
      <x:c r="E2345" s="339" t="str">
        <x:v>Security &amp; Password Policy</x:v>
      </x:c>
      <x:c r="F2345" s="339" t="str">
        <x:v>Effective-time behavior</x:v>
      </x:c>
      <x:c r="G2345" s="339" t="str">
        <x:v>a configuration change has a future effective date</x:v>
      </x:c>
      <x:c r="H2345" s="339" t="str">
        <x:v>the change is saved</x:v>
      </x:c>
      <x:c r="I2345" s="339" t="str">
        <x:v>existing transactions use the current version until the effective time and new behavior starts predictably</x:v>
      </x:c>
      <x:c r="J2345" s="339" t="str">
        <x:v>Positive</x:v>
      </x:c>
      <x:c r="K2345" s="339" t="str">
        <x:v>Functional</x:v>
      </x:c>
    </x:row>
    <x:row r="2346">
      <x:c r="A2346" s="339" t="str">
        <x:v>AC-02345</x:v>
      </x:c>
      <x:c r="B2346" s="339" t="str">
        <x:v>US-0587</x:v>
      </x:c>
      <x:c r="C2346" s="339" t="str">
        <x:v>SCR-294</x:v>
      </x:c>
      <x:c r="D2346" s="339" t="str">
        <x:v>Settings / Roles / Permissions / Audit</x:v>
      </x:c>
      <x:c r="E2346" s="339" t="str">
        <x:v>Audit Logs</x:v>
      </x:c>
      <x:c r="F2346" s="339" t="str">
        <x:v>Authorized access to Audit Logs</x:v>
      </x:c>
      <x:c r="G2346" s="339" t="str">
        <x:v>the IT Admin is authenticated and has access to Audit Logs</x:v>
      </x:c>
      <x:c r="H2346" s="339" t="str">
        <x:v>the user opens or invokes Audit Logs</x:v>
      </x:c>
      <x:c r="I2346" s="339" t="str">
        <x:v>the system loads only records and actions within the user's permitted tenant/school/data scope</x:v>
      </x:c>
      <x:c r="J2346" s="339" t="str">
        <x:v>Positive</x:v>
      </x:c>
      <x:c r="K2346" s="339" t="str">
        <x:v>Functional / Security</x:v>
      </x:c>
    </x:row>
    <x:row r="2347">
      <x:c r="A2347" s="339" t="str">
        <x:v>AC-02346</x:v>
      </x:c>
      <x:c r="B2347" s="339" t="str">
        <x:v>US-0587</x:v>
      </x:c>
      <x:c r="C2347" s="339" t="str">
        <x:v>SCR-294</x:v>
      </x:c>
      <x:c r="D2347" s="339" t="str">
        <x:v>Settings / Roles / Permissions / Audit</x:v>
      </x:c>
      <x:c r="E2347" s="339" t="str">
        <x:v>Audit Logs</x:v>
      </x:c>
      <x:c r="F2347" s="339" t="str">
        <x:v>Successful Audit Logs happy path</x:v>
      </x:c>
      <x:c r="G2347" s="339" t="str">
        <x:v>all mandatory prerequisites and valid data are available</x:v>
      </x:c>
      <x:c r="H2347" s="339" t="str">
        <x:v>the IT Admin completes the primary action on Audit Logs</x:v>
      </x:c>
      <x:c r="I2347" s="339" t="str">
        <x:v>the system validates the request, saves it atomically, shows a clear confirmation and reflects the updated state</x:v>
      </x:c>
      <x:c r="J2347" s="339" t="str">
        <x:v>Positive</x:v>
      </x:c>
      <x:c r="K2347" s="339" t="str">
        <x:v>Functional</x:v>
      </x:c>
    </x:row>
    <x:row r="2348">
      <x:c r="A2348" s="339" t="str">
        <x:v>AC-02347</x:v>
      </x:c>
      <x:c r="B2348" s="339" t="str">
        <x:v>US-0587</x:v>
      </x:c>
      <x:c r="C2348" s="339" t="str">
        <x:v>SCR-294</x:v>
      </x:c>
      <x:c r="D2348" s="339" t="str">
        <x:v>Settings / Roles / Permissions / Audit</x:v>
      </x:c>
      <x:c r="E2348" s="339" t="str">
        <x:v>Audit Logs</x:v>
      </x:c>
      <x:c r="F2348" s="339" t="str">
        <x:v>State and dependency integrity</x:v>
      </x:c>
      <x:c r="G2348" s="339" t="str">
        <x:v>the current record is in an allowed state (Draft / Proposed → Active → Revised / Inactive; audit entries are append-only)</x:v>
      </x:c>
      <x:c r="H2348" s="339" t="str">
        <x:v>the user attempts a state-changing action</x:v>
      </x:c>
      <x:c r="I2348" s="339" t="str">
        <x:v>only a valid transition is accepted and dependent records are updated according to configured business rules</x:v>
      </x:c>
      <x:c r="J2348" s="339" t="str">
        <x:v>Positive</x:v>
      </x:c>
      <x:c r="K2348" s="339" t="str">
        <x:v>Functional</x:v>
      </x:c>
    </x:row>
    <x:row r="2349">
      <x:c r="A2349" s="339" t="str">
        <x:v>AC-02348</x:v>
      </x:c>
      <x:c r="B2349" s="339" t="str">
        <x:v>US-0587</x:v>
      </x:c>
      <x:c r="C2349" s="339" t="str">
        <x:v>SCR-294</x:v>
      </x:c>
      <x:c r="D2349" s="339" t="str">
        <x:v>Settings / Roles / Permissions / Audit</x:v>
      </x:c>
      <x:c r="E2349" s="339" t="str">
        <x:v>Audit Logs</x:v>
      </x:c>
      <x:c r="F2349" s="339" t="str">
        <x:v>Auditability</x:v>
      </x:c>
      <x:c r="G2349" s="339" t="str">
        <x:v>a material create/update/approve/reverse action occurs</x:v>
      </x:c>
      <x:c r="H2349" s="339" t="str">
        <x:v>the transaction succeeds</x:v>
      </x:c>
      <x:c r="I2349" s="339" t="str">
        <x:v>the system records actor, timestamp, action, target and relevant before/after or reason context in the audit trail</x:v>
      </x:c>
      <x:c r="J2349" s="339" t="str">
        <x:v>Positive</x:v>
      </x:c>
      <x:c r="K2349" s="339" t="str">
        <x:v>Functional</x:v>
      </x:c>
    </x:row>
    <x:row r="2350">
      <x:c r="A2350" s="339" t="str">
        <x:v>AC-02349</x:v>
      </x:c>
      <x:c r="B2350" s="339" t="str">
        <x:v>US-0588</x:v>
      </x:c>
      <x:c r="C2350" s="339" t="str">
        <x:v>SCR-294</x:v>
      </x:c>
      <x:c r="D2350" s="339" t="str">
        <x:v>Settings / Roles / Permissions / Audit</x:v>
      </x:c>
      <x:c r="E2350" s="339" t="str">
        <x:v>Audit Logs</x:v>
      </x:c>
      <x:c r="F2350" s="339" t="str">
        <x:v>Valid status transition</x:v>
      </x:c>
      <x:c r="G2350" s="339" t="str">
        <x:v>the record is in a state described by Draft / Proposed → Active → Revised / Inactive; audit entries are append-only</x:v>
      </x:c>
      <x:c r="H2350" s="339" t="str">
        <x:v>the user requests a transition</x:v>
      </x:c>
      <x:c r="I2350" s="339" t="str">
        <x:v>the system accepts only transitions allowed for that role and state</x:v>
      </x:c>
      <x:c r="J2350" s="339" t="str">
        <x:v>Positive</x:v>
      </x:c>
      <x:c r="K2350" s="339" t="str">
        <x:v>Functional</x:v>
      </x:c>
    </x:row>
    <x:row r="2351">
      <x:c r="A2351" s="339" t="str">
        <x:v>AC-02350</x:v>
      </x:c>
      <x:c r="B2351" s="339" t="str">
        <x:v>US-0588</x:v>
      </x:c>
      <x:c r="C2351" s="339" t="str">
        <x:v>SCR-294</x:v>
      </x:c>
      <x:c r="D2351" s="339" t="str">
        <x:v>Settings / Roles / Permissions / Audit</x:v>
      </x:c>
      <x:c r="E2351" s="339" t="str">
        <x:v>Audit Logs</x:v>
      </x:c>
      <x:c r="F2351" s="339" t="str">
        <x:v>Approval authority</x:v>
      </x:c>
      <x:c r="G2351" s="339" t="str">
        <x:v>an action requires approval</x:v>
      </x:c>
      <x:c r="H2351" s="339" t="str">
        <x:v>a non-authorized user attempts approval/rejection</x:v>
      </x:c>
      <x:c r="I2351" s="339" t="str">
        <x:v>the system denies the decision and does not change status</x:v>
      </x:c>
      <x:c r="J2351" s="339" t="str">
        <x:v>Negative</x:v>
      </x:c>
      <x:c r="K2351" s="339" t="str">
        <x:v>Functional</x:v>
      </x:c>
    </x:row>
    <x:row r="2352">
      <x:c r="A2352" s="339" t="str">
        <x:v>AC-02351</x:v>
      </x:c>
      <x:c r="B2352" s="339" t="str">
        <x:v>US-0588</x:v>
      </x:c>
      <x:c r="C2352" s="339" t="str">
        <x:v>SCR-294</x:v>
      </x:c>
      <x:c r="D2352" s="339" t="str">
        <x:v>Settings / Roles / Permissions / Audit</x:v>
      </x:c>
      <x:c r="E2352" s="339" t="str">
        <x:v>Audit Logs</x:v>
      </x:c>
      <x:c r="F2352" s="339" t="str">
        <x:v>Failure rollback</x:v>
      </x:c>
      <x:c r="G2352" s="339" t="str">
        <x:v>a downstream dependency fails during a multi-step transaction</x:v>
      </x:c>
      <x:c r="H2352" s="339" t="str">
        <x:v>the workflow executes</x:v>
      </x:c>
      <x:c r="I2352" s="339" t="str">
        <x:v>the system does not leave an invalid partial final state and surfaces a recoverable error</x:v>
      </x:c>
      <x:c r="J2352" s="339" t="str">
        <x:v>Positive</x:v>
      </x:c>
      <x:c r="K2352" s="339" t="str">
        <x:v>Functional</x:v>
      </x:c>
    </x:row>
    <x:row r="2353">
      <x:c r="A2353" s="339" t="str">
        <x:v>AC-02352</x:v>
      </x:c>
      <x:c r="B2353" s="339" t="str">
        <x:v>US-0588</x:v>
      </x:c>
      <x:c r="C2353" s="339" t="str">
        <x:v>SCR-294</x:v>
      </x:c>
      <x:c r="D2353" s="339" t="str">
        <x:v>Settings / Roles / Permissions / Audit</x:v>
      </x:c>
      <x:c r="E2353" s="339" t="str">
        <x:v>Audit Logs</x:v>
      </x:c>
      <x:c r="F2353" s="339" t="str">
        <x:v>Exception traceability</x:v>
      </x:c>
      <x:c r="G2353" s="339" t="str">
        <x:v>an authorized override/exception is used</x:v>
      </x:c>
      <x:c r="H2353" s="339" t="str">
        <x:v>the action is confirmed</x:v>
      </x:c>
      <x:c r="I2353" s="339" t="str">
        <x:v>the system requires reason/context and records it in the audit history</x:v>
      </x:c>
      <x:c r="J2353" s="339" t="str">
        <x:v>Positive</x:v>
      </x:c>
      <x:c r="K2353" s="339" t="str">
        <x:v>Functional</x:v>
      </x:c>
    </x:row>
    <x:row r="2354">
      <x:c r="A2354" s="339" t="str">
        <x:v>AC-02353</x:v>
      </x:c>
      <x:c r="B2354" s="339" t="str">
        <x:v>US-0589</x:v>
      </x:c>
      <x:c r="C2354" s="339" t="str">
        <x:v>SCR-295</x:v>
      </x:c>
      <x:c r="D2354" s="339" t="str">
        <x:v>Settings / Roles / Permissions / Audit</x:v>
      </x:c>
      <x:c r="E2354" s="339" t="str">
        <x:v>Data Import / Export / Backup</x:v>
      </x:c>
      <x:c r="F2354" s="339" t="str">
        <x:v>Authorized access to Data Import / Export / Backup</x:v>
      </x:c>
      <x:c r="G2354" s="339" t="str">
        <x:v>the IT Admin is authenticated and has access to Data Import / Export / Backup</x:v>
      </x:c>
      <x:c r="H2354" s="339" t="str">
        <x:v>the user opens or invokes Data Import / Export / Backup</x:v>
      </x:c>
      <x:c r="I2354" s="339" t="str">
        <x:v>the system loads only records and actions within the user's permitted tenant/school/data scope</x:v>
      </x:c>
      <x:c r="J2354" s="339" t="str">
        <x:v>Positive</x:v>
      </x:c>
      <x:c r="K2354" s="339" t="str">
        <x:v>Functional / Security</x:v>
      </x:c>
    </x:row>
    <x:row r="2355">
      <x:c r="A2355" s="339" t="str">
        <x:v>AC-02354</x:v>
      </x:c>
      <x:c r="B2355" s="339" t="str">
        <x:v>US-0589</x:v>
      </x:c>
      <x:c r="C2355" s="339" t="str">
        <x:v>SCR-295</x:v>
      </x:c>
      <x:c r="D2355" s="339" t="str">
        <x:v>Settings / Roles / Permissions / Audit</x:v>
      </x:c>
      <x:c r="E2355" s="339" t="str">
        <x:v>Data Import / Export / Backup</x:v>
      </x:c>
      <x:c r="F2355" s="339" t="str">
        <x:v>Successful Data Import / Export / Backup happy path</x:v>
      </x:c>
      <x:c r="G2355" s="339" t="str">
        <x:v>all mandatory prerequisites and valid data are available</x:v>
      </x:c>
      <x:c r="H2355" s="339" t="str">
        <x:v>the IT Admin completes the primary action on Data Import / Export / Backup</x:v>
      </x:c>
      <x:c r="I2355" s="339" t="str">
        <x:v>the system validates the request, saves it atomically, shows a clear confirmation and reflects the updated state</x:v>
      </x:c>
      <x:c r="J2355" s="339" t="str">
        <x:v>Positive</x:v>
      </x:c>
      <x:c r="K2355" s="339" t="str">
        <x:v>Functional</x:v>
      </x:c>
    </x:row>
    <x:row r="2356">
      <x:c r="A2356" s="339" t="str">
        <x:v>AC-02355</x:v>
      </x:c>
      <x:c r="B2356" s="339" t="str">
        <x:v>US-0589</x:v>
      </x:c>
      <x:c r="C2356" s="339" t="str">
        <x:v>SCR-295</x:v>
      </x:c>
      <x:c r="D2356" s="339" t="str">
        <x:v>Settings / Roles / Permissions / Audit</x:v>
      </x:c>
      <x:c r="E2356" s="339" t="str">
        <x:v>Data Import / Export / Backup</x:v>
      </x:c>
      <x:c r="F2356" s="339" t="str">
        <x:v>State and dependency integrity</x:v>
      </x:c>
      <x:c r="G2356" s="339" t="str">
        <x:v>the current record is in an allowed state (Draft / Proposed → Active → Revised / Inactive; audit entries are append-only)</x:v>
      </x:c>
      <x:c r="H2356" s="339" t="str">
        <x:v>the user attempts a state-changing action</x:v>
      </x:c>
      <x:c r="I2356" s="339" t="str">
        <x:v>only a valid transition is accepted and dependent records are updated according to configured business rules</x:v>
      </x:c>
      <x:c r="J2356" s="339" t="str">
        <x:v>Positive</x:v>
      </x:c>
      <x:c r="K2356" s="339" t="str">
        <x:v>Functional</x:v>
      </x:c>
    </x:row>
    <x:row r="2357">
      <x:c r="A2357" s="339" t="str">
        <x:v>AC-02356</x:v>
      </x:c>
      <x:c r="B2357" s="339" t="str">
        <x:v>US-0589</x:v>
      </x:c>
      <x:c r="C2357" s="339" t="str">
        <x:v>SCR-295</x:v>
      </x:c>
      <x:c r="D2357" s="339" t="str">
        <x:v>Settings / Roles / Permissions / Audit</x:v>
      </x:c>
      <x:c r="E2357" s="339" t="str">
        <x:v>Data Import / Export / Backup</x:v>
      </x:c>
      <x:c r="F2357" s="339" t="str">
        <x:v>Auditability</x:v>
      </x:c>
      <x:c r="G2357" s="339" t="str">
        <x:v>a material create/update/approve/reverse action occurs</x:v>
      </x:c>
      <x:c r="H2357" s="339" t="str">
        <x:v>the transaction succeeds</x:v>
      </x:c>
      <x:c r="I2357" s="339" t="str">
        <x:v>the system records actor, timestamp, action, target and relevant before/after or reason context in the audit trail</x:v>
      </x:c>
      <x:c r="J2357" s="339" t="str">
        <x:v>Positive</x:v>
      </x:c>
      <x:c r="K2357" s="339" t="str">
        <x:v>Functional</x:v>
      </x:c>
    </x:row>
    <x:row r="2358">
      <x:c r="A2358" s="339" t="str">
        <x:v>AC-02357</x:v>
      </x:c>
      <x:c r="B2358" s="339" t="str">
        <x:v>US-0590</x:v>
      </x:c>
      <x:c r="C2358" s="339" t="str">
        <x:v>SCR-295</x:v>
      </x:c>
      <x:c r="D2358" s="339" t="str">
        <x:v>Settings / Roles / Permissions / Audit</x:v>
      </x:c>
      <x:c r="E2358" s="339" t="str">
        <x:v>Data Import / Export / Backup</x:v>
      </x:c>
      <x:c r="F2358" s="339" t="str">
        <x:v>Valid status transition</x:v>
      </x:c>
      <x:c r="G2358" s="339" t="str">
        <x:v>the record is in a state described by Draft / Proposed → Active → Revised / Inactive; audit entries are append-only</x:v>
      </x:c>
      <x:c r="H2358" s="339" t="str">
        <x:v>the user requests a transition</x:v>
      </x:c>
      <x:c r="I2358" s="339" t="str">
        <x:v>the system accepts only transitions allowed for that role and state</x:v>
      </x:c>
      <x:c r="J2358" s="339" t="str">
        <x:v>Positive</x:v>
      </x:c>
      <x:c r="K2358" s="339" t="str">
        <x:v>Functional</x:v>
      </x:c>
    </x:row>
    <x:row r="2359">
      <x:c r="A2359" s="339" t="str">
        <x:v>AC-02358</x:v>
      </x:c>
      <x:c r="B2359" s="339" t="str">
        <x:v>US-0590</x:v>
      </x:c>
      <x:c r="C2359" s="339" t="str">
        <x:v>SCR-295</x:v>
      </x:c>
      <x:c r="D2359" s="339" t="str">
        <x:v>Settings / Roles / Permissions / Audit</x:v>
      </x:c>
      <x:c r="E2359" s="339" t="str">
        <x:v>Data Import / Export / Backup</x:v>
      </x:c>
      <x:c r="F2359" s="339" t="str">
        <x:v>Approval authority</x:v>
      </x:c>
      <x:c r="G2359" s="339" t="str">
        <x:v>an action requires approval</x:v>
      </x:c>
      <x:c r="H2359" s="339" t="str">
        <x:v>a non-authorized user attempts approval/rejection</x:v>
      </x:c>
      <x:c r="I2359" s="339" t="str">
        <x:v>the system denies the decision and does not change status</x:v>
      </x:c>
      <x:c r="J2359" s="339" t="str">
        <x:v>Negative</x:v>
      </x:c>
      <x:c r="K2359" s="339" t="str">
        <x:v>Functional</x:v>
      </x:c>
    </x:row>
    <x:row r="2360">
      <x:c r="A2360" s="339" t="str">
        <x:v>AC-02359</x:v>
      </x:c>
      <x:c r="B2360" s="339" t="str">
        <x:v>US-0590</x:v>
      </x:c>
      <x:c r="C2360" s="339" t="str">
        <x:v>SCR-295</x:v>
      </x:c>
      <x:c r="D2360" s="339" t="str">
        <x:v>Settings / Roles / Permissions / Audit</x:v>
      </x:c>
      <x:c r="E2360" s="339" t="str">
        <x:v>Data Import / Export / Backup</x:v>
      </x:c>
      <x:c r="F2360" s="339" t="str">
        <x:v>Failure rollback</x:v>
      </x:c>
      <x:c r="G2360" s="339" t="str">
        <x:v>a downstream dependency fails during a multi-step transaction</x:v>
      </x:c>
      <x:c r="H2360" s="339" t="str">
        <x:v>the workflow executes</x:v>
      </x:c>
      <x:c r="I2360" s="339" t="str">
        <x:v>the system does not leave an invalid partial final state and surfaces a recoverable error</x:v>
      </x:c>
      <x:c r="J2360" s="339" t="str">
        <x:v>Positive</x:v>
      </x:c>
      <x:c r="K2360" s="339" t="str">
        <x:v>Functional</x:v>
      </x:c>
    </x:row>
    <x:row r="2361">
      <x:c r="A2361" s="340" t="str">
        <x:v>AC-02360</x:v>
      </x:c>
      <x:c r="B2361" s="340" t="str">
        <x:v>US-0590</x:v>
      </x:c>
      <x:c r="C2361" s="340" t="str">
        <x:v>SCR-295</x:v>
      </x:c>
      <x:c r="D2361" s="340" t="str">
        <x:v>Settings / Roles / Permissions / Audit</x:v>
      </x:c>
      <x:c r="E2361" s="340" t="str">
        <x:v>Data Import / Export / Backup</x:v>
      </x:c>
      <x:c r="F2361" s="340" t="str">
        <x:v>Exception traceability</x:v>
      </x:c>
      <x:c r="G2361" s="340" t="str">
        <x:v>an authorized override/exception is used</x:v>
      </x:c>
      <x:c r="H2361" s="340" t="str">
        <x:v>the action is confirmed</x:v>
      </x:c>
      <x:c r="I2361" s="340" t="str">
        <x:v>the system requires reason/context and records it in the audit history</x:v>
      </x:c>
      <x:c r="J2361" s="340" t="str">
        <x:v>Positive</x:v>
      </x:c>
      <x:c r="K2361" s="340" t="str">
        <x:v>Functional</x:v>
      </x:c>
    </x:row>
  </x:sheetData>
  <x:pageMargins left="0.7" right="0.7" top="0.75" bottom="0.75" header="0.3" footer="0.3"/>
  <x:tableParts count="1">
    <x:tablePart xmlns:r="http://schemas.openxmlformats.org/officeDocument/2006/relationships" r:id="Rda28083088554371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1" hidden="0" customWidth="1"/>
    <x:col min="3" max="3" width="28" hidden="0" customWidth="1"/>
    <x:col min="4" max="4" width="30" hidden="0" customWidth="1"/>
    <x:col min="5" max="5" width="46" hidden="0" customWidth="1"/>
    <x:col min="6" max="6" width="34" hidden="0" customWidth="1"/>
    <x:col min="7" max="7" width="68" hidden="0" customWidth="1"/>
    <x:col min="8" max="8" width="48" hidden="0" customWidth="1"/>
    <x:col min="9" max="9" width="58" hidden="0" customWidth="1"/>
    <x:col min="10" max="10" width="48" hidden="0" customWidth="1"/>
    <x:col min="11" max="11" width="58" hidden="0" customWidth="1"/>
    <x:col min="12" max="12" width="48" hidden="0" customWidth="1"/>
  </x:cols>
  <x:sheetData>
    <x:row r="1" ht="30" customHeight="1">
      <x:c r="A1" s="338" t="str">
        <x:v>Logic ID</x:v>
      </x:c>
      <x:c r="B1" s="338" t="str">
        <x:v>Screen ID</x:v>
      </x:c>
      <x:c r="C1" s="338" t="str">
        <x:v>Module</x:v>
      </x:c>
      <x:c r="D1" s="338" t="str">
        <x:v>Screen Name</x:v>
      </x:c>
      <x:c r="E1" s="338" t="str">
        <x:v>Preconditions</x:v>
      </x:c>
      <x:c r="F1" s="338" t="str">
        <x:v>Trigger</x:v>
      </x:c>
      <x:c r="G1" s="338" t="str">
        <x:v>Processing Logic</x:v>
      </x:c>
      <x:c r="H1" s="338" t="str">
        <x:v>State Transition</x:v>
      </x:c>
      <x:c r="I1" s="338" t="str">
        <x:v>Calculations / Derivations</x:v>
      </x:c>
      <x:c r="J1" s="338" t="str">
        <x:v>Postconditions</x:v>
      </x:c>
      <x:c r="K1" s="338" t="str">
        <x:v>Cross-Module Effects</x:v>
      </x:c>
      <x:c r="L1" s="338" t="str">
        <x:v>Audit Requirements</x:v>
      </x:c>
    </x:row>
    <x:row r="2">
      <x:c r="A2" s="339" t="str">
        <x:v>BL-001</x:v>
      </x:c>
      <x:c r="B2" s="339" t="str">
        <x:v>SCR-001</x:v>
      </x:c>
      <x:c r="C2" s="339" t="str">
        <x:v>Public Website &amp; Authentication</x:v>
      </x:c>
      <x:c r="D2" s="339" t="str">
        <x:v>Landing / Home</x:v>
      </x:c>
      <x:c r="E2" s="339" t="str">
        <x:v>Public access; no authentication required.</x:v>
      </x:c>
      <x:c r="F2" s="339" t="str">
        <x:v>User visits the landing page.</x:v>
      </x:c>
      <x:c r="G2" s="339" t="str">
        <x:v>Load public branding/content and safe navigation options → do not query or render protected tenant/student/staff data → route selected actions to the correct public/auth destination.</x:v>
      </x:c>
      <x:c r="H2" s="339" t="str">
        <x:v>Public / Anonymous</x:v>
      </x:c>
      <x:c r="I2" s="339" t="str">
        <x:v>No business calculation.</x:v>
      </x:c>
      <x:c r="J2" s="339" t="str">
        <x:v>Public content is displayed without establishing privileged access.</x:v>
      </x:c>
      <x:c r="K2" s="339" t="str">
        <x:v>No protected cross-module data is loaded.</x:v>
      </x:c>
      <x:c r="L2" s="339" t="str">
        <x:v>Only security/telemetry events required by policy; do not log unnecessary personal data.</x:v>
      </x:c>
    </x:row>
    <x:row r="3">
      <x:c r="A3" s="339" t="str">
        <x:v>BL-002</x:v>
      </x:c>
      <x:c r="B3" s="339" t="str">
        <x:v>SCR-002</x:v>
      </x:c>
      <x:c r="C3" s="339" t="str">
        <x:v>Public Website &amp; Authentication</x:v>
      </x:c>
      <x:c r="D3" s="339" t="str">
        <x:v>Workspace / Role Selection</x:v>
      </x:c>
      <x:c r="E3" s="339" t="str">
        <x:v>Public or authenticated user; configured workspaces/roles available.</x:v>
      </x:c>
      <x:c r="F3" s="339" t="str">
        <x:v>User selects a workspace/role.</x:v>
      </x:c>
      <x:c r="G3" s="339" t="str">
        <x:v>Validate that the selected workspace is supported → route to its login/portal entry → if already authenticated, re-check role authorization before entering protected areas.</x:v>
      </x:c>
      <x:c r="H3" s="339" t="str">
        <x:v>Workspace Selected → Authentication / Authorized Portal</x:v>
      </x:c>
      <x:c r="I3" s="339" t="str">
        <x:v>No business calculation.</x:v>
      </x:c>
      <x:c r="J3" s="339" t="str">
        <x:v>User reaches the correct login or authorized portal.</x:v>
      </x:c>
      <x:c r="K3" s="339" t="str">
        <x:v>Sets routing context only; does not grant authorization by itself.</x:v>
      </x:c>
      <x:c r="L3" s="339" t="str">
        <x:v>Log suspicious/invalid routing attempts only where useful.</x:v>
      </x:c>
    </x:row>
    <x:row r="4">
      <x:c r="A4" s="339" t="str">
        <x:v>BL-003</x:v>
      </x:c>
      <x:c r="B4" s="339" t="str">
        <x:v>SCR-003</x:v>
      </x:c>
      <x:c r="C4" s="339" t="str">
        <x:v>Public Website &amp; Authentication</x:v>
      </x:c>
      <x:c r="D4" s="339" t="str">
        <x:v>Sign In</x:v>
      </x:c>
      <x:c r="E4" s="339" t="str">
        <x:v>User account/identity provider exists and authentication service is available.</x:v>
      </x:c>
      <x:c r="F4" s="339" t="str">
        <x:v>User submits credentials or federated sign-in.</x:v>
      </x:c>
      <x:c r="G4" s="339" t="str">
        <x:v>Normalize login identifier → rate-limit → validate credentials/provider response → check account/tenant status → resolve roles/scopes → establish secure session → record login event → route to permitted workspace.</x:v>
      </x:c>
      <x:c r="H4" s="339" t="str">
        <x:v>Unauthenticated → Authenticated / Failed / Locked / MFA Required</x:v>
      </x:c>
      <x:c r="I4" s="339" t="str">
        <x:v>No business calculation.</x:v>
      </x:c>
      <x:c r="J4" s="339" t="str">
        <x:v>A secure session exists only after all authentication and account-state checks pass.</x:v>
      </x:c>
      <x:c r="K4" s="339" t="str">
        <x:v>Establishes tenant, user, role and session context used by every protected module.</x:v>
      </x:c>
      <x:c r="L4" s="339" t="str">
        <x:v>Record success/failure, risk signals, device/session metadata according to security policy.</x:v>
      </x:c>
    </x:row>
    <x:row r="5">
      <x:c r="A5" s="339" t="str">
        <x:v>BL-004</x:v>
      </x:c>
      <x:c r="B5" s="339" t="str">
        <x:v>SCR-004</x:v>
      </x:c>
      <x:c r="C5" s="339" t="str">
        <x:v>Public Website &amp; Authentication</x:v>
      </x:c>
      <x:c r="D5" s="339" t="str">
        <x:v>Forgot Password</x:v>
      </x:c>
      <x:c r="E5" s="339" t="str">
        <x:v>User knows a registered recovery identifier; notification provider is available.</x:v>
      </x:c>
      <x:c r="F5" s="339" t="str">
        <x:v>User requests password recovery.</x:v>
      </x:c>
      <x:c r="G5" s="339" t="str">
        <x:v>Accept identifier without account-enumeration disclosure → if eligible account exists, create hashed single-use expiring token/challenge → send approved recovery message → rate-limit repeated requests.</x:v>
      </x:c>
      <x:c r="H5" s="339" t="str">
        <x:v>Recovery Requested → Token Issued / Ignored Safely / Rate Limited</x:v>
      </x:c>
      <x:c r="I5" s="339" t="str">
        <x:v>No business calculation.</x:v>
      </x:c>
      <x:c r="J5" s="339" t="str">
        <x:v>Eligible users receive a recovery path; public response does not reveal account existence.</x:v>
      </x:c>
      <x:c r="K5" s="339" t="str">
        <x:v>Uses identity and notification services only.</x:v>
      </x:c>
      <x:c r="L5" s="339" t="str">
        <x:v>Audit recovery request/rate-limit events without logging secrets.</x:v>
      </x:c>
    </x:row>
    <x:row r="6">
      <x:c r="A6" s="339" t="str">
        <x:v>BL-005</x:v>
      </x:c>
      <x:c r="B6" s="339" t="str">
        <x:v>SCR-005</x:v>
      </x:c>
      <x:c r="C6" s="339" t="str">
        <x:v>Public Website &amp; Authentication</x:v>
      </x:c>
      <x:c r="D6" s="339" t="str">
        <x:v>Reset Password</x:v>
      </x:c>
      <x:c r="E6" s="339" t="str">
        <x:v>Valid unused recovery token/challenge and eligible account.</x:v>
      </x:c>
      <x:c r="F6" s="339" t="str">
        <x:v>User submits new password.</x:v>
      </x:c>
      <x:c r="G6" s="339" t="str">
        <x:v>Validate token hash, expiry, intended user and unused state → validate password policy/history → update credential → mark token used → revoke old sessions where policy requires → confirm securely.</x:v>
      </x:c>
      <x:c r="H6" s="339" t="str">
        <x:v>Recovery Token Valid → Password Reset → Token Used / Expired / Invalid</x:v>
      </x:c>
      <x:c r="I6" s="339" t="str">
        <x:v>No business calculation.</x:v>
      </x:c>
      <x:c r="J6" s="339" t="str">
        <x:v>New credential is active and recovery token cannot be reused.</x:v>
      </x:c>
      <x:c r="K6" s="339" t="str">
        <x:v>Updates identity credentials/session state.</x:v>
      </x:c>
      <x:c r="L6" s="339" t="str">
        <x:v>Audit password reset without logging password/token values.</x:v>
      </x:c>
    </x:row>
    <x:row r="7">
      <x:c r="A7" s="339" t="str">
        <x:v>BL-006</x:v>
      </x:c>
      <x:c r="B7" s="339" t="str">
        <x:v>SCR-006</x:v>
      </x:c>
      <x:c r="C7" s="339" t="str">
        <x:v>Public Website &amp; Authentication</x:v>
      </x:c>
      <x:c r="D7" s="339" t="str">
        <x:v>OTP / Two-Factor Verification</x:v>
      </x:c>
      <x:c r="E7" s="339" t="str">
        <x:v>User has an active MFA challenge.</x:v>
      </x:c>
      <x:c r="F7" s="339" t="str">
        <x:v>User submits OTP/second factor.</x:v>
      </x:c>
      <x:c r="G7" s="339" t="str">
        <x:v>Validate challenge ownership/status → enforce attempt/expiry limits → compare code/second factor securely → mark challenge consumed on success → continue authentication or lock/risk-escalate on repeated failure.</x:v>
      </x:c>
      <x:c r="H7" s="339" t="str">
        <x:v>MFA Required → Verified / Failed / Expired / Locked</x:v>
      </x:c>
      <x:c r="I7" s="339" t="str">
        <x:v>No business calculation.</x:v>
      </x:c>
      <x:c r="J7" s="339" t="str">
        <x:v>Successful MFA can complete sign-in; failed/expired challenge grants no session.</x:v>
      </x:c>
      <x:c r="K7" s="339" t="str">
        <x:v>Updates identity/session risk state.</x:v>
      </x:c>
      <x:c r="L7" s="339" t="str">
        <x:v>Audit MFA success/failure/lock events; never log OTP.</x:v>
      </x:c>
    </x:row>
    <x:row r="8">
      <x:c r="A8" s="339" t="str">
        <x:v>BL-007</x:v>
      </x:c>
      <x:c r="B8" s="339" t="str">
        <x:v>SCR-007</x:v>
      </x:c>
      <x:c r="C8" s="339" t="str">
        <x:v>Public Website &amp; Authentication</x:v>
      </x:c>
      <x:c r="D8" s="339" t="str">
        <x:v>First Login / Change Password</x:v>
      </x:c>
      <x:c r="E8" s="339" t="str">
        <x:v>User authenticated with temporary/first-login credential or forced-change flag.</x:v>
      </x:c>
      <x:c r="F8" s="339" t="str">
        <x:v>User submits a new password.</x:v>
      </x:c>
      <x:c r="G8" s="339" t="str">
        <x:v>Require current temporary credential/session → validate new password policy/history → update credential → clear forced-change flag → revoke temporary credential and optionally other sessions → continue to portal.</x:v>
      </x:c>
      <x:c r="H8" s="339" t="str">
        <x:v>First Login / Forced Change → Password Updated → Active Session</x:v>
      </x:c>
      <x:c r="I8" s="339" t="str">
        <x:v>No business calculation.</x:v>
      </x:c>
      <x:c r="J8" s="339" t="str">
        <x:v>Temporary credential can no longer be used and account meets password policy.</x:v>
      </x:c>
      <x:c r="K8" s="339" t="str">
        <x:v>Updates identity credentials/session state.</x:v>
      </x:c>
      <x:c r="L8" s="339" t="str">
        <x:v>Audit forced password change without secret values.</x:v>
      </x:c>
    </x:row>
    <x:row r="9">
      <x:c r="A9" s="339" t="str">
        <x:v>BL-008</x:v>
      </x:c>
      <x:c r="B9" s="339" t="str">
        <x:v>SCR-008</x:v>
      </x:c>
      <x:c r="C9" s="339" t="str">
        <x:v>Public Website &amp; Authentication</x:v>
      </x:c>
      <x:c r="D9" s="339" t="str">
        <x:v>Access Denied / Session Expired</x:v>
      </x:c>
      <x:c r="E9" s="339" t="str">
        <x:v>Protected route requested without valid authorization or active session.</x:v>
      </x:c>
      <x:c r="F9" s="339" t="str">
        <x:v>System detects denial/expiry.</x:v>
      </x:c>
      <x:c r="G9" s="339" t="str">
        <x:v>Clear/ignore invalid session as required → do not render protected payload → show safe reason category (expired vs denied where appropriate) → offer sign-in or permitted return path → preserve only non-sensitive recoverable navigation state.</x:v>
      </x:c>
      <x:c r="H9" s="339" t="str">
        <x:v>Authorized Session → Expired / Access Denied → Re-authentication or Safe Return</x:v>
      </x:c>
      <x:c r="I9" s="339" t="str">
        <x:v>No business calculation.</x:v>
      </x:c>
      <x:c r="J9" s="339" t="str">
        <x:v>Protected data remains inaccessible until valid authentication/authorization is restored.</x:v>
      </x:c>
      <x:c r="K9" s="339" t="str">
        <x:v>May redirect to auth and re-resolve RBAC after sign-in.</x:v>
      </x:c>
      <x:c r="L9" s="339" t="str">
        <x:v>Log security-relevant denials/expiry events with route/resource context, not sensitive payloads.</x:v>
      </x:c>
    </x:row>
    <x:row r="10">
      <x:c r="A10" s="339" t="str">
        <x:v>BL-009</x:v>
      </x:c>
      <x:c r="B10" s="339" t="str">
        <x:v>SCR-009</x:v>
      </x:c>
      <x:c r="C10" s="339" t="str">
        <x:v>Super Admin / SaaS Administration</x:v>
      </x:c>
      <x:c r="D10" s="339" t="str">
        <x:v>Platform Dashboard</x:v>
      </x:c>
      <x:c r="E10" s="339" t="str">
        <x:v>Authenticated/authorized user; tenant/school context resolved; required master data effective.</x:v>
      </x:c>
      <x:c r="F10" s="339" t="str">
        <x:v>User opens or performs the primary action on Platform Dashboard.</x:v>
      </x:c>
      <x:c r="G10" s="339" t="str">
        <x:v>Resolve tenant/school/role context → apply date/academic filters → query authorized aggregates → compute/reconcile KPIs → highlight alerts/exceptions → expose permitted drill-down actions.</x:v>
      </x:c>
      <x:c r="H10" s="339" t="str">
        <x:v>Trial / Draft → Active → Suspended → Cancelled / Archived</x:v>
      </x:c>
      <x:c r="I10" s="339" t="str">
        <x:v>No special calculation unless configured; derived fields use authoritative source data and explicit effective-date rules.</x:v>
      </x:c>
      <x:c r="J10" s="339" t="str">
        <x:v>The authoritative record/state is updated only after all blocking validation succeeds; user receives deterministic confirmation.</x:v>
      </x:c>
      <x:c r="K10" s="339" t="str">
        <x:v>Tenant/subscription changes control platform availability and feature limits.</x:v>
      </x:c>
      <x:c r="L10" s="339" t="str">
        <x:v>Create/update/status/approval/reversal/export/security-sensitive events are recorded with actor, timestamp, target and reason/context.</x:v>
      </x:c>
    </x:row>
    <x:row r="11">
      <x:c r="A11" s="339" t="str">
        <x:v>BL-010</x:v>
      </x:c>
      <x:c r="B11" s="339" t="str">
        <x:v>SCR-010</x:v>
      </x:c>
      <x:c r="C11" s="339" t="str">
        <x:v>Super Admin / SaaS Administration</x:v>
      </x:c>
      <x:c r="D11" s="339" t="str">
        <x:v>Organizations List</x:v>
      </x:c>
      <x:c r="E11" s="339" t="str">
        <x:v>Authenticated/authorized user; tenant/school context resolved; required master data effective.</x:v>
      </x:c>
      <x:c r="F11" s="339" t="str">
        <x:v>User opens or performs the primary action on Organizations List.</x:v>
      </x:c>
      <x:c r="G11" s="339" t="str">
        <x:v>Resolve authorized data scope → validate search/filter/sort/page parameters → query indexed records → apply row/field masking → return paged results → expose only state- and role-permitted actions.</x:v>
      </x:c>
      <x:c r="H11" s="339" t="str">
        <x:v>Trial / Draft → Active → Suspended → Cancelled / Archived</x:v>
      </x:c>
      <x:c r="I11" s="339" t="str">
        <x:v>No special calculation unless configured; derived fields use authoritative source data and explicit effective-date rules.</x:v>
      </x:c>
      <x:c r="J11" s="339" t="str">
        <x:v>The authoritative record/state is updated only after all blocking validation succeeds; user receives deterministic confirmation.</x:v>
      </x:c>
      <x:c r="K11" s="339" t="str">
        <x:v>Tenant/subscription changes control platform availability and feature limits.</x:v>
      </x:c>
      <x:c r="L11" s="339" t="str">
        <x:v>Create/update/status/approval/reversal/export/security-sensitive events are recorded with actor, timestamp, target and reason/context.</x:v>
      </x:c>
    </x:row>
    <x:row r="12">
      <x:c r="A12" s="339" t="str">
        <x:v>BL-011</x:v>
      </x:c>
      <x:c r="B12" s="339" t="str">
        <x:v>SCR-011</x:v>
      </x:c>
      <x:c r="C12" s="339" t="str">
        <x:v>Super Admin / SaaS Administration</x:v>
      </x:c>
      <x:c r="D12" s="339" t="str">
        <x:v>Add Organization</x:v>
      </x:c>
      <x:c r="E12" s="339" t="str">
        <x:v>Authenticated/authorized user; tenant/school context resolved; required master data effective.</x:v>
      </x:c>
      <x:c r="F12" s="339" t="str">
        <x:v>User opens or performs the primary action on Add Organization.</x:v>
      </x:c>
      <x:c r="G12" s="339" t="str">
        <x:v>Load valid reference data → validate mandatory and conditional fields → apply duplicate/eligibility/business-rule checks → persist within a transaction → generate identifiers if required → write audit record → trigger configured side effects/notifications.</x:v>
      </x:c>
      <x:c r="H12" s="339" t="str">
        <x:v>Trial / Draft → Active → Suspended → Cancelled / Archived</x:v>
      </x:c>
      <x:c r="I12" s="339" t="str">
        <x:v>No special calculation unless configured; derived fields use authoritative source data and explicit effective-date rules.</x:v>
      </x:c>
      <x:c r="J12" s="339" t="str">
        <x:v>The authoritative record/state is updated only after all blocking validation succeeds; user receives deterministic confirmation.</x:v>
      </x:c>
      <x:c r="K12" s="339" t="str">
        <x:v>Tenant/subscription changes control platform availability and feature limits.</x:v>
      </x:c>
      <x:c r="L12" s="339" t="str">
        <x:v>Create/update/status/approval/reversal/export/security-sensitive events are recorded with actor, timestamp, target and reason/context.</x:v>
      </x:c>
    </x:row>
    <x:row r="13">
      <x:c r="A13" s="339" t="str">
        <x:v>BL-012</x:v>
      </x:c>
      <x:c r="B13" s="339" t="str">
        <x:v>SCR-012</x:v>
      </x:c>
      <x:c r="C13" s="339" t="str">
        <x:v>Super Admin / SaaS Administration</x:v>
      </x:c>
      <x:c r="D13" s="339" t="str">
        <x:v>Organization Details</x:v>
      </x:c>
      <x:c r="E13" s="339" t="str">
        <x:v>Authenticated/authorized user; tenant/school context resolved; required master data effective.</x:v>
      </x:c>
      <x:c r="F13" s="339" t="str">
        <x:v>User opens or performs the primary action on Organization Details.</x:v>
      </x:c>
      <x:c r="G13" s="339" t="str">
        <x:v>Resolve and authorize the target record → load related data/history → mask restricted fields → apply edit/state permissions → validate updates → persist with version/audit controls → refresh dependent summaries.</x:v>
      </x:c>
      <x:c r="H13" s="339" t="str">
        <x:v>Trial / Draft → Active → Suspended → Cancelled / Archived</x:v>
      </x:c>
      <x:c r="I13" s="339" t="str">
        <x:v>No special calculation unless configured; derived fields use authoritative source data and explicit effective-date rules.</x:v>
      </x:c>
      <x:c r="J13" s="339" t="str">
        <x:v>The authoritative record/state is updated only after all blocking validation succeeds; user receives deterministic confirmation.</x:v>
      </x:c>
      <x:c r="K13" s="339" t="str">
        <x:v>Tenant/subscription changes control platform availability and feature limits.</x:v>
      </x:c>
      <x:c r="L13" s="339" t="str">
        <x:v>Create/update/status/approval/reversal/export/security-sensitive events are recorded with actor, timestamp, target and reason/context.</x:v>
      </x:c>
    </x:row>
    <x:row r="14">
      <x:c r="A14" s="339" t="str">
        <x:v>BL-013</x:v>
      </x:c>
      <x:c r="B14" s="339" t="str">
        <x:v>SCR-013</x:v>
      </x:c>
      <x:c r="C14" s="339" t="str">
        <x:v>Super Admin / SaaS Administration</x:v>
      </x:c>
      <x:c r="D14" s="339" t="str">
        <x:v>Subscription Plans</x:v>
      </x:c>
      <x:c r="E14" s="339" t="str">
        <x:v>Authenticated/authorized user; tenant/school context resolved; required master data effective.</x:v>
      </x:c>
      <x:c r="F14" s="339" t="str">
        <x:v>User opens or performs the primary action on Subscription Plans.</x:v>
      </x:c>
      <x:c r="G14" s="339" t="str">
        <x:v>Load current workflow state → verify role and allowed transition → validate prerequisites/business rules → execute state change atomically → update dependent data → record audit trail → notify affected users.</x:v>
      </x:c>
      <x:c r="H14" s="339" t="str">
        <x:v>Trial / Draft → Active → Suspended → Cancelled / Archived</x:v>
      </x:c>
      <x:c r="I14" s="339" t="str">
        <x:v>No special calculation unless configured; derived fields use authoritative source data and explicit effective-date rules.</x:v>
      </x:c>
      <x:c r="J14" s="339" t="str">
        <x:v>The authoritative record/state is updated only after all blocking validation succeeds; user receives deterministic confirmation.</x:v>
      </x:c>
      <x:c r="K14" s="339" t="str">
        <x:v>Tenant/subscription changes control platform availability and feature limits.</x:v>
      </x:c>
      <x:c r="L14" s="339" t="str">
        <x:v>Create/update/status/approval/reversal/export/security-sensitive events are recorded with actor, timestamp, target and reason/context.</x:v>
      </x:c>
    </x:row>
    <x:row r="15">
      <x:c r="A15" s="339" t="str">
        <x:v>BL-014</x:v>
      </x:c>
      <x:c r="B15" s="339" t="str">
        <x:v>SCR-014</x:v>
      </x:c>
      <x:c r="C15" s="339" t="str">
        <x:v>Super Admin / SaaS Administration</x:v>
      </x:c>
      <x:c r="D15" s="339" t="str">
        <x:v>Subscriptions &amp; Billing</x:v>
      </x:c>
      <x:c r="E15" s="339" t="str">
        <x:v>Authenticated/authorized user; tenant/school context resolved; required master data effective.</x:v>
      </x:c>
      <x:c r="F15" s="339" t="str">
        <x:v>User opens or performs the primary action on Subscriptions &amp; Billing.</x:v>
      </x:c>
      <x:c r="G15" s="339" t="str">
        <x:v>Load current workflow state → verify role and allowed transition → validate prerequisites/business rules → execute state change atomically → update dependent data → record audit trail → notify affected users.</x:v>
      </x:c>
      <x:c r="H15" s="339" t="str">
        <x:v>Trial / Draft → Active → Suspended → Cancelled / Archived</x:v>
      </x:c>
      <x:c r="I15" s="339" t="str">
        <x:v>No special calculation unless configured; derived fields use authoritative source data and explicit effective-date rules.</x:v>
      </x:c>
      <x:c r="J15" s="339" t="str">
        <x:v>The authoritative record/state is updated only after all blocking validation succeeds; user receives deterministic confirmation.</x:v>
      </x:c>
      <x:c r="K15" s="339" t="str">
        <x:v>Tenant/subscription changes control platform availability and feature limits.</x:v>
      </x:c>
      <x:c r="L15" s="339" t="str">
        <x:v>Create/update/status/approval/reversal/export/security-sensitive events are recorded with actor, timestamp, target and reason/context.</x:v>
      </x:c>
    </x:row>
    <x:row r="16">
      <x:c r="A16" s="339" t="str">
        <x:v>BL-015</x:v>
      </x:c>
      <x:c r="B16" s="339" t="str">
        <x:v>SCR-015</x:v>
      </x:c>
      <x:c r="C16" s="339" t="str">
        <x:v>Super Admin / SaaS Administration</x:v>
      </x:c>
      <x:c r="D16" s="339" t="str">
        <x:v>Tenant Usage &amp; Limits</x:v>
      </x:c>
      <x:c r="E16" s="339" t="str">
        <x:v>Authenticated/authorized user; tenant/school context resolved; required master data effective.</x:v>
      </x:c>
      <x:c r="F16" s="339" t="str">
        <x:v>User opens or performs the primary action on Tenant Usage &amp; Limits.</x:v>
      </x:c>
      <x:c r="G16" s="339" t="str">
        <x:v>Validate filter context → resolve row-level scope → query authoritative transactions → apply approved formulas/grouping → reconcile totals → render table/chart → export only permitted data.</x:v>
      </x:c>
      <x:c r="H16" s="339" t="str">
        <x:v>Trial / Draft → Active → Suspended → Cancelled / Archived</x:v>
      </x:c>
      <x:c r="I16" s="339" t="str">
        <x:v>No special calculation unless configured; derived fields use authoritative source data and explicit effective-date rules.</x:v>
      </x:c>
      <x:c r="J16" s="339" t="str">
        <x:v>The authoritative record/state is updated only after all blocking validation succeeds; user receives deterministic confirmation.</x:v>
      </x:c>
      <x:c r="K16" s="339" t="str">
        <x:v>Tenant/subscription changes control platform availability and feature limits.</x:v>
      </x:c>
      <x:c r="L16" s="339" t="str">
        <x:v>Create/update/status/approval/reversal/export/security-sensitive events are recorded with actor, timestamp, target and reason/context.</x:v>
      </x:c>
    </x:row>
    <x:row r="17">
      <x:c r="A17" s="339" t="str">
        <x:v>BL-016</x:v>
      </x:c>
      <x:c r="B17" s="339" t="str">
        <x:v>SCR-016</x:v>
      </x:c>
      <x:c r="C17" s="339" t="str">
        <x:v>Super Admin / SaaS Administration</x:v>
      </x:c>
      <x:c r="D17" s="339" t="str">
        <x:v>Platform Users</x:v>
      </x:c>
      <x:c r="E17" s="339" t="str">
        <x:v>Authenticated/authorized user; tenant/school context resolved; required master data effective.</x:v>
      </x:c>
      <x:c r="F17" s="339" t="str">
        <x:v>User opens or performs the primary action on Platform Users.</x:v>
      </x:c>
      <x:c r="G17" s="339" t="str">
        <x:v>Load current workflow state → verify role and allowed transition → validate prerequisites/business rules → execute state change atomically → update dependent data → record audit trail → notify affected users.</x:v>
      </x:c>
      <x:c r="H17" s="339" t="str">
        <x:v>Trial / Draft → Active → Suspended → Cancelled / Archived</x:v>
      </x:c>
      <x:c r="I17" s="339" t="str">
        <x:v>No special calculation unless configured; derived fields use authoritative source data and explicit effective-date rules.</x:v>
      </x:c>
      <x:c r="J17" s="339" t="str">
        <x:v>The authoritative record/state is updated only after all blocking validation succeeds; user receives deterministic confirmation.</x:v>
      </x:c>
      <x:c r="K17" s="339" t="str">
        <x:v>Tenant/subscription changes control platform availability and feature limits.</x:v>
      </x:c>
      <x:c r="L17" s="339" t="str">
        <x:v>Create/update/status/approval/reversal/export/security-sensitive events are recorded with actor, timestamp, target and reason/context.</x:v>
      </x:c>
    </x:row>
    <x:row r="18">
      <x:c r="A18" s="339" t="str">
        <x:v>BL-017</x:v>
      </x:c>
      <x:c r="B18" s="339" t="str">
        <x:v>SCR-017</x:v>
      </x:c>
      <x:c r="C18" s="339" t="str">
        <x:v>Super Admin / SaaS Administration</x:v>
      </x:c>
      <x:c r="D18" s="339" t="str">
        <x:v>Support Tickets</x:v>
      </x:c>
      <x:c r="E18" s="339" t="str">
        <x:v>Authenticated/authorized user; tenant/school context resolved; required master data effective.</x:v>
      </x:c>
      <x:c r="F18" s="339" t="str">
        <x:v>User opens or performs the primary action on Support Tickets.</x:v>
      </x:c>
      <x:c r="G18" s="339" t="str">
        <x:v>Load current workflow state → verify role and allowed transition → validate prerequisites/business rules → execute state change atomically → update dependent data → record audit trail → notify affected users.</x:v>
      </x:c>
      <x:c r="H18" s="339" t="str">
        <x:v>Trial / Draft → Active → Suspended → Cancelled / Archived</x:v>
      </x:c>
      <x:c r="I18" s="339" t="str">
        <x:v>No special calculation unless configured; derived fields use authoritative source data and explicit effective-date rules.</x:v>
      </x:c>
      <x:c r="J18" s="339" t="str">
        <x:v>The authoritative record/state is updated only after all blocking validation succeeds; user receives deterministic confirmation.</x:v>
      </x:c>
      <x:c r="K18" s="339" t="str">
        <x:v>Tenant/subscription changes control platform availability and feature limits.</x:v>
      </x:c>
      <x:c r="L18" s="339" t="str">
        <x:v>Create/update/status/approval/reversal/export/security-sensitive events are recorded with actor, timestamp, target and reason/context.</x:v>
      </x:c>
    </x:row>
    <x:row r="19">
      <x:c r="A19" s="339" t="str">
        <x:v>BL-018</x:v>
      </x:c>
      <x:c r="B19" s="339" t="str">
        <x:v>SCR-018</x:v>
      </x:c>
      <x:c r="C19" s="339" t="str">
        <x:v>Super Admin / SaaS Administration</x:v>
      </x:c>
      <x:c r="D19" s="339" t="str">
        <x:v>System Health &amp; Service Status</x:v>
      </x:c>
      <x:c r="E19" s="339" t="str">
        <x:v>Authenticated/authorized user; tenant/school context resolved; required master data effective.</x:v>
      </x:c>
      <x:c r="F19" s="339" t="str">
        <x:v>User opens or performs the primary action on System Health &amp; Service Status.</x:v>
      </x:c>
      <x:c r="G19" s="339" t="str">
        <x:v>Load current workflow state → verify role and allowed transition → validate prerequisites/business rules → execute state change atomically → update dependent data → record audit trail → notify affected users.</x:v>
      </x:c>
      <x:c r="H19" s="339" t="str">
        <x:v>Trial / Draft → Active → Suspended → Cancelled / Archived</x:v>
      </x:c>
      <x:c r="I19" s="339" t="str">
        <x:v>No special calculation unless configured; derived fields use authoritative source data and explicit effective-date rules.</x:v>
      </x:c>
      <x:c r="J19" s="339" t="str">
        <x:v>The authoritative record/state is updated only after all blocking validation succeeds; user receives deterministic confirmation.</x:v>
      </x:c>
      <x:c r="K19" s="339" t="str">
        <x:v>Tenant/subscription changes control platform availability and feature limits.</x:v>
      </x:c>
      <x:c r="L19" s="339" t="str">
        <x:v>Create/update/status/approval/reversal/export/security-sensitive events are recorded with actor, timestamp, target and reason/context.</x:v>
      </x:c>
    </x:row>
    <x:row r="20">
      <x:c r="A20" s="339" t="str">
        <x:v>BL-019</x:v>
      </x:c>
      <x:c r="B20" s="339" t="str">
        <x:v>SCR-019</x:v>
      </x:c>
      <x:c r="C20" s="339" t="str">
        <x:v>Super Admin / SaaS Administration</x:v>
      </x:c>
      <x:c r="D20" s="339" t="str">
        <x:v>Global Announcements</x:v>
      </x:c>
      <x:c r="E20" s="339" t="str">
        <x:v>Authenticated/authorized user; tenant/school context resolved; required master data effective.</x:v>
      </x:c>
      <x:c r="F20" s="339" t="str">
        <x:v>User opens or performs the primary action on Global Announcements.</x:v>
      </x:c>
      <x:c r="G20" s="339" t="str">
        <x:v>Resolve authorized data scope → validate search/filter/sort/page parameters → query indexed records → apply row/field masking → return paged results → expose only state- and role-permitted actions.</x:v>
      </x:c>
      <x:c r="H20" s="339" t="str">
        <x:v>Trial / Draft → Active → Suspended → Cancelled / Archived</x:v>
      </x:c>
      <x:c r="I20" s="339" t="str">
        <x:v>No special calculation unless configured; derived fields use authoritative source data and explicit effective-date rules.</x:v>
      </x:c>
      <x:c r="J20" s="339" t="str">
        <x:v>The authoritative record/state is updated only after all blocking validation succeeds; user receives deterministic confirmation.</x:v>
      </x:c>
      <x:c r="K20" s="339" t="str">
        <x:v>Tenant/subscription changes control platform availability and feature limits.</x:v>
      </x:c>
      <x:c r="L20" s="339" t="str">
        <x:v>Create/update/status/approval/reversal/export/security-sensitive events are recorded with actor, timestamp, target and reason/context.</x:v>
      </x:c>
    </x:row>
    <x:row r="21">
      <x:c r="A21" s="339" t="str">
        <x:v>BL-020</x:v>
      </x:c>
      <x:c r="B21" s="339" t="str">
        <x:v>SCR-020</x:v>
      </x:c>
      <x:c r="C21" s="339" t="str">
        <x:v>Super Admin / SaaS Administration</x:v>
      </x:c>
      <x:c r="D21" s="339" t="str">
        <x:v>Platform Settings</x:v>
      </x:c>
      <x:c r="E21" s="339" t="str">
        <x:v>Authenticated/authorized user; tenant/school context resolved; required master data effective.</x:v>
      </x:c>
      <x:c r="F21" s="339" t="str">
        <x:v>User opens or performs the primary action on Platform Settings.</x:v>
      </x:c>
      <x:c r="G21" s="339" t="str">
        <x:v>Load current effective configuration → validate permissions/dependencies/date overlaps → prevent destructive changes to referenced masters → save version/effective dates → audit change → refresh downstream configuration cache safely.</x:v>
      </x:c>
      <x:c r="H21" s="339" t="str">
        <x:v>Trial / Draft → Active → Suspended → Cancelled / Archived</x:v>
      </x:c>
      <x:c r="I21" s="339" t="str">
        <x:v>No special calculation unless configured; derived fields use authoritative source data and explicit effective-date rules.</x:v>
      </x:c>
      <x:c r="J21" s="339" t="str">
        <x:v>The authoritative record/state is updated only after all blocking validation succeeds; user receives deterministic confirmation.</x:v>
      </x:c>
      <x:c r="K21" s="339" t="str">
        <x:v>Tenant/subscription changes control platform availability and feature limits.</x:v>
      </x:c>
      <x:c r="L21" s="339" t="str">
        <x:v>Create/update/status/approval/reversal/export/security-sensitive events are recorded with actor, timestamp, target and reason/context.</x:v>
      </x:c>
    </x:row>
    <x:row r="22">
      <x:c r="A22" s="339" t="str">
        <x:v>BL-021</x:v>
      </x:c>
      <x:c r="B22" s="339" t="str">
        <x:v>SCR-021</x:v>
      </x:c>
      <x:c r="C22" s="339" t="str">
        <x:v>Organization / School / Branch Setup</x:v>
      </x:c>
      <x:c r="D22" s="339" t="str">
        <x:v>Organization Profile</x:v>
      </x:c>
      <x:c r="E22" s="339" t="str">
        <x:v>Authenticated/authorized user; tenant/school context resolved; required master data effective.</x:v>
      </x:c>
      <x:c r="F22" s="339" t="str">
        <x:v>User opens or performs the primary action on Organization Profile.</x:v>
      </x:c>
      <x:c r="G22" s="339" t="str">
        <x:v>Resolve and authorize the target record → load related data/history → mask restricted fields → apply edit/state permissions → validate updates → persist with version/audit controls → refresh dependent summaries.</x:v>
      </x:c>
      <x:c r="H22" s="339" t="str">
        <x:v>Draft → Active → Inactive / Archived</x:v>
      </x:c>
      <x:c r="I22" s="339" t="str">
        <x:v>No special calculation unless configured; derived fields use authoritative source data and explicit effective-date rules.</x:v>
      </x:c>
      <x:c r="J22" s="339" t="str">
        <x:v>The authoritative record/state is updated only after all blocking validation succeeds; user receives deterministic confirmation.</x:v>
      </x:c>
      <x:c r="K22" s="339" t="str">
        <x:v>Master changes affect downstream selection lists, validations and reporting scope.</x:v>
      </x:c>
      <x:c r="L22" s="339" t="str">
        <x:v>Create/update/status/approval/reversal/export/security-sensitive events are recorded with actor, timestamp, target and reason/context.</x:v>
      </x:c>
    </x:row>
    <x:row r="23">
      <x:c r="A23" s="339" t="str">
        <x:v>BL-022</x:v>
      </x:c>
      <x:c r="B23" s="339" t="str">
        <x:v>SCR-022</x:v>
      </x:c>
      <x:c r="C23" s="339" t="str">
        <x:v>Organization / School / Branch Setup</x:v>
      </x:c>
      <x:c r="D23" s="339" t="str">
        <x:v>Schools List</x:v>
      </x:c>
      <x:c r="E23" s="339" t="str">
        <x:v>Authenticated/authorized user; tenant/school context resolved; required master data effective.</x:v>
      </x:c>
      <x:c r="F23" s="339" t="str">
        <x:v>User opens or performs the primary action on Schools List.</x:v>
      </x:c>
      <x:c r="G23" s="339" t="str">
        <x:v>Resolve authorized data scope → validate search/filter/sort/page parameters → query indexed records → apply row/field masking → return paged results → expose only state- and role-permitted actions.</x:v>
      </x:c>
      <x:c r="H23" s="339" t="str">
        <x:v>Draft → Active → Inactive / Archived</x:v>
      </x:c>
      <x:c r="I23" s="339" t="str">
        <x:v>No special calculation unless configured; derived fields use authoritative source data and explicit effective-date rules.</x:v>
      </x:c>
      <x:c r="J23" s="339" t="str">
        <x:v>The authoritative record/state is updated only after all blocking validation succeeds; user receives deterministic confirmation.</x:v>
      </x:c>
      <x:c r="K23" s="339" t="str">
        <x:v>Master changes affect downstream selection lists, validations and reporting scope.</x:v>
      </x:c>
      <x:c r="L23" s="339" t="str">
        <x:v>Create/update/status/approval/reversal/export/security-sensitive events are recorded with actor, timestamp, target and reason/context.</x:v>
      </x:c>
    </x:row>
    <x:row r="24">
      <x:c r="A24" s="339" t="str">
        <x:v>BL-023</x:v>
      </x:c>
      <x:c r="B24" s="339" t="str">
        <x:v>SCR-023</x:v>
      </x:c>
      <x:c r="C24" s="339" t="str">
        <x:v>Organization / School / Branch Setup</x:v>
      </x:c>
      <x:c r="D24" s="339" t="str">
        <x:v>Add School</x:v>
      </x:c>
      <x:c r="E24" s="339" t="str">
        <x:v>Authenticated/authorized user; tenant/school context resolved; required master data effective.</x:v>
      </x:c>
      <x:c r="F24" s="339" t="str">
        <x:v>User opens or performs the primary action on Add School.</x:v>
      </x:c>
      <x:c r="G24" s="339" t="str">
        <x:v>Load valid reference data → validate mandatory and conditional fields → apply duplicate/eligibility/business-rule checks → persist within a transaction → generate identifiers if required → write audit record → trigger configured side effects/notifications.</x:v>
      </x:c>
      <x:c r="H24" s="339" t="str">
        <x:v>Draft → Active → Inactive / Archived</x:v>
      </x:c>
      <x:c r="I24" s="339" t="str">
        <x:v>No special calculation unless configured; derived fields use authoritative source data and explicit effective-date rules.</x:v>
      </x:c>
      <x:c r="J24" s="339" t="str">
        <x:v>The authoritative record/state is updated only after all blocking validation succeeds; user receives deterministic confirmation.</x:v>
      </x:c>
      <x:c r="K24" s="339" t="str">
        <x:v>Master changes affect downstream selection lists, validations and reporting scope.</x:v>
      </x:c>
      <x:c r="L24" s="339" t="str">
        <x:v>Create/update/status/approval/reversal/export/security-sensitive events are recorded with actor, timestamp, target and reason/context.</x:v>
      </x:c>
    </x:row>
    <x:row r="25">
      <x:c r="A25" s="339" t="str">
        <x:v>BL-024</x:v>
      </x:c>
      <x:c r="B25" s="339" t="str">
        <x:v>SCR-024</x:v>
      </x:c>
      <x:c r="C25" s="339" t="str">
        <x:v>Organization / School / Branch Setup</x:v>
      </x:c>
      <x:c r="D25" s="339" t="str">
        <x:v>School Details</x:v>
      </x:c>
      <x:c r="E25" s="339" t="str">
        <x:v>Authenticated/authorized user; tenant/school context resolved; required master data effective.</x:v>
      </x:c>
      <x:c r="F25" s="339" t="str">
        <x:v>User opens or performs the primary action on School Details.</x:v>
      </x:c>
      <x:c r="G25" s="339" t="str">
        <x:v>Resolve and authorize the target record → load related data/history → mask restricted fields → apply edit/state permissions → validate updates → persist with version/audit controls → refresh dependent summaries.</x:v>
      </x:c>
      <x:c r="H25" s="339" t="str">
        <x:v>Draft → Active → Inactive / Archived</x:v>
      </x:c>
      <x:c r="I25" s="339" t="str">
        <x:v>No special calculation unless configured; derived fields use authoritative source data and explicit effective-date rules.</x:v>
      </x:c>
      <x:c r="J25" s="339" t="str">
        <x:v>The authoritative record/state is updated only after all blocking validation succeeds; user receives deterministic confirmation.</x:v>
      </x:c>
      <x:c r="K25" s="339" t="str">
        <x:v>Master changes affect downstream selection lists, validations and reporting scope.</x:v>
      </x:c>
      <x:c r="L25" s="339" t="str">
        <x:v>Create/update/status/approval/reversal/export/security-sensitive events are recorded with actor, timestamp, target and reason/context.</x:v>
      </x:c>
    </x:row>
    <x:row r="26">
      <x:c r="A26" s="339" t="str">
        <x:v>BL-025</x:v>
      </x:c>
      <x:c r="B26" s="339" t="str">
        <x:v>SCR-025</x:v>
      </x:c>
      <x:c r="C26" s="339" t="str">
        <x:v>Organization / School / Branch Setup</x:v>
      </x:c>
      <x:c r="D26" s="339" t="str">
        <x:v>Branches List</x:v>
      </x:c>
      <x:c r="E26" s="339" t="str">
        <x:v>Authenticated/authorized user; tenant/school context resolved; required master data effective.</x:v>
      </x:c>
      <x:c r="F26" s="339" t="str">
        <x:v>User opens or performs the primary action on Branches List.</x:v>
      </x:c>
      <x:c r="G26" s="339" t="str">
        <x:v>Resolve authorized data scope → validate search/filter/sort/page parameters → query indexed records → apply row/field masking → return paged results → expose only state- and role-permitted actions.</x:v>
      </x:c>
      <x:c r="H26" s="339" t="str">
        <x:v>Draft → Active → Inactive / Archived</x:v>
      </x:c>
      <x:c r="I26" s="339" t="str">
        <x:v>No special calculation unless configured; derived fields use authoritative source data and explicit effective-date rules.</x:v>
      </x:c>
      <x:c r="J26" s="339" t="str">
        <x:v>The authoritative record/state is updated only after all blocking validation succeeds; user receives deterministic confirmation.</x:v>
      </x:c>
      <x:c r="K26" s="339" t="str">
        <x:v>Master changes affect downstream selection lists, validations and reporting scope.</x:v>
      </x:c>
      <x:c r="L26" s="339" t="str">
        <x:v>Create/update/status/approval/reversal/export/security-sensitive events are recorded with actor, timestamp, target and reason/context.</x:v>
      </x:c>
    </x:row>
    <x:row r="27">
      <x:c r="A27" s="339" t="str">
        <x:v>BL-026</x:v>
      </x:c>
      <x:c r="B27" s="339" t="str">
        <x:v>SCR-026</x:v>
      </x:c>
      <x:c r="C27" s="339" t="str">
        <x:v>Organization / School / Branch Setup</x:v>
      </x:c>
      <x:c r="D27" s="339" t="str">
        <x:v>Add Branch</x:v>
      </x:c>
      <x:c r="E27" s="339" t="str">
        <x:v>Authenticated/authorized user; tenant/school context resolved; required master data effective.</x:v>
      </x:c>
      <x:c r="F27" s="339" t="str">
        <x:v>User opens or performs the primary action on Add Branch.</x:v>
      </x:c>
      <x:c r="G27" s="339" t="str">
        <x:v>Load valid reference data → validate mandatory and conditional fields → apply duplicate/eligibility/business-rule checks → persist within a transaction → generate identifiers if required → write audit record → trigger configured side effects/notifications.</x:v>
      </x:c>
      <x:c r="H27" s="339" t="str">
        <x:v>Draft → Active → Inactive / Archived</x:v>
      </x:c>
      <x:c r="I27" s="339" t="str">
        <x:v>No special calculation unless configured; derived fields use authoritative source data and explicit effective-date rules.</x:v>
      </x:c>
      <x:c r="J27" s="339" t="str">
        <x:v>The authoritative record/state is updated only after all blocking validation succeeds; user receives deterministic confirmation.</x:v>
      </x:c>
      <x:c r="K27" s="339" t="str">
        <x:v>Master changes affect downstream selection lists, validations and reporting scope.</x:v>
      </x:c>
      <x:c r="L27" s="339" t="str">
        <x:v>Create/update/status/approval/reversal/export/security-sensitive events are recorded with actor, timestamp, target and reason/context.</x:v>
      </x:c>
    </x:row>
    <x:row r="28">
      <x:c r="A28" s="339" t="str">
        <x:v>BL-027</x:v>
      </x:c>
      <x:c r="B28" s="339" t="str">
        <x:v>SCR-027</x:v>
      </x:c>
      <x:c r="C28" s="339" t="str">
        <x:v>Organization / School / Branch Setup</x:v>
      </x:c>
      <x:c r="D28" s="339" t="str">
        <x:v>Branch Details</x:v>
      </x:c>
      <x:c r="E28" s="339" t="str">
        <x:v>Authenticated/authorized user; tenant/school context resolved; required master data effective.</x:v>
      </x:c>
      <x:c r="F28" s="339" t="str">
        <x:v>User opens or performs the primary action on Branch Details.</x:v>
      </x:c>
      <x:c r="G28" s="339" t="str">
        <x:v>Resolve and authorize the target record → load related data/history → mask restricted fields → apply edit/state permissions → validate updates → persist with version/audit controls → refresh dependent summaries.</x:v>
      </x:c>
      <x:c r="H28" s="339" t="str">
        <x:v>Draft → Active → Inactive / Archived</x:v>
      </x:c>
      <x:c r="I28" s="339" t="str">
        <x:v>No special calculation unless configured; derived fields use authoritative source data and explicit effective-date rules.</x:v>
      </x:c>
      <x:c r="J28" s="339" t="str">
        <x:v>The authoritative record/state is updated only after all blocking validation succeeds; user receives deterministic confirmation.</x:v>
      </x:c>
      <x:c r="K28" s="339" t="str">
        <x:v>Master changes affect downstream selection lists, validations and reporting scope.</x:v>
      </x:c>
      <x:c r="L28" s="339" t="str">
        <x:v>Create/update/status/approval/reversal/export/security-sensitive events are recorded with actor, timestamp, target and reason/context.</x:v>
      </x:c>
    </x:row>
    <x:row r="29">
      <x:c r="A29" s="339" t="str">
        <x:v>BL-028</x:v>
      </x:c>
      <x:c r="B29" s="339" t="str">
        <x:v>SCR-028</x:v>
      </x:c>
      <x:c r="C29" s="339" t="str">
        <x:v>Organization / School / Branch Setup</x:v>
      </x:c>
      <x:c r="D29" s="339" t="str">
        <x:v>Academic Year Setup</x:v>
      </x:c>
      <x:c r="E29" s="339" t="str">
        <x:v>Authenticated/authorized user; tenant/school context resolved; required master data effective.</x:v>
      </x:c>
      <x:c r="F29" s="339" t="str">
        <x:v>User opens or performs the primary action on Academic Year Setup.</x:v>
      </x:c>
      <x:c r="G29" s="339" t="str">
        <x:v>Load valid reference data → validate mandatory and conditional fields → apply duplicate/eligibility/business-rule checks → persist within a transaction → generate identifiers if required → write audit record → trigger configured side effects/notifications.</x:v>
      </x:c>
      <x:c r="H29" s="339" t="str">
        <x:v>Draft → Active → Inactive / Archived</x:v>
      </x:c>
      <x:c r="I29" s="339" t="str">
        <x:v>No special calculation unless configured; derived fields use authoritative source data and explicit effective-date rules.</x:v>
      </x:c>
      <x:c r="J29" s="339" t="str">
        <x:v>The authoritative record/state is updated only after all blocking validation succeeds; user receives deterministic confirmation.</x:v>
      </x:c>
      <x:c r="K29" s="339" t="str">
        <x:v>Master changes affect downstream selection lists, validations and reporting scope.</x:v>
      </x:c>
      <x:c r="L29" s="339" t="str">
        <x:v>Create/update/status/approval/reversal/export/security-sensitive events are recorded with actor, timestamp, target and reason/context.</x:v>
      </x:c>
    </x:row>
    <x:row r="30">
      <x:c r="A30" s="339" t="str">
        <x:v>BL-029</x:v>
      </x:c>
      <x:c r="B30" s="339" t="str">
        <x:v>SCR-029</x:v>
      </x:c>
      <x:c r="C30" s="339" t="str">
        <x:v>Organization / School / Branch Setup</x:v>
      </x:c>
      <x:c r="D30" s="339" t="str">
        <x:v>Grade / Class Setup</x:v>
      </x:c>
      <x:c r="E30" s="339" t="str">
        <x:v>Authenticated/authorized user; tenant/school context resolved; required master data effective.</x:v>
      </x:c>
      <x:c r="F30" s="339" t="str">
        <x:v>User opens or performs the primary action on Grade / Class Setup.</x:v>
      </x:c>
      <x:c r="G30" s="339" t="str">
        <x:v>Load valid reference data → validate mandatory and conditional fields → apply duplicate/eligibility/business-rule checks → persist within a transaction → generate identifiers if required → write audit record → trigger configured side effects/notifications.</x:v>
      </x:c>
      <x:c r="H30" s="339" t="str">
        <x:v>Draft → Active → Inactive / Archived</x:v>
      </x:c>
      <x:c r="I30" s="339" t="str">
        <x:v>No special calculation unless configured; derived fields use authoritative source data and explicit effective-date rules.</x:v>
      </x:c>
      <x:c r="J30" s="339" t="str">
        <x:v>The authoritative record/state is updated only after all blocking validation succeeds; user receives deterministic confirmation.</x:v>
      </x:c>
      <x:c r="K30" s="339" t="str">
        <x:v>Master changes affect downstream selection lists, validations and reporting scope.</x:v>
      </x:c>
      <x:c r="L30" s="339" t="str">
        <x:v>Create/update/status/approval/reversal/export/security-sensitive events are recorded with actor, timestamp, target and reason/context.</x:v>
      </x:c>
    </x:row>
    <x:row r="31">
      <x:c r="A31" s="339" t="str">
        <x:v>BL-030</x:v>
      </x:c>
      <x:c r="B31" s="339" t="str">
        <x:v>SCR-030</x:v>
      </x:c>
      <x:c r="C31" s="339" t="str">
        <x:v>Organization / School / Branch Setup</x:v>
      </x:c>
      <x:c r="D31" s="339" t="str">
        <x:v>Section Setup</x:v>
      </x:c>
      <x:c r="E31" s="339" t="str">
        <x:v>Authenticated/authorized user; tenant/school context resolved; required master data effective.</x:v>
      </x:c>
      <x:c r="F31" s="339" t="str">
        <x:v>User opens or performs the primary action on Section Setup.</x:v>
      </x:c>
      <x:c r="G31" s="339" t="str">
        <x:v>Load valid reference data → validate mandatory and conditional fields → apply duplicate/eligibility/business-rule checks → persist within a transaction → generate identifiers if required → write audit record → trigger configured side effects/notifications.</x:v>
      </x:c>
      <x:c r="H31" s="339" t="str">
        <x:v>Draft → Active → Inactive / Archived</x:v>
      </x:c>
      <x:c r="I31" s="339" t="str">
        <x:v>No special calculation unless configured; derived fields use authoritative source data and explicit effective-date rules.</x:v>
      </x:c>
      <x:c r="J31" s="339" t="str">
        <x:v>The authoritative record/state is updated only after all blocking validation succeeds; user receives deterministic confirmation.</x:v>
      </x:c>
      <x:c r="K31" s="339" t="str">
        <x:v>Master changes affect downstream selection lists, validations and reporting scope.</x:v>
      </x:c>
      <x:c r="L31" s="339" t="str">
        <x:v>Create/update/status/approval/reversal/export/security-sensitive events are recorded with actor, timestamp, target and reason/context.</x:v>
      </x:c>
    </x:row>
    <x:row r="32">
      <x:c r="A32" s="339" t="str">
        <x:v>BL-031</x:v>
      </x:c>
      <x:c r="B32" s="339" t="str">
        <x:v>SCR-031</x:v>
      </x:c>
      <x:c r="C32" s="339" t="str">
        <x:v>Organization / School / Branch Setup</x:v>
      </x:c>
      <x:c r="D32" s="339" t="str">
        <x:v>Department Setup</x:v>
      </x:c>
      <x:c r="E32" s="339" t="str">
        <x:v>Authenticated/authorized user; tenant/school context resolved; required master data effective.</x:v>
      </x:c>
      <x:c r="F32" s="339" t="str">
        <x:v>User opens or performs the primary action on Department Setup.</x:v>
      </x:c>
      <x:c r="G32" s="339" t="str">
        <x:v>Load valid reference data → validate mandatory and conditional fields → apply duplicate/eligibility/business-rule checks → persist within a transaction → generate identifiers if required → write audit record → trigger configured side effects/notifications.</x:v>
      </x:c>
      <x:c r="H32" s="339" t="str">
        <x:v>Draft → Active → Inactive / Archived</x:v>
      </x:c>
      <x:c r="I32" s="339" t="str">
        <x:v>No special calculation unless configured; derived fields use authoritative source data and explicit effective-date rules.</x:v>
      </x:c>
      <x:c r="J32" s="339" t="str">
        <x:v>The authoritative record/state is updated only after all blocking validation succeeds; user receives deterministic confirmation.</x:v>
      </x:c>
      <x:c r="K32" s="339" t="str">
        <x:v>Master changes affect downstream selection lists, validations and reporting scope.</x:v>
      </x:c>
      <x:c r="L32" s="339" t="str">
        <x:v>Create/update/status/approval/reversal/export/security-sensitive events are recorded with actor, timestamp, target and reason/context.</x:v>
      </x:c>
    </x:row>
    <x:row r="33">
      <x:c r="A33" s="339" t="str">
        <x:v>BL-032</x:v>
      </x:c>
      <x:c r="B33" s="339" t="str">
        <x:v>SCR-032</x:v>
      </x:c>
      <x:c r="C33" s="339" t="str">
        <x:v>Organization / School / Branch Setup</x:v>
      </x:c>
      <x:c r="D33" s="339" t="str">
        <x:v>School Branding &amp; Profile</x:v>
      </x:c>
      <x:c r="E33" s="339" t="str">
        <x:v>Authenticated/authorized user; tenant/school context resolved; required master data effective.</x:v>
      </x:c>
      <x:c r="F33" s="339" t="str">
        <x:v>User opens or performs the primary action on School Branding &amp; Profile.</x:v>
      </x:c>
      <x:c r="G33" s="339" t="str">
        <x:v>Resolve and authorize the target record → load related data/history → mask restricted fields → apply edit/state permissions → validate updates → persist with version/audit controls → refresh dependent summaries.</x:v>
      </x:c>
      <x:c r="H33" s="339" t="str">
        <x:v>Draft → Active → Inactive / Archived</x:v>
      </x:c>
      <x:c r="I33" s="339" t="str">
        <x:v>No special calculation unless configured; derived fields use authoritative source data and explicit effective-date rules.</x:v>
      </x:c>
      <x:c r="J33" s="339" t="str">
        <x:v>The authoritative record/state is updated only after all blocking validation succeeds; user receives deterministic confirmation.</x:v>
      </x:c>
      <x:c r="K33" s="339" t="str">
        <x:v>Master changes affect downstream selection lists, validations and reporting scope.</x:v>
      </x:c>
      <x:c r="L33" s="339" t="str">
        <x:v>Create/update/status/approval/reversal/export/security-sensitive events are recorded with actor, timestamp, target and reason/context.</x:v>
      </x:c>
    </x:row>
    <x:row r="34">
      <x:c r="A34" s="339" t="str">
        <x:v>BL-033</x:v>
      </x:c>
      <x:c r="B34" s="339" t="str">
        <x:v>SCR-033</x:v>
      </x:c>
      <x:c r="C34" s="339" t="str">
        <x:v>Role Dashboards</x:v>
      </x:c>
      <x:c r="D34" s="339" t="str">
        <x:v>School Admin Dashboard</x:v>
      </x:c>
      <x:c r="E34" s="339" t="str">
        <x:v>Authenticated/authorized user; tenant/school context resolved; required master data effective.</x:v>
      </x:c>
      <x:c r="F34" s="339" t="str">
        <x:v>User opens or performs the primary action on School Admin Dashboard.</x:v>
      </x:c>
      <x:c r="G34" s="339" t="str">
        <x:v>Resolve tenant/school/role context → apply date/academic filters → query authorized aggregates → compute/reconcile KPIs → highlight alerts/exceptions → expose permitted drill-down actions.</x:v>
      </x:c>
      <x:c r="H34" s="339" t="str">
        <x:v>Context Selected → Metrics Loaded → Drill-down / Action</x:v>
      </x:c>
      <x:c r="I34" s="339" t="str">
        <x:v>Dashboard KPIs reuse source-module calculations and must reconcile with drill-down data.</x:v>
      </x:c>
      <x:c r="J34" s="339" t="str">
        <x:v>The authoritative record/state is updated only after all blocking validation succeeds; user receives deterministic confirmation.</x:v>
      </x:c>
      <x:c r="K34" s="339" t="str">
        <x:v>Read-only aggregation plus navigation to source workflows.</x:v>
      </x:c>
      <x:c r="L34" s="339" t="str">
        <x:v>Create/update/status/approval/reversal/export/security-sensitive events are recorded with actor, timestamp, target and reason/context.</x:v>
      </x:c>
    </x:row>
    <x:row r="35">
      <x:c r="A35" s="339" t="str">
        <x:v>BL-034</x:v>
      </x:c>
      <x:c r="B35" s="339" t="str">
        <x:v>SCR-034</x:v>
      </x:c>
      <x:c r="C35" s="339" t="str">
        <x:v>Role Dashboards</x:v>
      </x:c>
      <x:c r="D35" s="339" t="str">
        <x:v>Principal Dashboard</x:v>
      </x:c>
      <x:c r="E35" s="339" t="str">
        <x:v>Authenticated/authorized user; tenant/school context resolved; required master data effective.</x:v>
      </x:c>
      <x:c r="F35" s="339" t="str">
        <x:v>User opens or performs the primary action on Principal Dashboard.</x:v>
      </x:c>
      <x:c r="G35" s="339" t="str">
        <x:v>Resolve tenant/school/role context → apply date/academic filters → query authorized aggregates → compute/reconcile KPIs → highlight alerts/exceptions → expose permitted drill-down actions.</x:v>
      </x:c>
      <x:c r="H35" s="339" t="str">
        <x:v>Context Selected → Metrics Loaded → Drill-down / Action</x:v>
      </x:c>
      <x:c r="I35" s="339" t="str">
        <x:v>Dashboard KPIs reuse source-module calculations and must reconcile with drill-down data.</x:v>
      </x:c>
      <x:c r="J35" s="339" t="str">
        <x:v>The authoritative record/state is updated only after all blocking validation succeeds; user receives deterministic confirmation.</x:v>
      </x:c>
      <x:c r="K35" s="339" t="str">
        <x:v>Read-only aggregation plus navigation to source workflows.</x:v>
      </x:c>
      <x:c r="L35" s="339" t="str">
        <x:v>Create/update/status/approval/reversal/export/security-sensitive events are recorded with actor, timestamp, target and reason/context.</x:v>
      </x:c>
    </x:row>
    <x:row r="36">
      <x:c r="A36" s="339" t="str">
        <x:v>BL-035</x:v>
      </x:c>
      <x:c r="B36" s="339" t="str">
        <x:v>SCR-035</x:v>
      </x:c>
      <x:c r="C36" s="339" t="str">
        <x:v>Role Dashboards</x:v>
      </x:c>
      <x:c r="D36" s="339" t="str">
        <x:v>Teacher Dashboard</x:v>
      </x:c>
      <x:c r="E36" s="339" t="str">
        <x:v>Authenticated/authorized user; tenant/school context resolved; required master data effective.</x:v>
      </x:c>
      <x:c r="F36" s="339" t="str">
        <x:v>User opens or performs the primary action on Teacher Dashboard.</x:v>
      </x:c>
      <x:c r="G36" s="339" t="str">
        <x:v>Resolve tenant/school/role context → apply date/academic filters → query authorized aggregates → compute/reconcile KPIs → highlight alerts/exceptions → expose permitted drill-down actions.</x:v>
      </x:c>
      <x:c r="H36" s="339" t="str">
        <x:v>Context Selected → Metrics Loaded → Drill-down / Action</x:v>
      </x:c>
      <x:c r="I36" s="339" t="str">
        <x:v>Dashboard KPIs reuse source-module calculations and must reconcile with drill-down data.</x:v>
      </x:c>
      <x:c r="J36" s="339" t="str">
        <x:v>The authoritative record/state is updated only after all blocking validation succeeds; user receives deterministic confirmation.</x:v>
      </x:c>
      <x:c r="K36" s="339" t="str">
        <x:v>Read-only aggregation plus navigation to source workflows.</x:v>
      </x:c>
      <x:c r="L36" s="339" t="str">
        <x:v>Create/update/status/approval/reversal/export/security-sensitive events are recorded with actor, timestamp, target and reason/context.</x:v>
      </x:c>
    </x:row>
    <x:row r="37">
      <x:c r="A37" s="339" t="str">
        <x:v>BL-036</x:v>
      </x:c>
      <x:c r="B37" s="339" t="str">
        <x:v>SCR-036</x:v>
      </x:c>
      <x:c r="C37" s="339" t="str">
        <x:v>Role Dashboards</x:v>
      </x:c>
      <x:c r="D37" s="339" t="str">
        <x:v>Student Dashboard</x:v>
      </x:c>
      <x:c r="E37" s="339" t="str">
        <x:v>Authenticated/authorized user; tenant/school context resolved; required master data effective.</x:v>
      </x:c>
      <x:c r="F37" s="339" t="str">
        <x:v>User opens or performs the primary action on Student Dashboard.</x:v>
      </x:c>
      <x:c r="G37" s="339" t="str">
        <x:v>Resolve tenant/school/role context → apply date/academic filters → query authorized aggregates → compute/reconcile KPIs → highlight alerts/exceptions → expose permitted drill-down actions.</x:v>
      </x:c>
      <x:c r="H37" s="339" t="str">
        <x:v>Context Selected → Metrics Loaded → Drill-down / Action</x:v>
      </x:c>
      <x:c r="I37" s="339" t="str">
        <x:v>Dashboard KPIs reuse source-module calculations and must reconcile with drill-down data.</x:v>
      </x:c>
      <x:c r="J37" s="339" t="str">
        <x:v>The authoritative record/state is updated only after all blocking validation succeeds; user receives deterministic confirmation.</x:v>
      </x:c>
      <x:c r="K37" s="339" t="str">
        <x:v>Read-only aggregation plus navigation to source workflows.</x:v>
      </x:c>
      <x:c r="L37" s="339" t="str">
        <x:v>Create/update/status/approval/reversal/export/security-sensitive events are recorded with actor, timestamp, target and reason/context.</x:v>
      </x:c>
    </x:row>
    <x:row r="38">
      <x:c r="A38" s="339" t="str">
        <x:v>BL-037</x:v>
      </x:c>
      <x:c r="B38" s="339" t="str">
        <x:v>SCR-037</x:v>
      </x:c>
      <x:c r="C38" s="339" t="str">
        <x:v>Role Dashboards</x:v>
      </x:c>
      <x:c r="D38" s="339" t="str">
        <x:v>Parent Dashboard</x:v>
      </x:c>
      <x:c r="E38" s="339" t="str">
        <x:v>Authenticated/authorized user; tenant/school context resolved; required master data effective.</x:v>
      </x:c>
      <x:c r="F38" s="339" t="str">
        <x:v>User opens or performs the primary action on Parent Dashboard.</x:v>
      </x:c>
      <x:c r="G38" s="339" t="str">
        <x:v>Resolve tenant/school/role context → apply date/academic filters → query authorized aggregates → compute/reconcile KPIs → highlight alerts/exceptions → expose permitted drill-down actions.</x:v>
      </x:c>
      <x:c r="H38" s="339" t="str">
        <x:v>Context Selected → Metrics Loaded → Drill-down / Action</x:v>
      </x:c>
      <x:c r="I38" s="339" t="str">
        <x:v>Dashboard KPIs reuse source-module calculations and must reconcile with drill-down data.</x:v>
      </x:c>
      <x:c r="J38" s="339" t="str">
        <x:v>The authoritative record/state is updated only after all blocking validation succeeds; user receives deterministic confirmation.</x:v>
      </x:c>
      <x:c r="K38" s="339" t="str">
        <x:v>Read-only aggregation plus navigation to source workflows.</x:v>
      </x:c>
      <x:c r="L38" s="339" t="str">
        <x:v>Create/update/status/approval/reversal/export/security-sensitive events are recorded with actor, timestamp, target and reason/context.</x:v>
      </x:c>
    </x:row>
    <x:row r="39">
      <x:c r="A39" s="339" t="str">
        <x:v>BL-038</x:v>
      </x:c>
      <x:c r="B39" s="339" t="str">
        <x:v>SCR-038</x:v>
      </x:c>
      <x:c r="C39" s="339" t="str">
        <x:v>Role Dashboards</x:v>
      </x:c>
      <x:c r="D39" s="339" t="str">
        <x:v>Accountant Dashboard</x:v>
      </x:c>
      <x:c r="E39" s="339" t="str">
        <x:v>Authenticated/authorized user; tenant/school context resolved; required master data effective.</x:v>
      </x:c>
      <x:c r="F39" s="339" t="str">
        <x:v>User opens or performs the primary action on Accountant Dashboard.</x:v>
      </x:c>
      <x:c r="G39" s="339" t="str">
        <x:v>Resolve tenant/school/role context → apply date/academic filters → query authorized aggregates → compute/reconcile KPIs → highlight alerts/exceptions → expose permitted drill-down actions.</x:v>
      </x:c>
      <x:c r="H39" s="339" t="str">
        <x:v>Context Selected → Metrics Loaded → Drill-down / Action</x:v>
      </x:c>
      <x:c r="I39" s="339" t="str">
        <x:v>Dashboard KPIs reuse source-module calculations and must reconcile with drill-down data.</x:v>
      </x:c>
      <x:c r="J39" s="339" t="str">
        <x:v>The authoritative record/state is updated only after all blocking validation succeeds; user receives deterministic confirmation.</x:v>
      </x:c>
      <x:c r="K39" s="339" t="str">
        <x:v>Read-only aggregation plus navigation to source workflows.</x:v>
      </x:c>
      <x:c r="L39" s="339" t="str">
        <x:v>Create/update/status/approval/reversal/export/security-sensitive events are recorded with actor, timestamp, target and reason/context.</x:v>
      </x:c>
    </x:row>
    <x:row r="40">
      <x:c r="A40" s="339" t="str">
        <x:v>BL-039</x:v>
      </x:c>
      <x:c r="B40" s="339" t="str">
        <x:v>SCR-039</x:v>
      </x:c>
      <x:c r="C40" s="339" t="str">
        <x:v>Role Dashboards</x:v>
      </x:c>
      <x:c r="D40" s="339" t="str">
        <x:v>HR Dashboard</x:v>
      </x:c>
      <x:c r="E40" s="339" t="str">
        <x:v>Authenticated/authorized user; tenant/school context resolved; required master data effective.</x:v>
      </x:c>
      <x:c r="F40" s="339" t="str">
        <x:v>User opens or performs the primary action on HR Dashboard.</x:v>
      </x:c>
      <x:c r="G40" s="339" t="str">
        <x:v>Resolve tenant/school/role context → apply date/academic filters → query authorized aggregates → compute/reconcile KPIs → highlight alerts/exceptions → expose permitted drill-down actions.</x:v>
      </x:c>
      <x:c r="H40" s="339" t="str">
        <x:v>Context Selected → Metrics Loaded → Drill-down / Action</x:v>
      </x:c>
      <x:c r="I40" s="339" t="str">
        <x:v>Dashboard KPIs reuse source-module calculations and must reconcile with drill-down data.</x:v>
      </x:c>
      <x:c r="J40" s="339" t="str">
        <x:v>The authoritative record/state is updated only after all blocking validation succeeds; user receives deterministic confirmation.</x:v>
      </x:c>
      <x:c r="K40" s="339" t="str">
        <x:v>Read-only aggregation plus navigation to source workflows.</x:v>
      </x:c>
      <x:c r="L40" s="339" t="str">
        <x:v>Create/update/status/approval/reversal/export/security-sensitive events are recorded with actor, timestamp, target and reason/context.</x:v>
      </x:c>
    </x:row>
    <x:row r="41">
      <x:c r="A41" s="339" t="str">
        <x:v>BL-040</x:v>
      </x:c>
      <x:c r="B41" s="339" t="str">
        <x:v>SCR-040</x:v>
      </x:c>
      <x:c r="C41" s="339" t="str">
        <x:v>Role Dashboards</x:v>
      </x:c>
      <x:c r="D41" s="339" t="str">
        <x:v>Admission Officer Dashboard</x:v>
      </x:c>
      <x:c r="E41" s="339" t="str">
        <x:v>Authenticated/authorized user; tenant/school context resolved; required master data effective.</x:v>
      </x:c>
      <x:c r="F41" s="339" t="str">
        <x:v>User opens or performs the primary action on Admission Officer Dashboard.</x:v>
      </x:c>
      <x:c r="G41" s="339" t="str">
        <x:v>Resolve tenant/school/role context → apply date/academic filters → query authorized aggregates → compute/reconcile KPIs → highlight alerts/exceptions → expose permitted drill-down actions.</x:v>
      </x:c>
      <x:c r="H41" s="339" t="str">
        <x:v>Context Selected → Metrics Loaded → Drill-down / Action</x:v>
      </x:c>
      <x:c r="I41" s="339" t="str">
        <x:v>Dashboard KPIs reuse source-module calculations and must reconcile with drill-down data.</x:v>
      </x:c>
      <x:c r="J41" s="339" t="str">
        <x:v>The authoritative record/state is updated only after all blocking validation succeeds; user receives deterministic confirmation.</x:v>
      </x:c>
      <x:c r="K41" s="339" t="str">
        <x:v>Read-only aggregation plus navigation to source workflows.</x:v>
      </x:c>
      <x:c r="L41" s="339" t="str">
        <x:v>Create/update/status/approval/reversal/export/security-sensitive events are recorded with actor, timestamp, target and reason/context.</x:v>
      </x:c>
    </x:row>
    <x:row r="42">
      <x:c r="A42" s="339" t="str">
        <x:v>BL-041</x:v>
      </x:c>
      <x:c r="B42" s="339" t="str">
        <x:v>SCR-041</x:v>
      </x:c>
      <x:c r="C42" s="339" t="str">
        <x:v>Role Dashboards</x:v>
      </x:c>
      <x:c r="D42" s="339" t="str">
        <x:v>Transport Manager Dashboard</x:v>
      </x:c>
      <x:c r="E42" s="339" t="str">
        <x:v>Authenticated/authorized user; tenant/school context resolved; required master data effective.</x:v>
      </x:c>
      <x:c r="F42" s="339" t="str">
        <x:v>User opens or performs the primary action on Transport Manager Dashboard.</x:v>
      </x:c>
      <x:c r="G42" s="339" t="str">
        <x:v>Resolve tenant/school/role context → apply date/academic filters → query authorized aggregates → compute/reconcile KPIs → highlight alerts/exceptions → expose permitted drill-down actions.</x:v>
      </x:c>
      <x:c r="H42" s="339" t="str">
        <x:v>Context Selected → Metrics Loaded → Drill-down / Action</x:v>
      </x:c>
      <x:c r="I42" s="339" t="str">
        <x:v>Dashboard KPIs reuse source-module calculations and must reconcile with drill-down data.</x:v>
      </x:c>
      <x:c r="J42" s="339" t="str">
        <x:v>The authoritative record/state is updated only after all blocking validation succeeds; user receives deterministic confirmation.</x:v>
      </x:c>
      <x:c r="K42" s="339" t="str">
        <x:v>Read-only aggregation plus navigation to source workflows.</x:v>
      </x:c>
      <x:c r="L42" s="339" t="str">
        <x:v>Create/update/status/approval/reversal/export/security-sensitive events are recorded with actor, timestamp, target and reason/context.</x:v>
      </x:c>
    </x:row>
    <x:row r="43">
      <x:c r="A43" s="339" t="str">
        <x:v>BL-042</x:v>
      </x:c>
      <x:c r="B43" s="339" t="str">
        <x:v>SCR-042</x:v>
      </x:c>
      <x:c r="C43" s="339" t="str">
        <x:v>Role Dashboards</x:v>
      </x:c>
      <x:c r="D43" s="339" t="str">
        <x:v>Librarian Dashboard</x:v>
      </x:c>
      <x:c r="E43" s="339" t="str">
        <x:v>Authenticated/authorized user; tenant/school context resolved; required master data effective.</x:v>
      </x:c>
      <x:c r="F43" s="339" t="str">
        <x:v>User opens or performs the primary action on Librarian Dashboard.</x:v>
      </x:c>
      <x:c r="G43" s="339" t="str">
        <x:v>Resolve tenant/school/role context → apply date/academic filters → query authorized aggregates → compute/reconcile KPIs → highlight alerts/exceptions → expose permitted drill-down actions.</x:v>
      </x:c>
      <x:c r="H43" s="339" t="str">
        <x:v>Context Selected → Metrics Loaded → Drill-down / Action</x:v>
      </x:c>
      <x:c r="I43" s="339" t="str">
        <x:v>Dashboard KPIs reuse source-module calculations and must reconcile with drill-down data.</x:v>
      </x:c>
      <x:c r="J43" s="339" t="str">
        <x:v>The authoritative record/state is updated only after all blocking validation succeeds; user receives deterministic confirmation.</x:v>
      </x:c>
      <x:c r="K43" s="339" t="str">
        <x:v>Read-only aggregation plus navigation to source workflows.</x:v>
      </x:c>
      <x:c r="L43" s="339" t="str">
        <x:v>Create/update/status/approval/reversal/export/security-sensitive events are recorded with actor, timestamp, target and reason/context.</x:v>
      </x:c>
    </x:row>
    <x:row r="44">
      <x:c r="A44" s="339" t="str">
        <x:v>BL-043</x:v>
      </x:c>
      <x:c r="B44" s="339" t="str">
        <x:v>SCR-043</x:v>
      </x:c>
      <x:c r="C44" s="339" t="str">
        <x:v>Admissions &amp; Enquiries</x:v>
      </x:c>
      <x:c r="D44" s="339" t="str">
        <x:v>Admission / Enquiry Dashboard</x:v>
      </x:c>
      <x:c r="E44" s="339" t="str">
        <x:v>Authenticated/authorized user; tenant/school context resolved; required master data effective.</x:v>
      </x:c>
      <x:c r="F44" s="339" t="str">
        <x:v>User opens or performs the primary action on Admission / Enquiry Dashboard.</x:v>
      </x:c>
      <x:c r="G44" s="339" t="str">
        <x:v>Resolve tenant/school/role context → apply date/academic filters → query authorized aggregates → compute/reconcile KPIs → highlight alerts/exceptions → expose permitted drill-down actions.</x:v>
      </x:c>
      <x:c r="H44" s="339" t="str">
        <x:v>New → Contacted → Follow-up → Qualified / Lost / Converted</x:v>
      </x:c>
      <x:c r="I44" s="339" t="str">
        <x:v>Conversion % = admitted students ÷ eligible enquiries × 100; funnel metrics use mutually exclusive final states.</x:v>
      </x:c>
      <x:c r="J44" s="339" t="str">
        <x:v>The authoritative record/state is updated only after all blocking validation succeeds; user receives deterministic confirmation.</x:v>
      </x:c>
      <x:c r="K44" s="339" t="str">
        <x:v>On confirmed admission, create/activate student record, guardian link, class/section assignment and fee obligations as configured.</x:v>
      </x:c>
      <x:c r="L44" s="339" t="str">
        <x:v>Create/update/status/approval/reversal/export/security-sensitive events are recorded with actor, timestamp, target and reason/context.</x:v>
      </x:c>
    </x:row>
    <x:row r="45">
      <x:c r="A45" s="339" t="str">
        <x:v>BL-044</x:v>
      </x:c>
      <x:c r="B45" s="339" t="str">
        <x:v>SCR-044</x:v>
      </x:c>
      <x:c r="C45" s="339" t="str">
        <x:v>Admissions &amp; Enquiries</x:v>
      </x:c>
      <x:c r="D45" s="339" t="str">
        <x:v>Enquiry List</x:v>
      </x:c>
      <x:c r="E45" s="339" t="str">
        <x:v>Authenticated/authorized user; tenant/school context resolved; required master data effective.</x:v>
      </x:c>
      <x:c r="F45" s="339" t="str">
        <x:v>User opens or performs the primary action on Enquiry List.</x:v>
      </x:c>
      <x:c r="G45" s="339" t="str">
        <x:v>Resolve authorized data scope → validate search/filter/sort/page parameters → query indexed records → apply row/field masking → return paged results → expose only state- and role-permitted actions.</x:v>
      </x:c>
      <x:c r="H45" s="339" t="str">
        <x:v>New → Contacted → Follow-up → Qualified / Lost / Converted</x:v>
      </x:c>
      <x:c r="I45" s="339" t="str">
        <x:v>Conversion % = admitted students ÷ eligible enquiries × 100; funnel metrics use mutually exclusive final states.</x:v>
      </x:c>
      <x:c r="J45" s="339" t="str">
        <x:v>The authoritative record/state is updated only after all blocking validation succeeds; user receives deterministic confirmation.</x:v>
      </x:c>
      <x:c r="K45" s="339" t="str">
        <x:v>On confirmed admission, create/activate student record, guardian link, class/section assignment and fee obligations as configured.</x:v>
      </x:c>
      <x:c r="L45" s="339" t="str">
        <x:v>Create/update/status/approval/reversal/export/security-sensitive events are recorded with actor, timestamp, target and reason/context.</x:v>
      </x:c>
    </x:row>
    <x:row r="46">
      <x:c r="A46" s="339" t="str">
        <x:v>BL-045</x:v>
      </x:c>
      <x:c r="B46" s="339" t="str">
        <x:v>SCR-045</x:v>
      </x:c>
      <x:c r="C46" s="339" t="str">
        <x:v>Admissions &amp; Enquiries</x:v>
      </x:c>
      <x:c r="D46" s="339" t="str">
        <x:v>Add Enquiry</x:v>
      </x:c>
      <x:c r="E46" s="339" t="str">
        <x:v>Authenticated/authorized user; tenant/school context resolved; required master data effective.</x:v>
      </x:c>
      <x:c r="F46" s="339" t="str">
        <x:v>User opens or performs the primary action on Add Enquiry.</x:v>
      </x:c>
      <x:c r="G46" s="339" t="str">
        <x:v>Load valid reference data → validate mandatory and conditional fields → apply duplicate/eligibility/business-rule checks → persist within a transaction → generate identifiers if required → write audit record → trigger configured side effects/notifications.</x:v>
      </x:c>
      <x:c r="H46" s="339" t="str">
        <x:v>New → Contacted → Follow-up → Qualified / Lost / Converted</x:v>
      </x:c>
      <x:c r="I46" s="339" t="str">
        <x:v>Conversion % = admitted students ÷ eligible enquiries × 100; funnel metrics use mutually exclusive final states.</x:v>
      </x:c>
      <x:c r="J46" s="339" t="str">
        <x:v>The authoritative record/state is updated only after all blocking validation succeeds; user receives deterministic confirmation.</x:v>
      </x:c>
      <x:c r="K46" s="339" t="str">
        <x:v>On confirmed admission, create/activate student record, guardian link, class/section assignment and fee obligations as configured.</x:v>
      </x:c>
      <x:c r="L46" s="339" t="str">
        <x:v>Create/update/status/approval/reversal/export/security-sensitive events are recorded with actor, timestamp, target and reason/context.</x:v>
      </x:c>
    </x:row>
    <x:row r="47">
      <x:c r="A47" s="339" t="str">
        <x:v>BL-046</x:v>
      </x:c>
      <x:c r="B47" s="339" t="str">
        <x:v>SCR-046</x:v>
      </x:c>
      <x:c r="C47" s="339" t="str">
        <x:v>Admissions &amp; Enquiries</x:v>
      </x:c>
      <x:c r="D47" s="339" t="str">
        <x:v>Enquiry Details</x:v>
      </x:c>
      <x:c r="E47" s="339" t="str">
        <x:v>Authenticated/authorized user; tenant/school context resolved; required master data effective.</x:v>
      </x:c>
      <x:c r="F47" s="339" t="str">
        <x:v>User opens or performs the primary action on Enquiry Details.</x:v>
      </x:c>
      <x:c r="G47" s="339" t="str">
        <x:v>Resolve and authorize the target record → load related data/history → mask restricted fields → apply edit/state permissions → validate updates → persist with version/audit controls → refresh dependent summaries.</x:v>
      </x:c>
      <x:c r="H47" s="339" t="str">
        <x:v>New → Contacted → Follow-up → Qualified / Lost / Converted</x:v>
      </x:c>
      <x:c r="I47" s="339" t="str">
        <x:v>Conversion % = admitted students ÷ eligible enquiries × 100; funnel metrics use mutually exclusive final states.</x:v>
      </x:c>
      <x:c r="J47" s="339" t="str">
        <x:v>The authoritative record/state is updated only after all blocking validation succeeds; user receives deterministic confirmation.</x:v>
      </x:c>
      <x:c r="K47" s="339" t="str">
        <x:v>On confirmed admission, create/activate student record, guardian link, class/section assignment and fee obligations as configured.</x:v>
      </x:c>
      <x:c r="L47" s="339" t="str">
        <x:v>Create/update/status/approval/reversal/export/security-sensitive events are recorded with actor, timestamp, target and reason/context.</x:v>
      </x:c>
    </x:row>
    <x:row r="48">
      <x:c r="A48" s="339" t="str">
        <x:v>BL-047</x:v>
      </x:c>
      <x:c r="B48" s="339" t="str">
        <x:v>SCR-047</x:v>
      </x:c>
      <x:c r="C48" s="339" t="str">
        <x:v>Admissions &amp; Enquiries</x:v>
      </x:c>
      <x:c r="D48" s="339" t="str">
        <x:v>Follow-up Calendar</x:v>
      </x:c>
      <x:c r="E48" s="339" t="str">
        <x:v>Authenticated/authorized user; tenant/school context resolved; required master data effective.</x:v>
      </x:c>
      <x:c r="F48" s="339" t="str">
        <x:v>User opens or performs the primary action on Follow-up Calendar.</x:v>
      </x:c>
      <x:c r="G48" s="339" t="str">
        <x:v>Load active resources/availability → validate requested date/time → detect conflicts/capacity constraints → create/update schedule atomically → record revision history → notify affected participants where configured.</x:v>
      </x:c>
      <x:c r="H48" s="339" t="str">
        <x:v>New → Contacted → Follow-up → Qualified / Lost / Converted</x:v>
      </x:c>
      <x:c r="I48" s="339" t="str">
        <x:v>Conversion % = admitted students ÷ eligible enquiries × 100; funnel metrics use mutually exclusive final states.</x:v>
      </x:c>
      <x:c r="J48" s="339" t="str">
        <x:v>The authoritative record/state is updated only after all blocking validation succeeds; user receives deterministic confirmation.</x:v>
      </x:c>
      <x:c r="K48" s="339" t="str">
        <x:v>On confirmed admission, create/activate student record, guardian link, class/section assignment and fee obligations as configured.</x:v>
      </x:c>
      <x:c r="L48" s="339" t="str">
        <x:v>Create/update/status/approval/reversal/export/security-sensitive events are recorded with actor, timestamp, target and reason/context.</x:v>
      </x:c>
    </x:row>
    <x:row r="49">
      <x:c r="A49" s="339" t="str">
        <x:v>BL-048</x:v>
      </x:c>
      <x:c r="B49" s="339" t="str">
        <x:v>SCR-048</x:v>
      </x:c>
      <x:c r="C49" s="339" t="str">
        <x:v>Admissions &amp; Enquiries</x:v>
      </x:c>
      <x:c r="D49" s="339" t="str">
        <x:v>Admission Applications</x:v>
      </x:c>
      <x:c r="E49" s="339" t="str">
        <x:v>Authenticated/authorized user; tenant/school context resolved; required master data effective.</x:v>
      </x:c>
      <x:c r="F49" s="339" t="str">
        <x:v>User opens or performs the primary action on Admission Applications.</x:v>
      </x:c>
      <x:c r="G49" s="339" t="str">
        <x:v>Resolve authorized data scope → validate search/filter/sort/page parameters → query indexed records → apply row/field masking → return paged results → expose only state- and role-permitted actions.</x:v>
      </x:c>
      <x:c r="H49" s="339" t="str">
        <x:v>Draft → Submitted → Verification → Assessment (optional) → Approved / Rejected → Fee Pending → Admitted</x:v>
      </x:c>
      <x:c r="I49" s="339" t="str">
        <x:v>Conversion % = admitted students ÷ eligible enquiries × 100; funnel metrics use mutually exclusive final states.</x:v>
      </x:c>
      <x:c r="J49" s="339" t="str">
        <x:v>The authoritative record/state is updated only after all blocking validation succeeds; user receives deterministic confirmation.</x:v>
      </x:c>
      <x:c r="K49" s="339" t="str">
        <x:v>On confirmed admission, create/activate student record, guardian link, class/section assignment and fee obligations as configured.</x:v>
      </x:c>
      <x:c r="L49" s="339" t="str">
        <x:v>Create/update/status/approval/reversal/export/security-sensitive events are recorded with actor, timestamp, target and reason/context.</x:v>
      </x:c>
    </x:row>
    <x:row r="50">
      <x:c r="A50" s="339" t="str">
        <x:v>BL-049</x:v>
      </x:c>
      <x:c r="B50" s="339" t="str">
        <x:v>SCR-049</x:v>
      </x:c>
      <x:c r="C50" s="339" t="str">
        <x:v>Admissions &amp; Enquiries</x:v>
      </x:c>
      <x:c r="D50" s="339" t="str">
        <x:v>New Admission Application</x:v>
      </x:c>
      <x:c r="E50" s="339" t="str">
        <x:v>Authenticated/authorized user; tenant/school context resolved; required master data effective.</x:v>
      </x:c>
      <x:c r="F50" s="339" t="str">
        <x:v>User opens or performs the primary action on New Admission Application.</x:v>
      </x:c>
      <x:c r="G50" s="339" t="str">
        <x:v>Load valid reference data → validate mandatory and conditional fields → apply duplicate/eligibility/business-rule checks → persist within a transaction → generate identifiers if required → write audit record → trigger configured side effects/notifications.</x:v>
      </x:c>
      <x:c r="H50" s="339" t="str">
        <x:v>Draft → Submitted → Verification → Assessment (optional) → Approved / Rejected → Fee Pending → Admitted</x:v>
      </x:c>
      <x:c r="I50" s="339" t="str">
        <x:v>Conversion % = admitted students ÷ eligible enquiries × 100; funnel metrics use mutually exclusive final states.</x:v>
      </x:c>
      <x:c r="J50" s="339" t="str">
        <x:v>The authoritative record/state is updated only after all blocking validation succeeds; user receives deterministic confirmation.</x:v>
      </x:c>
      <x:c r="K50" s="339" t="str">
        <x:v>On confirmed admission, create/activate student record, guardian link, class/section assignment and fee obligations as configured.</x:v>
      </x:c>
      <x:c r="L50" s="339" t="str">
        <x:v>Create/update/status/approval/reversal/export/security-sensitive events are recorded with actor, timestamp, target and reason/context.</x:v>
      </x:c>
    </x:row>
    <x:row r="51">
      <x:c r="A51" s="339" t="str">
        <x:v>BL-050</x:v>
      </x:c>
      <x:c r="B51" s="339" t="str">
        <x:v>SCR-050</x:v>
      </x:c>
      <x:c r="C51" s="339" t="str">
        <x:v>Admissions &amp; Enquiries</x:v>
      </x:c>
      <x:c r="D51" s="339" t="str">
        <x:v>Application Details</x:v>
      </x:c>
      <x:c r="E51" s="339" t="str">
        <x:v>Authenticated/authorized user; tenant/school context resolved; required master data effective.</x:v>
      </x:c>
      <x:c r="F51" s="339" t="str">
        <x:v>User opens or performs the primary action on Application Details.</x:v>
      </x:c>
      <x:c r="G51" s="339" t="str">
        <x:v>Resolve and authorize the target record → load related data/history → mask restricted fields → apply edit/state permissions → validate updates → persist with version/audit controls → refresh dependent summaries.</x:v>
      </x:c>
      <x:c r="H51" s="339" t="str">
        <x:v>Draft → Submitted → Verification → Assessment (optional) → Approved / Rejected → Fee Pending → Admitted</x:v>
      </x:c>
      <x:c r="I51" s="339" t="str">
        <x:v>Conversion % = admitted students ÷ eligible enquiries × 100; funnel metrics use mutually exclusive final states.</x:v>
      </x:c>
      <x:c r="J51" s="339" t="str">
        <x:v>The authoritative record/state is updated only after all blocking validation succeeds; user receives deterministic confirmation.</x:v>
      </x:c>
      <x:c r="K51" s="339" t="str">
        <x:v>On confirmed admission, create/activate student record, guardian link, class/section assignment and fee obligations as configured.</x:v>
      </x:c>
      <x:c r="L51" s="339" t="str">
        <x:v>Create/update/status/approval/reversal/export/security-sensitive events are recorded with actor, timestamp, target and reason/context.</x:v>
      </x:c>
    </x:row>
    <x:row r="52">
      <x:c r="A52" s="339" t="str">
        <x:v>BL-051</x:v>
      </x:c>
      <x:c r="B52" s="339" t="str">
        <x:v>SCR-051</x:v>
      </x:c>
      <x:c r="C52" s="339" t="str">
        <x:v>Admissions &amp; Enquiries</x:v>
      </x:c>
      <x:c r="D52" s="339" t="str">
        <x:v>Document Verification</x:v>
      </x:c>
      <x:c r="E52" s="339" t="str">
        <x:v>Authenticated/authorized user; tenant/school context resolved; required master data effective.</x:v>
      </x:c>
      <x:c r="F52" s="339" t="str">
        <x:v>User opens or performs the primary action on Document Verification.</x:v>
      </x:c>
      <x:c r="G52" s="339" t="str">
        <x:v>Load current workflow state → verify role and allowed transition → validate prerequisites/business rules → execute state change atomically → update dependent data → record audit trail → notify affected users.</x:v>
      </x:c>
      <x:c r="H52" s="339" t="str">
        <x:v>Draft → Submitted → Verification → Assessment (optional) → Approved / Rejected → Fee Pending → Admitted</x:v>
      </x:c>
      <x:c r="I52" s="339" t="str">
        <x:v>Conversion % = admitted students ÷ eligible enquiries × 100; funnel metrics use mutually exclusive final states.</x:v>
      </x:c>
      <x:c r="J52" s="339" t="str">
        <x:v>The authoritative record/state is updated only after all blocking validation succeeds; user receives deterministic confirmation.</x:v>
      </x:c>
      <x:c r="K52" s="339" t="str">
        <x:v>On confirmed admission, create/activate student record, guardian link, class/section assignment and fee obligations as configured.</x:v>
      </x:c>
      <x:c r="L52" s="339" t="str">
        <x:v>Create/update/status/approval/reversal/export/security-sensitive events are recorded with actor, timestamp, target and reason/context.</x:v>
      </x:c>
    </x:row>
    <x:row r="53">
      <x:c r="A53" s="339" t="str">
        <x:v>BL-052</x:v>
      </x:c>
      <x:c r="B53" s="339" t="str">
        <x:v>SCR-052</x:v>
      </x:c>
      <x:c r="C53" s="339" t="str">
        <x:v>Admissions &amp; Enquiries</x:v>
      </x:c>
      <x:c r="D53" s="339" t="str">
        <x:v>Entrance Assessment</x:v>
      </x:c>
      <x:c r="E53" s="339" t="str">
        <x:v>Authenticated/authorized user; tenant/school context resolved; required master data effective.</x:v>
      </x:c>
      <x:c r="F53" s="339" t="str">
        <x:v>User opens or performs the primary action on Entrance Assessment.</x:v>
      </x:c>
      <x:c r="G53" s="339" t="str">
        <x:v>Load current workflow state → verify role and allowed transition → validate prerequisites/business rules → execute state change atomically → update dependent data → record audit trail → notify affected users.</x:v>
      </x:c>
      <x:c r="H53" s="339" t="str">
        <x:v>Draft → Submitted → Verification → Assessment (optional) → Approved / Rejected → Fee Pending → Admitted</x:v>
      </x:c>
      <x:c r="I53" s="339" t="str">
        <x:v>Conversion % = admitted students ÷ eligible enquiries × 100; funnel metrics use mutually exclusive final states.</x:v>
      </x:c>
      <x:c r="J53" s="339" t="str">
        <x:v>The authoritative record/state is updated only after all blocking validation succeeds; user receives deterministic confirmation.</x:v>
      </x:c>
      <x:c r="K53" s="339" t="str">
        <x:v>On confirmed admission, create/activate student record, guardian link, class/section assignment and fee obligations as configured.</x:v>
      </x:c>
      <x:c r="L53" s="339" t="str">
        <x:v>Create/update/status/approval/reversal/export/security-sensitive events are recorded with actor, timestamp, target and reason/context.</x:v>
      </x:c>
    </x:row>
    <x:row r="54">
      <x:c r="A54" s="339" t="str">
        <x:v>BL-053</x:v>
      </x:c>
      <x:c r="B54" s="339" t="str">
        <x:v>SCR-053</x:v>
      </x:c>
      <x:c r="C54" s="339" t="str">
        <x:v>Admissions &amp; Enquiries</x:v>
      </x:c>
      <x:c r="D54" s="339" t="str">
        <x:v>Admission Approval</x:v>
      </x:c>
      <x:c r="E54" s="339" t="str">
        <x:v>Authenticated/authorized user; tenant/school context resolved; required master data effective.</x:v>
      </x:c>
      <x:c r="F54" s="339" t="str">
        <x:v>User opens or performs the primary action on Admission Approval.</x:v>
      </x:c>
      <x:c r="G54" s="339" t="str">
        <x:v>Load current workflow state → verify role and allowed transition → validate prerequisites/business rules → execute state change atomically → update dependent data → record audit trail → notify affected users.</x:v>
      </x:c>
      <x:c r="H54" s="339" t="str">
        <x:v>Draft → Submitted → Verification → Assessment (optional) → Approved / Rejected → Fee Pending → Admitted</x:v>
      </x:c>
      <x:c r="I54" s="339" t="str">
        <x:v>Conversion % = admitted students ÷ eligible enquiries × 100; funnel metrics use mutually exclusive final states.</x:v>
      </x:c>
      <x:c r="J54" s="339" t="str">
        <x:v>The authoritative record/state is updated only after all blocking validation succeeds; user receives deterministic confirmation.</x:v>
      </x:c>
      <x:c r="K54" s="339" t="str">
        <x:v>On confirmed admission, create/activate student record, guardian link, class/section assignment and fee obligations as configured.</x:v>
      </x:c>
      <x:c r="L54" s="339" t="str">
        <x:v>Create/update/status/approval/reversal/export/security-sensitive events are recorded with actor, timestamp, target and reason/context.</x:v>
      </x:c>
    </x:row>
    <x:row r="55">
      <x:c r="A55" s="339" t="str">
        <x:v>BL-054</x:v>
      </x:c>
      <x:c r="B55" s="339" t="str">
        <x:v>SCR-054</x:v>
      </x:c>
      <x:c r="C55" s="339" t="str">
        <x:v>Admissions &amp; Enquiries</x:v>
      </x:c>
      <x:c r="D55" s="339" t="str">
        <x:v>Admission Confirmation &amp; Student Creation</x:v>
      </x:c>
      <x:c r="E55" s="339" t="str">
        <x:v>Authenticated/authorized user; tenant/school context resolved; required master data effective.</x:v>
      </x:c>
      <x:c r="F55" s="339" t="str">
        <x:v>User opens or performs the primary action on Admission Confirmation &amp; Student Creation.</x:v>
      </x:c>
      <x:c r="G55" s="339" t="str">
        <x:v>Load current workflow state → verify role and allowed transition → validate prerequisites/business rules → execute state change atomically → update dependent data → record audit trail → notify affected users.</x:v>
      </x:c>
      <x:c r="H55" s="339" t="str">
        <x:v>Draft → Submitted → Verification → Assessment (optional) → Approved / Rejected → Fee Pending → Admitted</x:v>
      </x:c>
      <x:c r="I55" s="339" t="str">
        <x:v>Conversion % = admitted students ÷ eligible enquiries × 100; funnel metrics use mutually exclusive final states.</x:v>
      </x:c>
      <x:c r="J55" s="339" t="str">
        <x:v>The authoritative record/state is updated only after all blocking validation succeeds; user receives deterministic confirmation.</x:v>
      </x:c>
      <x:c r="K55" s="339" t="str">
        <x:v>On confirmed admission, create/activate student record, guardian link, class/section assignment and fee obligations as configured.</x:v>
      </x:c>
      <x:c r="L55" s="339" t="str">
        <x:v>Create/update/status/approval/reversal/export/security-sensitive events are recorded with actor, timestamp, target and reason/context.</x:v>
      </x:c>
    </x:row>
    <x:row r="56">
      <x:c r="A56" s="339" t="str">
        <x:v>BL-055</x:v>
      </x:c>
      <x:c r="B56" s="339" t="str">
        <x:v>SCR-055</x:v>
      </x:c>
      <x:c r="C56" s="339" t="str">
        <x:v>Students</x:v>
      </x:c>
      <x:c r="D56" s="339" t="str">
        <x:v>Student Directory</x:v>
      </x:c>
      <x:c r="E56" s="339" t="str">
        <x:v>Authenticated/authorized user; tenant/school context resolved; required master data effective.</x:v>
      </x:c>
      <x:c r="F56" s="339" t="str">
        <x:v>User opens or performs the primary action on Student Directory.</x:v>
      </x:c>
      <x:c r="G56" s="339" t="str">
        <x:v>Resolve authorized data scope → validate search/filter/sort/page parameters → query indexed records → apply row/field masking → return paged results → expose only state- and role-permitted actions.</x:v>
      </x:c>
      <x:c r="H56" s="339" t="str">
        <x:v>Pre-admission (optional) → Active → Suspended (optional) → Transferred / Graduated / Withdrawn → Alumni</x:v>
      </x:c>
      <x:c r="I56" s="339" t="str">
        <x:v>No special calculation unless configured; derived fields use authoritative source data and explicit effective-date rules.</x:v>
      </x:c>
      <x:c r="J56" s="339" t="str">
        <x:v>The authoritative record/state is updated only after all blocking validation succeeds; user receives deterministic confirmation.</x:v>
      </x:c>
      <x:c r="K56" s="339" t="str">
        <x:v>Student status/assignment changes propagate to attendance, timetable, exams, fees, transport, library and portal visibility.</x:v>
      </x:c>
      <x:c r="L56" s="339" t="str">
        <x:v>Create/update/status/approval/reversal/export/security-sensitive events are recorded with actor, timestamp, target and reason/context.</x:v>
      </x:c>
    </x:row>
    <x:row r="57">
      <x:c r="A57" s="339" t="str">
        <x:v>BL-056</x:v>
      </x:c>
      <x:c r="B57" s="339" t="str">
        <x:v>SCR-056</x:v>
      </x:c>
      <x:c r="C57" s="339" t="str">
        <x:v>Students</x:v>
      </x:c>
      <x:c r="D57" s="339" t="str">
        <x:v>Add Student</x:v>
      </x:c>
      <x:c r="E57" s="339" t="str">
        <x:v>Authenticated/authorized user; tenant/school context resolved; required master data effective.</x:v>
      </x:c>
      <x:c r="F57" s="339" t="str">
        <x:v>User opens or performs the primary action on Add Student.</x:v>
      </x:c>
      <x:c r="G57" s="339" t="str">
        <x:v>Load valid reference data → validate mandatory and conditional fields → apply duplicate/eligibility/business-rule checks → persist within a transaction → generate identifiers if required → write audit record → trigger configured side effects/notifications.</x:v>
      </x:c>
      <x:c r="H57" s="339" t="str">
        <x:v>Pre-admission (optional) → Active → Suspended (optional) → Transferred / Graduated / Withdrawn → Alumni</x:v>
      </x:c>
      <x:c r="I57" s="339" t="str">
        <x:v>No special calculation unless configured; derived fields use authoritative source data and explicit effective-date rules.</x:v>
      </x:c>
      <x:c r="J57" s="339" t="str">
        <x:v>The authoritative record/state is updated only after all blocking validation succeeds; user receives deterministic confirmation.</x:v>
      </x:c>
      <x:c r="K57" s="339" t="str">
        <x:v>Student status/assignment changes propagate to attendance, timetable, exams, fees, transport, library and portal visibility.</x:v>
      </x:c>
      <x:c r="L57" s="339" t="str">
        <x:v>Create/update/status/approval/reversal/export/security-sensitive events are recorded with actor, timestamp, target and reason/context.</x:v>
      </x:c>
    </x:row>
    <x:row r="58">
      <x:c r="A58" s="339" t="str">
        <x:v>BL-057</x:v>
      </x:c>
      <x:c r="B58" s="339" t="str">
        <x:v>SCR-057</x:v>
      </x:c>
      <x:c r="C58" s="339" t="str">
        <x:v>Students</x:v>
      </x:c>
      <x:c r="D58" s="339" t="str">
        <x:v>Student Profile Overview</x:v>
      </x:c>
      <x:c r="E58" s="339" t="str">
        <x:v>Authenticated/authorized user; tenant/school context resolved; required master data effective.</x:v>
      </x:c>
      <x:c r="F58" s="339" t="str">
        <x:v>User opens or performs the primary action on Student Profile Overview.</x:v>
      </x:c>
      <x:c r="G58" s="339" t="str">
        <x:v>Resolve and authorize the target record → load related data/history → mask restricted fields → apply edit/state permissions → validate updates → persist with version/audit controls → refresh dependent summaries.</x:v>
      </x:c>
      <x:c r="H58" s="339" t="str">
        <x:v>Pre-admission (optional) → Active → Suspended (optional) → Transferred / Graduated / Withdrawn → Alumni</x:v>
      </x:c>
      <x:c r="I58" s="339" t="str">
        <x:v>No special calculation unless configured; derived fields use authoritative source data and explicit effective-date rules.</x:v>
      </x:c>
      <x:c r="J58" s="339" t="str">
        <x:v>The authoritative record/state is updated only after all blocking validation succeeds; user receives deterministic confirmation.</x:v>
      </x:c>
      <x:c r="K58" s="339" t="str">
        <x:v>Student status/assignment changes propagate to attendance, timetable, exams, fees, transport, library and portal visibility.</x:v>
      </x:c>
      <x:c r="L58" s="339" t="str">
        <x:v>Create/update/status/approval/reversal/export/security-sensitive events are recorded with actor, timestamp, target and reason/context.</x:v>
      </x:c>
    </x:row>
    <x:row r="59">
      <x:c r="A59" s="339" t="str">
        <x:v>BL-058</x:v>
      </x:c>
      <x:c r="B59" s="339" t="str">
        <x:v>SCR-058</x:v>
      </x:c>
      <x:c r="C59" s="339" t="str">
        <x:v>Students</x:v>
      </x:c>
      <x:c r="D59" s="339" t="str">
        <x:v>Edit Student</x:v>
      </x:c>
      <x:c r="E59" s="339" t="str">
        <x:v>Authenticated/authorized user; tenant/school context resolved; required master data effective.</x:v>
      </x:c>
      <x:c r="F59" s="339" t="str">
        <x:v>User opens or performs the primary action on Edit Student.</x:v>
      </x:c>
      <x:c r="G59" s="339" t="str">
        <x:v>Load current workflow state → verify role and allowed transition → validate prerequisites/business rules → execute state change atomically → update dependent data → record audit trail → notify affected users.</x:v>
      </x:c>
      <x:c r="H59" s="339" t="str">
        <x:v>Pre-admission (optional) → Active → Suspended (optional) → Transferred / Graduated / Withdrawn → Alumni</x:v>
      </x:c>
      <x:c r="I59" s="339" t="str">
        <x:v>No special calculation unless configured; derived fields use authoritative source data and explicit effective-date rules.</x:v>
      </x:c>
      <x:c r="J59" s="339" t="str">
        <x:v>The authoritative record/state is updated only after all blocking validation succeeds; user receives deterministic confirmation.</x:v>
      </x:c>
      <x:c r="K59" s="339" t="str">
        <x:v>Student status/assignment changes propagate to attendance, timetable, exams, fees, transport, library and portal visibility.</x:v>
      </x:c>
      <x:c r="L59" s="339" t="str">
        <x:v>Create/update/status/approval/reversal/export/security-sensitive events are recorded with actor, timestamp, target and reason/context.</x:v>
      </x:c>
    </x:row>
    <x:row r="60">
      <x:c r="A60" s="339" t="str">
        <x:v>BL-059</x:v>
      </x:c>
      <x:c r="B60" s="339" t="str">
        <x:v>SCR-059</x:v>
      </x:c>
      <x:c r="C60" s="339" t="str">
        <x:v>Students</x:v>
      </x:c>
      <x:c r="D60" s="339" t="str">
        <x:v>Student Academic Details</x:v>
      </x:c>
      <x:c r="E60" s="339" t="str">
        <x:v>Authenticated/authorized user; tenant/school context resolved; required master data effective.</x:v>
      </x:c>
      <x:c r="F60" s="339" t="str">
        <x:v>User opens or performs the primary action on Student Academic Details.</x:v>
      </x:c>
      <x:c r="G60" s="339" t="str">
        <x:v>Resolve and authorize the target record → load related data/history → mask restricted fields → apply edit/state permissions → validate updates → persist with version/audit controls → refresh dependent summaries.</x:v>
      </x:c>
      <x:c r="H60" s="339" t="str">
        <x:v>Pre-admission (optional) → Active → Suspended (optional) → Transferred / Graduated / Withdrawn → Alumni</x:v>
      </x:c>
      <x:c r="I60" s="339" t="str">
        <x:v>No special calculation unless configured; derived fields use authoritative source data and explicit effective-date rules.</x:v>
      </x:c>
      <x:c r="J60" s="339" t="str">
        <x:v>The authoritative record/state is updated only after all blocking validation succeeds; user receives deterministic confirmation.</x:v>
      </x:c>
      <x:c r="K60" s="339" t="str">
        <x:v>Student status/assignment changes propagate to attendance, timetable, exams, fees, transport, library and portal visibility.</x:v>
      </x:c>
      <x:c r="L60" s="339" t="str">
        <x:v>Create/update/status/approval/reversal/export/security-sensitive events are recorded with actor, timestamp, target and reason/context.</x:v>
      </x:c>
    </x:row>
    <x:row r="61">
      <x:c r="A61" s="339" t="str">
        <x:v>BL-060</x:v>
      </x:c>
      <x:c r="B61" s="339" t="str">
        <x:v>SCR-060</x:v>
      </x:c>
      <x:c r="C61" s="339" t="str">
        <x:v>Students</x:v>
      </x:c>
      <x:c r="D61" s="339" t="str">
        <x:v>Student Attendance History</x:v>
      </x:c>
      <x:c r="E61" s="339" t="str">
        <x:v>Authenticated/authorized user; tenant/school context resolved; required master data effective.</x:v>
      </x:c>
      <x:c r="F61" s="339" t="str">
        <x:v>User opens or performs the primary action on Student Attendance History.</x:v>
      </x:c>
      <x:c r="G61" s="339" t="str">
        <x:v>Resolve and authorize the target record → load related data/history → mask restricted fields → apply edit/state permissions → validate updates → persist with version/audit controls → refresh dependent summaries.</x:v>
      </x:c>
      <x:c r="H61" s="339" t="str">
        <x:v>Pre-admission (optional) → Active → Suspended (optional) → Transferred / Graduated / Withdrawn → Alumni</x:v>
      </x:c>
      <x:c r="I61" s="339" t="str">
        <x:v>No special calculation unless configured; derived fields use authoritative source data and explicit effective-date rules.</x:v>
      </x:c>
      <x:c r="J61" s="339" t="str">
        <x:v>The authoritative record/state is updated only after all blocking validation succeeds; user receives deterministic confirmation.</x:v>
      </x:c>
      <x:c r="K61" s="339" t="str">
        <x:v>Student status/assignment changes propagate to attendance, timetable, exams, fees, transport, library and portal visibility.</x:v>
      </x:c>
      <x:c r="L61" s="339" t="str">
        <x:v>Create/update/status/approval/reversal/export/security-sensitive events are recorded with actor, timestamp, target and reason/context.</x:v>
      </x:c>
    </x:row>
    <x:row r="62">
      <x:c r="A62" s="339" t="str">
        <x:v>BL-061</x:v>
      </x:c>
      <x:c r="B62" s="339" t="str">
        <x:v>SCR-061</x:v>
      </x:c>
      <x:c r="C62" s="339" t="str">
        <x:v>Students</x:v>
      </x:c>
      <x:c r="D62" s="339" t="str">
        <x:v>Student Examination &amp; Results</x:v>
      </x:c>
      <x:c r="E62" s="339" t="str">
        <x:v>Authenticated/authorized user; tenant/school context resolved; required master data effective.</x:v>
      </x:c>
      <x:c r="F62" s="339" t="str">
        <x:v>User opens or performs the primary action on Student Examination &amp; Results.</x:v>
      </x:c>
      <x:c r="G62" s="339" t="str">
        <x:v>Resolve and authorize the target record → load related data/history → mask restricted fields → apply edit/state permissions → validate updates → persist with version/audit controls → refresh dependent summaries.</x:v>
      </x:c>
      <x:c r="H62" s="339" t="str">
        <x:v>Pre-admission (optional) → Active → Suspended (optional) → Transferred / Graduated / Withdrawn → Alumni</x:v>
      </x:c>
      <x:c r="I62" s="339" t="str">
        <x:v>No special calculation unless configured; derived fields use authoritative source data and explicit effective-date rules.</x:v>
      </x:c>
      <x:c r="J62" s="339" t="str">
        <x:v>The authoritative record/state is updated only after all blocking validation succeeds; user receives deterministic confirmation.</x:v>
      </x:c>
      <x:c r="K62" s="339" t="str">
        <x:v>Student status/assignment changes propagate to attendance, timetable, exams, fees, transport, library and portal visibility.</x:v>
      </x:c>
      <x:c r="L62" s="339" t="str">
        <x:v>Create/update/status/approval/reversal/export/security-sensitive events are recorded with actor, timestamp, target and reason/context.</x:v>
      </x:c>
    </x:row>
    <x:row r="63">
      <x:c r="A63" s="339" t="str">
        <x:v>BL-062</x:v>
      </x:c>
      <x:c r="B63" s="339" t="str">
        <x:v>SCR-062</x:v>
      </x:c>
      <x:c r="C63" s="339" t="str">
        <x:v>Students</x:v>
      </x:c>
      <x:c r="D63" s="339" t="str">
        <x:v>Student Fees &amp; Ledger</x:v>
      </x:c>
      <x:c r="E63" s="339" t="str">
        <x:v>Authenticated/authorized user; tenant/school context resolved; required master data effective.</x:v>
      </x:c>
      <x:c r="F63" s="339" t="str">
        <x:v>User opens or performs the primary action on Student Fees &amp; Ledger.</x:v>
      </x:c>
      <x:c r="G63" s="339" t="str">
        <x:v>Resolve and authorize the target record → load related data/history → mask restricted fields → apply edit/state permissions → validate updates → persist with version/audit controls → refresh dependent summaries.</x:v>
      </x:c>
      <x:c r="H63" s="339" t="str">
        <x:v>Pre-admission (optional) → Active → Suspended (optional) → Transferred / Graduated / Withdrawn → Alumni</x:v>
      </x:c>
      <x:c r="I63" s="339" t="str">
        <x:v>No special calculation unless configured; derived fields use authoritative source data and explicit effective-date rules.</x:v>
      </x:c>
      <x:c r="J63" s="339" t="str">
        <x:v>The authoritative record/state is updated only after all blocking validation succeeds; user receives deterministic confirmation.</x:v>
      </x:c>
      <x:c r="K63" s="339" t="str">
        <x:v>Student status/assignment changes propagate to attendance, timetable, exams, fees, transport, library and portal visibility.</x:v>
      </x:c>
      <x:c r="L63" s="339" t="str">
        <x:v>Create/update/status/approval/reversal/export/security-sensitive events are recorded with actor, timestamp, target and reason/context.</x:v>
      </x:c>
    </x:row>
    <x:row r="64">
      <x:c r="A64" s="339" t="str">
        <x:v>BL-063</x:v>
      </x:c>
      <x:c r="B64" s="339" t="str">
        <x:v>SCR-063</x:v>
      </x:c>
      <x:c r="C64" s="339" t="str">
        <x:v>Students</x:v>
      </x:c>
      <x:c r="D64" s="339" t="str">
        <x:v>Student Documents</x:v>
      </x:c>
      <x:c r="E64" s="339" t="str">
        <x:v>Authenticated/authorized user; tenant/school context resolved; required master data effective.</x:v>
      </x:c>
      <x:c r="F64" s="339" t="str">
        <x:v>User opens or performs the primary action on Student Documents.</x:v>
      </x:c>
      <x:c r="G64" s="339" t="str">
        <x:v>Load current workflow state → verify role and allowed transition → validate prerequisites/business rules → execute state change atomically → update dependent data → record audit trail → notify affected users.</x:v>
      </x:c>
      <x:c r="H64" s="339" t="str">
        <x:v>Pre-admission (optional) → Active → Suspended (optional) → Transferred / Graduated / Withdrawn → Alumni</x:v>
      </x:c>
      <x:c r="I64" s="339" t="str">
        <x:v>No special calculation unless configured; derived fields use authoritative source data and explicit effective-date rules.</x:v>
      </x:c>
      <x:c r="J64" s="339" t="str">
        <x:v>The authoritative record/state is updated only after all blocking validation succeeds; user receives deterministic confirmation.</x:v>
      </x:c>
      <x:c r="K64" s="339" t="str">
        <x:v>Student status/assignment changes propagate to attendance, timetable, exams, fees, transport, library and portal visibility.</x:v>
      </x:c>
      <x:c r="L64" s="339" t="str">
        <x:v>Create/update/status/approval/reversal/export/security-sensitive events are recorded with actor, timestamp, target and reason/context.</x:v>
      </x:c>
    </x:row>
    <x:row r="65">
      <x:c r="A65" s="339" t="str">
        <x:v>BL-064</x:v>
      </x:c>
      <x:c r="B65" s="339" t="str">
        <x:v>SCR-064</x:v>
      </x:c>
      <x:c r="C65" s="339" t="str">
        <x:v>Students</x:v>
      </x:c>
      <x:c r="D65" s="339" t="str">
        <x:v>Student Behaviour &amp; Discipline</x:v>
      </x:c>
      <x:c r="E65" s="339" t="str">
        <x:v>Authenticated/authorized user; tenant/school context resolved; required master data effective.</x:v>
      </x:c>
      <x:c r="F65" s="339" t="str">
        <x:v>User opens or performs the primary action on Student Behaviour &amp; Discipline.</x:v>
      </x:c>
      <x:c r="G65" s="339" t="str">
        <x:v>Load current workflow state → verify role and allowed transition → validate prerequisites/business rules → execute state change atomically → update dependent data → record audit trail → notify affected users.</x:v>
      </x:c>
      <x:c r="H65" s="339" t="str">
        <x:v>Pre-admission (optional) → Active → Suspended (optional) → Transferred / Graduated / Withdrawn → Alumni</x:v>
      </x:c>
      <x:c r="I65" s="339" t="str">
        <x:v>No special calculation unless configured; derived fields use authoritative source data and explicit effective-date rules.</x:v>
      </x:c>
      <x:c r="J65" s="339" t="str">
        <x:v>The authoritative record/state is updated only after all blocking validation succeeds; user receives deterministic confirmation.</x:v>
      </x:c>
      <x:c r="K65" s="339" t="str">
        <x:v>Student status/assignment changes propagate to attendance, timetable, exams, fees, transport, library and portal visibility.</x:v>
      </x:c>
      <x:c r="L65" s="339" t="str">
        <x:v>Create/update/status/approval/reversal/export/security-sensitive events are recorded with actor, timestamp, target and reason/context.</x:v>
      </x:c>
    </x:row>
    <x:row r="66">
      <x:c r="A66" s="339" t="str">
        <x:v>BL-065</x:v>
      </x:c>
      <x:c r="B66" s="339" t="str">
        <x:v>SCR-065</x:v>
      </x:c>
      <x:c r="C66" s="339" t="str">
        <x:v>Students</x:v>
      </x:c>
      <x:c r="D66" s="339" t="str">
        <x:v>Student Health</x:v>
      </x:c>
      <x:c r="E66" s="339" t="str">
        <x:v>Authenticated/authorized user; tenant/school context resolved; required master data effective.</x:v>
      </x:c>
      <x:c r="F66" s="339" t="str">
        <x:v>User opens or performs the primary action on Student Health.</x:v>
      </x:c>
      <x:c r="G66" s="339" t="str">
        <x:v>Load current workflow state → verify role and allowed transition → validate prerequisites/business rules → execute state change atomically → update dependent data → record audit trail → notify affected users.</x:v>
      </x:c>
      <x:c r="H66" s="339" t="str">
        <x:v>Pre-admission (optional) → Active → Suspended (optional) → Transferred / Graduated / Withdrawn → Alumni</x:v>
      </x:c>
      <x:c r="I66" s="339" t="str">
        <x:v>No special calculation unless configured; derived fields use authoritative source data and explicit effective-date rules.</x:v>
      </x:c>
      <x:c r="J66" s="339" t="str">
        <x:v>The authoritative record/state is updated only after all blocking validation succeeds; user receives deterministic confirmation.</x:v>
      </x:c>
      <x:c r="K66" s="339" t="str">
        <x:v>Student status/assignment changes propagate to attendance, timetable, exams, fees, transport, library and portal visibility.</x:v>
      </x:c>
      <x:c r="L66" s="339" t="str">
        <x:v>Create/update/status/approval/reversal/export/security-sensitive events are recorded with actor, timestamp, target and reason/context.</x:v>
      </x:c>
    </x:row>
    <x:row r="67">
      <x:c r="A67" s="339" t="str">
        <x:v>BL-066</x:v>
      </x:c>
      <x:c r="B67" s="339" t="str">
        <x:v>SCR-066</x:v>
      </x:c>
      <x:c r="C67" s="339" t="str">
        <x:v>Students</x:v>
      </x:c>
      <x:c r="D67" s="339" t="str">
        <x:v>Student Transport</x:v>
      </x:c>
      <x:c r="E67" s="339" t="str">
        <x:v>Authenticated/authorized user; tenant/school context resolved; required master data effective.</x:v>
      </x:c>
      <x:c r="F67" s="339" t="str">
        <x:v>User opens or performs the primary action on Student Transport.</x:v>
      </x:c>
      <x:c r="G67" s="339" t="str">
        <x:v>Load current workflow state → verify role and allowed transition → validate prerequisites/business rules → execute state change atomically → update dependent data → record audit trail → notify affected users.</x:v>
      </x:c>
      <x:c r="H67" s="339" t="str">
        <x:v>Pre-admission (optional) → Active → Suspended (optional) → Transferred / Graduated / Withdrawn → Alumni</x:v>
      </x:c>
      <x:c r="I67" s="339" t="str">
        <x:v>No special calculation unless configured; derived fields use authoritative source data and explicit effective-date rules.</x:v>
      </x:c>
      <x:c r="J67" s="339" t="str">
        <x:v>The authoritative record/state is updated only after all blocking validation succeeds; user receives deterministic confirmation.</x:v>
      </x:c>
      <x:c r="K67" s="339" t="str">
        <x:v>Student status/assignment changes propagate to attendance, timetable, exams, fees, transport, library and portal visibility.</x:v>
      </x:c>
      <x:c r="L67" s="339" t="str">
        <x:v>Create/update/status/approval/reversal/export/security-sensitive events are recorded with actor, timestamp, target and reason/context.</x:v>
      </x:c>
    </x:row>
    <x:row r="68">
      <x:c r="A68" s="339" t="str">
        <x:v>BL-067</x:v>
      </x:c>
      <x:c r="B68" s="339" t="str">
        <x:v>SCR-067</x:v>
      </x:c>
      <x:c r="C68" s="339" t="str">
        <x:v>Students</x:v>
      </x:c>
      <x:c r="D68" s="339" t="str">
        <x:v>Student Library</x:v>
      </x:c>
      <x:c r="E68" s="339" t="str">
        <x:v>Authenticated/authorized user; tenant/school context resolved; required master data effective.</x:v>
      </x:c>
      <x:c r="F68" s="339" t="str">
        <x:v>User opens or performs the primary action on Student Library.</x:v>
      </x:c>
      <x:c r="G68" s="339" t="str">
        <x:v>Load current workflow state → verify role and allowed transition → validate prerequisites/business rules → execute state change atomically → update dependent data → record audit trail → notify affected users.</x:v>
      </x:c>
      <x:c r="H68" s="339" t="str">
        <x:v>Pre-admission (optional) → Active → Suspended (optional) → Transferred / Graduated / Withdrawn → Alumni</x:v>
      </x:c>
      <x:c r="I68" s="339" t="str">
        <x:v>No special calculation unless configured; derived fields use authoritative source data and explicit effective-date rules.</x:v>
      </x:c>
      <x:c r="J68" s="339" t="str">
        <x:v>The authoritative record/state is updated only after all blocking validation succeeds; user receives deterministic confirmation.</x:v>
      </x:c>
      <x:c r="K68" s="339" t="str">
        <x:v>Student status/assignment changes propagate to attendance, timetable, exams, fees, transport, library and portal visibility.</x:v>
      </x:c>
      <x:c r="L68" s="339" t="str">
        <x:v>Create/update/status/approval/reversal/export/security-sensitive events are recorded with actor, timestamp, target and reason/context.</x:v>
      </x:c>
    </x:row>
    <x:row r="69">
      <x:c r="A69" s="339" t="str">
        <x:v>BL-068</x:v>
      </x:c>
      <x:c r="B69" s="339" t="str">
        <x:v>SCR-068</x:v>
      </x:c>
      <x:c r="C69" s="339" t="str">
        <x:v>Students</x:v>
      </x:c>
      <x:c r="D69" s="339" t="str">
        <x:v>Siblings &amp; Family</x:v>
      </x:c>
      <x:c r="E69" s="339" t="str">
        <x:v>Authenticated/authorized user; tenant/school context resolved; required master data effective.</x:v>
      </x:c>
      <x:c r="F69" s="339" t="str">
        <x:v>User opens or performs the primary action on Siblings &amp; Family.</x:v>
      </x:c>
      <x:c r="G69" s="339" t="str">
        <x:v>Load current workflow state → verify role and allowed transition → validate prerequisites/business rules → execute state change atomically → update dependent data → record audit trail → notify affected users.</x:v>
      </x:c>
      <x:c r="H69" s="339" t="str">
        <x:v>Pre-admission (optional) → Active → Suspended (optional) → Transferred / Graduated / Withdrawn → Alumni</x:v>
      </x:c>
      <x:c r="I69" s="339" t="str">
        <x:v>No special calculation unless configured; derived fields use authoritative source data and explicit effective-date rules.</x:v>
      </x:c>
      <x:c r="J69" s="339" t="str">
        <x:v>The authoritative record/state is updated only after all blocking validation succeeds; user receives deterministic confirmation.</x:v>
      </x:c>
      <x:c r="K69" s="339" t="str">
        <x:v>Student status/assignment changes propagate to attendance, timetable, exams, fees, transport, library and portal visibility.</x:v>
      </x:c>
      <x:c r="L69" s="339" t="str">
        <x:v>Create/update/status/approval/reversal/export/security-sensitive events are recorded with actor, timestamp, target and reason/context.</x:v>
      </x:c>
    </x:row>
    <x:row r="70">
      <x:c r="A70" s="339" t="str">
        <x:v>BL-069</x:v>
      </x:c>
      <x:c r="B70" s="339" t="str">
        <x:v>SCR-069</x:v>
      </x:c>
      <x:c r="C70" s="339" t="str">
        <x:v>Students</x:v>
      </x:c>
      <x:c r="D70" s="339" t="str">
        <x:v>Promotion / Transfer</x:v>
      </x:c>
      <x:c r="E70" s="339" t="str">
        <x:v>Authenticated/authorized user; tenant/school context resolved; required master data effective.</x:v>
      </x:c>
      <x:c r="F70" s="339" t="str">
        <x:v>User opens or performs the primary action on Promotion / Transfer.</x:v>
      </x:c>
      <x:c r="G70" s="339" t="str">
        <x:v>Load current workflow state → verify role and allowed transition → validate prerequisites/business rules → execute state change atomically → update dependent data → record audit trail → notify affected users.</x:v>
      </x:c>
      <x:c r="H70" s="339" t="str">
        <x:v>Pre-admission (optional) → Active → Suspended (optional) → Transferred / Graduated / Withdrawn → Alumni</x:v>
      </x:c>
      <x:c r="I70" s="339" t="str">
        <x:v>No special calculation unless configured; derived fields use authoritative source data and explicit effective-date rules.</x:v>
      </x:c>
      <x:c r="J70" s="339" t="str">
        <x:v>The authoritative record/state is updated only after all blocking validation succeeds; user receives deterministic confirmation.</x:v>
      </x:c>
      <x:c r="K70" s="339" t="str">
        <x:v>Student status/assignment changes propagate to attendance, timetable, exams, fees, transport, library and portal visibility.</x:v>
      </x:c>
      <x:c r="L70" s="339" t="str">
        <x:v>Create/update/status/approval/reversal/export/security-sensitive events are recorded with actor, timestamp, target and reason/context.</x:v>
      </x:c>
    </x:row>
    <x:row r="71">
      <x:c r="A71" s="339" t="str">
        <x:v>BL-070</x:v>
      </x:c>
      <x:c r="B71" s="339" t="str">
        <x:v>SCR-070</x:v>
      </x:c>
      <x:c r="C71" s="339" t="str">
        <x:v>Students</x:v>
      </x:c>
      <x:c r="D71" s="339" t="str">
        <x:v>Student Exit / Alumni Conversion</x:v>
      </x:c>
      <x:c r="E71" s="339" t="str">
        <x:v>Authenticated/authorized user; tenant/school context resolved; required master data effective.</x:v>
      </x:c>
      <x:c r="F71" s="339" t="str">
        <x:v>User opens or performs the primary action on Student Exit / Alumni Conversion.</x:v>
      </x:c>
      <x:c r="G71" s="339" t="str">
        <x:v>Load current workflow state → verify role and allowed transition → validate prerequisites/business rules → execute state change atomically → update dependent data → record audit trail → notify affected users.</x:v>
      </x:c>
      <x:c r="H71" s="339" t="str">
        <x:v>Pre-admission (optional) → Active → Suspended (optional) → Transferred / Graduated / Withdrawn → Alumni</x:v>
      </x:c>
      <x:c r="I71" s="339" t="str">
        <x:v>No special calculation unless configured; derived fields use authoritative source data and explicit effective-date rules.</x:v>
      </x:c>
      <x:c r="J71" s="339" t="str">
        <x:v>The authoritative record/state is updated only after all blocking validation succeeds; user receives deterministic confirmation.</x:v>
      </x:c>
      <x:c r="K71" s="339" t="str">
        <x:v>Student status/assignment changes propagate to attendance, timetable, exams, fees, transport, library and portal visibility.</x:v>
      </x:c>
      <x:c r="L71" s="339" t="str">
        <x:v>Create/update/status/approval/reversal/export/security-sensitive events are recorded with actor, timestamp, target and reason/context.</x:v>
      </x:c>
    </x:row>
    <x:row r="72">
      <x:c r="A72" s="339" t="str">
        <x:v>BL-071</x:v>
      </x:c>
      <x:c r="B72" s="339" t="str">
        <x:v>SCR-071</x:v>
      </x:c>
      <x:c r="C72" s="339" t="str">
        <x:v>Parents &amp; Guardians</x:v>
      </x:c>
      <x:c r="D72" s="339" t="str">
        <x:v>Parent / Guardian Directory</x:v>
      </x:c>
      <x:c r="E72" s="339" t="str">
        <x:v>Authenticated/authorized user; tenant/school context resolved; required master data effective.</x:v>
      </x:c>
      <x:c r="F72" s="339" t="str">
        <x:v>User opens or performs the primary action on Parent / Guardian Directory.</x:v>
      </x:c>
      <x:c r="G72" s="339" t="str">
        <x:v>Resolve authorized data scope → validate search/filter/sort/page parameters → query indexed records → apply row/field masking → return paged results → expose only state- and role-permitted actions.</x:v>
      </x:c>
      <x:c r="H72" s="339" t="str">
        <x:v>Invited / Unverified → Verified → Active → Suspended / Unlinked</x:v>
      </x:c>
      <x:c r="I72" s="339" t="str">
        <x:v>No special calculation unless configured; derived fields use authoritative source data and explicit effective-date rules.</x:v>
      </x:c>
      <x:c r="J72" s="339" t="str">
        <x:v>The authoritative record/state is updated only after all blocking validation succeeds; user receives deterministic confirmation.</x:v>
      </x:c>
      <x:c r="K72" s="339" t="str">
        <x:v>Guardian relationship changes immediately affect parent portal scope and communication recipients.</x:v>
      </x:c>
      <x:c r="L72" s="339" t="str">
        <x:v>Create/update/status/approval/reversal/export/security-sensitive events are recorded with actor, timestamp, target and reason/context.</x:v>
      </x:c>
    </x:row>
    <x:row r="73">
      <x:c r="A73" s="339" t="str">
        <x:v>BL-072</x:v>
      </x:c>
      <x:c r="B73" s="339" t="str">
        <x:v>SCR-072</x:v>
      </x:c>
      <x:c r="C73" s="339" t="str">
        <x:v>Parents &amp; Guardians</x:v>
      </x:c>
      <x:c r="D73" s="339" t="str">
        <x:v>Add Parent / Guardian</x:v>
      </x:c>
      <x:c r="E73" s="339" t="str">
        <x:v>Authenticated/authorized user; tenant/school context resolved; required master data effective.</x:v>
      </x:c>
      <x:c r="F73" s="339" t="str">
        <x:v>User opens or performs the primary action on Add Parent / Guardian.</x:v>
      </x:c>
      <x:c r="G73" s="339" t="str">
        <x:v>Load valid reference data → validate mandatory and conditional fields → apply duplicate/eligibility/business-rule checks → persist within a transaction → generate identifiers if required → write audit record → trigger configured side effects/notifications.</x:v>
      </x:c>
      <x:c r="H73" s="339" t="str">
        <x:v>Invited / Unverified → Verified → Active → Suspended / Unlinked</x:v>
      </x:c>
      <x:c r="I73" s="339" t="str">
        <x:v>No special calculation unless configured; derived fields use authoritative source data and explicit effective-date rules.</x:v>
      </x:c>
      <x:c r="J73" s="339" t="str">
        <x:v>The authoritative record/state is updated only after all blocking validation succeeds; user receives deterministic confirmation.</x:v>
      </x:c>
      <x:c r="K73" s="339" t="str">
        <x:v>Guardian relationship changes immediately affect parent portal scope and communication recipients.</x:v>
      </x:c>
      <x:c r="L73" s="339" t="str">
        <x:v>Create/update/status/approval/reversal/export/security-sensitive events are recorded with actor, timestamp, target and reason/context.</x:v>
      </x:c>
    </x:row>
    <x:row r="74">
      <x:c r="A74" s="339" t="str">
        <x:v>BL-073</x:v>
      </x:c>
      <x:c r="B74" s="339" t="str">
        <x:v>SCR-073</x:v>
      </x:c>
      <x:c r="C74" s="339" t="str">
        <x:v>Parents &amp; Guardians</x:v>
      </x:c>
      <x:c r="D74" s="339" t="str">
        <x:v>Parent Profile</x:v>
      </x:c>
      <x:c r="E74" s="339" t="str">
        <x:v>Authenticated/authorized user; tenant/school context resolved; required master data effective.</x:v>
      </x:c>
      <x:c r="F74" s="339" t="str">
        <x:v>User opens or performs the primary action on Parent Profile.</x:v>
      </x:c>
      <x:c r="G74" s="339" t="str">
        <x:v>Resolve and authorize the target record → load related data/history → mask restricted fields → apply edit/state permissions → validate updates → persist with version/audit controls → refresh dependent summaries.</x:v>
      </x:c>
      <x:c r="H74" s="339" t="str">
        <x:v>Invited / Unverified → Verified → Active → Suspended / Unlinked</x:v>
      </x:c>
      <x:c r="I74" s="339" t="str">
        <x:v>No special calculation unless configured; derived fields use authoritative source data and explicit effective-date rules.</x:v>
      </x:c>
      <x:c r="J74" s="339" t="str">
        <x:v>The authoritative record/state is updated only after all blocking validation succeeds; user receives deterministic confirmation.</x:v>
      </x:c>
      <x:c r="K74" s="339" t="str">
        <x:v>Guardian relationship changes immediately affect parent portal scope and communication recipients.</x:v>
      </x:c>
      <x:c r="L74" s="339" t="str">
        <x:v>Create/update/status/approval/reversal/export/security-sensitive events are recorded with actor, timestamp, target and reason/context.</x:v>
      </x:c>
    </x:row>
    <x:row r="75">
      <x:c r="A75" s="339" t="str">
        <x:v>BL-074</x:v>
      </x:c>
      <x:c r="B75" s="339" t="str">
        <x:v>SCR-074</x:v>
      </x:c>
      <x:c r="C75" s="339" t="str">
        <x:v>Parents &amp; Guardians</x:v>
      </x:c>
      <x:c r="D75" s="339" t="str">
        <x:v>Link Children</x:v>
      </x:c>
      <x:c r="E75" s="339" t="str">
        <x:v>Authenticated/authorized user; tenant/school context resolved; required master data effective.</x:v>
      </x:c>
      <x:c r="F75" s="339" t="str">
        <x:v>User opens or performs the primary action on Link Children.</x:v>
      </x:c>
      <x:c r="G75" s="339" t="str">
        <x:v>Load current workflow state → verify role and allowed transition → validate prerequisites/business rules → execute state change atomically → update dependent data → record audit trail → notify affected users.</x:v>
      </x:c>
      <x:c r="H75" s="339" t="str">
        <x:v>Invited / Unverified → Verified → Active → Suspended / Unlinked</x:v>
      </x:c>
      <x:c r="I75" s="339" t="str">
        <x:v>No special calculation unless configured; derived fields use authoritative source data and explicit effective-date rules.</x:v>
      </x:c>
      <x:c r="J75" s="339" t="str">
        <x:v>The authoritative record/state is updated only after all blocking validation succeeds; user receives deterministic confirmation.</x:v>
      </x:c>
      <x:c r="K75" s="339" t="str">
        <x:v>Guardian relationship changes immediately affect parent portal scope and communication recipients.</x:v>
      </x:c>
      <x:c r="L75" s="339" t="str">
        <x:v>Create/update/status/approval/reversal/export/security-sensitive events are recorded with actor, timestamp, target and reason/context.</x:v>
      </x:c>
    </x:row>
    <x:row r="76">
      <x:c r="A76" s="339" t="str">
        <x:v>BL-075</x:v>
      </x:c>
      <x:c r="B76" s="339" t="str">
        <x:v>SCR-075</x:v>
      </x:c>
      <x:c r="C76" s="339" t="str">
        <x:v>Parents &amp; Guardians</x:v>
      </x:c>
      <x:c r="D76" s="339" t="str">
        <x:v>Communication Preferences</x:v>
      </x:c>
      <x:c r="E76" s="339" t="str">
        <x:v>Authenticated/authorized user; tenant/school context resolved; required master data effective.</x:v>
      </x:c>
      <x:c r="F76" s="339" t="str">
        <x:v>User opens or performs the primary action on Communication Preferences.</x:v>
      </x:c>
      <x:c r="G76" s="339" t="str">
        <x:v>Load current effective configuration → validate permissions/dependencies/date overlaps → prevent destructive changes to referenced masters → save version/effective dates → audit change → refresh downstream configuration cache safely.</x:v>
      </x:c>
      <x:c r="H76" s="339" t="str">
        <x:v>Invited / Unverified → Verified → Active → Suspended / Unlinked</x:v>
      </x:c>
      <x:c r="I76" s="339" t="str">
        <x:v>No special calculation unless configured; derived fields use authoritative source data and explicit effective-date rules.</x:v>
      </x:c>
      <x:c r="J76" s="339" t="str">
        <x:v>The authoritative record/state is updated only after all blocking validation succeeds; user receives deterministic confirmation.</x:v>
      </x:c>
      <x:c r="K76" s="339" t="str">
        <x:v>Guardian relationship changes immediately affect parent portal scope and communication recipients.</x:v>
      </x:c>
      <x:c r="L76" s="339" t="str">
        <x:v>Create/update/status/approval/reversal/export/security-sensitive events are recorded with actor, timestamp, target and reason/context.</x:v>
      </x:c>
    </x:row>
    <x:row r="77">
      <x:c r="A77" s="339" t="str">
        <x:v>BL-076</x:v>
      </x:c>
      <x:c r="B77" s="339" t="str">
        <x:v>SCR-076</x:v>
      </x:c>
      <x:c r="C77" s="339" t="str">
        <x:v>Parents &amp; Guardians</x:v>
      </x:c>
      <x:c r="D77" s="339" t="str">
        <x:v>Parent Login Access</x:v>
      </x:c>
      <x:c r="E77" s="339" t="str">
        <x:v>Authenticated/authorized user; tenant/school context resolved; required master data effective.</x:v>
      </x:c>
      <x:c r="F77" s="339" t="str">
        <x:v>User opens or performs the primary action on Parent Login Access.</x:v>
      </x:c>
      <x:c r="G77" s="339" t="str">
        <x:v>Load current workflow state → verify role and allowed transition → validate prerequisites/business rules → execute state change atomically → update dependent data → record audit trail → notify affected users.</x:v>
      </x:c>
      <x:c r="H77" s="339" t="str">
        <x:v>Invited / Unverified → Verified → Active → Suspended / Unlinked</x:v>
      </x:c>
      <x:c r="I77" s="339" t="str">
        <x:v>No special calculation unless configured; derived fields use authoritative source data and explicit effective-date rules.</x:v>
      </x:c>
      <x:c r="J77" s="339" t="str">
        <x:v>The authoritative record/state is updated only after all blocking validation succeeds; user receives deterministic confirmation.</x:v>
      </x:c>
      <x:c r="K77" s="339" t="str">
        <x:v>Guardian relationship changes immediately affect parent portal scope and communication recipients.</x:v>
      </x:c>
      <x:c r="L77" s="339" t="str">
        <x:v>Create/update/status/approval/reversal/export/security-sensitive events are recorded with actor, timestamp, target and reason/context.</x:v>
      </x:c>
    </x:row>
    <x:row r="78">
      <x:c r="A78" s="339" t="str">
        <x:v>BL-077</x:v>
      </x:c>
      <x:c r="B78" s="339" t="str">
        <x:v>SCR-077</x:v>
      </x:c>
      <x:c r="C78" s="339" t="str">
        <x:v>Parents &amp; Guardians</x:v>
      </x:c>
      <x:c r="D78" s="339" t="str">
        <x:v>Parent-Teacher Interactions</x:v>
      </x:c>
      <x:c r="E78" s="339" t="str">
        <x:v>Authenticated/authorized user; tenant/school context resolved; required master data effective.</x:v>
      </x:c>
      <x:c r="F78" s="339" t="str">
        <x:v>User opens or performs the primary action on Parent-Teacher Interactions.</x:v>
      </x:c>
      <x:c r="G78" s="339" t="str">
        <x:v>Load current workflow state → verify role and allowed transition → validate prerequisites/business rules → execute state change atomically → update dependent data → record audit trail → notify affected users.</x:v>
      </x:c>
      <x:c r="H78" s="339" t="str">
        <x:v>Invited / Unverified → Verified → Active → Suspended / Unlinked</x:v>
      </x:c>
      <x:c r="I78" s="339" t="str">
        <x:v>No special calculation unless configured; derived fields use authoritative source data and explicit effective-date rules.</x:v>
      </x:c>
      <x:c r="J78" s="339" t="str">
        <x:v>The authoritative record/state is updated only after all blocking validation succeeds; user receives deterministic confirmation.</x:v>
      </x:c>
      <x:c r="K78" s="339" t="str">
        <x:v>Guardian relationship changes immediately affect parent portal scope and communication recipients.</x:v>
      </x:c>
      <x:c r="L78" s="339" t="str">
        <x:v>Create/update/status/approval/reversal/export/security-sensitive events are recorded with actor, timestamp, target and reason/context.</x:v>
      </x:c>
    </x:row>
    <x:row r="79">
      <x:c r="A79" s="339" t="str">
        <x:v>BL-078</x:v>
      </x:c>
      <x:c r="B79" s="339" t="str">
        <x:v>SCR-078</x:v>
      </x:c>
      <x:c r="C79" s="339" t="str">
        <x:v>Parents &amp; Guardians</x:v>
      </x:c>
      <x:c r="D79" s="339" t="str">
        <x:v>Parent Payments &amp; Receipts</x:v>
      </x:c>
      <x:c r="E79" s="339" t="str">
        <x:v>Authenticated/authorized user; tenant/school context resolved; required master data effective.</x:v>
      </x:c>
      <x:c r="F79" s="339" t="str">
        <x:v>User opens or performs the primary action on Parent Payments &amp; Receipts.</x:v>
      </x:c>
      <x:c r="G79" s="339" t="str">
        <x:v>Resolve and authorize the target record → load related data/history → mask restricted fields → apply edit/state permissions → validate updates → persist with version/audit controls → refresh dependent summaries.</x:v>
      </x:c>
      <x:c r="H79" s="339" t="str">
        <x:v>Invited / Unverified → Verified → Active → Suspended / Unlinked</x:v>
      </x:c>
      <x:c r="I79" s="339" t="str">
        <x:v>No special calculation unless configured; derived fields use authoritative source data and explicit effective-date rules.</x:v>
      </x:c>
      <x:c r="J79" s="339" t="str">
        <x:v>The authoritative record/state is updated only after all blocking validation succeeds; user receives deterministic confirmation.</x:v>
      </x:c>
      <x:c r="K79" s="339" t="str">
        <x:v>Guardian relationship changes immediately affect parent portal scope and communication recipients.</x:v>
      </x:c>
      <x:c r="L79" s="339" t="str">
        <x:v>Create/update/status/approval/reversal/export/security-sensitive events are recorded with actor, timestamp, target and reason/context.</x:v>
      </x:c>
    </x:row>
    <x:row r="80">
      <x:c r="A80" s="339" t="str">
        <x:v>BL-079</x:v>
      </x:c>
      <x:c r="B80" s="339" t="str">
        <x:v>SCR-079</x:v>
      </x:c>
      <x:c r="C80" s="339" t="str">
        <x:v>Parents &amp; Guardians</x:v>
      </x:c>
      <x:c r="D80" s="339" t="str">
        <x:v>Parent Activity History</x:v>
      </x:c>
      <x:c r="E80" s="339" t="str">
        <x:v>Authenticated/authorized user; tenant/school context resolved; required master data effective.</x:v>
      </x:c>
      <x:c r="F80" s="339" t="str">
        <x:v>User opens or performs the primary action on Parent Activity History.</x:v>
      </x:c>
      <x:c r="G80" s="339" t="str">
        <x:v>Resolve and authorize the target record → load related data/history → mask restricted fields → apply edit/state permissions → validate updates → persist with version/audit controls → refresh dependent summaries.</x:v>
      </x:c>
      <x:c r="H80" s="339" t="str">
        <x:v>Invited / Unverified → Verified → Active → Suspended / Unlinked</x:v>
      </x:c>
      <x:c r="I80" s="339" t="str">
        <x:v>No special calculation unless configured; derived fields use authoritative source data and explicit effective-date rules.</x:v>
      </x:c>
      <x:c r="J80" s="339" t="str">
        <x:v>The authoritative record/state is updated only after all blocking validation succeeds; user receives deterministic confirmation.</x:v>
      </x:c>
      <x:c r="K80" s="339" t="str">
        <x:v>Guardian relationship changes immediately affect parent portal scope and communication recipients.</x:v>
      </x:c>
      <x:c r="L80" s="339" t="str">
        <x:v>Create/update/status/approval/reversal/export/security-sensitive events are recorded with actor, timestamp, target and reason/context.</x:v>
      </x:c>
    </x:row>
    <x:row r="81">
      <x:c r="A81" s="339" t="str">
        <x:v>BL-080</x:v>
      </x:c>
      <x:c r="B81" s="339" t="str">
        <x:v>SCR-080</x:v>
      </x:c>
      <x:c r="C81" s="339" t="str">
        <x:v>Teachers &amp; Staff</x:v>
      </x:c>
      <x:c r="D81" s="339" t="str">
        <x:v>Staff Directory</x:v>
      </x:c>
      <x:c r="E81" s="339" t="str">
        <x:v>Authenticated/authorized user; tenant/school context resolved; required master data effective.</x:v>
      </x:c>
      <x:c r="F81" s="339" t="str">
        <x:v>User opens or performs the primary action on Staff Directory.</x:v>
      </x:c>
      <x:c r="G81" s="339" t="str">
        <x:v>Resolve authorized data scope → validate search/filter/sort/page parameters → query indexed records → apply row/field masking → return paged results → expose only state- and role-permitted actions.</x:v>
      </x:c>
      <x:c r="H81" s="339" t="str">
        <x:v>Draft / Candidate → Active Employee → On Leave (operational) → Exited / Inactive</x:v>
      </x:c>
      <x:c r="I81" s="339" t="str">
        <x:v>No special calculation unless configured; derived fields use authoritative source data and explicit effective-date rules.</x:v>
      </x:c>
      <x:c r="J81" s="339" t="str">
        <x:v>The authoritative record/state is updated only after all blocking validation succeeds; user receives deterministic confirmation.</x:v>
      </x:c>
      <x:c r="K81" s="339" t="str">
        <x:v>Assignment/employment changes affect timetable, classes, payroll access and user permissions.</x:v>
      </x:c>
      <x:c r="L81" s="339" t="str">
        <x:v>Create/update/status/approval/reversal/export/security-sensitive events are recorded with actor, timestamp, target and reason/context.</x:v>
      </x:c>
    </x:row>
    <x:row r="82">
      <x:c r="A82" s="339" t="str">
        <x:v>BL-081</x:v>
      </x:c>
      <x:c r="B82" s="339" t="str">
        <x:v>SCR-081</x:v>
      </x:c>
      <x:c r="C82" s="339" t="str">
        <x:v>Teachers &amp; Staff</x:v>
      </x:c>
      <x:c r="D82" s="339" t="str">
        <x:v>Add Staff</x:v>
      </x:c>
      <x:c r="E82" s="339" t="str">
        <x:v>Authenticated/authorized user; tenant/school context resolved; required master data effective.</x:v>
      </x:c>
      <x:c r="F82" s="339" t="str">
        <x:v>User opens or performs the primary action on Add Staff.</x:v>
      </x:c>
      <x:c r="G82" s="339" t="str">
        <x:v>Load valid reference data → validate mandatory and conditional fields → apply duplicate/eligibility/business-rule checks → persist within a transaction → generate identifiers if required → write audit record → trigger configured side effects/notifications.</x:v>
      </x:c>
      <x:c r="H82" s="339" t="str">
        <x:v>Draft / Candidate → Active Employee → On Leave (operational) → Exited / Inactive</x:v>
      </x:c>
      <x:c r="I82" s="339" t="str">
        <x:v>No special calculation unless configured; derived fields use authoritative source data and explicit effective-date rules.</x:v>
      </x:c>
      <x:c r="J82" s="339" t="str">
        <x:v>The authoritative record/state is updated only after all blocking validation succeeds; user receives deterministic confirmation.</x:v>
      </x:c>
      <x:c r="K82" s="339" t="str">
        <x:v>Assignment/employment changes affect timetable, classes, payroll access and user permissions.</x:v>
      </x:c>
      <x:c r="L82" s="339" t="str">
        <x:v>Create/update/status/approval/reversal/export/security-sensitive events are recorded with actor, timestamp, target and reason/context.</x:v>
      </x:c>
    </x:row>
    <x:row r="83">
      <x:c r="A83" s="339" t="str">
        <x:v>BL-082</x:v>
      </x:c>
      <x:c r="B83" s="339" t="str">
        <x:v>SCR-082</x:v>
      </x:c>
      <x:c r="C83" s="339" t="str">
        <x:v>Teachers &amp; Staff</x:v>
      </x:c>
      <x:c r="D83" s="339" t="str">
        <x:v>Staff Profile</x:v>
      </x:c>
      <x:c r="E83" s="339" t="str">
        <x:v>Authenticated/authorized user; tenant/school context resolved; required master data effective.</x:v>
      </x:c>
      <x:c r="F83" s="339" t="str">
        <x:v>User opens or performs the primary action on Staff Profile.</x:v>
      </x:c>
      <x:c r="G83" s="339" t="str">
        <x:v>Resolve and authorize the target record → load related data/history → mask restricted fields → apply edit/state permissions → validate updates → persist with version/audit controls → refresh dependent summaries.</x:v>
      </x:c>
      <x:c r="H83" s="339" t="str">
        <x:v>Draft / Candidate → Active Employee → On Leave (operational) → Exited / Inactive</x:v>
      </x:c>
      <x:c r="I83" s="339" t="str">
        <x:v>No special calculation unless configured; derived fields use authoritative source data and explicit effective-date rules.</x:v>
      </x:c>
      <x:c r="J83" s="339" t="str">
        <x:v>The authoritative record/state is updated only after all blocking validation succeeds; user receives deterministic confirmation.</x:v>
      </x:c>
      <x:c r="K83" s="339" t="str">
        <x:v>Assignment/employment changes affect timetable, classes, payroll access and user permissions.</x:v>
      </x:c>
      <x:c r="L83" s="339" t="str">
        <x:v>Create/update/status/approval/reversal/export/security-sensitive events are recorded with actor, timestamp, target and reason/context.</x:v>
      </x:c>
    </x:row>
    <x:row r="84">
      <x:c r="A84" s="339" t="str">
        <x:v>BL-083</x:v>
      </x:c>
      <x:c r="B84" s="339" t="str">
        <x:v>SCR-083</x:v>
      </x:c>
      <x:c r="C84" s="339" t="str">
        <x:v>Teachers &amp; Staff</x:v>
      </x:c>
      <x:c r="D84" s="339" t="str">
        <x:v>Edit Staff</x:v>
      </x:c>
      <x:c r="E84" s="339" t="str">
        <x:v>Authenticated/authorized user; tenant/school context resolved; required master data effective.</x:v>
      </x:c>
      <x:c r="F84" s="339" t="str">
        <x:v>User opens or performs the primary action on Edit Staff.</x:v>
      </x:c>
      <x:c r="G84" s="339" t="str">
        <x:v>Load current workflow state → verify role and allowed transition → validate prerequisites/business rules → execute state change atomically → update dependent data → record audit trail → notify affected users.</x:v>
      </x:c>
      <x:c r="H84" s="339" t="str">
        <x:v>Draft / Candidate → Active Employee → On Leave (operational) → Exited / Inactive</x:v>
      </x:c>
      <x:c r="I84" s="339" t="str">
        <x:v>No special calculation unless configured; derived fields use authoritative source data and explicit effective-date rules.</x:v>
      </x:c>
      <x:c r="J84" s="339" t="str">
        <x:v>The authoritative record/state is updated only after all blocking validation succeeds; user receives deterministic confirmation.</x:v>
      </x:c>
      <x:c r="K84" s="339" t="str">
        <x:v>Assignment/employment changes affect timetable, classes, payroll access and user permissions.</x:v>
      </x:c>
      <x:c r="L84" s="339" t="str">
        <x:v>Create/update/status/approval/reversal/export/security-sensitive events are recorded with actor, timestamp, target and reason/context.</x:v>
      </x:c>
    </x:row>
    <x:row r="85">
      <x:c r="A85" s="339" t="str">
        <x:v>BL-084</x:v>
      </x:c>
      <x:c r="B85" s="339" t="str">
        <x:v>SCR-084</x:v>
      </x:c>
      <x:c r="C85" s="339" t="str">
        <x:v>Teachers &amp; Staff</x:v>
      </x:c>
      <x:c r="D85" s="339" t="str">
        <x:v>Teacher Allocation</x:v>
      </x:c>
      <x:c r="E85" s="339" t="str">
        <x:v>Authenticated/authorized user; tenant/school context resolved; required master data effective.</x:v>
      </x:c>
      <x:c r="F85" s="339" t="str">
        <x:v>User opens or performs the primary action on Teacher Allocation.</x:v>
      </x:c>
      <x:c r="G85" s="339" t="str">
        <x:v>Load current workflow state → verify role and allowed transition → validate prerequisites/business rules → execute state change atomically → update dependent data → record audit trail → notify affected users.</x:v>
      </x:c>
      <x:c r="H85" s="339" t="str">
        <x:v>Draft / Candidate → Active Employee → On Leave (operational) → Exited / Inactive</x:v>
      </x:c>
      <x:c r="I85" s="339" t="str">
        <x:v>No special calculation unless configured; derived fields use authoritative source data and explicit effective-date rules.</x:v>
      </x:c>
      <x:c r="J85" s="339" t="str">
        <x:v>The authoritative record/state is updated only after all blocking validation succeeds; user receives deterministic confirmation.</x:v>
      </x:c>
      <x:c r="K85" s="339" t="str">
        <x:v>Assignment/employment changes affect timetable, classes, payroll access and user permissions.</x:v>
      </x:c>
      <x:c r="L85" s="339" t="str">
        <x:v>Create/update/status/approval/reversal/export/security-sensitive events are recorded with actor, timestamp, target and reason/context.</x:v>
      </x:c>
    </x:row>
    <x:row r="86">
      <x:c r="A86" s="339" t="str">
        <x:v>BL-085</x:v>
      </x:c>
      <x:c r="B86" s="339" t="str">
        <x:v>SCR-085</x:v>
      </x:c>
      <x:c r="C86" s="339" t="str">
        <x:v>Teachers &amp; Staff</x:v>
      </x:c>
      <x:c r="D86" s="339" t="str">
        <x:v>Subject &amp; Class Assignment</x:v>
      </x:c>
      <x:c r="E86" s="339" t="str">
        <x:v>Authenticated/authorized user; tenant/school context resolved; required master data effective.</x:v>
      </x:c>
      <x:c r="F86" s="339" t="str">
        <x:v>User opens or performs the primary action on Subject &amp; Class Assignment.</x:v>
      </x:c>
      <x:c r="G86" s="339" t="str">
        <x:v>Load current workflow state → verify role and allowed transition → validate prerequisites/business rules → execute state change atomically → update dependent data → record audit trail → notify affected users.</x:v>
      </x:c>
      <x:c r="H86" s="339" t="str">
        <x:v>Draft / Candidate → Active Employee → On Leave (operational) → Exited / Inactive</x:v>
      </x:c>
      <x:c r="I86" s="339" t="str">
        <x:v>No special calculation unless configured; derived fields use authoritative source data and explicit effective-date rules.</x:v>
      </x:c>
      <x:c r="J86" s="339" t="str">
        <x:v>The authoritative record/state is updated only after all blocking validation succeeds; user receives deterministic confirmation.</x:v>
      </x:c>
      <x:c r="K86" s="339" t="str">
        <x:v>Assignment/employment changes affect timetable, classes, payroll access and user permissions.</x:v>
      </x:c>
      <x:c r="L86" s="339" t="str">
        <x:v>Create/update/status/approval/reversal/export/security-sensitive events are recorded with actor, timestamp, target and reason/context.</x:v>
      </x:c>
    </x:row>
    <x:row r="87">
      <x:c r="A87" s="339" t="str">
        <x:v>BL-086</x:v>
      </x:c>
      <x:c r="B87" s="339" t="str">
        <x:v>SCR-086</x:v>
      </x:c>
      <x:c r="C87" s="339" t="str">
        <x:v>Teachers &amp; Staff</x:v>
      </x:c>
      <x:c r="D87" s="339" t="str">
        <x:v>Teacher Workload</x:v>
      </x:c>
      <x:c r="E87" s="339" t="str">
        <x:v>Authenticated/authorized user; tenant/school context resolved; required master data effective.</x:v>
      </x:c>
      <x:c r="F87" s="339" t="str">
        <x:v>User opens or performs the primary action on Teacher Workload.</x:v>
      </x:c>
      <x:c r="G87" s="339" t="str">
        <x:v>Load current workflow state → verify role and allowed transition → validate prerequisites/business rules → execute state change atomically → update dependent data → record audit trail → notify affected users.</x:v>
      </x:c>
      <x:c r="H87" s="339" t="str">
        <x:v>Draft / Candidate → Active Employee → On Leave (operational) → Exited / Inactive</x:v>
      </x:c>
      <x:c r="I87" s="339" t="str">
        <x:v>No special calculation unless configured; derived fields use authoritative source data and explicit effective-date rules.</x:v>
      </x:c>
      <x:c r="J87" s="339" t="str">
        <x:v>The authoritative record/state is updated only after all blocking validation succeeds; user receives deterministic confirmation.</x:v>
      </x:c>
      <x:c r="K87" s="339" t="str">
        <x:v>Assignment/employment changes affect timetable, classes, payroll access and user permissions.</x:v>
      </x:c>
      <x:c r="L87" s="339" t="str">
        <x:v>Create/update/status/approval/reversal/export/security-sensitive events are recorded with actor, timestamp, target and reason/context.</x:v>
      </x:c>
    </x:row>
    <x:row r="88">
      <x:c r="A88" s="339" t="str">
        <x:v>BL-087</x:v>
      </x:c>
      <x:c r="B88" s="339" t="str">
        <x:v>SCR-087</x:v>
      </x:c>
      <x:c r="C88" s="339" t="str">
        <x:v>Teachers &amp; Staff</x:v>
      </x:c>
      <x:c r="D88" s="339" t="str">
        <x:v>Qualifications &amp; Documents</x:v>
      </x:c>
      <x:c r="E88" s="339" t="str">
        <x:v>Authenticated/authorized user; tenant/school context resolved; required master data effective.</x:v>
      </x:c>
      <x:c r="F88" s="339" t="str">
        <x:v>User opens or performs the primary action on Qualifications &amp; Documents.</x:v>
      </x:c>
      <x:c r="G88" s="339" t="str">
        <x:v>Load current workflow state → verify role and allowed transition → validate prerequisites/business rules → execute state change atomically → update dependent data → record audit trail → notify affected users.</x:v>
      </x:c>
      <x:c r="H88" s="339" t="str">
        <x:v>Draft / Candidate → Active Employee → On Leave (operational) → Exited / Inactive</x:v>
      </x:c>
      <x:c r="I88" s="339" t="str">
        <x:v>No special calculation unless configured; derived fields use authoritative source data and explicit effective-date rules.</x:v>
      </x:c>
      <x:c r="J88" s="339" t="str">
        <x:v>The authoritative record/state is updated only after all blocking validation succeeds; user receives deterministic confirmation.</x:v>
      </x:c>
      <x:c r="K88" s="339" t="str">
        <x:v>Assignment/employment changes affect timetable, classes, payroll access and user permissions.</x:v>
      </x:c>
      <x:c r="L88" s="339" t="str">
        <x:v>Create/update/status/approval/reversal/export/security-sensitive events are recorded with actor, timestamp, target and reason/context.</x:v>
      </x:c>
    </x:row>
    <x:row r="89">
      <x:c r="A89" s="339" t="str">
        <x:v>BL-088</x:v>
      </x:c>
      <x:c r="B89" s="339" t="str">
        <x:v>SCR-088</x:v>
      </x:c>
      <x:c r="C89" s="339" t="str">
        <x:v>Teachers &amp; Staff</x:v>
      </x:c>
      <x:c r="D89" s="339" t="str">
        <x:v>Staff Attendance Summary</x:v>
      </x:c>
      <x:c r="E89" s="339" t="str">
        <x:v>Authenticated/authorized user; tenant/school context resolved; required master data effective.</x:v>
      </x:c>
      <x:c r="F89" s="339" t="str">
        <x:v>User opens or performs the primary action on Staff Attendance Summary.</x:v>
      </x:c>
      <x:c r="G89" s="339" t="str">
        <x:v>Validate filter context → resolve row-level scope → query authoritative transactions → apply approved formulas/grouping → reconcile totals → render table/chart → export only permitted data.</x:v>
      </x:c>
      <x:c r="H89" s="339" t="str">
        <x:v>Draft / Candidate → Active Employee → On Leave (operational) → Exited / Inactive</x:v>
      </x:c>
      <x:c r="I89" s="339" t="str">
        <x:v>No special calculation unless configured; derived fields use authoritative source data and explicit effective-date rules.</x:v>
      </x:c>
      <x:c r="J89" s="339" t="str">
        <x:v>The authoritative record/state is updated only after all blocking validation succeeds; user receives deterministic confirmation.</x:v>
      </x:c>
      <x:c r="K89" s="339" t="str">
        <x:v>Assignment/employment changes affect timetable, classes, payroll access and user permissions.</x:v>
      </x:c>
      <x:c r="L89" s="339" t="str">
        <x:v>Create/update/status/approval/reversal/export/security-sensitive events are recorded with actor, timestamp, target and reason/context.</x:v>
      </x:c>
    </x:row>
    <x:row r="90">
      <x:c r="A90" s="339" t="str">
        <x:v>BL-089</x:v>
      </x:c>
      <x:c r="B90" s="339" t="str">
        <x:v>SCR-089</x:v>
      </x:c>
      <x:c r="C90" s="339" t="str">
        <x:v>Teachers &amp; Staff</x:v>
      </x:c>
      <x:c r="D90" s="339" t="str">
        <x:v>Staff Leave Summary</x:v>
      </x:c>
      <x:c r="E90" s="339" t="str">
        <x:v>Authenticated/authorized user; tenant/school context resolved; required master data effective.</x:v>
      </x:c>
      <x:c r="F90" s="339" t="str">
        <x:v>User opens or performs the primary action on Staff Leave Summary.</x:v>
      </x:c>
      <x:c r="G90" s="339" t="str">
        <x:v>Validate filter context → resolve row-level scope → query authoritative transactions → apply approved formulas/grouping → reconcile totals → render table/chart → export only permitted data.</x:v>
      </x:c>
      <x:c r="H90" s="339" t="str">
        <x:v>Draft / Candidate → Active Employee → On Leave (operational) → Exited / Inactive</x:v>
      </x:c>
      <x:c r="I90" s="339" t="str">
        <x:v>No special calculation unless configured; derived fields use authoritative source data and explicit effective-date rules.</x:v>
      </x:c>
      <x:c r="J90" s="339" t="str">
        <x:v>The authoritative record/state is updated only after all blocking validation succeeds; user receives deterministic confirmation.</x:v>
      </x:c>
      <x:c r="K90" s="339" t="str">
        <x:v>Assignment/employment changes affect timetable, classes, payroll access and user permissions.</x:v>
      </x:c>
      <x:c r="L90" s="339" t="str">
        <x:v>Create/update/status/approval/reversal/export/security-sensitive events are recorded with actor, timestamp, target and reason/context.</x:v>
      </x:c>
    </x:row>
    <x:row r="91">
      <x:c r="A91" s="339" t="str">
        <x:v>BL-090</x:v>
      </x:c>
      <x:c r="B91" s="339" t="str">
        <x:v>SCR-090</x:v>
      </x:c>
      <x:c r="C91" s="339" t="str">
        <x:v>Teachers &amp; Staff</x:v>
      </x:c>
      <x:c r="D91" s="339" t="str">
        <x:v>Performance &amp; Classroom Observation</x:v>
      </x:c>
      <x:c r="E91" s="339" t="str">
        <x:v>Authenticated/authorized user; tenant/school context resolved; required master data effective.</x:v>
      </x:c>
      <x:c r="F91" s="339" t="str">
        <x:v>User opens or performs the primary action on Performance &amp; Classroom Observation.</x:v>
      </x:c>
      <x:c r="G91" s="339" t="str">
        <x:v>Load current workflow state → verify role and allowed transition → validate prerequisites/business rules → execute state change atomically → update dependent data → record audit trail → notify affected users.</x:v>
      </x:c>
      <x:c r="H91" s="339" t="str">
        <x:v>Draft / Candidate → Active Employee → On Leave (operational) → Exited / Inactive</x:v>
      </x:c>
      <x:c r="I91" s="339" t="str">
        <x:v>No special calculation unless configured; derived fields use authoritative source data and explicit effective-date rules.</x:v>
      </x:c>
      <x:c r="J91" s="339" t="str">
        <x:v>The authoritative record/state is updated only after all blocking validation succeeds; user receives deterministic confirmation.</x:v>
      </x:c>
      <x:c r="K91" s="339" t="str">
        <x:v>Assignment/employment changes affect timetable, classes, payroll access and user permissions.</x:v>
      </x:c>
      <x:c r="L91" s="339" t="str">
        <x:v>Create/update/status/approval/reversal/export/security-sensitive events are recorded with actor, timestamp, target and reason/context.</x:v>
      </x:c>
    </x:row>
    <x:row r="92">
      <x:c r="A92" s="339" t="str">
        <x:v>BL-091</x:v>
      </x:c>
      <x:c r="B92" s="339" t="str">
        <x:v>SCR-091</x:v>
      </x:c>
      <x:c r="C92" s="339" t="str">
        <x:v>Teachers &amp; Staff</x:v>
      </x:c>
      <x:c r="D92" s="339" t="str">
        <x:v>Exit / Offboarding</x:v>
      </x:c>
      <x:c r="E92" s="339" t="str">
        <x:v>Authenticated/authorized user; tenant/school context resolved; required master data effective.</x:v>
      </x:c>
      <x:c r="F92" s="339" t="str">
        <x:v>User opens or performs the primary action on Exit / Offboarding.</x:v>
      </x:c>
      <x:c r="G92" s="339" t="str">
        <x:v>Load current workflow state → verify role and allowed transition → validate prerequisites/business rules → execute state change atomically → update dependent data → record audit trail → notify affected users.</x:v>
      </x:c>
      <x:c r="H92" s="339" t="str">
        <x:v>Draft / Candidate → Active Employee → On Leave (operational) → Exited / Inactive</x:v>
      </x:c>
      <x:c r="I92" s="339" t="str">
        <x:v>No special calculation unless configured; derived fields use authoritative source data and explicit effective-date rules.</x:v>
      </x:c>
      <x:c r="J92" s="339" t="str">
        <x:v>The authoritative record/state is updated only after all blocking validation succeeds; user receives deterministic confirmation.</x:v>
      </x:c>
      <x:c r="K92" s="339" t="str">
        <x:v>Assignment/employment changes affect timetable, classes, payroll access and user permissions.</x:v>
      </x:c>
      <x:c r="L92" s="339" t="str">
        <x:v>Create/update/status/approval/reversal/export/security-sensitive events are recorded with actor, timestamp, target and reason/context.</x:v>
      </x:c>
    </x:row>
    <x:row r="93">
      <x:c r="A93" s="339" t="str">
        <x:v>BL-092</x:v>
      </x:c>
      <x:c r="B93" s="339" t="str">
        <x:v>SCR-092</x:v>
      </x:c>
      <x:c r="C93" s="339" t="str">
        <x:v>Academics &amp; Curriculum</x:v>
      </x:c>
      <x:c r="D93" s="339" t="str">
        <x:v>Academic Years</x:v>
      </x:c>
      <x:c r="E93" s="339" t="str">
        <x:v>Authenticated/authorized user; tenant/school context resolved; required master data effective.</x:v>
      </x:c>
      <x:c r="F93" s="339" t="str">
        <x:v>User opens or performs the primary action on Academic Years.</x:v>
      </x:c>
      <x:c r="G93" s="339" t="str">
        <x:v>Load current effective configuration → validate permissions/dependencies/date overlaps → prevent destructive changes to referenced masters → save version/effective dates → audit change → refresh downstream configuration cache safely.</x:v>
      </x:c>
      <x:c r="H93" s="339" t="str">
        <x:v>Draft → Review (optional) → Approved → Published / Active → Archived</x:v>
      </x:c>
      <x:c r="I93" s="339" t="str">
        <x:v>Syllabus progress % = completed approved topics/units ÷ planned active topics/units × 100.</x:v>
      </x:c>
      <x:c r="J93" s="339" t="str">
        <x:v>The authoritative record/state is updated only after all blocking validation succeeds; user receives deterministic confirmation.</x:v>
      </x:c>
      <x:c r="K93" s="339" t="str">
        <x:v>Published academic structure drives timetable, homework, exams and reports.</x:v>
      </x:c>
      <x:c r="L93" s="339" t="str">
        <x:v>Create/update/status/approval/reversal/export/security-sensitive events are recorded with actor, timestamp, target and reason/context.</x:v>
      </x:c>
    </x:row>
    <x:row r="94">
      <x:c r="A94" s="339" t="str">
        <x:v>BL-093</x:v>
      </x:c>
      <x:c r="B94" s="339" t="str">
        <x:v>SCR-093</x:v>
      </x:c>
      <x:c r="C94" s="339" t="str">
        <x:v>Academics &amp; Curriculum</x:v>
      </x:c>
      <x:c r="D94" s="339" t="str">
        <x:v>Terms / Semesters</x:v>
      </x:c>
      <x:c r="E94" s="339" t="str">
        <x:v>Authenticated/authorized user; tenant/school context resolved; required master data effective.</x:v>
      </x:c>
      <x:c r="F94" s="339" t="str">
        <x:v>User opens or performs the primary action on Terms / Semesters.</x:v>
      </x:c>
      <x:c r="G94" s="339" t="str">
        <x:v>Load current workflow state → verify role and allowed transition → validate prerequisites/business rules → execute state change atomically → update dependent data → record audit trail → notify affected users.</x:v>
      </x:c>
      <x:c r="H94" s="339" t="str">
        <x:v>Draft → Review (optional) → Approved → Published / Active → Archived</x:v>
      </x:c>
      <x:c r="I94" s="339" t="str">
        <x:v>Syllabus progress % = completed approved topics/units ÷ planned active topics/units × 100.</x:v>
      </x:c>
      <x:c r="J94" s="339" t="str">
        <x:v>The authoritative record/state is updated only after all blocking validation succeeds; user receives deterministic confirmation.</x:v>
      </x:c>
      <x:c r="K94" s="339" t="str">
        <x:v>Published academic structure drives timetable, homework, exams and reports.</x:v>
      </x:c>
      <x:c r="L94" s="339" t="str">
        <x:v>Create/update/status/approval/reversal/export/security-sensitive events are recorded with actor, timestamp, target and reason/context.</x:v>
      </x:c>
    </x:row>
    <x:row r="95">
      <x:c r="A95" s="339" t="str">
        <x:v>BL-094</x:v>
      </x:c>
      <x:c r="B95" s="339" t="str">
        <x:v>SCR-094</x:v>
      </x:c>
      <x:c r="C95" s="339" t="str">
        <x:v>Academics &amp; Curriculum</x:v>
      </x:c>
      <x:c r="D95" s="339" t="str">
        <x:v>Grades / Classes</x:v>
      </x:c>
      <x:c r="E95" s="339" t="str">
        <x:v>Authenticated/authorized user; tenant/school context resolved; required master data effective.</x:v>
      </x:c>
      <x:c r="F95" s="339" t="str">
        <x:v>User opens or performs the primary action on Grades / Classes.</x:v>
      </x:c>
      <x:c r="G95" s="339" t="str">
        <x:v>Load current workflow state → verify role and allowed transition → validate prerequisites/business rules → execute state change atomically → update dependent data → record audit trail → notify affected users.</x:v>
      </x:c>
      <x:c r="H95" s="339" t="str">
        <x:v>Draft → Review (optional) → Approved → Published / Active → Archived</x:v>
      </x:c>
      <x:c r="I95" s="339" t="str">
        <x:v>Syllabus progress % = completed approved topics/units ÷ planned active topics/units × 100.</x:v>
      </x:c>
      <x:c r="J95" s="339" t="str">
        <x:v>The authoritative record/state is updated only after all blocking validation succeeds; user receives deterministic confirmation.</x:v>
      </x:c>
      <x:c r="K95" s="339" t="str">
        <x:v>Published academic structure drives timetable, homework, exams and reports.</x:v>
      </x:c>
      <x:c r="L95" s="339" t="str">
        <x:v>Create/update/status/approval/reversal/export/security-sensitive events are recorded with actor, timestamp, target and reason/context.</x:v>
      </x:c>
    </x:row>
    <x:row r="96">
      <x:c r="A96" s="339" t="str">
        <x:v>BL-095</x:v>
      </x:c>
      <x:c r="B96" s="339" t="str">
        <x:v>SCR-095</x:v>
      </x:c>
      <x:c r="C96" s="339" t="str">
        <x:v>Academics &amp; Curriculum</x:v>
      </x:c>
      <x:c r="D96" s="339" t="str">
        <x:v>Sections</x:v>
      </x:c>
      <x:c r="E96" s="339" t="str">
        <x:v>Authenticated/authorized user; tenant/school context resolved; required master data effective.</x:v>
      </x:c>
      <x:c r="F96" s="339" t="str">
        <x:v>User opens or performs the primary action on Sections.</x:v>
      </x:c>
      <x:c r="G96" s="339" t="str">
        <x:v>Resolve authorized data scope → validate search/filter/sort/page parameters → query indexed records → apply row/field masking → return paged results → expose only state- and role-permitted actions.</x:v>
      </x:c>
      <x:c r="H96" s="339" t="str">
        <x:v>Draft → Review (optional) → Approved → Published / Active → Archived</x:v>
      </x:c>
      <x:c r="I96" s="339" t="str">
        <x:v>Syllabus progress % = completed approved topics/units ÷ planned active topics/units × 100.</x:v>
      </x:c>
      <x:c r="J96" s="339" t="str">
        <x:v>The authoritative record/state is updated only after all blocking validation succeeds; user receives deterministic confirmation.</x:v>
      </x:c>
      <x:c r="K96" s="339" t="str">
        <x:v>Published academic structure drives timetable, homework, exams and reports.</x:v>
      </x:c>
      <x:c r="L96" s="339" t="str">
        <x:v>Create/update/status/approval/reversal/export/security-sensitive events are recorded with actor, timestamp, target and reason/context.</x:v>
      </x:c>
    </x:row>
    <x:row r="97">
      <x:c r="A97" s="339" t="str">
        <x:v>BL-096</x:v>
      </x:c>
      <x:c r="B97" s="339" t="str">
        <x:v>SCR-096</x:v>
      </x:c>
      <x:c r="C97" s="339" t="str">
        <x:v>Academics &amp; Curriculum</x:v>
      </x:c>
      <x:c r="D97" s="339" t="str">
        <x:v>Subjects</x:v>
      </x:c>
      <x:c r="E97" s="339" t="str">
        <x:v>Authenticated/authorized user; tenant/school context resolved; required master data effective.</x:v>
      </x:c>
      <x:c r="F97" s="339" t="str">
        <x:v>User opens or performs the primary action on Subjects.</x:v>
      </x:c>
      <x:c r="G97" s="339" t="str">
        <x:v>Resolve authorized data scope → validate search/filter/sort/page parameters → query indexed records → apply row/field masking → return paged results → expose only state- and role-permitted actions.</x:v>
      </x:c>
      <x:c r="H97" s="339" t="str">
        <x:v>Draft → Review (optional) → Approved → Published / Active → Archived</x:v>
      </x:c>
      <x:c r="I97" s="339" t="str">
        <x:v>Syllabus progress % = completed approved topics/units ÷ planned active topics/units × 100.</x:v>
      </x:c>
      <x:c r="J97" s="339" t="str">
        <x:v>The authoritative record/state is updated only after all blocking validation succeeds; user receives deterministic confirmation.</x:v>
      </x:c>
      <x:c r="K97" s="339" t="str">
        <x:v>Published academic structure drives timetable, homework, exams and reports.</x:v>
      </x:c>
      <x:c r="L97" s="339" t="str">
        <x:v>Create/update/status/approval/reversal/export/security-sensitive events are recorded with actor, timestamp, target and reason/context.</x:v>
      </x:c>
    </x:row>
    <x:row r="98">
      <x:c r="A98" s="339" t="str">
        <x:v>BL-097</x:v>
      </x:c>
      <x:c r="B98" s="339" t="str">
        <x:v>SCR-097</x:v>
      </x:c>
      <x:c r="C98" s="339" t="str">
        <x:v>Academics &amp; Curriculum</x:v>
      </x:c>
      <x:c r="D98" s="339" t="str">
        <x:v>Subject Groups</x:v>
      </x:c>
      <x:c r="E98" s="339" t="str">
        <x:v>Authenticated/authorized user; tenant/school context resolved; required master data effective.</x:v>
      </x:c>
      <x:c r="F98" s="339" t="str">
        <x:v>User opens or performs the primary action on Subject Groups.</x:v>
      </x:c>
      <x:c r="G98" s="339" t="str">
        <x:v>Load current workflow state → verify role and allowed transition → validate prerequisites/business rules → execute state change atomically → update dependent data → record audit trail → notify affected users.</x:v>
      </x:c>
      <x:c r="H98" s="339" t="str">
        <x:v>Draft → Review (optional) → Approved → Published / Active → Archived</x:v>
      </x:c>
      <x:c r="I98" s="339" t="str">
        <x:v>Syllabus progress % = completed approved topics/units ÷ planned active topics/units × 100.</x:v>
      </x:c>
      <x:c r="J98" s="339" t="str">
        <x:v>The authoritative record/state is updated only after all blocking validation succeeds; user receives deterministic confirmation.</x:v>
      </x:c>
      <x:c r="K98" s="339" t="str">
        <x:v>Published academic structure drives timetable, homework, exams and reports.</x:v>
      </x:c>
      <x:c r="L98" s="339" t="str">
        <x:v>Create/update/status/approval/reversal/export/security-sensitive events are recorded with actor, timestamp, target and reason/context.</x:v>
      </x:c>
    </x:row>
    <x:row r="99">
      <x:c r="A99" s="339" t="str">
        <x:v>BL-098</x:v>
      </x:c>
      <x:c r="B99" s="339" t="str">
        <x:v>SCR-098</x:v>
      </x:c>
      <x:c r="C99" s="339" t="str">
        <x:v>Academics &amp; Curriculum</x:v>
      </x:c>
      <x:c r="D99" s="339" t="str">
        <x:v>Curriculum</x:v>
      </x:c>
      <x:c r="E99" s="339" t="str">
        <x:v>Authenticated/authorized user; tenant/school context resolved; required master data effective.</x:v>
      </x:c>
      <x:c r="F99" s="339" t="str">
        <x:v>User opens or performs the primary action on Curriculum.</x:v>
      </x:c>
      <x:c r="G99" s="339" t="str">
        <x:v>Load current workflow state → verify role and allowed transition → validate prerequisites/business rules → execute state change atomically → update dependent data → record audit trail → notify affected users.</x:v>
      </x:c>
      <x:c r="H99" s="339" t="str">
        <x:v>Draft → Review (optional) → Approved → Published / Active → Archived</x:v>
      </x:c>
      <x:c r="I99" s="339" t="str">
        <x:v>Syllabus progress % = completed approved topics/units ÷ planned active topics/units × 100.</x:v>
      </x:c>
      <x:c r="J99" s="339" t="str">
        <x:v>The authoritative record/state is updated only after all blocking validation succeeds; user receives deterministic confirmation.</x:v>
      </x:c>
      <x:c r="K99" s="339" t="str">
        <x:v>Published academic structure drives timetable, homework, exams and reports.</x:v>
      </x:c>
      <x:c r="L99" s="339" t="str">
        <x:v>Create/update/status/approval/reversal/export/security-sensitive events are recorded with actor, timestamp, target and reason/context.</x:v>
      </x:c>
    </x:row>
    <x:row r="100">
      <x:c r="A100" s="339" t="str">
        <x:v>BL-099</x:v>
      </x:c>
      <x:c r="B100" s="339" t="str">
        <x:v>SCR-099</x:v>
      </x:c>
      <x:c r="C100" s="339" t="str">
        <x:v>Academics &amp; Curriculum</x:v>
      </x:c>
      <x:c r="D100" s="339" t="str">
        <x:v>Curriculum Details</x:v>
      </x:c>
      <x:c r="E100" s="339" t="str">
        <x:v>Authenticated/authorized user; tenant/school context resolved; required master data effective.</x:v>
      </x:c>
      <x:c r="F100" s="339" t="str">
        <x:v>User opens or performs the primary action on Curriculum Details.</x:v>
      </x:c>
      <x:c r="G100" s="339" t="str">
        <x:v>Resolve and authorize the target record → load related data/history → mask restricted fields → apply edit/state permissions → validate updates → persist with version/audit controls → refresh dependent summaries.</x:v>
      </x:c>
      <x:c r="H100" s="339" t="str">
        <x:v>Draft → Review (optional) → Approved → Published / Active → Archived</x:v>
      </x:c>
      <x:c r="I100" s="339" t="str">
        <x:v>Syllabus progress % = completed approved topics/units ÷ planned active topics/units × 100.</x:v>
      </x:c>
      <x:c r="J100" s="339" t="str">
        <x:v>The authoritative record/state is updated only after all blocking validation succeeds; user receives deterministic confirmation.</x:v>
      </x:c>
      <x:c r="K100" s="339" t="str">
        <x:v>Published academic structure drives timetable, homework, exams and reports.</x:v>
      </x:c>
      <x:c r="L100" s="339" t="str">
        <x:v>Create/update/status/approval/reversal/export/security-sensitive events are recorded with actor, timestamp, target and reason/context.</x:v>
      </x:c>
    </x:row>
    <x:row r="101">
      <x:c r="A101" s="339" t="str">
        <x:v>BL-100</x:v>
      </x:c>
      <x:c r="B101" s="339" t="str">
        <x:v>SCR-100</x:v>
      </x:c>
      <x:c r="C101" s="339" t="str">
        <x:v>Academics &amp; Curriculum</x:v>
      </x:c>
      <x:c r="D101" s="339" t="str">
        <x:v>Units / Chapters / Topics</x:v>
      </x:c>
      <x:c r="E101" s="339" t="str">
        <x:v>Authenticated/authorized user; tenant/school context resolved; required master data effective.</x:v>
      </x:c>
      <x:c r="F101" s="339" t="str">
        <x:v>User opens or performs the primary action on Units / Chapters / Topics.</x:v>
      </x:c>
      <x:c r="G101" s="339" t="str">
        <x:v>Load current workflow state → verify role and allowed transition → validate prerequisites/business rules → execute state change atomically → update dependent data → record audit trail → notify affected users.</x:v>
      </x:c>
      <x:c r="H101" s="339" t="str">
        <x:v>Draft → Review (optional) → Approved → Published / Active → Archived</x:v>
      </x:c>
      <x:c r="I101" s="339" t="str">
        <x:v>Syllabus progress % = completed approved topics/units ÷ planned active topics/units × 100.</x:v>
      </x:c>
      <x:c r="J101" s="339" t="str">
        <x:v>The authoritative record/state is updated only after all blocking validation succeeds; user receives deterministic confirmation.</x:v>
      </x:c>
      <x:c r="K101" s="339" t="str">
        <x:v>Published academic structure drives timetable, homework, exams and reports.</x:v>
      </x:c>
      <x:c r="L101" s="339" t="str">
        <x:v>Create/update/status/approval/reversal/export/security-sensitive events are recorded with actor, timestamp, target and reason/context.</x:v>
      </x:c>
    </x:row>
    <x:row r="102">
      <x:c r="A102" s="339" t="str">
        <x:v>BL-101</x:v>
      </x:c>
      <x:c r="B102" s="339" t="str">
        <x:v>SCR-101</x:v>
      </x:c>
      <x:c r="C102" s="339" t="str">
        <x:v>Academics &amp; Curriculum</x:v>
      </x:c>
      <x:c r="D102" s="339" t="str">
        <x:v>Learning Outcomes</x:v>
      </x:c>
      <x:c r="E102" s="339" t="str">
        <x:v>Authenticated/authorized user; tenant/school context resolved; required master data effective.</x:v>
      </x:c>
      <x:c r="F102" s="339" t="str">
        <x:v>User opens or performs the primary action on Learning Outcomes.</x:v>
      </x:c>
      <x:c r="G102" s="339" t="str">
        <x:v>Load current workflow state → verify role and allowed transition → validate prerequisites/business rules → execute state change atomically → update dependent data → record audit trail → notify affected users.</x:v>
      </x:c>
      <x:c r="H102" s="339" t="str">
        <x:v>Draft → Review (optional) → Approved → Published / Active → Archived</x:v>
      </x:c>
      <x:c r="I102" s="339" t="str">
        <x:v>Syllabus progress % = completed approved topics/units ÷ planned active topics/units × 100.</x:v>
      </x:c>
      <x:c r="J102" s="339" t="str">
        <x:v>The authoritative record/state is updated only after all blocking validation succeeds; user receives deterministic confirmation.</x:v>
      </x:c>
      <x:c r="K102" s="339" t="str">
        <x:v>Published academic structure drives timetable, homework, exams and reports.</x:v>
      </x:c>
      <x:c r="L102" s="339" t="str">
        <x:v>Create/update/status/approval/reversal/export/security-sensitive events are recorded with actor, timestamp, target and reason/context.</x:v>
      </x:c>
    </x:row>
    <x:row r="103">
      <x:c r="A103" s="339" t="str">
        <x:v>BL-102</x:v>
      </x:c>
      <x:c r="B103" s="339" t="str">
        <x:v>SCR-102</x:v>
      </x:c>
      <x:c r="C103" s="339" t="str">
        <x:v>Academics &amp; Curriculum</x:v>
      </x:c>
      <x:c r="D103" s="339" t="str">
        <x:v>Lesson Plans</x:v>
      </x:c>
      <x:c r="E103" s="339" t="str">
        <x:v>Authenticated/authorized user; tenant/school context resolved; required master data effective.</x:v>
      </x:c>
      <x:c r="F103" s="339" t="str">
        <x:v>User opens or performs the primary action on Lesson Plans.</x:v>
      </x:c>
      <x:c r="G103" s="339" t="str">
        <x:v>Load current workflow state → verify role and allowed transition → validate prerequisites/business rules → execute state change atomically → update dependent data → record audit trail → notify affected users.</x:v>
      </x:c>
      <x:c r="H103" s="339" t="str">
        <x:v>Draft → Review (optional) → Approved → Published / Active → Archived</x:v>
      </x:c>
      <x:c r="I103" s="339" t="str">
        <x:v>Syllabus progress % = completed approved topics/units ÷ planned active topics/units × 100.</x:v>
      </x:c>
      <x:c r="J103" s="339" t="str">
        <x:v>The authoritative record/state is updated only after all blocking validation succeeds; user receives deterministic confirmation.</x:v>
      </x:c>
      <x:c r="K103" s="339" t="str">
        <x:v>Published academic structure drives timetable, homework, exams and reports.</x:v>
      </x:c>
      <x:c r="L103" s="339" t="str">
        <x:v>Create/update/status/approval/reversal/export/security-sensitive events are recorded with actor, timestamp, target and reason/context.</x:v>
      </x:c>
    </x:row>
    <x:row r="104">
      <x:c r="A104" s="339" t="str">
        <x:v>BL-103</x:v>
      </x:c>
      <x:c r="B104" s="339" t="str">
        <x:v>SCR-103</x:v>
      </x:c>
      <x:c r="C104" s="339" t="str">
        <x:v>Academics &amp; Curriculum</x:v>
      </x:c>
      <x:c r="D104" s="339" t="str">
        <x:v>Create / Edit Lesson Plan</x:v>
      </x:c>
      <x:c r="E104" s="339" t="str">
        <x:v>Authenticated/authorized user; tenant/school context resolved; required master data effective.</x:v>
      </x:c>
      <x:c r="F104" s="339" t="str">
        <x:v>User opens or performs the primary action on Create / Edit Lesson Plan.</x:v>
      </x:c>
      <x:c r="G104" s="339" t="str">
        <x:v>Load valid reference data → validate mandatory and conditional fields → apply duplicate/eligibility/business-rule checks → persist within a transaction → generate identifiers if required → write audit record → trigger configured side effects/notifications.</x:v>
      </x:c>
      <x:c r="H104" s="339" t="str">
        <x:v>Draft → Review (optional) → Approved → Published / Active → Archived</x:v>
      </x:c>
      <x:c r="I104" s="339" t="str">
        <x:v>Syllabus progress % = completed approved topics/units ÷ planned active topics/units × 100.</x:v>
      </x:c>
      <x:c r="J104" s="339" t="str">
        <x:v>The authoritative record/state is updated only after all blocking validation succeeds; user receives deterministic confirmation.</x:v>
      </x:c>
      <x:c r="K104" s="339" t="str">
        <x:v>Published academic structure drives timetable, homework, exams and reports.</x:v>
      </x:c>
      <x:c r="L104" s="339" t="str">
        <x:v>Create/update/status/approval/reversal/export/security-sensitive events are recorded with actor, timestamp, target and reason/context.</x:v>
      </x:c>
    </x:row>
    <x:row r="105">
      <x:c r="A105" s="339" t="str">
        <x:v>BL-104</x:v>
      </x:c>
      <x:c r="B105" s="339" t="str">
        <x:v>SCR-104</x:v>
      </x:c>
      <x:c r="C105" s="339" t="str">
        <x:v>Academics &amp; Curriculum</x:v>
      </x:c>
      <x:c r="D105" s="339" t="str">
        <x:v>Lesson Plan Review &amp; Approval</x:v>
      </x:c>
      <x:c r="E105" s="339" t="str">
        <x:v>Authenticated/authorized user; tenant/school context resolved; required master data effective.</x:v>
      </x:c>
      <x:c r="F105" s="339" t="str">
        <x:v>User opens or performs the primary action on Lesson Plan Review &amp; Approval.</x:v>
      </x:c>
      <x:c r="G105" s="339" t="str">
        <x:v>Load current workflow state → verify role and allowed transition → validate prerequisites/business rules → execute state change atomically → update dependent data → record audit trail → notify affected users.</x:v>
      </x:c>
      <x:c r="H105" s="339" t="str">
        <x:v>Draft → Review (optional) → Approved → Published / Active → Archived</x:v>
      </x:c>
      <x:c r="I105" s="339" t="str">
        <x:v>Syllabus progress % = completed approved topics/units ÷ planned active topics/units × 100.</x:v>
      </x:c>
      <x:c r="J105" s="339" t="str">
        <x:v>The authoritative record/state is updated only after all blocking validation succeeds; user receives deterministic confirmation.</x:v>
      </x:c>
      <x:c r="K105" s="339" t="str">
        <x:v>Published academic structure drives timetable, homework, exams and reports.</x:v>
      </x:c>
      <x:c r="L105" s="339" t="str">
        <x:v>Create/update/status/approval/reversal/export/security-sensitive events are recorded with actor, timestamp, target and reason/context.</x:v>
      </x:c>
    </x:row>
    <x:row r="106">
      <x:c r="A106" s="339" t="str">
        <x:v>BL-105</x:v>
      </x:c>
      <x:c r="B106" s="339" t="str">
        <x:v>SCR-105</x:v>
      </x:c>
      <x:c r="C106" s="339" t="str">
        <x:v>Academics &amp; Curriculum</x:v>
      </x:c>
      <x:c r="D106" s="339" t="str">
        <x:v>Syllabus Progress</x:v>
      </x:c>
      <x:c r="E106" s="339" t="str">
        <x:v>Authenticated/authorized user; tenant/school context resolved; required master data effective.</x:v>
      </x:c>
      <x:c r="F106" s="339" t="str">
        <x:v>User opens or performs the primary action on Syllabus Progress.</x:v>
      </x:c>
      <x:c r="G106" s="339" t="str">
        <x:v>Load current workflow state → verify role and allowed transition → validate prerequisites/business rules → execute state change atomically → update dependent data → record audit trail → notify affected users.</x:v>
      </x:c>
      <x:c r="H106" s="339" t="str">
        <x:v>Draft → Review (optional) → Approved → Published / Active → Archived</x:v>
      </x:c>
      <x:c r="I106" s="339" t="str">
        <x:v>Syllabus progress % = completed approved topics/units ÷ planned active topics/units × 100.</x:v>
      </x:c>
      <x:c r="J106" s="339" t="str">
        <x:v>The authoritative record/state is updated only after all blocking validation succeeds; user receives deterministic confirmation.</x:v>
      </x:c>
      <x:c r="K106" s="339" t="str">
        <x:v>Published academic structure drives timetable, homework, exams and reports.</x:v>
      </x:c>
      <x:c r="L106" s="339" t="str">
        <x:v>Create/update/status/approval/reversal/export/security-sensitive events are recorded with actor, timestamp, target and reason/context.</x:v>
      </x:c>
    </x:row>
    <x:row r="107">
      <x:c r="A107" s="339" t="str">
        <x:v>BL-106</x:v>
      </x:c>
      <x:c r="B107" s="339" t="str">
        <x:v>SCR-106</x:v>
      </x:c>
      <x:c r="C107" s="339" t="str">
        <x:v>Academics &amp; Curriculum</x:v>
      </x:c>
      <x:c r="D107" s="339" t="str">
        <x:v>Teaching Resources</x:v>
      </x:c>
      <x:c r="E107" s="339" t="str">
        <x:v>Authenticated/authorized user; tenant/school context resolved; required master data effective.</x:v>
      </x:c>
      <x:c r="F107" s="339" t="str">
        <x:v>User opens or performs the primary action on Teaching Resources.</x:v>
      </x:c>
      <x:c r="G107" s="339" t="str">
        <x:v>Load current workflow state → verify role and allowed transition → validate prerequisites/business rules → execute state change atomically → update dependent data → record audit trail → notify affected users.</x:v>
      </x:c>
      <x:c r="H107" s="339" t="str">
        <x:v>Draft → Review (optional) → Approved → Published / Active → Archived</x:v>
      </x:c>
      <x:c r="I107" s="339" t="str">
        <x:v>Syllabus progress % = completed approved topics/units ÷ planned active topics/units × 100.</x:v>
      </x:c>
      <x:c r="J107" s="339" t="str">
        <x:v>The authoritative record/state is updated only after all blocking validation succeeds; user receives deterministic confirmation.</x:v>
      </x:c>
      <x:c r="K107" s="339" t="str">
        <x:v>Published academic structure drives timetable, homework, exams and reports.</x:v>
      </x:c>
      <x:c r="L107" s="339" t="str">
        <x:v>Create/update/status/approval/reversal/export/security-sensitive events are recorded with actor, timestamp, target and reason/context.</x:v>
      </x:c>
    </x:row>
    <x:row r="108">
      <x:c r="A108" s="339" t="str">
        <x:v>BL-107</x:v>
      </x:c>
      <x:c r="B108" s="339" t="str">
        <x:v>SCR-107</x:v>
      </x:c>
      <x:c r="C108" s="339" t="str">
        <x:v>Academics &amp; Curriculum</x:v>
      </x:c>
      <x:c r="D108" s="339" t="str">
        <x:v>Classroom / Room Management</x:v>
      </x:c>
      <x:c r="E108" s="339" t="str">
        <x:v>Authenticated/authorized user; tenant/school context resolved; required master data effective.</x:v>
      </x:c>
      <x:c r="F108" s="339" t="str">
        <x:v>User opens or performs the primary action on Classroom / Room Management.</x:v>
      </x:c>
      <x:c r="G108" s="339" t="str">
        <x:v>Load current workflow state → verify role and allowed transition → validate prerequisites/business rules → execute state change atomically → update dependent data → record audit trail → notify affected users.</x:v>
      </x:c>
      <x:c r="H108" s="339" t="str">
        <x:v>Draft → Review (optional) → Approved → Published / Active → Archived</x:v>
      </x:c>
      <x:c r="I108" s="339" t="str">
        <x:v>Syllabus progress % = completed approved topics/units ÷ planned active topics/units × 100.</x:v>
      </x:c>
      <x:c r="J108" s="339" t="str">
        <x:v>The authoritative record/state is updated only after all blocking validation succeeds; user receives deterministic confirmation.</x:v>
      </x:c>
      <x:c r="K108" s="339" t="str">
        <x:v>Published academic structure drives timetable, homework, exams and reports.</x:v>
      </x:c>
      <x:c r="L108" s="339" t="str">
        <x:v>Create/update/status/approval/reversal/export/security-sensitive events are recorded with actor, timestamp, target and reason/context.</x:v>
      </x:c>
    </x:row>
    <x:row r="109">
      <x:c r="A109" s="339" t="str">
        <x:v>BL-108</x:v>
      </x:c>
      <x:c r="B109" s="339" t="str">
        <x:v>SCR-108</x:v>
      </x:c>
      <x:c r="C109" s="339" t="str">
        <x:v>Academics &amp; Curriculum</x:v>
      </x:c>
      <x:c r="D109" s="339" t="str">
        <x:v>Academic Calendar</x:v>
      </x:c>
      <x:c r="E109" s="339" t="str">
        <x:v>Authenticated/authorized user; tenant/school context resolved; required master data effective.</x:v>
      </x:c>
      <x:c r="F109" s="339" t="str">
        <x:v>User opens or performs the primary action on Academic Calendar.</x:v>
      </x:c>
      <x:c r="G109" s="339" t="str">
        <x:v>Load active resources/availability → validate requested date/time → detect conflicts/capacity constraints → create/update schedule atomically → record revision history → notify affected participants where configured.</x:v>
      </x:c>
      <x:c r="H109" s="339" t="str">
        <x:v>Draft → Review (optional) → Approved → Published / Active → Archived</x:v>
      </x:c>
      <x:c r="I109" s="339" t="str">
        <x:v>Syllabus progress % = completed approved topics/units ÷ planned active topics/units × 100.</x:v>
      </x:c>
      <x:c r="J109" s="339" t="str">
        <x:v>The authoritative record/state is updated only after all blocking validation succeeds; user receives deterministic confirmation.</x:v>
      </x:c>
      <x:c r="K109" s="339" t="str">
        <x:v>Published academic structure drives timetable, homework, exams and reports.</x:v>
      </x:c>
      <x:c r="L109" s="339" t="str">
        <x:v>Create/update/status/approval/reversal/export/security-sensitive events are recorded with actor, timestamp, target and reason/context.</x:v>
      </x:c>
    </x:row>
    <x:row r="110">
      <x:c r="A110" s="339" t="str">
        <x:v>BL-109</x:v>
      </x:c>
      <x:c r="B110" s="339" t="str">
        <x:v>SCR-109</x:v>
      </x:c>
      <x:c r="C110" s="339" t="str">
        <x:v>Academics &amp; Curriculum</x:v>
      </x:c>
      <x:c r="D110" s="339" t="str">
        <x:v>Co-Curricular Activities</x:v>
      </x:c>
      <x:c r="E110" s="339" t="str">
        <x:v>Authenticated/authorized user; tenant/school context resolved; required master data effective.</x:v>
      </x:c>
      <x:c r="F110" s="339" t="str">
        <x:v>User opens or performs the primary action on Co-Curricular Activities.</x:v>
      </x:c>
      <x:c r="G110" s="339" t="str">
        <x:v>Load current workflow state → verify role and allowed transition → validate prerequisites/business rules → execute state change atomically → update dependent data → record audit trail → notify affected users.</x:v>
      </x:c>
      <x:c r="H110" s="339" t="str">
        <x:v>Draft → Review (optional) → Approved → Published / Active → Archived</x:v>
      </x:c>
      <x:c r="I110" s="339" t="str">
        <x:v>Syllabus progress % = completed approved topics/units ÷ planned active topics/units × 100.</x:v>
      </x:c>
      <x:c r="J110" s="339" t="str">
        <x:v>The authoritative record/state is updated only after all blocking validation succeeds; user receives deterministic confirmation.</x:v>
      </x:c>
      <x:c r="K110" s="339" t="str">
        <x:v>Published academic structure drives timetable, homework, exams and reports.</x:v>
      </x:c>
      <x:c r="L110" s="339" t="str">
        <x:v>Create/update/status/approval/reversal/export/security-sensitive events are recorded with actor, timestamp, target and reason/context.</x:v>
      </x:c>
    </x:row>
    <x:row r="111">
      <x:c r="A111" s="339" t="str">
        <x:v>BL-110</x:v>
      </x:c>
      <x:c r="B111" s="339" t="str">
        <x:v>SCR-110</x:v>
      </x:c>
      <x:c r="C111" s="339" t="str">
        <x:v>Student Attendance</x:v>
      </x:c>
      <x:c r="D111" s="339" t="str">
        <x:v>Daily Class Attendance</x:v>
      </x:c>
      <x:c r="E111" s="339" t="str">
        <x:v>Authenticated/authorized user; tenant/school context resolved; required master data effective.</x:v>
      </x:c>
      <x:c r="F111" s="339" t="str">
        <x:v>User opens or performs the primary action on Daily Class Attendance.</x:v>
      </x:c>
      <x:c r="G111" s="339" t="str">
        <x:v>Load current workflow state → verify role and allowed transition → validate prerequisites/business rules → execute state change atomically → update dependent data → record audit trail → notify affected users.</x:v>
      </x:c>
      <x:c r="H111" s="339" t="str">
        <x:v>Pending → Present / Absent / Late / Leave / Half-day → Locked → Corrected (approved)</x:v>
      </x:c>
      <x:c r="I111" s="339" t="str">
        <x:v>Attendance % = weighted eligible attendance units ÷ eligible working sessions × 100; weighting is policy-driven.</x:v>
      </x:c>
      <x:c r="J111" s="339" t="str">
        <x:v>The authoritative record/state is updated only after all blocking validation succeeds; user receives deterministic confirmation.</x:v>
      </x:c>
      <x:c r="K111" s="339" t="str">
        <x:v>Finalized attendance feeds parent alerts, attendance reports and configured eligibility/payroll-related processes.</x:v>
      </x:c>
      <x:c r="L111" s="339" t="str">
        <x:v>Create/update/status/approval/reversal/export/security-sensitive events are recorded with actor, timestamp, target and reason/context.</x:v>
      </x:c>
    </x:row>
    <x:row r="112">
      <x:c r="A112" s="339" t="str">
        <x:v>BL-111</x:v>
      </x:c>
      <x:c r="B112" s="339" t="str">
        <x:v>SCR-111</x:v>
      </x:c>
      <x:c r="C112" s="339" t="str">
        <x:v>Student Attendance</x:v>
      </x:c>
      <x:c r="D112" s="339" t="str">
        <x:v>Period / Subject Attendance</x:v>
      </x:c>
      <x:c r="E112" s="339" t="str">
        <x:v>Authenticated/authorized user; tenant/school context resolved; required master data effective.</x:v>
      </x:c>
      <x:c r="F112" s="339" t="str">
        <x:v>User opens or performs the primary action on Period / Subject Attendance.</x:v>
      </x:c>
      <x:c r="G112" s="339" t="str">
        <x:v>Load current workflow state → verify role and allowed transition → validate prerequisites/business rules → execute state change atomically → update dependent data → record audit trail → notify affected users.</x:v>
      </x:c>
      <x:c r="H112" s="339" t="str">
        <x:v>Pending → Present / Absent / Late / Leave / Half-day → Locked → Corrected (approved)</x:v>
      </x:c>
      <x:c r="I112" s="339" t="str">
        <x:v>Attendance % = weighted eligible attendance units ÷ eligible working sessions × 100; weighting is policy-driven.</x:v>
      </x:c>
      <x:c r="J112" s="339" t="str">
        <x:v>The authoritative record/state is updated only after all blocking validation succeeds; user receives deterministic confirmation.</x:v>
      </x:c>
      <x:c r="K112" s="339" t="str">
        <x:v>Finalized attendance feeds parent alerts, attendance reports and configured eligibility/payroll-related processes.</x:v>
      </x:c>
      <x:c r="L112" s="339" t="str">
        <x:v>Create/update/status/approval/reversal/export/security-sensitive events are recorded with actor, timestamp, target and reason/context.</x:v>
      </x:c>
    </x:row>
    <x:row r="113">
      <x:c r="A113" s="339" t="str">
        <x:v>BL-112</x:v>
      </x:c>
      <x:c r="B113" s="339" t="str">
        <x:v>SCR-112</x:v>
      </x:c>
      <x:c r="C113" s="339" t="str">
        <x:v>Student Attendance</x:v>
      </x:c>
      <x:c r="D113" s="339" t="str">
        <x:v>Student Attendance Register</x:v>
      </x:c>
      <x:c r="E113" s="339" t="str">
        <x:v>Authenticated/authorized user; tenant/school context resolved; required master data effective.</x:v>
      </x:c>
      <x:c r="F113" s="339" t="str">
        <x:v>User opens or performs the primary action on Student Attendance Register.</x:v>
      </x:c>
      <x:c r="G113" s="339" t="str">
        <x:v>Resolve and authorize the target record → load related data/history → mask restricted fields → apply edit/state permissions → validate updates → persist with version/audit controls → refresh dependent summaries.</x:v>
      </x:c>
      <x:c r="H113" s="339" t="str">
        <x:v>Pending → Present / Absent / Late / Leave / Half-day → Locked → Corrected (approved)</x:v>
      </x:c>
      <x:c r="I113" s="339" t="str">
        <x:v>Attendance % = weighted eligible attendance units ÷ eligible working sessions × 100; weighting is policy-driven.</x:v>
      </x:c>
      <x:c r="J113" s="339" t="str">
        <x:v>The authoritative record/state is updated only after all blocking validation succeeds; user receives deterministic confirmation.</x:v>
      </x:c>
      <x:c r="K113" s="339" t="str">
        <x:v>Finalized attendance feeds parent alerts, attendance reports and configured eligibility/payroll-related processes.</x:v>
      </x:c>
      <x:c r="L113" s="339" t="str">
        <x:v>Create/update/status/approval/reversal/export/security-sensitive events are recorded with actor, timestamp, target and reason/context.</x:v>
      </x:c>
    </x:row>
    <x:row r="114">
      <x:c r="A114" s="339" t="str">
        <x:v>BL-113</x:v>
      </x:c>
      <x:c r="B114" s="339" t="str">
        <x:v>SCR-113</x:v>
      </x:c>
      <x:c r="C114" s="339" t="str">
        <x:v>Student Attendance</x:v>
      </x:c>
      <x:c r="D114" s="339" t="str">
        <x:v>Attendance Correction</x:v>
      </x:c>
      <x:c r="E114" s="339" t="str">
        <x:v>Authenticated/authorized user; tenant/school context resolved; required master data effective.</x:v>
      </x:c>
      <x:c r="F114" s="339" t="str">
        <x:v>User opens or performs the primary action on Attendance Correction.</x:v>
      </x:c>
      <x:c r="G114" s="339" t="str">
        <x:v>Load current workflow state → verify role and allowed transition → validate prerequisites/business rules → execute state change atomically → update dependent data → record audit trail → notify affected users.</x:v>
      </x:c>
      <x:c r="H114" s="339" t="str">
        <x:v>Pending → Present / Absent / Late / Leave / Half-day → Locked → Corrected (approved)</x:v>
      </x:c>
      <x:c r="I114" s="339" t="str">
        <x:v>Attendance % = weighted eligible attendance units ÷ eligible working sessions × 100; weighting is policy-driven.</x:v>
      </x:c>
      <x:c r="J114" s="339" t="str">
        <x:v>The authoritative record/state is updated only after all blocking validation succeeds; user receives deterministic confirmation.</x:v>
      </x:c>
      <x:c r="K114" s="339" t="str">
        <x:v>Finalized attendance feeds parent alerts, attendance reports and configured eligibility/payroll-related processes.</x:v>
      </x:c>
      <x:c r="L114" s="339" t="str">
        <x:v>Create/update/status/approval/reversal/export/security-sensitive events are recorded with actor, timestamp, target and reason/context.</x:v>
      </x:c>
    </x:row>
    <x:row r="115">
      <x:c r="A115" s="339" t="str">
        <x:v>BL-114</x:v>
      </x:c>
      <x:c r="B115" s="339" t="str">
        <x:v>SCR-114</x:v>
      </x:c>
      <x:c r="C115" s="339" t="str">
        <x:v>Student Attendance</x:v>
      </x:c>
      <x:c r="D115" s="339" t="str">
        <x:v>Student Leave Requests</x:v>
      </x:c>
      <x:c r="E115" s="339" t="str">
        <x:v>Authenticated/authorized user; tenant/school context resolved; required master data effective.</x:v>
      </x:c>
      <x:c r="F115" s="339" t="str">
        <x:v>User opens or performs the primary action on Student Leave Requests.</x:v>
      </x:c>
      <x:c r="G115" s="339" t="str">
        <x:v>Load current workflow state → verify role and allowed transition → validate prerequisites/business rules → execute state change atomically → update dependent data → record audit trail → notify affected users.</x:v>
      </x:c>
      <x:c r="H115" s="339" t="str">
        <x:v>Pending → Present / Absent / Late / Leave / Half-day → Locked → Corrected (approved)</x:v>
      </x:c>
      <x:c r="I115" s="339" t="str">
        <x:v>Attendance % = weighted eligible attendance units ÷ eligible working sessions × 100; weighting is policy-driven.</x:v>
      </x:c>
      <x:c r="J115" s="339" t="str">
        <x:v>The authoritative record/state is updated only after all blocking validation succeeds; user receives deterministic confirmation.</x:v>
      </x:c>
      <x:c r="K115" s="339" t="str">
        <x:v>Finalized attendance feeds parent alerts, attendance reports and configured eligibility/payroll-related processes.</x:v>
      </x:c>
      <x:c r="L115" s="339" t="str">
        <x:v>Create/update/status/approval/reversal/export/security-sensitive events are recorded with actor, timestamp, target and reason/context.</x:v>
      </x:c>
    </x:row>
    <x:row r="116">
      <x:c r="A116" s="339" t="str">
        <x:v>BL-115</x:v>
      </x:c>
      <x:c r="B116" s="339" t="str">
        <x:v>SCR-115</x:v>
      </x:c>
      <x:c r="C116" s="339" t="str">
        <x:v>Student Attendance</x:v>
      </x:c>
      <x:c r="D116" s="339" t="str">
        <x:v>Student Leave Approval</x:v>
      </x:c>
      <x:c r="E116" s="339" t="str">
        <x:v>Authenticated/authorized user; tenant/school context resolved; required master data effective.</x:v>
      </x:c>
      <x:c r="F116" s="339" t="str">
        <x:v>User opens or performs the primary action on Student Leave Approval.</x:v>
      </x:c>
      <x:c r="G116" s="339" t="str">
        <x:v>Load current workflow state → verify role and allowed transition → validate prerequisites/business rules → execute state change atomically → update dependent data → record audit trail → notify affected users.</x:v>
      </x:c>
      <x:c r="H116" s="339" t="str">
        <x:v>Pending → Present / Absent / Late / Leave / Half-day → Locked → Corrected (approved)</x:v>
      </x:c>
      <x:c r="I116" s="339" t="str">
        <x:v>Attendance % = weighted eligible attendance units ÷ eligible working sessions × 100; weighting is policy-driven.</x:v>
      </x:c>
      <x:c r="J116" s="339" t="str">
        <x:v>The authoritative record/state is updated only after all blocking validation succeeds; user receives deterministic confirmation.</x:v>
      </x:c>
      <x:c r="K116" s="339" t="str">
        <x:v>Finalized attendance feeds parent alerts, attendance reports and configured eligibility/payroll-related processes.</x:v>
      </x:c>
      <x:c r="L116" s="339" t="str">
        <x:v>Create/update/status/approval/reversal/export/security-sensitive events are recorded with actor, timestamp, target and reason/context.</x:v>
      </x:c>
    </x:row>
    <x:row r="117">
      <x:c r="A117" s="339" t="str">
        <x:v>BL-116</x:v>
      </x:c>
      <x:c r="B117" s="339" t="str">
        <x:v>SCR-116</x:v>
      </x:c>
      <x:c r="C117" s="339" t="str">
        <x:v>Student Attendance</x:v>
      </x:c>
      <x:c r="D117" s="339" t="str">
        <x:v>Late Entry / Early Exit</x:v>
      </x:c>
      <x:c r="E117" s="339" t="str">
        <x:v>Authenticated/authorized user; tenant/school context resolved; required master data effective.</x:v>
      </x:c>
      <x:c r="F117" s="339" t="str">
        <x:v>User opens or performs the primary action on Late Entry / Early Exit.</x:v>
      </x:c>
      <x:c r="G117" s="339" t="str">
        <x:v>Load current workflow state → verify role and allowed transition → validate prerequisites/business rules → execute state change atomically → update dependent data → record audit trail → notify affected users.</x:v>
      </x:c>
      <x:c r="H117" s="339" t="str">
        <x:v>Pending → Present / Absent / Late / Leave / Half-day → Locked → Corrected (approved)</x:v>
      </x:c>
      <x:c r="I117" s="339" t="str">
        <x:v>Attendance % = weighted eligible attendance units ÷ eligible working sessions × 100; weighting is policy-driven.</x:v>
      </x:c>
      <x:c r="J117" s="339" t="str">
        <x:v>The authoritative record/state is updated only after all blocking validation succeeds; user receives deterministic confirmation.</x:v>
      </x:c>
      <x:c r="K117" s="339" t="str">
        <x:v>Finalized attendance feeds parent alerts, attendance reports and configured eligibility/payroll-related processes.</x:v>
      </x:c>
      <x:c r="L117" s="339" t="str">
        <x:v>Create/update/status/approval/reversal/export/security-sensitive events are recorded with actor, timestamp, target and reason/context.</x:v>
      </x:c>
    </x:row>
    <x:row r="118">
      <x:c r="A118" s="339" t="str">
        <x:v>BL-117</x:v>
      </x:c>
      <x:c r="B118" s="339" t="str">
        <x:v>SCR-117</x:v>
      </x:c>
      <x:c r="C118" s="339" t="str">
        <x:v>Student Attendance</x:v>
      </x:c>
      <x:c r="D118" s="339" t="str">
        <x:v>Monthly Attendance Summary</x:v>
      </x:c>
      <x:c r="E118" s="339" t="str">
        <x:v>Authenticated/authorized user; tenant/school context resolved; required master data effective.</x:v>
      </x:c>
      <x:c r="F118" s="339" t="str">
        <x:v>User opens or performs the primary action on Monthly Attendance Summary.</x:v>
      </x:c>
      <x:c r="G118" s="339" t="str">
        <x:v>Validate filter context → resolve row-level scope → query authoritative transactions → apply approved formulas/grouping → reconcile totals → render table/chart → export only permitted data.</x:v>
      </x:c>
      <x:c r="H118" s="339" t="str">
        <x:v>Pending → Present / Absent / Late / Leave / Half-day → Locked → Corrected (approved)</x:v>
      </x:c>
      <x:c r="I118" s="339" t="str">
        <x:v>Attendance % = weighted eligible attendance units ÷ eligible working sessions × 100; weighting is policy-driven.</x:v>
      </x:c>
      <x:c r="J118" s="339" t="str">
        <x:v>The authoritative record/state is updated only after all blocking validation succeeds; user receives deterministic confirmation.</x:v>
      </x:c>
      <x:c r="K118" s="339" t="str">
        <x:v>Finalized attendance feeds parent alerts, attendance reports and configured eligibility/payroll-related processes.</x:v>
      </x:c>
      <x:c r="L118" s="339" t="str">
        <x:v>Create/update/status/approval/reversal/export/security-sensitive events are recorded with actor, timestamp, target and reason/context.</x:v>
      </x:c>
    </x:row>
    <x:row r="119">
      <x:c r="A119" s="339" t="str">
        <x:v>BL-118</x:v>
      </x:c>
      <x:c r="B119" s="339" t="str">
        <x:v>SCR-118</x:v>
      </x:c>
      <x:c r="C119" s="339" t="str">
        <x:v>Student Attendance</x:v>
      </x:c>
      <x:c r="D119" s="339" t="str">
        <x:v>Chronic Absence Alerts</x:v>
      </x:c>
      <x:c r="E119" s="339" t="str">
        <x:v>Authenticated/authorized user; tenant/school context resolved; required master data effective.</x:v>
      </x:c>
      <x:c r="F119" s="339" t="str">
        <x:v>User opens or performs the primary action on Chronic Absence Alerts.</x:v>
      </x:c>
      <x:c r="G119" s="339" t="str">
        <x:v>Load current workflow state → verify role and allowed transition → validate prerequisites/business rules → execute state change atomically → update dependent data → record audit trail → notify affected users.</x:v>
      </x:c>
      <x:c r="H119" s="339" t="str">
        <x:v>Pending → Present / Absent / Late / Leave / Half-day → Locked → Corrected (approved)</x:v>
      </x:c>
      <x:c r="I119" s="339" t="str">
        <x:v>Attendance % = weighted eligible attendance units ÷ eligible working sessions × 100; weighting is policy-driven.</x:v>
      </x:c>
      <x:c r="J119" s="339" t="str">
        <x:v>The authoritative record/state is updated only after all blocking validation succeeds; user receives deterministic confirmation.</x:v>
      </x:c>
      <x:c r="K119" s="339" t="str">
        <x:v>Finalized attendance feeds parent alerts, attendance reports and configured eligibility/payroll-related processes.</x:v>
      </x:c>
      <x:c r="L119" s="339" t="str">
        <x:v>Create/update/status/approval/reversal/export/security-sensitive events are recorded with actor, timestamp, target and reason/context.</x:v>
      </x:c>
    </x:row>
    <x:row r="120">
      <x:c r="A120" s="339" t="str">
        <x:v>BL-119</x:v>
      </x:c>
      <x:c r="B120" s="339" t="str">
        <x:v>SCR-119</x:v>
      </x:c>
      <x:c r="C120" s="339" t="str">
        <x:v>Student Attendance</x:v>
      </x:c>
      <x:c r="D120" s="339" t="str">
        <x:v>Attendance Reports</x:v>
      </x:c>
      <x:c r="E120" s="339" t="str">
        <x:v>Authenticated/authorized user; tenant/school context resolved; required master data effective.</x:v>
      </x:c>
      <x:c r="F120" s="339" t="str">
        <x:v>User opens or performs the primary action on Attendance Reports.</x:v>
      </x:c>
      <x:c r="G120" s="339" t="str">
        <x:v>Validate filter context → resolve row-level scope → query authoritative transactions → apply approved formulas/grouping → reconcile totals → render table/chart → export only permitted data.</x:v>
      </x:c>
      <x:c r="H120" s="339" t="str">
        <x:v>Pending → Present / Absent / Late / Leave / Half-day → Locked → Corrected (approved)</x:v>
      </x:c>
      <x:c r="I120" s="339" t="str">
        <x:v>Attendance % = weighted eligible attendance units ÷ eligible working sessions × 100; weighting is policy-driven.</x:v>
      </x:c>
      <x:c r="J120" s="339" t="str">
        <x:v>The authoritative record/state is updated only after all blocking validation succeeds; user receives deterministic confirmation.</x:v>
      </x:c>
      <x:c r="K120" s="339" t="str">
        <x:v>Finalized attendance feeds parent alerts, attendance reports and configured eligibility/payroll-related processes.</x:v>
      </x:c>
      <x:c r="L120" s="339" t="str">
        <x:v>Create/update/status/approval/reversal/export/security-sensitive events are recorded with actor, timestamp, target and reason/context.</x:v>
      </x:c>
    </x:row>
    <x:row r="121">
      <x:c r="A121" s="339" t="str">
        <x:v>BL-120</x:v>
      </x:c>
      <x:c r="B121" s="339" t="str">
        <x:v>SCR-120</x:v>
      </x:c>
      <x:c r="C121" s="339" t="str">
        <x:v>Timetable &amp; Substitution</x:v>
      </x:c>
      <x:c r="D121" s="339" t="str">
        <x:v>Timetable Dashboard</x:v>
      </x:c>
      <x:c r="E121" s="339" t="str">
        <x:v>Authenticated/authorized user; tenant/school context resolved; required master data effective.</x:v>
      </x:c>
      <x:c r="F121" s="339" t="str">
        <x:v>User opens or performs the primary action on Timetable Dashboard.</x:v>
      </x:c>
      <x:c r="G121" s="339" t="str">
        <x:v>Resolve tenant/school/role context → apply date/academic filters → query authorized aggregates → compute/reconcile KPIs → highlight alerts/exceptions → expose permitted drill-down actions.</x:v>
      </x:c>
      <x:c r="H121" s="339" t="str">
        <x:v>Draft → Validated → Published → Revised / Archived</x:v>
      </x:c>
      <x:c r="I121" s="339" t="str">
        <x:v>No special calculation unless configured; derived fields use authoritative source data and explicit effective-date rules.</x:v>
      </x:c>
      <x:c r="J121" s="339" t="str">
        <x:v>The authoritative record/state is updated only after all blocking validation succeeds; user receives deterministic confirmation.</x:v>
      </x:c>
      <x:c r="K121" s="339" t="str">
        <x:v>Published schedule changes update teacher/student calendars and notification targets.</x:v>
      </x:c>
      <x:c r="L121" s="339" t="str">
        <x:v>Create/update/status/approval/reversal/export/security-sensitive events are recorded with actor, timestamp, target and reason/context.</x:v>
      </x:c>
    </x:row>
    <x:row r="122">
      <x:c r="A122" s="339" t="str">
        <x:v>BL-121</x:v>
      </x:c>
      <x:c r="B122" s="339" t="str">
        <x:v>SCR-121</x:v>
      </x:c>
      <x:c r="C122" s="339" t="str">
        <x:v>Timetable &amp; Substitution</x:v>
      </x:c>
      <x:c r="D122" s="339" t="str">
        <x:v>Timetable Setup</x:v>
      </x:c>
      <x:c r="E122" s="339" t="str">
        <x:v>Authenticated/authorized user; tenant/school context resolved; required master data effective.</x:v>
      </x:c>
      <x:c r="F122" s="339" t="str">
        <x:v>User opens or performs the primary action on Timetable Setup.</x:v>
      </x:c>
      <x:c r="G122" s="339" t="str">
        <x:v>Load valid reference data → validate mandatory and conditional fields → apply duplicate/eligibility/business-rule checks → persist within a transaction → generate identifiers if required → write audit record → trigger configured side effects/notifications.</x:v>
      </x:c>
      <x:c r="H122" s="339" t="str">
        <x:v>Draft → Validated → Published → Revised / Archived</x:v>
      </x:c>
      <x:c r="I122" s="339" t="str">
        <x:v>No special calculation unless configured; derived fields use authoritative source data and explicit effective-date rules.</x:v>
      </x:c>
      <x:c r="J122" s="339" t="str">
        <x:v>The authoritative record/state is updated only after all blocking validation succeeds; user receives deterministic confirmation.</x:v>
      </x:c>
      <x:c r="K122" s="339" t="str">
        <x:v>Published schedule changes update teacher/student calendars and notification targets.</x:v>
      </x:c>
      <x:c r="L122" s="339" t="str">
        <x:v>Create/update/status/approval/reversal/export/security-sensitive events are recorded with actor, timestamp, target and reason/context.</x:v>
      </x:c>
    </x:row>
    <x:row r="123">
      <x:c r="A123" s="339" t="str">
        <x:v>BL-122</x:v>
      </x:c>
      <x:c r="B123" s="339" t="str">
        <x:v>SCR-122</x:v>
      </x:c>
      <x:c r="C123" s="339" t="str">
        <x:v>Timetable &amp; Substitution</x:v>
      </x:c>
      <x:c r="D123" s="339" t="str">
        <x:v>Period Setup</x:v>
      </x:c>
      <x:c r="E123" s="339" t="str">
        <x:v>Authenticated/authorized user; tenant/school context resolved; required master data effective.</x:v>
      </x:c>
      <x:c r="F123" s="339" t="str">
        <x:v>User opens or performs the primary action on Period Setup.</x:v>
      </x:c>
      <x:c r="G123" s="339" t="str">
        <x:v>Load valid reference data → validate mandatory and conditional fields → apply duplicate/eligibility/business-rule checks → persist within a transaction → generate identifiers if required → write audit record → trigger configured side effects/notifications.</x:v>
      </x:c>
      <x:c r="H123" s="339" t="str">
        <x:v>Draft → Validated → Published → Revised / Archived</x:v>
      </x:c>
      <x:c r="I123" s="339" t="str">
        <x:v>No special calculation unless configured; derived fields use authoritative source data and explicit effective-date rules.</x:v>
      </x:c>
      <x:c r="J123" s="339" t="str">
        <x:v>The authoritative record/state is updated only after all blocking validation succeeds; user receives deterministic confirmation.</x:v>
      </x:c>
      <x:c r="K123" s="339" t="str">
        <x:v>Published schedule changes update teacher/student calendars and notification targets.</x:v>
      </x:c>
      <x:c r="L123" s="339" t="str">
        <x:v>Create/update/status/approval/reversal/export/security-sensitive events are recorded with actor, timestamp, target and reason/context.</x:v>
      </x:c>
    </x:row>
    <x:row r="124">
      <x:c r="A124" s="339" t="str">
        <x:v>BL-123</x:v>
      </x:c>
      <x:c r="B124" s="339" t="str">
        <x:v>SCR-123</x:v>
      </x:c>
      <x:c r="C124" s="339" t="str">
        <x:v>Timetable &amp; Substitution</x:v>
      </x:c>
      <x:c r="D124" s="339" t="str">
        <x:v>Teacher Availability</x:v>
      </x:c>
      <x:c r="E124" s="339" t="str">
        <x:v>Authenticated/authorized user; tenant/school context resolved; required master data effective.</x:v>
      </x:c>
      <x:c r="F124" s="339" t="str">
        <x:v>User opens or performs the primary action on Teacher Availability.</x:v>
      </x:c>
      <x:c r="G124" s="339" t="str">
        <x:v>Load current workflow state → verify role and allowed transition → validate prerequisites/business rules → execute state change atomically → update dependent data → record audit trail → notify affected users.</x:v>
      </x:c>
      <x:c r="H124" s="339" t="str">
        <x:v>Draft → Validated → Published → Revised / Archived</x:v>
      </x:c>
      <x:c r="I124" s="339" t="str">
        <x:v>No special calculation unless configured; derived fields use authoritative source data and explicit effective-date rules.</x:v>
      </x:c>
      <x:c r="J124" s="339" t="str">
        <x:v>The authoritative record/state is updated only after all blocking validation succeeds; user receives deterministic confirmation.</x:v>
      </x:c>
      <x:c r="K124" s="339" t="str">
        <x:v>Published schedule changes update teacher/student calendars and notification targets.</x:v>
      </x:c>
      <x:c r="L124" s="339" t="str">
        <x:v>Create/update/status/approval/reversal/export/security-sensitive events are recorded with actor, timestamp, target and reason/context.</x:v>
      </x:c>
    </x:row>
    <x:row r="125">
      <x:c r="A125" s="339" t="str">
        <x:v>BL-124</x:v>
      </x:c>
      <x:c r="B125" s="339" t="str">
        <x:v>SCR-124</x:v>
      </x:c>
      <x:c r="C125" s="339" t="str">
        <x:v>Timetable &amp; Substitution</x:v>
      </x:c>
      <x:c r="D125" s="339" t="str">
        <x:v>Generate Timetable</x:v>
      </x:c>
      <x:c r="E125" s="339" t="str">
        <x:v>Authenticated/authorized user; tenant/school context resolved; required master data effective.</x:v>
      </x:c>
      <x:c r="F125" s="339" t="str">
        <x:v>User opens or performs the primary action on Generate Timetable.</x:v>
      </x:c>
      <x:c r="G125" s="339" t="str">
        <x:v>Load active resources/availability → validate requested date/time → detect conflicts/capacity constraints → create/update schedule atomically → record revision history → notify affected participants where configured.</x:v>
      </x:c>
      <x:c r="H125" s="339" t="str">
        <x:v>Draft → Validated → Published → Revised / Archived</x:v>
      </x:c>
      <x:c r="I125" s="339" t="str">
        <x:v>No special calculation unless configured; derived fields use authoritative source data and explicit effective-date rules.</x:v>
      </x:c>
      <x:c r="J125" s="339" t="str">
        <x:v>The authoritative record/state is updated only after all blocking validation succeeds; user receives deterministic confirmation.</x:v>
      </x:c>
      <x:c r="K125" s="339" t="str">
        <x:v>Published schedule changes update teacher/student calendars and notification targets.</x:v>
      </x:c>
      <x:c r="L125" s="339" t="str">
        <x:v>Create/update/status/approval/reversal/export/security-sensitive events are recorded with actor, timestamp, target and reason/context.</x:v>
      </x:c>
    </x:row>
    <x:row r="126">
      <x:c r="A126" s="339" t="str">
        <x:v>BL-125</x:v>
      </x:c>
      <x:c r="B126" s="339" t="str">
        <x:v>SCR-125</x:v>
      </x:c>
      <x:c r="C126" s="339" t="str">
        <x:v>Timetable &amp; Substitution</x:v>
      </x:c>
      <x:c r="D126" s="339" t="str">
        <x:v>Class Timetable</x:v>
      </x:c>
      <x:c r="E126" s="339" t="str">
        <x:v>Authenticated/authorized user; tenant/school context resolved; required master data effective.</x:v>
      </x:c>
      <x:c r="F126" s="339" t="str">
        <x:v>User opens or performs the primary action on Class Timetable.</x:v>
      </x:c>
      <x:c r="G126" s="339" t="str">
        <x:v>Load active resources/availability → validate requested date/time → detect conflicts/capacity constraints → create/update schedule atomically → record revision history → notify affected participants where configured.</x:v>
      </x:c>
      <x:c r="H126" s="339" t="str">
        <x:v>Draft → Validated → Published → Revised / Archived</x:v>
      </x:c>
      <x:c r="I126" s="339" t="str">
        <x:v>No special calculation unless configured; derived fields use authoritative source data and explicit effective-date rules.</x:v>
      </x:c>
      <x:c r="J126" s="339" t="str">
        <x:v>The authoritative record/state is updated only after all blocking validation succeeds; user receives deterministic confirmation.</x:v>
      </x:c>
      <x:c r="K126" s="339" t="str">
        <x:v>Published schedule changes update teacher/student calendars and notification targets.</x:v>
      </x:c>
      <x:c r="L126" s="339" t="str">
        <x:v>Create/update/status/approval/reversal/export/security-sensitive events are recorded with actor, timestamp, target and reason/context.</x:v>
      </x:c>
    </x:row>
    <x:row r="127">
      <x:c r="A127" s="339" t="str">
        <x:v>BL-126</x:v>
      </x:c>
      <x:c r="B127" s="339" t="str">
        <x:v>SCR-126</x:v>
      </x:c>
      <x:c r="C127" s="339" t="str">
        <x:v>Timetable &amp; Substitution</x:v>
      </x:c>
      <x:c r="D127" s="339" t="str">
        <x:v>Teacher Timetable</x:v>
      </x:c>
      <x:c r="E127" s="339" t="str">
        <x:v>Authenticated/authorized user; tenant/school context resolved; required master data effective.</x:v>
      </x:c>
      <x:c r="F127" s="339" t="str">
        <x:v>User opens or performs the primary action on Teacher Timetable.</x:v>
      </x:c>
      <x:c r="G127" s="339" t="str">
        <x:v>Load active resources/availability → validate requested date/time → detect conflicts/capacity constraints → create/update schedule atomically → record revision history → notify affected participants where configured.</x:v>
      </x:c>
      <x:c r="H127" s="339" t="str">
        <x:v>Draft → Validated → Published → Revised / Archived</x:v>
      </x:c>
      <x:c r="I127" s="339" t="str">
        <x:v>No special calculation unless configured; derived fields use authoritative source data and explicit effective-date rules.</x:v>
      </x:c>
      <x:c r="J127" s="339" t="str">
        <x:v>The authoritative record/state is updated only after all blocking validation succeeds; user receives deterministic confirmation.</x:v>
      </x:c>
      <x:c r="K127" s="339" t="str">
        <x:v>Published schedule changes update teacher/student calendars and notification targets.</x:v>
      </x:c>
      <x:c r="L127" s="339" t="str">
        <x:v>Create/update/status/approval/reversal/export/security-sensitive events are recorded with actor, timestamp, target and reason/context.</x:v>
      </x:c>
    </x:row>
    <x:row r="128">
      <x:c r="A128" s="339" t="str">
        <x:v>BL-127</x:v>
      </x:c>
      <x:c r="B128" s="339" t="str">
        <x:v>SCR-127</x:v>
      </x:c>
      <x:c r="C128" s="339" t="str">
        <x:v>Timetable &amp; Substitution</x:v>
      </x:c>
      <x:c r="D128" s="339" t="str">
        <x:v>Substitution / Replacement</x:v>
      </x:c>
      <x:c r="E128" s="339" t="str">
        <x:v>Authenticated/authorized user; tenant/school context resolved; required master data effective.</x:v>
      </x:c>
      <x:c r="F128" s="339" t="str">
        <x:v>User opens or performs the primary action on Substitution / Replacement.</x:v>
      </x:c>
      <x:c r="G128" s="339" t="str">
        <x:v>Load current workflow state → verify role and allowed transition → validate prerequisites/business rules → execute state change atomically → update dependent data → record audit trail → notify affected users.</x:v>
      </x:c>
      <x:c r="H128" s="339" t="str">
        <x:v>Draft → Validated → Published → Revised / Archived</x:v>
      </x:c>
      <x:c r="I128" s="339" t="str">
        <x:v>No special calculation unless configured; derived fields use authoritative source data and explicit effective-date rules.</x:v>
      </x:c>
      <x:c r="J128" s="339" t="str">
        <x:v>The authoritative record/state is updated only after all blocking validation succeeds; user receives deterministic confirmation.</x:v>
      </x:c>
      <x:c r="K128" s="339" t="str">
        <x:v>Published schedule changes update teacher/student calendars and notification targets.</x:v>
      </x:c>
      <x:c r="L128" s="339" t="str">
        <x:v>Create/update/status/approval/reversal/export/security-sensitive events are recorded with actor, timestamp, target and reason/context.</x:v>
      </x:c>
    </x:row>
    <x:row r="129">
      <x:c r="A129" s="339" t="str">
        <x:v>BL-128</x:v>
      </x:c>
      <x:c r="B129" s="339" t="str">
        <x:v>SCR-128</x:v>
      </x:c>
      <x:c r="C129" s="339" t="str">
        <x:v>Homework &amp; Assignments</x:v>
      </x:c>
      <x:c r="D129" s="339" t="str">
        <x:v>Homework List</x:v>
      </x:c>
      <x:c r="E129" s="339" t="str">
        <x:v>Authenticated/authorized user; tenant/school context resolved; required master data effective.</x:v>
      </x:c>
      <x:c r="F129" s="339" t="str">
        <x:v>User opens or performs the primary action on Homework List.</x:v>
      </x:c>
      <x:c r="G129" s="339" t="str">
        <x:v>Resolve authorized data scope → validate search/filter/sort/page parameters → query indexed records → apply row/field masking → return paged results → expose only state- and role-permitted actions.</x:v>
      </x:c>
      <x:c r="H129" s="339" t="str">
        <x:v>Draft → Published → Submitted / Late / Missing → Evaluated → Returned / Closed</x:v>
      </x:c>
      <x:c r="I129" s="339" t="str">
        <x:v>No special calculation unless configured; derived fields use authoritative source data and explicit effective-date rules.</x:v>
      </x:c>
      <x:c r="J129" s="339" t="str">
        <x:v>The authoritative record/state is updated only after all blocking validation succeeds; user receives deterministic confirmation.</x:v>
      </x:c>
      <x:c r="K129" s="339" t="str">
        <x:v>Publish/evaluate events update student/parent portals and learning analytics.</x:v>
      </x:c>
      <x:c r="L129" s="339" t="str">
        <x:v>Create/update/status/approval/reversal/export/security-sensitive events are recorded with actor, timestamp, target and reason/context.</x:v>
      </x:c>
    </x:row>
    <x:row r="130">
      <x:c r="A130" s="339" t="str">
        <x:v>BL-129</x:v>
      </x:c>
      <x:c r="B130" s="339" t="str">
        <x:v>SCR-129</x:v>
      </x:c>
      <x:c r="C130" s="339" t="str">
        <x:v>Homework &amp; Assignments</x:v>
      </x:c>
      <x:c r="D130" s="339" t="str">
        <x:v>Create Homework</x:v>
      </x:c>
      <x:c r="E130" s="339" t="str">
        <x:v>Authenticated/authorized user; tenant/school context resolved; required master data effective.</x:v>
      </x:c>
      <x:c r="F130" s="339" t="str">
        <x:v>User opens or performs the primary action on Create Homework.</x:v>
      </x:c>
      <x:c r="G130" s="339" t="str">
        <x:v>Load valid reference data → validate mandatory and conditional fields → apply duplicate/eligibility/business-rule checks → persist within a transaction → generate identifiers if required → write audit record → trigger configured side effects/notifications.</x:v>
      </x:c>
      <x:c r="H130" s="339" t="str">
        <x:v>Draft → Published → Submitted / Late / Missing → Evaluated → Returned / Closed</x:v>
      </x:c>
      <x:c r="I130" s="339" t="str">
        <x:v>No special calculation unless configured; derived fields use authoritative source data and explicit effective-date rules.</x:v>
      </x:c>
      <x:c r="J130" s="339" t="str">
        <x:v>The authoritative record/state is updated only after all blocking validation succeeds; user receives deterministic confirmation.</x:v>
      </x:c>
      <x:c r="K130" s="339" t="str">
        <x:v>Publish/evaluate events update student/parent portals and learning analytics.</x:v>
      </x:c>
      <x:c r="L130" s="339" t="str">
        <x:v>Create/update/status/approval/reversal/export/security-sensitive events are recorded with actor, timestamp, target and reason/context.</x:v>
      </x:c>
    </x:row>
    <x:row r="131">
      <x:c r="A131" s="339" t="str">
        <x:v>BL-130</x:v>
      </x:c>
      <x:c r="B131" s="339" t="str">
        <x:v>SCR-130</x:v>
      </x:c>
      <x:c r="C131" s="339" t="str">
        <x:v>Homework &amp; Assignments</x:v>
      </x:c>
      <x:c r="D131" s="339" t="str">
        <x:v>Homework Details</x:v>
      </x:c>
      <x:c r="E131" s="339" t="str">
        <x:v>Authenticated/authorized user; tenant/school context resolved; required master data effective.</x:v>
      </x:c>
      <x:c r="F131" s="339" t="str">
        <x:v>User opens or performs the primary action on Homework Details.</x:v>
      </x:c>
      <x:c r="G131" s="339" t="str">
        <x:v>Resolve and authorize the target record → load related data/history → mask restricted fields → apply edit/state permissions → validate updates → persist with version/audit controls → refresh dependent summaries.</x:v>
      </x:c>
      <x:c r="H131" s="339" t="str">
        <x:v>Draft → Published → Submitted / Late / Missing → Evaluated → Returned / Closed</x:v>
      </x:c>
      <x:c r="I131" s="339" t="str">
        <x:v>No special calculation unless configured; derived fields use authoritative source data and explicit effective-date rules.</x:v>
      </x:c>
      <x:c r="J131" s="339" t="str">
        <x:v>The authoritative record/state is updated only after all blocking validation succeeds; user receives deterministic confirmation.</x:v>
      </x:c>
      <x:c r="K131" s="339" t="str">
        <x:v>Publish/evaluate events update student/parent portals and learning analytics.</x:v>
      </x:c>
      <x:c r="L131" s="339" t="str">
        <x:v>Create/update/status/approval/reversal/export/security-sensitive events are recorded with actor, timestamp, target and reason/context.</x:v>
      </x:c>
    </x:row>
    <x:row r="132">
      <x:c r="A132" s="339" t="str">
        <x:v>BL-131</x:v>
      </x:c>
      <x:c r="B132" s="339" t="str">
        <x:v>SCR-131</x:v>
      </x:c>
      <x:c r="C132" s="339" t="str">
        <x:v>Homework &amp; Assignments</x:v>
      </x:c>
      <x:c r="D132" s="339" t="str">
        <x:v>Student Homework View</x:v>
      </x:c>
      <x:c r="E132" s="339" t="str">
        <x:v>Authenticated/authorized user; tenant/school context resolved; required master data effective.</x:v>
      </x:c>
      <x:c r="F132" s="339" t="str">
        <x:v>User opens or performs the primary action on Student Homework View.</x:v>
      </x:c>
      <x:c r="G132" s="339" t="str">
        <x:v>Load current workflow state → verify role and allowed transition → validate prerequisites/business rules → execute state change atomically → update dependent data → record audit trail → notify affected users.</x:v>
      </x:c>
      <x:c r="H132" s="339" t="str">
        <x:v>Draft → Published → Submitted / Late / Missing → Evaluated → Returned / Closed</x:v>
      </x:c>
      <x:c r="I132" s="339" t="str">
        <x:v>No special calculation unless configured; derived fields use authoritative source data and explicit effective-date rules.</x:v>
      </x:c>
      <x:c r="J132" s="339" t="str">
        <x:v>The authoritative record/state is updated only after all blocking validation succeeds; user receives deterministic confirmation.</x:v>
      </x:c>
      <x:c r="K132" s="339" t="str">
        <x:v>Publish/evaluate events update student/parent portals and learning analytics.</x:v>
      </x:c>
      <x:c r="L132" s="339" t="str">
        <x:v>Create/update/status/approval/reversal/export/security-sensitive events are recorded with actor, timestamp, target and reason/context.</x:v>
      </x:c>
    </x:row>
    <x:row r="133">
      <x:c r="A133" s="339" t="str">
        <x:v>BL-132</x:v>
      </x:c>
      <x:c r="B133" s="339" t="str">
        <x:v>SCR-132</x:v>
      </x:c>
      <x:c r="C133" s="339" t="str">
        <x:v>Homework &amp; Assignments</x:v>
      </x:c>
      <x:c r="D133" s="339" t="str">
        <x:v>Homework Submission</x:v>
      </x:c>
      <x:c r="E133" s="339" t="str">
        <x:v>Authenticated/authorized user; tenant/school context resolved; required master data effective.</x:v>
      </x:c>
      <x:c r="F133" s="339" t="str">
        <x:v>User opens or performs the primary action on Homework Submission.</x:v>
      </x:c>
      <x:c r="G133" s="339" t="str">
        <x:v>Load current workflow state → verify role and allowed transition → validate prerequisites/business rules → execute state change atomically → update dependent data → record audit trail → notify affected users.</x:v>
      </x:c>
      <x:c r="H133" s="339" t="str">
        <x:v>Draft → Published → Submitted / Late / Missing → Evaluated → Returned / Closed</x:v>
      </x:c>
      <x:c r="I133" s="339" t="str">
        <x:v>No special calculation unless configured; derived fields use authoritative source data and explicit effective-date rules.</x:v>
      </x:c>
      <x:c r="J133" s="339" t="str">
        <x:v>The authoritative record/state is updated only after all blocking validation succeeds; user receives deterministic confirmation.</x:v>
      </x:c>
      <x:c r="K133" s="339" t="str">
        <x:v>Publish/evaluate events update student/parent portals and learning analytics.</x:v>
      </x:c>
      <x:c r="L133" s="339" t="str">
        <x:v>Create/update/status/approval/reversal/export/security-sensitive events are recorded with actor, timestamp, target and reason/context.</x:v>
      </x:c>
    </x:row>
    <x:row r="134">
      <x:c r="A134" s="339" t="str">
        <x:v>BL-133</x:v>
      </x:c>
      <x:c r="B134" s="339" t="str">
        <x:v>SCR-133</x:v>
      </x:c>
      <x:c r="C134" s="339" t="str">
        <x:v>Homework &amp; Assignments</x:v>
      </x:c>
      <x:c r="D134" s="339" t="str">
        <x:v>Homework Evaluation</x:v>
      </x:c>
      <x:c r="E134" s="339" t="str">
        <x:v>Authenticated/authorized user; tenant/school context resolved; required master data effective.</x:v>
      </x:c>
      <x:c r="F134" s="339" t="str">
        <x:v>User opens or performs the primary action on Homework Evaluation.</x:v>
      </x:c>
      <x:c r="G134" s="339" t="str">
        <x:v>Load current workflow state → verify role and allowed transition → validate prerequisites/business rules → execute state change atomically → update dependent data → record audit trail → notify affected users.</x:v>
      </x:c>
      <x:c r="H134" s="339" t="str">
        <x:v>Draft → Published → Submitted / Late / Missing → Evaluated → Returned / Closed</x:v>
      </x:c>
      <x:c r="I134" s="339" t="str">
        <x:v>No special calculation unless configured; derived fields use authoritative source data and explicit effective-date rules.</x:v>
      </x:c>
      <x:c r="J134" s="339" t="str">
        <x:v>The authoritative record/state is updated only after all blocking validation succeeds; user receives deterministic confirmation.</x:v>
      </x:c>
      <x:c r="K134" s="339" t="str">
        <x:v>Publish/evaluate events update student/parent portals and learning analytics.</x:v>
      </x:c>
      <x:c r="L134" s="339" t="str">
        <x:v>Create/update/status/approval/reversal/export/security-sensitive events are recorded with actor, timestamp, target and reason/context.</x:v>
      </x:c>
    </x:row>
    <x:row r="135">
      <x:c r="A135" s="339" t="str">
        <x:v>BL-134</x:v>
      </x:c>
      <x:c r="B135" s="339" t="str">
        <x:v>SCR-134</x:v>
      </x:c>
      <x:c r="C135" s="339" t="str">
        <x:v>Homework &amp; Assignments</x:v>
      </x:c>
      <x:c r="D135" s="339" t="str">
        <x:v>Assignment List</x:v>
      </x:c>
      <x:c r="E135" s="339" t="str">
        <x:v>Authenticated/authorized user; tenant/school context resolved; required master data effective.</x:v>
      </x:c>
      <x:c r="F135" s="339" t="str">
        <x:v>User opens or performs the primary action on Assignment List.</x:v>
      </x:c>
      <x:c r="G135" s="339" t="str">
        <x:v>Resolve authorized data scope → validate search/filter/sort/page parameters → query indexed records → apply row/field masking → return paged results → expose only state- and role-permitted actions.</x:v>
      </x:c>
      <x:c r="H135" s="339" t="str">
        <x:v>Draft → Published → Submitted / Late / Missing → Evaluated → Returned / Closed</x:v>
      </x:c>
      <x:c r="I135" s="339" t="str">
        <x:v>No special calculation unless configured; derived fields use authoritative source data and explicit effective-date rules.</x:v>
      </x:c>
      <x:c r="J135" s="339" t="str">
        <x:v>The authoritative record/state is updated only after all blocking validation succeeds; user receives deterministic confirmation.</x:v>
      </x:c>
      <x:c r="K135" s="339" t="str">
        <x:v>Publish/evaluate events update student/parent portals and learning analytics.</x:v>
      </x:c>
      <x:c r="L135" s="339" t="str">
        <x:v>Create/update/status/approval/reversal/export/security-sensitive events are recorded with actor, timestamp, target and reason/context.</x:v>
      </x:c>
    </x:row>
    <x:row r="136">
      <x:c r="A136" s="339" t="str">
        <x:v>BL-135</x:v>
      </x:c>
      <x:c r="B136" s="339" t="str">
        <x:v>SCR-135</x:v>
      </x:c>
      <x:c r="C136" s="339" t="str">
        <x:v>Homework &amp; Assignments</x:v>
      </x:c>
      <x:c r="D136" s="339" t="str">
        <x:v>Create Assignment</x:v>
      </x:c>
      <x:c r="E136" s="339" t="str">
        <x:v>Authenticated/authorized user; tenant/school context resolved; required master data effective.</x:v>
      </x:c>
      <x:c r="F136" s="339" t="str">
        <x:v>User opens or performs the primary action on Create Assignment.</x:v>
      </x:c>
      <x:c r="G136" s="339" t="str">
        <x:v>Load valid reference data → validate mandatory and conditional fields → apply duplicate/eligibility/business-rule checks → persist within a transaction → generate identifiers if required → write audit record → trigger configured side effects/notifications.</x:v>
      </x:c>
      <x:c r="H136" s="339" t="str">
        <x:v>Draft → Published → Submitted / Late / Missing → Evaluated → Returned / Closed</x:v>
      </x:c>
      <x:c r="I136" s="339" t="str">
        <x:v>No special calculation unless configured; derived fields use authoritative source data and explicit effective-date rules.</x:v>
      </x:c>
      <x:c r="J136" s="339" t="str">
        <x:v>The authoritative record/state is updated only after all blocking validation succeeds; user receives deterministic confirmation.</x:v>
      </x:c>
      <x:c r="K136" s="339" t="str">
        <x:v>Publish/evaluate events update student/parent portals and learning analytics.</x:v>
      </x:c>
      <x:c r="L136" s="339" t="str">
        <x:v>Create/update/status/approval/reversal/export/security-sensitive events are recorded with actor, timestamp, target and reason/context.</x:v>
      </x:c>
    </x:row>
    <x:row r="137">
      <x:c r="A137" s="339" t="str">
        <x:v>BL-136</x:v>
      </x:c>
      <x:c r="B137" s="339" t="str">
        <x:v>SCR-136</x:v>
      </x:c>
      <x:c r="C137" s="339" t="str">
        <x:v>Homework &amp; Assignments</x:v>
      </x:c>
      <x:c r="D137" s="339" t="str">
        <x:v>Assignment Submissions</x:v>
      </x:c>
      <x:c r="E137" s="339" t="str">
        <x:v>Authenticated/authorized user; tenant/school context resolved; required master data effective.</x:v>
      </x:c>
      <x:c r="F137" s="339" t="str">
        <x:v>User opens or performs the primary action on Assignment Submissions.</x:v>
      </x:c>
      <x:c r="G137" s="339" t="str">
        <x:v>Load current workflow state → verify role and allowed transition → validate prerequisites/business rules → execute state change atomically → update dependent data → record audit trail → notify affected users.</x:v>
      </x:c>
      <x:c r="H137" s="339" t="str">
        <x:v>Draft → Published → Submitted / Late / Missing → Evaluated → Returned / Closed</x:v>
      </x:c>
      <x:c r="I137" s="339" t="str">
        <x:v>No special calculation unless configured; derived fields use authoritative source data and explicit effective-date rules.</x:v>
      </x:c>
      <x:c r="J137" s="339" t="str">
        <x:v>The authoritative record/state is updated only after all blocking validation succeeds; user receives deterministic confirmation.</x:v>
      </x:c>
      <x:c r="K137" s="339" t="str">
        <x:v>Publish/evaluate events update student/parent portals and learning analytics.</x:v>
      </x:c>
      <x:c r="L137" s="339" t="str">
        <x:v>Create/update/status/approval/reversal/export/security-sensitive events are recorded with actor, timestamp, target and reason/context.</x:v>
      </x:c>
    </x:row>
    <x:row r="138">
      <x:c r="A138" s="339" t="str">
        <x:v>BL-137</x:v>
      </x:c>
      <x:c r="B138" s="339" t="str">
        <x:v>SCR-137</x:v>
      </x:c>
      <x:c r="C138" s="339" t="str">
        <x:v>Homework &amp; Assignments</x:v>
      </x:c>
      <x:c r="D138" s="339" t="str">
        <x:v>Assignment Evaluation</x:v>
      </x:c>
      <x:c r="E138" s="339" t="str">
        <x:v>Authenticated/authorized user; tenant/school context resolved; required master data effective.</x:v>
      </x:c>
      <x:c r="F138" s="339" t="str">
        <x:v>User opens or performs the primary action on Assignment Evaluation.</x:v>
      </x:c>
      <x:c r="G138" s="339" t="str">
        <x:v>Load current workflow state → verify role and allowed transition → validate prerequisites/business rules → execute state change atomically → update dependent data → record audit trail → notify affected users.</x:v>
      </x:c>
      <x:c r="H138" s="339" t="str">
        <x:v>Draft → Published → Submitted / Late / Missing → Evaluated → Returned / Closed</x:v>
      </x:c>
      <x:c r="I138" s="339" t="str">
        <x:v>No special calculation unless configured; derived fields use authoritative source data and explicit effective-date rules.</x:v>
      </x:c>
      <x:c r="J138" s="339" t="str">
        <x:v>The authoritative record/state is updated only after all blocking validation succeeds; user receives deterministic confirmation.</x:v>
      </x:c>
      <x:c r="K138" s="339" t="str">
        <x:v>Publish/evaluate events update student/parent portals and learning analytics.</x:v>
      </x:c>
      <x:c r="L138" s="339" t="str">
        <x:v>Create/update/status/approval/reversal/export/security-sensitive events are recorded with actor, timestamp, target and reason/context.</x:v>
      </x:c>
    </x:row>
    <x:row r="139">
      <x:c r="A139" s="339" t="str">
        <x:v>BL-138</x:v>
      </x:c>
      <x:c r="B139" s="339" t="str">
        <x:v>SCR-138</x:v>
      </x:c>
      <x:c r="C139" s="339" t="str">
        <x:v>Examinations / Marks / Results</x:v>
      </x:c>
      <x:c r="D139" s="339" t="str">
        <x:v>Exam Dashboard</x:v>
      </x:c>
      <x:c r="E139" s="339" t="str">
        <x:v>Authenticated/authorized user; tenant/school context resolved; required master data effective.</x:v>
      </x:c>
      <x:c r="F139" s="339" t="str">
        <x:v>User opens or performs the primary action on Exam Dashboard.</x:v>
      </x:c>
      <x:c r="G139" s="339" t="str">
        <x:v>Resolve tenant/school/role context → apply date/academic filters → query authorized aggregates → compute/reconcile KPIs → highlight alerts/exceptions → expose permitted drill-down actions.</x:v>
      </x:c>
      <x:c r="H139" s="339" t="str">
        <x:v>Draft → Scheduled → Marks Entry → Verification → Approved → Published → Revised (controlled)</x:v>
      </x:c>
      <x:c r="I139" s="339" t="str">
        <x:v>Subject % = earned marks ÷ applicable maximum marks × 100; overall score applies configured component weightages and grade bands.</x:v>
      </x:c>
      <x:c r="J139" s="339" t="str">
        <x:v>The authoritative record/state is updated only after all blocking validation succeeds; user receives deterministic confirmation.</x:v>
      </x:c>
      <x:c r="K139" s="339" t="str">
        <x:v>Published results update report cards, student/parent portals and analytics.</x:v>
      </x:c>
      <x:c r="L139" s="339" t="str">
        <x:v>Create/update/status/approval/reversal/export/security-sensitive events are recorded with actor, timestamp, target and reason/context.</x:v>
      </x:c>
    </x:row>
    <x:row r="140">
      <x:c r="A140" s="339" t="str">
        <x:v>BL-139</x:v>
      </x:c>
      <x:c r="B140" s="339" t="str">
        <x:v>SCR-139</x:v>
      </x:c>
      <x:c r="C140" s="339" t="str">
        <x:v>Examinations / Marks / Results</x:v>
      </x:c>
      <x:c r="D140" s="339" t="str">
        <x:v>Exam Types</x:v>
      </x:c>
      <x:c r="E140" s="339" t="str">
        <x:v>Authenticated/authorized user; tenant/school context resolved; required master data effective.</x:v>
      </x:c>
      <x:c r="F140" s="339" t="str">
        <x:v>User opens or performs the primary action on Exam Types.</x:v>
      </x:c>
      <x:c r="G140" s="339" t="str">
        <x:v>Load current workflow state → verify role and allowed transition → validate prerequisites/business rules → execute state change atomically → update dependent data → record audit trail → notify affected users.</x:v>
      </x:c>
      <x:c r="H140" s="339" t="str">
        <x:v>Draft → Scheduled → Marks Entry → Verification → Approved → Published → Revised (controlled)</x:v>
      </x:c>
      <x:c r="I140" s="339" t="str">
        <x:v>Subject % = earned marks ÷ applicable maximum marks × 100; overall score applies configured component weightages and grade bands.</x:v>
      </x:c>
      <x:c r="J140" s="339" t="str">
        <x:v>The authoritative record/state is updated only after all blocking validation succeeds; user receives deterministic confirmation.</x:v>
      </x:c>
      <x:c r="K140" s="339" t="str">
        <x:v>Published results update report cards, student/parent portals and analytics.</x:v>
      </x:c>
      <x:c r="L140" s="339" t="str">
        <x:v>Create/update/status/approval/reversal/export/security-sensitive events are recorded with actor, timestamp, target and reason/context.</x:v>
      </x:c>
    </x:row>
    <x:row r="141">
      <x:c r="A141" s="339" t="str">
        <x:v>BL-140</x:v>
      </x:c>
      <x:c r="B141" s="339" t="str">
        <x:v>SCR-140</x:v>
      </x:c>
      <x:c r="C141" s="339" t="str">
        <x:v>Examinations / Marks / Results</x:v>
      </x:c>
      <x:c r="D141" s="339" t="str">
        <x:v>Exam Setup</x:v>
      </x:c>
      <x:c r="E141" s="339" t="str">
        <x:v>Authenticated/authorized user; tenant/school context resolved; required master data effective.</x:v>
      </x:c>
      <x:c r="F141" s="339" t="str">
        <x:v>User opens or performs the primary action on Exam Setup.</x:v>
      </x:c>
      <x:c r="G141" s="339" t="str">
        <x:v>Load valid reference data → validate mandatory and conditional fields → apply duplicate/eligibility/business-rule checks → persist within a transaction → generate identifiers if required → write audit record → trigger configured side effects/notifications.</x:v>
      </x:c>
      <x:c r="H141" s="339" t="str">
        <x:v>Draft → Scheduled → Marks Entry → Verification → Approved → Published → Revised (controlled)</x:v>
      </x:c>
      <x:c r="I141" s="339" t="str">
        <x:v>Subject % = earned marks ÷ applicable maximum marks × 100; overall score applies configured component weightages and grade bands.</x:v>
      </x:c>
      <x:c r="J141" s="339" t="str">
        <x:v>The authoritative record/state is updated only after all blocking validation succeeds; user receives deterministic confirmation.</x:v>
      </x:c>
      <x:c r="K141" s="339" t="str">
        <x:v>Published results update report cards, student/parent portals and analytics.</x:v>
      </x:c>
      <x:c r="L141" s="339" t="str">
        <x:v>Create/update/status/approval/reversal/export/security-sensitive events are recorded with actor, timestamp, target and reason/context.</x:v>
      </x:c>
    </x:row>
    <x:row r="142">
      <x:c r="A142" s="339" t="str">
        <x:v>BL-141</x:v>
      </x:c>
      <x:c r="B142" s="339" t="str">
        <x:v>SCR-141</x:v>
      </x:c>
      <x:c r="C142" s="339" t="str">
        <x:v>Examinations / Marks / Results</x:v>
      </x:c>
      <x:c r="D142" s="339" t="str">
        <x:v>Exam Schedule</x:v>
      </x:c>
      <x:c r="E142" s="339" t="str">
        <x:v>Authenticated/authorized user; tenant/school context resolved; required master data effective.</x:v>
      </x:c>
      <x:c r="F142" s="339" t="str">
        <x:v>User opens or performs the primary action on Exam Schedule.</x:v>
      </x:c>
      <x:c r="G142" s="339" t="str">
        <x:v>Load active resources/availability → validate requested date/time → detect conflicts/capacity constraints → create/update schedule atomically → record revision history → notify affected participants where configured.</x:v>
      </x:c>
      <x:c r="H142" s="339" t="str">
        <x:v>Draft → Scheduled → Marks Entry → Verification → Approved → Published → Revised (controlled)</x:v>
      </x:c>
      <x:c r="I142" s="339" t="str">
        <x:v>Subject % = earned marks ÷ applicable maximum marks × 100; overall score applies configured component weightages and grade bands.</x:v>
      </x:c>
      <x:c r="J142" s="339" t="str">
        <x:v>The authoritative record/state is updated only after all blocking validation succeeds; user receives deterministic confirmation.</x:v>
      </x:c>
      <x:c r="K142" s="339" t="str">
        <x:v>Published results update report cards, student/parent portals and analytics.</x:v>
      </x:c>
      <x:c r="L142" s="339" t="str">
        <x:v>Create/update/status/approval/reversal/export/security-sensitive events are recorded with actor, timestamp, target and reason/context.</x:v>
      </x:c>
    </x:row>
    <x:row r="143">
      <x:c r="A143" s="339" t="str">
        <x:v>BL-142</x:v>
      </x:c>
      <x:c r="B143" s="339" t="str">
        <x:v>SCR-142</x:v>
      </x:c>
      <x:c r="C143" s="339" t="str">
        <x:v>Examinations / Marks / Results</x:v>
      </x:c>
      <x:c r="D143" s="339" t="str">
        <x:v>Hall / Room Allocation</x:v>
      </x:c>
      <x:c r="E143" s="339" t="str">
        <x:v>Authenticated/authorized user; tenant/school context resolved; required master data effective.</x:v>
      </x:c>
      <x:c r="F143" s="339" t="str">
        <x:v>User opens or performs the primary action on Hall / Room Allocation.</x:v>
      </x:c>
      <x:c r="G143" s="339" t="str">
        <x:v>Load current workflow state → verify role and allowed transition → validate prerequisites/business rules → execute state change atomically → update dependent data → record audit trail → notify affected users.</x:v>
      </x:c>
      <x:c r="H143" s="339" t="str">
        <x:v>Draft → Scheduled → Marks Entry → Verification → Approved → Published → Revised (controlled)</x:v>
      </x:c>
      <x:c r="I143" s="339" t="str">
        <x:v>Subject % = earned marks ÷ applicable maximum marks × 100; overall score applies configured component weightages and grade bands.</x:v>
      </x:c>
      <x:c r="J143" s="339" t="str">
        <x:v>The authoritative record/state is updated only after all blocking validation succeeds; user receives deterministic confirmation.</x:v>
      </x:c>
      <x:c r="K143" s="339" t="str">
        <x:v>Published results update report cards, student/parent portals and analytics.</x:v>
      </x:c>
      <x:c r="L143" s="339" t="str">
        <x:v>Create/update/status/approval/reversal/export/security-sensitive events are recorded with actor, timestamp, target and reason/context.</x:v>
      </x:c>
    </x:row>
    <x:row r="144">
      <x:c r="A144" s="339" t="str">
        <x:v>BL-143</x:v>
      </x:c>
      <x:c r="B144" s="339" t="str">
        <x:v>SCR-143</x:v>
      </x:c>
      <x:c r="C144" s="339" t="str">
        <x:v>Examinations / Marks / Results</x:v>
      </x:c>
      <x:c r="D144" s="339" t="str">
        <x:v>Invigilation Assignment</x:v>
      </x:c>
      <x:c r="E144" s="339" t="str">
        <x:v>Authenticated/authorized user; tenant/school context resolved; required master data effective.</x:v>
      </x:c>
      <x:c r="F144" s="339" t="str">
        <x:v>User opens or performs the primary action on Invigilation Assignment.</x:v>
      </x:c>
      <x:c r="G144" s="339" t="str">
        <x:v>Load current workflow state → verify role and allowed transition → validate prerequisites/business rules → execute state change atomically → update dependent data → record audit trail → notify affected users.</x:v>
      </x:c>
      <x:c r="H144" s="339" t="str">
        <x:v>Draft → Scheduled → Marks Entry → Verification → Approved → Published → Revised (controlled)</x:v>
      </x:c>
      <x:c r="I144" s="339" t="str">
        <x:v>Subject % = earned marks ÷ applicable maximum marks × 100; overall score applies configured component weightages and grade bands.</x:v>
      </x:c>
      <x:c r="J144" s="339" t="str">
        <x:v>The authoritative record/state is updated only after all blocking validation succeeds; user receives deterministic confirmation.</x:v>
      </x:c>
      <x:c r="K144" s="339" t="str">
        <x:v>Published results update report cards, student/parent portals and analytics.</x:v>
      </x:c>
      <x:c r="L144" s="339" t="str">
        <x:v>Create/update/status/approval/reversal/export/security-sensitive events are recorded with actor, timestamp, target and reason/context.</x:v>
      </x:c>
    </x:row>
    <x:row r="145">
      <x:c r="A145" s="339" t="str">
        <x:v>BL-144</x:v>
      </x:c>
      <x:c r="B145" s="339" t="str">
        <x:v>SCR-144</x:v>
      </x:c>
      <x:c r="C145" s="339" t="str">
        <x:v>Examinations / Marks / Results</x:v>
      </x:c>
      <x:c r="D145" s="339" t="str">
        <x:v>Admit Card</x:v>
      </x:c>
      <x:c r="E145" s="339" t="str">
        <x:v>Authenticated/authorized user; tenant/school context resolved; required master data effective.</x:v>
      </x:c>
      <x:c r="F145" s="339" t="str">
        <x:v>User opens or performs the primary action on Admit Card.</x:v>
      </x:c>
      <x:c r="G145" s="339" t="str">
        <x:v>Load current workflow state → verify role and allowed transition → validate prerequisites/business rules → execute state change atomically → update dependent data → record audit trail → notify affected users.</x:v>
      </x:c>
      <x:c r="H145" s="339" t="str">
        <x:v>Draft → Scheduled → Marks Entry → Verification → Approved → Published → Revised (controlled)</x:v>
      </x:c>
      <x:c r="I145" s="339" t="str">
        <x:v>Subject % = earned marks ÷ applicable maximum marks × 100; overall score applies configured component weightages and grade bands.</x:v>
      </x:c>
      <x:c r="J145" s="339" t="str">
        <x:v>The authoritative record/state is updated only after all blocking validation succeeds; user receives deterministic confirmation.</x:v>
      </x:c>
      <x:c r="K145" s="339" t="str">
        <x:v>Published results update report cards, student/parent portals and analytics.</x:v>
      </x:c>
      <x:c r="L145" s="339" t="str">
        <x:v>Create/update/status/approval/reversal/export/security-sensitive events are recorded with actor, timestamp, target and reason/context.</x:v>
      </x:c>
    </x:row>
    <x:row r="146">
      <x:c r="A146" s="339" t="str">
        <x:v>BL-145</x:v>
      </x:c>
      <x:c r="B146" s="339" t="str">
        <x:v>SCR-145</x:v>
      </x:c>
      <x:c r="C146" s="339" t="str">
        <x:v>Examinations / Marks / Results</x:v>
      </x:c>
      <x:c r="D146" s="339" t="str">
        <x:v>Marks Entry</x:v>
      </x:c>
      <x:c r="E146" s="339" t="str">
        <x:v>Authenticated/authorized user; tenant/school context resolved; required master data effective.</x:v>
      </x:c>
      <x:c r="F146" s="339" t="str">
        <x:v>User opens or performs the primary action on Marks Entry.</x:v>
      </x:c>
      <x:c r="G146" s="339" t="str">
        <x:v>Load valid reference data → validate mandatory and conditional fields → apply duplicate/eligibility/business-rule checks → persist within a transaction → generate identifiers if required → write audit record → trigger configured side effects/notifications.</x:v>
      </x:c>
      <x:c r="H146" s="339" t="str">
        <x:v>Draft → Scheduled → Marks Entry → Verification → Approved → Published → Revised (controlled)</x:v>
      </x:c>
      <x:c r="I146" s="339" t="str">
        <x:v>Subject % = earned marks ÷ applicable maximum marks × 100; overall score applies configured component weightages and grade bands.</x:v>
      </x:c>
      <x:c r="J146" s="339" t="str">
        <x:v>The authoritative record/state is updated only after all blocking validation succeeds; user receives deterministic confirmation.</x:v>
      </x:c>
      <x:c r="K146" s="339" t="str">
        <x:v>Published results update report cards, student/parent portals and analytics.</x:v>
      </x:c>
      <x:c r="L146" s="339" t="str">
        <x:v>Create/update/status/approval/reversal/export/security-sensitive events are recorded with actor, timestamp, target and reason/context.</x:v>
      </x:c>
    </x:row>
    <x:row r="147">
      <x:c r="A147" s="339" t="str">
        <x:v>BL-146</x:v>
      </x:c>
      <x:c r="B147" s="339" t="str">
        <x:v>SCR-146</x:v>
      </x:c>
      <x:c r="C147" s="339" t="str">
        <x:v>Examinations / Marks / Results</x:v>
      </x:c>
      <x:c r="D147" s="339" t="str">
        <x:v>Practical / Internal Marks</x:v>
      </x:c>
      <x:c r="E147" s="339" t="str">
        <x:v>Authenticated/authorized user; tenant/school context resolved; required master data effective.</x:v>
      </x:c>
      <x:c r="F147" s="339" t="str">
        <x:v>User opens or performs the primary action on Practical / Internal Marks.</x:v>
      </x:c>
      <x:c r="G147" s="339" t="str">
        <x:v>Load current workflow state → verify role and allowed transition → validate prerequisites/business rules → execute state change atomically → update dependent data → record audit trail → notify affected users.</x:v>
      </x:c>
      <x:c r="H147" s="339" t="str">
        <x:v>Draft → Scheduled → Marks Entry → Verification → Approved → Published → Revised (controlled)</x:v>
      </x:c>
      <x:c r="I147" s="339" t="str">
        <x:v>Subject % = earned marks ÷ applicable maximum marks × 100; overall score applies configured component weightages and grade bands.</x:v>
      </x:c>
      <x:c r="J147" s="339" t="str">
        <x:v>The authoritative record/state is updated only after all blocking validation succeeds; user receives deterministic confirmation.</x:v>
      </x:c>
      <x:c r="K147" s="339" t="str">
        <x:v>Published results update report cards, student/parent portals and analytics.</x:v>
      </x:c>
      <x:c r="L147" s="339" t="str">
        <x:v>Create/update/status/approval/reversal/export/security-sensitive events are recorded with actor, timestamp, target and reason/context.</x:v>
      </x:c>
    </x:row>
    <x:row r="148">
      <x:c r="A148" s="339" t="str">
        <x:v>BL-147</x:v>
      </x:c>
      <x:c r="B148" s="339" t="str">
        <x:v>SCR-147</x:v>
      </x:c>
      <x:c r="C148" s="339" t="str">
        <x:v>Examinations / Marks / Results</x:v>
      </x:c>
      <x:c r="D148" s="339" t="str">
        <x:v>Bulk Marks Import</x:v>
      </x:c>
      <x:c r="E148" s="339" t="str">
        <x:v>Authenticated/authorized user; tenant/school context resolved; required master data effective.</x:v>
      </x:c>
      <x:c r="F148" s="339" t="str">
        <x:v>User opens or performs the primary action on Bulk Marks Import.</x:v>
      </x:c>
      <x:c r="G148" s="339" t="str">
        <x:v>Load current workflow state → verify role and allowed transition → validate prerequisites/business rules → execute state change atomically → update dependent data → record audit trail → notify affected users.</x:v>
      </x:c>
      <x:c r="H148" s="339" t="str">
        <x:v>Draft → Scheduled → Marks Entry → Verification → Approved → Published → Revised (controlled)</x:v>
      </x:c>
      <x:c r="I148" s="339" t="str">
        <x:v>Subject % = earned marks ÷ applicable maximum marks × 100; overall score applies configured component weightages and grade bands.</x:v>
      </x:c>
      <x:c r="J148" s="339" t="str">
        <x:v>The authoritative record/state is updated only after all blocking validation succeeds; user receives deterministic confirmation.</x:v>
      </x:c>
      <x:c r="K148" s="339" t="str">
        <x:v>Published results update report cards, student/parent portals and analytics.</x:v>
      </x:c>
      <x:c r="L148" s="339" t="str">
        <x:v>Create/update/status/approval/reversal/export/security-sensitive events are recorded with actor, timestamp, target and reason/context.</x:v>
      </x:c>
    </x:row>
    <x:row r="149">
      <x:c r="A149" s="339" t="str">
        <x:v>BL-148</x:v>
      </x:c>
      <x:c r="B149" s="339" t="str">
        <x:v>SCR-148</x:v>
      </x:c>
      <x:c r="C149" s="339" t="str">
        <x:v>Examinations / Marks / Results</x:v>
      </x:c>
      <x:c r="D149" s="339" t="str">
        <x:v>Marks Verification</x:v>
      </x:c>
      <x:c r="E149" s="339" t="str">
        <x:v>Authenticated/authorized user; tenant/school context resolved; required master data effective.</x:v>
      </x:c>
      <x:c r="F149" s="339" t="str">
        <x:v>User opens or performs the primary action on Marks Verification.</x:v>
      </x:c>
      <x:c r="G149" s="339" t="str">
        <x:v>Load current workflow state → verify role and allowed transition → validate prerequisites/business rules → execute state change atomically → update dependent data → record audit trail → notify affected users.</x:v>
      </x:c>
      <x:c r="H149" s="339" t="str">
        <x:v>Draft → Scheduled → Marks Entry → Verification → Approved → Published → Revised (controlled)</x:v>
      </x:c>
      <x:c r="I149" s="339" t="str">
        <x:v>Subject % = earned marks ÷ applicable maximum marks × 100; overall score applies configured component weightages and grade bands.</x:v>
      </x:c>
      <x:c r="J149" s="339" t="str">
        <x:v>The authoritative record/state is updated only after all blocking validation succeeds; user receives deterministic confirmation.</x:v>
      </x:c>
      <x:c r="K149" s="339" t="str">
        <x:v>Published results update report cards, student/parent portals and analytics.</x:v>
      </x:c>
      <x:c r="L149" s="339" t="str">
        <x:v>Create/update/status/approval/reversal/export/security-sensitive events are recorded with actor, timestamp, target and reason/context.</x:v>
      </x:c>
    </x:row>
    <x:row r="150">
      <x:c r="A150" s="339" t="str">
        <x:v>BL-149</x:v>
      </x:c>
      <x:c r="B150" s="339" t="str">
        <x:v>SCR-149</x:v>
      </x:c>
      <x:c r="C150" s="339" t="str">
        <x:v>Examinations / Marks / Results</x:v>
      </x:c>
      <x:c r="D150" s="339" t="str">
        <x:v>Grade / Grading Setup</x:v>
      </x:c>
      <x:c r="E150" s="339" t="str">
        <x:v>Authenticated/authorized user; tenant/school context resolved; required master data effective.</x:v>
      </x:c>
      <x:c r="F150" s="339" t="str">
        <x:v>User opens or performs the primary action on Grade / Grading Setup.</x:v>
      </x:c>
      <x:c r="G150" s="339" t="str">
        <x:v>Load valid reference data → validate mandatory and conditional fields → apply duplicate/eligibility/business-rule checks → persist within a transaction → generate identifiers if required → write audit record → trigger configured side effects/notifications.</x:v>
      </x:c>
      <x:c r="H150" s="339" t="str">
        <x:v>Draft → Scheduled → Marks Entry → Verification → Approved → Published → Revised (controlled)</x:v>
      </x:c>
      <x:c r="I150" s="339" t="str">
        <x:v>Subject % = earned marks ÷ applicable maximum marks × 100; overall score applies configured component weightages and grade bands.</x:v>
      </x:c>
      <x:c r="J150" s="339" t="str">
        <x:v>The authoritative record/state is updated only after all blocking validation succeeds; user receives deterministic confirmation.</x:v>
      </x:c>
      <x:c r="K150" s="339" t="str">
        <x:v>Published results update report cards, student/parent portals and analytics.</x:v>
      </x:c>
      <x:c r="L150" s="339" t="str">
        <x:v>Create/update/status/approval/reversal/export/security-sensitive events are recorded with actor, timestamp, target and reason/context.</x:v>
      </x:c>
    </x:row>
    <x:row r="151">
      <x:c r="A151" s="339" t="str">
        <x:v>BL-150</x:v>
      </x:c>
      <x:c r="B151" s="339" t="str">
        <x:v>SCR-150</x:v>
      </x:c>
      <x:c r="C151" s="339" t="str">
        <x:v>Examinations / Marks / Results</x:v>
      </x:c>
      <x:c r="D151" s="339" t="str">
        <x:v>Publish Results</x:v>
      </x:c>
      <x:c r="E151" s="339" t="str">
        <x:v>Authenticated/authorized user; tenant/school context resolved; required master data effective.</x:v>
      </x:c>
      <x:c r="F151" s="339" t="str">
        <x:v>User opens or performs the primary action on Publish Results.</x:v>
      </x:c>
      <x:c r="G151" s="339" t="str">
        <x:v>Resolve and authorize the target record → load related data/history → mask restricted fields → apply edit/state permissions → validate updates → persist with version/audit controls → refresh dependent summaries.</x:v>
      </x:c>
      <x:c r="H151" s="339" t="str">
        <x:v>Draft → Scheduled → Marks Entry → Verification → Approved → Published → Revised (controlled)</x:v>
      </x:c>
      <x:c r="I151" s="339" t="str">
        <x:v>Subject % = earned marks ÷ applicable maximum marks × 100; overall score applies configured component weightages and grade bands.</x:v>
      </x:c>
      <x:c r="J151" s="339" t="str">
        <x:v>The authoritative record/state is updated only after all blocking validation succeeds; user receives deterministic confirmation.</x:v>
      </x:c>
      <x:c r="K151" s="339" t="str">
        <x:v>Published results update report cards, student/parent portals and analytics.</x:v>
      </x:c>
      <x:c r="L151" s="339" t="str">
        <x:v>Create/update/status/approval/reversal/export/security-sensitive events are recorded with actor, timestamp, target and reason/context.</x:v>
      </x:c>
    </x:row>
    <x:row r="152">
      <x:c r="A152" s="339" t="str">
        <x:v>BL-151</x:v>
      </x:c>
      <x:c r="B152" s="339" t="str">
        <x:v>SCR-151</x:v>
      </x:c>
      <x:c r="C152" s="339" t="str">
        <x:v>Examinations / Marks / Results</x:v>
      </x:c>
      <x:c r="D152" s="339" t="str">
        <x:v>Student Result</x:v>
      </x:c>
      <x:c r="E152" s="339" t="str">
        <x:v>Authenticated/authorized user; tenant/school context resolved; required master data effective.</x:v>
      </x:c>
      <x:c r="F152" s="339" t="str">
        <x:v>User opens or performs the primary action on Student Result.</x:v>
      </x:c>
      <x:c r="G152" s="339" t="str">
        <x:v>Resolve and authorize the target record → load related data/history → mask restricted fields → apply edit/state permissions → validate updates → persist with version/audit controls → refresh dependent summaries.</x:v>
      </x:c>
      <x:c r="H152" s="339" t="str">
        <x:v>Draft → Scheduled → Marks Entry → Verification → Approved → Published → Revised (controlled)</x:v>
      </x:c>
      <x:c r="I152" s="339" t="str">
        <x:v>Subject % = earned marks ÷ applicable maximum marks × 100; overall score applies configured component weightages and grade bands.</x:v>
      </x:c>
      <x:c r="J152" s="339" t="str">
        <x:v>The authoritative record/state is updated only after all blocking validation succeeds; user receives deterministic confirmation.</x:v>
      </x:c>
      <x:c r="K152" s="339" t="str">
        <x:v>Published results update report cards, student/parent portals and analytics.</x:v>
      </x:c>
      <x:c r="L152" s="339" t="str">
        <x:v>Create/update/status/approval/reversal/export/security-sensitive events are recorded with actor, timestamp, target and reason/context.</x:v>
      </x:c>
    </x:row>
    <x:row r="153">
      <x:c r="A153" s="339" t="str">
        <x:v>BL-152</x:v>
      </x:c>
      <x:c r="B153" s="339" t="str">
        <x:v>SCR-152</x:v>
      </x:c>
      <x:c r="C153" s="339" t="str">
        <x:v>Examinations / Marks / Results</x:v>
      </x:c>
      <x:c r="D153" s="339" t="str">
        <x:v>Report Card</x:v>
      </x:c>
      <x:c r="E153" s="339" t="str">
        <x:v>Authenticated/authorized user; tenant/school context resolved; required master data effective.</x:v>
      </x:c>
      <x:c r="F153" s="339" t="str">
        <x:v>User opens or performs the primary action on Report Card.</x:v>
      </x:c>
      <x:c r="G153" s="339" t="str">
        <x:v>Resolve and authorize the target record → load related data/history → mask restricted fields → apply edit/state permissions → validate updates → persist with version/audit controls → refresh dependent summaries.</x:v>
      </x:c>
      <x:c r="H153" s="339" t="str">
        <x:v>Draft → Scheduled → Marks Entry → Verification → Approved → Published → Revised (controlled)</x:v>
      </x:c>
      <x:c r="I153" s="339" t="str">
        <x:v>Subject % = earned marks ÷ applicable maximum marks × 100; overall score applies configured component weightages and grade bands.</x:v>
      </x:c>
      <x:c r="J153" s="339" t="str">
        <x:v>The authoritative record/state is updated only after all blocking validation succeeds; user receives deterministic confirmation.</x:v>
      </x:c>
      <x:c r="K153" s="339" t="str">
        <x:v>Published results update report cards, student/parent portals and analytics.</x:v>
      </x:c>
      <x:c r="L153" s="339" t="str">
        <x:v>Create/update/status/approval/reversal/export/security-sensitive events are recorded with actor, timestamp, target and reason/context.</x:v>
      </x:c>
    </x:row>
    <x:row r="154">
      <x:c r="A154" s="339" t="str">
        <x:v>BL-153</x:v>
      </x:c>
      <x:c r="B154" s="339" t="str">
        <x:v>SCR-153</x:v>
      </x:c>
      <x:c r="C154" s="339" t="str">
        <x:v>Examinations / Marks / Results</x:v>
      </x:c>
      <x:c r="D154" s="339" t="str">
        <x:v>Promotion Decision</x:v>
      </x:c>
      <x:c r="E154" s="339" t="str">
        <x:v>Authenticated/authorized user; tenant/school context resolved; required master data effective.</x:v>
      </x:c>
      <x:c r="F154" s="339" t="str">
        <x:v>User opens or performs the primary action on Promotion Decision.</x:v>
      </x:c>
      <x:c r="G154" s="339" t="str">
        <x:v>Load current workflow state → verify role and allowed transition → validate prerequisites/business rules → execute state change atomically → update dependent data → record audit trail → notify affected users.</x:v>
      </x:c>
      <x:c r="H154" s="339" t="str">
        <x:v>Draft → Scheduled → Marks Entry → Verification → Approved → Published → Revised (controlled)</x:v>
      </x:c>
      <x:c r="I154" s="339" t="str">
        <x:v>Subject % = earned marks ÷ applicable maximum marks × 100; overall score applies configured component weightages and grade bands.</x:v>
      </x:c>
      <x:c r="J154" s="339" t="str">
        <x:v>The authoritative record/state is updated only after all blocking validation succeeds; user receives deterministic confirmation.</x:v>
      </x:c>
      <x:c r="K154" s="339" t="str">
        <x:v>Published results update report cards, student/parent portals and analytics.</x:v>
      </x:c>
      <x:c r="L154" s="339" t="str">
        <x:v>Create/update/status/approval/reversal/export/security-sensitive events are recorded with actor, timestamp, target and reason/context.</x:v>
      </x:c>
    </x:row>
    <x:row r="155">
      <x:c r="A155" s="339" t="str">
        <x:v>BL-154</x:v>
      </x:c>
      <x:c r="B155" s="339" t="str">
        <x:v>SCR-154</x:v>
      </x:c>
      <x:c r="C155" s="339" t="str">
        <x:v>Fees &amp; Finance</x:v>
      </x:c>
      <x:c r="D155" s="339" t="str">
        <x:v>Fee Dashboard</x:v>
      </x:c>
      <x:c r="E155" s="339" t="str">
        <x:v>Authenticated/authorized user; tenant/school context resolved; required master data effective.</x:v>
      </x:c>
      <x:c r="F155" s="339" t="str">
        <x:v>User opens or performs the primary action on Fee Dashboard.</x:v>
      </x:c>
      <x:c r="G155" s="339" t="str">
        <x:v>Resolve tenant/school/role context → apply date/academic filters → query authorized aggregates → compute/reconcile KPIs → highlight alerts/exceptions → expose permitted drill-down actions.</x:v>
      </x:c>
      <x:c r="H155" s="339" t="str">
        <x:v>Draft / Posted → Due → Partially Paid → Paid / Overdue → Reversed / Refunded (controlled)</x:v>
      </x:c>
      <x:c r="I155" s="339" t="str">
        <x:v>Outstanding = posted charges + applicable fines - discounts/waivers/credits - settled payments ± reversals/adjustments.</x:v>
      </x:c>
      <x:c r="J155" s="339" t="str">
        <x:v>The authoritative record/state is updated only after all blocking validation succeeds; user receives deterministic confirmation.</x:v>
      </x:c>
      <x:c r="K155" s="339" t="str">
        <x:v>Posted transactions update student ledger, receipts, dues, finance reports and parent portal.</x:v>
      </x:c>
      <x:c r="L155" s="339" t="str">
        <x:v>Create/update/status/approval/reversal/export/security-sensitive events are recorded with actor, timestamp, target and reason/context.</x:v>
      </x:c>
    </x:row>
    <x:row r="156">
      <x:c r="A156" s="339" t="str">
        <x:v>BL-155</x:v>
      </x:c>
      <x:c r="B156" s="339" t="str">
        <x:v>SCR-155</x:v>
      </x:c>
      <x:c r="C156" s="339" t="str">
        <x:v>Fees &amp; Finance</x:v>
      </x:c>
      <x:c r="D156" s="339" t="str">
        <x:v>Fee Structure</x:v>
      </x:c>
      <x:c r="E156" s="339" t="str">
        <x:v>Authenticated/authorized user; tenant/school context resolved; required master data effective.</x:v>
      </x:c>
      <x:c r="F156" s="339" t="str">
        <x:v>User opens or performs the primary action on Fee Structure.</x:v>
      </x:c>
      <x:c r="G156" s="339" t="str">
        <x:v>Load current workflow state → verify role and allowed transition → validate prerequisites/business rules → execute state change atomically → update dependent data → record audit trail → notify affected users.</x:v>
      </x:c>
      <x:c r="H156" s="339" t="str">
        <x:v>Draft / Posted → Due → Partially Paid → Paid / Overdue → Reversed / Refunded (controlled)</x:v>
      </x:c>
      <x:c r="I156" s="339" t="str">
        <x:v>Outstanding = posted charges + applicable fines - discounts/waivers/credits - settled payments ± reversals/adjustments.</x:v>
      </x:c>
      <x:c r="J156" s="339" t="str">
        <x:v>The authoritative record/state is updated only after all blocking validation succeeds; user receives deterministic confirmation.</x:v>
      </x:c>
      <x:c r="K156" s="339" t="str">
        <x:v>Posted transactions update student ledger, receipts, dues, finance reports and parent portal.</x:v>
      </x:c>
      <x:c r="L156" s="339" t="str">
        <x:v>Create/update/status/approval/reversal/export/security-sensitive events are recorded with actor, timestamp, target and reason/context.</x:v>
      </x:c>
    </x:row>
    <x:row r="157">
      <x:c r="A157" s="339" t="str">
        <x:v>BL-156</x:v>
      </x:c>
      <x:c r="B157" s="339" t="str">
        <x:v>SCR-156</x:v>
      </x:c>
      <x:c r="C157" s="339" t="str">
        <x:v>Fees &amp; Finance</x:v>
      </x:c>
      <x:c r="D157" s="339" t="str">
        <x:v>Create / Edit Fee Structure</x:v>
      </x:c>
      <x:c r="E157" s="339" t="str">
        <x:v>Authenticated/authorized user; tenant/school context resolved; required master data effective.</x:v>
      </x:c>
      <x:c r="F157" s="339" t="str">
        <x:v>User opens or performs the primary action on Create / Edit Fee Structure.</x:v>
      </x:c>
      <x:c r="G157" s="339" t="str">
        <x:v>Load valid reference data → validate mandatory and conditional fields → apply duplicate/eligibility/business-rule checks → persist within a transaction → generate identifiers if required → write audit record → trigger configured side effects/notifications.</x:v>
      </x:c>
      <x:c r="H157" s="339" t="str">
        <x:v>Draft / Posted → Due → Partially Paid → Paid / Overdue → Reversed / Refunded (controlled)</x:v>
      </x:c>
      <x:c r="I157" s="339" t="str">
        <x:v>Outstanding = posted charges + applicable fines - discounts/waivers/credits - settled payments ± reversals/adjustments.</x:v>
      </x:c>
      <x:c r="J157" s="339" t="str">
        <x:v>The authoritative record/state is updated only after all blocking validation succeeds; user receives deterministic confirmation.</x:v>
      </x:c>
      <x:c r="K157" s="339" t="str">
        <x:v>Posted transactions update student ledger, receipts, dues, finance reports and parent portal.</x:v>
      </x:c>
      <x:c r="L157" s="339" t="str">
        <x:v>Create/update/status/approval/reversal/export/security-sensitive events are recorded with actor, timestamp, target and reason/context.</x:v>
      </x:c>
    </x:row>
    <x:row r="158">
      <x:c r="A158" s="339" t="str">
        <x:v>BL-157</x:v>
      </x:c>
      <x:c r="B158" s="339" t="str">
        <x:v>SCR-157</x:v>
      </x:c>
      <x:c r="C158" s="339" t="str">
        <x:v>Fees &amp; Finance</x:v>
      </x:c>
      <x:c r="D158" s="339" t="str">
        <x:v>Student Fee Assignment</x:v>
      </x:c>
      <x:c r="E158" s="339" t="str">
        <x:v>Authenticated/authorized user; tenant/school context resolved; required master data effective.</x:v>
      </x:c>
      <x:c r="F158" s="339" t="str">
        <x:v>User opens or performs the primary action on Student Fee Assignment.</x:v>
      </x:c>
      <x:c r="G158" s="339" t="str">
        <x:v>Load current workflow state → verify role and allowed transition → validate prerequisites/business rules → execute state change atomically → update dependent data → record audit trail → notify affected users.</x:v>
      </x:c>
      <x:c r="H158" s="339" t="str">
        <x:v>Draft / Posted → Due → Partially Paid → Paid / Overdue → Reversed / Refunded (controlled)</x:v>
      </x:c>
      <x:c r="I158" s="339" t="str">
        <x:v>Outstanding = posted charges + applicable fines - discounts/waivers/credits - settled payments ± reversals/adjustments.</x:v>
      </x:c>
      <x:c r="J158" s="339" t="str">
        <x:v>The authoritative record/state is updated only after all blocking validation succeeds; user receives deterministic confirmation.</x:v>
      </x:c>
      <x:c r="K158" s="339" t="str">
        <x:v>Posted transactions update student ledger, receipts, dues, finance reports and parent portal.</x:v>
      </x:c>
      <x:c r="L158" s="339" t="str">
        <x:v>Create/update/status/approval/reversal/export/security-sensitive events are recorded with actor, timestamp, target and reason/context.</x:v>
      </x:c>
    </x:row>
    <x:row r="159">
      <x:c r="A159" s="339" t="str">
        <x:v>BL-158</x:v>
      </x:c>
      <x:c r="B159" s="339" t="str">
        <x:v>SCR-158</x:v>
      </x:c>
      <x:c r="C159" s="339" t="str">
        <x:v>Fees &amp; Finance</x:v>
      </x:c>
      <x:c r="D159" s="339" t="str">
        <x:v>Fee Collection</x:v>
      </x:c>
      <x:c r="E159" s="339" t="str">
        <x:v>Authenticated/authorized user; tenant/school context resolved; required master data effective.</x:v>
      </x:c>
      <x:c r="F159" s="339" t="str">
        <x:v>User opens or performs the primary action on Fee Collection.</x:v>
      </x:c>
      <x:c r="G159" s="339" t="str">
        <x:v>Load valid reference data → validate mandatory and conditional fields → apply duplicate/eligibility/business-rule checks → persist within a transaction → generate identifiers if required → write audit record → trigger configured side effects/notifications.</x:v>
      </x:c>
      <x:c r="H159" s="339" t="str">
        <x:v>Draft / Posted → Due → Partially Paid → Paid / Overdue → Reversed / Refunded (controlled)</x:v>
      </x:c>
      <x:c r="I159" s="339" t="str">
        <x:v>Outstanding = posted charges + applicable fines - discounts/waivers/credits - settled payments ± reversals/adjustments.</x:v>
      </x:c>
      <x:c r="J159" s="339" t="str">
        <x:v>The authoritative record/state is updated only after all blocking validation succeeds; user receives deterministic confirmation.</x:v>
      </x:c>
      <x:c r="K159" s="339" t="str">
        <x:v>Posted transactions update student ledger, receipts, dues, finance reports and parent portal.</x:v>
      </x:c>
      <x:c r="L159" s="339" t="str">
        <x:v>Create/update/status/approval/reversal/export/security-sensitive events are recorded with actor, timestamp, target and reason/context.</x:v>
      </x:c>
    </x:row>
    <x:row r="160">
      <x:c r="A160" s="339" t="str">
        <x:v>BL-159</x:v>
      </x:c>
      <x:c r="B160" s="339" t="str">
        <x:v>SCR-159</x:v>
      </x:c>
      <x:c r="C160" s="339" t="str">
        <x:v>Fees &amp; Finance</x:v>
      </x:c>
      <x:c r="D160" s="339" t="str">
        <x:v>Online Payment</x:v>
      </x:c>
      <x:c r="E160" s="339" t="str">
        <x:v>Authenticated/authorized user; tenant/school context resolved; required master data effective.</x:v>
      </x:c>
      <x:c r="F160" s="339" t="str">
        <x:v>User opens or performs the primary action on Online Payment.</x:v>
      </x:c>
      <x:c r="G160" s="339" t="str">
        <x:v>Load current workflow state → verify role and allowed transition → validate prerequisites/business rules → execute state change atomically → update dependent data → record audit trail → notify affected users.</x:v>
      </x:c>
      <x:c r="H160" s="339" t="str">
        <x:v>Draft / Posted → Due → Partially Paid → Paid / Overdue → Reversed / Refunded (controlled)</x:v>
      </x:c>
      <x:c r="I160" s="339" t="str">
        <x:v>Outstanding = posted charges + applicable fines - discounts/waivers/credits - settled payments ± reversals/adjustments.</x:v>
      </x:c>
      <x:c r="J160" s="339" t="str">
        <x:v>The authoritative record/state is updated only after all blocking validation succeeds; user receives deterministic confirmation.</x:v>
      </x:c>
      <x:c r="K160" s="339" t="str">
        <x:v>Posted transactions update student ledger, receipts, dues, finance reports and parent portal.</x:v>
      </x:c>
      <x:c r="L160" s="339" t="str">
        <x:v>Create/update/status/approval/reversal/export/security-sensitive events are recorded with actor, timestamp, target and reason/context.</x:v>
      </x:c>
    </x:row>
    <x:row r="161">
      <x:c r="A161" s="339" t="str">
        <x:v>BL-160</x:v>
      </x:c>
      <x:c r="B161" s="339" t="str">
        <x:v>SCR-160</x:v>
      </x:c>
      <x:c r="C161" s="339" t="str">
        <x:v>Fees &amp; Finance</x:v>
      </x:c>
      <x:c r="D161" s="339" t="str">
        <x:v>Payment Receipt</x:v>
      </x:c>
      <x:c r="E161" s="339" t="str">
        <x:v>Authenticated/authorized user; tenant/school context resolved; required master data effective.</x:v>
      </x:c>
      <x:c r="F161" s="339" t="str">
        <x:v>User opens or performs the primary action on Payment Receipt.</x:v>
      </x:c>
      <x:c r="G161" s="339" t="str">
        <x:v>Resolve and authorize the target record → load related data/history → mask restricted fields → apply edit/state permissions → validate updates → persist with version/audit controls → refresh dependent summaries.</x:v>
      </x:c>
      <x:c r="H161" s="339" t="str">
        <x:v>Draft / Posted → Due → Partially Paid → Paid / Overdue → Reversed / Refunded (controlled)</x:v>
      </x:c>
      <x:c r="I161" s="339" t="str">
        <x:v>Outstanding = posted charges + applicable fines - discounts/waivers/credits - settled payments ± reversals/adjustments.</x:v>
      </x:c>
      <x:c r="J161" s="339" t="str">
        <x:v>The authoritative record/state is updated only after all blocking validation succeeds; user receives deterministic confirmation.</x:v>
      </x:c>
      <x:c r="K161" s="339" t="str">
        <x:v>Posted transactions update student ledger, receipts, dues, finance reports and parent portal.</x:v>
      </x:c>
      <x:c r="L161" s="339" t="str">
        <x:v>Create/update/status/approval/reversal/export/security-sensitive events are recorded with actor, timestamp, target and reason/context.</x:v>
      </x:c>
    </x:row>
    <x:row r="162">
      <x:c r="A162" s="339" t="str">
        <x:v>BL-161</x:v>
      </x:c>
      <x:c r="B162" s="339" t="str">
        <x:v>SCR-161</x:v>
      </x:c>
      <x:c r="C162" s="339" t="str">
        <x:v>Fees &amp; Finance</x:v>
      </x:c>
      <x:c r="D162" s="339" t="str">
        <x:v>Student Ledger</x:v>
      </x:c>
      <x:c r="E162" s="339" t="str">
        <x:v>Authenticated/authorized user; tenant/school context resolved; required master data effective.</x:v>
      </x:c>
      <x:c r="F162" s="339" t="str">
        <x:v>User opens or performs the primary action on Student Ledger.</x:v>
      </x:c>
      <x:c r="G162" s="339" t="str">
        <x:v>Resolve and authorize the target record → load related data/history → mask restricted fields → apply edit/state permissions → validate updates → persist with version/audit controls → refresh dependent summaries.</x:v>
      </x:c>
      <x:c r="H162" s="339" t="str">
        <x:v>Draft / Posted → Due → Partially Paid → Paid / Overdue → Reversed / Refunded (controlled)</x:v>
      </x:c>
      <x:c r="I162" s="339" t="str">
        <x:v>Outstanding = posted charges + applicable fines - discounts/waivers/credits - settled payments ± reversals/adjustments.</x:v>
      </x:c>
      <x:c r="J162" s="339" t="str">
        <x:v>The authoritative record/state is updated only after all blocking validation succeeds; user receives deterministic confirmation.</x:v>
      </x:c>
      <x:c r="K162" s="339" t="str">
        <x:v>Posted transactions update student ledger, receipts, dues, finance reports and parent portal.</x:v>
      </x:c>
      <x:c r="L162" s="339" t="str">
        <x:v>Create/update/status/approval/reversal/export/security-sensitive events are recorded with actor, timestamp, target and reason/context.</x:v>
      </x:c>
    </x:row>
    <x:row r="163">
      <x:c r="A163" s="339" t="str">
        <x:v>BL-162</x:v>
      </x:c>
      <x:c r="B163" s="339" t="str">
        <x:v>SCR-162</x:v>
      </x:c>
      <x:c r="C163" s="339" t="str">
        <x:v>Fees &amp; Finance</x:v>
      </x:c>
      <x:c r="D163" s="339" t="str">
        <x:v>Outstanding Dues</x:v>
      </x:c>
      <x:c r="E163" s="339" t="str">
        <x:v>Authenticated/authorized user; tenant/school context resolved; required master data effective.</x:v>
      </x:c>
      <x:c r="F163" s="339" t="str">
        <x:v>User opens or performs the primary action on Outstanding Dues.</x:v>
      </x:c>
      <x:c r="G163" s="339" t="str">
        <x:v>Load current workflow state → verify role and allowed transition → validate prerequisites/business rules → execute state change atomically → update dependent data → record audit trail → notify affected users.</x:v>
      </x:c>
      <x:c r="H163" s="339" t="str">
        <x:v>Draft / Posted → Due → Partially Paid → Paid / Overdue → Reversed / Refunded (controlled)</x:v>
      </x:c>
      <x:c r="I163" s="339" t="str">
        <x:v>Outstanding = posted charges + applicable fines - discounts/waivers/credits - settled payments ± reversals/adjustments.</x:v>
      </x:c>
      <x:c r="J163" s="339" t="str">
        <x:v>The authoritative record/state is updated only after all blocking validation succeeds; user receives deterministic confirmation.</x:v>
      </x:c>
      <x:c r="K163" s="339" t="str">
        <x:v>Posted transactions update student ledger, receipts, dues, finance reports and parent portal.</x:v>
      </x:c>
      <x:c r="L163" s="339" t="str">
        <x:v>Create/update/status/approval/reversal/export/security-sensitive events are recorded with actor, timestamp, target and reason/context.</x:v>
      </x:c>
    </x:row>
    <x:row r="164">
      <x:c r="A164" s="339" t="str">
        <x:v>BL-163</x:v>
      </x:c>
      <x:c r="B164" s="339" t="str">
        <x:v>SCR-163</x:v>
      </x:c>
      <x:c r="C164" s="339" t="str">
        <x:v>Fees &amp; Finance</x:v>
      </x:c>
      <x:c r="D164" s="339" t="str">
        <x:v>Concession / Scholarship</x:v>
      </x:c>
      <x:c r="E164" s="339" t="str">
        <x:v>Authenticated/authorized user; tenant/school context resolved; required master data effective.</x:v>
      </x:c>
      <x:c r="F164" s="339" t="str">
        <x:v>User opens or performs the primary action on Concession / Scholarship.</x:v>
      </x:c>
      <x:c r="G164" s="339" t="str">
        <x:v>Load current workflow state → verify role and allowed transition → validate prerequisites/business rules → execute state change atomically → update dependent data → record audit trail → notify affected users.</x:v>
      </x:c>
      <x:c r="H164" s="339" t="str">
        <x:v>Draft / Posted → Due → Partially Paid → Paid / Overdue → Reversed / Refunded (controlled)</x:v>
      </x:c>
      <x:c r="I164" s="339" t="str">
        <x:v>Outstanding = posted charges + applicable fines - discounts/waivers/credits - settled payments ± reversals/adjustments.</x:v>
      </x:c>
      <x:c r="J164" s="339" t="str">
        <x:v>The authoritative record/state is updated only after all blocking validation succeeds; user receives deterministic confirmation.</x:v>
      </x:c>
      <x:c r="K164" s="339" t="str">
        <x:v>Posted transactions update student ledger, receipts, dues, finance reports and parent portal.</x:v>
      </x:c>
      <x:c r="L164" s="339" t="str">
        <x:v>Create/update/status/approval/reversal/export/security-sensitive events are recorded with actor, timestamp, target and reason/context.</x:v>
      </x:c>
    </x:row>
    <x:row r="165">
      <x:c r="A165" s="339" t="str">
        <x:v>BL-164</x:v>
      </x:c>
      <x:c r="B165" s="339" t="str">
        <x:v>SCR-164</x:v>
      </x:c>
      <x:c r="C165" s="339" t="str">
        <x:v>Fees &amp; Finance</x:v>
      </x:c>
      <x:c r="D165" s="339" t="str">
        <x:v>Fine Rules</x:v>
      </x:c>
      <x:c r="E165" s="339" t="str">
        <x:v>Authenticated/authorized user; tenant/school context resolved; required master data effective.</x:v>
      </x:c>
      <x:c r="F165" s="339" t="str">
        <x:v>User opens or performs the primary action on Fine Rules.</x:v>
      </x:c>
      <x:c r="G165" s="339" t="str">
        <x:v>Load current workflow state → verify role and allowed transition → validate prerequisites/business rules → execute state change atomically → update dependent data → record audit trail → notify affected users.</x:v>
      </x:c>
      <x:c r="H165" s="339" t="str">
        <x:v>Draft / Posted → Due → Partially Paid → Paid / Overdue → Reversed / Refunded (controlled)</x:v>
      </x:c>
      <x:c r="I165" s="339" t="str">
        <x:v>Outstanding = posted charges + applicable fines - discounts/waivers/credits - settled payments ± reversals/adjustments.</x:v>
      </x:c>
      <x:c r="J165" s="339" t="str">
        <x:v>The authoritative record/state is updated only after all blocking validation succeeds; user receives deterministic confirmation.</x:v>
      </x:c>
      <x:c r="K165" s="339" t="str">
        <x:v>Posted transactions update student ledger, receipts, dues, finance reports and parent portal.</x:v>
      </x:c>
      <x:c r="L165" s="339" t="str">
        <x:v>Create/update/status/approval/reversal/export/security-sensitive events are recorded with actor, timestamp, target and reason/context.</x:v>
      </x:c>
    </x:row>
    <x:row r="166">
      <x:c r="A166" s="339" t="str">
        <x:v>BL-165</x:v>
      </x:c>
      <x:c r="B166" s="339" t="str">
        <x:v>SCR-165</x:v>
      </x:c>
      <x:c r="C166" s="339" t="str">
        <x:v>Fees &amp; Finance</x:v>
      </x:c>
      <x:c r="D166" s="339" t="str">
        <x:v>Refunds</x:v>
      </x:c>
      <x:c r="E166" s="339" t="str">
        <x:v>Authenticated/authorized user; tenant/school context resolved; required master data effective.</x:v>
      </x:c>
      <x:c r="F166" s="339" t="str">
        <x:v>User opens or performs the primary action on Refunds.</x:v>
      </x:c>
      <x:c r="G166" s="339" t="str">
        <x:v>Load current workflow state → verify role and allowed transition → validate prerequisites/business rules → execute state change atomically → update dependent data → record audit trail → notify affected users.</x:v>
      </x:c>
      <x:c r="H166" s="339" t="str">
        <x:v>Draft / Posted → Due → Partially Paid → Paid / Overdue → Reversed / Refunded (controlled)</x:v>
      </x:c>
      <x:c r="I166" s="339" t="str">
        <x:v>Outstanding = posted charges + applicable fines - discounts/waivers/credits - settled payments ± reversals/adjustments.</x:v>
      </x:c>
      <x:c r="J166" s="339" t="str">
        <x:v>The authoritative record/state is updated only after all blocking validation succeeds; user receives deterministic confirmation.</x:v>
      </x:c>
      <x:c r="K166" s="339" t="str">
        <x:v>Posted transactions update student ledger, receipts, dues, finance reports and parent portal.</x:v>
      </x:c>
      <x:c r="L166" s="339" t="str">
        <x:v>Create/update/status/approval/reversal/export/security-sensitive events are recorded with actor, timestamp, target and reason/context.</x:v>
      </x:c>
    </x:row>
    <x:row r="167">
      <x:c r="A167" s="339" t="str">
        <x:v>BL-166</x:v>
      </x:c>
      <x:c r="B167" s="339" t="str">
        <x:v>SCR-166</x:v>
      </x:c>
      <x:c r="C167" s="339" t="str">
        <x:v>Fees &amp; Finance</x:v>
      </x:c>
      <x:c r="D167" s="339" t="str">
        <x:v>Income</x:v>
      </x:c>
      <x:c r="E167" s="339" t="str">
        <x:v>Authenticated/authorized user; tenant/school context resolved; required master data effective.</x:v>
      </x:c>
      <x:c r="F167" s="339" t="str">
        <x:v>User opens or performs the primary action on Income.</x:v>
      </x:c>
      <x:c r="G167" s="339" t="str">
        <x:v>Load current workflow state → verify role and allowed transition → validate prerequisites/business rules → execute state change atomically → update dependent data → record audit trail → notify affected users.</x:v>
      </x:c>
      <x:c r="H167" s="339" t="str">
        <x:v>Draft / Posted → Due → Partially Paid → Paid / Overdue → Reversed / Refunded (controlled)</x:v>
      </x:c>
      <x:c r="I167" s="339" t="str">
        <x:v>Outstanding = posted charges + applicable fines - discounts/waivers/credits - settled payments ± reversals/adjustments.</x:v>
      </x:c>
      <x:c r="J167" s="339" t="str">
        <x:v>The authoritative record/state is updated only after all blocking validation succeeds; user receives deterministic confirmation.</x:v>
      </x:c>
      <x:c r="K167" s="339" t="str">
        <x:v>Posted transactions update student ledger, receipts, dues, finance reports and parent portal.</x:v>
      </x:c>
      <x:c r="L167" s="339" t="str">
        <x:v>Create/update/status/approval/reversal/export/security-sensitive events are recorded with actor, timestamp, target and reason/context.</x:v>
      </x:c>
    </x:row>
    <x:row r="168">
      <x:c r="A168" s="339" t="str">
        <x:v>BL-167</x:v>
      </x:c>
      <x:c r="B168" s="339" t="str">
        <x:v>SCR-167</x:v>
      </x:c>
      <x:c r="C168" s="339" t="str">
        <x:v>Fees &amp; Finance</x:v>
      </x:c>
      <x:c r="D168" s="339" t="str">
        <x:v>Expenses</x:v>
      </x:c>
      <x:c r="E168" s="339" t="str">
        <x:v>Authenticated/authorized user; tenant/school context resolved; required master data effective.</x:v>
      </x:c>
      <x:c r="F168" s="339" t="str">
        <x:v>User opens or performs the primary action on Expenses.</x:v>
      </x:c>
      <x:c r="G168" s="339" t="str">
        <x:v>Load current workflow state → verify role and allowed transition → validate prerequisites/business rules → execute state change atomically → update dependent data → record audit trail → notify affected users.</x:v>
      </x:c>
      <x:c r="H168" s="339" t="str">
        <x:v>Draft / Posted → Due → Partially Paid → Paid / Overdue → Reversed / Refunded (controlled)</x:v>
      </x:c>
      <x:c r="I168" s="339" t="str">
        <x:v>Outstanding = posted charges + applicable fines - discounts/waivers/credits - settled payments ± reversals/adjustments.</x:v>
      </x:c>
      <x:c r="J168" s="339" t="str">
        <x:v>The authoritative record/state is updated only after all blocking validation succeeds; user receives deterministic confirmation.</x:v>
      </x:c>
      <x:c r="K168" s="339" t="str">
        <x:v>Posted transactions update student ledger, receipts, dues, finance reports and parent portal.</x:v>
      </x:c>
      <x:c r="L168" s="339" t="str">
        <x:v>Create/update/status/approval/reversal/export/security-sensitive events are recorded with actor, timestamp, target and reason/context.</x:v>
      </x:c>
    </x:row>
    <x:row r="169">
      <x:c r="A169" s="339" t="str">
        <x:v>BL-168</x:v>
      </x:c>
      <x:c r="B169" s="339" t="str">
        <x:v>SCR-168</x:v>
      </x:c>
      <x:c r="C169" s="339" t="str">
        <x:v>Fees &amp; Finance</x:v>
      </x:c>
      <x:c r="D169" s="339" t="str">
        <x:v>Vendor Management</x:v>
      </x:c>
      <x:c r="E169" s="339" t="str">
        <x:v>Authenticated/authorized user; tenant/school context resolved; required master data effective.</x:v>
      </x:c>
      <x:c r="F169" s="339" t="str">
        <x:v>User opens or performs the primary action on Vendor Management.</x:v>
      </x:c>
      <x:c r="G169" s="339" t="str">
        <x:v>Load current workflow state → verify role and allowed transition → validate prerequisites/business rules → execute state change atomically → update dependent data → record audit trail → notify affected users.</x:v>
      </x:c>
      <x:c r="H169" s="339" t="str">
        <x:v>Draft / Posted → Due → Partially Paid → Paid / Overdue → Reversed / Refunded (controlled)</x:v>
      </x:c>
      <x:c r="I169" s="339" t="str">
        <x:v>Outstanding = posted charges + applicable fines - discounts/waivers/credits - settled payments ± reversals/adjustments.</x:v>
      </x:c>
      <x:c r="J169" s="339" t="str">
        <x:v>The authoritative record/state is updated only after all blocking validation succeeds; user receives deterministic confirmation.</x:v>
      </x:c>
      <x:c r="K169" s="339" t="str">
        <x:v>Posted transactions update student ledger, receipts, dues, finance reports and parent portal.</x:v>
      </x:c>
      <x:c r="L169" s="339" t="str">
        <x:v>Create/update/status/approval/reversal/export/security-sensitive events are recorded with actor, timestamp, target and reason/context.</x:v>
      </x:c>
    </x:row>
    <x:row r="170">
      <x:c r="A170" s="339" t="str">
        <x:v>BL-169</x:v>
      </x:c>
      <x:c r="B170" s="339" t="str">
        <x:v>SCR-169</x:v>
      </x:c>
      <x:c r="C170" s="339" t="str">
        <x:v>Fees &amp; Finance</x:v>
      </x:c>
      <x:c r="D170" s="339" t="str">
        <x:v>Purchase / Payment</x:v>
      </x:c>
      <x:c r="E170" s="339" t="str">
        <x:v>Authenticated/authorized user; tenant/school context resolved; required master data effective.</x:v>
      </x:c>
      <x:c r="F170" s="339" t="str">
        <x:v>User opens or performs the primary action on Purchase / Payment.</x:v>
      </x:c>
      <x:c r="G170" s="339" t="str">
        <x:v>Load current workflow state → verify role and allowed transition → validate prerequisites/business rules → execute state change atomically → update dependent data → record audit trail → notify affected users.</x:v>
      </x:c>
      <x:c r="H170" s="339" t="str">
        <x:v>Draft / Posted → Due → Partially Paid → Paid / Overdue → Reversed / Refunded (controlled)</x:v>
      </x:c>
      <x:c r="I170" s="339" t="str">
        <x:v>Outstanding = posted charges + applicable fines - discounts/waivers/credits - settled payments ± reversals/adjustments.</x:v>
      </x:c>
      <x:c r="J170" s="339" t="str">
        <x:v>The authoritative record/state is updated only after all blocking validation succeeds; user receives deterministic confirmation.</x:v>
      </x:c>
      <x:c r="K170" s="339" t="str">
        <x:v>Posted transactions update student ledger, receipts, dues, finance reports and parent portal.</x:v>
      </x:c>
      <x:c r="L170" s="339" t="str">
        <x:v>Create/update/status/approval/reversal/export/security-sensitive events are recorded with actor, timestamp, target and reason/context.</x:v>
      </x:c>
    </x:row>
    <x:row r="171">
      <x:c r="A171" s="339" t="str">
        <x:v>BL-170</x:v>
      </x:c>
      <x:c r="B171" s="339" t="str">
        <x:v>SCR-170</x:v>
      </x:c>
      <x:c r="C171" s="339" t="str">
        <x:v>Fees &amp; Finance</x:v>
      </x:c>
      <x:c r="D171" s="339" t="str">
        <x:v>Cash &amp; Bank Book</x:v>
      </x:c>
      <x:c r="E171" s="339" t="str">
        <x:v>Authenticated/authorized user; tenant/school context resolved; required master data effective.</x:v>
      </x:c>
      <x:c r="F171" s="339" t="str">
        <x:v>User opens or performs the primary action on Cash &amp; Bank Book.</x:v>
      </x:c>
      <x:c r="G171" s="339" t="str">
        <x:v>Load current workflow state → verify role and allowed transition → validate prerequisites/business rules → execute state change atomically → update dependent data → record audit trail → notify affected users.</x:v>
      </x:c>
      <x:c r="H171" s="339" t="str">
        <x:v>Draft / Posted → Due → Partially Paid → Paid / Overdue → Reversed / Refunded (controlled)</x:v>
      </x:c>
      <x:c r="I171" s="339" t="str">
        <x:v>Outstanding = posted charges + applicable fines - discounts/waivers/credits - settled payments ± reversals/adjustments.</x:v>
      </x:c>
      <x:c r="J171" s="339" t="str">
        <x:v>The authoritative record/state is updated only after all blocking validation succeeds; user receives deterministic confirmation.</x:v>
      </x:c>
      <x:c r="K171" s="339" t="str">
        <x:v>Posted transactions update student ledger, receipts, dues, finance reports and parent portal.</x:v>
      </x:c>
      <x:c r="L171" s="339" t="str">
        <x:v>Create/update/status/approval/reversal/export/security-sensitive events are recorded with actor, timestamp, target and reason/context.</x:v>
      </x:c>
    </x:row>
    <x:row r="172">
      <x:c r="A172" s="339" t="str">
        <x:v>BL-171</x:v>
      </x:c>
      <x:c r="B172" s="339" t="str">
        <x:v>SCR-171</x:v>
      </x:c>
      <x:c r="C172" s="339" t="str">
        <x:v>Fees &amp; Finance</x:v>
      </x:c>
      <x:c r="D172" s="339" t="str">
        <x:v>Finance Reports</x:v>
      </x:c>
      <x:c r="E172" s="339" t="str">
        <x:v>Authenticated/authorized user; tenant/school context resolved; required master data effective.</x:v>
      </x:c>
      <x:c r="F172" s="339" t="str">
        <x:v>User opens or performs the primary action on Finance Reports.</x:v>
      </x:c>
      <x:c r="G172" s="339" t="str">
        <x:v>Validate filter context → resolve row-level scope → query authoritative transactions → apply approved formulas/grouping → reconcile totals → render table/chart → export only permitted data.</x:v>
      </x:c>
      <x:c r="H172" s="339" t="str">
        <x:v>Draft / Posted → Due → Partially Paid → Paid / Overdue → Reversed / Refunded (controlled)</x:v>
      </x:c>
      <x:c r="I172" s="339" t="str">
        <x:v>Outstanding = posted charges + applicable fines - discounts/waivers/credits - settled payments ± reversals/adjustments.</x:v>
      </x:c>
      <x:c r="J172" s="339" t="str">
        <x:v>The authoritative record/state is updated only after all blocking validation succeeds; user receives deterministic confirmation.</x:v>
      </x:c>
      <x:c r="K172" s="339" t="str">
        <x:v>Posted transactions update student ledger, receipts, dues, finance reports and parent portal.</x:v>
      </x:c>
      <x:c r="L172" s="339" t="str">
        <x:v>Create/update/status/approval/reversal/export/security-sensitive events are recorded with actor, timestamp, target and reason/context.</x:v>
      </x:c>
    </x:row>
    <x:row r="173">
      <x:c r="A173" s="339" t="str">
        <x:v>BL-172</x:v>
      </x:c>
      <x:c r="B173" s="339" t="str">
        <x:v>SCR-172</x:v>
      </x:c>
      <x:c r="C173" s="339" t="str">
        <x:v>HR / Leave / Payroll</x:v>
      </x:c>
      <x:c r="D173" s="339" t="str">
        <x:v>Recruitment Requisitions</x:v>
      </x:c>
      <x:c r="E173" s="339" t="str">
        <x:v>Authenticated/authorized user; tenant/school context resolved; required master data effective.</x:v>
      </x:c>
      <x:c r="F173" s="339" t="str">
        <x:v>User opens or performs the primary action on Recruitment Requisitions.</x:v>
      </x:c>
      <x:c r="G173" s="339" t="str">
        <x:v>Load current workflow state → verify role and allowed transition → validate prerequisites/business rules → execute state change atomically → update dependent data → record audit trail → notify affected users.</x:v>
      </x:c>
      <x:c r="H173" s="339" t="str">
        <x:v>Draft → Active → Completed / Closed</x:v>
      </x:c>
      <x:c r="I173" s="339" t="str">
        <x:v>Leave balance = opening/accrued leave - approved consumed leave ± authorized adjustments.</x:v>
      </x:c>
      <x:c r="J173" s="339" t="str">
        <x:v>The authoritative record/state is updated only after all blocking validation succeeds; user receives deterministic confirmation.</x:v>
      </x:c>
      <x:c r="K173" s="339" t="str">
        <x:v>Approved leave/attendance adjustments affect payroll and staff availability.</x:v>
      </x:c>
      <x:c r="L173" s="339" t="str">
        <x:v>Create/update/status/approval/reversal/export/security-sensitive events are recorded with actor, timestamp, target and reason/context.</x:v>
      </x:c>
    </x:row>
    <x:row r="174">
      <x:c r="A174" s="339" t="str">
        <x:v>BL-173</x:v>
      </x:c>
      <x:c r="B174" s="339" t="str">
        <x:v>SCR-173</x:v>
      </x:c>
      <x:c r="C174" s="339" t="str">
        <x:v>HR / Leave / Payroll</x:v>
      </x:c>
      <x:c r="D174" s="339" t="str">
        <x:v>Job Openings</x:v>
      </x:c>
      <x:c r="E174" s="339" t="str">
        <x:v>Authenticated/authorized user; tenant/school context resolved; required master data effective.</x:v>
      </x:c>
      <x:c r="F174" s="339" t="str">
        <x:v>User opens or performs the primary action on Job Openings.</x:v>
      </x:c>
      <x:c r="G174" s="339" t="str">
        <x:v>Resolve authorized data scope → validate search/filter/sort/page parameters → query indexed records → apply row/field masking → return paged results → expose only state- and role-permitted actions.</x:v>
      </x:c>
      <x:c r="H174" s="339" t="str">
        <x:v>Draft → Active → Completed / Closed</x:v>
      </x:c>
      <x:c r="I174" s="339" t="str">
        <x:v>Leave balance = opening/accrued leave - approved consumed leave ± authorized adjustments.</x:v>
      </x:c>
      <x:c r="J174" s="339" t="str">
        <x:v>The authoritative record/state is updated only after all blocking validation succeeds; user receives deterministic confirmation.</x:v>
      </x:c>
      <x:c r="K174" s="339" t="str">
        <x:v>Approved leave/attendance adjustments affect payroll and staff availability.</x:v>
      </x:c>
      <x:c r="L174" s="339" t="str">
        <x:v>Create/update/status/approval/reversal/export/security-sensitive events are recorded with actor, timestamp, target and reason/context.</x:v>
      </x:c>
    </x:row>
    <x:row r="175">
      <x:c r="A175" s="339" t="str">
        <x:v>BL-174</x:v>
      </x:c>
      <x:c r="B175" s="339" t="str">
        <x:v>SCR-174</x:v>
      </x:c>
      <x:c r="C175" s="339" t="str">
        <x:v>HR / Leave / Payroll</x:v>
      </x:c>
      <x:c r="D175" s="339" t="str">
        <x:v>Candidate Applications</x:v>
      </x:c>
      <x:c r="E175" s="339" t="str">
        <x:v>Authenticated/authorized user; tenant/school context resolved; required master data effective.</x:v>
      </x:c>
      <x:c r="F175" s="339" t="str">
        <x:v>User opens or performs the primary action on Candidate Applications.</x:v>
      </x:c>
      <x:c r="G175" s="339" t="str">
        <x:v>Resolve authorized data scope → validate search/filter/sort/page parameters → query indexed records → apply row/field masking → return paged results → expose only state- and role-permitted actions.</x:v>
      </x:c>
      <x:c r="H175" s="339" t="str">
        <x:v>Draft → Active → Completed / Closed</x:v>
      </x:c>
      <x:c r="I175" s="339" t="str">
        <x:v>Leave balance = opening/accrued leave - approved consumed leave ± authorized adjustments.</x:v>
      </x:c>
      <x:c r="J175" s="339" t="str">
        <x:v>The authoritative record/state is updated only after all blocking validation succeeds; user receives deterministic confirmation.</x:v>
      </x:c>
      <x:c r="K175" s="339" t="str">
        <x:v>Approved leave/attendance adjustments affect payroll and staff availability.</x:v>
      </x:c>
      <x:c r="L175" s="339" t="str">
        <x:v>Create/update/status/approval/reversal/export/security-sensitive events are recorded with actor, timestamp, target and reason/context.</x:v>
      </x:c>
    </x:row>
    <x:row r="176">
      <x:c r="A176" s="339" t="str">
        <x:v>BL-175</x:v>
      </x:c>
      <x:c r="B176" s="339" t="str">
        <x:v>SCR-175</x:v>
      </x:c>
      <x:c r="C176" s="339" t="str">
        <x:v>HR / Leave / Payroll</x:v>
      </x:c>
      <x:c r="D176" s="339" t="str">
        <x:v>Candidate Details</x:v>
      </x:c>
      <x:c r="E176" s="339" t="str">
        <x:v>Authenticated/authorized user; tenant/school context resolved; required master data effective.</x:v>
      </x:c>
      <x:c r="F176" s="339" t="str">
        <x:v>User opens or performs the primary action on Candidate Details.</x:v>
      </x:c>
      <x:c r="G176" s="339" t="str">
        <x:v>Resolve and authorize the target record → load related data/history → mask restricted fields → apply edit/state permissions → validate updates → persist with version/audit controls → refresh dependent summaries.</x:v>
      </x:c>
      <x:c r="H176" s="339" t="str">
        <x:v>Draft → Active → Completed / Closed</x:v>
      </x:c>
      <x:c r="I176" s="339" t="str">
        <x:v>Leave balance = opening/accrued leave - approved consumed leave ± authorized adjustments.</x:v>
      </x:c>
      <x:c r="J176" s="339" t="str">
        <x:v>The authoritative record/state is updated only after all blocking validation succeeds; user receives deterministic confirmation.</x:v>
      </x:c>
      <x:c r="K176" s="339" t="str">
        <x:v>Approved leave/attendance adjustments affect payroll and staff availability.</x:v>
      </x:c>
      <x:c r="L176" s="339" t="str">
        <x:v>Create/update/status/approval/reversal/export/security-sensitive events are recorded with actor, timestamp, target and reason/context.</x:v>
      </x:c>
    </x:row>
    <x:row r="177">
      <x:c r="A177" s="339" t="str">
        <x:v>BL-176</x:v>
      </x:c>
      <x:c r="B177" s="339" t="str">
        <x:v>SCR-176</x:v>
      </x:c>
      <x:c r="C177" s="339" t="str">
        <x:v>HR / Leave / Payroll</x:v>
      </x:c>
      <x:c r="D177" s="339" t="str">
        <x:v>Interview Schedule</x:v>
      </x:c>
      <x:c r="E177" s="339" t="str">
        <x:v>Authenticated/authorized user; tenant/school context resolved; required master data effective.</x:v>
      </x:c>
      <x:c r="F177" s="339" t="str">
        <x:v>User opens or performs the primary action on Interview Schedule.</x:v>
      </x:c>
      <x:c r="G177" s="339" t="str">
        <x:v>Load active resources/availability → validate requested date/time → detect conflicts/capacity constraints → create/update schedule atomically → record revision history → notify affected participants where configured.</x:v>
      </x:c>
      <x:c r="H177" s="339" t="str">
        <x:v>Draft → Active → Completed / Closed</x:v>
      </x:c>
      <x:c r="I177" s="339" t="str">
        <x:v>Leave balance = opening/accrued leave - approved consumed leave ± authorized adjustments.</x:v>
      </x:c>
      <x:c r="J177" s="339" t="str">
        <x:v>The authoritative record/state is updated only after all blocking validation succeeds; user receives deterministic confirmation.</x:v>
      </x:c>
      <x:c r="K177" s="339" t="str">
        <x:v>Approved leave/attendance adjustments affect payroll and staff availability.</x:v>
      </x:c>
      <x:c r="L177" s="339" t="str">
        <x:v>Create/update/status/approval/reversal/export/security-sensitive events are recorded with actor, timestamp, target and reason/context.</x:v>
      </x:c>
    </x:row>
    <x:row r="178">
      <x:c r="A178" s="339" t="str">
        <x:v>BL-177</x:v>
      </x:c>
      <x:c r="B178" s="339" t="str">
        <x:v>SCR-177</x:v>
      </x:c>
      <x:c r="C178" s="339" t="str">
        <x:v>HR / Leave / Payroll</x:v>
      </x:c>
      <x:c r="D178" s="339" t="str">
        <x:v>Offer &amp; Appointment</x:v>
      </x:c>
      <x:c r="E178" s="339" t="str">
        <x:v>Authenticated/authorized user; tenant/school context resolved; required master data effective.</x:v>
      </x:c>
      <x:c r="F178" s="339" t="str">
        <x:v>User opens or performs the primary action on Offer &amp; Appointment.</x:v>
      </x:c>
      <x:c r="G178" s="339" t="str">
        <x:v>Load current workflow state → verify role and allowed transition → validate prerequisites/business rules → execute state change atomically → update dependent data → record audit trail → notify affected users.</x:v>
      </x:c>
      <x:c r="H178" s="339" t="str">
        <x:v>Draft → Active → Completed / Closed</x:v>
      </x:c>
      <x:c r="I178" s="339" t="str">
        <x:v>Leave balance = opening/accrued leave - approved consumed leave ± authorized adjustments.</x:v>
      </x:c>
      <x:c r="J178" s="339" t="str">
        <x:v>The authoritative record/state is updated only after all blocking validation succeeds; user receives deterministic confirmation.</x:v>
      </x:c>
      <x:c r="K178" s="339" t="str">
        <x:v>Approved leave/attendance adjustments affect payroll and staff availability.</x:v>
      </x:c>
      <x:c r="L178" s="339" t="str">
        <x:v>Create/update/status/approval/reversal/export/security-sensitive events are recorded with actor, timestamp, target and reason/context.</x:v>
      </x:c>
    </x:row>
    <x:row r="179">
      <x:c r="A179" s="339" t="str">
        <x:v>BL-178</x:v>
      </x:c>
      <x:c r="B179" s="339" t="str">
        <x:v>SCR-178</x:v>
      </x:c>
      <x:c r="C179" s="339" t="str">
        <x:v>HR / Leave / Payroll</x:v>
      </x:c>
      <x:c r="D179" s="339" t="str">
        <x:v>Employee Onboarding Checklist</x:v>
      </x:c>
      <x:c r="E179" s="339" t="str">
        <x:v>Authenticated/authorized user; tenant/school context resolved; required master data effective.</x:v>
      </x:c>
      <x:c r="F179" s="339" t="str">
        <x:v>User opens or performs the primary action on Employee Onboarding Checklist.</x:v>
      </x:c>
      <x:c r="G179" s="339" t="str">
        <x:v>Resolve authorized data scope → validate search/filter/sort/page parameters → query indexed records → apply row/field masking → return paged results → expose only state- and role-permitted actions.</x:v>
      </x:c>
      <x:c r="H179" s="339" t="str">
        <x:v>Draft → Active → Completed / Closed</x:v>
      </x:c>
      <x:c r="I179" s="339" t="str">
        <x:v>Leave balance = opening/accrued leave - approved consumed leave ± authorized adjustments.</x:v>
      </x:c>
      <x:c r="J179" s="339" t="str">
        <x:v>The authoritative record/state is updated only after all blocking validation succeeds; user receives deterministic confirmation.</x:v>
      </x:c>
      <x:c r="K179" s="339" t="str">
        <x:v>Approved leave/attendance adjustments affect payroll and staff availability.</x:v>
      </x:c>
      <x:c r="L179" s="339" t="str">
        <x:v>Create/update/status/approval/reversal/export/security-sensitive events are recorded with actor, timestamp, target and reason/context.</x:v>
      </x:c>
    </x:row>
    <x:row r="180">
      <x:c r="A180" s="339" t="str">
        <x:v>BL-179</x:v>
      </x:c>
      <x:c r="B180" s="339" t="str">
        <x:v>SCR-179</x:v>
      </x:c>
      <x:c r="C180" s="339" t="str">
        <x:v>HR / Leave / Payroll</x:v>
      </x:c>
      <x:c r="D180" s="339" t="str">
        <x:v>Staff Attendance Management</x:v>
      </x:c>
      <x:c r="E180" s="339" t="str">
        <x:v>Authenticated/authorized user; tenant/school context resolved; required master data effective.</x:v>
      </x:c>
      <x:c r="F180" s="339" t="str">
        <x:v>User opens or performs the primary action on Staff Attendance Management.</x:v>
      </x:c>
      <x:c r="G180" s="339" t="str">
        <x:v>Load current workflow state → verify role and allowed transition → validate prerequisites/business rules → execute state change atomically → update dependent data → record audit trail → notify affected users.</x:v>
      </x:c>
      <x:c r="H180" s="339" t="str">
        <x:v>Draft → Active → Completed / Closed</x:v>
      </x:c>
      <x:c r="I180" s="339" t="str">
        <x:v>Leave balance = opening/accrued leave - approved consumed leave ± authorized adjustments.</x:v>
      </x:c>
      <x:c r="J180" s="339" t="str">
        <x:v>The authoritative record/state is updated only after all blocking validation succeeds; user receives deterministic confirmation.</x:v>
      </x:c>
      <x:c r="K180" s="339" t="str">
        <x:v>Approved leave/attendance adjustments affect payroll and staff availability.</x:v>
      </x:c>
      <x:c r="L180" s="339" t="str">
        <x:v>Create/update/status/approval/reversal/export/security-sensitive events are recorded with actor, timestamp, target and reason/context.</x:v>
      </x:c>
    </x:row>
    <x:row r="181">
      <x:c r="A181" s="339" t="str">
        <x:v>BL-180</x:v>
      </x:c>
      <x:c r="B181" s="339" t="str">
        <x:v>SCR-180</x:v>
      </x:c>
      <x:c r="C181" s="339" t="str">
        <x:v>HR / Leave / Payroll</x:v>
      </x:c>
      <x:c r="D181" s="339" t="str">
        <x:v>Leave Policies</x:v>
      </x:c>
      <x:c r="E181" s="339" t="str">
        <x:v>Authenticated/authorized user; tenant/school context resolved; required master data effective.</x:v>
      </x:c>
      <x:c r="F181" s="339" t="str">
        <x:v>User opens or performs the primary action on Leave Policies.</x:v>
      </x:c>
      <x:c r="G181" s="339" t="str">
        <x:v>Load current workflow state → verify role and allowed transition → validate prerequisites/business rules → execute state change atomically → update dependent data → record audit trail → notify affected users.</x:v>
      </x:c>
      <x:c r="H181" s="339" t="str">
        <x:v>Draft → Submitted → Approved / Rejected → Cancelled</x:v>
      </x:c>
      <x:c r="I181" s="339" t="str">
        <x:v>Leave balance = opening/accrued leave - approved consumed leave ± authorized adjustments.</x:v>
      </x:c>
      <x:c r="J181" s="339" t="str">
        <x:v>The authoritative record/state is updated only after all blocking validation succeeds; user receives deterministic confirmation.</x:v>
      </x:c>
      <x:c r="K181" s="339" t="str">
        <x:v>Approved leave/attendance adjustments affect payroll and staff availability.</x:v>
      </x:c>
      <x:c r="L181" s="339" t="str">
        <x:v>Create/update/status/approval/reversal/export/security-sensitive events are recorded with actor, timestamp, target and reason/context.</x:v>
      </x:c>
    </x:row>
    <x:row r="182">
      <x:c r="A182" s="339" t="str">
        <x:v>BL-181</x:v>
      </x:c>
      <x:c r="B182" s="339" t="str">
        <x:v>SCR-181</x:v>
      </x:c>
      <x:c r="C182" s="339" t="str">
        <x:v>HR / Leave / Payroll</x:v>
      </x:c>
      <x:c r="D182" s="339" t="str">
        <x:v>Staff Leave Requests</x:v>
      </x:c>
      <x:c r="E182" s="339" t="str">
        <x:v>Authenticated/authorized user; tenant/school context resolved; required master data effective.</x:v>
      </x:c>
      <x:c r="F182" s="339" t="str">
        <x:v>User opens or performs the primary action on Staff Leave Requests.</x:v>
      </x:c>
      <x:c r="G182" s="339" t="str">
        <x:v>Load current workflow state → verify role and allowed transition → validate prerequisites/business rules → execute state change atomically → update dependent data → record audit trail → notify affected users.</x:v>
      </x:c>
      <x:c r="H182" s="339" t="str">
        <x:v>Draft → Submitted → Approved / Rejected → Cancelled</x:v>
      </x:c>
      <x:c r="I182" s="339" t="str">
        <x:v>Leave balance = opening/accrued leave - approved consumed leave ± authorized adjustments.</x:v>
      </x:c>
      <x:c r="J182" s="339" t="str">
        <x:v>The authoritative record/state is updated only after all blocking validation succeeds; user receives deterministic confirmation.</x:v>
      </x:c>
      <x:c r="K182" s="339" t="str">
        <x:v>Approved leave/attendance adjustments affect payroll and staff availability.</x:v>
      </x:c>
      <x:c r="L182" s="339" t="str">
        <x:v>Create/update/status/approval/reversal/export/security-sensitive events are recorded with actor, timestamp, target and reason/context.</x:v>
      </x:c>
    </x:row>
    <x:row r="183">
      <x:c r="A183" s="339" t="str">
        <x:v>BL-182</x:v>
      </x:c>
      <x:c r="B183" s="339" t="str">
        <x:v>SCR-182</x:v>
      </x:c>
      <x:c r="C183" s="339" t="str">
        <x:v>HR / Leave / Payroll</x:v>
      </x:c>
      <x:c r="D183" s="339" t="str">
        <x:v>Leave Approval</x:v>
      </x:c>
      <x:c r="E183" s="339" t="str">
        <x:v>Authenticated/authorized user; tenant/school context resolved; required master data effective.</x:v>
      </x:c>
      <x:c r="F183" s="339" t="str">
        <x:v>User opens or performs the primary action on Leave Approval.</x:v>
      </x:c>
      <x:c r="G183" s="339" t="str">
        <x:v>Load current workflow state → verify role and allowed transition → validate prerequisites/business rules → execute state change atomically → update dependent data → record audit trail → notify affected users.</x:v>
      </x:c>
      <x:c r="H183" s="339" t="str">
        <x:v>Draft → Submitted → Approved / Rejected → Cancelled</x:v>
      </x:c>
      <x:c r="I183" s="339" t="str">
        <x:v>Leave balance = opening/accrued leave - approved consumed leave ± authorized adjustments.</x:v>
      </x:c>
      <x:c r="J183" s="339" t="str">
        <x:v>The authoritative record/state is updated only after all blocking validation succeeds; user receives deterministic confirmation.</x:v>
      </x:c>
      <x:c r="K183" s="339" t="str">
        <x:v>Approved leave/attendance adjustments affect payroll and staff availability.</x:v>
      </x:c>
      <x:c r="L183" s="339" t="str">
        <x:v>Create/update/status/approval/reversal/export/security-sensitive events are recorded with actor, timestamp, target and reason/context.</x:v>
      </x:c>
    </x:row>
    <x:row r="184">
      <x:c r="A184" s="339" t="str">
        <x:v>BL-183</x:v>
      </x:c>
      <x:c r="B184" s="339" t="str">
        <x:v>SCR-183</x:v>
      </x:c>
      <x:c r="C184" s="339" t="str">
        <x:v>HR / Leave / Payroll</x:v>
      </x:c>
      <x:c r="D184" s="339" t="str">
        <x:v>Payroll Setup</x:v>
      </x:c>
      <x:c r="E184" s="339" t="str">
        <x:v>Authenticated/authorized user; tenant/school context resolved; required master data effective.</x:v>
      </x:c>
      <x:c r="F184" s="339" t="str">
        <x:v>User opens or performs the primary action on Payroll Setup.</x:v>
      </x:c>
      <x:c r="G184" s="339" t="str">
        <x:v>Load valid reference data → validate mandatory and conditional fields → apply duplicate/eligibility/business-rule checks → persist within a transaction → generate identifiers if required → write audit record → trigger configured side effects/notifications.</x:v>
      </x:c>
      <x:c r="H184" s="339" t="str">
        <x:v>Draft → Calculated → Reviewed → Approved → Posted / Paid → Adjustment</x:v>
      </x:c>
      <x:c r="I184" s="339" t="str">
        <x:v>Net Pay = eligible earnings + reimbursements - statutory deductions - voluntary deductions - approved loss-of-pay/adjustments.</x:v>
      </x:c>
      <x:c r="J184" s="339" t="str">
        <x:v>The authoritative record/state is updated only after all blocking validation succeeds; user receives deterministic confirmation.</x:v>
      </x:c>
      <x:c r="K184" s="339" t="str">
        <x:v>Approved leave/attendance adjustments affect payroll and staff availability.</x:v>
      </x:c>
      <x:c r="L184" s="339" t="str">
        <x:v>Create/update/status/approval/reversal/export/security-sensitive events are recorded with actor, timestamp, target and reason/context.</x:v>
      </x:c>
    </x:row>
    <x:row r="185">
      <x:c r="A185" s="339" t="str">
        <x:v>BL-184</x:v>
      </x:c>
      <x:c r="B185" s="339" t="str">
        <x:v>SCR-184</x:v>
      </x:c>
      <x:c r="C185" s="339" t="str">
        <x:v>HR / Leave / Payroll</x:v>
      </x:c>
      <x:c r="D185" s="339" t="str">
        <x:v>Payroll Processing</x:v>
      </x:c>
      <x:c r="E185" s="339" t="str">
        <x:v>Authenticated/authorized user; tenant/school context resolved; required master data effective.</x:v>
      </x:c>
      <x:c r="F185" s="339" t="str">
        <x:v>User opens or performs the primary action on Payroll Processing.</x:v>
      </x:c>
      <x:c r="G185" s="339" t="str">
        <x:v>Load valid reference data → validate mandatory and conditional fields → apply duplicate/eligibility/business-rule checks → persist within a transaction → generate identifiers if required → write audit record → trigger configured side effects/notifications.</x:v>
      </x:c>
      <x:c r="H185" s="339" t="str">
        <x:v>Draft → Calculated → Reviewed → Approved → Posted / Paid → Adjustment</x:v>
      </x:c>
      <x:c r="I185" s="339" t="str">
        <x:v>Net Pay = eligible earnings + reimbursements - statutory deductions - voluntary deductions - approved loss-of-pay/adjustments.</x:v>
      </x:c>
      <x:c r="J185" s="339" t="str">
        <x:v>The authoritative record/state is updated only after all blocking validation succeeds; user receives deterministic confirmation.</x:v>
      </x:c>
      <x:c r="K185" s="339" t="str">
        <x:v>Approved leave/attendance adjustments affect payroll and staff availability.</x:v>
      </x:c>
      <x:c r="L185" s="339" t="str">
        <x:v>Create/update/status/approval/reversal/export/security-sensitive events are recorded with actor, timestamp, target and reason/context.</x:v>
      </x:c>
    </x:row>
    <x:row r="186">
      <x:c r="A186" s="339" t="str">
        <x:v>BL-185</x:v>
      </x:c>
      <x:c r="B186" s="339" t="str">
        <x:v>SCR-185</x:v>
      </x:c>
      <x:c r="C186" s="339" t="str">
        <x:v>HR / Leave / Payroll</x:v>
      </x:c>
      <x:c r="D186" s="339" t="str">
        <x:v>Payslip &amp; Payroll History</x:v>
      </x:c>
      <x:c r="E186" s="339" t="str">
        <x:v>Authenticated/authorized user; tenant/school context resolved; required master data effective.</x:v>
      </x:c>
      <x:c r="F186" s="339" t="str">
        <x:v>User opens or performs the primary action on Payslip &amp; Payroll History.</x:v>
      </x:c>
      <x:c r="G186" s="339" t="str">
        <x:v>Resolve and authorize the target record → load related data/history → mask restricted fields → apply edit/state permissions → validate updates → persist with version/audit controls → refresh dependent summaries.</x:v>
      </x:c>
      <x:c r="H186" s="339" t="str">
        <x:v>Draft → Calculated → Reviewed → Approved → Posted / Paid → Adjustment</x:v>
      </x:c>
      <x:c r="I186" s="339" t="str">
        <x:v>Net Pay = eligible earnings + reimbursements - statutory deductions - voluntary deductions - approved loss-of-pay/adjustments.</x:v>
      </x:c>
      <x:c r="J186" s="339" t="str">
        <x:v>The authoritative record/state is updated only after all blocking validation succeeds; user receives deterministic confirmation.</x:v>
      </x:c>
      <x:c r="K186" s="339" t="str">
        <x:v>Approved leave/attendance adjustments affect payroll and staff availability.</x:v>
      </x:c>
      <x:c r="L186" s="339" t="str">
        <x:v>Create/update/status/approval/reversal/export/security-sensitive events are recorded with actor, timestamp, target and reason/context.</x:v>
      </x:c>
    </x:row>
    <x:row r="187">
      <x:c r="A187" s="339" t="str">
        <x:v>BL-186</x:v>
      </x:c>
      <x:c r="B187" s="339" t="str">
        <x:v>SCR-186</x:v>
      </x:c>
      <x:c r="C187" s="339" t="str">
        <x:v>Transport / Bus / GPS</x:v>
      </x:c>
      <x:c r="D187" s="339" t="str">
        <x:v>Vehicles</x:v>
      </x:c>
      <x:c r="E187" s="339" t="str">
        <x:v>Authenticated/authorized user; tenant/school context resolved; required master data effective.</x:v>
      </x:c>
      <x:c r="F187" s="339" t="str">
        <x:v>User opens or performs the primary action on Vehicles.</x:v>
      </x:c>
      <x:c r="G187" s="339" t="str">
        <x:v>Resolve authorized data scope → validate search/filter/sort/page parameters → query indexed records → apply row/field masking → return paged results → expose only state- and role-permitted actions.</x:v>
      </x:c>
      <x:c r="H187" s="339" t="str">
        <x:v>Draft → Active → Inactive / Maintenance / Archived</x:v>
      </x:c>
      <x:c r="I187" s="339" t="str">
        <x:v>Vehicle occupancy % = active assigned riders ÷ usable vehicle capacity × 100; trip punctuality compares actual vs planned milestone times.</x:v>
      </x:c>
      <x:c r="J187" s="339" t="str">
        <x:v>The authoritative record/state is updated only after all blocking validation succeeds; user receives deterministic confirmation.</x:v>
      </x:c>
      <x:c r="K187" s="339" t="str">
        <x:v>Route/trip changes affect parent/student visibility and operational alerts.</x:v>
      </x:c>
      <x:c r="L187" s="339" t="str">
        <x:v>Create/update/status/approval/reversal/export/security-sensitive events are recorded with actor, timestamp, target and reason/context.</x:v>
      </x:c>
    </x:row>
    <x:row r="188">
      <x:c r="A188" s="339" t="str">
        <x:v>BL-187</x:v>
      </x:c>
      <x:c r="B188" s="339" t="str">
        <x:v>SCR-187</x:v>
      </x:c>
      <x:c r="C188" s="339" t="str">
        <x:v>Transport / Bus / GPS</x:v>
      </x:c>
      <x:c r="D188" s="339" t="str">
        <x:v>Add / Edit Vehicle</x:v>
      </x:c>
      <x:c r="E188" s="339" t="str">
        <x:v>Authenticated/authorized user; tenant/school context resolved; required master data effective.</x:v>
      </x:c>
      <x:c r="F188" s="339" t="str">
        <x:v>User opens or performs the primary action on Add / Edit Vehicle.</x:v>
      </x:c>
      <x:c r="G188" s="339" t="str">
        <x:v>Load valid reference data → validate mandatory and conditional fields → apply duplicate/eligibility/business-rule checks → persist within a transaction → generate identifiers if required → write audit record → trigger configured side effects/notifications.</x:v>
      </x:c>
      <x:c r="H188" s="339" t="str">
        <x:v>Draft → Active → Inactive / Maintenance / Archived</x:v>
      </x:c>
      <x:c r="I188" s="339" t="str">
        <x:v>Vehicle occupancy % = active assigned riders ÷ usable vehicle capacity × 100; trip punctuality compares actual vs planned milestone times.</x:v>
      </x:c>
      <x:c r="J188" s="339" t="str">
        <x:v>The authoritative record/state is updated only after all blocking validation succeeds; user receives deterministic confirmation.</x:v>
      </x:c>
      <x:c r="K188" s="339" t="str">
        <x:v>Route/trip changes affect parent/student visibility and operational alerts.</x:v>
      </x:c>
      <x:c r="L188" s="339" t="str">
        <x:v>Create/update/status/approval/reversal/export/security-sensitive events are recorded with actor, timestamp, target and reason/context.</x:v>
      </x:c>
    </x:row>
    <x:row r="189">
      <x:c r="A189" s="339" t="str">
        <x:v>BL-188</x:v>
      </x:c>
      <x:c r="B189" s="339" t="str">
        <x:v>SCR-188</x:v>
      </x:c>
      <x:c r="C189" s="339" t="str">
        <x:v>Transport / Bus / GPS</x:v>
      </x:c>
      <x:c r="D189" s="339" t="str">
        <x:v>Vehicle Details</x:v>
      </x:c>
      <x:c r="E189" s="339" t="str">
        <x:v>Authenticated/authorized user; tenant/school context resolved; required master data effective.</x:v>
      </x:c>
      <x:c r="F189" s="339" t="str">
        <x:v>User opens or performs the primary action on Vehicle Details.</x:v>
      </x:c>
      <x:c r="G189" s="339" t="str">
        <x:v>Resolve and authorize the target record → load related data/history → mask restricted fields → apply edit/state permissions → validate updates → persist with version/audit controls → refresh dependent summaries.</x:v>
      </x:c>
      <x:c r="H189" s="339" t="str">
        <x:v>Draft → Active → Inactive / Maintenance / Archived</x:v>
      </x:c>
      <x:c r="I189" s="339" t="str">
        <x:v>Vehicle occupancy % = active assigned riders ÷ usable vehicle capacity × 100; trip punctuality compares actual vs planned milestone times.</x:v>
      </x:c>
      <x:c r="J189" s="339" t="str">
        <x:v>The authoritative record/state is updated only after all blocking validation succeeds; user receives deterministic confirmation.</x:v>
      </x:c>
      <x:c r="K189" s="339" t="str">
        <x:v>Route/trip changes affect parent/student visibility and operational alerts.</x:v>
      </x:c>
      <x:c r="L189" s="339" t="str">
        <x:v>Create/update/status/approval/reversal/export/security-sensitive events are recorded with actor, timestamp, target and reason/context.</x:v>
      </x:c>
    </x:row>
    <x:row r="190">
      <x:c r="A190" s="339" t="str">
        <x:v>BL-189</x:v>
      </x:c>
      <x:c r="B190" s="339" t="str">
        <x:v>SCR-189</x:v>
      </x:c>
      <x:c r="C190" s="339" t="str">
        <x:v>Transport / Bus / GPS</x:v>
      </x:c>
      <x:c r="D190" s="339" t="str">
        <x:v>Routes</x:v>
      </x:c>
      <x:c r="E190" s="339" t="str">
        <x:v>Authenticated/authorized user; tenant/school context resolved; required master data effective.</x:v>
      </x:c>
      <x:c r="F190" s="339" t="str">
        <x:v>User opens or performs the primary action on Routes.</x:v>
      </x:c>
      <x:c r="G190" s="339" t="str">
        <x:v>Resolve authorized data scope → validate search/filter/sort/page parameters → query indexed records → apply row/field masking → return paged results → expose only state- and role-permitted actions.</x:v>
      </x:c>
      <x:c r="H190" s="339" t="str">
        <x:v>Draft → Active → Inactive / Maintenance / Archived</x:v>
      </x:c>
      <x:c r="I190" s="339" t="str">
        <x:v>Vehicle occupancy % = active assigned riders ÷ usable vehicle capacity × 100; trip punctuality compares actual vs planned milestone times.</x:v>
      </x:c>
      <x:c r="J190" s="339" t="str">
        <x:v>The authoritative record/state is updated only after all blocking validation succeeds; user receives deterministic confirmation.</x:v>
      </x:c>
      <x:c r="K190" s="339" t="str">
        <x:v>Route/trip changes affect parent/student visibility and operational alerts.</x:v>
      </x:c>
      <x:c r="L190" s="339" t="str">
        <x:v>Create/update/status/approval/reversal/export/security-sensitive events are recorded with actor, timestamp, target and reason/context.</x:v>
      </x:c>
    </x:row>
    <x:row r="191">
      <x:c r="A191" s="339" t="str">
        <x:v>BL-190</x:v>
      </x:c>
      <x:c r="B191" s="339" t="str">
        <x:v>SCR-190</x:v>
      </x:c>
      <x:c r="C191" s="339" t="str">
        <x:v>Transport / Bus / GPS</x:v>
      </x:c>
      <x:c r="D191" s="339" t="str">
        <x:v>Create / Edit Route</x:v>
      </x:c>
      <x:c r="E191" s="339" t="str">
        <x:v>Authenticated/authorized user; tenant/school context resolved; required master data effective.</x:v>
      </x:c>
      <x:c r="F191" s="339" t="str">
        <x:v>User opens or performs the primary action on Create / Edit Route.</x:v>
      </x:c>
      <x:c r="G191" s="339" t="str">
        <x:v>Load valid reference data → validate mandatory and conditional fields → apply duplicate/eligibility/business-rule checks → persist within a transaction → generate identifiers if required → write audit record → trigger configured side effects/notifications.</x:v>
      </x:c>
      <x:c r="H191" s="339" t="str">
        <x:v>Draft → Active → Inactive / Maintenance / Archived</x:v>
      </x:c>
      <x:c r="I191" s="339" t="str">
        <x:v>Vehicle occupancy % = active assigned riders ÷ usable vehicle capacity × 100; trip punctuality compares actual vs planned milestone times.</x:v>
      </x:c>
      <x:c r="J191" s="339" t="str">
        <x:v>The authoritative record/state is updated only after all blocking validation succeeds; user receives deterministic confirmation.</x:v>
      </x:c>
      <x:c r="K191" s="339" t="str">
        <x:v>Route/trip changes affect parent/student visibility and operational alerts.</x:v>
      </x:c>
      <x:c r="L191" s="339" t="str">
        <x:v>Create/update/status/approval/reversal/export/security-sensitive events are recorded with actor, timestamp, target and reason/context.</x:v>
      </x:c>
    </x:row>
    <x:row r="192">
      <x:c r="A192" s="339" t="str">
        <x:v>BL-191</x:v>
      </x:c>
      <x:c r="B192" s="339" t="str">
        <x:v>SCR-191</x:v>
      </x:c>
      <x:c r="C192" s="339" t="str">
        <x:v>Transport / Bus / GPS</x:v>
      </x:c>
      <x:c r="D192" s="339" t="str">
        <x:v>Stops</x:v>
      </x:c>
      <x:c r="E192" s="339" t="str">
        <x:v>Authenticated/authorized user; tenant/school context resolved; required master data effective.</x:v>
      </x:c>
      <x:c r="F192" s="339" t="str">
        <x:v>User opens or performs the primary action on Stops.</x:v>
      </x:c>
      <x:c r="G192" s="339" t="str">
        <x:v>Load current workflow state → verify role and allowed transition → validate prerequisites/business rules → execute state change atomically → update dependent data → record audit trail → notify affected users.</x:v>
      </x:c>
      <x:c r="H192" s="339" t="str">
        <x:v>Draft → Active → Inactive / Maintenance / Archived</x:v>
      </x:c>
      <x:c r="I192" s="339" t="str">
        <x:v>Vehicle occupancy % = active assigned riders ÷ usable vehicle capacity × 100; trip punctuality compares actual vs planned milestone times.</x:v>
      </x:c>
      <x:c r="J192" s="339" t="str">
        <x:v>The authoritative record/state is updated only after all blocking validation succeeds; user receives deterministic confirmation.</x:v>
      </x:c>
      <x:c r="K192" s="339" t="str">
        <x:v>Route/trip changes affect parent/student visibility and operational alerts.</x:v>
      </x:c>
      <x:c r="L192" s="339" t="str">
        <x:v>Create/update/status/approval/reversal/export/security-sensitive events are recorded with actor, timestamp, target and reason/context.</x:v>
      </x:c>
    </x:row>
    <x:row r="193">
      <x:c r="A193" s="339" t="str">
        <x:v>BL-192</x:v>
      </x:c>
      <x:c r="B193" s="339" t="str">
        <x:v>SCR-192</x:v>
      </x:c>
      <x:c r="C193" s="339" t="str">
        <x:v>Transport / Bus / GPS</x:v>
      </x:c>
      <x:c r="D193" s="339" t="str">
        <x:v>Drivers &amp; Conductors</x:v>
      </x:c>
      <x:c r="E193" s="339" t="str">
        <x:v>Authenticated/authorized user; tenant/school context resolved; required master data effective.</x:v>
      </x:c>
      <x:c r="F193" s="339" t="str">
        <x:v>User opens or performs the primary action on Drivers &amp; Conductors.</x:v>
      </x:c>
      <x:c r="G193" s="339" t="str">
        <x:v>Load current workflow state → verify role and allowed transition → validate prerequisites/business rules → execute state change atomically → update dependent data → record audit trail → notify affected users.</x:v>
      </x:c>
      <x:c r="H193" s="339" t="str">
        <x:v>Draft → Active → Inactive / Maintenance / Archived</x:v>
      </x:c>
      <x:c r="I193" s="339" t="str">
        <x:v>Vehicle occupancy % = active assigned riders ÷ usable vehicle capacity × 100; trip punctuality compares actual vs planned milestone times.</x:v>
      </x:c>
      <x:c r="J193" s="339" t="str">
        <x:v>The authoritative record/state is updated only after all blocking validation succeeds; user receives deterministic confirmation.</x:v>
      </x:c>
      <x:c r="K193" s="339" t="str">
        <x:v>Route/trip changes affect parent/student visibility and operational alerts.</x:v>
      </x:c>
      <x:c r="L193" s="339" t="str">
        <x:v>Create/update/status/approval/reversal/export/security-sensitive events are recorded with actor, timestamp, target and reason/context.</x:v>
      </x:c>
    </x:row>
    <x:row r="194">
      <x:c r="A194" s="339" t="str">
        <x:v>BL-193</x:v>
      </x:c>
      <x:c r="B194" s="339" t="str">
        <x:v>SCR-193</x:v>
      </x:c>
      <x:c r="C194" s="339" t="str">
        <x:v>Transport / Bus / GPS</x:v>
      </x:c>
      <x:c r="D194" s="339" t="str">
        <x:v>Student Route Assignment</x:v>
      </x:c>
      <x:c r="E194" s="339" t="str">
        <x:v>Authenticated/authorized user; tenant/school context resolved; required master data effective.</x:v>
      </x:c>
      <x:c r="F194" s="339" t="str">
        <x:v>User opens or performs the primary action on Student Route Assignment.</x:v>
      </x:c>
      <x:c r="G194" s="339" t="str">
        <x:v>Load current workflow state → verify role and allowed transition → validate prerequisites/business rules → execute state change atomically → update dependent data → record audit trail → notify affected users.</x:v>
      </x:c>
      <x:c r="H194" s="339" t="str">
        <x:v>Draft → Active → Inactive / Maintenance / Archived</x:v>
      </x:c>
      <x:c r="I194" s="339" t="str">
        <x:v>Vehicle occupancy % = active assigned riders ÷ usable vehicle capacity × 100; trip punctuality compares actual vs planned milestone times.</x:v>
      </x:c>
      <x:c r="J194" s="339" t="str">
        <x:v>The authoritative record/state is updated only after all blocking validation succeeds; user receives deterministic confirmation.</x:v>
      </x:c>
      <x:c r="K194" s="339" t="str">
        <x:v>Route/trip changes affect parent/student visibility and operational alerts.</x:v>
      </x:c>
      <x:c r="L194" s="339" t="str">
        <x:v>Create/update/status/approval/reversal/export/security-sensitive events are recorded with actor, timestamp, target and reason/context.</x:v>
      </x:c>
    </x:row>
    <x:row r="195">
      <x:c r="A195" s="339" t="str">
        <x:v>BL-194</x:v>
      </x:c>
      <x:c r="B195" s="339" t="str">
        <x:v>SCR-194</x:v>
      </x:c>
      <x:c r="C195" s="339" t="str">
        <x:v>Transport / Bus / GPS</x:v>
      </x:c>
      <x:c r="D195" s="339" t="str">
        <x:v>Trip Sheet</x:v>
      </x:c>
      <x:c r="E195" s="339" t="str">
        <x:v>Authenticated/authorized user; tenant/school context resolved; required master data effective.</x:v>
      </x:c>
      <x:c r="F195" s="339" t="str">
        <x:v>User opens or performs the primary action on Trip Sheet.</x:v>
      </x:c>
      <x:c r="G195" s="339" t="str">
        <x:v>Load current workflow state → verify role and allowed transition → validate prerequisites/business rules → execute state change atomically → update dependent data → record audit trail → notify affected users.</x:v>
      </x:c>
      <x:c r="H195" s="339" t="str">
        <x:v>Planned → Started → In Progress → Completed / Cancelled</x:v>
      </x:c>
      <x:c r="I195" s="339" t="str">
        <x:v>Vehicle occupancy % = active assigned riders ÷ usable vehicle capacity × 100; trip punctuality compares actual vs planned milestone times.</x:v>
      </x:c>
      <x:c r="J195" s="339" t="str">
        <x:v>The authoritative record/state is updated only after all blocking validation succeeds; user receives deterministic confirmation.</x:v>
      </x:c>
      <x:c r="K195" s="339" t="str">
        <x:v>Route/trip changes affect parent/student visibility and operational alerts.</x:v>
      </x:c>
      <x:c r="L195" s="339" t="str">
        <x:v>Create/update/status/approval/reversal/export/security-sensitive events are recorded with actor, timestamp, target and reason/context.</x:v>
      </x:c>
    </x:row>
    <x:row r="196">
      <x:c r="A196" s="339" t="str">
        <x:v>BL-195</x:v>
      </x:c>
      <x:c r="B196" s="339" t="str">
        <x:v>SCR-195</x:v>
      </x:c>
      <x:c r="C196" s="339" t="str">
        <x:v>Transport / Bus / GPS</x:v>
      </x:c>
      <x:c r="D196" s="339" t="str">
        <x:v>Live GPS Tracking</x:v>
      </x:c>
      <x:c r="E196" s="339" t="str">
        <x:v>Authenticated/authorized user; tenant/school context resolved; required master data effective.</x:v>
      </x:c>
      <x:c r="F196" s="339" t="str">
        <x:v>User opens or performs the primary action on Live GPS Tracking.</x:v>
      </x:c>
      <x:c r="G196" s="339" t="str">
        <x:v>Load current workflow state → verify role and allowed transition → validate prerequisites/business rules → execute state change atomically → update dependent data → record audit trail → notify affected users.</x:v>
      </x:c>
      <x:c r="H196" s="339" t="str">
        <x:v>Planned → Started → In Progress → Completed / Cancelled</x:v>
      </x:c>
      <x:c r="I196" s="339" t="str">
        <x:v>Vehicle occupancy % = active assigned riders ÷ usable vehicle capacity × 100; trip punctuality compares actual vs planned milestone times.</x:v>
      </x:c>
      <x:c r="J196" s="339" t="str">
        <x:v>The authoritative record/state is updated only after all blocking validation succeeds; user receives deterministic confirmation.</x:v>
      </x:c>
      <x:c r="K196" s="339" t="str">
        <x:v>Route/trip changes affect parent/student visibility and operational alerts.</x:v>
      </x:c>
      <x:c r="L196" s="339" t="str">
        <x:v>Create/update/status/approval/reversal/export/security-sensitive events are recorded with actor, timestamp, target and reason/context.</x:v>
      </x:c>
    </x:row>
    <x:row r="197">
      <x:c r="A197" s="339" t="str">
        <x:v>BL-196</x:v>
      </x:c>
      <x:c r="B197" s="339" t="str">
        <x:v>SCR-196</x:v>
      </x:c>
      <x:c r="C197" s="339" t="str">
        <x:v>Transport / Bus / GPS</x:v>
      </x:c>
      <x:c r="D197" s="339" t="str">
        <x:v>Boarding / Drop Attendance</x:v>
      </x:c>
      <x:c r="E197" s="339" t="str">
        <x:v>Authenticated/authorized user; tenant/school context resolved; required master data effective.</x:v>
      </x:c>
      <x:c r="F197" s="339" t="str">
        <x:v>User opens or performs the primary action on Boarding / Drop Attendance.</x:v>
      </x:c>
      <x:c r="G197" s="339" t="str">
        <x:v>Load current workflow state → verify role and allowed transition → validate prerequisites/business rules → execute state change atomically → update dependent data → record audit trail → notify affected users.</x:v>
      </x:c>
      <x:c r="H197" s="339" t="str">
        <x:v>Planned → Started → In Progress → Completed / Cancelled</x:v>
      </x:c>
      <x:c r="I197" s="339" t="str">
        <x:v>Vehicle occupancy % = active assigned riders ÷ usable vehicle capacity × 100; trip punctuality compares actual vs planned milestone times.</x:v>
      </x:c>
      <x:c r="J197" s="339" t="str">
        <x:v>The authoritative record/state is updated only after all blocking validation succeeds; user receives deterministic confirmation.</x:v>
      </x:c>
      <x:c r="K197" s="339" t="str">
        <x:v>Route/trip changes affect parent/student visibility and operational alerts.</x:v>
      </x:c>
      <x:c r="L197" s="339" t="str">
        <x:v>Create/update/status/approval/reversal/export/security-sensitive events are recorded with actor, timestamp, target and reason/context.</x:v>
      </x:c>
    </x:row>
    <x:row r="198">
      <x:c r="A198" s="339" t="str">
        <x:v>BL-197</x:v>
      </x:c>
      <x:c r="B198" s="339" t="str">
        <x:v>SCR-197</x:v>
      </x:c>
      <x:c r="C198" s="339" t="str">
        <x:v>Transport / Bus / GPS</x:v>
      </x:c>
      <x:c r="D198" s="339" t="str">
        <x:v>Vehicle Maintenance &amp; Fuel</x:v>
      </x:c>
      <x:c r="E198" s="339" t="str">
        <x:v>Authenticated/authorized user; tenant/school context resolved; required master data effective.</x:v>
      </x:c>
      <x:c r="F198" s="339" t="str">
        <x:v>User opens or performs the primary action on Vehicle Maintenance &amp; Fuel.</x:v>
      </x:c>
      <x:c r="G198" s="339" t="str">
        <x:v>Load current workflow state → verify role and allowed transition → validate prerequisites/business rules → execute state change atomically → update dependent data → record audit trail → notify affected users.</x:v>
      </x:c>
      <x:c r="H198" s="339" t="str">
        <x:v>Draft → Active → Inactive / Maintenance / Archived</x:v>
      </x:c>
      <x:c r="I198" s="339" t="str">
        <x:v>Vehicle occupancy % = active assigned riders ÷ usable vehicle capacity × 100; trip punctuality compares actual vs planned milestone times.</x:v>
      </x:c>
      <x:c r="J198" s="339" t="str">
        <x:v>The authoritative record/state is updated only after all blocking validation succeeds; user receives deterministic confirmation.</x:v>
      </x:c>
      <x:c r="K198" s="339" t="str">
        <x:v>Route/trip changes affect parent/student visibility and operational alerts.</x:v>
      </x:c>
      <x:c r="L198" s="339" t="str">
        <x:v>Create/update/status/approval/reversal/export/security-sensitive events are recorded with actor, timestamp, target and reason/context.</x:v>
      </x:c>
    </x:row>
    <x:row r="199">
      <x:c r="A199" s="339" t="str">
        <x:v>BL-198</x:v>
      </x:c>
      <x:c r="B199" s="339" t="str">
        <x:v>SCR-198</x:v>
      </x:c>
      <x:c r="C199" s="339" t="str">
        <x:v>Library</x:v>
      </x:c>
      <x:c r="D199" s="339" t="str">
        <x:v>Library Catalogue</x:v>
      </x:c>
      <x:c r="E199" s="339" t="str">
        <x:v>Authenticated/authorized user; tenant/school context resolved; required master data effective.</x:v>
      </x:c>
      <x:c r="F199" s="339" t="str">
        <x:v>User opens or performs the primary action on Library Catalogue.</x:v>
      </x:c>
      <x:c r="G199" s="339" t="str">
        <x:v>Resolve authorized data scope → validate search/filter/sort/page parameters → query indexed records → apply row/field masking → return paged results → expose only state- and role-permitted actions.</x:v>
      </x:c>
      <x:c r="H199" s="339" t="str">
        <x:v>Available → Reserved / Issued → Overdue → Returned / Lost / Damaged</x:v>
      </x:c>
      <x:c r="I199" s="339" t="str">
        <x:v>Fine = max(0, overdue days - grace days) × configured daily rate, subject to member/category cap and waivers.</x:v>
      </x:c>
      <x:c r="J199" s="339" t="str">
        <x:v>The authoritative record/state is updated only after all blocking validation succeeds; user receives deterministic confirmation.</x:v>
      </x:c>
      <x:c r="K199" s="339" t="str">
        <x:v>Fines may create finance obligations where integrated.</x:v>
      </x:c>
      <x:c r="L199" s="339" t="str">
        <x:v>Create/update/status/approval/reversal/export/security-sensitive events are recorded with actor, timestamp, target and reason/context.</x:v>
      </x:c>
    </x:row>
    <x:row r="200">
      <x:c r="A200" s="339" t="str">
        <x:v>BL-199</x:v>
      </x:c>
      <x:c r="B200" s="339" t="str">
        <x:v>SCR-199</x:v>
      </x:c>
      <x:c r="C200" s="339" t="str">
        <x:v>Library</x:v>
      </x:c>
      <x:c r="D200" s="339" t="str">
        <x:v>Add / Edit Book</x:v>
      </x:c>
      <x:c r="E200" s="339" t="str">
        <x:v>Authenticated/authorized user; tenant/school context resolved; required master data effective.</x:v>
      </x:c>
      <x:c r="F200" s="339" t="str">
        <x:v>User opens or performs the primary action on Add / Edit Book.</x:v>
      </x:c>
      <x:c r="G200" s="339" t="str">
        <x:v>Load valid reference data → validate mandatory and conditional fields → apply duplicate/eligibility/business-rule checks → persist within a transaction → generate identifiers if required → write audit record → trigger configured side effects/notifications.</x:v>
      </x:c>
      <x:c r="H200" s="339" t="str">
        <x:v>Available → Reserved / Issued → Overdue → Returned / Lost / Damaged</x:v>
      </x:c>
      <x:c r="I200" s="339" t="str">
        <x:v>Fine = max(0, overdue days - grace days) × configured daily rate, subject to member/category cap and waivers.</x:v>
      </x:c>
      <x:c r="J200" s="339" t="str">
        <x:v>The authoritative record/state is updated only after all blocking validation succeeds; user receives deterministic confirmation.</x:v>
      </x:c>
      <x:c r="K200" s="339" t="str">
        <x:v>Fines may create finance obligations where integrated.</x:v>
      </x:c>
      <x:c r="L200" s="339" t="str">
        <x:v>Create/update/status/approval/reversal/export/security-sensitive events are recorded with actor, timestamp, target and reason/context.</x:v>
      </x:c>
    </x:row>
    <x:row r="201">
      <x:c r="A201" s="339" t="str">
        <x:v>BL-200</x:v>
      </x:c>
      <x:c r="B201" s="339" t="str">
        <x:v>SCR-200</x:v>
      </x:c>
      <x:c r="C201" s="339" t="str">
        <x:v>Library</x:v>
      </x:c>
      <x:c r="D201" s="339" t="str">
        <x:v>Book Details &amp; Copies</x:v>
      </x:c>
      <x:c r="E201" s="339" t="str">
        <x:v>Authenticated/authorized user; tenant/school context resolved; required master data effective.</x:v>
      </x:c>
      <x:c r="F201" s="339" t="str">
        <x:v>User opens or performs the primary action on Book Details &amp; Copies.</x:v>
      </x:c>
      <x:c r="G201" s="339" t="str">
        <x:v>Resolve and authorize the target record → load related data/history → mask restricted fields → apply edit/state permissions → validate updates → persist with version/audit controls → refresh dependent summaries.</x:v>
      </x:c>
      <x:c r="H201" s="339" t="str">
        <x:v>Available → Reserved / Issued → Overdue → Returned / Lost / Damaged</x:v>
      </x:c>
      <x:c r="I201" s="339" t="str">
        <x:v>Fine = max(0, overdue days - grace days) × configured daily rate, subject to member/category cap and waivers.</x:v>
      </x:c>
      <x:c r="J201" s="339" t="str">
        <x:v>The authoritative record/state is updated only after all blocking validation succeeds; user receives deterministic confirmation.</x:v>
      </x:c>
      <x:c r="K201" s="339" t="str">
        <x:v>Fines may create finance obligations where integrated.</x:v>
      </x:c>
      <x:c r="L201" s="339" t="str">
        <x:v>Create/update/status/approval/reversal/export/security-sensitive events are recorded with actor, timestamp, target and reason/context.</x:v>
      </x:c>
    </x:row>
    <x:row r="202">
      <x:c r="A202" s="339" t="str">
        <x:v>BL-201</x:v>
      </x:c>
      <x:c r="B202" s="339" t="str">
        <x:v>SCR-201</x:v>
      </x:c>
      <x:c r="C202" s="339" t="str">
        <x:v>Library</x:v>
      </x:c>
      <x:c r="D202" s="339" t="str">
        <x:v>Library Members</x:v>
      </x:c>
      <x:c r="E202" s="339" t="str">
        <x:v>Authenticated/authorized user; tenant/school context resolved; required master data effective.</x:v>
      </x:c>
      <x:c r="F202" s="339" t="str">
        <x:v>User opens or performs the primary action on Library Members.</x:v>
      </x:c>
      <x:c r="G202" s="339" t="str">
        <x:v>Resolve authorized data scope → validate search/filter/sort/page parameters → query indexed records → apply row/field masking → return paged results → expose only state- and role-permitted actions.</x:v>
      </x:c>
      <x:c r="H202" s="339" t="str">
        <x:v>Available → Reserved / Issued → Overdue → Returned / Lost / Damaged</x:v>
      </x:c>
      <x:c r="I202" s="339" t="str">
        <x:v>Fine = max(0, overdue days - grace days) × configured daily rate, subject to member/category cap and waivers.</x:v>
      </x:c>
      <x:c r="J202" s="339" t="str">
        <x:v>The authoritative record/state is updated only after all blocking validation succeeds; user receives deterministic confirmation.</x:v>
      </x:c>
      <x:c r="K202" s="339" t="str">
        <x:v>Fines may create finance obligations where integrated.</x:v>
      </x:c>
      <x:c r="L202" s="339" t="str">
        <x:v>Create/update/status/approval/reversal/export/security-sensitive events are recorded with actor, timestamp, target and reason/context.</x:v>
      </x:c>
    </x:row>
    <x:row r="203">
      <x:c r="A203" s="339" t="str">
        <x:v>BL-202</x:v>
      </x:c>
      <x:c r="B203" s="339" t="str">
        <x:v>SCR-202</x:v>
      </x:c>
      <x:c r="C203" s="339" t="str">
        <x:v>Library</x:v>
      </x:c>
      <x:c r="D203" s="339" t="str">
        <x:v>Issue Book</x:v>
      </x:c>
      <x:c r="E203" s="339" t="str">
        <x:v>Authenticated/authorized user; tenant/school context resolved; required master data effective.</x:v>
      </x:c>
      <x:c r="F203" s="339" t="str">
        <x:v>User opens or performs the primary action on Issue Book.</x:v>
      </x:c>
      <x:c r="G203" s="339" t="str">
        <x:v>Load current workflow state → verify role and allowed transition → validate prerequisites/business rules → execute state change atomically → update dependent data → record audit trail → notify affected users.</x:v>
      </x:c>
      <x:c r="H203" s="339" t="str">
        <x:v>Available → Reserved / Issued → Overdue → Returned / Lost / Damaged</x:v>
      </x:c>
      <x:c r="I203" s="339" t="str">
        <x:v>Fine = max(0, overdue days - grace days) × configured daily rate, subject to member/category cap and waivers.</x:v>
      </x:c>
      <x:c r="J203" s="339" t="str">
        <x:v>The authoritative record/state is updated only after all blocking validation succeeds; user receives deterministic confirmation.</x:v>
      </x:c>
      <x:c r="K203" s="339" t="str">
        <x:v>Fines may create finance obligations where integrated.</x:v>
      </x:c>
      <x:c r="L203" s="339" t="str">
        <x:v>Create/update/status/approval/reversal/export/security-sensitive events are recorded with actor, timestamp, target and reason/context.</x:v>
      </x:c>
    </x:row>
    <x:row r="204">
      <x:c r="A204" s="339" t="str">
        <x:v>BL-203</x:v>
      </x:c>
      <x:c r="B204" s="339" t="str">
        <x:v>SCR-203</x:v>
      </x:c>
      <x:c r="C204" s="339" t="str">
        <x:v>Library</x:v>
      </x:c>
      <x:c r="D204" s="339" t="str">
        <x:v>Return Book</x:v>
      </x:c>
      <x:c r="E204" s="339" t="str">
        <x:v>Authenticated/authorized user; tenant/school context resolved; required master data effective.</x:v>
      </x:c>
      <x:c r="F204" s="339" t="str">
        <x:v>User opens or performs the primary action on Return Book.</x:v>
      </x:c>
      <x:c r="G204" s="339" t="str">
        <x:v>Load current workflow state → verify role and allowed transition → validate prerequisites/business rules → execute state change atomically → update dependent data → record audit trail → notify affected users.</x:v>
      </x:c>
      <x:c r="H204" s="339" t="str">
        <x:v>Available → Reserved / Issued → Overdue → Returned / Lost / Damaged</x:v>
      </x:c>
      <x:c r="I204" s="339" t="str">
        <x:v>Fine = max(0, overdue days - grace days) × configured daily rate, subject to member/category cap and waivers.</x:v>
      </x:c>
      <x:c r="J204" s="339" t="str">
        <x:v>The authoritative record/state is updated only after all blocking validation succeeds; user receives deterministic confirmation.</x:v>
      </x:c>
      <x:c r="K204" s="339" t="str">
        <x:v>Fines may create finance obligations where integrated.</x:v>
      </x:c>
      <x:c r="L204" s="339" t="str">
        <x:v>Create/update/status/approval/reversal/export/security-sensitive events are recorded with actor, timestamp, target and reason/context.</x:v>
      </x:c>
    </x:row>
    <x:row r="205">
      <x:c r="A205" s="339" t="str">
        <x:v>BL-204</x:v>
      </x:c>
      <x:c r="B205" s="339" t="str">
        <x:v>SCR-204</x:v>
      </x:c>
      <x:c r="C205" s="339" t="str">
        <x:v>Library</x:v>
      </x:c>
      <x:c r="D205" s="339" t="str">
        <x:v>Renew / Reserve Book</x:v>
      </x:c>
      <x:c r="E205" s="339" t="str">
        <x:v>Authenticated/authorized user; tenant/school context resolved; required master data effective.</x:v>
      </x:c>
      <x:c r="F205" s="339" t="str">
        <x:v>User opens or performs the primary action on Renew / Reserve Book.</x:v>
      </x:c>
      <x:c r="G205" s="339" t="str">
        <x:v>Load valid reference data → validate mandatory and conditional fields → apply duplicate/eligibility/business-rule checks → persist within a transaction → generate identifiers if required → write audit record → trigger configured side effects/notifications.</x:v>
      </x:c>
      <x:c r="H205" s="339" t="str">
        <x:v>Available → Reserved / Issued → Overdue → Returned / Lost / Damaged</x:v>
      </x:c>
      <x:c r="I205" s="339" t="str">
        <x:v>Fine = max(0, overdue days - grace days) × configured daily rate, subject to member/category cap and waivers.</x:v>
      </x:c>
      <x:c r="J205" s="339" t="str">
        <x:v>The authoritative record/state is updated only after all blocking validation succeeds; user receives deterministic confirmation.</x:v>
      </x:c>
      <x:c r="K205" s="339" t="str">
        <x:v>Fines may create finance obligations where integrated.</x:v>
      </x:c>
      <x:c r="L205" s="339" t="str">
        <x:v>Create/update/status/approval/reversal/export/security-sensitive events are recorded with actor, timestamp, target and reason/context.</x:v>
      </x:c>
    </x:row>
    <x:row r="206">
      <x:c r="A206" s="339" t="str">
        <x:v>BL-205</x:v>
      </x:c>
      <x:c r="B206" s="339" t="str">
        <x:v>SCR-205</x:v>
      </x:c>
      <x:c r="C206" s="339" t="str">
        <x:v>Library</x:v>
      </x:c>
      <x:c r="D206" s="339" t="str">
        <x:v>Fine / Lost / Damaged Book</x:v>
      </x:c>
      <x:c r="E206" s="339" t="str">
        <x:v>Authenticated/authorized user; tenant/school context resolved; required master data effective.</x:v>
      </x:c>
      <x:c r="F206" s="339" t="str">
        <x:v>User opens or performs the primary action on Fine / Lost / Damaged Book.</x:v>
      </x:c>
      <x:c r="G206" s="339" t="str">
        <x:v>Load current workflow state → verify role and allowed transition → validate prerequisites/business rules → execute state change atomically → update dependent data → record audit trail → notify affected users.</x:v>
      </x:c>
      <x:c r="H206" s="339" t="str">
        <x:v>Available → Reserved / Issued → Overdue → Returned / Lost / Damaged</x:v>
      </x:c>
      <x:c r="I206" s="339" t="str">
        <x:v>Fine = max(0, overdue days - grace days) × configured daily rate, subject to member/category cap and waivers.</x:v>
      </x:c>
      <x:c r="J206" s="339" t="str">
        <x:v>The authoritative record/state is updated only after all blocking validation succeeds; user receives deterministic confirmation.</x:v>
      </x:c>
      <x:c r="K206" s="339" t="str">
        <x:v>Fines may create finance obligations where integrated.</x:v>
      </x:c>
      <x:c r="L206" s="339" t="str">
        <x:v>Create/update/status/approval/reversal/export/security-sensitive events are recorded with actor, timestamp, target and reason/context.</x:v>
      </x:c>
    </x:row>
    <x:row r="207">
      <x:c r="A207" s="339" t="str">
        <x:v>BL-206</x:v>
      </x:c>
      <x:c r="B207" s="339" t="str">
        <x:v>SCR-206</x:v>
      </x:c>
      <x:c r="C207" s="339" t="str">
        <x:v>Library</x:v>
      </x:c>
      <x:c r="D207" s="339" t="str">
        <x:v>Digital Library</x:v>
      </x:c>
      <x:c r="E207" s="339" t="str">
        <x:v>Authenticated/authorized user; tenant/school context resolved; required master data effective.</x:v>
      </x:c>
      <x:c r="F207" s="339" t="str">
        <x:v>User opens or performs the primary action on Digital Library.</x:v>
      </x:c>
      <x:c r="G207" s="339" t="str">
        <x:v>Load current workflow state → verify role and allowed transition → validate prerequisites/business rules → execute state change atomically → update dependent data → record audit trail → notify affected users.</x:v>
      </x:c>
      <x:c r="H207" s="339" t="str">
        <x:v>Available → Reserved / Issued → Overdue → Returned / Lost / Damaged</x:v>
      </x:c>
      <x:c r="I207" s="339" t="str">
        <x:v>Fine = max(0, overdue days - grace days) × configured daily rate, subject to member/category cap and waivers.</x:v>
      </x:c>
      <x:c r="J207" s="339" t="str">
        <x:v>The authoritative record/state is updated only after all blocking validation succeeds; user receives deterministic confirmation.</x:v>
      </x:c>
      <x:c r="K207" s="339" t="str">
        <x:v>Fines may create finance obligations where integrated.</x:v>
      </x:c>
      <x:c r="L207" s="339" t="str">
        <x:v>Create/update/status/approval/reversal/export/security-sensitive events are recorded with actor, timestamp, target and reason/context.</x:v>
      </x:c>
    </x:row>
    <x:row r="208">
      <x:c r="A208" s="339" t="str">
        <x:v>BL-207</x:v>
      </x:c>
      <x:c r="B208" s="339" t="str">
        <x:v>SCR-207</x:v>
      </x:c>
      <x:c r="C208" s="339" t="str">
        <x:v>Library</x:v>
      </x:c>
      <x:c r="D208" s="339" t="str">
        <x:v>Library Reports</x:v>
      </x:c>
      <x:c r="E208" s="339" t="str">
        <x:v>Authenticated/authorized user; tenant/school context resolved; required master data effective.</x:v>
      </x:c>
      <x:c r="F208" s="339" t="str">
        <x:v>User opens or performs the primary action on Library Reports.</x:v>
      </x:c>
      <x:c r="G208" s="339" t="str">
        <x:v>Validate filter context → resolve row-level scope → query authoritative transactions → apply approved formulas/grouping → reconcile totals → render table/chart → export only permitted data.</x:v>
      </x:c>
      <x:c r="H208" s="339" t="str">
        <x:v>Available → Reserved / Issued → Overdue → Returned / Lost / Damaged</x:v>
      </x:c>
      <x:c r="I208" s="339" t="str">
        <x:v>Fine = max(0, overdue days - grace days) × configured daily rate, subject to member/category cap and waivers.</x:v>
      </x:c>
      <x:c r="J208" s="339" t="str">
        <x:v>The authoritative record/state is updated only after all blocking validation succeeds; user receives deterministic confirmation.</x:v>
      </x:c>
      <x:c r="K208" s="339" t="str">
        <x:v>Fines may create finance obligations where integrated.</x:v>
      </x:c>
      <x:c r="L208" s="339" t="str">
        <x:v>Create/update/status/approval/reversal/export/security-sensitive events are recorded with actor, timestamp, target and reason/context.</x:v>
      </x:c>
    </x:row>
    <x:row r="209">
      <x:c r="A209" s="339" t="str">
        <x:v>BL-208</x:v>
      </x:c>
      <x:c r="B209" s="339" t="str">
        <x:v>SCR-208</x:v>
      </x:c>
      <x:c r="C209" s="339" t="str">
        <x:v>Hostel</x:v>
      </x:c>
      <x:c r="D209" s="339" t="str">
        <x:v>Hostels / Buildings</x:v>
      </x:c>
      <x:c r="E209" s="339" t="str">
        <x:v>Authenticated/authorized user; tenant/school context resolved; required master data effective.</x:v>
      </x:c>
      <x:c r="F209" s="339" t="str">
        <x:v>User opens or performs the primary action on Hostels / Buildings.</x:v>
      </x:c>
      <x:c r="G209" s="339" t="str">
        <x:v>Load current workflow state → verify role and allowed transition → validate prerequisites/business rules → execute state change atomically → update dependent data → record audit trail → notify affected users.</x:v>
      </x:c>
      <x:c r="H209" s="339" t="str">
        <x:v>Available → Allocated → Occupied → Transfer / Vacated → Closed</x:v>
      </x:c>
      <x:c r="I209" s="339" t="str">
        <x:v>Occupancy % = active occupied beds ÷ active usable beds × 100.</x:v>
      </x:c>
      <x:c r="J209" s="339" t="str">
        <x:v>The authoritative record/state is updated only after all blocking validation succeeds; user receives deterministic confirmation.</x:v>
      </x:c>
      <x:c r="K209" s="339" t="str">
        <x:v>Allocation/fee changes affect student services and finance.</x:v>
      </x:c>
      <x:c r="L209" s="339" t="str">
        <x:v>Create/update/status/approval/reversal/export/security-sensitive events are recorded with actor, timestamp, target and reason/context.</x:v>
      </x:c>
    </x:row>
    <x:row r="210">
      <x:c r="A210" s="339" t="str">
        <x:v>BL-209</x:v>
      </x:c>
      <x:c r="B210" s="339" t="str">
        <x:v>SCR-209</x:v>
      </x:c>
      <x:c r="C210" s="339" t="str">
        <x:v>Hostel</x:v>
      </x:c>
      <x:c r="D210" s="339" t="str">
        <x:v>Rooms &amp; Beds</x:v>
      </x:c>
      <x:c r="E210" s="339" t="str">
        <x:v>Authenticated/authorized user; tenant/school context resolved; required master data effective.</x:v>
      </x:c>
      <x:c r="F210" s="339" t="str">
        <x:v>User opens or performs the primary action on Rooms &amp; Beds.</x:v>
      </x:c>
      <x:c r="G210" s="339" t="str">
        <x:v>Load current workflow state → verify role and allowed transition → validate prerequisites/business rules → execute state change atomically → update dependent data → record audit trail → notify affected users.</x:v>
      </x:c>
      <x:c r="H210" s="339" t="str">
        <x:v>Available → Allocated → Occupied → Transfer / Vacated → Closed</x:v>
      </x:c>
      <x:c r="I210" s="339" t="str">
        <x:v>Occupancy % = active occupied beds ÷ active usable beds × 100.</x:v>
      </x:c>
      <x:c r="J210" s="339" t="str">
        <x:v>The authoritative record/state is updated only after all blocking validation succeeds; user receives deterministic confirmation.</x:v>
      </x:c>
      <x:c r="K210" s="339" t="str">
        <x:v>Allocation/fee changes affect student services and finance.</x:v>
      </x:c>
      <x:c r="L210" s="339" t="str">
        <x:v>Create/update/status/approval/reversal/export/security-sensitive events are recorded with actor, timestamp, target and reason/context.</x:v>
      </x:c>
    </x:row>
    <x:row r="211">
      <x:c r="A211" s="339" t="str">
        <x:v>BL-210</x:v>
      </x:c>
      <x:c r="B211" s="339" t="str">
        <x:v>SCR-210</x:v>
      </x:c>
      <x:c r="C211" s="339" t="str">
        <x:v>Hostel</x:v>
      </x:c>
      <x:c r="D211" s="339" t="str">
        <x:v>Student Hostel Allocation</x:v>
      </x:c>
      <x:c r="E211" s="339" t="str">
        <x:v>Authenticated/authorized user; tenant/school context resolved; required master data effective.</x:v>
      </x:c>
      <x:c r="F211" s="339" t="str">
        <x:v>User opens or performs the primary action on Student Hostel Allocation.</x:v>
      </x:c>
      <x:c r="G211" s="339" t="str">
        <x:v>Load current workflow state → verify role and allowed transition → validate prerequisites/business rules → execute state change atomically → update dependent data → record audit trail → notify affected users.</x:v>
      </x:c>
      <x:c r="H211" s="339" t="str">
        <x:v>Available → Allocated → Occupied → Transfer / Vacated → Closed</x:v>
      </x:c>
      <x:c r="I211" s="339" t="str">
        <x:v>Occupancy % = active occupied beds ÷ active usable beds × 100.</x:v>
      </x:c>
      <x:c r="J211" s="339" t="str">
        <x:v>The authoritative record/state is updated only after all blocking validation succeeds; user receives deterministic confirmation.</x:v>
      </x:c>
      <x:c r="K211" s="339" t="str">
        <x:v>Allocation/fee changes affect student services and finance.</x:v>
      </x:c>
      <x:c r="L211" s="339" t="str">
        <x:v>Create/update/status/approval/reversal/export/security-sensitive events are recorded with actor, timestamp, target and reason/context.</x:v>
      </x:c>
    </x:row>
    <x:row r="212">
      <x:c r="A212" s="339" t="str">
        <x:v>BL-211</x:v>
      </x:c>
      <x:c r="B212" s="339" t="str">
        <x:v>SCR-211</x:v>
      </x:c>
      <x:c r="C212" s="339" t="str">
        <x:v>Hostel</x:v>
      </x:c>
      <x:c r="D212" s="339" t="str">
        <x:v>Warden Management</x:v>
      </x:c>
      <x:c r="E212" s="339" t="str">
        <x:v>Authenticated/authorized user; tenant/school context resolved; required master data effective.</x:v>
      </x:c>
      <x:c r="F212" s="339" t="str">
        <x:v>User opens or performs the primary action on Warden Management.</x:v>
      </x:c>
      <x:c r="G212" s="339" t="str">
        <x:v>Load current workflow state → verify role and allowed transition → validate prerequisites/business rules → execute state change atomically → update dependent data → record audit trail → notify affected users.</x:v>
      </x:c>
      <x:c r="H212" s="339" t="str">
        <x:v>Available → Allocated → Occupied → Transfer / Vacated → Closed</x:v>
      </x:c>
      <x:c r="I212" s="339" t="str">
        <x:v>Occupancy % = active occupied beds ÷ active usable beds × 100.</x:v>
      </x:c>
      <x:c r="J212" s="339" t="str">
        <x:v>The authoritative record/state is updated only after all blocking validation succeeds; user receives deterministic confirmation.</x:v>
      </x:c>
      <x:c r="K212" s="339" t="str">
        <x:v>Allocation/fee changes affect student services and finance.</x:v>
      </x:c>
      <x:c r="L212" s="339" t="str">
        <x:v>Create/update/status/approval/reversal/export/security-sensitive events are recorded with actor, timestamp, target and reason/context.</x:v>
      </x:c>
    </x:row>
    <x:row r="213">
      <x:c r="A213" s="339" t="str">
        <x:v>BL-212</x:v>
      </x:c>
      <x:c r="B213" s="339" t="str">
        <x:v>SCR-212</x:v>
      </x:c>
      <x:c r="C213" s="339" t="str">
        <x:v>Hostel</x:v>
      </x:c>
      <x:c r="D213" s="339" t="str">
        <x:v>Hostel Attendance</x:v>
      </x:c>
      <x:c r="E213" s="339" t="str">
        <x:v>Authenticated/authorized user; tenant/school context resolved; required master data effective.</x:v>
      </x:c>
      <x:c r="F213" s="339" t="str">
        <x:v>User opens or performs the primary action on Hostel Attendance.</x:v>
      </x:c>
      <x:c r="G213" s="339" t="str">
        <x:v>Load current workflow state → verify role and allowed transition → validate prerequisites/business rules → execute state change atomically → update dependent data → record audit trail → notify affected users.</x:v>
      </x:c>
      <x:c r="H213" s="339" t="str">
        <x:v>Available → Allocated → Occupied → Transfer / Vacated → Closed</x:v>
      </x:c>
      <x:c r="I213" s="339" t="str">
        <x:v>Occupancy % = active occupied beds ÷ active usable beds × 100.</x:v>
      </x:c>
      <x:c r="J213" s="339" t="str">
        <x:v>The authoritative record/state is updated only after all blocking validation succeeds; user receives deterministic confirmation.</x:v>
      </x:c>
      <x:c r="K213" s="339" t="str">
        <x:v>Allocation/fee changes affect student services and finance.</x:v>
      </x:c>
      <x:c r="L213" s="339" t="str">
        <x:v>Create/update/status/approval/reversal/export/security-sensitive events are recorded with actor, timestamp, target and reason/context.</x:v>
      </x:c>
    </x:row>
    <x:row r="214">
      <x:c r="A214" s="339" t="str">
        <x:v>BL-213</x:v>
      </x:c>
      <x:c r="B214" s="339" t="str">
        <x:v>SCR-213</x:v>
      </x:c>
      <x:c r="C214" s="339" t="str">
        <x:v>Hostel</x:v>
      </x:c>
      <x:c r="D214" s="339" t="str">
        <x:v>Leave / Outing</x:v>
      </x:c>
      <x:c r="E214" s="339" t="str">
        <x:v>Authenticated/authorized user; tenant/school context resolved; required master data effective.</x:v>
      </x:c>
      <x:c r="F214" s="339" t="str">
        <x:v>User opens or performs the primary action on Leave / Outing.</x:v>
      </x:c>
      <x:c r="G214" s="339" t="str">
        <x:v>Load current workflow state → verify role and allowed transition → validate prerequisites/business rules → execute state change atomically → update dependent data → record audit trail → notify affected users.</x:v>
      </x:c>
      <x:c r="H214" s="339" t="str">
        <x:v>Available → Allocated → Occupied → Transfer / Vacated → Closed</x:v>
      </x:c>
      <x:c r="I214" s="339" t="str">
        <x:v>Occupancy % = active occupied beds ÷ active usable beds × 100.</x:v>
      </x:c>
      <x:c r="J214" s="339" t="str">
        <x:v>The authoritative record/state is updated only after all blocking validation succeeds; user receives deterministic confirmation.</x:v>
      </x:c>
      <x:c r="K214" s="339" t="str">
        <x:v>Allocation/fee changes affect student services and finance.</x:v>
      </x:c>
      <x:c r="L214" s="339" t="str">
        <x:v>Create/update/status/approval/reversal/export/security-sensitive events are recorded with actor, timestamp, target and reason/context.</x:v>
      </x:c>
    </x:row>
    <x:row r="215">
      <x:c r="A215" s="339" t="str">
        <x:v>BL-214</x:v>
      </x:c>
      <x:c r="B215" s="339" t="str">
        <x:v>SCR-214</x:v>
      </x:c>
      <x:c r="C215" s="339" t="str">
        <x:v>Hostel</x:v>
      </x:c>
      <x:c r="D215" s="339" t="str">
        <x:v>Mess / Meal Schedule</x:v>
      </x:c>
      <x:c r="E215" s="339" t="str">
        <x:v>Authenticated/authorized user; tenant/school context resolved; required master data effective.</x:v>
      </x:c>
      <x:c r="F215" s="339" t="str">
        <x:v>User opens or performs the primary action on Mess / Meal Schedule.</x:v>
      </x:c>
      <x:c r="G215" s="339" t="str">
        <x:v>Load active resources/availability → validate requested date/time → detect conflicts/capacity constraints → create/update schedule atomically → record revision history → notify affected participants where configured.</x:v>
      </x:c>
      <x:c r="H215" s="339" t="str">
        <x:v>Available → Allocated → Occupied → Transfer / Vacated → Closed</x:v>
      </x:c>
      <x:c r="I215" s="339" t="str">
        <x:v>Occupancy % = active occupied beds ÷ active usable beds × 100.</x:v>
      </x:c>
      <x:c r="J215" s="339" t="str">
        <x:v>The authoritative record/state is updated only after all blocking validation succeeds; user receives deterministic confirmation.</x:v>
      </x:c>
      <x:c r="K215" s="339" t="str">
        <x:v>Allocation/fee changes affect student services and finance.</x:v>
      </x:c>
      <x:c r="L215" s="339" t="str">
        <x:v>Create/update/status/approval/reversal/export/security-sensitive events are recorded with actor, timestamp, target and reason/context.</x:v>
      </x:c>
    </x:row>
    <x:row r="216">
      <x:c r="A216" s="339" t="str">
        <x:v>BL-215</x:v>
      </x:c>
      <x:c r="B216" s="339" t="str">
        <x:v>SCR-215</x:v>
      </x:c>
      <x:c r="C216" s="339" t="str">
        <x:v>Hostel</x:v>
      </x:c>
      <x:c r="D216" s="339" t="str">
        <x:v>Hostel Complaints &amp; Fees</x:v>
      </x:c>
      <x:c r="E216" s="339" t="str">
        <x:v>Authenticated/authorized user; tenant/school context resolved; required master data effective.</x:v>
      </x:c>
      <x:c r="F216" s="339" t="str">
        <x:v>User opens or performs the primary action on Hostel Complaints &amp; Fees.</x:v>
      </x:c>
      <x:c r="G216" s="339" t="str">
        <x:v>Load current workflow state → verify role and allowed transition → validate prerequisites/business rules → execute state change atomically → update dependent data → record audit trail → notify affected users.</x:v>
      </x:c>
      <x:c r="H216" s="339" t="str">
        <x:v>Available → Allocated → Occupied → Transfer / Vacated → Closed</x:v>
      </x:c>
      <x:c r="I216" s="339" t="str">
        <x:v>Occupancy % = active occupied beds ÷ active usable beds × 100.</x:v>
      </x:c>
      <x:c r="J216" s="339" t="str">
        <x:v>The authoritative record/state is updated only after all blocking validation succeeds; user receives deterministic confirmation.</x:v>
      </x:c>
      <x:c r="K216" s="339" t="str">
        <x:v>Allocation/fee changes affect student services and finance.</x:v>
      </x:c>
      <x:c r="L216" s="339" t="str">
        <x:v>Create/update/status/approval/reversal/export/security-sensitive events are recorded with actor, timestamp, target and reason/context.</x:v>
      </x:c>
    </x:row>
    <x:row r="217">
      <x:c r="A217" s="339" t="str">
        <x:v>BL-216</x:v>
      </x:c>
      <x:c r="B217" s="339" t="str">
        <x:v>SCR-216</x:v>
      </x:c>
      <x:c r="C217" s="339" t="str">
        <x:v>Health / Counselling / Discipline</x:v>
      </x:c>
      <x:c r="D217" s="339" t="str">
        <x:v>Health Dashboard</x:v>
      </x:c>
      <x:c r="E217" s="339" t="str">
        <x:v>Authenticated/authorized user; tenant/school context resolved; required master data effective.</x:v>
      </x:c>
      <x:c r="F217" s="339" t="str">
        <x:v>User opens or performs the primary action on Health Dashboard.</x:v>
      </x:c>
      <x:c r="G217" s="339" t="str">
        <x:v>Resolve tenant/school/role context → apply date/academic filters → query authorized aggregates → compute/reconcile KPIs → highlight alerts/exceptions → expose permitted drill-down actions.</x:v>
      </x:c>
      <x:c r="H217" s="339" t="str">
        <x:v>Open → In Progress / Monitoring → Escalated (if needed) → Resolved / Closed</x:v>
      </x:c>
      <x:c r="I217" s="339" t="str">
        <x:v>No special calculation unless configured; derived fields use authoritative source data and explicit effective-date rules.</x:v>
      </x:c>
      <x:c r="J217" s="339" t="str">
        <x:v>The authoritative record/state is updated only after all blocking validation succeeds; user receives deterministic confirmation.</x:v>
      </x:c>
      <x:c r="K217" s="339" t="str">
        <x:v>Only approved summaries/alerts propagate; confidential notes stay isolated.</x:v>
      </x:c>
      <x:c r="L217" s="339" t="str">
        <x:v>Create/update/status/approval/reversal/export/security-sensitive events are recorded with actor, timestamp, target and reason/context.</x:v>
      </x:c>
    </x:row>
    <x:row r="218">
      <x:c r="A218" s="339" t="str">
        <x:v>BL-217</x:v>
      </x:c>
      <x:c r="B218" s="339" t="str">
        <x:v>SCR-217</x:v>
      </x:c>
      <x:c r="C218" s="339" t="str">
        <x:v>Health / Counselling / Discipline</x:v>
      </x:c>
      <x:c r="D218" s="339" t="str">
        <x:v>Student Medical Profile</x:v>
      </x:c>
      <x:c r="E218" s="339" t="str">
        <x:v>Authenticated/authorized user; tenant/school context resolved; required master data effective.</x:v>
      </x:c>
      <x:c r="F218" s="339" t="str">
        <x:v>User opens or performs the primary action on Student Medical Profile.</x:v>
      </x:c>
      <x:c r="G218" s="339" t="str">
        <x:v>Resolve and authorize the target record → load related data/history → mask restricted fields → apply edit/state permissions → validate updates → persist with version/audit controls → refresh dependent summaries.</x:v>
      </x:c>
      <x:c r="H218" s="339" t="str">
        <x:v>Open → In Progress / Monitoring → Escalated (if needed) → Resolved / Closed</x:v>
      </x:c>
      <x:c r="I218" s="339" t="str">
        <x:v>No special calculation unless configured; derived fields use authoritative source data and explicit effective-date rules.</x:v>
      </x:c>
      <x:c r="J218" s="339" t="str">
        <x:v>The authoritative record/state is updated only after all blocking validation succeeds; user receives deterministic confirmation.</x:v>
      </x:c>
      <x:c r="K218" s="339" t="str">
        <x:v>Only approved summaries/alerts propagate; confidential notes stay isolated.</x:v>
      </x:c>
      <x:c r="L218" s="339" t="str">
        <x:v>Create/update/status/approval/reversal/export/security-sensitive events are recorded with actor, timestamp, target and reason/context.</x:v>
      </x:c>
    </x:row>
    <x:row r="219">
      <x:c r="A219" s="339" t="str">
        <x:v>BL-218</x:v>
      </x:c>
      <x:c r="B219" s="339" t="str">
        <x:v>SCR-218</x:v>
      </x:c>
      <x:c r="C219" s="339" t="str">
        <x:v>Health / Counselling / Discipline</x:v>
      </x:c>
      <x:c r="D219" s="339" t="str">
        <x:v>Clinic Visit</x:v>
      </x:c>
      <x:c r="E219" s="339" t="str">
        <x:v>Authenticated/authorized user; tenant/school context resolved; required master data effective.</x:v>
      </x:c>
      <x:c r="F219" s="339" t="str">
        <x:v>User opens or performs the primary action on Clinic Visit.</x:v>
      </x:c>
      <x:c r="G219" s="339" t="str">
        <x:v>Load current workflow state → verify role and allowed transition → validate prerequisites/business rules → execute state change atomically → update dependent data → record audit trail → notify affected users.</x:v>
      </x:c>
      <x:c r="H219" s="339" t="str">
        <x:v>Open → In Progress / Monitoring → Escalated (if needed) → Resolved / Closed</x:v>
      </x:c>
      <x:c r="I219" s="339" t="str">
        <x:v>No special calculation unless configured; derived fields use authoritative source data and explicit effective-date rules.</x:v>
      </x:c>
      <x:c r="J219" s="339" t="str">
        <x:v>The authoritative record/state is updated only after all blocking validation succeeds; user receives deterministic confirmation.</x:v>
      </x:c>
      <x:c r="K219" s="339" t="str">
        <x:v>Only approved summaries/alerts propagate; confidential notes stay isolated.</x:v>
      </x:c>
      <x:c r="L219" s="339" t="str">
        <x:v>Create/update/status/approval/reversal/export/security-sensitive events are recorded with actor, timestamp, target and reason/context.</x:v>
      </x:c>
    </x:row>
    <x:row r="220">
      <x:c r="A220" s="339" t="str">
        <x:v>BL-219</x:v>
      </x:c>
      <x:c r="B220" s="339" t="str">
        <x:v>SCR-219</x:v>
      </x:c>
      <x:c r="C220" s="339" t="str">
        <x:v>Health / Counselling / Discipline</x:v>
      </x:c>
      <x:c r="D220" s="339" t="str">
        <x:v>Medication / First Aid</x:v>
      </x:c>
      <x:c r="E220" s="339" t="str">
        <x:v>Authenticated/authorized user; tenant/school context resolved; required master data effective.</x:v>
      </x:c>
      <x:c r="F220" s="339" t="str">
        <x:v>User opens or performs the primary action on Medication / First Aid.</x:v>
      </x:c>
      <x:c r="G220" s="339" t="str">
        <x:v>Load current workflow state → verify role and allowed transition → validate prerequisites/business rules → execute state change atomically → update dependent data → record audit trail → notify affected users.</x:v>
      </x:c>
      <x:c r="H220" s="339" t="str">
        <x:v>Open → In Progress / Monitoring → Escalated (if needed) → Resolved / Closed</x:v>
      </x:c>
      <x:c r="I220" s="339" t="str">
        <x:v>No special calculation unless configured; derived fields use authoritative source data and explicit effective-date rules.</x:v>
      </x:c>
      <x:c r="J220" s="339" t="str">
        <x:v>The authoritative record/state is updated only after all blocking validation succeeds; user receives deterministic confirmation.</x:v>
      </x:c>
      <x:c r="K220" s="339" t="str">
        <x:v>Only approved summaries/alerts propagate; confidential notes stay isolated.</x:v>
      </x:c>
      <x:c r="L220" s="339" t="str">
        <x:v>Create/update/status/approval/reversal/export/security-sensitive events are recorded with actor, timestamp, target and reason/context.</x:v>
      </x:c>
    </x:row>
    <x:row r="221">
      <x:c r="A221" s="339" t="str">
        <x:v>BL-220</x:v>
      </x:c>
      <x:c r="B221" s="339" t="str">
        <x:v>SCR-220</x:v>
      </x:c>
      <x:c r="C221" s="339" t="str">
        <x:v>Health / Counselling / Discipline</x:v>
      </x:c>
      <x:c r="D221" s="339" t="str">
        <x:v>Immunization / Allergy</x:v>
      </x:c>
      <x:c r="E221" s="339" t="str">
        <x:v>Authenticated/authorized user; tenant/school context resolved; required master data effective.</x:v>
      </x:c>
      <x:c r="F221" s="339" t="str">
        <x:v>User opens or performs the primary action on Immunization / Allergy.</x:v>
      </x:c>
      <x:c r="G221" s="339" t="str">
        <x:v>Load current workflow state → verify role and allowed transition → validate prerequisites/business rules → execute state change atomically → update dependent data → record audit trail → notify affected users.</x:v>
      </x:c>
      <x:c r="H221" s="339" t="str">
        <x:v>Open → In Progress / Monitoring → Escalated (if needed) → Resolved / Closed</x:v>
      </x:c>
      <x:c r="I221" s="339" t="str">
        <x:v>No special calculation unless configured; derived fields use authoritative source data and explicit effective-date rules.</x:v>
      </x:c>
      <x:c r="J221" s="339" t="str">
        <x:v>The authoritative record/state is updated only after all blocking validation succeeds; user receives deterministic confirmation.</x:v>
      </x:c>
      <x:c r="K221" s="339" t="str">
        <x:v>Only approved summaries/alerts propagate; confidential notes stay isolated.</x:v>
      </x:c>
      <x:c r="L221" s="339" t="str">
        <x:v>Create/update/status/approval/reversal/export/security-sensitive events are recorded with actor, timestamp, target and reason/context.</x:v>
      </x:c>
    </x:row>
    <x:row r="222">
      <x:c r="A222" s="339" t="str">
        <x:v>BL-221</x:v>
      </x:c>
      <x:c r="B222" s="339" t="str">
        <x:v>SCR-221</x:v>
      </x:c>
      <x:c r="C222" s="339" t="str">
        <x:v>Health / Counselling / Discipline</x:v>
      </x:c>
      <x:c r="D222" s="339" t="str">
        <x:v>Counselling Appointments</x:v>
      </x:c>
      <x:c r="E222" s="339" t="str">
        <x:v>Authenticated/authorized user; tenant/school context resolved; required master data effective.</x:v>
      </x:c>
      <x:c r="F222" s="339" t="str">
        <x:v>User opens or performs the primary action on Counselling Appointments.</x:v>
      </x:c>
      <x:c r="G222" s="339" t="str">
        <x:v>Load current workflow state → verify role and allowed transition → validate prerequisites/business rules → execute state change atomically → update dependent data → record audit trail → notify affected users.</x:v>
      </x:c>
      <x:c r="H222" s="339" t="str">
        <x:v>Open → In Progress / Monitoring → Escalated (if needed) → Resolved / Closed</x:v>
      </x:c>
      <x:c r="I222" s="339" t="str">
        <x:v>No special calculation unless configured; derived fields use authoritative source data and explicit effective-date rules.</x:v>
      </x:c>
      <x:c r="J222" s="339" t="str">
        <x:v>The authoritative record/state is updated only after all blocking validation succeeds; user receives deterministic confirmation.</x:v>
      </x:c>
      <x:c r="K222" s="339" t="str">
        <x:v>Only approved summaries/alerts propagate; confidential notes stay isolated.</x:v>
      </x:c>
      <x:c r="L222" s="339" t="str">
        <x:v>Create/update/status/approval/reversal/export/security-sensitive events are recorded with actor, timestamp, target and reason/context.</x:v>
      </x:c>
    </x:row>
    <x:row r="223">
      <x:c r="A223" s="339" t="str">
        <x:v>BL-222</x:v>
      </x:c>
      <x:c r="B223" s="339" t="str">
        <x:v>SCR-222</x:v>
      </x:c>
      <x:c r="C223" s="339" t="str">
        <x:v>Health / Counselling / Discipline</x:v>
      </x:c>
      <x:c r="D223" s="339" t="str">
        <x:v>Counselling Case Notes</x:v>
      </x:c>
      <x:c r="E223" s="339" t="str">
        <x:v>Authenticated/authorized user; tenant/school context resolved; required master data effective.</x:v>
      </x:c>
      <x:c r="F223" s="339" t="str">
        <x:v>User opens or performs the primary action on Counselling Case Notes.</x:v>
      </x:c>
      <x:c r="G223" s="339" t="str">
        <x:v>Load current workflow state → verify role and allowed transition → validate prerequisites/business rules → execute state change atomically → update dependent data → record audit trail → notify affected users.</x:v>
      </x:c>
      <x:c r="H223" s="339" t="str">
        <x:v>Open → In Progress / Monitoring → Escalated (if needed) → Resolved / Closed</x:v>
      </x:c>
      <x:c r="I223" s="339" t="str">
        <x:v>No special calculation unless configured; derived fields use authoritative source data and explicit effective-date rules.</x:v>
      </x:c>
      <x:c r="J223" s="339" t="str">
        <x:v>The authoritative record/state is updated only after all blocking validation succeeds; user receives deterministic confirmation.</x:v>
      </x:c>
      <x:c r="K223" s="339" t="str">
        <x:v>Only approved summaries/alerts propagate; confidential notes stay isolated.</x:v>
      </x:c>
      <x:c r="L223" s="339" t="str">
        <x:v>Create/update/status/approval/reversal/export/security-sensitive events are recorded with actor, timestamp, target and reason/context.</x:v>
      </x:c>
    </x:row>
    <x:row r="224">
      <x:c r="A224" s="339" t="str">
        <x:v>BL-223</x:v>
      </x:c>
      <x:c r="B224" s="339" t="str">
        <x:v>SCR-223</x:v>
      </x:c>
      <x:c r="C224" s="339" t="str">
        <x:v>Health / Counselling / Discipline</x:v>
      </x:c>
      <x:c r="D224" s="339" t="str">
        <x:v>Behaviour / Discipline Incidents</x:v>
      </x:c>
      <x:c r="E224" s="339" t="str">
        <x:v>Authenticated/authorized user; tenant/school context resolved; required master data effective.</x:v>
      </x:c>
      <x:c r="F224" s="339" t="str">
        <x:v>User opens or performs the primary action on Behaviour / Discipline Incidents.</x:v>
      </x:c>
      <x:c r="G224" s="339" t="str">
        <x:v>Resolve authorized data scope → validate search/filter/sort/page parameters → query indexed records → apply row/field masking → return paged results → expose only state- and role-permitted actions.</x:v>
      </x:c>
      <x:c r="H224" s="339" t="str">
        <x:v>Open → In Progress / Monitoring → Escalated (if needed) → Resolved / Closed</x:v>
      </x:c>
      <x:c r="I224" s="339" t="str">
        <x:v>No special calculation unless configured; derived fields use authoritative source data and explicit effective-date rules.</x:v>
      </x:c>
      <x:c r="J224" s="339" t="str">
        <x:v>The authoritative record/state is updated only after all blocking validation succeeds; user receives deterministic confirmation.</x:v>
      </x:c>
      <x:c r="K224" s="339" t="str">
        <x:v>Only approved summaries/alerts propagate; confidential notes stay isolated.</x:v>
      </x:c>
      <x:c r="L224" s="339" t="str">
        <x:v>Create/update/status/approval/reversal/export/security-sensitive events are recorded with actor, timestamp, target and reason/context.</x:v>
      </x:c>
    </x:row>
    <x:row r="225">
      <x:c r="A225" s="339" t="str">
        <x:v>BL-224</x:v>
      </x:c>
      <x:c r="B225" s="339" t="str">
        <x:v>SCR-224</x:v>
      </x:c>
      <x:c r="C225" s="339" t="str">
        <x:v>Health / Counselling / Discipline</x:v>
      </x:c>
      <x:c r="D225" s="339" t="str">
        <x:v>Incident Action &amp; Follow-up</x:v>
      </x:c>
      <x:c r="E225" s="339" t="str">
        <x:v>Authenticated/authorized user; tenant/school context resolved; required master data effective.</x:v>
      </x:c>
      <x:c r="F225" s="339" t="str">
        <x:v>User opens or performs the primary action on Incident Action &amp; Follow-up.</x:v>
      </x:c>
      <x:c r="G225" s="339" t="str">
        <x:v>Load current workflow state → verify role and allowed transition → validate prerequisites/business rules → execute state change atomically → update dependent data → record audit trail → notify affected users.</x:v>
      </x:c>
      <x:c r="H225" s="339" t="str">
        <x:v>Open → In Progress / Monitoring → Escalated (if needed) → Resolved / Closed</x:v>
      </x:c>
      <x:c r="I225" s="339" t="str">
        <x:v>No special calculation unless configured; derived fields use authoritative source data and explicit effective-date rules.</x:v>
      </x:c>
      <x:c r="J225" s="339" t="str">
        <x:v>The authoritative record/state is updated only after all blocking validation succeeds; user receives deterministic confirmation.</x:v>
      </x:c>
      <x:c r="K225" s="339" t="str">
        <x:v>Only approved summaries/alerts propagate; confidential notes stay isolated.</x:v>
      </x:c>
      <x:c r="L225" s="339" t="str">
        <x:v>Create/update/status/approval/reversal/export/security-sensitive events are recorded with actor, timestamp, target and reason/context.</x:v>
      </x:c>
    </x:row>
    <x:row r="226">
      <x:c r="A226" s="339" t="str">
        <x:v>BL-225</x:v>
      </x:c>
      <x:c r="B226" s="339" t="str">
        <x:v>SCR-225</x:v>
      </x:c>
      <x:c r="C226" s="339" t="str">
        <x:v>Health / Counselling / Discipline</x:v>
      </x:c>
      <x:c r="D226" s="339" t="str">
        <x:v>Emergency Contacts &amp; Escalation</x:v>
      </x:c>
      <x:c r="E226" s="339" t="str">
        <x:v>Authenticated/authorized user; tenant/school context resolved; required master data effective.</x:v>
      </x:c>
      <x:c r="F226" s="339" t="str">
        <x:v>User opens or performs the primary action on Emergency Contacts &amp; Escalation.</x:v>
      </x:c>
      <x:c r="G226" s="339" t="str">
        <x:v>Load current workflow state → verify role and allowed transition → validate prerequisites/business rules → execute state change atomically → update dependent data → record audit trail → notify affected users.</x:v>
      </x:c>
      <x:c r="H226" s="339" t="str">
        <x:v>Open → In Progress / Monitoring → Escalated (if needed) → Resolved / Closed</x:v>
      </x:c>
      <x:c r="I226" s="339" t="str">
        <x:v>No special calculation unless configured; derived fields use authoritative source data and explicit effective-date rules.</x:v>
      </x:c>
      <x:c r="J226" s="339" t="str">
        <x:v>The authoritative record/state is updated only after all blocking validation succeeds; user receives deterministic confirmation.</x:v>
      </x:c>
      <x:c r="K226" s="339" t="str">
        <x:v>Only approved summaries/alerts propagate; confidential notes stay isolated.</x:v>
      </x:c>
      <x:c r="L226" s="339" t="str">
        <x:v>Create/update/status/approval/reversal/export/security-sensitive events are recorded with actor, timestamp, target and reason/context.</x:v>
      </x:c>
    </x:row>
    <x:row r="227">
      <x:c r="A227" s="339" t="str">
        <x:v>BL-226</x:v>
      </x:c>
      <x:c r="B227" s="339" t="str">
        <x:v>SCR-226</x:v>
      </x:c>
      <x:c r="C227" s="339" t="str">
        <x:v>Visitor / Gate / Security</x:v>
      </x:c>
      <x:c r="D227" s="339" t="str">
        <x:v>Visitor Dashboard</x:v>
      </x:c>
      <x:c r="E227" s="339" t="str">
        <x:v>Authenticated/authorized user; tenant/school context resolved; required master data effective.</x:v>
      </x:c>
      <x:c r="F227" s="339" t="str">
        <x:v>User opens or performs the primary action on Visitor Dashboard.</x:v>
      </x:c>
      <x:c r="G227" s="339" t="str">
        <x:v>Resolve tenant/school/role context → apply date/academic filters → query authorized aggregates → compute/reconcile KPIs → highlight alerts/exceptions → expose permitted drill-down actions.</x:v>
      </x:c>
      <x:c r="H227" s="339" t="str">
        <x:v>Requested / Registered → Approved / Denied → Checked In → Checked Out / Cancelled</x:v>
      </x:c>
      <x:c r="I227" s="339" t="str">
        <x:v>No special calculation unless configured; derived fields use authoritative source data and explicit effective-date rules.</x:v>
      </x:c>
      <x:c r="J227" s="339" t="str">
        <x:v>The authoritative record/state is updated only after all blocking validation succeeds; user receives deterministic confirmation.</x:v>
      </x:c>
      <x:c r="K227" s="339" t="str">
        <x:v>Gate events update active-visitor state and security audit trail.</x:v>
      </x:c>
      <x:c r="L227" s="339" t="str">
        <x:v>Create/update/status/approval/reversal/export/security-sensitive events are recorded with actor, timestamp, target and reason/context.</x:v>
      </x:c>
    </x:row>
    <x:row r="228">
      <x:c r="A228" s="339" t="str">
        <x:v>BL-227</x:v>
      </x:c>
      <x:c r="B228" s="339" t="str">
        <x:v>SCR-227</x:v>
      </x:c>
      <x:c r="C228" s="339" t="str">
        <x:v>Visitor / Gate / Security</x:v>
      </x:c>
      <x:c r="D228" s="339" t="str">
        <x:v>Visitor Check-in</x:v>
      </x:c>
      <x:c r="E228" s="339" t="str">
        <x:v>Authenticated/authorized user; tenant/school context resolved; required master data effective.</x:v>
      </x:c>
      <x:c r="F228" s="339" t="str">
        <x:v>User opens or performs the primary action on Visitor Check-in.</x:v>
      </x:c>
      <x:c r="G228" s="339" t="str">
        <x:v>Load valid reference data → validate mandatory and conditional fields → apply duplicate/eligibility/business-rule checks → persist within a transaction → generate identifiers if required → write audit record → trigger configured side effects/notifications.</x:v>
      </x:c>
      <x:c r="H228" s="339" t="str">
        <x:v>Requested / Registered → Approved / Denied → Checked In → Checked Out / Cancelled</x:v>
      </x:c>
      <x:c r="I228" s="339" t="str">
        <x:v>No special calculation unless configured; derived fields use authoritative source data and explicit effective-date rules.</x:v>
      </x:c>
      <x:c r="J228" s="339" t="str">
        <x:v>The authoritative record/state is updated only after all blocking validation succeeds; user receives deterministic confirmation.</x:v>
      </x:c>
      <x:c r="K228" s="339" t="str">
        <x:v>Gate events update active-visitor state and security audit trail.</x:v>
      </x:c>
      <x:c r="L228" s="339" t="str">
        <x:v>Create/update/status/approval/reversal/export/security-sensitive events are recorded with actor, timestamp, target and reason/context.</x:v>
      </x:c>
    </x:row>
    <x:row r="229">
      <x:c r="A229" s="339" t="str">
        <x:v>BL-228</x:v>
      </x:c>
      <x:c r="B229" s="339" t="str">
        <x:v>SCR-228</x:v>
      </x:c>
      <x:c r="C229" s="339" t="str">
        <x:v>Visitor / Gate / Security</x:v>
      </x:c>
      <x:c r="D229" s="339" t="str">
        <x:v>Visitor Approval</x:v>
      </x:c>
      <x:c r="E229" s="339" t="str">
        <x:v>Authenticated/authorized user; tenant/school context resolved; required master data effective.</x:v>
      </x:c>
      <x:c r="F229" s="339" t="str">
        <x:v>User opens or performs the primary action on Visitor Approval.</x:v>
      </x:c>
      <x:c r="G229" s="339" t="str">
        <x:v>Load current workflow state → verify role and allowed transition → validate prerequisites/business rules → execute state change atomically → update dependent data → record audit trail → notify affected users.</x:v>
      </x:c>
      <x:c r="H229" s="339" t="str">
        <x:v>Requested / Registered → Approved / Denied → Checked In → Checked Out / Cancelled</x:v>
      </x:c>
      <x:c r="I229" s="339" t="str">
        <x:v>No special calculation unless configured; derived fields use authoritative source data and explicit effective-date rules.</x:v>
      </x:c>
      <x:c r="J229" s="339" t="str">
        <x:v>The authoritative record/state is updated only after all blocking validation succeeds; user receives deterministic confirmation.</x:v>
      </x:c>
      <x:c r="K229" s="339" t="str">
        <x:v>Gate events update active-visitor state and security audit trail.</x:v>
      </x:c>
      <x:c r="L229" s="339" t="str">
        <x:v>Create/update/status/approval/reversal/export/security-sensitive events are recorded with actor, timestamp, target and reason/context.</x:v>
      </x:c>
    </x:row>
    <x:row r="230">
      <x:c r="A230" s="339" t="str">
        <x:v>BL-229</x:v>
      </x:c>
      <x:c r="B230" s="339" t="str">
        <x:v>SCR-229</x:v>
      </x:c>
      <x:c r="C230" s="339" t="str">
        <x:v>Visitor / Gate / Security</x:v>
      </x:c>
      <x:c r="D230" s="339" t="str">
        <x:v>Visitor Pass</x:v>
      </x:c>
      <x:c r="E230" s="339" t="str">
        <x:v>Authenticated/authorized user; tenant/school context resolved; required master data effective.</x:v>
      </x:c>
      <x:c r="F230" s="339" t="str">
        <x:v>User opens or performs the primary action on Visitor Pass.</x:v>
      </x:c>
      <x:c r="G230" s="339" t="str">
        <x:v>Load current workflow state → verify role and allowed transition → validate prerequisites/business rules → execute state change atomically → update dependent data → record audit trail → notify affected users.</x:v>
      </x:c>
      <x:c r="H230" s="339" t="str">
        <x:v>Requested / Registered → Approved / Denied → Checked In → Checked Out / Cancelled</x:v>
      </x:c>
      <x:c r="I230" s="339" t="str">
        <x:v>No special calculation unless configured; derived fields use authoritative source data and explicit effective-date rules.</x:v>
      </x:c>
      <x:c r="J230" s="339" t="str">
        <x:v>The authoritative record/state is updated only after all blocking validation succeeds; user receives deterministic confirmation.</x:v>
      </x:c>
      <x:c r="K230" s="339" t="str">
        <x:v>Gate events update active-visitor state and security audit trail.</x:v>
      </x:c>
      <x:c r="L230" s="339" t="str">
        <x:v>Create/update/status/approval/reversal/export/security-sensitive events are recorded with actor, timestamp, target and reason/context.</x:v>
      </x:c>
    </x:row>
    <x:row r="231">
      <x:c r="A231" s="339" t="str">
        <x:v>BL-230</x:v>
      </x:c>
      <x:c r="B231" s="339" t="str">
        <x:v>SCR-230</x:v>
      </x:c>
      <x:c r="C231" s="339" t="str">
        <x:v>Visitor / Gate / Security</x:v>
      </x:c>
      <x:c r="D231" s="339" t="str">
        <x:v>Visitor Check-out</x:v>
      </x:c>
      <x:c r="E231" s="339" t="str">
        <x:v>Authenticated/authorized user; tenant/school context resolved; required master data effective.</x:v>
      </x:c>
      <x:c r="F231" s="339" t="str">
        <x:v>User opens or performs the primary action on Visitor Check-out.</x:v>
      </x:c>
      <x:c r="G231" s="339" t="str">
        <x:v>Load current workflow state → verify role and allowed transition → validate prerequisites/business rules → execute state change atomically → update dependent data → record audit trail → notify affected users.</x:v>
      </x:c>
      <x:c r="H231" s="339" t="str">
        <x:v>Requested / Registered → Approved / Denied → Checked In → Checked Out / Cancelled</x:v>
      </x:c>
      <x:c r="I231" s="339" t="str">
        <x:v>No special calculation unless configured; derived fields use authoritative source data and explicit effective-date rules.</x:v>
      </x:c>
      <x:c r="J231" s="339" t="str">
        <x:v>The authoritative record/state is updated only after all blocking validation succeeds; user receives deterministic confirmation.</x:v>
      </x:c>
      <x:c r="K231" s="339" t="str">
        <x:v>Gate events update active-visitor state and security audit trail.</x:v>
      </x:c>
      <x:c r="L231" s="339" t="str">
        <x:v>Create/update/status/approval/reversal/export/security-sensitive events are recorded with actor, timestamp, target and reason/context.</x:v>
      </x:c>
    </x:row>
    <x:row r="232">
      <x:c r="A232" s="339" t="str">
        <x:v>BL-231</x:v>
      </x:c>
      <x:c r="B232" s="339" t="str">
        <x:v>SCR-231</x:v>
      </x:c>
      <x:c r="C232" s="339" t="str">
        <x:v>Visitor / Gate / Security</x:v>
      </x:c>
      <x:c r="D232" s="339" t="str">
        <x:v>Student Early Pickup / Gate Pass</x:v>
      </x:c>
      <x:c r="E232" s="339" t="str">
        <x:v>Authenticated/authorized user; tenant/school context resolved; required master data effective.</x:v>
      </x:c>
      <x:c r="F232" s="339" t="str">
        <x:v>User opens or performs the primary action on Student Early Pickup / Gate Pass.</x:v>
      </x:c>
      <x:c r="G232" s="339" t="str">
        <x:v>Load current workflow state → verify role and allowed transition → validate prerequisites/business rules → execute state change atomically → update dependent data → record audit trail → notify affected users.</x:v>
      </x:c>
      <x:c r="H232" s="339" t="str">
        <x:v>Requested / Registered → Approved / Denied → Checked In → Checked Out / Cancelled</x:v>
      </x:c>
      <x:c r="I232" s="339" t="str">
        <x:v>No special calculation unless configured; derived fields use authoritative source data and explicit effective-date rules.</x:v>
      </x:c>
      <x:c r="J232" s="339" t="str">
        <x:v>The authoritative record/state is updated only after all blocking validation succeeds; user receives deterministic confirmation.</x:v>
      </x:c>
      <x:c r="K232" s="339" t="str">
        <x:v>Gate events update active-visitor state and security audit trail.</x:v>
      </x:c>
      <x:c r="L232" s="339" t="str">
        <x:v>Create/update/status/approval/reversal/export/security-sensitive events are recorded with actor, timestamp, target and reason/context.</x:v>
      </x:c>
    </x:row>
    <x:row r="233">
      <x:c r="A233" s="339" t="str">
        <x:v>BL-232</x:v>
      </x:c>
      <x:c r="B233" s="339" t="str">
        <x:v>SCR-232</x:v>
      </x:c>
      <x:c r="C233" s="339" t="str">
        <x:v>Visitor / Gate / Security</x:v>
      </x:c>
      <x:c r="D233" s="339" t="str">
        <x:v>Staff &amp; Vehicle Gate Log</x:v>
      </x:c>
      <x:c r="E233" s="339" t="str">
        <x:v>Authenticated/authorized user; tenant/school context resolved; required master data effective.</x:v>
      </x:c>
      <x:c r="F233" s="339" t="str">
        <x:v>User opens or performs the primary action on Staff &amp; Vehicle Gate Log.</x:v>
      </x:c>
      <x:c r="G233" s="339" t="str">
        <x:v>Load current workflow state → verify role and allowed transition → validate prerequisites/business rules → execute state change atomically → update dependent data → record audit trail → notify affected users.</x:v>
      </x:c>
      <x:c r="H233" s="339" t="str">
        <x:v>Requested / Registered → Approved / Denied → Checked In → Checked Out / Cancelled</x:v>
      </x:c>
      <x:c r="I233" s="339" t="str">
        <x:v>No special calculation unless configured; derived fields use authoritative source data and explicit effective-date rules.</x:v>
      </x:c>
      <x:c r="J233" s="339" t="str">
        <x:v>The authoritative record/state is updated only after all blocking validation succeeds; user receives deterministic confirmation.</x:v>
      </x:c>
      <x:c r="K233" s="339" t="str">
        <x:v>Gate events update active-visitor state and security audit trail.</x:v>
      </x:c>
      <x:c r="L233" s="339" t="str">
        <x:v>Create/update/status/approval/reversal/export/security-sensitive events are recorded with actor, timestamp, target and reason/context.</x:v>
      </x:c>
    </x:row>
    <x:row r="234">
      <x:c r="A234" s="339" t="str">
        <x:v>BL-233</x:v>
      </x:c>
      <x:c r="B234" s="339" t="str">
        <x:v>SCR-233</x:v>
      </x:c>
      <x:c r="C234" s="339" t="str">
        <x:v>Visitor / Gate / Security</x:v>
      </x:c>
      <x:c r="D234" s="339" t="str">
        <x:v>Security Incident Log</x:v>
      </x:c>
      <x:c r="E234" s="339" t="str">
        <x:v>Authenticated/authorized user; tenant/school context resolved; required master data effective.</x:v>
      </x:c>
      <x:c r="F234" s="339" t="str">
        <x:v>User opens or performs the primary action on Security Incident Log.</x:v>
      </x:c>
      <x:c r="G234" s="339" t="str">
        <x:v>Load current workflow state → verify role and allowed transition → validate prerequisites/business rules → execute state change atomically → update dependent data → record audit trail → notify affected users.</x:v>
      </x:c>
      <x:c r="H234" s="339" t="str">
        <x:v>Requested / Registered → Approved / Denied → Checked In → Checked Out / Cancelled</x:v>
      </x:c>
      <x:c r="I234" s="339" t="str">
        <x:v>No special calculation unless configured; derived fields use authoritative source data and explicit effective-date rules.</x:v>
      </x:c>
      <x:c r="J234" s="339" t="str">
        <x:v>The authoritative record/state is updated only after all blocking validation succeeds; user receives deterministic confirmation.</x:v>
      </x:c>
      <x:c r="K234" s="339" t="str">
        <x:v>Gate events update active-visitor state and security audit trail.</x:v>
      </x:c>
      <x:c r="L234" s="339" t="str">
        <x:v>Create/update/status/approval/reversal/export/security-sensitive events are recorded with actor, timestamp, target and reason/context.</x:v>
      </x:c>
    </x:row>
    <x:row r="235">
      <x:c r="A235" s="339" t="str">
        <x:v>BL-234</x:v>
      </x:c>
      <x:c r="B235" s="339" t="str">
        <x:v>SCR-234</x:v>
      </x:c>
      <x:c r="C235" s="339" t="str">
        <x:v>Inventory / Assets / Labs</x:v>
      </x:c>
      <x:c r="D235" s="339" t="str">
        <x:v>Inventory Dashboard</x:v>
      </x:c>
      <x:c r="E235" s="339" t="str">
        <x:v>Authenticated/authorized user; tenant/school context resolved; required master data effective.</x:v>
      </x:c>
      <x:c r="F235" s="339" t="str">
        <x:v>User opens or performs the primary action on Inventory Dashboard.</x:v>
      </x:c>
      <x:c r="G235" s="339" t="str">
        <x:v>Resolve tenant/school/role context → apply date/academic filters → query authorized aggregates → compute/reconcile KPIs → highlight alerts/exceptions → expose permitted drill-down actions.</x:v>
      </x:c>
      <x:c r="H235" s="339" t="str">
        <x:v>Available → Assigned / Issued / Reserved → Returned / Maintenance → Retired / Written Off</x:v>
      </x:c>
      <x:c r="I235" s="339" t="str">
        <x:v>Available stock = opening + receipts + returns + positive adjustments - issues - consumption - write-offs - negative adjustments.</x:v>
      </x:c>
      <x:c r="J235" s="339" t="str">
        <x:v>The authoritative record/state is updated only after all blocking validation succeeds; user receives deterministic confirmation.</x:v>
      </x:c>
      <x:c r="K235" s="339" t="str">
        <x:v>Stock/asset changes update availability, custody and finance/purchase references.</x:v>
      </x:c>
      <x:c r="L235" s="339" t="str">
        <x:v>Create/update/status/approval/reversal/export/security-sensitive events are recorded with actor, timestamp, target and reason/context.</x:v>
      </x:c>
    </x:row>
    <x:row r="236">
      <x:c r="A236" s="339" t="str">
        <x:v>BL-235</x:v>
      </x:c>
      <x:c r="B236" s="339" t="str">
        <x:v>SCR-235</x:v>
      </x:c>
      <x:c r="C236" s="339" t="str">
        <x:v>Inventory / Assets / Labs</x:v>
      </x:c>
      <x:c r="D236" s="339" t="str">
        <x:v>Item Catalogue</x:v>
      </x:c>
      <x:c r="E236" s="339" t="str">
        <x:v>Authenticated/authorized user; tenant/school context resolved; required master data effective.</x:v>
      </x:c>
      <x:c r="F236" s="339" t="str">
        <x:v>User opens or performs the primary action on Item Catalogue.</x:v>
      </x:c>
      <x:c r="G236" s="339" t="str">
        <x:v>Resolve authorized data scope → validate search/filter/sort/page parameters → query indexed records → apply row/field masking → return paged results → expose only state- and role-permitted actions.</x:v>
      </x:c>
      <x:c r="H236" s="339" t="str">
        <x:v>Available → Assigned / Issued / Reserved → Returned / Maintenance → Retired / Written Off</x:v>
      </x:c>
      <x:c r="I236" s="339" t="str">
        <x:v>Available stock = opening + receipts + returns + positive adjustments - issues - consumption - write-offs - negative adjustments.</x:v>
      </x:c>
      <x:c r="J236" s="339" t="str">
        <x:v>The authoritative record/state is updated only after all blocking validation succeeds; user receives deterministic confirmation.</x:v>
      </x:c>
      <x:c r="K236" s="339" t="str">
        <x:v>Stock/asset changes update availability, custody and finance/purchase references.</x:v>
      </x:c>
      <x:c r="L236" s="339" t="str">
        <x:v>Create/update/status/approval/reversal/export/security-sensitive events are recorded with actor, timestamp, target and reason/context.</x:v>
      </x:c>
    </x:row>
    <x:row r="237">
      <x:c r="A237" s="339" t="str">
        <x:v>BL-236</x:v>
      </x:c>
      <x:c r="B237" s="339" t="str">
        <x:v>SCR-236</x:v>
      </x:c>
      <x:c r="C237" s="339" t="str">
        <x:v>Inventory / Assets / Labs</x:v>
      </x:c>
      <x:c r="D237" s="339" t="str">
        <x:v>Stock In / Purchase Receipt</x:v>
      </x:c>
      <x:c r="E237" s="339" t="str">
        <x:v>Authenticated/authorized user; tenant/school context resolved; required master data effective.</x:v>
      </x:c>
      <x:c r="F237" s="339" t="str">
        <x:v>User opens or performs the primary action on Stock In / Purchase Receipt.</x:v>
      </x:c>
      <x:c r="G237" s="339" t="str">
        <x:v>Resolve and authorize the target record → load related data/history → mask restricted fields → apply edit/state permissions → validate updates → persist with version/audit controls → refresh dependent summaries.</x:v>
      </x:c>
      <x:c r="H237" s="339" t="str">
        <x:v>Available → Assigned / Issued / Reserved → Returned / Maintenance → Retired / Written Off</x:v>
      </x:c>
      <x:c r="I237" s="339" t="str">
        <x:v>Available stock = opening + receipts + returns + positive adjustments - issues - consumption - write-offs - negative adjustments.</x:v>
      </x:c>
      <x:c r="J237" s="339" t="str">
        <x:v>The authoritative record/state is updated only after all blocking validation succeeds; user receives deterministic confirmation.</x:v>
      </x:c>
      <x:c r="K237" s="339" t="str">
        <x:v>Stock/asset changes update availability, custody and finance/purchase references.</x:v>
      </x:c>
      <x:c r="L237" s="339" t="str">
        <x:v>Create/update/status/approval/reversal/export/security-sensitive events are recorded with actor, timestamp, target and reason/context.</x:v>
      </x:c>
    </x:row>
    <x:row r="238">
      <x:c r="A238" s="339" t="str">
        <x:v>BL-237</x:v>
      </x:c>
      <x:c r="B238" s="339" t="str">
        <x:v>SCR-237</x:v>
      </x:c>
      <x:c r="C238" s="339" t="str">
        <x:v>Inventory / Assets / Labs</x:v>
      </x:c>
      <x:c r="D238" s="339" t="str">
        <x:v>Stock Issue / Return</x:v>
      </x:c>
      <x:c r="E238" s="339" t="str">
        <x:v>Authenticated/authorized user; tenant/school context resolved; required master data effective.</x:v>
      </x:c>
      <x:c r="F238" s="339" t="str">
        <x:v>User opens or performs the primary action on Stock Issue / Return.</x:v>
      </x:c>
      <x:c r="G238" s="339" t="str">
        <x:v>Load current workflow state → verify role and allowed transition → validate prerequisites/business rules → execute state change atomically → update dependent data → record audit trail → notify affected users.</x:v>
      </x:c>
      <x:c r="H238" s="339" t="str">
        <x:v>Available → Assigned / Issued / Reserved → Returned / Maintenance → Retired / Written Off</x:v>
      </x:c>
      <x:c r="I238" s="339" t="str">
        <x:v>Available stock = opening + receipts + returns + positive adjustments - issues - consumption - write-offs - negative adjustments.</x:v>
      </x:c>
      <x:c r="J238" s="339" t="str">
        <x:v>The authoritative record/state is updated only after all blocking validation succeeds; user receives deterministic confirmation.</x:v>
      </x:c>
      <x:c r="K238" s="339" t="str">
        <x:v>Stock/asset changes update availability, custody and finance/purchase references.</x:v>
      </x:c>
      <x:c r="L238" s="339" t="str">
        <x:v>Create/update/status/approval/reversal/export/security-sensitive events are recorded with actor, timestamp, target and reason/context.</x:v>
      </x:c>
    </x:row>
    <x:row r="239">
      <x:c r="A239" s="339" t="str">
        <x:v>BL-238</x:v>
      </x:c>
      <x:c r="B239" s="339" t="str">
        <x:v>SCR-238</x:v>
      </x:c>
      <x:c r="C239" s="339" t="str">
        <x:v>Inventory / Assets / Labs</x:v>
      </x:c>
      <x:c r="D239" s="339" t="str">
        <x:v>Supplier Management</x:v>
      </x:c>
      <x:c r="E239" s="339" t="str">
        <x:v>Authenticated/authorized user; tenant/school context resolved; required master data effective.</x:v>
      </x:c>
      <x:c r="F239" s="339" t="str">
        <x:v>User opens or performs the primary action on Supplier Management.</x:v>
      </x:c>
      <x:c r="G239" s="339" t="str">
        <x:v>Load current workflow state → verify role and allowed transition → validate prerequisites/business rules → execute state change atomically → update dependent data → record audit trail → notify affected users.</x:v>
      </x:c>
      <x:c r="H239" s="339" t="str">
        <x:v>Available → Assigned / Issued / Reserved → Returned / Maintenance → Retired / Written Off</x:v>
      </x:c>
      <x:c r="I239" s="339" t="str">
        <x:v>Available stock = opening + receipts + returns + positive adjustments - issues - consumption - write-offs - negative adjustments.</x:v>
      </x:c>
      <x:c r="J239" s="339" t="str">
        <x:v>The authoritative record/state is updated only after all blocking validation succeeds; user receives deterministic confirmation.</x:v>
      </x:c>
      <x:c r="K239" s="339" t="str">
        <x:v>Stock/asset changes update availability, custody and finance/purchase references.</x:v>
      </x:c>
      <x:c r="L239" s="339" t="str">
        <x:v>Create/update/status/approval/reversal/export/security-sensitive events are recorded with actor, timestamp, target and reason/context.</x:v>
      </x:c>
    </x:row>
    <x:row r="240">
      <x:c r="A240" s="339" t="str">
        <x:v>BL-239</x:v>
      </x:c>
      <x:c r="B240" s="339" t="str">
        <x:v>SCR-239</x:v>
      </x:c>
      <x:c r="C240" s="339" t="str">
        <x:v>Inventory / Assets / Labs</x:v>
      </x:c>
      <x:c r="D240" s="339" t="str">
        <x:v>Asset Register</x:v>
      </x:c>
      <x:c r="E240" s="339" t="str">
        <x:v>Authenticated/authorized user; tenant/school context resolved; required master data effective.</x:v>
      </x:c>
      <x:c r="F240" s="339" t="str">
        <x:v>User opens or performs the primary action on Asset Register.</x:v>
      </x:c>
      <x:c r="G240" s="339" t="str">
        <x:v>Resolve and authorize the target record → load related data/history → mask restricted fields → apply edit/state permissions → validate updates → persist with version/audit controls → refresh dependent summaries.</x:v>
      </x:c>
      <x:c r="H240" s="339" t="str">
        <x:v>Available → Assigned / Issued / Reserved → Returned / Maintenance → Retired / Written Off</x:v>
      </x:c>
      <x:c r="I240" s="339" t="str">
        <x:v>Available stock = opening + receipts + returns + positive adjustments - issues - consumption - write-offs - negative adjustments.</x:v>
      </x:c>
      <x:c r="J240" s="339" t="str">
        <x:v>The authoritative record/state is updated only after all blocking validation succeeds; user receives deterministic confirmation.</x:v>
      </x:c>
      <x:c r="K240" s="339" t="str">
        <x:v>Stock/asset changes update availability, custody and finance/purchase references.</x:v>
      </x:c>
      <x:c r="L240" s="339" t="str">
        <x:v>Create/update/status/approval/reversal/export/security-sensitive events are recorded with actor, timestamp, target and reason/context.</x:v>
      </x:c>
    </x:row>
    <x:row r="241">
      <x:c r="A241" s="339" t="str">
        <x:v>BL-240</x:v>
      </x:c>
      <x:c r="B241" s="339" t="str">
        <x:v>SCR-240</x:v>
      </x:c>
      <x:c r="C241" s="339" t="str">
        <x:v>Inventory / Assets / Labs</x:v>
      </x:c>
      <x:c r="D241" s="339" t="str">
        <x:v>Asset Assignment / Transfer</x:v>
      </x:c>
      <x:c r="E241" s="339" t="str">
        <x:v>Authenticated/authorized user; tenant/school context resolved; required master data effective.</x:v>
      </x:c>
      <x:c r="F241" s="339" t="str">
        <x:v>User opens or performs the primary action on Asset Assignment / Transfer.</x:v>
      </x:c>
      <x:c r="G241" s="339" t="str">
        <x:v>Load current workflow state → verify role and allowed transition → validate prerequisites/business rules → execute state change atomically → update dependent data → record audit trail → notify affected users.</x:v>
      </x:c>
      <x:c r="H241" s="339" t="str">
        <x:v>Available → Assigned / Issued / Reserved → Returned / Maintenance → Retired / Written Off</x:v>
      </x:c>
      <x:c r="I241" s="339" t="str">
        <x:v>Available stock = opening + receipts + returns + positive adjustments - issues - consumption - write-offs - negative adjustments.</x:v>
      </x:c>
      <x:c r="J241" s="339" t="str">
        <x:v>The authoritative record/state is updated only after all blocking validation succeeds; user receives deterministic confirmation.</x:v>
      </x:c>
      <x:c r="K241" s="339" t="str">
        <x:v>Stock/asset changes update availability, custody and finance/purchase references.</x:v>
      </x:c>
      <x:c r="L241" s="339" t="str">
        <x:v>Create/update/status/approval/reversal/export/security-sensitive events are recorded with actor, timestamp, target and reason/context.</x:v>
      </x:c>
    </x:row>
    <x:row r="242">
      <x:c r="A242" s="339" t="str">
        <x:v>BL-241</x:v>
      </x:c>
      <x:c r="B242" s="339" t="str">
        <x:v>SCR-241</x:v>
      </x:c>
      <x:c r="C242" s="339" t="str">
        <x:v>Inventory / Assets / Labs</x:v>
      </x:c>
      <x:c r="D242" s="339" t="str">
        <x:v>Asset Maintenance</x:v>
      </x:c>
      <x:c r="E242" s="339" t="str">
        <x:v>Authenticated/authorized user; tenant/school context resolved; required master data effective.</x:v>
      </x:c>
      <x:c r="F242" s="339" t="str">
        <x:v>User opens or performs the primary action on Asset Maintenance.</x:v>
      </x:c>
      <x:c r="G242" s="339" t="str">
        <x:v>Load current workflow state → verify role and allowed transition → validate prerequisites/business rules → execute state change atomically → update dependent data → record audit trail → notify affected users.</x:v>
      </x:c>
      <x:c r="H242" s="339" t="str">
        <x:v>Available → Assigned / Issued / Reserved → Returned / Maintenance → Retired / Written Off</x:v>
      </x:c>
      <x:c r="I242" s="339" t="str">
        <x:v>Available stock = opening + receipts + returns + positive adjustments - issues - consumption - write-offs - negative adjustments.</x:v>
      </x:c>
      <x:c r="J242" s="339" t="str">
        <x:v>The authoritative record/state is updated only after all blocking validation succeeds; user receives deterministic confirmation.</x:v>
      </x:c>
      <x:c r="K242" s="339" t="str">
        <x:v>Stock/asset changes update availability, custody and finance/purchase references.</x:v>
      </x:c>
      <x:c r="L242" s="339" t="str">
        <x:v>Create/update/status/approval/reversal/export/security-sensitive events are recorded with actor, timestamp, target and reason/context.</x:v>
      </x:c>
    </x:row>
    <x:row r="243">
      <x:c r="A243" s="339" t="str">
        <x:v>BL-242</x:v>
      </x:c>
      <x:c r="B243" s="339" t="str">
        <x:v>SCR-242</x:v>
      </x:c>
      <x:c r="C243" s="339" t="str">
        <x:v>Inventory / Assets / Labs</x:v>
      </x:c>
      <x:c r="D243" s="339" t="str">
        <x:v>Lab Register</x:v>
      </x:c>
      <x:c r="E243" s="339" t="str">
        <x:v>Authenticated/authorized user; tenant/school context resolved; required master data effective.</x:v>
      </x:c>
      <x:c r="F243" s="339" t="str">
        <x:v>User opens or performs the primary action on Lab Register.</x:v>
      </x:c>
      <x:c r="G243" s="339" t="str">
        <x:v>Resolve and authorize the target record → load related data/history → mask restricted fields → apply edit/state permissions → validate updates → persist with version/audit controls → refresh dependent summaries.</x:v>
      </x:c>
      <x:c r="H243" s="339" t="str">
        <x:v>Available → Assigned / Issued / Reserved → Returned / Maintenance → Retired / Written Off</x:v>
      </x:c>
      <x:c r="I243" s="339" t="str">
        <x:v>Available stock = opening + receipts + returns + positive adjustments - issues - consumption - write-offs - negative adjustments.</x:v>
      </x:c>
      <x:c r="J243" s="339" t="str">
        <x:v>The authoritative record/state is updated only after all blocking validation succeeds; user receives deterministic confirmation.</x:v>
      </x:c>
      <x:c r="K243" s="339" t="str">
        <x:v>Stock/asset changes update availability, custody and finance/purchase references.</x:v>
      </x:c>
      <x:c r="L243" s="339" t="str">
        <x:v>Create/update/status/approval/reversal/export/security-sensitive events are recorded with actor, timestamp, target and reason/context.</x:v>
      </x:c>
    </x:row>
    <x:row r="244">
      <x:c r="A244" s="339" t="str">
        <x:v>BL-243</x:v>
      </x:c>
      <x:c r="B244" s="339" t="str">
        <x:v>SCR-243</x:v>
      </x:c>
      <x:c r="C244" s="339" t="str">
        <x:v>Inventory / Assets / Labs</x:v>
      </x:c>
      <x:c r="D244" s="339" t="str">
        <x:v>Lab Equipment &amp; Consumables</x:v>
      </x:c>
      <x:c r="E244" s="339" t="str">
        <x:v>Authenticated/authorized user; tenant/school context resolved; required master data effective.</x:v>
      </x:c>
      <x:c r="F244" s="339" t="str">
        <x:v>User opens or performs the primary action on Lab Equipment &amp; Consumables.</x:v>
      </x:c>
      <x:c r="G244" s="339" t="str">
        <x:v>Load current workflow state → verify role and allowed transition → validate prerequisites/business rules → execute state change atomically → update dependent data → record audit trail → notify affected users.</x:v>
      </x:c>
      <x:c r="H244" s="339" t="str">
        <x:v>Available → Assigned / Issued / Reserved → Returned / Maintenance → Retired / Written Off</x:v>
      </x:c>
      <x:c r="I244" s="339" t="str">
        <x:v>Available stock = opening + receipts + returns + positive adjustments - issues - consumption - write-offs - negative adjustments.</x:v>
      </x:c>
      <x:c r="J244" s="339" t="str">
        <x:v>The authoritative record/state is updated only after all blocking validation succeeds; user receives deterministic confirmation.</x:v>
      </x:c>
      <x:c r="K244" s="339" t="str">
        <x:v>Stock/asset changes update availability, custody and finance/purchase references.</x:v>
      </x:c>
      <x:c r="L244" s="339" t="str">
        <x:v>Create/update/status/approval/reversal/export/security-sensitive events are recorded with actor, timestamp, target and reason/context.</x:v>
      </x:c>
    </x:row>
    <x:row r="245">
      <x:c r="A245" s="339" t="str">
        <x:v>BL-244</x:v>
      </x:c>
      <x:c r="B245" s="339" t="str">
        <x:v>SCR-244</x:v>
      </x:c>
      <x:c r="C245" s="339" t="str">
        <x:v>Inventory / Assets / Labs</x:v>
      </x:c>
      <x:c r="D245" s="339" t="str">
        <x:v>Practical / Lab Booking</x:v>
      </x:c>
      <x:c r="E245" s="339" t="str">
        <x:v>Authenticated/authorized user; tenant/school context resolved; required master data effective.</x:v>
      </x:c>
      <x:c r="F245" s="339" t="str">
        <x:v>User opens or performs the primary action on Practical / Lab Booking.</x:v>
      </x:c>
      <x:c r="G245" s="339" t="str">
        <x:v>Load current workflow state → verify role and allowed transition → validate prerequisites/business rules → execute state change atomically → update dependent data → record audit trail → notify affected users.</x:v>
      </x:c>
      <x:c r="H245" s="339" t="str">
        <x:v>Available → Assigned / Issued / Reserved → Returned / Maintenance → Retired / Written Off</x:v>
      </x:c>
      <x:c r="I245" s="339" t="str">
        <x:v>Available stock = opening + receipts + returns + positive adjustments - issues - consumption - write-offs - negative adjustments.</x:v>
      </x:c>
      <x:c r="J245" s="339" t="str">
        <x:v>The authoritative record/state is updated only after all blocking validation succeeds; user receives deterministic confirmation.</x:v>
      </x:c>
      <x:c r="K245" s="339" t="str">
        <x:v>Stock/asset changes update availability, custody and finance/purchase references.</x:v>
      </x:c>
      <x:c r="L245" s="339" t="str">
        <x:v>Create/update/status/approval/reversal/export/security-sensitive events are recorded with actor, timestamp, target and reason/context.</x:v>
      </x:c>
    </x:row>
    <x:row r="246">
      <x:c r="A246" s="339" t="str">
        <x:v>BL-245</x:v>
      </x:c>
      <x:c r="B246" s="339" t="str">
        <x:v>SCR-245</x:v>
      </x:c>
      <x:c r="C246" s="339" t="str">
        <x:v>Inventory / Assets / Labs</x:v>
      </x:c>
      <x:c r="D246" s="339" t="str">
        <x:v>Stock &amp; Asset Reports</x:v>
      </x:c>
      <x:c r="E246" s="339" t="str">
        <x:v>Authenticated/authorized user; tenant/school context resolved; required master data effective.</x:v>
      </x:c>
      <x:c r="F246" s="339" t="str">
        <x:v>User opens or performs the primary action on Stock &amp; Asset Reports.</x:v>
      </x:c>
      <x:c r="G246" s="339" t="str">
        <x:v>Validate filter context → resolve row-level scope → query authoritative transactions → apply approved formulas/grouping → reconcile totals → render table/chart → export only permitted data.</x:v>
      </x:c>
      <x:c r="H246" s="339" t="str">
        <x:v>Available → Assigned / Issued / Reserved → Returned / Maintenance → Retired / Written Off</x:v>
      </x:c>
      <x:c r="I246" s="339" t="str">
        <x:v>Available stock = opening + receipts + returns + positive adjustments - issues - consumption - write-offs - negative adjustments.</x:v>
      </x:c>
      <x:c r="J246" s="339" t="str">
        <x:v>The authoritative record/state is updated only after all blocking validation succeeds; user receives deterministic confirmation.</x:v>
      </x:c>
      <x:c r="K246" s="339" t="str">
        <x:v>Stock/asset changes update availability, custody and finance/purchase references.</x:v>
      </x:c>
      <x:c r="L246" s="339" t="str">
        <x:v>Create/update/status/approval/reversal/export/security-sensitive events are recorded with actor, timestamp, target and reason/context.</x:v>
      </x:c>
    </x:row>
    <x:row r="247">
      <x:c r="A247" s="339" t="str">
        <x:v>BL-246</x:v>
      </x:c>
      <x:c r="B247" s="339" t="str">
        <x:v>SCR-246</x:v>
      </x:c>
      <x:c r="C247" s="339" t="str">
        <x:v>Events / PTM / Communication</x:v>
      </x:c>
      <x:c r="D247" s="339" t="str">
        <x:v>Events Calendar</x:v>
      </x:c>
      <x:c r="E247" s="339" t="str">
        <x:v>Authenticated/authorized user; tenant/school context resolved; required master data effective.</x:v>
      </x:c>
      <x:c r="F247" s="339" t="str">
        <x:v>User opens or performs the primary action on Events Calendar.</x:v>
      </x:c>
      <x:c r="G247" s="339" t="str">
        <x:v>Load active resources/availability → validate requested date/time → detect conflicts/capacity constraints → create/update schedule atomically → record revision history → notify affected participants where configured.</x:v>
      </x:c>
      <x:c r="H247" s="339" t="str">
        <x:v>Draft → Scheduled / Published → In Progress / Sent → Completed / Delivered / Failed → Archived</x:v>
      </x:c>
      <x:c r="I247" s="339" t="str">
        <x:v>No special calculation unless configured; derived fields use authoritative source data and explicit effective-date rules.</x:v>
      </x:c>
      <x:c r="J247" s="339" t="str">
        <x:v>The authoritative record/state is updated only after all blocking validation succeeds; user receives deterministic confirmation.</x:v>
      </x:c>
      <x:c r="K247" s="339" t="str">
        <x:v>Published events/communications create recipient-specific calendar/message records.</x:v>
      </x:c>
      <x:c r="L247" s="339" t="str">
        <x:v>Create/update/status/approval/reversal/export/security-sensitive events are recorded with actor, timestamp, target and reason/context.</x:v>
      </x:c>
    </x:row>
    <x:row r="248">
      <x:c r="A248" s="339" t="str">
        <x:v>BL-247</x:v>
      </x:c>
      <x:c r="B248" s="339" t="str">
        <x:v>SCR-247</x:v>
      </x:c>
      <x:c r="C248" s="339" t="str">
        <x:v>Events / PTM / Communication</x:v>
      </x:c>
      <x:c r="D248" s="339" t="str">
        <x:v>Create / Edit Event</x:v>
      </x:c>
      <x:c r="E248" s="339" t="str">
        <x:v>Authenticated/authorized user; tenant/school context resolved; required master data effective.</x:v>
      </x:c>
      <x:c r="F248" s="339" t="str">
        <x:v>User opens or performs the primary action on Create / Edit Event.</x:v>
      </x:c>
      <x:c r="G248" s="339" t="str">
        <x:v>Load valid reference data → validate mandatory and conditional fields → apply duplicate/eligibility/business-rule checks → persist within a transaction → generate identifiers if required → write audit record → trigger configured side effects/notifications.</x:v>
      </x:c>
      <x:c r="H248" s="339" t="str">
        <x:v>Draft → Scheduled / Published → In Progress / Sent → Completed / Delivered / Failed → Archived</x:v>
      </x:c>
      <x:c r="I248" s="339" t="str">
        <x:v>No special calculation unless configured; derived fields use authoritative source data and explicit effective-date rules.</x:v>
      </x:c>
      <x:c r="J248" s="339" t="str">
        <x:v>The authoritative record/state is updated only after all blocking validation succeeds; user receives deterministic confirmation.</x:v>
      </x:c>
      <x:c r="K248" s="339" t="str">
        <x:v>Published events/communications create recipient-specific calendar/message records.</x:v>
      </x:c>
      <x:c r="L248" s="339" t="str">
        <x:v>Create/update/status/approval/reversal/export/security-sensitive events are recorded with actor, timestamp, target and reason/context.</x:v>
      </x:c>
    </x:row>
    <x:row r="249">
      <x:c r="A249" s="339" t="str">
        <x:v>BL-248</x:v>
      </x:c>
      <x:c r="B249" s="339" t="str">
        <x:v>SCR-248</x:v>
      </x:c>
      <x:c r="C249" s="339" t="str">
        <x:v>Events / PTM / Communication</x:v>
      </x:c>
      <x:c r="D249" s="339" t="str">
        <x:v>Event Details &amp; Participants</x:v>
      </x:c>
      <x:c r="E249" s="339" t="str">
        <x:v>Authenticated/authorized user; tenant/school context resolved; required master data effective.</x:v>
      </x:c>
      <x:c r="F249" s="339" t="str">
        <x:v>User opens or performs the primary action on Event Details &amp; Participants.</x:v>
      </x:c>
      <x:c r="G249" s="339" t="str">
        <x:v>Resolve and authorize the target record → load related data/history → mask restricted fields → apply edit/state permissions → validate updates → persist with version/audit controls → refresh dependent summaries.</x:v>
      </x:c>
      <x:c r="H249" s="339" t="str">
        <x:v>Draft → Scheduled / Published → In Progress / Sent → Completed / Delivered / Failed → Archived</x:v>
      </x:c>
      <x:c r="I249" s="339" t="str">
        <x:v>No special calculation unless configured; derived fields use authoritative source data and explicit effective-date rules.</x:v>
      </x:c>
      <x:c r="J249" s="339" t="str">
        <x:v>The authoritative record/state is updated only after all blocking validation succeeds; user receives deterministic confirmation.</x:v>
      </x:c>
      <x:c r="K249" s="339" t="str">
        <x:v>Published events/communications create recipient-specific calendar/message records.</x:v>
      </x:c>
      <x:c r="L249" s="339" t="str">
        <x:v>Create/update/status/approval/reversal/export/security-sensitive events are recorded with actor, timestamp, target and reason/context.</x:v>
      </x:c>
    </x:row>
    <x:row r="250">
      <x:c r="A250" s="339" t="str">
        <x:v>BL-249</x:v>
      </x:c>
      <x:c r="B250" s="339" t="str">
        <x:v>SCR-249</x:v>
      </x:c>
      <x:c r="C250" s="339" t="str">
        <x:v>Events / PTM / Communication</x:v>
      </x:c>
      <x:c r="D250" s="339" t="str">
        <x:v>Field Trip &amp; Parent Consent</x:v>
      </x:c>
      <x:c r="E250" s="339" t="str">
        <x:v>Authenticated/authorized user; tenant/school context resolved; required master data effective.</x:v>
      </x:c>
      <x:c r="F250" s="339" t="str">
        <x:v>User opens or performs the primary action on Field Trip &amp; Parent Consent.</x:v>
      </x:c>
      <x:c r="G250" s="339" t="str">
        <x:v>Load current workflow state → verify role and allowed transition → validate prerequisites/business rules → execute state change atomically → update dependent data → record audit trail → notify affected users.</x:v>
      </x:c>
      <x:c r="H250" s="339" t="str">
        <x:v>Draft → Scheduled / Published → In Progress / Sent → Completed / Delivered / Failed → Archived</x:v>
      </x:c>
      <x:c r="I250" s="339" t="str">
        <x:v>No special calculation unless configured; derived fields use authoritative source data and explicit effective-date rules.</x:v>
      </x:c>
      <x:c r="J250" s="339" t="str">
        <x:v>The authoritative record/state is updated only after all blocking validation succeeds; user receives deterministic confirmation.</x:v>
      </x:c>
      <x:c r="K250" s="339" t="str">
        <x:v>Published events/communications create recipient-specific calendar/message records.</x:v>
      </x:c>
      <x:c r="L250" s="339" t="str">
        <x:v>Create/update/status/approval/reversal/export/security-sensitive events are recorded with actor, timestamp, target and reason/context.</x:v>
      </x:c>
    </x:row>
    <x:row r="251">
      <x:c r="A251" s="339" t="str">
        <x:v>BL-250</x:v>
      </x:c>
      <x:c r="B251" s="339" t="str">
        <x:v>SCR-250</x:v>
      </x:c>
      <x:c r="C251" s="339" t="str">
        <x:v>Events / PTM / Communication</x:v>
      </x:c>
      <x:c r="D251" s="339" t="str">
        <x:v>PTM Setup</x:v>
      </x:c>
      <x:c r="E251" s="339" t="str">
        <x:v>Authenticated/authorized user; tenant/school context resolved; required master data effective.</x:v>
      </x:c>
      <x:c r="F251" s="339" t="str">
        <x:v>User opens or performs the primary action on PTM Setup.</x:v>
      </x:c>
      <x:c r="G251" s="339" t="str">
        <x:v>Load valid reference data → validate mandatory and conditional fields → apply duplicate/eligibility/business-rule checks → persist within a transaction → generate identifiers if required → write audit record → trigger configured side effects/notifications.</x:v>
      </x:c>
      <x:c r="H251" s="339" t="str">
        <x:v>Draft → Scheduled / Published → In Progress / Sent → Completed / Delivered / Failed → Archived</x:v>
      </x:c>
      <x:c r="I251" s="339" t="str">
        <x:v>No special calculation unless configured; derived fields use authoritative source data and explicit effective-date rules.</x:v>
      </x:c>
      <x:c r="J251" s="339" t="str">
        <x:v>The authoritative record/state is updated only after all blocking validation succeeds; user receives deterministic confirmation.</x:v>
      </x:c>
      <x:c r="K251" s="339" t="str">
        <x:v>Published events/communications create recipient-specific calendar/message records.</x:v>
      </x:c>
      <x:c r="L251" s="339" t="str">
        <x:v>Create/update/status/approval/reversal/export/security-sensitive events are recorded with actor, timestamp, target and reason/context.</x:v>
      </x:c>
    </x:row>
    <x:row r="252">
      <x:c r="A252" s="339" t="str">
        <x:v>BL-251</x:v>
      </x:c>
      <x:c r="B252" s="339" t="str">
        <x:v>SCR-251</x:v>
      </x:c>
      <x:c r="C252" s="339" t="str">
        <x:v>Events / PTM / Communication</x:v>
      </x:c>
      <x:c r="D252" s="339" t="str">
        <x:v>PTM Slot Booking</x:v>
      </x:c>
      <x:c r="E252" s="339" t="str">
        <x:v>Authenticated/authorized user; tenant/school context resolved; required master data effective.</x:v>
      </x:c>
      <x:c r="F252" s="339" t="str">
        <x:v>User opens or performs the primary action on PTM Slot Booking.</x:v>
      </x:c>
      <x:c r="G252" s="339" t="str">
        <x:v>Load current workflow state → verify role and allowed transition → validate prerequisites/business rules → execute state change atomically → update dependent data → record audit trail → notify affected users.</x:v>
      </x:c>
      <x:c r="H252" s="339" t="str">
        <x:v>Draft → Scheduled / Published → In Progress / Sent → Completed / Delivered / Failed → Archived</x:v>
      </x:c>
      <x:c r="I252" s="339" t="str">
        <x:v>No special calculation unless configured; derived fields use authoritative source data and explicit effective-date rules.</x:v>
      </x:c>
      <x:c r="J252" s="339" t="str">
        <x:v>The authoritative record/state is updated only after all blocking validation succeeds; user receives deterministic confirmation.</x:v>
      </x:c>
      <x:c r="K252" s="339" t="str">
        <x:v>Published events/communications create recipient-specific calendar/message records.</x:v>
      </x:c>
      <x:c r="L252" s="339" t="str">
        <x:v>Create/update/status/approval/reversal/export/security-sensitive events are recorded with actor, timestamp, target and reason/context.</x:v>
      </x:c>
    </x:row>
    <x:row r="253">
      <x:c r="A253" s="339" t="str">
        <x:v>BL-252</x:v>
      </x:c>
      <x:c r="B253" s="339" t="str">
        <x:v>SCR-252</x:v>
      </x:c>
      <x:c r="C253" s="339" t="str">
        <x:v>Events / PTM / Communication</x:v>
      </x:c>
      <x:c r="D253" s="339" t="str">
        <x:v>Announcements</x:v>
      </x:c>
      <x:c r="E253" s="339" t="str">
        <x:v>Authenticated/authorized user; tenant/school context resolved; required master data effective.</x:v>
      </x:c>
      <x:c r="F253" s="339" t="str">
        <x:v>User opens or performs the primary action on Announcements.</x:v>
      </x:c>
      <x:c r="G253" s="339" t="str">
        <x:v>Resolve authorized data scope → validate search/filter/sort/page parameters → query indexed records → apply row/field masking → return paged results → expose only state- and role-permitted actions.</x:v>
      </x:c>
      <x:c r="H253" s="339" t="str">
        <x:v>Draft → Scheduled / Published → In Progress / Sent → Completed / Delivered / Failed → Archived</x:v>
      </x:c>
      <x:c r="I253" s="339" t="str">
        <x:v>No special calculation unless configured; derived fields use authoritative source data and explicit effective-date rules.</x:v>
      </x:c>
      <x:c r="J253" s="339" t="str">
        <x:v>The authoritative record/state is updated only after all blocking validation succeeds; user receives deterministic confirmation.</x:v>
      </x:c>
      <x:c r="K253" s="339" t="str">
        <x:v>Published events/communications create recipient-specific calendar/message records.</x:v>
      </x:c>
      <x:c r="L253" s="339" t="str">
        <x:v>Create/update/status/approval/reversal/export/security-sensitive events are recorded with actor, timestamp, target and reason/context.</x:v>
      </x:c>
    </x:row>
    <x:row r="254">
      <x:c r="A254" s="339" t="str">
        <x:v>BL-253</x:v>
      </x:c>
      <x:c r="B254" s="339" t="str">
        <x:v>SCR-253</x:v>
      </x:c>
      <x:c r="C254" s="339" t="str">
        <x:v>Events / PTM / Communication</x:v>
      </x:c>
      <x:c r="D254" s="339" t="str">
        <x:v>Messaging / Inbox</x:v>
      </x:c>
      <x:c r="E254" s="339" t="str">
        <x:v>Authenticated/authorized user; tenant/school context resolved; required master data effective.</x:v>
      </x:c>
      <x:c r="F254" s="339" t="str">
        <x:v>User opens or performs the primary action on Messaging / Inbox.</x:v>
      </x:c>
      <x:c r="G254" s="339" t="str">
        <x:v>Load current workflow state → verify role and allowed transition → validate prerequisites/business rules → execute state change atomically → update dependent data → record audit trail → notify affected users.</x:v>
      </x:c>
      <x:c r="H254" s="339" t="str">
        <x:v>Draft → Scheduled / Published → In Progress / Sent → Completed / Delivered / Failed → Archived</x:v>
      </x:c>
      <x:c r="I254" s="339" t="str">
        <x:v>No special calculation unless configured; derived fields use authoritative source data and explicit effective-date rules.</x:v>
      </x:c>
      <x:c r="J254" s="339" t="str">
        <x:v>The authoritative record/state is updated only after all blocking validation succeeds; user receives deterministic confirmation.</x:v>
      </x:c>
      <x:c r="K254" s="339" t="str">
        <x:v>Published events/communications create recipient-specific calendar/message records.</x:v>
      </x:c>
      <x:c r="L254" s="339" t="str">
        <x:v>Create/update/status/approval/reversal/export/security-sensitive events are recorded with actor, timestamp, target and reason/context.</x:v>
      </x:c>
    </x:row>
    <x:row r="255">
      <x:c r="A255" s="339" t="str">
        <x:v>BL-254</x:v>
      </x:c>
      <x:c r="B255" s="339" t="str">
        <x:v>SCR-254</x:v>
      </x:c>
      <x:c r="C255" s="339" t="str">
        <x:v>Events / PTM / Communication</x:v>
      </x:c>
      <x:c r="D255" s="339" t="str">
        <x:v>Notification Campaigns</x:v>
      </x:c>
      <x:c r="E255" s="339" t="str">
        <x:v>Authenticated/authorized user; tenant/school context resolved; required master data effective.</x:v>
      </x:c>
      <x:c r="F255" s="339" t="str">
        <x:v>User opens or performs the primary action on Notification Campaigns.</x:v>
      </x:c>
      <x:c r="G255" s="339" t="str">
        <x:v>Load current workflow state → verify role and allowed transition → validate prerequisites/business rules → execute state change atomically → update dependent data → record audit trail → notify affected users.</x:v>
      </x:c>
      <x:c r="H255" s="339" t="str">
        <x:v>Draft → Scheduled / Published → In Progress / Sent → Completed / Delivered / Failed → Archived</x:v>
      </x:c>
      <x:c r="I255" s="339" t="str">
        <x:v>No special calculation unless configured; derived fields use authoritative source data and explicit effective-date rules.</x:v>
      </x:c>
      <x:c r="J255" s="339" t="str">
        <x:v>The authoritative record/state is updated only after all blocking validation succeeds; user receives deterministic confirmation.</x:v>
      </x:c>
      <x:c r="K255" s="339" t="str">
        <x:v>Published events/communications create recipient-specific calendar/message records.</x:v>
      </x:c>
      <x:c r="L255" s="339" t="str">
        <x:v>Create/update/status/approval/reversal/export/security-sensitive events are recorded with actor, timestamp, target and reason/context.</x:v>
      </x:c>
    </x:row>
    <x:row r="256">
      <x:c r="A256" s="339" t="str">
        <x:v>BL-255</x:v>
      </x:c>
      <x:c r="B256" s="339" t="str">
        <x:v>SCR-255</x:v>
      </x:c>
      <x:c r="C256" s="339" t="str">
        <x:v>Events / PTM / Communication</x:v>
      </x:c>
      <x:c r="D256" s="339" t="str">
        <x:v>Communication History</x:v>
      </x:c>
      <x:c r="E256" s="339" t="str">
        <x:v>Authenticated/authorized user; tenant/school context resolved; required master data effective.</x:v>
      </x:c>
      <x:c r="F256" s="339" t="str">
        <x:v>User opens or performs the primary action on Communication History.</x:v>
      </x:c>
      <x:c r="G256" s="339" t="str">
        <x:v>Resolve and authorize the target record → load related data/history → mask restricted fields → apply edit/state permissions → validate updates → persist with version/audit controls → refresh dependent summaries.</x:v>
      </x:c>
      <x:c r="H256" s="339" t="str">
        <x:v>Draft → Scheduled / Published → In Progress / Sent → Completed / Delivered / Failed → Archived</x:v>
      </x:c>
      <x:c r="I256" s="339" t="str">
        <x:v>No special calculation unless configured; derived fields use authoritative source data and explicit effective-date rules.</x:v>
      </x:c>
      <x:c r="J256" s="339" t="str">
        <x:v>The authoritative record/state is updated only after all blocking validation succeeds; user receives deterministic confirmation.</x:v>
      </x:c>
      <x:c r="K256" s="339" t="str">
        <x:v>Published events/communications create recipient-specific calendar/message records.</x:v>
      </x:c>
      <x:c r="L256" s="339" t="str">
        <x:v>Create/update/status/approval/reversal/export/security-sensitive events are recorded with actor, timestamp, target and reason/context.</x:v>
      </x:c>
    </x:row>
    <x:row r="257">
      <x:c r="A257" s="339" t="str">
        <x:v>BL-256</x:v>
      </x:c>
      <x:c r="B257" s="339" t="str">
        <x:v>SCR-256</x:v>
      </x:c>
      <x:c r="C257" s="339" t="str">
        <x:v>Documents &amp; Certificates</x:v>
      </x:c>
      <x:c r="D257" s="339" t="str">
        <x:v>Document Repository</x:v>
      </x:c>
      <x:c r="E257" s="339" t="str">
        <x:v>Authenticated/authorized user; tenant/school context resolved; required master data effective.</x:v>
      </x:c>
      <x:c r="F257" s="339" t="str">
        <x:v>User opens or performs the primary action on Document Repository.</x:v>
      </x:c>
      <x:c r="G257" s="339" t="str">
        <x:v>Load current workflow state → verify role and allowed transition → validate prerequisites/business rules → execute state change atomically → update dependent data → record audit trail → notify affected users.</x:v>
      </x:c>
      <x:c r="H257" s="339" t="str">
        <x:v>Draft / Uploaded → Pending Verification → Verified / Rejected → Expired / Replaced / Archived</x:v>
      </x:c>
      <x:c r="I257" s="339" t="str">
        <x:v>No special calculation unless configured; derived fields use authoritative source data and explicit effective-date rules.</x:v>
      </x:c>
      <x:c r="J257" s="339" t="str">
        <x:v>The authoritative record/state is updated only after all blocking validation succeeds; user receives deterministic confirmation.</x:v>
      </x:c>
      <x:c r="K257" s="339" t="str">
        <x:v>Verification/certificate actions update eligibility gates in admissions/HR where configured.</x:v>
      </x:c>
      <x:c r="L257" s="339" t="str">
        <x:v>Create/update/status/approval/reversal/export/security-sensitive events are recorded with actor, timestamp, target and reason/context.</x:v>
      </x:c>
    </x:row>
    <x:row r="258">
      <x:c r="A258" s="339" t="str">
        <x:v>BL-257</x:v>
      </x:c>
      <x:c r="B258" s="339" t="str">
        <x:v>SCR-257</x:v>
      </x:c>
      <x:c r="C258" s="339" t="str">
        <x:v>Documents &amp; Certificates</x:v>
      </x:c>
      <x:c r="D258" s="339" t="str">
        <x:v>Student Documents</x:v>
      </x:c>
      <x:c r="E258" s="339" t="str">
        <x:v>Authenticated/authorized user; tenant/school context resolved; required master data effective.</x:v>
      </x:c>
      <x:c r="F258" s="339" t="str">
        <x:v>User opens or performs the primary action on Student Documents.</x:v>
      </x:c>
      <x:c r="G258" s="339" t="str">
        <x:v>Load current workflow state → verify role and allowed transition → validate prerequisites/business rules → execute state change atomically → update dependent data → record audit trail → notify affected users.</x:v>
      </x:c>
      <x:c r="H258" s="339" t="str">
        <x:v>Draft / Uploaded → Pending Verification → Verified / Rejected → Expired / Replaced / Archived</x:v>
      </x:c>
      <x:c r="I258" s="339" t="str">
        <x:v>No special calculation unless configured; derived fields use authoritative source data and explicit effective-date rules.</x:v>
      </x:c>
      <x:c r="J258" s="339" t="str">
        <x:v>The authoritative record/state is updated only after all blocking validation succeeds; user receives deterministic confirmation.</x:v>
      </x:c>
      <x:c r="K258" s="339" t="str">
        <x:v>Verification/certificate actions update eligibility gates in admissions/HR where configured.</x:v>
      </x:c>
      <x:c r="L258" s="339" t="str">
        <x:v>Create/update/status/approval/reversal/export/security-sensitive events are recorded with actor, timestamp, target and reason/context.</x:v>
      </x:c>
    </x:row>
    <x:row r="259">
      <x:c r="A259" s="339" t="str">
        <x:v>BL-258</x:v>
      </x:c>
      <x:c r="B259" s="339" t="str">
        <x:v>SCR-258</x:v>
      </x:c>
      <x:c r="C259" s="339" t="str">
        <x:v>Documents &amp; Certificates</x:v>
      </x:c>
      <x:c r="D259" s="339" t="str">
        <x:v>Staff Documents</x:v>
      </x:c>
      <x:c r="E259" s="339" t="str">
        <x:v>Authenticated/authorized user; tenant/school context resolved; required master data effective.</x:v>
      </x:c>
      <x:c r="F259" s="339" t="str">
        <x:v>User opens or performs the primary action on Staff Documents.</x:v>
      </x:c>
      <x:c r="G259" s="339" t="str">
        <x:v>Load current workflow state → verify role and allowed transition → validate prerequisites/business rules → execute state change atomically → update dependent data → record audit trail → notify affected users.</x:v>
      </x:c>
      <x:c r="H259" s="339" t="str">
        <x:v>Draft / Uploaded → Pending Verification → Verified / Rejected → Expired / Replaced / Archived</x:v>
      </x:c>
      <x:c r="I259" s="339" t="str">
        <x:v>No special calculation unless configured; derived fields use authoritative source data and explicit effective-date rules.</x:v>
      </x:c>
      <x:c r="J259" s="339" t="str">
        <x:v>The authoritative record/state is updated only after all blocking validation succeeds; user receives deterministic confirmation.</x:v>
      </x:c>
      <x:c r="K259" s="339" t="str">
        <x:v>Verification/certificate actions update eligibility gates in admissions/HR where configured.</x:v>
      </x:c>
      <x:c r="L259" s="339" t="str">
        <x:v>Create/update/status/approval/reversal/export/security-sensitive events are recorded with actor, timestamp, target and reason/context.</x:v>
      </x:c>
    </x:row>
    <x:row r="260">
      <x:c r="A260" s="339" t="str">
        <x:v>BL-259</x:v>
      </x:c>
      <x:c r="B260" s="339" t="str">
        <x:v>SCR-259</x:v>
      </x:c>
      <x:c r="C260" s="339" t="str">
        <x:v>Documents &amp; Certificates</x:v>
      </x:c>
      <x:c r="D260" s="339" t="str">
        <x:v>Upload &amp; Verification</x:v>
      </x:c>
      <x:c r="E260" s="339" t="str">
        <x:v>Authenticated/authorized user; tenant/school context resolved; required master data effective.</x:v>
      </x:c>
      <x:c r="F260" s="339" t="str">
        <x:v>User opens or performs the primary action on Upload &amp; Verification.</x:v>
      </x:c>
      <x:c r="G260" s="339" t="str">
        <x:v>Load current workflow state → verify role and allowed transition → validate prerequisites/business rules → execute state change atomically → update dependent data → record audit trail → notify affected users.</x:v>
      </x:c>
      <x:c r="H260" s="339" t="str">
        <x:v>Draft / Uploaded → Pending Verification → Verified / Rejected → Expired / Replaced / Archived</x:v>
      </x:c>
      <x:c r="I260" s="339" t="str">
        <x:v>No special calculation unless configured; derived fields use authoritative source data and explicit effective-date rules.</x:v>
      </x:c>
      <x:c r="J260" s="339" t="str">
        <x:v>The authoritative record/state is updated only after all blocking validation succeeds; user receives deterministic confirmation.</x:v>
      </x:c>
      <x:c r="K260" s="339" t="str">
        <x:v>Verification/certificate actions update eligibility gates in admissions/HR where configured.</x:v>
      </x:c>
      <x:c r="L260" s="339" t="str">
        <x:v>Create/update/status/approval/reversal/export/security-sensitive events are recorded with actor, timestamp, target and reason/context.</x:v>
      </x:c>
    </x:row>
    <x:row r="261">
      <x:c r="A261" s="339" t="str">
        <x:v>BL-260</x:v>
      </x:c>
      <x:c r="B261" s="339" t="str">
        <x:v>SCR-260</x:v>
      </x:c>
      <x:c r="C261" s="339" t="str">
        <x:v>Documents &amp; Certificates</x:v>
      </x:c>
      <x:c r="D261" s="339" t="str">
        <x:v>Certificate Templates</x:v>
      </x:c>
      <x:c r="E261" s="339" t="str">
        <x:v>Authenticated/authorized user; tenant/school context resolved; required master data effective.</x:v>
      </x:c>
      <x:c r="F261" s="339" t="str">
        <x:v>User opens or performs the primary action on Certificate Templates.</x:v>
      </x:c>
      <x:c r="G261" s="339" t="str">
        <x:v>Load current effective configuration → validate permissions/dependencies/date overlaps → prevent destructive changes to referenced masters → save version/effective dates → audit change → refresh downstream configuration cache safely.</x:v>
      </x:c>
      <x:c r="H261" s="339" t="str">
        <x:v>Draft / Uploaded → Pending Verification → Verified / Rejected → Expired / Replaced / Archived</x:v>
      </x:c>
      <x:c r="I261" s="339" t="str">
        <x:v>No special calculation unless configured; derived fields use authoritative source data and explicit effective-date rules.</x:v>
      </x:c>
      <x:c r="J261" s="339" t="str">
        <x:v>The authoritative record/state is updated only after all blocking validation succeeds; user receives deterministic confirmation.</x:v>
      </x:c>
      <x:c r="K261" s="339" t="str">
        <x:v>Verification/certificate actions update eligibility gates in admissions/HR where configured.</x:v>
      </x:c>
      <x:c r="L261" s="339" t="str">
        <x:v>Create/update/status/approval/reversal/export/security-sensitive events are recorded with actor, timestamp, target and reason/context.</x:v>
      </x:c>
    </x:row>
    <x:row r="262">
      <x:c r="A262" s="339" t="str">
        <x:v>BL-261</x:v>
      </x:c>
      <x:c r="B262" s="339" t="str">
        <x:v>SCR-261</x:v>
      </x:c>
      <x:c r="C262" s="339" t="str">
        <x:v>Documents &amp; Certificates</x:v>
      </x:c>
      <x:c r="D262" s="339" t="str">
        <x:v>Generate Certificate</x:v>
      </x:c>
      <x:c r="E262" s="339" t="str">
        <x:v>Authenticated/authorized user; tenant/school context resolved; required master data effective.</x:v>
      </x:c>
      <x:c r="F262" s="339" t="str">
        <x:v>User opens or performs the primary action on Generate Certificate.</x:v>
      </x:c>
      <x:c r="G262" s="339" t="str">
        <x:v>Load valid reference data → validate mandatory and conditional fields → apply duplicate/eligibility/business-rule checks → persist within a transaction → generate identifiers if required → write audit record → trigger configured side effects/notifications.</x:v>
      </x:c>
      <x:c r="H262" s="339" t="str">
        <x:v>Draft / Uploaded → Pending Verification → Verified / Rejected → Expired / Replaced / Archived</x:v>
      </x:c>
      <x:c r="I262" s="339" t="str">
        <x:v>No special calculation unless configured; derived fields use authoritative source data and explicit effective-date rules.</x:v>
      </x:c>
      <x:c r="J262" s="339" t="str">
        <x:v>The authoritative record/state is updated only after all blocking validation succeeds; user receives deterministic confirmation.</x:v>
      </x:c>
      <x:c r="K262" s="339" t="str">
        <x:v>Verification/certificate actions update eligibility gates in admissions/HR where configured.</x:v>
      </x:c>
      <x:c r="L262" s="339" t="str">
        <x:v>Create/update/status/approval/reversal/export/security-sensitive events are recorded with actor, timestamp, target and reason/context.</x:v>
      </x:c>
    </x:row>
    <x:row r="263">
      <x:c r="A263" s="339" t="str">
        <x:v>BL-262</x:v>
      </x:c>
      <x:c r="B263" s="339" t="str">
        <x:v>SCR-262</x:v>
      </x:c>
      <x:c r="C263" s="339" t="str">
        <x:v>Documents &amp; Certificates</x:v>
      </x:c>
      <x:c r="D263" s="339" t="str">
        <x:v>Transfer Certificate</x:v>
      </x:c>
      <x:c r="E263" s="339" t="str">
        <x:v>Authenticated/authorized user; tenant/school context resolved; required master data effective.</x:v>
      </x:c>
      <x:c r="F263" s="339" t="str">
        <x:v>User opens or performs the primary action on Transfer Certificate.</x:v>
      </x:c>
      <x:c r="G263" s="339" t="str">
        <x:v>Load current workflow state → verify role and allowed transition → validate prerequisites/business rules → execute state change atomically → update dependent data → record audit trail → notify affected users.</x:v>
      </x:c>
      <x:c r="H263" s="339" t="str">
        <x:v>Draft / Uploaded → Pending Verification → Verified / Rejected → Expired / Replaced / Archived</x:v>
      </x:c>
      <x:c r="I263" s="339" t="str">
        <x:v>No special calculation unless configured; derived fields use authoritative source data and explicit effective-date rules.</x:v>
      </x:c>
      <x:c r="J263" s="339" t="str">
        <x:v>The authoritative record/state is updated only after all blocking validation succeeds; user receives deterministic confirmation.</x:v>
      </x:c>
      <x:c r="K263" s="339" t="str">
        <x:v>Verification/certificate actions update eligibility gates in admissions/HR where configured.</x:v>
      </x:c>
      <x:c r="L263" s="339" t="str">
        <x:v>Create/update/status/approval/reversal/export/security-sensitive events are recorded with actor, timestamp, target and reason/context.</x:v>
      </x:c>
    </x:row>
    <x:row r="264">
      <x:c r="A264" s="339" t="str">
        <x:v>BL-263</x:v>
      </x:c>
      <x:c r="B264" s="339" t="str">
        <x:v>SCR-263</x:v>
      </x:c>
      <x:c r="C264" s="339" t="str">
        <x:v>Documents &amp; Certificates</x:v>
      </x:c>
      <x:c r="D264" s="339" t="str">
        <x:v>Certificate Register</x:v>
      </x:c>
      <x:c r="E264" s="339" t="str">
        <x:v>Authenticated/authorized user; tenant/school context resolved; required master data effective.</x:v>
      </x:c>
      <x:c r="F264" s="339" t="str">
        <x:v>User opens or performs the primary action on Certificate Register.</x:v>
      </x:c>
      <x:c r="G264" s="339" t="str">
        <x:v>Resolve and authorize the target record → load related data/history → mask restricted fields → apply edit/state permissions → validate updates → persist with version/audit controls → refresh dependent summaries.</x:v>
      </x:c>
      <x:c r="H264" s="339" t="str">
        <x:v>Draft / Uploaded → Pending Verification → Verified / Rejected → Expired / Replaced / Archived</x:v>
      </x:c>
      <x:c r="I264" s="339" t="str">
        <x:v>No special calculation unless configured; derived fields use authoritative source data and explicit effective-date rules.</x:v>
      </x:c>
      <x:c r="J264" s="339" t="str">
        <x:v>The authoritative record/state is updated only after all blocking validation succeeds; user receives deterministic confirmation.</x:v>
      </x:c>
      <x:c r="K264" s="339" t="str">
        <x:v>Verification/certificate actions update eligibility gates in admissions/HR where configured.</x:v>
      </x:c>
      <x:c r="L264" s="339" t="str">
        <x:v>Create/update/status/approval/reversal/export/security-sensitive events are recorded with actor, timestamp, target and reason/context.</x:v>
      </x:c>
    </x:row>
    <x:row r="265">
      <x:c r="A265" s="339" t="str">
        <x:v>BL-264</x:v>
      </x:c>
      <x:c r="B265" s="339" t="str">
        <x:v>SCR-264</x:v>
      </x:c>
      <x:c r="C265" s="339" t="str">
        <x:v>Reports &amp; Analytics</x:v>
      </x:c>
      <x:c r="D265" s="339" t="str">
        <x:v>Executive Analytics Dashboard</x:v>
      </x:c>
      <x:c r="E265" s="339" t="str">
        <x:v>Authenticated/authorized user; tenant/school context resolved; required master data effective.</x:v>
      </x:c>
      <x:c r="F265" s="339" t="str">
        <x:v>User opens or performs the primary action on Executive Analytics Dashboard.</x:v>
      </x:c>
      <x:c r="G265" s="339" t="str">
        <x:v>Resolve tenant/school/role context → apply date/academic filters → query authorized aggregates → compute/reconcile KPIs → highlight alerts/exceptions → expose permitted drill-down actions.</x:v>
      </x:c>
      <x:c r="H265" s="339" t="str">
        <x:v>Filter Context Set → Report Generated → Viewed / Exported</x:v>
      </x:c>
      <x:c r="I265" s="339" t="str">
        <x:v>Metrics reuse the source-module formulas and must reconcile to filtered transaction counts/amounts.</x:v>
      </x:c>
      <x:c r="J265" s="339" t="str">
        <x:v>The authoritative record/state is updated only after all blocking validation succeeds; user receives deterministic confirmation.</x:v>
      </x:c>
      <x:c r="K265" s="339" t="str">
        <x:v>Read-only analytical outputs; exports do not alter source transactions.</x:v>
      </x:c>
      <x:c r="L265" s="339" t="str">
        <x:v>Create/update/status/approval/reversal/export/security-sensitive events are recorded with actor, timestamp, target and reason/context.</x:v>
      </x:c>
    </x:row>
    <x:row r="266">
      <x:c r="A266" s="339" t="str">
        <x:v>BL-265</x:v>
      </x:c>
      <x:c r="B266" s="339" t="str">
        <x:v>SCR-265</x:v>
      </x:c>
      <x:c r="C266" s="339" t="str">
        <x:v>Reports &amp; Analytics</x:v>
      </x:c>
      <x:c r="D266" s="339" t="str">
        <x:v>Admission Reports</x:v>
      </x:c>
      <x:c r="E266" s="339" t="str">
        <x:v>Authenticated/authorized user; tenant/school context resolved; required master data effective.</x:v>
      </x:c>
      <x:c r="F266" s="339" t="str">
        <x:v>User opens or performs the primary action on Admission Reports.</x:v>
      </x:c>
      <x:c r="G266" s="339" t="str">
        <x:v>Validate filter context → resolve row-level scope → query authoritative transactions → apply approved formulas/grouping → reconcile totals → render table/chart → export only permitted data.</x:v>
      </x:c>
      <x:c r="H266" s="339" t="str">
        <x:v>Filter Context Set → Report Generated → Viewed / Exported</x:v>
      </x:c>
      <x:c r="I266" s="339" t="str">
        <x:v>Metrics reuse the source-module formulas and must reconcile to filtered transaction counts/amounts.</x:v>
      </x:c>
      <x:c r="J266" s="339" t="str">
        <x:v>The authoritative record/state is updated only after all blocking validation succeeds; user receives deterministic confirmation.</x:v>
      </x:c>
      <x:c r="K266" s="339" t="str">
        <x:v>Read-only analytical outputs; exports do not alter source transactions.</x:v>
      </x:c>
      <x:c r="L266" s="339" t="str">
        <x:v>Create/update/status/approval/reversal/export/security-sensitive events are recorded with actor, timestamp, target and reason/context.</x:v>
      </x:c>
    </x:row>
    <x:row r="267">
      <x:c r="A267" s="339" t="str">
        <x:v>BL-266</x:v>
      </x:c>
      <x:c r="B267" s="339" t="str">
        <x:v>SCR-266</x:v>
      </x:c>
      <x:c r="C267" s="339" t="str">
        <x:v>Reports &amp; Analytics</x:v>
      </x:c>
      <x:c r="D267" s="339" t="str">
        <x:v>Student Strength Report</x:v>
      </x:c>
      <x:c r="E267" s="339" t="str">
        <x:v>Authenticated/authorized user; tenant/school context resolved; required master data effective.</x:v>
      </x:c>
      <x:c r="F267" s="339" t="str">
        <x:v>User opens or performs the primary action on Student Strength Report.</x:v>
      </x:c>
      <x:c r="G267" s="339" t="str">
        <x:v>Validate filter context → resolve row-level scope → query authoritative transactions → apply approved formulas/grouping → reconcile totals → render table/chart → export only permitted data.</x:v>
      </x:c>
      <x:c r="H267" s="339" t="str">
        <x:v>Filter Context Set → Report Generated → Viewed / Exported</x:v>
      </x:c>
      <x:c r="I267" s="339" t="str">
        <x:v>Metrics reuse the source-module formulas and must reconcile to filtered transaction counts/amounts.</x:v>
      </x:c>
      <x:c r="J267" s="339" t="str">
        <x:v>The authoritative record/state is updated only after all blocking validation succeeds; user receives deterministic confirmation.</x:v>
      </x:c>
      <x:c r="K267" s="339" t="str">
        <x:v>Read-only analytical outputs; exports do not alter source transactions.</x:v>
      </x:c>
      <x:c r="L267" s="339" t="str">
        <x:v>Create/update/status/approval/reversal/export/security-sensitive events are recorded with actor, timestamp, target and reason/context.</x:v>
      </x:c>
    </x:row>
    <x:row r="268">
      <x:c r="A268" s="339" t="str">
        <x:v>BL-267</x:v>
      </x:c>
      <x:c r="B268" s="339" t="str">
        <x:v>SCR-267</x:v>
      </x:c>
      <x:c r="C268" s="339" t="str">
        <x:v>Reports &amp; Analytics</x:v>
      </x:c>
      <x:c r="D268" s="339" t="str">
        <x:v>Student Demographics</x:v>
      </x:c>
      <x:c r="E268" s="339" t="str">
        <x:v>Authenticated/authorized user; tenant/school context resolved; required master data effective.</x:v>
      </x:c>
      <x:c r="F268" s="339" t="str">
        <x:v>User opens or performs the primary action on Student Demographics.</x:v>
      </x:c>
      <x:c r="G268" s="339" t="str">
        <x:v>Load current workflow state → verify role and allowed transition → validate prerequisites/business rules → execute state change atomically → update dependent data → record audit trail → notify affected users.</x:v>
      </x:c>
      <x:c r="H268" s="339" t="str">
        <x:v>Filter Context Set → Report Generated → Viewed / Exported</x:v>
      </x:c>
      <x:c r="I268" s="339" t="str">
        <x:v>Metrics reuse the source-module formulas and must reconcile to filtered transaction counts/amounts.</x:v>
      </x:c>
      <x:c r="J268" s="339" t="str">
        <x:v>The authoritative record/state is updated only after all blocking validation succeeds; user receives deterministic confirmation.</x:v>
      </x:c>
      <x:c r="K268" s="339" t="str">
        <x:v>Read-only analytical outputs; exports do not alter source transactions.</x:v>
      </x:c>
      <x:c r="L268" s="339" t="str">
        <x:v>Create/update/status/approval/reversal/export/security-sensitive events are recorded with actor, timestamp, target and reason/context.</x:v>
      </x:c>
    </x:row>
    <x:row r="269">
      <x:c r="A269" s="339" t="str">
        <x:v>BL-268</x:v>
      </x:c>
      <x:c r="B269" s="339" t="str">
        <x:v>SCR-268</x:v>
      </x:c>
      <x:c r="C269" s="339" t="str">
        <x:v>Reports &amp; Analytics</x:v>
      </x:c>
      <x:c r="D269" s="339" t="str">
        <x:v>Attendance Analytics</x:v>
      </x:c>
      <x:c r="E269" s="339" t="str">
        <x:v>Authenticated/authorized user; tenant/school context resolved; required master data effective.</x:v>
      </x:c>
      <x:c r="F269" s="339" t="str">
        <x:v>User opens or performs the primary action on Attendance Analytics.</x:v>
      </x:c>
      <x:c r="G269" s="339" t="str">
        <x:v>Validate filter context → resolve row-level scope → query authoritative transactions → apply approved formulas/grouping → reconcile totals → render table/chart → export only permitted data.</x:v>
      </x:c>
      <x:c r="H269" s="339" t="str">
        <x:v>Filter Context Set → Report Generated → Viewed / Exported</x:v>
      </x:c>
      <x:c r="I269" s="339" t="str">
        <x:v>Metrics reuse the source-module formulas and must reconcile to filtered transaction counts/amounts.</x:v>
      </x:c>
      <x:c r="J269" s="339" t="str">
        <x:v>The authoritative record/state is updated only after all blocking validation succeeds; user receives deterministic confirmation.</x:v>
      </x:c>
      <x:c r="K269" s="339" t="str">
        <x:v>Read-only analytical outputs; exports do not alter source transactions.</x:v>
      </x:c>
      <x:c r="L269" s="339" t="str">
        <x:v>Create/update/status/approval/reversal/export/security-sensitive events are recorded with actor, timestamp, target and reason/context.</x:v>
      </x:c>
    </x:row>
    <x:row r="270">
      <x:c r="A270" s="339" t="str">
        <x:v>BL-269</x:v>
      </x:c>
      <x:c r="B270" s="339" t="str">
        <x:v>SCR-269</x:v>
      </x:c>
      <x:c r="C270" s="339" t="str">
        <x:v>Reports &amp; Analytics</x:v>
      </x:c>
      <x:c r="D270" s="339" t="str">
        <x:v>Chronic Absenteeism Report</x:v>
      </x:c>
      <x:c r="E270" s="339" t="str">
        <x:v>Authenticated/authorized user; tenant/school context resolved; required master data effective.</x:v>
      </x:c>
      <x:c r="F270" s="339" t="str">
        <x:v>User opens or performs the primary action on Chronic Absenteeism Report.</x:v>
      </x:c>
      <x:c r="G270" s="339" t="str">
        <x:v>Validate filter context → resolve row-level scope → query authoritative transactions → apply approved formulas/grouping → reconcile totals → render table/chart → export only permitted data.</x:v>
      </x:c>
      <x:c r="H270" s="339" t="str">
        <x:v>Filter Context Set → Report Generated → Viewed / Exported</x:v>
      </x:c>
      <x:c r="I270" s="339" t="str">
        <x:v>Metrics reuse the source-module formulas and must reconcile to filtered transaction counts/amounts.</x:v>
      </x:c>
      <x:c r="J270" s="339" t="str">
        <x:v>The authoritative record/state is updated only after all blocking validation succeeds; user receives deterministic confirmation.</x:v>
      </x:c>
      <x:c r="K270" s="339" t="str">
        <x:v>Read-only analytical outputs; exports do not alter source transactions.</x:v>
      </x:c>
      <x:c r="L270" s="339" t="str">
        <x:v>Create/update/status/approval/reversal/export/security-sensitive events are recorded with actor, timestamp, target and reason/context.</x:v>
      </x:c>
    </x:row>
    <x:row r="271">
      <x:c r="A271" s="339" t="str">
        <x:v>BL-270</x:v>
      </x:c>
      <x:c r="B271" s="339" t="str">
        <x:v>SCR-270</x:v>
      </x:c>
      <x:c r="C271" s="339" t="str">
        <x:v>Reports &amp; Analytics</x:v>
      </x:c>
      <x:c r="D271" s="339" t="str">
        <x:v>Academic Performance</x:v>
      </x:c>
      <x:c r="E271" s="339" t="str">
        <x:v>Authenticated/authorized user; tenant/school context resolved; required master data effective.</x:v>
      </x:c>
      <x:c r="F271" s="339" t="str">
        <x:v>User opens or performs the primary action on Academic Performance.</x:v>
      </x:c>
      <x:c r="G271" s="339" t="str">
        <x:v>Load current workflow state → verify role and allowed transition → validate prerequisites/business rules → execute state change atomically → update dependent data → record audit trail → notify affected users.</x:v>
      </x:c>
      <x:c r="H271" s="339" t="str">
        <x:v>Filter Context Set → Report Generated → Viewed / Exported</x:v>
      </x:c>
      <x:c r="I271" s="339" t="str">
        <x:v>Metrics reuse the source-module formulas and must reconcile to filtered transaction counts/amounts.</x:v>
      </x:c>
      <x:c r="J271" s="339" t="str">
        <x:v>The authoritative record/state is updated only after all blocking validation succeeds; user receives deterministic confirmation.</x:v>
      </x:c>
      <x:c r="K271" s="339" t="str">
        <x:v>Read-only analytical outputs; exports do not alter source transactions.</x:v>
      </x:c>
      <x:c r="L271" s="339" t="str">
        <x:v>Create/update/status/approval/reversal/export/security-sensitive events are recorded with actor, timestamp, target and reason/context.</x:v>
      </x:c>
    </x:row>
    <x:row r="272">
      <x:c r="A272" s="339" t="str">
        <x:v>BL-271</x:v>
      </x:c>
      <x:c r="B272" s="339" t="str">
        <x:v>SCR-271</x:v>
      </x:c>
      <x:c r="C272" s="339" t="str">
        <x:v>Reports &amp; Analytics</x:v>
      </x:c>
      <x:c r="D272" s="339" t="str">
        <x:v>Subject Performance</x:v>
      </x:c>
      <x:c r="E272" s="339" t="str">
        <x:v>Authenticated/authorized user; tenant/school context resolved; required master data effective.</x:v>
      </x:c>
      <x:c r="F272" s="339" t="str">
        <x:v>User opens or performs the primary action on Subject Performance.</x:v>
      </x:c>
      <x:c r="G272" s="339" t="str">
        <x:v>Load current workflow state → verify role and allowed transition → validate prerequisites/business rules → execute state change atomically → update dependent data → record audit trail → notify affected users.</x:v>
      </x:c>
      <x:c r="H272" s="339" t="str">
        <x:v>Filter Context Set → Report Generated → Viewed / Exported</x:v>
      </x:c>
      <x:c r="I272" s="339" t="str">
        <x:v>Metrics reuse the source-module formulas and must reconcile to filtered transaction counts/amounts.</x:v>
      </x:c>
      <x:c r="J272" s="339" t="str">
        <x:v>The authoritative record/state is updated only after all blocking validation succeeds; user receives deterministic confirmation.</x:v>
      </x:c>
      <x:c r="K272" s="339" t="str">
        <x:v>Read-only analytical outputs; exports do not alter source transactions.</x:v>
      </x:c>
      <x:c r="L272" s="339" t="str">
        <x:v>Create/update/status/approval/reversal/export/security-sensitive events are recorded with actor, timestamp, target and reason/context.</x:v>
      </x:c>
    </x:row>
    <x:row r="273">
      <x:c r="A273" s="339" t="str">
        <x:v>BL-272</x:v>
      </x:c>
      <x:c r="B273" s="339" t="str">
        <x:v>SCR-272</x:v>
      </x:c>
      <x:c r="C273" s="339" t="str">
        <x:v>Reports &amp; Analytics</x:v>
      </x:c>
      <x:c r="D273" s="339" t="str">
        <x:v>Exam Result Analysis</x:v>
      </x:c>
      <x:c r="E273" s="339" t="str">
        <x:v>Authenticated/authorized user; tenant/school context resolved; required master data effective.</x:v>
      </x:c>
      <x:c r="F273" s="339" t="str">
        <x:v>User opens or performs the primary action on Exam Result Analysis.</x:v>
      </x:c>
      <x:c r="G273" s="339" t="str">
        <x:v>Resolve and authorize the target record → load related data/history → mask restricted fields → apply edit/state permissions → validate updates → persist with version/audit controls → refresh dependent summaries.</x:v>
      </x:c>
      <x:c r="H273" s="339" t="str">
        <x:v>Filter Context Set → Report Generated → Viewed / Exported</x:v>
      </x:c>
      <x:c r="I273" s="339" t="str">
        <x:v>Metrics reuse the source-module formulas and must reconcile to filtered transaction counts/amounts.</x:v>
      </x:c>
      <x:c r="J273" s="339" t="str">
        <x:v>The authoritative record/state is updated only after all blocking validation succeeds; user receives deterministic confirmation.</x:v>
      </x:c>
      <x:c r="K273" s="339" t="str">
        <x:v>Read-only analytical outputs; exports do not alter source transactions.</x:v>
      </x:c>
      <x:c r="L273" s="339" t="str">
        <x:v>Create/update/status/approval/reversal/export/security-sensitive events are recorded with actor, timestamp, target and reason/context.</x:v>
      </x:c>
    </x:row>
    <x:row r="274">
      <x:c r="A274" s="339" t="str">
        <x:v>BL-273</x:v>
      </x:c>
      <x:c r="B274" s="339" t="str">
        <x:v>SCR-273</x:v>
      </x:c>
      <x:c r="C274" s="339" t="str">
        <x:v>Reports &amp; Analytics</x:v>
      </x:c>
      <x:c r="D274" s="339" t="str">
        <x:v>Fee Collection Report</x:v>
      </x:c>
      <x:c r="E274" s="339" t="str">
        <x:v>Authenticated/authorized user; tenant/school context resolved; required master data effective.</x:v>
      </x:c>
      <x:c r="F274" s="339" t="str">
        <x:v>User opens or performs the primary action on Fee Collection Report.</x:v>
      </x:c>
      <x:c r="G274" s="339" t="str">
        <x:v>Load valid reference data → validate mandatory and conditional fields → apply duplicate/eligibility/business-rule checks → persist within a transaction → generate identifiers if required → write audit record → trigger configured side effects/notifications.</x:v>
      </x:c>
      <x:c r="H274" s="339" t="str">
        <x:v>Filter Context Set → Report Generated → Viewed / Exported</x:v>
      </x:c>
      <x:c r="I274" s="339" t="str">
        <x:v>Metrics reuse the source-module formulas and must reconcile to filtered transaction counts/amounts.</x:v>
      </x:c>
      <x:c r="J274" s="339" t="str">
        <x:v>The authoritative record/state is updated only after all blocking validation succeeds; user receives deterministic confirmation.</x:v>
      </x:c>
      <x:c r="K274" s="339" t="str">
        <x:v>Read-only analytical outputs; exports do not alter source transactions.</x:v>
      </x:c>
      <x:c r="L274" s="339" t="str">
        <x:v>Create/update/status/approval/reversal/export/security-sensitive events are recorded with actor, timestamp, target and reason/context.</x:v>
      </x:c>
    </x:row>
    <x:row r="275">
      <x:c r="A275" s="339" t="str">
        <x:v>BL-274</x:v>
      </x:c>
      <x:c r="B275" s="339" t="str">
        <x:v>SCR-274</x:v>
      </x:c>
      <x:c r="C275" s="339" t="str">
        <x:v>Reports &amp; Analytics</x:v>
      </x:c>
      <x:c r="D275" s="339" t="str">
        <x:v>Outstanding Dues Report</x:v>
      </x:c>
      <x:c r="E275" s="339" t="str">
        <x:v>Authenticated/authorized user; tenant/school context resolved; required master data effective.</x:v>
      </x:c>
      <x:c r="F275" s="339" t="str">
        <x:v>User opens or performs the primary action on Outstanding Dues Report.</x:v>
      </x:c>
      <x:c r="G275" s="339" t="str">
        <x:v>Validate filter context → resolve row-level scope → query authoritative transactions → apply approved formulas/grouping → reconcile totals → render table/chart → export only permitted data.</x:v>
      </x:c>
      <x:c r="H275" s="339" t="str">
        <x:v>Filter Context Set → Report Generated → Viewed / Exported</x:v>
      </x:c>
      <x:c r="I275" s="339" t="str">
        <x:v>Metrics reuse the source-module formulas and must reconcile to filtered transaction counts/amounts.</x:v>
      </x:c>
      <x:c r="J275" s="339" t="str">
        <x:v>The authoritative record/state is updated only after all blocking validation succeeds; user receives deterministic confirmation.</x:v>
      </x:c>
      <x:c r="K275" s="339" t="str">
        <x:v>Read-only analytical outputs; exports do not alter source transactions.</x:v>
      </x:c>
      <x:c r="L275" s="339" t="str">
        <x:v>Create/update/status/approval/reversal/export/security-sensitive events are recorded with actor, timestamp, target and reason/context.</x:v>
      </x:c>
    </x:row>
    <x:row r="276">
      <x:c r="A276" s="339" t="str">
        <x:v>BL-275</x:v>
      </x:c>
      <x:c r="B276" s="339" t="str">
        <x:v>SCR-275</x:v>
      </x:c>
      <x:c r="C276" s="339" t="str">
        <x:v>Reports &amp; Analytics</x:v>
      </x:c>
      <x:c r="D276" s="339" t="str">
        <x:v>Finance Summary</x:v>
      </x:c>
      <x:c r="E276" s="339" t="str">
        <x:v>Authenticated/authorized user; tenant/school context resolved; required master data effective.</x:v>
      </x:c>
      <x:c r="F276" s="339" t="str">
        <x:v>User opens or performs the primary action on Finance Summary.</x:v>
      </x:c>
      <x:c r="G276" s="339" t="str">
        <x:v>Validate filter context → resolve row-level scope → query authoritative transactions → apply approved formulas/grouping → reconcile totals → render table/chart → export only permitted data.</x:v>
      </x:c>
      <x:c r="H276" s="339" t="str">
        <x:v>Filter Context Set → Report Generated → Viewed / Exported</x:v>
      </x:c>
      <x:c r="I276" s="339" t="str">
        <x:v>Metrics reuse the source-module formulas and must reconcile to filtered transaction counts/amounts.</x:v>
      </x:c>
      <x:c r="J276" s="339" t="str">
        <x:v>The authoritative record/state is updated only after all blocking validation succeeds; user receives deterministic confirmation.</x:v>
      </x:c>
      <x:c r="K276" s="339" t="str">
        <x:v>Read-only analytical outputs; exports do not alter source transactions.</x:v>
      </x:c>
      <x:c r="L276" s="339" t="str">
        <x:v>Create/update/status/approval/reversal/export/security-sensitive events are recorded with actor, timestamp, target and reason/context.</x:v>
      </x:c>
    </x:row>
    <x:row r="277">
      <x:c r="A277" s="339" t="str">
        <x:v>BL-276</x:v>
      </x:c>
      <x:c r="B277" s="339" t="str">
        <x:v>SCR-276</x:v>
      </x:c>
      <x:c r="C277" s="339" t="str">
        <x:v>Reports &amp; Analytics</x:v>
      </x:c>
      <x:c r="D277" s="339" t="str">
        <x:v>Staff Attendance Report</x:v>
      </x:c>
      <x:c r="E277" s="339" t="str">
        <x:v>Authenticated/authorized user; tenant/school context resolved; required master data effective.</x:v>
      </x:c>
      <x:c r="F277" s="339" t="str">
        <x:v>User opens or performs the primary action on Staff Attendance Report.</x:v>
      </x:c>
      <x:c r="G277" s="339" t="str">
        <x:v>Validate filter context → resolve row-level scope → query authoritative transactions → apply approved formulas/grouping → reconcile totals → render table/chart → export only permitted data.</x:v>
      </x:c>
      <x:c r="H277" s="339" t="str">
        <x:v>Filter Context Set → Report Generated → Viewed / Exported</x:v>
      </x:c>
      <x:c r="I277" s="339" t="str">
        <x:v>Metrics reuse the source-module formulas and must reconcile to filtered transaction counts/amounts.</x:v>
      </x:c>
      <x:c r="J277" s="339" t="str">
        <x:v>The authoritative record/state is updated only after all blocking validation succeeds; user receives deterministic confirmation.</x:v>
      </x:c>
      <x:c r="K277" s="339" t="str">
        <x:v>Read-only analytical outputs; exports do not alter source transactions.</x:v>
      </x:c>
      <x:c r="L277" s="339" t="str">
        <x:v>Create/update/status/approval/reversal/export/security-sensitive events are recorded with actor, timestamp, target and reason/context.</x:v>
      </x:c>
    </x:row>
    <x:row r="278">
      <x:c r="A278" s="339" t="str">
        <x:v>BL-277</x:v>
      </x:c>
      <x:c r="B278" s="339" t="str">
        <x:v>SCR-277</x:v>
      </x:c>
      <x:c r="C278" s="339" t="str">
        <x:v>Reports &amp; Analytics</x:v>
      </x:c>
      <x:c r="D278" s="339" t="str">
        <x:v>Payroll Summary</x:v>
      </x:c>
      <x:c r="E278" s="339" t="str">
        <x:v>Authenticated/authorized user; tenant/school context resolved; required master data effective.</x:v>
      </x:c>
      <x:c r="F278" s="339" t="str">
        <x:v>User opens or performs the primary action on Payroll Summary.</x:v>
      </x:c>
      <x:c r="G278" s="339" t="str">
        <x:v>Validate filter context → resolve row-level scope → query authoritative transactions → apply approved formulas/grouping → reconcile totals → render table/chart → export only permitted data.</x:v>
      </x:c>
      <x:c r="H278" s="339" t="str">
        <x:v>Filter Context Set → Report Generated → Viewed / Exported</x:v>
      </x:c>
      <x:c r="I278" s="339" t="str">
        <x:v>Metrics reuse the source-module formulas and must reconcile to filtered transaction counts/amounts.</x:v>
      </x:c>
      <x:c r="J278" s="339" t="str">
        <x:v>The authoritative record/state is updated only after all blocking validation succeeds; user receives deterministic confirmation.</x:v>
      </x:c>
      <x:c r="K278" s="339" t="str">
        <x:v>Read-only analytical outputs; exports do not alter source transactions.</x:v>
      </x:c>
      <x:c r="L278" s="339" t="str">
        <x:v>Create/update/status/approval/reversal/export/security-sensitive events are recorded with actor, timestamp, target and reason/context.</x:v>
      </x:c>
    </x:row>
    <x:row r="279">
      <x:c r="A279" s="339" t="str">
        <x:v>BL-278</x:v>
      </x:c>
      <x:c r="B279" s="339" t="str">
        <x:v>SCR-278</x:v>
      </x:c>
      <x:c r="C279" s="339" t="str">
        <x:v>Reports &amp; Analytics</x:v>
      </x:c>
      <x:c r="D279" s="339" t="str">
        <x:v>Teacher Performance</x:v>
      </x:c>
      <x:c r="E279" s="339" t="str">
        <x:v>Authenticated/authorized user; tenant/school context resolved; required master data effective.</x:v>
      </x:c>
      <x:c r="F279" s="339" t="str">
        <x:v>User opens or performs the primary action on Teacher Performance.</x:v>
      </x:c>
      <x:c r="G279" s="339" t="str">
        <x:v>Load current workflow state → verify role and allowed transition → validate prerequisites/business rules → execute state change atomically → update dependent data → record audit trail → notify affected users.</x:v>
      </x:c>
      <x:c r="H279" s="339" t="str">
        <x:v>Filter Context Set → Report Generated → Viewed / Exported</x:v>
      </x:c>
      <x:c r="I279" s="339" t="str">
        <x:v>Metrics reuse the source-module formulas and must reconcile to filtered transaction counts/amounts.</x:v>
      </x:c>
      <x:c r="J279" s="339" t="str">
        <x:v>The authoritative record/state is updated only after all blocking validation succeeds; user receives deterministic confirmation.</x:v>
      </x:c>
      <x:c r="K279" s="339" t="str">
        <x:v>Read-only analytical outputs; exports do not alter source transactions.</x:v>
      </x:c>
      <x:c r="L279" s="339" t="str">
        <x:v>Create/update/status/approval/reversal/export/security-sensitive events are recorded with actor, timestamp, target and reason/context.</x:v>
      </x:c>
    </x:row>
    <x:row r="280">
      <x:c r="A280" s="339" t="str">
        <x:v>BL-279</x:v>
      </x:c>
      <x:c r="B280" s="339" t="str">
        <x:v>SCR-279</x:v>
      </x:c>
      <x:c r="C280" s="339" t="str">
        <x:v>Reports &amp; Analytics</x:v>
      </x:c>
      <x:c r="D280" s="339" t="str">
        <x:v>Transport Utilization</x:v>
      </x:c>
      <x:c r="E280" s="339" t="str">
        <x:v>Authenticated/authorized user; tenant/school context resolved; required master data effective.</x:v>
      </x:c>
      <x:c r="F280" s="339" t="str">
        <x:v>User opens or performs the primary action on Transport Utilization.</x:v>
      </x:c>
      <x:c r="G280" s="339" t="str">
        <x:v>Validate filter context → resolve row-level scope → query authoritative transactions → apply approved formulas/grouping → reconcile totals → render table/chart → export only permitted data.</x:v>
      </x:c>
      <x:c r="H280" s="339" t="str">
        <x:v>Filter Context Set → Report Generated → Viewed / Exported</x:v>
      </x:c>
      <x:c r="I280" s="339" t="str">
        <x:v>Metrics reuse the source-module formulas and must reconcile to filtered transaction counts/amounts.</x:v>
      </x:c>
      <x:c r="J280" s="339" t="str">
        <x:v>The authoritative record/state is updated only after all blocking validation succeeds; user receives deterministic confirmation.</x:v>
      </x:c>
      <x:c r="K280" s="339" t="str">
        <x:v>Read-only analytical outputs; exports do not alter source transactions.</x:v>
      </x:c>
      <x:c r="L280" s="339" t="str">
        <x:v>Create/update/status/approval/reversal/export/security-sensitive events are recorded with actor, timestamp, target and reason/context.</x:v>
      </x:c>
    </x:row>
    <x:row r="281">
      <x:c r="A281" s="339" t="str">
        <x:v>BL-280</x:v>
      </x:c>
      <x:c r="B281" s="339" t="str">
        <x:v>SCR-280</x:v>
      </x:c>
      <x:c r="C281" s="339" t="str">
        <x:v>Reports &amp; Analytics</x:v>
      </x:c>
      <x:c r="D281" s="339" t="str">
        <x:v>Library Usage</x:v>
      </x:c>
      <x:c r="E281" s="339" t="str">
        <x:v>Authenticated/authorized user; tenant/school context resolved; required master data effective.</x:v>
      </x:c>
      <x:c r="F281" s="339" t="str">
        <x:v>User opens or performs the primary action on Library Usage.</x:v>
      </x:c>
      <x:c r="G281" s="339" t="str">
        <x:v>Validate filter context → resolve row-level scope → query authoritative transactions → apply approved formulas/grouping → reconcile totals → render table/chart → export only permitted data.</x:v>
      </x:c>
      <x:c r="H281" s="339" t="str">
        <x:v>Filter Context Set → Report Generated → Viewed / Exported</x:v>
      </x:c>
      <x:c r="I281" s="339" t="str">
        <x:v>Metrics reuse the source-module formulas and must reconcile to filtered transaction counts/amounts.</x:v>
      </x:c>
      <x:c r="J281" s="339" t="str">
        <x:v>The authoritative record/state is updated only after all blocking validation succeeds; user receives deterministic confirmation.</x:v>
      </x:c>
      <x:c r="K281" s="339" t="str">
        <x:v>Read-only analytical outputs; exports do not alter source transactions.</x:v>
      </x:c>
      <x:c r="L281" s="339" t="str">
        <x:v>Create/update/status/approval/reversal/export/security-sensitive events are recorded with actor, timestamp, target and reason/context.</x:v>
      </x:c>
    </x:row>
    <x:row r="282">
      <x:c r="A282" s="339" t="str">
        <x:v>BL-281</x:v>
      </x:c>
      <x:c r="B282" s="339" t="str">
        <x:v>SCR-281</x:v>
      </x:c>
      <x:c r="C282" s="339" t="str">
        <x:v>Reports &amp; Analytics</x:v>
      </x:c>
      <x:c r="D282" s="339" t="str">
        <x:v>Inventory &amp; Asset Report</x:v>
      </x:c>
      <x:c r="E282" s="339" t="str">
        <x:v>Authenticated/authorized user; tenant/school context resolved; required master data effective.</x:v>
      </x:c>
      <x:c r="F282" s="339" t="str">
        <x:v>User opens or performs the primary action on Inventory &amp; Asset Report.</x:v>
      </x:c>
      <x:c r="G282" s="339" t="str">
        <x:v>Validate filter context → resolve row-level scope → query authoritative transactions → apply approved formulas/grouping → reconcile totals → render table/chart → export only permitted data.</x:v>
      </x:c>
      <x:c r="H282" s="339" t="str">
        <x:v>Filter Context Set → Report Generated → Viewed / Exported</x:v>
      </x:c>
      <x:c r="I282" s="339" t="str">
        <x:v>Metrics reuse the source-module formulas and must reconcile to filtered transaction counts/amounts.</x:v>
      </x:c>
      <x:c r="J282" s="339" t="str">
        <x:v>The authoritative record/state is updated only after all blocking validation succeeds; user receives deterministic confirmation.</x:v>
      </x:c>
      <x:c r="K282" s="339" t="str">
        <x:v>Read-only analytical outputs; exports do not alter source transactions.</x:v>
      </x:c>
      <x:c r="L282" s="339" t="str">
        <x:v>Create/update/status/approval/reversal/export/security-sensitive events are recorded with actor, timestamp, target and reason/context.</x:v>
      </x:c>
    </x:row>
    <x:row r="283">
      <x:c r="A283" s="339" t="str">
        <x:v>BL-282</x:v>
      </x:c>
      <x:c r="B283" s="339" t="str">
        <x:v>SCR-282</x:v>
      </x:c>
      <x:c r="C283" s="339" t="str">
        <x:v>Reports &amp; Analytics</x:v>
      </x:c>
      <x:c r="D283" s="339" t="str">
        <x:v>Communication / Notification Report</x:v>
      </x:c>
      <x:c r="E283" s="339" t="str">
        <x:v>Authenticated/authorized user; tenant/school context resolved; required master data effective.</x:v>
      </x:c>
      <x:c r="F283" s="339" t="str">
        <x:v>User opens or performs the primary action on Communication / Notification Report.</x:v>
      </x:c>
      <x:c r="G283" s="339" t="str">
        <x:v>Validate filter context → resolve row-level scope → query authoritative transactions → apply approved formulas/grouping → reconcile totals → render table/chart → export only permitted data.</x:v>
      </x:c>
      <x:c r="H283" s="339" t="str">
        <x:v>Filter Context Set → Report Generated → Viewed / Exported</x:v>
      </x:c>
      <x:c r="I283" s="339" t="str">
        <x:v>Metrics reuse the source-module formulas and must reconcile to filtered transaction counts/amounts.</x:v>
      </x:c>
      <x:c r="J283" s="339" t="str">
        <x:v>The authoritative record/state is updated only after all blocking validation succeeds; user receives deterministic confirmation.</x:v>
      </x:c>
      <x:c r="K283" s="339" t="str">
        <x:v>Read-only analytical outputs; exports do not alter source transactions.</x:v>
      </x:c>
      <x:c r="L283" s="339" t="str">
        <x:v>Create/update/status/approval/reversal/export/security-sensitive events are recorded with actor, timestamp, target and reason/context.</x:v>
      </x:c>
    </x:row>
    <x:row r="284">
      <x:c r="A284" s="339" t="str">
        <x:v>BL-283</x:v>
      </x:c>
      <x:c r="B284" s="339" t="str">
        <x:v>SCR-283</x:v>
      </x:c>
      <x:c r="C284" s="339" t="str">
        <x:v>Reports &amp; Analytics</x:v>
      </x:c>
      <x:c r="D284" s="339" t="str">
        <x:v>Custom Report Builder</x:v>
      </x:c>
      <x:c r="E284" s="339" t="str">
        <x:v>Authenticated/authorized user; tenant/school context resolved; required master data effective.</x:v>
      </x:c>
      <x:c r="F284" s="339" t="str">
        <x:v>User opens or performs the primary action on Custom Report Builder.</x:v>
      </x:c>
      <x:c r="G284" s="339" t="str">
        <x:v>Validate filter context → resolve row-level scope → query authoritative transactions → apply approved formulas/grouping → reconcile totals → render table/chart → export only permitted data.</x:v>
      </x:c>
      <x:c r="H284" s="339" t="str">
        <x:v>Filter Context Set → Report Generated → Viewed / Exported</x:v>
      </x:c>
      <x:c r="I284" s="339" t="str">
        <x:v>Metrics reuse the source-module formulas and must reconcile to filtered transaction counts/amounts.</x:v>
      </x:c>
      <x:c r="J284" s="339" t="str">
        <x:v>The authoritative record/state is updated only after all blocking validation succeeds; user receives deterministic confirmation.</x:v>
      </x:c>
      <x:c r="K284" s="339" t="str">
        <x:v>Read-only analytical outputs; exports do not alter source transactions.</x:v>
      </x:c>
      <x:c r="L284" s="339" t="str">
        <x:v>Create/update/status/approval/reversal/export/security-sensitive events are recorded with actor, timestamp, target and reason/context.</x:v>
      </x:c>
    </x:row>
    <x:row r="285">
      <x:c r="A285" s="339" t="str">
        <x:v>BL-284</x:v>
      </x:c>
      <x:c r="B285" s="339" t="str">
        <x:v>SCR-284</x:v>
      </x:c>
      <x:c r="C285" s="339" t="str">
        <x:v>Settings / Roles / Permissions / Audit</x:v>
      </x:c>
      <x:c r="D285" s="339" t="str">
        <x:v>User Management</x:v>
      </x:c>
      <x:c r="E285" s="339" t="str">
        <x:v>Authenticated/authorized user; tenant/school context resolved; required master data effective.</x:v>
      </x:c>
      <x:c r="F285" s="339" t="str">
        <x:v>User opens or performs the primary action on User Management.</x:v>
      </x:c>
      <x:c r="G285" s="339" t="str">
        <x:v>Load current workflow state → verify role and allowed transition → validate prerequisites/business rules → execute state change atomically → update dependent data → record audit trail → notify affected users.</x:v>
      </x:c>
      <x:c r="H285" s="339" t="str">
        <x:v>Draft / Proposed → Active → Revised / Inactive; audit entries are append-only</x:v>
      </x:c>
      <x:c r="I285" s="339" t="str">
        <x:v>No special calculation unless configured; derived fields use authoritative source data and explicit effective-date rules.</x:v>
      </x:c>
      <x:c r="J285" s="339" t="str">
        <x:v>The authoritative record/state is updated only after all blocking validation succeeds; user receives deterministic confirmation.</x:v>
      </x:c>
      <x:c r="K285" s="339" t="str">
        <x:v>Configuration and permission changes affect downstream access/validation from their effective time.</x:v>
      </x:c>
      <x:c r="L285" s="339" t="str">
        <x:v>Create/update/status/approval/reversal/export/security-sensitive events are recorded with actor, timestamp, target and reason/context.</x:v>
      </x:c>
    </x:row>
    <x:row r="286">
      <x:c r="A286" s="339" t="str">
        <x:v>BL-285</x:v>
      </x:c>
      <x:c r="B286" s="339" t="str">
        <x:v>SCR-285</x:v>
      </x:c>
      <x:c r="C286" s="339" t="str">
        <x:v>Settings / Roles / Permissions / Audit</x:v>
      </x:c>
      <x:c r="D286" s="339" t="str">
        <x:v>Roles</x:v>
      </x:c>
      <x:c r="E286" s="339" t="str">
        <x:v>Authenticated/authorized user; tenant/school context resolved; required master data effective.</x:v>
      </x:c>
      <x:c r="F286" s="339" t="str">
        <x:v>User opens or performs the primary action on Roles.</x:v>
      </x:c>
      <x:c r="G286" s="339" t="str">
        <x:v>Load current effective configuration → validate permissions/dependencies/date overlaps → prevent destructive changes to referenced masters → save version/effective dates → audit change → refresh downstream configuration cache safely.</x:v>
      </x:c>
      <x:c r="H286" s="339" t="str">
        <x:v>Draft / Proposed → Active → Revised / Inactive; audit entries are append-only</x:v>
      </x:c>
      <x:c r="I286" s="339" t="str">
        <x:v>No special calculation unless configured; derived fields use authoritative source data and explicit effective-date rules.</x:v>
      </x:c>
      <x:c r="J286" s="339" t="str">
        <x:v>The authoritative record/state is updated only after all blocking validation succeeds; user receives deterministic confirmation.</x:v>
      </x:c>
      <x:c r="K286" s="339" t="str">
        <x:v>Configuration and permission changes affect downstream access/validation from their effective time.</x:v>
      </x:c>
      <x:c r="L286" s="339" t="str">
        <x:v>Create/update/status/approval/reversal/export/security-sensitive events are recorded with actor, timestamp, target and reason/context.</x:v>
      </x:c>
    </x:row>
    <x:row r="287">
      <x:c r="A287" s="339" t="str">
        <x:v>BL-286</x:v>
      </x:c>
      <x:c r="B287" s="339" t="str">
        <x:v>SCR-286</x:v>
      </x:c>
      <x:c r="C287" s="339" t="str">
        <x:v>Settings / Roles / Permissions / Audit</x:v>
      </x:c>
      <x:c r="D287" s="339" t="str">
        <x:v>Permissions</x:v>
      </x:c>
      <x:c r="E287" s="339" t="str">
        <x:v>Authenticated/authorized user; tenant/school context resolved; required master data effective.</x:v>
      </x:c>
      <x:c r="F287" s="339" t="str">
        <x:v>User opens or performs the primary action on Permissions.</x:v>
      </x:c>
      <x:c r="G287" s="339" t="str">
        <x:v>Load current effective configuration → validate permissions/dependencies/date overlaps → prevent destructive changes to referenced masters → save version/effective dates → audit change → refresh downstream configuration cache safely.</x:v>
      </x:c>
      <x:c r="H287" s="339" t="str">
        <x:v>Draft / Proposed → Active → Revised / Inactive; audit entries are append-only</x:v>
      </x:c>
      <x:c r="I287" s="339" t="str">
        <x:v>No special calculation unless configured; derived fields use authoritative source data and explicit effective-date rules.</x:v>
      </x:c>
      <x:c r="J287" s="339" t="str">
        <x:v>The authoritative record/state is updated only after all blocking validation succeeds; user receives deterministic confirmation.</x:v>
      </x:c>
      <x:c r="K287" s="339" t="str">
        <x:v>Configuration and permission changes affect downstream access/validation from their effective time.</x:v>
      </x:c>
      <x:c r="L287" s="339" t="str">
        <x:v>Create/update/status/approval/reversal/export/security-sensitive events are recorded with actor, timestamp, target and reason/context.</x:v>
      </x:c>
    </x:row>
    <x:row r="288">
      <x:c r="A288" s="339" t="str">
        <x:v>BL-287</x:v>
      </x:c>
      <x:c r="B288" s="339" t="str">
        <x:v>SCR-287</x:v>
      </x:c>
      <x:c r="C288" s="339" t="str">
        <x:v>Settings / Roles / Permissions / Audit</x:v>
      </x:c>
      <x:c r="D288" s="339" t="str">
        <x:v>Role Permission Matrix</x:v>
      </x:c>
      <x:c r="E288" s="339" t="str">
        <x:v>Authenticated/authorized user; tenant/school context resolved; required master data effective.</x:v>
      </x:c>
      <x:c r="F288" s="339" t="str">
        <x:v>User opens or performs the primary action on Role Permission Matrix.</x:v>
      </x:c>
      <x:c r="G288" s="339" t="str">
        <x:v>Load current workflow state → verify role and allowed transition → validate prerequisites/business rules → execute state change atomically → update dependent data → record audit trail → notify affected users.</x:v>
      </x:c>
      <x:c r="H288" s="339" t="str">
        <x:v>Draft / Proposed → Active → Revised / Inactive; audit entries are append-only</x:v>
      </x:c>
      <x:c r="I288" s="339" t="str">
        <x:v>No special calculation unless configured; derived fields use authoritative source data and explicit effective-date rules.</x:v>
      </x:c>
      <x:c r="J288" s="339" t="str">
        <x:v>The authoritative record/state is updated only after all blocking validation succeeds; user receives deterministic confirmation.</x:v>
      </x:c>
      <x:c r="K288" s="339" t="str">
        <x:v>Configuration and permission changes affect downstream access/validation from their effective time.</x:v>
      </x:c>
      <x:c r="L288" s="339" t="str">
        <x:v>Create/update/status/approval/reversal/export/security-sensitive events are recorded with actor, timestamp, target and reason/context.</x:v>
      </x:c>
    </x:row>
    <x:row r="289">
      <x:c r="A289" s="339" t="str">
        <x:v>BL-288</x:v>
      </x:c>
      <x:c r="B289" s="339" t="str">
        <x:v>SCR-288</x:v>
      </x:c>
      <x:c r="C289" s="339" t="str">
        <x:v>Settings / Roles / Permissions / Audit</x:v>
      </x:c>
      <x:c r="D289" s="339" t="str">
        <x:v>User Role Assignment</x:v>
      </x:c>
      <x:c r="E289" s="339" t="str">
        <x:v>Authenticated/authorized user; tenant/school context resolved; required master data effective.</x:v>
      </x:c>
      <x:c r="F289" s="339" t="str">
        <x:v>User opens or performs the primary action on User Role Assignment.</x:v>
      </x:c>
      <x:c r="G289" s="339" t="str">
        <x:v>Load current workflow state → verify role and allowed transition → validate prerequisites/business rules → execute state change atomically → update dependent data → record audit trail → notify affected users.</x:v>
      </x:c>
      <x:c r="H289" s="339" t="str">
        <x:v>Draft / Proposed → Active → Revised / Inactive; audit entries are append-only</x:v>
      </x:c>
      <x:c r="I289" s="339" t="str">
        <x:v>No special calculation unless configured; derived fields use authoritative source data and explicit effective-date rules.</x:v>
      </x:c>
      <x:c r="J289" s="339" t="str">
        <x:v>The authoritative record/state is updated only after all blocking validation succeeds; user receives deterministic confirmation.</x:v>
      </x:c>
      <x:c r="K289" s="339" t="str">
        <x:v>Configuration and permission changes affect downstream access/validation from their effective time.</x:v>
      </x:c>
      <x:c r="L289" s="339" t="str">
        <x:v>Create/update/status/approval/reversal/export/security-sensitive events are recorded with actor, timestamp, target and reason/context.</x:v>
      </x:c>
    </x:row>
    <x:row r="290">
      <x:c r="A290" s="339" t="str">
        <x:v>BL-289</x:v>
      </x:c>
      <x:c r="B290" s="339" t="str">
        <x:v>SCR-289</x:v>
      </x:c>
      <x:c r="C290" s="339" t="str">
        <x:v>Settings / Roles / Permissions / Audit</x:v>
      </x:c>
      <x:c r="D290" s="339" t="str">
        <x:v>School Settings</x:v>
      </x:c>
      <x:c r="E290" s="339" t="str">
        <x:v>Authenticated/authorized user; tenant/school context resolved; required master data effective.</x:v>
      </x:c>
      <x:c r="F290" s="339" t="str">
        <x:v>User opens or performs the primary action on School Settings.</x:v>
      </x:c>
      <x:c r="G290" s="339" t="str">
        <x:v>Load current effective configuration → validate permissions/dependencies/date overlaps → prevent destructive changes to referenced masters → save version/effective dates → audit change → refresh downstream configuration cache safely.</x:v>
      </x:c>
      <x:c r="H290" s="339" t="str">
        <x:v>Draft / Proposed → Active → Revised / Inactive; audit entries are append-only</x:v>
      </x:c>
      <x:c r="I290" s="339" t="str">
        <x:v>No special calculation unless configured; derived fields use authoritative source data and explicit effective-date rules.</x:v>
      </x:c>
      <x:c r="J290" s="339" t="str">
        <x:v>The authoritative record/state is updated only after all blocking validation succeeds; user receives deterministic confirmation.</x:v>
      </x:c>
      <x:c r="K290" s="339" t="str">
        <x:v>Configuration and permission changes affect downstream access/validation from their effective time.</x:v>
      </x:c>
      <x:c r="L290" s="339" t="str">
        <x:v>Create/update/status/approval/reversal/export/security-sensitive events are recorded with actor, timestamp, target and reason/context.</x:v>
      </x:c>
    </x:row>
    <x:row r="291">
      <x:c r="A291" s="339" t="str">
        <x:v>BL-290</x:v>
      </x:c>
      <x:c r="B291" s="339" t="str">
        <x:v>SCR-290</x:v>
      </x:c>
      <x:c r="C291" s="339" t="str">
        <x:v>Settings / Roles / Permissions / Audit</x:v>
      </x:c>
      <x:c r="D291" s="339" t="str">
        <x:v>Academic Settings</x:v>
      </x:c>
      <x:c r="E291" s="339" t="str">
        <x:v>Authenticated/authorized user; tenant/school context resolved; required master data effective.</x:v>
      </x:c>
      <x:c r="F291" s="339" t="str">
        <x:v>User opens or performs the primary action on Academic Settings.</x:v>
      </x:c>
      <x:c r="G291" s="339" t="str">
        <x:v>Load current effective configuration → validate permissions/dependencies/date overlaps → prevent destructive changes to referenced masters → save version/effective dates → audit change → refresh downstream configuration cache safely.</x:v>
      </x:c>
      <x:c r="H291" s="339" t="str">
        <x:v>Draft / Proposed → Active → Revised / Inactive; audit entries are append-only</x:v>
      </x:c>
      <x:c r="I291" s="339" t="str">
        <x:v>No special calculation unless configured; derived fields use authoritative source data and explicit effective-date rules.</x:v>
      </x:c>
      <x:c r="J291" s="339" t="str">
        <x:v>The authoritative record/state is updated only after all blocking validation succeeds; user receives deterministic confirmation.</x:v>
      </x:c>
      <x:c r="K291" s="339" t="str">
        <x:v>Configuration and permission changes affect downstream access/validation from their effective time.</x:v>
      </x:c>
      <x:c r="L291" s="339" t="str">
        <x:v>Create/update/status/approval/reversal/export/security-sensitive events are recorded with actor, timestamp, target and reason/context.</x:v>
      </x:c>
    </x:row>
    <x:row r="292">
      <x:c r="A292" s="339" t="str">
        <x:v>BL-291</x:v>
      </x:c>
      <x:c r="B292" s="339" t="str">
        <x:v>SCR-291</x:v>
      </x:c>
      <x:c r="C292" s="339" t="str">
        <x:v>Settings / Roles / Permissions / Audit</x:v>
      </x:c>
      <x:c r="D292" s="339" t="str">
        <x:v>Notification Settings</x:v>
      </x:c>
      <x:c r="E292" s="339" t="str">
        <x:v>Authenticated/authorized user; tenant/school context resolved; required master data effective.</x:v>
      </x:c>
      <x:c r="F292" s="339" t="str">
        <x:v>User opens or performs the primary action on Notification Settings.</x:v>
      </x:c>
      <x:c r="G292" s="339" t="str">
        <x:v>Load current effective configuration → validate permissions/dependencies/date overlaps → prevent destructive changes to referenced masters → save version/effective dates → audit change → refresh downstream configuration cache safely.</x:v>
      </x:c>
      <x:c r="H292" s="339" t="str">
        <x:v>Draft / Proposed → Active → Revised / Inactive; audit entries are append-only</x:v>
      </x:c>
      <x:c r="I292" s="339" t="str">
        <x:v>No special calculation unless configured; derived fields use authoritative source data and explicit effective-date rules.</x:v>
      </x:c>
      <x:c r="J292" s="339" t="str">
        <x:v>The authoritative record/state is updated only after all blocking validation succeeds; user receives deterministic confirmation.</x:v>
      </x:c>
      <x:c r="K292" s="339" t="str">
        <x:v>Configuration and permission changes affect downstream access/validation from their effective time.</x:v>
      </x:c>
      <x:c r="L292" s="339" t="str">
        <x:v>Create/update/status/approval/reversal/export/security-sensitive events are recorded with actor, timestamp, target and reason/context.</x:v>
      </x:c>
    </x:row>
    <x:row r="293">
      <x:c r="A293" s="339" t="str">
        <x:v>BL-292</x:v>
      </x:c>
      <x:c r="B293" s="339" t="str">
        <x:v>SCR-292</x:v>
      </x:c>
      <x:c r="C293" s="339" t="str">
        <x:v>Settings / Roles / Permissions / Audit</x:v>
      </x:c>
      <x:c r="D293" s="339" t="str">
        <x:v>Integration / API Settings</x:v>
      </x:c>
      <x:c r="E293" s="339" t="str">
        <x:v>Authenticated/authorized user; tenant/school context resolved; required master data effective.</x:v>
      </x:c>
      <x:c r="F293" s="339" t="str">
        <x:v>User opens or performs the primary action on Integration / API Settings.</x:v>
      </x:c>
      <x:c r="G293" s="339" t="str">
        <x:v>Load current effective configuration → validate permissions/dependencies/date overlaps → prevent destructive changes to referenced masters → save version/effective dates → audit change → refresh downstream configuration cache safely.</x:v>
      </x:c>
      <x:c r="H293" s="339" t="str">
        <x:v>Draft / Proposed → Active → Revised / Inactive; audit entries are append-only</x:v>
      </x:c>
      <x:c r="I293" s="339" t="str">
        <x:v>No special calculation unless configured; derived fields use authoritative source data and explicit effective-date rules.</x:v>
      </x:c>
      <x:c r="J293" s="339" t="str">
        <x:v>The authoritative record/state is updated only after all blocking validation succeeds; user receives deterministic confirmation.</x:v>
      </x:c>
      <x:c r="K293" s="339" t="str">
        <x:v>Configuration and permission changes affect downstream access/validation from their effective time.</x:v>
      </x:c>
      <x:c r="L293" s="339" t="str">
        <x:v>Create/update/status/approval/reversal/export/security-sensitive events are recorded with actor, timestamp, target and reason/context.</x:v>
      </x:c>
    </x:row>
    <x:row r="294">
      <x:c r="A294" s="339" t="str">
        <x:v>BL-293</x:v>
      </x:c>
      <x:c r="B294" s="339" t="str">
        <x:v>SCR-293</x:v>
      </x:c>
      <x:c r="C294" s="339" t="str">
        <x:v>Settings / Roles / Permissions / Audit</x:v>
      </x:c>
      <x:c r="D294" s="339" t="str">
        <x:v>Security &amp; Password Policy</x:v>
      </x:c>
      <x:c r="E294" s="339" t="str">
        <x:v>Authenticated/authorized user; tenant/school context resolved; required master data effective.</x:v>
      </x:c>
      <x:c r="F294" s="339" t="str">
        <x:v>User opens or performs the primary action on Security &amp; Password Policy.</x:v>
      </x:c>
      <x:c r="G294" s="339" t="str">
        <x:v>Load current effective configuration → validate permissions/dependencies/date overlaps → prevent destructive changes to referenced masters → save version/effective dates → audit change → refresh downstream configuration cache safely.</x:v>
      </x:c>
      <x:c r="H294" s="339" t="str">
        <x:v>Draft / Proposed → Active → Revised / Inactive; audit entries are append-only</x:v>
      </x:c>
      <x:c r="I294" s="339" t="str">
        <x:v>No special calculation unless configured; derived fields use authoritative source data and explicit effective-date rules.</x:v>
      </x:c>
      <x:c r="J294" s="339" t="str">
        <x:v>The authoritative record/state is updated only after all blocking validation succeeds; user receives deterministic confirmation.</x:v>
      </x:c>
      <x:c r="K294" s="339" t="str">
        <x:v>Configuration and permission changes affect downstream access/validation from their effective time.</x:v>
      </x:c>
      <x:c r="L294" s="339" t="str">
        <x:v>Create/update/status/approval/reversal/export/security-sensitive events are recorded with actor, timestamp, target and reason/context.</x:v>
      </x:c>
    </x:row>
    <x:row r="295">
      <x:c r="A295" s="339" t="str">
        <x:v>BL-294</x:v>
      </x:c>
      <x:c r="B295" s="339" t="str">
        <x:v>SCR-294</x:v>
      </x:c>
      <x:c r="C295" s="339" t="str">
        <x:v>Settings / Roles / Permissions / Audit</x:v>
      </x:c>
      <x:c r="D295" s="339" t="str">
        <x:v>Audit Logs</x:v>
      </x:c>
      <x:c r="E295" s="339" t="str">
        <x:v>Authenticated/authorized user; tenant/school context resolved; required master data effective.</x:v>
      </x:c>
      <x:c r="F295" s="339" t="str">
        <x:v>User opens or performs the primary action on Audit Logs.</x:v>
      </x:c>
      <x:c r="G295" s="339" t="str">
        <x:v>Load current workflow state → verify role and allowed transition → validate prerequisites/business rules → execute state change atomically → update dependent data → record audit trail → notify affected users.</x:v>
      </x:c>
      <x:c r="H295" s="339" t="str">
        <x:v>Draft / Proposed → Active → Revised / Inactive; audit entries are append-only</x:v>
      </x:c>
      <x:c r="I295" s="339" t="str">
        <x:v>No special calculation unless configured; derived fields use authoritative source data and explicit effective-date rules.</x:v>
      </x:c>
      <x:c r="J295" s="339" t="str">
        <x:v>The authoritative record/state is updated only after all blocking validation succeeds; user receives deterministic confirmation.</x:v>
      </x:c>
      <x:c r="K295" s="339" t="str">
        <x:v>Configuration and permission changes affect downstream access/validation from their effective time.</x:v>
      </x:c>
      <x:c r="L295" s="339" t="str">
        <x:v>Create/update/status/approval/reversal/export/security-sensitive events are recorded with actor, timestamp, target and reason/context.</x:v>
      </x:c>
    </x:row>
    <x:row r="296">
      <x:c r="A296" s="340" t="str">
        <x:v>BL-295</x:v>
      </x:c>
      <x:c r="B296" s="340" t="str">
        <x:v>SCR-295</x:v>
      </x:c>
      <x:c r="C296" s="340" t="str">
        <x:v>Settings / Roles / Permissions / Audit</x:v>
      </x:c>
      <x:c r="D296" s="340" t="str">
        <x:v>Data Import / Export / Backup</x:v>
      </x:c>
      <x:c r="E296" s="340" t="str">
        <x:v>Authenticated/authorized user; tenant/school context resolved; required master data effective.</x:v>
      </x:c>
      <x:c r="F296" s="340" t="str">
        <x:v>User opens or performs the primary action on Data Import / Export / Backup.</x:v>
      </x:c>
      <x:c r="G296" s="340" t="str">
        <x:v>Load current workflow state → verify role and allowed transition → validate prerequisites/business rules → execute state change atomically → update dependent data → record audit trail → notify affected users.</x:v>
      </x:c>
      <x:c r="H296" s="340" t="str">
        <x:v>Draft / Proposed → Active → Revised / Inactive; audit entries are append-only</x:v>
      </x:c>
      <x:c r="I296" s="340" t="str">
        <x:v>No special calculation unless configured; derived fields use authoritative source data and explicit effective-date rules.</x:v>
      </x:c>
      <x:c r="J296" s="340" t="str">
        <x:v>The authoritative record/state is updated only after all blocking validation succeeds; user receives deterministic confirmation.</x:v>
      </x:c>
      <x:c r="K296" s="340" t="str">
        <x:v>Configuration and permission changes affect downstream access/validation from their effective time.</x:v>
      </x:c>
      <x:c r="L296" s="340" t="str">
        <x:v>Create/update/status/approval/reversal/export/security-sensitive events are recorded with actor, timestamp, target and reason/context.</x:v>
      </x:c>
    </x:row>
  </x:sheetData>
  <x:pageMargins left="0.7" right="0.7" top="0.75" bottom="0.75" header="0.3" footer="0.3"/>
  <x:tableParts count="1">
    <x:tablePart xmlns:r="http://schemas.openxmlformats.org/officeDocument/2006/relationships" r:id="R183435a6a1334cc5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1" hidden="0" customWidth="1"/>
    <x:col min="4" max="4" width="28" hidden="0" customWidth="1"/>
    <x:col min="5" max="5" width="28" hidden="0" customWidth="1"/>
    <x:col min="6" max="6" width="32" hidden="0" customWidth="1"/>
    <x:col min="7" max="7" width="64" hidden="0" customWidth="1"/>
    <x:col min="8" max="8" width="48" hidden="0" customWidth="1"/>
    <x:col min="9" max="9" width="12" hidden="0" customWidth="1"/>
    <x:col min="10" max="10" width="50" hidden="0" customWidth="1"/>
  </x:cols>
  <x:sheetData>
    <x:row r="1" ht="30" customHeight="1">
      <x:c r="A1" s="338" t="str">
        <x:v>Rule ID</x:v>
      </x:c>
      <x:c r="B1" s="338" t="str">
        <x:v>Scope</x:v>
      </x:c>
      <x:c r="C1" s="338" t="str">
        <x:v>Screen ID</x:v>
      </x:c>
      <x:c r="D1" s="338" t="str">
        <x:v>Module</x:v>
      </x:c>
      <x:c r="E1" s="338" t="str">
        <x:v>Screen Name</x:v>
      </x:c>
      <x:c r="F1" s="338" t="str">
        <x:v>Rule Name</x:v>
      </x:c>
      <x:c r="G1" s="338" t="str">
        <x:v>Business Rule</x:v>
      </x:c>
      <x:c r="H1" s="338" t="str">
        <x:v>Enforcement</x:v>
      </x:c>
      <x:c r="I1" s="338" t="str">
        <x:v>Severity</x:v>
      </x:c>
      <x:c r="J1" s="338" t="str">
        <x:v>Override / Exception Policy</x:v>
      </x:c>
    </x:row>
    <x:row r="2">
      <x:c r="A2" s="339" t="str">
        <x:v>BR-00001</x:v>
      </x:c>
      <x:c r="B2" s="339" t="str">
        <x:v>Screen</x:v>
      </x:c>
      <x:c r="C2" s="339" t="str">
        <x:v>SCR-001</x:v>
      </x:c>
      <x:c r="D2" s="339" t="str">
        <x:v>Public Website &amp; Authentication</x:v>
      </x:c>
      <x:c r="E2" s="339" t="str">
        <x:v>Landing / Home</x:v>
      </x:c>
      <x:c r="F2" s="339" t="str">
        <x:v>Secure Access &amp; Role Entry rule 1</x:v>
      </x:c>
      <x:c r="G2" s="339" t="str">
        <x:v>Locked, inactive, suspended or expired accounts cannot start a protected session.</x:v>
      </x:c>
      <x:c r="H2" s="339" t="str">
        <x:v>Enforced in service/domain layer and reflected in UI validation/action availability.</x:v>
      </x:c>
      <x:c r="I2" s="339" t="str">
        <x:v>Medium</x:v>
      </x:c>
      <x:c r="J2" s="339" t="str">
        <x:v>Only an explicitly configured authorized override may bypass a non-statutory rule; overrides require reason and audit.</x:v>
      </x:c>
    </x:row>
    <x:row r="3">
      <x:c r="A3" s="339" t="str">
        <x:v>BR-00002</x:v>
      </x:c>
      <x:c r="B3" s="339" t="str">
        <x:v>Screen</x:v>
      </x:c>
      <x:c r="C3" s="339" t="str">
        <x:v>SCR-001</x:v>
      </x:c>
      <x:c r="D3" s="339" t="str">
        <x:v>Public Website &amp; Authentication</x:v>
      </x:c>
      <x:c r="E3" s="339" t="str">
        <x:v>Landing / Home</x:v>
      </x:c>
      <x:c r="F3" s="339" t="str">
        <x:v>Secure Access &amp; Role Entry rule 2</x:v>
      </x:c>
      <x:c r="G3" s="339" t="str">
        <x:v>Password reset and OTP tokens must be single-use and time-bound.</x:v>
      </x:c>
      <x:c r="H3" s="339" t="str">
        <x:v>Enforced in service/domain layer and reflected in UI validation/action availability.</x:v>
      </x:c>
      <x:c r="I3" s="339" t="str">
        <x:v>Medium</x:v>
      </x:c>
      <x:c r="J3" s="339" t="str">
        <x:v>Only an explicitly configured authorized override may bypass a non-statutory rule; overrides require reason and audit.</x:v>
      </x:c>
    </x:row>
    <x:row r="4">
      <x:c r="A4" s="339" t="str">
        <x:v>BR-00003</x:v>
      </x:c>
      <x:c r="B4" s="339" t="str">
        <x:v>Screen Type</x:v>
      </x:c>
      <x:c r="C4" s="339" t="str">
        <x:v>SCR-001</x:v>
      </x:c>
      <x:c r="D4" s="339" t="str">
        <x:v>Public Website &amp; Authentication</x:v>
      </x:c>
      <x:c r="E4" s="339" t="str">
        <x:v>Landing / Home</x:v>
      </x:c>
      <x:c r="F4" s="339" t="str">
        <x:v>Workflow / Management integrity rule</x:v>
      </x:c>
      <x:c r="G4" s="339" t="str">
        <x:v>State transitions are explicit, role-controlled and auditable; invalid transitions are rejected.</x:v>
      </x:c>
      <x:c r="H4" s="339" t="str">
        <x:v>Domain/service validation plus UI affordances.</x:v>
      </x:c>
      <x:c r="I4" s="339" t="str">
        <x:v>High</x:v>
      </x:c>
      <x:c r="J4" s="339" t="str">
        <x:v>No silent bypass; approved overrides must be separately authorized and audited.</x:v>
      </x:c>
    </x:row>
    <x:row r="5">
      <x:c r="A5" s="339" t="str">
        <x:v>BR-00004</x:v>
      </x:c>
      <x:c r="B5" s="339" t="str">
        <x:v>Screen</x:v>
      </x:c>
      <x:c r="C5" s="339" t="str">
        <x:v>SCR-002</x:v>
      </x:c>
      <x:c r="D5" s="339" t="str">
        <x:v>Public Website &amp; Authentication</x:v>
      </x:c>
      <x:c r="E5" s="339" t="str">
        <x:v>Workspace / Role Selection</x:v>
      </x:c>
      <x:c r="F5" s="339" t="str">
        <x:v>Secure Access &amp; Role Entry rule 1</x:v>
      </x:c>
      <x:c r="G5" s="339" t="str">
        <x:v>Password reset and OTP tokens must be single-use and time-bound.</x:v>
      </x:c>
      <x:c r="H5" s="339" t="str">
        <x:v>Enforced in service/domain layer and reflected in UI validation/action availability.</x:v>
      </x:c>
      <x:c r="I5" s="339" t="str">
        <x:v>Medium</x:v>
      </x:c>
      <x:c r="J5" s="339" t="str">
        <x:v>Only an explicitly configured authorized override may bypass a non-statutory rule; overrides require reason and audit.</x:v>
      </x:c>
    </x:row>
    <x:row r="6">
      <x:c r="A6" s="339" t="str">
        <x:v>BR-00005</x:v>
      </x:c>
      <x:c r="B6" s="339" t="str">
        <x:v>Screen</x:v>
      </x:c>
      <x:c r="C6" s="339" t="str">
        <x:v>SCR-002</x:v>
      </x:c>
      <x:c r="D6" s="339" t="str">
        <x:v>Public Website &amp; Authentication</x:v>
      </x:c>
      <x:c r="E6" s="339" t="str">
        <x:v>Workspace / Role Selection</x:v>
      </x:c>
      <x:c r="F6" s="339" t="str">
        <x:v>Secure Access &amp; Role Entry rule 2</x:v>
      </x:c>
      <x:c r="G6" s="339" t="str">
        <x:v>Authorization is evaluated server-side on every protected request; UI hiding alone is not sufficient.</x:v>
      </x:c>
      <x:c r="H6" s="339" t="str">
        <x:v>Enforced in service/domain layer and reflected in UI validation/action availability.</x:v>
      </x:c>
      <x:c r="I6" s="339" t="str">
        <x:v>Medium</x:v>
      </x:c>
      <x:c r="J6" s="339" t="str">
        <x:v>Only an explicitly configured authorized override may bypass a non-statutory rule; overrides require reason and audit.</x:v>
      </x:c>
    </x:row>
    <x:row r="7">
      <x:c r="A7" s="339" t="str">
        <x:v>BR-00006</x:v>
      </x:c>
      <x:c r="B7" s="339" t="str">
        <x:v>Screen Type</x:v>
      </x:c>
      <x:c r="C7" s="339" t="str">
        <x:v>SCR-002</x:v>
      </x:c>
      <x:c r="D7" s="339" t="str">
        <x:v>Public Website &amp; Authentication</x:v>
      </x:c>
      <x:c r="E7" s="339" t="str">
        <x:v>Workspace / Role Selection</x:v>
      </x:c>
      <x:c r="F7" s="339" t="str">
        <x:v>Workflow / Management integrity rule</x:v>
      </x:c>
      <x:c r="G7" s="339" t="str">
        <x:v>State transitions are explicit, role-controlled and auditable; invalid transitions are rejected.</x:v>
      </x:c>
      <x:c r="H7" s="339" t="str">
        <x:v>Domain/service validation plus UI affordances.</x:v>
      </x:c>
      <x:c r="I7" s="339" t="str">
        <x:v>High</x:v>
      </x:c>
      <x:c r="J7" s="339" t="str">
        <x:v>No silent bypass; approved overrides must be separately authorized and audited.</x:v>
      </x:c>
    </x:row>
    <x:row r="8">
      <x:c r="A8" s="339" t="str">
        <x:v>BR-00007</x:v>
      </x:c>
      <x:c r="B8" s="339" t="str">
        <x:v>Screen</x:v>
      </x:c>
      <x:c r="C8" s="339" t="str">
        <x:v>SCR-003</x:v>
      </x:c>
      <x:c r="D8" s="339" t="str">
        <x:v>Public Website &amp; Authentication</x:v>
      </x:c>
      <x:c r="E8" s="339" t="str">
        <x:v>Sign In</x:v>
      </x:c>
      <x:c r="F8" s="339" t="str">
        <x:v>Secure Access &amp; Role Entry rule 1</x:v>
      </x:c>
      <x:c r="G8" s="339" t="str">
        <x:v>Authorization is evaluated server-side on every protected request; UI hiding alone is not sufficient.</x:v>
      </x:c>
      <x:c r="H8" s="339" t="str">
        <x:v>Enforced in service/domain layer and reflected in UI validation/action availability.</x:v>
      </x:c>
      <x:c r="I8" s="339" t="str">
        <x:v>Medium</x:v>
      </x:c>
      <x:c r="J8" s="339" t="str">
        <x:v>Only an explicitly configured authorized override may bypass a non-statutory rule; overrides require reason and audit.</x:v>
      </x:c>
    </x:row>
    <x:row r="9">
      <x:c r="A9" s="339" t="str">
        <x:v>BR-00008</x:v>
      </x:c>
      <x:c r="B9" s="339" t="str">
        <x:v>Screen</x:v>
      </x:c>
      <x:c r="C9" s="339" t="str">
        <x:v>SCR-003</x:v>
      </x:c>
      <x:c r="D9" s="339" t="str">
        <x:v>Public Website &amp; Authentication</x:v>
      </x:c>
      <x:c r="E9" s="339" t="str">
        <x:v>Sign In</x:v>
      </x:c>
      <x:c r="F9" s="339" t="str">
        <x:v>Secure Access &amp; Role Entry rule 2</x:v>
      </x:c>
      <x:c r="G9" s="339" t="str">
        <x:v>Session expiry must not silently lose unsaved user input where recovery is technically feasible.</x:v>
      </x:c>
      <x:c r="H9" s="339" t="str">
        <x:v>Enforced in service/domain layer and reflected in UI validation/action availability.</x:v>
      </x:c>
      <x:c r="I9" s="339" t="str">
        <x:v>Medium</x:v>
      </x:c>
      <x:c r="J9" s="339" t="str">
        <x:v>Only an explicitly configured authorized override may bypass a non-statutory rule; overrides require reason and audit.</x:v>
      </x:c>
    </x:row>
    <x:row r="10">
      <x:c r="A10" s="339" t="str">
        <x:v>BR-00009</x:v>
      </x:c>
      <x:c r="B10" s="339" t="str">
        <x:v>Screen Type</x:v>
      </x:c>
      <x:c r="C10" s="339" t="str">
        <x:v>SCR-003</x:v>
      </x:c>
      <x:c r="D10" s="339" t="str">
        <x:v>Public Website &amp; Authentication</x:v>
      </x:c>
      <x:c r="E10" s="339" t="str">
        <x:v>Sign In</x:v>
      </x:c>
      <x:c r="F10" s="339" t="str">
        <x:v>Workflow / Management integrity rule</x:v>
      </x:c>
      <x:c r="G10" s="339" t="str">
        <x:v>State transitions are explicit, role-controlled and auditable; invalid transitions are rejected.</x:v>
      </x:c>
      <x:c r="H10" s="339" t="str">
        <x:v>Domain/service validation plus UI affordances.</x:v>
      </x:c>
      <x:c r="I10" s="339" t="str">
        <x:v>High</x:v>
      </x:c>
      <x:c r="J10" s="339" t="str">
        <x:v>No silent bypass; approved overrides must be separately authorized and audited.</x:v>
      </x:c>
    </x:row>
    <x:row r="11">
      <x:c r="A11" s="339" t="str">
        <x:v>BR-00010</x:v>
      </x:c>
      <x:c r="B11" s="339" t="str">
        <x:v>Screen</x:v>
      </x:c>
      <x:c r="C11" s="339" t="str">
        <x:v>SCR-004</x:v>
      </x:c>
      <x:c r="D11" s="339" t="str">
        <x:v>Public Website &amp; Authentication</x:v>
      </x:c>
      <x:c r="E11" s="339" t="str">
        <x:v>Forgot Password</x:v>
      </x:c>
      <x:c r="F11" s="339" t="str">
        <x:v>Secure Access &amp; Role Entry rule 1</x:v>
      </x:c>
      <x:c r="G11" s="339" t="str">
        <x:v>Session expiry must not silently lose unsaved user input where recovery is technically feasible.</x:v>
      </x:c>
      <x:c r="H11" s="339" t="str">
        <x:v>Enforced in service/domain layer and reflected in UI validation/action availability.</x:v>
      </x:c>
      <x:c r="I11" s="339" t="str">
        <x:v>Medium</x:v>
      </x:c>
      <x:c r="J11" s="339" t="str">
        <x:v>Only an explicitly configured authorized override may bypass a non-statutory rule; overrides require reason and audit.</x:v>
      </x:c>
    </x:row>
    <x:row r="12">
      <x:c r="A12" s="339" t="str">
        <x:v>BR-00011</x:v>
      </x:c>
      <x:c r="B12" s="339" t="str">
        <x:v>Screen</x:v>
      </x:c>
      <x:c r="C12" s="339" t="str">
        <x:v>SCR-004</x:v>
      </x:c>
      <x:c r="D12" s="339" t="str">
        <x:v>Public Website &amp; Authentication</x:v>
      </x:c>
      <x:c r="E12" s="339" t="str">
        <x:v>Forgot Password</x:v>
      </x:c>
      <x:c r="F12" s="339" t="str">
        <x:v>Secure Access &amp; Role Entry rule 2</x:v>
      </x:c>
      <x:c r="G12" s="339" t="str">
        <x:v>Authentication must resolve tenant/school context before protected data is returned.</x:v>
      </x:c>
      <x:c r="H12" s="339" t="str">
        <x:v>Enforced in service/domain layer and reflected in UI validation/action availability.</x:v>
      </x:c>
      <x:c r="I12" s="339" t="str">
        <x:v>Medium</x:v>
      </x:c>
      <x:c r="J12" s="339" t="str">
        <x:v>Only an explicitly configured authorized override may bypass a non-statutory rule; overrides require reason and audit.</x:v>
      </x:c>
    </x:row>
    <x:row r="13">
      <x:c r="A13" s="339" t="str">
        <x:v>BR-00012</x:v>
      </x:c>
      <x:c r="B13" s="339" t="str">
        <x:v>Screen Type</x:v>
      </x:c>
      <x:c r="C13" s="339" t="str">
        <x:v>SCR-004</x:v>
      </x:c>
      <x:c r="D13" s="339" t="str">
        <x:v>Public Website &amp; Authentication</x:v>
      </x:c>
      <x:c r="E13" s="339" t="str">
        <x:v>Forgot Password</x:v>
      </x:c>
      <x:c r="F13" s="339" t="str">
        <x:v>Workflow / Management integrity rule</x:v>
      </x:c>
      <x:c r="G13" s="339" t="str">
        <x:v>State transitions are explicit, role-controlled and auditable; invalid transitions are rejected.</x:v>
      </x:c>
      <x:c r="H13" s="339" t="str">
        <x:v>Domain/service validation plus UI affordances.</x:v>
      </x:c>
      <x:c r="I13" s="339" t="str">
        <x:v>High</x:v>
      </x:c>
      <x:c r="J13" s="339" t="str">
        <x:v>No silent bypass; approved overrides must be separately authorized and audited.</x:v>
      </x:c>
    </x:row>
    <x:row r="14">
      <x:c r="A14" s="339" t="str">
        <x:v>BR-00013</x:v>
      </x:c>
      <x:c r="B14" s="339" t="str">
        <x:v>Screen</x:v>
      </x:c>
      <x:c r="C14" s="339" t="str">
        <x:v>SCR-005</x:v>
      </x:c>
      <x:c r="D14" s="339" t="str">
        <x:v>Public Website &amp; Authentication</x:v>
      </x:c>
      <x:c r="E14" s="339" t="str">
        <x:v>Reset Password</x:v>
      </x:c>
      <x:c r="F14" s="339" t="str">
        <x:v>Secure Access &amp; Role Entry rule 1</x:v>
      </x:c>
      <x:c r="G14" s="339" t="str">
        <x:v>Authentication must resolve tenant/school context before protected data is returned.</x:v>
      </x:c>
      <x:c r="H14" s="339" t="str">
        <x:v>Enforced in service/domain layer and reflected in UI validation/action availability.</x:v>
      </x:c>
      <x:c r="I14" s="339" t="str">
        <x:v>Medium</x:v>
      </x:c>
      <x:c r="J14" s="339" t="str">
        <x:v>Only an explicitly configured authorized override may bypass a non-statutory rule; overrides require reason and audit.</x:v>
      </x:c>
    </x:row>
    <x:row r="15">
      <x:c r="A15" s="339" t="str">
        <x:v>BR-00014</x:v>
      </x:c>
      <x:c r="B15" s="339" t="str">
        <x:v>Screen</x:v>
      </x:c>
      <x:c r="C15" s="339" t="str">
        <x:v>SCR-005</x:v>
      </x:c>
      <x:c r="D15" s="339" t="str">
        <x:v>Public Website &amp; Authentication</x:v>
      </x:c>
      <x:c r="E15" s="339" t="str">
        <x:v>Reset Password</x:v>
      </x:c>
      <x:c r="F15" s="339" t="str">
        <x:v>Secure Access &amp; Role Entry rule 2</x:v>
      </x:c>
      <x:c r="G15" s="339" t="str">
        <x:v>Locked, inactive, suspended or expired accounts cannot start a protected session.</x:v>
      </x:c>
      <x:c r="H15" s="339" t="str">
        <x:v>Enforced in service/domain layer and reflected in UI validation/action availability.</x:v>
      </x:c>
      <x:c r="I15" s="339" t="str">
        <x:v>Medium</x:v>
      </x:c>
      <x:c r="J15" s="339" t="str">
        <x:v>Only an explicitly configured authorized override may bypass a non-statutory rule; overrides require reason and audit.</x:v>
      </x:c>
    </x:row>
    <x:row r="16">
      <x:c r="A16" s="339" t="str">
        <x:v>BR-00015</x:v>
      </x:c>
      <x:c r="B16" s="339" t="str">
        <x:v>Screen Type</x:v>
      </x:c>
      <x:c r="C16" s="339" t="str">
        <x:v>SCR-005</x:v>
      </x:c>
      <x:c r="D16" s="339" t="str">
        <x:v>Public Website &amp; Authentication</x:v>
      </x:c>
      <x:c r="E16" s="339" t="str">
        <x:v>Reset Password</x:v>
      </x:c>
      <x:c r="F16" s="339" t="str">
        <x:v>Workflow / Management integrity rule</x:v>
      </x:c>
      <x:c r="G16" s="339" t="str">
        <x:v>State transitions are explicit, role-controlled and auditable; invalid transitions are rejected.</x:v>
      </x:c>
      <x:c r="H16" s="339" t="str">
        <x:v>Domain/service validation plus UI affordances.</x:v>
      </x:c>
      <x:c r="I16" s="339" t="str">
        <x:v>High</x:v>
      </x:c>
      <x:c r="J16" s="339" t="str">
        <x:v>No silent bypass; approved overrides must be separately authorized and audited.</x:v>
      </x:c>
    </x:row>
    <x:row r="17">
      <x:c r="A17" s="339" t="str">
        <x:v>BR-00016</x:v>
      </x:c>
      <x:c r="B17" s="339" t="str">
        <x:v>Screen</x:v>
      </x:c>
      <x:c r="C17" s="339" t="str">
        <x:v>SCR-006</x:v>
      </x:c>
      <x:c r="D17" s="339" t="str">
        <x:v>Public Website &amp; Authentication</x:v>
      </x:c>
      <x:c r="E17" s="339" t="str">
        <x:v>OTP / Two-Factor Verification</x:v>
      </x:c>
      <x:c r="F17" s="339" t="str">
        <x:v>Secure Access &amp; Role Entry rule 1</x:v>
      </x:c>
      <x:c r="G17" s="339" t="str">
        <x:v>Locked, inactive, suspended or expired accounts cannot start a protected session.</x:v>
      </x:c>
      <x:c r="H17" s="339" t="str">
        <x:v>Enforced in service/domain layer and reflected in UI validation/action availability.</x:v>
      </x:c>
      <x:c r="I17" s="339" t="str">
        <x:v>Medium</x:v>
      </x:c>
      <x:c r="J17" s="339" t="str">
        <x:v>Only an explicitly configured authorized override may bypass a non-statutory rule; overrides require reason and audit.</x:v>
      </x:c>
    </x:row>
    <x:row r="18">
      <x:c r="A18" s="339" t="str">
        <x:v>BR-00017</x:v>
      </x:c>
      <x:c r="B18" s="339" t="str">
        <x:v>Screen</x:v>
      </x:c>
      <x:c r="C18" s="339" t="str">
        <x:v>SCR-006</x:v>
      </x:c>
      <x:c r="D18" s="339" t="str">
        <x:v>Public Website &amp; Authentication</x:v>
      </x:c>
      <x:c r="E18" s="339" t="str">
        <x:v>OTP / Two-Factor Verification</x:v>
      </x:c>
      <x:c r="F18" s="339" t="str">
        <x:v>Secure Access &amp; Role Entry rule 2</x:v>
      </x:c>
      <x:c r="G18" s="339" t="str">
        <x:v>Password reset and OTP tokens must be single-use and time-bound.</x:v>
      </x:c>
      <x:c r="H18" s="339" t="str">
        <x:v>Enforced in service/domain layer and reflected in UI validation/action availability.</x:v>
      </x:c>
      <x:c r="I18" s="339" t="str">
        <x:v>Medium</x:v>
      </x:c>
      <x:c r="J18" s="339" t="str">
        <x:v>Only an explicitly configured authorized override may bypass a non-statutory rule; overrides require reason and audit.</x:v>
      </x:c>
    </x:row>
    <x:row r="19">
      <x:c r="A19" s="339" t="str">
        <x:v>BR-00018</x:v>
      </x:c>
      <x:c r="B19" s="339" t="str">
        <x:v>Screen Type</x:v>
      </x:c>
      <x:c r="C19" s="339" t="str">
        <x:v>SCR-006</x:v>
      </x:c>
      <x:c r="D19" s="339" t="str">
        <x:v>Public Website &amp; Authentication</x:v>
      </x:c>
      <x:c r="E19" s="339" t="str">
        <x:v>OTP / Two-Factor Verification</x:v>
      </x:c>
      <x:c r="F19" s="339" t="str">
        <x:v>Workflow / Management integrity rule</x:v>
      </x:c>
      <x:c r="G19" s="339" t="str">
        <x:v>State transitions are explicit, role-controlled and auditable; invalid transitions are rejected.</x:v>
      </x:c>
      <x:c r="H19" s="339" t="str">
        <x:v>Domain/service validation plus UI affordances.</x:v>
      </x:c>
      <x:c r="I19" s="339" t="str">
        <x:v>High</x:v>
      </x:c>
      <x:c r="J19" s="339" t="str">
        <x:v>No silent bypass; approved overrides must be separately authorized and audited.</x:v>
      </x:c>
    </x:row>
    <x:row r="20">
      <x:c r="A20" s="339" t="str">
        <x:v>BR-00019</x:v>
      </x:c>
      <x:c r="B20" s="339" t="str">
        <x:v>Screen</x:v>
      </x:c>
      <x:c r="C20" s="339" t="str">
        <x:v>SCR-007</x:v>
      </x:c>
      <x:c r="D20" s="339" t="str">
        <x:v>Public Website &amp; Authentication</x:v>
      </x:c>
      <x:c r="E20" s="339" t="str">
        <x:v>First Login / Change Password</x:v>
      </x:c>
      <x:c r="F20" s="339" t="str">
        <x:v>Secure Access &amp; Role Entry rule 1</x:v>
      </x:c>
      <x:c r="G20" s="339" t="str">
        <x:v>Password reset and OTP tokens must be single-use and time-bound.</x:v>
      </x:c>
      <x:c r="H20" s="339" t="str">
        <x:v>Enforced in service/domain layer and reflected in UI validation/action availability.</x:v>
      </x:c>
      <x:c r="I20" s="339" t="str">
        <x:v>Medium</x:v>
      </x:c>
      <x:c r="J20" s="339" t="str">
        <x:v>Only an explicitly configured authorized override may bypass a non-statutory rule; overrides require reason and audit.</x:v>
      </x:c>
    </x:row>
    <x:row r="21">
      <x:c r="A21" s="339" t="str">
        <x:v>BR-00020</x:v>
      </x:c>
      <x:c r="B21" s="339" t="str">
        <x:v>Screen</x:v>
      </x:c>
      <x:c r="C21" s="339" t="str">
        <x:v>SCR-007</x:v>
      </x:c>
      <x:c r="D21" s="339" t="str">
        <x:v>Public Website &amp; Authentication</x:v>
      </x:c>
      <x:c r="E21" s="339" t="str">
        <x:v>First Login / Change Password</x:v>
      </x:c>
      <x:c r="F21" s="339" t="str">
        <x:v>Secure Access &amp; Role Entry rule 2</x:v>
      </x:c>
      <x:c r="G21" s="339" t="str">
        <x:v>Authorization is evaluated server-side on every protected request; UI hiding alone is not sufficient.</x:v>
      </x:c>
      <x:c r="H21" s="339" t="str">
        <x:v>Enforced in service/domain layer and reflected in UI validation/action availability.</x:v>
      </x:c>
      <x:c r="I21" s="339" t="str">
        <x:v>Medium</x:v>
      </x:c>
      <x:c r="J21" s="339" t="str">
        <x:v>Only an explicitly configured authorized override may bypass a non-statutory rule; overrides require reason and audit.</x:v>
      </x:c>
    </x:row>
    <x:row r="22">
      <x:c r="A22" s="339" t="str">
        <x:v>BR-00021</x:v>
      </x:c>
      <x:c r="B22" s="339" t="str">
        <x:v>Screen Type</x:v>
      </x:c>
      <x:c r="C22" s="339" t="str">
        <x:v>SCR-007</x:v>
      </x:c>
      <x:c r="D22" s="339" t="str">
        <x:v>Public Website &amp; Authentication</x:v>
      </x:c>
      <x:c r="E22" s="339" t="str">
        <x:v>First Login / Change Password</x:v>
      </x:c>
      <x:c r="F22" s="339" t="str">
        <x:v>Workflow / Management integrity rule</x:v>
      </x:c>
      <x:c r="G22" s="339" t="str">
        <x:v>State transitions are explicit, role-controlled and auditable; invalid transitions are rejected.</x:v>
      </x:c>
      <x:c r="H22" s="339" t="str">
        <x:v>Domain/service validation plus UI affordances.</x:v>
      </x:c>
      <x:c r="I22" s="339" t="str">
        <x:v>High</x:v>
      </x:c>
      <x:c r="J22" s="339" t="str">
        <x:v>No silent bypass; approved overrides must be separately authorized and audited.</x:v>
      </x:c>
    </x:row>
    <x:row r="23">
      <x:c r="A23" s="339" t="str">
        <x:v>BR-00022</x:v>
      </x:c>
      <x:c r="B23" s="339" t="str">
        <x:v>Screen</x:v>
      </x:c>
      <x:c r="C23" s="339" t="str">
        <x:v>SCR-008</x:v>
      </x:c>
      <x:c r="D23" s="339" t="str">
        <x:v>Public Website &amp; Authentication</x:v>
      </x:c>
      <x:c r="E23" s="339" t="str">
        <x:v>Access Denied / Session Expired</x:v>
      </x:c>
      <x:c r="F23" s="339" t="str">
        <x:v>Secure Access &amp; Role Entry rule 1</x:v>
      </x:c>
      <x:c r="G23" s="339" t="str">
        <x:v>Authorization is evaluated server-side on every protected request; UI hiding alone is not sufficient.</x:v>
      </x:c>
      <x:c r="H23" s="339" t="str">
        <x:v>Enforced in service/domain layer and reflected in UI validation/action availability.</x:v>
      </x:c>
      <x:c r="I23" s="339" t="str">
        <x:v>Medium</x:v>
      </x:c>
      <x:c r="J23" s="339" t="str">
        <x:v>Only an explicitly configured authorized override may bypass a non-statutory rule; overrides require reason and audit.</x:v>
      </x:c>
    </x:row>
    <x:row r="24">
      <x:c r="A24" s="339" t="str">
        <x:v>BR-00023</x:v>
      </x:c>
      <x:c r="B24" s="339" t="str">
        <x:v>Screen</x:v>
      </x:c>
      <x:c r="C24" s="339" t="str">
        <x:v>SCR-008</x:v>
      </x:c>
      <x:c r="D24" s="339" t="str">
        <x:v>Public Website &amp; Authentication</x:v>
      </x:c>
      <x:c r="E24" s="339" t="str">
        <x:v>Access Denied / Session Expired</x:v>
      </x:c>
      <x:c r="F24" s="339" t="str">
        <x:v>Secure Access &amp; Role Entry rule 2</x:v>
      </x:c>
      <x:c r="G24" s="339" t="str">
        <x:v>Session expiry must not silently lose unsaved user input where recovery is technically feasible.</x:v>
      </x:c>
      <x:c r="H24" s="339" t="str">
        <x:v>Enforced in service/domain layer and reflected in UI validation/action availability.</x:v>
      </x:c>
      <x:c r="I24" s="339" t="str">
        <x:v>Medium</x:v>
      </x:c>
      <x:c r="J24" s="339" t="str">
        <x:v>Only an explicitly configured authorized override may bypass a non-statutory rule; overrides require reason and audit.</x:v>
      </x:c>
    </x:row>
    <x:row r="25">
      <x:c r="A25" s="339" t="str">
        <x:v>BR-00024</x:v>
      </x:c>
      <x:c r="B25" s="339" t="str">
        <x:v>Screen Type</x:v>
      </x:c>
      <x:c r="C25" s="339" t="str">
        <x:v>SCR-008</x:v>
      </x:c>
      <x:c r="D25" s="339" t="str">
        <x:v>Public Website &amp; Authentication</x:v>
      </x:c>
      <x:c r="E25" s="339" t="str">
        <x:v>Access Denied / Session Expired</x:v>
      </x:c>
      <x:c r="F25" s="339" t="str">
        <x:v>Workflow / Management integrity rule</x:v>
      </x:c>
      <x:c r="G25" s="339" t="str">
        <x:v>State transitions are explicit, role-controlled and auditable; invalid transitions are rejected.</x:v>
      </x:c>
      <x:c r="H25" s="339" t="str">
        <x:v>Domain/service validation plus UI affordances.</x:v>
      </x:c>
      <x:c r="I25" s="339" t="str">
        <x:v>High</x:v>
      </x:c>
      <x:c r="J25" s="339" t="str">
        <x:v>No silent bypass; approved overrides must be separately authorized and audited.</x:v>
      </x:c>
    </x:row>
    <x:row r="26">
      <x:c r="A26" s="339" t="str">
        <x:v>BR-00025</x:v>
      </x:c>
      <x:c r="B26" s="339" t="str">
        <x:v>Screen</x:v>
      </x:c>
      <x:c r="C26" s="339" t="str">
        <x:v>SCR-009</x:v>
      </x:c>
      <x:c r="D26" s="339" t="str">
        <x:v>Super Admin / SaaS Administration</x:v>
      </x:c>
      <x:c r="E26" s="339" t="str">
        <x:v>Platform Dashboard</x:v>
      </x:c>
      <x:c r="F26" s="339" t="str">
        <x:v>Multi-Tenant Platform Administration rule 1</x:v>
      </x:c>
      <x:c r="G26" s="339" t="str">
        <x:v>Platform-level changes must be fully audit logged.</x:v>
      </x:c>
      <x:c r="H26" s="339" t="str">
        <x:v>Enforced in service/domain layer and reflected in UI validation/action availability.</x:v>
      </x:c>
      <x:c r="I26" s="339" t="str">
        <x:v>Medium</x:v>
      </x:c>
      <x:c r="J26" s="339" t="str">
        <x:v>Only an explicitly configured authorized override may bypass a non-statutory rule; overrides require reason and audit.</x:v>
      </x:c>
    </x:row>
    <x:row r="27">
      <x:c r="A27" s="339" t="str">
        <x:v>BR-00026</x:v>
      </x:c>
      <x:c r="B27" s="339" t="str">
        <x:v>Screen</x:v>
      </x:c>
      <x:c r="C27" s="339" t="str">
        <x:v>SCR-009</x:v>
      </x:c>
      <x:c r="D27" s="339" t="str">
        <x:v>Super Admin / SaaS Administration</x:v>
      </x:c>
      <x:c r="E27" s="339" t="str">
        <x:v>Platform Dashboard</x:v>
      </x:c>
      <x:c r="F27" s="339" t="str">
        <x:v>Multi-Tenant Platform Administration rule 2</x:v>
      </x:c>
      <x:c r="G27" s="339" t="str">
        <x:v>Tenant data must remain isolated across organizations and schools.</x:v>
      </x:c>
      <x:c r="H27" s="339" t="str">
        <x:v>Enforced in service/domain layer and reflected in UI validation/action availability.</x:v>
      </x:c>
      <x:c r="I27" s="339" t="str">
        <x:v>Medium</x:v>
      </x:c>
      <x:c r="J27" s="339" t="str">
        <x:v>Only an explicitly configured authorized override may bypass a non-statutory rule; overrides require reason and audit.</x:v>
      </x:c>
    </x:row>
    <x:row r="28">
      <x:c r="A28" s="339" t="str">
        <x:v>BR-00027</x:v>
      </x:c>
      <x:c r="B28" s="339" t="str">
        <x:v>Screen Type</x:v>
      </x:c>
      <x:c r="C28" s="339" t="str">
        <x:v>SCR-009</x:v>
      </x:c>
      <x:c r="D28" s="339" t="str">
        <x:v>Super Admin / SaaS Administration</x:v>
      </x:c>
      <x:c r="E28" s="339" t="str">
        <x:v>Platform Dashboard</x:v>
      </x:c>
      <x:c r="F28" s="339" t="str">
        <x:v>Dashboard integrity rule</x:v>
      </x:c>
      <x:c r="G28" s="339" t="str">
        <x:v>Displayed totals must reconcile to the same authorized source rows used by drill-down and reports.</x:v>
      </x:c>
      <x:c r="H28" s="339" t="str">
        <x:v>Domain/service validation plus UI affordances.</x:v>
      </x:c>
      <x:c r="I28" s="339" t="str">
        <x:v>High</x:v>
      </x:c>
      <x:c r="J28" s="339" t="str">
        <x:v>No silent bypass; approved overrides must be separately authorized and audited.</x:v>
      </x:c>
    </x:row>
    <x:row r="29">
      <x:c r="A29" s="339" t="str">
        <x:v>BR-00028</x:v>
      </x:c>
      <x:c r="B29" s="339" t="str">
        <x:v>Screen</x:v>
      </x:c>
      <x:c r="C29" s="339" t="str">
        <x:v>SCR-010</x:v>
      </x:c>
      <x:c r="D29" s="339" t="str">
        <x:v>Super Admin / SaaS Administration</x:v>
      </x:c>
      <x:c r="E29" s="339" t="str">
        <x:v>Organizations List</x:v>
      </x:c>
      <x:c r="F29" s="339" t="str">
        <x:v>Multi-Tenant Platform Administration rule 1</x:v>
      </x:c>
      <x:c r="G29" s="339" t="str">
        <x:v>Tenant data must remain isolated across organizations and schools.</x:v>
      </x:c>
      <x:c r="H29" s="339" t="str">
        <x:v>Enforced in service/domain layer and reflected in UI validation/action availability.</x:v>
      </x:c>
      <x:c r="I29" s="339" t="str">
        <x:v>Medium</x:v>
      </x:c>
      <x:c r="J29" s="339" t="str">
        <x:v>Only an explicitly configured authorized override may bypass a non-statutory rule; overrides require reason and audit.</x:v>
      </x:c>
    </x:row>
    <x:row r="30">
      <x:c r="A30" s="339" t="str">
        <x:v>BR-00029</x:v>
      </x:c>
      <x:c r="B30" s="339" t="str">
        <x:v>Screen</x:v>
      </x:c>
      <x:c r="C30" s="339" t="str">
        <x:v>SCR-010</x:v>
      </x:c>
      <x:c r="D30" s="339" t="str">
        <x:v>Super Admin / SaaS Administration</x:v>
      </x:c>
      <x:c r="E30" s="339" t="str">
        <x:v>Organizations List</x:v>
      </x:c>
      <x:c r="F30" s="339" t="str">
        <x:v>Multi-Tenant Platform Administration rule 2</x:v>
      </x:c>
      <x:c r="G30" s="339" t="str">
        <x:v>Plan limits must be enforced consistently at API and UI boundaries.</x:v>
      </x:c>
      <x:c r="H30" s="339" t="str">
        <x:v>Enforced in service/domain layer and reflected in UI validation/action availability.</x:v>
      </x:c>
      <x:c r="I30" s="339" t="str">
        <x:v>Medium</x:v>
      </x:c>
      <x:c r="J30" s="339" t="str">
        <x:v>Only an explicitly configured authorized override may bypass a non-statutory rule; overrides require reason and audit.</x:v>
      </x:c>
    </x:row>
    <x:row r="31">
      <x:c r="A31" s="339" t="str">
        <x:v>BR-00030</x:v>
      </x:c>
      <x:c r="B31" s="339" t="str">
        <x:v>Screen Type</x:v>
      </x:c>
      <x:c r="C31" s="339" t="str">
        <x:v>SCR-010</x:v>
      </x:c>
      <x:c r="D31" s="339" t="str">
        <x:v>Super Admin / SaaS Administration</x:v>
      </x:c>
      <x:c r="E31" s="339" t="str">
        <x:v>Organizations List</x:v>
      </x:c>
      <x:c r="F31" s="339" t="str">
        <x:v>List / Management integrity rule</x:v>
      </x:c>
      <x:c r="G31" s="339" t="str">
        <x:v>Search, filters, exports and row actions must preserve the same authorization scope.</x:v>
      </x:c>
      <x:c r="H31" s="339" t="str">
        <x:v>Domain/service validation plus UI affordances.</x:v>
      </x:c>
      <x:c r="I31" s="339" t="str">
        <x:v>High</x:v>
      </x:c>
      <x:c r="J31" s="339" t="str">
        <x:v>No silent bypass; approved overrides must be separately authorized and audited.</x:v>
      </x:c>
    </x:row>
    <x:row r="32">
      <x:c r="A32" s="339" t="str">
        <x:v>BR-00031</x:v>
      </x:c>
      <x:c r="B32" s="339" t="str">
        <x:v>Screen</x:v>
      </x:c>
      <x:c r="C32" s="339" t="str">
        <x:v>SCR-011</x:v>
      </x:c>
      <x:c r="D32" s="339" t="str">
        <x:v>Super Admin / SaaS Administration</x:v>
      </x:c>
      <x:c r="E32" s="339" t="str">
        <x:v>Add Organization</x:v>
      </x:c>
      <x:c r="F32" s="339" t="str">
        <x:v>Multi-Tenant Platform Administration rule 1</x:v>
      </x:c>
      <x:c r="G32" s="339" t="str">
        <x:v>Plan limits must be enforced consistently at API and UI boundaries.</x:v>
      </x:c>
      <x:c r="H32" s="339" t="str">
        <x:v>Enforced in service/domain layer and reflected in UI validation/action availability.</x:v>
      </x:c>
      <x:c r="I32" s="339" t="str">
        <x:v>Medium</x:v>
      </x:c>
      <x:c r="J32" s="339" t="str">
        <x:v>Only an explicitly configured authorized override may bypass a non-statutory rule; overrides require reason and audit.</x:v>
      </x:c>
    </x:row>
    <x:row r="33">
      <x:c r="A33" s="339" t="str">
        <x:v>BR-00032</x:v>
      </x:c>
      <x:c r="B33" s="339" t="str">
        <x:v>Screen</x:v>
      </x:c>
      <x:c r="C33" s="339" t="str">
        <x:v>SCR-011</x:v>
      </x:c>
      <x:c r="D33" s="339" t="str">
        <x:v>Super Admin / SaaS Administration</x:v>
      </x:c>
      <x:c r="E33" s="339" t="str">
        <x:v>Add Organization</x:v>
      </x:c>
      <x:c r="F33" s="339" t="str">
        <x:v>Multi-Tenant Platform Administration rule 2</x:v>
      </x:c>
      <x:c r="G33" s="339" t="str">
        <x:v>Suspending a tenant blocks transactional access without deleting historical records.</x:v>
      </x:c>
      <x:c r="H33" s="339" t="str">
        <x:v>Enforced in service/domain layer and reflected in UI validation/action availability.</x:v>
      </x:c>
      <x:c r="I33" s="339" t="str">
        <x:v>Medium</x:v>
      </x:c>
      <x:c r="J33" s="339" t="str">
        <x:v>Only an explicitly configured authorized override may bypass a non-statutory rule; overrides require reason and audit.</x:v>
      </x:c>
    </x:row>
    <x:row r="34">
      <x:c r="A34" s="339" t="str">
        <x:v>BR-00033</x:v>
      </x:c>
      <x:c r="B34" s="339" t="str">
        <x:v>Screen Type</x:v>
      </x:c>
      <x:c r="C34" s="339" t="str">
        <x:v>SCR-011</x:v>
      </x:c>
      <x:c r="D34" s="339" t="str">
        <x:v>Super Admin / SaaS Administration</x:v>
      </x:c>
      <x:c r="E34" s="339" t="str">
        <x:v>Add Organization</x:v>
      </x:c>
      <x:c r="F34" s="339" t="str">
        <x:v>Create / Transaction integrity rule</x:v>
      </x:c>
      <x:c r="G34" s="339" t="str">
        <x:v>A record is created only after all blocking validations, duplicate checks and reference checks pass.</x:v>
      </x:c>
      <x:c r="H34" s="339" t="str">
        <x:v>Domain/service validation plus UI affordances.</x:v>
      </x:c>
      <x:c r="I34" s="339" t="str">
        <x:v>High</x:v>
      </x:c>
      <x:c r="J34" s="339" t="str">
        <x:v>No silent bypass; approved overrides must be separately authorized and audited.</x:v>
      </x:c>
    </x:row>
    <x:row r="35">
      <x:c r="A35" s="339" t="str">
        <x:v>BR-00034</x:v>
      </x:c>
      <x:c r="B35" s="339" t="str">
        <x:v>Screen</x:v>
      </x:c>
      <x:c r="C35" s="339" t="str">
        <x:v>SCR-012</x:v>
      </x:c>
      <x:c r="D35" s="339" t="str">
        <x:v>Super Admin / SaaS Administration</x:v>
      </x:c>
      <x:c r="E35" s="339" t="str">
        <x:v>Organization Details</x:v>
      </x:c>
      <x:c r="F35" s="339" t="str">
        <x:v>Multi-Tenant Platform Administration rule 1</x:v>
      </x:c>
      <x:c r="G35" s="339" t="str">
        <x:v>Suspending a tenant blocks transactional access without deleting historical records.</x:v>
      </x:c>
      <x:c r="H35" s="339" t="str">
        <x:v>Enforced in service/domain layer and reflected in UI validation/action availability.</x:v>
      </x:c>
      <x:c r="I35" s="339" t="str">
        <x:v>Medium</x:v>
      </x:c>
      <x:c r="J35" s="339" t="str">
        <x:v>Only an explicitly configured authorized override may bypass a non-statutory rule; overrides require reason and audit.</x:v>
      </x:c>
    </x:row>
    <x:row r="36">
      <x:c r="A36" s="339" t="str">
        <x:v>BR-00035</x:v>
      </x:c>
      <x:c r="B36" s="339" t="str">
        <x:v>Screen</x:v>
      </x:c>
      <x:c r="C36" s="339" t="str">
        <x:v>SCR-012</x:v>
      </x:c>
      <x:c r="D36" s="339" t="str">
        <x:v>Super Admin / SaaS Administration</x:v>
      </x:c>
      <x:c r="E36" s="339" t="str">
        <x:v>Organization Details</x:v>
      </x:c>
      <x:c r="F36" s="339" t="str">
        <x:v>Multi-Tenant Platform Administration rule 2</x:v>
      </x:c>
      <x:c r="G36" s="339" t="str">
        <x:v>Subscription changes are effective according to configured billing/effective-date rules.</x:v>
      </x:c>
      <x:c r="H36" s="339" t="str">
        <x:v>Enforced in service/domain layer and reflected in UI validation/action availability.</x:v>
      </x:c>
      <x:c r="I36" s="339" t="str">
        <x:v>Medium</x:v>
      </x:c>
      <x:c r="J36" s="339" t="str">
        <x:v>Only an explicitly configured authorized override may bypass a non-statutory rule; overrides require reason and audit.</x:v>
      </x:c>
    </x:row>
    <x:row r="37">
      <x:c r="A37" s="339" t="str">
        <x:v>BR-00036</x:v>
      </x:c>
      <x:c r="B37" s="339" t="str">
        <x:v>Screen Type</x:v>
      </x:c>
      <x:c r="C37" s="339" t="str">
        <x:v>SCR-012</x:v>
      </x:c>
      <x:c r="D37" s="339" t="str">
        <x:v>Super Admin / SaaS Administration</x:v>
      </x:c>
      <x:c r="E37" s="339" t="str">
        <x:v>Organization Details</x:v>
      </x:c>
      <x:c r="F37" s="339" t="str">
        <x:v>Detail / Profile integrity rule</x:v>
      </x:c>
      <x:c r="G37" s="339" t="str">
        <x:v>Concurrent updates must not silently overwrite newer data; material edits are audited.</x:v>
      </x:c>
      <x:c r="H37" s="339" t="str">
        <x:v>Domain/service validation plus UI affordances.</x:v>
      </x:c>
      <x:c r="I37" s="339" t="str">
        <x:v>High</x:v>
      </x:c>
      <x:c r="J37" s="339" t="str">
        <x:v>No silent bypass; approved overrides must be separately authorized and audited.</x:v>
      </x:c>
    </x:row>
    <x:row r="38">
      <x:c r="A38" s="339" t="str">
        <x:v>BR-00037</x:v>
      </x:c>
      <x:c r="B38" s="339" t="str">
        <x:v>Screen</x:v>
      </x:c>
      <x:c r="C38" s="339" t="str">
        <x:v>SCR-013</x:v>
      </x:c>
      <x:c r="D38" s="339" t="str">
        <x:v>Super Admin / SaaS Administration</x:v>
      </x:c>
      <x:c r="E38" s="339" t="str">
        <x:v>Subscription Plans</x:v>
      </x:c>
      <x:c r="F38" s="339" t="str">
        <x:v>Multi-Tenant Platform Administration rule 1</x:v>
      </x:c>
      <x:c r="G38" s="339" t="str">
        <x:v>Subscription changes are effective according to configured billing/effective-date rules.</x:v>
      </x:c>
      <x:c r="H38" s="339" t="str">
        <x:v>Enforced in service/domain layer and reflected in UI validation/action availability.</x:v>
      </x:c>
      <x:c r="I38" s="339" t="str">
        <x:v>Medium</x:v>
      </x:c>
      <x:c r="J38" s="339" t="str">
        <x:v>Only an explicitly configured authorized override may bypass a non-statutory rule; overrides require reason and audit.</x:v>
      </x:c>
    </x:row>
    <x:row r="39">
      <x:c r="A39" s="339" t="str">
        <x:v>BR-00038</x:v>
      </x:c>
      <x:c r="B39" s="339" t="str">
        <x:v>Screen</x:v>
      </x:c>
      <x:c r="C39" s="339" t="str">
        <x:v>SCR-013</x:v>
      </x:c>
      <x:c r="D39" s="339" t="str">
        <x:v>Super Admin / SaaS Administration</x:v>
      </x:c>
      <x:c r="E39" s="339" t="str">
        <x:v>Subscription Plans</x:v>
      </x:c>
      <x:c r="F39" s="339" t="str">
        <x:v>Multi-Tenant Platform Administration rule 2</x:v>
      </x:c>
      <x:c r="G39" s="339" t="str">
        <x:v>Platform-level changes must be fully audit logged.</x:v>
      </x:c>
      <x:c r="H39" s="339" t="str">
        <x:v>Enforced in service/domain layer and reflected in UI validation/action availability.</x:v>
      </x:c>
      <x:c r="I39" s="339" t="str">
        <x:v>Medium</x:v>
      </x:c>
      <x:c r="J39" s="339" t="str">
        <x:v>Only an explicitly configured authorized override may bypass a non-statutory rule; overrides require reason and audit.</x:v>
      </x:c>
    </x:row>
    <x:row r="40">
      <x:c r="A40" s="339" t="str">
        <x:v>BR-00039</x:v>
      </x:c>
      <x:c r="B40" s="339" t="str">
        <x:v>Screen Type</x:v>
      </x:c>
      <x:c r="C40" s="339" t="str">
        <x:v>SCR-013</x:v>
      </x:c>
      <x:c r="D40" s="339" t="str">
        <x:v>Super Admin / SaaS Administration</x:v>
      </x:c>
      <x:c r="E40" s="339" t="str">
        <x:v>Subscription Plans</x:v>
      </x:c>
      <x:c r="F40" s="339" t="str">
        <x:v>Workflow / Management integrity rule</x:v>
      </x:c>
      <x:c r="G40" s="339" t="str">
        <x:v>State transitions are explicit, role-controlled and auditable; invalid transitions are rejected.</x:v>
      </x:c>
      <x:c r="H40" s="339" t="str">
        <x:v>Domain/service validation plus UI affordances.</x:v>
      </x:c>
      <x:c r="I40" s="339" t="str">
        <x:v>High</x:v>
      </x:c>
      <x:c r="J40" s="339" t="str">
        <x:v>No silent bypass; approved overrides must be separately authorized and audited.</x:v>
      </x:c>
    </x:row>
    <x:row r="41">
      <x:c r="A41" s="339" t="str">
        <x:v>BR-00040</x:v>
      </x:c>
      <x:c r="B41" s="339" t="str">
        <x:v>Screen</x:v>
      </x:c>
      <x:c r="C41" s="339" t="str">
        <x:v>SCR-014</x:v>
      </x:c>
      <x:c r="D41" s="339" t="str">
        <x:v>Super Admin / SaaS Administration</x:v>
      </x:c>
      <x:c r="E41" s="339" t="str">
        <x:v>Subscriptions &amp; Billing</x:v>
      </x:c>
      <x:c r="F41" s="339" t="str">
        <x:v>Multi-Tenant Platform Administration rule 1</x:v>
      </x:c>
      <x:c r="G41" s="339" t="str">
        <x:v>Platform-level changes must be fully audit logged.</x:v>
      </x:c>
      <x:c r="H41" s="339" t="str">
        <x:v>Enforced in service/domain layer and reflected in UI validation/action availability.</x:v>
      </x:c>
      <x:c r="I41" s="339" t="str">
        <x:v>Medium</x:v>
      </x:c>
      <x:c r="J41" s="339" t="str">
        <x:v>Only an explicitly configured authorized override may bypass a non-statutory rule; overrides require reason and audit.</x:v>
      </x:c>
    </x:row>
    <x:row r="42">
      <x:c r="A42" s="339" t="str">
        <x:v>BR-00041</x:v>
      </x:c>
      <x:c r="B42" s="339" t="str">
        <x:v>Screen</x:v>
      </x:c>
      <x:c r="C42" s="339" t="str">
        <x:v>SCR-014</x:v>
      </x:c>
      <x:c r="D42" s="339" t="str">
        <x:v>Super Admin / SaaS Administration</x:v>
      </x:c>
      <x:c r="E42" s="339" t="str">
        <x:v>Subscriptions &amp; Billing</x:v>
      </x:c>
      <x:c r="F42" s="339" t="str">
        <x:v>Multi-Tenant Platform Administration rule 2</x:v>
      </x:c>
      <x:c r="G42" s="339" t="str">
        <x:v>Tenant data must remain isolated across organizations and schools.</x:v>
      </x:c>
      <x:c r="H42" s="339" t="str">
        <x:v>Enforced in service/domain layer and reflected in UI validation/action availability.</x:v>
      </x:c>
      <x:c r="I42" s="339" t="str">
        <x:v>Medium</x:v>
      </x:c>
      <x:c r="J42" s="339" t="str">
        <x:v>Only an explicitly configured authorized override may bypass a non-statutory rule; overrides require reason and audit.</x:v>
      </x:c>
    </x:row>
    <x:row r="43">
      <x:c r="A43" s="339" t="str">
        <x:v>BR-00042</x:v>
      </x:c>
      <x:c r="B43" s="339" t="str">
        <x:v>Screen Type</x:v>
      </x:c>
      <x:c r="C43" s="339" t="str">
        <x:v>SCR-014</x:v>
      </x:c>
      <x:c r="D43" s="339" t="str">
        <x:v>Super Admin / SaaS Administration</x:v>
      </x:c>
      <x:c r="E43" s="339" t="str">
        <x:v>Subscriptions &amp; Billing</x:v>
      </x:c>
      <x:c r="F43" s="339" t="str">
        <x:v>Workflow / Management integrity rule</x:v>
      </x:c>
      <x:c r="G43" s="339" t="str">
        <x:v>State transitions are explicit, role-controlled and auditable; invalid transitions are rejected.</x:v>
      </x:c>
      <x:c r="H43" s="339" t="str">
        <x:v>Domain/service validation plus UI affordances.</x:v>
      </x:c>
      <x:c r="I43" s="339" t="str">
        <x:v>High</x:v>
      </x:c>
      <x:c r="J43" s="339" t="str">
        <x:v>No silent bypass; approved overrides must be separately authorized and audited.</x:v>
      </x:c>
    </x:row>
    <x:row r="44">
      <x:c r="A44" s="339" t="str">
        <x:v>BR-00043</x:v>
      </x:c>
      <x:c r="B44" s="339" t="str">
        <x:v>Screen</x:v>
      </x:c>
      <x:c r="C44" s="339" t="str">
        <x:v>SCR-015</x:v>
      </x:c>
      <x:c r="D44" s="339" t="str">
        <x:v>Super Admin / SaaS Administration</x:v>
      </x:c>
      <x:c r="E44" s="339" t="str">
        <x:v>Tenant Usage &amp; Limits</x:v>
      </x:c>
      <x:c r="F44" s="339" t="str">
        <x:v>Multi-Tenant Platform Administration rule 1</x:v>
      </x:c>
      <x:c r="G44" s="339" t="str">
        <x:v>Tenant data must remain isolated across organizations and schools.</x:v>
      </x:c>
      <x:c r="H44" s="339" t="str">
        <x:v>Enforced in service/domain layer and reflected in UI validation/action availability.</x:v>
      </x:c>
      <x:c r="I44" s="339" t="str">
        <x:v>Medium</x:v>
      </x:c>
      <x:c r="J44" s="339" t="str">
        <x:v>Only an explicitly configured authorized override may bypass a non-statutory rule; overrides require reason and audit.</x:v>
      </x:c>
    </x:row>
    <x:row r="45">
      <x:c r="A45" s="339" t="str">
        <x:v>BR-00044</x:v>
      </x:c>
      <x:c r="B45" s="339" t="str">
        <x:v>Screen</x:v>
      </x:c>
      <x:c r="C45" s="339" t="str">
        <x:v>SCR-015</x:v>
      </x:c>
      <x:c r="D45" s="339" t="str">
        <x:v>Super Admin / SaaS Administration</x:v>
      </x:c>
      <x:c r="E45" s="339" t="str">
        <x:v>Tenant Usage &amp; Limits</x:v>
      </x:c>
      <x:c r="F45" s="339" t="str">
        <x:v>Multi-Tenant Platform Administration rule 2</x:v>
      </x:c>
      <x:c r="G45" s="339" t="str">
        <x:v>Plan limits must be enforced consistently at API and UI boundaries.</x:v>
      </x:c>
      <x:c r="H45" s="339" t="str">
        <x:v>Enforced in service/domain layer and reflected in UI validation/action availability.</x:v>
      </x:c>
      <x:c r="I45" s="339" t="str">
        <x:v>Medium</x:v>
      </x:c>
      <x:c r="J45" s="339" t="str">
        <x:v>Only an explicitly configured authorized override may bypass a non-statutory rule; overrides require reason and audit.</x:v>
      </x:c>
    </x:row>
    <x:row r="46">
      <x:c r="A46" s="339" t="str">
        <x:v>BR-00045</x:v>
      </x:c>
      <x:c r="B46" s="339" t="str">
        <x:v>Screen Type</x:v>
      </x:c>
      <x:c r="C46" s="339" t="str">
        <x:v>SCR-015</x:v>
      </x:c>
      <x:c r="D46" s="339" t="str">
        <x:v>Super Admin / SaaS Administration</x:v>
      </x:c>
      <x:c r="E46" s="339" t="str">
        <x:v>Tenant Usage &amp; Limits</x:v>
      </x:c>
      <x:c r="F46" s="339" t="str">
        <x:v>Report / Analytics integrity rule</x:v>
      </x:c>
      <x:c r="G46" s="339" t="str">
        <x:v>Report formulas and filters must be deterministic, documented and export the same visible scope.</x:v>
      </x:c>
      <x:c r="H46" s="339" t="str">
        <x:v>Domain/service validation plus UI affordances.</x:v>
      </x:c>
      <x:c r="I46" s="339" t="str">
        <x:v>High</x:v>
      </x:c>
      <x:c r="J46" s="339" t="str">
        <x:v>No silent bypass; approved overrides must be separately authorized and audited.</x:v>
      </x:c>
    </x:row>
    <x:row r="47">
      <x:c r="A47" s="339" t="str">
        <x:v>BR-00046</x:v>
      </x:c>
      <x:c r="B47" s="339" t="str">
        <x:v>Screen</x:v>
      </x:c>
      <x:c r="C47" s="339" t="str">
        <x:v>SCR-016</x:v>
      </x:c>
      <x:c r="D47" s="339" t="str">
        <x:v>Super Admin / SaaS Administration</x:v>
      </x:c>
      <x:c r="E47" s="339" t="str">
        <x:v>Platform Users</x:v>
      </x:c>
      <x:c r="F47" s="339" t="str">
        <x:v>Multi-Tenant Platform Administration rule 1</x:v>
      </x:c>
      <x:c r="G47" s="339" t="str">
        <x:v>Plan limits must be enforced consistently at API and UI boundaries.</x:v>
      </x:c>
      <x:c r="H47" s="339" t="str">
        <x:v>Enforced in service/domain layer and reflected in UI validation/action availability.</x:v>
      </x:c>
      <x:c r="I47" s="339" t="str">
        <x:v>Medium</x:v>
      </x:c>
      <x:c r="J47" s="339" t="str">
        <x:v>Only an explicitly configured authorized override may bypass a non-statutory rule; overrides require reason and audit.</x:v>
      </x:c>
    </x:row>
    <x:row r="48">
      <x:c r="A48" s="339" t="str">
        <x:v>BR-00047</x:v>
      </x:c>
      <x:c r="B48" s="339" t="str">
        <x:v>Screen</x:v>
      </x:c>
      <x:c r="C48" s="339" t="str">
        <x:v>SCR-016</x:v>
      </x:c>
      <x:c r="D48" s="339" t="str">
        <x:v>Super Admin / SaaS Administration</x:v>
      </x:c>
      <x:c r="E48" s="339" t="str">
        <x:v>Platform Users</x:v>
      </x:c>
      <x:c r="F48" s="339" t="str">
        <x:v>Multi-Tenant Platform Administration rule 2</x:v>
      </x:c>
      <x:c r="G48" s="339" t="str">
        <x:v>Suspending a tenant blocks transactional access without deleting historical records.</x:v>
      </x:c>
      <x:c r="H48" s="339" t="str">
        <x:v>Enforced in service/domain layer and reflected in UI validation/action availability.</x:v>
      </x:c>
      <x:c r="I48" s="339" t="str">
        <x:v>Medium</x:v>
      </x:c>
      <x:c r="J48" s="339" t="str">
        <x:v>Only an explicitly configured authorized override may bypass a non-statutory rule; overrides require reason and audit.</x:v>
      </x:c>
    </x:row>
    <x:row r="49">
      <x:c r="A49" s="339" t="str">
        <x:v>BR-00048</x:v>
      </x:c>
      <x:c r="B49" s="339" t="str">
        <x:v>Screen Type</x:v>
      </x:c>
      <x:c r="C49" s="339" t="str">
        <x:v>SCR-016</x:v>
      </x:c>
      <x:c r="D49" s="339" t="str">
        <x:v>Super Admin / SaaS Administration</x:v>
      </x:c>
      <x:c r="E49" s="339" t="str">
        <x:v>Platform Users</x:v>
      </x:c>
      <x:c r="F49" s="339" t="str">
        <x:v>Workflow / Management integrity rule</x:v>
      </x:c>
      <x:c r="G49" s="339" t="str">
        <x:v>State transitions are explicit, role-controlled and auditable; invalid transitions are rejected.</x:v>
      </x:c>
      <x:c r="H49" s="339" t="str">
        <x:v>Domain/service validation plus UI affordances.</x:v>
      </x:c>
      <x:c r="I49" s="339" t="str">
        <x:v>High</x:v>
      </x:c>
      <x:c r="J49" s="339" t="str">
        <x:v>No silent bypass; approved overrides must be separately authorized and audited.</x:v>
      </x:c>
    </x:row>
    <x:row r="50">
      <x:c r="A50" s="339" t="str">
        <x:v>BR-00049</x:v>
      </x:c>
      <x:c r="B50" s="339" t="str">
        <x:v>Screen</x:v>
      </x:c>
      <x:c r="C50" s="339" t="str">
        <x:v>SCR-017</x:v>
      </x:c>
      <x:c r="D50" s="339" t="str">
        <x:v>Super Admin / SaaS Administration</x:v>
      </x:c>
      <x:c r="E50" s="339" t="str">
        <x:v>Support Tickets</x:v>
      </x:c>
      <x:c r="F50" s="339" t="str">
        <x:v>Multi-Tenant Platform Administration rule 1</x:v>
      </x:c>
      <x:c r="G50" s="339" t="str">
        <x:v>Suspending a tenant blocks transactional access without deleting historical records.</x:v>
      </x:c>
      <x:c r="H50" s="339" t="str">
        <x:v>Enforced in service/domain layer and reflected in UI validation/action availability.</x:v>
      </x:c>
      <x:c r="I50" s="339" t="str">
        <x:v>Medium</x:v>
      </x:c>
      <x:c r="J50" s="339" t="str">
        <x:v>Only an explicitly configured authorized override may bypass a non-statutory rule; overrides require reason and audit.</x:v>
      </x:c>
    </x:row>
    <x:row r="51">
      <x:c r="A51" s="339" t="str">
        <x:v>BR-00050</x:v>
      </x:c>
      <x:c r="B51" s="339" t="str">
        <x:v>Screen</x:v>
      </x:c>
      <x:c r="C51" s="339" t="str">
        <x:v>SCR-017</x:v>
      </x:c>
      <x:c r="D51" s="339" t="str">
        <x:v>Super Admin / SaaS Administration</x:v>
      </x:c>
      <x:c r="E51" s="339" t="str">
        <x:v>Support Tickets</x:v>
      </x:c>
      <x:c r="F51" s="339" t="str">
        <x:v>Multi-Tenant Platform Administration rule 2</x:v>
      </x:c>
      <x:c r="G51" s="339" t="str">
        <x:v>Subscription changes are effective according to configured billing/effective-date rules.</x:v>
      </x:c>
      <x:c r="H51" s="339" t="str">
        <x:v>Enforced in service/domain layer and reflected in UI validation/action availability.</x:v>
      </x:c>
      <x:c r="I51" s="339" t="str">
        <x:v>Medium</x:v>
      </x:c>
      <x:c r="J51" s="339" t="str">
        <x:v>Only an explicitly configured authorized override may bypass a non-statutory rule; overrides require reason and audit.</x:v>
      </x:c>
    </x:row>
    <x:row r="52">
      <x:c r="A52" s="339" t="str">
        <x:v>BR-00051</x:v>
      </x:c>
      <x:c r="B52" s="339" t="str">
        <x:v>Screen Type</x:v>
      </x:c>
      <x:c r="C52" s="339" t="str">
        <x:v>SCR-017</x:v>
      </x:c>
      <x:c r="D52" s="339" t="str">
        <x:v>Super Admin / SaaS Administration</x:v>
      </x:c>
      <x:c r="E52" s="339" t="str">
        <x:v>Support Tickets</x:v>
      </x:c>
      <x:c r="F52" s="339" t="str">
        <x:v>Workflow / Management integrity rule</x:v>
      </x:c>
      <x:c r="G52" s="339" t="str">
        <x:v>State transitions are explicit, role-controlled and auditable; invalid transitions are rejected.</x:v>
      </x:c>
      <x:c r="H52" s="339" t="str">
        <x:v>Domain/service validation plus UI affordances.</x:v>
      </x:c>
      <x:c r="I52" s="339" t="str">
        <x:v>High</x:v>
      </x:c>
      <x:c r="J52" s="339" t="str">
        <x:v>No silent bypass; approved overrides must be separately authorized and audited.</x:v>
      </x:c>
    </x:row>
    <x:row r="53">
      <x:c r="A53" s="339" t="str">
        <x:v>BR-00052</x:v>
      </x:c>
      <x:c r="B53" s="339" t="str">
        <x:v>Screen</x:v>
      </x:c>
      <x:c r="C53" s="339" t="str">
        <x:v>SCR-018</x:v>
      </x:c>
      <x:c r="D53" s="339" t="str">
        <x:v>Super Admin / SaaS Administration</x:v>
      </x:c>
      <x:c r="E53" s="339" t="str">
        <x:v>System Health &amp; Service Status</x:v>
      </x:c>
      <x:c r="F53" s="339" t="str">
        <x:v>Multi-Tenant Platform Administration rule 1</x:v>
      </x:c>
      <x:c r="G53" s="339" t="str">
        <x:v>Subscription changes are effective according to configured billing/effective-date rules.</x:v>
      </x:c>
      <x:c r="H53" s="339" t="str">
        <x:v>Enforced in service/domain layer and reflected in UI validation/action availability.</x:v>
      </x:c>
      <x:c r="I53" s="339" t="str">
        <x:v>Medium</x:v>
      </x:c>
      <x:c r="J53" s="339" t="str">
        <x:v>Only an explicitly configured authorized override may bypass a non-statutory rule; overrides require reason and audit.</x:v>
      </x:c>
    </x:row>
    <x:row r="54">
      <x:c r="A54" s="339" t="str">
        <x:v>BR-00053</x:v>
      </x:c>
      <x:c r="B54" s="339" t="str">
        <x:v>Screen</x:v>
      </x:c>
      <x:c r="C54" s="339" t="str">
        <x:v>SCR-018</x:v>
      </x:c>
      <x:c r="D54" s="339" t="str">
        <x:v>Super Admin / SaaS Administration</x:v>
      </x:c>
      <x:c r="E54" s="339" t="str">
        <x:v>System Health &amp; Service Status</x:v>
      </x:c>
      <x:c r="F54" s="339" t="str">
        <x:v>Multi-Tenant Platform Administration rule 2</x:v>
      </x:c>
      <x:c r="G54" s="339" t="str">
        <x:v>Platform-level changes must be fully audit logged.</x:v>
      </x:c>
      <x:c r="H54" s="339" t="str">
        <x:v>Enforced in service/domain layer and reflected in UI validation/action availability.</x:v>
      </x:c>
      <x:c r="I54" s="339" t="str">
        <x:v>Medium</x:v>
      </x:c>
      <x:c r="J54" s="339" t="str">
        <x:v>Only an explicitly configured authorized override may bypass a non-statutory rule; overrides require reason and audit.</x:v>
      </x:c>
    </x:row>
    <x:row r="55">
      <x:c r="A55" s="339" t="str">
        <x:v>BR-00054</x:v>
      </x:c>
      <x:c r="B55" s="339" t="str">
        <x:v>Screen Type</x:v>
      </x:c>
      <x:c r="C55" s="339" t="str">
        <x:v>SCR-018</x:v>
      </x:c>
      <x:c r="D55" s="339" t="str">
        <x:v>Super Admin / SaaS Administration</x:v>
      </x:c>
      <x:c r="E55" s="339" t="str">
        <x:v>System Health &amp; Service Status</x:v>
      </x:c>
      <x:c r="F55" s="339" t="str">
        <x:v>Workflow / Management integrity rule</x:v>
      </x:c>
      <x:c r="G55" s="339" t="str">
        <x:v>State transitions are explicit, role-controlled and auditable; invalid transitions are rejected.</x:v>
      </x:c>
      <x:c r="H55" s="339" t="str">
        <x:v>Domain/service validation plus UI affordances.</x:v>
      </x:c>
      <x:c r="I55" s="339" t="str">
        <x:v>High</x:v>
      </x:c>
      <x:c r="J55" s="339" t="str">
        <x:v>No silent bypass; approved overrides must be separately authorized and audited.</x:v>
      </x:c>
    </x:row>
    <x:row r="56">
      <x:c r="A56" s="339" t="str">
        <x:v>BR-00055</x:v>
      </x:c>
      <x:c r="B56" s="339" t="str">
        <x:v>Screen</x:v>
      </x:c>
      <x:c r="C56" s="339" t="str">
        <x:v>SCR-019</x:v>
      </x:c>
      <x:c r="D56" s="339" t="str">
        <x:v>Super Admin / SaaS Administration</x:v>
      </x:c>
      <x:c r="E56" s="339" t="str">
        <x:v>Global Announcements</x:v>
      </x:c>
      <x:c r="F56" s="339" t="str">
        <x:v>Multi-Tenant Platform Administration rule 1</x:v>
      </x:c>
      <x:c r="G56" s="339" t="str">
        <x:v>Platform-level changes must be fully audit logged.</x:v>
      </x:c>
      <x:c r="H56" s="339" t="str">
        <x:v>Enforced in service/domain layer and reflected in UI validation/action availability.</x:v>
      </x:c>
      <x:c r="I56" s="339" t="str">
        <x:v>Medium</x:v>
      </x:c>
      <x:c r="J56" s="339" t="str">
        <x:v>Only an explicitly configured authorized override may bypass a non-statutory rule; overrides require reason and audit.</x:v>
      </x:c>
    </x:row>
    <x:row r="57">
      <x:c r="A57" s="339" t="str">
        <x:v>BR-00056</x:v>
      </x:c>
      <x:c r="B57" s="339" t="str">
        <x:v>Screen</x:v>
      </x:c>
      <x:c r="C57" s="339" t="str">
        <x:v>SCR-019</x:v>
      </x:c>
      <x:c r="D57" s="339" t="str">
        <x:v>Super Admin / SaaS Administration</x:v>
      </x:c>
      <x:c r="E57" s="339" t="str">
        <x:v>Global Announcements</x:v>
      </x:c>
      <x:c r="F57" s="339" t="str">
        <x:v>Multi-Tenant Platform Administration rule 2</x:v>
      </x:c>
      <x:c r="G57" s="339" t="str">
        <x:v>Tenant data must remain isolated across organizations and schools.</x:v>
      </x:c>
      <x:c r="H57" s="339" t="str">
        <x:v>Enforced in service/domain layer and reflected in UI validation/action availability.</x:v>
      </x:c>
      <x:c r="I57" s="339" t="str">
        <x:v>Medium</x:v>
      </x:c>
      <x:c r="J57" s="339" t="str">
        <x:v>Only an explicitly configured authorized override may bypass a non-statutory rule; overrides require reason and audit.</x:v>
      </x:c>
    </x:row>
    <x:row r="58">
      <x:c r="A58" s="339" t="str">
        <x:v>BR-00057</x:v>
      </x:c>
      <x:c r="B58" s="339" t="str">
        <x:v>Screen Type</x:v>
      </x:c>
      <x:c r="C58" s="339" t="str">
        <x:v>SCR-019</x:v>
      </x:c>
      <x:c r="D58" s="339" t="str">
        <x:v>Super Admin / SaaS Administration</x:v>
      </x:c>
      <x:c r="E58" s="339" t="str">
        <x:v>Global Announcements</x:v>
      </x:c>
      <x:c r="F58" s="339" t="str">
        <x:v>List / Management integrity rule</x:v>
      </x:c>
      <x:c r="G58" s="339" t="str">
        <x:v>Search, filters, exports and row actions must preserve the same authorization scope.</x:v>
      </x:c>
      <x:c r="H58" s="339" t="str">
        <x:v>Domain/service validation plus UI affordances.</x:v>
      </x:c>
      <x:c r="I58" s="339" t="str">
        <x:v>High</x:v>
      </x:c>
      <x:c r="J58" s="339" t="str">
        <x:v>No silent bypass; approved overrides must be separately authorized and audited.</x:v>
      </x:c>
    </x:row>
    <x:row r="59">
      <x:c r="A59" s="339" t="str">
        <x:v>BR-00058</x:v>
      </x:c>
      <x:c r="B59" s="339" t="str">
        <x:v>Screen</x:v>
      </x:c>
      <x:c r="C59" s="339" t="str">
        <x:v>SCR-020</x:v>
      </x:c>
      <x:c r="D59" s="339" t="str">
        <x:v>Super Admin / SaaS Administration</x:v>
      </x:c>
      <x:c r="E59" s="339" t="str">
        <x:v>Platform Settings</x:v>
      </x:c>
      <x:c r="F59" s="339" t="str">
        <x:v>Multi-Tenant Platform Administration rule 1</x:v>
      </x:c>
      <x:c r="G59" s="339" t="str">
        <x:v>Tenant data must remain isolated across organizations and schools.</x:v>
      </x:c>
      <x:c r="H59" s="339" t="str">
        <x:v>Enforced in service/domain layer and reflected in UI validation/action availability.</x:v>
      </x:c>
      <x:c r="I59" s="339" t="str">
        <x:v>Medium</x:v>
      </x:c>
      <x:c r="J59" s="339" t="str">
        <x:v>Only an explicitly configured authorized override may bypass a non-statutory rule; overrides require reason and audit.</x:v>
      </x:c>
    </x:row>
    <x:row r="60">
      <x:c r="A60" s="339" t="str">
        <x:v>BR-00059</x:v>
      </x:c>
      <x:c r="B60" s="339" t="str">
        <x:v>Screen</x:v>
      </x:c>
      <x:c r="C60" s="339" t="str">
        <x:v>SCR-020</x:v>
      </x:c>
      <x:c r="D60" s="339" t="str">
        <x:v>Super Admin / SaaS Administration</x:v>
      </x:c>
      <x:c r="E60" s="339" t="str">
        <x:v>Platform Settings</x:v>
      </x:c>
      <x:c r="F60" s="339" t="str">
        <x:v>Multi-Tenant Platform Administration rule 2</x:v>
      </x:c>
      <x:c r="G60" s="339" t="str">
        <x:v>Plan limits must be enforced consistently at API and UI boundaries.</x:v>
      </x:c>
      <x:c r="H60" s="339" t="str">
        <x:v>Enforced in service/domain layer and reflected in UI validation/action availability.</x:v>
      </x:c>
      <x:c r="I60" s="339" t="str">
        <x:v>Medium</x:v>
      </x:c>
      <x:c r="J60" s="339" t="str">
        <x:v>Only an explicitly configured authorized override may bypass a non-statutory rule; overrides require reason and audit.</x:v>
      </x:c>
    </x:row>
    <x:row r="61">
      <x:c r="A61" s="339" t="str">
        <x:v>BR-00060</x:v>
      </x:c>
      <x:c r="B61" s="339" t="str">
        <x:v>Screen Type</x:v>
      </x:c>
      <x:c r="C61" s="339" t="str">
        <x:v>SCR-020</x:v>
      </x:c>
      <x:c r="D61" s="339" t="str">
        <x:v>Super Admin / SaaS Administration</x:v>
      </x:c>
      <x:c r="E61" s="339" t="str">
        <x:v>Platform Settings</x:v>
      </x:c>
      <x:c r="F61" s="339" t="str">
        <x:v>Configuration integrity rule</x:v>
      </x:c>
      <x:c r="G61" s="339" t="str">
        <x:v>Referenced master/configuration data is not hard-deleted; use effective dating, versioning or inactivation.</x:v>
      </x:c>
      <x:c r="H61" s="339" t="str">
        <x:v>Domain/service validation plus UI affordances.</x:v>
      </x:c>
      <x:c r="I61" s="339" t="str">
        <x:v>High</x:v>
      </x:c>
      <x:c r="J61" s="339" t="str">
        <x:v>No silent bypass; approved overrides must be separately authorized and audited.</x:v>
      </x:c>
    </x:row>
    <x:row r="62">
      <x:c r="A62" s="339" t="str">
        <x:v>BR-00061</x:v>
      </x:c>
      <x:c r="B62" s="339" t="str">
        <x:v>Screen</x:v>
      </x:c>
      <x:c r="C62" s="339" t="str">
        <x:v>SCR-021</x:v>
      </x:c>
      <x:c r="D62" s="339" t="str">
        <x:v>Organization / School / Branch Setup</x:v>
      </x:c>
      <x:c r="E62" s="339" t="str">
        <x:v>Organization Profile</x:v>
      </x:c>
      <x:c r="F62" s="339" t="str">
        <x:v>School Structure &amp; Academic Foundation rule 1</x:v>
      </x:c>
      <x:c r="G62" s="339" t="str">
        <x:v>Only one academic year can be marked active per school unless multi-calendar operation is explicitly enabled.</x:v>
      </x:c>
      <x:c r="H62" s="339" t="str">
        <x:v>Enforced in service/domain layer and reflected in UI validation/action availability.</x:v>
      </x:c>
      <x:c r="I62" s="339" t="str">
        <x:v>Medium</x:v>
      </x:c>
      <x:c r="J62" s="339" t="str">
        <x:v>Only an explicitly configured authorized override may bypass a non-statutory rule; overrides require reason and audit.</x:v>
      </x:c>
    </x:row>
    <x:row r="63">
      <x:c r="A63" s="339" t="str">
        <x:v>BR-00062</x:v>
      </x:c>
      <x:c r="B63" s="339" t="str">
        <x:v>Screen</x:v>
      </x:c>
      <x:c r="C63" s="339" t="str">
        <x:v>SCR-021</x:v>
      </x:c>
      <x:c r="D63" s="339" t="str">
        <x:v>Organization / School / Branch Setup</x:v>
      </x:c>
      <x:c r="E63" s="339" t="str">
        <x:v>Organization Profile</x:v>
      </x:c>
      <x:c r="F63" s="339" t="str">
        <x:v>School Structure &amp; Academic Foundation rule 2</x:v>
      </x:c>
      <x:c r="G63" s="339" t="str">
        <x:v>Master data referenced by transactions cannot be hard-deleted; it must be inactivated or versioned.</x:v>
      </x:c>
      <x:c r="H63" s="339" t="str">
        <x:v>Enforced in service/domain layer and reflected in UI validation/action availability.</x:v>
      </x:c>
      <x:c r="I63" s="339" t="str">
        <x:v>Medium</x:v>
      </x:c>
      <x:c r="J63" s="339" t="str">
        <x:v>Only an explicitly configured authorized override may bypass a non-statutory rule; overrides require reason and audit.</x:v>
      </x:c>
    </x:row>
    <x:row r="64">
      <x:c r="A64" s="339" t="str">
        <x:v>BR-00063</x:v>
      </x:c>
      <x:c r="B64" s="339" t="str">
        <x:v>Screen Type</x:v>
      </x:c>
      <x:c r="C64" s="339" t="str">
        <x:v>SCR-021</x:v>
      </x:c>
      <x:c r="D64" s="339" t="str">
        <x:v>Organization / School / Branch Setup</x:v>
      </x:c>
      <x:c r="E64" s="339" t="str">
        <x:v>Organization Profile</x:v>
      </x:c>
      <x:c r="F64" s="339" t="str">
        <x:v>Detail / Profile integrity rule</x:v>
      </x:c>
      <x:c r="G64" s="339" t="str">
        <x:v>Concurrent updates must not silently overwrite newer data; material edits are audited.</x:v>
      </x:c>
      <x:c r="H64" s="339" t="str">
        <x:v>Domain/service validation plus UI affordances.</x:v>
      </x:c>
      <x:c r="I64" s="339" t="str">
        <x:v>High</x:v>
      </x:c>
      <x:c r="J64" s="339" t="str">
        <x:v>No silent bypass; approved overrides must be separately authorized and audited.</x:v>
      </x:c>
    </x:row>
    <x:row r="65">
      <x:c r="A65" s="339" t="str">
        <x:v>BR-00064</x:v>
      </x:c>
      <x:c r="B65" s="339" t="str">
        <x:v>Screen</x:v>
      </x:c>
      <x:c r="C65" s="339" t="str">
        <x:v>SCR-022</x:v>
      </x:c>
      <x:c r="D65" s="339" t="str">
        <x:v>Organization / School / Branch Setup</x:v>
      </x:c>
      <x:c r="E65" s="339" t="str">
        <x:v>Schools List</x:v>
      </x:c>
      <x:c r="F65" s="339" t="str">
        <x:v>School Structure &amp; Academic Foundation rule 1</x:v>
      </x:c>
      <x:c r="G65" s="339" t="str">
        <x:v>Master data referenced by transactions cannot be hard-deleted; it must be inactivated or versioned.</x:v>
      </x:c>
      <x:c r="H65" s="339" t="str">
        <x:v>Enforced in service/domain layer and reflected in UI validation/action availability.</x:v>
      </x:c>
      <x:c r="I65" s="339" t="str">
        <x:v>Medium</x:v>
      </x:c>
      <x:c r="J65" s="339" t="str">
        <x:v>Only an explicitly configured authorized override may bypass a non-statutory rule; overrides require reason and audit.</x:v>
      </x:c>
    </x:row>
    <x:row r="66">
      <x:c r="A66" s="339" t="str">
        <x:v>BR-00065</x:v>
      </x:c>
      <x:c r="B66" s="339" t="str">
        <x:v>Screen</x:v>
      </x:c>
      <x:c r="C66" s="339" t="str">
        <x:v>SCR-022</x:v>
      </x:c>
      <x:c r="D66" s="339" t="str">
        <x:v>Organization / School / Branch Setup</x:v>
      </x:c>
      <x:c r="E66" s="339" t="str">
        <x:v>Schools List</x:v>
      </x:c>
      <x:c r="F66" s="339" t="str">
        <x:v>School Structure &amp; Academic Foundation rule 2</x:v>
      </x:c>
      <x:c r="G66" s="339" t="str">
        <x:v>Effective dates must not create overlapping active configurations.</x:v>
      </x:c>
      <x:c r="H66" s="339" t="str">
        <x:v>Enforced in service/domain layer and reflected in UI validation/action availability.</x:v>
      </x:c>
      <x:c r="I66" s="339" t="str">
        <x:v>Medium</x:v>
      </x:c>
      <x:c r="J66" s="339" t="str">
        <x:v>Only an explicitly configured authorized override may bypass a non-statutory rule; overrides require reason and audit.</x:v>
      </x:c>
    </x:row>
    <x:row r="67">
      <x:c r="A67" s="339" t="str">
        <x:v>BR-00066</x:v>
      </x:c>
      <x:c r="B67" s="339" t="str">
        <x:v>Screen Type</x:v>
      </x:c>
      <x:c r="C67" s="339" t="str">
        <x:v>SCR-022</x:v>
      </x:c>
      <x:c r="D67" s="339" t="str">
        <x:v>Organization / School / Branch Setup</x:v>
      </x:c>
      <x:c r="E67" s="339" t="str">
        <x:v>Schools List</x:v>
      </x:c>
      <x:c r="F67" s="339" t="str">
        <x:v>List / Management integrity rule</x:v>
      </x:c>
      <x:c r="G67" s="339" t="str">
        <x:v>Search, filters, exports and row actions must preserve the same authorization scope.</x:v>
      </x:c>
      <x:c r="H67" s="339" t="str">
        <x:v>Domain/service validation plus UI affordances.</x:v>
      </x:c>
      <x:c r="I67" s="339" t="str">
        <x:v>High</x:v>
      </x:c>
      <x:c r="J67" s="339" t="str">
        <x:v>No silent bypass; approved overrides must be separately authorized and audited.</x:v>
      </x:c>
    </x:row>
    <x:row r="68">
      <x:c r="A68" s="339" t="str">
        <x:v>BR-00067</x:v>
      </x:c>
      <x:c r="B68" s="339" t="str">
        <x:v>Screen</x:v>
      </x:c>
      <x:c r="C68" s="339" t="str">
        <x:v>SCR-023</x:v>
      </x:c>
      <x:c r="D68" s="339" t="str">
        <x:v>Organization / School / Branch Setup</x:v>
      </x:c>
      <x:c r="E68" s="339" t="str">
        <x:v>Add School</x:v>
      </x:c>
      <x:c r="F68" s="339" t="str">
        <x:v>School Structure &amp; Academic Foundation rule 1</x:v>
      </x:c>
      <x:c r="G68" s="339" t="str">
        <x:v>Effective dates must not create overlapping active configurations.</x:v>
      </x:c>
      <x:c r="H68" s="339" t="str">
        <x:v>Enforced in service/domain layer and reflected in UI validation/action availability.</x:v>
      </x:c>
      <x:c r="I68" s="339" t="str">
        <x:v>Medium</x:v>
      </x:c>
      <x:c r="J68" s="339" t="str">
        <x:v>Only an explicitly configured authorized override may bypass a non-statutory rule; overrides require reason and audit.</x:v>
      </x:c>
    </x:row>
    <x:row r="69">
      <x:c r="A69" s="339" t="str">
        <x:v>BR-00068</x:v>
      </x:c>
      <x:c r="B69" s="339" t="str">
        <x:v>Screen</x:v>
      </x:c>
      <x:c r="C69" s="339" t="str">
        <x:v>SCR-023</x:v>
      </x:c>
      <x:c r="D69" s="339" t="str">
        <x:v>Organization / School / Branch Setup</x:v>
      </x:c>
      <x:c r="E69" s="339" t="str">
        <x:v>Add School</x:v>
      </x:c>
      <x:c r="F69" s="339" t="str">
        <x:v>School Structure &amp; Academic Foundation rule 2</x:v>
      </x:c>
      <x:c r="G69" s="339" t="str">
        <x:v>Branch access and reporting must honor the user's authorized organizational scope.</x:v>
      </x:c>
      <x:c r="H69" s="339" t="str">
        <x:v>Enforced in service/domain layer and reflected in UI validation/action availability.</x:v>
      </x:c>
      <x:c r="I69" s="339" t="str">
        <x:v>Medium</x:v>
      </x:c>
      <x:c r="J69" s="339" t="str">
        <x:v>Only an explicitly configured authorized override may bypass a non-statutory rule; overrides require reason and audit.</x:v>
      </x:c>
    </x:row>
    <x:row r="70">
      <x:c r="A70" s="339" t="str">
        <x:v>BR-00069</x:v>
      </x:c>
      <x:c r="B70" s="339" t="str">
        <x:v>Screen Type</x:v>
      </x:c>
      <x:c r="C70" s="339" t="str">
        <x:v>SCR-023</x:v>
      </x:c>
      <x:c r="D70" s="339" t="str">
        <x:v>Organization / School / Branch Setup</x:v>
      </x:c>
      <x:c r="E70" s="339" t="str">
        <x:v>Add School</x:v>
      </x:c>
      <x:c r="F70" s="339" t="str">
        <x:v>Create / Transaction integrity rule</x:v>
      </x:c>
      <x:c r="G70" s="339" t="str">
        <x:v>A record is created only after all blocking validations, duplicate checks and reference checks pass.</x:v>
      </x:c>
      <x:c r="H70" s="339" t="str">
        <x:v>Domain/service validation plus UI affordances.</x:v>
      </x:c>
      <x:c r="I70" s="339" t="str">
        <x:v>High</x:v>
      </x:c>
      <x:c r="J70" s="339" t="str">
        <x:v>No silent bypass; approved overrides must be separately authorized and audited.</x:v>
      </x:c>
    </x:row>
    <x:row r="71">
      <x:c r="A71" s="339" t="str">
        <x:v>BR-00070</x:v>
      </x:c>
      <x:c r="B71" s="339" t="str">
        <x:v>Screen</x:v>
      </x:c>
      <x:c r="C71" s="339" t="str">
        <x:v>SCR-024</x:v>
      </x:c>
      <x:c r="D71" s="339" t="str">
        <x:v>Organization / School / Branch Setup</x:v>
      </x:c>
      <x:c r="E71" s="339" t="str">
        <x:v>School Details</x:v>
      </x:c>
      <x:c r="F71" s="339" t="str">
        <x:v>School Structure &amp; Academic Foundation rule 1</x:v>
      </x:c>
      <x:c r="G71" s="339" t="str">
        <x:v>Branch access and reporting must honor the user's authorized organizational scope.</x:v>
      </x:c>
      <x:c r="H71" s="339" t="str">
        <x:v>Enforced in service/domain layer and reflected in UI validation/action availability.</x:v>
      </x:c>
      <x:c r="I71" s="339" t="str">
        <x:v>Medium</x:v>
      </x:c>
      <x:c r="J71" s="339" t="str">
        <x:v>Only an explicitly configured authorized override may bypass a non-statutory rule; overrides require reason and audit.</x:v>
      </x:c>
    </x:row>
    <x:row r="72">
      <x:c r="A72" s="339" t="str">
        <x:v>BR-00071</x:v>
      </x:c>
      <x:c r="B72" s="339" t="str">
        <x:v>Screen</x:v>
      </x:c>
      <x:c r="C72" s="339" t="str">
        <x:v>SCR-024</x:v>
      </x:c>
      <x:c r="D72" s="339" t="str">
        <x:v>Organization / School / Branch Setup</x:v>
      </x:c>
      <x:c r="E72" s="339" t="str">
        <x:v>School Details</x:v>
      </x:c>
      <x:c r="F72" s="339" t="str">
        <x:v>School Structure &amp; Academic Foundation rule 2</x:v>
      </x:c>
      <x:c r="G72" s="339" t="str">
        <x:v>Codes/names that act as master identifiers must be unique within their configured scope.</x:v>
      </x:c>
      <x:c r="H72" s="339" t="str">
        <x:v>Enforced in service/domain layer and reflected in UI validation/action availability.</x:v>
      </x:c>
      <x:c r="I72" s="339" t="str">
        <x:v>Medium</x:v>
      </x:c>
      <x:c r="J72" s="339" t="str">
        <x:v>Only an explicitly configured authorized override may bypass a non-statutory rule; overrides require reason and audit.</x:v>
      </x:c>
    </x:row>
    <x:row r="73">
      <x:c r="A73" s="339" t="str">
        <x:v>BR-00072</x:v>
      </x:c>
      <x:c r="B73" s="339" t="str">
        <x:v>Screen Type</x:v>
      </x:c>
      <x:c r="C73" s="339" t="str">
        <x:v>SCR-024</x:v>
      </x:c>
      <x:c r="D73" s="339" t="str">
        <x:v>Organization / School / Branch Setup</x:v>
      </x:c>
      <x:c r="E73" s="339" t="str">
        <x:v>School Details</x:v>
      </x:c>
      <x:c r="F73" s="339" t="str">
        <x:v>Detail / Profile integrity rule</x:v>
      </x:c>
      <x:c r="G73" s="339" t="str">
        <x:v>Concurrent updates must not silently overwrite newer data; material edits are audited.</x:v>
      </x:c>
      <x:c r="H73" s="339" t="str">
        <x:v>Domain/service validation plus UI affordances.</x:v>
      </x:c>
      <x:c r="I73" s="339" t="str">
        <x:v>High</x:v>
      </x:c>
      <x:c r="J73" s="339" t="str">
        <x:v>No silent bypass; approved overrides must be separately authorized and audited.</x:v>
      </x:c>
    </x:row>
    <x:row r="74">
      <x:c r="A74" s="339" t="str">
        <x:v>BR-00073</x:v>
      </x:c>
      <x:c r="B74" s="339" t="str">
        <x:v>Screen</x:v>
      </x:c>
      <x:c r="C74" s="339" t="str">
        <x:v>SCR-025</x:v>
      </x:c>
      <x:c r="D74" s="339" t="str">
        <x:v>Organization / School / Branch Setup</x:v>
      </x:c>
      <x:c r="E74" s="339" t="str">
        <x:v>Branches List</x:v>
      </x:c>
      <x:c r="F74" s="339" t="str">
        <x:v>School Structure &amp; Academic Foundation rule 1</x:v>
      </x:c>
      <x:c r="G74" s="339" t="str">
        <x:v>Codes/names that act as master identifiers must be unique within their configured scope.</x:v>
      </x:c>
      <x:c r="H74" s="339" t="str">
        <x:v>Enforced in service/domain layer and reflected in UI validation/action availability.</x:v>
      </x:c>
      <x:c r="I74" s="339" t="str">
        <x:v>Medium</x:v>
      </x:c>
      <x:c r="J74" s="339" t="str">
        <x:v>Only an explicitly configured authorized override may bypass a non-statutory rule; overrides require reason and audit.</x:v>
      </x:c>
    </x:row>
    <x:row r="75">
      <x:c r="A75" s="339" t="str">
        <x:v>BR-00074</x:v>
      </x:c>
      <x:c r="B75" s="339" t="str">
        <x:v>Screen</x:v>
      </x:c>
      <x:c r="C75" s="339" t="str">
        <x:v>SCR-025</x:v>
      </x:c>
      <x:c r="D75" s="339" t="str">
        <x:v>Organization / School / Branch Setup</x:v>
      </x:c>
      <x:c r="E75" s="339" t="str">
        <x:v>Branches List</x:v>
      </x:c>
      <x:c r="F75" s="339" t="str">
        <x:v>School Structure &amp; Academic Foundation rule 2</x:v>
      </x:c>
      <x:c r="G75" s="339" t="str">
        <x:v>Only one academic year can be marked active per school unless multi-calendar operation is explicitly enabled.</x:v>
      </x:c>
      <x:c r="H75" s="339" t="str">
        <x:v>Enforced in service/domain layer and reflected in UI validation/action availability.</x:v>
      </x:c>
      <x:c r="I75" s="339" t="str">
        <x:v>Medium</x:v>
      </x:c>
      <x:c r="J75" s="339" t="str">
        <x:v>Only an explicitly configured authorized override may bypass a non-statutory rule; overrides require reason and audit.</x:v>
      </x:c>
    </x:row>
    <x:row r="76">
      <x:c r="A76" s="339" t="str">
        <x:v>BR-00075</x:v>
      </x:c>
      <x:c r="B76" s="339" t="str">
        <x:v>Screen Type</x:v>
      </x:c>
      <x:c r="C76" s="339" t="str">
        <x:v>SCR-025</x:v>
      </x:c>
      <x:c r="D76" s="339" t="str">
        <x:v>Organization / School / Branch Setup</x:v>
      </x:c>
      <x:c r="E76" s="339" t="str">
        <x:v>Branches List</x:v>
      </x:c>
      <x:c r="F76" s="339" t="str">
        <x:v>List / Management integrity rule</x:v>
      </x:c>
      <x:c r="G76" s="339" t="str">
        <x:v>Search, filters, exports and row actions must preserve the same authorization scope.</x:v>
      </x:c>
      <x:c r="H76" s="339" t="str">
        <x:v>Domain/service validation plus UI affordances.</x:v>
      </x:c>
      <x:c r="I76" s="339" t="str">
        <x:v>High</x:v>
      </x:c>
      <x:c r="J76" s="339" t="str">
        <x:v>No silent bypass; approved overrides must be separately authorized and audited.</x:v>
      </x:c>
    </x:row>
    <x:row r="77">
      <x:c r="A77" s="339" t="str">
        <x:v>BR-00076</x:v>
      </x:c>
      <x:c r="B77" s="339" t="str">
        <x:v>Screen</x:v>
      </x:c>
      <x:c r="C77" s="339" t="str">
        <x:v>SCR-026</x:v>
      </x:c>
      <x:c r="D77" s="339" t="str">
        <x:v>Organization / School / Branch Setup</x:v>
      </x:c>
      <x:c r="E77" s="339" t="str">
        <x:v>Add Branch</x:v>
      </x:c>
      <x:c r="F77" s="339" t="str">
        <x:v>School Structure &amp; Academic Foundation rule 1</x:v>
      </x:c>
      <x:c r="G77" s="339" t="str">
        <x:v>Only one academic year can be marked active per school unless multi-calendar operation is explicitly enabled.</x:v>
      </x:c>
      <x:c r="H77" s="339" t="str">
        <x:v>Enforced in service/domain layer and reflected in UI validation/action availability.</x:v>
      </x:c>
      <x:c r="I77" s="339" t="str">
        <x:v>Medium</x:v>
      </x:c>
      <x:c r="J77" s="339" t="str">
        <x:v>Only an explicitly configured authorized override may bypass a non-statutory rule; overrides require reason and audit.</x:v>
      </x:c>
    </x:row>
    <x:row r="78">
      <x:c r="A78" s="339" t="str">
        <x:v>BR-00077</x:v>
      </x:c>
      <x:c r="B78" s="339" t="str">
        <x:v>Screen</x:v>
      </x:c>
      <x:c r="C78" s="339" t="str">
        <x:v>SCR-026</x:v>
      </x:c>
      <x:c r="D78" s="339" t="str">
        <x:v>Organization / School / Branch Setup</x:v>
      </x:c>
      <x:c r="E78" s="339" t="str">
        <x:v>Add Branch</x:v>
      </x:c>
      <x:c r="F78" s="339" t="str">
        <x:v>School Structure &amp; Academic Foundation rule 2</x:v>
      </x:c>
      <x:c r="G78" s="339" t="str">
        <x:v>Master data referenced by transactions cannot be hard-deleted; it must be inactivated or versioned.</x:v>
      </x:c>
      <x:c r="H78" s="339" t="str">
        <x:v>Enforced in service/domain layer and reflected in UI validation/action availability.</x:v>
      </x:c>
      <x:c r="I78" s="339" t="str">
        <x:v>Medium</x:v>
      </x:c>
      <x:c r="J78" s="339" t="str">
        <x:v>Only an explicitly configured authorized override may bypass a non-statutory rule; overrides require reason and audit.</x:v>
      </x:c>
    </x:row>
    <x:row r="79">
      <x:c r="A79" s="339" t="str">
        <x:v>BR-00078</x:v>
      </x:c>
      <x:c r="B79" s="339" t="str">
        <x:v>Screen Type</x:v>
      </x:c>
      <x:c r="C79" s="339" t="str">
        <x:v>SCR-026</x:v>
      </x:c>
      <x:c r="D79" s="339" t="str">
        <x:v>Organization / School / Branch Setup</x:v>
      </x:c>
      <x:c r="E79" s="339" t="str">
        <x:v>Add Branch</x:v>
      </x:c>
      <x:c r="F79" s="339" t="str">
        <x:v>Create / Transaction integrity rule</x:v>
      </x:c>
      <x:c r="G79" s="339" t="str">
        <x:v>A record is created only after all blocking validations, duplicate checks and reference checks pass.</x:v>
      </x:c>
      <x:c r="H79" s="339" t="str">
        <x:v>Domain/service validation plus UI affordances.</x:v>
      </x:c>
      <x:c r="I79" s="339" t="str">
        <x:v>High</x:v>
      </x:c>
      <x:c r="J79" s="339" t="str">
        <x:v>No silent bypass; approved overrides must be separately authorized and audited.</x:v>
      </x:c>
    </x:row>
    <x:row r="80">
      <x:c r="A80" s="339" t="str">
        <x:v>BR-00079</x:v>
      </x:c>
      <x:c r="B80" s="339" t="str">
        <x:v>Screen</x:v>
      </x:c>
      <x:c r="C80" s="339" t="str">
        <x:v>SCR-027</x:v>
      </x:c>
      <x:c r="D80" s="339" t="str">
        <x:v>Organization / School / Branch Setup</x:v>
      </x:c>
      <x:c r="E80" s="339" t="str">
        <x:v>Branch Details</x:v>
      </x:c>
      <x:c r="F80" s="339" t="str">
        <x:v>School Structure &amp; Academic Foundation rule 1</x:v>
      </x:c>
      <x:c r="G80" s="339" t="str">
        <x:v>Master data referenced by transactions cannot be hard-deleted; it must be inactivated or versioned.</x:v>
      </x:c>
      <x:c r="H80" s="339" t="str">
        <x:v>Enforced in service/domain layer and reflected in UI validation/action availability.</x:v>
      </x:c>
      <x:c r="I80" s="339" t="str">
        <x:v>Medium</x:v>
      </x:c>
      <x:c r="J80" s="339" t="str">
        <x:v>Only an explicitly configured authorized override may bypass a non-statutory rule; overrides require reason and audit.</x:v>
      </x:c>
    </x:row>
    <x:row r="81">
      <x:c r="A81" s="339" t="str">
        <x:v>BR-00080</x:v>
      </x:c>
      <x:c r="B81" s="339" t="str">
        <x:v>Screen</x:v>
      </x:c>
      <x:c r="C81" s="339" t="str">
        <x:v>SCR-027</x:v>
      </x:c>
      <x:c r="D81" s="339" t="str">
        <x:v>Organization / School / Branch Setup</x:v>
      </x:c>
      <x:c r="E81" s="339" t="str">
        <x:v>Branch Details</x:v>
      </x:c>
      <x:c r="F81" s="339" t="str">
        <x:v>School Structure &amp; Academic Foundation rule 2</x:v>
      </x:c>
      <x:c r="G81" s="339" t="str">
        <x:v>Effective dates must not create overlapping active configurations.</x:v>
      </x:c>
      <x:c r="H81" s="339" t="str">
        <x:v>Enforced in service/domain layer and reflected in UI validation/action availability.</x:v>
      </x:c>
      <x:c r="I81" s="339" t="str">
        <x:v>Medium</x:v>
      </x:c>
      <x:c r="J81" s="339" t="str">
        <x:v>Only an explicitly configured authorized override may bypass a non-statutory rule; overrides require reason and audit.</x:v>
      </x:c>
    </x:row>
    <x:row r="82">
      <x:c r="A82" s="339" t="str">
        <x:v>BR-00081</x:v>
      </x:c>
      <x:c r="B82" s="339" t="str">
        <x:v>Screen Type</x:v>
      </x:c>
      <x:c r="C82" s="339" t="str">
        <x:v>SCR-027</x:v>
      </x:c>
      <x:c r="D82" s="339" t="str">
        <x:v>Organization / School / Branch Setup</x:v>
      </x:c>
      <x:c r="E82" s="339" t="str">
        <x:v>Branch Details</x:v>
      </x:c>
      <x:c r="F82" s="339" t="str">
        <x:v>Detail / Profile integrity rule</x:v>
      </x:c>
      <x:c r="G82" s="339" t="str">
        <x:v>Concurrent updates must not silently overwrite newer data; material edits are audited.</x:v>
      </x:c>
      <x:c r="H82" s="339" t="str">
        <x:v>Domain/service validation plus UI affordances.</x:v>
      </x:c>
      <x:c r="I82" s="339" t="str">
        <x:v>High</x:v>
      </x:c>
      <x:c r="J82" s="339" t="str">
        <x:v>No silent bypass; approved overrides must be separately authorized and audited.</x:v>
      </x:c>
    </x:row>
    <x:row r="83">
      <x:c r="A83" s="339" t="str">
        <x:v>BR-00082</x:v>
      </x:c>
      <x:c r="B83" s="339" t="str">
        <x:v>Screen</x:v>
      </x:c>
      <x:c r="C83" s="339" t="str">
        <x:v>SCR-028</x:v>
      </x:c>
      <x:c r="D83" s="339" t="str">
        <x:v>Organization / School / Branch Setup</x:v>
      </x:c>
      <x:c r="E83" s="339" t="str">
        <x:v>Academic Year Setup</x:v>
      </x:c>
      <x:c r="F83" s="339" t="str">
        <x:v>School Structure &amp; Academic Foundation rule 1</x:v>
      </x:c>
      <x:c r="G83" s="339" t="str">
        <x:v>Effective dates must not create overlapping active configurations.</x:v>
      </x:c>
      <x:c r="H83" s="339" t="str">
        <x:v>Enforced in service/domain layer and reflected in UI validation/action availability.</x:v>
      </x:c>
      <x:c r="I83" s="339" t="str">
        <x:v>Medium</x:v>
      </x:c>
      <x:c r="J83" s="339" t="str">
        <x:v>Only an explicitly configured authorized override may bypass a non-statutory rule; overrides require reason and audit.</x:v>
      </x:c>
    </x:row>
    <x:row r="84">
      <x:c r="A84" s="339" t="str">
        <x:v>BR-00083</x:v>
      </x:c>
      <x:c r="B84" s="339" t="str">
        <x:v>Screen</x:v>
      </x:c>
      <x:c r="C84" s="339" t="str">
        <x:v>SCR-028</x:v>
      </x:c>
      <x:c r="D84" s="339" t="str">
        <x:v>Organization / School / Branch Setup</x:v>
      </x:c>
      <x:c r="E84" s="339" t="str">
        <x:v>Academic Year Setup</x:v>
      </x:c>
      <x:c r="F84" s="339" t="str">
        <x:v>School Structure &amp; Academic Foundation rule 2</x:v>
      </x:c>
      <x:c r="G84" s="339" t="str">
        <x:v>Branch access and reporting must honor the user's authorized organizational scope.</x:v>
      </x:c>
      <x:c r="H84" s="339" t="str">
        <x:v>Enforced in service/domain layer and reflected in UI validation/action availability.</x:v>
      </x:c>
      <x:c r="I84" s="339" t="str">
        <x:v>Medium</x:v>
      </x:c>
      <x:c r="J84" s="339" t="str">
        <x:v>Only an explicitly configured authorized override may bypass a non-statutory rule; overrides require reason and audit.</x:v>
      </x:c>
    </x:row>
    <x:row r="85">
      <x:c r="A85" s="339" t="str">
        <x:v>BR-00084</x:v>
      </x:c>
      <x:c r="B85" s="339" t="str">
        <x:v>Screen Type</x:v>
      </x:c>
      <x:c r="C85" s="339" t="str">
        <x:v>SCR-028</x:v>
      </x:c>
      <x:c r="D85" s="339" t="str">
        <x:v>Organization / School / Branch Setup</x:v>
      </x:c>
      <x:c r="E85" s="339" t="str">
        <x:v>Academic Year Setup</x:v>
      </x:c>
      <x:c r="F85" s="339" t="str">
        <x:v>Create / Transaction integrity rule</x:v>
      </x:c>
      <x:c r="G85" s="339" t="str">
        <x:v>A record is created only after all blocking validations, duplicate checks and reference checks pass.</x:v>
      </x:c>
      <x:c r="H85" s="339" t="str">
        <x:v>Domain/service validation plus UI affordances.</x:v>
      </x:c>
      <x:c r="I85" s="339" t="str">
        <x:v>High</x:v>
      </x:c>
      <x:c r="J85" s="339" t="str">
        <x:v>No silent bypass; approved overrides must be separately authorized and audited.</x:v>
      </x:c>
    </x:row>
    <x:row r="86">
      <x:c r="A86" s="339" t="str">
        <x:v>BR-00085</x:v>
      </x:c>
      <x:c r="B86" s="339" t="str">
        <x:v>Screen</x:v>
      </x:c>
      <x:c r="C86" s="339" t="str">
        <x:v>SCR-029</x:v>
      </x:c>
      <x:c r="D86" s="339" t="str">
        <x:v>Organization / School / Branch Setup</x:v>
      </x:c>
      <x:c r="E86" s="339" t="str">
        <x:v>Grade / Class Setup</x:v>
      </x:c>
      <x:c r="F86" s="339" t="str">
        <x:v>School Structure &amp; Academic Foundation rule 1</x:v>
      </x:c>
      <x:c r="G86" s="339" t="str">
        <x:v>Branch access and reporting must honor the user's authorized organizational scope.</x:v>
      </x:c>
      <x:c r="H86" s="339" t="str">
        <x:v>Enforced in service/domain layer and reflected in UI validation/action availability.</x:v>
      </x:c>
      <x:c r="I86" s="339" t="str">
        <x:v>Medium</x:v>
      </x:c>
      <x:c r="J86" s="339" t="str">
        <x:v>Only an explicitly configured authorized override may bypass a non-statutory rule; overrides require reason and audit.</x:v>
      </x:c>
    </x:row>
    <x:row r="87">
      <x:c r="A87" s="339" t="str">
        <x:v>BR-00086</x:v>
      </x:c>
      <x:c r="B87" s="339" t="str">
        <x:v>Screen</x:v>
      </x:c>
      <x:c r="C87" s="339" t="str">
        <x:v>SCR-029</x:v>
      </x:c>
      <x:c r="D87" s="339" t="str">
        <x:v>Organization / School / Branch Setup</x:v>
      </x:c>
      <x:c r="E87" s="339" t="str">
        <x:v>Grade / Class Setup</x:v>
      </x:c>
      <x:c r="F87" s="339" t="str">
        <x:v>School Structure &amp; Academic Foundation rule 2</x:v>
      </x:c>
      <x:c r="G87" s="339" t="str">
        <x:v>Codes/names that act as master identifiers must be unique within their configured scope.</x:v>
      </x:c>
      <x:c r="H87" s="339" t="str">
        <x:v>Enforced in service/domain layer and reflected in UI validation/action availability.</x:v>
      </x:c>
      <x:c r="I87" s="339" t="str">
        <x:v>Medium</x:v>
      </x:c>
      <x:c r="J87" s="339" t="str">
        <x:v>Only an explicitly configured authorized override may bypass a non-statutory rule; overrides require reason and audit.</x:v>
      </x:c>
    </x:row>
    <x:row r="88">
      <x:c r="A88" s="339" t="str">
        <x:v>BR-00087</x:v>
      </x:c>
      <x:c r="B88" s="339" t="str">
        <x:v>Screen Type</x:v>
      </x:c>
      <x:c r="C88" s="339" t="str">
        <x:v>SCR-029</x:v>
      </x:c>
      <x:c r="D88" s="339" t="str">
        <x:v>Organization / School / Branch Setup</x:v>
      </x:c>
      <x:c r="E88" s="339" t="str">
        <x:v>Grade / Class Setup</x:v>
      </x:c>
      <x:c r="F88" s="339" t="str">
        <x:v>Create / Transaction integrity rule</x:v>
      </x:c>
      <x:c r="G88" s="339" t="str">
        <x:v>A record is created only after all blocking validations, duplicate checks and reference checks pass.</x:v>
      </x:c>
      <x:c r="H88" s="339" t="str">
        <x:v>Domain/service validation plus UI affordances.</x:v>
      </x:c>
      <x:c r="I88" s="339" t="str">
        <x:v>High</x:v>
      </x:c>
      <x:c r="J88" s="339" t="str">
        <x:v>No silent bypass; approved overrides must be separately authorized and audited.</x:v>
      </x:c>
    </x:row>
    <x:row r="89">
      <x:c r="A89" s="339" t="str">
        <x:v>BR-00088</x:v>
      </x:c>
      <x:c r="B89" s="339" t="str">
        <x:v>Screen</x:v>
      </x:c>
      <x:c r="C89" s="339" t="str">
        <x:v>SCR-030</x:v>
      </x:c>
      <x:c r="D89" s="339" t="str">
        <x:v>Organization / School / Branch Setup</x:v>
      </x:c>
      <x:c r="E89" s="339" t="str">
        <x:v>Section Setup</x:v>
      </x:c>
      <x:c r="F89" s="339" t="str">
        <x:v>School Structure &amp; Academic Foundation rule 1</x:v>
      </x:c>
      <x:c r="G89" s="339" t="str">
        <x:v>Codes/names that act as master identifiers must be unique within their configured scope.</x:v>
      </x:c>
      <x:c r="H89" s="339" t="str">
        <x:v>Enforced in service/domain layer and reflected in UI validation/action availability.</x:v>
      </x:c>
      <x:c r="I89" s="339" t="str">
        <x:v>Medium</x:v>
      </x:c>
      <x:c r="J89" s="339" t="str">
        <x:v>Only an explicitly configured authorized override may bypass a non-statutory rule; overrides require reason and audit.</x:v>
      </x:c>
    </x:row>
    <x:row r="90">
      <x:c r="A90" s="339" t="str">
        <x:v>BR-00089</x:v>
      </x:c>
      <x:c r="B90" s="339" t="str">
        <x:v>Screen</x:v>
      </x:c>
      <x:c r="C90" s="339" t="str">
        <x:v>SCR-030</x:v>
      </x:c>
      <x:c r="D90" s="339" t="str">
        <x:v>Organization / School / Branch Setup</x:v>
      </x:c>
      <x:c r="E90" s="339" t="str">
        <x:v>Section Setup</x:v>
      </x:c>
      <x:c r="F90" s="339" t="str">
        <x:v>School Structure &amp; Academic Foundation rule 2</x:v>
      </x:c>
      <x:c r="G90" s="339" t="str">
        <x:v>Only one academic year can be marked active per school unless multi-calendar operation is explicitly enabled.</x:v>
      </x:c>
      <x:c r="H90" s="339" t="str">
        <x:v>Enforced in service/domain layer and reflected in UI validation/action availability.</x:v>
      </x:c>
      <x:c r="I90" s="339" t="str">
        <x:v>Medium</x:v>
      </x:c>
      <x:c r="J90" s="339" t="str">
        <x:v>Only an explicitly configured authorized override may bypass a non-statutory rule; overrides require reason and audit.</x:v>
      </x:c>
    </x:row>
    <x:row r="91">
      <x:c r="A91" s="339" t="str">
        <x:v>BR-00090</x:v>
      </x:c>
      <x:c r="B91" s="339" t="str">
        <x:v>Screen Type</x:v>
      </x:c>
      <x:c r="C91" s="339" t="str">
        <x:v>SCR-030</x:v>
      </x:c>
      <x:c r="D91" s="339" t="str">
        <x:v>Organization / School / Branch Setup</x:v>
      </x:c>
      <x:c r="E91" s="339" t="str">
        <x:v>Section Setup</x:v>
      </x:c>
      <x:c r="F91" s="339" t="str">
        <x:v>Create / Transaction integrity rule</x:v>
      </x:c>
      <x:c r="G91" s="339" t="str">
        <x:v>A record is created only after all blocking validations, duplicate checks and reference checks pass.</x:v>
      </x:c>
      <x:c r="H91" s="339" t="str">
        <x:v>Domain/service validation plus UI affordances.</x:v>
      </x:c>
      <x:c r="I91" s="339" t="str">
        <x:v>High</x:v>
      </x:c>
      <x:c r="J91" s="339" t="str">
        <x:v>No silent bypass; approved overrides must be separately authorized and audited.</x:v>
      </x:c>
    </x:row>
    <x:row r="92">
      <x:c r="A92" s="339" t="str">
        <x:v>BR-00091</x:v>
      </x:c>
      <x:c r="B92" s="339" t="str">
        <x:v>Screen</x:v>
      </x:c>
      <x:c r="C92" s="339" t="str">
        <x:v>SCR-031</x:v>
      </x:c>
      <x:c r="D92" s="339" t="str">
        <x:v>Organization / School / Branch Setup</x:v>
      </x:c>
      <x:c r="E92" s="339" t="str">
        <x:v>Department Setup</x:v>
      </x:c>
      <x:c r="F92" s="339" t="str">
        <x:v>School Structure &amp; Academic Foundation rule 1</x:v>
      </x:c>
      <x:c r="G92" s="339" t="str">
        <x:v>Only one academic year can be marked active per school unless multi-calendar operation is explicitly enabled.</x:v>
      </x:c>
      <x:c r="H92" s="339" t="str">
        <x:v>Enforced in service/domain layer and reflected in UI validation/action availability.</x:v>
      </x:c>
      <x:c r="I92" s="339" t="str">
        <x:v>Medium</x:v>
      </x:c>
      <x:c r="J92" s="339" t="str">
        <x:v>Only an explicitly configured authorized override may bypass a non-statutory rule; overrides require reason and audit.</x:v>
      </x:c>
    </x:row>
    <x:row r="93">
      <x:c r="A93" s="339" t="str">
        <x:v>BR-00092</x:v>
      </x:c>
      <x:c r="B93" s="339" t="str">
        <x:v>Screen</x:v>
      </x:c>
      <x:c r="C93" s="339" t="str">
        <x:v>SCR-031</x:v>
      </x:c>
      <x:c r="D93" s="339" t="str">
        <x:v>Organization / School / Branch Setup</x:v>
      </x:c>
      <x:c r="E93" s="339" t="str">
        <x:v>Department Setup</x:v>
      </x:c>
      <x:c r="F93" s="339" t="str">
        <x:v>School Structure &amp; Academic Foundation rule 2</x:v>
      </x:c>
      <x:c r="G93" s="339" t="str">
        <x:v>Master data referenced by transactions cannot be hard-deleted; it must be inactivated or versioned.</x:v>
      </x:c>
      <x:c r="H93" s="339" t="str">
        <x:v>Enforced in service/domain layer and reflected in UI validation/action availability.</x:v>
      </x:c>
      <x:c r="I93" s="339" t="str">
        <x:v>Medium</x:v>
      </x:c>
      <x:c r="J93" s="339" t="str">
        <x:v>Only an explicitly configured authorized override may bypass a non-statutory rule; overrides require reason and audit.</x:v>
      </x:c>
    </x:row>
    <x:row r="94">
      <x:c r="A94" s="339" t="str">
        <x:v>BR-00093</x:v>
      </x:c>
      <x:c r="B94" s="339" t="str">
        <x:v>Screen Type</x:v>
      </x:c>
      <x:c r="C94" s="339" t="str">
        <x:v>SCR-031</x:v>
      </x:c>
      <x:c r="D94" s="339" t="str">
        <x:v>Organization / School / Branch Setup</x:v>
      </x:c>
      <x:c r="E94" s="339" t="str">
        <x:v>Department Setup</x:v>
      </x:c>
      <x:c r="F94" s="339" t="str">
        <x:v>Create / Transaction integrity rule</x:v>
      </x:c>
      <x:c r="G94" s="339" t="str">
        <x:v>A record is created only after all blocking validations, duplicate checks and reference checks pass.</x:v>
      </x:c>
      <x:c r="H94" s="339" t="str">
        <x:v>Domain/service validation plus UI affordances.</x:v>
      </x:c>
      <x:c r="I94" s="339" t="str">
        <x:v>High</x:v>
      </x:c>
      <x:c r="J94" s="339" t="str">
        <x:v>No silent bypass; approved overrides must be separately authorized and audited.</x:v>
      </x:c>
    </x:row>
    <x:row r="95">
      <x:c r="A95" s="339" t="str">
        <x:v>BR-00094</x:v>
      </x:c>
      <x:c r="B95" s="339" t="str">
        <x:v>Screen</x:v>
      </x:c>
      <x:c r="C95" s="339" t="str">
        <x:v>SCR-032</x:v>
      </x:c>
      <x:c r="D95" s="339" t="str">
        <x:v>Organization / School / Branch Setup</x:v>
      </x:c>
      <x:c r="E95" s="339" t="str">
        <x:v>School Branding &amp; Profile</x:v>
      </x:c>
      <x:c r="F95" s="339" t="str">
        <x:v>School Structure &amp; Academic Foundation rule 1</x:v>
      </x:c>
      <x:c r="G95" s="339" t="str">
        <x:v>Master data referenced by transactions cannot be hard-deleted; it must be inactivated or versioned.</x:v>
      </x:c>
      <x:c r="H95" s="339" t="str">
        <x:v>Enforced in service/domain layer and reflected in UI validation/action availability.</x:v>
      </x:c>
      <x:c r="I95" s="339" t="str">
        <x:v>Medium</x:v>
      </x:c>
      <x:c r="J95" s="339" t="str">
        <x:v>Only an explicitly configured authorized override may bypass a non-statutory rule; overrides require reason and audit.</x:v>
      </x:c>
    </x:row>
    <x:row r="96">
      <x:c r="A96" s="339" t="str">
        <x:v>BR-00095</x:v>
      </x:c>
      <x:c r="B96" s="339" t="str">
        <x:v>Screen</x:v>
      </x:c>
      <x:c r="C96" s="339" t="str">
        <x:v>SCR-032</x:v>
      </x:c>
      <x:c r="D96" s="339" t="str">
        <x:v>Organization / School / Branch Setup</x:v>
      </x:c>
      <x:c r="E96" s="339" t="str">
        <x:v>School Branding &amp; Profile</x:v>
      </x:c>
      <x:c r="F96" s="339" t="str">
        <x:v>School Structure &amp; Academic Foundation rule 2</x:v>
      </x:c>
      <x:c r="G96" s="339" t="str">
        <x:v>Effective dates must not create overlapping active configurations.</x:v>
      </x:c>
      <x:c r="H96" s="339" t="str">
        <x:v>Enforced in service/domain layer and reflected in UI validation/action availability.</x:v>
      </x:c>
      <x:c r="I96" s="339" t="str">
        <x:v>Medium</x:v>
      </x:c>
      <x:c r="J96" s="339" t="str">
        <x:v>Only an explicitly configured authorized override may bypass a non-statutory rule; overrides require reason and audit.</x:v>
      </x:c>
    </x:row>
    <x:row r="97">
      <x:c r="A97" s="339" t="str">
        <x:v>BR-00096</x:v>
      </x:c>
      <x:c r="B97" s="339" t="str">
        <x:v>Screen Type</x:v>
      </x:c>
      <x:c r="C97" s="339" t="str">
        <x:v>SCR-032</x:v>
      </x:c>
      <x:c r="D97" s="339" t="str">
        <x:v>Organization / School / Branch Setup</x:v>
      </x:c>
      <x:c r="E97" s="339" t="str">
        <x:v>School Branding &amp; Profile</x:v>
      </x:c>
      <x:c r="F97" s="339" t="str">
        <x:v>Detail / Profile integrity rule</x:v>
      </x:c>
      <x:c r="G97" s="339" t="str">
        <x:v>Concurrent updates must not silently overwrite newer data; material edits are audited.</x:v>
      </x:c>
      <x:c r="H97" s="339" t="str">
        <x:v>Domain/service validation plus UI affordances.</x:v>
      </x:c>
      <x:c r="I97" s="339" t="str">
        <x:v>High</x:v>
      </x:c>
      <x:c r="J97" s="339" t="str">
        <x:v>No silent bypass; approved overrides must be separately authorized and audited.</x:v>
      </x:c>
    </x:row>
    <x:row r="98">
      <x:c r="A98" s="339" t="str">
        <x:v>BR-00097</x:v>
      </x:c>
      <x:c r="B98" s="339" t="str">
        <x:v>Screen</x:v>
      </x:c>
      <x:c r="C98" s="339" t="str">
        <x:v>SCR-033</x:v>
      </x:c>
      <x:c r="D98" s="339" t="str">
        <x:v>Role Dashboards</x:v>
      </x:c>
      <x:c r="E98" s="339" t="str">
        <x:v>School Admin Dashboard</x:v>
      </x:c>
      <x:c r="F98" s="339" t="str">
        <x:v>Role-Based Operational Dashboards rule 1</x:v>
      </x:c>
      <x:c r="G98" s="339" t="str">
        <x:v>Drill-down counts must reconcile with the underlying filtered records.</x:v>
      </x:c>
      <x:c r="H98" s="339" t="str">
        <x:v>Enforced in service/domain layer and reflected in UI validation/action availability.</x:v>
      </x:c>
      <x:c r="I98" s="339" t="str">
        <x:v>Medium</x:v>
      </x:c>
      <x:c r="J98" s="339" t="str">
        <x:v>Only an explicitly configured authorized override may bypass a non-statutory rule; overrides require reason and audit.</x:v>
      </x:c>
    </x:row>
    <x:row r="99">
      <x:c r="A99" s="339" t="str">
        <x:v>BR-00098</x:v>
      </x:c>
      <x:c r="B99" s="339" t="str">
        <x:v>Screen</x:v>
      </x:c>
      <x:c r="C99" s="339" t="str">
        <x:v>SCR-033</x:v>
      </x:c>
      <x:c r="D99" s="339" t="str">
        <x:v>Role Dashboards</x:v>
      </x:c>
      <x:c r="E99" s="339" t="str">
        <x:v>School Admin Dashboard</x:v>
      </x:c>
      <x:c r="F99" s="339" t="str">
        <x:v>Role-Based Operational Dashboards rule 2</x:v>
      </x:c>
      <x:c r="G99" s="339" t="str">
        <x:v>Sensitive data must be masked for roles that do not require it.</x:v>
      </x:c>
      <x:c r="H99" s="339" t="str">
        <x:v>Enforced in service/domain layer and reflected in UI validation/action availability.</x:v>
      </x:c>
      <x:c r="I99" s="339" t="str">
        <x:v>Medium</x:v>
      </x:c>
      <x:c r="J99" s="339" t="str">
        <x:v>Only an explicitly configured authorized override may bypass a non-statutory rule; overrides require reason and audit.</x:v>
      </x:c>
    </x:row>
    <x:row r="100">
      <x:c r="A100" s="339" t="str">
        <x:v>BR-00099</x:v>
      </x:c>
      <x:c r="B100" s="339" t="str">
        <x:v>Screen Type</x:v>
      </x:c>
      <x:c r="C100" s="339" t="str">
        <x:v>SCR-033</x:v>
      </x:c>
      <x:c r="D100" s="339" t="str">
        <x:v>Role Dashboards</x:v>
      </x:c>
      <x:c r="E100" s="339" t="str">
        <x:v>School Admin Dashboard</x:v>
      </x:c>
      <x:c r="F100" s="339" t="str">
        <x:v>Dashboard integrity rule</x:v>
      </x:c>
      <x:c r="G100" s="339" t="str">
        <x:v>Displayed totals must reconcile to the same authorized source rows used by drill-down and reports.</x:v>
      </x:c>
      <x:c r="H100" s="339" t="str">
        <x:v>Domain/service validation plus UI affordances.</x:v>
      </x:c>
      <x:c r="I100" s="339" t="str">
        <x:v>High</x:v>
      </x:c>
      <x:c r="J100" s="339" t="str">
        <x:v>No silent bypass; approved overrides must be separately authorized and audited.</x:v>
      </x:c>
    </x:row>
    <x:row r="101">
      <x:c r="A101" s="339" t="str">
        <x:v>BR-00100</x:v>
      </x:c>
      <x:c r="B101" s="339" t="str">
        <x:v>Screen</x:v>
      </x:c>
      <x:c r="C101" s="339" t="str">
        <x:v>SCR-034</x:v>
      </x:c>
      <x:c r="D101" s="339" t="str">
        <x:v>Role Dashboards</x:v>
      </x:c>
      <x:c r="E101" s="339" t="str">
        <x:v>Principal Dashboard</x:v>
      </x:c>
      <x:c r="F101" s="339" t="str">
        <x:v>Role-Based Operational Dashboards rule 1</x:v>
      </x:c>
      <x:c r="G101" s="339" t="str">
        <x:v>Sensitive data must be masked for roles that do not require it.</x:v>
      </x:c>
      <x:c r="H101" s="339" t="str">
        <x:v>Enforced in service/domain layer and reflected in UI validation/action availability.</x:v>
      </x:c>
      <x:c r="I101" s="339" t="str">
        <x:v>Medium</x:v>
      </x:c>
      <x:c r="J101" s="339" t="str">
        <x:v>Only an explicitly configured authorized override may bypass a non-statutory rule; overrides require reason and audit.</x:v>
      </x:c>
    </x:row>
    <x:row r="102">
      <x:c r="A102" s="339" t="str">
        <x:v>BR-00101</x:v>
      </x:c>
      <x:c r="B102" s="339" t="str">
        <x:v>Screen</x:v>
      </x:c>
      <x:c r="C102" s="339" t="str">
        <x:v>SCR-034</x:v>
      </x:c>
      <x:c r="D102" s="339" t="str">
        <x:v>Role Dashboards</x:v>
      </x:c>
      <x:c r="E102" s="339" t="str">
        <x:v>Principal Dashboard</x:v>
      </x:c>
      <x:c r="F102" s="339" t="str">
        <x:v>Role-Based Operational Dashboards rule 2</x:v>
      </x:c>
      <x:c r="G102" s="339" t="str">
        <x:v>Dashboard metrics must use the same source-of-truth logic as their detailed reports.</x:v>
      </x:c>
      <x:c r="H102" s="339" t="str">
        <x:v>Enforced in service/domain layer and reflected in UI validation/action availability.</x:v>
      </x:c>
      <x:c r="I102" s="339" t="str">
        <x:v>Medium</x:v>
      </x:c>
      <x:c r="J102" s="339" t="str">
        <x:v>Only an explicitly configured authorized override may bypass a non-statutory rule; overrides require reason and audit.</x:v>
      </x:c>
    </x:row>
    <x:row r="103">
      <x:c r="A103" s="339" t="str">
        <x:v>BR-00102</x:v>
      </x:c>
      <x:c r="B103" s="339" t="str">
        <x:v>Screen Type</x:v>
      </x:c>
      <x:c r="C103" s="339" t="str">
        <x:v>SCR-034</x:v>
      </x:c>
      <x:c r="D103" s="339" t="str">
        <x:v>Role Dashboards</x:v>
      </x:c>
      <x:c r="E103" s="339" t="str">
        <x:v>Principal Dashboard</x:v>
      </x:c>
      <x:c r="F103" s="339" t="str">
        <x:v>Dashboard integrity rule</x:v>
      </x:c>
      <x:c r="G103" s="339" t="str">
        <x:v>Displayed totals must reconcile to the same authorized source rows used by drill-down and reports.</x:v>
      </x:c>
      <x:c r="H103" s="339" t="str">
        <x:v>Domain/service validation plus UI affordances.</x:v>
      </x:c>
      <x:c r="I103" s="339" t="str">
        <x:v>High</x:v>
      </x:c>
      <x:c r="J103" s="339" t="str">
        <x:v>No silent bypass; approved overrides must be separately authorized and audited.</x:v>
      </x:c>
    </x:row>
    <x:row r="104">
      <x:c r="A104" s="339" t="str">
        <x:v>BR-00103</x:v>
      </x:c>
      <x:c r="B104" s="339" t="str">
        <x:v>Screen</x:v>
      </x:c>
      <x:c r="C104" s="339" t="str">
        <x:v>SCR-035</x:v>
      </x:c>
      <x:c r="D104" s="339" t="str">
        <x:v>Role Dashboards</x:v>
      </x:c>
      <x:c r="E104" s="339" t="str">
        <x:v>Teacher Dashboard</x:v>
      </x:c>
      <x:c r="F104" s="339" t="str">
        <x:v>Role-Based Operational Dashboards rule 1</x:v>
      </x:c>
      <x:c r="G104" s="339" t="str">
        <x:v>Dashboard metrics must use the same source-of-truth logic as their detailed reports.</x:v>
      </x:c>
      <x:c r="H104" s="339" t="str">
        <x:v>Enforced in service/domain layer and reflected in UI validation/action availability.</x:v>
      </x:c>
      <x:c r="I104" s="339" t="str">
        <x:v>Medium</x:v>
      </x:c>
      <x:c r="J104" s="339" t="str">
        <x:v>Only an explicitly configured authorized override may bypass a non-statutory rule; overrides require reason and audit.</x:v>
      </x:c>
    </x:row>
    <x:row r="105">
      <x:c r="A105" s="339" t="str">
        <x:v>BR-00104</x:v>
      </x:c>
      <x:c r="B105" s="339" t="str">
        <x:v>Screen</x:v>
      </x:c>
      <x:c r="C105" s="339" t="str">
        <x:v>SCR-035</x:v>
      </x:c>
      <x:c r="D105" s="339" t="str">
        <x:v>Role Dashboards</x:v>
      </x:c>
      <x:c r="E105" s="339" t="str">
        <x:v>Teacher Dashboard</x:v>
      </x:c>
      <x:c r="F105" s="339" t="str">
        <x:v>Role-Based Operational Dashboards rule 2</x:v>
      </x:c>
      <x:c r="G105" s="339" t="str">
        <x:v>Users can only see KPIs and records allowed by role, school, branch and class scope.</x:v>
      </x:c>
      <x:c r="H105" s="339" t="str">
        <x:v>Enforced in service/domain layer and reflected in UI validation/action availability.</x:v>
      </x:c>
      <x:c r="I105" s="339" t="str">
        <x:v>Medium</x:v>
      </x:c>
      <x:c r="J105" s="339" t="str">
        <x:v>Only an explicitly configured authorized override may bypass a non-statutory rule; overrides require reason and audit.</x:v>
      </x:c>
    </x:row>
    <x:row r="106">
      <x:c r="A106" s="339" t="str">
        <x:v>BR-00105</x:v>
      </x:c>
      <x:c r="B106" s="339" t="str">
        <x:v>Screen Type</x:v>
      </x:c>
      <x:c r="C106" s="339" t="str">
        <x:v>SCR-035</x:v>
      </x:c>
      <x:c r="D106" s="339" t="str">
        <x:v>Role Dashboards</x:v>
      </x:c>
      <x:c r="E106" s="339" t="str">
        <x:v>Teacher Dashboard</x:v>
      </x:c>
      <x:c r="F106" s="339" t="str">
        <x:v>Dashboard integrity rule</x:v>
      </x:c>
      <x:c r="G106" s="339" t="str">
        <x:v>Displayed totals must reconcile to the same authorized source rows used by drill-down and reports.</x:v>
      </x:c>
      <x:c r="H106" s="339" t="str">
        <x:v>Domain/service validation plus UI affordances.</x:v>
      </x:c>
      <x:c r="I106" s="339" t="str">
        <x:v>High</x:v>
      </x:c>
      <x:c r="J106" s="339" t="str">
        <x:v>No silent bypass; approved overrides must be separately authorized and audited.</x:v>
      </x:c>
    </x:row>
    <x:row r="107">
      <x:c r="A107" s="339" t="str">
        <x:v>BR-00106</x:v>
      </x:c>
      <x:c r="B107" s="339" t="str">
        <x:v>Screen</x:v>
      </x:c>
      <x:c r="C107" s="339" t="str">
        <x:v>SCR-036</x:v>
      </x:c>
      <x:c r="D107" s="339" t="str">
        <x:v>Role Dashboards</x:v>
      </x:c>
      <x:c r="E107" s="339" t="str">
        <x:v>Student Dashboard</x:v>
      </x:c>
      <x:c r="F107" s="339" t="str">
        <x:v>Role-Based Operational Dashboards rule 1</x:v>
      </x:c>
      <x:c r="G107" s="339" t="str">
        <x:v>Users can only see KPIs and records allowed by role, school, branch and class scope.</x:v>
      </x:c>
      <x:c r="H107" s="339" t="str">
        <x:v>Enforced in service/domain layer and reflected in UI validation/action availability.</x:v>
      </x:c>
      <x:c r="I107" s="339" t="str">
        <x:v>Medium</x:v>
      </x:c>
      <x:c r="J107" s="339" t="str">
        <x:v>Only an explicitly configured authorized override may bypass a non-statutory rule; overrides require reason and audit.</x:v>
      </x:c>
    </x:row>
    <x:row r="108">
      <x:c r="A108" s="339" t="str">
        <x:v>BR-00107</x:v>
      </x:c>
      <x:c r="B108" s="339" t="str">
        <x:v>Screen</x:v>
      </x:c>
      <x:c r="C108" s="339" t="str">
        <x:v>SCR-036</x:v>
      </x:c>
      <x:c r="D108" s="339" t="str">
        <x:v>Role Dashboards</x:v>
      </x:c>
      <x:c r="E108" s="339" t="str">
        <x:v>Student Dashboard</x:v>
      </x:c>
      <x:c r="F108" s="339" t="str">
        <x:v>Role-Based Operational Dashboards rule 2</x:v>
      </x:c>
      <x:c r="G108" s="339" t="str">
        <x:v>Metric timestamps and filter context must be visible where freshness matters.</x:v>
      </x:c>
      <x:c r="H108" s="339" t="str">
        <x:v>Enforced in service/domain layer and reflected in UI validation/action availability.</x:v>
      </x:c>
      <x:c r="I108" s="339" t="str">
        <x:v>Medium</x:v>
      </x:c>
      <x:c r="J108" s="339" t="str">
        <x:v>Only an explicitly configured authorized override may bypass a non-statutory rule; overrides require reason and audit.</x:v>
      </x:c>
    </x:row>
    <x:row r="109">
      <x:c r="A109" s="339" t="str">
        <x:v>BR-00108</x:v>
      </x:c>
      <x:c r="B109" s="339" t="str">
        <x:v>Screen Type</x:v>
      </x:c>
      <x:c r="C109" s="339" t="str">
        <x:v>SCR-036</x:v>
      </x:c>
      <x:c r="D109" s="339" t="str">
        <x:v>Role Dashboards</x:v>
      </x:c>
      <x:c r="E109" s="339" t="str">
        <x:v>Student Dashboard</x:v>
      </x:c>
      <x:c r="F109" s="339" t="str">
        <x:v>Dashboard integrity rule</x:v>
      </x:c>
      <x:c r="G109" s="339" t="str">
        <x:v>Displayed totals must reconcile to the same authorized source rows used by drill-down and reports.</x:v>
      </x:c>
      <x:c r="H109" s="339" t="str">
        <x:v>Domain/service validation plus UI affordances.</x:v>
      </x:c>
      <x:c r="I109" s="339" t="str">
        <x:v>High</x:v>
      </x:c>
      <x:c r="J109" s="339" t="str">
        <x:v>No silent bypass; approved overrides must be separately authorized and audited.</x:v>
      </x:c>
    </x:row>
    <x:row r="110">
      <x:c r="A110" s="339" t="str">
        <x:v>BR-00109</x:v>
      </x:c>
      <x:c r="B110" s="339" t="str">
        <x:v>Screen</x:v>
      </x:c>
      <x:c r="C110" s="339" t="str">
        <x:v>SCR-037</x:v>
      </x:c>
      <x:c r="D110" s="339" t="str">
        <x:v>Role Dashboards</x:v>
      </x:c>
      <x:c r="E110" s="339" t="str">
        <x:v>Parent Dashboard</x:v>
      </x:c>
      <x:c r="F110" s="339" t="str">
        <x:v>Role-Based Operational Dashboards rule 1</x:v>
      </x:c>
      <x:c r="G110" s="339" t="str">
        <x:v>Metric timestamps and filter context must be visible where freshness matters.</x:v>
      </x:c>
      <x:c r="H110" s="339" t="str">
        <x:v>Enforced in service/domain layer and reflected in UI validation/action availability.</x:v>
      </x:c>
      <x:c r="I110" s="339" t="str">
        <x:v>Medium</x:v>
      </x:c>
      <x:c r="J110" s="339" t="str">
        <x:v>Only an explicitly configured authorized override may bypass a non-statutory rule; overrides require reason and audit.</x:v>
      </x:c>
    </x:row>
    <x:row r="111">
      <x:c r="A111" s="339" t="str">
        <x:v>BR-00110</x:v>
      </x:c>
      <x:c r="B111" s="339" t="str">
        <x:v>Screen</x:v>
      </x:c>
      <x:c r="C111" s="339" t="str">
        <x:v>SCR-037</x:v>
      </x:c>
      <x:c r="D111" s="339" t="str">
        <x:v>Role Dashboards</x:v>
      </x:c>
      <x:c r="E111" s="339" t="str">
        <x:v>Parent Dashboard</x:v>
      </x:c>
      <x:c r="F111" s="339" t="str">
        <x:v>Role-Based Operational Dashboards rule 2</x:v>
      </x:c>
      <x:c r="G111" s="339" t="str">
        <x:v>Drill-down counts must reconcile with the underlying filtered records.</x:v>
      </x:c>
      <x:c r="H111" s="339" t="str">
        <x:v>Enforced in service/domain layer and reflected in UI validation/action availability.</x:v>
      </x:c>
      <x:c r="I111" s="339" t="str">
        <x:v>Medium</x:v>
      </x:c>
      <x:c r="J111" s="339" t="str">
        <x:v>Only an explicitly configured authorized override may bypass a non-statutory rule; overrides require reason and audit.</x:v>
      </x:c>
    </x:row>
    <x:row r="112">
      <x:c r="A112" s="339" t="str">
        <x:v>BR-00111</x:v>
      </x:c>
      <x:c r="B112" s="339" t="str">
        <x:v>Screen Type</x:v>
      </x:c>
      <x:c r="C112" s="339" t="str">
        <x:v>SCR-037</x:v>
      </x:c>
      <x:c r="D112" s="339" t="str">
        <x:v>Role Dashboards</x:v>
      </x:c>
      <x:c r="E112" s="339" t="str">
        <x:v>Parent Dashboard</x:v>
      </x:c>
      <x:c r="F112" s="339" t="str">
        <x:v>Dashboard integrity rule</x:v>
      </x:c>
      <x:c r="G112" s="339" t="str">
        <x:v>Displayed totals must reconcile to the same authorized source rows used by drill-down and reports.</x:v>
      </x:c>
      <x:c r="H112" s="339" t="str">
        <x:v>Domain/service validation plus UI affordances.</x:v>
      </x:c>
      <x:c r="I112" s="339" t="str">
        <x:v>High</x:v>
      </x:c>
      <x:c r="J112" s="339" t="str">
        <x:v>No silent bypass; approved overrides must be separately authorized and audited.</x:v>
      </x:c>
    </x:row>
    <x:row r="113">
      <x:c r="A113" s="339" t="str">
        <x:v>BR-00112</x:v>
      </x:c>
      <x:c r="B113" s="339" t="str">
        <x:v>Screen</x:v>
      </x:c>
      <x:c r="C113" s="339" t="str">
        <x:v>SCR-038</x:v>
      </x:c>
      <x:c r="D113" s="339" t="str">
        <x:v>Role Dashboards</x:v>
      </x:c>
      <x:c r="E113" s="339" t="str">
        <x:v>Accountant Dashboard</x:v>
      </x:c>
      <x:c r="F113" s="339" t="str">
        <x:v>Role-Based Operational Dashboards rule 1</x:v>
      </x:c>
      <x:c r="G113" s="339" t="str">
        <x:v>Drill-down counts must reconcile with the underlying filtered records.</x:v>
      </x:c>
      <x:c r="H113" s="339" t="str">
        <x:v>Enforced in service/domain layer and reflected in UI validation/action availability.</x:v>
      </x:c>
      <x:c r="I113" s="339" t="str">
        <x:v>Medium</x:v>
      </x:c>
      <x:c r="J113" s="339" t="str">
        <x:v>Only an explicitly configured authorized override may bypass a non-statutory rule; overrides require reason and audit.</x:v>
      </x:c>
    </x:row>
    <x:row r="114">
      <x:c r="A114" s="339" t="str">
        <x:v>BR-00113</x:v>
      </x:c>
      <x:c r="B114" s="339" t="str">
        <x:v>Screen</x:v>
      </x:c>
      <x:c r="C114" s="339" t="str">
        <x:v>SCR-038</x:v>
      </x:c>
      <x:c r="D114" s="339" t="str">
        <x:v>Role Dashboards</x:v>
      </x:c>
      <x:c r="E114" s="339" t="str">
        <x:v>Accountant Dashboard</x:v>
      </x:c>
      <x:c r="F114" s="339" t="str">
        <x:v>Role-Based Operational Dashboards rule 2</x:v>
      </x:c>
      <x:c r="G114" s="339" t="str">
        <x:v>Sensitive data must be masked for roles that do not require it.</x:v>
      </x:c>
      <x:c r="H114" s="339" t="str">
        <x:v>Enforced in service/domain layer and reflected in UI validation/action availability.</x:v>
      </x:c>
      <x:c r="I114" s="339" t="str">
        <x:v>Medium</x:v>
      </x:c>
      <x:c r="J114" s="339" t="str">
        <x:v>Only an explicitly configured authorized override may bypass a non-statutory rule; overrides require reason and audit.</x:v>
      </x:c>
    </x:row>
    <x:row r="115">
      <x:c r="A115" s="339" t="str">
        <x:v>BR-00114</x:v>
      </x:c>
      <x:c r="B115" s="339" t="str">
        <x:v>Screen Type</x:v>
      </x:c>
      <x:c r="C115" s="339" t="str">
        <x:v>SCR-038</x:v>
      </x:c>
      <x:c r="D115" s="339" t="str">
        <x:v>Role Dashboards</x:v>
      </x:c>
      <x:c r="E115" s="339" t="str">
        <x:v>Accountant Dashboard</x:v>
      </x:c>
      <x:c r="F115" s="339" t="str">
        <x:v>Dashboard integrity rule</x:v>
      </x:c>
      <x:c r="G115" s="339" t="str">
        <x:v>Displayed totals must reconcile to the same authorized source rows used by drill-down and reports.</x:v>
      </x:c>
      <x:c r="H115" s="339" t="str">
        <x:v>Domain/service validation plus UI affordances.</x:v>
      </x:c>
      <x:c r="I115" s="339" t="str">
        <x:v>High</x:v>
      </x:c>
      <x:c r="J115" s="339" t="str">
        <x:v>No silent bypass; approved overrides must be separately authorized and audited.</x:v>
      </x:c>
    </x:row>
    <x:row r="116">
      <x:c r="A116" s="339" t="str">
        <x:v>BR-00115</x:v>
      </x:c>
      <x:c r="B116" s="339" t="str">
        <x:v>Screen</x:v>
      </x:c>
      <x:c r="C116" s="339" t="str">
        <x:v>SCR-039</x:v>
      </x:c>
      <x:c r="D116" s="339" t="str">
        <x:v>Role Dashboards</x:v>
      </x:c>
      <x:c r="E116" s="339" t="str">
        <x:v>HR Dashboard</x:v>
      </x:c>
      <x:c r="F116" s="339" t="str">
        <x:v>Role-Based Operational Dashboards rule 1</x:v>
      </x:c>
      <x:c r="G116" s="339" t="str">
        <x:v>Sensitive data must be masked for roles that do not require it.</x:v>
      </x:c>
      <x:c r="H116" s="339" t="str">
        <x:v>Enforced in service/domain layer and reflected in UI validation/action availability.</x:v>
      </x:c>
      <x:c r="I116" s="339" t="str">
        <x:v>Medium</x:v>
      </x:c>
      <x:c r="J116" s="339" t="str">
        <x:v>Only an explicitly configured authorized override may bypass a non-statutory rule; overrides require reason and audit.</x:v>
      </x:c>
    </x:row>
    <x:row r="117">
      <x:c r="A117" s="339" t="str">
        <x:v>BR-00116</x:v>
      </x:c>
      <x:c r="B117" s="339" t="str">
        <x:v>Screen</x:v>
      </x:c>
      <x:c r="C117" s="339" t="str">
        <x:v>SCR-039</x:v>
      </x:c>
      <x:c r="D117" s="339" t="str">
        <x:v>Role Dashboards</x:v>
      </x:c>
      <x:c r="E117" s="339" t="str">
        <x:v>HR Dashboard</x:v>
      </x:c>
      <x:c r="F117" s="339" t="str">
        <x:v>Role-Based Operational Dashboards rule 2</x:v>
      </x:c>
      <x:c r="G117" s="339" t="str">
        <x:v>Dashboard metrics must use the same source-of-truth logic as their detailed reports.</x:v>
      </x:c>
      <x:c r="H117" s="339" t="str">
        <x:v>Enforced in service/domain layer and reflected in UI validation/action availability.</x:v>
      </x:c>
      <x:c r="I117" s="339" t="str">
        <x:v>Medium</x:v>
      </x:c>
      <x:c r="J117" s="339" t="str">
        <x:v>Only an explicitly configured authorized override may bypass a non-statutory rule; overrides require reason and audit.</x:v>
      </x:c>
    </x:row>
    <x:row r="118">
      <x:c r="A118" s="339" t="str">
        <x:v>BR-00117</x:v>
      </x:c>
      <x:c r="B118" s="339" t="str">
        <x:v>Screen Type</x:v>
      </x:c>
      <x:c r="C118" s="339" t="str">
        <x:v>SCR-039</x:v>
      </x:c>
      <x:c r="D118" s="339" t="str">
        <x:v>Role Dashboards</x:v>
      </x:c>
      <x:c r="E118" s="339" t="str">
        <x:v>HR Dashboard</x:v>
      </x:c>
      <x:c r="F118" s="339" t="str">
        <x:v>Dashboard integrity rule</x:v>
      </x:c>
      <x:c r="G118" s="339" t="str">
        <x:v>Displayed totals must reconcile to the same authorized source rows used by drill-down and reports.</x:v>
      </x:c>
      <x:c r="H118" s="339" t="str">
        <x:v>Domain/service validation plus UI affordances.</x:v>
      </x:c>
      <x:c r="I118" s="339" t="str">
        <x:v>High</x:v>
      </x:c>
      <x:c r="J118" s="339" t="str">
        <x:v>No silent bypass; approved overrides must be separately authorized and audited.</x:v>
      </x:c>
    </x:row>
    <x:row r="119">
      <x:c r="A119" s="339" t="str">
        <x:v>BR-00118</x:v>
      </x:c>
      <x:c r="B119" s="339" t="str">
        <x:v>Screen</x:v>
      </x:c>
      <x:c r="C119" s="339" t="str">
        <x:v>SCR-040</x:v>
      </x:c>
      <x:c r="D119" s="339" t="str">
        <x:v>Role Dashboards</x:v>
      </x:c>
      <x:c r="E119" s="339" t="str">
        <x:v>Admission Officer Dashboard</x:v>
      </x:c>
      <x:c r="F119" s="339" t="str">
        <x:v>Role-Based Operational Dashboards rule 1</x:v>
      </x:c>
      <x:c r="G119" s="339" t="str">
        <x:v>Dashboard metrics must use the same source-of-truth logic as their detailed reports.</x:v>
      </x:c>
      <x:c r="H119" s="339" t="str">
        <x:v>Enforced in service/domain layer and reflected in UI validation/action availability.</x:v>
      </x:c>
      <x:c r="I119" s="339" t="str">
        <x:v>Medium</x:v>
      </x:c>
      <x:c r="J119" s="339" t="str">
        <x:v>Only an explicitly configured authorized override may bypass a non-statutory rule; overrides require reason and audit.</x:v>
      </x:c>
    </x:row>
    <x:row r="120">
      <x:c r="A120" s="339" t="str">
        <x:v>BR-00119</x:v>
      </x:c>
      <x:c r="B120" s="339" t="str">
        <x:v>Screen</x:v>
      </x:c>
      <x:c r="C120" s="339" t="str">
        <x:v>SCR-040</x:v>
      </x:c>
      <x:c r="D120" s="339" t="str">
        <x:v>Role Dashboards</x:v>
      </x:c>
      <x:c r="E120" s="339" t="str">
        <x:v>Admission Officer Dashboard</x:v>
      </x:c>
      <x:c r="F120" s="339" t="str">
        <x:v>Role-Based Operational Dashboards rule 2</x:v>
      </x:c>
      <x:c r="G120" s="339" t="str">
        <x:v>Users can only see KPIs and records allowed by role, school, branch and class scope.</x:v>
      </x:c>
      <x:c r="H120" s="339" t="str">
        <x:v>Enforced in service/domain layer and reflected in UI validation/action availability.</x:v>
      </x:c>
      <x:c r="I120" s="339" t="str">
        <x:v>Medium</x:v>
      </x:c>
      <x:c r="J120" s="339" t="str">
        <x:v>Only an explicitly configured authorized override may bypass a non-statutory rule; overrides require reason and audit.</x:v>
      </x:c>
    </x:row>
    <x:row r="121">
      <x:c r="A121" s="339" t="str">
        <x:v>BR-00120</x:v>
      </x:c>
      <x:c r="B121" s="339" t="str">
        <x:v>Screen Type</x:v>
      </x:c>
      <x:c r="C121" s="339" t="str">
        <x:v>SCR-040</x:v>
      </x:c>
      <x:c r="D121" s="339" t="str">
        <x:v>Role Dashboards</x:v>
      </x:c>
      <x:c r="E121" s="339" t="str">
        <x:v>Admission Officer Dashboard</x:v>
      </x:c>
      <x:c r="F121" s="339" t="str">
        <x:v>Dashboard integrity rule</x:v>
      </x:c>
      <x:c r="G121" s="339" t="str">
        <x:v>Displayed totals must reconcile to the same authorized source rows used by drill-down and reports.</x:v>
      </x:c>
      <x:c r="H121" s="339" t="str">
        <x:v>Domain/service validation plus UI affordances.</x:v>
      </x:c>
      <x:c r="I121" s="339" t="str">
        <x:v>High</x:v>
      </x:c>
      <x:c r="J121" s="339" t="str">
        <x:v>No silent bypass; approved overrides must be separately authorized and audited.</x:v>
      </x:c>
    </x:row>
    <x:row r="122">
      <x:c r="A122" s="339" t="str">
        <x:v>BR-00121</x:v>
      </x:c>
      <x:c r="B122" s="339" t="str">
        <x:v>Screen</x:v>
      </x:c>
      <x:c r="C122" s="339" t="str">
        <x:v>SCR-041</x:v>
      </x:c>
      <x:c r="D122" s="339" t="str">
        <x:v>Role Dashboards</x:v>
      </x:c>
      <x:c r="E122" s="339" t="str">
        <x:v>Transport Manager Dashboard</x:v>
      </x:c>
      <x:c r="F122" s="339" t="str">
        <x:v>Role-Based Operational Dashboards rule 1</x:v>
      </x:c>
      <x:c r="G122" s="339" t="str">
        <x:v>Users can only see KPIs and records allowed by role, school, branch and class scope.</x:v>
      </x:c>
      <x:c r="H122" s="339" t="str">
        <x:v>Enforced in service/domain layer and reflected in UI validation/action availability.</x:v>
      </x:c>
      <x:c r="I122" s="339" t="str">
        <x:v>Medium</x:v>
      </x:c>
      <x:c r="J122" s="339" t="str">
        <x:v>Only an explicitly configured authorized override may bypass a non-statutory rule; overrides require reason and audit.</x:v>
      </x:c>
    </x:row>
    <x:row r="123">
      <x:c r="A123" s="339" t="str">
        <x:v>BR-00122</x:v>
      </x:c>
      <x:c r="B123" s="339" t="str">
        <x:v>Screen</x:v>
      </x:c>
      <x:c r="C123" s="339" t="str">
        <x:v>SCR-041</x:v>
      </x:c>
      <x:c r="D123" s="339" t="str">
        <x:v>Role Dashboards</x:v>
      </x:c>
      <x:c r="E123" s="339" t="str">
        <x:v>Transport Manager Dashboard</x:v>
      </x:c>
      <x:c r="F123" s="339" t="str">
        <x:v>Role-Based Operational Dashboards rule 2</x:v>
      </x:c>
      <x:c r="G123" s="339" t="str">
        <x:v>Metric timestamps and filter context must be visible where freshness matters.</x:v>
      </x:c>
      <x:c r="H123" s="339" t="str">
        <x:v>Enforced in service/domain layer and reflected in UI validation/action availability.</x:v>
      </x:c>
      <x:c r="I123" s="339" t="str">
        <x:v>Medium</x:v>
      </x:c>
      <x:c r="J123" s="339" t="str">
        <x:v>Only an explicitly configured authorized override may bypass a non-statutory rule; overrides require reason and audit.</x:v>
      </x:c>
    </x:row>
    <x:row r="124">
      <x:c r="A124" s="339" t="str">
        <x:v>BR-00123</x:v>
      </x:c>
      <x:c r="B124" s="339" t="str">
        <x:v>Screen Type</x:v>
      </x:c>
      <x:c r="C124" s="339" t="str">
        <x:v>SCR-041</x:v>
      </x:c>
      <x:c r="D124" s="339" t="str">
        <x:v>Role Dashboards</x:v>
      </x:c>
      <x:c r="E124" s="339" t="str">
        <x:v>Transport Manager Dashboard</x:v>
      </x:c>
      <x:c r="F124" s="339" t="str">
        <x:v>Dashboard integrity rule</x:v>
      </x:c>
      <x:c r="G124" s="339" t="str">
        <x:v>Displayed totals must reconcile to the same authorized source rows used by drill-down and reports.</x:v>
      </x:c>
      <x:c r="H124" s="339" t="str">
        <x:v>Domain/service validation plus UI affordances.</x:v>
      </x:c>
      <x:c r="I124" s="339" t="str">
        <x:v>High</x:v>
      </x:c>
      <x:c r="J124" s="339" t="str">
        <x:v>No silent bypass; approved overrides must be separately authorized and audited.</x:v>
      </x:c>
    </x:row>
    <x:row r="125">
      <x:c r="A125" s="339" t="str">
        <x:v>BR-00124</x:v>
      </x:c>
      <x:c r="B125" s="339" t="str">
        <x:v>Screen</x:v>
      </x:c>
      <x:c r="C125" s="339" t="str">
        <x:v>SCR-042</x:v>
      </x:c>
      <x:c r="D125" s="339" t="str">
        <x:v>Role Dashboards</x:v>
      </x:c>
      <x:c r="E125" s="339" t="str">
        <x:v>Librarian Dashboard</x:v>
      </x:c>
      <x:c r="F125" s="339" t="str">
        <x:v>Role-Based Operational Dashboards rule 1</x:v>
      </x:c>
      <x:c r="G125" s="339" t="str">
        <x:v>Metric timestamps and filter context must be visible where freshness matters.</x:v>
      </x:c>
      <x:c r="H125" s="339" t="str">
        <x:v>Enforced in service/domain layer and reflected in UI validation/action availability.</x:v>
      </x:c>
      <x:c r="I125" s="339" t="str">
        <x:v>Medium</x:v>
      </x:c>
      <x:c r="J125" s="339" t="str">
        <x:v>Only an explicitly configured authorized override may bypass a non-statutory rule; overrides require reason and audit.</x:v>
      </x:c>
    </x:row>
    <x:row r="126">
      <x:c r="A126" s="339" t="str">
        <x:v>BR-00125</x:v>
      </x:c>
      <x:c r="B126" s="339" t="str">
        <x:v>Screen</x:v>
      </x:c>
      <x:c r="C126" s="339" t="str">
        <x:v>SCR-042</x:v>
      </x:c>
      <x:c r="D126" s="339" t="str">
        <x:v>Role Dashboards</x:v>
      </x:c>
      <x:c r="E126" s="339" t="str">
        <x:v>Librarian Dashboard</x:v>
      </x:c>
      <x:c r="F126" s="339" t="str">
        <x:v>Role-Based Operational Dashboards rule 2</x:v>
      </x:c>
      <x:c r="G126" s="339" t="str">
        <x:v>Drill-down counts must reconcile with the underlying filtered records.</x:v>
      </x:c>
      <x:c r="H126" s="339" t="str">
        <x:v>Enforced in service/domain layer and reflected in UI validation/action availability.</x:v>
      </x:c>
      <x:c r="I126" s="339" t="str">
        <x:v>Medium</x:v>
      </x:c>
      <x:c r="J126" s="339" t="str">
        <x:v>Only an explicitly configured authorized override may bypass a non-statutory rule; overrides require reason and audit.</x:v>
      </x:c>
    </x:row>
    <x:row r="127">
      <x:c r="A127" s="339" t="str">
        <x:v>BR-00126</x:v>
      </x:c>
      <x:c r="B127" s="339" t="str">
        <x:v>Screen Type</x:v>
      </x:c>
      <x:c r="C127" s="339" t="str">
        <x:v>SCR-042</x:v>
      </x:c>
      <x:c r="D127" s="339" t="str">
        <x:v>Role Dashboards</x:v>
      </x:c>
      <x:c r="E127" s="339" t="str">
        <x:v>Librarian Dashboard</x:v>
      </x:c>
      <x:c r="F127" s="339" t="str">
        <x:v>Dashboard integrity rule</x:v>
      </x:c>
      <x:c r="G127" s="339" t="str">
        <x:v>Displayed totals must reconcile to the same authorized source rows used by drill-down and reports.</x:v>
      </x:c>
      <x:c r="H127" s="339" t="str">
        <x:v>Domain/service validation plus UI affordances.</x:v>
      </x:c>
      <x:c r="I127" s="339" t="str">
        <x:v>High</x:v>
      </x:c>
      <x:c r="J127" s="339" t="str">
        <x:v>No silent bypass; approved overrides must be separately authorized and audited.</x:v>
      </x:c>
    </x:row>
    <x:row r="128">
      <x:c r="A128" s="339" t="str">
        <x:v>BR-00127</x:v>
      </x:c>
      <x:c r="B128" s="339" t="str">
        <x:v>Screen</x:v>
      </x:c>
      <x:c r="C128" s="339" t="str">
        <x:v>SCR-043</x:v>
      </x:c>
      <x:c r="D128" s="339" t="str">
        <x:v>Admissions &amp; Enquiries</x:v>
      </x:c>
      <x:c r="E128" s="339" t="str">
        <x:v>Admission / Enquiry Dashboard</x:v>
      </x:c>
      <x:c r="F128" s="339" t="str">
        <x:v>Admissions &amp; Enquiry Lifecycle rule 1</x:v>
      </x:c>
      <x:c r="G128" s="339" t="str">
        <x:v>An admission number must be unique within the school's numbering scope.</x:v>
      </x:c>
      <x:c r="H128" s="339" t="str">
        <x:v>Enforced in service/domain layer and reflected in UI validation/action availability.</x:v>
      </x:c>
      <x:c r="I128" s="339" t="str">
        <x:v>Medium</x:v>
      </x:c>
      <x:c r="J128" s="339" t="str">
        <x:v>Only an explicitly configured authorized override may bypass a non-statutory rule; overrides require reason and audit.</x:v>
      </x:c>
    </x:row>
    <x:row r="129">
      <x:c r="A129" s="339" t="str">
        <x:v>BR-00128</x:v>
      </x:c>
      <x:c r="B129" s="339" t="str">
        <x:v>Screen</x:v>
      </x:c>
      <x:c r="C129" s="339" t="str">
        <x:v>SCR-043</x:v>
      </x:c>
      <x:c r="D129" s="339" t="str">
        <x:v>Admissions &amp; Enquiries</x:v>
      </x:c>
      <x:c r="E129" s="339" t="str">
        <x:v>Admission / Enquiry Dashboard</x:v>
      </x:c>
      <x:c r="F129" s="339" t="str">
        <x:v>Admissions &amp; Enquiry Lifecycle rule 2</x:v>
      </x:c>
      <x:c r="G129" s="339" t="str">
        <x:v>Student/guardian master records are created only after admission confirmation or an explicitly configured pre-admission stage.</x:v>
      </x:c>
      <x:c r="H129" s="339" t="str">
        <x:v>Enforced in service/domain layer and reflected in UI validation/action availability.</x:v>
      </x:c>
      <x:c r="I129" s="339" t="str">
        <x:v>Medium</x:v>
      </x:c>
      <x:c r="J129" s="339" t="str">
        <x:v>Only an explicitly configured authorized override may bypass a non-statutory rule; overrides require reason and audit.</x:v>
      </x:c>
    </x:row>
    <x:row r="130">
      <x:c r="A130" s="339" t="str">
        <x:v>BR-00129</x:v>
      </x:c>
      <x:c r="B130" s="339" t="str">
        <x:v>Screen Type</x:v>
      </x:c>
      <x:c r="C130" s="339" t="str">
        <x:v>SCR-043</x:v>
      </x:c>
      <x:c r="D130" s="339" t="str">
        <x:v>Admissions &amp; Enquiries</x:v>
      </x:c>
      <x:c r="E130" s="339" t="str">
        <x:v>Admission / Enquiry Dashboard</x:v>
      </x:c>
      <x:c r="F130" s="339" t="str">
        <x:v>Dashboard integrity rule</x:v>
      </x:c>
      <x:c r="G130" s="339" t="str">
        <x:v>Displayed totals must reconcile to the same authorized source rows used by drill-down and reports.</x:v>
      </x:c>
      <x:c r="H130" s="339" t="str">
        <x:v>Domain/service validation plus UI affordances.</x:v>
      </x:c>
      <x:c r="I130" s="339" t="str">
        <x:v>High</x:v>
      </x:c>
      <x:c r="J130" s="339" t="str">
        <x:v>No silent bypass; approved overrides must be separately authorized and audited.</x:v>
      </x:c>
    </x:row>
    <x:row r="131">
      <x:c r="A131" s="339" t="str">
        <x:v>BR-00130</x:v>
      </x:c>
      <x:c r="B131" s="339" t="str">
        <x:v>Screen</x:v>
      </x:c>
      <x:c r="C131" s="339" t="str">
        <x:v>SCR-044</x:v>
      </x:c>
      <x:c r="D131" s="339" t="str">
        <x:v>Admissions &amp; Enquiries</x:v>
      </x:c>
      <x:c r="E131" s="339" t="str">
        <x:v>Enquiry List</x:v>
      </x:c>
      <x:c r="F131" s="339" t="str">
        <x:v>Admissions &amp; Enquiry Lifecycle rule 1</x:v>
      </x:c>
      <x:c r="G131" s="339" t="str">
        <x:v>Student/guardian master records are created only after admission confirmation or an explicitly configured pre-admission stage.</x:v>
      </x:c>
      <x:c r="H131" s="339" t="str">
        <x:v>Enforced in service/domain layer and reflected in UI validation/action availability.</x:v>
      </x:c>
      <x:c r="I131" s="339" t="str">
        <x:v>Medium</x:v>
      </x:c>
      <x:c r="J131" s="339" t="str">
        <x:v>Only an explicitly configured authorized override may bypass a non-statutory rule; overrides require reason and audit.</x:v>
      </x:c>
    </x:row>
    <x:row r="132">
      <x:c r="A132" s="339" t="str">
        <x:v>BR-00131</x:v>
      </x:c>
      <x:c r="B132" s="339" t="str">
        <x:v>Screen</x:v>
      </x:c>
      <x:c r="C132" s="339" t="str">
        <x:v>SCR-044</x:v>
      </x:c>
      <x:c r="D132" s="339" t="str">
        <x:v>Admissions &amp; Enquiries</x:v>
      </x:c>
      <x:c r="E132" s="339" t="str">
        <x:v>Enquiry List</x:v>
      </x:c>
      <x:c r="F132" s="339" t="str">
        <x:v>Admissions &amp; Enquiry Lifecycle rule 2</x:v>
      </x:c>
      <x:c r="G132" s="339" t="str">
        <x:v>A confirmed admission requires configured mandatory documents, required approvals and seat availability.</x:v>
      </x:c>
      <x:c r="H132" s="339" t="str">
        <x:v>Enforced in service/domain layer and reflected in UI validation/action availability.</x:v>
      </x:c>
      <x:c r="I132" s="339" t="str">
        <x:v>Medium</x:v>
      </x:c>
      <x:c r="J132" s="339" t="str">
        <x:v>Only an explicitly configured authorized override may bypass a non-statutory rule; overrides require reason and audit.</x:v>
      </x:c>
    </x:row>
    <x:row r="133">
      <x:c r="A133" s="339" t="str">
        <x:v>BR-00132</x:v>
      </x:c>
      <x:c r="B133" s="339" t="str">
        <x:v>Screen Type</x:v>
      </x:c>
      <x:c r="C133" s="339" t="str">
        <x:v>SCR-044</x:v>
      </x:c>
      <x:c r="D133" s="339" t="str">
        <x:v>Admissions &amp; Enquiries</x:v>
      </x:c>
      <x:c r="E133" s="339" t="str">
        <x:v>Enquiry List</x:v>
      </x:c>
      <x:c r="F133" s="339" t="str">
        <x:v>List / Management integrity rule</x:v>
      </x:c>
      <x:c r="G133" s="339" t="str">
        <x:v>Search, filters, exports and row actions must preserve the same authorization scope.</x:v>
      </x:c>
      <x:c r="H133" s="339" t="str">
        <x:v>Domain/service validation plus UI affordances.</x:v>
      </x:c>
      <x:c r="I133" s="339" t="str">
        <x:v>High</x:v>
      </x:c>
      <x:c r="J133" s="339" t="str">
        <x:v>No silent bypass; approved overrides must be separately authorized and audited.</x:v>
      </x:c>
    </x:row>
    <x:row r="134">
      <x:c r="A134" s="339" t="str">
        <x:v>BR-00133</x:v>
      </x:c>
      <x:c r="B134" s="339" t="str">
        <x:v>Screen</x:v>
      </x:c>
      <x:c r="C134" s="339" t="str">
        <x:v>SCR-045</x:v>
      </x:c>
      <x:c r="D134" s="339" t="str">
        <x:v>Admissions &amp; Enquiries</x:v>
      </x:c>
      <x:c r="E134" s="339" t="str">
        <x:v>Add Enquiry</x:v>
      </x:c>
      <x:c r="F134" s="339" t="str">
        <x:v>Admissions &amp; Enquiry Lifecycle rule 1</x:v>
      </x:c>
      <x:c r="G134" s="339" t="str">
        <x:v>A confirmed admission requires configured mandatory documents, required approvals and seat availability.</x:v>
      </x:c>
      <x:c r="H134" s="339" t="str">
        <x:v>Enforced in service/domain layer and reflected in UI validation/action availability.</x:v>
      </x:c>
      <x:c r="I134" s="339" t="str">
        <x:v>Medium</x:v>
      </x:c>
      <x:c r="J134" s="339" t="str">
        <x:v>Only an explicitly configured authorized override may bypass a non-statutory rule; overrides require reason and audit.</x:v>
      </x:c>
    </x:row>
    <x:row r="135">
      <x:c r="A135" s="339" t="str">
        <x:v>BR-00134</x:v>
      </x:c>
      <x:c r="B135" s="339" t="str">
        <x:v>Screen</x:v>
      </x:c>
      <x:c r="C135" s="339" t="str">
        <x:v>SCR-045</x:v>
      </x:c>
      <x:c r="D135" s="339" t="str">
        <x:v>Admissions &amp; Enquiries</x:v>
      </x:c>
      <x:c r="E135" s="339" t="str">
        <x:v>Add Enquiry</x:v>
      </x:c>
      <x:c r="F135" s="339" t="str">
        <x:v>Admissions &amp; Enquiry Lifecycle rule 2</x:v>
      </x:c>
      <x:c r="G135" s="339" t="str">
        <x:v>Potential duplicate applicants must be flagged using configured identity/contact matching rules.</x:v>
      </x:c>
      <x:c r="H135" s="339" t="str">
        <x:v>Enforced in service/domain layer and reflected in UI validation/action availability.</x:v>
      </x:c>
      <x:c r="I135" s="339" t="str">
        <x:v>Medium</x:v>
      </x:c>
      <x:c r="J135" s="339" t="str">
        <x:v>Only an explicitly configured authorized override may bypass a non-statutory rule; overrides require reason and audit.</x:v>
      </x:c>
    </x:row>
    <x:row r="136">
      <x:c r="A136" s="339" t="str">
        <x:v>BR-00135</x:v>
      </x:c>
      <x:c r="B136" s="339" t="str">
        <x:v>Screen Type</x:v>
      </x:c>
      <x:c r="C136" s="339" t="str">
        <x:v>SCR-045</x:v>
      </x:c>
      <x:c r="D136" s="339" t="str">
        <x:v>Admissions &amp; Enquiries</x:v>
      </x:c>
      <x:c r="E136" s="339" t="str">
        <x:v>Add Enquiry</x:v>
      </x:c>
      <x:c r="F136" s="339" t="str">
        <x:v>Create / Transaction integrity rule</x:v>
      </x:c>
      <x:c r="G136" s="339" t="str">
        <x:v>A record is created only after all blocking validations, duplicate checks and reference checks pass.</x:v>
      </x:c>
      <x:c r="H136" s="339" t="str">
        <x:v>Domain/service validation plus UI affordances.</x:v>
      </x:c>
      <x:c r="I136" s="339" t="str">
        <x:v>High</x:v>
      </x:c>
      <x:c r="J136" s="339" t="str">
        <x:v>No silent bypass; approved overrides must be separately authorized and audited.</x:v>
      </x:c>
    </x:row>
    <x:row r="137">
      <x:c r="A137" s="339" t="str">
        <x:v>BR-00136</x:v>
      </x:c>
      <x:c r="B137" s="339" t="str">
        <x:v>Screen</x:v>
      </x:c>
      <x:c r="C137" s="339" t="str">
        <x:v>SCR-046</x:v>
      </x:c>
      <x:c r="D137" s="339" t="str">
        <x:v>Admissions &amp; Enquiries</x:v>
      </x:c>
      <x:c r="E137" s="339" t="str">
        <x:v>Enquiry Details</x:v>
      </x:c>
      <x:c r="F137" s="339" t="str">
        <x:v>Admissions &amp; Enquiry Lifecycle rule 1</x:v>
      </x:c>
      <x:c r="G137" s="339" t="str">
        <x:v>Potential duplicate applicants must be flagged using configured identity/contact matching rules.</x:v>
      </x:c>
      <x:c r="H137" s="339" t="str">
        <x:v>Enforced in service/domain layer and reflected in UI validation/action availability.</x:v>
      </x:c>
      <x:c r="I137" s="339" t="str">
        <x:v>Medium</x:v>
      </x:c>
      <x:c r="J137" s="339" t="str">
        <x:v>Only an explicitly configured authorized override may bypass a non-statutory rule; overrides require reason and audit.</x:v>
      </x:c>
    </x:row>
    <x:row r="138">
      <x:c r="A138" s="339" t="str">
        <x:v>BR-00137</x:v>
      </x:c>
      <x:c r="B138" s="339" t="str">
        <x:v>Screen</x:v>
      </x:c>
      <x:c r="C138" s="339" t="str">
        <x:v>SCR-046</x:v>
      </x:c>
      <x:c r="D138" s="339" t="str">
        <x:v>Admissions &amp; Enquiries</x:v>
      </x:c>
      <x:c r="E138" s="339" t="str">
        <x:v>Enquiry Details</x:v>
      </x:c>
      <x:c r="F138" s="339" t="str">
        <x:v>Admissions &amp; Enquiry Lifecycle rule 2</x:v>
      </x:c>
      <x:c r="G138" s="339" t="str">
        <x:v>Application status transitions must follow the defined admissions workflow and authority matrix.</x:v>
      </x:c>
      <x:c r="H138" s="339" t="str">
        <x:v>Enforced in service/domain layer and reflected in UI validation/action availability.</x:v>
      </x:c>
      <x:c r="I138" s="339" t="str">
        <x:v>Medium</x:v>
      </x:c>
      <x:c r="J138" s="339" t="str">
        <x:v>Only an explicitly configured authorized override may bypass a non-statutory rule; overrides require reason and audit.</x:v>
      </x:c>
    </x:row>
    <x:row r="139">
      <x:c r="A139" s="339" t="str">
        <x:v>BR-00138</x:v>
      </x:c>
      <x:c r="B139" s="339" t="str">
        <x:v>Screen Type</x:v>
      </x:c>
      <x:c r="C139" s="339" t="str">
        <x:v>SCR-046</x:v>
      </x:c>
      <x:c r="D139" s="339" t="str">
        <x:v>Admissions &amp; Enquiries</x:v>
      </x:c>
      <x:c r="E139" s="339" t="str">
        <x:v>Enquiry Details</x:v>
      </x:c>
      <x:c r="F139" s="339" t="str">
        <x:v>Detail / Profile integrity rule</x:v>
      </x:c>
      <x:c r="G139" s="339" t="str">
        <x:v>Concurrent updates must not silently overwrite newer data; material edits are audited.</x:v>
      </x:c>
      <x:c r="H139" s="339" t="str">
        <x:v>Domain/service validation plus UI affordances.</x:v>
      </x:c>
      <x:c r="I139" s="339" t="str">
        <x:v>High</x:v>
      </x:c>
      <x:c r="J139" s="339" t="str">
        <x:v>No silent bypass; approved overrides must be separately authorized and audited.</x:v>
      </x:c>
    </x:row>
    <x:row r="140">
      <x:c r="A140" s="339" t="str">
        <x:v>BR-00139</x:v>
      </x:c>
      <x:c r="B140" s="339" t="str">
        <x:v>Screen</x:v>
      </x:c>
      <x:c r="C140" s="339" t="str">
        <x:v>SCR-047</x:v>
      </x:c>
      <x:c r="D140" s="339" t="str">
        <x:v>Admissions &amp; Enquiries</x:v>
      </x:c>
      <x:c r="E140" s="339" t="str">
        <x:v>Follow-up Calendar</x:v>
      </x:c>
      <x:c r="F140" s="339" t="str">
        <x:v>Admissions &amp; Enquiry Lifecycle rule 1</x:v>
      </x:c>
      <x:c r="G140" s="339" t="str">
        <x:v>Application status transitions must follow the defined admissions workflow and authority matrix.</x:v>
      </x:c>
      <x:c r="H140" s="339" t="str">
        <x:v>Enforced in service/domain layer and reflected in UI validation/action availability.</x:v>
      </x:c>
      <x:c r="I140" s="339" t="str">
        <x:v>Medium</x:v>
      </x:c>
      <x:c r="J140" s="339" t="str">
        <x:v>Only an explicitly configured authorized override may bypass a non-statutory rule; overrides require reason and audit.</x:v>
      </x:c>
    </x:row>
    <x:row r="141">
      <x:c r="A141" s="339" t="str">
        <x:v>BR-00140</x:v>
      </x:c>
      <x:c r="B141" s="339" t="str">
        <x:v>Screen</x:v>
      </x:c>
      <x:c r="C141" s="339" t="str">
        <x:v>SCR-047</x:v>
      </x:c>
      <x:c r="D141" s="339" t="str">
        <x:v>Admissions &amp; Enquiries</x:v>
      </x:c>
      <x:c r="E141" s="339" t="str">
        <x:v>Follow-up Calendar</x:v>
      </x:c>
      <x:c r="F141" s="339" t="str">
        <x:v>Admissions &amp; Enquiry Lifecycle rule 2</x:v>
      </x:c>
      <x:c r="G141" s="339" t="str">
        <x:v>An admission number must be unique within the school's numbering scope.</x:v>
      </x:c>
      <x:c r="H141" s="339" t="str">
        <x:v>Enforced in service/domain layer and reflected in UI validation/action availability.</x:v>
      </x:c>
      <x:c r="I141" s="339" t="str">
        <x:v>Medium</x:v>
      </x:c>
      <x:c r="J141" s="339" t="str">
        <x:v>Only an explicitly configured authorized override may bypass a non-statutory rule; overrides require reason and audit.</x:v>
      </x:c>
    </x:row>
    <x:row r="142">
      <x:c r="A142" s="339" t="str">
        <x:v>BR-00141</x:v>
      </x:c>
      <x:c r="B142" s="339" t="str">
        <x:v>Screen Type</x:v>
      </x:c>
      <x:c r="C142" s="339" t="str">
        <x:v>SCR-047</x:v>
      </x:c>
      <x:c r="D142" s="339" t="str">
        <x:v>Admissions &amp; Enquiries</x:v>
      </x:c>
      <x:c r="E142" s="339" t="str">
        <x:v>Follow-up Calendar</x:v>
      </x:c>
      <x:c r="F142" s="339" t="str">
        <x:v>Calendar / Schedule integrity rule</x:v>
      </x:c>
      <x:c r="G142" s="339" t="str">
        <x:v>Conflicting active resource/time allocations are blocked or require explicit authorized override.</x:v>
      </x:c>
      <x:c r="H142" s="339" t="str">
        <x:v>Domain/service validation plus UI affordances.</x:v>
      </x:c>
      <x:c r="I142" s="339" t="str">
        <x:v>High</x:v>
      </x:c>
      <x:c r="J142" s="339" t="str">
        <x:v>No silent bypass; approved overrides must be separately authorized and audited.</x:v>
      </x:c>
    </x:row>
    <x:row r="143">
      <x:c r="A143" s="339" t="str">
        <x:v>BR-00142</x:v>
      </x:c>
      <x:c r="B143" s="339" t="str">
        <x:v>Screen</x:v>
      </x:c>
      <x:c r="C143" s="339" t="str">
        <x:v>SCR-048</x:v>
      </x:c>
      <x:c r="D143" s="339" t="str">
        <x:v>Admissions &amp; Enquiries</x:v>
      </x:c>
      <x:c r="E143" s="339" t="str">
        <x:v>Admission Applications</x:v>
      </x:c>
      <x:c r="F143" s="339" t="str">
        <x:v>Admissions &amp; Enquiry Lifecycle rule 1</x:v>
      </x:c>
      <x:c r="G143" s="339" t="str">
        <x:v>An admission number must be unique within the school's numbering scope.</x:v>
      </x:c>
      <x:c r="H143" s="339" t="str">
        <x:v>Enforced in service/domain layer and reflected in UI validation/action availability.</x:v>
      </x:c>
      <x:c r="I143" s="339" t="str">
        <x:v>Medium</x:v>
      </x:c>
      <x:c r="J143" s="339" t="str">
        <x:v>Only an explicitly configured authorized override may bypass a non-statutory rule; overrides require reason and audit.</x:v>
      </x:c>
    </x:row>
    <x:row r="144">
      <x:c r="A144" s="339" t="str">
        <x:v>BR-00143</x:v>
      </x:c>
      <x:c r="B144" s="339" t="str">
        <x:v>Screen</x:v>
      </x:c>
      <x:c r="C144" s="339" t="str">
        <x:v>SCR-048</x:v>
      </x:c>
      <x:c r="D144" s="339" t="str">
        <x:v>Admissions &amp; Enquiries</x:v>
      </x:c>
      <x:c r="E144" s="339" t="str">
        <x:v>Admission Applications</x:v>
      </x:c>
      <x:c r="F144" s="339" t="str">
        <x:v>Admissions &amp; Enquiry Lifecycle rule 2</x:v>
      </x:c>
      <x:c r="G144" s="339" t="str">
        <x:v>Student/guardian master records are created only after admission confirmation or an explicitly configured pre-admission stage.</x:v>
      </x:c>
      <x:c r="H144" s="339" t="str">
        <x:v>Enforced in service/domain layer and reflected in UI validation/action availability.</x:v>
      </x:c>
      <x:c r="I144" s="339" t="str">
        <x:v>Medium</x:v>
      </x:c>
      <x:c r="J144" s="339" t="str">
        <x:v>Only an explicitly configured authorized override may bypass a non-statutory rule; overrides require reason and audit.</x:v>
      </x:c>
    </x:row>
    <x:row r="145">
      <x:c r="A145" s="339" t="str">
        <x:v>BR-00144</x:v>
      </x:c>
      <x:c r="B145" s="339" t="str">
        <x:v>Screen Type</x:v>
      </x:c>
      <x:c r="C145" s="339" t="str">
        <x:v>SCR-048</x:v>
      </x:c>
      <x:c r="D145" s="339" t="str">
        <x:v>Admissions &amp; Enquiries</x:v>
      </x:c>
      <x:c r="E145" s="339" t="str">
        <x:v>Admission Applications</x:v>
      </x:c>
      <x:c r="F145" s="339" t="str">
        <x:v>List / Management integrity rule</x:v>
      </x:c>
      <x:c r="G145" s="339" t="str">
        <x:v>Search, filters, exports and row actions must preserve the same authorization scope.</x:v>
      </x:c>
      <x:c r="H145" s="339" t="str">
        <x:v>Domain/service validation plus UI affordances.</x:v>
      </x:c>
      <x:c r="I145" s="339" t="str">
        <x:v>High</x:v>
      </x:c>
      <x:c r="J145" s="339" t="str">
        <x:v>No silent bypass; approved overrides must be separately authorized and audited.</x:v>
      </x:c>
    </x:row>
    <x:row r="146">
      <x:c r="A146" s="339" t="str">
        <x:v>BR-00145</x:v>
      </x:c>
      <x:c r="B146" s="339" t="str">
        <x:v>Screen</x:v>
      </x:c>
      <x:c r="C146" s="339" t="str">
        <x:v>SCR-049</x:v>
      </x:c>
      <x:c r="D146" s="339" t="str">
        <x:v>Admissions &amp; Enquiries</x:v>
      </x:c>
      <x:c r="E146" s="339" t="str">
        <x:v>New Admission Application</x:v>
      </x:c>
      <x:c r="F146" s="339" t="str">
        <x:v>Admissions &amp; Enquiry Lifecycle rule 1</x:v>
      </x:c>
      <x:c r="G146" s="339" t="str">
        <x:v>Student/guardian master records are created only after admission confirmation or an explicitly configured pre-admission stage.</x:v>
      </x:c>
      <x:c r="H146" s="339" t="str">
        <x:v>Enforced in service/domain layer and reflected in UI validation/action availability.</x:v>
      </x:c>
      <x:c r="I146" s="339" t="str">
        <x:v>Medium</x:v>
      </x:c>
      <x:c r="J146" s="339" t="str">
        <x:v>Only an explicitly configured authorized override may bypass a non-statutory rule; overrides require reason and audit.</x:v>
      </x:c>
    </x:row>
    <x:row r="147">
      <x:c r="A147" s="339" t="str">
        <x:v>BR-00146</x:v>
      </x:c>
      <x:c r="B147" s="339" t="str">
        <x:v>Screen</x:v>
      </x:c>
      <x:c r="C147" s="339" t="str">
        <x:v>SCR-049</x:v>
      </x:c>
      <x:c r="D147" s="339" t="str">
        <x:v>Admissions &amp; Enquiries</x:v>
      </x:c>
      <x:c r="E147" s="339" t="str">
        <x:v>New Admission Application</x:v>
      </x:c>
      <x:c r="F147" s="339" t="str">
        <x:v>Admissions &amp; Enquiry Lifecycle rule 2</x:v>
      </x:c>
      <x:c r="G147" s="339" t="str">
        <x:v>A confirmed admission requires configured mandatory documents, required approvals and seat availability.</x:v>
      </x:c>
      <x:c r="H147" s="339" t="str">
        <x:v>Enforced in service/domain layer and reflected in UI validation/action availability.</x:v>
      </x:c>
      <x:c r="I147" s="339" t="str">
        <x:v>Medium</x:v>
      </x:c>
      <x:c r="J147" s="339" t="str">
        <x:v>Only an explicitly configured authorized override may bypass a non-statutory rule; overrides require reason and audit.</x:v>
      </x:c>
    </x:row>
    <x:row r="148">
      <x:c r="A148" s="339" t="str">
        <x:v>BR-00147</x:v>
      </x:c>
      <x:c r="B148" s="339" t="str">
        <x:v>Screen Type</x:v>
      </x:c>
      <x:c r="C148" s="339" t="str">
        <x:v>SCR-049</x:v>
      </x:c>
      <x:c r="D148" s="339" t="str">
        <x:v>Admissions &amp; Enquiries</x:v>
      </x:c>
      <x:c r="E148" s="339" t="str">
        <x:v>New Admission Application</x:v>
      </x:c>
      <x:c r="F148" s="339" t="str">
        <x:v>Create / Transaction integrity rule</x:v>
      </x:c>
      <x:c r="G148" s="339" t="str">
        <x:v>A record is created only after all blocking validations, duplicate checks and reference checks pass.</x:v>
      </x:c>
      <x:c r="H148" s="339" t="str">
        <x:v>Domain/service validation plus UI affordances.</x:v>
      </x:c>
      <x:c r="I148" s="339" t="str">
        <x:v>High</x:v>
      </x:c>
      <x:c r="J148" s="339" t="str">
        <x:v>No silent bypass; approved overrides must be separately authorized and audited.</x:v>
      </x:c>
    </x:row>
    <x:row r="149">
      <x:c r="A149" s="339" t="str">
        <x:v>BR-00148</x:v>
      </x:c>
      <x:c r="B149" s="339" t="str">
        <x:v>Screen</x:v>
      </x:c>
      <x:c r="C149" s="339" t="str">
        <x:v>SCR-050</x:v>
      </x:c>
      <x:c r="D149" s="339" t="str">
        <x:v>Admissions &amp; Enquiries</x:v>
      </x:c>
      <x:c r="E149" s="339" t="str">
        <x:v>Application Details</x:v>
      </x:c>
      <x:c r="F149" s="339" t="str">
        <x:v>Admissions &amp; Enquiry Lifecycle rule 1</x:v>
      </x:c>
      <x:c r="G149" s="339" t="str">
        <x:v>A confirmed admission requires configured mandatory documents, required approvals and seat availability.</x:v>
      </x:c>
      <x:c r="H149" s="339" t="str">
        <x:v>Enforced in service/domain layer and reflected in UI validation/action availability.</x:v>
      </x:c>
      <x:c r="I149" s="339" t="str">
        <x:v>Medium</x:v>
      </x:c>
      <x:c r="J149" s="339" t="str">
        <x:v>Only an explicitly configured authorized override may bypass a non-statutory rule; overrides require reason and audit.</x:v>
      </x:c>
    </x:row>
    <x:row r="150">
      <x:c r="A150" s="339" t="str">
        <x:v>BR-00149</x:v>
      </x:c>
      <x:c r="B150" s="339" t="str">
        <x:v>Screen</x:v>
      </x:c>
      <x:c r="C150" s="339" t="str">
        <x:v>SCR-050</x:v>
      </x:c>
      <x:c r="D150" s="339" t="str">
        <x:v>Admissions &amp; Enquiries</x:v>
      </x:c>
      <x:c r="E150" s="339" t="str">
        <x:v>Application Details</x:v>
      </x:c>
      <x:c r="F150" s="339" t="str">
        <x:v>Admissions &amp; Enquiry Lifecycle rule 2</x:v>
      </x:c>
      <x:c r="G150" s="339" t="str">
        <x:v>Potential duplicate applicants must be flagged using configured identity/contact matching rules.</x:v>
      </x:c>
      <x:c r="H150" s="339" t="str">
        <x:v>Enforced in service/domain layer and reflected in UI validation/action availability.</x:v>
      </x:c>
      <x:c r="I150" s="339" t="str">
        <x:v>Medium</x:v>
      </x:c>
      <x:c r="J150" s="339" t="str">
        <x:v>Only an explicitly configured authorized override may bypass a non-statutory rule; overrides require reason and audit.</x:v>
      </x:c>
    </x:row>
    <x:row r="151">
      <x:c r="A151" s="339" t="str">
        <x:v>BR-00150</x:v>
      </x:c>
      <x:c r="B151" s="339" t="str">
        <x:v>Screen Type</x:v>
      </x:c>
      <x:c r="C151" s="339" t="str">
        <x:v>SCR-050</x:v>
      </x:c>
      <x:c r="D151" s="339" t="str">
        <x:v>Admissions &amp; Enquiries</x:v>
      </x:c>
      <x:c r="E151" s="339" t="str">
        <x:v>Application Details</x:v>
      </x:c>
      <x:c r="F151" s="339" t="str">
        <x:v>Detail / Profile integrity rule</x:v>
      </x:c>
      <x:c r="G151" s="339" t="str">
        <x:v>Concurrent updates must not silently overwrite newer data; material edits are audited.</x:v>
      </x:c>
      <x:c r="H151" s="339" t="str">
        <x:v>Domain/service validation plus UI affordances.</x:v>
      </x:c>
      <x:c r="I151" s="339" t="str">
        <x:v>High</x:v>
      </x:c>
      <x:c r="J151" s="339" t="str">
        <x:v>No silent bypass; approved overrides must be separately authorized and audited.</x:v>
      </x:c>
    </x:row>
    <x:row r="152">
      <x:c r="A152" s="339" t="str">
        <x:v>BR-00151</x:v>
      </x:c>
      <x:c r="B152" s="339" t="str">
        <x:v>Screen</x:v>
      </x:c>
      <x:c r="C152" s="339" t="str">
        <x:v>SCR-051</x:v>
      </x:c>
      <x:c r="D152" s="339" t="str">
        <x:v>Admissions &amp; Enquiries</x:v>
      </x:c>
      <x:c r="E152" s="339" t="str">
        <x:v>Document Verification</x:v>
      </x:c>
      <x:c r="F152" s="339" t="str">
        <x:v>Admissions &amp; Enquiry Lifecycle rule 1</x:v>
      </x:c>
      <x:c r="G152" s="339" t="str">
        <x:v>Potential duplicate applicants must be flagged using configured identity/contact matching rules.</x:v>
      </x:c>
      <x:c r="H152" s="339" t="str">
        <x:v>Enforced in service/domain layer and reflected in UI validation/action availability.</x:v>
      </x:c>
      <x:c r="I152" s="339" t="str">
        <x:v>Medium</x:v>
      </x:c>
      <x:c r="J152" s="339" t="str">
        <x:v>Only an explicitly configured authorized override may bypass a non-statutory rule; overrides require reason and audit.</x:v>
      </x:c>
    </x:row>
    <x:row r="153">
      <x:c r="A153" s="339" t="str">
        <x:v>BR-00152</x:v>
      </x:c>
      <x:c r="B153" s="339" t="str">
        <x:v>Screen</x:v>
      </x:c>
      <x:c r="C153" s="339" t="str">
        <x:v>SCR-051</x:v>
      </x:c>
      <x:c r="D153" s="339" t="str">
        <x:v>Admissions &amp; Enquiries</x:v>
      </x:c>
      <x:c r="E153" s="339" t="str">
        <x:v>Document Verification</x:v>
      </x:c>
      <x:c r="F153" s="339" t="str">
        <x:v>Admissions &amp; Enquiry Lifecycle rule 2</x:v>
      </x:c>
      <x:c r="G153" s="339" t="str">
        <x:v>Application status transitions must follow the defined admissions workflow and authority matrix.</x:v>
      </x:c>
      <x:c r="H153" s="339" t="str">
        <x:v>Enforced in service/domain layer and reflected in UI validation/action availability.</x:v>
      </x:c>
      <x:c r="I153" s="339" t="str">
        <x:v>Medium</x:v>
      </x:c>
      <x:c r="J153" s="339" t="str">
        <x:v>Only an explicitly configured authorized override may bypass a non-statutory rule; overrides require reason and audit.</x:v>
      </x:c>
    </x:row>
    <x:row r="154">
      <x:c r="A154" s="339" t="str">
        <x:v>BR-00153</x:v>
      </x:c>
      <x:c r="B154" s="339" t="str">
        <x:v>Screen Type</x:v>
      </x:c>
      <x:c r="C154" s="339" t="str">
        <x:v>SCR-051</x:v>
      </x:c>
      <x:c r="D154" s="339" t="str">
        <x:v>Admissions &amp; Enquiries</x:v>
      </x:c>
      <x:c r="E154" s="339" t="str">
        <x:v>Document Verification</x:v>
      </x:c>
      <x:c r="F154" s="339" t="str">
        <x:v>Workflow / Management integrity rule</x:v>
      </x:c>
      <x:c r="G154" s="339" t="str">
        <x:v>State transitions are explicit, role-controlled and auditable; invalid transitions are rejected.</x:v>
      </x:c>
      <x:c r="H154" s="339" t="str">
        <x:v>Domain/service validation plus UI affordances.</x:v>
      </x:c>
      <x:c r="I154" s="339" t="str">
        <x:v>High</x:v>
      </x:c>
      <x:c r="J154" s="339" t="str">
        <x:v>No silent bypass; approved overrides must be separately authorized and audited.</x:v>
      </x:c>
    </x:row>
    <x:row r="155">
      <x:c r="A155" s="339" t="str">
        <x:v>BR-00154</x:v>
      </x:c>
      <x:c r="B155" s="339" t="str">
        <x:v>Screen</x:v>
      </x:c>
      <x:c r="C155" s="339" t="str">
        <x:v>SCR-052</x:v>
      </x:c>
      <x:c r="D155" s="339" t="str">
        <x:v>Admissions &amp; Enquiries</x:v>
      </x:c>
      <x:c r="E155" s="339" t="str">
        <x:v>Entrance Assessment</x:v>
      </x:c>
      <x:c r="F155" s="339" t="str">
        <x:v>Admissions &amp; Enquiry Lifecycle rule 1</x:v>
      </x:c>
      <x:c r="G155" s="339" t="str">
        <x:v>Application status transitions must follow the defined admissions workflow and authority matrix.</x:v>
      </x:c>
      <x:c r="H155" s="339" t="str">
        <x:v>Enforced in service/domain layer and reflected in UI validation/action availability.</x:v>
      </x:c>
      <x:c r="I155" s="339" t="str">
        <x:v>Medium</x:v>
      </x:c>
      <x:c r="J155" s="339" t="str">
        <x:v>Only an explicitly configured authorized override may bypass a non-statutory rule; overrides require reason and audit.</x:v>
      </x:c>
    </x:row>
    <x:row r="156">
      <x:c r="A156" s="339" t="str">
        <x:v>BR-00155</x:v>
      </x:c>
      <x:c r="B156" s="339" t="str">
        <x:v>Screen</x:v>
      </x:c>
      <x:c r="C156" s="339" t="str">
        <x:v>SCR-052</x:v>
      </x:c>
      <x:c r="D156" s="339" t="str">
        <x:v>Admissions &amp; Enquiries</x:v>
      </x:c>
      <x:c r="E156" s="339" t="str">
        <x:v>Entrance Assessment</x:v>
      </x:c>
      <x:c r="F156" s="339" t="str">
        <x:v>Admissions &amp; Enquiry Lifecycle rule 2</x:v>
      </x:c>
      <x:c r="G156" s="339" t="str">
        <x:v>An admission number must be unique within the school's numbering scope.</x:v>
      </x:c>
      <x:c r="H156" s="339" t="str">
        <x:v>Enforced in service/domain layer and reflected in UI validation/action availability.</x:v>
      </x:c>
      <x:c r="I156" s="339" t="str">
        <x:v>Medium</x:v>
      </x:c>
      <x:c r="J156" s="339" t="str">
        <x:v>Only an explicitly configured authorized override may bypass a non-statutory rule; overrides require reason and audit.</x:v>
      </x:c>
    </x:row>
    <x:row r="157">
      <x:c r="A157" s="339" t="str">
        <x:v>BR-00156</x:v>
      </x:c>
      <x:c r="B157" s="339" t="str">
        <x:v>Screen Type</x:v>
      </x:c>
      <x:c r="C157" s="339" t="str">
        <x:v>SCR-052</x:v>
      </x:c>
      <x:c r="D157" s="339" t="str">
        <x:v>Admissions &amp; Enquiries</x:v>
      </x:c>
      <x:c r="E157" s="339" t="str">
        <x:v>Entrance Assessment</x:v>
      </x:c>
      <x:c r="F157" s="339" t="str">
        <x:v>Workflow / Management integrity rule</x:v>
      </x:c>
      <x:c r="G157" s="339" t="str">
        <x:v>State transitions are explicit, role-controlled and auditable; invalid transitions are rejected.</x:v>
      </x:c>
      <x:c r="H157" s="339" t="str">
        <x:v>Domain/service validation plus UI affordances.</x:v>
      </x:c>
      <x:c r="I157" s="339" t="str">
        <x:v>High</x:v>
      </x:c>
      <x:c r="J157" s="339" t="str">
        <x:v>No silent bypass; approved overrides must be separately authorized and audited.</x:v>
      </x:c>
    </x:row>
    <x:row r="158">
      <x:c r="A158" s="339" t="str">
        <x:v>BR-00157</x:v>
      </x:c>
      <x:c r="B158" s="339" t="str">
        <x:v>Screen</x:v>
      </x:c>
      <x:c r="C158" s="339" t="str">
        <x:v>SCR-053</x:v>
      </x:c>
      <x:c r="D158" s="339" t="str">
        <x:v>Admissions &amp; Enquiries</x:v>
      </x:c>
      <x:c r="E158" s="339" t="str">
        <x:v>Admission Approval</x:v>
      </x:c>
      <x:c r="F158" s="339" t="str">
        <x:v>Admissions &amp; Enquiry Lifecycle rule 1</x:v>
      </x:c>
      <x:c r="G158" s="339" t="str">
        <x:v>An admission number must be unique within the school's numbering scope.</x:v>
      </x:c>
      <x:c r="H158" s="339" t="str">
        <x:v>Enforced in service/domain layer and reflected in UI validation/action availability.</x:v>
      </x:c>
      <x:c r="I158" s="339" t="str">
        <x:v>Medium</x:v>
      </x:c>
      <x:c r="J158" s="339" t="str">
        <x:v>Only an explicitly configured authorized override may bypass a non-statutory rule; overrides require reason and audit.</x:v>
      </x:c>
    </x:row>
    <x:row r="159">
      <x:c r="A159" s="339" t="str">
        <x:v>BR-00158</x:v>
      </x:c>
      <x:c r="B159" s="339" t="str">
        <x:v>Screen</x:v>
      </x:c>
      <x:c r="C159" s="339" t="str">
        <x:v>SCR-053</x:v>
      </x:c>
      <x:c r="D159" s="339" t="str">
        <x:v>Admissions &amp; Enquiries</x:v>
      </x:c>
      <x:c r="E159" s="339" t="str">
        <x:v>Admission Approval</x:v>
      </x:c>
      <x:c r="F159" s="339" t="str">
        <x:v>Admissions &amp; Enquiry Lifecycle rule 2</x:v>
      </x:c>
      <x:c r="G159" s="339" t="str">
        <x:v>Student/guardian master records are created only after admission confirmation or an explicitly configured pre-admission stage.</x:v>
      </x:c>
      <x:c r="H159" s="339" t="str">
        <x:v>Enforced in service/domain layer and reflected in UI validation/action availability.</x:v>
      </x:c>
      <x:c r="I159" s="339" t="str">
        <x:v>Medium</x:v>
      </x:c>
      <x:c r="J159" s="339" t="str">
        <x:v>Only an explicitly configured authorized override may bypass a non-statutory rule; overrides require reason and audit.</x:v>
      </x:c>
    </x:row>
    <x:row r="160">
      <x:c r="A160" s="339" t="str">
        <x:v>BR-00159</x:v>
      </x:c>
      <x:c r="B160" s="339" t="str">
        <x:v>Screen Type</x:v>
      </x:c>
      <x:c r="C160" s="339" t="str">
        <x:v>SCR-053</x:v>
      </x:c>
      <x:c r="D160" s="339" t="str">
        <x:v>Admissions &amp; Enquiries</x:v>
      </x:c>
      <x:c r="E160" s="339" t="str">
        <x:v>Admission Approval</x:v>
      </x:c>
      <x:c r="F160" s="339" t="str">
        <x:v>Workflow / Management integrity rule</x:v>
      </x:c>
      <x:c r="G160" s="339" t="str">
        <x:v>State transitions are explicit, role-controlled and auditable; invalid transitions are rejected.</x:v>
      </x:c>
      <x:c r="H160" s="339" t="str">
        <x:v>Domain/service validation plus UI affordances.</x:v>
      </x:c>
      <x:c r="I160" s="339" t="str">
        <x:v>High</x:v>
      </x:c>
      <x:c r="J160" s="339" t="str">
        <x:v>No silent bypass; approved overrides must be separately authorized and audited.</x:v>
      </x:c>
    </x:row>
    <x:row r="161">
      <x:c r="A161" s="339" t="str">
        <x:v>BR-00160</x:v>
      </x:c>
      <x:c r="B161" s="339" t="str">
        <x:v>Screen</x:v>
      </x:c>
      <x:c r="C161" s="339" t="str">
        <x:v>SCR-054</x:v>
      </x:c>
      <x:c r="D161" s="339" t="str">
        <x:v>Admissions &amp; Enquiries</x:v>
      </x:c>
      <x:c r="E161" s="339" t="str">
        <x:v>Admission Confirmation &amp; Student Creation</x:v>
      </x:c>
      <x:c r="F161" s="339" t="str">
        <x:v>Admissions &amp; Enquiry Lifecycle rule 1</x:v>
      </x:c>
      <x:c r="G161" s="339" t="str">
        <x:v>Student/guardian master records are created only after admission confirmation or an explicitly configured pre-admission stage.</x:v>
      </x:c>
      <x:c r="H161" s="339" t="str">
        <x:v>Enforced in service/domain layer and reflected in UI validation/action availability.</x:v>
      </x:c>
      <x:c r="I161" s="339" t="str">
        <x:v>Medium</x:v>
      </x:c>
      <x:c r="J161" s="339" t="str">
        <x:v>Only an explicitly configured authorized override may bypass a non-statutory rule; overrides require reason and audit.</x:v>
      </x:c>
    </x:row>
    <x:row r="162">
      <x:c r="A162" s="339" t="str">
        <x:v>BR-00161</x:v>
      </x:c>
      <x:c r="B162" s="339" t="str">
        <x:v>Screen</x:v>
      </x:c>
      <x:c r="C162" s="339" t="str">
        <x:v>SCR-054</x:v>
      </x:c>
      <x:c r="D162" s="339" t="str">
        <x:v>Admissions &amp; Enquiries</x:v>
      </x:c>
      <x:c r="E162" s="339" t="str">
        <x:v>Admission Confirmation &amp; Student Creation</x:v>
      </x:c>
      <x:c r="F162" s="339" t="str">
        <x:v>Admissions &amp; Enquiry Lifecycle rule 2</x:v>
      </x:c>
      <x:c r="G162" s="339" t="str">
        <x:v>A confirmed admission requires configured mandatory documents, required approvals and seat availability.</x:v>
      </x:c>
      <x:c r="H162" s="339" t="str">
        <x:v>Enforced in service/domain layer and reflected in UI validation/action availability.</x:v>
      </x:c>
      <x:c r="I162" s="339" t="str">
        <x:v>Medium</x:v>
      </x:c>
      <x:c r="J162" s="339" t="str">
        <x:v>Only an explicitly configured authorized override may bypass a non-statutory rule; overrides require reason and audit.</x:v>
      </x:c>
    </x:row>
    <x:row r="163">
      <x:c r="A163" s="339" t="str">
        <x:v>BR-00162</x:v>
      </x:c>
      <x:c r="B163" s="339" t="str">
        <x:v>Screen Type</x:v>
      </x:c>
      <x:c r="C163" s="339" t="str">
        <x:v>SCR-054</x:v>
      </x:c>
      <x:c r="D163" s="339" t="str">
        <x:v>Admissions &amp; Enquiries</x:v>
      </x:c>
      <x:c r="E163" s="339" t="str">
        <x:v>Admission Confirmation &amp; Student Creation</x:v>
      </x:c>
      <x:c r="F163" s="339" t="str">
        <x:v>Workflow / Management integrity rule</x:v>
      </x:c>
      <x:c r="G163" s="339" t="str">
        <x:v>State transitions are explicit, role-controlled and auditable; invalid transitions are rejected.</x:v>
      </x:c>
      <x:c r="H163" s="339" t="str">
        <x:v>Domain/service validation plus UI affordances.</x:v>
      </x:c>
      <x:c r="I163" s="339" t="str">
        <x:v>High</x:v>
      </x:c>
      <x:c r="J163" s="339" t="str">
        <x:v>No silent bypass; approved overrides must be separately authorized and audited.</x:v>
      </x:c>
    </x:row>
    <x:row r="164">
      <x:c r="A164" s="339" t="str">
        <x:v>BR-00163</x:v>
      </x:c>
      <x:c r="B164" s="339" t="str">
        <x:v>Screen</x:v>
      </x:c>
      <x:c r="C164" s="339" t="str">
        <x:v>SCR-055</x:v>
      </x:c>
      <x:c r="D164" s="339" t="str">
        <x:v>Students</x:v>
      </x:c>
      <x:c r="E164" s="339" t="str">
        <x:v>Student Directory</x:v>
      </x:c>
      <x:c r="F164" s="339" t="str">
        <x:v>Student Lifecycle Management rule 1</x:v>
      </x:c>
      <x:c r="G164" s="339" t="str">
        <x:v>Each active student must have one unique student/admission identifier within the configured school scope.</x:v>
      </x:c>
      <x:c r="H164" s="339" t="str">
        <x:v>Enforced in service/domain layer and reflected in UI validation/action availability.</x:v>
      </x:c>
      <x:c r="I164" s="339" t="str">
        <x:v>Medium</x:v>
      </x:c>
      <x:c r="J164" s="339" t="str">
        <x:v>Only an explicitly configured authorized override may bypass a non-statutory rule; overrides require reason and audit.</x:v>
      </x:c>
    </x:row>
    <x:row r="165">
      <x:c r="A165" s="339" t="str">
        <x:v>BR-00164</x:v>
      </x:c>
      <x:c r="B165" s="339" t="str">
        <x:v>Screen</x:v>
      </x:c>
      <x:c r="C165" s="339" t="str">
        <x:v>SCR-055</x:v>
      </x:c>
      <x:c r="D165" s="339" t="str">
        <x:v>Students</x:v>
      </x:c>
      <x:c r="E165" s="339" t="str">
        <x:v>Student Directory</x:v>
      </x:c>
      <x:c r="F165" s="339" t="str">
        <x:v>Student Lifecycle Management rule 2</x:v>
      </x:c>
      <x:c r="G165" s="339" t="str">
        <x:v>Class/section assignment must be valid for the active academic year.</x:v>
      </x:c>
      <x:c r="H165" s="339" t="str">
        <x:v>Enforced in service/domain layer and reflected in UI validation/action availability.</x:v>
      </x:c>
      <x:c r="I165" s="339" t="str">
        <x:v>Medium</x:v>
      </x:c>
      <x:c r="J165" s="339" t="str">
        <x:v>Only an explicitly configured authorized override may bypass a non-statutory rule; overrides require reason and audit.</x:v>
      </x:c>
    </x:row>
    <x:row r="166">
      <x:c r="A166" s="339" t="str">
        <x:v>BR-00165</x:v>
      </x:c>
      <x:c r="B166" s="339" t="str">
        <x:v>Screen Type</x:v>
      </x:c>
      <x:c r="C166" s="339" t="str">
        <x:v>SCR-055</x:v>
      </x:c>
      <x:c r="D166" s="339" t="str">
        <x:v>Students</x:v>
      </x:c>
      <x:c r="E166" s="339" t="str">
        <x:v>Student Directory</x:v>
      </x:c>
      <x:c r="F166" s="339" t="str">
        <x:v>List / Management integrity rule</x:v>
      </x:c>
      <x:c r="G166" s="339" t="str">
        <x:v>Search, filters, exports and row actions must preserve the same authorization scope.</x:v>
      </x:c>
      <x:c r="H166" s="339" t="str">
        <x:v>Domain/service validation plus UI affordances.</x:v>
      </x:c>
      <x:c r="I166" s="339" t="str">
        <x:v>High</x:v>
      </x:c>
      <x:c r="J166" s="339" t="str">
        <x:v>No silent bypass; approved overrides must be separately authorized and audited.</x:v>
      </x:c>
    </x:row>
    <x:row r="167">
      <x:c r="A167" s="339" t="str">
        <x:v>BR-00166</x:v>
      </x:c>
      <x:c r="B167" s="339" t="str">
        <x:v>Screen</x:v>
      </x:c>
      <x:c r="C167" s="339" t="str">
        <x:v>SCR-056</x:v>
      </x:c>
      <x:c r="D167" s="339" t="str">
        <x:v>Students</x:v>
      </x:c>
      <x:c r="E167" s="339" t="str">
        <x:v>Add Student</x:v>
      </x:c>
      <x:c r="F167" s="339" t="str">
        <x:v>Student Lifecycle Management rule 1</x:v>
      </x:c>
      <x:c r="G167" s="339" t="str">
        <x:v>Class/section assignment must be valid for the active academic year.</x:v>
      </x:c>
      <x:c r="H167" s="339" t="str">
        <x:v>Enforced in service/domain layer and reflected in UI validation/action availability.</x:v>
      </x:c>
      <x:c r="I167" s="339" t="str">
        <x:v>Medium</x:v>
      </x:c>
      <x:c r="J167" s="339" t="str">
        <x:v>Only an explicitly configured authorized override may bypass a non-statutory rule; overrides require reason and audit.</x:v>
      </x:c>
    </x:row>
    <x:row r="168">
      <x:c r="A168" s="339" t="str">
        <x:v>BR-00167</x:v>
      </x:c>
      <x:c r="B168" s="339" t="str">
        <x:v>Screen</x:v>
      </x:c>
      <x:c r="C168" s="339" t="str">
        <x:v>SCR-056</x:v>
      </x:c>
      <x:c r="D168" s="339" t="str">
        <x:v>Students</x:v>
      </x:c>
      <x:c r="E168" s="339" t="str">
        <x:v>Add Student</x:v>
      </x:c>
      <x:c r="F168" s="339" t="str">
        <x:v>Student Lifecycle Management rule 2</x:v>
      </x:c>
      <x:c r="G168" s="339" t="str">
        <x:v>Historical academic, attendance and financial records must remain linked when a student is promoted or transferred.</x:v>
      </x:c>
      <x:c r="H168" s="339" t="str">
        <x:v>Enforced in service/domain layer and reflected in UI validation/action availability.</x:v>
      </x:c>
      <x:c r="I168" s="339" t="str">
        <x:v>Medium</x:v>
      </x:c>
      <x:c r="J168" s="339" t="str">
        <x:v>Only an explicitly configured authorized override may bypass a non-statutory rule; overrides require reason and audit.</x:v>
      </x:c>
    </x:row>
    <x:row r="169">
      <x:c r="A169" s="339" t="str">
        <x:v>BR-00168</x:v>
      </x:c>
      <x:c r="B169" s="339" t="str">
        <x:v>Screen Type</x:v>
      </x:c>
      <x:c r="C169" s="339" t="str">
        <x:v>SCR-056</x:v>
      </x:c>
      <x:c r="D169" s="339" t="str">
        <x:v>Students</x:v>
      </x:c>
      <x:c r="E169" s="339" t="str">
        <x:v>Add Student</x:v>
      </x:c>
      <x:c r="F169" s="339" t="str">
        <x:v>Create / Transaction integrity rule</x:v>
      </x:c>
      <x:c r="G169" s="339" t="str">
        <x:v>A record is created only after all blocking validations, duplicate checks and reference checks pass.</x:v>
      </x:c>
      <x:c r="H169" s="339" t="str">
        <x:v>Domain/service validation plus UI affordances.</x:v>
      </x:c>
      <x:c r="I169" s="339" t="str">
        <x:v>High</x:v>
      </x:c>
      <x:c r="J169" s="339" t="str">
        <x:v>No silent bypass; approved overrides must be separately authorized and audited.</x:v>
      </x:c>
    </x:row>
    <x:row r="170">
      <x:c r="A170" s="339" t="str">
        <x:v>BR-00169</x:v>
      </x:c>
      <x:c r="B170" s="339" t="str">
        <x:v>Screen</x:v>
      </x:c>
      <x:c r="C170" s="339" t="str">
        <x:v>SCR-057</x:v>
      </x:c>
      <x:c r="D170" s="339" t="str">
        <x:v>Students</x:v>
      </x:c>
      <x:c r="E170" s="339" t="str">
        <x:v>Student Profile Overview</x:v>
      </x:c>
      <x:c r="F170" s="339" t="str">
        <x:v>Student Lifecycle Management rule 1</x:v>
      </x:c>
      <x:c r="G170" s="339" t="str">
        <x:v>Historical academic, attendance and financial records must remain linked when a student is promoted or transferred.</x:v>
      </x:c>
      <x:c r="H170" s="339" t="str">
        <x:v>Enforced in service/domain layer and reflected in UI validation/action availability.</x:v>
      </x:c>
      <x:c r="I170" s="339" t="str">
        <x:v>Medium</x:v>
      </x:c>
      <x:c r="J170" s="339" t="str">
        <x:v>Only an explicitly configured authorized override may bypass a non-statutory rule; overrides require reason and audit.</x:v>
      </x:c>
    </x:row>
    <x:row r="171">
      <x:c r="A171" s="339" t="str">
        <x:v>BR-00170</x:v>
      </x:c>
      <x:c r="B171" s="339" t="str">
        <x:v>Screen</x:v>
      </x:c>
      <x:c r="C171" s="339" t="str">
        <x:v>SCR-057</x:v>
      </x:c>
      <x:c r="D171" s="339" t="str">
        <x:v>Students</x:v>
      </x:c>
      <x:c r="E171" s="339" t="str">
        <x:v>Student Profile Overview</x:v>
      </x:c>
      <x:c r="F171" s="339" t="str">
        <x:v>Student Lifecycle Management rule 2</x:v>
      </x:c>
      <x:c r="G171" s="339" t="str">
        <x:v>Sensitive student information is visible only to authorized roles with legitimate need.</x:v>
      </x:c>
      <x:c r="H171" s="339" t="str">
        <x:v>Enforced in service/domain layer and reflected in UI validation/action availability.</x:v>
      </x:c>
      <x:c r="I171" s="339" t="str">
        <x:v>Medium</x:v>
      </x:c>
      <x:c r="J171" s="339" t="str">
        <x:v>Only an explicitly configured authorized override may bypass a non-statutory rule; overrides require reason and audit.</x:v>
      </x:c>
    </x:row>
    <x:row r="172">
      <x:c r="A172" s="339" t="str">
        <x:v>BR-00171</x:v>
      </x:c>
      <x:c r="B172" s="339" t="str">
        <x:v>Screen Type</x:v>
      </x:c>
      <x:c r="C172" s="339" t="str">
        <x:v>SCR-057</x:v>
      </x:c>
      <x:c r="D172" s="339" t="str">
        <x:v>Students</x:v>
      </x:c>
      <x:c r="E172" s="339" t="str">
        <x:v>Student Profile Overview</x:v>
      </x:c>
      <x:c r="F172" s="339" t="str">
        <x:v>Detail / Profile integrity rule</x:v>
      </x:c>
      <x:c r="G172" s="339" t="str">
        <x:v>Concurrent updates must not silently overwrite newer data; material edits are audited.</x:v>
      </x:c>
      <x:c r="H172" s="339" t="str">
        <x:v>Domain/service validation plus UI affordances.</x:v>
      </x:c>
      <x:c r="I172" s="339" t="str">
        <x:v>High</x:v>
      </x:c>
      <x:c r="J172" s="339" t="str">
        <x:v>No silent bypass; approved overrides must be separately authorized and audited.</x:v>
      </x:c>
    </x:row>
    <x:row r="173">
      <x:c r="A173" s="339" t="str">
        <x:v>BR-00172</x:v>
      </x:c>
      <x:c r="B173" s="339" t="str">
        <x:v>Screen</x:v>
      </x:c>
      <x:c r="C173" s="339" t="str">
        <x:v>SCR-058</x:v>
      </x:c>
      <x:c r="D173" s="339" t="str">
        <x:v>Students</x:v>
      </x:c>
      <x:c r="E173" s="339" t="str">
        <x:v>Edit Student</x:v>
      </x:c>
      <x:c r="F173" s="339" t="str">
        <x:v>Student Lifecycle Management rule 1</x:v>
      </x:c>
      <x:c r="G173" s="339" t="str">
        <x:v>Sensitive student information is visible only to authorized roles with legitimate need.</x:v>
      </x:c>
      <x:c r="H173" s="339" t="str">
        <x:v>Enforced in service/domain layer and reflected in UI validation/action availability.</x:v>
      </x:c>
      <x:c r="I173" s="339" t="str">
        <x:v>Medium</x:v>
      </x:c>
      <x:c r="J173" s="339" t="str">
        <x:v>Only an explicitly configured authorized override may bypass a non-statutory rule; overrides require reason and audit.</x:v>
      </x:c>
    </x:row>
    <x:row r="174">
      <x:c r="A174" s="339" t="str">
        <x:v>BR-00173</x:v>
      </x:c>
      <x:c r="B174" s="339" t="str">
        <x:v>Screen</x:v>
      </x:c>
      <x:c r="C174" s="339" t="str">
        <x:v>SCR-058</x:v>
      </x:c>
      <x:c r="D174" s="339" t="str">
        <x:v>Students</x:v>
      </x:c>
      <x:c r="E174" s="339" t="str">
        <x:v>Edit Student</x:v>
      </x:c>
      <x:c r="F174" s="339" t="str">
        <x:v>Student Lifecycle Management rule 2</x:v>
      </x:c>
      <x:c r="G174" s="339" t="str">
        <x:v>Student exit states must prevent new operational transactions while preserving historical access.</x:v>
      </x:c>
      <x:c r="H174" s="339" t="str">
        <x:v>Enforced in service/domain layer and reflected in UI validation/action availability.</x:v>
      </x:c>
      <x:c r="I174" s="339" t="str">
        <x:v>Medium</x:v>
      </x:c>
      <x:c r="J174" s="339" t="str">
        <x:v>Only an explicitly configured authorized override may bypass a non-statutory rule; overrides require reason and audit.</x:v>
      </x:c>
    </x:row>
    <x:row r="175">
      <x:c r="A175" s="339" t="str">
        <x:v>BR-00174</x:v>
      </x:c>
      <x:c r="B175" s="339" t="str">
        <x:v>Screen Type</x:v>
      </x:c>
      <x:c r="C175" s="339" t="str">
        <x:v>SCR-058</x:v>
      </x:c>
      <x:c r="D175" s="339" t="str">
        <x:v>Students</x:v>
      </x:c>
      <x:c r="E175" s="339" t="str">
        <x:v>Edit Student</x:v>
      </x:c>
      <x:c r="F175" s="339" t="str">
        <x:v>Workflow / Management integrity rule</x:v>
      </x:c>
      <x:c r="G175" s="339" t="str">
        <x:v>State transitions are explicit, role-controlled and auditable; invalid transitions are rejected.</x:v>
      </x:c>
      <x:c r="H175" s="339" t="str">
        <x:v>Domain/service validation plus UI affordances.</x:v>
      </x:c>
      <x:c r="I175" s="339" t="str">
        <x:v>High</x:v>
      </x:c>
      <x:c r="J175" s="339" t="str">
        <x:v>No silent bypass; approved overrides must be separately authorized and audited.</x:v>
      </x:c>
    </x:row>
    <x:row r="176">
      <x:c r="A176" s="339" t="str">
        <x:v>BR-00175</x:v>
      </x:c>
      <x:c r="B176" s="339" t="str">
        <x:v>Screen</x:v>
      </x:c>
      <x:c r="C176" s="339" t="str">
        <x:v>SCR-059</x:v>
      </x:c>
      <x:c r="D176" s="339" t="str">
        <x:v>Students</x:v>
      </x:c>
      <x:c r="E176" s="339" t="str">
        <x:v>Student Academic Details</x:v>
      </x:c>
      <x:c r="F176" s="339" t="str">
        <x:v>Student Lifecycle Management rule 1</x:v>
      </x:c>
      <x:c r="G176" s="339" t="str">
        <x:v>Student exit states must prevent new operational transactions while preserving historical access.</x:v>
      </x:c>
      <x:c r="H176" s="339" t="str">
        <x:v>Enforced in service/domain layer and reflected in UI validation/action availability.</x:v>
      </x:c>
      <x:c r="I176" s="339" t="str">
        <x:v>Medium</x:v>
      </x:c>
      <x:c r="J176" s="339" t="str">
        <x:v>Only an explicitly configured authorized override may bypass a non-statutory rule; overrides require reason and audit.</x:v>
      </x:c>
    </x:row>
    <x:row r="177">
      <x:c r="A177" s="339" t="str">
        <x:v>BR-00176</x:v>
      </x:c>
      <x:c r="B177" s="339" t="str">
        <x:v>Screen</x:v>
      </x:c>
      <x:c r="C177" s="339" t="str">
        <x:v>SCR-059</x:v>
      </x:c>
      <x:c r="D177" s="339" t="str">
        <x:v>Students</x:v>
      </x:c>
      <x:c r="E177" s="339" t="str">
        <x:v>Student Academic Details</x:v>
      </x:c>
      <x:c r="F177" s="339" t="str">
        <x:v>Student Lifecycle Management rule 2</x:v>
      </x:c>
      <x:c r="G177" s="339" t="str">
        <x:v>Each active student must have one unique student/admission identifier within the configured school scope.</x:v>
      </x:c>
      <x:c r="H177" s="339" t="str">
        <x:v>Enforced in service/domain layer and reflected in UI validation/action availability.</x:v>
      </x:c>
      <x:c r="I177" s="339" t="str">
        <x:v>Medium</x:v>
      </x:c>
      <x:c r="J177" s="339" t="str">
        <x:v>Only an explicitly configured authorized override may bypass a non-statutory rule; overrides require reason and audit.</x:v>
      </x:c>
    </x:row>
    <x:row r="178">
      <x:c r="A178" s="339" t="str">
        <x:v>BR-00177</x:v>
      </x:c>
      <x:c r="B178" s="339" t="str">
        <x:v>Screen Type</x:v>
      </x:c>
      <x:c r="C178" s="339" t="str">
        <x:v>SCR-059</x:v>
      </x:c>
      <x:c r="D178" s="339" t="str">
        <x:v>Students</x:v>
      </x:c>
      <x:c r="E178" s="339" t="str">
        <x:v>Student Academic Details</x:v>
      </x:c>
      <x:c r="F178" s="339" t="str">
        <x:v>Detail / Profile integrity rule</x:v>
      </x:c>
      <x:c r="G178" s="339" t="str">
        <x:v>Concurrent updates must not silently overwrite newer data; material edits are audited.</x:v>
      </x:c>
      <x:c r="H178" s="339" t="str">
        <x:v>Domain/service validation plus UI affordances.</x:v>
      </x:c>
      <x:c r="I178" s="339" t="str">
        <x:v>High</x:v>
      </x:c>
      <x:c r="J178" s="339" t="str">
        <x:v>No silent bypass; approved overrides must be separately authorized and audited.</x:v>
      </x:c>
    </x:row>
    <x:row r="179">
      <x:c r="A179" s="339" t="str">
        <x:v>BR-00178</x:v>
      </x:c>
      <x:c r="B179" s="339" t="str">
        <x:v>Screen</x:v>
      </x:c>
      <x:c r="C179" s="339" t="str">
        <x:v>SCR-060</x:v>
      </x:c>
      <x:c r="D179" s="339" t="str">
        <x:v>Students</x:v>
      </x:c>
      <x:c r="E179" s="339" t="str">
        <x:v>Student Attendance History</x:v>
      </x:c>
      <x:c r="F179" s="339" t="str">
        <x:v>Student Lifecycle Management rule 1</x:v>
      </x:c>
      <x:c r="G179" s="339" t="str">
        <x:v>Each active student must have one unique student/admission identifier within the configured school scope.</x:v>
      </x:c>
      <x:c r="H179" s="339" t="str">
        <x:v>Enforced in service/domain layer and reflected in UI validation/action availability.</x:v>
      </x:c>
      <x:c r="I179" s="339" t="str">
        <x:v>Medium</x:v>
      </x:c>
      <x:c r="J179" s="339" t="str">
        <x:v>Only an explicitly configured authorized override may bypass a non-statutory rule; overrides require reason and audit.</x:v>
      </x:c>
    </x:row>
    <x:row r="180">
      <x:c r="A180" s="339" t="str">
        <x:v>BR-00179</x:v>
      </x:c>
      <x:c r="B180" s="339" t="str">
        <x:v>Screen</x:v>
      </x:c>
      <x:c r="C180" s="339" t="str">
        <x:v>SCR-060</x:v>
      </x:c>
      <x:c r="D180" s="339" t="str">
        <x:v>Students</x:v>
      </x:c>
      <x:c r="E180" s="339" t="str">
        <x:v>Student Attendance History</x:v>
      </x:c>
      <x:c r="F180" s="339" t="str">
        <x:v>Student Lifecycle Management rule 2</x:v>
      </x:c>
      <x:c r="G180" s="339" t="str">
        <x:v>Class/section assignment must be valid for the active academic year.</x:v>
      </x:c>
      <x:c r="H180" s="339" t="str">
        <x:v>Enforced in service/domain layer and reflected in UI validation/action availability.</x:v>
      </x:c>
      <x:c r="I180" s="339" t="str">
        <x:v>Medium</x:v>
      </x:c>
      <x:c r="J180" s="339" t="str">
        <x:v>Only an explicitly configured authorized override may bypass a non-statutory rule; overrides require reason and audit.</x:v>
      </x:c>
    </x:row>
    <x:row r="181">
      <x:c r="A181" s="339" t="str">
        <x:v>BR-00180</x:v>
      </x:c>
      <x:c r="B181" s="339" t="str">
        <x:v>Screen Type</x:v>
      </x:c>
      <x:c r="C181" s="339" t="str">
        <x:v>SCR-060</x:v>
      </x:c>
      <x:c r="D181" s="339" t="str">
        <x:v>Students</x:v>
      </x:c>
      <x:c r="E181" s="339" t="str">
        <x:v>Student Attendance History</x:v>
      </x:c>
      <x:c r="F181" s="339" t="str">
        <x:v>Detail / Profile integrity rule</x:v>
      </x:c>
      <x:c r="G181" s="339" t="str">
        <x:v>Concurrent updates must not silently overwrite newer data; material edits are audited.</x:v>
      </x:c>
      <x:c r="H181" s="339" t="str">
        <x:v>Domain/service validation plus UI affordances.</x:v>
      </x:c>
      <x:c r="I181" s="339" t="str">
        <x:v>High</x:v>
      </x:c>
      <x:c r="J181" s="339" t="str">
        <x:v>No silent bypass; approved overrides must be separately authorized and audited.</x:v>
      </x:c>
    </x:row>
    <x:row r="182">
      <x:c r="A182" s="339" t="str">
        <x:v>BR-00181</x:v>
      </x:c>
      <x:c r="B182" s="339" t="str">
        <x:v>Screen</x:v>
      </x:c>
      <x:c r="C182" s="339" t="str">
        <x:v>SCR-061</x:v>
      </x:c>
      <x:c r="D182" s="339" t="str">
        <x:v>Students</x:v>
      </x:c>
      <x:c r="E182" s="339" t="str">
        <x:v>Student Examination &amp; Results</x:v>
      </x:c>
      <x:c r="F182" s="339" t="str">
        <x:v>Student Lifecycle Management rule 1</x:v>
      </x:c>
      <x:c r="G182" s="339" t="str">
        <x:v>Class/section assignment must be valid for the active academic year.</x:v>
      </x:c>
      <x:c r="H182" s="339" t="str">
        <x:v>Enforced in service/domain layer and reflected in UI validation/action availability.</x:v>
      </x:c>
      <x:c r="I182" s="339" t="str">
        <x:v>Medium</x:v>
      </x:c>
      <x:c r="J182" s="339" t="str">
        <x:v>Only an explicitly configured authorized override may bypass a non-statutory rule; overrides require reason and audit.</x:v>
      </x:c>
    </x:row>
    <x:row r="183">
      <x:c r="A183" s="339" t="str">
        <x:v>BR-00182</x:v>
      </x:c>
      <x:c r="B183" s="339" t="str">
        <x:v>Screen</x:v>
      </x:c>
      <x:c r="C183" s="339" t="str">
        <x:v>SCR-061</x:v>
      </x:c>
      <x:c r="D183" s="339" t="str">
        <x:v>Students</x:v>
      </x:c>
      <x:c r="E183" s="339" t="str">
        <x:v>Student Examination &amp; Results</x:v>
      </x:c>
      <x:c r="F183" s="339" t="str">
        <x:v>Student Lifecycle Management rule 2</x:v>
      </x:c>
      <x:c r="G183" s="339" t="str">
        <x:v>Historical academic, attendance and financial records must remain linked when a student is promoted or transferred.</x:v>
      </x:c>
      <x:c r="H183" s="339" t="str">
        <x:v>Enforced in service/domain layer and reflected in UI validation/action availability.</x:v>
      </x:c>
      <x:c r="I183" s="339" t="str">
        <x:v>Medium</x:v>
      </x:c>
      <x:c r="J183" s="339" t="str">
        <x:v>Only an explicitly configured authorized override may bypass a non-statutory rule; overrides require reason and audit.</x:v>
      </x:c>
    </x:row>
    <x:row r="184">
      <x:c r="A184" s="339" t="str">
        <x:v>BR-00183</x:v>
      </x:c>
      <x:c r="B184" s="339" t="str">
        <x:v>Screen Type</x:v>
      </x:c>
      <x:c r="C184" s="339" t="str">
        <x:v>SCR-061</x:v>
      </x:c>
      <x:c r="D184" s="339" t="str">
        <x:v>Students</x:v>
      </x:c>
      <x:c r="E184" s="339" t="str">
        <x:v>Student Examination &amp; Results</x:v>
      </x:c>
      <x:c r="F184" s="339" t="str">
        <x:v>Detail / Profile integrity rule</x:v>
      </x:c>
      <x:c r="G184" s="339" t="str">
        <x:v>Concurrent updates must not silently overwrite newer data; material edits are audited.</x:v>
      </x:c>
      <x:c r="H184" s="339" t="str">
        <x:v>Domain/service validation plus UI affordances.</x:v>
      </x:c>
      <x:c r="I184" s="339" t="str">
        <x:v>High</x:v>
      </x:c>
      <x:c r="J184" s="339" t="str">
        <x:v>No silent bypass; approved overrides must be separately authorized and audited.</x:v>
      </x:c>
    </x:row>
    <x:row r="185">
      <x:c r="A185" s="339" t="str">
        <x:v>BR-00184</x:v>
      </x:c>
      <x:c r="B185" s="339" t="str">
        <x:v>Screen</x:v>
      </x:c>
      <x:c r="C185" s="339" t="str">
        <x:v>SCR-062</x:v>
      </x:c>
      <x:c r="D185" s="339" t="str">
        <x:v>Students</x:v>
      </x:c>
      <x:c r="E185" s="339" t="str">
        <x:v>Student Fees &amp; Ledger</x:v>
      </x:c>
      <x:c r="F185" s="339" t="str">
        <x:v>Student Lifecycle Management rule 1</x:v>
      </x:c>
      <x:c r="G185" s="339" t="str">
        <x:v>Historical academic, attendance and financial records must remain linked when a student is promoted or transferred.</x:v>
      </x:c>
      <x:c r="H185" s="339" t="str">
        <x:v>Enforced in service/domain layer and reflected in UI validation/action availability.</x:v>
      </x:c>
      <x:c r="I185" s="339" t="str">
        <x:v>Medium</x:v>
      </x:c>
      <x:c r="J185" s="339" t="str">
        <x:v>Only an explicitly configured authorized override may bypass a non-statutory rule; overrides require reason and audit.</x:v>
      </x:c>
    </x:row>
    <x:row r="186">
      <x:c r="A186" s="339" t="str">
        <x:v>BR-00185</x:v>
      </x:c>
      <x:c r="B186" s="339" t="str">
        <x:v>Screen</x:v>
      </x:c>
      <x:c r="C186" s="339" t="str">
        <x:v>SCR-062</x:v>
      </x:c>
      <x:c r="D186" s="339" t="str">
        <x:v>Students</x:v>
      </x:c>
      <x:c r="E186" s="339" t="str">
        <x:v>Student Fees &amp; Ledger</x:v>
      </x:c>
      <x:c r="F186" s="339" t="str">
        <x:v>Student Lifecycle Management rule 2</x:v>
      </x:c>
      <x:c r="G186" s="339" t="str">
        <x:v>Sensitive student information is visible only to authorized roles with legitimate need.</x:v>
      </x:c>
      <x:c r="H186" s="339" t="str">
        <x:v>Enforced in service/domain layer and reflected in UI validation/action availability.</x:v>
      </x:c>
      <x:c r="I186" s="339" t="str">
        <x:v>Medium</x:v>
      </x:c>
      <x:c r="J186" s="339" t="str">
        <x:v>Only an explicitly configured authorized override may bypass a non-statutory rule; overrides require reason and audit.</x:v>
      </x:c>
    </x:row>
    <x:row r="187">
      <x:c r="A187" s="339" t="str">
        <x:v>BR-00186</x:v>
      </x:c>
      <x:c r="B187" s="339" t="str">
        <x:v>Screen Type</x:v>
      </x:c>
      <x:c r="C187" s="339" t="str">
        <x:v>SCR-062</x:v>
      </x:c>
      <x:c r="D187" s="339" t="str">
        <x:v>Students</x:v>
      </x:c>
      <x:c r="E187" s="339" t="str">
        <x:v>Student Fees &amp; Ledger</x:v>
      </x:c>
      <x:c r="F187" s="339" t="str">
        <x:v>Detail / Profile integrity rule</x:v>
      </x:c>
      <x:c r="G187" s="339" t="str">
        <x:v>Concurrent updates must not silently overwrite newer data; material edits are audited.</x:v>
      </x:c>
      <x:c r="H187" s="339" t="str">
        <x:v>Domain/service validation plus UI affordances.</x:v>
      </x:c>
      <x:c r="I187" s="339" t="str">
        <x:v>High</x:v>
      </x:c>
      <x:c r="J187" s="339" t="str">
        <x:v>No silent bypass; approved overrides must be separately authorized and audited.</x:v>
      </x:c>
    </x:row>
    <x:row r="188">
      <x:c r="A188" s="339" t="str">
        <x:v>BR-00187</x:v>
      </x:c>
      <x:c r="B188" s="339" t="str">
        <x:v>Screen</x:v>
      </x:c>
      <x:c r="C188" s="339" t="str">
        <x:v>SCR-063</x:v>
      </x:c>
      <x:c r="D188" s="339" t="str">
        <x:v>Students</x:v>
      </x:c>
      <x:c r="E188" s="339" t="str">
        <x:v>Student Documents</x:v>
      </x:c>
      <x:c r="F188" s="339" t="str">
        <x:v>Student Lifecycle Management rule 1</x:v>
      </x:c>
      <x:c r="G188" s="339" t="str">
        <x:v>Sensitive student information is visible only to authorized roles with legitimate need.</x:v>
      </x:c>
      <x:c r="H188" s="339" t="str">
        <x:v>Enforced in service/domain layer and reflected in UI validation/action availability.</x:v>
      </x:c>
      <x:c r="I188" s="339" t="str">
        <x:v>Medium</x:v>
      </x:c>
      <x:c r="J188" s="339" t="str">
        <x:v>Only an explicitly configured authorized override may bypass a non-statutory rule; overrides require reason and audit.</x:v>
      </x:c>
    </x:row>
    <x:row r="189">
      <x:c r="A189" s="339" t="str">
        <x:v>BR-00188</x:v>
      </x:c>
      <x:c r="B189" s="339" t="str">
        <x:v>Screen</x:v>
      </x:c>
      <x:c r="C189" s="339" t="str">
        <x:v>SCR-063</x:v>
      </x:c>
      <x:c r="D189" s="339" t="str">
        <x:v>Students</x:v>
      </x:c>
      <x:c r="E189" s="339" t="str">
        <x:v>Student Documents</x:v>
      </x:c>
      <x:c r="F189" s="339" t="str">
        <x:v>Student Lifecycle Management rule 2</x:v>
      </x:c>
      <x:c r="G189" s="339" t="str">
        <x:v>Student exit states must prevent new operational transactions while preserving historical access.</x:v>
      </x:c>
      <x:c r="H189" s="339" t="str">
        <x:v>Enforced in service/domain layer and reflected in UI validation/action availability.</x:v>
      </x:c>
      <x:c r="I189" s="339" t="str">
        <x:v>Medium</x:v>
      </x:c>
      <x:c r="J189" s="339" t="str">
        <x:v>Only an explicitly configured authorized override may bypass a non-statutory rule; overrides require reason and audit.</x:v>
      </x:c>
    </x:row>
    <x:row r="190">
      <x:c r="A190" s="339" t="str">
        <x:v>BR-00189</x:v>
      </x:c>
      <x:c r="B190" s="339" t="str">
        <x:v>Screen Type</x:v>
      </x:c>
      <x:c r="C190" s="339" t="str">
        <x:v>SCR-063</x:v>
      </x:c>
      <x:c r="D190" s="339" t="str">
        <x:v>Students</x:v>
      </x:c>
      <x:c r="E190" s="339" t="str">
        <x:v>Student Documents</x:v>
      </x:c>
      <x:c r="F190" s="339" t="str">
        <x:v>Workflow / Management integrity rule</x:v>
      </x:c>
      <x:c r="G190" s="339" t="str">
        <x:v>State transitions are explicit, role-controlled and auditable; invalid transitions are rejected.</x:v>
      </x:c>
      <x:c r="H190" s="339" t="str">
        <x:v>Domain/service validation plus UI affordances.</x:v>
      </x:c>
      <x:c r="I190" s="339" t="str">
        <x:v>High</x:v>
      </x:c>
      <x:c r="J190" s="339" t="str">
        <x:v>No silent bypass; approved overrides must be separately authorized and audited.</x:v>
      </x:c>
    </x:row>
    <x:row r="191">
      <x:c r="A191" s="339" t="str">
        <x:v>BR-00190</x:v>
      </x:c>
      <x:c r="B191" s="339" t="str">
        <x:v>Screen</x:v>
      </x:c>
      <x:c r="C191" s="339" t="str">
        <x:v>SCR-064</x:v>
      </x:c>
      <x:c r="D191" s="339" t="str">
        <x:v>Students</x:v>
      </x:c>
      <x:c r="E191" s="339" t="str">
        <x:v>Student Behaviour &amp; Discipline</x:v>
      </x:c>
      <x:c r="F191" s="339" t="str">
        <x:v>Student Lifecycle Management rule 1</x:v>
      </x:c>
      <x:c r="G191" s="339" t="str">
        <x:v>Student exit states must prevent new operational transactions while preserving historical access.</x:v>
      </x:c>
      <x:c r="H191" s="339" t="str">
        <x:v>Enforced in service/domain layer and reflected in UI validation/action availability.</x:v>
      </x:c>
      <x:c r="I191" s="339" t="str">
        <x:v>Medium</x:v>
      </x:c>
      <x:c r="J191" s="339" t="str">
        <x:v>Only an explicitly configured authorized override may bypass a non-statutory rule; overrides require reason and audit.</x:v>
      </x:c>
    </x:row>
    <x:row r="192">
      <x:c r="A192" s="339" t="str">
        <x:v>BR-00191</x:v>
      </x:c>
      <x:c r="B192" s="339" t="str">
        <x:v>Screen</x:v>
      </x:c>
      <x:c r="C192" s="339" t="str">
        <x:v>SCR-064</x:v>
      </x:c>
      <x:c r="D192" s="339" t="str">
        <x:v>Students</x:v>
      </x:c>
      <x:c r="E192" s="339" t="str">
        <x:v>Student Behaviour &amp; Discipline</x:v>
      </x:c>
      <x:c r="F192" s="339" t="str">
        <x:v>Student Lifecycle Management rule 2</x:v>
      </x:c>
      <x:c r="G192" s="339" t="str">
        <x:v>Each active student must have one unique student/admission identifier within the configured school scope.</x:v>
      </x:c>
      <x:c r="H192" s="339" t="str">
        <x:v>Enforced in service/domain layer and reflected in UI validation/action availability.</x:v>
      </x:c>
      <x:c r="I192" s="339" t="str">
        <x:v>Medium</x:v>
      </x:c>
      <x:c r="J192" s="339" t="str">
        <x:v>Only an explicitly configured authorized override may bypass a non-statutory rule; overrides require reason and audit.</x:v>
      </x:c>
    </x:row>
    <x:row r="193">
      <x:c r="A193" s="339" t="str">
        <x:v>BR-00192</x:v>
      </x:c>
      <x:c r="B193" s="339" t="str">
        <x:v>Screen Type</x:v>
      </x:c>
      <x:c r="C193" s="339" t="str">
        <x:v>SCR-064</x:v>
      </x:c>
      <x:c r="D193" s="339" t="str">
        <x:v>Students</x:v>
      </x:c>
      <x:c r="E193" s="339" t="str">
        <x:v>Student Behaviour &amp; Discipline</x:v>
      </x:c>
      <x:c r="F193" s="339" t="str">
        <x:v>Workflow / Management integrity rule</x:v>
      </x:c>
      <x:c r="G193" s="339" t="str">
        <x:v>State transitions are explicit, role-controlled and auditable; invalid transitions are rejected.</x:v>
      </x:c>
      <x:c r="H193" s="339" t="str">
        <x:v>Domain/service validation plus UI affordances.</x:v>
      </x:c>
      <x:c r="I193" s="339" t="str">
        <x:v>High</x:v>
      </x:c>
      <x:c r="J193" s="339" t="str">
        <x:v>No silent bypass; approved overrides must be separately authorized and audited.</x:v>
      </x:c>
    </x:row>
    <x:row r="194">
      <x:c r="A194" s="339" t="str">
        <x:v>BR-00193</x:v>
      </x:c>
      <x:c r="B194" s="339" t="str">
        <x:v>Screen</x:v>
      </x:c>
      <x:c r="C194" s="339" t="str">
        <x:v>SCR-065</x:v>
      </x:c>
      <x:c r="D194" s="339" t="str">
        <x:v>Students</x:v>
      </x:c>
      <x:c r="E194" s="339" t="str">
        <x:v>Student Health</x:v>
      </x:c>
      <x:c r="F194" s="339" t="str">
        <x:v>Student Lifecycle Management rule 1</x:v>
      </x:c>
      <x:c r="G194" s="339" t="str">
        <x:v>Each active student must have one unique student/admission identifier within the configured school scope.</x:v>
      </x:c>
      <x:c r="H194" s="339" t="str">
        <x:v>Enforced in service/domain layer and reflected in UI validation/action availability.</x:v>
      </x:c>
      <x:c r="I194" s="339" t="str">
        <x:v>Medium</x:v>
      </x:c>
      <x:c r="J194" s="339" t="str">
        <x:v>Only an explicitly configured authorized override may bypass a non-statutory rule; overrides require reason and audit.</x:v>
      </x:c>
    </x:row>
    <x:row r="195">
      <x:c r="A195" s="339" t="str">
        <x:v>BR-00194</x:v>
      </x:c>
      <x:c r="B195" s="339" t="str">
        <x:v>Screen</x:v>
      </x:c>
      <x:c r="C195" s="339" t="str">
        <x:v>SCR-065</x:v>
      </x:c>
      <x:c r="D195" s="339" t="str">
        <x:v>Students</x:v>
      </x:c>
      <x:c r="E195" s="339" t="str">
        <x:v>Student Health</x:v>
      </x:c>
      <x:c r="F195" s="339" t="str">
        <x:v>Student Lifecycle Management rule 2</x:v>
      </x:c>
      <x:c r="G195" s="339" t="str">
        <x:v>Class/section assignment must be valid for the active academic year.</x:v>
      </x:c>
      <x:c r="H195" s="339" t="str">
        <x:v>Enforced in service/domain layer and reflected in UI validation/action availability.</x:v>
      </x:c>
      <x:c r="I195" s="339" t="str">
        <x:v>Medium</x:v>
      </x:c>
      <x:c r="J195" s="339" t="str">
        <x:v>Only an explicitly configured authorized override may bypass a non-statutory rule; overrides require reason and audit.</x:v>
      </x:c>
    </x:row>
    <x:row r="196">
      <x:c r="A196" s="339" t="str">
        <x:v>BR-00195</x:v>
      </x:c>
      <x:c r="B196" s="339" t="str">
        <x:v>Screen Type</x:v>
      </x:c>
      <x:c r="C196" s="339" t="str">
        <x:v>SCR-065</x:v>
      </x:c>
      <x:c r="D196" s="339" t="str">
        <x:v>Students</x:v>
      </x:c>
      <x:c r="E196" s="339" t="str">
        <x:v>Student Health</x:v>
      </x:c>
      <x:c r="F196" s="339" t="str">
        <x:v>Workflow / Management integrity rule</x:v>
      </x:c>
      <x:c r="G196" s="339" t="str">
        <x:v>State transitions are explicit, role-controlled and auditable; invalid transitions are rejected.</x:v>
      </x:c>
      <x:c r="H196" s="339" t="str">
        <x:v>Domain/service validation plus UI affordances.</x:v>
      </x:c>
      <x:c r="I196" s="339" t="str">
        <x:v>High</x:v>
      </x:c>
      <x:c r="J196" s="339" t="str">
        <x:v>No silent bypass; approved overrides must be separately authorized and audited.</x:v>
      </x:c>
    </x:row>
    <x:row r="197">
      <x:c r="A197" s="339" t="str">
        <x:v>BR-00196</x:v>
      </x:c>
      <x:c r="B197" s="339" t="str">
        <x:v>Screen</x:v>
      </x:c>
      <x:c r="C197" s="339" t="str">
        <x:v>SCR-066</x:v>
      </x:c>
      <x:c r="D197" s="339" t="str">
        <x:v>Students</x:v>
      </x:c>
      <x:c r="E197" s="339" t="str">
        <x:v>Student Transport</x:v>
      </x:c>
      <x:c r="F197" s="339" t="str">
        <x:v>Student Lifecycle Management rule 1</x:v>
      </x:c>
      <x:c r="G197" s="339" t="str">
        <x:v>Class/section assignment must be valid for the active academic year.</x:v>
      </x:c>
      <x:c r="H197" s="339" t="str">
        <x:v>Enforced in service/domain layer and reflected in UI validation/action availability.</x:v>
      </x:c>
      <x:c r="I197" s="339" t="str">
        <x:v>Medium</x:v>
      </x:c>
      <x:c r="J197" s="339" t="str">
        <x:v>Only an explicitly configured authorized override may bypass a non-statutory rule; overrides require reason and audit.</x:v>
      </x:c>
    </x:row>
    <x:row r="198">
      <x:c r="A198" s="339" t="str">
        <x:v>BR-00197</x:v>
      </x:c>
      <x:c r="B198" s="339" t="str">
        <x:v>Screen</x:v>
      </x:c>
      <x:c r="C198" s="339" t="str">
        <x:v>SCR-066</x:v>
      </x:c>
      <x:c r="D198" s="339" t="str">
        <x:v>Students</x:v>
      </x:c>
      <x:c r="E198" s="339" t="str">
        <x:v>Student Transport</x:v>
      </x:c>
      <x:c r="F198" s="339" t="str">
        <x:v>Student Lifecycle Management rule 2</x:v>
      </x:c>
      <x:c r="G198" s="339" t="str">
        <x:v>Historical academic, attendance and financial records must remain linked when a student is promoted or transferred.</x:v>
      </x:c>
      <x:c r="H198" s="339" t="str">
        <x:v>Enforced in service/domain layer and reflected in UI validation/action availability.</x:v>
      </x:c>
      <x:c r="I198" s="339" t="str">
        <x:v>Medium</x:v>
      </x:c>
      <x:c r="J198" s="339" t="str">
        <x:v>Only an explicitly configured authorized override may bypass a non-statutory rule; overrides require reason and audit.</x:v>
      </x:c>
    </x:row>
    <x:row r="199">
      <x:c r="A199" s="339" t="str">
        <x:v>BR-00198</x:v>
      </x:c>
      <x:c r="B199" s="339" t="str">
        <x:v>Screen Type</x:v>
      </x:c>
      <x:c r="C199" s="339" t="str">
        <x:v>SCR-066</x:v>
      </x:c>
      <x:c r="D199" s="339" t="str">
        <x:v>Students</x:v>
      </x:c>
      <x:c r="E199" s="339" t="str">
        <x:v>Student Transport</x:v>
      </x:c>
      <x:c r="F199" s="339" t="str">
        <x:v>Workflow / Management integrity rule</x:v>
      </x:c>
      <x:c r="G199" s="339" t="str">
        <x:v>State transitions are explicit, role-controlled and auditable; invalid transitions are rejected.</x:v>
      </x:c>
      <x:c r="H199" s="339" t="str">
        <x:v>Domain/service validation plus UI affordances.</x:v>
      </x:c>
      <x:c r="I199" s="339" t="str">
        <x:v>High</x:v>
      </x:c>
      <x:c r="J199" s="339" t="str">
        <x:v>No silent bypass; approved overrides must be separately authorized and audited.</x:v>
      </x:c>
    </x:row>
    <x:row r="200">
      <x:c r="A200" s="339" t="str">
        <x:v>BR-00199</x:v>
      </x:c>
      <x:c r="B200" s="339" t="str">
        <x:v>Screen</x:v>
      </x:c>
      <x:c r="C200" s="339" t="str">
        <x:v>SCR-067</x:v>
      </x:c>
      <x:c r="D200" s="339" t="str">
        <x:v>Students</x:v>
      </x:c>
      <x:c r="E200" s="339" t="str">
        <x:v>Student Library</x:v>
      </x:c>
      <x:c r="F200" s="339" t="str">
        <x:v>Student Lifecycle Management rule 1</x:v>
      </x:c>
      <x:c r="G200" s="339" t="str">
        <x:v>Historical academic, attendance and financial records must remain linked when a student is promoted or transferred.</x:v>
      </x:c>
      <x:c r="H200" s="339" t="str">
        <x:v>Enforced in service/domain layer and reflected in UI validation/action availability.</x:v>
      </x:c>
      <x:c r="I200" s="339" t="str">
        <x:v>Medium</x:v>
      </x:c>
      <x:c r="J200" s="339" t="str">
        <x:v>Only an explicitly configured authorized override may bypass a non-statutory rule; overrides require reason and audit.</x:v>
      </x:c>
    </x:row>
    <x:row r="201">
      <x:c r="A201" s="339" t="str">
        <x:v>BR-00200</x:v>
      </x:c>
      <x:c r="B201" s="339" t="str">
        <x:v>Screen</x:v>
      </x:c>
      <x:c r="C201" s="339" t="str">
        <x:v>SCR-067</x:v>
      </x:c>
      <x:c r="D201" s="339" t="str">
        <x:v>Students</x:v>
      </x:c>
      <x:c r="E201" s="339" t="str">
        <x:v>Student Library</x:v>
      </x:c>
      <x:c r="F201" s="339" t="str">
        <x:v>Student Lifecycle Management rule 2</x:v>
      </x:c>
      <x:c r="G201" s="339" t="str">
        <x:v>Sensitive student information is visible only to authorized roles with legitimate need.</x:v>
      </x:c>
      <x:c r="H201" s="339" t="str">
        <x:v>Enforced in service/domain layer and reflected in UI validation/action availability.</x:v>
      </x:c>
      <x:c r="I201" s="339" t="str">
        <x:v>Medium</x:v>
      </x:c>
      <x:c r="J201" s="339" t="str">
        <x:v>Only an explicitly configured authorized override may bypass a non-statutory rule; overrides require reason and audit.</x:v>
      </x:c>
    </x:row>
    <x:row r="202">
      <x:c r="A202" s="339" t="str">
        <x:v>BR-00201</x:v>
      </x:c>
      <x:c r="B202" s="339" t="str">
        <x:v>Screen Type</x:v>
      </x:c>
      <x:c r="C202" s="339" t="str">
        <x:v>SCR-067</x:v>
      </x:c>
      <x:c r="D202" s="339" t="str">
        <x:v>Students</x:v>
      </x:c>
      <x:c r="E202" s="339" t="str">
        <x:v>Student Library</x:v>
      </x:c>
      <x:c r="F202" s="339" t="str">
        <x:v>Workflow / Management integrity rule</x:v>
      </x:c>
      <x:c r="G202" s="339" t="str">
        <x:v>State transitions are explicit, role-controlled and auditable; invalid transitions are rejected.</x:v>
      </x:c>
      <x:c r="H202" s="339" t="str">
        <x:v>Domain/service validation plus UI affordances.</x:v>
      </x:c>
      <x:c r="I202" s="339" t="str">
        <x:v>High</x:v>
      </x:c>
      <x:c r="J202" s="339" t="str">
        <x:v>No silent bypass; approved overrides must be separately authorized and audited.</x:v>
      </x:c>
    </x:row>
    <x:row r="203">
      <x:c r="A203" s="339" t="str">
        <x:v>BR-00202</x:v>
      </x:c>
      <x:c r="B203" s="339" t="str">
        <x:v>Screen</x:v>
      </x:c>
      <x:c r="C203" s="339" t="str">
        <x:v>SCR-068</x:v>
      </x:c>
      <x:c r="D203" s="339" t="str">
        <x:v>Students</x:v>
      </x:c>
      <x:c r="E203" s="339" t="str">
        <x:v>Siblings &amp; Family</x:v>
      </x:c>
      <x:c r="F203" s="339" t="str">
        <x:v>Student Lifecycle Management rule 1</x:v>
      </x:c>
      <x:c r="G203" s="339" t="str">
        <x:v>Sensitive student information is visible only to authorized roles with legitimate need.</x:v>
      </x:c>
      <x:c r="H203" s="339" t="str">
        <x:v>Enforced in service/domain layer and reflected in UI validation/action availability.</x:v>
      </x:c>
      <x:c r="I203" s="339" t="str">
        <x:v>Medium</x:v>
      </x:c>
      <x:c r="J203" s="339" t="str">
        <x:v>Only an explicitly configured authorized override may bypass a non-statutory rule; overrides require reason and audit.</x:v>
      </x:c>
    </x:row>
    <x:row r="204">
      <x:c r="A204" s="339" t="str">
        <x:v>BR-00203</x:v>
      </x:c>
      <x:c r="B204" s="339" t="str">
        <x:v>Screen</x:v>
      </x:c>
      <x:c r="C204" s="339" t="str">
        <x:v>SCR-068</x:v>
      </x:c>
      <x:c r="D204" s="339" t="str">
        <x:v>Students</x:v>
      </x:c>
      <x:c r="E204" s="339" t="str">
        <x:v>Siblings &amp; Family</x:v>
      </x:c>
      <x:c r="F204" s="339" t="str">
        <x:v>Student Lifecycle Management rule 2</x:v>
      </x:c>
      <x:c r="G204" s="339" t="str">
        <x:v>Student exit states must prevent new operational transactions while preserving historical access.</x:v>
      </x:c>
      <x:c r="H204" s="339" t="str">
        <x:v>Enforced in service/domain layer and reflected in UI validation/action availability.</x:v>
      </x:c>
      <x:c r="I204" s="339" t="str">
        <x:v>Medium</x:v>
      </x:c>
      <x:c r="J204" s="339" t="str">
        <x:v>Only an explicitly configured authorized override may bypass a non-statutory rule; overrides require reason and audit.</x:v>
      </x:c>
    </x:row>
    <x:row r="205">
      <x:c r="A205" s="339" t="str">
        <x:v>BR-00204</x:v>
      </x:c>
      <x:c r="B205" s="339" t="str">
        <x:v>Screen Type</x:v>
      </x:c>
      <x:c r="C205" s="339" t="str">
        <x:v>SCR-068</x:v>
      </x:c>
      <x:c r="D205" s="339" t="str">
        <x:v>Students</x:v>
      </x:c>
      <x:c r="E205" s="339" t="str">
        <x:v>Siblings &amp; Family</x:v>
      </x:c>
      <x:c r="F205" s="339" t="str">
        <x:v>Workflow / Management integrity rule</x:v>
      </x:c>
      <x:c r="G205" s="339" t="str">
        <x:v>State transitions are explicit, role-controlled and auditable; invalid transitions are rejected.</x:v>
      </x:c>
      <x:c r="H205" s="339" t="str">
        <x:v>Domain/service validation plus UI affordances.</x:v>
      </x:c>
      <x:c r="I205" s="339" t="str">
        <x:v>High</x:v>
      </x:c>
      <x:c r="J205" s="339" t="str">
        <x:v>No silent bypass; approved overrides must be separately authorized and audited.</x:v>
      </x:c>
    </x:row>
    <x:row r="206">
      <x:c r="A206" s="339" t="str">
        <x:v>BR-00205</x:v>
      </x:c>
      <x:c r="B206" s="339" t="str">
        <x:v>Screen</x:v>
      </x:c>
      <x:c r="C206" s="339" t="str">
        <x:v>SCR-069</x:v>
      </x:c>
      <x:c r="D206" s="339" t="str">
        <x:v>Students</x:v>
      </x:c>
      <x:c r="E206" s="339" t="str">
        <x:v>Promotion / Transfer</x:v>
      </x:c>
      <x:c r="F206" s="339" t="str">
        <x:v>Student Lifecycle Management rule 1</x:v>
      </x:c>
      <x:c r="G206" s="339" t="str">
        <x:v>Student exit states must prevent new operational transactions while preserving historical access.</x:v>
      </x:c>
      <x:c r="H206" s="339" t="str">
        <x:v>Enforced in service/domain layer and reflected in UI validation/action availability.</x:v>
      </x:c>
      <x:c r="I206" s="339" t="str">
        <x:v>Medium</x:v>
      </x:c>
      <x:c r="J206" s="339" t="str">
        <x:v>Only an explicitly configured authorized override may bypass a non-statutory rule; overrides require reason and audit.</x:v>
      </x:c>
    </x:row>
    <x:row r="207">
      <x:c r="A207" s="339" t="str">
        <x:v>BR-00206</x:v>
      </x:c>
      <x:c r="B207" s="339" t="str">
        <x:v>Screen</x:v>
      </x:c>
      <x:c r="C207" s="339" t="str">
        <x:v>SCR-069</x:v>
      </x:c>
      <x:c r="D207" s="339" t="str">
        <x:v>Students</x:v>
      </x:c>
      <x:c r="E207" s="339" t="str">
        <x:v>Promotion / Transfer</x:v>
      </x:c>
      <x:c r="F207" s="339" t="str">
        <x:v>Student Lifecycle Management rule 2</x:v>
      </x:c>
      <x:c r="G207" s="339" t="str">
        <x:v>Each active student must have one unique student/admission identifier within the configured school scope.</x:v>
      </x:c>
      <x:c r="H207" s="339" t="str">
        <x:v>Enforced in service/domain layer and reflected in UI validation/action availability.</x:v>
      </x:c>
      <x:c r="I207" s="339" t="str">
        <x:v>Medium</x:v>
      </x:c>
      <x:c r="J207" s="339" t="str">
        <x:v>Only an explicitly configured authorized override may bypass a non-statutory rule; overrides require reason and audit.</x:v>
      </x:c>
    </x:row>
    <x:row r="208">
      <x:c r="A208" s="339" t="str">
        <x:v>BR-00207</x:v>
      </x:c>
      <x:c r="B208" s="339" t="str">
        <x:v>Screen Type</x:v>
      </x:c>
      <x:c r="C208" s="339" t="str">
        <x:v>SCR-069</x:v>
      </x:c>
      <x:c r="D208" s="339" t="str">
        <x:v>Students</x:v>
      </x:c>
      <x:c r="E208" s="339" t="str">
        <x:v>Promotion / Transfer</x:v>
      </x:c>
      <x:c r="F208" s="339" t="str">
        <x:v>Workflow / Management integrity rule</x:v>
      </x:c>
      <x:c r="G208" s="339" t="str">
        <x:v>State transitions are explicit, role-controlled and auditable; invalid transitions are rejected.</x:v>
      </x:c>
      <x:c r="H208" s="339" t="str">
        <x:v>Domain/service validation plus UI affordances.</x:v>
      </x:c>
      <x:c r="I208" s="339" t="str">
        <x:v>High</x:v>
      </x:c>
      <x:c r="J208" s="339" t="str">
        <x:v>No silent bypass; approved overrides must be separately authorized and audited.</x:v>
      </x:c>
    </x:row>
    <x:row r="209">
      <x:c r="A209" s="339" t="str">
        <x:v>BR-00208</x:v>
      </x:c>
      <x:c r="B209" s="339" t="str">
        <x:v>Screen</x:v>
      </x:c>
      <x:c r="C209" s="339" t="str">
        <x:v>SCR-070</x:v>
      </x:c>
      <x:c r="D209" s="339" t="str">
        <x:v>Students</x:v>
      </x:c>
      <x:c r="E209" s="339" t="str">
        <x:v>Student Exit / Alumni Conversion</x:v>
      </x:c>
      <x:c r="F209" s="339" t="str">
        <x:v>Student Lifecycle Management rule 1</x:v>
      </x:c>
      <x:c r="G209" s="339" t="str">
        <x:v>Each active student must have one unique student/admission identifier within the configured school scope.</x:v>
      </x:c>
      <x:c r="H209" s="339" t="str">
        <x:v>Enforced in service/domain layer and reflected in UI validation/action availability.</x:v>
      </x:c>
      <x:c r="I209" s="339" t="str">
        <x:v>Medium</x:v>
      </x:c>
      <x:c r="J209" s="339" t="str">
        <x:v>Only an explicitly configured authorized override may bypass a non-statutory rule; overrides require reason and audit.</x:v>
      </x:c>
    </x:row>
    <x:row r="210">
      <x:c r="A210" s="339" t="str">
        <x:v>BR-00209</x:v>
      </x:c>
      <x:c r="B210" s="339" t="str">
        <x:v>Screen</x:v>
      </x:c>
      <x:c r="C210" s="339" t="str">
        <x:v>SCR-070</x:v>
      </x:c>
      <x:c r="D210" s="339" t="str">
        <x:v>Students</x:v>
      </x:c>
      <x:c r="E210" s="339" t="str">
        <x:v>Student Exit / Alumni Conversion</x:v>
      </x:c>
      <x:c r="F210" s="339" t="str">
        <x:v>Student Lifecycle Management rule 2</x:v>
      </x:c>
      <x:c r="G210" s="339" t="str">
        <x:v>Class/section assignment must be valid for the active academic year.</x:v>
      </x:c>
      <x:c r="H210" s="339" t="str">
        <x:v>Enforced in service/domain layer and reflected in UI validation/action availability.</x:v>
      </x:c>
      <x:c r="I210" s="339" t="str">
        <x:v>Medium</x:v>
      </x:c>
      <x:c r="J210" s="339" t="str">
        <x:v>Only an explicitly configured authorized override may bypass a non-statutory rule; overrides require reason and audit.</x:v>
      </x:c>
    </x:row>
    <x:row r="211">
      <x:c r="A211" s="339" t="str">
        <x:v>BR-00210</x:v>
      </x:c>
      <x:c r="B211" s="339" t="str">
        <x:v>Screen Type</x:v>
      </x:c>
      <x:c r="C211" s="339" t="str">
        <x:v>SCR-070</x:v>
      </x:c>
      <x:c r="D211" s="339" t="str">
        <x:v>Students</x:v>
      </x:c>
      <x:c r="E211" s="339" t="str">
        <x:v>Student Exit / Alumni Conversion</x:v>
      </x:c>
      <x:c r="F211" s="339" t="str">
        <x:v>Workflow / Management integrity rule</x:v>
      </x:c>
      <x:c r="G211" s="339" t="str">
        <x:v>State transitions are explicit, role-controlled and auditable; invalid transitions are rejected.</x:v>
      </x:c>
      <x:c r="H211" s="339" t="str">
        <x:v>Domain/service validation plus UI affordances.</x:v>
      </x:c>
      <x:c r="I211" s="339" t="str">
        <x:v>High</x:v>
      </x:c>
      <x:c r="J211" s="339" t="str">
        <x:v>No silent bypass; approved overrides must be separately authorized and audited.</x:v>
      </x:c>
    </x:row>
    <x:row r="212">
      <x:c r="A212" s="339" t="str">
        <x:v>BR-00211</x:v>
      </x:c>
      <x:c r="B212" s="339" t="str">
        <x:v>Screen</x:v>
      </x:c>
      <x:c r="C212" s="339" t="str">
        <x:v>SCR-071</x:v>
      </x:c>
      <x:c r="D212" s="339" t="str">
        <x:v>Parents &amp; Guardians</x:v>
      </x:c>
      <x:c r="E212" s="339" t="str">
        <x:v>Parent / Guardian Directory</x:v>
      </x:c>
      <x:c r="F212" s="339" t="str">
        <x:v>Parent &amp; Guardian Engagement rule 1</x:v>
      </x:c>
      <x:c r="G212" s="339" t="str">
        <x:v>Guardian access requires an active verified relationship to the student.</x:v>
      </x:c>
      <x:c r="H212" s="339" t="str">
        <x:v>Enforced in service/domain layer and reflected in UI validation/action availability.</x:v>
      </x:c>
      <x:c r="I212" s="339" t="str">
        <x:v>Medium</x:v>
      </x:c>
      <x:c r="J212" s="339" t="str">
        <x:v>Only an explicitly configured authorized override may bypass a non-statutory rule; overrides require reason and audit.</x:v>
      </x:c>
    </x:row>
    <x:row r="213">
      <x:c r="A213" s="339" t="str">
        <x:v>BR-00212</x:v>
      </x:c>
      <x:c r="B213" s="339" t="str">
        <x:v>Screen</x:v>
      </x:c>
      <x:c r="C213" s="339" t="str">
        <x:v>SCR-071</x:v>
      </x:c>
      <x:c r="D213" s="339" t="str">
        <x:v>Parents &amp; Guardians</x:v>
      </x:c>
      <x:c r="E213" s="339" t="str">
        <x:v>Parent / Guardian Directory</x:v>
      </x:c>
      <x:c r="F213" s="339" t="str">
        <x:v>Parent &amp; Guardian Engagement rule 2</x:v>
      </x:c>
      <x:c r="G213" s="339" t="str">
        <x:v>Financial, academic and communication visibility follows configured guardian permissions and custody restrictions.</x:v>
      </x:c>
      <x:c r="H213" s="339" t="str">
        <x:v>Enforced in service/domain layer and reflected in UI validation/action availability.</x:v>
      </x:c>
      <x:c r="I213" s="339" t="str">
        <x:v>Medium</x:v>
      </x:c>
      <x:c r="J213" s="339" t="str">
        <x:v>Only an explicitly configured authorized override may bypass a non-statutory rule; overrides require reason and audit.</x:v>
      </x:c>
    </x:row>
    <x:row r="214">
      <x:c r="A214" s="339" t="str">
        <x:v>BR-00213</x:v>
      </x:c>
      <x:c r="B214" s="339" t="str">
        <x:v>Screen Type</x:v>
      </x:c>
      <x:c r="C214" s="339" t="str">
        <x:v>SCR-071</x:v>
      </x:c>
      <x:c r="D214" s="339" t="str">
        <x:v>Parents &amp; Guardians</x:v>
      </x:c>
      <x:c r="E214" s="339" t="str">
        <x:v>Parent / Guardian Directory</x:v>
      </x:c>
      <x:c r="F214" s="339" t="str">
        <x:v>List / Management integrity rule</x:v>
      </x:c>
      <x:c r="G214" s="339" t="str">
        <x:v>Search, filters, exports and row actions must preserve the same authorization scope.</x:v>
      </x:c>
      <x:c r="H214" s="339" t="str">
        <x:v>Domain/service validation plus UI affordances.</x:v>
      </x:c>
      <x:c r="I214" s="339" t="str">
        <x:v>High</x:v>
      </x:c>
      <x:c r="J214" s="339" t="str">
        <x:v>No silent bypass; approved overrides must be separately authorized and audited.</x:v>
      </x:c>
    </x:row>
    <x:row r="215">
      <x:c r="A215" s="339" t="str">
        <x:v>BR-00214</x:v>
      </x:c>
      <x:c r="B215" s="339" t="str">
        <x:v>Screen</x:v>
      </x:c>
      <x:c r="C215" s="339" t="str">
        <x:v>SCR-072</x:v>
      </x:c>
      <x:c r="D215" s="339" t="str">
        <x:v>Parents &amp; Guardians</x:v>
      </x:c>
      <x:c r="E215" s="339" t="str">
        <x:v>Add Parent / Guardian</x:v>
      </x:c>
      <x:c r="F215" s="339" t="str">
        <x:v>Parent &amp; Guardian Engagement rule 1</x:v>
      </x:c>
      <x:c r="G215" s="339" t="str">
        <x:v>Financial, academic and communication visibility follows configured guardian permissions and custody restrictions.</x:v>
      </x:c>
      <x:c r="H215" s="339" t="str">
        <x:v>Enforced in service/domain layer and reflected in UI validation/action availability.</x:v>
      </x:c>
      <x:c r="I215" s="339" t="str">
        <x:v>Medium</x:v>
      </x:c>
      <x:c r="J215" s="339" t="str">
        <x:v>Only an explicitly configured authorized override may bypass a non-statutory rule; overrides require reason and audit.</x:v>
      </x:c>
    </x:row>
    <x:row r="216">
      <x:c r="A216" s="339" t="str">
        <x:v>BR-00215</x:v>
      </x:c>
      <x:c r="B216" s="339" t="str">
        <x:v>Screen</x:v>
      </x:c>
      <x:c r="C216" s="339" t="str">
        <x:v>SCR-072</x:v>
      </x:c>
      <x:c r="D216" s="339" t="str">
        <x:v>Parents &amp; Guardians</x:v>
      </x:c>
      <x:c r="E216" s="339" t="str">
        <x:v>Add Parent / Guardian</x:v>
      </x:c>
      <x:c r="F216" s="339" t="str">
        <x:v>Parent &amp; Guardian Engagement rule 2</x:v>
      </x:c>
      <x:c r="G216" s="339" t="str">
        <x:v>Contact changes affecting login or notifications require verification when configured.</x:v>
      </x:c>
      <x:c r="H216" s="339" t="str">
        <x:v>Enforced in service/domain layer and reflected in UI validation/action availability.</x:v>
      </x:c>
      <x:c r="I216" s="339" t="str">
        <x:v>Medium</x:v>
      </x:c>
      <x:c r="J216" s="339" t="str">
        <x:v>Only an explicitly configured authorized override may bypass a non-statutory rule; overrides require reason and audit.</x:v>
      </x:c>
    </x:row>
    <x:row r="217">
      <x:c r="A217" s="339" t="str">
        <x:v>BR-00216</x:v>
      </x:c>
      <x:c r="B217" s="339" t="str">
        <x:v>Screen Type</x:v>
      </x:c>
      <x:c r="C217" s="339" t="str">
        <x:v>SCR-072</x:v>
      </x:c>
      <x:c r="D217" s="339" t="str">
        <x:v>Parents &amp; Guardians</x:v>
      </x:c>
      <x:c r="E217" s="339" t="str">
        <x:v>Add Parent / Guardian</x:v>
      </x:c>
      <x:c r="F217" s="339" t="str">
        <x:v>Create / Transaction integrity rule</x:v>
      </x:c>
      <x:c r="G217" s="339" t="str">
        <x:v>A record is created only after all blocking validations, duplicate checks and reference checks pass.</x:v>
      </x:c>
      <x:c r="H217" s="339" t="str">
        <x:v>Domain/service validation plus UI affordances.</x:v>
      </x:c>
      <x:c r="I217" s="339" t="str">
        <x:v>High</x:v>
      </x:c>
      <x:c r="J217" s="339" t="str">
        <x:v>No silent bypass; approved overrides must be separately authorized and audited.</x:v>
      </x:c>
    </x:row>
    <x:row r="218">
      <x:c r="A218" s="339" t="str">
        <x:v>BR-00217</x:v>
      </x:c>
      <x:c r="B218" s="339" t="str">
        <x:v>Screen</x:v>
      </x:c>
      <x:c r="C218" s="339" t="str">
        <x:v>SCR-073</x:v>
      </x:c>
      <x:c r="D218" s="339" t="str">
        <x:v>Parents &amp; Guardians</x:v>
      </x:c>
      <x:c r="E218" s="339" t="str">
        <x:v>Parent Profile</x:v>
      </x:c>
      <x:c r="F218" s="339" t="str">
        <x:v>Parent &amp; Guardian Engagement rule 1</x:v>
      </x:c>
      <x:c r="G218" s="339" t="str">
        <x:v>Contact changes affecting login or notifications require verification when configured.</x:v>
      </x:c>
      <x:c r="H218" s="339" t="str">
        <x:v>Enforced in service/domain layer and reflected in UI validation/action availability.</x:v>
      </x:c>
      <x:c r="I218" s="339" t="str">
        <x:v>Medium</x:v>
      </x:c>
      <x:c r="J218" s="339" t="str">
        <x:v>Only an explicitly configured authorized override may bypass a non-statutory rule; overrides require reason and audit.</x:v>
      </x:c>
    </x:row>
    <x:row r="219">
      <x:c r="A219" s="339" t="str">
        <x:v>BR-00218</x:v>
      </x:c>
      <x:c r="B219" s="339" t="str">
        <x:v>Screen</x:v>
      </x:c>
      <x:c r="C219" s="339" t="str">
        <x:v>SCR-073</x:v>
      </x:c>
      <x:c r="D219" s="339" t="str">
        <x:v>Parents &amp; Guardians</x:v>
      </x:c>
      <x:c r="E219" s="339" t="str">
        <x:v>Parent Profile</x:v>
      </x:c>
      <x:c r="F219" s="339" t="str">
        <x:v>Parent &amp; Guardian Engagement rule 2</x:v>
      </x:c>
      <x:c r="G219" s="339" t="str">
        <x:v>Guardian unlinking must not delete historical communications or payments.</x:v>
      </x:c>
      <x:c r="H219" s="339" t="str">
        <x:v>Enforced in service/domain layer and reflected in UI validation/action availability.</x:v>
      </x:c>
      <x:c r="I219" s="339" t="str">
        <x:v>Medium</x:v>
      </x:c>
      <x:c r="J219" s="339" t="str">
        <x:v>Only an explicitly configured authorized override may bypass a non-statutory rule; overrides require reason and audit.</x:v>
      </x:c>
    </x:row>
    <x:row r="220">
      <x:c r="A220" s="339" t="str">
        <x:v>BR-00219</x:v>
      </x:c>
      <x:c r="B220" s="339" t="str">
        <x:v>Screen Type</x:v>
      </x:c>
      <x:c r="C220" s="339" t="str">
        <x:v>SCR-073</x:v>
      </x:c>
      <x:c r="D220" s="339" t="str">
        <x:v>Parents &amp; Guardians</x:v>
      </x:c>
      <x:c r="E220" s="339" t="str">
        <x:v>Parent Profile</x:v>
      </x:c>
      <x:c r="F220" s="339" t="str">
        <x:v>Detail / Profile integrity rule</x:v>
      </x:c>
      <x:c r="G220" s="339" t="str">
        <x:v>Concurrent updates must not silently overwrite newer data; material edits are audited.</x:v>
      </x:c>
      <x:c r="H220" s="339" t="str">
        <x:v>Domain/service validation plus UI affordances.</x:v>
      </x:c>
      <x:c r="I220" s="339" t="str">
        <x:v>High</x:v>
      </x:c>
      <x:c r="J220" s="339" t="str">
        <x:v>No silent bypass; approved overrides must be separately authorized and audited.</x:v>
      </x:c>
    </x:row>
    <x:row r="221">
      <x:c r="A221" s="339" t="str">
        <x:v>BR-00220</x:v>
      </x:c>
      <x:c r="B221" s="339" t="str">
        <x:v>Screen</x:v>
      </x:c>
      <x:c r="C221" s="339" t="str">
        <x:v>SCR-074</x:v>
      </x:c>
      <x:c r="D221" s="339" t="str">
        <x:v>Parents &amp; Guardians</x:v>
      </x:c>
      <x:c r="E221" s="339" t="str">
        <x:v>Link Children</x:v>
      </x:c>
      <x:c r="F221" s="339" t="str">
        <x:v>Parent &amp; Guardian Engagement rule 1</x:v>
      </x:c>
      <x:c r="G221" s="339" t="str">
        <x:v>Guardian unlinking must not delete historical communications or payments.</x:v>
      </x:c>
      <x:c r="H221" s="339" t="str">
        <x:v>Enforced in service/domain layer and reflected in UI validation/action availability.</x:v>
      </x:c>
      <x:c r="I221" s="339" t="str">
        <x:v>Medium</x:v>
      </x:c>
      <x:c r="J221" s="339" t="str">
        <x:v>Only an explicitly configured authorized override may bypass a non-statutory rule; overrides require reason and audit.</x:v>
      </x:c>
    </x:row>
    <x:row r="222">
      <x:c r="A222" s="339" t="str">
        <x:v>BR-00221</x:v>
      </x:c>
      <x:c r="B222" s="339" t="str">
        <x:v>Screen</x:v>
      </x:c>
      <x:c r="C222" s="339" t="str">
        <x:v>SCR-074</x:v>
      </x:c>
      <x:c r="D222" s="339" t="str">
        <x:v>Parents &amp; Guardians</x:v>
      </x:c>
      <x:c r="E222" s="339" t="str">
        <x:v>Link Children</x:v>
      </x:c>
      <x:c r="F222" s="339" t="str">
        <x:v>Parent &amp; Guardian Engagement rule 2</x:v>
      </x:c>
      <x:c r="G222" s="339" t="str">
        <x:v>A guardian may be linked to multiple students and a student may have multiple authorized guardians.</x:v>
      </x:c>
      <x:c r="H222" s="339" t="str">
        <x:v>Enforced in service/domain layer and reflected in UI validation/action availability.</x:v>
      </x:c>
      <x:c r="I222" s="339" t="str">
        <x:v>Medium</x:v>
      </x:c>
      <x:c r="J222" s="339" t="str">
        <x:v>Only an explicitly configured authorized override may bypass a non-statutory rule; overrides require reason and audit.</x:v>
      </x:c>
    </x:row>
    <x:row r="223">
      <x:c r="A223" s="339" t="str">
        <x:v>BR-00222</x:v>
      </x:c>
      <x:c r="B223" s="339" t="str">
        <x:v>Screen Type</x:v>
      </x:c>
      <x:c r="C223" s="339" t="str">
        <x:v>SCR-074</x:v>
      </x:c>
      <x:c r="D223" s="339" t="str">
        <x:v>Parents &amp; Guardians</x:v>
      </x:c>
      <x:c r="E223" s="339" t="str">
        <x:v>Link Children</x:v>
      </x:c>
      <x:c r="F223" s="339" t="str">
        <x:v>Workflow / Management integrity rule</x:v>
      </x:c>
      <x:c r="G223" s="339" t="str">
        <x:v>State transitions are explicit, role-controlled and auditable; invalid transitions are rejected.</x:v>
      </x:c>
      <x:c r="H223" s="339" t="str">
        <x:v>Domain/service validation plus UI affordances.</x:v>
      </x:c>
      <x:c r="I223" s="339" t="str">
        <x:v>High</x:v>
      </x:c>
      <x:c r="J223" s="339" t="str">
        <x:v>No silent bypass; approved overrides must be separately authorized and audited.</x:v>
      </x:c>
    </x:row>
    <x:row r="224">
      <x:c r="A224" s="339" t="str">
        <x:v>BR-00223</x:v>
      </x:c>
      <x:c r="B224" s="339" t="str">
        <x:v>Screen</x:v>
      </x:c>
      <x:c r="C224" s="339" t="str">
        <x:v>SCR-075</x:v>
      </x:c>
      <x:c r="D224" s="339" t="str">
        <x:v>Parents &amp; Guardians</x:v>
      </x:c>
      <x:c r="E224" s="339" t="str">
        <x:v>Communication Preferences</x:v>
      </x:c>
      <x:c r="F224" s="339" t="str">
        <x:v>Parent &amp; Guardian Engagement rule 1</x:v>
      </x:c>
      <x:c r="G224" s="339" t="str">
        <x:v>A guardian may be linked to multiple students and a student may have multiple authorized guardians.</x:v>
      </x:c>
      <x:c r="H224" s="339" t="str">
        <x:v>Enforced in service/domain layer and reflected in UI validation/action availability.</x:v>
      </x:c>
      <x:c r="I224" s="339" t="str">
        <x:v>Medium</x:v>
      </x:c>
      <x:c r="J224" s="339" t="str">
        <x:v>Only an explicitly configured authorized override may bypass a non-statutory rule; overrides require reason and audit.</x:v>
      </x:c>
    </x:row>
    <x:row r="225">
      <x:c r="A225" s="339" t="str">
        <x:v>BR-00224</x:v>
      </x:c>
      <x:c r="B225" s="339" t="str">
        <x:v>Screen</x:v>
      </x:c>
      <x:c r="C225" s="339" t="str">
        <x:v>SCR-075</x:v>
      </x:c>
      <x:c r="D225" s="339" t="str">
        <x:v>Parents &amp; Guardians</x:v>
      </x:c>
      <x:c r="E225" s="339" t="str">
        <x:v>Communication Preferences</x:v>
      </x:c>
      <x:c r="F225" s="339" t="str">
        <x:v>Parent &amp; Guardian Engagement rule 2</x:v>
      </x:c>
      <x:c r="G225" s="339" t="str">
        <x:v>Guardian access requires an active verified relationship to the student.</x:v>
      </x:c>
      <x:c r="H225" s="339" t="str">
        <x:v>Enforced in service/domain layer and reflected in UI validation/action availability.</x:v>
      </x:c>
      <x:c r="I225" s="339" t="str">
        <x:v>Medium</x:v>
      </x:c>
      <x:c r="J225" s="339" t="str">
        <x:v>Only an explicitly configured authorized override may bypass a non-statutory rule; overrides require reason and audit.</x:v>
      </x:c>
    </x:row>
    <x:row r="226">
      <x:c r="A226" s="339" t="str">
        <x:v>BR-00225</x:v>
      </x:c>
      <x:c r="B226" s="339" t="str">
        <x:v>Screen Type</x:v>
      </x:c>
      <x:c r="C226" s="339" t="str">
        <x:v>SCR-075</x:v>
      </x:c>
      <x:c r="D226" s="339" t="str">
        <x:v>Parents &amp; Guardians</x:v>
      </x:c>
      <x:c r="E226" s="339" t="str">
        <x:v>Communication Preferences</x:v>
      </x:c>
      <x:c r="F226" s="339" t="str">
        <x:v>Configuration integrity rule</x:v>
      </x:c>
      <x:c r="G226" s="339" t="str">
        <x:v>Referenced master/configuration data is not hard-deleted; use effective dating, versioning or inactivation.</x:v>
      </x:c>
      <x:c r="H226" s="339" t="str">
        <x:v>Domain/service validation plus UI affordances.</x:v>
      </x:c>
      <x:c r="I226" s="339" t="str">
        <x:v>High</x:v>
      </x:c>
      <x:c r="J226" s="339" t="str">
        <x:v>No silent bypass; approved overrides must be separately authorized and audited.</x:v>
      </x:c>
    </x:row>
    <x:row r="227">
      <x:c r="A227" s="339" t="str">
        <x:v>BR-00226</x:v>
      </x:c>
      <x:c r="B227" s="339" t="str">
        <x:v>Screen</x:v>
      </x:c>
      <x:c r="C227" s="339" t="str">
        <x:v>SCR-076</x:v>
      </x:c>
      <x:c r="D227" s="339" t="str">
        <x:v>Parents &amp; Guardians</x:v>
      </x:c>
      <x:c r="E227" s="339" t="str">
        <x:v>Parent Login Access</x:v>
      </x:c>
      <x:c r="F227" s="339" t="str">
        <x:v>Parent &amp; Guardian Engagement rule 1</x:v>
      </x:c>
      <x:c r="G227" s="339" t="str">
        <x:v>Guardian access requires an active verified relationship to the student.</x:v>
      </x:c>
      <x:c r="H227" s="339" t="str">
        <x:v>Enforced in service/domain layer and reflected in UI validation/action availability.</x:v>
      </x:c>
      <x:c r="I227" s="339" t="str">
        <x:v>Medium</x:v>
      </x:c>
      <x:c r="J227" s="339" t="str">
        <x:v>Only an explicitly configured authorized override may bypass a non-statutory rule; overrides require reason and audit.</x:v>
      </x:c>
    </x:row>
    <x:row r="228">
      <x:c r="A228" s="339" t="str">
        <x:v>BR-00227</x:v>
      </x:c>
      <x:c r="B228" s="339" t="str">
        <x:v>Screen</x:v>
      </x:c>
      <x:c r="C228" s="339" t="str">
        <x:v>SCR-076</x:v>
      </x:c>
      <x:c r="D228" s="339" t="str">
        <x:v>Parents &amp; Guardians</x:v>
      </x:c>
      <x:c r="E228" s="339" t="str">
        <x:v>Parent Login Access</x:v>
      </x:c>
      <x:c r="F228" s="339" t="str">
        <x:v>Parent &amp; Guardian Engagement rule 2</x:v>
      </x:c>
      <x:c r="G228" s="339" t="str">
        <x:v>Financial, academic and communication visibility follows configured guardian permissions and custody restrictions.</x:v>
      </x:c>
      <x:c r="H228" s="339" t="str">
        <x:v>Enforced in service/domain layer and reflected in UI validation/action availability.</x:v>
      </x:c>
      <x:c r="I228" s="339" t="str">
        <x:v>Medium</x:v>
      </x:c>
      <x:c r="J228" s="339" t="str">
        <x:v>Only an explicitly configured authorized override may bypass a non-statutory rule; overrides require reason and audit.</x:v>
      </x:c>
    </x:row>
    <x:row r="229">
      <x:c r="A229" s="339" t="str">
        <x:v>BR-00228</x:v>
      </x:c>
      <x:c r="B229" s="339" t="str">
        <x:v>Screen Type</x:v>
      </x:c>
      <x:c r="C229" s="339" t="str">
        <x:v>SCR-076</x:v>
      </x:c>
      <x:c r="D229" s="339" t="str">
        <x:v>Parents &amp; Guardians</x:v>
      </x:c>
      <x:c r="E229" s="339" t="str">
        <x:v>Parent Login Access</x:v>
      </x:c>
      <x:c r="F229" s="339" t="str">
        <x:v>Workflow / Management integrity rule</x:v>
      </x:c>
      <x:c r="G229" s="339" t="str">
        <x:v>State transitions are explicit, role-controlled and auditable; invalid transitions are rejected.</x:v>
      </x:c>
      <x:c r="H229" s="339" t="str">
        <x:v>Domain/service validation plus UI affordances.</x:v>
      </x:c>
      <x:c r="I229" s="339" t="str">
        <x:v>High</x:v>
      </x:c>
      <x:c r="J229" s="339" t="str">
        <x:v>No silent bypass; approved overrides must be separately authorized and audited.</x:v>
      </x:c>
    </x:row>
    <x:row r="230">
      <x:c r="A230" s="339" t="str">
        <x:v>BR-00229</x:v>
      </x:c>
      <x:c r="B230" s="339" t="str">
        <x:v>Screen</x:v>
      </x:c>
      <x:c r="C230" s="339" t="str">
        <x:v>SCR-077</x:v>
      </x:c>
      <x:c r="D230" s="339" t="str">
        <x:v>Parents &amp; Guardians</x:v>
      </x:c>
      <x:c r="E230" s="339" t="str">
        <x:v>Parent-Teacher Interactions</x:v>
      </x:c>
      <x:c r="F230" s="339" t="str">
        <x:v>Parent &amp; Guardian Engagement rule 1</x:v>
      </x:c>
      <x:c r="G230" s="339" t="str">
        <x:v>Financial, academic and communication visibility follows configured guardian permissions and custody restrictions.</x:v>
      </x:c>
      <x:c r="H230" s="339" t="str">
        <x:v>Enforced in service/domain layer and reflected in UI validation/action availability.</x:v>
      </x:c>
      <x:c r="I230" s="339" t="str">
        <x:v>Medium</x:v>
      </x:c>
      <x:c r="J230" s="339" t="str">
        <x:v>Only an explicitly configured authorized override may bypass a non-statutory rule; overrides require reason and audit.</x:v>
      </x:c>
    </x:row>
    <x:row r="231">
      <x:c r="A231" s="339" t="str">
        <x:v>BR-00230</x:v>
      </x:c>
      <x:c r="B231" s="339" t="str">
        <x:v>Screen</x:v>
      </x:c>
      <x:c r="C231" s="339" t="str">
        <x:v>SCR-077</x:v>
      </x:c>
      <x:c r="D231" s="339" t="str">
        <x:v>Parents &amp; Guardians</x:v>
      </x:c>
      <x:c r="E231" s="339" t="str">
        <x:v>Parent-Teacher Interactions</x:v>
      </x:c>
      <x:c r="F231" s="339" t="str">
        <x:v>Parent &amp; Guardian Engagement rule 2</x:v>
      </x:c>
      <x:c r="G231" s="339" t="str">
        <x:v>Contact changes affecting login or notifications require verification when configured.</x:v>
      </x:c>
      <x:c r="H231" s="339" t="str">
        <x:v>Enforced in service/domain layer and reflected in UI validation/action availability.</x:v>
      </x:c>
      <x:c r="I231" s="339" t="str">
        <x:v>Medium</x:v>
      </x:c>
      <x:c r="J231" s="339" t="str">
        <x:v>Only an explicitly configured authorized override may bypass a non-statutory rule; overrides require reason and audit.</x:v>
      </x:c>
    </x:row>
    <x:row r="232">
      <x:c r="A232" s="339" t="str">
        <x:v>BR-00231</x:v>
      </x:c>
      <x:c r="B232" s="339" t="str">
        <x:v>Screen Type</x:v>
      </x:c>
      <x:c r="C232" s="339" t="str">
        <x:v>SCR-077</x:v>
      </x:c>
      <x:c r="D232" s="339" t="str">
        <x:v>Parents &amp; Guardians</x:v>
      </x:c>
      <x:c r="E232" s="339" t="str">
        <x:v>Parent-Teacher Interactions</x:v>
      </x:c>
      <x:c r="F232" s="339" t="str">
        <x:v>Workflow / Management integrity rule</x:v>
      </x:c>
      <x:c r="G232" s="339" t="str">
        <x:v>State transitions are explicit, role-controlled and auditable; invalid transitions are rejected.</x:v>
      </x:c>
      <x:c r="H232" s="339" t="str">
        <x:v>Domain/service validation plus UI affordances.</x:v>
      </x:c>
      <x:c r="I232" s="339" t="str">
        <x:v>High</x:v>
      </x:c>
      <x:c r="J232" s="339" t="str">
        <x:v>No silent bypass; approved overrides must be separately authorized and audited.</x:v>
      </x:c>
    </x:row>
    <x:row r="233">
      <x:c r="A233" s="339" t="str">
        <x:v>BR-00232</x:v>
      </x:c>
      <x:c r="B233" s="339" t="str">
        <x:v>Screen</x:v>
      </x:c>
      <x:c r="C233" s="339" t="str">
        <x:v>SCR-078</x:v>
      </x:c>
      <x:c r="D233" s="339" t="str">
        <x:v>Parents &amp; Guardians</x:v>
      </x:c>
      <x:c r="E233" s="339" t="str">
        <x:v>Parent Payments &amp; Receipts</x:v>
      </x:c>
      <x:c r="F233" s="339" t="str">
        <x:v>Parent &amp; Guardian Engagement rule 1</x:v>
      </x:c>
      <x:c r="G233" s="339" t="str">
        <x:v>Contact changes affecting login or notifications require verification when configured.</x:v>
      </x:c>
      <x:c r="H233" s="339" t="str">
        <x:v>Enforced in service/domain layer and reflected in UI validation/action availability.</x:v>
      </x:c>
      <x:c r="I233" s="339" t="str">
        <x:v>Medium</x:v>
      </x:c>
      <x:c r="J233" s="339" t="str">
        <x:v>Only an explicitly configured authorized override may bypass a non-statutory rule; overrides require reason and audit.</x:v>
      </x:c>
    </x:row>
    <x:row r="234">
      <x:c r="A234" s="339" t="str">
        <x:v>BR-00233</x:v>
      </x:c>
      <x:c r="B234" s="339" t="str">
        <x:v>Screen</x:v>
      </x:c>
      <x:c r="C234" s="339" t="str">
        <x:v>SCR-078</x:v>
      </x:c>
      <x:c r="D234" s="339" t="str">
        <x:v>Parents &amp; Guardians</x:v>
      </x:c>
      <x:c r="E234" s="339" t="str">
        <x:v>Parent Payments &amp; Receipts</x:v>
      </x:c>
      <x:c r="F234" s="339" t="str">
        <x:v>Parent &amp; Guardian Engagement rule 2</x:v>
      </x:c>
      <x:c r="G234" s="339" t="str">
        <x:v>Guardian unlinking must not delete historical communications or payments.</x:v>
      </x:c>
      <x:c r="H234" s="339" t="str">
        <x:v>Enforced in service/domain layer and reflected in UI validation/action availability.</x:v>
      </x:c>
      <x:c r="I234" s="339" t="str">
        <x:v>Medium</x:v>
      </x:c>
      <x:c r="J234" s="339" t="str">
        <x:v>Only an explicitly configured authorized override may bypass a non-statutory rule; overrides require reason and audit.</x:v>
      </x:c>
    </x:row>
    <x:row r="235">
      <x:c r="A235" s="339" t="str">
        <x:v>BR-00234</x:v>
      </x:c>
      <x:c r="B235" s="339" t="str">
        <x:v>Screen Type</x:v>
      </x:c>
      <x:c r="C235" s="339" t="str">
        <x:v>SCR-078</x:v>
      </x:c>
      <x:c r="D235" s="339" t="str">
        <x:v>Parents &amp; Guardians</x:v>
      </x:c>
      <x:c r="E235" s="339" t="str">
        <x:v>Parent Payments &amp; Receipts</x:v>
      </x:c>
      <x:c r="F235" s="339" t="str">
        <x:v>Detail / Profile integrity rule</x:v>
      </x:c>
      <x:c r="G235" s="339" t="str">
        <x:v>Concurrent updates must not silently overwrite newer data; material edits are audited.</x:v>
      </x:c>
      <x:c r="H235" s="339" t="str">
        <x:v>Domain/service validation plus UI affordances.</x:v>
      </x:c>
      <x:c r="I235" s="339" t="str">
        <x:v>High</x:v>
      </x:c>
      <x:c r="J235" s="339" t="str">
        <x:v>No silent bypass; approved overrides must be separately authorized and audited.</x:v>
      </x:c>
    </x:row>
    <x:row r="236">
      <x:c r="A236" s="339" t="str">
        <x:v>BR-00235</x:v>
      </x:c>
      <x:c r="B236" s="339" t="str">
        <x:v>Screen</x:v>
      </x:c>
      <x:c r="C236" s="339" t="str">
        <x:v>SCR-079</x:v>
      </x:c>
      <x:c r="D236" s="339" t="str">
        <x:v>Parents &amp; Guardians</x:v>
      </x:c>
      <x:c r="E236" s="339" t="str">
        <x:v>Parent Activity History</x:v>
      </x:c>
      <x:c r="F236" s="339" t="str">
        <x:v>Parent &amp; Guardian Engagement rule 1</x:v>
      </x:c>
      <x:c r="G236" s="339" t="str">
        <x:v>Guardian unlinking must not delete historical communications or payments.</x:v>
      </x:c>
      <x:c r="H236" s="339" t="str">
        <x:v>Enforced in service/domain layer and reflected in UI validation/action availability.</x:v>
      </x:c>
      <x:c r="I236" s="339" t="str">
        <x:v>Medium</x:v>
      </x:c>
      <x:c r="J236" s="339" t="str">
        <x:v>Only an explicitly configured authorized override may bypass a non-statutory rule; overrides require reason and audit.</x:v>
      </x:c>
    </x:row>
    <x:row r="237">
      <x:c r="A237" s="339" t="str">
        <x:v>BR-00236</x:v>
      </x:c>
      <x:c r="B237" s="339" t="str">
        <x:v>Screen</x:v>
      </x:c>
      <x:c r="C237" s="339" t="str">
        <x:v>SCR-079</x:v>
      </x:c>
      <x:c r="D237" s="339" t="str">
        <x:v>Parents &amp; Guardians</x:v>
      </x:c>
      <x:c r="E237" s="339" t="str">
        <x:v>Parent Activity History</x:v>
      </x:c>
      <x:c r="F237" s="339" t="str">
        <x:v>Parent &amp; Guardian Engagement rule 2</x:v>
      </x:c>
      <x:c r="G237" s="339" t="str">
        <x:v>A guardian may be linked to multiple students and a student may have multiple authorized guardians.</x:v>
      </x:c>
      <x:c r="H237" s="339" t="str">
        <x:v>Enforced in service/domain layer and reflected in UI validation/action availability.</x:v>
      </x:c>
      <x:c r="I237" s="339" t="str">
        <x:v>Medium</x:v>
      </x:c>
      <x:c r="J237" s="339" t="str">
        <x:v>Only an explicitly configured authorized override may bypass a non-statutory rule; overrides require reason and audit.</x:v>
      </x:c>
    </x:row>
    <x:row r="238">
      <x:c r="A238" s="339" t="str">
        <x:v>BR-00237</x:v>
      </x:c>
      <x:c r="B238" s="339" t="str">
        <x:v>Screen Type</x:v>
      </x:c>
      <x:c r="C238" s="339" t="str">
        <x:v>SCR-079</x:v>
      </x:c>
      <x:c r="D238" s="339" t="str">
        <x:v>Parents &amp; Guardians</x:v>
      </x:c>
      <x:c r="E238" s="339" t="str">
        <x:v>Parent Activity History</x:v>
      </x:c>
      <x:c r="F238" s="339" t="str">
        <x:v>Detail / Profile integrity rule</x:v>
      </x:c>
      <x:c r="G238" s="339" t="str">
        <x:v>Concurrent updates must not silently overwrite newer data; material edits are audited.</x:v>
      </x:c>
      <x:c r="H238" s="339" t="str">
        <x:v>Domain/service validation plus UI affordances.</x:v>
      </x:c>
      <x:c r="I238" s="339" t="str">
        <x:v>High</x:v>
      </x:c>
      <x:c r="J238" s="339" t="str">
        <x:v>No silent bypass; approved overrides must be separately authorized and audited.</x:v>
      </x:c>
    </x:row>
    <x:row r="239">
      <x:c r="A239" s="339" t="str">
        <x:v>BR-00238</x:v>
      </x:c>
      <x:c r="B239" s="339" t="str">
        <x:v>Screen</x:v>
      </x:c>
      <x:c r="C239" s="339" t="str">
        <x:v>SCR-080</x:v>
      </x:c>
      <x:c r="D239" s="339" t="str">
        <x:v>Teachers &amp; Staff</x:v>
      </x:c>
      <x:c r="E239" s="339" t="str">
        <x:v>Staff Directory</x:v>
      </x:c>
      <x:c r="F239" s="339" t="str">
        <x:v>Teacher &amp; Staff Master Management rule 1</x:v>
      </x:c>
      <x:c r="G239" s="339" t="str">
        <x:v>Employee IDs must be unique within the configured organization scope.</x:v>
      </x:c>
      <x:c r="H239" s="339" t="str">
        <x:v>Enforced in service/domain layer and reflected in UI validation/action availability.</x:v>
      </x:c>
      <x:c r="I239" s="339" t="str">
        <x:v>Medium</x:v>
      </x:c>
      <x:c r="J239" s="339" t="str">
        <x:v>Only an explicitly configured authorized override may bypass a non-statutory rule; overrides require reason and audit.</x:v>
      </x:c>
    </x:row>
    <x:row r="240">
      <x:c r="A240" s="339" t="str">
        <x:v>BR-00239</x:v>
      </x:c>
      <x:c r="B240" s="339" t="str">
        <x:v>Screen</x:v>
      </x:c>
      <x:c r="C240" s="339" t="str">
        <x:v>SCR-080</x:v>
      </x:c>
      <x:c r="D240" s="339" t="str">
        <x:v>Teachers &amp; Staff</x:v>
      </x:c>
      <x:c r="E240" s="339" t="str">
        <x:v>Staff Directory</x:v>
      </x:c>
      <x:c r="F240" s="339" t="str">
        <x:v>Teacher &amp; Staff Master Management rule 2</x:v>
      </x:c>
      <x:c r="G240" s="339" t="str">
        <x:v>A teacher can only be assigned to active classes/subjects for periods within their employment and academic-year validity.</x:v>
      </x:c>
      <x:c r="H240" s="339" t="str">
        <x:v>Enforced in service/domain layer and reflected in UI validation/action availability.</x:v>
      </x:c>
      <x:c r="I240" s="339" t="str">
        <x:v>Medium</x:v>
      </x:c>
      <x:c r="J240" s="339" t="str">
        <x:v>Only an explicitly configured authorized override may bypass a non-statutory rule; overrides require reason and audit.</x:v>
      </x:c>
    </x:row>
    <x:row r="241">
      <x:c r="A241" s="339" t="str">
        <x:v>BR-00240</x:v>
      </x:c>
      <x:c r="B241" s="339" t="str">
        <x:v>Screen Type</x:v>
      </x:c>
      <x:c r="C241" s="339" t="str">
        <x:v>SCR-080</x:v>
      </x:c>
      <x:c r="D241" s="339" t="str">
        <x:v>Teachers &amp; Staff</x:v>
      </x:c>
      <x:c r="E241" s="339" t="str">
        <x:v>Staff Directory</x:v>
      </x:c>
      <x:c r="F241" s="339" t="str">
        <x:v>List / Management integrity rule</x:v>
      </x:c>
      <x:c r="G241" s="339" t="str">
        <x:v>Search, filters, exports and row actions must preserve the same authorization scope.</x:v>
      </x:c>
      <x:c r="H241" s="339" t="str">
        <x:v>Domain/service validation plus UI affordances.</x:v>
      </x:c>
      <x:c r="I241" s="339" t="str">
        <x:v>High</x:v>
      </x:c>
      <x:c r="J241" s="339" t="str">
        <x:v>No silent bypass; approved overrides must be separately authorized and audited.</x:v>
      </x:c>
    </x:row>
    <x:row r="242">
      <x:c r="A242" s="339" t="str">
        <x:v>BR-00241</x:v>
      </x:c>
      <x:c r="B242" s="339" t="str">
        <x:v>Screen</x:v>
      </x:c>
      <x:c r="C242" s="339" t="str">
        <x:v>SCR-081</x:v>
      </x:c>
      <x:c r="D242" s="339" t="str">
        <x:v>Teachers &amp; Staff</x:v>
      </x:c>
      <x:c r="E242" s="339" t="str">
        <x:v>Add Staff</x:v>
      </x:c>
      <x:c r="F242" s="339" t="str">
        <x:v>Teacher &amp; Staff Master Management rule 1</x:v>
      </x:c>
      <x:c r="G242" s="339" t="str">
        <x:v>A teacher can only be assigned to active classes/subjects for periods within their employment and academic-year validity.</x:v>
      </x:c>
      <x:c r="H242" s="339" t="str">
        <x:v>Enforced in service/domain layer and reflected in UI validation/action availability.</x:v>
      </x:c>
      <x:c r="I242" s="339" t="str">
        <x:v>Medium</x:v>
      </x:c>
      <x:c r="J242" s="339" t="str">
        <x:v>Only an explicitly configured authorized override may bypass a non-statutory rule; overrides require reason and audit.</x:v>
      </x:c>
    </x:row>
    <x:row r="243">
      <x:c r="A243" s="339" t="str">
        <x:v>BR-00242</x:v>
      </x:c>
      <x:c r="B243" s="339" t="str">
        <x:v>Screen</x:v>
      </x:c>
      <x:c r="C243" s="339" t="str">
        <x:v>SCR-081</x:v>
      </x:c>
      <x:c r="D243" s="339" t="str">
        <x:v>Teachers &amp; Staff</x:v>
      </x:c>
      <x:c r="E243" s="339" t="str">
        <x:v>Add Staff</x:v>
      </x:c>
      <x:c r="F243" s="339" t="str">
        <x:v>Teacher &amp; Staff Master Management rule 2</x:v>
      </x:c>
      <x:c r="G243" s="339" t="str">
        <x:v>Conflicting teacher allocations must be prevented or explicitly overridden by authorized users.</x:v>
      </x:c>
      <x:c r="H243" s="339" t="str">
        <x:v>Enforced in service/domain layer and reflected in UI validation/action availability.</x:v>
      </x:c>
      <x:c r="I243" s="339" t="str">
        <x:v>Medium</x:v>
      </x:c>
      <x:c r="J243" s="339" t="str">
        <x:v>Only an explicitly configured authorized override may bypass a non-statutory rule; overrides require reason and audit.</x:v>
      </x:c>
    </x:row>
    <x:row r="244">
      <x:c r="A244" s="339" t="str">
        <x:v>BR-00243</x:v>
      </x:c>
      <x:c r="B244" s="339" t="str">
        <x:v>Screen Type</x:v>
      </x:c>
      <x:c r="C244" s="339" t="str">
        <x:v>SCR-081</x:v>
      </x:c>
      <x:c r="D244" s="339" t="str">
        <x:v>Teachers &amp; Staff</x:v>
      </x:c>
      <x:c r="E244" s="339" t="str">
        <x:v>Add Staff</x:v>
      </x:c>
      <x:c r="F244" s="339" t="str">
        <x:v>Create / Transaction integrity rule</x:v>
      </x:c>
      <x:c r="G244" s="339" t="str">
        <x:v>A record is created only after all blocking validations, duplicate checks and reference checks pass.</x:v>
      </x:c>
      <x:c r="H244" s="339" t="str">
        <x:v>Domain/service validation plus UI affordances.</x:v>
      </x:c>
      <x:c r="I244" s="339" t="str">
        <x:v>High</x:v>
      </x:c>
      <x:c r="J244" s="339" t="str">
        <x:v>No silent bypass; approved overrides must be separately authorized and audited.</x:v>
      </x:c>
    </x:row>
    <x:row r="245">
      <x:c r="A245" s="339" t="str">
        <x:v>BR-00244</x:v>
      </x:c>
      <x:c r="B245" s="339" t="str">
        <x:v>Screen</x:v>
      </x:c>
      <x:c r="C245" s="339" t="str">
        <x:v>SCR-082</x:v>
      </x:c>
      <x:c r="D245" s="339" t="str">
        <x:v>Teachers &amp; Staff</x:v>
      </x:c>
      <x:c r="E245" s="339" t="str">
        <x:v>Staff Profile</x:v>
      </x:c>
      <x:c r="F245" s="339" t="str">
        <x:v>Teacher &amp; Staff Master Management rule 1</x:v>
      </x:c>
      <x:c r="G245" s="339" t="str">
        <x:v>Conflicting teacher allocations must be prevented or explicitly overridden by authorized users.</x:v>
      </x:c>
      <x:c r="H245" s="339" t="str">
        <x:v>Enforced in service/domain layer and reflected in UI validation/action availability.</x:v>
      </x:c>
      <x:c r="I245" s="339" t="str">
        <x:v>Medium</x:v>
      </x:c>
      <x:c r="J245" s="339" t="str">
        <x:v>Only an explicitly configured authorized override may bypass a non-statutory rule; overrides require reason and audit.</x:v>
      </x:c>
    </x:row>
    <x:row r="246">
      <x:c r="A246" s="339" t="str">
        <x:v>BR-00245</x:v>
      </x:c>
      <x:c r="B246" s="339" t="str">
        <x:v>Screen</x:v>
      </x:c>
      <x:c r="C246" s="339" t="str">
        <x:v>SCR-082</x:v>
      </x:c>
      <x:c r="D246" s="339" t="str">
        <x:v>Teachers &amp; Staff</x:v>
      </x:c>
      <x:c r="E246" s="339" t="str">
        <x:v>Staff Profile</x:v>
      </x:c>
      <x:c r="F246" s="339" t="str">
        <x:v>Teacher &amp; Staff Master Management rule 2</x:v>
      </x:c>
      <x:c r="G246" s="339" t="str">
        <x:v>Qualification and compliance documents may be required before certain assignments.</x:v>
      </x:c>
      <x:c r="H246" s="339" t="str">
        <x:v>Enforced in service/domain layer and reflected in UI validation/action availability.</x:v>
      </x:c>
      <x:c r="I246" s="339" t="str">
        <x:v>Medium</x:v>
      </x:c>
      <x:c r="J246" s="339" t="str">
        <x:v>Only an explicitly configured authorized override may bypass a non-statutory rule; overrides require reason and audit.</x:v>
      </x:c>
    </x:row>
    <x:row r="247">
      <x:c r="A247" s="339" t="str">
        <x:v>BR-00246</x:v>
      </x:c>
      <x:c r="B247" s="339" t="str">
        <x:v>Screen Type</x:v>
      </x:c>
      <x:c r="C247" s="339" t="str">
        <x:v>SCR-082</x:v>
      </x:c>
      <x:c r="D247" s="339" t="str">
        <x:v>Teachers &amp; Staff</x:v>
      </x:c>
      <x:c r="E247" s="339" t="str">
        <x:v>Staff Profile</x:v>
      </x:c>
      <x:c r="F247" s="339" t="str">
        <x:v>Detail / Profile integrity rule</x:v>
      </x:c>
      <x:c r="G247" s="339" t="str">
        <x:v>Concurrent updates must not silently overwrite newer data; material edits are audited.</x:v>
      </x:c>
      <x:c r="H247" s="339" t="str">
        <x:v>Domain/service validation plus UI affordances.</x:v>
      </x:c>
      <x:c r="I247" s="339" t="str">
        <x:v>High</x:v>
      </x:c>
      <x:c r="J247" s="339" t="str">
        <x:v>No silent bypass; approved overrides must be separately authorized and audited.</x:v>
      </x:c>
    </x:row>
    <x:row r="248">
      <x:c r="A248" s="339" t="str">
        <x:v>BR-00247</x:v>
      </x:c>
      <x:c r="B248" s="339" t="str">
        <x:v>Screen</x:v>
      </x:c>
      <x:c r="C248" s="339" t="str">
        <x:v>SCR-083</x:v>
      </x:c>
      <x:c r="D248" s="339" t="str">
        <x:v>Teachers &amp; Staff</x:v>
      </x:c>
      <x:c r="E248" s="339" t="str">
        <x:v>Edit Staff</x:v>
      </x:c>
      <x:c r="F248" s="339" t="str">
        <x:v>Teacher &amp; Staff Master Management rule 1</x:v>
      </x:c>
      <x:c r="G248" s="339" t="str">
        <x:v>Qualification and compliance documents may be required before certain assignments.</x:v>
      </x:c>
      <x:c r="H248" s="339" t="str">
        <x:v>Enforced in service/domain layer and reflected in UI validation/action availability.</x:v>
      </x:c>
      <x:c r="I248" s="339" t="str">
        <x:v>Medium</x:v>
      </x:c>
      <x:c r="J248" s="339" t="str">
        <x:v>Only an explicitly configured authorized override may bypass a non-statutory rule; overrides require reason and audit.</x:v>
      </x:c>
    </x:row>
    <x:row r="249">
      <x:c r="A249" s="339" t="str">
        <x:v>BR-00248</x:v>
      </x:c>
      <x:c r="B249" s="339" t="str">
        <x:v>Screen</x:v>
      </x:c>
      <x:c r="C249" s="339" t="str">
        <x:v>SCR-083</x:v>
      </x:c>
      <x:c r="D249" s="339" t="str">
        <x:v>Teachers &amp; Staff</x:v>
      </x:c>
      <x:c r="E249" s="339" t="str">
        <x:v>Edit Staff</x:v>
      </x:c>
      <x:c r="F249" s="339" t="str">
        <x:v>Teacher &amp; Staff Master Management rule 2</x:v>
      </x:c>
      <x:c r="G249" s="339" t="str">
        <x:v>Offboarded staff lose transactional access from the effective exit time while history remains available.</x:v>
      </x:c>
      <x:c r="H249" s="339" t="str">
        <x:v>Enforced in service/domain layer and reflected in UI validation/action availability.</x:v>
      </x:c>
      <x:c r="I249" s="339" t="str">
        <x:v>Medium</x:v>
      </x:c>
      <x:c r="J249" s="339" t="str">
        <x:v>Only an explicitly configured authorized override may bypass a non-statutory rule; overrides require reason and audit.</x:v>
      </x:c>
    </x:row>
    <x:row r="250">
      <x:c r="A250" s="339" t="str">
        <x:v>BR-00249</x:v>
      </x:c>
      <x:c r="B250" s="339" t="str">
        <x:v>Screen Type</x:v>
      </x:c>
      <x:c r="C250" s="339" t="str">
        <x:v>SCR-083</x:v>
      </x:c>
      <x:c r="D250" s="339" t="str">
        <x:v>Teachers &amp; Staff</x:v>
      </x:c>
      <x:c r="E250" s="339" t="str">
        <x:v>Edit Staff</x:v>
      </x:c>
      <x:c r="F250" s="339" t="str">
        <x:v>Workflow / Management integrity rule</x:v>
      </x:c>
      <x:c r="G250" s="339" t="str">
        <x:v>State transitions are explicit, role-controlled and auditable; invalid transitions are rejected.</x:v>
      </x:c>
      <x:c r="H250" s="339" t="str">
        <x:v>Domain/service validation plus UI affordances.</x:v>
      </x:c>
      <x:c r="I250" s="339" t="str">
        <x:v>High</x:v>
      </x:c>
      <x:c r="J250" s="339" t="str">
        <x:v>No silent bypass; approved overrides must be separately authorized and audited.</x:v>
      </x:c>
    </x:row>
    <x:row r="251">
      <x:c r="A251" s="339" t="str">
        <x:v>BR-00250</x:v>
      </x:c>
      <x:c r="B251" s="339" t="str">
        <x:v>Screen</x:v>
      </x:c>
      <x:c r="C251" s="339" t="str">
        <x:v>SCR-084</x:v>
      </x:c>
      <x:c r="D251" s="339" t="str">
        <x:v>Teachers &amp; Staff</x:v>
      </x:c>
      <x:c r="E251" s="339" t="str">
        <x:v>Teacher Allocation</x:v>
      </x:c>
      <x:c r="F251" s="339" t="str">
        <x:v>Teacher &amp; Staff Master Management rule 1</x:v>
      </x:c>
      <x:c r="G251" s="339" t="str">
        <x:v>Offboarded staff lose transactional access from the effective exit time while history remains available.</x:v>
      </x:c>
      <x:c r="H251" s="339" t="str">
        <x:v>Enforced in service/domain layer and reflected in UI validation/action availability.</x:v>
      </x:c>
      <x:c r="I251" s="339" t="str">
        <x:v>Medium</x:v>
      </x:c>
      <x:c r="J251" s="339" t="str">
        <x:v>Only an explicitly configured authorized override may bypass a non-statutory rule; overrides require reason and audit.</x:v>
      </x:c>
    </x:row>
    <x:row r="252">
      <x:c r="A252" s="339" t="str">
        <x:v>BR-00251</x:v>
      </x:c>
      <x:c r="B252" s="339" t="str">
        <x:v>Screen</x:v>
      </x:c>
      <x:c r="C252" s="339" t="str">
        <x:v>SCR-084</x:v>
      </x:c>
      <x:c r="D252" s="339" t="str">
        <x:v>Teachers &amp; Staff</x:v>
      </x:c>
      <x:c r="E252" s="339" t="str">
        <x:v>Teacher Allocation</x:v>
      </x:c>
      <x:c r="F252" s="339" t="str">
        <x:v>Teacher &amp; Staff Master Management rule 2</x:v>
      </x:c>
      <x:c r="G252" s="339" t="str">
        <x:v>Employee IDs must be unique within the configured organization scope.</x:v>
      </x:c>
      <x:c r="H252" s="339" t="str">
        <x:v>Enforced in service/domain layer and reflected in UI validation/action availability.</x:v>
      </x:c>
      <x:c r="I252" s="339" t="str">
        <x:v>Medium</x:v>
      </x:c>
      <x:c r="J252" s="339" t="str">
        <x:v>Only an explicitly configured authorized override may bypass a non-statutory rule; overrides require reason and audit.</x:v>
      </x:c>
    </x:row>
    <x:row r="253">
      <x:c r="A253" s="339" t="str">
        <x:v>BR-00252</x:v>
      </x:c>
      <x:c r="B253" s="339" t="str">
        <x:v>Screen Type</x:v>
      </x:c>
      <x:c r="C253" s="339" t="str">
        <x:v>SCR-084</x:v>
      </x:c>
      <x:c r="D253" s="339" t="str">
        <x:v>Teachers &amp; Staff</x:v>
      </x:c>
      <x:c r="E253" s="339" t="str">
        <x:v>Teacher Allocation</x:v>
      </x:c>
      <x:c r="F253" s="339" t="str">
        <x:v>Workflow / Management integrity rule</x:v>
      </x:c>
      <x:c r="G253" s="339" t="str">
        <x:v>State transitions are explicit, role-controlled and auditable; invalid transitions are rejected.</x:v>
      </x:c>
      <x:c r="H253" s="339" t="str">
        <x:v>Domain/service validation plus UI affordances.</x:v>
      </x:c>
      <x:c r="I253" s="339" t="str">
        <x:v>High</x:v>
      </x:c>
      <x:c r="J253" s="339" t="str">
        <x:v>No silent bypass; approved overrides must be separately authorized and audited.</x:v>
      </x:c>
    </x:row>
    <x:row r="254">
      <x:c r="A254" s="339" t="str">
        <x:v>BR-00253</x:v>
      </x:c>
      <x:c r="B254" s="339" t="str">
        <x:v>Screen</x:v>
      </x:c>
      <x:c r="C254" s="339" t="str">
        <x:v>SCR-085</x:v>
      </x:c>
      <x:c r="D254" s="339" t="str">
        <x:v>Teachers &amp; Staff</x:v>
      </x:c>
      <x:c r="E254" s="339" t="str">
        <x:v>Subject &amp; Class Assignment</x:v>
      </x:c>
      <x:c r="F254" s="339" t="str">
        <x:v>Teacher &amp; Staff Master Management rule 1</x:v>
      </x:c>
      <x:c r="G254" s="339" t="str">
        <x:v>Employee IDs must be unique within the configured organization scope.</x:v>
      </x:c>
      <x:c r="H254" s="339" t="str">
        <x:v>Enforced in service/domain layer and reflected in UI validation/action availability.</x:v>
      </x:c>
      <x:c r="I254" s="339" t="str">
        <x:v>Medium</x:v>
      </x:c>
      <x:c r="J254" s="339" t="str">
        <x:v>Only an explicitly configured authorized override may bypass a non-statutory rule; overrides require reason and audit.</x:v>
      </x:c>
    </x:row>
    <x:row r="255">
      <x:c r="A255" s="339" t="str">
        <x:v>BR-00254</x:v>
      </x:c>
      <x:c r="B255" s="339" t="str">
        <x:v>Screen</x:v>
      </x:c>
      <x:c r="C255" s="339" t="str">
        <x:v>SCR-085</x:v>
      </x:c>
      <x:c r="D255" s="339" t="str">
        <x:v>Teachers &amp; Staff</x:v>
      </x:c>
      <x:c r="E255" s="339" t="str">
        <x:v>Subject &amp; Class Assignment</x:v>
      </x:c>
      <x:c r="F255" s="339" t="str">
        <x:v>Teacher &amp; Staff Master Management rule 2</x:v>
      </x:c>
      <x:c r="G255" s="339" t="str">
        <x:v>A teacher can only be assigned to active classes/subjects for periods within their employment and academic-year validity.</x:v>
      </x:c>
      <x:c r="H255" s="339" t="str">
        <x:v>Enforced in service/domain layer and reflected in UI validation/action availability.</x:v>
      </x:c>
      <x:c r="I255" s="339" t="str">
        <x:v>Medium</x:v>
      </x:c>
      <x:c r="J255" s="339" t="str">
        <x:v>Only an explicitly configured authorized override may bypass a non-statutory rule; overrides require reason and audit.</x:v>
      </x:c>
    </x:row>
    <x:row r="256">
      <x:c r="A256" s="339" t="str">
        <x:v>BR-00255</x:v>
      </x:c>
      <x:c r="B256" s="339" t="str">
        <x:v>Screen Type</x:v>
      </x:c>
      <x:c r="C256" s="339" t="str">
        <x:v>SCR-085</x:v>
      </x:c>
      <x:c r="D256" s="339" t="str">
        <x:v>Teachers &amp; Staff</x:v>
      </x:c>
      <x:c r="E256" s="339" t="str">
        <x:v>Subject &amp; Class Assignment</x:v>
      </x:c>
      <x:c r="F256" s="339" t="str">
        <x:v>Workflow / Management integrity rule</x:v>
      </x:c>
      <x:c r="G256" s="339" t="str">
        <x:v>State transitions are explicit, role-controlled and auditable; invalid transitions are rejected.</x:v>
      </x:c>
      <x:c r="H256" s="339" t="str">
        <x:v>Domain/service validation plus UI affordances.</x:v>
      </x:c>
      <x:c r="I256" s="339" t="str">
        <x:v>High</x:v>
      </x:c>
      <x:c r="J256" s="339" t="str">
        <x:v>No silent bypass; approved overrides must be separately authorized and audited.</x:v>
      </x:c>
    </x:row>
    <x:row r="257">
      <x:c r="A257" s="339" t="str">
        <x:v>BR-00256</x:v>
      </x:c>
      <x:c r="B257" s="339" t="str">
        <x:v>Screen</x:v>
      </x:c>
      <x:c r="C257" s="339" t="str">
        <x:v>SCR-086</x:v>
      </x:c>
      <x:c r="D257" s="339" t="str">
        <x:v>Teachers &amp; Staff</x:v>
      </x:c>
      <x:c r="E257" s="339" t="str">
        <x:v>Teacher Workload</x:v>
      </x:c>
      <x:c r="F257" s="339" t="str">
        <x:v>Teacher &amp; Staff Master Management rule 1</x:v>
      </x:c>
      <x:c r="G257" s="339" t="str">
        <x:v>A teacher can only be assigned to active classes/subjects for periods within their employment and academic-year validity.</x:v>
      </x:c>
      <x:c r="H257" s="339" t="str">
        <x:v>Enforced in service/domain layer and reflected in UI validation/action availability.</x:v>
      </x:c>
      <x:c r="I257" s="339" t="str">
        <x:v>Medium</x:v>
      </x:c>
      <x:c r="J257" s="339" t="str">
        <x:v>Only an explicitly configured authorized override may bypass a non-statutory rule; overrides require reason and audit.</x:v>
      </x:c>
    </x:row>
    <x:row r="258">
      <x:c r="A258" s="339" t="str">
        <x:v>BR-00257</x:v>
      </x:c>
      <x:c r="B258" s="339" t="str">
        <x:v>Screen</x:v>
      </x:c>
      <x:c r="C258" s="339" t="str">
        <x:v>SCR-086</x:v>
      </x:c>
      <x:c r="D258" s="339" t="str">
        <x:v>Teachers &amp; Staff</x:v>
      </x:c>
      <x:c r="E258" s="339" t="str">
        <x:v>Teacher Workload</x:v>
      </x:c>
      <x:c r="F258" s="339" t="str">
        <x:v>Teacher &amp; Staff Master Management rule 2</x:v>
      </x:c>
      <x:c r="G258" s="339" t="str">
        <x:v>Conflicting teacher allocations must be prevented or explicitly overridden by authorized users.</x:v>
      </x:c>
      <x:c r="H258" s="339" t="str">
        <x:v>Enforced in service/domain layer and reflected in UI validation/action availability.</x:v>
      </x:c>
      <x:c r="I258" s="339" t="str">
        <x:v>Medium</x:v>
      </x:c>
      <x:c r="J258" s="339" t="str">
        <x:v>Only an explicitly configured authorized override may bypass a non-statutory rule; overrides require reason and audit.</x:v>
      </x:c>
    </x:row>
    <x:row r="259">
      <x:c r="A259" s="339" t="str">
        <x:v>BR-00258</x:v>
      </x:c>
      <x:c r="B259" s="339" t="str">
        <x:v>Screen Type</x:v>
      </x:c>
      <x:c r="C259" s="339" t="str">
        <x:v>SCR-086</x:v>
      </x:c>
      <x:c r="D259" s="339" t="str">
        <x:v>Teachers &amp; Staff</x:v>
      </x:c>
      <x:c r="E259" s="339" t="str">
        <x:v>Teacher Workload</x:v>
      </x:c>
      <x:c r="F259" s="339" t="str">
        <x:v>Workflow / Management integrity rule</x:v>
      </x:c>
      <x:c r="G259" s="339" t="str">
        <x:v>State transitions are explicit, role-controlled and auditable; invalid transitions are rejected.</x:v>
      </x:c>
      <x:c r="H259" s="339" t="str">
        <x:v>Domain/service validation plus UI affordances.</x:v>
      </x:c>
      <x:c r="I259" s="339" t="str">
        <x:v>High</x:v>
      </x:c>
      <x:c r="J259" s="339" t="str">
        <x:v>No silent bypass; approved overrides must be separately authorized and audited.</x:v>
      </x:c>
    </x:row>
    <x:row r="260">
      <x:c r="A260" s="339" t="str">
        <x:v>BR-00259</x:v>
      </x:c>
      <x:c r="B260" s="339" t="str">
        <x:v>Screen</x:v>
      </x:c>
      <x:c r="C260" s="339" t="str">
        <x:v>SCR-087</x:v>
      </x:c>
      <x:c r="D260" s="339" t="str">
        <x:v>Teachers &amp; Staff</x:v>
      </x:c>
      <x:c r="E260" s="339" t="str">
        <x:v>Qualifications &amp; Documents</x:v>
      </x:c>
      <x:c r="F260" s="339" t="str">
        <x:v>Teacher &amp; Staff Master Management rule 1</x:v>
      </x:c>
      <x:c r="G260" s="339" t="str">
        <x:v>Conflicting teacher allocations must be prevented or explicitly overridden by authorized users.</x:v>
      </x:c>
      <x:c r="H260" s="339" t="str">
        <x:v>Enforced in service/domain layer and reflected in UI validation/action availability.</x:v>
      </x:c>
      <x:c r="I260" s="339" t="str">
        <x:v>Medium</x:v>
      </x:c>
      <x:c r="J260" s="339" t="str">
        <x:v>Only an explicitly configured authorized override may bypass a non-statutory rule; overrides require reason and audit.</x:v>
      </x:c>
    </x:row>
    <x:row r="261">
      <x:c r="A261" s="339" t="str">
        <x:v>BR-00260</x:v>
      </x:c>
      <x:c r="B261" s="339" t="str">
        <x:v>Screen</x:v>
      </x:c>
      <x:c r="C261" s="339" t="str">
        <x:v>SCR-087</x:v>
      </x:c>
      <x:c r="D261" s="339" t="str">
        <x:v>Teachers &amp; Staff</x:v>
      </x:c>
      <x:c r="E261" s="339" t="str">
        <x:v>Qualifications &amp; Documents</x:v>
      </x:c>
      <x:c r="F261" s="339" t="str">
        <x:v>Teacher &amp; Staff Master Management rule 2</x:v>
      </x:c>
      <x:c r="G261" s="339" t="str">
        <x:v>Qualification and compliance documents may be required before certain assignments.</x:v>
      </x:c>
      <x:c r="H261" s="339" t="str">
        <x:v>Enforced in service/domain layer and reflected in UI validation/action availability.</x:v>
      </x:c>
      <x:c r="I261" s="339" t="str">
        <x:v>Medium</x:v>
      </x:c>
      <x:c r="J261" s="339" t="str">
        <x:v>Only an explicitly configured authorized override may bypass a non-statutory rule; overrides require reason and audit.</x:v>
      </x:c>
    </x:row>
    <x:row r="262">
      <x:c r="A262" s="339" t="str">
        <x:v>BR-00261</x:v>
      </x:c>
      <x:c r="B262" s="339" t="str">
        <x:v>Screen Type</x:v>
      </x:c>
      <x:c r="C262" s="339" t="str">
        <x:v>SCR-087</x:v>
      </x:c>
      <x:c r="D262" s="339" t="str">
        <x:v>Teachers &amp; Staff</x:v>
      </x:c>
      <x:c r="E262" s="339" t="str">
        <x:v>Qualifications &amp; Documents</x:v>
      </x:c>
      <x:c r="F262" s="339" t="str">
        <x:v>Workflow / Management integrity rule</x:v>
      </x:c>
      <x:c r="G262" s="339" t="str">
        <x:v>State transitions are explicit, role-controlled and auditable; invalid transitions are rejected.</x:v>
      </x:c>
      <x:c r="H262" s="339" t="str">
        <x:v>Domain/service validation plus UI affordances.</x:v>
      </x:c>
      <x:c r="I262" s="339" t="str">
        <x:v>High</x:v>
      </x:c>
      <x:c r="J262" s="339" t="str">
        <x:v>No silent bypass; approved overrides must be separately authorized and audited.</x:v>
      </x:c>
    </x:row>
    <x:row r="263">
      <x:c r="A263" s="339" t="str">
        <x:v>BR-00262</x:v>
      </x:c>
      <x:c r="B263" s="339" t="str">
        <x:v>Screen</x:v>
      </x:c>
      <x:c r="C263" s="339" t="str">
        <x:v>SCR-088</x:v>
      </x:c>
      <x:c r="D263" s="339" t="str">
        <x:v>Teachers &amp; Staff</x:v>
      </x:c>
      <x:c r="E263" s="339" t="str">
        <x:v>Staff Attendance Summary</x:v>
      </x:c>
      <x:c r="F263" s="339" t="str">
        <x:v>Teacher &amp; Staff Master Management rule 1</x:v>
      </x:c>
      <x:c r="G263" s="339" t="str">
        <x:v>Qualification and compliance documents may be required before certain assignments.</x:v>
      </x:c>
      <x:c r="H263" s="339" t="str">
        <x:v>Enforced in service/domain layer and reflected in UI validation/action availability.</x:v>
      </x:c>
      <x:c r="I263" s="339" t="str">
        <x:v>Medium</x:v>
      </x:c>
      <x:c r="J263" s="339" t="str">
        <x:v>Only an explicitly configured authorized override may bypass a non-statutory rule; overrides require reason and audit.</x:v>
      </x:c>
    </x:row>
    <x:row r="264">
      <x:c r="A264" s="339" t="str">
        <x:v>BR-00263</x:v>
      </x:c>
      <x:c r="B264" s="339" t="str">
        <x:v>Screen</x:v>
      </x:c>
      <x:c r="C264" s="339" t="str">
        <x:v>SCR-088</x:v>
      </x:c>
      <x:c r="D264" s="339" t="str">
        <x:v>Teachers &amp; Staff</x:v>
      </x:c>
      <x:c r="E264" s="339" t="str">
        <x:v>Staff Attendance Summary</x:v>
      </x:c>
      <x:c r="F264" s="339" t="str">
        <x:v>Teacher &amp; Staff Master Management rule 2</x:v>
      </x:c>
      <x:c r="G264" s="339" t="str">
        <x:v>Offboarded staff lose transactional access from the effective exit time while history remains available.</x:v>
      </x:c>
      <x:c r="H264" s="339" t="str">
        <x:v>Enforced in service/domain layer and reflected in UI validation/action availability.</x:v>
      </x:c>
      <x:c r="I264" s="339" t="str">
        <x:v>Medium</x:v>
      </x:c>
      <x:c r="J264" s="339" t="str">
        <x:v>Only an explicitly configured authorized override may bypass a non-statutory rule; overrides require reason and audit.</x:v>
      </x:c>
    </x:row>
    <x:row r="265">
      <x:c r="A265" s="339" t="str">
        <x:v>BR-00264</x:v>
      </x:c>
      <x:c r="B265" s="339" t="str">
        <x:v>Screen Type</x:v>
      </x:c>
      <x:c r="C265" s="339" t="str">
        <x:v>SCR-088</x:v>
      </x:c>
      <x:c r="D265" s="339" t="str">
        <x:v>Teachers &amp; Staff</x:v>
      </x:c>
      <x:c r="E265" s="339" t="str">
        <x:v>Staff Attendance Summary</x:v>
      </x:c>
      <x:c r="F265" s="339" t="str">
        <x:v>Report / Analytics integrity rule</x:v>
      </x:c>
      <x:c r="G265" s="339" t="str">
        <x:v>Report formulas and filters must be deterministic, documented and export the same visible scope.</x:v>
      </x:c>
      <x:c r="H265" s="339" t="str">
        <x:v>Domain/service validation plus UI affordances.</x:v>
      </x:c>
      <x:c r="I265" s="339" t="str">
        <x:v>High</x:v>
      </x:c>
      <x:c r="J265" s="339" t="str">
        <x:v>No silent bypass; approved overrides must be separately authorized and audited.</x:v>
      </x:c>
    </x:row>
    <x:row r="266">
      <x:c r="A266" s="339" t="str">
        <x:v>BR-00265</x:v>
      </x:c>
      <x:c r="B266" s="339" t="str">
        <x:v>Screen</x:v>
      </x:c>
      <x:c r="C266" s="339" t="str">
        <x:v>SCR-089</x:v>
      </x:c>
      <x:c r="D266" s="339" t="str">
        <x:v>Teachers &amp; Staff</x:v>
      </x:c>
      <x:c r="E266" s="339" t="str">
        <x:v>Staff Leave Summary</x:v>
      </x:c>
      <x:c r="F266" s="339" t="str">
        <x:v>Teacher &amp; Staff Master Management rule 1</x:v>
      </x:c>
      <x:c r="G266" s="339" t="str">
        <x:v>Offboarded staff lose transactional access from the effective exit time while history remains available.</x:v>
      </x:c>
      <x:c r="H266" s="339" t="str">
        <x:v>Enforced in service/domain layer and reflected in UI validation/action availability.</x:v>
      </x:c>
      <x:c r="I266" s="339" t="str">
        <x:v>Medium</x:v>
      </x:c>
      <x:c r="J266" s="339" t="str">
        <x:v>Only an explicitly configured authorized override may bypass a non-statutory rule; overrides require reason and audit.</x:v>
      </x:c>
    </x:row>
    <x:row r="267">
      <x:c r="A267" s="339" t="str">
        <x:v>BR-00266</x:v>
      </x:c>
      <x:c r="B267" s="339" t="str">
        <x:v>Screen</x:v>
      </x:c>
      <x:c r="C267" s="339" t="str">
        <x:v>SCR-089</x:v>
      </x:c>
      <x:c r="D267" s="339" t="str">
        <x:v>Teachers &amp; Staff</x:v>
      </x:c>
      <x:c r="E267" s="339" t="str">
        <x:v>Staff Leave Summary</x:v>
      </x:c>
      <x:c r="F267" s="339" t="str">
        <x:v>Teacher &amp; Staff Master Management rule 2</x:v>
      </x:c>
      <x:c r="G267" s="339" t="str">
        <x:v>Employee IDs must be unique within the configured organization scope.</x:v>
      </x:c>
      <x:c r="H267" s="339" t="str">
        <x:v>Enforced in service/domain layer and reflected in UI validation/action availability.</x:v>
      </x:c>
      <x:c r="I267" s="339" t="str">
        <x:v>Medium</x:v>
      </x:c>
      <x:c r="J267" s="339" t="str">
        <x:v>Only an explicitly configured authorized override may bypass a non-statutory rule; overrides require reason and audit.</x:v>
      </x:c>
    </x:row>
    <x:row r="268">
      <x:c r="A268" s="339" t="str">
        <x:v>BR-00267</x:v>
      </x:c>
      <x:c r="B268" s="339" t="str">
        <x:v>Screen Type</x:v>
      </x:c>
      <x:c r="C268" s="339" t="str">
        <x:v>SCR-089</x:v>
      </x:c>
      <x:c r="D268" s="339" t="str">
        <x:v>Teachers &amp; Staff</x:v>
      </x:c>
      <x:c r="E268" s="339" t="str">
        <x:v>Staff Leave Summary</x:v>
      </x:c>
      <x:c r="F268" s="339" t="str">
        <x:v>Report / Analytics integrity rule</x:v>
      </x:c>
      <x:c r="G268" s="339" t="str">
        <x:v>Report formulas and filters must be deterministic, documented and export the same visible scope.</x:v>
      </x:c>
      <x:c r="H268" s="339" t="str">
        <x:v>Domain/service validation plus UI affordances.</x:v>
      </x:c>
      <x:c r="I268" s="339" t="str">
        <x:v>High</x:v>
      </x:c>
      <x:c r="J268" s="339" t="str">
        <x:v>No silent bypass; approved overrides must be separately authorized and audited.</x:v>
      </x:c>
    </x:row>
    <x:row r="269">
      <x:c r="A269" s="339" t="str">
        <x:v>BR-00268</x:v>
      </x:c>
      <x:c r="B269" s="339" t="str">
        <x:v>Screen</x:v>
      </x:c>
      <x:c r="C269" s="339" t="str">
        <x:v>SCR-090</x:v>
      </x:c>
      <x:c r="D269" s="339" t="str">
        <x:v>Teachers &amp; Staff</x:v>
      </x:c>
      <x:c r="E269" s="339" t="str">
        <x:v>Performance &amp; Classroom Observation</x:v>
      </x:c>
      <x:c r="F269" s="339" t="str">
        <x:v>Teacher &amp; Staff Master Management rule 1</x:v>
      </x:c>
      <x:c r="G269" s="339" t="str">
        <x:v>Employee IDs must be unique within the configured organization scope.</x:v>
      </x:c>
      <x:c r="H269" s="339" t="str">
        <x:v>Enforced in service/domain layer and reflected in UI validation/action availability.</x:v>
      </x:c>
      <x:c r="I269" s="339" t="str">
        <x:v>Medium</x:v>
      </x:c>
      <x:c r="J269" s="339" t="str">
        <x:v>Only an explicitly configured authorized override may bypass a non-statutory rule; overrides require reason and audit.</x:v>
      </x:c>
    </x:row>
    <x:row r="270">
      <x:c r="A270" s="339" t="str">
        <x:v>BR-00269</x:v>
      </x:c>
      <x:c r="B270" s="339" t="str">
        <x:v>Screen</x:v>
      </x:c>
      <x:c r="C270" s="339" t="str">
        <x:v>SCR-090</x:v>
      </x:c>
      <x:c r="D270" s="339" t="str">
        <x:v>Teachers &amp; Staff</x:v>
      </x:c>
      <x:c r="E270" s="339" t="str">
        <x:v>Performance &amp; Classroom Observation</x:v>
      </x:c>
      <x:c r="F270" s="339" t="str">
        <x:v>Teacher &amp; Staff Master Management rule 2</x:v>
      </x:c>
      <x:c r="G270" s="339" t="str">
        <x:v>A teacher can only be assigned to active classes/subjects for periods within their employment and academic-year validity.</x:v>
      </x:c>
      <x:c r="H270" s="339" t="str">
        <x:v>Enforced in service/domain layer and reflected in UI validation/action availability.</x:v>
      </x:c>
      <x:c r="I270" s="339" t="str">
        <x:v>Medium</x:v>
      </x:c>
      <x:c r="J270" s="339" t="str">
        <x:v>Only an explicitly configured authorized override may bypass a non-statutory rule; overrides require reason and audit.</x:v>
      </x:c>
    </x:row>
    <x:row r="271">
      <x:c r="A271" s="339" t="str">
        <x:v>BR-00270</x:v>
      </x:c>
      <x:c r="B271" s="339" t="str">
        <x:v>Screen Type</x:v>
      </x:c>
      <x:c r="C271" s="339" t="str">
        <x:v>SCR-090</x:v>
      </x:c>
      <x:c r="D271" s="339" t="str">
        <x:v>Teachers &amp; Staff</x:v>
      </x:c>
      <x:c r="E271" s="339" t="str">
        <x:v>Performance &amp; Classroom Observation</x:v>
      </x:c>
      <x:c r="F271" s="339" t="str">
        <x:v>Workflow / Management integrity rule</x:v>
      </x:c>
      <x:c r="G271" s="339" t="str">
        <x:v>State transitions are explicit, role-controlled and auditable; invalid transitions are rejected.</x:v>
      </x:c>
      <x:c r="H271" s="339" t="str">
        <x:v>Domain/service validation plus UI affordances.</x:v>
      </x:c>
      <x:c r="I271" s="339" t="str">
        <x:v>High</x:v>
      </x:c>
      <x:c r="J271" s="339" t="str">
        <x:v>No silent bypass; approved overrides must be separately authorized and audited.</x:v>
      </x:c>
    </x:row>
    <x:row r="272">
      <x:c r="A272" s="339" t="str">
        <x:v>BR-00271</x:v>
      </x:c>
      <x:c r="B272" s="339" t="str">
        <x:v>Screen</x:v>
      </x:c>
      <x:c r="C272" s="339" t="str">
        <x:v>SCR-091</x:v>
      </x:c>
      <x:c r="D272" s="339" t="str">
        <x:v>Teachers &amp; Staff</x:v>
      </x:c>
      <x:c r="E272" s="339" t="str">
        <x:v>Exit / Offboarding</x:v>
      </x:c>
      <x:c r="F272" s="339" t="str">
        <x:v>Teacher &amp; Staff Master Management rule 1</x:v>
      </x:c>
      <x:c r="G272" s="339" t="str">
        <x:v>A teacher can only be assigned to active classes/subjects for periods within their employment and academic-year validity.</x:v>
      </x:c>
      <x:c r="H272" s="339" t="str">
        <x:v>Enforced in service/domain layer and reflected in UI validation/action availability.</x:v>
      </x:c>
      <x:c r="I272" s="339" t="str">
        <x:v>Medium</x:v>
      </x:c>
      <x:c r="J272" s="339" t="str">
        <x:v>Only an explicitly configured authorized override may bypass a non-statutory rule; overrides require reason and audit.</x:v>
      </x:c>
    </x:row>
    <x:row r="273">
      <x:c r="A273" s="339" t="str">
        <x:v>BR-00272</x:v>
      </x:c>
      <x:c r="B273" s="339" t="str">
        <x:v>Screen</x:v>
      </x:c>
      <x:c r="C273" s="339" t="str">
        <x:v>SCR-091</x:v>
      </x:c>
      <x:c r="D273" s="339" t="str">
        <x:v>Teachers &amp; Staff</x:v>
      </x:c>
      <x:c r="E273" s="339" t="str">
        <x:v>Exit / Offboarding</x:v>
      </x:c>
      <x:c r="F273" s="339" t="str">
        <x:v>Teacher &amp; Staff Master Management rule 2</x:v>
      </x:c>
      <x:c r="G273" s="339" t="str">
        <x:v>Conflicting teacher allocations must be prevented or explicitly overridden by authorized users.</x:v>
      </x:c>
      <x:c r="H273" s="339" t="str">
        <x:v>Enforced in service/domain layer and reflected in UI validation/action availability.</x:v>
      </x:c>
      <x:c r="I273" s="339" t="str">
        <x:v>Medium</x:v>
      </x:c>
      <x:c r="J273" s="339" t="str">
        <x:v>Only an explicitly configured authorized override may bypass a non-statutory rule; overrides require reason and audit.</x:v>
      </x:c>
    </x:row>
    <x:row r="274">
      <x:c r="A274" s="339" t="str">
        <x:v>BR-00273</x:v>
      </x:c>
      <x:c r="B274" s="339" t="str">
        <x:v>Screen Type</x:v>
      </x:c>
      <x:c r="C274" s="339" t="str">
        <x:v>SCR-091</x:v>
      </x:c>
      <x:c r="D274" s="339" t="str">
        <x:v>Teachers &amp; Staff</x:v>
      </x:c>
      <x:c r="E274" s="339" t="str">
        <x:v>Exit / Offboarding</x:v>
      </x:c>
      <x:c r="F274" s="339" t="str">
        <x:v>Workflow / Management integrity rule</x:v>
      </x:c>
      <x:c r="G274" s="339" t="str">
        <x:v>State transitions are explicit, role-controlled and auditable; invalid transitions are rejected.</x:v>
      </x:c>
      <x:c r="H274" s="339" t="str">
        <x:v>Domain/service validation plus UI affordances.</x:v>
      </x:c>
      <x:c r="I274" s="339" t="str">
        <x:v>High</x:v>
      </x:c>
      <x:c r="J274" s="339" t="str">
        <x:v>No silent bypass; approved overrides must be separately authorized and audited.</x:v>
      </x:c>
    </x:row>
    <x:row r="275">
      <x:c r="A275" s="339" t="str">
        <x:v>BR-00274</x:v>
      </x:c>
      <x:c r="B275" s="339" t="str">
        <x:v>Screen</x:v>
      </x:c>
      <x:c r="C275" s="339" t="str">
        <x:v>SCR-092</x:v>
      </x:c>
      <x:c r="D275" s="339" t="str">
        <x:v>Academics &amp; Curriculum</x:v>
      </x:c>
      <x:c r="E275" s="339" t="str">
        <x:v>Academic Years</x:v>
      </x:c>
      <x:c r="F275" s="339" t="str">
        <x:v>Academic Planning &amp; Curriculum Delivery rule 1</x:v>
      </x:c>
      <x:c r="G275" s="339" t="str">
        <x:v>Syllabus progress cannot exceed 100% and must be derived from approved/completed curriculum units.</x:v>
      </x:c>
      <x:c r="H275" s="339" t="str">
        <x:v>Enforced in service/domain layer and reflected in UI validation/action availability.</x:v>
      </x:c>
      <x:c r="I275" s="339" t="str">
        <x:v>Medium</x:v>
      </x:c>
      <x:c r="J275" s="339" t="str">
        <x:v>Only an explicitly configured authorized override may bypass a non-statutory rule; overrides require reason and audit.</x:v>
      </x:c>
    </x:row>
    <x:row r="276">
      <x:c r="A276" s="339" t="str">
        <x:v>BR-00275</x:v>
      </x:c>
      <x:c r="B276" s="339" t="str">
        <x:v>Screen</x:v>
      </x:c>
      <x:c r="C276" s="339" t="str">
        <x:v>SCR-092</x:v>
      </x:c>
      <x:c r="D276" s="339" t="str">
        <x:v>Academics &amp; Curriculum</x:v>
      </x:c>
      <x:c r="E276" s="339" t="str">
        <x:v>Academic Years</x:v>
      </x:c>
      <x:c r="F276" s="339" t="str">
        <x:v>Academic Planning &amp; Curriculum Delivery rule 2</x:v>
      </x:c>
      <x:c r="G276" s="339" t="str">
        <x:v>Published academic content should not be edited in a way that destroys historical reporting; revisions must be traceable.</x:v>
      </x:c>
      <x:c r="H276" s="339" t="str">
        <x:v>Enforced in service/domain layer and reflected in UI validation/action availability.</x:v>
      </x:c>
      <x:c r="I276" s="339" t="str">
        <x:v>Medium</x:v>
      </x:c>
      <x:c r="J276" s="339" t="str">
        <x:v>Only an explicitly configured authorized override may bypass a non-statutory rule; overrides require reason and audit.</x:v>
      </x:c>
    </x:row>
    <x:row r="277">
      <x:c r="A277" s="339" t="str">
        <x:v>BR-00276</x:v>
      </x:c>
      <x:c r="B277" s="339" t="str">
        <x:v>Screen Type</x:v>
      </x:c>
      <x:c r="C277" s="339" t="str">
        <x:v>SCR-092</x:v>
      </x:c>
      <x:c r="D277" s="339" t="str">
        <x:v>Academics &amp; Curriculum</x:v>
      </x:c>
      <x:c r="E277" s="339" t="str">
        <x:v>Academic Years</x:v>
      </x:c>
      <x:c r="F277" s="339" t="str">
        <x:v>Configuration integrity rule</x:v>
      </x:c>
      <x:c r="G277" s="339" t="str">
        <x:v>Referenced master/configuration data is not hard-deleted; use effective dating, versioning or inactivation.</x:v>
      </x:c>
      <x:c r="H277" s="339" t="str">
        <x:v>Domain/service validation plus UI affordances.</x:v>
      </x:c>
      <x:c r="I277" s="339" t="str">
        <x:v>High</x:v>
      </x:c>
      <x:c r="J277" s="339" t="str">
        <x:v>No silent bypass; approved overrides must be separately authorized and audited.</x:v>
      </x:c>
    </x:row>
    <x:row r="278">
      <x:c r="A278" s="339" t="str">
        <x:v>BR-00277</x:v>
      </x:c>
      <x:c r="B278" s="339" t="str">
        <x:v>Screen</x:v>
      </x:c>
      <x:c r="C278" s="339" t="str">
        <x:v>SCR-093</x:v>
      </x:c>
      <x:c r="D278" s="339" t="str">
        <x:v>Academics &amp; Curriculum</x:v>
      </x:c>
      <x:c r="E278" s="339" t="str">
        <x:v>Terms / Semesters</x:v>
      </x:c>
      <x:c r="F278" s="339" t="str">
        <x:v>Academic Planning &amp; Curriculum Delivery rule 1</x:v>
      </x:c>
      <x:c r="G278" s="339" t="str">
        <x:v>Published academic content should not be edited in a way that destroys historical reporting; revisions must be traceable.</x:v>
      </x:c>
      <x:c r="H278" s="339" t="str">
        <x:v>Enforced in service/domain layer and reflected in UI validation/action availability.</x:v>
      </x:c>
      <x:c r="I278" s="339" t="str">
        <x:v>Medium</x:v>
      </x:c>
      <x:c r="J278" s="339" t="str">
        <x:v>Only an explicitly configured authorized override may bypass a non-statutory rule; overrides require reason and audit.</x:v>
      </x:c>
    </x:row>
    <x:row r="279">
      <x:c r="A279" s="339" t="str">
        <x:v>BR-00278</x:v>
      </x:c>
      <x:c r="B279" s="339" t="str">
        <x:v>Screen</x:v>
      </x:c>
      <x:c r="C279" s="339" t="str">
        <x:v>SCR-093</x:v>
      </x:c>
      <x:c r="D279" s="339" t="str">
        <x:v>Academics &amp; Curriculum</x:v>
      </x:c>
      <x:c r="E279" s="339" t="str">
        <x:v>Terms / Semesters</x:v>
      </x:c>
      <x:c r="F279" s="339" t="str">
        <x:v>Academic Planning &amp; Curriculum Delivery rule 2</x:v>
      </x:c>
      <x:c r="G279" s="339" t="str">
        <x:v>Only authorized academic roles can approve curriculum/lesson plans where approval is enabled.</x:v>
      </x:c>
      <x:c r="H279" s="339" t="str">
        <x:v>Enforced in service/domain layer and reflected in UI validation/action availability.</x:v>
      </x:c>
      <x:c r="I279" s="339" t="str">
        <x:v>Medium</x:v>
      </x:c>
      <x:c r="J279" s="339" t="str">
        <x:v>Only an explicitly configured authorized override may bypass a non-statutory rule; overrides require reason and audit.</x:v>
      </x:c>
    </x:row>
    <x:row r="280">
      <x:c r="A280" s="339" t="str">
        <x:v>BR-00279</x:v>
      </x:c>
      <x:c r="B280" s="339" t="str">
        <x:v>Screen Type</x:v>
      </x:c>
      <x:c r="C280" s="339" t="str">
        <x:v>SCR-093</x:v>
      </x:c>
      <x:c r="D280" s="339" t="str">
        <x:v>Academics &amp; Curriculum</x:v>
      </x:c>
      <x:c r="E280" s="339" t="str">
        <x:v>Terms / Semesters</x:v>
      </x:c>
      <x:c r="F280" s="339" t="str">
        <x:v>Workflow / Management integrity rule</x:v>
      </x:c>
      <x:c r="G280" s="339" t="str">
        <x:v>State transitions are explicit, role-controlled and auditable; invalid transitions are rejected.</x:v>
      </x:c>
      <x:c r="H280" s="339" t="str">
        <x:v>Domain/service validation plus UI affordances.</x:v>
      </x:c>
      <x:c r="I280" s="339" t="str">
        <x:v>High</x:v>
      </x:c>
      <x:c r="J280" s="339" t="str">
        <x:v>No silent bypass; approved overrides must be separately authorized and audited.</x:v>
      </x:c>
    </x:row>
    <x:row r="281">
      <x:c r="A281" s="339" t="str">
        <x:v>BR-00280</x:v>
      </x:c>
      <x:c r="B281" s="339" t="str">
        <x:v>Screen</x:v>
      </x:c>
      <x:c r="C281" s="339" t="str">
        <x:v>SCR-094</x:v>
      </x:c>
      <x:c r="D281" s="339" t="str">
        <x:v>Academics &amp; Curriculum</x:v>
      </x:c>
      <x:c r="E281" s="339" t="str">
        <x:v>Grades / Classes</x:v>
      </x:c>
      <x:c r="F281" s="339" t="str">
        <x:v>Academic Planning &amp; Curriculum Delivery rule 1</x:v>
      </x:c>
      <x:c r="G281" s="339" t="str">
        <x:v>Only authorized academic roles can approve curriculum/lesson plans where approval is enabled.</x:v>
      </x:c>
      <x:c r="H281" s="339" t="str">
        <x:v>Enforced in service/domain layer and reflected in UI validation/action availability.</x:v>
      </x:c>
      <x:c r="I281" s="339" t="str">
        <x:v>Medium</x:v>
      </x:c>
      <x:c r="J281" s="339" t="str">
        <x:v>Only an explicitly configured authorized override may bypass a non-statutory rule; overrides require reason and audit.</x:v>
      </x:c>
    </x:row>
    <x:row r="282">
      <x:c r="A282" s="339" t="str">
        <x:v>BR-00281</x:v>
      </x:c>
      <x:c r="B282" s="339" t="str">
        <x:v>Screen</x:v>
      </x:c>
      <x:c r="C282" s="339" t="str">
        <x:v>SCR-094</x:v>
      </x:c>
      <x:c r="D282" s="339" t="str">
        <x:v>Academics &amp; Curriculum</x:v>
      </x:c>
      <x:c r="E282" s="339" t="str">
        <x:v>Grades / Classes</x:v>
      </x:c>
      <x:c r="F282" s="339" t="str">
        <x:v>Academic Planning &amp; Curriculum Delivery rule 2</x:v>
      </x:c>
      <x:c r="G282" s="339" t="str">
        <x:v>Curriculum and subject structures are versioned by academic year/term.</x:v>
      </x:c>
      <x:c r="H282" s="339" t="str">
        <x:v>Enforced in service/domain layer and reflected in UI validation/action availability.</x:v>
      </x:c>
      <x:c r="I282" s="339" t="str">
        <x:v>Medium</x:v>
      </x:c>
      <x:c r="J282" s="339" t="str">
        <x:v>Only an explicitly configured authorized override may bypass a non-statutory rule; overrides require reason and audit.</x:v>
      </x:c>
    </x:row>
    <x:row r="283">
      <x:c r="A283" s="339" t="str">
        <x:v>BR-00282</x:v>
      </x:c>
      <x:c r="B283" s="339" t="str">
        <x:v>Screen Type</x:v>
      </x:c>
      <x:c r="C283" s="339" t="str">
        <x:v>SCR-094</x:v>
      </x:c>
      <x:c r="D283" s="339" t="str">
        <x:v>Academics &amp; Curriculum</x:v>
      </x:c>
      <x:c r="E283" s="339" t="str">
        <x:v>Grades / Classes</x:v>
      </x:c>
      <x:c r="F283" s="339" t="str">
        <x:v>Workflow / Management integrity rule</x:v>
      </x:c>
      <x:c r="G283" s="339" t="str">
        <x:v>State transitions are explicit, role-controlled and auditable; invalid transitions are rejected.</x:v>
      </x:c>
      <x:c r="H283" s="339" t="str">
        <x:v>Domain/service validation plus UI affordances.</x:v>
      </x:c>
      <x:c r="I283" s="339" t="str">
        <x:v>High</x:v>
      </x:c>
      <x:c r="J283" s="339" t="str">
        <x:v>No silent bypass; approved overrides must be separately authorized and audited.</x:v>
      </x:c>
    </x:row>
    <x:row r="284">
      <x:c r="A284" s="339" t="str">
        <x:v>BR-00283</x:v>
      </x:c>
      <x:c r="B284" s="339" t="str">
        <x:v>Screen</x:v>
      </x:c>
      <x:c r="C284" s="339" t="str">
        <x:v>SCR-095</x:v>
      </x:c>
      <x:c r="D284" s="339" t="str">
        <x:v>Academics &amp; Curriculum</x:v>
      </x:c>
      <x:c r="E284" s="339" t="str">
        <x:v>Sections</x:v>
      </x:c>
      <x:c r="F284" s="339" t="str">
        <x:v>Academic Planning &amp; Curriculum Delivery rule 1</x:v>
      </x:c>
      <x:c r="G284" s="339" t="str">
        <x:v>Curriculum and subject structures are versioned by academic year/term.</x:v>
      </x:c>
      <x:c r="H284" s="339" t="str">
        <x:v>Enforced in service/domain layer and reflected in UI validation/action availability.</x:v>
      </x:c>
      <x:c r="I284" s="339" t="str">
        <x:v>Medium</x:v>
      </x:c>
      <x:c r="J284" s="339" t="str">
        <x:v>Only an explicitly configured authorized override may bypass a non-statutory rule; overrides require reason and audit.</x:v>
      </x:c>
    </x:row>
    <x:row r="285">
      <x:c r="A285" s="339" t="str">
        <x:v>BR-00284</x:v>
      </x:c>
      <x:c r="B285" s="339" t="str">
        <x:v>Screen</x:v>
      </x:c>
      <x:c r="C285" s="339" t="str">
        <x:v>SCR-095</x:v>
      </x:c>
      <x:c r="D285" s="339" t="str">
        <x:v>Academics &amp; Curriculum</x:v>
      </x:c>
      <x:c r="E285" s="339" t="str">
        <x:v>Sections</x:v>
      </x:c>
      <x:c r="F285" s="339" t="str">
        <x:v>Academic Planning &amp; Curriculum Delivery rule 2</x:v>
      </x:c>
      <x:c r="G285" s="339" t="str">
        <x:v>Lesson plans must reference valid class, subject, curriculum units and assigned teacher scope.</x:v>
      </x:c>
      <x:c r="H285" s="339" t="str">
        <x:v>Enforced in service/domain layer and reflected in UI validation/action availability.</x:v>
      </x:c>
      <x:c r="I285" s="339" t="str">
        <x:v>Medium</x:v>
      </x:c>
      <x:c r="J285" s="339" t="str">
        <x:v>Only an explicitly configured authorized override may bypass a non-statutory rule; overrides require reason and audit.</x:v>
      </x:c>
    </x:row>
    <x:row r="286">
      <x:c r="A286" s="339" t="str">
        <x:v>BR-00285</x:v>
      </x:c>
      <x:c r="B286" s="339" t="str">
        <x:v>Screen Type</x:v>
      </x:c>
      <x:c r="C286" s="339" t="str">
        <x:v>SCR-095</x:v>
      </x:c>
      <x:c r="D286" s="339" t="str">
        <x:v>Academics &amp; Curriculum</x:v>
      </x:c>
      <x:c r="E286" s="339" t="str">
        <x:v>Sections</x:v>
      </x:c>
      <x:c r="F286" s="339" t="str">
        <x:v>List / Management integrity rule</x:v>
      </x:c>
      <x:c r="G286" s="339" t="str">
        <x:v>Search, filters, exports and row actions must preserve the same authorization scope.</x:v>
      </x:c>
      <x:c r="H286" s="339" t="str">
        <x:v>Domain/service validation plus UI affordances.</x:v>
      </x:c>
      <x:c r="I286" s="339" t="str">
        <x:v>High</x:v>
      </x:c>
      <x:c r="J286" s="339" t="str">
        <x:v>No silent bypass; approved overrides must be separately authorized and audited.</x:v>
      </x:c>
    </x:row>
    <x:row r="287">
      <x:c r="A287" s="339" t="str">
        <x:v>BR-00286</x:v>
      </x:c>
      <x:c r="B287" s="339" t="str">
        <x:v>Screen</x:v>
      </x:c>
      <x:c r="C287" s="339" t="str">
        <x:v>SCR-096</x:v>
      </x:c>
      <x:c r="D287" s="339" t="str">
        <x:v>Academics &amp; Curriculum</x:v>
      </x:c>
      <x:c r="E287" s="339" t="str">
        <x:v>Subjects</x:v>
      </x:c>
      <x:c r="F287" s="339" t="str">
        <x:v>Academic Planning &amp; Curriculum Delivery rule 1</x:v>
      </x:c>
      <x:c r="G287" s="339" t="str">
        <x:v>Lesson plans must reference valid class, subject, curriculum units and assigned teacher scope.</x:v>
      </x:c>
      <x:c r="H287" s="339" t="str">
        <x:v>Enforced in service/domain layer and reflected in UI validation/action availability.</x:v>
      </x:c>
      <x:c r="I287" s="339" t="str">
        <x:v>Medium</x:v>
      </x:c>
      <x:c r="J287" s="339" t="str">
        <x:v>Only an explicitly configured authorized override may bypass a non-statutory rule; overrides require reason and audit.</x:v>
      </x:c>
    </x:row>
    <x:row r="288">
      <x:c r="A288" s="339" t="str">
        <x:v>BR-00287</x:v>
      </x:c>
      <x:c r="B288" s="339" t="str">
        <x:v>Screen</x:v>
      </x:c>
      <x:c r="C288" s="339" t="str">
        <x:v>SCR-096</x:v>
      </x:c>
      <x:c r="D288" s="339" t="str">
        <x:v>Academics &amp; Curriculum</x:v>
      </x:c>
      <x:c r="E288" s="339" t="str">
        <x:v>Subjects</x:v>
      </x:c>
      <x:c r="F288" s="339" t="str">
        <x:v>Academic Planning &amp; Curriculum Delivery rule 2</x:v>
      </x:c>
      <x:c r="G288" s="339" t="str">
        <x:v>Syllabus progress cannot exceed 100% and must be derived from approved/completed curriculum units.</x:v>
      </x:c>
      <x:c r="H288" s="339" t="str">
        <x:v>Enforced in service/domain layer and reflected in UI validation/action availability.</x:v>
      </x:c>
      <x:c r="I288" s="339" t="str">
        <x:v>Medium</x:v>
      </x:c>
      <x:c r="J288" s="339" t="str">
        <x:v>Only an explicitly configured authorized override may bypass a non-statutory rule; overrides require reason and audit.</x:v>
      </x:c>
    </x:row>
    <x:row r="289">
      <x:c r="A289" s="339" t="str">
        <x:v>BR-00288</x:v>
      </x:c>
      <x:c r="B289" s="339" t="str">
        <x:v>Screen Type</x:v>
      </x:c>
      <x:c r="C289" s="339" t="str">
        <x:v>SCR-096</x:v>
      </x:c>
      <x:c r="D289" s="339" t="str">
        <x:v>Academics &amp; Curriculum</x:v>
      </x:c>
      <x:c r="E289" s="339" t="str">
        <x:v>Subjects</x:v>
      </x:c>
      <x:c r="F289" s="339" t="str">
        <x:v>List / Management integrity rule</x:v>
      </x:c>
      <x:c r="G289" s="339" t="str">
        <x:v>Search, filters, exports and row actions must preserve the same authorization scope.</x:v>
      </x:c>
      <x:c r="H289" s="339" t="str">
        <x:v>Domain/service validation plus UI affordances.</x:v>
      </x:c>
      <x:c r="I289" s="339" t="str">
        <x:v>High</x:v>
      </x:c>
      <x:c r="J289" s="339" t="str">
        <x:v>No silent bypass; approved overrides must be separately authorized and audited.</x:v>
      </x:c>
    </x:row>
    <x:row r="290">
      <x:c r="A290" s="339" t="str">
        <x:v>BR-00289</x:v>
      </x:c>
      <x:c r="B290" s="339" t="str">
        <x:v>Screen</x:v>
      </x:c>
      <x:c r="C290" s="339" t="str">
        <x:v>SCR-097</x:v>
      </x:c>
      <x:c r="D290" s="339" t="str">
        <x:v>Academics &amp; Curriculum</x:v>
      </x:c>
      <x:c r="E290" s="339" t="str">
        <x:v>Subject Groups</x:v>
      </x:c>
      <x:c r="F290" s="339" t="str">
        <x:v>Academic Planning &amp; Curriculum Delivery rule 1</x:v>
      </x:c>
      <x:c r="G290" s="339" t="str">
        <x:v>Syllabus progress cannot exceed 100% and must be derived from approved/completed curriculum units.</x:v>
      </x:c>
      <x:c r="H290" s="339" t="str">
        <x:v>Enforced in service/domain layer and reflected in UI validation/action availability.</x:v>
      </x:c>
      <x:c r="I290" s="339" t="str">
        <x:v>Medium</x:v>
      </x:c>
      <x:c r="J290" s="339" t="str">
        <x:v>Only an explicitly configured authorized override may bypass a non-statutory rule; overrides require reason and audit.</x:v>
      </x:c>
    </x:row>
    <x:row r="291">
      <x:c r="A291" s="339" t="str">
        <x:v>BR-00290</x:v>
      </x:c>
      <x:c r="B291" s="339" t="str">
        <x:v>Screen</x:v>
      </x:c>
      <x:c r="C291" s="339" t="str">
        <x:v>SCR-097</x:v>
      </x:c>
      <x:c r="D291" s="339" t="str">
        <x:v>Academics &amp; Curriculum</x:v>
      </x:c>
      <x:c r="E291" s="339" t="str">
        <x:v>Subject Groups</x:v>
      </x:c>
      <x:c r="F291" s="339" t="str">
        <x:v>Academic Planning &amp; Curriculum Delivery rule 2</x:v>
      </x:c>
      <x:c r="G291" s="339" t="str">
        <x:v>Published academic content should not be edited in a way that destroys historical reporting; revisions must be traceable.</x:v>
      </x:c>
      <x:c r="H291" s="339" t="str">
        <x:v>Enforced in service/domain layer and reflected in UI validation/action availability.</x:v>
      </x:c>
      <x:c r="I291" s="339" t="str">
        <x:v>Medium</x:v>
      </x:c>
      <x:c r="J291" s="339" t="str">
        <x:v>Only an explicitly configured authorized override may bypass a non-statutory rule; overrides require reason and audit.</x:v>
      </x:c>
    </x:row>
    <x:row r="292">
      <x:c r="A292" s="339" t="str">
        <x:v>BR-00291</x:v>
      </x:c>
      <x:c r="B292" s="339" t="str">
        <x:v>Screen Type</x:v>
      </x:c>
      <x:c r="C292" s="339" t="str">
        <x:v>SCR-097</x:v>
      </x:c>
      <x:c r="D292" s="339" t="str">
        <x:v>Academics &amp; Curriculum</x:v>
      </x:c>
      <x:c r="E292" s="339" t="str">
        <x:v>Subject Groups</x:v>
      </x:c>
      <x:c r="F292" s="339" t="str">
        <x:v>Workflow / Management integrity rule</x:v>
      </x:c>
      <x:c r="G292" s="339" t="str">
        <x:v>State transitions are explicit, role-controlled and auditable; invalid transitions are rejected.</x:v>
      </x:c>
      <x:c r="H292" s="339" t="str">
        <x:v>Domain/service validation plus UI affordances.</x:v>
      </x:c>
      <x:c r="I292" s="339" t="str">
        <x:v>High</x:v>
      </x:c>
      <x:c r="J292" s="339" t="str">
        <x:v>No silent bypass; approved overrides must be separately authorized and audited.</x:v>
      </x:c>
    </x:row>
    <x:row r="293">
      <x:c r="A293" s="339" t="str">
        <x:v>BR-00292</x:v>
      </x:c>
      <x:c r="B293" s="339" t="str">
        <x:v>Screen</x:v>
      </x:c>
      <x:c r="C293" s="339" t="str">
        <x:v>SCR-098</x:v>
      </x:c>
      <x:c r="D293" s="339" t="str">
        <x:v>Academics &amp; Curriculum</x:v>
      </x:c>
      <x:c r="E293" s="339" t="str">
        <x:v>Curriculum</x:v>
      </x:c>
      <x:c r="F293" s="339" t="str">
        <x:v>Academic Planning &amp; Curriculum Delivery rule 1</x:v>
      </x:c>
      <x:c r="G293" s="339" t="str">
        <x:v>Published academic content should not be edited in a way that destroys historical reporting; revisions must be traceable.</x:v>
      </x:c>
      <x:c r="H293" s="339" t="str">
        <x:v>Enforced in service/domain layer and reflected in UI validation/action availability.</x:v>
      </x:c>
      <x:c r="I293" s="339" t="str">
        <x:v>Medium</x:v>
      </x:c>
      <x:c r="J293" s="339" t="str">
        <x:v>Only an explicitly configured authorized override may bypass a non-statutory rule; overrides require reason and audit.</x:v>
      </x:c>
    </x:row>
    <x:row r="294">
      <x:c r="A294" s="339" t="str">
        <x:v>BR-00293</x:v>
      </x:c>
      <x:c r="B294" s="339" t="str">
        <x:v>Screen</x:v>
      </x:c>
      <x:c r="C294" s="339" t="str">
        <x:v>SCR-098</x:v>
      </x:c>
      <x:c r="D294" s="339" t="str">
        <x:v>Academics &amp; Curriculum</x:v>
      </x:c>
      <x:c r="E294" s="339" t="str">
        <x:v>Curriculum</x:v>
      </x:c>
      <x:c r="F294" s="339" t="str">
        <x:v>Academic Planning &amp; Curriculum Delivery rule 2</x:v>
      </x:c>
      <x:c r="G294" s="339" t="str">
        <x:v>Only authorized academic roles can approve curriculum/lesson plans where approval is enabled.</x:v>
      </x:c>
      <x:c r="H294" s="339" t="str">
        <x:v>Enforced in service/domain layer and reflected in UI validation/action availability.</x:v>
      </x:c>
      <x:c r="I294" s="339" t="str">
        <x:v>Medium</x:v>
      </x:c>
      <x:c r="J294" s="339" t="str">
        <x:v>Only an explicitly configured authorized override may bypass a non-statutory rule; overrides require reason and audit.</x:v>
      </x:c>
    </x:row>
    <x:row r="295">
      <x:c r="A295" s="339" t="str">
        <x:v>BR-00294</x:v>
      </x:c>
      <x:c r="B295" s="339" t="str">
        <x:v>Screen Type</x:v>
      </x:c>
      <x:c r="C295" s="339" t="str">
        <x:v>SCR-098</x:v>
      </x:c>
      <x:c r="D295" s="339" t="str">
        <x:v>Academics &amp; Curriculum</x:v>
      </x:c>
      <x:c r="E295" s="339" t="str">
        <x:v>Curriculum</x:v>
      </x:c>
      <x:c r="F295" s="339" t="str">
        <x:v>Workflow / Management integrity rule</x:v>
      </x:c>
      <x:c r="G295" s="339" t="str">
        <x:v>State transitions are explicit, role-controlled and auditable; invalid transitions are rejected.</x:v>
      </x:c>
      <x:c r="H295" s="339" t="str">
        <x:v>Domain/service validation plus UI affordances.</x:v>
      </x:c>
      <x:c r="I295" s="339" t="str">
        <x:v>High</x:v>
      </x:c>
      <x:c r="J295" s="339" t="str">
        <x:v>No silent bypass; approved overrides must be separately authorized and audited.</x:v>
      </x:c>
    </x:row>
    <x:row r="296">
      <x:c r="A296" s="339" t="str">
        <x:v>BR-00295</x:v>
      </x:c>
      <x:c r="B296" s="339" t="str">
        <x:v>Screen</x:v>
      </x:c>
      <x:c r="C296" s="339" t="str">
        <x:v>SCR-099</x:v>
      </x:c>
      <x:c r="D296" s="339" t="str">
        <x:v>Academics &amp; Curriculum</x:v>
      </x:c>
      <x:c r="E296" s="339" t="str">
        <x:v>Curriculum Details</x:v>
      </x:c>
      <x:c r="F296" s="339" t="str">
        <x:v>Academic Planning &amp; Curriculum Delivery rule 1</x:v>
      </x:c>
      <x:c r="G296" s="339" t="str">
        <x:v>Only authorized academic roles can approve curriculum/lesson plans where approval is enabled.</x:v>
      </x:c>
      <x:c r="H296" s="339" t="str">
        <x:v>Enforced in service/domain layer and reflected in UI validation/action availability.</x:v>
      </x:c>
      <x:c r="I296" s="339" t="str">
        <x:v>Medium</x:v>
      </x:c>
      <x:c r="J296" s="339" t="str">
        <x:v>Only an explicitly configured authorized override may bypass a non-statutory rule; overrides require reason and audit.</x:v>
      </x:c>
    </x:row>
    <x:row r="297">
      <x:c r="A297" s="339" t="str">
        <x:v>BR-00296</x:v>
      </x:c>
      <x:c r="B297" s="339" t="str">
        <x:v>Screen</x:v>
      </x:c>
      <x:c r="C297" s="339" t="str">
        <x:v>SCR-099</x:v>
      </x:c>
      <x:c r="D297" s="339" t="str">
        <x:v>Academics &amp; Curriculum</x:v>
      </x:c>
      <x:c r="E297" s="339" t="str">
        <x:v>Curriculum Details</x:v>
      </x:c>
      <x:c r="F297" s="339" t="str">
        <x:v>Academic Planning &amp; Curriculum Delivery rule 2</x:v>
      </x:c>
      <x:c r="G297" s="339" t="str">
        <x:v>Curriculum and subject structures are versioned by academic year/term.</x:v>
      </x:c>
      <x:c r="H297" s="339" t="str">
        <x:v>Enforced in service/domain layer and reflected in UI validation/action availability.</x:v>
      </x:c>
      <x:c r="I297" s="339" t="str">
        <x:v>Medium</x:v>
      </x:c>
      <x:c r="J297" s="339" t="str">
        <x:v>Only an explicitly configured authorized override may bypass a non-statutory rule; overrides require reason and audit.</x:v>
      </x:c>
    </x:row>
    <x:row r="298">
      <x:c r="A298" s="339" t="str">
        <x:v>BR-00297</x:v>
      </x:c>
      <x:c r="B298" s="339" t="str">
        <x:v>Screen Type</x:v>
      </x:c>
      <x:c r="C298" s="339" t="str">
        <x:v>SCR-099</x:v>
      </x:c>
      <x:c r="D298" s="339" t="str">
        <x:v>Academics &amp; Curriculum</x:v>
      </x:c>
      <x:c r="E298" s="339" t="str">
        <x:v>Curriculum Details</x:v>
      </x:c>
      <x:c r="F298" s="339" t="str">
        <x:v>Detail / Profile integrity rule</x:v>
      </x:c>
      <x:c r="G298" s="339" t="str">
        <x:v>Concurrent updates must not silently overwrite newer data; material edits are audited.</x:v>
      </x:c>
      <x:c r="H298" s="339" t="str">
        <x:v>Domain/service validation plus UI affordances.</x:v>
      </x:c>
      <x:c r="I298" s="339" t="str">
        <x:v>High</x:v>
      </x:c>
      <x:c r="J298" s="339" t="str">
        <x:v>No silent bypass; approved overrides must be separately authorized and audited.</x:v>
      </x:c>
    </x:row>
    <x:row r="299">
      <x:c r="A299" s="339" t="str">
        <x:v>BR-00298</x:v>
      </x:c>
      <x:c r="B299" s="339" t="str">
        <x:v>Screen</x:v>
      </x:c>
      <x:c r="C299" s="339" t="str">
        <x:v>SCR-100</x:v>
      </x:c>
      <x:c r="D299" s="339" t="str">
        <x:v>Academics &amp; Curriculum</x:v>
      </x:c>
      <x:c r="E299" s="339" t="str">
        <x:v>Units / Chapters / Topics</x:v>
      </x:c>
      <x:c r="F299" s="339" t="str">
        <x:v>Academic Planning &amp; Curriculum Delivery rule 1</x:v>
      </x:c>
      <x:c r="G299" s="339" t="str">
        <x:v>Curriculum and subject structures are versioned by academic year/term.</x:v>
      </x:c>
      <x:c r="H299" s="339" t="str">
        <x:v>Enforced in service/domain layer and reflected in UI validation/action availability.</x:v>
      </x:c>
      <x:c r="I299" s="339" t="str">
        <x:v>Medium</x:v>
      </x:c>
      <x:c r="J299" s="339" t="str">
        <x:v>Only an explicitly configured authorized override may bypass a non-statutory rule; overrides require reason and audit.</x:v>
      </x:c>
    </x:row>
    <x:row r="300">
      <x:c r="A300" s="339" t="str">
        <x:v>BR-00299</x:v>
      </x:c>
      <x:c r="B300" s="339" t="str">
        <x:v>Screen</x:v>
      </x:c>
      <x:c r="C300" s="339" t="str">
        <x:v>SCR-100</x:v>
      </x:c>
      <x:c r="D300" s="339" t="str">
        <x:v>Academics &amp; Curriculum</x:v>
      </x:c>
      <x:c r="E300" s="339" t="str">
        <x:v>Units / Chapters / Topics</x:v>
      </x:c>
      <x:c r="F300" s="339" t="str">
        <x:v>Academic Planning &amp; Curriculum Delivery rule 2</x:v>
      </x:c>
      <x:c r="G300" s="339" t="str">
        <x:v>Lesson plans must reference valid class, subject, curriculum units and assigned teacher scope.</x:v>
      </x:c>
      <x:c r="H300" s="339" t="str">
        <x:v>Enforced in service/domain layer and reflected in UI validation/action availability.</x:v>
      </x:c>
      <x:c r="I300" s="339" t="str">
        <x:v>Medium</x:v>
      </x:c>
      <x:c r="J300" s="339" t="str">
        <x:v>Only an explicitly configured authorized override may bypass a non-statutory rule; overrides require reason and audit.</x:v>
      </x:c>
    </x:row>
    <x:row r="301">
      <x:c r="A301" s="339" t="str">
        <x:v>BR-00300</x:v>
      </x:c>
      <x:c r="B301" s="339" t="str">
        <x:v>Screen Type</x:v>
      </x:c>
      <x:c r="C301" s="339" t="str">
        <x:v>SCR-100</x:v>
      </x:c>
      <x:c r="D301" s="339" t="str">
        <x:v>Academics &amp; Curriculum</x:v>
      </x:c>
      <x:c r="E301" s="339" t="str">
        <x:v>Units / Chapters / Topics</x:v>
      </x:c>
      <x:c r="F301" s="339" t="str">
        <x:v>Workflow / Management integrity rule</x:v>
      </x:c>
      <x:c r="G301" s="339" t="str">
        <x:v>State transitions are explicit, role-controlled and auditable; invalid transitions are rejected.</x:v>
      </x:c>
      <x:c r="H301" s="339" t="str">
        <x:v>Domain/service validation plus UI affordances.</x:v>
      </x:c>
      <x:c r="I301" s="339" t="str">
        <x:v>High</x:v>
      </x:c>
      <x:c r="J301" s="339" t="str">
        <x:v>No silent bypass; approved overrides must be separately authorized and audited.</x:v>
      </x:c>
    </x:row>
    <x:row r="302">
      <x:c r="A302" s="339" t="str">
        <x:v>BR-00301</x:v>
      </x:c>
      <x:c r="B302" s="339" t="str">
        <x:v>Screen</x:v>
      </x:c>
      <x:c r="C302" s="339" t="str">
        <x:v>SCR-101</x:v>
      </x:c>
      <x:c r="D302" s="339" t="str">
        <x:v>Academics &amp; Curriculum</x:v>
      </x:c>
      <x:c r="E302" s="339" t="str">
        <x:v>Learning Outcomes</x:v>
      </x:c>
      <x:c r="F302" s="339" t="str">
        <x:v>Academic Planning &amp; Curriculum Delivery rule 1</x:v>
      </x:c>
      <x:c r="G302" s="339" t="str">
        <x:v>Lesson plans must reference valid class, subject, curriculum units and assigned teacher scope.</x:v>
      </x:c>
      <x:c r="H302" s="339" t="str">
        <x:v>Enforced in service/domain layer and reflected in UI validation/action availability.</x:v>
      </x:c>
      <x:c r="I302" s="339" t="str">
        <x:v>Medium</x:v>
      </x:c>
      <x:c r="J302" s="339" t="str">
        <x:v>Only an explicitly configured authorized override may bypass a non-statutory rule; overrides require reason and audit.</x:v>
      </x:c>
    </x:row>
    <x:row r="303">
      <x:c r="A303" s="339" t="str">
        <x:v>BR-00302</x:v>
      </x:c>
      <x:c r="B303" s="339" t="str">
        <x:v>Screen</x:v>
      </x:c>
      <x:c r="C303" s="339" t="str">
        <x:v>SCR-101</x:v>
      </x:c>
      <x:c r="D303" s="339" t="str">
        <x:v>Academics &amp; Curriculum</x:v>
      </x:c>
      <x:c r="E303" s="339" t="str">
        <x:v>Learning Outcomes</x:v>
      </x:c>
      <x:c r="F303" s="339" t="str">
        <x:v>Academic Planning &amp; Curriculum Delivery rule 2</x:v>
      </x:c>
      <x:c r="G303" s="339" t="str">
        <x:v>Syllabus progress cannot exceed 100% and must be derived from approved/completed curriculum units.</x:v>
      </x:c>
      <x:c r="H303" s="339" t="str">
        <x:v>Enforced in service/domain layer and reflected in UI validation/action availability.</x:v>
      </x:c>
      <x:c r="I303" s="339" t="str">
        <x:v>Medium</x:v>
      </x:c>
      <x:c r="J303" s="339" t="str">
        <x:v>Only an explicitly configured authorized override may bypass a non-statutory rule; overrides require reason and audit.</x:v>
      </x:c>
    </x:row>
    <x:row r="304">
      <x:c r="A304" s="339" t="str">
        <x:v>BR-00303</x:v>
      </x:c>
      <x:c r="B304" s="339" t="str">
        <x:v>Screen Type</x:v>
      </x:c>
      <x:c r="C304" s="339" t="str">
        <x:v>SCR-101</x:v>
      </x:c>
      <x:c r="D304" s="339" t="str">
        <x:v>Academics &amp; Curriculum</x:v>
      </x:c>
      <x:c r="E304" s="339" t="str">
        <x:v>Learning Outcomes</x:v>
      </x:c>
      <x:c r="F304" s="339" t="str">
        <x:v>Workflow / Management integrity rule</x:v>
      </x:c>
      <x:c r="G304" s="339" t="str">
        <x:v>State transitions are explicit, role-controlled and auditable; invalid transitions are rejected.</x:v>
      </x:c>
      <x:c r="H304" s="339" t="str">
        <x:v>Domain/service validation plus UI affordances.</x:v>
      </x:c>
      <x:c r="I304" s="339" t="str">
        <x:v>High</x:v>
      </x:c>
      <x:c r="J304" s="339" t="str">
        <x:v>No silent bypass; approved overrides must be separately authorized and audited.</x:v>
      </x:c>
    </x:row>
    <x:row r="305">
      <x:c r="A305" s="339" t="str">
        <x:v>BR-00304</x:v>
      </x:c>
      <x:c r="B305" s="339" t="str">
        <x:v>Screen</x:v>
      </x:c>
      <x:c r="C305" s="339" t="str">
        <x:v>SCR-102</x:v>
      </x:c>
      <x:c r="D305" s="339" t="str">
        <x:v>Academics &amp; Curriculum</x:v>
      </x:c>
      <x:c r="E305" s="339" t="str">
        <x:v>Lesson Plans</x:v>
      </x:c>
      <x:c r="F305" s="339" t="str">
        <x:v>Academic Planning &amp; Curriculum Delivery rule 1</x:v>
      </x:c>
      <x:c r="G305" s="339" t="str">
        <x:v>Syllabus progress cannot exceed 100% and must be derived from approved/completed curriculum units.</x:v>
      </x:c>
      <x:c r="H305" s="339" t="str">
        <x:v>Enforced in service/domain layer and reflected in UI validation/action availability.</x:v>
      </x:c>
      <x:c r="I305" s="339" t="str">
        <x:v>Medium</x:v>
      </x:c>
      <x:c r="J305" s="339" t="str">
        <x:v>Only an explicitly configured authorized override may bypass a non-statutory rule; overrides require reason and audit.</x:v>
      </x:c>
    </x:row>
    <x:row r="306">
      <x:c r="A306" s="339" t="str">
        <x:v>BR-00305</x:v>
      </x:c>
      <x:c r="B306" s="339" t="str">
        <x:v>Screen</x:v>
      </x:c>
      <x:c r="C306" s="339" t="str">
        <x:v>SCR-102</x:v>
      </x:c>
      <x:c r="D306" s="339" t="str">
        <x:v>Academics &amp; Curriculum</x:v>
      </x:c>
      <x:c r="E306" s="339" t="str">
        <x:v>Lesson Plans</x:v>
      </x:c>
      <x:c r="F306" s="339" t="str">
        <x:v>Academic Planning &amp; Curriculum Delivery rule 2</x:v>
      </x:c>
      <x:c r="G306" s="339" t="str">
        <x:v>Published academic content should not be edited in a way that destroys historical reporting; revisions must be traceable.</x:v>
      </x:c>
      <x:c r="H306" s="339" t="str">
        <x:v>Enforced in service/domain layer and reflected in UI validation/action availability.</x:v>
      </x:c>
      <x:c r="I306" s="339" t="str">
        <x:v>Medium</x:v>
      </x:c>
      <x:c r="J306" s="339" t="str">
        <x:v>Only an explicitly configured authorized override may bypass a non-statutory rule; overrides require reason and audit.</x:v>
      </x:c>
    </x:row>
    <x:row r="307">
      <x:c r="A307" s="339" t="str">
        <x:v>BR-00306</x:v>
      </x:c>
      <x:c r="B307" s="339" t="str">
        <x:v>Screen Type</x:v>
      </x:c>
      <x:c r="C307" s="339" t="str">
        <x:v>SCR-102</x:v>
      </x:c>
      <x:c r="D307" s="339" t="str">
        <x:v>Academics &amp; Curriculum</x:v>
      </x:c>
      <x:c r="E307" s="339" t="str">
        <x:v>Lesson Plans</x:v>
      </x:c>
      <x:c r="F307" s="339" t="str">
        <x:v>Workflow / Management integrity rule</x:v>
      </x:c>
      <x:c r="G307" s="339" t="str">
        <x:v>State transitions are explicit, role-controlled and auditable; invalid transitions are rejected.</x:v>
      </x:c>
      <x:c r="H307" s="339" t="str">
        <x:v>Domain/service validation plus UI affordances.</x:v>
      </x:c>
      <x:c r="I307" s="339" t="str">
        <x:v>High</x:v>
      </x:c>
      <x:c r="J307" s="339" t="str">
        <x:v>No silent bypass; approved overrides must be separately authorized and audited.</x:v>
      </x:c>
    </x:row>
    <x:row r="308">
      <x:c r="A308" s="339" t="str">
        <x:v>BR-00307</x:v>
      </x:c>
      <x:c r="B308" s="339" t="str">
        <x:v>Screen</x:v>
      </x:c>
      <x:c r="C308" s="339" t="str">
        <x:v>SCR-103</x:v>
      </x:c>
      <x:c r="D308" s="339" t="str">
        <x:v>Academics &amp; Curriculum</x:v>
      </x:c>
      <x:c r="E308" s="339" t="str">
        <x:v>Create / Edit Lesson Plan</x:v>
      </x:c>
      <x:c r="F308" s="339" t="str">
        <x:v>Academic Planning &amp; Curriculum Delivery rule 1</x:v>
      </x:c>
      <x:c r="G308" s="339" t="str">
        <x:v>Published academic content should not be edited in a way that destroys historical reporting; revisions must be traceable.</x:v>
      </x:c>
      <x:c r="H308" s="339" t="str">
        <x:v>Enforced in service/domain layer and reflected in UI validation/action availability.</x:v>
      </x:c>
      <x:c r="I308" s="339" t="str">
        <x:v>Medium</x:v>
      </x:c>
      <x:c r="J308" s="339" t="str">
        <x:v>Only an explicitly configured authorized override may bypass a non-statutory rule; overrides require reason and audit.</x:v>
      </x:c>
    </x:row>
    <x:row r="309">
      <x:c r="A309" s="339" t="str">
        <x:v>BR-00308</x:v>
      </x:c>
      <x:c r="B309" s="339" t="str">
        <x:v>Screen</x:v>
      </x:c>
      <x:c r="C309" s="339" t="str">
        <x:v>SCR-103</x:v>
      </x:c>
      <x:c r="D309" s="339" t="str">
        <x:v>Academics &amp; Curriculum</x:v>
      </x:c>
      <x:c r="E309" s="339" t="str">
        <x:v>Create / Edit Lesson Plan</x:v>
      </x:c>
      <x:c r="F309" s="339" t="str">
        <x:v>Academic Planning &amp; Curriculum Delivery rule 2</x:v>
      </x:c>
      <x:c r="G309" s="339" t="str">
        <x:v>Only authorized academic roles can approve curriculum/lesson plans where approval is enabled.</x:v>
      </x:c>
      <x:c r="H309" s="339" t="str">
        <x:v>Enforced in service/domain layer and reflected in UI validation/action availability.</x:v>
      </x:c>
      <x:c r="I309" s="339" t="str">
        <x:v>Medium</x:v>
      </x:c>
      <x:c r="J309" s="339" t="str">
        <x:v>Only an explicitly configured authorized override may bypass a non-statutory rule; overrides require reason and audit.</x:v>
      </x:c>
    </x:row>
    <x:row r="310">
      <x:c r="A310" s="339" t="str">
        <x:v>BR-00309</x:v>
      </x:c>
      <x:c r="B310" s="339" t="str">
        <x:v>Screen Type</x:v>
      </x:c>
      <x:c r="C310" s="339" t="str">
        <x:v>SCR-103</x:v>
      </x:c>
      <x:c r="D310" s="339" t="str">
        <x:v>Academics &amp; Curriculum</x:v>
      </x:c>
      <x:c r="E310" s="339" t="str">
        <x:v>Create / Edit Lesson Plan</x:v>
      </x:c>
      <x:c r="F310" s="339" t="str">
        <x:v>Create / Transaction integrity rule</x:v>
      </x:c>
      <x:c r="G310" s="339" t="str">
        <x:v>A record is created only after all blocking validations, duplicate checks and reference checks pass.</x:v>
      </x:c>
      <x:c r="H310" s="339" t="str">
        <x:v>Domain/service validation plus UI affordances.</x:v>
      </x:c>
      <x:c r="I310" s="339" t="str">
        <x:v>High</x:v>
      </x:c>
      <x:c r="J310" s="339" t="str">
        <x:v>No silent bypass; approved overrides must be separately authorized and audited.</x:v>
      </x:c>
    </x:row>
    <x:row r="311">
      <x:c r="A311" s="339" t="str">
        <x:v>BR-00310</x:v>
      </x:c>
      <x:c r="B311" s="339" t="str">
        <x:v>Screen</x:v>
      </x:c>
      <x:c r="C311" s="339" t="str">
        <x:v>SCR-104</x:v>
      </x:c>
      <x:c r="D311" s="339" t="str">
        <x:v>Academics &amp; Curriculum</x:v>
      </x:c>
      <x:c r="E311" s="339" t="str">
        <x:v>Lesson Plan Review &amp; Approval</x:v>
      </x:c>
      <x:c r="F311" s="339" t="str">
        <x:v>Academic Planning &amp; Curriculum Delivery rule 1</x:v>
      </x:c>
      <x:c r="G311" s="339" t="str">
        <x:v>Only authorized academic roles can approve curriculum/lesson plans where approval is enabled.</x:v>
      </x:c>
      <x:c r="H311" s="339" t="str">
        <x:v>Enforced in service/domain layer and reflected in UI validation/action availability.</x:v>
      </x:c>
      <x:c r="I311" s="339" t="str">
        <x:v>Medium</x:v>
      </x:c>
      <x:c r="J311" s="339" t="str">
        <x:v>Only an explicitly configured authorized override may bypass a non-statutory rule; overrides require reason and audit.</x:v>
      </x:c>
    </x:row>
    <x:row r="312">
      <x:c r="A312" s="339" t="str">
        <x:v>BR-00311</x:v>
      </x:c>
      <x:c r="B312" s="339" t="str">
        <x:v>Screen</x:v>
      </x:c>
      <x:c r="C312" s="339" t="str">
        <x:v>SCR-104</x:v>
      </x:c>
      <x:c r="D312" s="339" t="str">
        <x:v>Academics &amp; Curriculum</x:v>
      </x:c>
      <x:c r="E312" s="339" t="str">
        <x:v>Lesson Plan Review &amp; Approval</x:v>
      </x:c>
      <x:c r="F312" s="339" t="str">
        <x:v>Academic Planning &amp; Curriculum Delivery rule 2</x:v>
      </x:c>
      <x:c r="G312" s="339" t="str">
        <x:v>Curriculum and subject structures are versioned by academic year/term.</x:v>
      </x:c>
      <x:c r="H312" s="339" t="str">
        <x:v>Enforced in service/domain layer and reflected in UI validation/action availability.</x:v>
      </x:c>
      <x:c r="I312" s="339" t="str">
        <x:v>Medium</x:v>
      </x:c>
      <x:c r="J312" s="339" t="str">
        <x:v>Only an explicitly configured authorized override may bypass a non-statutory rule; overrides require reason and audit.</x:v>
      </x:c>
    </x:row>
    <x:row r="313">
      <x:c r="A313" s="339" t="str">
        <x:v>BR-00312</x:v>
      </x:c>
      <x:c r="B313" s="339" t="str">
        <x:v>Screen Type</x:v>
      </x:c>
      <x:c r="C313" s="339" t="str">
        <x:v>SCR-104</x:v>
      </x:c>
      <x:c r="D313" s="339" t="str">
        <x:v>Academics &amp; Curriculum</x:v>
      </x:c>
      <x:c r="E313" s="339" t="str">
        <x:v>Lesson Plan Review &amp; Approval</x:v>
      </x:c>
      <x:c r="F313" s="339" t="str">
        <x:v>Workflow / Management integrity rule</x:v>
      </x:c>
      <x:c r="G313" s="339" t="str">
        <x:v>State transitions are explicit, role-controlled and auditable; invalid transitions are rejected.</x:v>
      </x:c>
      <x:c r="H313" s="339" t="str">
        <x:v>Domain/service validation plus UI affordances.</x:v>
      </x:c>
      <x:c r="I313" s="339" t="str">
        <x:v>High</x:v>
      </x:c>
      <x:c r="J313" s="339" t="str">
        <x:v>No silent bypass; approved overrides must be separately authorized and audited.</x:v>
      </x:c>
    </x:row>
    <x:row r="314">
      <x:c r="A314" s="339" t="str">
        <x:v>BR-00313</x:v>
      </x:c>
      <x:c r="B314" s="339" t="str">
        <x:v>Screen</x:v>
      </x:c>
      <x:c r="C314" s="339" t="str">
        <x:v>SCR-105</x:v>
      </x:c>
      <x:c r="D314" s="339" t="str">
        <x:v>Academics &amp; Curriculum</x:v>
      </x:c>
      <x:c r="E314" s="339" t="str">
        <x:v>Syllabus Progress</x:v>
      </x:c>
      <x:c r="F314" s="339" t="str">
        <x:v>Academic Planning &amp; Curriculum Delivery rule 1</x:v>
      </x:c>
      <x:c r="G314" s="339" t="str">
        <x:v>Curriculum and subject structures are versioned by academic year/term.</x:v>
      </x:c>
      <x:c r="H314" s="339" t="str">
        <x:v>Enforced in service/domain layer and reflected in UI validation/action availability.</x:v>
      </x:c>
      <x:c r="I314" s="339" t="str">
        <x:v>Medium</x:v>
      </x:c>
      <x:c r="J314" s="339" t="str">
        <x:v>Only an explicitly configured authorized override may bypass a non-statutory rule; overrides require reason and audit.</x:v>
      </x:c>
    </x:row>
    <x:row r="315">
      <x:c r="A315" s="339" t="str">
        <x:v>BR-00314</x:v>
      </x:c>
      <x:c r="B315" s="339" t="str">
        <x:v>Screen</x:v>
      </x:c>
      <x:c r="C315" s="339" t="str">
        <x:v>SCR-105</x:v>
      </x:c>
      <x:c r="D315" s="339" t="str">
        <x:v>Academics &amp; Curriculum</x:v>
      </x:c>
      <x:c r="E315" s="339" t="str">
        <x:v>Syllabus Progress</x:v>
      </x:c>
      <x:c r="F315" s="339" t="str">
        <x:v>Academic Planning &amp; Curriculum Delivery rule 2</x:v>
      </x:c>
      <x:c r="G315" s="339" t="str">
        <x:v>Lesson plans must reference valid class, subject, curriculum units and assigned teacher scope.</x:v>
      </x:c>
      <x:c r="H315" s="339" t="str">
        <x:v>Enforced in service/domain layer and reflected in UI validation/action availability.</x:v>
      </x:c>
      <x:c r="I315" s="339" t="str">
        <x:v>Medium</x:v>
      </x:c>
      <x:c r="J315" s="339" t="str">
        <x:v>Only an explicitly configured authorized override may bypass a non-statutory rule; overrides require reason and audit.</x:v>
      </x:c>
    </x:row>
    <x:row r="316">
      <x:c r="A316" s="339" t="str">
        <x:v>BR-00315</x:v>
      </x:c>
      <x:c r="B316" s="339" t="str">
        <x:v>Screen Type</x:v>
      </x:c>
      <x:c r="C316" s="339" t="str">
        <x:v>SCR-105</x:v>
      </x:c>
      <x:c r="D316" s="339" t="str">
        <x:v>Academics &amp; Curriculum</x:v>
      </x:c>
      <x:c r="E316" s="339" t="str">
        <x:v>Syllabus Progress</x:v>
      </x:c>
      <x:c r="F316" s="339" t="str">
        <x:v>Workflow / Management integrity rule</x:v>
      </x:c>
      <x:c r="G316" s="339" t="str">
        <x:v>State transitions are explicit, role-controlled and auditable; invalid transitions are rejected.</x:v>
      </x:c>
      <x:c r="H316" s="339" t="str">
        <x:v>Domain/service validation plus UI affordances.</x:v>
      </x:c>
      <x:c r="I316" s="339" t="str">
        <x:v>High</x:v>
      </x:c>
      <x:c r="J316" s="339" t="str">
        <x:v>No silent bypass; approved overrides must be separately authorized and audited.</x:v>
      </x:c>
    </x:row>
    <x:row r="317">
      <x:c r="A317" s="339" t="str">
        <x:v>BR-00316</x:v>
      </x:c>
      <x:c r="B317" s="339" t="str">
        <x:v>Screen</x:v>
      </x:c>
      <x:c r="C317" s="339" t="str">
        <x:v>SCR-106</x:v>
      </x:c>
      <x:c r="D317" s="339" t="str">
        <x:v>Academics &amp; Curriculum</x:v>
      </x:c>
      <x:c r="E317" s="339" t="str">
        <x:v>Teaching Resources</x:v>
      </x:c>
      <x:c r="F317" s="339" t="str">
        <x:v>Academic Planning &amp; Curriculum Delivery rule 1</x:v>
      </x:c>
      <x:c r="G317" s="339" t="str">
        <x:v>Lesson plans must reference valid class, subject, curriculum units and assigned teacher scope.</x:v>
      </x:c>
      <x:c r="H317" s="339" t="str">
        <x:v>Enforced in service/domain layer and reflected in UI validation/action availability.</x:v>
      </x:c>
      <x:c r="I317" s="339" t="str">
        <x:v>Medium</x:v>
      </x:c>
      <x:c r="J317" s="339" t="str">
        <x:v>Only an explicitly configured authorized override may bypass a non-statutory rule; overrides require reason and audit.</x:v>
      </x:c>
    </x:row>
    <x:row r="318">
      <x:c r="A318" s="339" t="str">
        <x:v>BR-00317</x:v>
      </x:c>
      <x:c r="B318" s="339" t="str">
        <x:v>Screen</x:v>
      </x:c>
      <x:c r="C318" s="339" t="str">
        <x:v>SCR-106</x:v>
      </x:c>
      <x:c r="D318" s="339" t="str">
        <x:v>Academics &amp; Curriculum</x:v>
      </x:c>
      <x:c r="E318" s="339" t="str">
        <x:v>Teaching Resources</x:v>
      </x:c>
      <x:c r="F318" s="339" t="str">
        <x:v>Academic Planning &amp; Curriculum Delivery rule 2</x:v>
      </x:c>
      <x:c r="G318" s="339" t="str">
        <x:v>Syllabus progress cannot exceed 100% and must be derived from approved/completed curriculum units.</x:v>
      </x:c>
      <x:c r="H318" s="339" t="str">
        <x:v>Enforced in service/domain layer and reflected in UI validation/action availability.</x:v>
      </x:c>
      <x:c r="I318" s="339" t="str">
        <x:v>Medium</x:v>
      </x:c>
      <x:c r="J318" s="339" t="str">
        <x:v>Only an explicitly configured authorized override may bypass a non-statutory rule; overrides require reason and audit.</x:v>
      </x:c>
    </x:row>
    <x:row r="319">
      <x:c r="A319" s="339" t="str">
        <x:v>BR-00318</x:v>
      </x:c>
      <x:c r="B319" s="339" t="str">
        <x:v>Screen Type</x:v>
      </x:c>
      <x:c r="C319" s="339" t="str">
        <x:v>SCR-106</x:v>
      </x:c>
      <x:c r="D319" s="339" t="str">
        <x:v>Academics &amp; Curriculum</x:v>
      </x:c>
      <x:c r="E319" s="339" t="str">
        <x:v>Teaching Resources</x:v>
      </x:c>
      <x:c r="F319" s="339" t="str">
        <x:v>Workflow / Management integrity rule</x:v>
      </x:c>
      <x:c r="G319" s="339" t="str">
        <x:v>State transitions are explicit, role-controlled and auditable; invalid transitions are rejected.</x:v>
      </x:c>
      <x:c r="H319" s="339" t="str">
        <x:v>Domain/service validation plus UI affordances.</x:v>
      </x:c>
      <x:c r="I319" s="339" t="str">
        <x:v>High</x:v>
      </x:c>
      <x:c r="J319" s="339" t="str">
        <x:v>No silent bypass; approved overrides must be separately authorized and audited.</x:v>
      </x:c>
    </x:row>
    <x:row r="320">
      <x:c r="A320" s="339" t="str">
        <x:v>BR-00319</x:v>
      </x:c>
      <x:c r="B320" s="339" t="str">
        <x:v>Screen</x:v>
      </x:c>
      <x:c r="C320" s="339" t="str">
        <x:v>SCR-107</x:v>
      </x:c>
      <x:c r="D320" s="339" t="str">
        <x:v>Academics &amp; Curriculum</x:v>
      </x:c>
      <x:c r="E320" s="339" t="str">
        <x:v>Classroom / Room Management</x:v>
      </x:c>
      <x:c r="F320" s="339" t="str">
        <x:v>Academic Planning &amp; Curriculum Delivery rule 1</x:v>
      </x:c>
      <x:c r="G320" s="339" t="str">
        <x:v>Syllabus progress cannot exceed 100% and must be derived from approved/completed curriculum units.</x:v>
      </x:c>
      <x:c r="H320" s="339" t="str">
        <x:v>Enforced in service/domain layer and reflected in UI validation/action availability.</x:v>
      </x:c>
      <x:c r="I320" s="339" t="str">
        <x:v>Medium</x:v>
      </x:c>
      <x:c r="J320" s="339" t="str">
        <x:v>Only an explicitly configured authorized override may bypass a non-statutory rule; overrides require reason and audit.</x:v>
      </x:c>
    </x:row>
    <x:row r="321">
      <x:c r="A321" s="339" t="str">
        <x:v>BR-00320</x:v>
      </x:c>
      <x:c r="B321" s="339" t="str">
        <x:v>Screen</x:v>
      </x:c>
      <x:c r="C321" s="339" t="str">
        <x:v>SCR-107</x:v>
      </x:c>
      <x:c r="D321" s="339" t="str">
        <x:v>Academics &amp; Curriculum</x:v>
      </x:c>
      <x:c r="E321" s="339" t="str">
        <x:v>Classroom / Room Management</x:v>
      </x:c>
      <x:c r="F321" s="339" t="str">
        <x:v>Academic Planning &amp; Curriculum Delivery rule 2</x:v>
      </x:c>
      <x:c r="G321" s="339" t="str">
        <x:v>Published academic content should not be edited in a way that destroys historical reporting; revisions must be traceable.</x:v>
      </x:c>
      <x:c r="H321" s="339" t="str">
        <x:v>Enforced in service/domain layer and reflected in UI validation/action availability.</x:v>
      </x:c>
      <x:c r="I321" s="339" t="str">
        <x:v>Medium</x:v>
      </x:c>
      <x:c r="J321" s="339" t="str">
        <x:v>Only an explicitly configured authorized override may bypass a non-statutory rule; overrides require reason and audit.</x:v>
      </x:c>
    </x:row>
    <x:row r="322">
      <x:c r="A322" s="339" t="str">
        <x:v>BR-00321</x:v>
      </x:c>
      <x:c r="B322" s="339" t="str">
        <x:v>Screen Type</x:v>
      </x:c>
      <x:c r="C322" s="339" t="str">
        <x:v>SCR-107</x:v>
      </x:c>
      <x:c r="D322" s="339" t="str">
        <x:v>Academics &amp; Curriculum</x:v>
      </x:c>
      <x:c r="E322" s="339" t="str">
        <x:v>Classroom / Room Management</x:v>
      </x:c>
      <x:c r="F322" s="339" t="str">
        <x:v>Workflow / Management integrity rule</x:v>
      </x:c>
      <x:c r="G322" s="339" t="str">
        <x:v>State transitions are explicit, role-controlled and auditable; invalid transitions are rejected.</x:v>
      </x:c>
      <x:c r="H322" s="339" t="str">
        <x:v>Domain/service validation plus UI affordances.</x:v>
      </x:c>
      <x:c r="I322" s="339" t="str">
        <x:v>High</x:v>
      </x:c>
      <x:c r="J322" s="339" t="str">
        <x:v>No silent bypass; approved overrides must be separately authorized and audited.</x:v>
      </x:c>
    </x:row>
    <x:row r="323">
      <x:c r="A323" s="339" t="str">
        <x:v>BR-00322</x:v>
      </x:c>
      <x:c r="B323" s="339" t="str">
        <x:v>Screen</x:v>
      </x:c>
      <x:c r="C323" s="339" t="str">
        <x:v>SCR-108</x:v>
      </x:c>
      <x:c r="D323" s="339" t="str">
        <x:v>Academics &amp; Curriculum</x:v>
      </x:c>
      <x:c r="E323" s="339" t="str">
        <x:v>Academic Calendar</x:v>
      </x:c>
      <x:c r="F323" s="339" t="str">
        <x:v>Academic Planning &amp; Curriculum Delivery rule 1</x:v>
      </x:c>
      <x:c r="G323" s="339" t="str">
        <x:v>Published academic content should not be edited in a way that destroys historical reporting; revisions must be traceable.</x:v>
      </x:c>
      <x:c r="H323" s="339" t="str">
        <x:v>Enforced in service/domain layer and reflected in UI validation/action availability.</x:v>
      </x:c>
      <x:c r="I323" s="339" t="str">
        <x:v>Medium</x:v>
      </x:c>
      <x:c r="J323" s="339" t="str">
        <x:v>Only an explicitly configured authorized override may bypass a non-statutory rule; overrides require reason and audit.</x:v>
      </x:c>
    </x:row>
    <x:row r="324">
      <x:c r="A324" s="339" t="str">
        <x:v>BR-00323</x:v>
      </x:c>
      <x:c r="B324" s="339" t="str">
        <x:v>Screen</x:v>
      </x:c>
      <x:c r="C324" s="339" t="str">
        <x:v>SCR-108</x:v>
      </x:c>
      <x:c r="D324" s="339" t="str">
        <x:v>Academics &amp; Curriculum</x:v>
      </x:c>
      <x:c r="E324" s="339" t="str">
        <x:v>Academic Calendar</x:v>
      </x:c>
      <x:c r="F324" s="339" t="str">
        <x:v>Academic Planning &amp; Curriculum Delivery rule 2</x:v>
      </x:c>
      <x:c r="G324" s="339" t="str">
        <x:v>Only authorized academic roles can approve curriculum/lesson plans where approval is enabled.</x:v>
      </x:c>
      <x:c r="H324" s="339" t="str">
        <x:v>Enforced in service/domain layer and reflected in UI validation/action availability.</x:v>
      </x:c>
      <x:c r="I324" s="339" t="str">
        <x:v>Medium</x:v>
      </x:c>
      <x:c r="J324" s="339" t="str">
        <x:v>Only an explicitly configured authorized override may bypass a non-statutory rule; overrides require reason and audit.</x:v>
      </x:c>
    </x:row>
    <x:row r="325">
      <x:c r="A325" s="339" t="str">
        <x:v>BR-00324</x:v>
      </x:c>
      <x:c r="B325" s="339" t="str">
        <x:v>Screen Type</x:v>
      </x:c>
      <x:c r="C325" s="339" t="str">
        <x:v>SCR-108</x:v>
      </x:c>
      <x:c r="D325" s="339" t="str">
        <x:v>Academics &amp; Curriculum</x:v>
      </x:c>
      <x:c r="E325" s="339" t="str">
        <x:v>Academic Calendar</x:v>
      </x:c>
      <x:c r="F325" s="339" t="str">
        <x:v>Calendar / Schedule integrity rule</x:v>
      </x:c>
      <x:c r="G325" s="339" t="str">
        <x:v>Conflicting active resource/time allocations are blocked or require explicit authorized override.</x:v>
      </x:c>
      <x:c r="H325" s="339" t="str">
        <x:v>Domain/service validation plus UI affordances.</x:v>
      </x:c>
      <x:c r="I325" s="339" t="str">
        <x:v>High</x:v>
      </x:c>
      <x:c r="J325" s="339" t="str">
        <x:v>No silent bypass; approved overrides must be separately authorized and audited.</x:v>
      </x:c>
    </x:row>
    <x:row r="326">
      <x:c r="A326" s="339" t="str">
        <x:v>BR-00325</x:v>
      </x:c>
      <x:c r="B326" s="339" t="str">
        <x:v>Screen</x:v>
      </x:c>
      <x:c r="C326" s="339" t="str">
        <x:v>SCR-109</x:v>
      </x:c>
      <x:c r="D326" s="339" t="str">
        <x:v>Academics &amp; Curriculum</x:v>
      </x:c>
      <x:c r="E326" s="339" t="str">
        <x:v>Co-Curricular Activities</x:v>
      </x:c>
      <x:c r="F326" s="339" t="str">
        <x:v>Academic Planning &amp; Curriculum Delivery rule 1</x:v>
      </x:c>
      <x:c r="G326" s="339" t="str">
        <x:v>Only authorized academic roles can approve curriculum/lesson plans where approval is enabled.</x:v>
      </x:c>
      <x:c r="H326" s="339" t="str">
        <x:v>Enforced in service/domain layer and reflected in UI validation/action availability.</x:v>
      </x:c>
      <x:c r="I326" s="339" t="str">
        <x:v>Medium</x:v>
      </x:c>
      <x:c r="J326" s="339" t="str">
        <x:v>Only an explicitly configured authorized override may bypass a non-statutory rule; overrides require reason and audit.</x:v>
      </x:c>
    </x:row>
    <x:row r="327">
      <x:c r="A327" s="339" t="str">
        <x:v>BR-00326</x:v>
      </x:c>
      <x:c r="B327" s="339" t="str">
        <x:v>Screen</x:v>
      </x:c>
      <x:c r="C327" s="339" t="str">
        <x:v>SCR-109</x:v>
      </x:c>
      <x:c r="D327" s="339" t="str">
        <x:v>Academics &amp; Curriculum</x:v>
      </x:c>
      <x:c r="E327" s="339" t="str">
        <x:v>Co-Curricular Activities</x:v>
      </x:c>
      <x:c r="F327" s="339" t="str">
        <x:v>Academic Planning &amp; Curriculum Delivery rule 2</x:v>
      </x:c>
      <x:c r="G327" s="339" t="str">
        <x:v>Curriculum and subject structures are versioned by academic year/term.</x:v>
      </x:c>
      <x:c r="H327" s="339" t="str">
        <x:v>Enforced in service/domain layer and reflected in UI validation/action availability.</x:v>
      </x:c>
      <x:c r="I327" s="339" t="str">
        <x:v>Medium</x:v>
      </x:c>
      <x:c r="J327" s="339" t="str">
        <x:v>Only an explicitly configured authorized override may bypass a non-statutory rule; overrides require reason and audit.</x:v>
      </x:c>
    </x:row>
    <x:row r="328">
      <x:c r="A328" s="339" t="str">
        <x:v>BR-00327</x:v>
      </x:c>
      <x:c r="B328" s="339" t="str">
        <x:v>Screen Type</x:v>
      </x:c>
      <x:c r="C328" s="339" t="str">
        <x:v>SCR-109</x:v>
      </x:c>
      <x:c r="D328" s="339" t="str">
        <x:v>Academics &amp; Curriculum</x:v>
      </x:c>
      <x:c r="E328" s="339" t="str">
        <x:v>Co-Curricular Activities</x:v>
      </x:c>
      <x:c r="F328" s="339" t="str">
        <x:v>Workflow / Management integrity rule</x:v>
      </x:c>
      <x:c r="G328" s="339" t="str">
        <x:v>State transitions are explicit, role-controlled and auditable; invalid transitions are rejected.</x:v>
      </x:c>
      <x:c r="H328" s="339" t="str">
        <x:v>Domain/service validation plus UI affordances.</x:v>
      </x:c>
      <x:c r="I328" s="339" t="str">
        <x:v>High</x:v>
      </x:c>
      <x:c r="J328" s="339" t="str">
        <x:v>No silent bypass; approved overrides must be separately authorized and audited.</x:v>
      </x:c>
    </x:row>
    <x:row r="329">
      <x:c r="A329" s="339" t="str">
        <x:v>BR-00328</x:v>
      </x:c>
      <x:c r="B329" s="339" t="str">
        <x:v>Screen</x:v>
      </x:c>
      <x:c r="C329" s="339" t="str">
        <x:v>SCR-110</x:v>
      </x:c>
      <x:c r="D329" s="339" t="str">
        <x:v>Student Attendance</x:v>
      </x:c>
      <x:c r="E329" s="339" t="str">
        <x:v>Daily Class Attendance</x:v>
      </x:c>
      <x:c r="F329" s="339" t="str">
        <x:v>Student Attendance &amp; Leave rule 1</x:v>
      </x:c>
      <x:c r="G329" s="339" t="str">
        <x:v>Only one final attendance state is allowed per student for the same attendance session key.</x:v>
      </x:c>
      <x:c r="H329" s="339" t="str">
        <x:v>Enforced in service/domain layer and reflected in UI validation/action availability.</x:v>
      </x:c>
      <x:c r="I329" s="339" t="str">
        <x:v>High</x:v>
      </x:c>
      <x:c r="J329" s="339" t="str">
        <x:v>Only an explicitly configured authorized override may bypass a non-statutory rule; overrides require reason and audit.</x:v>
      </x:c>
    </x:row>
    <x:row r="330">
      <x:c r="A330" s="339" t="str">
        <x:v>BR-00329</x:v>
      </x:c>
      <x:c r="B330" s="339" t="str">
        <x:v>Screen</x:v>
      </x:c>
      <x:c r="C330" s="339" t="str">
        <x:v>SCR-110</x:v>
      </x:c>
      <x:c r="D330" s="339" t="str">
        <x:v>Student Attendance</x:v>
      </x:c>
      <x:c r="E330" s="339" t="str">
        <x:v>Daily Class Attendance</x:v>
      </x:c>
      <x:c r="F330" s="339" t="str">
        <x:v>Student Attendance &amp; Leave rule 2</x:v>
      </x:c>
      <x:c r="G330" s="339" t="str">
        <x:v>Attendance can only be marked for students actively enrolled in the selected class/section on that date.</x:v>
      </x:c>
      <x:c r="H330" s="339" t="str">
        <x:v>Enforced in service/domain layer and reflected in UI validation/action availability.</x:v>
      </x:c>
      <x:c r="I330" s="339" t="str">
        <x:v>High</x:v>
      </x:c>
      <x:c r="J330" s="339" t="str">
        <x:v>Only an explicitly configured authorized override may bypass a non-statutory rule; overrides require reason and audit.</x:v>
      </x:c>
    </x:row>
    <x:row r="331">
      <x:c r="A331" s="339" t="str">
        <x:v>BR-00330</x:v>
      </x:c>
      <x:c r="B331" s="339" t="str">
        <x:v>Screen Type</x:v>
      </x:c>
      <x:c r="C331" s="339" t="str">
        <x:v>SCR-110</x:v>
      </x:c>
      <x:c r="D331" s="339" t="str">
        <x:v>Student Attendance</x:v>
      </x:c>
      <x:c r="E331" s="339" t="str">
        <x:v>Daily Class Attendance</x:v>
      </x:c>
      <x:c r="F331" s="339" t="str">
        <x:v>Workflow / Management integrity rule</x:v>
      </x:c>
      <x:c r="G331" s="339" t="str">
        <x:v>State transitions are explicit, role-controlled and auditable; invalid transitions are rejected.</x:v>
      </x:c>
      <x:c r="H331" s="339" t="str">
        <x:v>Domain/service validation plus UI affordances.</x:v>
      </x:c>
      <x:c r="I331" s="339" t="str">
        <x:v>High</x:v>
      </x:c>
      <x:c r="J331" s="339" t="str">
        <x:v>No silent bypass; approved overrides must be separately authorized and audited.</x:v>
      </x:c>
    </x:row>
    <x:row r="332">
      <x:c r="A332" s="339" t="str">
        <x:v>BR-00331</x:v>
      </x:c>
      <x:c r="B332" s="339" t="str">
        <x:v>Screen</x:v>
      </x:c>
      <x:c r="C332" s="339" t="str">
        <x:v>SCR-111</x:v>
      </x:c>
      <x:c r="D332" s="339" t="str">
        <x:v>Student Attendance</x:v>
      </x:c>
      <x:c r="E332" s="339" t="str">
        <x:v>Period / Subject Attendance</x:v>
      </x:c>
      <x:c r="F332" s="339" t="str">
        <x:v>Student Attendance &amp; Leave rule 1</x:v>
      </x:c>
      <x:c r="G332" s="339" t="str">
        <x:v>Attendance can only be marked for students actively enrolled in the selected class/section on that date.</x:v>
      </x:c>
      <x:c r="H332" s="339" t="str">
        <x:v>Enforced in service/domain layer and reflected in UI validation/action availability.</x:v>
      </x:c>
      <x:c r="I332" s="339" t="str">
        <x:v>High</x:v>
      </x:c>
      <x:c r="J332" s="339" t="str">
        <x:v>Only an explicitly configured authorized override may bypass a non-statutory rule; overrides require reason and audit.</x:v>
      </x:c>
    </x:row>
    <x:row r="333">
      <x:c r="A333" s="339" t="str">
        <x:v>BR-00332</x:v>
      </x:c>
      <x:c r="B333" s="339" t="str">
        <x:v>Screen</x:v>
      </x:c>
      <x:c r="C333" s="339" t="str">
        <x:v>SCR-111</x:v>
      </x:c>
      <x:c r="D333" s="339" t="str">
        <x:v>Student Attendance</x:v>
      </x:c>
      <x:c r="E333" s="339" t="str">
        <x:v>Period / Subject Attendance</x:v>
      </x:c>
      <x:c r="F333" s="339" t="str">
        <x:v>Student Attendance &amp; Leave rule 2</x:v>
      </x:c>
      <x:c r="G333" s="339" t="str">
        <x:v>Corrections after lock/cutoff require configured approval and an audit trail.</x:v>
      </x:c>
      <x:c r="H333" s="339" t="str">
        <x:v>Enforced in service/domain layer and reflected in UI validation/action availability.</x:v>
      </x:c>
      <x:c r="I333" s="339" t="str">
        <x:v>High</x:v>
      </x:c>
      <x:c r="J333" s="339" t="str">
        <x:v>Only an explicitly configured authorized override may bypass a non-statutory rule; overrides require reason and audit.</x:v>
      </x:c>
    </x:row>
    <x:row r="334">
      <x:c r="A334" s="339" t="str">
        <x:v>BR-00333</x:v>
      </x:c>
      <x:c r="B334" s="339" t="str">
        <x:v>Screen Type</x:v>
      </x:c>
      <x:c r="C334" s="339" t="str">
        <x:v>SCR-111</x:v>
      </x:c>
      <x:c r="D334" s="339" t="str">
        <x:v>Student Attendance</x:v>
      </x:c>
      <x:c r="E334" s="339" t="str">
        <x:v>Period / Subject Attendance</x:v>
      </x:c>
      <x:c r="F334" s="339" t="str">
        <x:v>Workflow / Management integrity rule</x:v>
      </x:c>
      <x:c r="G334" s="339" t="str">
        <x:v>State transitions are explicit, role-controlled and auditable; invalid transitions are rejected.</x:v>
      </x:c>
      <x:c r="H334" s="339" t="str">
        <x:v>Domain/service validation plus UI affordances.</x:v>
      </x:c>
      <x:c r="I334" s="339" t="str">
        <x:v>High</x:v>
      </x:c>
      <x:c r="J334" s="339" t="str">
        <x:v>No silent bypass; approved overrides must be separately authorized and audited.</x:v>
      </x:c>
    </x:row>
    <x:row r="335">
      <x:c r="A335" s="339" t="str">
        <x:v>BR-00334</x:v>
      </x:c>
      <x:c r="B335" s="339" t="str">
        <x:v>Screen</x:v>
      </x:c>
      <x:c r="C335" s="339" t="str">
        <x:v>SCR-112</x:v>
      </x:c>
      <x:c r="D335" s="339" t="str">
        <x:v>Student Attendance</x:v>
      </x:c>
      <x:c r="E335" s="339" t="str">
        <x:v>Student Attendance Register</x:v>
      </x:c>
      <x:c r="F335" s="339" t="str">
        <x:v>Student Attendance &amp; Leave rule 1</x:v>
      </x:c>
      <x:c r="G335" s="339" t="str">
        <x:v>Corrections after lock/cutoff require configured approval and an audit trail.</x:v>
      </x:c>
      <x:c r="H335" s="339" t="str">
        <x:v>Enforced in service/domain layer and reflected in UI validation/action availability.</x:v>
      </x:c>
      <x:c r="I335" s="339" t="str">
        <x:v>High</x:v>
      </x:c>
      <x:c r="J335" s="339" t="str">
        <x:v>Only an explicitly configured authorized override may bypass a non-statutory rule; overrides require reason and audit.</x:v>
      </x:c>
    </x:row>
    <x:row r="336">
      <x:c r="A336" s="339" t="str">
        <x:v>BR-00335</x:v>
      </x:c>
      <x:c r="B336" s="339" t="str">
        <x:v>Screen</x:v>
      </x:c>
      <x:c r="C336" s="339" t="str">
        <x:v>SCR-112</x:v>
      </x:c>
      <x:c r="D336" s="339" t="str">
        <x:v>Student Attendance</x:v>
      </x:c>
      <x:c r="E336" s="339" t="str">
        <x:v>Student Attendance Register</x:v>
      </x:c>
      <x:c r="F336" s="339" t="str">
        <x:v>Student Attendance &amp; Leave rule 2</x:v>
      </x:c>
      <x:c r="G336" s="339" t="str">
        <x:v>Approved leave must be represented according to the school's attendance policy and cannot silently overwrite actual attendance.</x:v>
      </x:c>
      <x:c r="H336" s="339" t="str">
        <x:v>Enforced in service/domain layer and reflected in UI validation/action availability.</x:v>
      </x:c>
      <x:c r="I336" s="339" t="str">
        <x:v>High</x:v>
      </x:c>
      <x:c r="J336" s="339" t="str">
        <x:v>Only an explicitly configured authorized override may bypass a non-statutory rule; overrides require reason and audit.</x:v>
      </x:c>
    </x:row>
    <x:row r="337">
      <x:c r="A337" s="339" t="str">
        <x:v>BR-00336</x:v>
      </x:c>
      <x:c r="B337" s="339" t="str">
        <x:v>Screen Type</x:v>
      </x:c>
      <x:c r="C337" s="339" t="str">
        <x:v>SCR-112</x:v>
      </x:c>
      <x:c r="D337" s="339" t="str">
        <x:v>Student Attendance</x:v>
      </x:c>
      <x:c r="E337" s="339" t="str">
        <x:v>Student Attendance Register</x:v>
      </x:c>
      <x:c r="F337" s="339" t="str">
        <x:v>Detail / Profile integrity rule</x:v>
      </x:c>
      <x:c r="G337" s="339" t="str">
        <x:v>Concurrent updates must not silently overwrite newer data; material edits are audited.</x:v>
      </x:c>
      <x:c r="H337" s="339" t="str">
        <x:v>Domain/service validation plus UI affordances.</x:v>
      </x:c>
      <x:c r="I337" s="339" t="str">
        <x:v>High</x:v>
      </x:c>
      <x:c r="J337" s="339" t="str">
        <x:v>No silent bypass; approved overrides must be separately authorized and audited.</x:v>
      </x:c>
    </x:row>
    <x:row r="338">
      <x:c r="A338" s="339" t="str">
        <x:v>BR-00337</x:v>
      </x:c>
      <x:c r="B338" s="339" t="str">
        <x:v>Screen</x:v>
      </x:c>
      <x:c r="C338" s="339" t="str">
        <x:v>SCR-113</x:v>
      </x:c>
      <x:c r="D338" s="339" t="str">
        <x:v>Student Attendance</x:v>
      </x:c>
      <x:c r="E338" s="339" t="str">
        <x:v>Attendance Correction</x:v>
      </x:c>
      <x:c r="F338" s="339" t="str">
        <x:v>Student Attendance &amp; Leave rule 1</x:v>
      </x:c>
      <x:c r="G338" s="339" t="str">
        <x:v>Approved leave must be represented according to the school's attendance policy and cannot silently overwrite actual attendance.</x:v>
      </x:c>
      <x:c r="H338" s="339" t="str">
        <x:v>Enforced in service/domain layer and reflected in UI validation/action availability.</x:v>
      </x:c>
      <x:c r="I338" s="339" t="str">
        <x:v>High</x:v>
      </x:c>
      <x:c r="J338" s="339" t="str">
        <x:v>Only an explicitly configured authorized override may bypass a non-statutory rule; overrides require reason and audit.</x:v>
      </x:c>
    </x:row>
    <x:row r="339">
      <x:c r="A339" s="339" t="str">
        <x:v>BR-00338</x:v>
      </x:c>
      <x:c r="B339" s="339" t="str">
        <x:v>Screen</x:v>
      </x:c>
      <x:c r="C339" s="339" t="str">
        <x:v>SCR-113</x:v>
      </x:c>
      <x:c r="D339" s="339" t="str">
        <x:v>Student Attendance</x:v>
      </x:c>
      <x:c r="E339" s="339" t="str">
        <x:v>Attendance Correction</x:v>
      </x:c>
      <x:c r="F339" s="339" t="str">
        <x:v>Student Attendance &amp; Leave rule 2</x:v>
      </x:c>
      <x:c r="G339" s="339" t="str">
        <x:v>Attendance percentage must use configured eligible working sessions and state weightings.</x:v>
      </x:c>
      <x:c r="H339" s="339" t="str">
        <x:v>Enforced in service/domain layer and reflected in UI validation/action availability.</x:v>
      </x:c>
      <x:c r="I339" s="339" t="str">
        <x:v>High</x:v>
      </x:c>
      <x:c r="J339" s="339" t="str">
        <x:v>Only an explicitly configured authorized override may bypass a non-statutory rule; overrides require reason and audit.</x:v>
      </x:c>
    </x:row>
    <x:row r="340">
      <x:c r="A340" s="339" t="str">
        <x:v>BR-00339</x:v>
      </x:c>
      <x:c r="B340" s="339" t="str">
        <x:v>Screen Type</x:v>
      </x:c>
      <x:c r="C340" s="339" t="str">
        <x:v>SCR-113</x:v>
      </x:c>
      <x:c r="D340" s="339" t="str">
        <x:v>Student Attendance</x:v>
      </x:c>
      <x:c r="E340" s="339" t="str">
        <x:v>Attendance Correction</x:v>
      </x:c>
      <x:c r="F340" s="339" t="str">
        <x:v>Workflow / Management integrity rule</x:v>
      </x:c>
      <x:c r="G340" s="339" t="str">
        <x:v>State transitions are explicit, role-controlled and auditable; invalid transitions are rejected.</x:v>
      </x:c>
      <x:c r="H340" s="339" t="str">
        <x:v>Domain/service validation plus UI affordances.</x:v>
      </x:c>
      <x:c r="I340" s="339" t="str">
        <x:v>High</x:v>
      </x:c>
      <x:c r="J340" s="339" t="str">
        <x:v>No silent bypass; approved overrides must be separately authorized and audited.</x:v>
      </x:c>
    </x:row>
    <x:row r="341">
      <x:c r="A341" s="339" t="str">
        <x:v>BR-00340</x:v>
      </x:c>
      <x:c r="B341" s="339" t="str">
        <x:v>Screen</x:v>
      </x:c>
      <x:c r="C341" s="339" t="str">
        <x:v>SCR-114</x:v>
      </x:c>
      <x:c r="D341" s="339" t="str">
        <x:v>Student Attendance</x:v>
      </x:c>
      <x:c r="E341" s="339" t="str">
        <x:v>Student Leave Requests</x:v>
      </x:c>
      <x:c r="F341" s="339" t="str">
        <x:v>Student Attendance &amp; Leave rule 1</x:v>
      </x:c>
      <x:c r="G341" s="339" t="str">
        <x:v>Attendance percentage must use configured eligible working sessions and state weightings.</x:v>
      </x:c>
      <x:c r="H341" s="339" t="str">
        <x:v>Enforced in service/domain layer and reflected in UI validation/action availability.</x:v>
      </x:c>
      <x:c r="I341" s="339" t="str">
        <x:v>High</x:v>
      </x:c>
      <x:c r="J341" s="339" t="str">
        <x:v>Only an explicitly configured authorized override may bypass a non-statutory rule; overrides require reason and audit.</x:v>
      </x:c>
    </x:row>
    <x:row r="342">
      <x:c r="A342" s="339" t="str">
        <x:v>BR-00341</x:v>
      </x:c>
      <x:c r="B342" s="339" t="str">
        <x:v>Screen</x:v>
      </x:c>
      <x:c r="C342" s="339" t="str">
        <x:v>SCR-114</x:v>
      </x:c>
      <x:c r="D342" s="339" t="str">
        <x:v>Student Attendance</x:v>
      </x:c>
      <x:c r="E342" s="339" t="str">
        <x:v>Student Leave Requests</x:v>
      </x:c>
      <x:c r="F342" s="339" t="str">
        <x:v>Student Attendance &amp; Leave rule 2</x:v>
      </x:c>
      <x:c r="G342" s="339" t="str">
        <x:v>Only one final attendance state is allowed per student for the same attendance session key.</x:v>
      </x:c>
      <x:c r="H342" s="339" t="str">
        <x:v>Enforced in service/domain layer and reflected in UI validation/action availability.</x:v>
      </x:c>
      <x:c r="I342" s="339" t="str">
        <x:v>High</x:v>
      </x:c>
      <x:c r="J342" s="339" t="str">
        <x:v>Only an explicitly configured authorized override may bypass a non-statutory rule; overrides require reason and audit.</x:v>
      </x:c>
    </x:row>
    <x:row r="343">
      <x:c r="A343" s="339" t="str">
        <x:v>BR-00342</x:v>
      </x:c>
      <x:c r="B343" s="339" t="str">
        <x:v>Screen Type</x:v>
      </x:c>
      <x:c r="C343" s="339" t="str">
        <x:v>SCR-114</x:v>
      </x:c>
      <x:c r="D343" s="339" t="str">
        <x:v>Student Attendance</x:v>
      </x:c>
      <x:c r="E343" s="339" t="str">
        <x:v>Student Leave Requests</x:v>
      </x:c>
      <x:c r="F343" s="339" t="str">
        <x:v>Workflow / Management integrity rule</x:v>
      </x:c>
      <x:c r="G343" s="339" t="str">
        <x:v>State transitions are explicit, role-controlled and auditable; invalid transitions are rejected.</x:v>
      </x:c>
      <x:c r="H343" s="339" t="str">
        <x:v>Domain/service validation plus UI affordances.</x:v>
      </x:c>
      <x:c r="I343" s="339" t="str">
        <x:v>High</x:v>
      </x:c>
      <x:c r="J343" s="339" t="str">
        <x:v>No silent bypass; approved overrides must be separately authorized and audited.</x:v>
      </x:c>
    </x:row>
    <x:row r="344">
      <x:c r="A344" s="339" t="str">
        <x:v>BR-00343</x:v>
      </x:c>
      <x:c r="B344" s="339" t="str">
        <x:v>Screen</x:v>
      </x:c>
      <x:c r="C344" s="339" t="str">
        <x:v>SCR-115</x:v>
      </x:c>
      <x:c r="D344" s="339" t="str">
        <x:v>Student Attendance</x:v>
      </x:c>
      <x:c r="E344" s="339" t="str">
        <x:v>Student Leave Approval</x:v>
      </x:c>
      <x:c r="F344" s="339" t="str">
        <x:v>Student Attendance &amp; Leave rule 1</x:v>
      </x:c>
      <x:c r="G344" s="339" t="str">
        <x:v>Only one final attendance state is allowed per student for the same attendance session key.</x:v>
      </x:c>
      <x:c r="H344" s="339" t="str">
        <x:v>Enforced in service/domain layer and reflected in UI validation/action availability.</x:v>
      </x:c>
      <x:c r="I344" s="339" t="str">
        <x:v>High</x:v>
      </x:c>
      <x:c r="J344" s="339" t="str">
        <x:v>Only an explicitly configured authorized override may bypass a non-statutory rule; overrides require reason and audit.</x:v>
      </x:c>
    </x:row>
    <x:row r="345">
      <x:c r="A345" s="339" t="str">
        <x:v>BR-00344</x:v>
      </x:c>
      <x:c r="B345" s="339" t="str">
        <x:v>Screen</x:v>
      </x:c>
      <x:c r="C345" s="339" t="str">
        <x:v>SCR-115</x:v>
      </x:c>
      <x:c r="D345" s="339" t="str">
        <x:v>Student Attendance</x:v>
      </x:c>
      <x:c r="E345" s="339" t="str">
        <x:v>Student Leave Approval</x:v>
      </x:c>
      <x:c r="F345" s="339" t="str">
        <x:v>Student Attendance &amp; Leave rule 2</x:v>
      </x:c>
      <x:c r="G345" s="339" t="str">
        <x:v>Attendance can only be marked for students actively enrolled in the selected class/section on that date.</x:v>
      </x:c>
      <x:c r="H345" s="339" t="str">
        <x:v>Enforced in service/domain layer and reflected in UI validation/action availability.</x:v>
      </x:c>
      <x:c r="I345" s="339" t="str">
        <x:v>High</x:v>
      </x:c>
      <x:c r="J345" s="339" t="str">
        <x:v>Only an explicitly configured authorized override may bypass a non-statutory rule; overrides require reason and audit.</x:v>
      </x:c>
    </x:row>
    <x:row r="346">
      <x:c r="A346" s="339" t="str">
        <x:v>BR-00345</x:v>
      </x:c>
      <x:c r="B346" s="339" t="str">
        <x:v>Screen Type</x:v>
      </x:c>
      <x:c r="C346" s="339" t="str">
        <x:v>SCR-115</x:v>
      </x:c>
      <x:c r="D346" s="339" t="str">
        <x:v>Student Attendance</x:v>
      </x:c>
      <x:c r="E346" s="339" t="str">
        <x:v>Student Leave Approval</x:v>
      </x:c>
      <x:c r="F346" s="339" t="str">
        <x:v>Workflow / Management integrity rule</x:v>
      </x:c>
      <x:c r="G346" s="339" t="str">
        <x:v>State transitions are explicit, role-controlled and auditable; invalid transitions are rejected.</x:v>
      </x:c>
      <x:c r="H346" s="339" t="str">
        <x:v>Domain/service validation plus UI affordances.</x:v>
      </x:c>
      <x:c r="I346" s="339" t="str">
        <x:v>High</x:v>
      </x:c>
      <x:c r="J346" s="339" t="str">
        <x:v>No silent bypass; approved overrides must be separately authorized and audited.</x:v>
      </x:c>
    </x:row>
    <x:row r="347">
      <x:c r="A347" s="339" t="str">
        <x:v>BR-00346</x:v>
      </x:c>
      <x:c r="B347" s="339" t="str">
        <x:v>Screen</x:v>
      </x:c>
      <x:c r="C347" s="339" t="str">
        <x:v>SCR-116</x:v>
      </x:c>
      <x:c r="D347" s="339" t="str">
        <x:v>Student Attendance</x:v>
      </x:c>
      <x:c r="E347" s="339" t="str">
        <x:v>Late Entry / Early Exit</x:v>
      </x:c>
      <x:c r="F347" s="339" t="str">
        <x:v>Student Attendance &amp; Leave rule 1</x:v>
      </x:c>
      <x:c r="G347" s="339" t="str">
        <x:v>Attendance can only be marked for students actively enrolled in the selected class/section on that date.</x:v>
      </x:c>
      <x:c r="H347" s="339" t="str">
        <x:v>Enforced in service/domain layer and reflected in UI validation/action availability.</x:v>
      </x:c>
      <x:c r="I347" s="339" t="str">
        <x:v>High</x:v>
      </x:c>
      <x:c r="J347" s="339" t="str">
        <x:v>Only an explicitly configured authorized override may bypass a non-statutory rule; overrides require reason and audit.</x:v>
      </x:c>
    </x:row>
    <x:row r="348">
      <x:c r="A348" s="339" t="str">
        <x:v>BR-00347</x:v>
      </x:c>
      <x:c r="B348" s="339" t="str">
        <x:v>Screen</x:v>
      </x:c>
      <x:c r="C348" s="339" t="str">
        <x:v>SCR-116</x:v>
      </x:c>
      <x:c r="D348" s="339" t="str">
        <x:v>Student Attendance</x:v>
      </x:c>
      <x:c r="E348" s="339" t="str">
        <x:v>Late Entry / Early Exit</x:v>
      </x:c>
      <x:c r="F348" s="339" t="str">
        <x:v>Student Attendance &amp; Leave rule 2</x:v>
      </x:c>
      <x:c r="G348" s="339" t="str">
        <x:v>Corrections after lock/cutoff require configured approval and an audit trail.</x:v>
      </x:c>
      <x:c r="H348" s="339" t="str">
        <x:v>Enforced in service/domain layer and reflected in UI validation/action availability.</x:v>
      </x:c>
      <x:c r="I348" s="339" t="str">
        <x:v>High</x:v>
      </x:c>
      <x:c r="J348" s="339" t="str">
        <x:v>Only an explicitly configured authorized override may bypass a non-statutory rule; overrides require reason and audit.</x:v>
      </x:c>
    </x:row>
    <x:row r="349">
      <x:c r="A349" s="339" t="str">
        <x:v>BR-00348</x:v>
      </x:c>
      <x:c r="B349" s="339" t="str">
        <x:v>Screen Type</x:v>
      </x:c>
      <x:c r="C349" s="339" t="str">
        <x:v>SCR-116</x:v>
      </x:c>
      <x:c r="D349" s="339" t="str">
        <x:v>Student Attendance</x:v>
      </x:c>
      <x:c r="E349" s="339" t="str">
        <x:v>Late Entry / Early Exit</x:v>
      </x:c>
      <x:c r="F349" s="339" t="str">
        <x:v>Workflow / Management integrity rule</x:v>
      </x:c>
      <x:c r="G349" s="339" t="str">
        <x:v>State transitions are explicit, role-controlled and auditable; invalid transitions are rejected.</x:v>
      </x:c>
      <x:c r="H349" s="339" t="str">
        <x:v>Domain/service validation plus UI affordances.</x:v>
      </x:c>
      <x:c r="I349" s="339" t="str">
        <x:v>High</x:v>
      </x:c>
      <x:c r="J349" s="339" t="str">
        <x:v>No silent bypass; approved overrides must be separately authorized and audited.</x:v>
      </x:c>
    </x:row>
    <x:row r="350">
      <x:c r="A350" s="339" t="str">
        <x:v>BR-00349</x:v>
      </x:c>
      <x:c r="B350" s="339" t="str">
        <x:v>Screen</x:v>
      </x:c>
      <x:c r="C350" s="339" t="str">
        <x:v>SCR-117</x:v>
      </x:c>
      <x:c r="D350" s="339" t="str">
        <x:v>Student Attendance</x:v>
      </x:c>
      <x:c r="E350" s="339" t="str">
        <x:v>Monthly Attendance Summary</x:v>
      </x:c>
      <x:c r="F350" s="339" t="str">
        <x:v>Student Attendance &amp; Leave rule 1</x:v>
      </x:c>
      <x:c r="G350" s="339" t="str">
        <x:v>Corrections after lock/cutoff require configured approval and an audit trail.</x:v>
      </x:c>
      <x:c r="H350" s="339" t="str">
        <x:v>Enforced in service/domain layer and reflected in UI validation/action availability.</x:v>
      </x:c>
      <x:c r="I350" s="339" t="str">
        <x:v>High</x:v>
      </x:c>
      <x:c r="J350" s="339" t="str">
        <x:v>Only an explicitly configured authorized override may bypass a non-statutory rule; overrides require reason and audit.</x:v>
      </x:c>
    </x:row>
    <x:row r="351">
      <x:c r="A351" s="339" t="str">
        <x:v>BR-00350</x:v>
      </x:c>
      <x:c r="B351" s="339" t="str">
        <x:v>Screen</x:v>
      </x:c>
      <x:c r="C351" s="339" t="str">
        <x:v>SCR-117</x:v>
      </x:c>
      <x:c r="D351" s="339" t="str">
        <x:v>Student Attendance</x:v>
      </x:c>
      <x:c r="E351" s="339" t="str">
        <x:v>Monthly Attendance Summary</x:v>
      </x:c>
      <x:c r="F351" s="339" t="str">
        <x:v>Student Attendance &amp; Leave rule 2</x:v>
      </x:c>
      <x:c r="G351" s="339" t="str">
        <x:v>Approved leave must be represented according to the school's attendance policy and cannot silently overwrite actual attendance.</x:v>
      </x:c>
      <x:c r="H351" s="339" t="str">
        <x:v>Enforced in service/domain layer and reflected in UI validation/action availability.</x:v>
      </x:c>
      <x:c r="I351" s="339" t="str">
        <x:v>High</x:v>
      </x:c>
      <x:c r="J351" s="339" t="str">
        <x:v>Only an explicitly configured authorized override may bypass a non-statutory rule; overrides require reason and audit.</x:v>
      </x:c>
    </x:row>
    <x:row r="352">
      <x:c r="A352" s="339" t="str">
        <x:v>BR-00351</x:v>
      </x:c>
      <x:c r="B352" s="339" t="str">
        <x:v>Screen Type</x:v>
      </x:c>
      <x:c r="C352" s="339" t="str">
        <x:v>SCR-117</x:v>
      </x:c>
      <x:c r="D352" s="339" t="str">
        <x:v>Student Attendance</x:v>
      </x:c>
      <x:c r="E352" s="339" t="str">
        <x:v>Monthly Attendance Summary</x:v>
      </x:c>
      <x:c r="F352" s="339" t="str">
        <x:v>Report / Analytics integrity rule</x:v>
      </x:c>
      <x:c r="G352" s="339" t="str">
        <x:v>Report formulas and filters must be deterministic, documented and export the same visible scope.</x:v>
      </x:c>
      <x:c r="H352" s="339" t="str">
        <x:v>Domain/service validation plus UI affordances.</x:v>
      </x:c>
      <x:c r="I352" s="339" t="str">
        <x:v>High</x:v>
      </x:c>
      <x:c r="J352" s="339" t="str">
        <x:v>No silent bypass; approved overrides must be separately authorized and audited.</x:v>
      </x:c>
    </x:row>
    <x:row r="353">
      <x:c r="A353" s="339" t="str">
        <x:v>BR-00352</x:v>
      </x:c>
      <x:c r="B353" s="339" t="str">
        <x:v>Screen</x:v>
      </x:c>
      <x:c r="C353" s="339" t="str">
        <x:v>SCR-118</x:v>
      </x:c>
      <x:c r="D353" s="339" t="str">
        <x:v>Student Attendance</x:v>
      </x:c>
      <x:c r="E353" s="339" t="str">
        <x:v>Chronic Absence Alerts</x:v>
      </x:c>
      <x:c r="F353" s="339" t="str">
        <x:v>Student Attendance &amp; Leave rule 1</x:v>
      </x:c>
      <x:c r="G353" s="339" t="str">
        <x:v>Approved leave must be represented according to the school's attendance policy and cannot silently overwrite actual attendance.</x:v>
      </x:c>
      <x:c r="H353" s="339" t="str">
        <x:v>Enforced in service/domain layer and reflected in UI validation/action availability.</x:v>
      </x:c>
      <x:c r="I353" s="339" t="str">
        <x:v>High</x:v>
      </x:c>
      <x:c r="J353" s="339" t="str">
        <x:v>Only an explicitly configured authorized override may bypass a non-statutory rule; overrides require reason and audit.</x:v>
      </x:c>
    </x:row>
    <x:row r="354">
      <x:c r="A354" s="339" t="str">
        <x:v>BR-00353</x:v>
      </x:c>
      <x:c r="B354" s="339" t="str">
        <x:v>Screen</x:v>
      </x:c>
      <x:c r="C354" s="339" t="str">
        <x:v>SCR-118</x:v>
      </x:c>
      <x:c r="D354" s="339" t="str">
        <x:v>Student Attendance</x:v>
      </x:c>
      <x:c r="E354" s="339" t="str">
        <x:v>Chronic Absence Alerts</x:v>
      </x:c>
      <x:c r="F354" s="339" t="str">
        <x:v>Student Attendance &amp; Leave rule 2</x:v>
      </x:c>
      <x:c r="G354" s="339" t="str">
        <x:v>Attendance percentage must use configured eligible working sessions and state weightings.</x:v>
      </x:c>
      <x:c r="H354" s="339" t="str">
        <x:v>Enforced in service/domain layer and reflected in UI validation/action availability.</x:v>
      </x:c>
      <x:c r="I354" s="339" t="str">
        <x:v>High</x:v>
      </x:c>
      <x:c r="J354" s="339" t="str">
        <x:v>Only an explicitly configured authorized override may bypass a non-statutory rule; overrides require reason and audit.</x:v>
      </x:c>
    </x:row>
    <x:row r="355">
      <x:c r="A355" s="339" t="str">
        <x:v>BR-00354</x:v>
      </x:c>
      <x:c r="B355" s="339" t="str">
        <x:v>Screen Type</x:v>
      </x:c>
      <x:c r="C355" s="339" t="str">
        <x:v>SCR-118</x:v>
      </x:c>
      <x:c r="D355" s="339" t="str">
        <x:v>Student Attendance</x:v>
      </x:c>
      <x:c r="E355" s="339" t="str">
        <x:v>Chronic Absence Alerts</x:v>
      </x:c>
      <x:c r="F355" s="339" t="str">
        <x:v>Workflow / Management integrity rule</x:v>
      </x:c>
      <x:c r="G355" s="339" t="str">
        <x:v>State transitions are explicit, role-controlled and auditable; invalid transitions are rejected.</x:v>
      </x:c>
      <x:c r="H355" s="339" t="str">
        <x:v>Domain/service validation plus UI affordances.</x:v>
      </x:c>
      <x:c r="I355" s="339" t="str">
        <x:v>High</x:v>
      </x:c>
      <x:c r="J355" s="339" t="str">
        <x:v>No silent bypass; approved overrides must be separately authorized and audited.</x:v>
      </x:c>
    </x:row>
    <x:row r="356">
      <x:c r="A356" s="339" t="str">
        <x:v>BR-00355</x:v>
      </x:c>
      <x:c r="B356" s="339" t="str">
        <x:v>Screen</x:v>
      </x:c>
      <x:c r="C356" s="339" t="str">
        <x:v>SCR-119</x:v>
      </x:c>
      <x:c r="D356" s="339" t="str">
        <x:v>Student Attendance</x:v>
      </x:c>
      <x:c r="E356" s="339" t="str">
        <x:v>Attendance Reports</x:v>
      </x:c>
      <x:c r="F356" s="339" t="str">
        <x:v>Student Attendance &amp; Leave rule 1</x:v>
      </x:c>
      <x:c r="G356" s="339" t="str">
        <x:v>Attendance percentage must use configured eligible working sessions and state weightings.</x:v>
      </x:c>
      <x:c r="H356" s="339" t="str">
        <x:v>Enforced in service/domain layer and reflected in UI validation/action availability.</x:v>
      </x:c>
      <x:c r="I356" s="339" t="str">
        <x:v>High</x:v>
      </x:c>
      <x:c r="J356" s="339" t="str">
        <x:v>Only an explicitly configured authorized override may bypass a non-statutory rule; overrides require reason and audit.</x:v>
      </x:c>
    </x:row>
    <x:row r="357">
      <x:c r="A357" s="339" t="str">
        <x:v>BR-00356</x:v>
      </x:c>
      <x:c r="B357" s="339" t="str">
        <x:v>Screen</x:v>
      </x:c>
      <x:c r="C357" s="339" t="str">
        <x:v>SCR-119</x:v>
      </x:c>
      <x:c r="D357" s="339" t="str">
        <x:v>Student Attendance</x:v>
      </x:c>
      <x:c r="E357" s="339" t="str">
        <x:v>Attendance Reports</x:v>
      </x:c>
      <x:c r="F357" s="339" t="str">
        <x:v>Student Attendance &amp; Leave rule 2</x:v>
      </x:c>
      <x:c r="G357" s="339" t="str">
        <x:v>Only one final attendance state is allowed per student for the same attendance session key.</x:v>
      </x:c>
      <x:c r="H357" s="339" t="str">
        <x:v>Enforced in service/domain layer and reflected in UI validation/action availability.</x:v>
      </x:c>
      <x:c r="I357" s="339" t="str">
        <x:v>High</x:v>
      </x:c>
      <x:c r="J357" s="339" t="str">
        <x:v>Only an explicitly configured authorized override may bypass a non-statutory rule; overrides require reason and audit.</x:v>
      </x:c>
    </x:row>
    <x:row r="358">
      <x:c r="A358" s="339" t="str">
        <x:v>BR-00357</x:v>
      </x:c>
      <x:c r="B358" s="339" t="str">
        <x:v>Screen Type</x:v>
      </x:c>
      <x:c r="C358" s="339" t="str">
        <x:v>SCR-119</x:v>
      </x:c>
      <x:c r="D358" s="339" t="str">
        <x:v>Student Attendance</x:v>
      </x:c>
      <x:c r="E358" s="339" t="str">
        <x:v>Attendance Reports</x:v>
      </x:c>
      <x:c r="F358" s="339" t="str">
        <x:v>Report / Analytics integrity rule</x:v>
      </x:c>
      <x:c r="G358" s="339" t="str">
        <x:v>Report formulas and filters must be deterministic, documented and export the same visible scope.</x:v>
      </x:c>
      <x:c r="H358" s="339" t="str">
        <x:v>Domain/service validation plus UI affordances.</x:v>
      </x:c>
      <x:c r="I358" s="339" t="str">
        <x:v>High</x:v>
      </x:c>
      <x:c r="J358" s="339" t="str">
        <x:v>No silent bypass; approved overrides must be separately authorized and audited.</x:v>
      </x:c>
    </x:row>
    <x:row r="359">
      <x:c r="A359" s="339" t="str">
        <x:v>BR-00358</x:v>
      </x:c>
      <x:c r="B359" s="339" t="str">
        <x:v>Screen</x:v>
      </x:c>
      <x:c r="C359" s="339" t="str">
        <x:v>SCR-120</x:v>
      </x:c>
      <x:c r="D359" s="339" t="str">
        <x:v>Timetable &amp; Substitution</x:v>
      </x:c>
      <x:c r="E359" s="339" t="str">
        <x:v>Timetable Dashboard</x:v>
      </x:c>
      <x:c r="F359" s="339" t="str">
        <x:v>Timetable &amp; Resource Scheduling rule 1</x:v>
      </x:c>
      <x:c r="G359" s="339" t="str">
        <x:v>A teacher, class/section or room cannot be booked in overlapping periods unless explicitly allowed.</x:v>
      </x:c>
      <x:c r="H359" s="339" t="str">
        <x:v>Enforced in service/domain layer and reflected in UI validation/action availability.</x:v>
      </x:c>
      <x:c r="I359" s="339" t="str">
        <x:v>Medium</x:v>
      </x:c>
      <x:c r="J359" s="339" t="str">
        <x:v>Only an explicitly configured authorized override may bypass a non-statutory rule; overrides require reason and audit.</x:v>
      </x:c>
    </x:row>
    <x:row r="360">
      <x:c r="A360" s="339" t="str">
        <x:v>BR-00359</x:v>
      </x:c>
      <x:c r="B360" s="339" t="str">
        <x:v>Screen</x:v>
      </x:c>
      <x:c r="C360" s="339" t="str">
        <x:v>SCR-120</x:v>
      </x:c>
      <x:c r="D360" s="339" t="str">
        <x:v>Timetable &amp; Substitution</x:v>
      </x:c>
      <x:c r="E360" s="339" t="str">
        <x:v>Timetable Dashboard</x:v>
      </x:c>
      <x:c r="F360" s="339" t="str">
        <x:v>Timetable &amp; Resource Scheduling rule 2</x:v>
      </x:c>
      <x:c r="G360" s="339" t="str">
        <x:v>Timetables must respect teacher availability, periods, breaks and configured workload constraints.</x:v>
      </x:c>
      <x:c r="H360" s="339" t="str">
        <x:v>Enforced in service/domain layer and reflected in UI validation/action availability.</x:v>
      </x:c>
      <x:c r="I360" s="339" t="str">
        <x:v>Medium</x:v>
      </x:c>
      <x:c r="J360" s="339" t="str">
        <x:v>Only an explicitly configured authorized override may bypass a non-statutory rule; overrides require reason and audit.</x:v>
      </x:c>
    </x:row>
    <x:row r="361">
      <x:c r="A361" s="339" t="str">
        <x:v>BR-00360</x:v>
      </x:c>
      <x:c r="B361" s="339" t="str">
        <x:v>Screen Type</x:v>
      </x:c>
      <x:c r="C361" s="339" t="str">
        <x:v>SCR-120</x:v>
      </x:c>
      <x:c r="D361" s="339" t="str">
        <x:v>Timetable &amp; Substitution</x:v>
      </x:c>
      <x:c r="E361" s="339" t="str">
        <x:v>Timetable Dashboard</x:v>
      </x:c>
      <x:c r="F361" s="339" t="str">
        <x:v>Dashboard integrity rule</x:v>
      </x:c>
      <x:c r="G361" s="339" t="str">
        <x:v>Displayed totals must reconcile to the same authorized source rows used by drill-down and reports.</x:v>
      </x:c>
      <x:c r="H361" s="339" t="str">
        <x:v>Domain/service validation plus UI affordances.</x:v>
      </x:c>
      <x:c r="I361" s="339" t="str">
        <x:v>High</x:v>
      </x:c>
      <x:c r="J361" s="339" t="str">
        <x:v>No silent bypass; approved overrides must be separately authorized and audited.</x:v>
      </x:c>
    </x:row>
    <x:row r="362">
      <x:c r="A362" s="339" t="str">
        <x:v>BR-00361</x:v>
      </x:c>
      <x:c r="B362" s="339" t="str">
        <x:v>Screen</x:v>
      </x:c>
      <x:c r="C362" s="339" t="str">
        <x:v>SCR-121</x:v>
      </x:c>
      <x:c r="D362" s="339" t="str">
        <x:v>Timetable &amp; Substitution</x:v>
      </x:c>
      <x:c r="E362" s="339" t="str">
        <x:v>Timetable Setup</x:v>
      </x:c>
      <x:c r="F362" s="339" t="str">
        <x:v>Timetable &amp; Resource Scheduling rule 1</x:v>
      </x:c>
      <x:c r="G362" s="339" t="str">
        <x:v>Timetables must respect teacher availability, periods, breaks and configured workload constraints.</x:v>
      </x:c>
      <x:c r="H362" s="339" t="str">
        <x:v>Enforced in service/domain layer and reflected in UI validation/action availability.</x:v>
      </x:c>
      <x:c r="I362" s="339" t="str">
        <x:v>Medium</x:v>
      </x:c>
      <x:c r="J362" s="339" t="str">
        <x:v>Only an explicitly configured authorized override may bypass a non-statutory rule; overrides require reason and audit.</x:v>
      </x:c>
    </x:row>
    <x:row r="363">
      <x:c r="A363" s="339" t="str">
        <x:v>BR-00362</x:v>
      </x:c>
      <x:c r="B363" s="339" t="str">
        <x:v>Screen</x:v>
      </x:c>
      <x:c r="C363" s="339" t="str">
        <x:v>SCR-121</x:v>
      </x:c>
      <x:c r="D363" s="339" t="str">
        <x:v>Timetable &amp; Substitution</x:v>
      </x:c>
      <x:c r="E363" s="339" t="str">
        <x:v>Timetable Setup</x:v>
      </x:c>
      <x:c r="F363" s="339" t="str">
        <x:v>Timetable &amp; Resource Scheduling rule 2</x:v>
      </x:c>
      <x:c r="G363" s="339" t="str">
        <x:v>Published timetable changes require effective dates and participant notification when applicable.</x:v>
      </x:c>
      <x:c r="H363" s="339" t="str">
        <x:v>Enforced in service/domain layer and reflected in UI validation/action availability.</x:v>
      </x:c>
      <x:c r="I363" s="339" t="str">
        <x:v>Medium</x:v>
      </x:c>
      <x:c r="J363" s="339" t="str">
        <x:v>Only an explicitly configured authorized override may bypass a non-statutory rule; overrides require reason and audit.</x:v>
      </x:c>
    </x:row>
    <x:row r="364">
      <x:c r="A364" s="339" t="str">
        <x:v>BR-00363</x:v>
      </x:c>
      <x:c r="B364" s="339" t="str">
        <x:v>Screen Type</x:v>
      </x:c>
      <x:c r="C364" s="339" t="str">
        <x:v>SCR-121</x:v>
      </x:c>
      <x:c r="D364" s="339" t="str">
        <x:v>Timetable &amp; Substitution</x:v>
      </x:c>
      <x:c r="E364" s="339" t="str">
        <x:v>Timetable Setup</x:v>
      </x:c>
      <x:c r="F364" s="339" t="str">
        <x:v>Create / Transaction integrity rule</x:v>
      </x:c>
      <x:c r="G364" s="339" t="str">
        <x:v>A record is created only after all blocking validations, duplicate checks and reference checks pass.</x:v>
      </x:c>
      <x:c r="H364" s="339" t="str">
        <x:v>Domain/service validation plus UI affordances.</x:v>
      </x:c>
      <x:c r="I364" s="339" t="str">
        <x:v>High</x:v>
      </x:c>
      <x:c r="J364" s="339" t="str">
        <x:v>No silent bypass; approved overrides must be separately authorized and audited.</x:v>
      </x:c>
    </x:row>
    <x:row r="365">
      <x:c r="A365" s="339" t="str">
        <x:v>BR-00364</x:v>
      </x:c>
      <x:c r="B365" s="339" t="str">
        <x:v>Screen</x:v>
      </x:c>
      <x:c r="C365" s="339" t="str">
        <x:v>SCR-122</x:v>
      </x:c>
      <x:c r="D365" s="339" t="str">
        <x:v>Timetable &amp; Substitution</x:v>
      </x:c>
      <x:c r="E365" s="339" t="str">
        <x:v>Period Setup</x:v>
      </x:c>
      <x:c r="F365" s="339" t="str">
        <x:v>Timetable &amp; Resource Scheduling rule 1</x:v>
      </x:c>
      <x:c r="G365" s="339" t="str">
        <x:v>Published timetable changes require effective dates and participant notification when applicable.</x:v>
      </x:c>
      <x:c r="H365" s="339" t="str">
        <x:v>Enforced in service/domain layer and reflected in UI validation/action availability.</x:v>
      </x:c>
      <x:c r="I365" s="339" t="str">
        <x:v>Medium</x:v>
      </x:c>
      <x:c r="J365" s="339" t="str">
        <x:v>Only an explicitly configured authorized override may bypass a non-statutory rule; overrides require reason and audit.</x:v>
      </x:c>
    </x:row>
    <x:row r="366">
      <x:c r="A366" s="339" t="str">
        <x:v>BR-00365</x:v>
      </x:c>
      <x:c r="B366" s="339" t="str">
        <x:v>Screen</x:v>
      </x:c>
      <x:c r="C366" s="339" t="str">
        <x:v>SCR-122</x:v>
      </x:c>
      <x:c r="D366" s="339" t="str">
        <x:v>Timetable &amp; Substitution</x:v>
      </x:c>
      <x:c r="E366" s="339" t="str">
        <x:v>Period Setup</x:v>
      </x:c>
      <x:c r="F366" s="339" t="str">
        <x:v>Timetable &amp; Resource Scheduling rule 2</x:v>
      </x:c>
      <x:c r="G366" s="339" t="str">
        <x:v>Substitutions must use eligible active staff and retain the original teacher reference for audit/reporting.</x:v>
      </x:c>
      <x:c r="H366" s="339" t="str">
        <x:v>Enforced in service/domain layer and reflected in UI validation/action availability.</x:v>
      </x:c>
      <x:c r="I366" s="339" t="str">
        <x:v>Medium</x:v>
      </x:c>
      <x:c r="J366" s="339" t="str">
        <x:v>Only an explicitly configured authorized override may bypass a non-statutory rule; overrides require reason and audit.</x:v>
      </x:c>
    </x:row>
    <x:row r="367">
      <x:c r="A367" s="339" t="str">
        <x:v>BR-00366</x:v>
      </x:c>
      <x:c r="B367" s="339" t="str">
        <x:v>Screen Type</x:v>
      </x:c>
      <x:c r="C367" s="339" t="str">
        <x:v>SCR-122</x:v>
      </x:c>
      <x:c r="D367" s="339" t="str">
        <x:v>Timetable &amp; Substitution</x:v>
      </x:c>
      <x:c r="E367" s="339" t="str">
        <x:v>Period Setup</x:v>
      </x:c>
      <x:c r="F367" s="339" t="str">
        <x:v>Create / Transaction integrity rule</x:v>
      </x:c>
      <x:c r="G367" s="339" t="str">
        <x:v>A record is created only after all blocking validations, duplicate checks and reference checks pass.</x:v>
      </x:c>
      <x:c r="H367" s="339" t="str">
        <x:v>Domain/service validation plus UI affordances.</x:v>
      </x:c>
      <x:c r="I367" s="339" t="str">
        <x:v>High</x:v>
      </x:c>
      <x:c r="J367" s="339" t="str">
        <x:v>No silent bypass; approved overrides must be separately authorized and audited.</x:v>
      </x:c>
    </x:row>
    <x:row r="368">
      <x:c r="A368" s="339" t="str">
        <x:v>BR-00367</x:v>
      </x:c>
      <x:c r="B368" s="339" t="str">
        <x:v>Screen</x:v>
      </x:c>
      <x:c r="C368" s="339" t="str">
        <x:v>SCR-123</x:v>
      </x:c>
      <x:c r="D368" s="339" t="str">
        <x:v>Timetable &amp; Substitution</x:v>
      </x:c>
      <x:c r="E368" s="339" t="str">
        <x:v>Teacher Availability</x:v>
      </x:c>
      <x:c r="F368" s="339" t="str">
        <x:v>Timetable &amp; Resource Scheduling rule 1</x:v>
      </x:c>
      <x:c r="G368" s="339" t="str">
        <x:v>Substitutions must use eligible active staff and retain the original teacher reference for audit/reporting.</x:v>
      </x:c>
      <x:c r="H368" s="339" t="str">
        <x:v>Enforced in service/domain layer and reflected in UI validation/action availability.</x:v>
      </x:c>
      <x:c r="I368" s="339" t="str">
        <x:v>Medium</x:v>
      </x:c>
      <x:c r="J368" s="339" t="str">
        <x:v>Only an explicitly configured authorized override may bypass a non-statutory rule; overrides require reason and audit.</x:v>
      </x:c>
    </x:row>
    <x:row r="369">
      <x:c r="A369" s="339" t="str">
        <x:v>BR-00368</x:v>
      </x:c>
      <x:c r="B369" s="339" t="str">
        <x:v>Screen</x:v>
      </x:c>
      <x:c r="C369" s="339" t="str">
        <x:v>SCR-123</x:v>
      </x:c>
      <x:c r="D369" s="339" t="str">
        <x:v>Timetable &amp; Substitution</x:v>
      </x:c>
      <x:c r="E369" s="339" t="str">
        <x:v>Teacher Availability</x:v>
      </x:c>
      <x:c r="F369" s="339" t="str">
        <x:v>Timetable &amp; Resource Scheduling rule 2</x:v>
      </x:c>
      <x:c r="G369" s="339" t="str">
        <x:v>Archived timetables remain read-only.</x:v>
      </x:c>
      <x:c r="H369" s="339" t="str">
        <x:v>Enforced in service/domain layer and reflected in UI validation/action availability.</x:v>
      </x:c>
      <x:c r="I369" s="339" t="str">
        <x:v>Medium</x:v>
      </x:c>
      <x:c r="J369" s="339" t="str">
        <x:v>Only an explicitly configured authorized override may bypass a non-statutory rule; overrides require reason and audit.</x:v>
      </x:c>
    </x:row>
    <x:row r="370">
      <x:c r="A370" s="339" t="str">
        <x:v>BR-00369</x:v>
      </x:c>
      <x:c r="B370" s="339" t="str">
        <x:v>Screen Type</x:v>
      </x:c>
      <x:c r="C370" s="339" t="str">
        <x:v>SCR-123</x:v>
      </x:c>
      <x:c r="D370" s="339" t="str">
        <x:v>Timetable &amp; Substitution</x:v>
      </x:c>
      <x:c r="E370" s="339" t="str">
        <x:v>Teacher Availability</x:v>
      </x:c>
      <x:c r="F370" s="339" t="str">
        <x:v>Workflow / Management integrity rule</x:v>
      </x:c>
      <x:c r="G370" s="339" t="str">
        <x:v>State transitions are explicit, role-controlled and auditable; invalid transitions are rejected.</x:v>
      </x:c>
      <x:c r="H370" s="339" t="str">
        <x:v>Domain/service validation plus UI affordances.</x:v>
      </x:c>
      <x:c r="I370" s="339" t="str">
        <x:v>High</x:v>
      </x:c>
      <x:c r="J370" s="339" t="str">
        <x:v>No silent bypass; approved overrides must be separately authorized and audited.</x:v>
      </x:c>
    </x:row>
    <x:row r="371">
      <x:c r="A371" s="339" t="str">
        <x:v>BR-00370</x:v>
      </x:c>
      <x:c r="B371" s="339" t="str">
        <x:v>Screen</x:v>
      </x:c>
      <x:c r="C371" s="339" t="str">
        <x:v>SCR-124</x:v>
      </x:c>
      <x:c r="D371" s="339" t="str">
        <x:v>Timetable &amp; Substitution</x:v>
      </x:c>
      <x:c r="E371" s="339" t="str">
        <x:v>Generate Timetable</x:v>
      </x:c>
      <x:c r="F371" s="339" t="str">
        <x:v>Timetable &amp; Resource Scheduling rule 1</x:v>
      </x:c>
      <x:c r="G371" s="339" t="str">
        <x:v>Archived timetables remain read-only.</x:v>
      </x:c>
      <x:c r="H371" s="339" t="str">
        <x:v>Enforced in service/domain layer and reflected in UI validation/action availability.</x:v>
      </x:c>
      <x:c r="I371" s="339" t="str">
        <x:v>Medium</x:v>
      </x:c>
      <x:c r="J371" s="339" t="str">
        <x:v>Only an explicitly configured authorized override may bypass a non-statutory rule; overrides require reason and audit.</x:v>
      </x:c>
    </x:row>
    <x:row r="372">
      <x:c r="A372" s="339" t="str">
        <x:v>BR-00371</x:v>
      </x:c>
      <x:c r="B372" s="339" t="str">
        <x:v>Screen</x:v>
      </x:c>
      <x:c r="C372" s="339" t="str">
        <x:v>SCR-124</x:v>
      </x:c>
      <x:c r="D372" s="339" t="str">
        <x:v>Timetable &amp; Substitution</x:v>
      </x:c>
      <x:c r="E372" s="339" t="str">
        <x:v>Generate Timetable</x:v>
      </x:c>
      <x:c r="F372" s="339" t="str">
        <x:v>Timetable &amp; Resource Scheduling rule 2</x:v>
      </x:c>
      <x:c r="G372" s="339" t="str">
        <x:v>A teacher, class/section or room cannot be booked in overlapping periods unless explicitly allowed.</x:v>
      </x:c>
      <x:c r="H372" s="339" t="str">
        <x:v>Enforced in service/domain layer and reflected in UI validation/action availability.</x:v>
      </x:c>
      <x:c r="I372" s="339" t="str">
        <x:v>Medium</x:v>
      </x:c>
      <x:c r="J372" s="339" t="str">
        <x:v>Only an explicitly configured authorized override may bypass a non-statutory rule; overrides require reason and audit.</x:v>
      </x:c>
    </x:row>
    <x:row r="373">
      <x:c r="A373" s="339" t="str">
        <x:v>BR-00372</x:v>
      </x:c>
      <x:c r="B373" s="339" t="str">
        <x:v>Screen Type</x:v>
      </x:c>
      <x:c r="C373" s="339" t="str">
        <x:v>SCR-124</x:v>
      </x:c>
      <x:c r="D373" s="339" t="str">
        <x:v>Timetable &amp; Substitution</x:v>
      </x:c>
      <x:c r="E373" s="339" t="str">
        <x:v>Generate Timetable</x:v>
      </x:c>
      <x:c r="F373" s="339" t="str">
        <x:v>Calendar / Schedule integrity rule</x:v>
      </x:c>
      <x:c r="G373" s="339" t="str">
        <x:v>Conflicting active resource/time allocations are blocked or require explicit authorized override.</x:v>
      </x:c>
      <x:c r="H373" s="339" t="str">
        <x:v>Domain/service validation plus UI affordances.</x:v>
      </x:c>
      <x:c r="I373" s="339" t="str">
        <x:v>High</x:v>
      </x:c>
      <x:c r="J373" s="339" t="str">
        <x:v>No silent bypass; approved overrides must be separately authorized and audited.</x:v>
      </x:c>
    </x:row>
    <x:row r="374">
      <x:c r="A374" s="339" t="str">
        <x:v>BR-00373</x:v>
      </x:c>
      <x:c r="B374" s="339" t="str">
        <x:v>Screen</x:v>
      </x:c>
      <x:c r="C374" s="339" t="str">
        <x:v>SCR-125</x:v>
      </x:c>
      <x:c r="D374" s="339" t="str">
        <x:v>Timetable &amp; Substitution</x:v>
      </x:c>
      <x:c r="E374" s="339" t="str">
        <x:v>Class Timetable</x:v>
      </x:c>
      <x:c r="F374" s="339" t="str">
        <x:v>Timetable &amp; Resource Scheduling rule 1</x:v>
      </x:c>
      <x:c r="G374" s="339" t="str">
        <x:v>A teacher, class/section or room cannot be booked in overlapping periods unless explicitly allowed.</x:v>
      </x:c>
      <x:c r="H374" s="339" t="str">
        <x:v>Enforced in service/domain layer and reflected in UI validation/action availability.</x:v>
      </x:c>
      <x:c r="I374" s="339" t="str">
        <x:v>Medium</x:v>
      </x:c>
      <x:c r="J374" s="339" t="str">
        <x:v>Only an explicitly configured authorized override may bypass a non-statutory rule; overrides require reason and audit.</x:v>
      </x:c>
    </x:row>
    <x:row r="375">
      <x:c r="A375" s="339" t="str">
        <x:v>BR-00374</x:v>
      </x:c>
      <x:c r="B375" s="339" t="str">
        <x:v>Screen</x:v>
      </x:c>
      <x:c r="C375" s="339" t="str">
        <x:v>SCR-125</x:v>
      </x:c>
      <x:c r="D375" s="339" t="str">
        <x:v>Timetable &amp; Substitution</x:v>
      </x:c>
      <x:c r="E375" s="339" t="str">
        <x:v>Class Timetable</x:v>
      </x:c>
      <x:c r="F375" s="339" t="str">
        <x:v>Timetable &amp; Resource Scheduling rule 2</x:v>
      </x:c>
      <x:c r="G375" s="339" t="str">
        <x:v>Timetables must respect teacher availability, periods, breaks and configured workload constraints.</x:v>
      </x:c>
      <x:c r="H375" s="339" t="str">
        <x:v>Enforced in service/domain layer and reflected in UI validation/action availability.</x:v>
      </x:c>
      <x:c r="I375" s="339" t="str">
        <x:v>Medium</x:v>
      </x:c>
      <x:c r="J375" s="339" t="str">
        <x:v>Only an explicitly configured authorized override may bypass a non-statutory rule; overrides require reason and audit.</x:v>
      </x:c>
    </x:row>
    <x:row r="376">
      <x:c r="A376" s="339" t="str">
        <x:v>BR-00375</x:v>
      </x:c>
      <x:c r="B376" s="339" t="str">
        <x:v>Screen Type</x:v>
      </x:c>
      <x:c r="C376" s="339" t="str">
        <x:v>SCR-125</x:v>
      </x:c>
      <x:c r="D376" s="339" t="str">
        <x:v>Timetable &amp; Substitution</x:v>
      </x:c>
      <x:c r="E376" s="339" t="str">
        <x:v>Class Timetable</x:v>
      </x:c>
      <x:c r="F376" s="339" t="str">
        <x:v>Calendar / Schedule integrity rule</x:v>
      </x:c>
      <x:c r="G376" s="339" t="str">
        <x:v>Conflicting active resource/time allocations are blocked or require explicit authorized override.</x:v>
      </x:c>
      <x:c r="H376" s="339" t="str">
        <x:v>Domain/service validation plus UI affordances.</x:v>
      </x:c>
      <x:c r="I376" s="339" t="str">
        <x:v>High</x:v>
      </x:c>
      <x:c r="J376" s="339" t="str">
        <x:v>No silent bypass; approved overrides must be separately authorized and audited.</x:v>
      </x:c>
    </x:row>
    <x:row r="377">
      <x:c r="A377" s="339" t="str">
        <x:v>BR-00376</x:v>
      </x:c>
      <x:c r="B377" s="339" t="str">
        <x:v>Screen</x:v>
      </x:c>
      <x:c r="C377" s="339" t="str">
        <x:v>SCR-126</x:v>
      </x:c>
      <x:c r="D377" s="339" t="str">
        <x:v>Timetable &amp; Substitution</x:v>
      </x:c>
      <x:c r="E377" s="339" t="str">
        <x:v>Teacher Timetable</x:v>
      </x:c>
      <x:c r="F377" s="339" t="str">
        <x:v>Timetable &amp; Resource Scheduling rule 1</x:v>
      </x:c>
      <x:c r="G377" s="339" t="str">
        <x:v>Timetables must respect teacher availability, periods, breaks and configured workload constraints.</x:v>
      </x:c>
      <x:c r="H377" s="339" t="str">
        <x:v>Enforced in service/domain layer and reflected in UI validation/action availability.</x:v>
      </x:c>
      <x:c r="I377" s="339" t="str">
        <x:v>Medium</x:v>
      </x:c>
      <x:c r="J377" s="339" t="str">
        <x:v>Only an explicitly configured authorized override may bypass a non-statutory rule; overrides require reason and audit.</x:v>
      </x:c>
    </x:row>
    <x:row r="378">
      <x:c r="A378" s="339" t="str">
        <x:v>BR-00377</x:v>
      </x:c>
      <x:c r="B378" s="339" t="str">
        <x:v>Screen</x:v>
      </x:c>
      <x:c r="C378" s="339" t="str">
        <x:v>SCR-126</x:v>
      </x:c>
      <x:c r="D378" s="339" t="str">
        <x:v>Timetable &amp; Substitution</x:v>
      </x:c>
      <x:c r="E378" s="339" t="str">
        <x:v>Teacher Timetable</x:v>
      </x:c>
      <x:c r="F378" s="339" t="str">
        <x:v>Timetable &amp; Resource Scheduling rule 2</x:v>
      </x:c>
      <x:c r="G378" s="339" t="str">
        <x:v>Published timetable changes require effective dates and participant notification when applicable.</x:v>
      </x:c>
      <x:c r="H378" s="339" t="str">
        <x:v>Enforced in service/domain layer and reflected in UI validation/action availability.</x:v>
      </x:c>
      <x:c r="I378" s="339" t="str">
        <x:v>Medium</x:v>
      </x:c>
      <x:c r="J378" s="339" t="str">
        <x:v>Only an explicitly configured authorized override may bypass a non-statutory rule; overrides require reason and audit.</x:v>
      </x:c>
    </x:row>
    <x:row r="379">
      <x:c r="A379" s="339" t="str">
        <x:v>BR-00378</x:v>
      </x:c>
      <x:c r="B379" s="339" t="str">
        <x:v>Screen Type</x:v>
      </x:c>
      <x:c r="C379" s="339" t="str">
        <x:v>SCR-126</x:v>
      </x:c>
      <x:c r="D379" s="339" t="str">
        <x:v>Timetable &amp; Substitution</x:v>
      </x:c>
      <x:c r="E379" s="339" t="str">
        <x:v>Teacher Timetable</x:v>
      </x:c>
      <x:c r="F379" s="339" t="str">
        <x:v>Calendar / Schedule integrity rule</x:v>
      </x:c>
      <x:c r="G379" s="339" t="str">
        <x:v>Conflicting active resource/time allocations are blocked or require explicit authorized override.</x:v>
      </x:c>
      <x:c r="H379" s="339" t="str">
        <x:v>Domain/service validation plus UI affordances.</x:v>
      </x:c>
      <x:c r="I379" s="339" t="str">
        <x:v>High</x:v>
      </x:c>
      <x:c r="J379" s="339" t="str">
        <x:v>No silent bypass; approved overrides must be separately authorized and audited.</x:v>
      </x:c>
    </x:row>
    <x:row r="380">
      <x:c r="A380" s="339" t="str">
        <x:v>BR-00379</x:v>
      </x:c>
      <x:c r="B380" s="339" t="str">
        <x:v>Screen</x:v>
      </x:c>
      <x:c r="C380" s="339" t="str">
        <x:v>SCR-127</x:v>
      </x:c>
      <x:c r="D380" s="339" t="str">
        <x:v>Timetable &amp; Substitution</x:v>
      </x:c>
      <x:c r="E380" s="339" t="str">
        <x:v>Substitution / Replacement</x:v>
      </x:c>
      <x:c r="F380" s="339" t="str">
        <x:v>Timetable &amp; Resource Scheduling rule 1</x:v>
      </x:c>
      <x:c r="G380" s="339" t="str">
        <x:v>Published timetable changes require effective dates and participant notification when applicable.</x:v>
      </x:c>
      <x:c r="H380" s="339" t="str">
        <x:v>Enforced in service/domain layer and reflected in UI validation/action availability.</x:v>
      </x:c>
      <x:c r="I380" s="339" t="str">
        <x:v>Medium</x:v>
      </x:c>
      <x:c r="J380" s="339" t="str">
        <x:v>Only an explicitly configured authorized override may bypass a non-statutory rule; overrides require reason and audit.</x:v>
      </x:c>
    </x:row>
    <x:row r="381">
      <x:c r="A381" s="339" t="str">
        <x:v>BR-00380</x:v>
      </x:c>
      <x:c r="B381" s="339" t="str">
        <x:v>Screen</x:v>
      </x:c>
      <x:c r="C381" s="339" t="str">
        <x:v>SCR-127</x:v>
      </x:c>
      <x:c r="D381" s="339" t="str">
        <x:v>Timetable &amp; Substitution</x:v>
      </x:c>
      <x:c r="E381" s="339" t="str">
        <x:v>Substitution / Replacement</x:v>
      </x:c>
      <x:c r="F381" s="339" t="str">
        <x:v>Timetable &amp; Resource Scheduling rule 2</x:v>
      </x:c>
      <x:c r="G381" s="339" t="str">
        <x:v>Substitutions must use eligible active staff and retain the original teacher reference for audit/reporting.</x:v>
      </x:c>
      <x:c r="H381" s="339" t="str">
        <x:v>Enforced in service/domain layer and reflected in UI validation/action availability.</x:v>
      </x:c>
      <x:c r="I381" s="339" t="str">
        <x:v>Medium</x:v>
      </x:c>
      <x:c r="J381" s="339" t="str">
        <x:v>Only an explicitly configured authorized override may bypass a non-statutory rule; overrides require reason and audit.</x:v>
      </x:c>
    </x:row>
    <x:row r="382">
      <x:c r="A382" s="339" t="str">
        <x:v>BR-00381</x:v>
      </x:c>
      <x:c r="B382" s="339" t="str">
        <x:v>Screen Type</x:v>
      </x:c>
      <x:c r="C382" s="339" t="str">
        <x:v>SCR-127</x:v>
      </x:c>
      <x:c r="D382" s="339" t="str">
        <x:v>Timetable &amp; Substitution</x:v>
      </x:c>
      <x:c r="E382" s="339" t="str">
        <x:v>Substitution / Replacement</x:v>
      </x:c>
      <x:c r="F382" s="339" t="str">
        <x:v>Workflow / Management integrity rule</x:v>
      </x:c>
      <x:c r="G382" s="339" t="str">
        <x:v>State transitions are explicit, role-controlled and auditable; invalid transitions are rejected.</x:v>
      </x:c>
      <x:c r="H382" s="339" t="str">
        <x:v>Domain/service validation plus UI affordances.</x:v>
      </x:c>
      <x:c r="I382" s="339" t="str">
        <x:v>High</x:v>
      </x:c>
      <x:c r="J382" s="339" t="str">
        <x:v>No silent bypass; approved overrides must be separately authorized and audited.</x:v>
      </x:c>
    </x:row>
    <x:row r="383">
      <x:c r="A383" s="339" t="str">
        <x:v>BR-00382</x:v>
      </x:c>
      <x:c r="B383" s="339" t="str">
        <x:v>Screen</x:v>
      </x:c>
      <x:c r="C383" s="339" t="str">
        <x:v>SCR-128</x:v>
      </x:c>
      <x:c r="D383" s="339" t="str">
        <x:v>Homework &amp; Assignments</x:v>
      </x:c>
      <x:c r="E383" s="339" t="str">
        <x:v>Homework List</x:v>
      </x:c>
      <x:c r="F383" s="339" t="str">
        <x:v>Homework &amp; Assignment Management rule 1</x:v>
      </x:c>
      <x:c r="G383" s="339" t="str">
        <x:v>Evaluation cannot be finalized above configured maximum marks/rubric score.</x:v>
      </x:c>
      <x:c r="H383" s="339" t="str">
        <x:v>Enforced in service/domain layer and reflected in UI validation/action availability.</x:v>
      </x:c>
      <x:c r="I383" s="339" t="str">
        <x:v>Medium</x:v>
      </x:c>
      <x:c r="J383" s="339" t="str">
        <x:v>Only an explicitly configured authorized override may bypass a non-statutory rule; overrides require reason and audit.</x:v>
      </x:c>
    </x:row>
    <x:row r="384">
      <x:c r="A384" s="339" t="str">
        <x:v>BR-00383</x:v>
      </x:c>
      <x:c r="B384" s="339" t="str">
        <x:v>Screen</x:v>
      </x:c>
      <x:c r="C384" s="339" t="str">
        <x:v>SCR-128</x:v>
      </x:c>
      <x:c r="D384" s="339" t="str">
        <x:v>Homework &amp; Assignments</x:v>
      </x:c>
      <x:c r="E384" s="339" t="str">
        <x:v>Homework List</x:v>
      </x:c>
      <x:c r="F384" s="339" t="str">
        <x:v>Homework &amp; Assignment Management rule 2</x:v>
      </x:c>
      <x:c r="G384" s="339" t="str">
        <x:v>Parents receive only the visibility configured for the linked child.</x:v>
      </x:c>
      <x:c r="H384" s="339" t="str">
        <x:v>Enforced in service/domain layer and reflected in UI validation/action availability.</x:v>
      </x:c>
      <x:c r="I384" s="339" t="str">
        <x:v>Medium</x:v>
      </x:c>
      <x:c r="J384" s="339" t="str">
        <x:v>Only an explicitly configured authorized override may bypass a non-statutory rule; overrides require reason and audit.</x:v>
      </x:c>
    </x:row>
    <x:row r="385">
      <x:c r="A385" s="339" t="str">
        <x:v>BR-00384</x:v>
      </x:c>
      <x:c r="B385" s="339" t="str">
        <x:v>Screen Type</x:v>
      </x:c>
      <x:c r="C385" s="339" t="str">
        <x:v>SCR-128</x:v>
      </x:c>
      <x:c r="D385" s="339" t="str">
        <x:v>Homework &amp; Assignments</x:v>
      </x:c>
      <x:c r="E385" s="339" t="str">
        <x:v>Homework List</x:v>
      </x:c>
      <x:c r="F385" s="339" t="str">
        <x:v>List / Management integrity rule</x:v>
      </x:c>
      <x:c r="G385" s="339" t="str">
        <x:v>Search, filters, exports and row actions must preserve the same authorization scope.</x:v>
      </x:c>
      <x:c r="H385" s="339" t="str">
        <x:v>Domain/service validation plus UI affordances.</x:v>
      </x:c>
      <x:c r="I385" s="339" t="str">
        <x:v>High</x:v>
      </x:c>
      <x:c r="J385" s="339" t="str">
        <x:v>No silent bypass; approved overrides must be separately authorized and audited.</x:v>
      </x:c>
    </x:row>
    <x:row r="386">
      <x:c r="A386" s="339" t="str">
        <x:v>BR-00385</x:v>
      </x:c>
      <x:c r="B386" s="339" t="str">
        <x:v>Screen</x:v>
      </x:c>
      <x:c r="C386" s="339" t="str">
        <x:v>SCR-129</x:v>
      </x:c>
      <x:c r="D386" s="339" t="str">
        <x:v>Homework &amp; Assignments</x:v>
      </x:c>
      <x:c r="E386" s="339" t="str">
        <x:v>Create Homework</x:v>
      </x:c>
      <x:c r="F386" s="339" t="str">
        <x:v>Homework &amp; Assignment Management rule 1</x:v>
      </x:c>
      <x:c r="G386" s="339" t="str">
        <x:v>Parents receive only the visibility configured for the linked child.</x:v>
      </x:c>
      <x:c r="H386" s="339" t="str">
        <x:v>Enforced in service/domain layer and reflected in UI validation/action availability.</x:v>
      </x:c>
      <x:c r="I386" s="339" t="str">
        <x:v>Medium</x:v>
      </x:c>
      <x:c r="J386" s="339" t="str">
        <x:v>Only an explicitly configured authorized override may bypass a non-statutory rule; overrides require reason and audit.</x:v>
      </x:c>
    </x:row>
    <x:row r="387">
      <x:c r="A387" s="339" t="str">
        <x:v>BR-00386</x:v>
      </x:c>
      <x:c r="B387" s="339" t="str">
        <x:v>Screen</x:v>
      </x:c>
      <x:c r="C387" s="339" t="str">
        <x:v>SCR-129</x:v>
      </x:c>
      <x:c r="D387" s="339" t="str">
        <x:v>Homework &amp; Assignments</x:v>
      </x:c>
      <x:c r="E387" s="339" t="str">
        <x:v>Create Homework</x:v>
      </x:c>
      <x:c r="F387" s="339" t="str">
        <x:v>Homework &amp; Assignment Management rule 2</x:v>
      </x:c>
      <x:c r="G387" s="339" t="str">
        <x:v>Only authorized teachers can publish work to their assigned classes/subjects unless delegated.</x:v>
      </x:c>
      <x:c r="H387" s="339" t="str">
        <x:v>Enforced in service/domain layer and reflected in UI validation/action availability.</x:v>
      </x:c>
      <x:c r="I387" s="339" t="str">
        <x:v>Medium</x:v>
      </x:c>
      <x:c r="J387" s="339" t="str">
        <x:v>Only an explicitly configured authorized override may bypass a non-statutory rule; overrides require reason and audit.</x:v>
      </x:c>
    </x:row>
    <x:row r="388">
      <x:c r="A388" s="339" t="str">
        <x:v>BR-00387</x:v>
      </x:c>
      <x:c r="B388" s="339" t="str">
        <x:v>Screen Type</x:v>
      </x:c>
      <x:c r="C388" s="339" t="str">
        <x:v>SCR-129</x:v>
      </x:c>
      <x:c r="D388" s="339" t="str">
        <x:v>Homework &amp; Assignments</x:v>
      </x:c>
      <x:c r="E388" s="339" t="str">
        <x:v>Create Homework</x:v>
      </x:c>
      <x:c r="F388" s="339" t="str">
        <x:v>Create / Transaction integrity rule</x:v>
      </x:c>
      <x:c r="G388" s="339" t="str">
        <x:v>A record is created only after all blocking validations, duplicate checks and reference checks pass.</x:v>
      </x:c>
      <x:c r="H388" s="339" t="str">
        <x:v>Domain/service validation plus UI affordances.</x:v>
      </x:c>
      <x:c r="I388" s="339" t="str">
        <x:v>High</x:v>
      </x:c>
      <x:c r="J388" s="339" t="str">
        <x:v>No silent bypass; approved overrides must be separately authorized and audited.</x:v>
      </x:c>
    </x:row>
    <x:row r="389">
      <x:c r="A389" s="339" t="str">
        <x:v>BR-00388</x:v>
      </x:c>
      <x:c r="B389" s="339" t="str">
        <x:v>Screen</x:v>
      </x:c>
      <x:c r="C389" s="339" t="str">
        <x:v>SCR-130</x:v>
      </x:c>
      <x:c r="D389" s="339" t="str">
        <x:v>Homework &amp; Assignments</x:v>
      </x:c>
      <x:c r="E389" s="339" t="str">
        <x:v>Homework Details</x:v>
      </x:c>
      <x:c r="F389" s="339" t="str">
        <x:v>Homework &amp; Assignment Management rule 1</x:v>
      </x:c>
      <x:c r="G389" s="339" t="str">
        <x:v>Only authorized teachers can publish work to their assigned classes/subjects unless delegated.</x:v>
      </x:c>
      <x:c r="H389" s="339" t="str">
        <x:v>Enforced in service/domain layer and reflected in UI validation/action availability.</x:v>
      </x:c>
      <x:c r="I389" s="339" t="str">
        <x:v>Medium</x:v>
      </x:c>
      <x:c r="J389" s="339" t="str">
        <x:v>Only an explicitly configured authorized override may bypass a non-statutory rule; overrides require reason and audit.</x:v>
      </x:c>
    </x:row>
    <x:row r="390">
      <x:c r="A390" s="339" t="str">
        <x:v>BR-00389</x:v>
      </x:c>
      <x:c r="B390" s="339" t="str">
        <x:v>Screen</x:v>
      </x:c>
      <x:c r="C390" s="339" t="str">
        <x:v>SCR-130</x:v>
      </x:c>
      <x:c r="D390" s="339" t="str">
        <x:v>Homework &amp; Assignments</x:v>
      </x:c>
      <x:c r="E390" s="339" t="str">
        <x:v>Homework Details</x:v>
      </x:c>
      <x:c r="F390" s="339" t="str">
        <x:v>Homework &amp; Assignment Management rule 2</x:v>
      </x:c>
      <x:c r="G390" s="339" t="str">
        <x:v>Due dates must be on/after publish time and follow school calendar restrictions if enabled.</x:v>
      </x:c>
      <x:c r="H390" s="339" t="str">
        <x:v>Enforced in service/domain layer and reflected in UI validation/action availability.</x:v>
      </x:c>
      <x:c r="I390" s="339" t="str">
        <x:v>Medium</x:v>
      </x:c>
      <x:c r="J390" s="339" t="str">
        <x:v>Only an explicitly configured authorized override may bypass a non-statutory rule; overrides require reason and audit.</x:v>
      </x:c>
    </x:row>
    <x:row r="391">
      <x:c r="A391" s="339" t="str">
        <x:v>BR-00390</x:v>
      </x:c>
      <x:c r="B391" s="339" t="str">
        <x:v>Screen Type</x:v>
      </x:c>
      <x:c r="C391" s="339" t="str">
        <x:v>SCR-130</x:v>
      </x:c>
      <x:c r="D391" s="339" t="str">
        <x:v>Homework &amp; Assignments</x:v>
      </x:c>
      <x:c r="E391" s="339" t="str">
        <x:v>Homework Details</x:v>
      </x:c>
      <x:c r="F391" s="339" t="str">
        <x:v>Detail / Profile integrity rule</x:v>
      </x:c>
      <x:c r="G391" s="339" t="str">
        <x:v>Concurrent updates must not silently overwrite newer data; material edits are audited.</x:v>
      </x:c>
      <x:c r="H391" s="339" t="str">
        <x:v>Domain/service validation plus UI affordances.</x:v>
      </x:c>
      <x:c r="I391" s="339" t="str">
        <x:v>High</x:v>
      </x:c>
      <x:c r="J391" s="339" t="str">
        <x:v>No silent bypass; approved overrides must be separately authorized and audited.</x:v>
      </x:c>
    </x:row>
    <x:row r="392">
      <x:c r="A392" s="339" t="str">
        <x:v>BR-00391</x:v>
      </x:c>
      <x:c r="B392" s="339" t="str">
        <x:v>Screen</x:v>
      </x:c>
      <x:c r="C392" s="339" t="str">
        <x:v>SCR-131</x:v>
      </x:c>
      <x:c r="D392" s="339" t="str">
        <x:v>Homework &amp; Assignments</x:v>
      </x:c>
      <x:c r="E392" s="339" t="str">
        <x:v>Student Homework View</x:v>
      </x:c>
      <x:c r="F392" s="339" t="str">
        <x:v>Homework &amp; Assignment Management rule 1</x:v>
      </x:c>
      <x:c r="G392" s="339" t="str">
        <x:v>Due dates must be on/after publish time and follow school calendar restrictions if enabled.</x:v>
      </x:c>
      <x:c r="H392" s="339" t="str">
        <x:v>Enforced in service/domain layer and reflected in UI validation/action availability.</x:v>
      </x:c>
      <x:c r="I392" s="339" t="str">
        <x:v>Medium</x:v>
      </x:c>
      <x:c r="J392" s="339" t="str">
        <x:v>Only an explicitly configured authorized override may bypass a non-statutory rule; overrides require reason and audit.</x:v>
      </x:c>
    </x:row>
    <x:row r="393">
      <x:c r="A393" s="339" t="str">
        <x:v>BR-00392</x:v>
      </x:c>
      <x:c r="B393" s="339" t="str">
        <x:v>Screen</x:v>
      </x:c>
      <x:c r="C393" s="339" t="str">
        <x:v>SCR-131</x:v>
      </x:c>
      <x:c r="D393" s="339" t="str">
        <x:v>Homework &amp; Assignments</x:v>
      </x:c>
      <x:c r="E393" s="339" t="str">
        <x:v>Student Homework View</x:v>
      </x:c>
      <x:c r="F393" s="339" t="str">
        <x:v>Homework &amp; Assignment Management rule 2</x:v>
      </x:c>
      <x:c r="G393" s="339" t="str">
        <x:v>Submission status must preserve original submission time even after resubmission.</x:v>
      </x:c>
      <x:c r="H393" s="339" t="str">
        <x:v>Enforced in service/domain layer and reflected in UI validation/action availability.</x:v>
      </x:c>
      <x:c r="I393" s="339" t="str">
        <x:v>Medium</x:v>
      </x:c>
      <x:c r="J393" s="339" t="str">
        <x:v>Only an explicitly configured authorized override may bypass a non-statutory rule; overrides require reason and audit.</x:v>
      </x:c>
    </x:row>
    <x:row r="394">
      <x:c r="A394" s="339" t="str">
        <x:v>BR-00393</x:v>
      </x:c>
      <x:c r="B394" s="339" t="str">
        <x:v>Screen Type</x:v>
      </x:c>
      <x:c r="C394" s="339" t="str">
        <x:v>SCR-131</x:v>
      </x:c>
      <x:c r="D394" s="339" t="str">
        <x:v>Homework &amp; Assignments</x:v>
      </x:c>
      <x:c r="E394" s="339" t="str">
        <x:v>Student Homework View</x:v>
      </x:c>
      <x:c r="F394" s="339" t="str">
        <x:v>Workflow / Management integrity rule</x:v>
      </x:c>
      <x:c r="G394" s="339" t="str">
        <x:v>State transitions are explicit, role-controlled and auditable; invalid transitions are rejected.</x:v>
      </x:c>
      <x:c r="H394" s="339" t="str">
        <x:v>Domain/service validation plus UI affordances.</x:v>
      </x:c>
      <x:c r="I394" s="339" t="str">
        <x:v>High</x:v>
      </x:c>
      <x:c r="J394" s="339" t="str">
        <x:v>No silent bypass; approved overrides must be separately authorized and audited.</x:v>
      </x:c>
    </x:row>
    <x:row r="395">
      <x:c r="A395" s="339" t="str">
        <x:v>BR-00394</x:v>
      </x:c>
      <x:c r="B395" s="339" t="str">
        <x:v>Screen</x:v>
      </x:c>
      <x:c r="C395" s="339" t="str">
        <x:v>SCR-132</x:v>
      </x:c>
      <x:c r="D395" s="339" t="str">
        <x:v>Homework &amp; Assignments</x:v>
      </x:c>
      <x:c r="E395" s="339" t="str">
        <x:v>Homework Submission</x:v>
      </x:c>
      <x:c r="F395" s="339" t="str">
        <x:v>Homework &amp; Assignment Management rule 1</x:v>
      </x:c>
      <x:c r="G395" s="339" t="str">
        <x:v>Submission status must preserve original submission time even after resubmission.</x:v>
      </x:c>
      <x:c r="H395" s="339" t="str">
        <x:v>Enforced in service/domain layer and reflected in UI validation/action availability.</x:v>
      </x:c>
      <x:c r="I395" s="339" t="str">
        <x:v>Medium</x:v>
      </x:c>
      <x:c r="J395" s="339" t="str">
        <x:v>Only an explicitly configured authorized override may bypass a non-statutory rule; overrides require reason and audit.</x:v>
      </x:c>
    </x:row>
    <x:row r="396">
      <x:c r="A396" s="339" t="str">
        <x:v>BR-00395</x:v>
      </x:c>
      <x:c r="B396" s="339" t="str">
        <x:v>Screen</x:v>
      </x:c>
      <x:c r="C396" s="339" t="str">
        <x:v>SCR-132</x:v>
      </x:c>
      <x:c r="D396" s="339" t="str">
        <x:v>Homework &amp; Assignments</x:v>
      </x:c>
      <x:c r="E396" s="339" t="str">
        <x:v>Homework Submission</x:v>
      </x:c>
      <x:c r="F396" s="339" t="str">
        <x:v>Homework &amp; Assignment Management rule 2</x:v>
      </x:c>
      <x:c r="G396" s="339" t="str">
        <x:v>Evaluation cannot be finalized above configured maximum marks/rubric score.</x:v>
      </x:c>
      <x:c r="H396" s="339" t="str">
        <x:v>Enforced in service/domain layer and reflected in UI validation/action availability.</x:v>
      </x:c>
      <x:c r="I396" s="339" t="str">
        <x:v>Medium</x:v>
      </x:c>
      <x:c r="J396" s="339" t="str">
        <x:v>Only an explicitly configured authorized override may bypass a non-statutory rule; overrides require reason and audit.</x:v>
      </x:c>
    </x:row>
    <x:row r="397">
      <x:c r="A397" s="339" t="str">
        <x:v>BR-00396</x:v>
      </x:c>
      <x:c r="B397" s="339" t="str">
        <x:v>Screen Type</x:v>
      </x:c>
      <x:c r="C397" s="339" t="str">
        <x:v>SCR-132</x:v>
      </x:c>
      <x:c r="D397" s="339" t="str">
        <x:v>Homework &amp; Assignments</x:v>
      </x:c>
      <x:c r="E397" s="339" t="str">
        <x:v>Homework Submission</x:v>
      </x:c>
      <x:c r="F397" s="339" t="str">
        <x:v>Workflow / Management integrity rule</x:v>
      </x:c>
      <x:c r="G397" s="339" t="str">
        <x:v>State transitions are explicit, role-controlled and auditable; invalid transitions are rejected.</x:v>
      </x:c>
      <x:c r="H397" s="339" t="str">
        <x:v>Domain/service validation plus UI affordances.</x:v>
      </x:c>
      <x:c r="I397" s="339" t="str">
        <x:v>High</x:v>
      </x:c>
      <x:c r="J397" s="339" t="str">
        <x:v>No silent bypass; approved overrides must be separately authorized and audited.</x:v>
      </x:c>
    </x:row>
    <x:row r="398">
      <x:c r="A398" s="339" t="str">
        <x:v>BR-00397</x:v>
      </x:c>
      <x:c r="B398" s="339" t="str">
        <x:v>Screen</x:v>
      </x:c>
      <x:c r="C398" s="339" t="str">
        <x:v>SCR-133</x:v>
      </x:c>
      <x:c r="D398" s="339" t="str">
        <x:v>Homework &amp; Assignments</x:v>
      </x:c>
      <x:c r="E398" s="339" t="str">
        <x:v>Homework Evaluation</x:v>
      </x:c>
      <x:c r="F398" s="339" t="str">
        <x:v>Homework &amp; Assignment Management rule 1</x:v>
      </x:c>
      <x:c r="G398" s="339" t="str">
        <x:v>Evaluation cannot be finalized above configured maximum marks/rubric score.</x:v>
      </x:c>
      <x:c r="H398" s="339" t="str">
        <x:v>Enforced in service/domain layer and reflected in UI validation/action availability.</x:v>
      </x:c>
      <x:c r="I398" s="339" t="str">
        <x:v>Medium</x:v>
      </x:c>
      <x:c r="J398" s="339" t="str">
        <x:v>Only an explicitly configured authorized override may bypass a non-statutory rule; overrides require reason and audit.</x:v>
      </x:c>
    </x:row>
    <x:row r="399">
      <x:c r="A399" s="339" t="str">
        <x:v>BR-00398</x:v>
      </x:c>
      <x:c r="B399" s="339" t="str">
        <x:v>Screen</x:v>
      </x:c>
      <x:c r="C399" s="339" t="str">
        <x:v>SCR-133</x:v>
      </x:c>
      <x:c r="D399" s="339" t="str">
        <x:v>Homework &amp; Assignments</x:v>
      </x:c>
      <x:c r="E399" s="339" t="str">
        <x:v>Homework Evaluation</x:v>
      </x:c>
      <x:c r="F399" s="339" t="str">
        <x:v>Homework &amp; Assignment Management rule 2</x:v>
      </x:c>
      <x:c r="G399" s="339" t="str">
        <x:v>Parents receive only the visibility configured for the linked child.</x:v>
      </x:c>
      <x:c r="H399" s="339" t="str">
        <x:v>Enforced in service/domain layer and reflected in UI validation/action availability.</x:v>
      </x:c>
      <x:c r="I399" s="339" t="str">
        <x:v>Medium</x:v>
      </x:c>
      <x:c r="J399" s="339" t="str">
        <x:v>Only an explicitly configured authorized override may bypass a non-statutory rule; overrides require reason and audit.</x:v>
      </x:c>
    </x:row>
    <x:row r="400">
      <x:c r="A400" s="339" t="str">
        <x:v>BR-00399</x:v>
      </x:c>
      <x:c r="B400" s="339" t="str">
        <x:v>Screen Type</x:v>
      </x:c>
      <x:c r="C400" s="339" t="str">
        <x:v>SCR-133</x:v>
      </x:c>
      <x:c r="D400" s="339" t="str">
        <x:v>Homework &amp; Assignments</x:v>
      </x:c>
      <x:c r="E400" s="339" t="str">
        <x:v>Homework Evaluation</x:v>
      </x:c>
      <x:c r="F400" s="339" t="str">
        <x:v>Workflow / Management integrity rule</x:v>
      </x:c>
      <x:c r="G400" s="339" t="str">
        <x:v>State transitions are explicit, role-controlled and auditable; invalid transitions are rejected.</x:v>
      </x:c>
      <x:c r="H400" s="339" t="str">
        <x:v>Domain/service validation plus UI affordances.</x:v>
      </x:c>
      <x:c r="I400" s="339" t="str">
        <x:v>High</x:v>
      </x:c>
      <x:c r="J400" s="339" t="str">
        <x:v>No silent bypass; approved overrides must be separately authorized and audited.</x:v>
      </x:c>
    </x:row>
    <x:row r="401">
      <x:c r="A401" s="339" t="str">
        <x:v>BR-00400</x:v>
      </x:c>
      <x:c r="B401" s="339" t="str">
        <x:v>Screen</x:v>
      </x:c>
      <x:c r="C401" s="339" t="str">
        <x:v>SCR-134</x:v>
      </x:c>
      <x:c r="D401" s="339" t="str">
        <x:v>Homework &amp; Assignments</x:v>
      </x:c>
      <x:c r="E401" s="339" t="str">
        <x:v>Assignment List</x:v>
      </x:c>
      <x:c r="F401" s="339" t="str">
        <x:v>Homework &amp; Assignment Management rule 1</x:v>
      </x:c>
      <x:c r="G401" s="339" t="str">
        <x:v>Parents receive only the visibility configured for the linked child.</x:v>
      </x:c>
      <x:c r="H401" s="339" t="str">
        <x:v>Enforced in service/domain layer and reflected in UI validation/action availability.</x:v>
      </x:c>
      <x:c r="I401" s="339" t="str">
        <x:v>Medium</x:v>
      </x:c>
      <x:c r="J401" s="339" t="str">
        <x:v>Only an explicitly configured authorized override may bypass a non-statutory rule; overrides require reason and audit.</x:v>
      </x:c>
    </x:row>
    <x:row r="402">
      <x:c r="A402" s="339" t="str">
        <x:v>BR-00401</x:v>
      </x:c>
      <x:c r="B402" s="339" t="str">
        <x:v>Screen</x:v>
      </x:c>
      <x:c r="C402" s="339" t="str">
        <x:v>SCR-134</x:v>
      </x:c>
      <x:c r="D402" s="339" t="str">
        <x:v>Homework &amp; Assignments</x:v>
      </x:c>
      <x:c r="E402" s="339" t="str">
        <x:v>Assignment List</x:v>
      </x:c>
      <x:c r="F402" s="339" t="str">
        <x:v>Homework &amp; Assignment Management rule 2</x:v>
      </x:c>
      <x:c r="G402" s="339" t="str">
        <x:v>Only authorized teachers can publish work to their assigned classes/subjects unless delegated.</x:v>
      </x:c>
      <x:c r="H402" s="339" t="str">
        <x:v>Enforced in service/domain layer and reflected in UI validation/action availability.</x:v>
      </x:c>
      <x:c r="I402" s="339" t="str">
        <x:v>Medium</x:v>
      </x:c>
      <x:c r="J402" s="339" t="str">
        <x:v>Only an explicitly configured authorized override may bypass a non-statutory rule; overrides require reason and audit.</x:v>
      </x:c>
    </x:row>
    <x:row r="403">
      <x:c r="A403" s="339" t="str">
        <x:v>BR-00402</x:v>
      </x:c>
      <x:c r="B403" s="339" t="str">
        <x:v>Screen Type</x:v>
      </x:c>
      <x:c r="C403" s="339" t="str">
        <x:v>SCR-134</x:v>
      </x:c>
      <x:c r="D403" s="339" t="str">
        <x:v>Homework &amp; Assignments</x:v>
      </x:c>
      <x:c r="E403" s="339" t="str">
        <x:v>Assignment List</x:v>
      </x:c>
      <x:c r="F403" s="339" t="str">
        <x:v>List / Management integrity rule</x:v>
      </x:c>
      <x:c r="G403" s="339" t="str">
        <x:v>Search, filters, exports and row actions must preserve the same authorization scope.</x:v>
      </x:c>
      <x:c r="H403" s="339" t="str">
        <x:v>Domain/service validation plus UI affordances.</x:v>
      </x:c>
      <x:c r="I403" s="339" t="str">
        <x:v>High</x:v>
      </x:c>
      <x:c r="J403" s="339" t="str">
        <x:v>No silent bypass; approved overrides must be separately authorized and audited.</x:v>
      </x:c>
    </x:row>
    <x:row r="404">
      <x:c r="A404" s="339" t="str">
        <x:v>BR-00403</x:v>
      </x:c>
      <x:c r="B404" s="339" t="str">
        <x:v>Screen</x:v>
      </x:c>
      <x:c r="C404" s="339" t="str">
        <x:v>SCR-135</x:v>
      </x:c>
      <x:c r="D404" s="339" t="str">
        <x:v>Homework &amp; Assignments</x:v>
      </x:c>
      <x:c r="E404" s="339" t="str">
        <x:v>Create Assignment</x:v>
      </x:c>
      <x:c r="F404" s="339" t="str">
        <x:v>Homework &amp; Assignment Management rule 1</x:v>
      </x:c>
      <x:c r="G404" s="339" t="str">
        <x:v>Only authorized teachers can publish work to their assigned classes/subjects unless delegated.</x:v>
      </x:c>
      <x:c r="H404" s="339" t="str">
        <x:v>Enforced in service/domain layer and reflected in UI validation/action availability.</x:v>
      </x:c>
      <x:c r="I404" s="339" t="str">
        <x:v>Medium</x:v>
      </x:c>
      <x:c r="J404" s="339" t="str">
        <x:v>Only an explicitly configured authorized override may bypass a non-statutory rule; overrides require reason and audit.</x:v>
      </x:c>
    </x:row>
    <x:row r="405">
      <x:c r="A405" s="339" t="str">
        <x:v>BR-00404</x:v>
      </x:c>
      <x:c r="B405" s="339" t="str">
        <x:v>Screen</x:v>
      </x:c>
      <x:c r="C405" s="339" t="str">
        <x:v>SCR-135</x:v>
      </x:c>
      <x:c r="D405" s="339" t="str">
        <x:v>Homework &amp; Assignments</x:v>
      </x:c>
      <x:c r="E405" s="339" t="str">
        <x:v>Create Assignment</x:v>
      </x:c>
      <x:c r="F405" s="339" t="str">
        <x:v>Homework &amp; Assignment Management rule 2</x:v>
      </x:c>
      <x:c r="G405" s="339" t="str">
        <x:v>Due dates must be on/after publish time and follow school calendar restrictions if enabled.</x:v>
      </x:c>
      <x:c r="H405" s="339" t="str">
        <x:v>Enforced in service/domain layer and reflected in UI validation/action availability.</x:v>
      </x:c>
      <x:c r="I405" s="339" t="str">
        <x:v>Medium</x:v>
      </x:c>
      <x:c r="J405" s="339" t="str">
        <x:v>Only an explicitly configured authorized override may bypass a non-statutory rule; overrides require reason and audit.</x:v>
      </x:c>
    </x:row>
    <x:row r="406">
      <x:c r="A406" s="339" t="str">
        <x:v>BR-00405</x:v>
      </x:c>
      <x:c r="B406" s="339" t="str">
        <x:v>Screen Type</x:v>
      </x:c>
      <x:c r="C406" s="339" t="str">
        <x:v>SCR-135</x:v>
      </x:c>
      <x:c r="D406" s="339" t="str">
        <x:v>Homework &amp; Assignments</x:v>
      </x:c>
      <x:c r="E406" s="339" t="str">
        <x:v>Create Assignment</x:v>
      </x:c>
      <x:c r="F406" s="339" t="str">
        <x:v>Create / Transaction integrity rule</x:v>
      </x:c>
      <x:c r="G406" s="339" t="str">
        <x:v>A record is created only after all blocking validations, duplicate checks and reference checks pass.</x:v>
      </x:c>
      <x:c r="H406" s="339" t="str">
        <x:v>Domain/service validation plus UI affordances.</x:v>
      </x:c>
      <x:c r="I406" s="339" t="str">
        <x:v>High</x:v>
      </x:c>
      <x:c r="J406" s="339" t="str">
        <x:v>No silent bypass; approved overrides must be separately authorized and audited.</x:v>
      </x:c>
    </x:row>
    <x:row r="407">
      <x:c r="A407" s="339" t="str">
        <x:v>BR-00406</x:v>
      </x:c>
      <x:c r="B407" s="339" t="str">
        <x:v>Screen</x:v>
      </x:c>
      <x:c r="C407" s="339" t="str">
        <x:v>SCR-136</x:v>
      </x:c>
      <x:c r="D407" s="339" t="str">
        <x:v>Homework &amp; Assignments</x:v>
      </x:c>
      <x:c r="E407" s="339" t="str">
        <x:v>Assignment Submissions</x:v>
      </x:c>
      <x:c r="F407" s="339" t="str">
        <x:v>Homework &amp; Assignment Management rule 1</x:v>
      </x:c>
      <x:c r="G407" s="339" t="str">
        <x:v>Due dates must be on/after publish time and follow school calendar restrictions if enabled.</x:v>
      </x:c>
      <x:c r="H407" s="339" t="str">
        <x:v>Enforced in service/domain layer and reflected in UI validation/action availability.</x:v>
      </x:c>
      <x:c r="I407" s="339" t="str">
        <x:v>Medium</x:v>
      </x:c>
      <x:c r="J407" s="339" t="str">
        <x:v>Only an explicitly configured authorized override may bypass a non-statutory rule; overrides require reason and audit.</x:v>
      </x:c>
    </x:row>
    <x:row r="408">
      <x:c r="A408" s="339" t="str">
        <x:v>BR-00407</x:v>
      </x:c>
      <x:c r="B408" s="339" t="str">
        <x:v>Screen</x:v>
      </x:c>
      <x:c r="C408" s="339" t="str">
        <x:v>SCR-136</x:v>
      </x:c>
      <x:c r="D408" s="339" t="str">
        <x:v>Homework &amp; Assignments</x:v>
      </x:c>
      <x:c r="E408" s="339" t="str">
        <x:v>Assignment Submissions</x:v>
      </x:c>
      <x:c r="F408" s="339" t="str">
        <x:v>Homework &amp; Assignment Management rule 2</x:v>
      </x:c>
      <x:c r="G408" s="339" t="str">
        <x:v>Submission status must preserve original submission time even after resubmission.</x:v>
      </x:c>
      <x:c r="H408" s="339" t="str">
        <x:v>Enforced in service/domain layer and reflected in UI validation/action availability.</x:v>
      </x:c>
      <x:c r="I408" s="339" t="str">
        <x:v>Medium</x:v>
      </x:c>
      <x:c r="J408" s="339" t="str">
        <x:v>Only an explicitly configured authorized override may bypass a non-statutory rule; overrides require reason and audit.</x:v>
      </x:c>
    </x:row>
    <x:row r="409">
      <x:c r="A409" s="339" t="str">
        <x:v>BR-00408</x:v>
      </x:c>
      <x:c r="B409" s="339" t="str">
        <x:v>Screen Type</x:v>
      </x:c>
      <x:c r="C409" s="339" t="str">
        <x:v>SCR-136</x:v>
      </x:c>
      <x:c r="D409" s="339" t="str">
        <x:v>Homework &amp; Assignments</x:v>
      </x:c>
      <x:c r="E409" s="339" t="str">
        <x:v>Assignment Submissions</x:v>
      </x:c>
      <x:c r="F409" s="339" t="str">
        <x:v>Workflow / Management integrity rule</x:v>
      </x:c>
      <x:c r="G409" s="339" t="str">
        <x:v>State transitions are explicit, role-controlled and auditable; invalid transitions are rejected.</x:v>
      </x:c>
      <x:c r="H409" s="339" t="str">
        <x:v>Domain/service validation plus UI affordances.</x:v>
      </x:c>
      <x:c r="I409" s="339" t="str">
        <x:v>High</x:v>
      </x:c>
      <x:c r="J409" s="339" t="str">
        <x:v>No silent bypass; approved overrides must be separately authorized and audited.</x:v>
      </x:c>
    </x:row>
    <x:row r="410">
      <x:c r="A410" s="339" t="str">
        <x:v>BR-00409</x:v>
      </x:c>
      <x:c r="B410" s="339" t="str">
        <x:v>Screen</x:v>
      </x:c>
      <x:c r="C410" s="339" t="str">
        <x:v>SCR-137</x:v>
      </x:c>
      <x:c r="D410" s="339" t="str">
        <x:v>Homework &amp; Assignments</x:v>
      </x:c>
      <x:c r="E410" s="339" t="str">
        <x:v>Assignment Evaluation</x:v>
      </x:c>
      <x:c r="F410" s="339" t="str">
        <x:v>Homework &amp; Assignment Management rule 1</x:v>
      </x:c>
      <x:c r="G410" s="339" t="str">
        <x:v>Submission status must preserve original submission time even after resubmission.</x:v>
      </x:c>
      <x:c r="H410" s="339" t="str">
        <x:v>Enforced in service/domain layer and reflected in UI validation/action availability.</x:v>
      </x:c>
      <x:c r="I410" s="339" t="str">
        <x:v>Medium</x:v>
      </x:c>
      <x:c r="J410" s="339" t="str">
        <x:v>Only an explicitly configured authorized override may bypass a non-statutory rule; overrides require reason and audit.</x:v>
      </x:c>
    </x:row>
    <x:row r="411">
      <x:c r="A411" s="339" t="str">
        <x:v>BR-00410</x:v>
      </x:c>
      <x:c r="B411" s="339" t="str">
        <x:v>Screen</x:v>
      </x:c>
      <x:c r="C411" s="339" t="str">
        <x:v>SCR-137</x:v>
      </x:c>
      <x:c r="D411" s="339" t="str">
        <x:v>Homework &amp; Assignments</x:v>
      </x:c>
      <x:c r="E411" s="339" t="str">
        <x:v>Assignment Evaluation</x:v>
      </x:c>
      <x:c r="F411" s="339" t="str">
        <x:v>Homework &amp; Assignment Management rule 2</x:v>
      </x:c>
      <x:c r="G411" s="339" t="str">
        <x:v>Evaluation cannot be finalized above configured maximum marks/rubric score.</x:v>
      </x:c>
      <x:c r="H411" s="339" t="str">
        <x:v>Enforced in service/domain layer and reflected in UI validation/action availability.</x:v>
      </x:c>
      <x:c r="I411" s="339" t="str">
        <x:v>Medium</x:v>
      </x:c>
      <x:c r="J411" s="339" t="str">
        <x:v>Only an explicitly configured authorized override may bypass a non-statutory rule; overrides require reason and audit.</x:v>
      </x:c>
    </x:row>
    <x:row r="412">
      <x:c r="A412" s="339" t="str">
        <x:v>BR-00411</x:v>
      </x:c>
      <x:c r="B412" s="339" t="str">
        <x:v>Screen Type</x:v>
      </x:c>
      <x:c r="C412" s="339" t="str">
        <x:v>SCR-137</x:v>
      </x:c>
      <x:c r="D412" s="339" t="str">
        <x:v>Homework &amp; Assignments</x:v>
      </x:c>
      <x:c r="E412" s="339" t="str">
        <x:v>Assignment Evaluation</x:v>
      </x:c>
      <x:c r="F412" s="339" t="str">
        <x:v>Workflow / Management integrity rule</x:v>
      </x:c>
      <x:c r="G412" s="339" t="str">
        <x:v>State transitions are explicit, role-controlled and auditable; invalid transitions are rejected.</x:v>
      </x:c>
      <x:c r="H412" s="339" t="str">
        <x:v>Domain/service validation plus UI affordances.</x:v>
      </x:c>
      <x:c r="I412" s="339" t="str">
        <x:v>High</x:v>
      </x:c>
      <x:c r="J412" s="339" t="str">
        <x:v>No silent bypass; approved overrides must be separately authorized and audited.</x:v>
      </x:c>
    </x:row>
    <x:row r="413">
      <x:c r="A413" s="339" t="str">
        <x:v>BR-00412</x:v>
      </x:c>
      <x:c r="B413" s="339" t="str">
        <x:v>Screen</x:v>
      </x:c>
      <x:c r="C413" s="339" t="str">
        <x:v>SCR-138</x:v>
      </x:c>
      <x:c r="D413" s="339" t="str">
        <x:v>Examinations / Marks / Results</x:v>
      </x:c>
      <x:c r="E413" s="339" t="str">
        <x:v>Exam Dashboard</x:v>
      </x:c>
      <x:c r="F413" s="339" t="str">
        <x:v>Examinations, Grading &amp; Results rule 1</x:v>
      </x:c>
      <x:c r="G413" s="339" t="str">
        <x:v>Published results are immutable to normal users; corrections require an authorized revision workflow.</x:v>
      </x:c>
      <x:c r="H413" s="339" t="str">
        <x:v>Enforced in service/domain layer and reflected in UI validation/action availability.</x:v>
      </x:c>
      <x:c r="I413" s="339" t="str">
        <x:v>High</x:v>
      </x:c>
      <x:c r="J413" s="339" t="str">
        <x:v>Only an explicitly configured authorized override may bypass a non-statutory rule; overrides require reason and audit.</x:v>
      </x:c>
    </x:row>
    <x:row r="414">
      <x:c r="A414" s="339" t="str">
        <x:v>BR-00413</x:v>
      </x:c>
      <x:c r="B414" s="339" t="str">
        <x:v>Screen</x:v>
      </x:c>
      <x:c r="C414" s="339" t="str">
        <x:v>SCR-138</x:v>
      </x:c>
      <x:c r="D414" s="339" t="str">
        <x:v>Examinations / Marks / Results</x:v>
      </x:c>
      <x:c r="E414" s="339" t="str">
        <x:v>Exam Dashboard</x:v>
      </x:c>
      <x:c r="F414" s="339" t="str">
        <x:v>Examinations, Grading &amp; Results rule 2</x:v>
      </x:c>
      <x:c r="G414" s="339" t="str">
        <x:v>Report-card totals must reconcile with stored subject components and weighting rules.</x:v>
      </x:c>
      <x:c r="H414" s="339" t="str">
        <x:v>Enforced in service/domain layer and reflected in UI validation/action availability.</x:v>
      </x:c>
      <x:c r="I414" s="339" t="str">
        <x:v>High</x:v>
      </x:c>
      <x:c r="J414" s="339" t="str">
        <x:v>Only an explicitly configured authorized override may bypass a non-statutory rule; overrides require reason and audit.</x:v>
      </x:c>
    </x:row>
    <x:row r="415">
      <x:c r="A415" s="339" t="str">
        <x:v>BR-00414</x:v>
      </x:c>
      <x:c r="B415" s="339" t="str">
        <x:v>Screen Type</x:v>
      </x:c>
      <x:c r="C415" s="339" t="str">
        <x:v>SCR-138</x:v>
      </x:c>
      <x:c r="D415" s="339" t="str">
        <x:v>Examinations / Marks / Results</x:v>
      </x:c>
      <x:c r="E415" s="339" t="str">
        <x:v>Exam Dashboard</x:v>
      </x:c>
      <x:c r="F415" s="339" t="str">
        <x:v>Dashboard integrity rule</x:v>
      </x:c>
      <x:c r="G415" s="339" t="str">
        <x:v>Displayed totals must reconcile to the same authorized source rows used by drill-down and reports.</x:v>
      </x:c>
      <x:c r="H415" s="339" t="str">
        <x:v>Domain/service validation plus UI affordances.</x:v>
      </x:c>
      <x:c r="I415" s="339" t="str">
        <x:v>High</x:v>
      </x:c>
      <x:c r="J415" s="339" t="str">
        <x:v>No silent bypass; approved overrides must be separately authorized and audited.</x:v>
      </x:c>
    </x:row>
    <x:row r="416">
      <x:c r="A416" s="339" t="str">
        <x:v>BR-00415</x:v>
      </x:c>
      <x:c r="B416" s="339" t="str">
        <x:v>Screen</x:v>
      </x:c>
      <x:c r="C416" s="339" t="str">
        <x:v>SCR-139</x:v>
      </x:c>
      <x:c r="D416" s="339" t="str">
        <x:v>Examinations / Marks / Results</x:v>
      </x:c>
      <x:c r="E416" s="339" t="str">
        <x:v>Exam Types</x:v>
      </x:c>
      <x:c r="F416" s="339" t="str">
        <x:v>Examinations, Grading &amp; Results rule 1</x:v>
      </x:c>
      <x:c r="G416" s="339" t="str">
        <x:v>Report-card totals must reconcile with stored subject components and weighting rules.</x:v>
      </x:c>
      <x:c r="H416" s="339" t="str">
        <x:v>Enforced in service/domain layer and reflected in UI validation/action availability.</x:v>
      </x:c>
      <x:c r="I416" s="339" t="str">
        <x:v>High</x:v>
      </x:c>
      <x:c r="J416" s="339" t="str">
        <x:v>Only an explicitly configured authorized override may bypass a non-statutory rule; overrides require reason and audit.</x:v>
      </x:c>
    </x:row>
    <x:row r="417">
      <x:c r="A417" s="339" t="str">
        <x:v>BR-00416</x:v>
      </x:c>
      <x:c r="B417" s="339" t="str">
        <x:v>Screen</x:v>
      </x:c>
      <x:c r="C417" s="339" t="str">
        <x:v>SCR-139</x:v>
      </x:c>
      <x:c r="D417" s="339" t="str">
        <x:v>Examinations / Marks / Results</x:v>
      </x:c>
      <x:c r="E417" s="339" t="str">
        <x:v>Exam Types</x:v>
      </x:c>
      <x:c r="F417" s="339" t="str">
        <x:v>Examinations, Grading &amp; Results rule 2</x:v>
      </x:c>
      <x:c r="G417" s="339" t="str">
        <x:v>Marks must be within configured min/max ranges; absence and exemption are represented as statuses, not invalid numeric marks.</x:v>
      </x:c>
      <x:c r="H417" s="339" t="str">
        <x:v>Enforced in service/domain layer and reflected in UI validation/action availability.</x:v>
      </x:c>
      <x:c r="I417" s="339" t="str">
        <x:v>High</x:v>
      </x:c>
      <x:c r="J417" s="339" t="str">
        <x:v>Only an explicitly configured authorized override may bypass a non-statutory rule; overrides require reason and audit.</x:v>
      </x:c>
    </x:row>
    <x:row r="418">
      <x:c r="A418" s="339" t="str">
        <x:v>BR-00417</x:v>
      </x:c>
      <x:c r="B418" s="339" t="str">
        <x:v>Screen Type</x:v>
      </x:c>
      <x:c r="C418" s="339" t="str">
        <x:v>SCR-139</x:v>
      </x:c>
      <x:c r="D418" s="339" t="str">
        <x:v>Examinations / Marks / Results</x:v>
      </x:c>
      <x:c r="E418" s="339" t="str">
        <x:v>Exam Types</x:v>
      </x:c>
      <x:c r="F418" s="339" t="str">
        <x:v>Workflow / Management integrity rule</x:v>
      </x:c>
      <x:c r="G418" s="339" t="str">
        <x:v>State transitions are explicit, role-controlled and auditable; invalid transitions are rejected.</x:v>
      </x:c>
      <x:c r="H418" s="339" t="str">
        <x:v>Domain/service validation plus UI affordances.</x:v>
      </x:c>
      <x:c r="I418" s="339" t="str">
        <x:v>High</x:v>
      </x:c>
      <x:c r="J418" s="339" t="str">
        <x:v>No silent bypass; approved overrides must be separately authorized and audited.</x:v>
      </x:c>
    </x:row>
    <x:row r="419">
      <x:c r="A419" s="339" t="str">
        <x:v>BR-00418</x:v>
      </x:c>
      <x:c r="B419" s="339" t="str">
        <x:v>Screen</x:v>
      </x:c>
      <x:c r="C419" s="339" t="str">
        <x:v>SCR-140</x:v>
      </x:c>
      <x:c r="D419" s="339" t="str">
        <x:v>Examinations / Marks / Results</x:v>
      </x:c>
      <x:c r="E419" s="339" t="str">
        <x:v>Exam Setup</x:v>
      </x:c>
      <x:c r="F419" s="339" t="str">
        <x:v>Examinations, Grading &amp; Results rule 1</x:v>
      </x:c>
      <x:c r="G419" s="339" t="str">
        <x:v>Marks must be within configured min/max ranges; absence and exemption are represented as statuses, not invalid numeric marks.</x:v>
      </x:c>
      <x:c r="H419" s="339" t="str">
        <x:v>Enforced in service/domain layer and reflected in UI validation/action availability.</x:v>
      </x:c>
      <x:c r="I419" s="339" t="str">
        <x:v>High</x:v>
      </x:c>
      <x:c r="J419" s="339" t="str">
        <x:v>Only an explicitly configured authorized override may bypass a non-statutory rule; overrides require reason and audit.</x:v>
      </x:c>
    </x:row>
    <x:row r="420">
      <x:c r="A420" s="339" t="str">
        <x:v>BR-00419</x:v>
      </x:c>
      <x:c r="B420" s="339" t="str">
        <x:v>Screen</x:v>
      </x:c>
      <x:c r="C420" s="339" t="str">
        <x:v>SCR-140</x:v>
      </x:c>
      <x:c r="D420" s="339" t="str">
        <x:v>Examinations / Marks / Results</x:v>
      </x:c>
      <x:c r="E420" s="339" t="str">
        <x:v>Exam Setup</x:v>
      </x:c>
      <x:c r="F420" s="339" t="str">
        <x:v>Examinations, Grading &amp; Results rule 2</x:v>
      </x:c>
      <x:c r="G420" s="339" t="str">
        <x:v>Result calculations use the grading/weightage configuration effective for that exam and academic period.</x:v>
      </x:c>
      <x:c r="H420" s="339" t="str">
        <x:v>Enforced in service/domain layer and reflected in UI validation/action availability.</x:v>
      </x:c>
      <x:c r="I420" s="339" t="str">
        <x:v>High</x:v>
      </x:c>
      <x:c r="J420" s="339" t="str">
        <x:v>Only an explicitly configured authorized override may bypass a non-statutory rule; overrides require reason and audit.</x:v>
      </x:c>
    </x:row>
    <x:row r="421">
      <x:c r="A421" s="339" t="str">
        <x:v>BR-00420</x:v>
      </x:c>
      <x:c r="B421" s="339" t="str">
        <x:v>Screen Type</x:v>
      </x:c>
      <x:c r="C421" s="339" t="str">
        <x:v>SCR-140</x:v>
      </x:c>
      <x:c r="D421" s="339" t="str">
        <x:v>Examinations / Marks / Results</x:v>
      </x:c>
      <x:c r="E421" s="339" t="str">
        <x:v>Exam Setup</x:v>
      </x:c>
      <x:c r="F421" s="339" t="str">
        <x:v>Create / Transaction integrity rule</x:v>
      </x:c>
      <x:c r="G421" s="339" t="str">
        <x:v>A record is created only after all blocking validations, duplicate checks and reference checks pass.</x:v>
      </x:c>
      <x:c r="H421" s="339" t="str">
        <x:v>Domain/service validation plus UI affordances.</x:v>
      </x:c>
      <x:c r="I421" s="339" t="str">
        <x:v>High</x:v>
      </x:c>
      <x:c r="J421" s="339" t="str">
        <x:v>No silent bypass; approved overrides must be separately authorized and audited.</x:v>
      </x:c>
    </x:row>
    <x:row r="422">
      <x:c r="A422" s="339" t="str">
        <x:v>BR-00421</x:v>
      </x:c>
      <x:c r="B422" s="339" t="str">
        <x:v>Screen</x:v>
      </x:c>
      <x:c r="C422" s="339" t="str">
        <x:v>SCR-141</x:v>
      </x:c>
      <x:c r="D422" s="339" t="str">
        <x:v>Examinations / Marks / Results</x:v>
      </x:c>
      <x:c r="E422" s="339" t="str">
        <x:v>Exam Schedule</x:v>
      </x:c>
      <x:c r="F422" s="339" t="str">
        <x:v>Examinations, Grading &amp; Results rule 1</x:v>
      </x:c>
      <x:c r="G422" s="339" t="str">
        <x:v>Result calculations use the grading/weightage configuration effective for that exam and academic period.</x:v>
      </x:c>
      <x:c r="H422" s="339" t="str">
        <x:v>Enforced in service/domain layer and reflected in UI validation/action availability.</x:v>
      </x:c>
      <x:c r="I422" s="339" t="str">
        <x:v>High</x:v>
      </x:c>
      <x:c r="J422" s="339" t="str">
        <x:v>Only an explicitly configured authorized override may bypass a non-statutory rule; overrides require reason and audit.</x:v>
      </x:c>
    </x:row>
    <x:row r="423">
      <x:c r="A423" s="339" t="str">
        <x:v>BR-00422</x:v>
      </x:c>
      <x:c r="B423" s="339" t="str">
        <x:v>Screen</x:v>
      </x:c>
      <x:c r="C423" s="339" t="str">
        <x:v>SCR-141</x:v>
      </x:c>
      <x:c r="D423" s="339" t="str">
        <x:v>Examinations / Marks / Results</x:v>
      </x:c>
      <x:c r="E423" s="339" t="str">
        <x:v>Exam Schedule</x:v>
      </x:c>
      <x:c r="F423" s="339" t="str">
        <x:v>Examinations, Grading &amp; Results rule 2</x:v>
      </x:c>
      <x:c r="G423" s="339" t="str">
        <x:v>Results cannot be published until required subjects/marks are complete and verification/approval gates pass.</x:v>
      </x:c>
      <x:c r="H423" s="339" t="str">
        <x:v>Enforced in service/domain layer and reflected in UI validation/action availability.</x:v>
      </x:c>
      <x:c r="I423" s="339" t="str">
        <x:v>High</x:v>
      </x:c>
      <x:c r="J423" s="339" t="str">
        <x:v>Only an explicitly configured authorized override may bypass a non-statutory rule; overrides require reason and audit.</x:v>
      </x:c>
    </x:row>
    <x:row r="424">
      <x:c r="A424" s="339" t="str">
        <x:v>BR-00423</x:v>
      </x:c>
      <x:c r="B424" s="339" t="str">
        <x:v>Screen Type</x:v>
      </x:c>
      <x:c r="C424" s="339" t="str">
        <x:v>SCR-141</x:v>
      </x:c>
      <x:c r="D424" s="339" t="str">
        <x:v>Examinations / Marks / Results</x:v>
      </x:c>
      <x:c r="E424" s="339" t="str">
        <x:v>Exam Schedule</x:v>
      </x:c>
      <x:c r="F424" s="339" t="str">
        <x:v>Calendar / Schedule integrity rule</x:v>
      </x:c>
      <x:c r="G424" s="339" t="str">
        <x:v>Conflicting active resource/time allocations are blocked or require explicit authorized override.</x:v>
      </x:c>
      <x:c r="H424" s="339" t="str">
        <x:v>Domain/service validation plus UI affordances.</x:v>
      </x:c>
      <x:c r="I424" s="339" t="str">
        <x:v>High</x:v>
      </x:c>
      <x:c r="J424" s="339" t="str">
        <x:v>No silent bypass; approved overrides must be separately authorized and audited.</x:v>
      </x:c>
    </x:row>
    <x:row r="425">
      <x:c r="A425" s="339" t="str">
        <x:v>BR-00424</x:v>
      </x:c>
      <x:c r="B425" s="339" t="str">
        <x:v>Screen</x:v>
      </x:c>
      <x:c r="C425" s="339" t="str">
        <x:v>SCR-142</x:v>
      </x:c>
      <x:c r="D425" s="339" t="str">
        <x:v>Examinations / Marks / Results</x:v>
      </x:c>
      <x:c r="E425" s="339" t="str">
        <x:v>Hall / Room Allocation</x:v>
      </x:c>
      <x:c r="F425" s="339" t="str">
        <x:v>Examinations, Grading &amp; Results rule 1</x:v>
      </x:c>
      <x:c r="G425" s="339" t="str">
        <x:v>Results cannot be published until required subjects/marks are complete and verification/approval gates pass.</x:v>
      </x:c>
      <x:c r="H425" s="339" t="str">
        <x:v>Enforced in service/domain layer and reflected in UI validation/action availability.</x:v>
      </x:c>
      <x:c r="I425" s="339" t="str">
        <x:v>High</x:v>
      </x:c>
      <x:c r="J425" s="339" t="str">
        <x:v>Only an explicitly configured authorized override may bypass a non-statutory rule; overrides require reason and audit.</x:v>
      </x:c>
    </x:row>
    <x:row r="426">
      <x:c r="A426" s="339" t="str">
        <x:v>BR-00425</x:v>
      </x:c>
      <x:c r="B426" s="339" t="str">
        <x:v>Screen</x:v>
      </x:c>
      <x:c r="C426" s="339" t="str">
        <x:v>SCR-142</x:v>
      </x:c>
      <x:c r="D426" s="339" t="str">
        <x:v>Examinations / Marks / Results</x:v>
      </x:c>
      <x:c r="E426" s="339" t="str">
        <x:v>Hall / Room Allocation</x:v>
      </x:c>
      <x:c r="F426" s="339" t="str">
        <x:v>Examinations, Grading &amp; Results rule 2</x:v>
      </x:c>
      <x:c r="G426" s="339" t="str">
        <x:v>Published results are immutable to normal users; corrections require an authorized revision workflow.</x:v>
      </x:c>
      <x:c r="H426" s="339" t="str">
        <x:v>Enforced in service/domain layer and reflected in UI validation/action availability.</x:v>
      </x:c>
      <x:c r="I426" s="339" t="str">
        <x:v>High</x:v>
      </x:c>
      <x:c r="J426" s="339" t="str">
        <x:v>Only an explicitly configured authorized override may bypass a non-statutory rule; overrides require reason and audit.</x:v>
      </x:c>
    </x:row>
    <x:row r="427">
      <x:c r="A427" s="339" t="str">
        <x:v>BR-00426</x:v>
      </x:c>
      <x:c r="B427" s="339" t="str">
        <x:v>Screen Type</x:v>
      </x:c>
      <x:c r="C427" s="339" t="str">
        <x:v>SCR-142</x:v>
      </x:c>
      <x:c r="D427" s="339" t="str">
        <x:v>Examinations / Marks / Results</x:v>
      </x:c>
      <x:c r="E427" s="339" t="str">
        <x:v>Hall / Room Allocation</x:v>
      </x:c>
      <x:c r="F427" s="339" t="str">
        <x:v>Workflow / Management integrity rule</x:v>
      </x:c>
      <x:c r="G427" s="339" t="str">
        <x:v>State transitions are explicit, role-controlled and auditable; invalid transitions are rejected.</x:v>
      </x:c>
      <x:c r="H427" s="339" t="str">
        <x:v>Domain/service validation plus UI affordances.</x:v>
      </x:c>
      <x:c r="I427" s="339" t="str">
        <x:v>High</x:v>
      </x:c>
      <x:c r="J427" s="339" t="str">
        <x:v>No silent bypass; approved overrides must be separately authorized and audited.</x:v>
      </x:c>
    </x:row>
    <x:row r="428">
      <x:c r="A428" s="339" t="str">
        <x:v>BR-00427</x:v>
      </x:c>
      <x:c r="B428" s="339" t="str">
        <x:v>Screen</x:v>
      </x:c>
      <x:c r="C428" s="339" t="str">
        <x:v>SCR-143</x:v>
      </x:c>
      <x:c r="D428" s="339" t="str">
        <x:v>Examinations / Marks / Results</x:v>
      </x:c>
      <x:c r="E428" s="339" t="str">
        <x:v>Invigilation Assignment</x:v>
      </x:c>
      <x:c r="F428" s="339" t="str">
        <x:v>Examinations, Grading &amp; Results rule 1</x:v>
      </x:c>
      <x:c r="G428" s="339" t="str">
        <x:v>Published results are immutable to normal users; corrections require an authorized revision workflow.</x:v>
      </x:c>
      <x:c r="H428" s="339" t="str">
        <x:v>Enforced in service/domain layer and reflected in UI validation/action availability.</x:v>
      </x:c>
      <x:c r="I428" s="339" t="str">
        <x:v>High</x:v>
      </x:c>
      <x:c r="J428" s="339" t="str">
        <x:v>Only an explicitly configured authorized override may bypass a non-statutory rule; overrides require reason and audit.</x:v>
      </x:c>
    </x:row>
    <x:row r="429">
      <x:c r="A429" s="339" t="str">
        <x:v>BR-00428</x:v>
      </x:c>
      <x:c r="B429" s="339" t="str">
        <x:v>Screen</x:v>
      </x:c>
      <x:c r="C429" s="339" t="str">
        <x:v>SCR-143</x:v>
      </x:c>
      <x:c r="D429" s="339" t="str">
        <x:v>Examinations / Marks / Results</x:v>
      </x:c>
      <x:c r="E429" s="339" t="str">
        <x:v>Invigilation Assignment</x:v>
      </x:c>
      <x:c r="F429" s="339" t="str">
        <x:v>Examinations, Grading &amp; Results rule 2</x:v>
      </x:c>
      <x:c r="G429" s="339" t="str">
        <x:v>Report-card totals must reconcile with stored subject components and weighting rules.</x:v>
      </x:c>
      <x:c r="H429" s="339" t="str">
        <x:v>Enforced in service/domain layer and reflected in UI validation/action availability.</x:v>
      </x:c>
      <x:c r="I429" s="339" t="str">
        <x:v>High</x:v>
      </x:c>
      <x:c r="J429" s="339" t="str">
        <x:v>Only an explicitly configured authorized override may bypass a non-statutory rule; overrides require reason and audit.</x:v>
      </x:c>
    </x:row>
    <x:row r="430">
      <x:c r="A430" s="339" t="str">
        <x:v>BR-00429</x:v>
      </x:c>
      <x:c r="B430" s="339" t="str">
        <x:v>Screen Type</x:v>
      </x:c>
      <x:c r="C430" s="339" t="str">
        <x:v>SCR-143</x:v>
      </x:c>
      <x:c r="D430" s="339" t="str">
        <x:v>Examinations / Marks / Results</x:v>
      </x:c>
      <x:c r="E430" s="339" t="str">
        <x:v>Invigilation Assignment</x:v>
      </x:c>
      <x:c r="F430" s="339" t="str">
        <x:v>Workflow / Management integrity rule</x:v>
      </x:c>
      <x:c r="G430" s="339" t="str">
        <x:v>State transitions are explicit, role-controlled and auditable; invalid transitions are rejected.</x:v>
      </x:c>
      <x:c r="H430" s="339" t="str">
        <x:v>Domain/service validation plus UI affordances.</x:v>
      </x:c>
      <x:c r="I430" s="339" t="str">
        <x:v>High</x:v>
      </x:c>
      <x:c r="J430" s="339" t="str">
        <x:v>No silent bypass; approved overrides must be separately authorized and audited.</x:v>
      </x:c>
    </x:row>
    <x:row r="431">
      <x:c r="A431" s="339" t="str">
        <x:v>BR-00430</x:v>
      </x:c>
      <x:c r="B431" s="339" t="str">
        <x:v>Screen</x:v>
      </x:c>
      <x:c r="C431" s="339" t="str">
        <x:v>SCR-144</x:v>
      </x:c>
      <x:c r="D431" s="339" t="str">
        <x:v>Examinations / Marks / Results</x:v>
      </x:c>
      <x:c r="E431" s="339" t="str">
        <x:v>Admit Card</x:v>
      </x:c>
      <x:c r="F431" s="339" t="str">
        <x:v>Examinations, Grading &amp; Results rule 1</x:v>
      </x:c>
      <x:c r="G431" s="339" t="str">
        <x:v>Report-card totals must reconcile with stored subject components and weighting rules.</x:v>
      </x:c>
      <x:c r="H431" s="339" t="str">
        <x:v>Enforced in service/domain layer and reflected in UI validation/action availability.</x:v>
      </x:c>
      <x:c r="I431" s="339" t="str">
        <x:v>High</x:v>
      </x:c>
      <x:c r="J431" s="339" t="str">
        <x:v>Only an explicitly configured authorized override may bypass a non-statutory rule; overrides require reason and audit.</x:v>
      </x:c>
    </x:row>
    <x:row r="432">
      <x:c r="A432" s="339" t="str">
        <x:v>BR-00431</x:v>
      </x:c>
      <x:c r="B432" s="339" t="str">
        <x:v>Screen</x:v>
      </x:c>
      <x:c r="C432" s="339" t="str">
        <x:v>SCR-144</x:v>
      </x:c>
      <x:c r="D432" s="339" t="str">
        <x:v>Examinations / Marks / Results</x:v>
      </x:c>
      <x:c r="E432" s="339" t="str">
        <x:v>Admit Card</x:v>
      </x:c>
      <x:c r="F432" s="339" t="str">
        <x:v>Examinations, Grading &amp; Results rule 2</x:v>
      </x:c>
      <x:c r="G432" s="339" t="str">
        <x:v>Marks must be within configured min/max ranges; absence and exemption are represented as statuses, not invalid numeric marks.</x:v>
      </x:c>
      <x:c r="H432" s="339" t="str">
        <x:v>Enforced in service/domain layer and reflected in UI validation/action availability.</x:v>
      </x:c>
      <x:c r="I432" s="339" t="str">
        <x:v>High</x:v>
      </x:c>
      <x:c r="J432" s="339" t="str">
        <x:v>Only an explicitly configured authorized override may bypass a non-statutory rule; overrides require reason and audit.</x:v>
      </x:c>
    </x:row>
    <x:row r="433">
      <x:c r="A433" s="339" t="str">
        <x:v>BR-00432</x:v>
      </x:c>
      <x:c r="B433" s="339" t="str">
        <x:v>Screen Type</x:v>
      </x:c>
      <x:c r="C433" s="339" t="str">
        <x:v>SCR-144</x:v>
      </x:c>
      <x:c r="D433" s="339" t="str">
        <x:v>Examinations / Marks / Results</x:v>
      </x:c>
      <x:c r="E433" s="339" t="str">
        <x:v>Admit Card</x:v>
      </x:c>
      <x:c r="F433" s="339" t="str">
        <x:v>Workflow / Management integrity rule</x:v>
      </x:c>
      <x:c r="G433" s="339" t="str">
        <x:v>State transitions are explicit, role-controlled and auditable; invalid transitions are rejected.</x:v>
      </x:c>
      <x:c r="H433" s="339" t="str">
        <x:v>Domain/service validation plus UI affordances.</x:v>
      </x:c>
      <x:c r="I433" s="339" t="str">
        <x:v>High</x:v>
      </x:c>
      <x:c r="J433" s="339" t="str">
        <x:v>No silent bypass; approved overrides must be separately authorized and audited.</x:v>
      </x:c>
    </x:row>
    <x:row r="434">
      <x:c r="A434" s="339" t="str">
        <x:v>BR-00433</x:v>
      </x:c>
      <x:c r="B434" s="339" t="str">
        <x:v>Screen</x:v>
      </x:c>
      <x:c r="C434" s="339" t="str">
        <x:v>SCR-145</x:v>
      </x:c>
      <x:c r="D434" s="339" t="str">
        <x:v>Examinations / Marks / Results</x:v>
      </x:c>
      <x:c r="E434" s="339" t="str">
        <x:v>Marks Entry</x:v>
      </x:c>
      <x:c r="F434" s="339" t="str">
        <x:v>Examinations, Grading &amp; Results rule 1</x:v>
      </x:c>
      <x:c r="G434" s="339" t="str">
        <x:v>Marks must be within configured min/max ranges; absence and exemption are represented as statuses, not invalid numeric marks.</x:v>
      </x:c>
      <x:c r="H434" s="339" t="str">
        <x:v>Enforced in service/domain layer and reflected in UI validation/action availability.</x:v>
      </x:c>
      <x:c r="I434" s="339" t="str">
        <x:v>High</x:v>
      </x:c>
      <x:c r="J434" s="339" t="str">
        <x:v>Only an explicitly configured authorized override may bypass a non-statutory rule; overrides require reason and audit.</x:v>
      </x:c>
    </x:row>
    <x:row r="435">
      <x:c r="A435" s="339" t="str">
        <x:v>BR-00434</x:v>
      </x:c>
      <x:c r="B435" s="339" t="str">
        <x:v>Screen</x:v>
      </x:c>
      <x:c r="C435" s="339" t="str">
        <x:v>SCR-145</x:v>
      </x:c>
      <x:c r="D435" s="339" t="str">
        <x:v>Examinations / Marks / Results</x:v>
      </x:c>
      <x:c r="E435" s="339" t="str">
        <x:v>Marks Entry</x:v>
      </x:c>
      <x:c r="F435" s="339" t="str">
        <x:v>Examinations, Grading &amp; Results rule 2</x:v>
      </x:c>
      <x:c r="G435" s="339" t="str">
        <x:v>Result calculations use the grading/weightage configuration effective for that exam and academic period.</x:v>
      </x:c>
      <x:c r="H435" s="339" t="str">
        <x:v>Enforced in service/domain layer and reflected in UI validation/action availability.</x:v>
      </x:c>
      <x:c r="I435" s="339" t="str">
        <x:v>High</x:v>
      </x:c>
      <x:c r="J435" s="339" t="str">
        <x:v>Only an explicitly configured authorized override may bypass a non-statutory rule; overrides require reason and audit.</x:v>
      </x:c>
    </x:row>
    <x:row r="436">
      <x:c r="A436" s="339" t="str">
        <x:v>BR-00435</x:v>
      </x:c>
      <x:c r="B436" s="339" t="str">
        <x:v>Screen Type</x:v>
      </x:c>
      <x:c r="C436" s="339" t="str">
        <x:v>SCR-145</x:v>
      </x:c>
      <x:c r="D436" s="339" t="str">
        <x:v>Examinations / Marks / Results</x:v>
      </x:c>
      <x:c r="E436" s="339" t="str">
        <x:v>Marks Entry</x:v>
      </x:c>
      <x:c r="F436" s="339" t="str">
        <x:v>Create / Transaction integrity rule</x:v>
      </x:c>
      <x:c r="G436" s="339" t="str">
        <x:v>A record is created only after all blocking validations, duplicate checks and reference checks pass.</x:v>
      </x:c>
      <x:c r="H436" s="339" t="str">
        <x:v>Domain/service validation plus UI affordances.</x:v>
      </x:c>
      <x:c r="I436" s="339" t="str">
        <x:v>High</x:v>
      </x:c>
      <x:c r="J436" s="339" t="str">
        <x:v>No silent bypass; approved overrides must be separately authorized and audited.</x:v>
      </x:c>
    </x:row>
    <x:row r="437">
      <x:c r="A437" s="339" t="str">
        <x:v>BR-00436</x:v>
      </x:c>
      <x:c r="B437" s="339" t="str">
        <x:v>Screen</x:v>
      </x:c>
      <x:c r="C437" s="339" t="str">
        <x:v>SCR-146</x:v>
      </x:c>
      <x:c r="D437" s="339" t="str">
        <x:v>Examinations / Marks / Results</x:v>
      </x:c>
      <x:c r="E437" s="339" t="str">
        <x:v>Practical / Internal Marks</x:v>
      </x:c>
      <x:c r="F437" s="339" t="str">
        <x:v>Examinations, Grading &amp; Results rule 1</x:v>
      </x:c>
      <x:c r="G437" s="339" t="str">
        <x:v>Result calculations use the grading/weightage configuration effective for that exam and academic period.</x:v>
      </x:c>
      <x:c r="H437" s="339" t="str">
        <x:v>Enforced in service/domain layer and reflected in UI validation/action availability.</x:v>
      </x:c>
      <x:c r="I437" s="339" t="str">
        <x:v>High</x:v>
      </x:c>
      <x:c r="J437" s="339" t="str">
        <x:v>Only an explicitly configured authorized override may bypass a non-statutory rule; overrides require reason and audit.</x:v>
      </x:c>
    </x:row>
    <x:row r="438">
      <x:c r="A438" s="339" t="str">
        <x:v>BR-00437</x:v>
      </x:c>
      <x:c r="B438" s="339" t="str">
        <x:v>Screen</x:v>
      </x:c>
      <x:c r="C438" s="339" t="str">
        <x:v>SCR-146</x:v>
      </x:c>
      <x:c r="D438" s="339" t="str">
        <x:v>Examinations / Marks / Results</x:v>
      </x:c>
      <x:c r="E438" s="339" t="str">
        <x:v>Practical / Internal Marks</x:v>
      </x:c>
      <x:c r="F438" s="339" t="str">
        <x:v>Examinations, Grading &amp; Results rule 2</x:v>
      </x:c>
      <x:c r="G438" s="339" t="str">
        <x:v>Results cannot be published until required subjects/marks are complete and verification/approval gates pass.</x:v>
      </x:c>
      <x:c r="H438" s="339" t="str">
        <x:v>Enforced in service/domain layer and reflected in UI validation/action availability.</x:v>
      </x:c>
      <x:c r="I438" s="339" t="str">
        <x:v>High</x:v>
      </x:c>
      <x:c r="J438" s="339" t="str">
        <x:v>Only an explicitly configured authorized override may bypass a non-statutory rule; overrides require reason and audit.</x:v>
      </x:c>
    </x:row>
    <x:row r="439">
      <x:c r="A439" s="339" t="str">
        <x:v>BR-00438</x:v>
      </x:c>
      <x:c r="B439" s="339" t="str">
        <x:v>Screen Type</x:v>
      </x:c>
      <x:c r="C439" s="339" t="str">
        <x:v>SCR-146</x:v>
      </x:c>
      <x:c r="D439" s="339" t="str">
        <x:v>Examinations / Marks / Results</x:v>
      </x:c>
      <x:c r="E439" s="339" t="str">
        <x:v>Practical / Internal Marks</x:v>
      </x:c>
      <x:c r="F439" s="339" t="str">
        <x:v>Workflow / Management integrity rule</x:v>
      </x:c>
      <x:c r="G439" s="339" t="str">
        <x:v>State transitions are explicit, role-controlled and auditable; invalid transitions are rejected.</x:v>
      </x:c>
      <x:c r="H439" s="339" t="str">
        <x:v>Domain/service validation plus UI affordances.</x:v>
      </x:c>
      <x:c r="I439" s="339" t="str">
        <x:v>High</x:v>
      </x:c>
      <x:c r="J439" s="339" t="str">
        <x:v>No silent bypass; approved overrides must be separately authorized and audited.</x:v>
      </x:c>
    </x:row>
    <x:row r="440">
      <x:c r="A440" s="339" t="str">
        <x:v>BR-00439</x:v>
      </x:c>
      <x:c r="B440" s="339" t="str">
        <x:v>Screen</x:v>
      </x:c>
      <x:c r="C440" s="339" t="str">
        <x:v>SCR-147</x:v>
      </x:c>
      <x:c r="D440" s="339" t="str">
        <x:v>Examinations / Marks / Results</x:v>
      </x:c>
      <x:c r="E440" s="339" t="str">
        <x:v>Bulk Marks Import</x:v>
      </x:c>
      <x:c r="F440" s="339" t="str">
        <x:v>Examinations, Grading &amp; Results rule 1</x:v>
      </x:c>
      <x:c r="G440" s="339" t="str">
        <x:v>Results cannot be published until required subjects/marks are complete and verification/approval gates pass.</x:v>
      </x:c>
      <x:c r="H440" s="339" t="str">
        <x:v>Enforced in service/domain layer and reflected in UI validation/action availability.</x:v>
      </x:c>
      <x:c r="I440" s="339" t="str">
        <x:v>High</x:v>
      </x:c>
      <x:c r="J440" s="339" t="str">
        <x:v>Only an explicitly configured authorized override may bypass a non-statutory rule; overrides require reason and audit.</x:v>
      </x:c>
    </x:row>
    <x:row r="441">
      <x:c r="A441" s="339" t="str">
        <x:v>BR-00440</x:v>
      </x:c>
      <x:c r="B441" s="339" t="str">
        <x:v>Screen</x:v>
      </x:c>
      <x:c r="C441" s="339" t="str">
        <x:v>SCR-147</x:v>
      </x:c>
      <x:c r="D441" s="339" t="str">
        <x:v>Examinations / Marks / Results</x:v>
      </x:c>
      <x:c r="E441" s="339" t="str">
        <x:v>Bulk Marks Import</x:v>
      </x:c>
      <x:c r="F441" s="339" t="str">
        <x:v>Examinations, Grading &amp; Results rule 2</x:v>
      </x:c>
      <x:c r="G441" s="339" t="str">
        <x:v>Published results are immutable to normal users; corrections require an authorized revision workflow.</x:v>
      </x:c>
      <x:c r="H441" s="339" t="str">
        <x:v>Enforced in service/domain layer and reflected in UI validation/action availability.</x:v>
      </x:c>
      <x:c r="I441" s="339" t="str">
        <x:v>High</x:v>
      </x:c>
      <x:c r="J441" s="339" t="str">
        <x:v>Only an explicitly configured authorized override may bypass a non-statutory rule; overrides require reason and audit.</x:v>
      </x:c>
    </x:row>
    <x:row r="442">
      <x:c r="A442" s="339" t="str">
        <x:v>BR-00441</x:v>
      </x:c>
      <x:c r="B442" s="339" t="str">
        <x:v>Screen Type</x:v>
      </x:c>
      <x:c r="C442" s="339" t="str">
        <x:v>SCR-147</x:v>
      </x:c>
      <x:c r="D442" s="339" t="str">
        <x:v>Examinations / Marks / Results</x:v>
      </x:c>
      <x:c r="E442" s="339" t="str">
        <x:v>Bulk Marks Import</x:v>
      </x:c>
      <x:c r="F442" s="339" t="str">
        <x:v>Workflow / Management integrity rule</x:v>
      </x:c>
      <x:c r="G442" s="339" t="str">
        <x:v>State transitions are explicit, role-controlled and auditable; invalid transitions are rejected.</x:v>
      </x:c>
      <x:c r="H442" s="339" t="str">
        <x:v>Domain/service validation plus UI affordances.</x:v>
      </x:c>
      <x:c r="I442" s="339" t="str">
        <x:v>High</x:v>
      </x:c>
      <x:c r="J442" s="339" t="str">
        <x:v>No silent bypass; approved overrides must be separately authorized and audited.</x:v>
      </x:c>
    </x:row>
    <x:row r="443">
      <x:c r="A443" s="339" t="str">
        <x:v>BR-00442</x:v>
      </x:c>
      <x:c r="B443" s="339" t="str">
        <x:v>Screen</x:v>
      </x:c>
      <x:c r="C443" s="339" t="str">
        <x:v>SCR-148</x:v>
      </x:c>
      <x:c r="D443" s="339" t="str">
        <x:v>Examinations / Marks / Results</x:v>
      </x:c>
      <x:c r="E443" s="339" t="str">
        <x:v>Marks Verification</x:v>
      </x:c>
      <x:c r="F443" s="339" t="str">
        <x:v>Examinations, Grading &amp; Results rule 1</x:v>
      </x:c>
      <x:c r="G443" s="339" t="str">
        <x:v>Published results are immutable to normal users; corrections require an authorized revision workflow.</x:v>
      </x:c>
      <x:c r="H443" s="339" t="str">
        <x:v>Enforced in service/domain layer and reflected in UI validation/action availability.</x:v>
      </x:c>
      <x:c r="I443" s="339" t="str">
        <x:v>High</x:v>
      </x:c>
      <x:c r="J443" s="339" t="str">
        <x:v>Only an explicitly configured authorized override may bypass a non-statutory rule; overrides require reason and audit.</x:v>
      </x:c>
    </x:row>
    <x:row r="444">
      <x:c r="A444" s="339" t="str">
        <x:v>BR-00443</x:v>
      </x:c>
      <x:c r="B444" s="339" t="str">
        <x:v>Screen</x:v>
      </x:c>
      <x:c r="C444" s="339" t="str">
        <x:v>SCR-148</x:v>
      </x:c>
      <x:c r="D444" s="339" t="str">
        <x:v>Examinations / Marks / Results</x:v>
      </x:c>
      <x:c r="E444" s="339" t="str">
        <x:v>Marks Verification</x:v>
      </x:c>
      <x:c r="F444" s="339" t="str">
        <x:v>Examinations, Grading &amp; Results rule 2</x:v>
      </x:c>
      <x:c r="G444" s="339" t="str">
        <x:v>Report-card totals must reconcile with stored subject components and weighting rules.</x:v>
      </x:c>
      <x:c r="H444" s="339" t="str">
        <x:v>Enforced in service/domain layer and reflected in UI validation/action availability.</x:v>
      </x:c>
      <x:c r="I444" s="339" t="str">
        <x:v>High</x:v>
      </x:c>
      <x:c r="J444" s="339" t="str">
        <x:v>Only an explicitly configured authorized override may bypass a non-statutory rule; overrides require reason and audit.</x:v>
      </x:c>
    </x:row>
    <x:row r="445">
      <x:c r="A445" s="339" t="str">
        <x:v>BR-00444</x:v>
      </x:c>
      <x:c r="B445" s="339" t="str">
        <x:v>Screen Type</x:v>
      </x:c>
      <x:c r="C445" s="339" t="str">
        <x:v>SCR-148</x:v>
      </x:c>
      <x:c r="D445" s="339" t="str">
        <x:v>Examinations / Marks / Results</x:v>
      </x:c>
      <x:c r="E445" s="339" t="str">
        <x:v>Marks Verification</x:v>
      </x:c>
      <x:c r="F445" s="339" t="str">
        <x:v>Workflow / Management integrity rule</x:v>
      </x:c>
      <x:c r="G445" s="339" t="str">
        <x:v>State transitions are explicit, role-controlled and auditable; invalid transitions are rejected.</x:v>
      </x:c>
      <x:c r="H445" s="339" t="str">
        <x:v>Domain/service validation plus UI affordances.</x:v>
      </x:c>
      <x:c r="I445" s="339" t="str">
        <x:v>High</x:v>
      </x:c>
      <x:c r="J445" s="339" t="str">
        <x:v>No silent bypass; approved overrides must be separately authorized and audited.</x:v>
      </x:c>
    </x:row>
    <x:row r="446">
      <x:c r="A446" s="339" t="str">
        <x:v>BR-00445</x:v>
      </x:c>
      <x:c r="B446" s="339" t="str">
        <x:v>Screen</x:v>
      </x:c>
      <x:c r="C446" s="339" t="str">
        <x:v>SCR-149</x:v>
      </x:c>
      <x:c r="D446" s="339" t="str">
        <x:v>Examinations / Marks / Results</x:v>
      </x:c>
      <x:c r="E446" s="339" t="str">
        <x:v>Grade / Grading Setup</x:v>
      </x:c>
      <x:c r="F446" s="339" t="str">
        <x:v>Examinations, Grading &amp; Results rule 1</x:v>
      </x:c>
      <x:c r="G446" s="339" t="str">
        <x:v>Report-card totals must reconcile with stored subject components and weighting rules.</x:v>
      </x:c>
      <x:c r="H446" s="339" t="str">
        <x:v>Enforced in service/domain layer and reflected in UI validation/action availability.</x:v>
      </x:c>
      <x:c r="I446" s="339" t="str">
        <x:v>High</x:v>
      </x:c>
      <x:c r="J446" s="339" t="str">
        <x:v>Only an explicitly configured authorized override may bypass a non-statutory rule; overrides require reason and audit.</x:v>
      </x:c>
    </x:row>
    <x:row r="447">
      <x:c r="A447" s="339" t="str">
        <x:v>BR-00446</x:v>
      </x:c>
      <x:c r="B447" s="339" t="str">
        <x:v>Screen</x:v>
      </x:c>
      <x:c r="C447" s="339" t="str">
        <x:v>SCR-149</x:v>
      </x:c>
      <x:c r="D447" s="339" t="str">
        <x:v>Examinations / Marks / Results</x:v>
      </x:c>
      <x:c r="E447" s="339" t="str">
        <x:v>Grade / Grading Setup</x:v>
      </x:c>
      <x:c r="F447" s="339" t="str">
        <x:v>Examinations, Grading &amp; Results rule 2</x:v>
      </x:c>
      <x:c r="G447" s="339" t="str">
        <x:v>Marks must be within configured min/max ranges; absence and exemption are represented as statuses, not invalid numeric marks.</x:v>
      </x:c>
      <x:c r="H447" s="339" t="str">
        <x:v>Enforced in service/domain layer and reflected in UI validation/action availability.</x:v>
      </x:c>
      <x:c r="I447" s="339" t="str">
        <x:v>High</x:v>
      </x:c>
      <x:c r="J447" s="339" t="str">
        <x:v>Only an explicitly configured authorized override may bypass a non-statutory rule; overrides require reason and audit.</x:v>
      </x:c>
    </x:row>
    <x:row r="448">
      <x:c r="A448" s="339" t="str">
        <x:v>BR-00447</x:v>
      </x:c>
      <x:c r="B448" s="339" t="str">
        <x:v>Screen Type</x:v>
      </x:c>
      <x:c r="C448" s="339" t="str">
        <x:v>SCR-149</x:v>
      </x:c>
      <x:c r="D448" s="339" t="str">
        <x:v>Examinations / Marks / Results</x:v>
      </x:c>
      <x:c r="E448" s="339" t="str">
        <x:v>Grade / Grading Setup</x:v>
      </x:c>
      <x:c r="F448" s="339" t="str">
        <x:v>Create / Transaction integrity rule</x:v>
      </x:c>
      <x:c r="G448" s="339" t="str">
        <x:v>A record is created only after all blocking validations, duplicate checks and reference checks pass.</x:v>
      </x:c>
      <x:c r="H448" s="339" t="str">
        <x:v>Domain/service validation plus UI affordances.</x:v>
      </x:c>
      <x:c r="I448" s="339" t="str">
        <x:v>High</x:v>
      </x:c>
      <x:c r="J448" s="339" t="str">
        <x:v>No silent bypass; approved overrides must be separately authorized and audited.</x:v>
      </x:c>
    </x:row>
    <x:row r="449">
      <x:c r="A449" s="339" t="str">
        <x:v>BR-00448</x:v>
      </x:c>
      <x:c r="B449" s="339" t="str">
        <x:v>Screen</x:v>
      </x:c>
      <x:c r="C449" s="339" t="str">
        <x:v>SCR-150</x:v>
      </x:c>
      <x:c r="D449" s="339" t="str">
        <x:v>Examinations / Marks / Results</x:v>
      </x:c>
      <x:c r="E449" s="339" t="str">
        <x:v>Publish Results</x:v>
      </x:c>
      <x:c r="F449" s="339" t="str">
        <x:v>Examinations, Grading &amp; Results rule 1</x:v>
      </x:c>
      <x:c r="G449" s="339" t="str">
        <x:v>Marks must be within configured min/max ranges; absence and exemption are represented as statuses, not invalid numeric marks.</x:v>
      </x:c>
      <x:c r="H449" s="339" t="str">
        <x:v>Enforced in service/domain layer and reflected in UI validation/action availability.</x:v>
      </x:c>
      <x:c r="I449" s="339" t="str">
        <x:v>High</x:v>
      </x:c>
      <x:c r="J449" s="339" t="str">
        <x:v>Only an explicitly configured authorized override may bypass a non-statutory rule; overrides require reason and audit.</x:v>
      </x:c>
    </x:row>
    <x:row r="450">
      <x:c r="A450" s="339" t="str">
        <x:v>BR-00449</x:v>
      </x:c>
      <x:c r="B450" s="339" t="str">
        <x:v>Screen</x:v>
      </x:c>
      <x:c r="C450" s="339" t="str">
        <x:v>SCR-150</x:v>
      </x:c>
      <x:c r="D450" s="339" t="str">
        <x:v>Examinations / Marks / Results</x:v>
      </x:c>
      <x:c r="E450" s="339" t="str">
        <x:v>Publish Results</x:v>
      </x:c>
      <x:c r="F450" s="339" t="str">
        <x:v>Examinations, Grading &amp; Results rule 2</x:v>
      </x:c>
      <x:c r="G450" s="339" t="str">
        <x:v>Result calculations use the grading/weightage configuration effective for that exam and academic period.</x:v>
      </x:c>
      <x:c r="H450" s="339" t="str">
        <x:v>Enforced in service/domain layer and reflected in UI validation/action availability.</x:v>
      </x:c>
      <x:c r="I450" s="339" t="str">
        <x:v>High</x:v>
      </x:c>
      <x:c r="J450" s="339" t="str">
        <x:v>Only an explicitly configured authorized override may bypass a non-statutory rule; overrides require reason and audit.</x:v>
      </x:c>
    </x:row>
    <x:row r="451">
      <x:c r="A451" s="339" t="str">
        <x:v>BR-00450</x:v>
      </x:c>
      <x:c r="B451" s="339" t="str">
        <x:v>Screen Type</x:v>
      </x:c>
      <x:c r="C451" s="339" t="str">
        <x:v>SCR-150</x:v>
      </x:c>
      <x:c r="D451" s="339" t="str">
        <x:v>Examinations / Marks / Results</x:v>
      </x:c>
      <x:c r="E451" s="339" t="str">
        <x:v>Publish Results</x:v>
      </x:c>
      <x:c r="F451" s="339" t="str">
        <x:v>Detail / Profile integrity rule</x:v>
      </x:c>
      <x:c r="G451" s="339" t="str">
        <x:v>Concurrent updates must not silently overwrite newer data; material edits are audited.</x:v>
      </x:c>
      <x:c r="H451" s="339" t="str">
        <x:v>Domain/service validation plus UI affordances.</x:v>
      </x:c>
      <x:c r="I451" s="339" t="str">
        <x:v>High</x:v>
      </x:c>
      <x:c r="J451" s="339" t="str">
        <x:v>No silent bypass; approved overrides must be separately authorized and audited.</x:v>
      </x:c>
    </x:row>
    <x:row r="452">
      <x:c r="A452" s="339" t="str">
        <x:v>BR-00451</x:v>
      </x:c>
      <x:c r="B452" s="339" t="str">
        <x:v>Screen</x:v>
      </x:c>
      <x:c r="C452" s="339" t="str">
        <x:v>SCR-151</x:v>
      </x:c>
      <x:c r="D452" s="339" t="str">
        <x:v>Examinations / Marks / Results</x:v>
      </x:c>
      <x:c r="E452" s="339" t="str">
        <x:v>Student Result</x:v>
      </x:c>
      <x:c r="F452" s="339" t="str">
        <x:v>Examinations, Grading &amp; Results rule 1</x:v>
      </x:c>
      <x:c r="G452" s="339" t="str">
        <x:v>Result calculations use the grading/weightage configuration effective for that exam and academic period.</x:v>
      </x:c>
      <x:c r="H452" s="339" t="str">
        <x:v>Enforced in service/domain layer and reflected in UI validation/action availability.</x:v>
      </x:c>
      <x:c r="I452" s="339" t="str">
        <x:v>High</x:v>
      </x:c>
      <x:c r="J452" s="339" t="str">
        <x:v>Only an explicitly configured authorized override may bypass a non-statutory rule; overrides require reason and audit.</x:v>
      </x:c>
    </x:row>
    <x:row r="453">
      <x:c r="A453" s="339" t="str">
        <x:v>BR-00452</x:v>
      </x:c>
      <x:c r="B453" s="339" t="str">
        <x:v>Screen</x:v>
      </x:c>
      <x:c r="C453" s="339" t="str">
        <x:v>SCR-151</x:v>
      </x:c>
      <x:c r="D453" s="339" t="str">
        <x:v>Examinations / Marks / Results</x:v>
      </x:c>
      <x:c r="E453" s="339" t="str">
        <x:v>Student Result</x:v>
      </x:c>
      <x:c r="F453" s="339" t="str">
        <x:v>Examinations, Grading &amp; Results rule 2</x:v>
      </x:c>
      <x:c r="G453" s="339" t="str">
        <x:v>Results cannot be published until required subjects/marks are complete and verification/approval gates pass.</x:v>
      </x:c>
      <x:c r="H453" s="339" t="str">
        <x:v>Enforced in service/domain layer and reflected in UI validation/action availability.</x:v>
      </x:c>
      <x:c r="I453" s="339" t="str">
        <x:v>High</x:v>
      </x:c>
      <x:c r="J453" s="339" t="str">
        <x:v>Only an explicitly configured authorized override may bypass a non-statutory rule; overrides require reason and audit.</x:v>
      </x:c>
    </x:row>
    <x:row r="454">
      <x:c r="A454" s="339" t="str">
        <x:v>BR-00453</x:v>
      </x:c>
      <x:c r="B454" s="339" t="str">
        <x:v>Screen Type</x:v>
      </x:c>
      <x:c r="C454" s="339" t="str">
        <x:v>SCR-151</x:v>
      </x:c>
      <x:c r="D454" s="339" t="str">
        <x:v>Examinations / Marks / Results</x:v>
      </x:c>
      <x:c r="E454" s="339" t="str">
        <x:v>Student Result</x:v>
      </x:c>
      <x:c r="F454" s="339" t="str">
        <x:v>Detail / Profile integrity rule</x:v>
      </x:c>
      <x:c r="G454" s="339" t="str">
        <x:v>Concurrent updates must not silently overwrite newer data; material edits are audited.</x:v>
      </x:c>
      <x:c r="H454" s="339" t="str">
        <x:v>Domain/service validation plus UI affordances.</x:v>
      </x:c>
      <x:c r="I454" s="339" t="str">
        <x:v>High</x:v>
      </x:c>
      <x:c r="J454" s="339" t="str">
        <x:v>No silent bypass; approved overrides must be separately authorized and audited.</x:v>
      </x:c>
    </x:row>
    <x:row r="455">
      <x:c r="A455" s="339" t="str">
        <x:v>BR-00454</x:v>
      </x:c>
      <x:c r="B455" s="339" t="str">
        <x:v>Screen</x:v>
      </x:c>
      <x:c r="C455" s="339" t="str">
        <x:v>SCR-152</x:v>
      </x:c>
      <x:c r="D455" s="339" t="str">
        <x:v>Examinations / Marks / Results</x:v>
      </x:c>
      <x:c r="E455" s="339" t="str">
        <x:v>Report Card</x:v>
      </x:c>
      <x:c r="F455" s="339" t="str">
        <x:v>Examinations, Grading &amp; Results rule 1</x:v>
      </x:c>
      <x:c r="G455" s="339" t="str">
        <x:v>Results cannot be published until required subjects/marks are complete and verification/approval gates pass.</x:v>
      </x:c>
      <x:c r="H455" s="339" t="str">
        <x:v>Enforced in service/domain layer and reflected in UI validation/action availability.</x:v>
      </x:c>
      <x:c r="I455" s="339" t="str">
        <x:v>High</x:v>
      </x:c>
      <x:c r="J455" s="339" t="str">
        <x:v>Only an explicitly configured authorized override may bypass a non-statutory rule; overrides require reason and audit.</x:v>
      </x:c>
    </x:row>
    <x:row r="456">
      <x:c r="A456" s="339" t="str">
        <x:v>BR-00455</x:v>
      </x:c>
      <x:c r="B456" s="339" t="str">
        <x:v>Screen</x:v>
      </x:c>
      <x:c r="C456" s="339" t="str">
        <x:v>SCR-152</x:v>
      </x:c>
      <x:c r="D456" s="339" t="str">
        <x:v>Examinations / Marks / Results</x:v>
      </x:c>
      <x:c r="E456" s="339" t="str">
        <x:v>Report Card</x:v>
      </x:c>
      <x:c r="F456" s="339" t="str">
        <x:v>Examinations, Grading &amp; Results rule 2</x:v>
      </x:c>
      <x:c r="G456" s="339" t="str">
        <x:v>Published results are immutable to normal users; corrections require an authorized revision workflow.</x:v>
      </x:c>
      <x:c r="H456" s="339" t="str">
        <x:v>Enforced in service/domain layer and reflected in UI validation/action availability.</x:v>
      </x:c>
      <x:c r="I456" s="339" t="str">
        <x:v>High</x:v>
      </x:c>
      <x:c r="J456" s="339" t="str">
        <x:v>Only an explicitly configured authorized override may bypass a non-statutory rule; overrides require reason and audit.</x:v>
      </x:c>
    </x:row>
    <x:row r="457">
      <x:c r="A457" s="339" t="str">
        <x:v>BR-00456</x:v>
      </x:c>
      <x:c r="B457" s="339" t="str">
        <x:v>Screen Type</x:v>
      </x:c>
      <x:c r="C457" s="339" t="str">
        <x:v>SCR-152</x:v>
      </x:c>
      <x:c r="D457" s="339" t="str">
        <x:v>Examinations / Marks / Results</x:v>
      </x:c>
      <x:c r="E457" s="339" t="str">
        <x:v>Report Card</x:v>
      </x:c>
      <x:c r="F457" s="339" t="str">
        <x:v>Detail / Profile integrity rule</x:v>
      </x:c>
      <x:c r="G457" s="339" t="str">
        <x:v>Concurrent updates must not silently overwrite newer data; material edits are audited.</x:v>
      </x:c>
      <x:c r="H457" s="339" t="str">
        <x:v>Domain/service validation plus UI affordances.</x:v>
      </x:c>
      <x:c r="I457" s="339" t="str">
        <x:v>High</x:v>
      </x:c>
      <x:c r="J457" s="339" t="str">
        <x:v>No silent bypass; approved overrides must be separately authorized and audited.</x:v>
      </x:c>
    </x:row>
    <x:row r="458">
      <x:c r="A458" s="339" t="str">
        <x:v>BR-00457</x:v>
      </x:c>
      <x:c r="B458" s="339" t="str">
        <x:v>Screen</x:v>
      </x:c>
      <x:c r="C458" s="339" t="str">
        <x:v>SCR-153</x:v>
      </x:c>
      <x:c r="D458" s="339" t="str">
        <x:v>Examinations / Marks / Results</x:v>
      </x:c>
      <x:c r="E458" s="339" t="str">
        <x:v>Promotion Decision</x:v>
      </x:c>
      <x:c r="F458" s="339" t="str">
        <x:v>Examinations, Grading &amp; Results rule 1</x:v>
      </x:c>
      <x:c r="G458" s="339" t="str">
        <x:v>Published results are immutable to normal users; corrections require an authorized revision workflow.</x:v>
      </x:c>
      <x:c r="H458" s="339" t="str">
        <x:v>Enforced in service/domain layer and reflected in UI validation/action availability.</x:v>
      </x:c>
      <x:c r="I458" s="339" t="str">
        <x:v>High</x:v>
      </x:c>
      <x:c r="J458" s="339" t="str">
        <x:v>Only an explicitly configured authorized override may bypass a non-statutory rule; overrides require reason and audit.</x:v>
      </x:c>
    </x:row>
    <x:row r="459">
      <x:c r="A459" s="339" t="str">
        <x:v>BR-00458</x:v>
      </x:c>
      <x:c r="B459" s="339" t="str">
        <x:v>Screen</x:v>
      </x:c>
      <x:c r="C459" s="339" t="str">
        <x:v>SCR-153</x:v>
      </x:c>
      <x:c r="D459" s="339" t="str">
        <x:v>Examinations / Marks / Results</x:v>
      </x:c>
      <x:c r="E459" s="339" t="str">
        <x:v>Promotion Decision</x:v>
      </x:c>
      <x:c r="F459" s="339" t="str">
        <x:v>Examinations, Grading &amp; Results rule 2</x:v>
      </x:c>
      <x:c r="G459" s="339" t="str">
        <x:v>Report-card totals must reconcile with stored subject components and weighting rules.</x:v>
      </x:c>
      <x:c r="H459" s="339" t="str">
        <x:v>Enforced in service/domain layer and reflected in UI validation/action availability.</x:v>
      </x:c>
      <x:c r="I459" s="339" t="str">
        <x:v>High</x:v>
      </x:c>
      <x:c r="J459" s="339" t="str">
        <x:v>Only an explicitly configured authorized override may bypass a non-statutory rule; overrides require reason and audit.</x:v>
      </x:c>
    </x:row>
    <x:row r="460">
      <x:c r="A460" s="339" t="str">
        <x:v>BR-00459</x:v>
      </x:c>
      <x:c r="B460" s="339" t="str">
        <x:v>Screen Type</x:v>
      </x:c>
      <x:c r="C460" s="339" t="str">
        <x:v>SCR-153</x:v>
      </x:c>
      <x:c r="D460" s="339" t="str">
        <x:v>Examinations / Marks / Results</x:v>
      </x:c>
      <x:c r="E460" s="339" t="str">
        <x:v>Promotion Decision</x:v>
      </x:c>
      <x:c r="F460" s="339" t="str">
        <x:v>Workflow / Management integrity rule</x:v>
      </x:c>
      <x:c r="G460" s="339" t="str">
        <x:v>State transitions are explicit, role-controlled and auditable; invalid transitions are rejected.</x:v>
      </x:c>
      <x:c r="H460" s="339" t="str">
        <x:v>Domain/service validation plus UI affordances.</x:v>
      </x:c>
      <x:c r="I460" s="339" t="str">
        <x:v>High</x:v>
      </x:c>
      <x:c r="J460" s="339" t="str">
        <x:v>No silent bypass; approved overrides must be separately authorized and audited.</x:v>
      </x:c>
    </x:row>
    <x:row r="461">
      <x:c r="A461" s="339" t="str">
        <x:v>BR-00460</x:v>
      </x:c>
      <x:c r="B461" s="339" t="str">
        <x:v>Screen</x:v>
      </x:c>
      <x:c r="C461" s="339" t="str">
        <x:v>SCR-154</x:v>
      </x:c>
      <x:c r="D461" s="339" t="str">
        <x:v>Fees &amp; Finance</x:v>
      </x:c>
      <x:c r="E461" s="339" t="str">
        <x:v>Fee Dashboard</x:v>
      </x:c>
      <x:c r="F461" s="339" t="str">
        <x:v>Student Fees &amp; School Finance rule 1</x:v>
      </x:c>
      <x:c r="G461" s="339" t="str">
        <x:v>Outstanding balance is calculated from posted charges, fines, discounts/credits, payments and reversals.</x:v>
      </x:c>
      <x:c r="H461" s="339" t="str">
        <x:v>Enforced in service/domain layer and reflected in UI validation/action availability.</x:v>
      </x:c>
      <x:c r="I461" s="339" t="str">
        <x:v>High</x:v>
      </x:c>
      <x:c r="J461" s="339" t="str">
        <x:v>Only an explicitly configured authorized override may bypass a non-statutory rule; overrides require reason and audit.</x:v>
      </x:c>
    </x:row>
    <x:row r="462">
      <x:c r="A462" s="339" t="str">
        <x:v>BR-00461</x:v>
      </x:c>
      <x:c r="B462" s="339" t="str">
        <x:v>Screen</x:v>
      </x:c>
      <x:c r="C462" s="339" t="str">
        <x:v>SCR-154</x:v>
      </x:c>
      <x:c r="D462" s="339" t="str">
        <x:v>Fees &amp; Finance</x:v>
      </x:c>
      <x:c r="E462" s="339" t="str">
        <x:v>Fee Dashboard</x:v>
      </x:c>
      <x:c r="F462" s="339" t="str">
        <x:v>Student Fees &amp; School Finance rule 2</x:v>
      </x:c>
      <x:c r="G462" s="339" t="str">
        <x:v>Posted financial transactions must not be hard-deleted; corrections use reversal/refund/credit mechanisms.</x:v>
      </x:c>
      <x:c r="H462" s="339" t="str">
        <x:v>Enforced in service/domain layer and reflected in UI validation/action availability.</x:v>
      </x:c>
      <x:c r="I462" s="339" t="str">
        <x:v>High</x:v>
      </x:c>
      <x:c r="J462" s="339" t="str">
        <x:v>Only an explicitly configured authorized override may bypass a non-statutory rule; overrides require reason and audit.</x:v>
      </x:c>
    </x:row>
    <x:row r="463">
      <x:c r="A463" s="339" t="str">
        <x:v>BR-00462</x:v>
      </x:c>
      <x:c r="B463" s="339" t="str">
        <x:v>Screen Type</x:v>
      </x:c>
      <x:c r="C463" s="339" t="str">
        <x:v>SCR-154</x:v>
      </x:c>
      <x:c r="D463" s="339" t="str">
        <x:v>Fees &amp; Finance</x:v>
      </x:c>
      <x:c r="E463" s="339" t="str">
        <x:v>Fee Dashboard</x:v>
      </x:c>
      <x:c r="F463" s="339" t="str">
        <x:v>Dashboard integrity rule</x:v>
      </x:c>
      <x:c r="G463" s="339" t="str">
        <x:v>Displayed totals must reconcile to the same authorized source rows used by drill-down and reports.</x:v>
      </x:c>
      <x:c r="H463" s="339" t="str">
        <x:v>Domain/service validation plus UI affordances.</x:v>
      </x:c>
      <x:c r="I463" s="339" t="str">
        <x:v>High</x:v>
      </x:c>
      <x:c r="J463" s="339" t="str">
        <x:v>No silent bypass; approved overrides must be separately authorized and audited.</x:v>
      </x:c>
    </x:row>
    <x:row r="464">
      <x:c r="A464" s="339" t="str">
        <x:v>BR-00463</x:v>
      </x:c>
      <x:c r="B464" s="339" t="str">
        <x:v>Screen</x:v>
      </x:c>
      <x:c r="C464" s="339" t="str">
        <x:v>SCR-155</x:v>
      </x:c>
      <x:c r="D464" s="339" t="str">
        <x:v>Fees &amp; Finance</x:v>
      </x:c>
      <x:c r="E464" s="339" t="str">
        <x:v>Fee Structure</x:v>
      </x:c>
      <x:c r="F464" s="339" t="str">
        <x:v>Student Fees &amp; School Finance rule 1</x:v>
      </x:c>
      <x:c r="G464" s="339" t="str">
        <x:v>Posted financial transactions must not be hard-deleted; corrections use reversal/refund/credit mechanisms.</x:v>
      </x:c>
      <x:c r="H464" s="339" t="str">
        <x:v>Enforced in service/domain layer and reflected in UI validation/action availability.</x:v>
      </x:c>
      <x:c r="I464" s="339" t="str">
        <x:v>High</x:v>
      </x:c>
      <x:c r="J464" s="339" t="str">
        <x:v>Only an explicitly configured authorized override may bypass a non-statutory rule; overrides require reason and audit.</x:v>
      </x:c>
    </x:row>
    <x:row r="465">
      <x:c r="A465" s="339" t="str">
        <x:v>BR-00464</x:v>
      </x:c>
      <x:c r="B465" s="339" t="str">
        <x:v>Screen</x:v>
      </x:c>
      <x:c r="C465" s="339" t="str">
        <x:v>SCR-155</x:v>
      </x:c>
      <x:c r="D465" s="339" t="str">
        <x:v>Fees &amp; Finance</x:v>
      </x:c>
      <x:c r="E465" s="339" t="str">
        <x:v>Fee Structure</x:v>
      </x:c>
      <x:c r="F465" s="339" t="str">
        <x:v>Student Fees &amp; School Finance rule 2</x:v>
      </x:c>
      <x:c r="G465" s="339" t="str">
        <x:v>A payment allocation cannot exceed the eligible open balance unless overpayment handling is configured.</x:v>
      </x:c>
      <x:c r="H465" s="339" t="str">
        <x:v>Enforced in service/domain layer and reflected in UI validation/action availability.</x:v>
      </x:c>
      <x:c r="I465" s="339" t="str">
        <x:v>High</x:v>
      </x:c>
      <x:c r="J465" s="339" t="str">
        <x:v>Only an explicitly configured authorized override may bypass a non-statutory rule; overrides require reason and audit.</x:v>
      </x:c>
    </x:row>
    <x:row r="466">
      <x:c r="A466" s="339" t="str">
        <x:v>BR-00465</x:v>
      </x:c>
      <x:c r="B466" s="339" t="str">
        <x:v>Screen Type</x:v>
      </x:c>
      <x:c r="C466" s="339" t="str">
        <x:v>SCR-155</x:v>
      </x:c>
      <x:c r="D466" s="339" t="str">
        <x:v>Fees &amp; Finance</x:v>
      </x:c>
      <x:c r="E466" s="339" t="str">
        <x:v>Fee Structure</x:v>
      </x:c>
      <x:c r="F466" s="339" t="str">
        <x:v>Workflow / Management integrity rule</x:v>
      </x:c>
      <x:c r="G466" s="339" t="str">
        <x:v>State transitions are explicit, role-controlled and auditable; invalid transitions are rejected.</x:v>
      </x:c>
      <x:c r="H466" s="339" t="str">
        <x:v>Domain/service validation plus UI affordances.</x:v>
      </x:c>
      <x:c r="I466" s="339" t="str">
        <x:v>High</x:v>
      </x:c>
      <x:c r="J466" s="339" t="str">
        <x:v>No silent bypass; approved overrides must be separately authorized and audited.</x:v>
      </x:c>
    </x:row>
    <x:row r="467">
      <x:c r="A467" s="339" t="str">
        <x:v>BR-00466</x:v>
      </x:c>
      <x:c r="B467" s="339" t="str">
        <x:v>Screen</x:v>
      </x:c>
      <x:c r="C467" s="339" t="str">
        <x:v>SCR-156</x:v>
      </x:c>
      <x:c r="D467" s="339" t="str">
        <x:v>Fees &amp; Finance</x:v>
      </x:c>
      <x:c r="E467" s="339" t="str">
        <x:v>Create / Edit Fee Structure</x:v>
      </x:c>
      <x:c r="F467" s="339" t="str">
        <x:v>Student Fees &amp; School Finance rule 1</x:v>
      </x:c>
      <x:c r="G467" s="339" t="str">
        <x:v>A payment allocation cannot exceed the eligible open balance unless overpayment handling is configured.</x:v>
      </x:c>
      <x:c r="H467" s="339" t="str">
        <x:v>Enforced in service/domain layer and reflected in UI validation/action availability.</x:v>
      </x:c>
      <x:c r="I467" s="339" t="str">
        <x:v>High</x:v>
      </x:c>
      <x:c r="J467" s="339" t="str">
        <x:v>Only an explicitly configured authorized override may bypass a non-statutory rule; overrides require reason and audit.</x:v>
      </x:c>
    </x:row>
    <x:row r="468">
      <x:c r="A468" s="339" t="str">
        <x:v>BR-00467</x:v>
      </x:c>
      <x:c r="B468" s="339" t="str">
        <x:v>Screen</x:v>
      </x:c>
      <x:c r="C468" s="339" t="str">
        <x:v>SCR-156</x:v>
      </x:c>
      <x:c r="D468" s="339" t="str">
        <x:v>Fees &amp; Finance</x:v>
      </x:c>
      <x:c r="E468" s="339" t="str">
        <x:v>Create / Edit Fee Structure</x:v>
      </x:c>
      <x:c r="F468" s="339" t="str">
        <x:v>Student Fees &amp; School Finance rule 2</x:v>
      </x:c>
      <x:c r="G468" s="339" t="str">
        <x:v>Receipts must have unique immutable numbers and reference the underlying payment transaction.</x:v>
      </x:c>
      <x:c r="H468" s="339" t="str">
        <x:v>Enforced in service/domain layer and reflected in UI validation/action availability.</x:v>
      </x:c>
      <x:c r="I468" s="339" t="str">
        <x:v>High</x:v>
      </x:c>
      <x:c r="J468" s="339" t="str">
        <x:v>Only an explicitly configured authorized override may bypass a non-statutory rule; overrides require reason and audit.</x:v>
      </x:c>
    </x:row>
    <x:row r="469">
      <x:c r="A469" s="339" t="str">
        <x:v>BR-00468</x:v>
      </x:c>
      <x:c r="B469" s="339" t="str">
        <x:v>Screen Type</x:v>
      </x:c>
      <x:c r="C469" s="339" t="str">
        <x:v>SCR-156</x:v>
      </x:c>
      <x:c r="D469" s="339" t="str">
        <x:v>Fees &amp; Finance</x:v>
      </x:c>
      <x:c r="E469" s="339" t="str">
        <x:v>Create / Edit Fee Structure</x:v>
      </x:c>
      <x:c r="F469" s="339" t="str">
        <x:v>Create / Transaction integrity rule</x:v>
      </x:c>
      <x:c r="G469" s="339" t="str">
        <x:v>A record is created only after all blocking validations, duplicate checks and reference checks pass.</x:v>
      </x:c>
      <x:c r="H469" s="339" t="str">
        <x:v>Domain/service validation plus UI affordances.</x:v>
      </x:c>
      <x:c r="I469" s="339" t="str">
        <x:v>High</x:v>
      </x:c>
      <x:c r="J469" s="339" t="str">
        <x:v>No silent bypass; approved overrides must be separately authorized and audited.</x:v>
      </x:c>
    </x:row>
    <x:row r="470">
      <x:c r="A470" s="339" t="str">
        <x:v>BR-00469</x:v>
      </x:c>
      <x:c r="B470" s="339" t="str">
        <x:v>Screen</x:v>
      </x:c>
      <x:c r="C470" s="339" t="str">
        <x:v>SCR-157</x:v>
      </x:c>
      <x:c r="D470" s="339" t="str">
        <x:v>Fees &amp; Finance</x:v>
      </x:c>
      <x:c r="E470" s="339" t="str">
        <x:v>Student Fee Assignment</x:v>
      </x:c>
      <x:c r="F470" s="339" t="str">
        <x:v>Student Fees &amp; School Finance rule 1</x:v>
      </x:c>
      <x:c r="G470" s="339" t="str">
        <x:v>Receipts must have unique immutable numbers and reference the underlying payment transaction.</x:v>
      </x:c>
      <x:c r="H470" s="339" t="str">
        <x:v>Enforced in service/domain layer and reflected in UI validation/action availability.</x:v>
      </x:c>
      <x:c r="I470" s="339" t="str">
        <x:v>High</x:v>
      </x:c>
      <x:c r="J470" s="339" t="str">
        <x:v>Only an explicitly configured authorized override may bypass a non-statutory rule; overrides require reason and audit.</x:v>
      </x:c>
    </x:row>
    <x:row r="471">
      <x:c r="A471" s="339" t="str">
        <x:v>BR-00470</x:v>
      </x:c>
      <x:c r="B471" s="339" t="str">
        <x:v>Screen</x:v>
      </x:c>
      <x:c r="C471" s="339" t="str">
        <x:v>SCR-157</x:v>
      </x:c>
      <x:c r="D471" s="339" t="str">
        <x:v>Fees &amp; Finance</x:v>
      </x:c>
      <x:c r="E471" s="339" t="str">
        <x:v>Student Fee Assignment</x:v>
      </x:c>
      <x:c r="F471" s="339" t="str">
        <x:v>Student Fees &amp; School Finance rule 2</x:v>
      </x:c>
      <x:c r="G471" s="339" t="str">
        <x:v>Discounts, scholarships and waivers require configured authorization and cannot produce an invalid negative charge balance.</x:v>
      </x:c>
      <x:c r="H471" s="339" t="str">
        <x:v>Enforced in service/domain layer and reflected in UI validation/action availability.</x:v>
      </x:c>
      <x:c r="I471" s="339" t="str">
        <x:v>High</x:v>
      </x:c>
      <x:c r="J471" s="339" t="str">
        <x:v>Only an explicitly configured authorized override may bypass a non-statutory rule; overrides require reason and audit.</x:v>
      </x:c>
    </x:row>
    <x:row r="472">
      <x:c r="A472" s="339" t="str">
        <x:v>BR-00471</x:v>
      </x:c>
      <x:c r="B472" s="339" t="str">
        <x:v>Screen Type</x:v>
      </x:c>
      <x:c r="C472" s="339" t="str">
        <x:v>SCR-157</x:v>
      </x:c>
      <x:c r="D472" s="339" t="str">
        <x:v>Fees &amp; Finance</x:v>
      </x:c>
      <x:c r="E472" s="339" t="str">
        <x:v>Student Fee Assignment</x:v>
      </x:c>
      <x:c r="F472" s="339" t="str">
        <x:v>Workflow / Management integrity rule</x:v>
      </x:c>
      <x:c r="G472" s="339" t="str">
        <x:v>State transitions are explicit, role-controlled and auditable; invalid transitions are rejected.</x:v>
      </x:c>
      <x:c r="H472" s="339" t="str">
        <x:v>Domain/service validation plus UI affordances.</x:v>
      </x:c>
      <x:c r="I472" s="339" t="str">
        <x:v>High</x:v>
      </x:c>
      <x:c r="J472" s="339" t="str">
        <x:v>No silent bypass; approved overrides must be separately authorized and audited.</x:v>
      </x:c>
    </x:row>
    <x:row r="473">
      <x:c r="A473" s="339" t="str">
        <x:v>BR-00472</x:v>
      </x:c>
      <x:c r="B473" s="339" t="str">
        <x:v>Screen</x:v>
      </x:c>
      <x:c r="C473" s="339" t="str">
        <x:v>SCR-158</x:v>
      </x:c>
      <x:c r="D473" s="339" t="str">
        <x:v>Fees &amp; Finance</x:v>
      </x:c>
      <x:c r="E473" s="339" t="str">
        <x:v>Fee Collection</x:v>
      </x:c>
      <x:c r="F473" s="339" t="str">
        <x:v>Student Fees &amp; School Finance rule 1</x:v>
      </x:c>
      <x:c r="G473" s="339" t="str">
        <x:v>Discounts, scholarships and waivers require configured authorization and cannot produce an invalid negative charge balance.</x:v>
      </x:c>
      <x:c r="H473" s="339" t="str">
        <x:v>Enforced in service/domain layer and reflected in UI validation/action availability.</x:v>
      </x:c>
      <x:c r="I473" s="339" t="str">
        <x:v>High</x:v>
      </x:c>
      <x:c r="J473" s="339" t="str">
        <x:v>Only an explicitly configured authorized override may bypass a non-statutory rule; overrides require reason and audit.</x:v>
      </x:c>
    </x:row>
    <x:row r="474">
      <x:c r="A474" s="339" t="str">
        <x:v>BR-00473</x:v>
      </x:c>
      <x:c r="B474" s="339" t="str">
        <x:v>Screen</x:v>
      </x:c>
      <x:c r="C474" s="339" t="str">
        <x:v>SCR-158</x:v>
      </x:c>
      <x:c r="D474" s="339" t="str">
        <x:v>Fees &amp; Finance</x:v>
      </x:c>
      <x:c r="E474" s="339" t="str">
        <x:v>Fee Collection</x:v>
      </x:c>
      <x:c r="F474" s="339" t="str">
        <x:v>Student Fees &amp; School Finance rule 2</x:v>
      </x:c>
      <x:c r="G474" s="339" t="str">
        <x:v>Outstanding balance is calculated from posted charges, fines, discounts/credits, payments and reversals.</x:v>
      </x:c>
      <x:c r="H474" s="339" t="str">
        <x:v>Enforced in service/domain layer and reflected in UI validation/action availability.</x:v>
      </x:c>
      <x:c r="I474" s="339" t="str">
        <x:v>High</x:v>
      </x:c>
      <x:c r="J474" s="339" t="str">
        <x:v>Only an explicitly configured authorized override may bypass a non-statutory rule; overrides require reason and audit.</x:v>
      </x:c>
    </x:row>
    <x:row r="475">
      <x:c r="A475" s="339" t="str">
        <x:v>BR-00474</x:v>
      </x:c>
      <x:c r="B475" s="339" t="str">
        <x:v>Screen Type</x:v>
      </x:c>
      <x:c r="C475" s="339" t="str">
        <x:v>SCR-158</x:v>
      </x:c>
      <x:c r="D475" s="339" t="str">
        <x:v>Fees &amp; Finance</x:v>
      </x:c>
      <x:c r="E475" s="339" t="str">
        <x:v>Fee Collection</x:v>
      </x:c>
      <x:c r="F475" s="339" t="str">
        <x:v>Create / Transaction integrity rule</x:v>
      </x:c>
      <x:c r="G475" s="339" t="str">
        <x:v>A record is created only after all blocking validations, duplicate checks and reference checks pass.</x:v>
      </x:c>
      <x:c r="H475" s="339" t="str">
        <x:v>Domain/service validation plus UI affordances.</x:v>
      </x:c>
      <x:c r="I475" s="339" t="str">
        <x:v>High</x:v>
      </x:c>
      <x:c r="J475" s="339" t="str">
        <x:v>No silent bypass; approved overrides must be separately authorized and audited.</x:v>
      </x:c>
    </x:row>
    <x:row r="476">
      <x:c r="A476" s="339" t="str">
        <x:v>BR-00475</x:v>
      </x:c>
      <x:c r="B476" s="339" t="str">
        <x:v>Screen</x:v>
      </x:c>
      <x:c r="C476" s="339" t="str">
        <x:v>SCR-159</x:v>
      </x:c>
      <x:c r="D476" s="339" t="str">
        <x:v>Fees &amp; Finance</x:v>
      </x:c>
      <x:c r="E476" s="339" t="str">
        <x:v>Online Payment</x:v>
      </x:c>
      <x:c r="F476" s="339" t="str">
        <x:v>Student Fees &amp; School Finance rule 1</x:v>
      </x:c>
      <x:c r="G476" s="339" t="str">
        <x:v>Outstanding balance is calculated from posted charges, fines, discounts/credits, payments and reversals.</x:v>
      </x:c>
      <x:c r="H476" s="339" t="str">
        <x:v>Enforced in service/domain layer and reflected in UI validation/action availability.</x:v>
      </x:c>
      <x:c r="I476" s="339" t="str">
        <x:v>High</x:v>
      </x:c>
      <x:c r="J476" s="339" t="str">
        <x:v>Only an explicitly configured authorized override may bypass a non-statutory rule; overrides require reason and audit.</x:v>
      </x:c>
    </x:row>
    <x:row r="477">
      <x:c r="A477" s="339" t="str">
        <x:v>BR-00476</x:v>
      </x:c>
      <x:c r="B477" s="339" t="str">
        <x:v>Screen</x:v>
      </x:c>
      <x:c r="C477" s="339" t="str">
        <x:v>SCR-159</x:v>
      </x:c>
      <x:c r="D477" s="339" t="str">
        <x:v>Fees &amp; Finance</x:v>
      </x:c>
      <x:c r="E477" s="339" t="str">
        <x:v>Online Payment</x:v>
      </x:c>
      <x:c r="F477" s="339" t="str">
        <x:v>Student Fees &amp; School Finance rule 2</x:v>
      </x:c>
      <x:c r="G477" s="339" t="str">
        <x:v>Posted financial transactions must not be hard-deleted; corrections use reversal/refund/credit mechanisms.</x:v>
      </x:c>
      <x:c r="H477" s="339" t="str">
        <x:v>Enforced in service/domain layer and reflected in UI validation/action availability.</x:v>
      </x:c>
      <x:c r="I477" s="339" t="str">
        <x:v>High</x:v>
      </x:c>
      <x:c r="J477" s="339" t="str">
        <x:v>Only an explicitly configured authorized override may bypass a non-statutory rule; overrides require reason and audit.</x:v>
      </x:c>
    </x:row>
    <x:row r="478">
      <x:c r="A478" s="339" t="str">
        <x:v>BR-00477</x:v>
      </x:c>
      <x:c r="B478" s="339" t="str">
        <x:v>Screen Type</x:v>
      </x:c>
      <x:c r="C478" s="339" t="str">
        <x:v>SCR-159</x:v>
      </x:c>
      <x:c r="D478" s="339" t="str">
        <x:v>Fees &amp; Finance</x:v>
      </x:c>
      <x:c r="E478" s="339" t="str">
        <x:v>Online Payment</x:v>
      </x:c>
      <x:c r="F478" s="339" t="str">
        <x:v>Workflow / Management integrity rule</x:v>
      </x:c>
      <x:c r="G478" s="339" t="str">
        <x:v>State transitions are explicit, role-controlled and auditable; invalid transitions are rejected.</x:v>
      </x:c>
      <x:c r="H478" s="339" t="str">
        <x:v>Domain/service validation plus UI affordances.</x:v>
      </x:c>
      <x:c r="I478" s="339" t="str">
        <x:v>High</x:v>
      </x:c>
      <x:c r="J478" s="339" t="str">
        <x:v>No silent bypass; approved overrides must be separately authorized and audited.</x:v>
      </x:c>
    </x:row>
    <x:row r="479">
      <x:c r="A479" s="339" t="str">
        <x:v>BR-00478</x:v>
      </x:c>
      <x:c r="B479" s="339" t="str">
        <x:v>Screen</x:v>
      </x:c>
      <x:c r="C479" s="339" t="str">
        <x:v>SCR-160</x:v>
      </x:c>
      <x:c r="D479" s="339" t="str">
        <x:v>Fees &amp; Finance</x:v>
      </x:c>
      <x:c r="E479" s="339" t="str">
        <x:v>Payment Receipt</x:v>
      </x:c>
      <x:c r="F479" s="339" t="str">
        <x:v>Student Fees &amp; School Finance rule 1</x:v>
      </x:c>
      <x:c r="G479" s="339" t="str">
        <x:v>Posted financial transactions must not be hard-deleted; corrections use reversal/refund/credit mechanisms.</x:v>
      </x:c>
      <x:c r="H479" s="339" t="str">
        <x:v>Enforced in service/domain layer and reflected in UI validation/action availability.</x:v>
      </x:c>
      <x:c r="I479" s="339" t="str">
        <x:v>High</x:v>
      </x:c>
      <x:c r="J479" s="339" t="str">
        <x:v>Only an explicitly configured authorized override may bypass a non-statutory rule; overrides require reason and audit.</x:v>
      </x:c>
    </x:row>
    <x:row r="480">
      <x:c r="A480" s="339" t="str">
        <x:v>BR-00479</x:v>
      </x:c>
      <x:c r="B480" s="339" t="str">
        <x:v>Screen</x:v>
      </x:c>
      <x:c r="C480" s="339" t="str">
        <x:v>SCR-160</x:v>
      </x:c>
      <x:c r="D480" s="339" t="str">
        <x:v>Fees &amp; Finance</x:v>
      </x:c>
      <x:c r="E480" s="339" t="str">
        <x:v>Payment Receipt</x:v>
      </x:c>
      <x:c r="F480" s="339" t="str">
        <x:v>Student Fees &amp; School Finance rule 2</x:v>
      </x:c>
      <x:c r="G480" s="339" t="str">
        <x:v>A payment allocation cannot exceed the eligible open balance unless overpayment handling is configured.</x:v>
      </x:c>
      <x:c r="H480" s="339" t="str">
        <x:v>Enforced in service/domain layer and reflected in UI validation/action availability.</x:v>
      </x:c>
      <x:c r="I480" s="339" t="str">
        <x:v>High</x:v>
      </x:c>
      <x:c r="J480" s="339" t="str">
        <x:v>Only an explicitly configured authorized override may bypass a non-statutory rule; overrides require reason and audit.</x:v>
      </x:c>
    </x:row>
    <x:row r="481">
      <x:c r="A481" s="339" t="str">
        <x:v>BR-00480</x:v>
      </x:c>
      <x:c r="B481" s="339" t="str">
        <x:v>Screen Type</x:v>
      </x:c>
      <x:c r="C481" s="339" t="str">
        <x:v>SCR-160</x:v>
      </x:c>
      <x:c r="D481" s="339" t="str">
        <x:v>Fees &amp; Finance</x:v>
      </x:c>
      <x:c r="E481" s="339" t="str">
        <x:v>Payment Receipt</x:v>
      </x:c>
      <x:c r="F481" s="339" t="str">
        <x:v>Detail / Profile integrity rule</x:v>
      </x:c>
      <x:c r="G481" s="339" t="str">
        <x:v>Concurrent updates must not silently overwrite newer data; material edits are audited.</x:v>
      </x:c>
      <x:c r="H481" s="339" t="str">
        <x:v>Domain/service validation plus UI affordances.</x:v>
      </x:c>
      <x:c r="I481" s="339" t="str">
        <x:v>High</x:v>
      </x:c>
      <x:c r="J481" s="339" t="str">
        <x:v>No silent bypass; approved overrides must be separately authorized and audited.</x:v>
      </x:c>
    </x:row>
    <x:row r="482">
      <x:c r="A482" s="339" t="str">
        <x:v>BR-00481</x:v>
      </x:c>
      <x:c r="B482" s="339" t="str">
        <x:v>Screen</x:v>
      </x:c>
      <x:c r="C482" s="339" t="str">
        <x:v>SCR-161</x:v>
      </x:c>
      <x:c r="D482" s="339" t="str">
        <x:v>Fees &amp; Finance</x:v>
      </x:c>
      <x:c r="E482" s="339" t="str">
        <x:v>Student Ledger</x:v>
      </x:c>
      <x:c r="F482" s="339" t="str">
        <x:v>Student Fees &amp; School Finance rule 1</x:v>
      </x:c>
      <x:c r="G482" s="339" t="str">
        <x:v>A payment allocation cannot exceed the eligible open balance unless overpayment handling is configured.</x:v>
      </x:c>
      <x:c r="H482" s="339" t="str">
        <x:v>Enforced in service/domain layer and reflected in UI validation/action availability.</x:v>
      </x:c>
      <x:c r="I482" s="339" t="str">
        <x:v>High</x:v>
      </x:c>
      <x:c r="J482" s="339" t="str">
        <x:v>Only an explicitly configured authorized override may bypass a non-statutory rule; overrides require reason and audit.</x:v>
      </x:c>
    </x:row>
    <x:row r="483">
      <x:c r="A483" s="339" t="str">
        <x:v>BR-00482</x:v>
      </x:c>
      <x:c r="B483" s="339" t="str">
        <x:v>Screen</x:v>
      </x:c>
      <x:c r="C483" s="339" t="str">
        <x:v>SCR-161</x:v>
      </x:c>
      <x:c r="D483" s="339" t="str">
        <x:v>Fees &amp; Finance</x:v>
      </x:c>
      <x:c r="E483" s="339" t="str">
        <x:v>Student Ledger</x:v>
      </x:c>
      <x:c r="F483" s="339" t="str">
        <x:v>Student Fees &amp; School Finance rule 2</x:v>
      </x:c>
      <x:c r="G483" s="339" t="str">
        <x:v>Receipts must have unique immutable numbers and reference the underlying payment transaction.</x:v>
      </x:c>
      <x:c r="H483" s="339" t="str">
        <x:v>Enforced in service/domain layer and reflected in UI validation/action availability.</x:v>
      </x:c>
      <x:c r="I483" s="339" t="str">
        <x:v>High</x:v>
      </x:c>
      <x:c r="J483" s="339" t="str">
        <x:v>Only an explicitly configured authorized override may bypass a non-statutory rule; overrides require reason and audit.</x:v>
      </x:c>
    </x:row>
    <x:row r="484">
      <x:c r="A484" s="339" t="str">
        <x:v>BR-00483</x:v>
      </x:c>
      <x:c r="B484" s="339" t="str">
        <x:v>Screen Type</x:v>
      </x:c>
      <x:c r="C484" s="339" t="str">
        <x:v>SCR-161</x:v>
      </x:c>
      <x:c r="D484" s="339" t="str">
        <x:v>Fees &amp; Finance</x:v>
      </x:c>
      <x:c r="E484" s="339" t="str">
        <x:v>Student Ledger</x:v>
      </x:c>
      <x:c r="F484" s="339" t="str">
        <x:v>Detail / Profile integrity rule</x:v>
      </x:c>
      <x:c r="G484" s="339" t="str">
        <x:v>Concurrent updates must not silently overwrite newer data; material edits are audited.</x:v>
      </x:c>
      <x:c r="H484" s="339" t="str">
        <x:v>Domain/service validation plus UI affordances.</x:v>
      </x:c>
      <x:c r="I484" s="339" t="str">
        <x:v>High</x:v>
      </x:c>
      <x:c r="J484" s="339" t="str">
        <x:v>No silent bypass; approved overrides must be separately authorized and audited.</x:v>
      </x:c>
    </x:row>
    <x:row r="485">
      <x:c r="A485" s="339" t="str">
        <x:v>BR-00484</x:v>
      </x:c>
      <x:c r="B485" s="339" t="str">
        <x:v>Screen</x:v>
      </x:c>
      <x:c r="C485" s="339" t="str">
        <x:v>SCR-162</x:v>
      </x:c>
      <x:c r="D485" s="339" t="str">
        <x:v>Fees &amp; Finance</x:v>
      </x:c>
      <x:c r="E485" s="339" t="str">
        <x:v>Outstanding Dues</x:v>
      </x:c>
      <x:c r="F485" s="339" t="str">
        <x:v>Student Fees &amp; School Finance rule 1</x:v>
      </x:c>
      <x:c r="G485" s="339" t="str">
        <x:v>Receipts must have unique immutable numbers and reference the underlying payment transaction.</x:v>
      </x:c>
      <x:c r="H485" s="339" t="str">
        <x:v>Enforced in service/domain layer and reflected in UI validation/action availability.</x:v>
      </x:c>
      <x:c r="I485" s="339" t="str">
        <x:v>High</x:v>
      </x:c>
      <x:c r="J485" s="339" t="str">
        <x:v>Only an explicitly configured authorized override may bypass a non-statutory rule; overrides require reason and audit.</x:v>
      </x:c>
    </x:row>
    <x:row r="486">
      <x:c r="A486" s="339" t="str">
        <x:v>BR-00485</x:v>
      </x:c>
      <x:c r="B486" s="339" t="str">
        <x:v>Screen</x:v>
      </x:c>
      <x:c r="C486" s="339" t="str">
        <x:v>SCR-162</x:v>
      </x:c>
      <x:c r="D486" s="339" t="str">
        <x:v>Fees &amp; Finance</x:v>
      </x:c>
      <x:c r="E486" s="339" t="str">
        <x:v>Outstanding Dues</x:v>
      </x:c>
      <x:c r="F486" s="339" t="str">
        <x:v>Student Fees &amp; School Finance rule 2</x:v>
      </x:c>
      <x:c r="G486" s="339" t="str">
        <x:v>Discounts, scholarships and waivers require configured authorization and cannot produce an invalid negative charge balance.</x:v>
      </x:c>
      <x:c r="H486" s="339" t="str">
        <x:v>Enforced in service/domain layer and reflected in UI validation/action availability.</x:v>
      </x:c>
      <x:c r="I486" s="339" t="str">
        <x:v>High</x:v>
      </x:c>
      <x:c r="J486" s="339" t="str">
        <x:v>Only an explicitly configured authorized override may bypass a non-statutory rule; overrides require reason and audit.</x:v>
      </x:c>
    </x:row>
    <x:row r="487">
      <x:c r="A487" s="339" t="str">
        <x:v>BR-00486</x:v>
      </x:c>
      <x:c r="B487" s="339" t="str">
        <x:v>Screen Type</x:v>
      </x:c>
      <x:c r="C487" s="339" t="str">
        <x:v>SCR-162</x:v>
      </x:c>
      <x:c r="D487" s="339" t="str">
        <x:v>Fees &amp; Finance</x:v>
      </x:c>
      <x:c r="E487" s="339" t="str">
        <x:v>Outstanding Dues</x:v>
      </x:c>
      <x:c r="F487" s="339" t="str">
        <x:v>Workflow / Management integrity rule</x:v>
      </x:c>
      <x:c r="G487" s="339" t="str">
        <x:v>State transitions are explicit, role-controlled and auditable; invalid transitions are rejected.</x:v>
      </x:c>
      <x:c r="H487" s="339" t="str">
        <x:v>Domain/service validation plus UI affordances.</x:v>
      </x:c>
      <x:c r="I487" s="339" t="str">
        <x:v>High</x:v>
      </x:c>
      <x:c r="J487" s="339" t="str">
        <x:v>No silent bypass; approved overrides must be separately authorized and audited.</x:v>
      </x:c>
    </x:row>
    <x:row r="488">
      <x:c r="A488" s="339" t="str">
        <x:v>BR-00487</x:v>
      </x:c>
      <x:c r="B488" s="339" t="str">
        <x:v>Screen</x:v>
      </x:c>
      <x:c r="C488" s="339" t="str">
        <x:v>SCR-163</x:v>
      </x:c>
      <x:c r="D488" s="339" t="str">
        <x:v>Fees &amp; Finance</x:v>
      </x:c>
      <x:c r="E488" s="339" t="str">
        <x:v>Concession / Scholarship</x:v>
      </x:c>
      <x:c r="F488" s="339" t="str">
        <x:v>Student Fees &amp; School Finance rule 1</x:v>
      </x:c>
      <x:c r="G488" s="339" t="str">
        <x:v>Discounts, scholarships and waivers require configured authorization and cannot produce an invalid negative charge balance.</x:v>
      </x:c>
      <x:c r="H488" s="339" t="str">
        <x:v>Enforced in service/domain layer and reflected in UI validation/action availability.</x:v>
      </x:c>
      <x:c r="I488" s="339" t="str">
        <x:v>High</x:v>
      </x:c>
      <x:c r="J488" s="339" t="str">
        <x:v>Only an explicitly configured authorized override may bypass a non-statutory rule; overrides require reason and audit.</x:v>
      </x:c>
    </x:row>
    <x:row r="489">
      <x:c r="A489" s="339" t="str">
        <x:v>BR-00488</x:v>
      </x:c>
      <x:c r="B489" s="339" t="str">
        <x:v>Screen</x:v>
      </x:c>
      <x:c r="C489" s="339" t="str">
        <x:v>SCR-163</x:v>
      </x:c>
      <x:c r="D489" s="339" t="str">
        <x:v>Fees &amp; Finance</x:v>
      </x:c>
      <x:c r="E489" s="339" t="str">
        <x:v>Concession / Scholarship</x:v>
      </x:c>
      <x:c r="F489" s="339" t="str">
        <x:v>Student Fees &amp; School Finance rule 2</x:v>
      </x:c>
      <x:c r="G489" s="339" t="str">
        <x:v>Outstanding balance is calculated from posted charges, fines, discounts/credits, payments and reversals.</x:v>
      </x:c>
      <x:c r="H489" s="339" t="str">
        <x:v>Enforced in service/domain layer and reflected in UI validation/action availability.</x:v>
      </x:c>
      <x:c r="I489" s="339" t="str">
        <x:v>High</x:v>
      </x:c>
      <x:c r="J489" s="339" t="str">
        <x:v>Only an explicitly configured authorized override may bypass a non-statutory rule; overrides require reason and audit.</x:v>
      </x:c>
    </x:row>
    <x:row r="490">
      <x:c r="A490" s="339" t="str">
        <x:v>BR-00489</x:v>
      </x:c>
      <x:c r="B490" s="339" t="str">
        <x:v>Screen Type</x:v>
      </x:c>
      <x:c r="C490" s="339" t="str">
        <x:v>SCR-163</x:v>
      </x:c>
      <x:c r="D490" s="339" t="str">
        <x:v>Fees &amp; Finance</x:v>
      </x:c>
      <x:c r="E490" s="339" t="str">
        <x:v>Concession / Scholarship</x:v>
      </x:c>
      <x:c r="F490" s="339" t="str">
        <x:v>Workflow / Management integrity rule</x:v>
      </x:c>
      <x:c r="G490" s="339" t="str">
        <x:v>State transitions are explicit, role-controlled and auditable; invalid transitions are rejected.</x:v>
      </x:c>
      <x:c r="H490" s="339" t="str">
        <x:v>Domain/service validation plus UI affordances.</x:v>
      </x:c>
      <x:c r="I490" s="339" t="str">
        <x:v>High</x:v>
      </x:c>
      <x:c r="J490" s="339" t="str">
        <x:v>No silent bypass; approved overrides must be separately authorized and audited.</x:v>
      </x:c>
    </x:row>
    <x:row r="491">
      <x:c r="A491" s="339" t="str">
        <x:v>BR-00490</x:v>
      </x:c>
      <x:c r="B491" s="339" t="str">
        <x:v>Screen</x:v>
      </x:c>
      <x:c r="C491" s="339" t="str">
        <x:v>SCR-164</x:v>
      </x:c>
      <x:c r="D491" s="339" t="str">
        <x:v>Fees &amp; Finance</x:v>
      </x:c>
      <x:c r="E491" s="339" t="str">
        <x:v>Fine Rules</x:v>
      </x:c>
      <x:c r="F491" s="339" t="str">
        <x:v>Student Fees &amp; School Finance rule 1</x:v>
      </x:c>
      <x:c r="G491" s="339" t="str">
        <x:v>Outstanding balance is calculated from posted charges, fines, discounts/credits, payments and reversals.</x:v>
      </x:c>
      <x:c r="H491" s="339" t="str">
        <x:v>Enforced in service/domain layer and reflected in UI validation/action availability.</x:v>
      </x:c>
      <x:c r="I491" s="339" t="str">
        <x:v>High</x:v>
      </x:c>
      <x:c r="J491" s="339" t="str">
        <x:v>Only an explicitly configured authorized override may bypass a non-statutory rule; overrides require reason and audit.</x:v>
      </x:c>
    </x:row>
    <x:row r="492">
      <x:c r="A492" s="339" t="str">
        <x:v>BR-00491</x:v>
      </x:c>
      <x:c r="B492" s="339" t="str">
        <x:v>Screen</x:v>
      </x:c>
      <x:c r="C492" s="339" t="str">
        <x:v>SCR-164</x:v>
      </x:c>
      <x:c r="D492" s="339" t="str">
        <x:v>Fees &amp; Finance</x:v>
      </x:c>
      <x:c r="E492" s="339" t="str">
        <x:v>Fine Rules</x:v>
      </x:c>
      <x:c r="F492" s="339" t="str">
        <x:v>Student Fees &amp; School Finance rule 2</x:v>
      </x:c>
      <x:c r="G492" s="339" t="str">
        <x:v>Posted financial transactions must not be hard-deleted; corrections use reversal/refund/credit mechanisms.</x:v>
      </x:c>
      <x:c r="H492" s="339" t="str">
        <x:v>Enforced in service/domain layer and reflected in UI validation/action availability.</x:v>
      </x:c>
      <x:c r="I492" s="339" t="str">
        <x:v>High</x:v>
      </x:c>
      <x:c r="J492" s="339" t="str">
        <x:v>Only an explicitly configured authorized override may bypass a non-statutory rule; overrides require reason and audit.</x:v>
      </x:c>
    </x:row>
    <x:row r="493">
      <x:c r="A493" s="339" t="str">
        <x:v>BR-00492</x:v>
      </x:c>
      <x:c r="B493" s="339" t="str">
        <x:v>Screen Type</x:v>
      </x:c>
      <x:c r="C493" s="339" t="str">
        <x:v>SCR-164</x:v>
      </x:c>
      <x:c r="D493" s="339" t="str">
        <x:v>Fees &amp; Finance</x:v>
      </x:c>
      <x:c r="E493" s="339" t="str">
        <x:v>Fine Rules</x:v>
      </x:c>
      <x:c r="F493" s="339" t="str">
        <x:v>Workflow / Management integrity rule</x:v>
      </x:c>
      <x:c r="G493" s="339" t="str">
        <x:v>State transitions are explicit, role-controlled and auditable; invalid transitions are rejected.</x:v>
      </x:c>
      <x:c r="H493" s="339" t="str">
        <x:v>Domain/service validation plus UI affordances.</x:v>
      </x:c>
      <x:c r="I493" s="339" t="str">
        <x:v>High</x:v>
      </x:c>
      <x:c r="J493" s="339" t="str">
        <x:v>No silent bypass; approved overrides must be separately authorized and audited.</x:v>
      </x:c>
    </x:row>
    <x:row r="494">
      <x:c r="A494" s="339" t="str">
        <x:v>BR-00493</x:v>
      </x:c>
      <x:c r="B494" s="339" t="str">
        <x:v>Screen</x:v>
      </x:c>
      <x:c r="C494" s="339" t="str">
        <x:v>SCR-165</x:v>
      </x:c>
      <x:c r="D494" s="339" t="str">
        <x:v>Fees &amp; Finance</x:v>
      </x:c>
      <x:c r="E494" s="339" t="str">
        <x:v>Refunds</x:v>
      </x:c>
      <x:c r="F494" s="339" t="str">
        <x:v>Student Fees &amp; School Finance rule 1</x:v>
      </x:c>
      <x:c r="G494" s="339" t="str">
        <x:v>Posted financial transactions must not be hard-deleted; corrections use reversal/refund/credit mechanisms.</x:v>
      </x:c>
      <x:c r="H494" s="339" t="str">
        <x:v>Enforced in service/domain layer and reflected in UI validation/action availability.</x:v>
      </x:c>
      <x:c r="I494" s="339" t="str">
        <x:v>High</x:v>
      </x:c>
      <x:c r="J494" s="339" t="str">
        <x:v>Only an explicitly configured authorized override may bypass a non-statutory rule; overrides require reason and audit.</x:v>
      </x:c>
    </x:row>
    <x:row r="495">
      <x:c r="A495" s="339" t="str">
        <x:v>BR-00494</x:v>
      </x:c>
      <x:c r="B495" s="339" t="str">
        <x:v>Screen</x:v>
      </x:c>
      <x:c r="C495" s="339" t="str">
        <x:v>SCR-165</x:v>
      </x:c>
      <x:c r="D495" s="339" t="str">
        <x:v>Fees &amp; Finance</x:v>
      </x:c>
      <x:c r="E495" s="339" t="str">
        <x:v>Refunds</x:v>
      </x:c>
      <x:c r="F495" s="339" t="str">
        <x:v>Student Fees &amp; School Finance rule 2</x:v>
      </x:c>
      <x:c r="G495" s="339" t="str">
        <x:v>A payment allocation cannot exceed the eligible open balance unless overpayment handling is configured.</x:v>
      </x:c>
      <x:c r="H495" s="339" t="str">
        <x:v>Enforced in service/domain layer and reflected in UI validation/action availability.</x:v>
      </x:c>
      <x:c r="I495" s="339" t="str">
        <x:v>High</x:v>
      </x:c>
      <x:c r="J495" s="339" t="str">
        <x:v>Only an explicitly configured authorized override may bypass a non-statutory rule; overrides require reason and audit.</x:v>
      </x:c>
    </x:row>
    <x:row r="496">
      <x:c r="A496" s="339" t="str">
        <x:v>BR-00495</x:v>
      </x:c>
      <x:c r="B496" s="339" t="str">
        <x:v>Screen Type</x:v>
      </x:c>
      <x:c r="C496" s="339" t="str">
        <x:v>SCR-165</x:v>
      </x:c>
      <x:c r="D496" s="339" t="str">
        <x:v>Fees &amp; Finance</x:v>
      </x:c>
      <x:c r="E496" s="339" t="str">
        <x:v>Refunds</x:v>
      </x:c>
      <x:c r="F496" s="339" t="str">
        <x:v>Workflow / Management integrity rule</x:v>
      </x:c>
      <x:c r="G496" s="339" t="str">
        <x:v>State transitions are explicit, role-controlled and auditable; invalid transitions are rejected.</x:v>
      </x:c>
      <x:c r="H496" s="339" t="str">
        <x:v>Domain/service validation plus UI affordances.</x:v>
      </x:c>
      <x:c r="I496" s="339" t="str">
        <x:v>High</x:v>
      </x:c>
      <x:c r="J496" s="339" t="str">
        <x:v>No silent bypass; approved overrides must be separately authorized and audited.</x:v>
      </x:c>
    </x:row>
    <x:row r="497">
      <x:c r="A497" s="339" t="str">
        <x:v>BR-00496</x:v>
      </x:c>
      <x:c r="B497" s="339" t="str">
        <x:v>Screen</x:v>
      </x:c>
      <x:c r="C497" s="339" t="str">
        <x:v>SCR-166</x:v>
      </x:c>
      <x:c r="D497" s="339" t="str">
        <x:v>Fees &amp; Finance</x:v>
      </x:c>
      <x:c r="E497" s="339" t="str">
        <x:v>Income</x:v>
      </x:c>
      <x:c r="F497" s="339" t="str">
        <x:v>Student Fees &amp; School Finance rule 1</x:v>
      </x:c>
      <x:c r="G497" s="339" t="str">
        <x:v>A payment allocation cannot exceed the eligible open balance unless overpayment handling is configured.</x:v>
      </x:c>
      <x:c r="H497" s="339" t="str">
        <x:v>Enforced in service/domain layer and reflected in UI validation/action availability.</x:v>
      </x:c>
      <x:c r="I497" s="339" t="str">
        <x:v>High</x:v>
      </x:c>
      <x:c r="J497" s="339" t="str">
        <x:v>Only an explicitly configured authorized override may bypass a non-statutory rule; overrides require reason and audit.</x:v>
      </x:c>
    </x:row>
    <x:row r="498">
      <x:c r="A498" s="339" t="str">
        <x:v>BR-00497</x:v>
      </x:c>
      <x:c r="B498" s="339" t="str">
        <x:v>Screen</x:v>
      </x:c>
      <x:c r="C498" s="339" t="str">
        <x:v>SCR-166</x:v>
      </x:c>
      <x:c r="D498" s="339" t="str">
        <x:v>Fees &amp; Finance</x:v>
      </x:c>
      <x:c r="E498" s="339" t="str">
        <x:v>Income</x:v>
      </x:c>
      <x:c r="F498" s="339" t="str">
        <x:v>Student Fees &amp; School Finance rule 2</x:v>
      </x:c>
      <x:c r="G498" s="339" t="str">
        <x:v>Receipts must have unique immutable numbers and reference the underlying payment transaction.</x:v>
      </x:c>
      <x:c r="H498" s="339" t="str">
        <x:v>Enforced in service/domain layer and reflected in UI validation/action availability.</x:v>
      </x:c>
      <x:c r="I498" s="339" t="str">
        <x:v>High</x:v>
      </x:c>
      <x:c r="J498" s="339" t="str">
        <x:v>Only an explicitly configured authorized override may bypass a non-statutory rule; overrides require reason and audit.</x:v>
      </x:c>
    </x:row>
    <x:row r="499">
      <x:c r="A499" s="339" t="str">
        <x:v>BR-00498</x:v>
      </x:c>
      <x:c r="B499" s="339" t="str">
        <x:v>Screen Type</x:v>
      </x:c>
      <x:c r="C499" s="339" t="str">
        <x:v>SCR-166</x:v>
      </x:c>
      <x:c r="D499" s="339" t="str">
        <x:v>Fees &amp; Finance</x:v>
      </x:c>
      <x:c r="E499" s="339" t="str">
        <x:v>Income</x:v>
      </x:c>
      <x:c r="F499" s="339" t="str">
        <x:v>Workflow / Management integrity rule</x:v>
      </x:c>
      <x:c r="G499" s="339" t="str">
        <x:v>State transitions are explicit, role-controlled and auditable; invalid transitions are rejected.</x:v>
      </x:c>
      <x:c r="H499" s="339" t="str">
        <x:v>Domain/service validation plus UI affordances.</x:v>
      </x:c>
      <x:c r="I499" s="339" t="str">
        <x:v>High</x:v>
      </x:c>
      <x:c r="J499" s="339" t="str">
        <x:v>No silent bypass; approved overrides must be separately authorized and audited.</x:v>
      </x:c>
    </x:row>
    <x:row r="500">
      <x:c r="A500" s="339" t="str">
        <x:v>BR-00499</x:v>
      </x:c>
      <x:c r="B500" s="339" t="str">
        <x:v>Screen</x:v>
      </x:c>
      <x:c r="C500" s="339" t="str">
        <x:v>SCR-167</x:v>
      </x:c>
      <x:c r="D500" s="339" t="str">
        <x:v>Fees &amp; Finance</x:v>
      </x:c>
      <x:c r="E500" s="339" t="str">
        <x:v>Expenses</x:v>
      </x:c>
      <x:c r="F500" s="339" t="str">
        <x:v>Student Fees &amp; School Finance rule 1</x:v>
      </x:c>
      <x:c r="G500" s="339" t="str">
        <x:v>Receipts must have unique immutable numbers and reference the underlying payment transaction.</x:v>
      </x:c>
      <x:c r="H500" s="339" t="str">
        <x:v>Enforced in service/domain layer and reflected in UI validation/action availability.</x:v>
      </x:c>
      <x:c r="I500" s="339" t="str">
        <x:v>High</x:v>
      </x:c>
      <x:c r="J500" s="339" t="str">
        <x:v>Only an explicitly configured authorized override may bypass a non-statutory rule; overrides require reason and audit.</x:v>
      </x:c>
    </x:row>
    <x:row r="501">
      <x:c r="A501" s="339" t="str">
        <x:v>BR-00500</x:v>
      </x:c>
      <x:c r="B501" s="339" t="str">
        <x:v>Screen</x:v>
      </x:c>
      <x:c r="C501" s="339" t="str">
        <x:v>SCR-167</x:v>
      </x:c>
      <x:c r="D501" s="339" t="str">
        <x:v>Fees &amp; Finance</x:v>
      </x:c>
      <x:c r="E501" s="339" t="str">
        <x:v>Expenses</x:v>
      </x:c>
      <x:c r="F501" s="339" t="str">
        <x:v>Student Fees &amp; School Finance rule 2</x:v>
      </x:c>
      <x:c r="G501" s="339" t="str">
        <x:v>Discounts, scholarships and waivers require configured authorization and cannot produce an invalid negative charge balance.</x:v>
      </x:c>
      <x:c r="H501" s="339" t="str">
        <x:v>Enforced in service/domain layer and reflected in UI validation/action availability.</x:v>
      </x:c>
      <x:c r="I501" s="339" t="str">
        <x:v>High</x:v>
      </x:c>
      <x:c r="J501" s="339" t="str">
        <x:v>Only an explicitly configured authorized override may bypass a non-statutory rule; overrides require reason and audit.</x:v>
      </x:c>
    </x:row>
    <x:row r="502">
      <x:c r="A502" s="339" t="str">
        <x:v>BR-00501</x:v>
      </x:c>
      <x:c r="B502" s="339" t="str">
        <x:v>Screen Type</x:v>
      </x:c>
      <x:c r="C502" s="339" t="str">
        <x:v>SCR-167</x:v>
      </x:c>
      <x:c r="D502" s="339" t="str">
        <x:v>Fees &amp; Finance</x:v>
      </x:c>
      <x:c r="E502" s="339" t="str">
        <x:v>Expenses</x:v>
      </x:c>
      <x:c r="F502" s="339" t="str">
        <x:v>Workflow / Management integrity rule</x:v>
      </x:c>
      <x:c r="G502" s="339" t="str">
        <x:v>State transitions are explicit, role-controlled and auditable; invalid transitions are rejected.</x:v>
      </x:c>
      <x:c r="H502" s="339" t="str">
        <x:v>Domain/service validation plus UI affordances.</x:v>
      </x:c>
      <x:c r="I502" s="339" t="str">
        <x:v>High</x:v>
      </x:c>
      <x:c r="J502" s="339" t="str">
        <x:v>No silent bypass; approved overrides must be separately authorized and audited.</x:v>
      </x:c>
    </x:row>
    <x:row r="503">
      <x:c r="A503" s="339" t="str">
        <x:v>BR-00502</x:v>
      </x:c>
      <x:c r="B503" s="339" t="str">
        <x:v>Screen</x:v>
      </x:c>
      <x:c r="C503" s="339" t="str">
        <x:v>SCR-168</x:v>
      </x:c>
      <x:c r="D503" s="339" t="str">
        <x:v>Fees &amp; Finance</x:v>
      </x:c>
      <x:c r="E503" s="339" t="str">
        <x:v>Vendor Management</x:v>
      </x:c>
      <x:c r="F503" s="339" t="str">
        <x:v>Student Fees &amp; School Finance rule 1</x:v>
      </x:c>
      <x:c r="G503" s="339" t="str">
        <x:v>Discounts, scholarships and waivers require configured authorization and cannot produce an invalid negative charge balance.</x:v>
      </x:c>
      <x:c r="H503" s="339" t="str">
        <x:v>Enforced in service/domain layer and reflected in UI validation/action availability.</x:v>
      </x:c>
      <x:c r="I503" s="339" t="str">
        <x:v>High</x:v>
      </x:c>
      <x:c r="J503" s="339" t="str">
        <x:v>Only an explicitly configured authorized override may bypass a non-statutory rule; overrides require reason and audit.</x:v>
      </x:c>
    </x:row>
    <x:row r="504">
      <x:c r="A504" s="339" t="str">
        <x:v>BR-00503</x:v>
      </x:c>
      <x:c r="B504" s="339" t="str">
        <x:v>Screen</x:v>
      </x:c>
      <x:c r="C504" s="339" t="str">
        <x:v>SCR-168</x:v>
      </x:c>
      <x:c r="D504" s="339" t="str">
        <x:v>Fees &amp; Finance</x:v>
      </x:c>
      <x:c r="E504" s="339" t="str">
        <x:v>Vendor Management</x:v>
      </x:c>
      <x:c r="F504" s="339" t="str">
        <x:v>Student Fees &amp; School Finance rule 2</x:v>
      </x:c>
      <x:c r="G504" s="339" t="str">
        <x:v>Outstanding balance is calculated from posted charges, fines, discounts/credits, payments and reversals.</x:v>
      </x:c>
      <x:c r="H504" s="339" t="str">
        <x:v>Enforced in service/domain layer and reflected in UI validation/action availability.</x:v>
      </x:c>
      <x:c r="I504" s="339" t="str">
        <x:v>High</x:v>
      </x:c>
      <x:c r="J504" s="339" t="str">
        <x:v>Only an explicitly configured authorized override may bypass a non-statutory rule; overrides require reason and audit.</x:v>
      </x:c>
    </x:row>
    <x:row r="505">
      <x:c r="A505" s="339" t="str">
        <x:v>BR-00504</x:v>
      </x:c>
      <x:c r="B505" s="339" t="str">
        <x:v>Screen Type</x:v>
      </x:c>
      <x:c r="C505" s="339" t="str">
        <x:v>SCR-168</x:v>
      </x:c>
      <x:c r="D505" s="339" t="str">
        <x:v>Fees &amp; Finance</x:v>
      </x:c>
      <x:c r="E505" s="339" t="str">
        <x:v>Vendor Management</x:v>
      </x:c>
      <x:c r="F505" s="339" t="str">
        <x:v>Workflow / Management integrity rule</x:v>
      </x:c>
      <x:c r="G505" s="339" t="str">
        <x:v>State transitions are explicit, role-controlled and auditable; invalid transitions are rejected.</x:v>
      </x:c>
      <x:c r="H505" s="339" t="str">
        <x:v>Domain/service validation plus UI affordances.</x:v>
      </x:c>
      <x:c r="I505" s="339" t="str">
        <x:v>High</x:v>
      </x:c>
      <x:c r="J505" s="339" t="str">
        <x:v>No silent bypass; approved overrides must be separately authorized and audited.</x:v>
      </x:c>
    </x:row>
    <x:row r="506">
      <x:c r="A506" s="339" t="str">
        <x:v>BR-00505</x:v>
      </x:c>
      <x:c r="B506" s="339" t="str">
        <x:v>Screen</x:v>
      </x:c>
      <x:c r="C506" s="339" t="str">
        <x:v>SCR-169</x:v>
      </x:c>
      <x:c r="D506" s="339" t="str">
        <x:v>Fees &amp; Finance</x:v>
      </x:c>
      <x:c r="E506" s="339" t="str">
        <x:v>Purchase / Payment</x:v>
      </x:c>
      <x:c r="F506" s="339" t="str">
        <x:v>Student Fees &amp; School Finance rule 1</x:v>
      </x:c>
      <x:c r="G506" s="339" t="str">
        <x:v>Outstanding balance is calculated from posted charges, fines, discounts/credits, payments and reversals.</x:v>
      </x:c>
      <x:c r="H506" s="339" t="str">
        <x:v>Enforced in service/domain layer and reflected in UI validation/action availability.</x:v>
      </x:c>
      <x:c r="I506" s="339" t="str">
        <x:v>High</x:v>
      </x:c>
      <x:c r="J506" s="339" t="str">
        <x:v>Only an explicitly configured authorized override may bypass a non-statutory rule; overrides require reason and audit.</x:v>
      </x:c>
    </x:row>
    <x:row r="507">
      <x:c r="A507" s="339" t="str">
        <x:v>BR-00506</x:v>
      </x:c>
      <x:c r="B507" s="339" t="str">
        <x:v>Screen</x:v>
      </x:c>
      <x:c r="C507" s="339" t="str">
        <x:v>SCR-169</x:v>
      </x:c>
      <x:c r="D507" s="339" t="str">
        <x:v>Fees &amp; Finance</x:v>
      </x:c>
      <x:c r="E507" s="339" t="str">
        <x:v>Purchase / Payment</x:v>
      </x:c>
      <x:c r="F507" s="339" t="str">
        <x:v>Student Fees &amp; School Finance rule 2</x:v>
      </x:c>
      <x:c r="G507" s="339" t="str">
        <x:v>Posted financial transactions must not be hard-deleted; corrections use reversal/refund/credit mechanisms.</x:v>
      </x:c>
      <x:c r="H507" s="339" t="str">
        <x:v>Enforced in service/domain layer and reflected in UI validation/action availability.</x:v>
      </x:c>
      <x:c r="I507" s="339" t="str">
        <x:v>High</x:v>
      </x:c>
      <x:c r="J507" s="339" t="str">
        <x:v>Only an explicitly configured authorized override may bypass a non-statutory rule; overrides require reason and audit.</x:v>
      </x:c>
    </x:row>
    <x:row r="508">
      <x:c r="A508" s="339" t="str">
        <x:v>BR-00507</x:v>
      </x:c>
      <x:c r="B508" s="339" t="str">
        <x:v>Screen Type</x:v>
      </x:c>
      <x:c r="C508" s="339" t="str">
        <x:v>SCR-169</x:v>
      </x:c>
      <x:c r="D508" s="339" t="str">
        <x:v>Fees &amp; Finance</x:v>
      </x:c>
      <x:c r="E508" s="339" t="str">
        <x:v>Purchase / Payment</x:v>
      </x:c>
      <x:c r="F508" s="339" t="str">
        <x:v>Workflow / Management integrity rule</x:v>
      </x:c>
      <x:c r="G508" s="339" t="str">
        <x:v>State transitions are explicit, role-controlled and auditable; invalid transitions are rejected.</x:v>
      </x:c>
      <x:c r="H508" s="339" t="str">
        <x:v>Domain/service validation plus UI affordances.</x:v>
      </x:c>
      <x:c r="I508" s="339" t="str">
        <x:v>High</x:v>
      </x:c>
      <x:c r="J508" s="339" t="str">
        <x:v>No silent bypass; approved overrides must be separately authorized and audited.</x:v>
      </x:c>
    </x:row>
    <x:row r="509">
      <x:c r="A509" s="339" t="str">
        <x:v>BR-00508</x:v>
      </x:c>
      <x:c r="B509" s="339" t="str">
        <x:v>Screen</x:v>
      </x:c>
      <x:c r="C509" s="339" t="str">
        <x:v>SCR-170</x:v>
      </x:c>
      <x:c r="D509" s="339" t="str">
        <x:v>Fees &amp; Finance</x:v>
      </x:c>
      <x:c r="E509" s="339" t="str">
        <x:v>Cash &amp; Bank Book</x:v>
      </x:c>
      <x:c r="F509" s="339" t="str">
        <x:v>Student Fees &amp; School Finance rule 1</x:v>
      </x:c>
      <x:c r="G509" s="339" t="str">
        <x:v>Posted financial transactions must not be hard-deleted; corrections use reversal/refund/credit mechanisms.</x:v>
      </x:c>
      <x:c r="H509" s="339" t="str">
        <x:v>Enforced in service/domain layer and reflected in UI validation/action availability.</x:v>
      </x:c>
      <x:c r="I509" s="339" t="str">
        <x:v>High</x:v>
      </x:c>
      <x:c r="J509" s="339" t="str">
        <x:v>Only an explicitly configured authorized override may bypass a non-statutory rule; overrides require reason and audit.</x:v>
      </x:c>
    </x:row>
    <x:row r="510">
      <x:c r="A510" s="339" t="str">
        <x:v>BR-00509</x:v>
      </x:c>
      <x:c r="B510" s="339" t="str">
        <x:v>Screen</x:v>
      </x:c>
      <x:c r="C510" s="339" t="str">
        <x:v>SCR-170</x:v>
      </x:c>
      <x:c r="D510" s="339" t="str">
        <x:v>Fees &amp; Finance</x:v>
      </x:c>
      <x:c r="E510" s="339" t="str">
        <x:v>Cash &amp; Bank Book</x:v>
      </x:c>
      <x:c r="F510" s="339" t="str">
        <x:v>Student Fees &amp; School Finance rule 2</x:v>
      </x:c>
      <x:c r="G510" s="339" t="str">
        <x:v>A payment allocation cannot exceed the eligible open balance unless overpayment handling is configured.</x:v>
      </x:c>
      <x:c r="H510" s="339" t="str">
        <x:v>Enforced in service/domain layer and reflected in UI validation/action availability.</x:v>
      </x:c>
      <x:c r="I510" s="339" t="str">
        <x:v>High</x:v>
      </x:c>
      <x:c r="J510" s="339" t="str">
        <x:v>Only an explicitly configured authorized override may bypass a non-statutory rule; overrides require reason and audit.</x:v>
      </x:c>
    </x:row>
    <x:row r="511">
      <x:c r="A511" s="339" t="str">
        <x:v>BR-00510</x:v>
      </x:c>
      <x:c r="B511" s="339" t="str">
        <x:v>Screen Type</x:v>
      </x:c>
      <x:c r="C511" s="339" t="str">
        <x:v>SCR-170</x:v>
      </x:c>
      <x:c r="D511" s="339" t="str">
        <x:v>Fees &amp; Finance</x:v>
      </x:c>
      <x:c r="E511" s="339" t="str">
        <x:v>Cash &amp; Bank Book</x:v>
      </x:c>
      <x:c r="F511" s="339" t="str">
        <x:v>Workflow / Management integrity rule</x:v>
      </x:c>
      <x:c r="G511" s="339" t="str">
        <x:v>State transitions are explicit, role-controlled and auditable; invalid transitions are rejected.</x:v>
      </x:c>
      <x:c r="H511" s="339" t="str">
        <x:v>Domain/service validation plus UI affordances.</x:v>
      </x:c>
      <x:c r="I511" s="339" t="str">
        <x:v>High</x:v>
      </x:c>
      <x:c r="J511" s="339" t="str">
        <x:v>No silent bypass; approved overrides must be separately authorized and audited.</x:v>
      </x:c>
    </x:row>
    <x:row r="512">
      <x:c r="A512" s="339" t="str">
        <x:v>BR-00511</x:v>
      </x:c>
      <x:c r="B512" s="339" t="str">
        <x:v>Screen</x:v>
      </x:c>
      <x:c r="C512" s="339" t="str">
        <x:v>SCR-171</x:v>
      </x:c>
      <x:c r="D512" s="339" t="str">
        <x:v>Fees &amp; Finance</x:v>
      </x:c>
      <x:c r="E512" s="339" t="str">
        <x:v>Finance Reports</x:v>
      </x:c>
      <x:c r="F512" s="339" t="str">
        <x:v>Student Fees &amp; School Finance rule 1</x:v>
      </x:c>
      <x:c r="G512" s="339" t="str">
        <x:v>A payment allocation cannot exceed the eligible open balance unless overpayment handling is configured.</x:v>
      </x:c>
      <x:c r="H512" s="339" t="str">
        <x:v>Enforced in service/domain layer and reflected in UI validation/action availability.</x:v>
      </x:c>
      <x:c r="I512" s="339" t="str">
        <x:v>High</x:v>
      </x:c>
      <x:c r="J512" s="339" t="str">
        <x:v>Only an explicitly configured authorized override may bypass a non-statutory rule; overrides require reason and audit.</x:v>
      </x:c>
    </x:row>
    <x:row r="513">
      <x:c r="A513" s="339" t="str">
        <x:v>BR-00512</x:v>
      </x:c>
      <x:c r="B513" s="339" t="str">
        <x:v>Screen</x:v>
      </x:c>
      <x:c r="C513" s="339" t="str">
        <x:v>SCR-171</x:v>
      </x:c>
      <x:c r="D513" s="339" t="str">
        <x:v>Fees &amp; Finance</x:v>
      </x:c>
      <x:c r="E513" s="339" t="str">
        <x:v>Finance Reports</x:v>
      </x:c>
      <x:c r="F513" s="339" t="str">
        <x:v>Student Fees &amp; School Finance rule 2</x:v>
      </x:c>
      <x:c r="G513" s="339" t="str">
        <x:v>Receipts must have unique immutable numbers and reference the underlying payment transaction.</x:v>
      </x:c>
      <x:c r="H513" s="339" t="str">
        <x:v>Enforced in service/domain layer and reflected in UI validation/action availability.</x:v>
      </x:c>
      <x:c r="I513" s="339" t="str">
        <x:v>High</x:v>
      </x:c>
      <x:c r="J513" s="339" t="str">
        <x:v>Only an explicitly configured authorized override may bypass a non-statutory rule; overrides require reason and audit.</x:v>
      </x:c>
    </x:row>
    <x:row r="514">
      <x:c r="A514" s="339" t="str">
        <x:v>BR-00513</x:v>
      </x:c>
      <x:c r="B514" s="339" t="str">
        <x:v>Screen Type</x:v>
      </x:c>
      <x:c r="C514" s="339" t="str">
        <x:v>SCR-171</x:v>
      </x:c>
      <x:c r="D514" s="339" t="str">
        <x:v>Fees &amp; Finance</x:v>
      </x:c>
      <x:c r="E514" s="339" t="str">
        <x:v>Finance Reports</x:v>
      </x:c>
      <x:c r="F514" s="339" t="str">
        <x:v>Report / Analytics integrity rule</x:v>
      </x:c>
      <x:c r="G514" s="339" t="str">
        <x:v>Report formulas and filters must be deterministic, documented and export the same visible scope.</x:v>
      </x:c>
      <x:c r="H514" s="339" t="str">
        <x:v>Domain/service validation plus UI affordances.</x:v>
      </x:c>
      <x:c r="I514" s="339" t="str">
        <x:v>High</x:v>
      </x:c>
      <x:c r="J514" s="339" t="str">
        <x:v>No silent bypass; approved overrides must be separately authorized and audited.</x:v>
      </x:c>
    </x:row>
    <x:row r="515">
      <x:c r="A515" s="339" t="str">
        <x:v>BR-00514</x:v>
      </x:c>
      <x:c r="B515" s="339" t="str">
        <x:v>Screen</x:v>
      </x:c>
      <x:c r="C515" s="339" t="str">
        <x:v>SCR-172</x:v>
      </x:c>
      <x:c r="D515" s="339" t="str">
        <x:v>HR / Leave / Payroll</x:v>
      </x:c>
      <x:c r="E515" s="339" t="str">
        <x:v>Recruitment Requisitions</x:v>
      </x:c>
      <x:c r="F515" s="339" t="str">
        <x:v>HR, Leave &amp; Payroll rule 1</x:v>
      </x:c>
      <x:c r="G515" s="339" t="str">
        <x:v>Payroll for a period must be versioned/locked after approval; later corrections require adjustment runs.</x:v>
      </x:c>
      <x:c r="H515" s="339" t="str">
        <x:v>Enforced in service/domain layer and reflected in UI validation/action availability.</x:v>
      </x:c>
      <x:c r="I515" s="339" t="str">
        <x:v>Medium</x:v>
      </x:c>
      <x:c r="J515" s="339" t="str">
        <x:v>Only an explicitly configured authorized override may bypass a non-statutory rule; overrides require reason and audit.</x:v>
      </x:c>
    </x:row>
    <x:row r="516">
      <x:c r="A516" s="339" t="str">
        <x:v>BR-00515</x:v>
      </x:c>
      <x:c r="B516" s="339" t="str">
        <x:v>Screen</x:v>
      </x:c>
      <x:c r="C516" s="339" t="str">
        <x:v>SCR-172</x:v>
      </x:c>
      <x:c r="D516" s="339" t="str">
        <x:v>HR / Leave / Payroll</x:v>
      </x:c>
      <x:c r="E516" s="339" t="str">
        <x:v>Recruitment Requisitions</x:v>
      </x:c>
      <x:c r="F516" s="339" t="str">
        <x:v>HR, Leave &amp; Payroll rule 2</x:v>
      </x:c>
      <x:c r="G516" s="339" t="str">
        <x:v>Net pay cannot be finalized until all mandatory earnings/deductions and statutory rules are resolved.</x:v>
      </x:c>
      <x:c r="H516" s="339" t="str">
        <x:v>Enforced in service/domain layer and reflected in UI validation/action availability.</x:v>
      </x:c>
      <x:c r="I516" s="339" t="str">
        <x:v>Medium</x:v>
      </x:c>
      <x:c r="J516" s="339" t="str">
        <x:v>Only an explicitly configured authorized override may bypass a non-statutory rule; overrides require reason and audit.</x:v>
      </x:c>
    </x:row>
    <x:row r="517">
      <x:c r="A517" s="339" t="str">
        <x:v>BR-00516</x:v>
      </x:c>
      <x:c r="B517" s="339" t="str">
        <x:v>Screen Type</x:v>
      </x:c>
      <x:c r="C517" s="339" t="str">
        <x:v>SCR-172</x:v>
      </x:c>
      <x:c r="D517" s="339" t="str">
        <x:v>HR / Leave / Payroll</x:v>
      </x:c>
      <x:c r="E517" s="339" t="str">
        <x:v>Recruitment Requisitions</x:v>
      </x:c>
      <x:c r="F517" s="339" t="str">
        <x:v>Workflow / Management integrity rule</x:v>
      </x:c>
      <x:c r="G517" s="339" t="str">
        <x:v>State transitions are explicit, role-controlled and auditable; invalid transitions are rejected.</x:v>
      </x:c>
      <x:c r="H517" s="339" t="str">
        <x:v>Domain/service validation plus UI affordances.</x:v>
      </x:c>
      <x:c r="I517" s="339" t="str">
        <x:v>High</x:v>
      </x:c>
      <x:c r="J517" s="339" t="str">
        <x:v>No silent bypass; approved overrides must be separately authorized and audited.</x:v>
      </x:c>
    </x:row>
    <x:row r="518">
      <x:c r="A518" s="339" t="str">
        <x:v>BR-00517</x:v>
      </x:c>
      <x:c r="B518" s="339" t="str">
        <x:v>Screen</x:v>
      </x:c>
      <x:c r="C518" s="339" t="str">
        <x:v>SCR-173</x:v>
      </x:c>
      <x:c r="D518" s="339" t="str">
        <x:v>HR / Leave / Payroll</x:v>
      </x:c>
      <x:c r="E518" s="339" t="str">
        <x:v>Job Openings</x:v>
      </x:c>
      <x:c r="F518" s="339" t="str">
        <x:v>HR, Leave &amp; Payroll rule 1</x:v>
      </x:c>
      <x:c r="G518" s="339" t="str">
        <x:v>Net pay cannot be finalized until all mandatory earnings/deductions and statutory rules are resolved.</x:v>
      </x:c>
      <x:c r="H518" s="339" t="str">
        <x:v>Enforced in service/domain layer and reflected in UI validation/action availability.</x:v>
      </x:c>
      <x:c r="I518" s="339" t="str">
        <x:v>Medium</x:v>
      </x:c>
      <x:c r="J518" s="339" t="str">
        <x:v>Only an explicitly configured authorized override may bypass a non-statutory rule; overrides require reason and audit.</x:v>
      </x:c>
    </x:row>
    <x:row r="519">
      <x:c r="A519" s="339" t="str">
        <x:v>BR-00518</x:v>
      </x:c>
      <x:c r="B519" s="339" t="str">
        <x:v>Screen</x:v>
      </x:c>
      <x:c r="C519" s="339" t="str">
        <x:v>SCR-173</x:v>
      </x:c>
      <x:c r="D519" s="339" t="str">
        <x:v>HR / Leave / Payroll</x:v>
      </x:c>
      <x:c r="E519" s="339" t="str">
        <x:v>Job Openings</x:v>
      </x:c>
      <x:c r="F519" s="339" t="str">
        <x:v>HR, Leave &amp; Payroll rule 2</x:v>
      </x:c>
      <x:c r="G519" s="339" t="str">
        <x:v>Sensitive compensation data is restricted to authorized HR/finance roles and the employee's own record.</x:v>
      </x:c>
      <x:c r="H519" s="339" t="str">
        <x:v>Enforced in service/domain layer and reflected in UI validation/action availability.</x:v>
      </x:c>
      <x:c r="I519" s="339" t="str">
        <x:v>Medium</x:v>
      </x:c>
      <x:c r="J519" s="339" t="str">
        <x:v>Only an explicitly configured authorized override may bypass a non-statutory rule; overrides require reason and audit.</x:v>
      </x:c>
    </x:row>
    <x:row r="520">
      <x:c r="A520" s="339" t="str">
        <x:v>BR-00519</x:v>
      </x:c>
      <x:c r="B520" s="339" t="str">
        <x:v>Screen Type</x:v>
      </x:c>
      <x:c r="C520" s="339" t="str">
        <x:v>SCR-173</x:v>
      </x:c>
      <x:c r="D520" s="339" t="str">
        <x:v>HR / Leave / Payroll</x:v>
      </x:c>
      <x:c r="E520" s="339" t="str">
        <x:v>Job Openings</x:v>
      </x:c>
      <x:c r="F520" s="339" t="str">
        <x:v>List / Management integrity rule</x:v>
      </x:c>
      <x:c r="G520" s="339" t="str">
        <x:v>Search, filters, exports and row actions must preserve the same authorization scope.</x:v>
      </x:c>
      <x:c r="H520" s="339" t="str">
        <x:v>Domain/service validation plus UI affordances.</x:v>
      </x:c>
      <x:c r="I520" s="339" t="str">
        <x:v>High</x:v>
      </x:c>
      <x:c r="J520" s="339" t="str">
        <x:v>No silent bypass; approved overrides must be separately authorized and audited.</x:v>
      </x:c>
    </x:row>
    <x:row r="521">
      <x:c r="A521" s="339" t="str">
        <x:v>BR-00520</x:v>
      </x:c>
      <x:c r="B521" s="339" t="str">
        <x:v>Screen</x:v>
      </x:c>
      <x:c r="C521" s="339" t="str">
        <x:v>SCR-174</x:v>
      </x:c>
      <x:c r="D521" s="339" t="str">
        <x:v>HR / Leave / Payroll</x:v>
      </x:c>
      <x:c r="E521" s="339" t="str">
        <x:v>Candidate Applications</x:v>
      </x:c>
      <x:c r="F521" s="339" t="str">
        <x:v>HR, Leave &amp; Payroll rule 1</x:v>
      </x:c>
      <x:c r="G521" s="339" t="str">
        <x:v>Sensitive compensation data is restricted to authorized HR/finance roles and the employee's own record.</x:v>
      </x:c>
      <x:c r="H521" s="339" t="str">
        <x:v>Enforced in service/domain layer and reflected in UI validation/action availability.</x:v>
      </x:c>
      <x:c r="I521" s="339" t="str">
        <x:v>Medium</x:v>
      </x:c>
      <x:c r="J521" s="339" t="str">
        <x:v>Only an explicitly configured authorized override may bypass a non-statutory rule; overrides require reason and audit.</x:v>
      </x:c>
    </x:row>
    <x:row r="522">
      <x:c r="A522" s="339" t="str">
        <x:v>BR-00521</x:v>
      </x:c>
      <x:c r="B522" s="339" t="str">
        <x:v>Screen</x:v>
      </x:c>
      <x:c r="C522" s="339" t="str">
        <x:v>SCR-174</x:v>
      </x:c>
      <x:c r="D522" s="339" t="str">
        <x:v>HR / Leave / Payroll</x:v>
      </x:c>
      <x:c r="E522" s="339" t="str">
        <x:v>Candidate Applications</x:v>
      </x:c>
      <x:c r="F522" s="339" t="str">
        <x:v>HR, Leave &amp; Payroll rule 2</x:v>
      </x:c>
      <x:c r="G522" s="339" t="str">
        <x:v>Leave approvals must respect leave balance, policy, employment status and approval hierarchy.</x:v>
      </x:c>
      <x:c r="H522" s="339" t="str">
        <x:v>Enforced in service/domain layer and reflected in UI validation/action availability.</x:v>
      </x:c>
      <x:c r="I522" s="339" t="str">
        <x:v>Medium</x:v>
      </x:c>
      <x:c r="J522" s="339" t="str">
        <x:v>Only an explicitly configured authorized override may bypass a non-statutory rule; overrides require reason and audit.</x:v>
      </x:c>
    </x:row>
    <x:row r="523">
      <x:c r="A523" s="339" t="str">
        <x:v>BR-00522</x:v>
      </x:c>
      <x:c r="B523" s="339" t="str">
        <x:v>Screen Type</x:v>
      </x:c>
      <x:c r="C523" s="339" t="str">
        <x:v>SCR-174</x:v>
      </x:c>
      <x:c r="D523" s="339" t="str">
        <x:v>HR / Leave / Payroll</x:v>
      </x:c>
      <x:c r="E523" s="339" t="str">
        <x:v>Candidate Applications</x:v>
      </x:c>
      <x:c r="F523" s="339" t="str">
        <x:v>List / Management integrity rule</x:v>
      </x:c>
      <x:c r="G523" s="339" t="str">
        <x:v>Search, filters, exports and row actions must preserve the same authorization scope.</x:v>
      </x:c>
      <x:c r="H523" s="339" t="str">
        <x:v>Domain/service validation plus UI affordances.</x:v>
      </x:c>
      <x:c r="I523" s="339" t="str">
        <x:v>High</x:v>
      </x:c>
      <x:c r="J523" s="339" t="str">
        <x:v>No silent bypass; approved overrides must be separately authorized and audited.</x:v>
      </x:c>
    </x:row>
    <x:row r="524">
      <x:c r="A524" s="339" t="str">
        <x:v>BR-00523</x:v>
      </x:c>
      <x:c r="B524" s="339" t="str">
        <x:v>Screen</x:v>
      </x:c>
      <x:c r="C524" s="339" t="str">
        <x:v>SCR-175</x:v>
      </x:c>
      <x:c r="D524" s="339" t="str">
        <x:v>HR / Leave / Payroll</x:v>
      </x:c>
      <x:c r="E524" s="339" t="str">
        <x:v>Candidate Details</x:v>
      </x:c>
      <x:c r="F524" s="339" t="str">
        <x:v>HR, Leave &amp; Payroll rule 1</x:v>
      </x:c>
      <x:c r="G524" s="339" t="str">
        <x:v>Leave approvals must respect leave balance, policy, employment status and approval hierarchy.</x:v>
      </x:c>
      <x:c r="H524" s="339" t="str">
        <x:v>Enforced in service/domain layer and reflected in UI validation/action availability.</x:v>
      </x:c>
      <x:c r="I524" s="339" t="str">
        <x:v>Medium</x:v>
      </x:c>
      <x:c r="J524" s="339" t="str">
        <x:v>Only an explicitly configured authorized override may bypass a non-statutory rule; overrides require reason and audit.</x:v>
      </x:c>
    </x:row>
    <x:row r="525">
      <x:c r="A525" s="339" t="str">
        <x:v>BR-00524</x:v>
      </x:c>
      <x:c r="B525" s="339" t="str">
        <x:v>Screen</x:v>
      </x:c>
      <x:c r="C525" s="339" t="str">
        <x:v>SCR-175</x:v>
      </x:c>
      <x:c r="D525" s="339" t="str">
        <x:v>HR / Leave / Payroll</x:v>
      </x:c>
      <x:c r="E525" s="339" t="str">
        <x:v>Candidate Details</x:v>
      </x:c>
      <x:c r="F525" s="339" t="str">
        <x:v>HR, Leave &amp; Payroll rule 2</x:v>
      </x:c>
      <x:c r="G525" s="339" t="str">
        <x:v>Approved leave and attendance adjustments must feed payroll according to configured policies.</x:v>
      </x:c>
      <x:c r="H525" s="339" t="str">
        <x:v>Enforced in service/domain layer and reflected in UI validation/action availability.</x:v>
      </x:c>
      <x:c r="I525" s="339" t="str">
        <x:v>Medium</x:v>
      </x:c>
      <x:c r="J525" s="339" t="str">
        <x:v>Only an explicitly configured authorized override may bypass a non-statutory rule; overrides require reason and audit.</x:v>
      </x:c>
    </x:row>
    <x:row r="526">
      <x:c r="A526" s="339" t="str">
        <x:v>BR-00525</x:v>
      </x:c>
      <x:c r="B526" s="339" t="str">
        <x:v>Screen Type</x:v>
      </x:c>
      <x:c r="C526" s="339" t="str">
        <x:v>SCR-175</x:v>
      </x:c>
      <x:c r="D526" s="339" t="str">
        <x:v>HR / Leave / Payroll</x:v>
      </x:c>
      <x:c r="E526" s="339" t="str">
        <x:v>Candidate Details</x:v>
      </x:c>
      <x:c r="F526" s="339" t="str">
        <x:v>Detail / Profile integrity rule</x:v>
      </x:c>
      <x:c r="G526" s="339" t="str">
        <x:v>Concurrent updates must not silently overwrite newer data; material edits are audited.</x:v>
      </x:c>
      <x:c r="H526" s="339" t="str">
        <x:v>Domain/service validation plus UI affordances.</x:v>
      </x:c>
      <x:c r="I526" s="339" t="str">
        <x:v>High</x:v>
      </x:c>
      <x:c r="J526" s="339" t="str">
        <x:v>No silent bypass; approved overrides must be separately authorized and audited.</x:v>
      </x:c>
    </x:row>
    <x:row r="527">
      <x:c r="A527" s="339" t="str">
        <x:v>BR-00526</x:v>
      </x:c>
      <x:c r="B527" s="339" t="str">
        <x:v>Screen</x:v>
      </x:c>
      <x:c r="C527" s="339" t="str">
        <x:v>SCR-176</x:v>
      </x:c>
      <x:c r="D527" s="339" t="str">
        <x:v>HR / Leave / Payroll</x:v>
      </x:c>
      <x:c r="E527" s="339" t="str">
        <x:v>Interview Schedule</x:v>
      </x:c>
      <x:c r="F527" s="339" t="str">
        <x:v>HR, Leave &amp; Payroll rule 1</x:v>
      </x:c>
      <x:c r="G527" s="339" t="str">
        <x:v>Approved leave and attendance adjustments must feed payroll according to configured policies.</x:v>
      </x:c>
      <x:c r="H527" s="339" t="str">
        <x:v>Enforced in service/domain layer and reflected in UI validation/action availability.</x:v>
      </x:c>
      <x:c r="I527" s="339" t="str">
        <x:v>Medium</x:v>
      </x:c>
      <x:c r="J527" s="339" t="str">
        <x:v>Only an explicitly configured authorized override may bypass a non-statutory rule; overrides require reason and audit.</x:v>
      </x:c>
    </x:row>
    <x:row r="528">
      <x:c r="A528" s="339" t="str">
        <x:v>BR-00527</x:v>
      </x:c>
      <x:c r="B528" s="339" t="str">
        <x:v>Screen</x:v>
      </x:c>
      <x:c r="C528" s="339" t="str">
        <x:v>SCR-176</x:v>
      </x:c>
      <x:c r="D528" s="339" t="str">
        <x:v>HR / Leave / Payroll</x:v>
      </x:c>
      <x:c r="E528" s="339" t="str">
        <x:v>Interview Schedule</x:v>
      </x:c>
      <x:c r="F528" s="339" t="str">
        <x:v>HR, Leave &amp; Payroll rule 2</x:v>
      </x:c>
      <x:c r="G528" s="339" t="str">
        <x:v>Payroll for a period must be versioned/locked after approval; later corrections require adjustment runs.</x:v>
      </x:c>
      <x:c r="H528" s="339" t="str">
        <x:v>Enforced in service/domain layer and reflected in UI validation/action availability.</x:v>
      </x:c>
      <x:c r="I528" s="339" t="str">
        <x:v>Medium</x:v>
      </x:c>
      <x:c r="J528" s="339" t="str">
        <x:v>Only an explicitly configured authorized override may bypass a non-statutory rule; overrides require reason and audit.</x:v>
      </x:c>
    </x:row>
    <x:row r="529">
      <x:c r="A529" s="339" t="str">
        <x:v>BR-00528</x:v>
      </x:c>
      <x:c r="B529" s="339" t="str">
        <x:v>Screen Type</x:v>
      </x:c>
      <x:c r="C529" s="339" t="str">
        <x:v>SCR-176</x:v>
      </x:c>
      <x:c r="D529" s="339" t="str">
        <x:v>HR / Leave / Payroll</x:v>
      </x:c>
      <x:c r="E529" s="339" t="str">
        <x:v>Interview Schedule</x:v>
      </x:c>
      <x:c r="F529" s="339" t="str">
        <x:v>Calendar / Schedule integrity rule</x:v>
      </x:c>
      <x:c r="G529" s="339" t="str">
        <x:v>Conflicting active resource/time allocations are blocked or require explicit authorized override.</x:v>
      </x:c>
      <x:c r="H529" s="339" t="str">
        <x:v>Domain/service validation plus UI affordances.</x:v>
      </x:c>
      <x:c r="I529" s="339" t="str">
        <x:v>High</x:v>
      </x:c>
      <x:c r="J529" s="339" t="str">
        <x:v>No silent bypass; approved overrides must be separately authorized and audited.</x:v>
      </x:c>
    </x:row>
    <x:row r="530">
      <x:c r="A530" s="339" t="str">
        <x:v>BR-00529</x:v>
      </x:c>
      <x:c r="B530" s="339" t="str">
        <x:v>Screen</x:v>
      </x:c>
      <x:c r="C530" s="339" t="str">
        <x:v>SCR-177</x:v>
      </x:c>
      <x:c r="D530" s="339" t="str">
        <x:v>HR / Leave / Payroll</x:v>
      </x:c>
      <x:c r="E530" s="339" t="str">
        <x:v>Offer &amp; Appointment</x:v>
      </x:c>
      <x:c r="F530" s="339" t="str">
        <x:v>HR, Leave &amp; Payroll rule 1</x:v>
      </x:c>
      <x:c r="G530" s="339" t="str">
        <x:v>Payroll for a period must be versioned/locked after approval; later corrections require adjustment runs.</x:v>
      </x:c>
      <x:c r="H530" s="339" t="str">
        <x:v>Enforced in service/domain layer and reflected in UI validation/action availability.</x:v>
      </x:c>
      <x:c r="I530" s="339" t="str">
        <x:v>Medium</x:v>
      </x:c>
      <x:c r="J530" s="339" t="str">
        <x:v>Only an explicitly configured authorized override may bypass a non-statutory rule; overrides require reason and audit.</x:v>
      </x:c>
    </x:row>
    <x:row r="531">
      <x:c r="A531" s="339" t="str">
        <x:v>BR-00530</x:v>
      </x:c>
      <x:c r="B531" s="339" t="str">
        <x:v>Screen</x:v>
      </x:c>
      <x:c r="C531" s="339" t="str">
        <x:v>SCR-177</x:v>
      </x:c>
      <x:c r="D531" s="339" t="str">
        <x:v>HR / Leave / Payroll</x:v>
      </x:c>
      <x:c r="E531" s="339" t="str">
        <x:v>Offer &amp; Appointment</x:v>
      </x:c>
      <x:c r="F531" s="339" t="str">
        <x:v>HR, Leave &amp; Payroll rule 2</x:v>
      </x:c>
      <x:c r="G531" s="339" t="str">
        <x:v>Net pay cannot be finalized until all mandatory earnings/deductions and statutory rules are resolved.</x:v>
      </x:c>
      <x:c r="H531" s="339" t="str">
        <x:v>Enforced in service/domain layer and reflected in UI validation/action availability.</x:v>
      </x:c>
      <x:c r="I531" s="339" t="str">
        <x:v>Medium</x:v>
      </x:c>
      <x:c r="J531" s="339" t="str">
        <x:v>Only an explicitly configured authorized override may bypass a non-statutory rule; overrides require reason and audit.</x:v>
      </x:c>
    </x:row>
    <x:row r="532">
      <x:c r="A532" s="339" t="str">
        <x:v>BR-00531</x:v>
      </x:c>
      <x:c r="B532" s="339" t="str">
        <x:v>Screen Type</x:v>
      </x:c>
      <x:c r="C532" s="339" t="str">
        <x:v>SCR-177</x:v>
      </x:c>
      <x:c r="D532" s="339" t="str">
        <x:v>HR / Leave / Payroll</x:v>
      </x:c>
      <x:c r="E532" s="339" t="str">
        <x:v>Offer &amp; Appointment</x:v>
      </x:c>
      <x:c r="F532" s="339" t="str">
        <x:v>Workflow / Management integrity rule</x:v>
      </x:c>
      <x:c r="G532" s="339" t="str">
        <x:v>State transitions are explicit, role-controlled and auditable; invalid transitions are rejected.</x:v>
      </x:c>
      <x:c r="H532" s="339" t="str">
        <x:v>Domain/service validation plus UI affordances.</x:v>
      </x:c>
      <x:c r="I532" s="339" t="str">
        <x:v>High</x:v>
      </x:c>
      <x:c r="J532" s="339" t="str">
        <x:v>No silent bypass; approved overrides must be separately authorized and audited.</x:v>
      </x:c>
    </x:row>
    <x:row r="533">
      <x:c r="A533" s="339" t="str">
        <x:v>BR-00532</x:v>
      </x:c>
      <x:c r="B533" s="339" t="str">
        <x:v>Screen</x:v>
      </x:c>
      <x:c r="C533" s="339" t="str">
        <x:v>SCR-178</x:v>
      </x:c>
      <x:c r="D533" s="339" t="str">
        <x:v>HR / Leave / Payroll</x:v>
      </x:c>
      <x:c r="E533" s="339" t="str">
        <x:v>Employee Onboarding Checklist</x:v>
      </x:c>
      <x:c r="F533" s="339" t="str">
        <x:v>HR, Leave &amp; Payroll rule 1</x:v>
      </x:c>
      <x:c r="G533" s="339" t="str">
        <x:v>Net pay cannot be finalized until all mandatory earnings/deductions and statutory rules are resolved.</x:v>
      </x:c>
      <x:c r="H533" s="339" t="str">
        <x:v>Enforced in service/domain layer and reflected in UI validation/action availability.</x:v>
      </x:c>
      <x:c r="I533" s="339" t="str">
        <x:v>Medium</x:v>
      </x:c>
      <x:c r="J533" s="339" t="str">
        <x:v>Only an explicitly configured authorized override may bypass a non-statutory rule; overrides require reason and audit.</x:v>
      </x:c>
    </x:row>
    <x:row r="534">
      <x:c r="A534" s="339" t="str">
        <x:v>BR-00533</x:v>
      </x:c>
      <x:c r="B534" s="339" t="str">
        <x:v>Screen</x:v>
      </x:c>
      <x:c r="C534" s="339" t="str">
        <x:v>SCR-178</x:v>
      </x:c>
      <x:c r="D534" s="339" t="str">
        <x:v>HR / Leave / Payroll</x:v>
      </x:c>
      <x:c r="E534" s="339" t="str">
        <x:v>Employee Onboarding Checklist</x:v>
      </x:c>
      <x:c r="F534" s="339" t="str">
        <x:v>HR, Leave &amp; Payroll rule 2</x:v>
      </x:c>
      <x:c r="G534" s="339" t="str">
        <x:v>Sensitive compensation data is restricted to authorized HR/finance roles and the employee's own record.</x:v>
      </x:c>
      <x:c r="H534" s="339" t="str">
        <x:v>Enforced in service/domain layer and reflected in UI validation/action availability.</x:v>
      </x:c>
      <x:c r="I534" s="339" t="str">
        <x:v>Medium</x:v>
      </x:c>
      <x:c r="J534" s="339" t="str">
        <x:v>Only an explicitly configured authorized override may bypass a non-statutory rule; overrides require reason and audit.</x:v>
      </x:c>
    </x:row>
    <x:row r="535">
      <x:c r="A535" s="339" t="str">
        <x:v>BR-00534</x:v>
      </x:c>
      <x:c r="B535" s="339" t="str">
        <x:v>Screen Type</x:v>
      </x:c>
      <x:c r="C535" s="339" t="str">
        <x:v>SCR-178</x:v>
      </x:c>
      <x:c r="D535" s="339" t="str">
        <x:v>HR / Leave / Payroll</x:v>
      </x:c>
      <x:c r="E535" s="339" t="str">
        <x:v>Employee Onboarding Checklist</x:v>
      </x:c>
      <x:c r="F535" s="339" t="str">
        <x:v>List / Management integrity rule</x:v>
      </x:c>
      <x:c r="G535" s="339" t="str">
        <x:v>Search, filters, exports and row actions must preserve the same authorization scope.</x:v>
      </x:c>
      <x:c r="H535" s="339" t="str">
        <x:v>Domain/service validation plus UI affordances.</x:v>
      </x:c>
      <x:c r="I535" s="339" t="str">
        <x:v>High</x:v>
      </x:c>
      <x:c r="J535" s="339" t="str">
        <x:v>No silent bypass; approved overrides must be separately authorized and audited.</x:v>
      </x:c>
    </x:row>
    <x:row r="536">
      <x:c r="A536" s="339" t="str">
        <x:v>BR-00535</x:v>
      </x:c>
      <x:c r="B536" s="339" t="str">
        <x:v>Screen</x:v>
      </x:c>
      <x:c r="C536" s="339" t="str">
        <x:v>SCR-179</x:v>
      </x:c>
      <x:c r="D536" s="339" t="str">
        <x:v>HR / Leave / Payroll</x:v>
      </x:c>
      <x:c r="E536" s="339" t="str">
        <x:v>Staff Attendance Management</x:v>
      </x:c>
      <x:c r="F536" s="339" t="str">
        <x:v>HR, Leave &amp; Payroll rule 1</x:v>
      </x:c>
      <x:c r="G536" s="339" t="str">
        <x:v>Sensitive compensation data is restricted to authorized HR/finance roles and the employee's own record.</x:v>
      </x:c>
      <x:c r="H536" s="339" t="str">
        <x:v>Enforced in service/domain layer and reflected in UI validation/action availability.</x:v>
      </x:c>
      <x:c r="I536" s="339" t="str">
        <x:v>Medium</x:v>
      </x:c>
      <x:c r="J536" s="339" t="str">
        <x:v>Only an explicitly configured authorized override may bypass a non-statutory rule; overrides require reason and audit.</x:v>
      </x:c>
    </x:row>
    <x:row r="537">
      <x:c r="A537" s="339" t="str">
        <x:v>BR-00536</x:v>
      </x:c>
      <x:c r="B537" s="339" t="str">
        <x:v>Screen</x:v>
      </x:c>
      <x:c r="C537" s="339" t="str">
        <x:v>SCR-179</x:v>
      </x:c>
      <x:c r="D537" s="339" t="str">
        <x:v>HR / Leave / Payroll</x:v>
      </x:c>
      <x:c r="E537" s="339" t="str">
        <x:v>Staff Attendance Management</x:v>
      </x:c>
      <x:c r="F537" s="339" t="str">
        <x:v>HR, Leave &amp; Payroll rule 2</x:v>
      </x:c>
      <x:c r="G537" s="339" t="str">
        <x:v>Leave approvals must respect leave balance, policy, employment status and approval hierarchy.</x:v>
      </x:c>
      <x:c r="H537" s="339" t="str">
        <x:v>Enforced in service/domain layer and reflected in UI validation/action availability.</x:v>
      </x:c>
      <x:c r="I537" s="339" t="str">
        <x:v>Medium</x:v>
      </x:c>
      <x:c r="J537" s="339" t="str">
        <x:v>Only an explicitly configured authorized override may bypass a non-statutory rule; overrides require reason and audit.</x:v>
      </x:c>
    </x:row>
    <x:row r="538">
      <x:c r="A538" s="339" t="str">
        <x:v>BR-00537</x:v>
      </x:c>
      <x:c r="B538" s="339" t="str">
        <x:v>Screen Type</x:v>
      </x:c>
      <x:c r="C538" s="339" t="str">
        <x:v>SCR-179</x:v>
      </x:c>
      <x:c r="D538" s="339" t="str">
        <x:v>HR / Leave / Payroll</x:v>
      </x:c>
      <x:c r="E538" s="339" t="str">
        <x:v>Staff Attendance Management</x:v>
      </x:c>
      <x:c r="F538" s="339" t="str">
        <x:v>Workflow / Management integrity rule</x:v>
      </x:c>
      <x:c r="G538" s="339" t="str">
        <x:v>State transitions are explicit, role-controlled and auditable; invalid transitions are rejected.</x:v>
      </x:c>
      <x:c r="H538" s="339" t="str">
        <x:v>Domain/service validation plus UI affordances.</x:v>
      </x:c>
      <x:c r="I538" s="339" t="str">
        <x:v>High</x:v>
      </x:c>
      <x:c r="J538" s="339" t="str">
        <x:v>No silent bypass; approved overrides must be separately authorized and audited.</x:v>
      </x:c>
    </x:row>
    <x:row r="539">
      <x:c r="A539" s="339" t="str">
        <x:v>BR-00538</x:v>
      </x:c>
      <x:c r="B539" s="339" t="str">
        <x:v>Screen</x:v>
      </x:c>
      <x:c r="C539" s="339" t="str">
        <x:v>SCR-180</x:v>
      </x:c>
      <x:c r="D539" s="339" t="str">
        <x:v>HR / Leave / Payroll</x:v>
      </x:c>
      <x:c r="E539" s="339" t="str">
        <x:v>Leave Policies</x:v>
      </x:c>
      <x:c r="F539" s="339" t="str">
        <x:v>HR, Leave &amp; Payroll rule 1</x:v>
      </x:c>
      <x:c r="G539" s="339" t="str">
        <x:v>Leave approvals must respect leave balance, policy, employment status and approval hierarchy.</x:v>
      </x:c>
      <x:c r="H539" s="339" t="str">
        <x:v>Enforced in service/domain layer and reflected in UI validation/action availability.</x:v>
      </x:c>
      <x:c r="I539" s="339" t="str">
        <x:v>Medium</x:v>
      </x:c>
      <x:c r="J539" s="339" t="str">
        <x:v>Only an explicitly configured authorized override may bypass a non-statutory rule; overrides require reason and audit.</x:v>
      </x:c>
    </x:row>
    <x:row r="540">
      <x:c r="A540" s="339" t="str">
        <x:v>BR-00539</x:v>
      </x:c>
      <x:c r="B540" s="339" t="str">
        <x:v>Screen</x:v>
      </x:c>
      <x:c r="C540" s="339" t="str">
        <x:v>SCR-180</x:v>
      </x:c>
      <x:c r="D540" s="339" t="str">
        <x:v>HR / Leave / Payroll</x:v>
      </x:c>
      <x:c r="E540" s="339" t="str">
        <x:v>Leave Policies</x:v>
      </x:c>
      <x:c r="F540" s="339" t="str">
        <x:v>HR, Leave &amp; Payroll rule 2</x:v>
      </x:c>
      <x:c r="G540" s="339" t="str">
        <x:v>Approved leave and attendance adjustments must feed payroll according to configured policies.</x:v>
      </x:c>
      <x:c r="H540" s="339" t="str">
        <x:v>Enforced in service/domain layer and reflected in UI validation/action availability.</x:v>
      </x:c>
      <x:c r="I540" s="339" t="str">
        <x:v>Medium</x:v>
      </x:c>
      <x:c r="J540" s="339" t="str">
        <x:v>Only an explicitly configured authorized override may bypass a non-statutory rule; overrides require reason and audit.</x:v>
      </x:c>
    </x:row>
    <x:row r="541">
      <x:c r="A541" s="339" t="str">
        <x:v>BR-00540</x:v>
      </x:c>
      <x:c r="B541" s="339" t="str">
        <x:v>Screen Type</x:v>
      </x:c>
      <x:c r="C541" s="339" t="str">
        <x:v>SCR-180</x:v>
      </x:c>
      <x:c r="D541" s="339" t="str">
        <x:v>HR / Leave / Payroll</x:v>
      </x:c>
      <x:c r="E541" s="339" t="str">
        <x:v>Leave Policies</x:v>
      </x:c>
      <x:c r="F541" s="339" t="str">
        <x:v>Workflow / Management integrity rule</x:v>
      </x:c>
      <x:c r="G541" s="339" t="str">
        <x:v>State transitions are explicit, role-controlled and auditable; invalid transitions are rejected.</x:v>
      </x:c>
      <x:c r="H541" s="339" t="str">
        <x:v>Domain/service validation plus UI affordances.</x:v>
      </x:c>
      <x:c r="I541" s="339" t="str">
        <x:v>High</x:v>
      </x:c>
      <x:c r="J541" s="339" t="str">
        <x:v>No silent bypass; approved overrides must be separately authorized and audited.</x:v>
      </x:c>
    </x:row>
    <x:row r="542">
      <x:c r="A542" s="339" t="str">
        <x:v>BR-00541</x:v>
      </x:c>
      <x:c r="B542" s="339" t="str">
        <x:v>Screen</x:v>
      </x:c>
      <x:c r="C542" s="339" t="str">
        <x:v>SCR-181</x:v>
      </x:c>
      <x:c r="D542" s="339" t="str">
        <x:v>HR / Leave / Payroll</x:v>
      </x:c>
      <x:c r="E542" s="339" t="str">
        <x:v>Staff Leave Requests</x:v>
      </x:c>
      <x:c r="F542" s="339" t="str">
        <x:v>HR, Leave &amp; Payroll rule 1</x:v>
      </x:c>
      <x:c r="G542" s="339" t="str">
        <x:v>Approved leave and attendance adjustments must feed payroll according to configured policies.</x:v>
      </x:c>
      <x:c r="H542" s="339" t="str">
        <x:v>Enforced in service/domain layer and reflected in UI validation/action availability.</x:v>
      </x:c>
      <x:c r="I542" s="339" t="str">
        <x:v>Medium</x:v>
      </x:c>
      <x:c r="J542" s="339" t="str">
        <x:v>Only an explicitly configured authorized override may bypass a non-statutory rule; overrides require reason and audit.</x:v>
      </x:c>
    </x:row>
    <x:row r="543">
      <x:c r="A543" s="339" t="str">
        <x:v>BR-00542</x:v>
      </x:c>
      <x:c r="B543" s="339" t="str">
        <x:v>Screen</x:v>
      </x:c>
      <x:c r="C543" s="339" t="str">
        <x:v>SCR-181</x:v>
      </x:c>
      <x:c r="D543" s="339" t="str">
        <x:v>HR / Leave / Payroll</x:v>
      </x:c>
      <x:c r="E543" s="339" t="str">
        <x:v>Staff Leave Requests</x:v>
      </x:c>
      <x:c r="F543" s="339" t="str">
        <x:v>HR, Leave &amp; Payroll rule 2</x:v>
      </x:c>
      <x:c r="G543" s="339" t="str">
        <x:v>Payroll for a period must be versioned/locked after approval; later corrections require adjustment runs.</x:v>
      </x:c>
      <x:c r="H543" s="339" t="str">
        <x:v>Enforced in service/domain layer and reflected in UI validation/action availability.</x:v>
      </x:c>
      <x:c r="I543" s="339" t="str">
        <x:v>Medium</x:v>
      </x:c>
      <x:c r="J543" s="339" t="str">
        <x:v>Only an explicitly configured authorized override may bypass a non-statutory rule; overrides require reason and audit.</x:v>
      </x:c>
    </x:row>
    <x:row r="544">
      <x:c r="A544" s="339" t="str">
        <x:v>BR-00543</x:v>
      </x:c>
      <x:c r="B544" s="339" t="str">
        <x:v>Screen Type</x:v>
      </x:c>
      <x:c r="C544" s="339" t="str">
        <x:v>SCR-181</x:v>
      </x:c>
      <x:c r="D544" s="339" t="str">
        <x:v>HR / Leave / Payroll</x:v>
      </x:c>
      <x:c r="E544" s="339" t="str">
        <x:v>Staff Leave Requests</x:v>
      </x:c>
      <x:c r="F544" s="339" t="str">
        <x:v>Workflow / Management integrity rule</x:v>
      </x:c>
      <x:c r="G544" s="339" t="str">
        <x:v>State transitions are explicit, role-controlled and auditable; invalid transitions are rejected.</x:v>
      </x:c>
      <x:c r="H544" s="339" t="str">
        <x:v>Domain/service validation plus UI affordances.</x:v>
      </x:c>
      <x:c r="I544" s="339" t="str">
        <x:v>High</x:v>
      </x:c>
      <x:c r="J544" s="339" t="str">
        <x:v>No silent bypass; approved overrides must be separately authorized and audited.</x:v>
      </x:c>
    </x:row>
    <x:row r="545">
      <x:c r="A545" s="339" t="str">
        <x:v>BR-00544</x:v>
      </x:c>
      <x:c r="B545" s="339" t="str">
        <x:v>Screen</x:v>
      </x:c>
      <x:c r="C545" s="339" t="str">
        <x:v>SCR-182</x:v>
      </x:c>
      <x:c r="D545" s="339" t="str">
        <x:v>HR / Leave / Payroll</x:v>
      </x:c>
      <x:c r="E545" s="339" t="str">
        <x:v>Leave Approval</x:v>
      </x:c>
      <x:c r="F545" s="339" t="str">
        <x:v>HR, Leave &amp; Payroll rule 1</x:v>
      </x:c>
      <x:c r="G545" s="339" t="str">
        <x:v>Payroll for a period must be versioned/locked after approval; later corrections require adjustment runs.</x:v>
      </x:c>
      <x:c r="H545" s="339" t="str">
        <x:v>Enforced in service/domain layer and reflected in UI validation/action availability.</x:v>
      </x:c>
      <x:c r="I545" s="339" t="str">
        <x:v>Medium</x:v>
      </x:c>
      <x:c r="J545" s="339" t="str">
        <x:v>Only an explicitly configured authorized override may bypass a non-statutory rule; overrides require reason and audit.</x:v>
      </x:c>
    </x:row>
    <x:row r="546">
      <x:c r="A546" s="339" t="str">
        <x:v>BR-00545</x:v>
      </x:c>
      <x:c r="B546" s="339" t="str">
        <x:v>Screen</x:v>
      </x:c>
      <x:c r="C546" s="339" t="str">
        <x:v>SCR-182</x:v>
      </x:c>
      <x:c r="D546" s="339" t="str">
        <x:v>HR / Leave / Payroll</x:v>
      </x:c>
      <x:c r="E546" s="339" t="str">
        <x:v>Leave Approval</x:v>
      </x:c>
      <x:c r="F546" s="339" t="str">
        <x:v>HR, Leave &amp; Payroll rule 2</x:v>
      </x:c>
      <x:c r="G546" s="339" t="str">
        <x:v>Net pay cannot be finalized until all mandatory earnings/deductions and statutory rules are resolved.</x:v>
      </x:c>
      <x:c r="H546" s="339" t="str">
        <x:v>Enforced in service/domain layer and reflected in UI validation/action availability.</x:v>
      </x:c>
      <x:c r="I546" s="339" t="str">
        <x:v>Medium</x:v>
      </x:c>
      <x:c r="J546" s="339" t="str">
        <x:v>Only an explicitly configured authorized override may bypass a non-statutory rule; overrides require reason and audit.</x:v>
      </x:c>
    </x:row>
    <x:row r="547">
      <x:c r="A547" s="339" t="str">
        <x:v>BR-00546</x:v>
      </x:c>
      <x:c r="B547" s="339" t="str">
        <x:v>Screen Type</x:v>
      </x:c>
      <x:c r="C547" s="339" t="str">
        <x:v>SCR-182</x:v>
      </x:c>
      <x:c r="D547" s="339" t="str">
        <x:v>HR / Leave / Payroll</x:v>
      </x:c>
      <x:c r="E547" s="339" t="str">
        <x:v>Leave Approval</x:v>
      </x:c>
      <x:c r="F547" s="339" t="str">
        <x:v>Workflow / Management integrity rule</x:v>
      </x:c>
      <x:c r="G547" s="339" t="str">
        <x:v>State transitions are explicit, role-controlled and auditable; invalid transitions are rejected.</x:v>
      </x:c>
      <x:c r="H547" s="339" t="str">
        <x:v>Domain/service validation plus UI affordances.</x:v>
      </x:c>
      <x:c r="I547" s="339" t="str">
        <x:v>High</x:v>
      </x:c>
      <x:c r="J547" s="339" t="str">
        <x:v>No silent bypass; approved overrides must be separately authorized and audited.</x:v>
      </x:c>
    </x:row>
    <x:row r="548">
      <x:c r="A548" s="339" t="str">
        <x:v>BR-00547</x:v>
      </x:c>
      <x:c r="B548" s="339" t="str">
        <x:v>Screen</x:v>
      </x:c>
      <x:c r="C548" s="339" t="str">
        <x:v>SCR-183</x:v>
      </x:c>
      <x:c r="D548" s="339" t="str">
        <x:v>HR / Leave / Payroll</x:v>
      </x:c>
      <x:c r="E548" s="339" t="str">
        <x:v>Payroll Setup</x:v>
      </x:c>
      <x:c r="F548" s="339" t="str">
        <x:v>HR, Leave &amp; Payroll rule 1</x:v>
      </x:c>
      <x:c r="G548" s="339" t="str">
        <x:v>Net pay cannot be finalized until all mandatory earnings/deductions and statutory rules are resolved.</x:v>
      </x:c>
      <x:c r="H548" s="339" t="str">
        <x:v>Enforced in service/domain layer and reflected in UI validation/action availability.</x:v>
      </x:c>
      <x:c r="I548" s="339" t="str">
        <x:v>Medium</x:v>
      </x:c>
      <x:c r="J548" s="339" t="str">
        <x:v>Only an explicitly configured authorized override may bypass a non-statutory rule; overrides require reason and audit.</x:v>
      </x:c>
    </x:row>
    <x:row r="549">
      <x:c r="A549" s="339" t="str">
        <x:v>BR-00548</x:v>
      </x:c>
      <x:c r="B549" s="339" t="str">
        <x:v>Screen</x:v>
      </x:c>
      <x:c r="C549" s="339" t="str">
        <x:v>SCR-183</x:v>
      </x:c>
      <x:c r="D549" s="339" t="str">
        <x:v>HR / Leave / Payroll</x:v>
      </x:c>
      <x:c r="E549" s="339" t="str">
        <x:v>Payroll Setup</x:v>
      </x:c>
      <x:c r="F549" s="339" t="str">
        <x:v>HR, Leave &amp; Payroll rule 2</x:v>
      </x:c>
      <x:c r="G549" s="339" t="str">
        <x:v>Sensitive compensation data is restricted to authorized HR/finance roles and the employee's own record.</x:v>
      </x:c>
      <x:c r="H549" s="339" t="str">
        <x:v>Enforced in service/domain layer and reflected in UI validation/action availability.</x:v>
      </x:c>
      <x:c r="I549" s="339" t="str">
        <x:v>Medium</x:v>
      </x:c>
      <x:c r="J549" s="339" t="str">
        <x:v>Only an explicitly configured authorized override may bypass a non-statutory rule; overrides require reason and audit.</x:v>
      </x:c>
    </x:row>
    <x:row r="550">
      <x:c r="A550" s="339" t="str">
        <x:v>BR-00549</x:v>
      </x:c>
      <x:c r="B550" s="339" t="str">
        <x:v>Screen Type</x:v>
      </x:c>
      <x:c r="C550" s="339" t="str">
        <x:v>SCR-183</x:v>
      </x:c>
      <x:c r="D550" s="339" t="str">
        <x:v>HR / Leave / Payroll</x:v>
      </x:c>
      <x:c r="E550" s="339" t="str">
        <x:v>Payroll Setup</x:v>
      </x:c>
      <x:c r="F550" s="339" t="str">
        <x:v>Create / Transaction integrity rule</x:v>
      </x:c>
      <x:c r="G550" s="339" t="str">
        <x:v>A record is created only after all blocking validations, duplicate checks and reference checks pass.</x:v>
      </x:c>
      <x:c r="H550" s="339" t="str">
        <x:v>Domain/service validation plus UI affordances.</x:v>
      </x:c>
      <x:c r="I550" s="339" t="str">
        <x:v>High</x:v>
      </x:c>
      <x:c r="J550" s="339" t="str">
        <x:v>No silent bypass; approved overrides must be separately authorized and audited.</x:v>
      </x:c>
    </x:row>
    <x:row r="551">
      <x:c r="A551" s="339" t="str">
        <x:v>BR-00550</x:v>
      </x:c>
      <x:c r="B551" s="339" t="str">
        <x:v>Screen</x:v>
      </x:c>
      <x:c r="C551" s="339" t="str">
        <x:v>SCR-184</x:v>
      </x:c>
      <x:c r="D551" s="339" t="str">
        <x:v>HR / Leave / Payroll</x:v>
      </x:c>
      <x:c r="E551" s="339" t="str">
        <x:v>Payroll Processing</x:v>
      </x:c>
      <x:c r="F551" s="339" t="str">
        <x:v>HR, Leave &amp; Payroll rule 1</x:v>
      </x:c>
      <x:c r="G551" s="339" t="str">
        <x:v>Sensitive compensation data is restricted to authorized HR/finance roles and the employee's own record.</x:v>
      </x:c>
      <x:c r="H551" s="339" t="str">
        <x:v>Enforced in service/domain layer and reflected in UI validation/action availability.</x:v>
      </x:c>
      <x:c r="I551" s="339" t="str">
        <x:v>Medium</x:v>
      </x:c>
      <x:c r="J551" s="339" t="str">
        <x:v>Only an explicitly configured authorized override may bypass a non-statutory rule; overrides require reason and audit.</x:v>
      </x:c>
    </x:row>
    <x:row r="552">
      <x:c r="A552" s="339" t="str">
        <x:v>BR-00551</x:v>
      </x:c>
      <x:c r="B552" s="339" t="str">
        <x:v>Screen</x:v>
      </x:c>
      <x:c r="C552" s="339" t="str">
        <x:v>SCR-184</x:v>
      </x:c>
      <x:c r="D552" s="339" t="str">
        <x:v>HR / Leave / Payroll</x:v>
      </x:c>
      <x:c r="E552" s="339" t="str">
        <x:v>Payroll Processing</x:v>
      </x:c>
      <x:c r="F552" s="339" t="str">
        <x:v>HR, Leave &amp; Payroll rule 2</x:v>
      </x:c>
      <x:c r="G552" s="339" t="str">
        <x:v>Leave approvals must respect leave balance, policy, employment status and approval hierarchy.</x:v>
      </x:c>
      <x:c r="H552" s="339" t="str">
        <x:v>Enforced in service/domain layer and reflected in UI validation/action availability.</x:v>
      </x:c>
      <x:c r="I552" s="339" t="str">
        <x:v>Medium</x:v>
      </x:c>
      <x:c r="J552" s="339" t="str">
        <x:v>Only an explicitly configured authorized override may bypass a non-statutory rule; overrides require reason and audit.</x:v>
      </x:c>
    </x:row>
    <x:row r="553">
      <x:c r="A553" s="339" t="str">
        <x:v>BR-00552</x:v>
      </x:c>
      <x:c r="B553" s="339" t="str">
        <x:v>Screen Type</x:v>
      </x:c>
      <x:c r="C553" s="339" t="str">
        <x:v>SCR-184</x:v>
      </x:c>
      <x:c r="D553" s="339" t="str">
        <x:v>HR / Leave / Payroll</x:v>
      </x:c>
      <x:c r="E553" s="339" t="str">
        <x:v>Payroll Processing</x:v>
      </x:c>
      <x:c r="F553" s="339" t="str">
        <x:v>Create / Transaction integrity rule</x:v>
      </x:c>
      <x:c r="G553" s="339" t="str">
        <x:v>A record is created only after all blocking validations, duplicate checks and reference checks pass.</x:v>
      </x:c>
      <x:c r="H553" s="339" t="str">
        <x:v>Domain/service validation plus UI affordances.</x:v>
      </x:c>
      <x:c r="I553" s="339" t="str">
        <x:v>High</x:v>
      </x:c>
      <x:c r="J553" s="339" t="str">
        <x:v>No silent bypass; approved overrides must be separately authorized and audited.</x:v>
      </x:c>
    </x:row>
    <x:row r="554">
      <x:c r="A554" s="339" t="str">
        <x:v>BR-00553</x:v>
      </x:c>
      <x:c r="B554" s="339" t="str">
        <x:v>Screen</x:v>
      </x:c>
      <x:c r="C554" s="339" t="str">
        <x:v>SCR-185</x:v>
      </x:c>
      <x:c r="D554" s="339" t="str">
        <x:v>HR / Leave / Payroll</x:v>
      </x:c>
      <x:c r="E554" s="339" t="str">
        <x:v>Payslip &amp; Payroll History</x:v>
      </x:c>
      <x:c r="F554" s="339" t="str">
        <x:v>HR, Leave &amp; Payroll rule 1</x:v>
      </x:c>
      <x:c r="G554" s="339" t="str">
        <x:v>Leave approvals must respect leave balance, policy, employment status and approval hierarchy.</x:v>
      </x:c>
      <x:c r="H554" s="339" t="str">
        <x:v>Enforced in service/domain layer and reflected in UI validation/action availability.</x:v>
      </x:c>
      <x:c r="I554" s="339" t="str">
        <x:v>Medium</x:v>
      </x:c>
      <x:c r="J554" s="339" t="str">
        <x:v>Only an explicitly configured authorized override may bypass a non-statutory rule; overrides require reason and audit.</x:v>
      </x:c>
    </x:row>
    <x:row r="555">
      <x:c r="A555" s="339" t="str">
        <x:v>BR-00554</x:v>
      </x:c>
      <x:c r="B555" s="339" t="str">
        <x:v>Screen</x:v>
      </x:c>
      <x:c r="C555" s="339" t="str">
        <x:v>SCR-185</x:v>
      </x:c>
      <x:c r="D555" s="339" t="str">
        <x:v>HR / Leave / Payroll</x:v>
      </x:c>
      <x:c r="E555" s="339" t="str">
        <x:v>Payslip &amp; Payroll History</x:v>
      </x:c>
      <x:c r="F555" s="339" t="str">
        <x:v>HR, Leave &amp; Payroll rule 2</x:v>
      </x:c>
      <x:c r="G555" s="339" t="str">
        <x:v>Approved leave and attendance adjustments must feed payroll according to configured policies.</x:v>
      </x:c>
      <x:c r="H555" s="339" t="str">
        <x:v>Enforced in service/domain layer and reflected in UI validation/action availability.</x:v>
      </x:c>
      <x:c r="I555" s="339" t="str">
        <x:v>Medium</x:v>
      </x:c>
      <x:c r="J555" s="339" t="str">
        <x:v>Only an explicitly configured authorized override may bypass a non-statutory rule; overrides require reason and audit.</x:v>
      </x:c>
    </x:row>
    <x:row r="556">
      <x:c r="A556" s="339" t="str">
        <x:v>BR-00555</x:v>
      </x:c>
      <x:c r="B556" s="339" t="str">
        <x:v>Screen Type</x:v>
      </x:c>
      <x:c r="C556" s="339" t="str">
        <x:v>SCR-185</x:v>
      </x:c>
      <x:c r="D556" s="339" t="str">
        <x:v>HR / Leave / Payroll</x:v>
      </x:c>
      <x:c r="E556" s="339" t="str">
        <x:v>Payslip &amp; Payroll History</x:v>
      </x:c>
      <x:c r="F556" s="339" t="str">
        <x:v>Detail / Profile integrity rule</x:v>
      </x:c>
      <x:c r="G556" s="339" t="str">
        <x:v>Concurrent updates must not silently overwrite newer data; material edits are audited.</x:v>
      </x:c>
      <x:c r="H556" s="339" t="str">
        <x:v>Domain/service validation plus UI affordances.</x:v>
      </x:c>
      <x:c r="I556" s="339" t="str">
        <x:v>High</x:v>
      </x:c>
      <x:c r="J556" s="339" t="str">
        <x:v>No silent bypass; approved overrides must be separately authorized and audited.</x:v>
      </x:c>
    </x:row>
    <x:row r="557">
      <x:c r="A557" s="339" t="str">
        <x:v>BR-00556</x:v>
      </x:c>
      <x:c r="B557" s="339" t="str">
        <x:v>Screen</x:v>
      </x:c>
      <x:c r="C557" s="339" t="str">
        <x:v>SCR-186</x:v>
      </x:c>
      <x:c r="D557" s="339" t="str">
        <x:v>Transport / Bus / GPS</x:v>
      </x:c>
      <x:c r="E557" s="339" t="str">
        <x:v>Vehicles</x:v>
      </x:c>
      <x:c r="F557" s="339" t="str">
        <x:v>School Transport &amp; Live Trips rule 1</x:v>
      </x:c>
      <x:c r="G557" s="339" t="str">
        <x:v>Drivers and vehicles must be active/compliant before assignment to a trip.</x:v>
      </x:c>
      <x:c r="H557" s="339" t="str">
        <x:v>Enforced in service/domain layer and reflected in UI validation/action availability.</x:v>
      </x:c>
      <x:c r="I557" s="339" t="str">
        <x:v>Medium</x:v>
      </x:c>
      <x:c r="J557" s="339" t="str">
        <x:v>Only an explicitly configured authorized override may bypass a non-statutory rule; overrides require reason and audit.</x:v>
      </x:c>
    </x:row>
    <x:row r="558">
      <x:c r="A558" s="339" t="str">
        <x:v>BR-00557</x:v>
      </x:c>
      <x:c r="B558" s="339" t="str">
        <x:v>Screen</x:v>
      </x:c>
      <x:c r="C558" s="339" t="str">
        <x:v>SCR-186</x:v>
      </x:c>
      <x:c r="D558" s="339" t="str">
        <x:v>Transport / Bus / GPS</x:v>
      </x:c>
      <x:c r="E558" s="339" t="str">
        <x:v>Vehicles</x:v>
      </x:c>
      <x:c r="F558" s="339" t="str">
        <x:v>School Transport &amp; Live Trips rule 2</x:v>
      </x:c>
      <x:c r="G558" s="339" t="str">
        <x:v>Trip state changes follow Planned → Started → Completed/Cancelled with timestamps.</x:v>
      </x:c>
      <x:c r="H558" s="339" t="str">
        <x:v>Enforced in service/domain layer and reflected in UI validation/action availability.</x:v>
      </x:c>
      <x:c r="I558" s="339" t="str">
        <x:v>Medium</x:v>
      </x:c>
      <x:c r="J558" s="339" t="str">
        <x:v>Only an explicitly configured authorized override may bypass a non-statutory rule; overrides require reason and audit.</x:v>
      </x:c>
    </x:row>
    <x:row r="559">
      <x:c r="A559" s="339" t="str">
        <x:v>BR-00558</x:v>
      </x:c>
      <x:c r="B559" s="339" t="str">
        <x:v>Screen Type</x:v>
      </x:c>
      <x:c r="C559" s="339" t="str">
        <x:v>SCR-186</x:v>
      </x:c>
      <x:c r="D559" s="339" t="str">
        <x:v>Transport / Bus / GPS</x:v>
      </x:c>
      <x:c r="E559" s="339" t="str">
        <x:v>Vehicles</x:v>
      </x:c>
      <x:c r="F559" s="339" t="str">
        <x:v>List / Management integrity rule</x:v>
      </x:c>
      <x:c r="G559" s="339" t="str">
        <x:v>Search, filters, exports and row actions must preserve the same authorization scope.</x:v>
      </x:c>
      <x:c r="H559" s="339" t="str">
        <x:v>Domain/service validation plus UI affordances.</x:v>
      </x:c>
      <x:c r="I559" s="339" t="str">
        <x:v>High</x:v>
      </x:c>
      <x:c r="J559" s="339" t="str">
        <x:v>No silent bypass; approved overrides must be separately authorized and audited.</x:v>
      </x:c>
    </x:row>
    <x:row r="560">
      <x:c r="A560" s="339" t="str">
        <x:v>BR-00559</x:v>
      </x:c>
      <x:c r="B560" s="339" t="str">
        <x:v>Screen</x:v>
      </x:c>
      <x:c r="C560" s="339" t="str">
        <x:v>SCR-187</x:v>
      </x:c>
      <x:c r="D560" s="339" t="str">
        <x:v>Transport / Bus / GPS</x:v>
      </x:c>
      <x:c r="E560" s="339" t="str">
        <x:v>Add / Edit Vehicle</x:v>
      </x:c>
      <x:c r="F560" s="339" t="str">
        <x:v>School Transport &amp; Live Trips rule 1</x:v>
      </x:c>
      <x:c r="G560" s="339" t="str">
        <x:v>Trip state changes follow Planned → Started → Completed/Cancelled with timestamps.</x:v>
      </x:c>
      <x:c r="H560" s="339" t="str">
        <x:v>Enforced in service/domain layer and reflected in UI validation/action availability.</x:v>
      </x:c>
      <x:c r="I560" s="339" t="str">
        <x:v>Medium</x:v>
      </x:c>
      <x:c r="J560" s="339" t="str">
        <x:v>Only an explicitly configured authorized override may bypass a non-statutory rule; overrides require reason and audit.</x:v>
      </x:c>
    </x:row>
    <x:row r="561">
      <x:c r="A561" s="339" t="str">
        <x:v>BR-00560</x:v>
      </x:c>
      <x:c r="B561" s="339" t="str">
        <x:v>Screen</x:v>
      </x:c>
      <x:c r="C561" s="339" t="str">
        <x:v>SCR-187</x:v>
      </x:c>
      <x:c r="D561" s="339" t="str">
        <x:v>Transport / Bus / GPS</x:v>
      </x:c>
      <x:c r="E561" s="339" t="str">
        <x:v>Add / Edit Vehicle</x:v>
      </x:c>
      <x:c r="F561" s="339" t="str">
        <x:v>School Transport &amp; Live Trips rule 2</x:v>
      </x:c>
      <x:c r="G561" s="339" t="str">
        <x:v>Boarding/drop events must identify student, trip, stop/time and actor/device where available.</x:v>
      </x:c>
      <x:c r="H561" s="339" t="str">
        <x:v>Enforced in service/domain layer and reflected in UI validation/action availability.</x:v>
      </x:c>
      <x:c r="I561" s="339" t="str">
        <x:v>Medium</x:v>
      </x:c>
      <x:c r="J561" s="339" t="str">
        <x:v>Only an explicitly configured authorized override may bypass a non-statutory rule; overrides require reason and audit.</x:v>
      </x:c>
    </x:row>
    <x:row r="562">
      <x:c r="A562" s="339" t="str">
        <x:v>BR-00561</x:v>
      </x:c>
      <x:c r="B562" s="339" t="str">
        <x:v>Screen Type</x:v>
      </x:c>
      <x:c r="C562" s="339" t="str">
        <x:v>SCR-187</x:v>
      </x:c>
      <x:c r="D562" s="339" t="str">
        <x:v>Transport / Bus / GPS</x:v>
      </x:c>
      <x:c r="E562" s="339" t="str">
        <x:v>Add / Edit Vehicle</x:v>
      </x:c>
      <x:c r="F562" s="339" t="str">
        <x:v>Create / Transaction integrity rule</x:v>
      </x:c>
      <x:c r="G562" s="339" t="str">
        <x:v>A record is created only after all blocking validations, duplicate checks and reference checks pass.</x:v>
      </x:c>
      <x:c r="H562" s="339" t="str">
        <x:v>Domain/service validation plus UI affordances.</x:v>
      </x:c>
      <x:c r="I562" s="339" t="str">
        <x:v>High</x:v>
      </x:c>
      <x:c r="J562" s="339" t="str">
        <x:v>No silent bypass; approved overrides must be separately authorized and audited.</x:v>
      </x:c>
    </x:row>
    <x:row r="563">
      <x:c r="A563" s="339" t="str">
        <x:v>BR-00562</x:v>
      </x:c>
      <x:c r="B563" s="339" t="str">
        <x:v>Screen</x:v>
      </x:c>
      <x:c r="C563" s="339" t="str">
        <x:v>SCR-188</x:v>
      </x:c>
      <x:c r="D563" s="339" t="str">
        <x:v>Transport / Bus / GPS</x:v>
      </x:c>
      <x:c r="E563" s="339" t="str">
        <x:v>Vehicle Details</x:v>
      </x:c>
      <x:c r="F563" s="339" t="str">
        <x:v>School Transport &amp; Live Trips rule 1</x:v>
      </x:c>
      <x:c r="G563" s="339" t="str">
        <x:v>Boarding/drop events must identify student, trip, stop/time and actor/device where available.</x:v>
      </x:c>
      <x:c r="H563" s="339" t="str">
        <x:v>Enforced in service/domain layer and reflected in UI validation/action availability.</x:v>
      </x:c>
      <x:c r="I563" s="339" t="str">
        <x:v>Medium</x:v>
      </x:c>
      <x:c r="J563" s="339" t="str">
        <x:v>Only an explicitly configured authorized override may bypass a non-statutory rule; overrides require reason and audit.</x:v>
      </x:c>
    </x:row>
    <x:row r="564">
      <x:c r="A564" s="339" t="str">
        <x:v>BR-00563</x:v>
      </x:c>
      <x:c r="B564" s="339" t="str">
        <x:v>Screen</x:v>
      </x:c>
      <x:c r="C564" s="339" t="str">
        <x:v>SCR-188</x:v>
      </x:c>
      <x:c r="D564" s="339" t="str">
        <x:v>Transport / Bus / GPS</x:v>
      </x:c>
      <x:c r="E564" s="339" t="str">
        <x:v>Vehicle Details</x:v>
      </x:c>
      <x:c r="F564" s="339" t="str">
        <x:v>School Transport &amp; Live Trips rule 2</x:v>
      </x:c>
      <x:c r="G564" s="339" t="str">
        <x:v>GPS visibility is limited to active authorized trips and linked guardians/users.</x:v>
      </x:c>
      <x:c r="H564" s="339" t="str">
        <x:v>Enforced in service/domain layer and reflected in UI validation/action availability.</x:v>
      </x:c>
      <x:c r="I564" s="339" t="str">
        <x:v>Medium</x:v>
      </x:c>
      <x:c r="J564" s="339" t="str">
        <x:v>Only an explicitly configured authorized override may bypass a non-statutory rule; overrides require reason and audit.</x:v>
      </x:c>
    </x:row>
    <x:row r="565">
      <x:c r="A565" s="339" t="str">
        <x:v>BR-00564</x:v>
      </x:c>
      <x:c r="B565" s="339" t="str">
        <x:v>Screen Type</x:v>
      </x:c>
      <x:c r="C565" s="339" t="str">
        <x:v>SCR-188</x:v>
      </x:c>
      <x:c r="D565" s="339" t="str">
        <x:v>Transport / Bus / GPS</x:v>
      </x:c>
      <x:c r="E565" s="339" t="str">
        <x:v>Vehicle Details</x:v>
      </x:c>
      <x:c r="F565" s="339" t="str">
        <x:v>Detail / Profile integrity rule</x:v>
      </x:c>
      <x:c r="G565" s="339" t="str">
        <x:v>Concurrent updates must not silently overwrite newer data; material edits are audited.</x:v>
      </x:c>
      <x:c r="H565" s="339" t="str">
        <x:v>Domain/service validation plus UI affordances.</x:v>
      </x:c>
      <x:c r="I565" s="339" t="str">
        <x:v>High</x:v>
      </x:c>
      <x:c r="J565" s="339" t="str">
        <x:v>No silent bypass; approved overrides must be separately authorized and audited.</x:v>
      </x:c>
    </x:row>
    <x:row r="566">
      <x:c r="A566" s="339" t="str">
        <x:v>BR-00565</x:v>
      </x:c>
      <x:c r="B566" s="339" t="str">
        <x:v>Screen</x:v>
      </x:c>
      <x:c r="C566" s="339" t="str">
        <x:v>SCR-189</x:v>
      </x:c>
      <x:c r="D566" s="339" t="str">
        <x:v>Transport / Bus / GPS</x:v>
      </x:c>
      <x:c r="E566" s="339" t="str">
        <x:v>Routes</x:v>
      </x:c>
      <x:c r="F566" s="339" t="str">
        <x:v>School Transport &amp; Live Trips rule 1</x:v>
      </x:c>
      <x:c r="G566" s="339" t="str">
        <x:v>GPS visibility is limited to active authorized trips and linked guardians/users.</x:v>
      </x:c>
      <x:c r="H566" s="339" t="str">
        <x:v>Enforced in service/domain layer and reflected in UI validation/action availability.</x:v>
      </x:c>
      <x:c r="I566" s="339" t="str">
        <x:v>Medium</x:v>
      </x:c>
      <x:c r="J566" s="339" t="str">
        <x:v>Only an explicitly configured authorized override may bypass a non-statutory rule; overrides require reason and audit.</x:v>
      </x:c>
    </x:row>
    <x:row r="567">
      <x:c r="A567" s="339" t="str">
        <x:v>BR-00566</x:v>
      </x:c>
      <x:c r="B567" s="339" t="str">
        <x:v>Screen</x:v>
      </x:c>
      <x:c r="C567" s="339" t="str">
        <x:v>SCR-189</x:v>
      </x:c>
      <x:c r="D567" s="339" t="str">
        <x:v>Transport / Bus / GPS</x:v>
      </x:c>
      <x:c r="E567" s="339" t="str">
        <x:v>Routes</x:v>
      </x:c>
      <x:c r="F567" s="339" t="str">
        <x:v>School Transport &amp; Live Trips rule 2</x:v>
      </x:c>
      <x:c r="G567" s="339" t="str">
        <x:v>Student route assignment must respect active route/stop, service dates and configured vehicle capacity.</x:v>
      </x:c>
      <x:c r="H567" s="339" t="str">
        <x:v>Enforced in service/domain layer and reflected in UI validation/action availability.</x:v>
      </x:c>
      <x:c r="I567" s="339" t="str">
        <x:v>Medium</x:v>
      </x:c>
      <x:c r="J567" s="339" t="str">
        <x:v>Only an explicitly configured authorized override may bypass a non-statutory rule; overrides require reason and audit.</x:v>
      </x:c>
    </x:row>
    <x:row r="568">
      <x:c r="A568" s="339" t="str">
        <x:v>BR-00567</x:v>
      </x:c>
      <x:c r="B568" s="339" t="str">
        <x:v>Screen Type</x:v>
      </x:c>
      <x:c r="C568" s="339" t="str">
        <x:v>SCR-189</x:v>
      </x:c>
      <x:c r="D568" s="339" t="str">
        <x:v>Transport / Bus / GPS</x:v>
      </x:c>
      <x:c r="E568" s="339" t="str">
        <x:v>Routes</x:v>
      </x:c>
      <x:c r="F568" s="339" t="str">
        <x:v>List / Management integrity rule</x:v>
      </x:c>
      <x:c r="G568" s="339" t="str">
        <x:v>Search, filters, exports and row actions must preserve the same authorization scope.</x:v>
      </x:c>
      <x:c r="H568" s="339" t="str">
        <x:v>Domain/service validation plus UI affordances.</x:v>
      </x:c>
      <x:c r="I568" s="339" t="str">
        <x:v>High</x:v>
      </x:c>
      <x:c r="J568" s="339" t="str">
        <x:v>No silent bypass; approved overrides must be separately authorized and audited.</x:v>
      </x:c>
    </x:row>
    <x:row r="569">
      <x:c r="A569" s="339" t="str">
        <x:v>BR-00568</x:v>
      </x:c>
      <x:c r="B569" s="339" t="str">
        <x:v>Screen</x:v>
      </x:c>
      <x:c r="C569" s="339" t="str">
        <x:v>SCR-190</x:v>
      </x:c>
      <x:c r="D569" s="339" t="str">
        <x:v>Transport / Bus / GPS</x:v>
      </x:c>
      <x:c r="E569" s="339" t="str">
        <x:v>Create / Edit Route</x:v>
      </x:c>
      <x:c r="F569" s="339" t="str">
        <x:v>School Transport &amp; Live Trips rule 1</x:v>
      </x:c>
      <x:c r="G569" s="339" t="str">
        <x:v>Student route assignment must respect active route/stop, service dates and configured vehicle capacity.</x:v>
      </x:c>
      <x:c r="H569" s="339" t="str">
        <x:v>Enforced in service/domain layer and reflected in UI validation/action availability.</x:v>
      </x:c>
      <x:c r="I569" s="339" t="str">
        <x:v>Medium</x:v>
      </x:c>
      <x:c r="J569" s="339" t="str">
        <x:v>Only an explicitly configured authorized override may bypass a non-statutory rule; overrides require reason and audit.</x:v>
      </x:c>
    </x:row>
    <x:row r="570">
      <x:c r="A570" s="339" t="str">
        <x:v>BR-00569</x:v>
      </x:c>
      <x:c r="B570" s="339" t="str">
        <x:v>Screen</x:v>
      </x:c>
      <x:c r="C570" s="339" t="str">
        <x:v>SCR-190</x:v>
      </x:c>
      <x:c r="D570" s="339" t="str">
        <x:v>Transport / Bus / GPS</x:v>
      </x:c>
      <x:c r="E570" s="339" t="str">
        <x:v>Create / Edit Route</x:v>
      </x:c>
      <x:c r="F570" s="339" t="str">
        <x:v>School Transport &amp; Live Trips rule 2</x:v>
      </x:c>
      <x:c r="G570" s="339" t="str">
        <x:v>Drivers and vehicles must be active/compliant before assignment to a trip.</x:v>
      </x:c>
      <x:c r="H570" s="339" t="str">
        <x:v>Enforced in service/domain layer and reflected in UI validation/action availability.</x:v>
      </x:c>
      <x:c r="I570" s="339" t="str">
        <x:v>Medium</x:v>
      </x:c>
      <x:c r="J570" s="339" t="str">
        <x:v>Only an explicitly configured authorized override may bypass a non-statutory rule; overrides require reason and audit.</x:v>
      </x:c>
    </x:row>
    <x:row r="571">
      <x:c r="A571" s="339" t="str">
        <x:v>BR-00570</x:v>
      </x:c>
      <x:c r="B571" s="339" t="str">
        <x:v>Screen Type</x:v>
      </x:c>
      <x:c r="C571" s="339" t="str">
        <x:v>SCR-190</x:v>
      </x:c>
      <x:c r="D571" s="339" t="str">
        <x:v>Transport / Bus / GPS</x:v>
      </x:c>
      <x:c r="E571" s="339" t="str">
        <x:v>Create / Edit Route</x:v>
      </x:c>
      <x:c r="F571" s="339" t="str">
        <x:v>Create / Transaction integrity rule</x:v>
      </x:c>
      <x:c r="G571" s="339" t="str">
        <x:v>A record is created only after all blocking validations, duplicate checks and reference checks pass.</x:v>
      </x:c>
      <x:c r="H571" s="339" t="str">
        <x:v>Domain/service validation plus UI affordances.</x:v>
      </x:c>
      <x:c r="I571" s="339" t="str">
        <x:v>High</x:v>
      </x:c>
      <x:c r="J571" s="339" t="str">
        <x:v>No silent bypass; approved overrides must be separately authorized and audited.</x:v>
      </x:c>
    </x:row>
    <x:row r="572">
      <x:c r="A572" s="339" t="str">
        <x:v>BR-00571</x:v>
      </x:c>
      <x:c r="B572" s="339" t="str">
        <x:v>Screen</x:v>
      </x:c>
      <x:c r="C572" s="339" t="str">
        <x:v>SCR-191</x:v>
      </x:c>
      <x:c r="D572" s="339" t="str">
        <x:v>Transport / Bus / GPS</x:v>
      </x:c>
      <x:c r="E572" s="339" t="str">
        <x:v>Stops</x:v>
      </x:c>
      <x:c r="F572" s="339" t="str">
        <x:v>School Transport &amp; Live Trips rule 1</x:v>
      </x:c>
      <x:c r="G572" s="339" t="str">
        <x:v>Drivers and vehicles must be active/compliant before assignment to a trip.</x:v>
      </x:c>
      <x:c r="H572" s="339" t="str">
        <x:v>Enforced in service/domain layer and reflected in UI validation/action availability.</x:v>
      </x:c>
      <x:c r="I572" s="339" t="str">
        <x:v>Medium</x:v>
      </x:c>
      <x:c r="J572" s="339" t="str">
        <x:v>Only an explicitly configured authorized override may bypass a non-statutory rule; overrides require reason and audit.</x:v>
      </x:c>
    </x:row>
    <x:row r="573">
      <x:c r="A573" s="339" t="str">
        <x:v>BR-00572</x:v>
      </x:c>
      <x:c r="B573" s="339" t="str">
        <x:v>Screen</x:v>
      </x:c>
      <x:c r="C573" s="339" t="str">
        <x:v>SCR-191</x:v>
      </x:c>
      <x:c r="D573" s="339" t="str">
        <x:v>Transport / Bus / GPS</x:v>
      </x:c>
      <x:c r="E573" s="339" t="str">
        <x:v>Stops</x:v>
      </x:c>
      <x:c r="F573" s="339" t="str">
        <x:v>School Transport &amp; Live Trips rule 2</x:v>
      </x:c>
      <x:c r="G573" s="339" t="str">
        <x:v>Trip state changes follow Planned → Started → Completed/Cancelled with timestamps.</x:v>
      </x:c>
      <x:c r="H573" s="339" t="str">
        <x:v>Enforced in service/domain layer and reflected in UI validation/action availability.</x:v>
      </x:c>
      <x:c r="I573" s="339" t="str">
        <x:v>Medium</x:v>
      </x:c>
      <x:c r="J573" s="339" t="str">
        <x:v>Only an explicitly configured authorized override may bypass a non-statutory rule; overrides require reason and audit.</x:v>
      </x:c>
    </x:row>
    <x:row r="574">
      <x:c r="A574" s="339" t="str">
        <x:v>BR-00573</x:v>
      </x:c>
      <x:c r="B574" s="339" t="str">
        <x:v>Screen Type</x:v>
      </x:c>
      <x:c r="C574" s="339" t="str">
        <x:v>SCR-191</x:v>
      </x:c>
      <x:c r="D574" s="339" t="str">
        <x:v>Transport / Bus / GPS</x:v>
      </x:c>
      <x:c r="E574" s="339" t="str">
        <x:v>Stops</x:v>
      </x:c>
      <x:c r="F574" s="339" t="str">
        <x:v>Workflow / Management integrity rule</x:v>
      </x:c>
      <x:c r="G574" s="339" t="str">
        <x:v>State transitions are explicit, role-controlled and auditable; invalid transitions are rejected.</x:v>
      </x:c>
      <x:c r="H574" s="339" t="str">
        <x:v>Domain/service validation plus UI affordances.</x:v>
      </x:c>
      <x:c r="I574" s="339" t="str">
        <x:v>High</x:v>
      </x:c>
      <x:c r="J574" s="339" t="str">
        <x:v>No silent bypass; approved overrides must be separately authorized and audited.</x:v>
      </x:c>
    </x:row>
    <x:row r="575">
      <x:c r="A575" s="339" t="str">
        <x:v>BR-00574</x:v>
      </x:c>
      <x:c r="B575" s="339" t="str">
        <x:v>Screen</x:v>
      </x:c>
      <x:c r="C575" s="339" t="str">
        <x:v>SCR-192</x:v>
      </x:c>
      <x:c r="D575" s="339" t="str">
        <x:v>Transport / Bus / GPS</x:v>
      </x:c>
      <x:c r="E575" s="339" t="str">
        <x:v>Drivers &amp; Conductors</x:v>
      </x:c>
      <x:c r="F575" s="339" t="str">
        <x:v>School Transport &amp; Live Trips rule 1</x:v>
      </x:c>
      <x:c r="G575" s="339" t="str">
        <x:v>Trip state changes follow Planned → Started → Completed/Cancelled with timestamps.</x:v>
      </x:c>
      <x:c r="H575" s="339" t="str">
        <x:v>Enforced in service/domain layer and reflected in UI validation/action availability.</x:v>
      </x:c>
      <x:c r="I575" s="339" t="str">
        <x:v>Medium</x:v>
      </x:c>
      <x:c r="J575" s="339" t="str">
        <x:v>Only an explicitly configured authorized override may bypass a non-statutory rule; overrides require reason and audit.</x:v>
      </x:c>
    </x:row>
    <x:row r="576">
      <x:c r="A576" s="339" t="str">
        <x:v>BR-00575</x:v>
      </x:c>
      <x:c r="B576" s="339" t="str">
        <x:v>Screen</x:v>
      </x:c>
      <x:c r="C576" s="339" t="str">
        <x:v>SCR-192</x:v>
      </x:c>
      <x:c r="D576" s="339" t="str">
        <x:v>Transport / Bus / GPS</x:v>
      </x:c>
      <x:c r="E576" s="339" t="str">
        <x:v>Drivers &amp; Conductors</x:v>
      </x:c>
      <x:c r="F576" s="339" t="str">
        <x:v>School Transport &amp; Live Trips rule 2</x:v>
      </x:c>
      <x:c r="G576" s="339" t="str">
        <x:v>Boarding/drop events must identify student, trip, stop/time and actor/device where available.</x:v>
      </x:c>
      <x:c r="H576" s="339" t="str">
        <x:v>Enforced in service/domain layer and reflected in UI validation/action availability.</x:v>
      </x:c>
      <x:c r="I576" s="339" t="str">
        <x:v>Medium</x:v>
      </x:c>
      <x:c r="J576" s="339" t="str">
        <x:v>Only an explicitly configured authorized override may bypass a non-statutory rule; overrides require reason and audit.</x:v>
      </x:c>
    </x:row>
    <x:row r="577">
      <x:c r="A577" s="339" t="str">
        <x:v>BR-00576</x:v>
      </x:c>
      <x:c r="B577" s="339" t="str">
        <x:v>Screen Type</x:v>
      </x:c>
      <x:c r="C577" s="339" t="str">
        <x:v>SCR-192</x:v>
      </x:c>
      <x:c r="D577" s="339" t="str">
        <x:v>Transport / Bus / GPS</x:v>
      </x:c>
      <x:c r="E577" s="339" t="str">
        <x:v>Drivers &amp; Conductors</x:v>
      </x:c>
      <x:c r="F577" s="339" t="str">
        <x:v>Workflow / Management integrity rule</x:v>
      </x:c>
      <x:c r="G577" s="339" t="str">
        <x:v>State transitions are explicit, role-controlled and auditable; invalid transitions are rejected.</x:v>
      </x:c>
      <x:c r="H577" s="339" t="str">
        <x:v>Domain/service validation plus UI affordances.</x:v>
      </x:c>
      <x:c r="I577" s="339" t="str">
        <x:v>High</x:v>
      </x:c>
      <x:c r="J577" s="339" t="str">
        <x:v>No silent bypass; approved overrides must be separately authorized and audited.</x:v>
      </x:c>
    </x:row>
    <x:row r="578">
      <x:c r="A578" s="339" t="str">
        <x:v>BR-00577</x:v>
      </x:c>
      <x:c r="B578" s="339" t="str">
        <x:v>Screen</x:v>
      </x:c>
      <x:c r="C578" s="339" t="str">
        <x:v>SCR-193</x:v>
      </x:c>
      <x:c r="D578" s="339" t="str">
        <x:v>Transport / Bus / GPS</x:v>
      </x:c>
      <x:c r="E578" s="339" t="str">
        <x:v>Student Route Assignment</x:v>
      </x:c>
      <x:c r="F578" s="339" t="str">
        <x:v>School Transport &amp; Live Trips rule 1</x:v>
      </x:c>
      <x:c r="G578" s="339" t="str">
        <x:v>Boarding/drop events must identify student, trip, stop/time and actor/device where available.</x:v>
      </x:c>
      <x:c r="H578" s="339" t="str">
        <x:v>Enforced in service/domain layer and reflected in UI validation/action availability.</x:v>
      </x:c>
      <x:c r="I578" s="339" t="str">
        <x:v>Medium</x:v>
      </x:c>
      <x:c r="J578" s="339" t="str">
        <x:v>Only an explicitly configured authorized override may bypass a non-statutory rule; overrides require reason and audit.</x:v>
      </x:c>
    </x:row>
    <x:row r="579">
      <x:c r="A579" s="339" t="str">
        <x:v>BR-00578</x:v>
      </x:c>
      <x:c r="B579" s="339" t="str">
        <x:v>Screen</x:v>
      </x:c>
      <x:c r="C579" s="339" t="str">
        <x:v>SCR-193</x:v>
      </x:c>
      <x:c r="D579" s="339" t="str">
        <x:v>Transport / Bus / GPS</x:v>
      </x:c>
      <x:c r="E579" s="339" t="str">
        <x:v>Student Route Assignment</x:v>
      </x:c>
      <x:c r="F579" s="339" t="str">
        <x:v>School Transport &amp; Live Trips rule 2</x:v>
      </x:c>
      <x:c r="G579" s="339" t="str">
        <x:v>GPS visibility is limited to active authorized trips and linked guardians/users.</x:v>
      </x:c>
      <x:c r="H579" s="339" t="str">
        <x:v>Enforced in service/domain layer and reflected in UI validation/action availability.</x:v>
      </x:c>
      <x:c r="I579" s="339" t="str">
        <x:v>Medium</x:v>
      </x:c>
      <x:c r="J579" s="339" t="str">
        <x:v>Only an explicitly configured authorized override may bypass a non-statutory rule; overrides require reason and audit.</x:v>
      </x:c>
    </x:row>
    <x:row r="580">
      <x:c r="A580" s="339" t="str">
        <x:v>BR-00579</x:v>
      </x:c>
      <x:c r="B580" s="339" t="str">
        <x:v>Screen Type</x:v>
      </x:c>
      <x:c r="C580" s="339" t="str">
        <x:v>SCR-193</x:v>
      </x:c>
      <x:c r="D580" s="339" t="str">
        <x:v>Transport / Bus / GPS</x:v>
      </x:c>
      <x:c r="E580" s="339" t="str">
        <x:v>Student Route Assignment</x:v>
      </x:c>
      <x:c r="F580" s="339" t="str">
        <x:v>Workflow / Management integrity rule</x:v>
      </x:c>
      <x:c r="G580" s="339" t="str">
        <x:v>State transitions are explicit, role-controlled and auditable; invalid transitions are rejected.</x:v>
      </x:c>
      <x:c r="H580" s="339" t="str">
        <x:v>Domain/service validation plus UI affordances.</x:v>
      </x:c>
      <x:c r="I580" s="339" t="str">
        <x:v>High</x:v>
      </x:c>
      <x:c r="J580" s="339" t="str">
        <x:v>No silent bypass; approved overrides must be separately authorized and audited.</x:v>
      </x:c>
    </x:row>
    <x:row r="581">
      <x:c r="A581" s="339" t="str">
        <x:v>BR-00580</x:v>
      </x:c>
      <x:c r="B581" s="339" t="str">
        <x:v>Screen</x:v>
      </x:c>
      <x:c r="C581" s="339" t="str">
        <x:v>SCR-194</x:v>
      </x:c>
      <x:c r="D581" s="339" t="str">
        <x:v>Transport / Bus / GPS</x:v>
      </x:c>
      <x:c r="E581" s="339" t="str">
        <x:v>Trip Sheet</x:v>
      </x:c>
      <x:c r="F581" s="339" t="str">
        <x:v>School Transport &amp; Live Trips rule 1</x:v>
      </x:c>
      <x:c r="G581" s="339" t="str">
        <x:v>GPS visibility is limited to active authorized trips and linked guardians/users.</x:v>
      </x:c>
      <x:c r="H581" s="339" t="str">
        <x:v>Enforced in service/domain layer and reflected in UI validation/action availability.</x:v>
      </x:c>
      <x:c r="I581" s="339" t="str">
        <x:v>Medium</x:v>
      </x:c>
      <x:c r="J581" s="339" t="str">
        <x:v>Only an explicitly configured authorized override may bypass a non-statutory rule; overrides require reason and audit.</x:v>
      </x:c>
    </x:row>
    <x:row r="582">
      <x:c r="A582" s="339" t="str">
        <x:v>BR-00581</x:v>
      </x:c>
      <x:c r="B582" s="339" t="str">
        <x:v>Screen</x:v>
      </x:c>
      <x:c r="C582" s="339" t="str">
        <x:v>SCR-194</x:v>
      </x:c>
      <x:c r="D582" s="339" t="str">
        <x:v>Transport / Bus / GPS</x:v>
      </x:c>
      <x:c r="E582" s="339" t="str">
        <x:v>Trip Sheet</x:v>
      </x:c>
      <x:c r="F582" s="339" t="str">
        <x:v>School Transport &amp; Live Trips rule 2</x:v>
      </x:c>
      <x:c r="G582" s="339" t="str">
        <x:v>Student route assignment must respect active route/stop, service dates and configured vehicle capacity.</x:v>
      </x:c>
      <x:c r="H582" s="339" t="str">
        <x:v>Enforced in service/domain layer and reflected in UI validation/action availability.</x:v>
      </x:c>
      <x:c r="I582" s="339" t="str">
        <x:v>Medium</x:v>
      </x:c>
      <x:c r="J582" s="339" t="str">
        <x:v>Only an explicitly configured authorized override may bypass a non-statutory rule; overrides require reason and audit.</x:v>
      </x:c>
    </x:row>
    <x:row r="583">
      <x:c r="A583" s="339" t="str">
        <x:v>BR-00582</x:v>
      </x:c>
      <x:c r="B583" s="339" t="str">
        <x:v>Screen Type</x:v>
      </x:c>
      <x:c r="C583" s="339" t="str">
        <x:v>SCR-194</x:v>
      </x:c>
      <x:c r="D583" s="339" t="str">
        <x:v>Transport / Bus / GPS</x:v>
      </x:c>
      <x:c r="E583" s="339" t="str">
        <x:v>Trip Sheet</x:v>
      </x:c>
      <x:c r="F583" s="339" t="str">
        <x:v>Workflow / Management integrity rule</x:v>
      </x:c>
      <x:c r="G583" s="339" t="str">
        <x:v>State transitions are explicit, role-controlled and auditable; invalid transitions are rejected.</x:v>
      </x:c>
      <x:c r="H583" s="339" t="str">
        <x:v>Domain/service validation plus UI affordances.</x:v>
      </x:c>
      <x:c r="I583" s="339" t="str">
        <x:v>High</x:v>
      </x:c>
      <x:c r="J583" s="339" t="str">
        <x:v>No silent bypass; approved overrides must be separately authorized and audited.</x:v>
      </x:c>
    </x:row>
    <x:row r="584">
      <x:c r="A584" s="339" t="str">
        <x:v>BR-00583</x:v>
      </x:c>
      <x:c r="B584" s="339" t="str">
        <x:v>Screen</x:v>
      </x:c>
      <x:c r="C584" s="339" t="str">
        <x:v>SCR-195</x:v>
      </x:c>
      <x:c r="D584" s="339" t="str">
        <x:v>Transport / Bus / GPS</x:v>
      </x:c>
      <x:c r="E584" s="339" t="str">
        <x:v>Live GPS Tracking</x:v>
      </x:c>
      <x:c r="F584" s="339" t="str">
        <x:v>School Transport &amp; Live Trips rule 1</x:v>
      </x:c>
      <x:c r="G584" s="339" t="str">
        <x:v>Student route assignment must respect active route/stop, service dates and configured vehicle capacity.</x:v>
      </x:c>
      <x:c r="H584" s="339" t="str">
        <x:v>Enforced in service/domain layer and reflected in UI validation/action availability.</x:v>
      </x:c>
      <x:c r="I584" s="339" t="str">
        <x:v>Medium</x:v>
      </x:c>
      <x:c r="J584" s="339" t="str">
        <x:v>Only an explicitly configured authorized override may bypass a non-statutory rule; overrides require reason and audit.</x:v>
      </x:c>
    </x:row>
    <x:row r="585">
      <x:c r="A585" s="339" t="str">
        <x:v>BR-00584</x:v>
      </x:c>
      <x:c r="B585" s="339" t="str">
        <x:v>Screen</x:v>
      </x:c>
      <x:c r="C585" s="339" t="str">
        <x:v>SCR-195</x:v>
      </x:c>
      <x:c r="D585" s="339" t="str">
        <x:v>Transport / Bus / GPS</x:v>
      </x:c>
      <x:c r="E585" s="339" t="str">
        <x:v>Live GPS Tracking</x:v>
      </x:c>
      <x:c r="F585" s="339" t="str">
        <x:v>School Transport &amp; Live Trips rule 2</x:v>
      </x:c>
      <x:c r="G585" s="339" t="str">
        <x:v>Drivers and vehicles must be active/compliant before assignment to a trip.</x:v>
      </x:c>
      <x:c r="H585" s="339" t="str">
        <x:v>Enforced in service/domain layer and reflected in UI validation/action availability.</x:v>
      </x:c>
      <x:c r="I585" s="339" t="str">
        <x:v>Medium</x:v>
      </x:c>
      <x:c r="J585" s="339" t="str">
        <x:v>Only an explicitly configured authorized override may bypass a non-statutory rule; overrides require reason and audit.</x:v>
      </x:c>
    </x:row>
    <x:row r="586">
      <x:c r="A586" s="339" t="str">
        <x:v>BR-00585</x:v>
      </x:c>
      <x:c r="B586" s="339" t="str">
        <x:v>Screen Type</x:v>
      </x:c>
      <x:c r="C586" s="339" t="str">
        <x:v>SCR-195</x:v>
      </x:c>
      <x:c r="D586" s="339" t="str">
        <x:v>Transport / Bus / GPS</x:v>
      </x:c>
      <x:c r="E586" s="339" t="str">
        <x:v>Live GPS Tracking</x:v>
      </x:c>
      <x:c r="F586" s="339" t="str">
        <x:v>Workflow / Management integrity rule</x:v>
      </x:c>
      <x:c r="G586" s="339" t="str">
        <x:v>State transitions are explicit, role-controlled and auditable; invalid transitions are rejected.</x:v>
      </x:c>
      <x:c r="H586" s="339" t="str">
        <x:v>Domain/service validation plus UI affordances.</x:v>
      </x:c>
      <x:c r="I586" s="339" t="str">
        <x:v>High</x:v>
      </x:c>
      <x:c r="J586" s="339" t="str">
        <x:v>No silent bypass; approved overrides must be separately authorized and audited.</x:v>
      </x:c>
    </x:row>
    <x:row r="587">
      <x:c r="A587" s="339" t="str">
        <x:v>BR-00586</x:v>
      </x:c>
      <x:c r="B587" s="339" t="str">
        <x:v>Screen</x:v>
      </x:c>
      <x:c r="C587" s="339" t="str">
        <x:v>SCR-196</x:v>
      </x:c>
      <x:c r="D587" s="339" t="str">
        <x:v>Transport / Bus / GPS</x:v>
      </x:c>
      <x:c r="E587" s="339" t="str">
        <x:v>Boarding / Drop Attendance</x:v>
      </x:c>
      <x:c r="F587" s="339" t="str">
        <x:v>School Transport &amp; Live Trips rule 1</x:v>
      </x:c>
      <x:c r="G587" s="339" t="str">
        <x:v>Drivers and vehicles must be active/compliant before assignment to a trip.</x:v>
      </x:c>
      <x:c r="H587" s="339" t="str">
        <x:v>Enforced in service/domain layer and reflected in UI validation/action availability.</x:v>
      </x:c>
      <x:c r="I587" s="339" t="str">
        <x:v>Medium</x:v>
      </x:c>
      <x:c r="J587" s="339" t="str">
        <x:v>Only an explicitly configured authorized override may bypass a non-statutory rule; overrides require reason and audit.</x:v>
      </x:c>
    </x:row>
    <x:row r="588">
      <x:c r="A588" s="339" t="str">
        <x:v>BR-00587</x:v>
      </x:c>
      <x:c r="B588" s="339" t="str">
        <x:v>Screen</x:v>
      </x:c>
      <x:c r="C588" s="339" t="str">
        <x:v>SCR-196</x:v>
      </x:c>
      <x:c r="D588" s="339" t="str">
        <x:v>Transport / Bus / GPS</x:v>
      </x:c>
      <x:c r="E588" s="339" t="str">
        <x:v>Boarding / Drop Attendance</x:v>
      </x:c>
      <x:c r="F588" s="339" t="str">
        <x:v>School Transport &amp; Live Trips rule 2</x:v>
      </x:c>
      <x:c r="G588" s="339" t="str">
        <x:v>Trip state changes follow Planned → Started → Completed/Cancelled with timestamps.</x:v>
      </x:c>
      <x:c r="H588" s="339" t="str">
        <x:v>Enforced in service/domain layer and reflected in UI validation/action availability.</x:v>
      </x:c>
      <x:c r="I588" s="339" t="str">
        <x:v>Medium</x:v>
      </x:c>
      <x:c r="J588" s="339" t="str">
        <x:v>Only an explicitly configured authorized override may bypass a non-statutory rule; overrides require reason and audit.</x:v>
      </x:c>
    </x:row>
    <x:row r="589">
      <x:c r="A589" s="339" t="str">
        <x:v>BR-00588</x:v>
      </x:c>
      <x:c r="B589" s="339" t="str">
        <x:v>Screen Type</x:v>
      </x:c>
      <x:c r="C589" s="339" t="str">
        <x:v>SCR-196</x:v>
      </x:c>
      <x:c r="D589" s="339" t="str">
        <x:v>Transport / Bus / GPS</x:v>
      </x:c>
      <x:c r="E589" s="339" t="str">
        <x:v>Boarding / Drop Attendance</x:v>
      </x:c>
      <x:c r="F589" s="339" t="str">
        <x:v>Workflow / Management integrity rule</x:v>
      </x:c>
      <x:c r="G589" s="339" t="str">
        <x:v>State transitions are explicit, role-controlled and auditable; invalid transitions are rejected.</x:v>
      </x:c>
      <x:c r="H589" s="339" t="str">
        <x:v>Domain/service validation plus UI affordances.</x:v>
      </x:c>
      <x:c r="I589" s="339" t="str">
        <x:v>High</x:v>
      </x:c>
      <x:c r="J589" s="339" t="str">
        <x:v>No silent bypass; approved overrides must be separately authorized and audited.</x:v>
      </x:c>
    </x:row>
    <x:row r="590">
      <x:c r="A590" s="339" t="str">
        <x:v>BR-00589</x:v>
      </x:c>
      <x:c r="B590" s="339" t="str">
        <x:v>Screen</x:v>
      </x:c>
      <x:c r="C590" s="339" t="str">
        <x:v>SCR-197</x:v>
      </x:c>
      <x:c r="D590" s="339" t="str">
        <x:v>Transport / Bus / GPS</x:v>
      </x:c>
      <x:c r="E590" s="339" t="str">
        <x:v>Vehicle Maintenance &amp; Fuel</x:v>
      </x:c>
      <x:c r="F590" s="339" t="str">
        <x:v>School Transport &amp; Live Trips rule 1</x:v>
      </x:c>
      <x:c r="G590" s="339" t="str">
        <x:v>Trip state changes follow Planned → Started → Completed/Cancelled with timestamps.</x:v>
      </x:c>
      <x:c r="H590" s="339" t="str">
        <x:v>Enforced in service/domain layer and reflected in UI validation/action availability.</x:v>
      </x:c>
      <x:c r="I590" s="339" t="str">
        <x:v>Medium</x:v>
      </x:c>
      <x:c r="J590" s="339" t="str">
        <x:v>Only an explicitly configured authorized override may bypass a non-statutory rule; overrides require reason and audit.</x:v>
      </x:c>
    </x:row>
    <x:row r="591">
      <x:c r="A591" s="339" t="str">
        <x:v>BR-00590</x:v>
      </x:c>
      <x:c r="B591" s="339" t="str">
        <x:v>Screen</x:v>
      </x:c>
      <x:c r="C591" s="339" t="str">
        <x:v>SCR-197</x:v>
      </x:c>
      <x:c r="D591" s="339" t="str">
        <x:v>Transport / Bus / GPS</x:v>
      </x:c>
      <x:c r="E591" s="339" t="str">
        <x:v>Vehicle Maintenance &amp; Fuel</x:v>
      </x:c>
      <x:c r="F591" s="339" t="str">
        <x:v>School Transport &amp; Live Trips rule 2</x:v>
      </x:c>
      <x:c r="G591" s="339" t="str">
        <x:v>Boarding/drop events must identify student, trip, stop/time and actor/device where available.</x:v>
      </x:c>
      <x:c r="H591" s="339" t="str">
        <x:v>Enforced in service/domain layer and reflected in UI validation/action availability.</x:v>
      </x:c>
      <x:c r="I591" s="339" t="str">
        <x:v>Medium</x:v>
      </x:c>
      <x:c r="J591" s="339" t="str">
        <x:v>Only an explicitly configured authorized override may bypass a non-statutory rule; overrides require reason and audit.</x:v>
      </x:c>
    </x:row>
    <x:row r="592">
      <x:c r="A592" s="339" t="str">
        <x:v>BR-00591</x:v>
      </x:c>
      <x:c r="B592" s="339" t="str">
        <x:v>Screen Type</x:v>
      </x:c>
      <x:c r="C592" s="339" t="str">
        <x:v>SCR-197</x:v>
      </x:c>
      <x:c r="D592" s="339" t="str">
        <x:v>Transport / Bus / GPS</x:v>
      </x:c>
      <x:c r="E592" s="339" t="str">
        <x:v>Vehicle Maintenance &amp; Fuel</x:v>
      </x:c>
      <x:c r="F592" s="339" t="str">
        <x:v>Workflow / Management integrity rule</x:v>
      </x:c>
      <x:c r="G592" s="339" t="str">
        <x:v>State transitions are explicit, role-controlled and auditable; invalid transitions are rejected.</x:v>
      </x:c>
      <x:c r="H592" s="339" t="str">
        <x:v>Domain/service validation plus UI affordances.</x:v>
      </x:c>
      <x:c r="I592" s="339" t="str">
        <x:v>High</x:v>
      </x:c>
      <x:c r="J592" s="339" t="str">
        <x:v>No silent bypass; approved overrides must be separately authorized and audited.</x:v>
      </x:c>
    </x:row>
    <x:row r="593">
      <x:c r="A593" s="339" t="str">
        <x:v>BR-00592</x:v>
      </x:c>
      <x:c r="B593" s="339" t="str">
        <x:v>Screen</x:v>
      </x:c>
      <x:c r="C593" s="339" t="str">
        <x:v>SCR-198</x:v>
      </x:c>
      <x:c r="D593" s="339" t="str">
        <x:v>Library</x:v>
      </x:c>
      <x:c r="E593" s="339" t="str">
        <x:v>Library Catalogue</x:v>
      </x:c>
      <x:c r="F593" s="339" t="str">
        <x:v>Library Circulation &amp; Digital Resources rule 1</x:v>
      </x:c>
      <x:c r="G593" s="339" t="str">
        <x:v>Lost/damaged status removes a copy from normal available inventory until resolved.</x:v>
      </x:c>
      <x:c r="H593" s="339" t="str">
        <x:v>Enforced in service/domain layer and reflected in UI validation/action availability.</x:v>
      </x:c>
      <x:c r="I593" s="339" t="str">
        <x:v>Medium</x:v>
      </x:c>
      <x:c r="J593" s="339" t="str">
        <x:v>Only an explicitly configured authorized override may bypass a non-statutory rule; overrides require reason and audit.</x:v>
      </x:c>
    </x:row>
    <x:row r="594">
      <x:c r="A594" s="339" t="str">
        <x:v>BR-00593</x:v>
      </x:c>
      <x:c r="B594" s="339" t="str">
        <x:v>Screen</x:v>
      </x:c>
      <x:c r="C594" s="339" t="str">
        <x:v>SCR-198</x:v>
      </x:c>
      <x:c r="D594" s="339" t="str">
        <x:v>Library</x:v>
      </x:c>
      <x:c r="E594" s="339" t="str">
        <x:v>Library Catalogue</x:v>
      </x:c>
      <x:c r="F594" s="339" t="str">
        <x:v>Library Circulation &amp; Digital Resources rule 2</x:v>
      </x:c>
      <x:c r="G594" s="339" t="str">
        <x:v>Reservations are fulfilled in configured queue order unless overridden by an authorized librarian.</x:v>
      </x:c>
      <x:c r="H594" s="339" t="str">
        <x:v>Enforced in service/domain layer and reflected in UI validation/action availability.</x:v>
      </x:c>
      <x:c r="I594" s="339" t="str">
        <x:v>Medium</x:v>
      </x:c>
      <x:c r="J594" s="339" t="str">
        <x:v>Only an explicitly configured authorized override may bypass a non-statutory rule; overrides require reason and audit.</x:v>
      </x:c>
    </x:row>
    <x:row r="595">
      <x:c r="A595" s="339" t="str">
        <x:v>BR-00594</x:v>
      </x:c>
      <x:c r="B595" s="339" t="str">
        <x:v>Screen Type</x:v>
      </x:c>
      <x:c r="C595" s="339" t="str">
        <x:v>SCR-198</x:v>
      </x:c>
      <x:c r="D595" s="339" t="str">
        <x:v>Library</x:v>
      </x:c>
      <x:c r="E595" s="339" t="str">
        <x:v>Library Catalogue</x:v>
      </x:c>
      <x:c r="F595" s="339" t="str">
        <x:v>List / Management integrity rule</x:v>
      </x:c>
      <x:c r="G595" s="339" t="str">
        <x:v>Search, filters, exports and row actions must preserve the same authorization scope.</x:v>
      </x:c>
      <x:c r="H595" s="339" t="str">
        <x:v>Domain/service validation plus UI affordances.</x:v>
      </x:c>
      <x:c r="I595" s="339" t="str">
        <x:v>High</x:v>
      </x:c>
      <x:c r="J595" s="339" t="str">
        <x:v>No silent bypass; approved overrides must be separately authorized and audited.</x:v>
      </x:c>
    </x:row>
    <x:row r="596">
      <x:c r="A596" s="339" t="str">
        <x:v>BR-00595</x:v>
      </x:c>
      <x:c r="B596" s="339" t="str">
        <x:v>Screen</x:v>
      </x:c>
      <x:c r="C596" s="339" t="str">
        <x:v>SCR-199</x:v>
      </x:c>
      <x:c r="D596" s="339" t="str">
        <x:v>Library</x:v>
      </x:c>
      <x:c r="E596" s="339" t="str">
        <x:v>Add / Edit Book</x:v>
      </x:c>
      <x:c r="F596" s="339" t="str">
        <x:v>Library Circulation &amp; Digital Resources rule 1</x:v>
      </x:c>
      <x:c r="G596" s="339" t="str">
        <x:v>Reservations are fulfilled in configured queue order unless overridden by an authorized librarian.</x:v>
      </x:c>
      <x:c r="H596" s="339" t="str">
        <x:v>Enforced in service/domain layer and reflected in UI validation/action availability.</x:v>
      </x:c>
      <x:c r="I596" s="339" t="str">
        <x:v>Medium</x:v>
      </x:c>
      <x:c r="J596" s="339" t="str">
        <x:v>Only an explicitly configured authorized override may bypass a non-statutory rule; overrides require reason and audit.</x:v>
      </x:c>
    </x:row>
    <x:row r="597">
      <x:c r="A597" s="339" t="str">
        <x:v>BR-00596</x:v>
      </x:c>
      <x:c r="B597" s="339" t="str">
        <x:v>Screen</x:v>
      </x:c>
      <x:c r="C597" s="339" t="str">
        <x:v>SCR-199</x:v>
      </x:c>
      <x:c r="D597" s="339" t="str">
        <x:v>Library</x:v>
      </x:c>
      <x:c r="E597" s="339" t="str">
        <x:v>Add / Edit Book</x:v>
      </x:c>
      <x:c r="F597" s="339" t="str">
        <x:v>Library Circulation &amp; Digital Resources rule 2</x:v>
      </x:c>
      <x:c r="G597" s="339" t="str">
        <x:v>A physical copy cannot be issued to more than one active borrower at the same time.</x:v>
      </x:c>
      <x:c r="H597" s="339" t="str">
        <x:v>Enforced in service/domain layer and reflected in UI validation/action availability.</x:v>
      </x:c>
      <x:c r="I597" s="339" t="str">
        <x:v>Medium</x:v>
      </x:c>
      <x:c r="J597" s="339" t="str">
        <x:v>Only an explicitly configured authorized override may bypass a non-statutory rule; overrides require reason and audit.</x:v>
      </x:c>
    </x:row>
    <x:row r="598">
      <x:c r="A598" s="339" t="str">
        <x:v>BR-00597</x:v>
      </x:c>
      <x:c r="B598" s="339" t="str">
        <x:v>Screen Type</x:v>
      </x:c>
      <x:c r="C598" s="339" t="str">
        <x:v>SCR-199</x:v>
      </x:c>
      <x:c r="D598" s="339" t="str">
        <x:v>Library</x:v>
      </x:c>
      <x:c r="E598" s="339" t="str">
        <x:v>Add / Edit Book</x:v>
      </x:c>
      <x:c r="F598" s="339" t="str">
        <x:v>Create / Transaction integrity rule</x:v>
      </x:c>
      <x:c r="G598" s="339" t="str">
        <x:v>A record is created only after all blocking validations, duplicate checks and reference checks pass.</x:v>
      </x:c>
      <x:c r="H598" s="339" t="str">
        <x:v>Domain/service validation plus UI affordances.</x:v>
      </x:c>
      <x:c r="I598" s="339" t="str">
        <x:v>High</x:v>
      </x:c>
      <x:c r="J598" s="339" t="str">
        <x:v>No silent bypass; approved overrides must be separately authorized and audited.</x:v>
      </x:c>
    </x:row>
    <x:row r="599">
      <x:c r="A599" s="339" t="str">
        <x:v>BR-00598</x:v>
      </x:c>
      <x:c r="B599" s="339" t="str">
        <x:v>Screen</x:v>
      </x:c>
      <x:c r="C599" s="339" t="str">
        <x:v>SCR-200</x:v>
      </x:c>
      <x:c r="D599" s="339" t="str">
        <x:v>Library</x:v>
      </x:c>
      <x:c r="E599" s="339" t="str">
        <x:v>Book Details &amp; Copies</x:v>
      </x:c>
      <x:c r="F599" s="339" t="str">
        <x:v>Library Circulation &amp; Digital Resources rule 1</x:v>
      </x:c>
      <x:c r="G599" s="339" t="str">
        <x:v>A physical copy cannot be issued to more than one active borrower at the same time.</x:v>
      </x:c>
      <x:c r="H599" s="339" t="str">
        <x:v>Enforced in service/domain layer and reflected in UI validation/action availability.</x:v>
      </x:c>
      <x:c r="I599" s="339" t="str">
        <x:v>Medium</x:v>
      </x:c>
      <x:c r="J599" s="339" t="str">
        <x:v>Only an explicitly configured authorized override may bypass a non-statutory rule; overrides require reason and audit.</x:v>
      </x:c>
    </x:row>
    <x:row r="600">
      <x:c r="A600" s="339" t="str">
        <x:v>BR-00599</x:v>
      </x:c>
      <x:c r="B600" s="339" t="str">
        <x:v>Screen</x:v>
      </x:c>
      <x:c r="C600" s="339" t="str">
        <x:v>SCR-200</x:v>
      </x:c>
      <x:c r="D600" s="339" t="str">
        <x:v>Library</x:v>
      </x:c>
      <x:c r="E600" s="339" t="str">
        <x:v>Book Details &amp; Copies</x:v>
      </x:c>
      <x:c r="F600" s="339" t="str">
        <x:v>Library Circulation &amp; Digital Resources rule 2</x:v>
      </x:c>
      <x:c r="G600" s="339" t="str">
        <x:v>Issue/renewal limits and due dates follow member type and circulation policy.</x:v>
      </x:c>
      <x:c r="H600" s="339" t="str">
        <x:v>Enforced in service/domain layer and reflected in UI validation/action availability.</x:v>
      </x:c>
      <x:c r="I600" s="339" t="str">
        <x:v>Medium</x:v>
      </x:c>
      <x:c r="J600" s="339" t="str">
        <x:v>Only an explicitly configured authorized override may bypass a non-statutory rule; overrides require reason and audit.</x:v>
      </x:c>
    </x:row>
    <x:row r="601">
      <x:c r="A601" s="339" t="str">
        <x:v>BR-00600</x:v>
      </x:c>
      <x:c r="B601" s="339" t="str">
        <x:v>Screen Type</x:v>
      </x:c>
      <x:c r="C601" s="339" t="str">
        <x:v>SCR-200</x:v>
      </x:c>
      <x:c r="D601" s="339" t="str">
        <x:v>Library</x:v>
      </x:c>
      <x:c r="E601" s="339" t="str">
        <x:v>Book Details &amp; Copies</x:v>
      </x:c>
      <x:c r="F601" s="339" t="str">
        <x:v>Detail / Profile integrity rule</x:v>
      </x:c>
      <x:c r="G601" s="339" t="str">
        <x:v>Concurrent updates must not silently overwrite newer data; material edits are audited.</x:v>
      </x:c>
      <x:c r="H601" s="339" t="str">
        <x:v>Domain/service validation plus UI affordances.</x:v>
      </x:c>
      <x:c r="I601" s="339" t="str">
        <x:v>High</x:v>
      </x:c>
      <x:c r="J601" s="339" t="str">
        <x:v>No silent bypass; approved overrides must be separately authorized and audited.</x:v>
      </x:c>
    </x:row>
    <x:row r="602">
      <x:c r="A602" s="339" t="str">
        <x:v>BR-00601</x:v>
      </x:c>
      <x:c r="B602" s="339" t="str">
        <x:v>Screen</x:v>
      </x:c>
      <x:c r="C602" s="339" t="str">
        <x:v>SCR-201</x:v>
      </x:c>
      <x:c r="D602" s="339" t="str">
        <x:v>Library</x:v>
      </x:c>
      <x:c r="E602" s="339" t="str">
        <x:v>Library Members</x:v>
      </x:c>
      <x:c r="F602" s="339" t="str">
        <x:v>Library Circulation &amp; Digital Resources rule 1</x:v>
      </x:c>
      <x:c r="G602" s="339" t="str">
        <x:v>Issue/renewal limits and due dates follow member type and circulation policy.</x:v>
      </x:c>
      <x:c r="H602" s="339" t="str">
        <x:v>Enforced in service/domain layer and reflected in UI validation/action availability.</x:v>
      </x:c>
      <x:c r="I602" s="339" t="str">
        <x:v>Medium</x:v>
      </x:c>
      <x:c r="J602" s="339" t="str">
        <x:v>Only an explicitly configured authorized override may bypass a non-statutory rule; overrides require reason and audit.</x:v>
      </x:c>
    </x:row>
    <x:row r="603">
      <x:c r="A603" s="339" t="str">
        <x:v>BR-00602</x:v>
      </x:c>
      <x:c r="B603" s="339" t="str">
        <x:v>Screen</x:v>
      </x:c>
      <x:c r="C603" s="339" t="str">
        <x:v>SCR-201</x:v>
      </x:c>
      <x:c r="D603" s="339" t="str">
        <x:v>Library</x:v>
      </x:c>
      <x:c r="E603" s="339" t="str">
        <x:v>Library Members</x:v>
      </x:c>
      <x:c r="F603" s="339" t="str">
        <x:v>Library Circulation &amp; Digital Resources rule 2</x:v>
      </x:c>
      <x:c r="G603" s="339" t="str">
        <x:v>Overdue fines are calculated from configured grace period, rate and cap.</x:v>
      </x:c>
      <x:c r="H603" s="339" t="str">
        <x:v>Enforced in service/domain layer and reflected in UI validation/action availability.</x:v>
      </x:c>
      <x:c r="I603" s="339" t="str">
        <x:v>Medium</x:v>
      </x:c>
      <x:c r="J603" s="339" t="str">
        <x:v>Only an explicitly configured authorized override may bypass a non-statutory rule; overrides require reason and audit.</x:v>
      </x:c>
    </x:row>
    <x:row r="604">
      <x:c r="A604" s="339" t="str">
        <x:v>BR-00603</x:v>
      </x:c>
      <x:c r="B604" s="339" t="str">
        <x:v>Screen Type</x:v>
      </x:c>
      <x:c r="C604" s="339" t="str">
        <x:v>SCR-201</x:v>
      </x:c>
      <x:c r="D604" s="339" t="str">
        <x:v>Library</x:v>
      </x:c>
      <x:c r="E604" s="339" t="str">
        <x:v>Library Members</x:v>
      </x:c>
      <x:c r="F604" s="339" t="str">
        <x:v>List / Management integrity rule</x:v>
      </x:c>
      <x:c r="G604" s="339" t="str">
        <x:v>Search, filters, exports and row actions must preserve the same authorization scope.</x:v>
      </x:c>
      <x:c r="H604" s="339" t="str">
        <x:v>Domain/service validation plus UI affordances.</x:v>
      </x:c>
      <x:c r="I604" s="339" t="str">
        <x:v>High</x:v>
      </x:c>
      <x:c r="J604" s="339" t="str">
        <x:v>No silent bypass; approved overrides must be separately authorized and audited.</x:v>
      </x:c>
    </x:row>
    <x:row r="605">
      <x:c r="A605" s="339" t="str">
        <x:v>BR-00604</x:v>
      </x:c>
      <x:c r="B605" s="339" t="str">
        <x:v>Screen</x:v>
      </x:c>
      <x:c r="C605" s="339" t="str">
        <x:v>SCR-202</x:v>
      </x:c>
      <x:c r="D605" s="339" t="str">
        <x:v>Library</x:v>
      </x:c>
      <x:c r="E605" s="339" t="str">
        <x:v>Issue Book</x:v>
      </x:c>
      <x:c r="F605" s="339" t="str">
        <x:v>Library Circulation &amp; Digital Resources rule 1</x:v>
      </x:c>
      <x:c r="G605" s="339" t="str">
        <x:v>Overdue fines are calculated from configured grace period, rate and cap.</x:v>
      </x:c>
      <x:c r="H605" s="339" t="str">
        <x:v>Enforced in service/domain layer and reflected in UI validation/action availability.</x:v>
      </x:c>
      <x:c r="I605" s="339" t="str">
        <x:v>Medium</x:v>
      </x:c>
      <x:c r="J605" s="339" t="str">
        <x:v>Only an explicitly configured authorized override may bypass a non-statutory rule; overrides require reason and audit.</x:v>
      </x:c>
    </x:row>
    <x:row r="606">
      <x:c r="A606" s="339" t="str">
        <x:v>BR-00605</x:v>
      </x:c>
      <x:c r="B606" s="339" t="str">
        <x:v>Screen</x:v>
      </x:c>
      <x:c r="C606" s="339" t="str">
        <x:v>SCR-202</x:v>
      </x:c>
      <x:c r="D606" s="339" t="str">
        <x:v>Library</x:v>
      </x:c>
      <x:c r="E606" s="339" t="str">
        <x:v>Issue Book</x:v>
      </x:c>
      <x:c r="F606" s="339" t="str">
        <x:v>Library Circulation &amp; Digital Resources rule 2</x:v>
      </x:c>
      <x:c r="G606" s="339" t="str">
        <x:v>Lost/damaged status removes a copy from normal available inventory until resolved.</x:v>
      </x:c>
      <x:c r="H606" s="339" t="str">
        <x:v>Enforced in service/domain layer and reflected in UI validation/action availability.</x:v>
      </x:c>
      <x:c r="I606" s="339" t="str">
        <x:v>Medium</x:v>
      </x:c>
      <x:c r="J606" s="339" t="str">
        <x:v>Only an explicitly configured authorized override may bypass a non-statutory rule; overrides require reason and audit.</x:v>
      </x:c>
    </x:row>
    <x:row r="607">
      <x:c r="A607" s="339" t="str">
        <x:v>BR-00606</x:v>
      </x:c>
      <x:c r="B607" s="339" t="str">
        <x:v>Screen Type</x:v>
      </x:c>
      <x:c r="C607" s="339" t="str">
        <x:v>SCR-202</x:v>
      </x:c>
      <x:c r="D607" s="339" t="str">
        <x:v>Library</x:v>
      </x:c>
      <x:c r="E607" s="339" t="str">
        <x:v>Issue Book</x:v>
      </x:c>
      <x:c r="F607" s="339" t="str">
        <x:v>Workflow / Management integrity rule</x:v>
      </x:c>
      <x:c r="G607" s="339" t="str">
        <x:v>State transitions are explicit, role-controlled and auditable; invalid transitions are rejected.</x:v>
      </x:c>
      <x:c r="H607" s="339" t="str">
        <x:v>Domain/service validation plus UI affordances.</x:v>
      </x:c>
      <x:c r="I607" s="339" t="str">
        <x:v>High</x:v>
      </x:c>
      <x:c r="J607" s="339" t="str">
        <x:v>No silent bypass; approved overrides must be separately authorized and audited.</x:v>
      </x:c>
    </x:row>
    <x:row r="608">
      <x:c r="A608" s="339" t="str">
        <x:v>BR-00607</x:v>
      </x:c>
      <x:c r="B608" s="339" t="str">
        <x:v>Screen</x:v>
      </x:c>
      <x:c r="C608" s="339" t="str">
        <x:v>SCR-203</x:v>
      </x:c>
      <x:c r="D608" s="339" t="str">
        <x:v>Library</x:v>
      </x:c>
      <x:c r="E608" s="339" t="str">
        <x:v>Return Book</x:v>
      </x:c>
      <x:c r="F608" s="339" t="str">
        <x:v>Library Circulation &amp; Digital Resources rule 1</x:v>
      </x:c>
      <x:c r="G608" s="339" t="str">
        <x:v>Lost/damaged status removes a copy from normal available inventory until resolved.</x:v>
      </x:c>
      <x:c r="H608" s="339" t="str">
        <x:v>Enforced in service/domain layer and reflected in UI validation/action availability.</x:v>
      </x:c>
      <x:c r="I608" s="339" t="str">
        <x:v>Medium</x:v>
      </x:c>
      <x:c r="J608" s="339" t="str">
        <x:v>Only an explicitly configured authorized override may bypass a non-statutory rule; overrides require reason and audit.</x:v>
      </x:c>
    </x:row>
    <x:row r="609">
      <x:c r="A609" s="339" t="str">
        <x:v>BR-00608</x:v>
      </x:c>
      <x:c r="B609" s="339" t="str">
        <x:v>Screen</x:v>
      </x:c>
      <x:c r="C609" s="339" t="str">
        <x:v>SCR-203</x:v>
      </x:c>
      <x:c r="D609" s="339" t="str">
        <x:v>Library</x:v>
      </x:c>
      <x:c r="E609" s="339" t="str">
        <x:v>Return Book</x:v>
      </x:c>
      <x:c r="F609" s="339" t="str">
        <x:v>Library Circulation &amp; Digital Resources rule 2</x:v>
      </x:c>
      <x:c r="G609" s="339" t="str">
        <x:v>Reservations are fulfilled in configured queue order unless overridden by an authorized librarian.</x:v>
      </x:c>
      <x:c r="H609" s="339" t="str">
        <x:v>Enforced in service/domain layer and reflected in UI validation/action availability.</x:v>
      </x:c>
      <x:c r="I609" s="339" t="str">
        <x:v>Medium</x:v>
      </x:c>
      <x:c r="J609" s="339" t="str">
        <x:v>Only an explicitly configured authorized override may bypass a non-statutory rule; overrides require reason and audit.</x:v>
      </x:c>
    </x:row>
    <x:row r="610">
      <x:c r="A610" s="339" t="str">
        <x:v>BR-00609</x:v>
      </x:c>
      <x:c r="B610" s="339" t="str">
        <x:v>Screen Type</x:v>
      </x:c>
      <x:c r="C610" s="339" t="str">
        <x:v>SCR-203</x:v>
      </x:c>
      <x:c r="D610" s="339" t="str">
        <x:v>Library</x:v>
      </x:c>
      <x:c r="E610" s="339" t="str">
        <x:v>Return Book</x:v>
      </x:c>
      <x:c r="F610" s="339" t="str">
        <x:v>Workflow / Management integrity rule</x:v>
      </x:c>
      <x:c r="G610" s="339" t="str">
        <x:v>State transitions are explicit, role-controlled and auditable; invalid transitions are rejected.</x:v>
      </x:c>
      <x:c r="H610" s="339" t="str">
        <x:v>Domain/service validation plus UI affordances.</x:v>
      </x:c>
      <x:c r="I610" s="339" t="str">
        <x:v>High</x:v>
      </x:c>
      <x:c r="J610" s="339" t="str">
        <x:v>No silent bypass; approved overrides must be separately authorized and audited.</x:v>
      </x:c>
    </x:row>
    <x:row r="611">
      <x:c r="A611" s="339" t="str">
        <x:v>BR-00610</x:v>
      </x:c>
      <x:c r="B611" s="339" t="str">
        <x:v>Screen</x:v>
      </x:c>
      <x:c r="C611" s="339" t="str">
        <x:v>SCR-204</x:v>
      </x:c>
      <x:c r="D611" s="339" t="str">
        <x:v>Library</x:v>
      </x:c>
      <x:c r="E611" s="339" t="str">
        <x:v>Renew / Reserve Book</x:v>
      </x:c>
      <x:c r="F611" s="339" t="str">
        <x:v>Library Circulation &amp; Digital Resources rule 1</x:v>
      </x:c>
      <x:c r="G611" s="339" t="str">
        <x:v>Reservations are fulfilled in configured queue order unless overridden by an authorized librarian.</x:v>
      </x:c>
      <x:c r="H611" s="339" t="str">
        <x:v>Enforced in service/domain layer and reflected in UI validation/action availability.</x:v>
      </x:c>
      <x:c r="I611" s="339" t="str">
        <x:v>Medium</x:v>
      </x:c>
      <x:c r="J611" s="339" t="str">
        <x:v>Only an explicitly configured authorized override may bypass a non-statutory rule; overrides require reason and audit.</x:v>
      </x:c>
    </x:row>
    <x:row r="612">
      <x:c r="A612" s="339" t="str">
        <x:v>BR-00611</x:v>
      </x:c>
      <x:c r="B612" s="339" t="str">
        <x:v>Screen</x:v>
      </x:c>
      <x:c r="C612" s="339" t="str">
        <x:v>SCR-204</x:v>
      </x:c>
      <x:c r="D612" s="339" t="str">
        <x:v>Library</x:v>
      </x:c>
      <x:c r="E612" s="339" t="str">
        <x:v>Renew / Reserve Book</x:v>
      </x:c>
      <x:c r="F612" s="339" t="str">
        <x:v>Library Circulation &amp; Digital Resources rule 2</x:v>
      </x:c>
      <x:c r="G612" s="339" t="str">
        <x:v>A physical copy cannot be issued to more than one active borrower at the same time.</x:v>
      </x:c>
      <x:c r="H612" s="339" t="str">
        <x:v>Enforced in service/domain layer and reflected in UI validation/action availability.</x:v>
      </x:c>
      <x:c r="I612" s="339" t="str">
        <x:v>Medium</x:v>
      </x:c>
      <x:c r="J612" s="339" t="str">
        <x:v>Only an explicitly configured authorized override may bypass a non-statutory rule; overrides require reason and audit.</x:v>
      </x:c>
    </x:row>
    <x:row r="613">
      <x:c r="A613" s="339" t="str">
        <x:v>BR-00612</x:v>
      </x:c>
      <x:c r="B613" s="339" t="str">
        <x:v>Screen Type</x:v>
      </x:c>
      <x:c r="C613" s="339" t="str">
        <x:v>SCR-204</x:v>
      </x:c>
      <x:c r="D613" s="339" t="str">
        <x:v>Library</x:v>
      </x:c>
      <x:c r="E613" s="339" t="str">
        <x:v>Renew / Reserve Book</x:v>
      </x:c>
      <x:c r="F613" s="339" t="str">
        <x:v>Create / Transaction integrity rule</x:v>
      </x:c>
      <x:c r="G613" s="339" t="str">
        <x:v>A record is created only after all blocking validations, duplicate checks and reference checks pass.</x:v>
      </x:c>
      <x:c r="H613" s="339" t="str">
        <x:v>Domain/service validation plus UI affordances.</x:v>
      </x:c>
      <x:c r="I613" s="339" t="str">
        <x:v>High</x:v>
      </x:c>
      <x:c r="J613" s="339" t="str">
        <x:v>No silent bypass; approved overrides must be separately authorized and audited.</x:v>
      </x:c>
    </x:row>
    <x:row r="614">
      <x:c r="A614" s="339" t="str">
        <x:v>BR-00613</x:v>
      </x:c>
      <x:c r="B614" s="339" t="str">
        <x:v>Screen</x:v>
      </x:c>
      <x:c r="C614" s="339" t="str">
        <x:v>SCR-205</x:v>
      </x:c>
      <x:c r="D614" s="339" t="str">
        <x:v>Library</x:v>
      </x:c>
      <x:c r="E614" s="339" t="str">
        <x:v>Fine / Lost / Damaged Book</x:v>
      </x:c>
      <x:c r="F614" s="339" t="str">
        <x:v>Library Circulation &amp; Digital Resources rule 1</x:v>
      </x:c>
      <x:c r="G614" s="339" t="str">
        <x:v>A physical copy cannot be issued to more than one active borrower at the same time.</x:v>
      </x:c>
      <x:c r="H614" s="339" t="str">
        <x:v>Enforced in service/domain layer and reflected in UI validation/action availability.</x:v>
      </x:c>
      <x:c r="I614" s="339" t="str">
        <x:v>Medium</x:v>
      </x:c>
      <x:c r="J614" s="339" t="str">
        <x:v>Only an explicitly configured authorized override may bypass a non-statutory rule; overrides require reason and audit.</x:v>
      </x:c>
    </x:row>
    <x:row r="615">
      <x:c r="A615" s="339" t="str">
        <x:v>BR-00614</x:v>
      </x:c>
      <x:c r="B615" s="339" t="str">
        <x:v>Screen</x:v>
      </x:c>
      <x:c r="C615" s="339" t="str">
        <x:v>SCR-205</x:v>
      </x:c>
      <x:c r="D615" s="339" t="str">
        <x:v>Library</x:v>
      </x:c>
      <x:c r="E615" s="339" t="str">
        <x:v>Fine / Lost / Damaged Book</x:v>
      </x:c>
      <x:c r="F615" s="339" t="str">
        <x:v>Library Circulation &amp; Digital Resources rule 2</x:v>
      </x:c>
      <x:c r="G615" s="339" t="str">
        <x:v>Issue/renewal limits and due dates follow member type and circulation policy.</x:v>
      </x:c>
      <x:c r="H615" s="339" t="str">
        <x:v>Enforced in service/domain layer and reflected in UI validation/action availability.</x:v>
      </x:c>
      <x:c r="I615" s="339" t="str">
        <x:v>Medium</x:v>
      </x:c>
      <x:c r="J615" s="339" t="str">
        <x:v>Only an explicitly configured authorized override may bypass a non-statutory rule; overrides require reason and audit.</x:v>
      </x:c>
    </x:row>
    <x:row r="616">
      <x:c r="A616" s="339" t="str">
        <x:v>BR-00615</x:v>
      </x:c>
      <x:c r="B616" s="339" t="str">
        <x:v>Screen Type</x:v>
      </x:c>
      <x:c r="C616" s="339" t="str">
        <x:v>SCR-205</x:v>
      </x:c>
      <x:c r="D616" s="339" t="str">
        <x:v>Library</x:v>
      </x:c>
      <x:c r="E616" s="339" t="str">
        <x:v>Fine / Lost / Damaged Book</x:v>
      </x:c>
      <x:c r="F616" s="339" t="str">
        <x:v>Workflow / Management integrity rule</x:v>
      </x:c>
      <x:c r="G616" s="339" t="str">
        <x:v>State transitions are explicit, role-controlled and auditable; invalid transitions are rejected.</x:v>
      </x:c>
      <x:c r="H616" s="339" t="str">
        <x:v>Domain/service validation plus UI affordances.</x:v>
      </x:c>
      <x:c r="I616" s="339" t="str">
        <x:v>High</x:v>
      </x:c>
      <x:c r="J616" s="339" t="str">
        <x:v>No silent bypass; approved overrides must be separately authorized and audited.</x:v>
      </x:c>
    </x:row>
    <x:row r="617">
      <x:c r="A617" s="339" t="str">
        <x:v>BR-00616</x:v>
      </x:c>
      <x:c r="B617" s="339" t="str">
        <x:v>Screen</x:v>
      </x:c>
      <x:c r="C617" s="339" t="str">
        <x:v>SCR-206</x:v>
      </x:c>
      <x:c r="D617" s="339" t="str">
        <x:v>Library</x:v>
      </x:c>
      <x:c r="E617" s="339" t="str">
        <x:v>Digital Library</x:v>
      </x:c>
      <x:c r="F617" s="339" t="str">
        <x:v>Library Circulation &amp; Digital Resources rule 1</x:v>
      </x:c>
      <x:c r="G617" s="339" t="str">
        <x:v>Issue/renewal limits and due dates follow member type and circulation policy.</x:v>
      </x:c>
      <x:c r="H617" s="339" t="str">
        <x:v>Enforced in service/domain layer and reflected in UI validation/action availability.</x:v>
      </x:c>
      <x:c r="I617" s="339" t="str">
        <x:v>Medium</x:v>
      </x:c>
      <x:c r="J617" s="339" t="str">
        <x:v>Only an explicitly configured authorized override may bypass a non-statutory rule; overrides require reason and audit.</x:v>
      </x:c>
    </x:row>
    <x:row r="618">
      <x:c r="A618" s="339" t="str">
        <x:v>BR-00617</x:v>
      </x:c>
      <x:c r="B618" s="339" t="str">
        <x:v>Screen</x:v>
      </x:c>
      <x:c r="C618" s="339" t="str">
        <x:v>SCR-206</x:v>
      </x:c>
      <x:c r="D618" s="339" t="str">
        <x:v>Library</x:v>
      </x:c>
      <x:c r="E618" s="339" t="str">
        <x:v>Digital Library</x:v>
      </x:c>
      <x:c r="F618" s="339" t="str">
        <x:v>Library Circulation &amp; Digital Resources rule 2</x:v>
      </x:c>
      <x:c r="G618" s="339" t="str">
        <x:v>Overdue fines are calculated from configured grace period, rate and cap.</x:v>
      </x:c>
      <x:c r="H618" s="339" t="str">
        <x:v>Enforced in service/domain layer and reflected in UI validation/action availability.</x:v>
      </x:c>
      <x:c r="I618" s="339" t="str">
        <x:v>Medium</x:v>
      </x:c>
      <x:c r="J618" s="339" t="str">
        <x:v>Only an explicitly configured authorized override may bypass a non-statutory rule; overrides require reason and audit.</x:v>
      </x:c>
    </x:row>
    <x:row r="619">
      <x:c r="A619" s="339" t="str">
        <x:v>BR-00618</x:v>
      </x:c>
      <x:c r="B619" s="339" t="str">
        <x:v>Screen Type</x:v>
      </x:c>
      <x:c r="C619" s="339" t="str">
        <x:v>SCR-206</x:v>
      </x:c>
      <x:c r="D619" s="339" t="str">
        <x:v>Library</x:v>
      </x:c>
      <x:c r="E619" s="339" t="str">
        <x:v>Digital Library</x:v>
      </x:c>
      <x:c r="F619" s="339" t="str">
        <x:v>Workflow / Management integrity rule</x:v>
      </x:c>
      <x:c r="G619" s="339" t="str">
        <x:v>State transitions are explicit, role-controlled and auditable; invalid transitions are rejected.</x:v>
      </x:c>
      <x:c r="H619" s="339" t="str">
        <x:v>Domain/service validation plus UI affordances.</x:v>
      </x:c>
      <x:c r="I619" s="339" t="str">
        <x:v>High</x:v>
      </x:c>
      <x:c r="J619" s="339" t="str">
        <x:v>No silent bypass; approved overrides must be separately authorized and audited.</x:v>
      </x:c>
    </x:row>
    <x:row r="620">
      <x:c r="A620" s="339" t="str">
        <x:v>BR-00619</x:v>
      </x:c>
      <x:c r="B620" s="339" t="str">
        <x:v>Screen</x:v>
      </x:c>
      <x:c r="C620" s="339" t="str">
        <x:v>SCR-207</x:v>
      </x:c>
      <x:c r="D620" s="339" t="str">
        <x:v>Library</x:v>
      </x:c>
      <x:c r="E620" s="339" t="str">
        <x:v>Library Reports</x:v>
      </x:c>
      <x:c r="F620" s="339" t="str">
        <x:v>Library Circulation &amp; Digital Resources rule 1</x:v>
      </x:c>
      <x:c r="G620" s="339" t="str">
        <x:v>Overdue fines are calculated from configured grace period, rate and cap.</x:v>
      </x:c>
      <x:c r="H620" s="339" t="str">
        <x:v>Enforced in service/domain layer and reflected in UI validation/action availability.</x:v>
      </x:c>
      <x:c r="I620" s="339" t="str">
        <x:v>Medium</x:v>
      </x:c>
      <x:c r="J620" s="339" t="str">
        <x:v>Only an explicitly configured authorized override may bypass a non-statutory rule; overrides require reason and audit.</x:v>
      </x:c>
    </x:row>
    <x:row r="621">
      <x:c r="A621" s="339" t="str">
        <x:v>BR-00620</x:v>
      </x:c>
      <x:c r="B621" s="339" t="str">
        <x:v>Screen</x:v>
      </x:c>
      <x:c r="C621" s="339" t="str">
        <x:v>SCR-207</x:v>
      </x:c>
      <x:c r="D621" s="339" t="str">
        <x:v>Library</x:v>
      </x:c>
      <x:c r="E621" s="339" t="str">
        <x:v>Library Reports</x:v>
      </x:c>
      <x:c r="F621" s="339" t="str">
        <x:v>Library Circulation &amp; Digital Resources rule 2</x:v>
      </x:c>
      <x:c r="G621" s="339" t="str">
        <x:v>Lost/damaged status removes a copy from normal available inventory until resolved.</x:v>
      </x:c>
      <x:c r="H621" s="339" t="str">
        <x:v>Enforced in service/domain layer and reflected in UI validation/action availability.</x:v>
      </x:c>
      <x:c r="I621" s="339" t="str">
        <x:v>Medium</x:v>
      </x:c>
      <x:c r="J621" s="339" t="str">
        <x:v>Only an explicitly configured authorized override may bypass a non-statutory rule; overrides require reason and audit.</x:v>
      </x:c>
    </x:row>
    <x:row r="622">
      <x:c r="A622" s="339" t="str">
        <x:v>BR-00621</x:v>
      </x:c>
      <x:c r="B622" s="339" t="str">
        <x:v>Screen Type</x:v>
      </x:c>
      <x:c r="C622" s="339" t="str">
        <x:v>SCR-207</x:v>
      </x:c>
      <x:c r="D622" s="339" t="str">
        <x:v>Library</x:v>
      </x:c>
      <x:c r="E622" s="339" t="str">
        <x:v>Library Reports</x:v>
      </x:c>
      <x:c r="F622" s="339" t="str">
        <x:v>Report / Analytics integrity rule</x:v>
      </x:c>
      <x:c r="G622" s="339" t="str">
        <x:v>Report formulas and filters must be deterministic, documented and export the same visible scope.</x:v>
      </x:c>
      <x:c r="H622" s="339" t="str">
        <x:v>Domain/service validation plus UI affordances.</x:v>
      </x:c>
      <x:c r="I622" s="339" t="str">
        <x:v>High</x:v>
      </x:c>
      <x:c r="J622" s="339" t="str">
        <x:v>No silent bypass; approved overrides must be separately authorized and audited.</x:v>
      </x:c>
    </x:row>
    <x:row r="623">
      <x:c r="A623" s="339" t="str">
        <x:v>BR-00622</x:v>
      </x:c>
      <x:c r="B623" s="339" t="str">
        <x:v>Screen</x:v>
      </x:c>
      <x:c r="C623" s="339" t="str">
        <x:v>SCR-208</x:v>
      </x:c>
      <x:c r="D623" s="339" t="str">
        <x:v>Hostel</x:v>
      </x:c>
      <x:c r="E623" s="339" t="str">
        <x:v>Hostels / Buildings</x:v>
      </x:c>
      <x:c r="F623" s="339" t="str">
        <x:v>Hostel &amp; Residential Operations rule 1</x:v>
      </x:c>
      <x:c r="G623" s="339" t="str">
        <x:v>Room/bed transfers preserve allocation history.</x:v>
      </x:c>
      <x:c r="H623" s="339" t="str">
        <x:v>Enforced in service/domain layer and reflected in UI validation/action availability.</x:v>
      </x:c>
      <x:c r="I623" s="339" t="str">
        <x:v>Medium</x:v>
      </x:c>
      <x:c r="J623" s="339" t="str">
        <x:v>Only an explicitly configured authorized override may bypass a non-statutory rule; overrides require reason and audit.</x:v>
      </x:c>
    </x:row>
    <x:row r="624">
      <x:c r="A624" s="339" t="str">
        <x:v>BR-00623</x:v>
      </x:c>
      <x:c r="B624" s="339" t="str">
        <x:v>Screen</x:v>
      </x:c>
      <x:c r="C624" s="339" t="str">
        <x:v>SCR-208</x:v>
      </x:c>
      <x:c r="D624" s="339" t="str">
        <x:v>Hostel</x:v>
      </x:c>
      <x:c r="E624" s="339" t="str">
        <x:v>Hostels / Buildings</x:v>
      </x:c>
      <x:c r="F624" s="339" t="str">
        <x:v>Hostel &amp; Residential Operations rule 2</x:v>
      </x:c>
      <x:c r="G624" s="339" t="str">
        <x:v>Hostel fees and penalties integrate with finance without duplicating student charges.</x:v>
      </x:c>
      <x:c r="H624" s="339" t="str">
        <x:v>Enforced in service/domain layer and reflected in UI validation/action availability.</x:v>
      </x:c>
      <x:c r="I624" s="339" t="str">
        <x:v>Medium</x:v>
      </x:c>
      <x:c r="J624" s="339" t="str">
        <x:v>Only an explicitly configured authorized override may bypass a non-statutory rule; overrides require reason and audit.</x:v>
      </x:c>
    </x:row>
    <x:row r="625">
      <x:c r="A625" s="339" t="str">
        <x:v>BR-00624</x:v>
      </x:c>
      <x:c r="B625" s="339" t="str">
        <x:v>Screen Type</x:v>
      </x:c>
      <x:c r="C625" s="339" t="str">
        <x:v>SCR-208</x:v>
      </x:c>
      <x:c r="D625" s="339" t="str">
        <x:v>Hostel</x:v>
      </x:c>
      <x:c r="E625" s="339" t="str">
        <x:v>Hostels / Buildings</x:v>
      </x:c>
      <x:c r="F625" s="339" t="str">
        <x:v>Workflow / Management integrity rule</x:v>
      </x:c>
      <x:c r="G625" s="339" t="str">
        <x:v>State transitions are explicit, role-controlled and auditable; invalid transitions are rejected.</x:v>
      </x:c>
      <x:c r="H625" s="339" t="str">
        <x:v>Domain/service validation plus UI affordances.</x:v>
      </x:c>
      <x:c r="I625" s="339" t="str">
        <x:v>High</x:v>
      </x:c>
      <x:c r="J625" s="339" t="str">
        <x:v>No silent bypass; approved overrides must be separately authorized and audited.</x:v>
      </x:c>
    </x:row>
    <x:row r="626">
      <x:c r="A626" s="339" t="str">
        <x:v>BR-00625</x:v>
      </x:c>
      <x:c r="B626" s="339" t="str">
        <x:v>Screen</x:v>
      </x:c>
      <x:c r="C626" s="339" t="str">
        <x:v>SCR-209</x:v>
      </x:c>
      <x:c r="D626" s="339" t="str">
        <x:v>Hostel</x:v>
      </x:c>
      <x:c r="E626" s="339" t="str">
        <x:v>Rooms &amp; Beds</x:v>
      </x:c>
      <x:c r="F626" s="339" t="str">
        <x:v>Hostel &amp; Residential Operations rule 1</x:v>
      </x:c>
      <x:c r="G626" s="339" t="str">
        <x:v>Hostel fees and penalties integrate with finance without duplicating student charges.</x:v>
      </x:c>
      <x:c r="H626" s="339" t="str">
        <x:v>Enforced in service/domain layer and reflected in UI validation/action availability.</x:v>
      </x:c>
      <x:c r="I626" s="339" t="str">
        <x:v>Medium</x:v>
      </x:c>
      <x:c r="J626" s="339" t="str">
        <x:v>Only an explicitly configured authorized override may bypass a non-statutory rule; overrides require reason and audit.</x:v>
      </x:c>
    </x:row>
    <x:row r="627">
      <x:c r="A627" s="339" t="str">
        <x:v>BR-00626</x:v>
      </x:c>
      <x:c r="B627" s="339" t="str">
        <x:v>Screen</x:v>
      </x:c>
      <x:c r="C627" s="339" t="str">
        <x:v>SCR-209</x:v>
      </x:c>
      <x:c r="D627" s="339" t="str">
        <x:v>Hostel</x:v>
      </x:c>
      <x:c r="E627" s="339" t="str">
        <x:v>Rooms &amp; Beds</x:v>
      </x:c>
      <x:c r="F627" s="339" t="str">
        <x:v>Hostel &amp; Residential Operations rule 2</x:v>
      </x:c>
      <x:c r="G627" s="339" t="str">
        <x:v>A bed can have only one active student allocation for overlapping dates.</x:v>
      </x:c>
      <x:c r="H627" s="339" t="str">
        <x:v>Enforced in service/domain layer and reflected in UI validation/action availability.</x:v>
      </x:c>
      <x:c r="I627" s="339" t="str">
        <x:v>Medium</x:v>
      </x:c>
      <x:c r="J627" s="339" t="str">
        <x:v>Only an explicitly configured authorized override may bypass a non-statutory rule; overrides require reason and audit.</x:v>
      </x:c>
    </x:row>
    <x:row r="628">
      <x:c r="A628" s="339" t="str">
        <x:v>BR-00627</x:v>
      </x:c>
      <x:c r="B628" s="339" t="str">
        <x:v>Screen Type</x:v>
      </x:c>
      <x:c r="C628" s="339" t="str">
        <x:v>SCR-209</x:v>
      </x:c>
      <x:c r="D628" s="339" t="str">
        <x:v>Hostel</x:v>
      </x:c>
      <x:c r="E628" s="339" t="str">
        <x:v>Rooms &amp; Beds</x:v>
      </x:c>
      <x:c r="F628" s="339" t="str">
        <x:v>Workflow / Management integrity rule</x:v>
      </x:c>
      <x:c r="G628" s="339" t="str">
        <x:v>State transitions are explicit, role-controlled and auditable; invalid transitions are rejected.</x:v>
      </x:c>
      <x:c r="H628" s="339" t="str">
        <x:v>Domain/service validation plus UI affordances.</x:v>
      </x:c>
      <x:c r="I628" s="339" t="str">
        <x:v>High</x:v>
      </x:c>
      <x:c r="J628" s="339" t="str">
        <x:v>No silent bypass; approved overrides must be separately authorized and audited.</x:v>
      </x:c>
    </x:row>
    <x:row r="629">
      <x:c r="A629" s="339" t="str">
        <x:v>BR-00628</x:v>
      </x:c>
      <x:c r="B629" s="339" t="str">
        <x:v>Screen</x:v>
      </x:c>
      <x:c r="C629" s="339" t="str">
        <x:v>SCR-210</x:v>
      </x:c>
      <x:c r="D629" s="339" t="str">
        <x:v>Hostel</x:v>
      </x:c>
      <x:c r="E629" s="339" t="str">
        <x:v>Student Hostel Allocation</x:v>
      </x:c>
      <x:c r="F629" s="339" t="str">
        <x:v>Hostel &amp; Residential Operations rule 1</x:v>
      </x:c>
      <x:c r="G629" s="339" t="str">
        <x:v>A bed can have only one active student allocation for overlapping dates.</x:v>
      </x:c>
      <x:c r="H629" s="339" t="str">
        <x:v>Enforced in service/domain layer and reflected in UI validation/action availability.</x:v>
      </x:c>
      <x:c r="I629" s="339" t="str">
        <x:v>Medium</x:v>
      </x:c>
      <x:c r="J629" s="339" t="str">
        <x:v>Only an explicitly configured authorized override may bypass a non-statutory rule; overrides require reason and audit.</x:v>
      </x:c>
    </x:row>
    <x:row r="630">
      <x:c r="A630" s="339" t="str">
        <x:v>BR-00629</x:v>
      </x:c>
      <x:c r="B630" s="339" t="str">
        <x:v>Screen</x:v>
      </x:c>
      <x:c r="C630" s="339" t="str">
        <x:v>SCR-210</x:v>
      </x:c>
      <x:c r="D630" s="339" t="str">
        <x:v>Hostel</x:v>
      </x:c>
      <x:c r="E630" s="339" t="str">
        <x:v>Student Hostel Allocation</x:v>
      </x:c>
      <x:c r="F630" s="339" t="str">
        <x:v>Hostel &amp; Residential Operations rule 2</x:v>
      </x:c>
      <x:c r="G630" s="339" t="str">
        <x:v>Hostel allocation requires an active eligible student and available capacity.</x:v>
      </x:c>
      <x:c r="H630" s="339" t="str">
        <x:v>Enforced in service/domain layer and reflected in UI validation/action availability.</x:v>
      </x:c>
      <x:c r="I630" s="339" t="str">
        <x:v>Medium</x:v>
      </x:c>
      <x:c r="J630" s="339" t="str">
        <x:v>Only an explicitly configured authorized override may bypass a non-statutory rule; overrides require reason and audit.</x:v>
      </x:c>
    </x:row>
    <x:row r="631">
      <x:c r="A631" s="339" t="str">
        <x:v>BR-00630</x:v>
      </x:c>
      <x:c r="B631" s="339" t="str">
        <x:v>Screen Type</x:v>
      </x:c>
      <x:c r="C631" s="339" t="str">
        <x:v>SCR-210</x:v>
      </x:c>
      <x:c r="D631" s="339" t="str">
        <x:v>Hostel</x:v>
      </x:c>
      <x:c r="E631" s="339" t="str">
        <x:v>Student Hostel Allocation</x:v>
      </x:c>
      <x:c r="F631" s="339" t="str">
        <x:v>Workflow / Management integrity rule</x:v>
      </x:c>
      <x:c r="G631" s="339" t="str">
        <x:v>State transitions are explicit, role-controlled and auditable; invalid transitions are rejected.</x:v>
      </x:c>
      <x:c r="H631" s="339" t="str">
        <x:v>Domain/service validation plus UI affordances.</x:v>
      </x:c>
      <x:c r="I631" s="339" t="str">
        <x:v>High</x:v>
      </x:c>
      <x:c r="J631" s="339" t="str">
        <x:v>No silent bypass; approved overrides must be separately authorized and audited.</x:v>
      </x:c>
    </x:row>
    <x:row r="632">
      <x:c r="A632" s="339" t="str">
        <x:v>BR-00631</x:v>
      </x:c>
      <x:c r="B632" s="339" t="str">
        <x:v>Screen</x:v>
      </x:c>
      <x:c r="C632" s="339" t="str">
        <x:v>SCR-211</x:v>
      </x:c>
      <x:c r="D632" s="339" t="str">
        <x:v>Hostel</x:v>
      </x:c>
      <x:c r="E632" s="339" t="str">
        <x:v>Warden Management</x:v>
      </x:c>
      <x:c r="F632" s="339" t="str">
        <x:v>Hostel &amp; Residential Operations rule 1</x:v>
      </x:c>
      <x:c r="G632" s="339" t="str">
        <x:v>Hostel allocation requires an active eligible student and available capacity.</x:v>
      </x:c>
      <x:c r="H632" s="339" t="str">
        <x:v>Enforced in service/domain layer and reflected in UI validation/action availability.</x:v>
      </x:c>
      <x:c r="I632" s="339" t="str">
        <x:v>Medium</x:v>
      </x:c>
      <x:c r="J632" s="339" t="str">
        <x:v>Only an explicitly configured authorized override may bypass a non-statutory rule; overrides require reason and audit.</x:v>
      </x:c>
    </x:row>
    <x:row r="633">
      <x:c r="A633" s="339" t="str">
        <x:v>BR-00632</x:v>
      </x:c>
      <x:c r="B633" s="339" t="str">
        <x:v>Screen</x:v>
      </x:c>
      <x:c r="C633" s="339" t="str">
        <x:v>SCR-211</x:v>
      </x:c>
      <x:c r="D633" s="339" t="str">
        <x:v>Hostel</x:v>
      </x:c>
      <x:c r="E633" s="339" t="str">
        <x:v>Warden Management</x:v>
      </x:c>
      <x:c r="F633" s="339" t="str">
        <x:v>Hostel &amp; Residential Operations rule 2</x:v>
      </x:c>
      <x:c r="G633" s="339" t="str">
        <x:v>Outing/leave follows guardian/warden approval rules and captures actual exit/return.</x:v>
      </x:c>
      <x:c r="H633" s="339" t="str">
        <x:v>Enforced in service/domain layer and reflected in UI validation/action availability.</x:v>
      </x:c>
      <x:c r="I633" s="339" t="str">
        <x:v>Medium</x:v>
      </x:c>
      <x:c r="J633" s="339" t="str">
        <x:v>Only an explicitly configured authorized override may bypass a non-statutory rule; overrides require reason and audit.</x:v>
      </x:c>
    </x:row>
    <x:row r="634">
      <x:c r="A634" s="339" t="str">
        <x:v>BR-00633</x:v>
      </x:c>
      <x:c r="B634" s="339" t="str">
        <x:v>Screen Type</x:v>
      </x:c>
      <x:c r="C634" s="339" t="str">
        <x:v>SCR-211</x:v>
      </x:c>
      <x:c r="D634" s="339" t="str">
        <x:v>Hostel</x:v>
      </x:c>
      <x:c r="E634" s="339" t="str">
        <x:v>Warden Management</x:v>
      </x:c>
      <x:c r="F634" s="339" t="str">
        <x:v>Workflow / Management integrity rule</x:v>
      </x:c>
      <x:c r="G634" s="339" t="str">
        <x:v>State transitions are explicit, role-controlled and auditable; invalid transitions are rejected.</x:v>
      </x:c>
      <x:c r="H634" s="339" t="str">
        <x:v>Domain/service validation plus UI affordances.</x:v>
      </x:c>
      <x:c r="I634" s="339" t="str">
        <x:v>High</x:v>
      </x:c>
      <x:c r="J634" s="339" t="str">
        <x:v>No silent bypass; approved overrides must be separately authorized and audited.</x:v>
      </x:c>
    </x:row>
    <x:row r="635">
      <x:c r="A635" s="339" t="str">
        <x:v>BR-00634</x:v>
      </x:c>
      <x:c r="B635" s="339" t="str">
        <x:v>Screen</x:v>
      </x:c>
      <x:c r="C635" s="339" t="str">
        <x:v>SCR-212</x:v>
      </x:c>
      <x:c r="D635" s="339" t="str">
        <x:v>Hostel</x:v>
      </x:c>
      <x:c r="E635" s="339" t="str">
        <x:v>Hostel Attendance</x:v>
      </x:c>
      <x:c r="F635" s="339" t="str">
        <x:v>Hostel &amp; Residential Operations rule 1</x:v>
      </x:c>
      <x:c r="G635" s="339" t="str">
        <x:v>Outing/leave follows guardian/warden approval rules and captures actual exit/return.</x:v>
      </x:c>
      <x:c r="H635" s="339" t="str">
        <x:v>Enforced in service/domain layer and reflected in UI validation/action availability.</x:v>
      </x:c>
      <x:c r="I635" s="339" t="str">
        <x:v>Medium</x:v>
      </x:c>
      <x:c r="J635" s="339" t="str">
        <x:v>Only an explicitly configured authorized override may bypass a non-statutory rule; overrides require reason and audit.</x:v>
      </x:c>
    </x:row>
    <x:row r="636">
      <x:c r="A636" s="339" t="str">
        <x:v>BR-00635</x:v>
      </x:c>
      <x:c r="B636" s="339" t="str">
        <x:v>Screen</x:v>
      </x:c>
      <x:c r="C636" s="339" t="str">
        <x:v>SCR-212</x:v>
      </x:c>
      <x:c r="D636" s="339" t="str">
        <x:v>Hostel</x:v>
      </x:c>
      <x:c r="E636" s="339" t="str">
        <x:v>Hostel Attendance</x:v>
      </x:c>
      <x:c r="F636" s="339" t="str">
        <x:v>Hostel &amp; Residential Operations rule 2</x:v>
      </x:c>
      <x:c r="G636" s="339" t="str">
        <x:v>Room/bed transfers preserve allocation history.</x:v>
      </x:c>
      <x:c r="H636" s="339" t="str">
        <x:v>Enforced in service/domain layer and reflected in UI validation/action availability.</x:v>
      </x:c>
      <x:c r="I636" s="339" t="str">
        <x:v>Medium</x:v>
      </x:c>
      <x:c r="J636" s="339" t="str">
        <x:v>Only an explicitly configured authorized override may bypass a non-statutory rule; overrides require reason and audit.</x:v>
      </x:c>
    </x:row>
    <x:row r="637">
      <x:c r="A637" s="339" t="str">
        <x:v>BR-00636</x:v>
      </x:c>
      <x:c r="B637" s="339" t="str">
        <x:v>Screen Type</x:v>
      </x:c>
      <x:c r="C637" s="339" t="str">
        <x:v>SCR-212</x:v>
      </x:c>
      <x:c r="D637" s="339" t="str">
        <x:v>Hostel</x:v>
      </x:c>
      <x:c r="E637" s="339" t="str">
        <x:v>Hostel Attendance</x:v>
      </x:c>
      <x:c r="F637" s="339" t="str">
        <x:v>Workflow / Management integrity rule</x:v>
      </x:c>
      <x:c r="G637" s="339" t="str">
        <x:v>State transitions are explicit, role-controlled and auditable; invalid transitions are rejected.</x:v>
      </x:c>
      <x:c r="H637" s="339" t="str">
        <x:v>Domain/service validation plus UI affordances.</x:v>
      </x:c>
      <x:c r="I637" s="339" t="str">
        <x:v>High</x:v>
      </x:c>
      <x:c r="J637" s="339" t="str">
        <x:v>No silent bypass; approved overrides must be separately authorized and audited.</x:v>
      </x:c>
    </x:row>
    <x:row r="638">
      <x:c r="A638" s="339" t="str">
        <x:v>BR-00637</x:v>
      </x:c>
      <x:c r="B638" s="339" t="str">
        <x:v>Screen</x:v>
      </x:c>
      <x:c r="C638" s="339" t="str">
        <x:v>SCR-213</x:v>
      </x:c>
      <x:c r="D638" s="339" t="str">
        <x:v>Hostel</x:v>
      </x:c>
      <x:c r="E638" s="339" t="str">
        <x:v>Leave / Outing</x:v>
      </x:c>
      <x:c r="F638" s="339" t="str">
        <x:v>Hostel &amp; Residential Operations rule 1</x:v>
      </x:c>
      <x:c r="G638" s="339" t="str">
        <x:v>Room/bed transfers preserve allocation history.</x:v>
      </x:c>
      <x:c r="H638" s="339" t="str">
        <x:v>Enforced in service/domain layer and reflected in UI validation/action availability.</x:v>
      </x:c>
      <x:c r="I638" s="339" t="str">
        <x:v>Medium</x:v>
      </x:c>
      <x:c r="J638" s="339" t="str">
        <x:v>Only an explicitly configured authorized override may bypass a non-statutory rule; overrides require reason and audit.</x:v>
      </x:c>
    </x:row>
    <x:row r="639">
      <x:c r="A639" s="339" t="str">
        <x:v>BR-00638</x:v>
      </x:c>
      <x:c r="B639" s="339" t="str">
        <x:v>Screen</x:v>
      </x:c>
      <x:c r="C639" s="339" t="str">
        <x:v>SCR-213</x:v>
      </x:c>
      <x:c r="D639" s="339" t="str">
        <x:v>Hostel</x:v>
      </x:c>
      <x:c r="E639" s="339" t="str">
        <x:v>Leave / Outing</x:v>
      </x:c>
      <x:c r="F639" s="339" t="str">
        <x:v>Hostel &amp; Residential Operations rule 2</x:v>
      </x:c>
      <x:c r="G639" s="339" t="str">
        <x:v>Hostel fees and penalties integrate with finance without duplicating student charges.</x:v>
      </x:c>
      <x:c r="H639" s="339" t="str">
        <x:v>Enforced in service/domain layer and reflected in UI validation/action availability.</x:v>
      </x:c>
      <x:c r="I639" s="339" t="str">
        <x:v>Medium</x:v>
      </x:c>
      <x:c r="J639" s="339" t="str">
        <x:v>Only an explicitly configured authorized override may bypass a non-statutory rule; overrides require reason and audit.</x:v>
      </x:c>
    </x:row>
    <x:row r="640">
      <x:c r="A640" s="339" t="str">
        <x:v>BR-00639</x:v>
      </x:c>
      <x:c r="B640" s="339" t="str">
        <x:v>Screen Type</x:v>
      </x:c>
      <x:c r="C640" s="339" t="str">
        <x:v>SCR-213</x:v>
      </x:c>
      <x:c r="D640" s="339" t="str">
        <x:v>Hostel</x:v>
      </x:c>
      <x:c r="E640" s="339" t="str">
        <x:v>Leave / Outing</x:v>
      </x:c>
      <x:c r="F640" s="339" t="str">
        <x:v>Workflow / Management integrity rule</x:v>
      </x:c>
      <x:c r="G640" s="339" t="str">
        <x:v>State transitions are explicit, role-controlled and auditable; invalid transitions are rejected.</x:v>
      </x:c>
      <x:c r="H640" s="339" t="str">
        <x:v>Domain/service validation plus UI affordances.</x:v>
      </x:c>
      <x:c r="I640" s="339" t="str">
        <x:v>High</x:v>
      </x:c>
      <x:c r="J640" s="339" t="str">
        <x:v>No silent bypass; approved overrides must be separately authorized and audited.</x:v>
      </x:c>
    </x:row>
    <x:row r="641">
      <x:c r="A641" s="339" t="str">
        <x:v>BR-00640</x:v>
      </x:c>
      <x:c r="B641" s="339" t="str">
        <x:v>Screen</x:v>
      </x:c>
      <x:c r="C641" s="339" t="str">
        <x:v>SCR-214</x:v>
      </x:c>
      <x:c r="D641" s="339" t="str">
        <x:v>Hostel</x:v>
      </x:c>
      <x:c r="E641" s="339" t="str">
        <x:v>Mess / Meal Schedule</x:v>
      </x:c>
      <x:c r="F641" s="339" t="str">
        <x:v>Hostel &amp; Residential Operations rule 1</x:v>
      </x:c>
      <x:c r="G641" s="339" t="str">
        <x:v>Hostel fees and penalties integrate with finance without duplicating student charges.</x:v>
      </x:c>
      <x:c r="H641" s="339" t="str">
        <x:v>Enforced in service/domain layer and reflected in UI validation/action availability.</x:v>
      </x:c>
      <x:c r="I641" s="339" t="str">
        <x:v>Medium</x:v>
      </x:c>
      <x:c r="J641" s="339" t="str">
        <x:v>Only an explicitly configured authorized override may bypass a non-statutory rule; overrides require reason and audit.</x:v>
      </x:c>
    </x:row>
    <x:row r="642">
      <x:c r="A642" s="339" t="str">
        <x:v>BR-00641</x:v>
      </x:c>
      <x:c r="B642" s="339" t="str">
        <x:v>Screen</x:v>
      </x:c>
      <x:c r="C642" s="339" t="str">
        <x:v>SCR-214</x:v>
      </x:c>
      <x:c r="D642" s="339" t="str">
        <x:v>Hostel</x:v>
      </x:c>
      <x:c r="E642" s="339" t="str">
        <x:v>Mess / Meal Schedule</x:v>
      </x:c>
      <x:c r="F642" s="339" t="str">
        <x:v>Hostel &amp; Residential Operations rule 2</x:v>
      </x:c>
      <x:c r="G642" s="339" t="str">
        <x:v>A bed can have only one active student allocation for overlapping dates.</x:v>
      </x:c>
      <x:c r="H642" s="339" t="str">
        <x:v>Enforced in service/domain layer and reflected in UI validation/action availability.</x:v>
      </x:c>
      <x:c r="I642" s="339" t="str">
        <x:v>Medium</x:v>
      </x:c>
      <x:c r="J642" s="339" t="str">
        <x:v>Only an explicitly configured authorized override may bypass a non-statutory rule; overrides require reason and audit.</x:v>
      </x:c>
    </x:row>
    <x:row r="643">
      <x:c r="A643" s="339" t="str">
        <x:v>BR-00642</x:v>
      </x:c>
      <x:c r="B643" s="339" t="str">
        <x:v>Screen Type</x:v>
      </x:c>
      <x:c r="C643" s="339" t="str">
        <x:v>SCR-214</x:v>
      </x:c>
      <x:c r="D643" s="339" t="str">
        <x:v>Hostel</x:v>
      </x:c>
      <x:c r="E643" s="339" t="str">
        <x:v>Mess / Meal Schedule</x:v>
      </x:c>
      <x:c r="F643" s="339" t="str">
        <x:v>Calendar / Schedule integrity rule</x:v>
      </x:c>
      <x:c r="G643" s="339" t="str">
        <x:v>Conflicting active resource/time allocations are blocked or require explicit authorized override.</x:v>
      </x:c>
      <x:c r="H643" s="339" t="str">
        <x:v>Domain/service validation plus UI affordances.</x:v>
      </x:c>
      <x:c r="I643" s="339" t="str">
        <x:v>High</x:v>
      </x:c>
      <x:c r="J643" s="339" t="str">
        <x:v>No silent bypass; approved overrides must be separately authorized and audited.</x:v>
      </x:c>
    </x:row>
    <x:row r="644">
      <x:c r="A644" s="339" t="str">
        <x:v>BR-00643</x:v>
      </x:c>
      <x:c r="B644" s="339" t="str">
        <x:v>Screen</x:v>
      </x:c>
      <x:c r="C644" s="339" t="str">
        <x:v>SCR-215</x:v>
      </x:c>
      <x:c r="D644" s="339" t="str">
        <x:v>Hostel</x:v>
      </x:c>
      <x:c r="E644" s="339" t="str">
        <x:v>Hostel Complaints &amp; Fees</x:v>
      </x:c>
      <x:c r="F644" s="339" t="str">
        <x:v>Hostel &amp; Residential Operations rule 1</x:v>
      </x:c>
      <x:c r="G644" s="339" t="str">
        <x:v>A bed can have only one active student allocation for overlapping dates.</x:v>
      </x:c>
      <x:c r="H644" s="339" t="str">
        <x:v>Enforced in service/domain layer and reflected in UI validation/action availability.</x:v>
      </x:c>
      <x:c r="I644" s="339" t="str">
        <x:v>Medium</x:v>
      </x:c>
      <x:c r="J644" s="339" t="str">
        <x:v>Only an explicitly configured authorized override may bypass a non-statutory rule; overrides require reason and audit.</x:v>
      </x:c>
    </x:row>
    <x:row r="645">
      <x:c r="A645" s="339" t="str">
        <x:v>BR-00644</x:v>
      </x:c>
      <x:c r="B645" s="339" t="str">
        <x:v>Screen</x:v>
      </x:c>
      <x:c r="C645" s="339" t="str">
        <x:v>SCR-215</x:v>
      </x:c>
      <x:c r="D645" s="339" t="str">
        <x:v>Hostel</x:v>
      </x:c>
      <x:c r="E645" s="339" t="str">
        <x:v>Hostel Complaints &amp; Fees</x:v>
      </x:c>
      <x:c r="F645" s="339" t="str">
        <x:v>Hostel &amp; Residential Operations rule 2</x:v>
      </x:c>
      <x:c r="G645" s="339" t="str">
        <x:v>Hostel allocation requires an active eligible student and available capacity.</x:v>
      </x:c>
      <x:c r="H645" s="339" t="str">
        <x:v>Enforced in service/domain layer and reflected in UI validation/action availability.</x:v>
      </x:c>
      <x:c r="I645" s="339" t="str">
        <x:v>Medium</x:v>
      </x:c>
      <x:c r="J645" s="339" t="str">
        <x:v>Only an explicitly configured authorized override may bypass a non-statutory rule; overrides require reason and audit.</x:v>
      </x:c>
    </x:row>
    <x:row r="646">
      <x:c r="A646" s="339" t="str">
        <x:v>BR-00645</x:v>
      </x:c>
      <x:c r="B646" s="339" t="str">
        <x:v>Screen Type</x:v>
      </x:c>
      <x:c r="C646" s="339" t="str">
        <x:v>SCR-215</x:v>
      </x:c>
      <x:c r="D646" s="339" t="str">
        <x:v>Hostel</x:v>
      </x:c>
      <x:c r="E646" s="339" t="str">
        <x:v>Hostel Complaints &amp; Fees</x:v>
      </x:c>
      <x:c r="F646" s="339" t="str">
        <x:v>Workflow / Management integrity rule</x:v>
      </x:c>
      <x:c r="G646" s="339" t="str">
        <x:v>State transitions are explicit, role-controlled and auditable; invalid transitions are rejected.</x:v>
      </x:c>
      <x:c r="H646" s="339" t="str">
        <x:v>Domain/service validation plus UI affordances.</x:v>
      </x:c>
      <x:c r="I646" s="339" t="str">
        <x:v>High</x:v>
      </x:c>
      <x:c r="J646" s="339" t="str">
        <x:v>No silent bypass; approved overrides must be separately authorized and audited.</x:v>
      </x:c>
    </x:row>
    <x:row r="647">
      <x:c r="A647" s="339" t="str">
        <x:v>BR-00646</x:v>
      </x:c>
      <x:c r="B647" s="339" t="str">
        <x:v>Screen</x:v>
      </x:c>
      <x:c r="C647" s="339" t="str">
        <x:v>SCR-216</x:v>
      </x:c>
      <x:c r="D647" s="339" t="str">
        <x:v>Health / Counselling / Discipline</x:v>
      </x:c>
      <x:c r="E647" s="339" t="str">
        <x:v>Health Dashboard</x:v>
      </x:c>
      <x:c r="F647" s="339" t="str">
        <x:v>Student Health, Counselling &amp; Discipline rule 1</x:v>
      </x:c>
      <x:c r="G647" s="339" t="str">
        <x:v>Emergency conditions trigger configured escalation and guardian notification rules.</x:v>
      </x:c>
      <x:c r="H647" s="339" t="str">
        <x:v>Enforced in service/domain layer and reflected in UI validation/action availability.</x:v>
      </x:c>
      <x:c r="I647" s="339" t="str">
        <x:v>High</x:v>
      </x:c>
      <x:c r="J647" s="339" t="str">
        <x:v>Only an explicitly configured authorized override may bypass a non-statutory rule; overrides require reason and audit.</x:v>
      </x:c>
    </x:row>
    <x:row r="648">
      <x:c r="A648" s="339" t="str">
        <x:v>BR-00647</x:v>
      </x:c>
      <x:c r="B648" s="339" t="str">
        <x:v>Screen</x:v>
      </x:c>
      <x:c r="C648" s="339" t="str">
        <x:v>SCR-216</x:v>
      </x:c>
      <x:c r="D648" s="339" t="str">
        <x:v>Health / Counselling / Discipline</x:v>
      </x:c>
      <x:c r="E648" s="339" t="str">
        <x:v>Health Dashboard</x:v>
      </x:c>
      <x:c r="F648" s="339" t="str">
        <x:v>Student Health, Counselling &amp; Discipline rule 2</x:v>
      </x:c>
      <x:c r="G648" s="339" t="str">
        <x:v>Medication administration records must capture medication, dose, time and administering user where applicable.</x:v>
      </x:c>
      <x:c r="H648" s="339" t="str">
        <x:v>Enforced in service/domain layer and reflected in UI validation/action availability.</x:v>
      </x:c>
      <x:c r="I648" s="339" t="str">
        <x:v>High</x:v>
      </x:c>
      <x:c r="J648" s="339" t="str">
        <x:v>Only an explicitly configured authorized override may bypass a non-statutory rule; overrides require reason and audit.</x:v>
      </x:c>
    </x:row>
    <x:row r="649">
      <x:c r="A649" s="339" t="str">
        <x:v>BR-00648</x:v>
      </x:c>
      <x:c r="B649" s="339" t="str">
        <x:v>Screen Type</x:v>
      </x:c>
      <x:c r="C649" s="339" t="str">
        <x:v>SCR-216</x:v>
      </x:c>
      <x:c r="D649" s="339" t="str">
        <x:v>Health / Counselling / Discipline</x:v>
      </x:c>
      <x:c r="E649" s="339" t="str">
        <x:v>Health Dashboard</x:v>
      </x:c>
      <x:c r="F649" s="339" t="str">
        <x:v>Dashboard integrity rule</x:v>
      </x:c>
      <x:c r="G649" s="339" t="str">
        <x:v>Displayed totals must reconcile to the same authorized source rows used by drill-down and reports.</x:v>
      </x:c>
      <x:c r="H649" s="339" t="str">
        <x:v>Domain/service validation plus UI affordances.</x:v>
      </x:c>
      <x:c r="I649" s="339" t="str">
        <x:v>High</x:v>
      </x:c>
      <x:c r="J649" s="339" t="str">
        <x:v>No silent bypass; approved overrides must be separately authorized and audited.</x:v>
      </x:c>
    </x:row>
    <x:row r="650">
      <x:c r="A650" s="339" t="str">
        <x:v>BR-00649</x:v>
      </x:c>
      <x:c r="B650" s="339" t="str">
        <x:v>Screen</x:v>
      </x:c>
      <x:c r="C650" s="339" t="str">
        <x:v>SCR-217</x:v>
      </x:c>
      <x:c r="D650" s="339" t="str">
        <x:v>Health / Counselling / Discipline</x:v>
      </x:c>
      <x:c r="E650" s="339" t="str">
        <x:v>Student Medical Profile</x:v>
      </x:c>
      <x:c r="F650" s="339" t="str">
        <x:v>Student Health, Counselling &amp; Discipline rule 1</x:v>
      </x:c>
      <x:c r="G650" s="339" t="str">
        <x:v>Medication administration records must capture medication, dose, time and administering user where applicable.</x:v>
      </x:c>
      <x:c r="H650" s="339" t="str">
        <x:v>Enforced in service/domain layer and reflected in UI validation/action availability.</x:v>
      </x:c>
      <x:c r="I650" s="339" t="str">
        <x:v>High</x:v>
      </x:c>
      <x:c r="J650" s="339" t="str">
        <x:v>Only an explicitly configured authorized override may bypass a non-statutory rule; overrides require reason and audit.</x:v>
      </x:c>
    </x:row>
    <x:row r="651">
      <x:c r="A651" s="339" t="str">
        <x:v>BR-00650</x:v>
      </x:c>
      <x:c r="B651" s="339" t="str">
        <x:v>Screen</x:v>
      </x:c>
      <x:c r="C651" s="339" t="str">
        <x:v>SCR-217</x:v>
      </x:c>
      <x:c r="D651" s="339" t="str">
        <x:v>Health / Counselling / Discipline</x:v>
      </x:c>
      <x:c r="E651" s="339" t="str">
        <x:v>Student Medical Profile</x:v>
      </x:c>
      <x:c r="F651" s="339" t="str">
        <x:v>Student Health, Counselling &amp; Discipline rule 2</x:v>
      </x:c>
      <x:c r="G651" s="339" t="str">
        <x:v>Discipline actions require traceable incident facts, action and follow-up; sensitive notes may be separately protected.</x:v>
      </x:c>
      <x:c r="H651" s="339" t="str">
        <x:v>Enforced in service/domain layer and reflected in UI validation/action availability.</x:v>
      </x:c>
      <x:c r="I651" s="339" t="str">
        <x:v>High</x:v>
      </x:c>
      <x:c r="J651" s="339" t="str">
        <x:v>Only an explicitly configured authorized override may bypass a non-statutory rule; overrides require reason and audit.</x:v>
      </x:c>
    </x:row>
    <x:row r="652">
      <x:c r="A652" s="339" t="str">
        <x:v>BR-00651</x:v>
      </x:c>
      <x:c r="B652" s="339" t="str">
        <x:v>Screen Type</x:v>
      </x:c>
      <x:c r="C652" s="339" t="str">
        <x:v>SCR-217</x:v>
      </x:c>
      <x:c r="D652" s="339" t="str">
        <x:v>Health / Counselling / Discipline</x:v>
      </x:c>
      <x:c r="E652" s="339" t="str">
        <x:v>Student Medical Profile</x:v>
      </x:c>
      <x:c r="F652" s="339" t="str">
        <x:v>Detail / Profile integrity rule</x:v>
      </x:c>
      <x:c r="G652" s="339" t="str">
        <x:v>Concurrent updates must not silently overwrite newer data; material edits are audited.</x:v>
      </x:c>
      <x:c r="H652" s="339" t="str">
        <x:v>Domain/service validation plus UI affordances.</x:v>
      </x:c>
      <x:c r="I652" s="339" t="str">
        <x:v>High</x:v>
      </x:c>
      <x:c r="J652" s="339" t="str">
        <x:v>No silent bypass; approved overrides must be separately authorized and audited.</x:v>
      </x:c>
    </x:row>
    <x:row r="653">
      <x:c r="A653" s="339" t="str">
        <x:v>BR-00652</x:v>
      </x:c>
      <x:c r="B653" s="339" t="str">
        <x:v>Screen</x:v>
      </x:c>
      <x:c r="C653" s="339" t="str">
        <x:v>SCR-218</x:v>
      </x:c>
      <x:c r="D653" s="339" t="str">
        <x:v>Health / Counselling / Discipline</x:v>
      </x:c>
      <x:c r="E653" s="339" t="str">
        <x:v>Clinic Visit</x:v>
      </x:c>
      <x:c r="F653" s="339" t="str">
        <x:v>Student Health, Counselling &amp; Discipline rule 1</x:v>
      </x:c>
      <x:c r="G653" s="339" t="str">
        <x:v>Discipline actions require traceable incident facts, action and follow-up; sensitive notes may be separately protected.</x:v>
      </x:c>
      <x:c r="H653" s="339" t="str">
        <x:v>Enforced in service/domain layer and reflected in UI validation/action availability.</x:v>
      </x:c>
      <x:c r="I653" s="339" t="str">
        <x:v>High</x:v>
      </x:c>
      <x:c r="J653" s="339" t="str">
        <x:v>Only an explicitly configured authorized override may bypass a non-statutory rule; overrides require reason and audit.</x:v>
      </x:c>
    </x:row>
    <x:row r="654">
      <x:c r="A654" s="339" t="str">
        <x:v>BR-00653</x:v>
      </x:c>
      <x:c r="B654" s="339" t="str">
        <x:v>Screen</x:v>
      </x:c>
      <x:c r="C654" s="339" t="str">
        <x:v>SCR-218</x:v>
      </x:c>
      <x:c r="D654" s="339" t="str">
        <x:v>Health / Counselling / Discipline</x:v>
      </x:c>
      <x:c r="E654" s="339" t="str">
        <x:v>Clinic Visit</x:v>
      </x:c>
      <x:c r="F654" s="339" t="str">
        <x:v>Student Health, Counselling &amp; Discipline rule 2</x:v>
      </x:c>
      <x:c r="G654" s="339" t="str">
        <x:v>Health/counselling records must follow configured retention and legal/privacy requirements.</x:v>
      </x:c>
      <x:c r="H654" s="339" t="str">
        <x:v>Enforced in service/domain layer and reflected in UI validation/action availability.</x:v>
      </x:c>
      <x:c r="I654" s="339" t="str">
        <x:v>High</x:v>
      </x:c>
      <x:c r="J654" s="339" t="str">
        <x:v>Only an explicitly configured authorized override may bypass a non-statutory rule; overrides require reason and audit.</x:v>
      </x:c>
    </x:row>
    <x:row r="655">
      <x:c r="A655" s="339" t="str">
        <x:v>BR-00654</x:v>
      </x:c>
      <x:c r="B655" s="339" t="str">
        <x:v>Screen Type</x:v>
      </x:c>
      <x:c r="C655" s="339" t="str">
        <x:v>SCR-218</x:v>
      </x:c>
      <x:c r="D655" s="339" t="str">
        <x:v>Health / Counselling / Discipline</x:v>
      </x:c>
      <x:c r="E655" s="339" t="str">
        <x:v>Clinic Visit</x:v>
      </x:c>
      <x:c r="F655" s="339" t="str">
        <x:v>Workflow / Management integrity rule</x:v>
      </x:c>
      <x:c r="G655" s="339" t="str">
        <x:v>State transitions are explicit, role-controlled and auditable; invalid transitions are rejected.</x:v>
      </x:c>
      <x:c r="H655" s="339" t="str">
        <x:v>Domain/service validation plus UI affordances.</x:v>
      </x:c>
      <x:c r="I655" s="339" t="str">
        <x:v>High</x:v>
      </x:c>
      <x:c r="J655" s="339" t="str">
        <x:v>No silent bypass; approved overrides must be separately authorized and audited.</x:v>
      </x:c>
    </x:row>
    <x:row r="656">
      <x:c r="A656" s="339" t="str">
        <x:v>BR-00655</x:v>
      </x:c>
      <x:c r="B656" s="339" t="str">
        <x:v>Screen</x:v>
      </x:c>
      <x:c r="C656" s="339" t="str">
        <x:v>SCR-219</x:v>
      </x:c>
      <x:c r="D656" s="339" t="str">
        <x:v>Health / Counselling / Discipline</x:v>
      </x:c>
      <x:c r="E656" s="339" t="str">
        <x:v>Medication / First Aid</x:v>
      </x:c>
      <x:c r="F656" s="339" t="str">
        <x:v>Student Health, Counselling &amp; Discipline rule 1</x:v>
      </x:c>
      <x:c r="G656" s="339" t="str">
        <x:v>Health/counselling records must follow configured retention and legal/privacy requirements.</x:v>
      </x:c>
      <x:c r="H656" s="339" t="str">
        <x:v>Enforced in service/domain layer and reflected in UI validation/action availability.</x:v>
      </x:c>
      <x:c r="I656" s="339" t="str">
        <x:v>High</x:v>
      </x:c>
      <x:c r="J656" s="339" t="str">
        <x:v>Only an explicitly configured authorized override may bypass a non-statutory rule; overrides require reason and audit.</x:v>
      </x:c>
    </x:row>
    <x:row r="657">
      <x:c r="A657" s="339" t="str">
        <x:v>BR-00656</x:v>
      </x:c>
      <x:c r="B657" s="339" t="str">
        <x:v>Screen</x:v>
      </x:c>
      <x:c r="C657" s="339" t="str">
        <x:v>SCR-219</x:v>
      </x:c>
      <x:c r="D657" s="339" t="str">
        <x:v>Health / Counselling / Discipline</x:v>
      </x:c>
      <x:c r="E657" s="339" t="str">
        <x:v>Medication / First Aid</x:v>
      </x:c>
      <x:c r="F657" s="339" t="str">
        <x:v>Student Health, Counselling &amp; Discipline rule 2</x:v>
      </x:c>
      <x:c r="G657" s="339" t="str">
        <x:v>Clinical and counselling notes are restricted to specifically authorized roles and must not inherit broad teacher/admin visibility by default.</x:v>
      </x:c>
      <x:c r="H657" s="339" t="str">
        <x:v>Enforced in service/domain layer and reflected in UI validation/action availability.</x:v>
      </x:c>
      <x:c r="I657" s="339" t="str">
        <x:v>High</x:v>
      </x:c>
      <x:c r="J657" s="339" t="str">
        <x:v>Only an explicitly configured authorized override may bypass a non-statutory rule; overrides require reason and audit.</x:v>
      </x:c>
    </x:row>
    <x:row r="658">
      <x:c r="A658" s="339" t="str">
        <x:v>BR-00657</x:v>
      </x:c>
      <x:c r="B658" s="339" t="str">
        <x:v>Screen Type</x:v>
      </x:c>
      <x:c r="C658" s="339" t="str">
        <x:v>SCR-219</x:v>
      </x:c>
      <x:c r="D658" s="339" t="str">
        <x:v>Health / Counselling / Discipline</x:v>
      </x:c>
      <x:c r="E658" s="339" t="str">
        <x:v>Medication / First Aid</x:v>
      </x:c>
      <x:c r="F658" s="339" t="str">
        <x:v>Workflow / Management integrity rule</x:v>
      </x:c>
      <x:c r="G658" s="339" t="str">
        <x:v>State transitions are explicit, role-controlled and auditable; invalid transitions are rejected.</x:v>
      </x:c>
      <x:c r="H658" s="339" t="str">
        <x:v>Domain/service validation plus UI affordances.</x:v>
      </x:c>
      <x:c r="I658" s="339" t="str">
        <x:v>High</x:v>
      </x:c>
      <x:c r="J658" s="339" t="str">
        <x:v>No silent bypass; approved overrides must be separately authorized and audited.</x:v>
      </x:c>
    </x:row>
    <x:row r="659">
      <x:c r="A659" s="339" t="str">
        <x:v>BR-00658</x:v>
      </x:c>
      <x:c r="B659" s="339" t="str">
        <x:v>Screen</x:v>
      </x:c>
      <x:c r="C659" s="339" t="str">
        <x:v>SCR-220</x:v>
      </x:c>
      <x:c r="D659" s="339" t="str">
        <x:v>Health / Counselling / Discipline</x:v>
      </x:c>
      <x:c r="E659" s="339" t="str">
        <x:v>Immunization / Allergy</x:v>
      </x:c>
      <x:c r="F659" s="339" t="str">
        <x:v>Student Health, Counselling &amp; Discipline rule 1</x:v>
      </x:c>
      <x:c r="G659" s="339" t="str">
        <x:v>Clinical and counselling notes are restricted to specifically authorized roles and must not inherit broad teacher/admin visibility by default.</x:v>
      </x:c>
      <x:c r="H659" s="339" t="str">
        <x:v>Enforced in service/domain layer and reflected in UI validation/action availability.</x:v>
      </x:c>
      <x:c r="I659" s="339" t="str">
        <x:v>High</x:v>
      </x:c>
      <x:c r="J659" s="339" t="str">
        <x:v>Only an explicitly configured authorized override may bypass a non-statutory rule; overrides require reason and audit.</x:v>
      </x:c>
    </x:row>
    <x:row r="660">
      <x:c r="A660" s="339" t="str">
        <x:v>BR-00659</x:v>
      </x:c>
      <x:c r="B660" s="339" t="str">
        <x:v>Screen</x:v>
      </x:c>
      <x:c r="C660" s="339" t="str">
        <x:v>SCR-220</x:v>
      </x:c>
      <x:c r="D660" s="339" t="str">
        <x:v>Health / Counselling / Discipline</x:v>
      </x:c>
      <x:c r="E660" s="339" t="str">
        <x:v>Immunization / Allergy</x:v>
      </x:c>
      <x:c r="F660" s="339" t="str">
        <x:v>Student Health, Counselling &amp; Discipline rule 2</x:v>
      </x:c>
      <x:c r="G660" s="339" t="str">
        <x:v>Emergency conditions trigger configured escalation and guardian notification rules.</x:v>
      </x:c>
      <x:c r="H660" s="339" t="str">
        <x:v>Enforced in service/domain layer and reflected in UI validation/action availability.</x:v>
      </x:c>
      <x:c r="I660" s="339" t="str">
        <x:v>High</x:v>
      </x:c>
      <x:c r="J660" s="339" t="str">
        <x:v>Only an explicitly configured authorized override may bypass a non-statutory rule; overrides require reason and audit.</x:v>
      </x:c>
    </x:row>
    <x:row r="661">
      <x:c r="A661" s="339" t="str">
        <x:v>BR-00660</x:v>
      </x:c>
      <x:c r="B661" s="339" t="str">
        <x:v>Screen Type</x:v>
      </x:c>
      <x:c r="C661" s="339" t="str">
        <x:v>SCR-220</x:v>
      </x:c>
      <x:c r="D661" s="339" t="str">
        <x:v>Health / Counselling / Discipline</x:v>
      </x:c>
      <x:c r="E661" s="339" t="str">
        <x:v>Immunization / Allergy</x:v>
      </x:c>
      <x:c r="F661" s="339" t="str">
        <x:v>Workflow / Management integrity rule</x:v>
      </x:c>
      <x:c r="G661" s="339" t="str">
        <x:v>State transitions are explicit, role-controlled and auditable; invalid transitions are rejected.</x:v>
      </x:c>
      <x:c r="H661" s="339" t="str">
        <x:v>Domain/service validation plus UI affordances.</x:v>
      </x:c>
      <x:c r="I661" s="339" t="str">
        <x:v>High</x:v>
      </x:c>
      <x:c r="J661" s="339" t="str">
        <x:v>No silent bypass; approved overrides must be separately authorized and audited.</x:v>
      </x:c>
    </x:row>
    <x:row r="662">
      <x:c r="A662" s="339" t="str">
        <x:v>BR-00661</x:v>
      </x:c>
      <x:c r="B662" s="339" t="str">
        <x:v>Screen</x:v>
      </x:c>
      <x:c r="C662" s="339" t="str">
        <x:v>SCR-221</x:v>
      </x:c>
      <x:c r="D662" s="339" t="str">
        <x:v>Health / Counselling / Discipline</x:v>
      </x:c>
      <x:c r="E662" s="339" t="str">
        <x:v>Counselling Appointments</x:v>
      </x:c>
      <x:c r="F662" s="339" t="str">
        <x:v>Student Health, Counselling &amp; Discipline rule 1</x:v>
      </x:c>
      <x:c r="G662" s="339" t="str">
        <x:v>Emergency conditions trigger configured escalation and guardian notification rules.</x:v>
      </x:c>
      <x:c r="H662" s="339" t="str">
        <x:v>Enforced in service/domain layer and reflected in UI validation/action availability.</x:v>
      </x:c>
      <x:c r="I662" s="339" t="str">
        <x:v>High</x:v>
      </x:c>
      <x:c r="J662" s="339" t="str">
        <x:v>Only an explicitly configured authorized override may bypass a non-statutory rule; overrides require reason and audit.</x:v>
      </x:c>
    </x:row>
    <x:row r="663">
      <x:c r="A663" s="339" t="str">
        <x:v>BR-00662</x:v>
      </x:c>
      <x:c r="B663" s="339" t="str">
        <x:v>Screen</x:v>
      </x:c>
      <x:c r="C663" s="339" t="str">
        <x:v>SCR-221</x:v>
      </x:c>
      <x:c r="D663" s="339" t="str">
        <x:v>Health / Counselling / Discipline</x:v>
      </x:c>
      <x:c r="E663" s="339" t="str">
        <x:v>Counselling Appointments</x:v>
      </x:c>
      <x:c r="F663" s="339" t="str">
        <x:v>Student Health, Counselling &amp; Discipline rule 2</x:v>
      </x:c>
      <x:c r="G663" s="339" t="str">
        <x:v>Medication administration records must capture medication, dose, time and administering user where applicable.</x:v>
      </x:c>
      <x:c r="H663" s="339" t="str">
        <x:v>Enforced in service/domain layer and reflected in UI validation/action availability.</x:v>
      </x:c>
      <x:c r="I663" s="339" t="str">
        <x:v>High</x:v>
      </x:c>
      <x:c r="J663" s="339" t="str">
        <x:v>Only an explicitly configured authorized override may bypass a non-statutory rule; overrides require reason and audit.</x:v>
      </x:c>
    </x:row>
    <x:row r="664">
      <x:c r="A664" s="339" t="str">
        <x:v>BR-00663</x:v>
      </x:c>
      <x:c r="B664" s="339" t="str">
        <x:v>Screen Type</x:v>
      </x:c>
      <x:c r="C664" s="339" t="str">
        <x:v>SCR-221</x:v>
      </x:c>
      <x:c r="D664" s="339" t="str">
        <x:v>Health / Counselling / Discipline</x:v>
      </x:c>
      <x:c r="E664" s="339" t="str">
        <x:v>Counselling Appointments</x:v>
      </x:c>
      <x:c r="F664" s="339" t="str">
        <x:v>Workflow / Management integrity rule</x:v>
      </x:c>
      <x:c r="G664" s="339" t="str">
        <x:v>State transitions are explicit, role-controlled and auditable; invalid transitions are rejected.</x:v>
      </x:c>
      <x:c r="H664" s="339" t="str">
        <x:v>Domain/service validation plus UI affordances.</x:v>
      </x:c>
      <x:c r="I664" s="339" t="str">
        <x:v>High</x:v>
      </x:c>
      <x:c r="J664" s="339" t="str">
        <x:v>No silent bypass; approved overrides must be separately authorized and audited.</x:v>
      </x:c>
    </x:row>
    <x:row r="665">
      <x:c r="A665" s="339" t="str">
        <x:v>BR-00664</x:v>
      </x:c>
      <x:c r="B665" s="339" t="str">
        <x:v>Screen</x:v>
      </x:c>
      <x:c r="C665" s="339" t="str">
        <x:v>SCR-222</x:v>
      </x:c>
      <x:c r="D665" s="339" t="str">
        <x:v>Health / Counselling / Discipline</x:v>
      </x:c>
      <x:c r="E665" s="339" t="str">
        <x:v>Counselling Case Notes</x:v>
      </x:c>
      <x:c r="F665" s="339" t="str">
        <x:v>Student Health, Counselling &amp; Discipline rule 1</x:v>
      </x:c>
      <x:c r="G665" s="339" t="str">
        <x:v>Medication administration records must capture medication, dose, time and administering user where applicable.</x:v>
      </x:c>
      <x:c r="H665" s="339" t="str">
        <x:v>Enforced in service/domain layer and reflected in UI validation/action availability.</x:v>
      </x:c>
      <x:c r="I665" s="339" t="str">
        <x:v>High</x:v>
      </x:c>
      <x:c r="J665" s="339" t="str">
        <x:v>Only an explicitly configured authorized override may bypass a non-statutory rule; overrides require reason and audit.</x:v>
      </x:c>
    </x:row>
    <x:row r="666">
      <x:c r="A666" s="339" t="str">
        <x:v>BR-00665</x:v>
      </x:c>
      <x:c r="B666" s="339" t="str">
        <x:v>Screen</x:v>
      </x:c>
      <x:c r="C666" s="339" t="str">
        <x:v>SCR-222</x:v>
      </x:c>
      <x:c r="D666" s="339" t="str">
        <x:v>Health / Counselling / Discipline</x:v>
      </x:c>
      <x:c r="E666" s="339" t="str">
        <x:v>Counselling Case Notes</x:v>
      </x:c>
      <x:c r="F666" s="339" t="str">
        <x:v>Student Health, Counselling &amp; Discipline rule 2</x:v>
      </x:c>
      <x:c r="G666" s="339" t="str">
        <x:v>Discipline actions require traceable incident facts, action and follow-up; sensitive notes may be separately protected.</x:v>
      </x:c>
      <x:c r="H666" s="339" t="str">
        <x:v>Enforced in service/domain layer and reflected in UI validation/action availability.</x:v>
      </x:c>
      <x:c r="I666" s="339" t="str">
        <x:v>High</x:v>
      </x:c>
      <x:c r="J666" s="339" t="str">
        <x:v>Only an explicitly configured authorized override may bypass a non-statutory rule; overrides require reason and audit.</x:v>
      </x:c>
    </x:row>
    <x:row r="667">
      <x:c r="A667" s="339" t="str">
        <x:v>BR-00666</x:v>
      </x:c>
      <x:c r="B667" s="339" t="str">
        <x:v>Screen Type</x:v>
      </x:c>
      <x:c r="C667" s="339" t="str">
        <x:v>SCR-222</x:v>
      </x:c>
      <x:c r="D667" s="339" t="str">
        <x:v>Health / Counselling / Discipline</x:v>
      </x:c>
      <x:c r="E667" s="339" t="str">
        <x:v>Counselling Case Notes</x:v>
      </x:c>
      <x:c r="F667" s="339" t="str">
        <x:v>Workflow / Management integrity rule</x:v>
      </x:c>
      <x:c r="G667" s="339" t="str">
        <x:v>State transitions are explicit, role-controlled and auditable; invalid transitions are rejected.</x:v>
      </x:c>
      <x:c r="H667" s="339" t="str">
        <x:v>Domain/service validation plus UI affordances.</x:v>
      </x:c>
      <x:c r="I667" s="339" t="str">
        <x:v>High</x:v>
      </x:c>
      <x:c r="J667" s="339" t="str">
        <x:v>No silent bypass; approved overrides must be separately authorized and audited.</x:v>
      </x:c>
    </x:row>
    <x:row r="668">
      <x:c r="A668" s="339" t="str">
        <x:v>BR-00667</x:v>
      </x:c>
      <x:c r="B668" s="339" t="str">
        <x:v>Screen</x:v>
      </x:c>
      <x:c r="C668" s="339" t="str">
        <x:v>SCR-223</x:v>
      </x:c>
      <x:c r="D668" s="339" t="str">
        <x:v>Health / Counselling / Discipline</x:v>
      </x:c>
      <x:c r="E668" s="339" t="str">
        <x:v>Behaviour / Discipline Incidents</x:v>
      </x:c>
      <x:c r="F668" s="339" t="str">
        <x:v>Student Health, Counselling &amp; Discipline rule 1</x:v>
      </x:c>
      <x:c r="G668" s="339" t="str">
        <x:v>Discipline actions require traceable incident facts, action and follow-up; sensitive notes may be separately protected.</x:v>
      </x:c>
      <x:c r="H668" s="339" t="str">
        <x:v>Enforced in service/domain layer and reflected in UI validation/action availability.</x:v>
      </x:c>
      <x:c r="I668" s="339" t="str">
        <x:v>High</x:v>
      </x:c>
      <x:c r="J668" s="339" t="str">
        <x:v>Only an explicitly configured authorized override may bypass a non-statutory rule; overrides require reason and audit.</x:v>
      </x:c>
    </x:row>
    <x:row r="669">
      <x:c r="A669" s="339" t="str">
        <x:v>BR-00668</x:v>
      </x:c>
      <x:c r="B669" s="339" t="str">
        <x:v>Screen</x:v>
      </x:c>
      <x:c r="C669" s="339" t="str">
        <x:v>SCR-223</x:v>
      </x:c>
      <x:c r="D669" s="339" t="str">
        <x:v>Health / Counselling / Discipline</x:v>
      </x:c>
      <x:c r="E669" s="339" t="str">
        <x:v>Behaviour / Discipline Incidents</x:v>
      </x:c>
      <x:c r="F669" s="339" t="str">
        <x:v>Student Health, Counselling &amp; Discipline rule 2</x:v>
      </x:c>
      <x:c r="G669" s="339" t="str">
        <x:v>Health/counselling records must follow configured retention and legal/privacy requirements.</x:v>
      </x:c>
      <x:c r="H669" s="339" t="str">
        <x:v>Enforced in service/domain layer and reflected in UI validation/action availability.</x:v>
      </x:c>
      <x:c r="I669" s="339" t="str">
        <x:v>High</x:v>
      </x:c>
      <x:c r="J669" s="339" t="str">
        <x:v>Only an explicitly configured authorized override may bypass a non-statutory rule; overrides require reason and audit.</x:v>
      </x:c>
    </x:row>
    <x:row r="670">
      <x:c r="A670" s="339" t="str">
        <x:v>BR-00669</x:v>
      </x:c>
      <x:c r="B670" s="339" t="str">
        <x:v>Screen Type</x:v>
      </x:c>
      <x:c r="C670" s="339" t="str">
        <x:v>SCR-223</x:v>
      </x:c>
      <x:c r="D670" s="339" t="str">
        <x:v>Health / Counselling / Discipline</x:v>
      </x:c>
      <x:c r="E670" s="339" t="str">
        <x:v>Behaviour / Discipline Incidents</x:v>
      </x:c>
      <x:c r="F670" s="339" t="str">
        <x:v>List / Management integrity rule</x:v>
      </x:c>
      <x:c r="G670" s="339" t="str">
        <x:v>Search, filters, exports and row actions must preserve the same authorization scope.</x:v>
      </x:c>
      <x:c r="H670" s="339" t="str">
        <x:v>Domain/service validation plus UI affordances.</x:v>
      </x:c>
      <x:c r="I670" s="339" t="str">
        <x:v>High</x:v>
      </x:c>
      <x:c r="J670" s="339" t="str">
        <x:v>No silent bypass; approved overrides must be separately authorized and audited.</x:v>
      </x:c>
    </x:row>
    <x:row r="671">
      <x:c r="A671" s="339" t="str">
        <x:v>BR-00670</x:v>
      </x:c>
      <x:c r="B671" s="339" t="str">
        <x:v>Screen</x:v>
      </x:c>
      <x:c r="C671" s="339" t="str">
        <x:v>SCR-224</x:v>
      </x:c>
      <x:c r="D671" s="339" t="str">
        <x:v>Health / Counselling / Discipline</x:v>
      </x:c>
      <x:c r="E671" s="339" t="str">
        <x:v>Incident Action &amp; Follow-up</x:v>
      </x:c>
      <x:c r="F671" s="339" t="str">
        <x:v>Student Health, Counselling &amp; Discipline rule 1</x:v>
      </x:c>
      <x:c r="G671" s="339" t="str">
        <x:v>Health/counselling records must follow configured retention and legal/privacy requirements.</x:v>
      </x:c>
      <x:c r="H671" s="339" t="str">
        <x:v>Enforced in service/domain layer and reflected in UI validation/action availability.</x:v>
      </x:c>
      <x:c r="I671" s="339" t="str">
        <x:v>High</x:v>
      </x:c>
      <x:c r="J671" s="339" t="str">
        <x:v>Only an explicitly configured authorized override may bypass a non-statutory rule; overrides require reason and audit.</x:v>
      </x:c>
    </x:row>
    <x:row r="672">
      <x:c r="A672" s="339" t="str">
        <x:v>BR-00671</x:v>
      </x:c>
      <x:c r="B672" s="339" t="str">
        <x:v>Screen</x:v>
      </x:c>
      <x:c r="C672" s="339" t="str">
        <x:v>SCR-224</x:v>
      </x:c>
      <x:c r="D672" s="339" t="str">
        <x:v>Health / Counselling / Discipline</x:v>
      </x:c>
      <x:c r="E672" s="339" t="str">
        <x:v>Incident Action &amp; Follow-up</x:v>
      </x:c>
      <x:c r="F672" s="339" t="str">
        <x:v>Student Health, Counselling &amp; Discipline rule 2</x:v>
      </x:c>
      <x:c r="G672" s="339" t="str">
        <x:v>Clinical and counselling notes are restricted to specifically authorized roles and must not inherit broad teacher/admin visibility by default.</x:v>
      </x:c>
      <x:c r="H672" s="339" t="str">
        <x:v>Enforced in service/domain layer and reflected in UI validation/action availability.</x:v>
      </x:c>
      <x:c r="I672" s="339" t="str">
        <x:v>High</x:v>
      </x:c>
      <x:c r="J672" s="339" t="str">
        <x:v>Only an explicitly configured authorized override may bypass a non-statutory rule; overrides require reason and audit.</x:v>
      </x:c>
    </x:row>
    <x:row r="673">
      <x:c r="A673" s="339" t="str">
        <x:v>BR-00672</x:v>
      </x:c>
      <x:c r="B673" s="339" t="str">
        <x:v>Screen Type</x:v>
      </x:c>
      <x:c r="C673" s="339" t="str">
        <x:v>SCR-224</x:v>
      </x:c>
      <x:c r="D673" s="339" t="str">
        <x:v>Health / Counselling / Discipline</x:v>
      </x:c>
      <x:c r="E673" s="339" t="str">
        <x:v>Incident Action &amp; Follow-up</x:v>
      </x:c>
      <x:c r="F673" s="339" t="str">
        <x:v>Workflow / Management integrity rule</x:v>
      </x:c>
      <x:c r="G673" s="339" t="str">
        <x:v>State transitions are explicit, role-controlled and auditable; invalid transitions are rejected.</x:v>
      </x:c>
      <x:c r="H673" s="339" t="str">
        <x:v>Domain/service validation plus UI affordances.</x:v>
      </x:c>
      <x:c r="I673" s="339" t="str">
        <x:v>High</x:v>
      </x:c>
      <x:c r="J673" s="339" t="str">
        <x:v>No silent bypass; approved overrides must be separately authorized and audited.</x:v>
      </x:c>
    </x:row>
    <x:row r="674">
      <x:c r="A674" s="339" t="str">
        <x:v>BR-00673</x:v>
      </x:c>
      <x:c r="B674" s="339" t="str">
        <x:v>Screen</x:v>
      </x:c>
      <x:c r="C674" s="339" t="str">
        <x:v>SCR-225</x:v>
      </x:c>
      <x:c r="D674" s="339" t="str">
        <x:v>Health / Counselling / Discipline</x:v>
      </x:c>
      <x:c r="E674" s="339" t="str">
        <x:v>Emergency Contacts &amp; Escalation</x:v>
      </x:c>
      <x:c r="F674" s="339" t="str">
        <x:v>Student Health, Counselling &amp; Discipline rule 1</x:v>
      </x:c>
      <x:c r="G674" s="339" t="str">
        <x:v>Clinical and counselling notes are restricted to specifically authorized roles and must not inherit broad teacher/admin visibility by default.</x:v>
      </x:c>
      <x:c r="H674" s="339" t="str">
        <x:v>Enforced in service/domain layer and reflected in UI validation/action availability.</x:v>
      </x:c>
      <x:c r="I674" s="339" t="str">
        <x:v>High</x:v>
      </x:c>
      <x:c r="J674" s="339" t="str">
        <x:v>Only an explicitly configured authorized override may bypass a non-statutory rule; overrides require reason and audit.</x:v>
      </x:c>
    </x:row>
    <x:row r="675">
      <x:c r="A675" s="339" t="str">
        <x:v>BR-00674</x:v>
      </x:c>
      <x:c r="B675" s="339" t="str">
        <x:v>Screen</x:v>
      </x:c>
      <x:c r="C675" s="339" t="str">
        <x:v>SCR-225</x:v>
      </x:c>
      <x:c r="D675" s="339" t="str">
        <x:v>Health / Counselling / Discipline</x:v>
      </x:c>
      <x:c r="E675" s="339" t="str">
        <x:v>Emergency Contacts &amp; Escalation</x:v>
      </x:c>
      <x:c r="F675" s="339" t="str">
        <x:v>Student Health, Counselling &amp; Discipline rule 2</x:v>
      </x:c>
      <x:c r="G675" s="339" t="str">
        <x:v>Emergency conditions trigger configured escalation and guardian notification rules.</x:v>
      </x:c>
      <x:c r="H675" s="339" t="str">
        <x:v>Enforced in service/domain layer and reflected in UI validation/action availability.</x:v>
      </x:c>
      <x:c r="I675" s="339" t="str">
        <x:v>High</x:v>
      </x:c>
      <x:c r="J675" s="339" t="str">
        <x:v>Only an explicitly configured authorized override may bypass a non-statutory rule; overrides require reason and audit.</x:v>
      </x:c>
    </x:row>
    <x:row r="676">
      <x:c r="A676" s="339" t="str">
        <x:v>BR-00675</x:v>
      </x:c>
      <x:c r="B676" s="339" t="str">
        <x:v>Screen Type</x:v>
      </x:c>
      <x:c r="C676" s="339" t="str">
        <x:v>SCR-225</x:v>
      </x:c>
      <x:c r="D676" s="339" t="str">
        <x:v>Health / Counselling / Discipline</x:v>
      </x:c>
      <x:c r="E676" s="339" t="str">
        <x:v>Emergency Contacts &amp; Escalation</x:v>
      </x:c>
      <x:c r="F676" s="339" t="str">
        <x:v>Workflow / Management integrity rule</x:v>
      </x:c>
      <x:c r="G676" s="339" t="str">
        <x:v>State transitions are explicit, role-controlled and auditable; invalid transitions are rejected.</x:v>
      </x:c>
      <x:c r="H676" s="339" t="str">
        <x:v>Domain/service validation plus UI affordances.</x:v>
      </x:c>
      <x:c r="I676" s="339" t="str">
        <x:v>High</x:v>
      </x:c>
      <x:c r="J676" s="339" t="str">
        <x:v>No silent bypass; approved overrides must be separately authorized and audited.</x:v>
      </x:c>
    </x:row>
    <x:row r="677">
      <x:c r="A677" s="339" t="str">
        <x:v>BR-00676</x:v>
      </x:c>
      <x:c r="B677" s="339" t="str">
        <x:v>Screen</x:v>
      </x:c>
      <x:c r="C677" s="339" t="str">
        <x:v>SCR-226</x:v>
      </x:c>
      <x:c r="D677" s="339" t="str">
        <x:v>Visitor / Gate / Security</x:v>
      </x:c>
      <x:c r="E677" s="339" t="str">
        <x:v>Visitor Dashboard</x:v>
      </x:c>
      <x:c r="F677" s="339" t="str">
        <x:v>Visitor, Gate &amp; Security Control rule 1</x:v>
      </x:c>
      <x:c r="G677" s="339" t="str">
        <x:v>Restricted visitors or denied approvals cannot be checked in.</x:v>
      </x:c>
      <x:c r="H677" s="339" t="str">
        <x:v>Enforced in service/domain layer and reflected in UI validation/action availability.</x:v>
      </x:c>
      <x:c r="I677" s="339" t="str">
        <x:v>Medium</x:v>
      </x:c>
      <x:c r="J677" s="339" t="str">
        <x:v>Only an explicitly configured authorized override may bypass a non-statutory rule; overrides require reason and audit.</x:v>
      </x:c>
    </x:row>
    <x:row r="678">
      <x:c r="A678" s="339" t="str">
        <x:v>BR-00677</x:v>
      </x:c>
      <x:c r="B678" s="339" t="str">
        <x:v>Screen</x:v>
      </x:c>
      <x:c r="C678" s="339" t="str">
        <x:v>SCR-226</x:v>
      </x:c>
      <x:c r="D678" s="339" t="str">
        <x:v>Visitor / Gate / Security</x:v>
      </x:c>
      <x:c r="E678" s="339" t="str">
        <x:v>Visitor Dashboard</x:v>
      </x:c>
      <x:c r="F678" s="339" t="str">
        <x:v>Visitor, Gate &amp; Security Control rule 2</x:v>
      </x:c>
      <x:c r="G678" s="339" t="str">
        <x:v>Student early pickup requires authorized guardian/approver verification.</x:v>
      </x:c>
      <x:c r="H678" s="339" t="str">
        <x:v>Enforced in service/domain layer and reflected in UI validation/action availability.</x:v>
      </x:c>
      <x:c r="I678" s="339" t="str">
        <x:v>Medium</x:v>
      </x:c>
      <x:c r="J678" s="339" t="str">
        <x:v>Only an explicitly configured authorized override may bypass a non-statutory rule; overrides require reason and audit.</x:v>
      </x:c>
    </x:row>
    <x:row r="679">
      <x:c r="A679" s="339" t="str">
        <x:v>BR-00678</x:v>
      </x:c>
      <x:c r="B679" s="339" t="str">
        <x:v>Screen Type</x:v>
      </x:c>
      <x:c r="C679" s="339" t="str">
        <x:v>SCR-226</x:v>
      </x:c>
      <x:c r="D679" s="339" t="str">
        <x:v>Visitor / Gate / Security</x:v>
      </x:c>
      <x:c r="E679" s="339" t="str">
        <x:v>Visitor Dashboard</x:v>
      </x:c>
      <x:c r="F679" s="339" t="str">
        <x:v>Dashboard integrity rule</x:v>
      </x:c>
      <x:c r="G679" s="339" t="str">
        <x:v>Displayed totals must reconcile to the same authorized source rows used by drill-down and reports.</x:v>
      </x:c>
      <x:c r="H679" s="339" t="str">
        <x:v>Domain/service validation plus UI affordances.</x:v>
      </x:c>
      <x:c r="I679" s="339" t="str">
        <x:v>High</x:v>
      </x:c>
      <x:c r="J679" s="339" t="str">
        <x:v>No silent bypass; approved overrides must be separately authorized and audited.</x:v>
      </x:c>
    </x:row>
    <x:row r="680">
      <x:c r="A680" s="339" t="str">
        <x:v>BR-00679</x:v>
      </x:c>
      <x:c r="B680" s="339" t="str">
        <x:v>Screen</x:v>
      </x:c>
      <x:c r="C680" s="339" t="str">
        <x:v>SCR-227</x:v>
      </x:c>
      <x:c r="D680" s="339" t="str">
        <x:v>Visitor / Gate / Security</x:v>
      </x:c>
      <x:c r="E680" s="339" t="str">
        <x:v>Visitor Check-in</x:v>
      </x:c>
      <x:c r="F680" s="339" t="str">
        <x:v>Visitor, Gate &amp; Security Control rule 1</x:v>
      </x:c>
      <x:c r="G680" s="339" t="str">
        <x:v>Student early pickup requires authorized guardian/approver verification.</x:v>
      </x:c>
      <x:c r="H680" s="339" t="str">
        <x:v>Enforced in service/domain layer and reflected in UI validation/action availability.</x:v>
      </x:c>
      <x:c r="I680" s="339" t="str">
        <x:v>Medium</x:v>
      </x:c>
      <x:c r="J680" s="339" t="str">
        <x:v>Only an explicitly configured authorized override may bypass a non-statutory rule; overrides require reason and audit.</x:v>
      </x:c>
    </x:row>
    <x:row r="681">
      <x:c r="A681" s="339" t="str">
        <x:v>BR-00680</x:v>
      </x:c>
      <x:c r="B681" s="339" t="str">
        <x:v>Screen</x:v>
      </x:c>
      <x:c r="C681" s="339" t="str">
        <x:v>SCR-227</x:v>
      </x:c>
      <x:c r="D681" s="339" t="str">
        <x:v>Visitor / Gate / Security</x:v>
      </x:c>
      <x:c r="E681" s="339" t="str">
        <x:v>Visitor Check-in</x:v>
      </x:c>
      <x:c r="F681" s="339" t="str">
        <x:v>Visitor, Gate &amp; Security Control rule 2</x:v>
      </x:c>
      <x:c r="G681" s="339" t="str">
        <x:v>Check-out cannot precede check-in and must close the active visit/pass.</x:v>
      </x:c>
      <x:c r="H681" s="339" t="str">
        <x:v>Enforced in service/domain layer and reflected in UI validation/action availability.</x:v>
      </x:c>
      <x:c r="I681" s="339" t="str">
        <x:v>Medium</x:v>
      </x:c>
      <x:c r="J681" s="339" t="str">
        <x:v>Only an explicitly configured authorized override may bypass a non-statutory rule; overrides require reason and audit.</x:v>
      </x:c>
    </x:row>
    <x:row r="682">
      <x:c r="A682" s="339" t="str">
        <x:v>BR-00681</x:v>
      </x:c>
      <x:c r="B682" s="339" t="str">
        <x:v>Screen Type</x:v>
      </x:c>
      <x:c r="C682" s="339" t="str">
        <x:v>SCR-227</x:v>
      </x:c>
      <x:c r="D682" s="339" t="str">
        <x:v>Visitor / Gate / Security</x:v>
      </x:c>
      <x:c r="E682" s="339" t="str">
        <x:v>Visitor Check-in</x:v>
      </x:c>
      <x:c r="F682" s="339" t="str">
        <x:v>Create / Transaction integrity rule</x:v>
      </x:c>
      <x:c r="G682" s="339" t="str">
        <x:v>A record is created only after all blocking validations, duplicate checks and reference checks pass.</x:v>
      </x:c>
      <x:c r="H682" s="339" t="str">
        <x:v>Domain/service validation plus UI affordances.</x:v>
      </x:c>
      <x:c r="I682" s="339" t="str">
        <x:v>High</x:v>
      </x:c>
      <x:c r="J682" s="339" t="str">
        <x:v>No silent bypass; approved overrides must be separately authorized and audited.</x:v>
      </x:c>
    </x:row>
    <x:row r="683">
      <x:c r="A683" s="339" t="str">
        <x:v>BR-00682</x:v>
      </x:c>
      <x:c r="B683" s="339" t="str">
        <x:v>Screen</x:v>
      </x:c>
      <x:c r="C683" s="339" t="str">
        <x:v>SCR-228</x:v>
      </x:c>
      <x:c r="D683" s="339" t="str">
        <x:v>Visitor / Gate / Security</x:v>
      </x:c>
      <x:c r="E683" s="339" t="str">
        <x:v>Visitor Approval</x:v>
      </x:c>
      <x:c r="F683" s="339" t="str">
        <x:v>Visitor, Gate &amp; Security Control rule 1</x:v>
      </x:c>
      <x:c r="G683" s="339" t="str">
        <x:v>Check-out cannot precede check-in and must close the active visit/pass.</x:v>
      </x:c>
      <x:c r="H683" s="339" t="str">
        <x:v>Enforced in service/domain layer and reflected in UI validation/action availability.</x:v>
      </x:c>
      <x:c r="I683" s="339" t="str">
        <x:v>Medium</x:v>
      </x:c>
      <x:c r="J683" s="339" t="str">
        <x:v>Only an explicitly configured authorized override may bypass a non-statutory rule; overrides require reason and audit.</x:v>
      </x:c>
    </x:row>
    <x:row r="684">
      <x:c r="A684" s="339" t="str">
        <x:v>BR-00683</x:v>
      </x:c>
      <x:c r="B684" s="339" t="str">
        <x:v>Screen</x:v>
      </x:c>
      <x:c r="C684" s="339" t="str">
        <x:v>SCR-228</x:v>
      </x:c>
      <x:c r="D684" s="339" t="str">
        <x:v>Visitor / Gate / Security</x:v>
      </x:c>
      <x:c r="E684" s="339" t="str">
        <x:v>Visitor Approval</x:v>
      </x:c>
      <x:c r="F684" s="339" t="str">
        <x:v>Visitor, Gate &amp; Security Control rule 2</x:v>
      </x:c>
      <x:c r="G684" s="339" t="str">
        <x:v>Gate/security events are append-only and retained for audit.</x:v>
      </x:c>
      <x:c r="H684" s="339" t="str">
        <x:v>Enforced in service/domain layer and reflected in UI validation/action availability.</x:v>
      </x:c>
      <x:c r="I684" s="339" t="str">
        <x:v>Medium</x:v>
      </x:c>
      <x:c r="J684" s="339" t="str">
        <x:v>Only an explicitly configured authorized override may bypass a non-statutory rule; overrides require reason and audit.</x:v>
      </x:c>
    </x:row>
    <x:row r="685">
      <x:c r="A685" s="339" t="str">
        <x:v>BR-00684</x:v>
      </x:c>
      <x:c r="B685" s="339" t="str">
        <x:v>Screen Type</x:v>
      </x:c>
      <x:c r="C685" s="339" t="str">
        <x:v>SCR-228</x:v>
      </x:c>
      <x:c r="D685" s="339" t="str">
        <x:v>Visitor / Gate / Security</x:v>
      </x:c>
      <x:c r="E685" s="339" t="str">
        <x:v>Visitor Approval</x:v>
      </x:c>
      <x:c r="F685" s="339" t="str">
        <x:v>Workflow / Management integrity rule</x:v>
      </x:c>
      <x:c r="G685" s="339" t="str">
        <x:v>State transitions are explicit, role-controlled and auditable; invalid transitions are rejected.</x:v>
      </x:c>
      <x:c r="H685" s="339" t="str">
        <x:v>Domain/service validation plus UI affordances.</x:v>
      </x:c>
      <x:c r="I685" s="339" t="str">
        <x:v>High</x:v>
      </x:c>
      <x:c r="J685" s="339" t="str">
        <x:v>No silent bypass; approved overrides must be separately authorized and audited.</x:v>
      </x:c>
    </x:row>
    <x:row r="686">
      <x:c r="A686" s="339" t="str">
        <x:v>BR-00685</x:v>
      </x:c>
      <x:c r="B686" s="339" t="str">
        <x:v>Screen</x:v>
      </x:c>
      <x:c r="C686" s="339" t="str">
        <x:v>SCR-229</x:v>
      </x:c>
      <x:c r="D686" s="339" t="str">
        <x:v>Visitor / Gate / Security</x:v>
      </x:c>
      <x:c r="E686" s="339" t="str">
        <x:v>Visitor Pass</x:v>
      </x:c>
      <x:c r="F686" s="339" t="str">
        <x:v>Visitor, Gate &amp; Security Control rule 1</x:v>
      </x:c>
      <x:c r="G686" s="339" t="str">
        <x:v>Gate/security events are append-only and retained for audit.</x:v>
      </x:c>
      <x:c r="H686" s="339" t="str">
        <x:v>Enforced in service/domain layer and reflected in UI validation/action availability.</x:v>
      </x:c>
      <x:c r="I686" s="339" t="str">
        <x:v>Medium</x:v>
      </x:c>
      <x:c r="J686" s="339" t="str">
        <x:v>Only an explicitly configured authorized override may bypass a non-statutory rule; overrides require reason and audit.</x:v>
      </x:c>
    </x:row>
    <x:row r="687">
      <x:c r="A687" s="339" t="str">
        <x:v>BR-00686</x:v>
      </x:c>
      <x:c r="B687" s="339" t="str">
        <x:v>Screen</x:v>
      </x:c>
      <x:c r="C687" s="339" t="str">
        <x:v>SCR-229</x:v>
      </x:c>
      <x:c r="D687" s="339" t="str">
        <x:v>Visitor / Gate / Security</x:v>
      </x:c>
      <x:c r="E687" s="339" t="str">
        <x:v>Visitor Pass</x:v>
      </x:c>
      <x:c r="F687" s="339" t="str">
        <x:v>Visitor, Gate &amp; Security Control rule 2</x:v>
      </x:c>
      <x:c r="G687" s="339" t="str">
        <x:v>Visitor entry requires the configured identity/purpose/host data before pass issuance.</x:v>
      </x:c>
      <x:c r="H687" s="339" t="str">
        <x:v>Enforced in service/domain layer and reflected in UI validation/action availability.</x:v>
      </x:c>
      <x:c r="I687" s="339" t="str">
        <x:v>Medium</x:v>
      </x:c>
      <x:c r="J687" s="339" t="str">
        <x:v>Only an explicitly configured authorized override may bypass a non-statutory rule; overrides require reason and audit.</x:v>
      </x:c>
    </x:row>
    <x:row r="688">
      <x:c r="A688" s="339" t="str">
        <x:v>BR-00687</x:v>
      </x:c>
      <x:c r="B688" s="339" t="str">
        <x:v>Screen Type</x:v>
      </x:c>
      <x:c r="C688" s="339" t="str">
        <x:v>SCR-229</x:v>
      </x:c>
      <x:c r="D688" s="339" t="str">
        <x:v>Visitor / Gate / Security</x:v>
      </x:c>
      <x:c r="E688" s="339" t="str">
        <x:v>Visitor Pass</x:v>
      </x:c>
      <x:c r="F688" s="339" t="str">
        <x:v>Workflow / Management integrity rule</x:v>
      </x:c>
      <x:c r="G688" s="339" t="str">
        <x:v>State transitions are explicit, role-controlled and auditable; invalid transitions are rejected.</x:v>
      </x:c>
      <x:c r="H688" s="339" t="str">
        <x:v>Domain/service validation plus UI affordances.</x:v>
      </x:c>
      <x:c r="I688" s="339" t="str">
        <x:v>High</x:v>
      </x:c>
      <x:c r="J688" s="339" t="str">
        <x:v>No silent bypass; approved overrides must be separately authorized and audited.</x:v>
      </x:c>
    </x:row>
    <x:row r="689">
      <x:c r="A689" s="339" t="str">
        <x:v>BR-00688</x:v>
      </x:c>
      <x:c r="B689" s="339" t="str">
        <x:v>Screen</x:v>
      </x:c>
      <x:c r="C689" s="339" t="str">
        <x:v>SCR-230</x:v>
      </x:c>
      <x:c r="D689" s="339" t="str">
        <x:v>Visitor / Gate / Security</x:v>
      </x:c>
      <x:c r="E689" s="339" t="str">
        <x:v>Visitor Check-out</x:v>
      </x:c>
      <x:c r="F689" s="339" t="str">
        <x:v>Visitor, Gate &amp; Security Control rule 1</x:v>
      </x:c>
      <x:c r="G689" s="339" t="str">
        <x:v>Visitor entry requires the configured identity/purpose/host data before pass issuance.</x:v>
      </x:c>
      <x:c r="H689" s="339" t="str">
        <x:v>Enforced in service/domain layer and reflected in UI validation/action availability.</x:v>
      </x:c>
      <x:c r="I689" s="339" t="str">
        <x:v>Medium</x:v>
      </x:c>
      <x:c r="J689" s="339" t="str">
        <x:v>Only an explicitly configured authorized override may bypass a non-statutory rule; overrides require reason and audit.</x:v>
      </x:c>
    </x:row>
    <x:row r="690">
      <x:c r="A690" s="339" t="str">
        <x:v>BR-00689</x:v>
      </x:c>
      <x:c r="B690" s="339" t="str">
        <x:v>Screen</x:v>
      </x:c>
      <x:c r="C690" s="339" t="str">
        <x:v>SCR-230</x:v>
      </x:c>
      <x:c r="D690" s="339" t="str">
        <x:v>Visitor / Gate / Security</x:v>
      </x:c>
      <x:c r="E690" s="339" t="str">
        <x:v>Visitor Check-out</x:v>
      </x:c>
      <x:c r="F690" s="339" t="str">
        <x:v>Visitor, Gate &amp; Security Control rule 2</x:v>
      </x:c>
      <x:c r="G690" s="339" t="str">
        <x:v>Restricted visitors or denied approvals cannot be checked in.</x:v>
      </x:c>
      <x:c r="H690" s="339" t="str">
        <x:v>Enforced in service/domain layer and reflected in UI validation/action availability.</x:v>
      </x:c>
      <x:c r="I690" s="339" t="str">
        <x:v>Medium</x:v>
      </x:c>
      <x:c r="J690" s="339" t="str">
        <x:v>Only an explicitly configured authorized override may bypass a non-statutory rule; overrides require reason and audit.</x:v>
      </x:c>
    </x:row>
    <x:row r="691">
      <x:c r="A691" s="339" t="str">
        <x:v>BR-00690</x:v>
      </x:c>
      <x:c r="B691" s="339" t="str">
        <x:v>Screen Type</x:v>
      </x:c>
      <x:c r="C691" s="339" t="str">
        <x:v>SCR-230</x:v>
      </x:c>
      <x:c r="D691" s="339" t="str">
        <x:v>Visitor / Gate / Security</x:v>
      </x:c>
      <x:c r="E691" s="339" t="str">
        <x:v>Visitor Check-out</x:v>
      </x:c>
      <x:c r="F691" s="339" t="str">
        <x:v>Workflow / Management integrity rule</x:v>
      </x:c>
      <x:c r="G691" s="339" t="str">
        <x:v>State transitions are explicit, role-controlled and auditable; invalid transitions are rejected.</x:v>
      </x:c>
      <x:c r="H691" s="339" t="str">
        <x:v>Domain/service validation plus UI affordances.</x:v>
      </x:c>
      <x:c r="I691" s="339" t="str">
        <x:v>High</x:v>
      </x:c>
      <x:c r="J691" s="339" t="str">
        <x:v>No silent bypass; approved overrides must be separately authorized and audited.</x:v>
      </x:c>
    </x:row>
    <x:row r="692">
      <x:c r="A692" s="339" t="str">
        <x:v>BR-00691</x:v>
      </x:c>
      <x:c r="B692" s="339" t="str">
        <x:v>Screen</x:v>
      </x:c>
      <x:c r="C692" s="339" t="str">
        <x:v>SCR-231</x:v>
      </x:c>
      <x:c r="D692" s="339" t="str">
        <x:v>Visitor / Gate / Security</x:v>
      </x:c>
      <x:c r="E692" s="339" t="str">
        <x:v>Student Early Pickup / Gate Pass</x:v>
      </x:c>
      <x:c r="F692" s="339" t="str">
        <x:v>Visitor, Gate &amp; Security Control rule 1</x:v>
      </x:c>
      <x:c r="G692" s="339" t="str">
        <x:v>Restricted visitors or denied approvals cannot be checked in.</x:v>
      </x:c>
      <x:c r="H692" s="339" t="str">
        <x:v>Enforced in service/domain layer and reflected in UI validation/action availability.</x:v>
      </x:c>
      <x:c r="I692" s="339" t="str">
        <x:v>Medium</x:v>
      </x:c>
      <x:c r="J692" s="339" t="str">
        <x:v>Only an explicitly configured authorized override may bypass a non-statutory rule; overrides require reason and audit.</x:v>
      </x:c>
    </x:row>
    <x:row r="693">
      <x:c r="A693" s="339" t="str">
        <x:v>BR-00692</x:v>
      </x:c>
      <x:c r="B693" s="339" t="str">
        <x:v>Screen</x:v>
      </x:c>
      <x:c r="C693" s="339" t="str">
        <x:v>SCR-231</x:v>
      </x:c>
      <x:c r="D693" s="339" t="str">
        <x:v>Visitor / Gate / Security</x:v>
      </x:c>
      <x:c r="E693" s="339" t="str">
        <x:v>Student Early Pickup / Gate Pass</x:v>
      </x:c>
      <x:c r="F693" s="339" t="str">
        <x:v>Visitor, Gate &amp; Security Control rule 2</x:v>
      </x:c>
      <x:c r="G693" s="339" t="str">
        <x:v>Student early pickup requires authorized guardian/approver verification.</x:v>
      </x:c>
      <x:c r="H693" s="339" t="str">
        <x:v>Enforced in service/domain layer and reflected in UI validation/action availability.</x:v>
      </x:c>
      <x:c r="I693" s="339" t="str">
        <x:v>Medium</x:v>
      </x:c>
      <x:c r="J693" s="339" t="str">
        <x:v>Only an explicitly configured authorized override may bypass a non-statutory rule; overrides require reason and audit.</x:v>
      </x:c>
    </x:row>
    <x:row r="694">
      <x:c r="A694" s="339" t="str">
        <x:v>BR-00693</x:v>
      </x:c>
      <x:c r="B694" s="339" t="str">
        <x:v>Screen Type</x:v>
      </x:c>
      <x:c r="C694" s="339" t="str">
        <x:v>SCR-231</x:v>
      </x:c>
      <x:c r="D694" s="339" t="str">
        <x:v>Visitor / Gate / Security</x:v>
      </x:c>
      <x:c r="E694" s="339" t="str">
        <x:v>Student Early Pickup / Gate Pass</x:v>
      </x:c>
      <x:c r="F694" s="339" t="str">
        <x:v>Workflow / Management integrity rule</x:v>
      </x:c>
      <x:c r="G694" s="339" t="str">
        <x:v>State transitions are explicit, role-controlled and auditable; invalid transitions are rejected.</x:v>
      </x:c>
      <x:c r="H694" s="339" t="str">
        <x:v>Domain/service validation plus UI affordances.</x:v>
      </x:c>
      <x:c r="I694" s="339" t="str">
        <x:v>High</x:v>
      </x:c>
      <x:c r="J694" s="339" t="str">
        <x:v>No silent bypass; approved overrides must be separately authorized and audited.</x:v>
      </x:c>
    </x:row>
    <x:row r="695">
      <x:c r="A695" s="339" t="str">
        <x:v>BR-00694</x:v>
      </x:c>
      <x:c r="B695" s="339" t="str">
        <x:v>Screen</x:v>
      </x:c>
      <x:c r="C695" s="339" t="str">
        <x:v>SCR-232</x:v>
      </x:c>
      <x:c r="D695" s="339" t="str">
        <x:v>Visitor / Gate / Security</x:v>
      </x:c>
      <x:c r="E695" s="339" t="str">
        <x:v>Staff &amp; Vehicle Gate Log</x:v>
      </x:c>
      <x:c r="F695" s="339" t="str">
        <x:v>Visitor, Gate &amp; Security Control rule 1</x:v>
      </x:c>
      <x:c r="G695" s="339" t="str">
        <x:v>Student early pickup requires authorized guardian/approver verification.</x:v>
      </x:c>
      <x:c r="H695" s="339" t="str">
        <x:v>Enforced in service/domain layer and reflected in UI validation/action availability.</x:v>
      </x:c>
      <x:c r="I695" s="339" t="str">
        <x:v>Medium</x:v>
      </x:c>
      <x:c r="J695" s="339" t="str">
        <x:v>Only an explicitly configured authorized override may bypass a non-statutory rule; overrides require reason and audit.</x:v>
      </x:c>
    </x:row>
    <x:row r="696">
      <x:c r="A696" s="339" t="str">
        <x:v>BR-00695</x:v>
      </x:c>
      <x:c r="B696" s="339" t="str">
        <x:v>Screen</x:v>
      </x:c>
      <x:c r="C696" s="339" t="str">
        <x:v>SCR-232</x:v>
      </x:c>
      <x:c r="D696" s="339" t="str">
        <x:v>Visitor / Gate / Security</x:v>
      </x:c>
      <x:c r="E696" s="339" t="str">
        <x:v>Staff &amp; Vehicle Gate Log</x:v>
      </x:c>
      <x:c r="F696" s="339" t="str">
        <x:v>Visitor, Gate &amp; Security Control rule 2</x:v>
      </x:c>
      <x:c r="G696" s="339" t="str">
        <x:v>Check-out cannot precede check-in and must close the active visit/pass.</x:v>
      </x:c>
      <x:c r="H696" s="339" t="str">
        <x:v>Enforced in service/domain layer and reflected in UI validation/action availability.</x:v>
      </x:c>
      <x:c r="I696" s="339" t="str">
        <x:v>Medium</x:v>
      </x:c>
      <x:c r="J696" s="339" t="str">
        <x:v>Only an explicitly configured authorized override may bypass a non-statutory rule; overrides require reason and audit.</x:v>
      </x:c>
    </x:row>
    <x:row r="697">
      <x:c r="A697" s="339" t="str">
        <x:v>BR-00696</x:v>
      </x:c>
      <x:c r="B697" s="339" t="str">
        <x:v>Screen Type</x:v>
      </x:c>
      <x:c r="C697" s="339" t="str">
        <x:v>SCR-232</x:v>
      </x:c>
      <x:c r="D697" s="339" t="str">
        <x:v>Visitor / Gate / Security</x:v>
      </x:c>
      <x:c r="E697" s="339" t="str">
        <x:v>Staff &amp; Vehicle Gate Log</x:v>
      </x:c>
      <x:c r="F697" s="339" t="str">
        <x:v>Workflow / Management integrity rule</x:v>
      </x:c>
      <x:c r="G697" s="339" t="str">
        <x:v>State transitions are explicit, role-controlled and auditable; invalid transitions are rejected.</x:v>
      </x:c>
      <x:c r="H697" s="339" t="str">
        <x:v>Domain/service validation plus UI affordances.</x:v>
      </x:c>
      <x:c r="I697" s="339" t="str">
        <x:v>High</x:v>
      </x:c>
      <x:c r="J697" s="339" t="str">
        <x:v>No silent bypass; approved overrides must be separately authorized and audited.</x:v>
      </x:c>
    </x:row>
    <x:row r="698">
      <x:c r="A698" s="339" t="str">
        <x:v>BR-00697</x:v>
      </x:c>
      <x:c r="B698" s="339" t="str">
        <x:v>Screen</x:v>
      </x:c>
      <x:c r="C698" s="339" t="str">
        <x:v>SCR-233</x:v>
      </x:c>
      <x:c r="D698" s="339" t="str">
        <x:v>Visitor / Gate / Security</x:v>
      </x:c>
      <x:c r="E698" s="339" t="str">
        <x:v>Security Incident Log</x:v>
      </x:c>
      <x:c r="F698" s="339" t="str">
        <x:v>Visitor, Gate &amp; Security Control rule 1</x:v>
      </x:c>
      <x:c r="G698" s="339" t="str">
        <x:v>Check-out cannot precede check-in and must close the active visit/pass.</x:v>
      </x:c>
      <x:c r="H698" s="339" t="str">
        <x:v>Enforced in service/domain layer and reflected in UI validation/action availability.</x:v>
      </x:c>
      <x:c r="I698" s="339" t="str">
        <x:v>Medium</x:v>
      </x:c>
      <x:c r="J698" s="339" t="str">
        <x:v>Only an explicitly configured authorized override may bypass a non-statutory rule; overrides require reason and audit.</x:v>
      </x:c>
    </x:row>
    <x:row r="699">
      <x:c r="A699" s="339" t="str">
        <x:v>BR-00698</x:v>
      </x:c>
      <x:c r="B699" s="339" t="str">
        <x:v>Screen</x:v>
      </x:c>
      <x:c r="C699" s="339" t="str">
        <x:v>SCR-233</x:v>
      </x:c>
      <x:c r="D699" s="339" t="str">
        <x:v>Visitor / Gate / Security</x:v>
      </x:c>
      <x:c r="E699" s="339" t="str">
        <x:v>Security Incident Log</x:v>
      </x:c>
      <x:c r="F699" s="339" t="str">
        <x:v>Visitor, Gate &amp; Security Control rule 2</x:v>
      </x:c>
      <x:c r="G699" s="339" t="str">
        <x:v>Gate/security events are append-only and retained for audit.</x:v>
      </x:c>
      <x:c r="H699" s="339" t="str">
        <x:v>Enforced in service/domain layer and reflected in UI validation/action availability.</x:v>
      </x:c>
      <x:c r="I699" s="339" t="str">
        <x:v>Medium</x:v>
      </x:c>
      <x:c r="J699" s="339" t="str">
        <x:v>Only an explicitly configured authorized override may bypass a non-statutory rule; overrides require reason and audit.</x:v>
      </x:c>
    </x:row>
    <x:row r="700">
      <x:c r="A700" s="339" t="str">
        <x:v>BR-00699</x:v>
      </x:c>
      <x:c r="B700" s="339" t="str">
        <x:v>Screen Type</x:v>
      </x:c>
      <x:c r="C700" s="339" t="str">
        <x:v>SCR-233</x:v>
      </x:c>
      <x:c r="D700" s="339" t="str">
        <x:v>Visitor / Gate / Security</x:v>
      </x:c>
      <x:c r="E700" s="339" t="str">
        <x:v>Security Incident Log</x:v>
      </x:c>
      <x:c r="F700" s="339" t="str">
        <x:v>Workflow / Management integrity rule</x:v>
      </x:c>
      <x:c r="G700" s="339" t="str">
        <x:v>State transitions are explicit, role-controlled and auditable; invalid transitions are rejected.</x:v>
      </x:c>
      <x:c r="H700" s="339" t="str">
        <x:v>Domain/service validation plus UI affordances.</x:v>
      </x:c>
      <x:c r="I700" s="339" t="str">
        <x:v>High</x:v>
      </x:c>
      <x:c r="J700" s="339" t="str">
        <x:v>No silent bypass; approved overrides must be separately authorized and audited.</x:v>
      </x:c>
    </x:row>
    <x:row r="701">
      <x:c r="A701" s="339" t="str">
        <x:v>BR-00700</x:v>
      </x:c>
      <x:c r="B701" s="339" t="str">
        <x:v>Screen</x:v>
      </x:c>
      <x:c r="C701" s="339" t="str">
        <x:v>SCR-234</x:v>
      </x:c>
      <x:c r="D701" s="339" t="str">
        <x:v>Inventory / Assets / Labs</x:v>
      </x:c>
      <x:c r="E701" s="339" t="str">
        <x:v>Inventory Dashboard</x:v>
      </x:c>
      <x:c r="F701" s="339" t="str">
        <x:v>Inventory, Assets &amp; Laboratory Operations rule 1</x:v>
      </x:c>
      <x:c r="G701" s="339" t="str">
        <x:v>Lab bookings cannot exceed resource availability or overlap conflicting reservations.</x:v>
      </x:c>
      <x:c r="H701" s="339" t="str">
        <x:v>Enforced in service/domain layer and reflected in UI validation/action availability.</x:v>
      </x:c>
      <x:c r="I701" s="339" t="str">
        <x:v>Medium</x:v>
      </x:c>
      <x:c r="J701" s="339" t="str">
        <x:v>Only an explicitly configured authorized override may bypass a non-statutory rule; overrides require reason and audit.</x:v>
      </x:c>
    </x:row>
    <x:row r="702">
      <x:c r="A702" s="339" t="str">
        <x:v>BR-00701</x:v>
      </x:c>
      <x:c r="B702" s="339" t="str">
        <x:v>Screen</x:v>
      </x:c>
      <x:c r="C702" s="339" t="str">
        <x:v>SCR-234</x:v>
      </x:c>
      <x:c r="D702" s="339" t="str">
        <x:v>Inventory / Assets / Labs</x:v>
      </x:c>
      <x:c r="E702" s="339" t="str">
        <x:v>Inventory Dashboard</x:v>
      </x:c>
      <x:c r="F702" s="339" t="str">
        <x:v>Inventory, Assets &amp; Laboratory Operations rule 2</x:v>
      </x:c>
      <x:c r="G702" s="339" t="str">
        <x:v>Available stock cannot fall below zero unless negative stock is explicitly allowed.</x:v>
      </x:c>
      <x:c r="H702" s="339" t="str">
        <x:v>Enforced in service/domain layer and reflected in UI validation/action availability.</x:v>
      </x:c>
      <x:c r="I702" s="339" t="str">
        <x:v>Medium</x:v>
      </x:c>
      <x:c r="J702" s="339" t="str">
        <x:v>Only an explicitly configured authorized override may bypass a non-statutory rule; overrides require reason and audit.</x:v>
      </x:c>
    </x:row>
    <x:row r="703">
      <x:c r="A703" s="339" t="str">
        <x:v>BR-00702</x:v>
      </x:c>
      <x:c r="B703" s="339" t="str">
        <x:v>Screen Type</x:v>
      </x:c>
      <x:c r="C703" s="339" t="str">
        <x:v>SCR-234</x:v>
      </x:c>
      <x:c r="D703" s="339" t="str">
        <x:v>Inventory / Assets / Labs</x:v>
      </x:c>
      <x:c r="E703" s="339" t="str">
        <x:v>Inventory Dashboard</x:v>
      </x:c>
      <x:c r="F703" s="339" t="str">
        <x:v>Dashboard integrity rule</x:v>
      </x:c>
      <x:c r="G703" s="339" t="str">
        <x:v>Displayed totals must reconcile to the same authorized source rows used by drill-down and reports.</x:v>
      </x:c>
      <x:c r="H703" s="339" t="str">
        <x:v>Domain/service validation plus UI affordances.</x:v>
      </x:c>
      <x:c r="I703" s="339" t="str">
        <x:v>High</x:v>
      </x:c>
      <x:c r="J703" s="339" t="str">
        <x:v>No silent bypass; approved overrides must be separately authorized and audited.</x:v>
      </x:c>
    </x:row>
    <x:row r="704">
      <x:c r="A704" s="339" t="str">
        <x:v>BR-00703</x:v>
      </x:c>
      <x:c r="B704" s="339" t="str">
        <x:v>Screen</x:v>
      </x:c>
      <x:c r="C704" s="339" t="str">
        <x:v>SCR-235</x:v>
      </x:c>
      <x:c r="D704" s="339" t="str">
        <x:v>Inventory / Assets / Labs</x:v>
      </x:c>
      <x:c r="E704" s="339" t="str">
        <x:v>Item Catalogue</x:v>
      </x:c>
      <x:c r="F704" s="339" t="str">
        <x:v>Inventory, Assets &amp; Laboratory Operations rule 1</x:v>
      </x:c>
      <x:c r="G704" s="339" t="str">
        <x:v>Available stock cannot fall below zero unless negative stock is explicitly allowed.</x:v>
      </x:c>
      <x:c r="H704" s="339" t="str">
        <x:v>Enforced in service/domain layer and reflected in UI validation/action availability.</x:v>
      </x:c>
      <x:c r="I704" s="339" t="str">
        <x:v>Medium</x:v>
      </x:c>
      <x:c r="J704" s="339" t="str">
        <x:v>Only an explicitly configured authorized override may bypass a non-statutory rule; overrides require reason and audit.</x:v>
      </x:c>
    </x:row>
    <x:row r="705">
      <x:c r="A705" s="339" t="str">
        <x:v>BR-00704</x:v>
      </x:c>
      <x:c r="B705" s="339" t="str">
        <x:v>Screen</x:v>
      </x:c>
      <x:c r="C705" s="339" t="str">
        <x:v>SCR-235</x:v>
      </x:c>
      <x:c r="D705" s="339" t="str">
        <x:v>Inventory / Assets / Labs</x:v>
      </x:c>
      <x:c r="E705" s="339" t="str">
        <x:v>Item Catalogue</x:v>
      </x:c>
      <x:c r="F705" s="339" t="str">
        <x:v>Inventory, Assets &amp; Laboratory Operations rule 2</x:v>
      </x:c>
      <x:c r="G705" s="339" t="str">
        <x:v>Serialized assets must have unique asset/serial identifiers.</x:v>
      </x:c>
      <x:c r="H705" s="339" t="str">
        <x:v>Enforced in service/domain layer and reflected in UI validation/action availability.</x:v>
      </x:c>
      <x:c r="I705" s="339" t="str">
        <x:v>Medium</x:v>
      </x:c>
      <x:c r="J705" s="339" t="str">
        <x:v>Only an explicitly configured authorized override may bypass a non-statutory rule; overrides require reason and audit.</x:v>
      </x:c>
    </x:row>
    <x:row r="706">
      <x:c r="A706" s="339" t="str">
        <x:v>BR-00705</x:v>
      </x:c>
      <x:c r="B706" s="339" t="str">
        <x:v>Screen Type</x:v>
      </x:c>
      <x:c r="C706" s="339" t="str">
        <x:v>SCR-235</x:v>
      </x:c>
      <x:c r="D706" s="339" t="str">
        <x:v>Inventory / Assets / Labs</x:v>
      </x:c>
      <x:c r="E706" s="339" t="str">
        <x:v>Item Catalogue</x:v>
      </x:c>
      <x:c r="F706" s="339" t="str">
        <x:v>List / Management integrity rule</x:v>
      </x:c>
      <x:c r="G706" s="339" t="str">
        <x:v>Search, filters, exports and row actions must preserve the same authorization scope.</x:v>
      </x:c>
      <x:c r="H706" s="339" t="str">
        <x:v>Domain/service validation plus UI affordances.</x:v>
      </x:c>
      <x:c r="I706" s="339" t="str">
        <x:v>High</x:v>
      </x:c>
      <x:c r="J706" s="339" t="str">
        <x:v>No silent bypass; approved overrides must be separately authorized and audited.</x:v>
      </x:c>
    </x:row>
    <x:row r="707">
      <x:c r="A707" s="339" t="str">
        <x:v>BR-00706</x:v>
      </x:c>
      <x:c r="B707" s="339" t="str">
        <x:v>Screen</x:v>
      </x:c>
      <x:c r="C707" s="339" t="str">
        <x:v>SCR-236</x:v>
      </x:c>
      <x:c r="D707" s="339" t="str">
        <x:v>Inventory / Assets / Labs</x:v>
      </x:c>
      <x:c r="E707" s="339" t="str">
        <x:v>Stock In / Purchase Receipt</x:v>
      </x:c>
      <x:c r="F707" s="339" t="str">
        <x:v>Inventory, Assets &amp; Laboratory Operations rule 1</x:v>
      </x:c>
      <x:c r="G707" s="339" t="str">
        <x:v>Serialized assets must have unique asset/serial identifiers.</x:v>
      </x:c>
      <x:c r="H707" s="339" t="str">
        <x:v>Enforced in service/domain layer and reflected in UI validation/action availability.</x:v>
      </x:c>
      <x:c r="I707" s="339" t="str">
        <x:v>Medium</x:v>
      </x:c>
      <x:c r="J707" s="339" t="str">
        <x:v>Only an explicitly configured authorized override may bypass a non-statutory rule; overrides require reason and audit.</x:v>
      </x:c>
    </x:row>
    <x:row r="708">
      <x:c r="A708" s="339" t="str">
        <x:v>BR-00707</x:v>
      </x:c>
      <x:c r="B708" s="339" t="str">
        <x:v>Screen</x:v>
      </x:c>
      <x:c r="C708" s="339" t="str">
        <x:v>SCR-236</x:v>
      </x:c>
      <x:c r="D708" s="339" t="str">
        <x:v>Inventory / Assets / Labs</x:v>
      </x:c>
      <x:c r="E708" s="339" t="str">
        <x:v>Stock In / Purchase Receipt</x:v>
      </x:c>
      <x:c r="F708" s="339" t="str">
        <x:v>Inventory, Assets &amp; Laboratory Operations rule 2</x:v>
      </x:c>
      <x:c r="G708" s="339" t="str">
        <x:v>Asset transfer/assignment preserves custody history and current location.</x:v>
      </x:c>
      <x:c r="H708" s="339" t="str">
        <x:v>Enforced in service/domain layer and reflected in UI validation/action availability.</x:v>
      </x:c>
      <x:c r="I708" s="339" t="str">
        <x:v>Medium</x:v>
      </x:c>
      <x:c r="J708" s="339" t="str">
        <x:v>Only an explicitly configured authorized override may bypass a non-statutory rule; overrides require reason and audit.</x:v>
      </x:c>
    </x:row>
    <x:row r="709">
      <x:c r="A709" s="339" t="str">
        <x:v>BR-00708</x:v>
      </x:c>
      <x:c r="B709" s="339" t="str">
        <x:v>Screen Type</x:v>
      </x:c>
      <x:c r="C709" s="339" t="str">
        <x:v>SCR-236</x:v>
      </x:c>
      <x:c r="D709" s="339" t="str">
        <x:v>Inventory / Assets / Labs</x:v>
      </x:c>
      <x:c r="E709" s="339" t="str">
        <x:v>Stock In / Purchase Receipt</x:v>
      </x:c>
      <x:c r="F709" s="339" t="str">
        <x:v>Detail / Profile integrity rule</x:v>
      </x:c>
      <x:c r="G709" s="339" t="str">
        <x:v>Concurrent updates must not silently overwrite newer data; material edits are audited.</x:v>
      </x:c>
      <x:c r="H709" s="339" t="str">
        <x:v>Domain/service validation plus UI affordances.</x:v>
      </x:c>
      <x:c r="I709" s="339" t="str">
        <x:v>High</x:v>
      </x:c>
      <x:c r="J709" s="339" t="str">
        <x:v>No silent bypass; approved overrides must be separately authorized and audited.</x:v>
      </x:c>
    </x:row>
    <x:row r="710">
      <x:c r="A710" s="339" t="str">
        <x:v>BR-00709</x:v>
      </x:c>
      <x:c r="B710" s="339" t="str">
        <x:v>Screen</x:v>
      </x:c>
      <x:c r="C710" s="339" t="str">
        <x:v>SCR-237</x:v>
      </x:c>
      <x:c r="D710" s="339" t="str">
        <x:v>Inventory / Assets / Labs</x:v>
      </x:c>
      <x:c r="E710" s="339" t="str">
        <x:v>Stock Issue / Return</x:v>
      </x:c>
      <x:c r="F710" s="339" t="str">
        <x:v>Inventory, Assets &amp; Laboratory Operations rule 1</x:v>
      </x:c>
      <x:c r="G710" s="339" t="str">
        <x:v>Asset transfer/assignment preserves custody history and current location.</x:v>
      </x:c>
      <x:c r="H710" s="339" t="str">
        <x:v>Enforced in service/domain layer and reflected in UI validation/action availability.</x:v>
      </x:c>
      <x:c r="I710" s="339" t="str">
        <x:v>Medium</x:v>
      </x:c>
      <x:c r="J710" s="339" t="str">
        <x:v>Only an explicitly configured authorized override may bypass a non-statutory rule; overrides require reason and audit.</x:v>
      </x:c>
    </x:row>
    <x:row r="711">
      <x:c r="A711" s="339" t="str">
        <x:v>BR-00710</x:v>
      </x:c>
      <x:c r="B711" s="339" t="str">
        <x:v>Screen</x:v>
      </x:c>
      <x:c r="C711" s="339" t="str">
        <x:v>SCR-237</x:v>
      </x:c>
      <x:c r="D711" s="339" t="str">
        <x:v>Inventory / Assets / Labs</x:v>
      </x:c>
      <x:c r="E711" s="339" t="str">
        <x:v>Stock Issue / Return</x:v>
      </x:c>
      <x:c r="F711" s="339" t="str">
        <x:v>Inventory, Assets &amp; Laboratory Operations rule 2</x:v>
      </x:c>
      <x:c r="G711" s="339" t="str">
        <x:v>Stock write-offs, disposals and high-value transfers require configured authorization.</x:v>
      </x:c>
      <x:c r="H711" s="339" t="str">
        <x:v>Enforced in service/domain layer and reflected in UI validation/action availability.</x:v>
      </x:c>
      <x:c r="I711" s="339" t="str">
        <x:v>Medium</x:v>
      </x:c>
      <x:c r="J711" s="339" t="str">
        <x:v>Only an explicitly configured authorized override may bypass a non-statutory rule; overrides require reason and audit.</x:v>
      </x:c>
    </x:row>
    <x:row r="712">
      <x:c r="A712" s="339" t="str">
        <x:v>BR-00711</x:v>
      </x:c>
      <x:c r="B712" s="339" t="str">
        <x:v>Screen Type</x:v>
      </x:c>
      <x:c r="C712" s="339" t="str">
        <x:v>SCR-237</x:v>
      </x:c>
      <x:c r="D712" s="339" t="str">
        <x:v>Inventory / Assets / Labs</x:v>
      </x:c>
      <x:c r="E712" s="339" t="str">
        <x:v>Stock Issue / Return</x:v>
      </x:c>
      <x:c r="F712" s="339" t="str">
        <x:v>Workflow / Management integrity rule</x:v>
      </x:c>
      <x:c r="G712" s="339" t="str">
        <x:v>State transitions are explicit, role-controlled and auditable; invalid transitions are rejected.</x:v>
      </x:c>
      <x:c r="H712" s="339" t="str">
        <x:v>Domain/service validation plus UI affordances.</x:v>
      </x:c>
      <x:c r="I712" s="339" t="str">
        <x:v>High</x:v>
      </x:c>
      <x:c r="J712" s="339" t="str">
        <x:v>No silent bypass; approved overrides must be separately authorized and audited.</x:v>
      </x:c>
    </x:row>
    <x:row r="713">
      <x:c r="A713" s="339" t="str">
        <x:v>BR-00712</x:v>
      </x:c>
      <x:c r="B713" s="339" t="str">
        <x:v>Screen</x:v>
      </x:c>
      <x:c r="C713" s="339" t="str">
        <x:v>SCR-238</x:v>
      </x:c>
      <x:c r="D713" s="339" t="str">
        <x:v>Inventory / Assets / Labs</x:v>
      </x:c>
      <x:c r="E713" s="339" t="str">
        <x:v>Supplier Management</x:v>
      </x:c>
      <x:c r="F713" s="339" t="str">
        <x:v>Inventory, Assets &amp; Laboratory Operations rule 1</x:v>
      </x:c>
      <x:c r="G713" s="339" t="str">
        <x:v>Stock write-offs, disposals and high-value transfers require configured authorization.</x:v>
      </x:c>
      <x:c r="H713" s="339" t="str">
        <x:v>Enforced in service/domain layer and reflected in UI validation/action availability.</x:v>
      </x:c>
      <x:c r="I713" s="339" t="str">
        <x:v>Medium</x:v>
      </x:c>
      <x:c r="J713" s="339" t="str">
        <x:v>Only an explicitly configured authorized override may bypass a non-statutory rule; overrides require reason and audit.</x:v>
      </x:c>
    </x:row>
    <x:row r="714">
      <x:c r="A714" s="339" t="str">
        <x:v>BR-00713</x:v>
      </x:c>
      <x:c r="B714" s="339" t="str">
        <x:v>Screen</x:v>
      </x:c>
      <x:c r="C714" s="339" t="str">
        <x:v>SCR-238</x:v>
      </x:c>
      <x:c r="D714" s="339" t="str">
        <x:v>Inventory / Assets / Labs</x:v>
      </x:c>
      <x:c r="E714" s="339" t="str">
        <x:v>Supplier Management</x:v>
      </x:c>
      <x:c r="F714" s="339" t="str">
        <x:v>Inventory, Assets &amp; Laboratory Operations rule 2</x:v>
      </x:c>
      <x:c r="G714" s="339" t="str">
        <x:v>Lab bookings cannot exceed resource availability or overlap conflicting reservations.</x:v>
      </x:c>
      <x:c r="H714" s="339" t="str">
        <x:v>Enforced in service/domain layer and reflected in UI validation/action availability.</x:v>
      </x:c>
      <x:c r="I714" s="339" t="str">
        <x:v>Medium</x:v>
      </x:c>
      <x:c r="J714" s="339" t="str">
        <x:v>Only an explicitly configured authorized override may bypass a non-statutory rule; overrides require reason and audit.</x:v>
      </x:c>
    </x:row>
    <x:row r="715">
      <x:c r="A715" s="339" t="str">
        <x:v>BR-00714</x:v>
      </x:c>
      <x:c r="B715" s="339" t="str">
        <x:v>Screen Type</x:v>
      </x:c>
      <x:c r="C715" s="339" t="str">
        <x:v>SCR-238</x:v>
      </x:c>
      <x:c r="D715" s="339" t="str">
        <x:v>Inventory / Assets / Labs</x:v>
      </x:c>
      <x:c r="E715" s="339" t="str">
        <x:v>Supplier Management</x:v>
      </x:c>
      <x:c r="F715" s="339" t="str">
        <x:v>Workflow / Management integrity rule</x:v>
      </x:c>
      <x:c r="G715" s="339" t="str">
        <x:v>State transitions are explicit, role-controlled and auditable; invalid transitions are rejected.</x:v>
      </x:c>
      <x:c r="H715" s="339" t="str">
        <x:v>Domain/service validation plus UI affordances.</x:v>
      </x:c>
      <x:c r="I715" s="339" t="str">
        <x:v>High</x:v>
      </x:c>
      <x:c r="J715" s="339" t="str">
        <x:v>No silent bypass; approved overrides must be separately authorized and audited.</x:v>
      </x:c>
    </x:row>
    <x:row r="716">
      <x:c r="A716" s="339" t="str">
        <x:v>BR-00715</x:v>
      </x:c>
      <x:c r="B716" s="339" t="str">
        <x:v>Screen</x:v>
      </x:c>
      <x:c r="C716" s="339" t="str">
        <x:v>SCR-239</x:v>
      </x:c>
      <x:c r="D716" s="339" t="str">
        <x:v>Inventory / Assets / Labs</x:v>
      </x:c>
      <x:c r="E716" s="339" t="str">
        <x:v>Asset Register</x:v>
      </x:c>
      <x:c r="F716" s="339" t="str">
        <x:v>Inventory, Assets &amp; Laboratory Operations rule 1</x:v>
      </x:c>
      <x:c r="G716" s="339" t="str">
        <x:v>Lab bookings cannot exceed resource availability or overlap conflicting reservations.</x:v>
      </x:c>
      <x:c r="H716" s="339" t="str">
        <x:v>Enforced in service/domain layer and reflected in UI validation/action availability.</x:v>
      </x:c>
      <x:c r="I716" s="339" t="str">
        <x:v>Medium</x:v>
      </x:c>
      <x:c r="J716" s="339" t="str">
        <x:v>Only an explicitly configured authorized override may bypass a non-statutory rule; overrides require reason and audit.</x:v>
      </x:c>
    </x:row>
    <x:row r="717">
      <x:c r="A717" s="339" t="str">
        <x:v>BR-00716</x:v>
      </x:c>
      <x:c r="B717" s="339" t="str">
        <x:v>Screen</x:v>
      </x:c>
      <x:c r="C717" s="339" t="str">
        <x:v>SCR-239</x:v>
      </x:c>
      <x:c r="D717" s="339" t="str">
        <x:v>Inventory / Assets / Labs</x:v>
      </x:c>
      <x:c r="E717" s="339" t="str">
        <x:v>Asset Register</x:v>
      </x:c>
      <x:c r="F717" s="339" t="str">
        <x:v>Inventory, Assets &amp; Laboratory Operations rule 2</x:v>
      </x:c>
      <x:c r="G717" s="339" t="str">
        <x:v>Available stock cannot fall below zero unless negative stock is explicitly allowed.</x:v>
      </x:c>
      <x:c r="H717" s="339" t="str">
        <x:v>Enforced in service/domain layer and reflected in UI validation/action availability.</x:v>
      </x:c>
      <x:c r="I717" s="339" t="str">
        <x:v>Medium</x:v>
      </x:c>
      <x:c r="J717" s="339" t="str">
        <x:v>Only an explicitly configured authorized override may bypass a non-statutory rule; overrides require reason and audit.</x:v>
      </x:c>
    </x:row>
    <x:row r="718">
      <x:c r="A718" s="339" t="str">
        <x:v>BR-00717</x:v>
      </x:c>
      <x:c r="B718" s="339" t="str">
        <x:v>Screen Type</x:v>
      </x:c>
      <x:c r="C718" s="339" t="str">
        <x:v>SCR-239</x:v>
      </x:c>
      <x:c r="D718" s="339" t="str">
        <x:v>Inventory / Assets / Labs</x:v>
      </x:c>
      <x:c r="E718" s="339" t="str">
        <x:v>Asset Register</x:v>
      </x:c>
      <x:c r="F718" s="339" t="str">
        <x:v>Detail / Profile integrity rule</x:v>
      </x:c>
      <x:c r="G718" s="339" t="str">
        <x:v>Concurrent updates must not silently overwrite newer data; material edits are audited.</x:v>
      </x:c>
      <x:c r="H718" s="339" t="str">
        <x:v>Domain/service validation plus UI affordances.</x:v>
      </x:c>
      <x:c r="I718" s="339" t="str">
        <x:v>High</x:v>
      </x:c>
      <x:c r="J718" s="339" t="str">
        <x:v>No silent bypass; approved overrides must be separately authorized and audited.</x:v>
      </x:c>
    </x:row>
    <x:row r="719">
      <x:c r="A719" s="339" t="str">
        <x:v>BR-00718</x:v>
      </x:c>
      <x:c r="B719" s="339" t="str">
        <x:v>Screen</x:v>
      </x:c>
      <x:c r="C719" s="339" t="str">
        <x:v>SCR-240</x:v>
      </x:c>
      <x:c r="D719" s="339" t="str">
        <x:v>Inventory / Assets / Labs</x:v>
      </x:c>
      <x:c r="E719" s="339" t="str">
        <x:v>Asset Assignment / Transfer</x:v>
      </x:c>
      <x:c r="F719" s="339" t="str">
        <x:v>Inventory, Assets &amp; Laboratory Operations rule 1</x:v>
      </x:c>
      <x:c r="G719" s="339" t="str">
        <x:v>Available stock cannot fall below zero unless negative stock is explicitly allowed.</x:v>
      </x:c>
      <x:c r="H719" s="339" t="str">
        <x:v>Enforced in service/domain layer and reflected in UI validation/action availability.</x:v>
      </x:c>
      <x:c r="I719" s="339" t="str">
        <x:v>Medium</x:v>
      </x:c>
      <x:c r="J719" s="339" t="str">
        <x:v>Only an explicitly configured authorized override may bypass a non-statutory rule; overrides require reason and audit.</x:v>
      </x:c>
    </x:row>
    <x:row r="720">
      <x:c r="A720" s="339" t="str">
        <x:v>BR-00719</x:v>
      </x:c>
      <x:c r="B720" s="339" t="str">
        <x:v>Screen</x:v>
      </x:c>
      <x:c r="C720" s="339" t="str">
        <x:v>SCR-240</x:v>
      </x:c>
      <x:c r="D720" s="339" t="str">
        <x:v>Inventory / Assets / Labs</x:v>
      </x:c>
      <x:c r="E720" s="339" t="str">
        <x:v>Asset Assignment / Transfer</x:v>
      </x:c>
      <x:c r="F720" s="339" t="str">
        <x:v>Inventory, Assets &amp; Laboratory Operations rule 2</x:v>
      </x:c>
      <x:c r="G720" s="339" t="str">
        <x:v>Serialized assets must have unique asset/serial identifiers.</x:v>
      </x:c>
      <x:c r="H720" s="339" t="str">
        <x:v>Enforced in service/domain layer and reflected in UI validation/action availability.</x:v>
      </x:c>
      <x:c r="I720" s="339" t="str">
        <x:v>Medium</x:v>
      </x:c>
      <x:c r="J720" s="339" t="str">
        <x:v>Only an explicitly configured authorized override may bypass a non-statutory rule; overrides require reason and audit.</x:v>
      </x:c>
    </x:row>
    <x:row r="721">
      <x:c r="A721" s="339" t="str">
        <x:v>BR-00720</x:v>
      </x:c>
      <x:c r="B721" s="339" t="str">
        <x:v>Screen Type</x:v>
      </x:c>
      <x:c r="C721" s="339" t="str">
        <x:v>SCR-240</x:v>
      </x:c>
      <x:c r="D721" s="339" t="str">
        <x:v>Inventory / Assets / Labs</x:v>
      </x:c>
      <x:c r="E721" s="339" t="str">
        <x:v>Asset Assignment / Transfer</x:v>
      </x:c>
      <x:c r="F721" s="339" t="str">
        <x:v>Workflow / Management integrity rule</x:v>
      </x:c>
      <x:c r="G721" s="339" t="str">
        <x:v>State transitions are explicit, role-controlled and auditable; invalid transitions are rejected.</x:v>
      </x:c>
      <x:c r="H721" s="339" t="str">
        <x:v>Domain/service validation plus UI affordances.</x:v>
      </x:c>
      <x:c r="I721" s="339" t="str">
        <x:v>High</x:v>
      </x:c>
      <x:c r="J721" s="339" t="str">
        <x:v>No silent bypass; approved overrides must be separately authorized and audited.</x:v>
      </x:c>
    </x:row>
    <x:row r="722">
      <x:c r="A722" s="339" t="str">
        <x:v>BR-00721</x:v>
      </x:c>
      <x:c r="B722" s="339" t="str">
        <x:v>Screen</x:v>
      </x:c>
      <x:c r="C722" s="339" t="str">
        <x:v>SCR-241</x:v>
      </x:c>
      <x:c r="D722" s="339" t="str">
        <x:v>Inventory / Assets / Labs</x:v>
      </x:c>
      <x:c r="E722" s="339" t="str">
        <x:v>Asset Maintenance</x:v>
      </x:c>
      <x:c r="F722" s="339" t="str">
        <x:v>Inventory, Assets &amp; Laboratory Operations rule 1</x:v>
      </x:c>
      <x:c r="G722" s="339" t="str">
        <x:v>Serialized assets must have unique asset/serial identifiers.</x:v>
      </x:c>
      <x:c r="H722" s="339" t="str">
        <x:v>Enforced in service/domain layer and reflected in UI validation/action availability.</x:v>
      </x:c>
      <x:c r="I722" s="339" t="str">
        <x:v>Medium</x:v>
      </x:c>
      <x:c r="J722" s="339" t="str">
        <x:v>Only an explicitly configured authorized override may bypass a non-statutory rule; overrides require reason and audit.</x:v>
      </x:c>
    </x:row>
    <x:row r="723">
      <x:c r="A723" s="339" t="str">
        <x:v>BR-00722</x:v>
      </x:c>
      <x:c r="B723" s="339" t="str">
        <x:v>Screen</x:v>
      </x:c>
      <x:c r="C723" s="339" t="str">
        <x:v>SCR-241</x:v>
      </x:c>
      <x:c r="D723" s="339" t="str">
        <x:v>Inventory / Assets / Labs</x:v>
      </x:c>
      <x:c r="E723" s="339" t="str">
        <x:v>Asset Maintenance</x:v>
      </x:c>
      <x:c r="F723" s="339" t="str">
        <x:v>Inventory, Assets &amp; Laboratory Operations rule 2</x:v>
      </x:c>
      <x:c r="G723" s="339" t="str">
        <x:v>Asset transfer/assignment preserves custody history and current location.</x:v>
      </x:c>
      <x:c r="H723" s="339" t="str">
        <x:v>Enforced in service/domain layer and reflected in UI validation/action availability.</x:v>
      </x:c>
      <x:c r="I723" s="339" t="str">
        <x:v>Medium</x:v>
      </x:c>
      <x:c r="J723" s="339" t="str">
        <x:v>Only an explicitly configured authorized override may bypass a non-statutory rule; overrides require reason and audit.</x:v>
      </x:c>
    </x:row>
    <x:row r="724">
      <x:c r="A724" s="339" t="str">
        <x:v>BR-00723</x:v>
      </x:c>
      <x:c r="B724" s="339" t="str">
        <x:v>Screen Type</x:v>
      </x:c>
      <x:c r="C724" s="339" t="str">
        <x:v>SCR-241</x:v>
      </x:c>
      <x:c r="D724" s="339" t="str">
        <x:v>Inventory / Assets / Labs</x:v>
      </x:c>
      <x:c r="E724" s="339" t="str">
        <x:v>Asset Maintenance</x:v>
      </x:c>
      <x:c r="F724" s="339" t="str">
        <x:v>Workflow / Management integrity rule</x:v>
      </x:c>
      <x:c r="G724" s="339" t="str">
        <x:v>State transitions are explicit, role-controlled and auditable; invalid transitions are rejected.</x:v>
      </x:c>
      <x:c r="H724" s="339" t="str">
        <x:v>Domain/service validation plus UI affordances.</x:v>
      </x:c>
      <x:c r="I724" s="339" t="str">
        <x:v>High</x:v>
      </x:c>
      <x:c r="J724" s="339" t="str">
        <x:v>No silent bypass; approved overrides must be separately authorized and audited.</x:v>
      </x:c>
    </x:row>
    <x:row r="725">
      <x:c r="A725" s="339" t="str">
        <x:v>BR-00724</x:v>
      </x:c>
      <x:c r="B725" s="339" t="str">
        <x:v>Screen</x:v>
      </x:c>
      <x:c r="C725" s="339" t="str">
        <x:v>SCR-242</x:v>
      </x:c>
      <x:c r="D725" s="339" t="str">
        <x:v>Inventory / Assets / Labs</x:v>
      </x:c>
      <x:c r="E725" s="339" t="str">
        <x:v>Lab Register</x:v>
      </x:c>
      <x:c r="F725" s="339" t="str">
        <x:v>Inventory, Assets &amp; Laboratory Operations rule 1</x:v>
      </x:c>
      <x:c r="G725" s="339" t="str">
        <x:v>Asset transfer/assignment preserves custody history and current location.</x:v>
      </x:c>
      <x:c r="H725" s="339" t="str">
        <x:v>Enforced in service/domain layer and reflected in UI validation/action availability.</x:v>
      </x:c>
      <x:c r="I725" s="339" t="str">
        <x:v>Medium</x:v>
      </x:c>
      <x:c r="J725" s="339" t="str">
        <x:v>Only an explicitly configured authorized override may bypass a non-statutory rule; overrides require reason and audit.</x:v>
      </x:c>
    </x:row>
    <x:row r="726">
      <x:c r="A726" s="339" t="str">
        <x:v>BR-00725</x:v>
      </x:c>
      <x:c r="B726" s="339" t="str">
        <x:v>Screen</x:v>
      </x:c>
      <x:c r="C726" s="339" t="str">
        <x:v>SCR-242</x:v>
      </x:c>
      <x:c r="D726" s="339" t="str">
        <x:v>Inventory / Assets / Labs</x:v>
      </x:c>
      <x:c r="E726" s="339" t="str">
        <x:v>Lab Register</x:v>
      </x:c>
      <x:c r="F726" s="339" t="str">
        <x:v>Inventory, Assets &amp; Laboratory Operations rule 2</x:v>
      </x:c>
      <x:c r="G726" s="339" t="str">
        <x:v>Stock write-offs, disposals and high-value transfers require configured authorization.</x:v>
      </x:c>
      <x:c r="H726" s="339" t="str">
        <x:v>Enforced in service/domain layer and reflected in UI validation/action availability.</x:v>
      </x:c>
      <x:c r="I726" s="339" t="str">
        <x:v>Medium</x:v>
      </x:c>
      <x:c r="J726" s="339" t="str">
        <x:v>Only an explicitly configured authorized override may bypass a non-statutory rule; overrides require reason and audit.</x:v>
      </x:c>
    </x:row>
    <x:row r="727">
      <x:c r="A727" s="339" t="str">
        <x:v>BR-00726</x:v>
      </x:c>
      <x:c r="B727" s="339" t="str">
        <x:v>Screen Type</x:v>
      </x:c>
      <x:c r="C727" s="339" t="str">
        <x:v>SCR-242</x:v>
      </x:c>
      <x:c r="D727" s="339" t="str">
        <x:v>Inventory / Assets / Labs</x:v>
      </x:c>
      <x:c r="E727" s="339" t="str">
        <x:v>Lab Register</x:v>
      </x:c>
      <x:c r="F727" s="339" t="str">
        <x:v>Detail / Profile integrity rule</x:v>
      </x:c>
      <x:c r="G727" s="339" t="str">
        <x:v>Concurrent updates must not silently overwrite newer data; material edits are audited.</x:v>
      </x:c>
      <x:c r="H727" s="339" t="str">
        <x:v>Domain/service validation plus UI affordances.</x:v>
      </x:c>
      <x:c r="I727" s="339" t="str">
        <x:v>High</x:v>
      </x:c>
      <x:c r="J727" s="339" t="str">
        <x:v>No silent bypass; approved overrides must be separately authorized and audited.</x:v>
      </x:c>
    </x:row>
    <x:row r="728">
      <x:c r="A728" s="339" t="str">
        <x:v>BR-00727</x:v>
      </x:c>
      <x:c r="B728" s="339" t="str">
        <x:v>Screen</x:v>
      </x:c>
      <x:c r="C728" s="339" t="str">
        <x:v>SCR-243</x:v>
      </x:c>
      <x:c r="D728" s="339" t="str">
        <x:v>Inventory / Assets / Labs</x:v>
      </x:c>
      <x:c r="E728" s="339" t="str">
        <x:v>Lab Equipment &amp; Consumables</x:v>
      </x:c>
      <x:c r="F728" s="339" t="str">
        <x:v>Inventory, Assets &amp; Laboratory Operations rule 1</x:v>
      </x:c>
      <x:c r="G728" s="339" t="str">
        <x:v>Stock write-offs, disposals and high-value transfers require configured authorization.</x:v>
      </x:c>
      <x:c r="H728" s="339" t="str">
        <x:v>Enforced in service/domain layer and reflected in UI validation/action availability.</x:v>
      </x:c>
      <x:c r="I728" s="339" t="str">
        <x:v>Medium</x:v>
      </x:c>
      <x:c r="J728" s="339" t="str">
        <x:v>Only an explicitly configured authorized override may bypass a non-statutory rule; overrides require reason and audit.</x:v>
      </x:c>
    </x:row>
    <x:row r="729">
      <x:c r="A729" s="339" t="str">
        <x:v>BR-00728</x:v>
      </x:c>
      <x:c r="B729" s="339" t="str">
        <x:v>Screen</x:v>
      </x:c>
      <x:c r="C729" s="339" t="str">
        <x:v>SCR-243</x:v>
      </x:c>
      <x:c r="D729" s="339" t="str">
        <x:v>Inventory / Assets / Labs</x:v>
      </x:c>
      <x:c r="E729" s="339" t="str">
        <x:v>Lab Equipment &amp; Consumables</x:v>
      </x:c>
      <x:c r="F729" s="339" t="str">
        <x:v>Inventory, Assets &amp; Laboratory Operations rule 2</x:v>
      </x:c>
      <x:c r="G729" s="339" t="str">
        <x:v>Lab bookings cannot exceed resource availability or overlap conflicting reservations.</x:v>
      </x:c>
      <x:c r="H729" s="339" t="str">
        <x:v>Enforced in service/domain layer and reflected in UI validation/action availability.</x:v>
      </x:c>
      <x:c r="I729" s="339" t="str">
        <x:v>Medium</x:v>
      </x:c>
      <x:c r="J729" s="339" t="str">
        <x:v>Only an explicitly configured authorized override may bypass a non-statutory rule; overrides require reason and audit.</x:v>
      </x:c>
    </x:row>
    <x:row r="730">
      <x:c r="A730" s="339" t="str">
        <x:v>BR-00729</x:v>
      </x:c>
      <x:c r="B730" s="339" t="str">
        <x:v>Screen Type</x:v>
      </x:c>
      <x:c r="C730" s="339" t="str">
        <x:v>SCR-243</x:v>
      </x:c>
      <x:c r="D730" s="339" t="str">
        <x:v>Inventory / Assets / Labs</x:v>
      </x:c>
      <x:c r="E730" s="339" t="str">
        <x:v>Lab Equipment &amp; Consumables</x:v>
      </x:c>
      <x:c r="F730" s="339" t="str">
        <x:v>Workflow / Management integrity rule</x:v>
      </x:c>
      <x:c r="G730" s="339" t="str">
        <x:v>State transitions are explicit, role-controlled and auditable; invalid transitions are rejected.</x:v>
      </x:c>
      <x:c r="H730" s="339" t="str">
        <x:v>Domain/service validation plus UI affordances.</x:v>
      </x:c>
      <x:c r="I730" s="339" t="str">
        <x:v>High</x:v>
      </x:c>
      <x:c r="J730" s="339" t="str">
        <x:v>No silent bypass; approved overrides must be separately authorized and audited.</x:v>
      </x:c>
    </x:row>
    <x:row r="731">
      <x:c r="A731" s="339" t="str">
        <x:v>BR-00730</x:v>
      </x:c>
      <x:c r="B731" s="339" t="str">
        <x:v>Screen</x:v>
      </x:c>
      <x:c r="C731" s="339" t="str">
        <x:v>SCR-244</x:v>
      </x:c>
      <x:c r="D731" s="339" t="str">
        <x:v>Inventory / Assets / Labs</x:v>
      </x:c>
      <x:c r="E731" s="339" t="str">
        <x:v>Practical / Lab Booking</x:v>
      </x:c>
      <x:c r="F731" s="339" t="str">
        <x:v>Inventory, Assets &amp; Laboratory Operations rule 1</x:v>
      </x:c>
      <x:c r="G731" s="339" t="str">
        <x:v>Lab bookings cannot exceed resource availability or overlap conflicting reservations.</x:v>
      </x:c>
      <x:c r="H731" s="339" t="str">
        <x:v>Enforced in service/domain layer and reflected in UI validation/action availability.</x:v>
      </x:c>
      <x:c r="I731" s="339" t="str">
        <x:v>Medium</x:v>
      </x:c>
      <x:c r="J731" s="339" t="str">
        <x:v>Only an explicitly configured authorized override may bypass a non-statutory rule; overrides require reason and audit.</x:v>
      </x:c>
    </x:row>
    <x:row r="732">
      <x:c r="A732" s="339" t="str">
        <x:v>BR-00731</x:v>
      </x:c>
      <x:c r="B732" s="339" t="str">
        <x:v>Screen</x:v>
      </x:c>
      <x:c r="C732" s="339" t="str">
        <x:v>SCR-244</x:v>
      </x:c>
      <x:c r="D732" s="339" t="str">
        <x:v>Inventory / Assets / Labs</x:v>
      </x:c>
      <x:c r="E732" s="339" t="str">
        <x:v>Practical / Lab Booking</x:v>
      </x:c>
      <x:c r="F732" s="339" t="str">
        <x:v>Inventory, Assets &amp; Laboratory Operations rule 2</x:v>
      </x:c>
      <x:c r="G732" s="339" t="str">
        <x:v>Available stock cannot fall below zero unless negative stock is explicitly allowed.</x:v>
      </x:c>
      <x:c r="H732" s="339" t="str">
        <x:v>Enforced in service/domain layer and reflected in UI validation/action availability.</x:v>
      </x:c>
      <x:c r="I732" s="339" t="str">
        <x:v>Medium</x:v>
      </x:c>
      <x:c r="J732" s="339" t="str">
        <x:v>Only an explicitly configured authorized override may bypass a non-statutory rule; overrides require reason and audit.</x:v>
      </x:c>
    </x:row>
    <x:row r="733">
      <x:c r="A733" s="339" t="str">
        <x:v>BR-00732</x:v>
      </x:c>
      <x:c r="B733" s="339" t="str">
        <x:v>Screen Type</x:v>
      </x:c>
      <x:c r="C733" s="339" t="str">
        <x:v>SCR-244</x:v>
      </x:c>
      <x:c r="D733" s="339" t="str">
        <x:v>Inventory / Assets / Labs</x:v>
      </x:c>
      <x:c r="E733" s="339" t="str">
        <x:v>Practical / Lab Booking</x:v>
      </x:c>
      <x:c r="F733" s="339" t="str">
        <x:v>Workflow / Management integrity rule</x:v>
      </x:c>
      <x:c r="G733" s="339" t="str">
        <x:v>State transitions are explicit, role-controlled and auditable; invalid transitions are rejected.</x:v>
      </x:c>
      <x:c r="H733" s="339" t="str">
        <x:v>Domain/service validation plus UI affordances.</x:v>
      </x:c>
      <x:c r="I733" s="339" t="str">
        <x:v>High</x:v>
      </x:c>
      <x:c r="J733" s="339" t="str">
        <x:v>No silent bypass; approved overrides must be separately authorized and audited.</x:v>
      </x:c>
    </x:row>
    <x:row r="734">
      <x:c r="A734" s="339" t="str">
        <x:v>BR-00733</x:v>
      </x:c>
      <x:c r="B734" s="339" t="str">
        <x:v>Screen</x:v>
      </x:c>
      <x:c r="C734" s="339" t="str">
        <x:v>SCR-245</x:v>
      </x:c>
      <x:c r="D734" s="339" t="str">
        <x:v>Inventory / Assets / Labs</x:v>
      </x:c>
      <x:c r="E734" s="339" t="str">
        <x:v>Stock &amp; Asset Reports</x:v>
      </x:c>
      <x:c r="F734" s="339" t="str">
        <x:v>Inventory, Assets &amp; Laboratory Operations rule 1</x:v>
      </x:c>
      <x:c r="G734" s="339" t="str">
        <x:v>Available stock cannot fall below zero unless negative stock is explicitly allowed.</x:v>
      </x:c>
      <x:c r="H734" s="339" t="str">
        <x:v>Enforced in service/domain layer and reflected in UI validation/action availability.</x:v>
      </x:c>
      <x:c r="I734" s="339" t="str">
        <x:v>Medium</x:v>
      </x:c>
      <x:c r="J734" s="339" t="str">
        <x:v>Only an explicitly configured authorized override may bypass a non-statutory rule; overrides require reason and audit.</x:v>
      </x:c>
    </x:row>
    <x:row r="735">
      <x:c r="A735" s="339" t="str">
        <x:v>BR-00734</x:v>
      </x:c>
      <x:c r="B735" s="339" t="str">
        <x:v>Screen</x:v>
      </x:c>
      <x:c r="C735" s="339" t="str">
        <x:v>SCR-245</x:v>
      </x:c>
      <x:c r="D735" s="339" t="str">
        <x:v>Inventory / Assets / Labs</x:v>
      </x:c>
      <x:c r="E735" s="339" t="str">
        <x:v>Stock &amp; Asset Reports</x:v>
      </x:c>
      <x:c r="F735" s="339" t="str">
        <x:v>Inventory, Assets &amp; Laboratory Operations rule 2</x:v>
      </x:c>
      <x:c r="G735" s="339" t="str">
        <x:v>Serialized assets must have unique asset/serial identifiers.</x:v>
      </x:c>
      <x:c r="H735" s="339" t="str">
        <x:v>Enforced in service/domain layer and reflected in UI validation/action availability.</x:v>
      </x:c>
      <x:c r="I735" s="339" t="str">
        <x:v>Medium</x:v>
      </x:c>
      <x:c r="J735" s="339" t="str">
        <x:v>Only an explicitly configured authorized override may bypass a non-statutory rule; overrides require reason and audit.</x:v>
      </x:c>
    </x:row>
    <x:row r="736">
      <x:c r="A736" s="339" t="str">
        <x:v>BR-00735</x:v>
      </x:c>
      <x:c r="B736" s="339" t="str">
        <x:v>Screen Type</x:v>
      </x:c>
      <x:c r="C736" s="339" t="str">
        <x:v>SCR-245</x:v>
      </x:c>
      <x:c r="D736" s="339" t="str">
        <x:v>Inventory / Assets / Labs</x:v>
      </x:c>
      <x:c r="E736" s="339" t="str">
        <x:v>Stock &amp; Asset Reports</x:v>
      </x:c>
      <x:c r="F736" s="339" t="str">
        <x:v>Report / Analytics integrity rule</x:v>
      </x:c>
      <x:c r="G736" s="339" t="str">
        <x:v>Report formulas and filters must be deterministic, documented and export the same visible scope.</x:v>
      </x:c>
      <x:c r="H736" s="339" t="str">
        <x:v>Domain/service validation plus UI affordances.</x:v>
      </x:c>
      <x:c r="I736" s="339" t="str">
        <x:v>High</x:v>
      </x:c>
      <x:c r="J736" s="339" t="str">
        <x:v>No silent bypass; approved overrides must be separately authorized and audited.</x:v>
      </x:c>
    </x:row>
    <x:row r="737">
      <x:c r="A737" s="339" t="str">
        <x:v>BR-00736</x:v>
      </x:c>
      <x:c r="B737" s="339" t="str">
        <x:v>Screen</x:v>
      </x:c>
      <x:c r="C737" s="339" t="str">
        <x:v>SCR-246</x:v>
      </x:c>
      <x:c r="D737" s="339" t="str">
        <x:v>Events / PTM / Communication</x:v>
      </x:c>
      <x:c r="E737" s="339" t="str">
        <x:v>Events Calendar</x:v>
      </x:c>
      <x:c r="F737" s="339" t="str">
        <x:v>Events, PTM &amp; School Communication rule 1</x:v>
      </x:c>
      <x:c r="G737" s="339" t="str">
        <x:v>Sensitive communication is only sent to authorized recipients.</x:v>
      </x:c>
      <x:c r="H737" s="339" t="str">
        <x:v>Enforced in service/domain layer and reflected in UI validation/action availability.</x:v>
      </x:c>
      <x:c r="I737" s="339" t="str">
        <x:v>Medium</x:v>
      </x:c>
      <x:c r="J737" s="339" t="str">
        <x:v>Only an explicitly configured authorized override may bypass a non-statutory rule; overrides require reason and audit.</x:v>
      </x:c>
    </x:row>
    <x:row r="738">
      <x:c r="A738" s="339" t="str">
        <x:v>BR-00737</x:v>
      </x:c>
      <x:c r="B738" s="339" t="str">
        <x:v>Screen</x:v>
      </x:c>
      <x:c r="C738" s="339" t="str">
        <x:v>SCR-246</x:v>
      </x:c>
      <x:c r="D738" s="339" t="str">
        <x:v>Events / PTM / Communication</x:v>
      </x:c>
      <x:c r="E738" s="339" t="str">
        <x:v>Events Calendar</x:v>
      </x:c>
      <x:c r="F738" s="339" t="str">
        <x:v>Events, PTM &amp; School Communication rule 2</x:v>
      </x:c>
      <x:c r="G738" s="339" t="str">
        <x:v>PTM slots cannot be double-booked for the same teacher/parent/student resource.</x:v>
      </x:c>
      <x:c r="H738" s="339" t="str">
        <x:v>Enforced in service/domain layer and reflected in UI validation/action availability.</x:v>
      </x:c>
      <x:c r="I738" s="339" t="str">
        <x:v>Medium</x:v>
      </x:c>
      <x:c r="J738" s="339" t="str">
        <x:v>Only an explicitly configured authorized override may bypass a non-statutory rule; overrides require reason and audit.</x:v>
      </x:c>
    </x:row>
    <x:row r="739">
      <x:c r="A739" s="339" t="str">
        <x:v>BR-00738</x:v>
      </x:c>
      <x:c r="B739" s="339" t="str">
        <x:v>Screen Type</x:v>
      </x:c>
      <x:c r="C739" s="339" t="str">
        <x:v>SCR-246</x:v>
      </x:c>
      <x:c r="D739" s="339" t="str">
        <x:v>Events / PTM / Communication</x:v>
      </x:c>
      <x:c r="E739" s="339" t="str">
        <x:v>Events Calendar</x:v>
      </x:c>
      <x:c r="F739" s="339" t="str">
        <x:v>Calendar / Schedule integrity rule</x:v>
      </x:c>
      <x:c r="G739" s="339" t="str">
        <x:v>Conflicting active resource/time allocations are blocked or require explicit authorized override.</x:v>
      </x:c>
      <x:c r="H739" s="339" t="str">
        <x:v>Domain/service validation plus UI affordances.</x:v>
      </x:c>
      <x:c r="I739" s="339" t="str">
        <x:v>High</x:v>
      </x:c>
      <x:c r="J739" s="339" t="str">
        <x:v>No silent bypass; approved overrides must be separately authorized and audited.</x:v>
      </x:c>
    </x:row>
    <x:row r="740">
      <x:c r="A740" s="339" t="str">
        <x:v>BR-00739</x:v>
      </x:c>
      <x:c r="B740" s="339" t="str">
        <x:v>Screen</x:v>
      </x:c>
      <x:c r="C740" s="339" t="str">
        <x:v>SCR-247</x:v>
      </x:c>
      <x:c r="D740" s="339" t="str">
        <x:v>Events / PTM / Communication</x:v>
      </x:c>
      <x:c r="E740" s="339" t="str">
        <x:v>Create / Edit Event</x:v>
      </x:c>
      <x:c r="F740" s="339" t="str">
        <x:v>Events, PTM &amp; School Communication rule 1</x:v>
      </x:c>
      <x:c r="G740" s="339" t="str">
        <x:v>PTM slots cannot be double-booked for the same teacher/parent/student resource.</x:v>
      </x:c>
      <x:c r="H740" s="339" t="str">
        <x:v>Enforced in service/domain layer and reflected in UI validation/action availability.</x:v>
      </x:c>
      <x:c r="I740" s="339" t="str">
        <x:v>Medium</x:v>
      </x:c>
      <x:c r="J740" s="339" t="str">
        <x:v>Only an explicitly configured authorized override may bypass a non-statutory rule; overrides require reason and audit.</x:v>
      </x:c>
    </x:row>
    <x:row r="741">
      <x:c r="A741" s="339" t="str">
        <x:v>BR-00740</x:v>
      </x:c>
      <x:c r="B741" s="339" t="str">
        <x:v>Screen</x:v>
      </x:c>
      <x:c r="C741" s="339" t="str">
        <x:v>SCR-247</x:v>
      </x:c>
      <x:c r="D741" s="339" t="str">
        <x:v>Events / PTM / Communication</x:v>
      </x:c>
      <x:c r="E741" s="339" t="str">
        <x:v>Create / Edit Event</x:v>
      </x:c>
      <x:c r="F741" s="339" t="str">
        <x:v>Events, PTM &amp; School Communication rule 2</x:v>
      </x:c>
      <x:c r="G741" s="339" t="str">
        <x:v>Scheduled communications honor timezone, channel preferences and quiet-hour policies when configured.</x:v>
      </x:c>
      <x:c r="H741" s="339" t="str">
        <x:v>Enforced in service/domain layer and reflected in UI validation/action availability.</x:v>
      </x:c>
      <x:c r="I741" s="339" t="str">
        <x:v>Medium</x:v>
      </x:c>
      <x:c r="J741" s="339" t="str">
        <x:v>Only an explicitly configured authorized override may bypass a non-statutory rule; overrides require reason and audit.</x:v>
      </x:c>
    </x:row>
    <x:row r="742">
      <x:c r="A742" s="339" t="str">
        <x:v>BR-00741</x:v>
      </x:c>
      <x:c r="B742" s="339" t="str">
        <x:v>Screen Type</x:v>
      </x:c>
      <x:c r="C742" s="339" t="str">
        <x:v>SCR-247</x:v>
      </x:c>
      <x:c r="D742" s="339" t="str">
        <x:v>Events / PTM / Communication</x:v>
      </x:c>
      <x:c r="E742" s="339" t="str">
        <x:v>Create / Edit Event</x:v>
      </x:c>
      <x:c r="F742" s="339" t="str">
        <x:v>Create / Transaction integrity rule</x:v>
      </x:c>
      <x:c r="G742" s="339" t="str">
        <x:v>A record is created only after all blocking validations, duplicate checks and reference checks pass.</x:v>
      </x:c>
      <x:c r="H742" s="339" t="str">
        <x:v>Domain/service validation plus UI affordances.</x:v>
      </x:c>
      <x:c r="I742" s="339" t="str">
        <x:v>High</x:v>
      </x:c>
      <x:c r="J742" s="339" t="str">
        <x:v>No silent bypass; approved overrides must be separately authorized and audited.</x:v>
      </x:c>
    </x:row>
    <x:row r="743">
      <x:c r="A743" s="339" t="str">
        <x:v>BR-00742</x:v>
      </x:c>
      <x:c r="B743" s="339" t="str">
        <x:v>Screen</x:v>
      </x:c>
      <x:c r="C743" s="339" t="str">
        <x:v>SCR-248</x:v>
      </x:c>
      <x:c r="D743" s="339" t="str">
        <x:v>Events / PTM / Communication</x:v>
      </x:c>
      <x:c r="E743" s="339" t="str">
        <x:v>Event Details &amp; Participants</x:v>
      </x:c>
      <x:c r="F743" s="339" t="str">
        <x:v>Events, PTM &amp; School Communication rule 1</x:v>
      </x:c>
      <x:c r="G743" s="339" t="str">
        <x:v>Scheduled communications honor timezone, channel preferences and quiet-hour policies when configured.</x:v>
      </x:c>
      <x:c r="H743" s="339" t="str">
        <x:v>Enforced in service/domain layer and reflected in UI validation/action availability.</x:v>
      </x:c>
      <x:c r="I743" s="339" t="str">
        <x:v>Medium</x:v>
      </x:c>
      <x:c r="J743" s="339" t="str">
        <x:v>Only an explicitly configured authorized override may bypass a non-statutory rule; overrides require reason and audit.</x:v>
      </x:c>
    </x:row>
    <x:row r="744">
      <x:c r="A744" s="339" t="str">
        <x:v>BR-00743</x:v>
      </x:c>
      <x:c r="B744" s="339" t="str">
        <x:v>Screen</x:v>
      </x:c>
      <x:c r="C744" s="339" t="str">
        <x:v>SCR-248</x:v>
      </x:c>
      <x:c r="D744" s="339" t="str">
        <x:v>Events / PTM / Communication</x:v>
      </x:c>
      <x:c r="E744" s="339" t="str">
        <x:v>Event Details &amp; Participants</x:v>
      </x:c>
      <x:c r="F744" s="339" t="str">
        <x:v>Events, PTM &amp; School Communication rule 2</x:v>
      </x:c>
      <x:c r="G744" s="339" t="str">
        <x:v>Delivery status and failures are retained for operational follow-up.</x:v>
      </x:c>
      <x:c r="H744" s="339" t="str">
        <x:v>Enforced in service/domain layer and reflected in UI validation/action availability.</x:v>
      </x:c>
      <x:c r="I744" s="339" t="str">
        <x:v>Medium</x:v>
      </x:c>
      <x:c r="J744" s="339" t="str">
        <x:v>Only an explicitly configured authorized override may bypass a non-statutory rule; overrides require reason and audit.</x:v>
      </x:c>
    </x:row>
    <x:row r="745">
      <x:c r="A745" s="339" t="str">
        <x:v>BR-00744</x:v>
      </x:c>
      <x:c r="B745" s="339" t="str">
        <x:v>Screen Type</x:v>
      </x:c>
      <x:c r="C745" s="339" t="str">
        <x:v>SCR-248</x:v>
      </x:c>
      <x:c r="D745" s="339" t="str">
        <x:v>Events / PTM / Communication</x:v>
      </x:c>
      <x:c r="E745" s="339" t="str">
        <x:v>Event Details &amp; Participants</x:v>
      </x:c>
      <x:c r="F745" s="339" t="str">
        <x:v>Detail / Profile integrity rule</x:v>
      </x:c>
      <x:c r="G745" s="339" t="str">
        <x:v>Concurrent updates must not silently overwrite newer data; material edits are audited.</x:v>
      </x:c>
      <x:c r="H745" s="339" t="str">
        <x:v>Domain/service validation plus UI affordances.</x:v>
      </x:c>
      <x:c r="I745" s="339" t="str">
        <x:v>High</x:v>
      </x:c>
      <x:c r="J745" s="339" t="str">
        <x:v>No silent bypass; approved overrides must be separately authorized and audited.</x:v>
      </x:c>
    </x:row>
    <x:row r="746">
      <x:c r="A746" s="339" t="str">
        <x:v>BR-00745</x:v>
      </x:c>
      <x:c r="B746" s="339" t="str">
        <x:v>Screen</x:v>
      </x:c>
      <x:c r="C746" s="339" t="str">
        <x:v>SCR-249</x:v>
      </x:c>
      <x:c r="D746" s="339" t="str">
        <x:v>Events / PTM / Communication</x:v>
      </x:c>
      <x:c r="E746" s="339" t="str">
        <x:v>Field Trip &amp; Parent Consent</x:v>
      </x:c>
      <x:c r="F746" s="339" t="str">
        <x:v>Events, PTM &amp; School Communication rule 1</x:v>
      </x:c>
      <x:c r="G746" s="339" t="str">
        <x:v>Delivery status and failures are retained for operational follow-up.</x:v>
      </x:c>
      <x:c r="H746" s="339" t="str">
        <x:v>Enforced in service/domain layer and reflected in UI validation/action availability.</x:v>
      </x:c>
      <x:c r="I746" s="339" t="str">
        <x:v>Medium</x:v>
      </x:c>
      <x:c r="J746" s="339" t="str">
        <x:v>Only an explicitly configured authorized override may bypass a non-statutory rule; overrides require reason and audit.</x:v>
      </x:c>
    </x:row>
    <x:row r="747">
      <x:c r="A747" s="339" t="str">
        <x:v>BR-00746</x:v>
      </x:c>
      <x:c r="B747" s="339" t="str">
        <x:v>Screen</x:v>
      </x:c>
      <x:c r="C747" s="339" t="str">
        <x:v>SCR-249</x:v>
      </x:c>
      <x:c r="D747" s="339" t="str">
        <x:v>Events / PTM / Communication</x:v>
      </x:c>
      <x:c r="E747" s="339" t="str">
        <x:v>Field Trip &amp; Parent Consent</x:v>
      </x:c>
      <x:c r="F747" s="339" t="str">
        <x:v>Events, PTM &amp; School Communication rule 2</x:v>
      </x:c>
      <x:c r="G747" s="339" t="str">
        <x:v>Recipients are resolved from current role/class/section relationships at send time or from an approved frozen audience snapshot.</x:v>
      </x:c>
      <x:c r="H747" s="339" t="str">
        <x:v>Enforced in service/domain layer and reflected in UI validation/action availability.</x:v>
      </x:c>
      <x:c r="I747" s="339" t="str">
        <x:v>Medium</x:v>
      </x:c>
      <x:c r="J747" s="339" t="str">
        <x:v>Only an explicitly configured authorized override may bypass a non-statutory rule; overrides require reason and audit.</x:v>
      </x:c>
    </x:row>
    <x:row r="748">
      <x:c r="A748" s="339" t="str">
        <x:v>BR-00747</x:v>
      </x:c>
      <x:c r="B748" s="339" t="str">
        <x:v>Screen Type</x:v>
      </x:c>
      <x:c r="C748" s="339" t="str">
        <x:v>SCR-249</x:v>
      </x:c>
      <x:c r="D748" s="339" t="str">
        <x:v>Events / PTM / Communication</x:v>
      </x:c>
      <x:c r="E748" s="339" t="str">
        <x:v>Field Trip &amp; Parent Consent</x:v>
      </x:c>
      <x:c r="F748" s="339" t="str">
        <x:v>Workflow / Management integrity rule</x:v>
      </x:c>
      <x:c r="G748" s="339" t="str">
        <x:v>State transitions are explicit, role-controlled and auditable; invalid transitions are rejected.</x:v>
      </x:c>
      <x:c r="H748" s="339" t="str">
        <x:v>Domain/service validation plus UI affordances.</x:v>
      </x:c>
      <x:c r="I748" s="339" t="str">
        <x:v>High</x:v>
      </x:c>
      <x:c r="J748" s="339" t="str">
        <x:v>No silent bypass; approved overrides must be separately authorized and audited.</x:v>
      </x:c>
    </x:row>
    <x:row r="749">
      <x:c r="A749" s="339" t="str">
        <x:v>BR-00748</x:v>
      </x:c>
      <x:c r="B749" s="339" t="str">
        <x:v>Screen</x:v>
      </x:c>
      <x:c r="C749" s="339" t="str">
        <x:v>SCR-250</x:v>
      </x:c>
      <x:c r="D749" s="339" t="str">
        <x:v>Events / PTM / Communication</x:v>
      </x:c>
      <x:c r="E749" s="339" t="str">
        <x:v>PTM Setup</x:v>
      </x:c>
      <x:c r="F749" s="339" t="str">
        <x:v>Events, PTM &amp; School Communication rule 1</x:v>
      </x:c>
      <x:c r="G749" s="339" t="str">
        <x:v>Recipients are resolved from current role/class/section relationships at send time or from an approved frozen audience snapshot.</x:v>
      </x:c>
      <x:c r="H749" s="339" t="str">
        <x:v>Enforced in service/domain layer and reflected in UI validation/action availability.</x:v>
      </x:c>
      <x:c r="I749" s="339" t="str">
        <x:v>Medium</x:v>
      </x:c>
      <x:c r="J749" s="339" t="str">
        <x:v>Only an explicitly configured authorized override may bypass a non-statutory rule; overrides require reason and audit.</x:v>
      </x:c>
    </x:row>
    <x:row r="750">
      <x:c r="A750" s="339" t="str">
        <x:v>BR-00749</x:v>
      </x:c>
      <x:c r="B750" s="339" t="str">
        <x:v>Screen</x:v>
      </x:c>
      <x:c r="C750" s="339" t="str">
        <x:v>SCR-250</x:v>
      </x:c>
      <x:c r="D750" s="339" t="str">
        <x:v>Events / PTM / Communication</x:v>
      </x:c>
      <x:c r="E750" s="339" t="str">
        <x:v>PTM Setup</x:v>
      </x:c>
      <x:c r="F750" s="339" t="str">
        <x:v>Events, PTM &amp; School Communication rule 2</x:v>
      </x:c>
      <x:c r="G750" s="339" t="str">
        <x:v>Sensitive communication is only sent to authorized recipients.</x:v>
      </x:c>
      <x:c r="H750" s="339" t="str">
        <x:v>Enforced in service/domain layer and reflected in UI validation/action availability.</x:v>
      </x:c>
      <x:c r="I750" s="339" t="str">
        <x:v>Medium</x:v>
      </x:c>
      <x:c r="J750" s="339" t="str">
        <x:v>Only an explicitly configured authorized override may bypass a non-statutory rule; overrides require reason and audit.</x:v>
      </x:c>
    </x:row>
    <x:row r="751">
      <x:c r="A751" s="339" t="str">
        <x:v>BR-00750</x:v>
      </x:c>
      <x:c r="B751" s="339" t="str">
        <x:v>Screen Type</x:v>
      </x:c>
      <x:c r="C751" s="339" t="str">
        <x:v>SCR-250</x:v>
      </x:c>
      <x:c r="D751" s="339" t="str">
        <x:v>Events / PTM / Communication</x:v>
      </x:c>
      <x:c r="E751" s="339" t="str">
        <x:v>PTM Setup</x:v>
      </x:c>
      <x:c r="F751" s="339" t="str">
        <x:v>Create / Transaction integrity rule</x:v>
      </x:c>
      <x:c r="G751" s="339" t="str">
        <x:v>A record is created only after all blocking validations, duplicate checks and reference checks pass.</x:v>
      </x:c>
      <x:c r="H751" s="339" t="str">
        <x:v>Domain/service validation plus UI affordances.</x:v>
      </x:c>
      <x:c r="I751" s="339" t="str">
        <x:v>High</x:v>
      </x:c>
      <x:c r="J751" s="339" t="str">
        <x:v>No silent bypass; approved overrides must be separately authorized and audited.</x:v>
      </x:c>
    </x:row>
    <x:row r="752">
      <x:c r="A752" s="339" t="str">
        <x:v>BR-00751</x:v>
      </x:c>
      <x:c r="B752" s="339" t="str">
        <x:v>Screen</x:v>
      </x:c>
      <x:c r="C752" s="339" t="str">
        <x:v>SCR-251</x:v>
      </x:c>
      <x:c r="D752" s="339" t="str">
        <x:v>Events / PTM / Communication</x:v>
      </x:c>
      <x:c r="E752" s="339" t="str">
        <x:v>PTM Slot Booking</x:v>
      </x:c>
      <x:c r="F752" s="339" t="str">
        <x:v>Events, PTM &amp; School Communication rule 1</x:v>
      </x:c>
      <x:c r="G752" s="339" t="str">
        <x:v>Sensitive communication is only sent to authorized recipients.</x:v>
      </x:c>
      <x:c r="H752" s="339" t="str">
        <x:v>Enforced in service/domain layer and reflected in UI validation/action availability.</x:v>
      </x:c>
      <x:c r="I752" s="339" t="str">
        <x:v>Medium</x:v>
      </x:c>
      <x:c r="J752" s="339" t="str">
        <x:v>Only an explicitly configured authorized override may bypass a non-statutory rule; overrides require reason and audit.</x:v>
      </x:c>
    </x:row>
    <x:row r="753">
      <x:c r="A753" s="339" t="str">
        <x:v>BR-00752</x:v>
      </x:c>
      <x:c r="B753" s="339" t="str">
        <x:v>Screen</x:v>
      </x:c>
      <x:c r="C753" s="339" t="str">
        <x:v>SCR-251</x:v>
      </x:c>
      <x:c r="D753" s="339" t="str">
        <x:v>Events / PTM / Communication</x:v>
      </x:c>
      <x:c r="E753" s="339" t="str">
        <x:v>PTM Slot Booking</x:v>
      </x:c>
      <x:c r="F753" s="339" t="str">
        <x:v>Events, PTM &amp; School Communication rule 2</x:v>
      </x:c>
      <x:c r="G753" s="339" t="str">
        <x:v>PTM slots cannot be double-booked for the same teacher/parent/student resource.</x:v>
      </x:c>
      <x:c r="H753" s="339" t="str">
        <x:v>Enforced in service/domain layer and reflected in UI validation/action availability.</x:v>
      </x:c>
      <x:c r="I753" s="339" t="str">
        <x:v>Medium</x:v>
      </x:c>
      <x:c r="J753" s="339" t="str">
        <x:v>Only an explicitly configured authorized override may bypass a non-statutory rule; overrides require reason and audit.</x:v>
      </x:c>
    </x:row>
    <x:row r="754">
      <x:c r="A754" s="339" t="str">
        <x:v>BR-00753</x:v>
      </x:c>
      <x:c r="B754" s="339" t="str">
        <x:v>Screen Type</x:v>
      </x:c>
      <x:c r="C754" s="339" t="str">
        <x:v>SCR-251</x:v>
      </x:c>
      <x:c r="D754" s="339" t="str">
        <x:v>Events / PTM / Communication</x:v>
      </x:c>
      <x:c r="E754" s="339" t="str">
        <x:v>PTM Slot Booking</x:v>
      </x:c>
      <x:c r="F754" s="339" t="str">
        <x:v>Workflow / Management integrity rule</x:v>
      </x:c>
      <x:c r="G754" s="339" t="str">
        <x:v>State transitions are explicit, role-controlled and auditable; invalid transitions are rejected.</x:v>
      </x:c>
      <x:c r="H754" s="339" t="str">
        <x:v>Domain/service validation plus UI affordances.</x:v>
      </x:c>
      <x:c r="I754" s="339" t="str">
        <x:v>High</x:v>
      </x:c>
      <x:c r="J754" s="339" t="str">
        <x:v>No silent bypass; approved overrides must be separately authorized and audited.</x:v>
      </x:c>
    </x:row>
    <x:row r="755">
      <x:c r="A755" s="339" t="str">
        <x:v>BR-00754</x:v>
      </x:c>
      <x:c r="B755" s="339" t="str">
        <x:v>Screen</x:v>
      </x:c>
      <x:c r="C755" s="339" t="str">
        <x:v>SCR-252</x:v>
      </x:c>
      <x:c r="D755" s="339" t="str">
        <x:v>Events / PTM / Communication</x:v>
      </x:c>
      <x:c r="E755" s="339" t="str">
        <x:v>Announcements</x:v>
      </x:c>
      <x:c r="F755" s="339" t="str">
        <x:v>Events, PTM &amp; School Communication rule 1</x:v>
      </x:c>
      <x:c r="G755" s="339" t="str">
        <x:v>PTM slots cannot be double-booked for the same teacher/parent/student resource.</x:v>
      </x:c>
      <x:c r="H755" s="339" t="str">
        <x:v>Enforced in service/domain layer and reflected in UI validation/action availability.</x:v>
      </x:c>
      <x:c r="I755" s="339" t="str">
        <x:v>Medium</x:v>
      </x:c>
      <x:c r="J755" s="339" t="str">
        <x:v>Only an explicitly configured authorized override may bypass a non-statutory rule; overrides require reason and audit.</x:v>
      </x:c>
    </x:row>
    <x:row r="756">
      <x:c r="A756" s="339" t="str">
        <x:v>BR-00755</x:v>
      </x:c>
      <x:c r="B756" s="339" t="str">
        <x:v>Screen</x:v>
      </x:c>
      <x:c r="C756" s="339" t="str">
        <x:v>SCR-252</x:v>
      </x:c>
      <x:c r="D756" s="339" t="str">
        <x:v>Events / PTM / Communication</x:v>
      </x:c>
      <x:c r="E756" s="339" t="str">
        <x:v>Announcements</x:v>
      </x:c>
      <x:c r="F756" s="339" t="str">
        <x:v>Events, PTM &amp; School Communication rule 2</x:v>
      </x:c>
      <x:c r="G756" s="339" t="str">
        <x:v>Scheduled communications honor timezone, channel preferences and quiet-hour policies when configured.</x:v>
      </x:c>
      <x:c r="H756" s="339" t="str">
        <x:v>Enforced in service/domain layer and reflected in UI validation/action availability.</x:v>
      </x:c>
      <x:c r="I756" s="339" t="str">
        <x:v>Medium</x:v>
      </x:c>
      <x:c r="J756" s="339" t="str">
        <x:v>Only an explicitly configured authorized override may bypass a non-statutory rule; overrides require reason and audit.</x:v>
      </x:c>
    </x:row>
    <x:row r="757">
      <x:c r="A757" s="339" t="str">
        <x:v>BR-00756</x:v>
      </x:c>
      <x:c r="B757" s="339" t="str">
        <x:v>Screen Type</x:v>
      </x:c>
      <x:c r="C757" s="339" t="str">
        <x:v>SCR-252</x:v>
      </x:c>
      <x:c r="D757" s="339" t="str">
        <x:v>Events / PTM / Communication</x:v>
      </x:c>
      <x:c r="E757" s="339" t="str">
        <x:v>Announcements</x:v>
      </x:c>
      <x:c r="F757" s="339" t="str">
        <x:v>List / Management integrity rule</x:v>
      </x:c>
      <x:c r="G757" s="339" t="str">
        <x:v>Search, filters, exports and row actions must preserve the same authorization scope.</x:v>
      </x:c>
      <x:c r="H757" s="339" t="str">
        <x:v>Domain/service validation plus UI affordances.</x:v>
      </x:c>
      <x:c r="I757" s="339" t="str">
        <x:v>High</x:v>
      </x:c>
      <x:c r="J757" s="339" t="str">
        <x:v>No silent bypass; approved overrides must be separately authorized and audited.</x:v>
      </x:c>
    </x:row>
    <x:row r="758">
      <x:c r="A758" s="339" t="str">
        <x:v>BR-00757</x:v>
      </x:c>
      <x:c r="B758" s="339" t="str">
        <x:v>Screen</x:v>
      </x:c>
      <x:c r="C758" s="339" t="str">
        <x:v>SCR-253</x:v>
      </x:c>
      <x:c r="D758" s="339" t="str">
        <x:v>Events / PTM / Communication</x:v>
      </x:c>
      <x:c r="E758" s="339" t="str">
        <x:v>Messaging / Inbox</x:v>
      </x:c>
      <x:c r="F758" s="339" t="str">
        <x:v>Events, PTM &amp; School Communication rule 1</x:v>
      </x:c>
      <x:c r="G758" s="339" t="str">
        <x:v>Scheduled communications honor timezone, channel preferences and quiet-hour policies when configured.</x:v>
      </x:c>
      <x:c r="H758" s="339" t="str">
        <x:v>Enforced in service/domain layer and reflected in UI validation/action availability.</x:v>
      </x:c>
      <x:c r="I758" s="339" t="str">
        <x:v>Medium</x:v>
      </x:c>
      <x:c r="J758" s="339" t="str">
        <x:v>Only an explicitly configured authorized override may bypass a non-statutory rule; overrides require reason and audit.</x:v>
      </x:c>
    </x:row>
    <x:row r="759">
      <x:c r="A759" s="339" t="str">
        <x:v>BR-00758</x:v>
      </x:c>
      <x:c r="B759" s="339" t="str">
        <x:v>Screen</x:v>
      </x:c>
      <x:c r="C759" s="339" t="str">
        <x:v>SCR-253</x:v>
      </x:c>
      <x:c r="D759" s="339" t="str">
        <x:v>Events / PTM / Communication</x:v>
      </x:c>
      <x:c r="E759" s="339" t="str">
        <x:v>Messaging / Inbox</x:v>
      </x:c>
      <x:c r="F759" s="339" t="str">
        <x:v>Events, PTM &amp; School Communication rule 2</x:v>
      </x:c>
      <x:c r="G759" s="339" t="str">
        <x:v>Delivery status and failures are retained for operational follow-up.</x:v>
      </x:c>
      <x:c r="H759" s="339" t="str">
        <x:v>Enforced in service/domain layer and reflected in UI validation/action availability.</x:v>
      </x:c>
      <x:c r="I759" s="339" t="str">
        <x:v>Medium</x:v>
      </x:c>
      <x:c r="J759" s="339" t="str">
        <x:v>Only an explicitly configured authorized override may bypass a non-statutory rule; overrides require reason and audit.</x:v>
      </x:c>
    </x:row>
    <x:row r="760">
      <x:c r="A760" s="339" t="str">
        <x:v>BR-00759</x:v>
      </x:c>
      <x:c r="B760" s="339" t="str">
        <x:v>Screen Type</x:v>
      </x:c>
      <x:c r="C760" s="339" t="str">
        <x:v>SCR-253</x:v>
      </x:c>
      <x:c r="D760" s="339" t="str">
        <x:v>Events / PTM / Communication</x:v>
      </x:c>
      <x:c r="E760" s="339" t="str">
        <x:v>Messaging / Inbox</x:v>
      </x:c>
      <x:c r="F760" s="339" t="str">
        <x:v>Workflow / Management integrity rule</x:v>
      </x:c>
      <x:c r="G760" s="339" t="str">
        <x:v>State transitions are explicit, role-controlled and auditable; invalid transitions are rejected.</x:v>
      </x:c>
      <x:c r="H760" s="339" t="str">
        <x:v>Domain/service validation plus UI affordances.</x:v>
      </x:c>
      <x:c r="I760" s="339" t="str">
        <x:v>High</x:v>
      </x:c>
      <x:c r="J760" s="339" t="str">
        <x:v>No silent bypass; approved overrides must be separately authorized and audited.</x:v>
      </x:c>
    </x:row>
    <x:row r="761">
      <x:c r="A761" s="339" t="str">
        <x:v>BR-00760</x:v>
      </x:c>
      <x:c r="B761" s="339" t="str">
        <x:v>Screen</x:v>
      </x:c>
      <x:c r="C761" s="339" t="str">
        <x:v>SCR-254</x:v>
      </x:c>
      <x:c r="D761" s="339" t="str">
        <x:v>Events / PTM / Communication</x:v>
      </x:c>
      <x:c r="E761" s="339" t="str">
        <x:v>Notification Campaigns</x:v>
      </x:c>
      <x:c r="F761" s="339" t="str">
        <x:v>Events, PTM &amp; School Communication rule 1</x:v>
      </x:c>
      <x:c r="G761" s="339" t="str">
        <x:v>Delivery status and failures are retained for operational follow-up.</x:v>
      </x:c>
      <x:c r="H761" s="339" t="str">
        <x:v>Enforced in service/domain layer and reflected in UI validation/action availability.</x:v>
      </x:c>
      <x:c r="I761" s="339" t="str">
        <x:v>Medium</x:v>
      </x:c>
      <x:c r="J761" s="339" t="str">
        <x:v>Only an explicitly configured authorized override may bypass a non-statutory rule; overrides require reason and audit.</x:v>
      </x:c>
    </x:row>
    <x:row r="762">
      <x:c r="A762" s="339" t="str">
        <x:v>BR-00761</x:v>
      </x:c>
      <x:c r="B762" s="339" t="str">
        <x:v>Screen</x:v>
      </x:c>
      <x:c r="C762" s="339" t="str">
        <x:v>SCR-254</x:v>
      </x:c>
      <x:c r="D762" s="339" t="str">
        <x:v>Events / PTM / Communication</x:v>
      </x:c>
      <x:c r="E762" s="339" t="str">
        <x:v>Notification Campaigns</x:v>
      </x:c>
      <x:c r="F762" s="339" t="str">
        <x:v>Events, PTM &amp; School Communication rule 2</x:v>
      </x:c>
      <x:c r="G762" s="339" t="str">
        <x:v>Recipients are resolved from current role/class/section relationships at send time or from an approved frozen audience snapshot.</x:v>
      </x:c>
      <x:c r="H762" s="339" t="str">
        <x:v>Enforced in service/domain layer and reflected in UI validation/action availability.</x:v>
      </x:c>
      <x:c r="I762" s="339" t="str">
        <x:v>Medium</x:v>
      </x:c>
      <x:c r="J762" s="339" t="str">
        <x:v>Only an explicitly configured authorized override may bypass a non-statutory rule; overrides require reason and audit.</x:v>
      </x:c>
    </x:row>
    <x:row r="763">
      <x:c r="A763" s="339" t="str">
        <x:v>BR-00762</x:v>
      </x:c>
      <x:c r="B763" s="339" t="str">
        <x:v>Screen Type</x:v>
      </x:c>
      <x:c r="C763" s="339" t="str">
        <x:v>SCR-254</x:v>
      </x:c>
      <x:c r="D763" s="339" t="str">
        <x:v>Events / PTM / Communication</x:v>
      </x:c>
      <x:c r="E763" s="339" t="str">
        <x:v>Notification Campaigns</x:v>
      </x:c>
      <x:c r="F763" s="339" t="str">
        <x:v>Workflow / Management integrity rule</x:v>
      </x:c>
      <x:c r="G763" s="339" t="str">
        <x:v>State transitions are explicit, role-controlled and auditable; invalid transitions are rejected.</x:v>
      </x:c>
      <x:c r="H763" s="339" t="str">
        <x:v>Domain/service validation plus UI affordances.</x:v>
      </x:c>
      <x:c r="I763" s="339" t="str">
        <x:v>High</x:v>
      </x:c>
      <x:c r="J763" s="339" t="str">
        <x:v>No silent bypass; approved overrides must be separately authorized and audited.</x:v>
      </x:c>
    </x:row>
    <x:row r="764">
      <x:c r="A764" s="339" t="str">
        <x:v>BR-00763</x:v>
      </x:c>
      <x:c r="B764" s="339" t="str">
        <x:v>Screen</x:v>
      </x:c>
      <x:c r="C764" s="339" t="str">
        <x:v>SCR-255</x:v>
      </x:c>
      <x:c r="D764" s="339" t="str">
        <x:v>Events / PTM / Communication</x:v>
      </x:c>
      <x:c r="E764" s="339" t="str">
        <x:v>Communication History</x:v>
      </x:c>
      <x:c r="F764" s="339" t="str">
        <x:v>Events, PTM &amp; School Communication rule 1</x:v>
      </x:c>
      <x:c r="G764" s="339" t="str">
        <x:v>Recipients are resolved from current role/class/section relationships at send time or from an approved frozen audience snapshot.</x:v>
      </x:c>
      <x:c r="H764" s="339" t="str">
        <x:v>Enforced in service/domain layer and reflected in UI validation/action availability.</x:v>
      </x:c>
      <x:c r="I764" s="339" t="str">
        <x:v>Medium</x:v>
      </x:c>
      <x:c r="J764" s="339" t="str">
        <x:v>Only an explicitly configured authorized override may bypass a non-statutory rule; overrides require reason and audit.</x:v>
      </x:c>
    </x:row>
    <x:row r="765">
      <x:c r="A765" s="339" t="str">
        <x:v>BR-00764</x:v>
      </x:c>
      <x:c r="B765" s="339" t="str">
        <x:v>Screen</x:v>
      </x:c>
      <x:c r="C765" s="339" t="str">
        <x:v>SCR-255</x:v>
      </x:c>
      <x:c r="D765" s="339" t="str">
        <x:v>Events / PTM / Communication</x:v>
      </x:c>
      <x:c r="E765" s="339" t="str">
        <x:v>Communication History</x:v>
      </x:c>
      <x:c r="F765" s="339" t="str">
        <x:v>Events, PTM &amp; School Communication rule 2</x:v>
      </x:c>
      <x:c r="G765" s="339" t="str">
        <x:v>Sensitive communication is only sent to authorized recipients.</x:v>
      </x:c>
      <x:c r="H765" s="339" t="str">
        <x:v>Enforced in service/domain layer and reflected in UI validation/action availability.</x:v>
      </x:c>
      <x:c r="I765" s="339" t="str">
        <x:v>Medium</x:v>
      </x:c>
      <x:c r="J765" s="339" t="str">
        <x:v>Only an explicitly configured authorized override may bypass a non-statutory rule; overrides require reason and audit.</x:v>
      </x:c>
    </x:row>
    <x:row r="766">
      <x:c r="A766" s="339" t="str">
        <x:v>BR-00765</x:v>
      </x:c>
      <x:c r="B766" s="339" t="str">
        <x:v>Screen Type</x:v>
      </x:c>
      <x:c r="C766" s="339" t="str">
        <x:v>SCR-255</x:v>
      </x:c>
      <x:c r="D766" s="339" t="str">
        <x:v>Events / PTM / Communication</x:v>
      </x:c>
      <x:c r="E766" s="339" t="str">
        <x:v>Communication History</x:v>
      </x:c>
      <x:c r="F766" s="339" t="str">
        <x:v>Detail / Profile integrity rule</x:v>
      </x:c>
      <x:c r="G766" s="339" t="str">
        <x:v>Concurrent updates must not silently overwrite newer data; material edits are audited.</x:v>
      </x:c>
      <x:c r="H766" s="339" t="str">
        <x:v>Domain/service validation plus UI affordances.</x:v>
      </x:c>
      <x:c r="I766" s="339" t="str">
        <x:v>High</x:v>
      </x:c>
      <x:c r="J766" s="339" t="str">
        <x:v>No silent bypass; approved overrides must be separately authorized and audited.</x:v>
      </x:c>
    </x:row>
    <x:row r="767">
      <x:c r="A767" s="339" t="str">
        <x:v>BR-00766</x:v>
      </x:c>
      <x:c r="B767" s="339" t="str">
        <x:v>Screen</x:v>
      </x:c>
      <x:c r="C767" s="339" t="str">
        <x:v>SCR-256</x:v>
      </x:c>
      <x:c r="D767" s="339" t="str">
        <x:v>Documents &amp; Certificates</x:v>
      </x:c>
      <x:c r="E767" s="339" t="str">
        <x:v>Document Repository</x:v>
      </x:c>
      <x:c r="F767" s="339" t="str">
        <x:v>Documents, Verification &amp; Certificates rule 1</x:v>
      </x:c>
      <x:c r="G767" s="339" t="str">
        <x:v>Verified documents retain verifier/time and cannot silently lose verification evidence.</x:v>
      </x:c>
      <x:c r="H767" s="339" t="str">
        <x:v>Enforced in service/domain layer and reflected in UI validation/action availability.</x:v>
      </x:c>
      <x:c r="I767" s="339" t="str">
        <x:v>Medium</x:v>
      </x:c>
      <x:c r="J767" s="339" t="str">
        <x:v>Only an explicitly configured authorized override may bypass a non-statutory rule; overrides require reason and audit.</x:v>
      </x:c>
    </x:row>
    <x:row r="768">
      <x:c r="A768" s="339" t="str">
        <x:v>BR-00767</x:v>
      </x:c>
      <x:c r="B768" s="339" t="str">
        <x:v>Screen</x:v>
      </x:c>
      <x:c r="C768" s="339" t="str">
        <x:v>SCR-256</x:v>
      </x:c>
      <x:c r="D768" s="339" t="str">
        <x:v>Documents &amp; Certificates</x:v>
      </x:c>
      <x:c r="E768" s="339" t="str">
        <x:v>Document Repository</x:v>
      </x:c>
      <x:c r="F768" s="339" t="str">
        <x:v>Documents, Verification &amp; Certificates rule 2</x:v>
      </x:c>
      <x:c r="G768" s="339" t="str">
        <x:v>Certificate numbers are unique within the configured template/series scope.</x:v>
      </x:c>
      <x:c r="H768" s="339" t="str">
        <x:v>Enforced in service/domain layer and reflected in UI validation/action availability.</x:v>
      </x:c>
      <x:c r="I768" s="339" t="str">
        <x:v>Medium</x:v>
      </x:c>
      <x:c r="J768" s="339" t="str">
        <x:v>Only an explicitly configured authorized override may bypass a non-statutory rule; overrides require reason and audit.</x:v>
      </x:c>
    </x:row>
    <x:row r="769">
      <x:c r="A769" s="339" t="str">
        <x:v>BR-00768</x:v>
      </x:c>
      <x:c r="B769" s="339" t="str">
        <x:v>Screen Type</x:v>
      </x:c>
      <x:c r="C769" s="339" t="str">
        <x:v>SCR-256</x:v>
      </x:c>
      <x:c r="D769" s="339" t="str">
        <x:v>Documents &amp; Certificates</x:v>
      </x:c>
      <x:c r="E769" s="339" t="str">
        <x:v>Document Repository</x:v>
      </x:c>
      <x:c r="F769" s="339" t="str">
        <x:v>Workflow / Management integrity rule</x:v>
      </x:c>
      <x:c r="G769" s="339" t="str">
        <x:v>State transitions are explicit, role-controlled and auditable; invalid transitions are rejected.</x:v>
      </x:c>
      <x:c r="H769" s="339" t="str">
        <x:v>Domain/service validation plus UI affordances.</x:v>
      </x:c>
      <x:c r="I769" s="339" t="str">
        <x:v>High</x:v>
      </x:c>
      <x:c r="J769" s="339" t="str">
        <x:v>No silent bypass; approved overrides must be separately authorized and audited.</x:v>
      </x:c>
    </x:row>
    <x:row r="770">
      <x:c r="A770" s="339" t="str">
        <x:v>BR-00769</x:v>
      </x:c>
      <x:c r="B770" s="339" t="str">
        <x:v>Screen</x:v>
      </x:c>
      <x:c r="C770" s="339" t="str">
        <x:v>SCR-257</x:v>
      </x:c>
      <x:c r="D770" s="339" t="str">
        <x:v>Documents &amp; Certificates</x:v>
      </x:c>
      <x:c r="E770" s="339" t="str">
        <x:v>Student Documents</x:v>
      </x:c>
      <x:c r="F770" s="339" t="str">
        <x:v>Documents, Verification &amp; Certificates rule 1</x:v>
      </x:c>
      <x:c r="G770" s="339" t="str">
        <x:v>Certificate numbers are unique within the configured template/series scope.</x:v>
      </x:c>
      <x:c r="H770" s="339" t="str">
        <x:v>Enforced in service/domain layer and reflected in UI validation/action availability.</x:v>
      </x:c>
      <x:c r="I770" s="339" t="str">
        <x:v>Medium</x:v>
      </x:c>
      <x:c r="J770" s="339" t="str">
        <x:v>Only an explicitly configured authorized override may bypass a non-statutory rule; overrides require reason and audit.</x:v>
      </x:c>
    </x:row>
    <x:row r="771">
      <x:c r="A771" s="339" t="str">
        <x:v>BR-00770</x:v>
      </x:c>
      <x:c r="B771" s="339" t="str">
        <x:v>Screen</x:v>
      </x:c>
      <x:c r="C771" s="339" t="str">
        <x:v>SCR-257</x:v>
      </x:c>
      <x:c r="D771" s="339" t="str">
        <x:v>Documents &amp; Certificates</x:v>
      </x:c>
      <x:c r="E771" s="339" t="str">
        <x:v>Student Documents</x:v>
      </x:c>
      <x:c r="F771" s="339" t="str">
        <x:v>Documents, Verification &amp; Certificates rule 2</x:v>
      </x:c>
      <x:c r="G771" s="339" t="str">
        <x:v>Generated certificates must use approved templates and snapshot the source data used.</x:v>
      </x:c>
      <x:c r="H771" s="339" t="str">
        <x:v>Enforced in service/domain layer and reflected in UI validation/action availability.</x:v>
      </x:c>
      <x:c r="I771" s="339" t="str">
        <x:v>Medium</x:v>
      </x:c>
      <x:c r="J771" s="339" t="str">
        <x:v>Only an explicitly configured authorized override may bypass a non-statutory rule; overrides require reason and audit.</x:v>
      </x:c>
    </x:row>
    <x:row r="772">
      <x:c r="A772" s="339" t="str">
        <x:v>BR-00771</x:v>
      </x:c>
      <x:c r="B772" s="339" t="str">
        <x:v>Screen Type</x:v>
      </x:c>
      <x:c r="C772" s="339" t="str">
        <x:v>SCR-257</x:v>
      </x:c>
      <x:c r="D772" s="339" t="str">
        <x:v>Documents &amp; Certificates</x:v>
      </x:c>
      <x:c r="E772" s="339" t="str">
        <x:v>Student Documents</x:v>
      </x:c>
      <x:c r="F772" s="339" t="str">
        <x:v>Workflow / Management integrity rule</x:v>
      </x:c>
      <x:c r="G772" s="339" t="str">
        <x:v>State transitions are explicit, role-controlled and auditable; invalid transitions are rejected.</x:v>
      </x:c>
      <x:c r="H772" s="339" t="str">
        <x:v>Domain/service validation plus UI affordances.</x:v>
      </x:c>
      <x:c r="I772" s="339" t="str">
        <x:v>High</x:v>
      </x:c>
      <x:c r="J772" s="339" t="str">
        <x:v>No silent bypass; approved overrides must be separately authorized and audited.</x:v>
      </x:c>
    </x:row>
    <x:row r="773">
      <x:c r="A773" s="339" t="str">
        <x:v>BR-00772</x:v>
      </x:c>
      <x:c r="B773" s="339" t="str">
        <x:v>Screen</x:v>
      </x:c>
      <x:c r="C773" s="339" t="str">
        <x:v>SCR-258</x:v>
      </x:c>
      <x:c r="D773" s="339" t="str">
        <x:v>Documents &amp; Certificates</x:v>
      </x:c>
      <x:c r="E773" s="339" t="str">
        <x:v>Staff Documents</x:v>
      </x:c>
      <x:c r="F773" s="339" t="str">
        <x:v>Documents, Verification &amp; Certificates rule 1</x:v>
      </x:c>
      <x:c r="G773" s="339" t="str">
        <x:v>Generated certificates must use approved templates and snapshot the source data used.</x:v>
      </x:c>
      <x:c r="H773" s="339" t="str">
        <x:v>Enforced in service/domain layer and reflected in UI validation/action availability.</x:v>
      </x:c>
      <x:c r="I773" s="339" t="str">
        <x:v>Medium</x:v>
      </x:c>
      <x:c r="J773" s="339" t="str">
        <x:v>Only an explicitly configured authorized override may bypass a non-statutory rule; overrides require reason and audit.</x:v>
      </x:c>
    </x:row>
    <x:row r="774">
      <x:c r="A774" s="339" t="str">
        <x:v>BR-00773</x:v>
      </x:c>
      <x:c r="B774" s="339" t="str">
        <x:v>Screen</x:v>
      </x:c>
      <x:c r="C774" s="339" t="str">
        <x:v>SCR-258</x:v>
      </x:c>
      <x:c r="D774" s="339" t="str">
        <x:v>Documents &amp; Certificates</x:v>
      </x:c>
      <x:c r="E774" s="339" t="str">
        <x:v>Staff Documents</x:v>
      </x:c>
      <x:c r="F774" s="339" t="str">
        <x:v>Documents, Verification &amp; Certificates rule 2</x:v>
      </x:c>
      <x:c r="G774" s="339" t="str">
        <x:v>Expired/replaced documents remain historically traceable where retention requires.</x:v>
      </x:c>
      <x:c r="H774" s="339" t="str">
        <x:v>Enforced in service/domain layer and reflected in UI validation/action availability.</x:v>
      </x:c>
      <x:c r="I774" s="339" t="str">
        <x:v>Medium</x:v>
      </x:c>
      <x:c r="J774" s="339" t="str">
        <x:v>Only an explicitly configured authorized override may bypass a non-statutory rule; overrides require reason and audit.</x:v>
      </x:c>
    </x:row>
    <x:row r="775">
      <x:c r="A775" s="339" t="str">
        <x:v>BR-00774</x:v>
      </x:c>
      <x:c r="B775" s="339" t="str">
        <x:v>Screen Type</x:v>
      </x:c>
      <x:c r="C775" s="339" t="str">
        <x:v>SCR-258</x:v>
      </x:c>
      <x:c r="D775" s="339" t="str">
        <x:v>Documents &amp; Certificates</x:v>
      </x:c>
      <x:c r="E775" s="339" t="str">
        <x:v>Staff Documents</x:v>
      </x:c>
      <x:c r="F775" s="339" t="str">
        <x:v>Workflow / Management integrity rule</x:v>
      </x:c>
      <x:c r="G775" s="339" t="str">
        <x:v>State transitions are explicit, role-controlled and auditable; invalid transitions are rejected.</x:v>
      </x:c>
      <x:c r="H775" s="339" t="str">
        <x:v>Domain/service validation plus UI affordances.</x:v>
      </x:c>
      <x:c r="I775" s="339" t="str">
        <x:v>High</x:v>
      </x:c>
      <x:c r="J775" s="339" t="str">
        <x:v>No silent bypass; approved overrides must be separately authorized and audited.</x:v>
      </x:c>
    </x:row>
    <x:row r="776">
      <x:c r="A776" s="339" t="str">
        <x:v>BR-00775</x:v>
      </x:c>
      <x:c r="B776" s="339" t="str">
        <x:v>Screen</x:v>
      </x:c>
      <x:c r="C776" s="339" t="str">
        <x:v>SCR-259</x:v>
      </x:c>
      <x:c r="D776" s="339" t="str">
        <x:v>Documents &amp; Certificates</x:v>
      </x:c>
      <x:c r="E776" s="339" t="str">
        <x:v>Upload &amp; Verification</x:v>
      </x:c>
      <x:c r="F776" s="339" t="str">
        <x:v>Documents, Verification &amp; Certificates rule 1</x:v>
      </x:c>
      <x:c r="G776" s="339" t="str">
        <x:v>Expired/replaced documents remain historically traceable where retention requires.</x:v>
      </x:c>
      <x:c r="H776" s="339" t="str">
        <x:v>Enforced in service/domain layer and reflected in UI validation/action availability.</x:v>
      </x:c>
      <x:c r="I776" s="339" t="str">
        <x:v>Medium</x:v>
      </x:c>
      <x:c r="J776" s="339" t="str">
        <x:v>Only an explicitly configured authorized override may bypass a non-statutory rule; overrides require reason and audit.</x:v>
      </x:c>
    </x:row>
    <x:row r="777">
      <x:c r="A777" s="339" t="str">
        <x:v>BR-00776</x:v>
      </x:c>
      <x:c r="B777" s="339" t="str">
        <x:v>Screen</x:v>
      </x:c>
      <x:c r="C777" s="339" t="str">
        <x:v>SCR-259</x:v>
      </x:c>
      <x:c r="D777" s="339" t="str">
        <x:v>Documents &amp; Certificates</x:v>
      </x:c>
      <x:c r="E777" s="339" t="str">
        <x:v>Upload &amp; Verification</x:v>
      </x:c>
      <x:c r="F777" s="339" t="str">
        <x:v>Documents, Verification &amp; Certificates rule 2</x:v>
      </x:c>
      <x:c r="G777" s="339" t="str">
        <x:v>Document access follows owner, role and document-sensitivity permissions.</x:v>
      </x:c>
      <x:c r="H777" s="339" t="str">
        <x:v>Enforced in service/domain layer and reflected in UI validation/action availability.</x:v>
      </x:c>
      <x:c r="I777" s="339" t="str">
        <x:v>Medium</x:v>
      </x:c>
      <x:c r="J777" s="339" t="str">
        <x:v>Only an explicitly configured authorized override may bypass a non-statutory rule; overrides require reason and audit.</x:v>
      </x:c>
    </x:row>
    <x:row r="778">
      <x:c r="A778" s="339" t="str">
        <x:v>BR-00777</x:v>
      </x:c>
      <x:c r="B778" s="339" t="str">
        <x:v>Screen Type</x:v>
      </x:c>
      <x:c r="C778" s="339" t="str">
        <x:v>SCR-259</x:v>
      </x:c>
      <x:c r="D778" s="339" t="str">
        <x:v>Documents &amp; Certificates</x:v>
      </x:c>
      <x:c r="E778" s="339" t="str">
        <x:v>Upload &amp; Verification</x:v>
      </x:c>
      <x:c r="F778" s="339" t="str">
        <x:v>Workflow / Management integrity rule</x:v>
      </x:c>
      <x:c r="G778" s="339" t="str">
        <x:v>State transitions are explicit, role-controlled and auditable; invalid transitions are rejected.</x:v>
      </x:c>
      <x:c r="H778" s="339" t="str">
        <x:v>Domain/service validation plus UI affordances.</x:v>
      </x:c>
      <x:c r="I778" s="339" t="str">
        <x:v>High</x:v>
      </x:c>
      <x:c r="J778" s="339" t="str">
        <x:v>No silent bypass; approved overrides must be separately authorized and audited.</x:v>
      </x:c>
    </x:row>
    <x:row r="779">
      <x:c r="A779" s="339" t="str">
        <x:v>BR-00778</x:v>
      </x:c>
      <x:c r="B779" s="339" t="str">
        <x:v>Screen</x:v>
      </x:c>
      <x:c r="C779" s="339" t="str">
        <x:v>SCR-260</x:v>
      </x:c>
      <x:c r="D779" s="339" t="str">
        <x:v>Documents &amp; Certificates</x:v>
      </x:c>
      <x:c r="E779" s="339" t="str">
        <x:v>Certificate Templates</x:v>
      </x:c>
      <x:c r="F779" s="339" t="str">
        <x:v>Documents, Verification &amp; Certificates rule 1</x:v>
      </x:c>
      <x:c r="G779" s="339" t="str">
        <x:v>Document access follows owner, role and document-sensitivity permissions.</x:v>
      </x:c>
      <x:c r="H779" s="339" t="str">
        <x:v>Enforced in service/domain layer and reflected in UI validation/action availability.</x:v>
      </x:c>
      <x:c r="I779" s="339" t="str">
        <x:v>Medium</x:v>
      </x:c>
      <x:c r="J779" s="339" t="str">
        <x:v>Only an explicitly configured authorized override may bypass a non-statutory rule; overrides require reason and audit.</x:v>
      </x:c>
    </x:row>
    <x:row r="780">
      <x:c r="A780" s="339" t="str">
        <x:v>BR-00779</x:v>
      </x:c>
      <x:c r="B780" s="339" t="str">
        <x:v>Screen</x:v>
      </x:c>
      <x:c r="C780" s="339" t="str">
        <x:v>SCR-260</x:v>
      </x:c>
      <x:c r="D780" s="339" t="str">
        <x:v>Documents &amp; Certificates</x:v>
      </x:c>
      <x:c r="E780" s="339" t="str">
        <x:v>Certificate Templates</x:v>
      </x:c>
      <x:c r="F780" s="339" t="str">
        <x:v>Documents, Verification &amp; Certificates rule 2</x:v>
      </x:c>
      <x:c r="G780" s="339" t="str">
        <x:v>Verified documents retain verifier/time and cannot silently lose verification evidence.</x:v>
      </x:c>
      <x:c r="H780" s="339" t="str">
        <x:v>Enforced in service/domain layer and reflected in UI validation/action availability.</x:v>
      </x:c>
      <x:c r="I780" s="339" t="str">
        <x:v>Medium</x:v>
      </x:c>
      <x:c r="J780" s="339" t="str">
        <x:v>Only an explicitly configured authorized override may bypass a non-statutory rule; overrides require reason and audit.</x:v>
      </x:c>
    </x:row>
    <x:row r="781">
      <x:c r="A781" s="339" t="str">
        <x:v>BR-00780</x:v>
      </x:c>
      <x:c r="B781" s="339" t="str">
        <x:v>Screen Type</x:v>
      </x:c>
      <x:c r="C781" s="339" t="str">
        <x:v>SCR-260</x:v>
      </x:c>
      <x:c r="D781" s="339" t="str">
        <x:v>Documents &amp; Certificates</x:v>
      </x:c>
      <x:c r="E781" s="339" t="str">
        <x:v>Certificate Templates</x:v>
      </x:c>
      <x:c r="F781" s="339" t="str">
        <x:v>Configuration integrity rule</x:v>
      </x:c>
      <x:c r="G781" s="339" t="str">
        <x:v>Referenced master/configuration data is not hard-deleted; use effective dating, versioning or inactivation.</x:v>
      </x:c>
      <x:c r="H781" s="339" t="str">
        <x:v>Domain/service validation plus UI affordances.</x:v>
      </x:c>
      <x:c r="I781" s="339" t="str">
        <x:v>High</x:v>
      </x:c>
      <x:c r="J781" s="339" t="str">
        <x:v>No silent bypass; approved overrides must be separately authorized and audited.</x:v>
      </x:c>
    </x:row>
    <x:row r="782">
      <x:c r="A782" s="339" t="str">
        <x:v>BR-00781</x:v>
      </x:c>
      <x:c r="B782" s="339" t="str">
        <x:v>Screen</x:v>
      </x:c>
      <x:c r="C782" s="339" t="str">
        <x:v>SCR-261</x:v>
      </x:c>
      <x:c r="D782" s="339" t="str">
        <x:v>Documents &amp; Certificates</x:v>
      </x:c>
      <x:c r="E782" s="339" t="str">
        <x:v>Generate Certificate</x:v>
      </x:c>
      <x:c r="F782" s="339" t="str">
        <x:v>Documents, Verification &amp; Certificates rule 1</x:v>
      </x:c>
      <x:c r="G782" s="339" t="str">
        <x:v>Verified documents retain verifier/time and cannot silently lose verification evidence.</x:v>
      </x:c>
      <x:c r="H782" s="339" t="str">
        <x:v>Enforced in service/domain layer and reflected in UI validation/action availability.</x:v>
      </x:c>
      <x:c r="I782" s="339" t="str">
        <x:v>Medium</x:v>
      </x:c>
      <x:c r="J782" s="339" t="str">
        <x:v>Only an explicitly configured authorized override may bypass a non-statutory rule; overrides require reason and audit.</x:v>
      </x:c>
    </x:row>
    <x:row r="783">
      <x:c r="A783" s="339" t="str">
        <x:v>BR-00782</x:v>
      </x:c>
      <x:c r="B783" s="339" t="str">
        <x:v>Screen</x:v>
      </x:c>
      <x:c r="C783" s="339" t="str">
        <x:v>SCR-261</x:v>
      </x:c>
      <x:c r="D783" s="339" t="str">
        <x:v>Documents &amp; Certificates</x:v>
      </x:c>
      <x:c r="E783" s="339" t="str">
        <x:v>Generate Certificate</x:v>
      </x:c>
      <x:c r="F783" s="339" t="str">
        <x:v>Documents, Verification &amp; Certificates rule 2</x:v>
      </x:c>
      <x:c r="G783" s="339" t="str">
        <x:v>Certificate numbers are unique within the configured template/series scope.</x:v>
      </x:c>
      <x:c r="H783" s="339" t="str">
        <x:v>Enforced in service/domain layer and reflected in UI validation/action availability.</x:v>
      </x:c>
      <x:c r="I783" s="339" t="str">
        <x:v>Medium</x:v>
      </x:c>
      <x:c r="J783" s="339" t="str">
        <x:v>Only an explicitly configured authorized override may bypass a non-statutory rule; overrides require reason and audit.</x:v>
      </x:c>
    </x:row>
    <x:row r="784">
      <x:c r="A784" s="339" t="str">
        <x:v>BR-00783</x:v>
      </x:c>
      <x:c r="B784" s="339" t="str">
        <x:v>Screen Type</x:v>
      </x:c>
      <x:c r="C784" s="339" t="str">
        <x:v>SCR-261</x:v>
      </x:c>
      <x:c r="D784" s="339" t="str">
        <x:v>Documents &amp; Certificates</x:v>
      </x:c>
      <x:c r="E784" s="339" t="str">
        <x:v>Generate Certificate</x:v>
      </x:c>
      <x:c r="F784" s="339" t="str">
        <x:v>Create / Transaction integrity rule</x:v>
      </x:c>
      <x:c r="G784" s="339" t="str">
        <x:v>A record is created only after all blocking validations, duplicate checks and reference checks pass.</x:v>
      </x:c>
      <x:c r="H784" s="339" t="str">
        <x:v>Domain/service validation plus UI affordances.</x:v>
      </x:c>
      <x:c r="I784" s="339" t="str">
        <x:v>High</x:v>
      </x:c>
      <x:c r="J784" s="339" t="str">
        <x:v>No silent bypass; approved overrides must be separately authorized and audited.</x:v>
      </x:c>
    </x:row>
    <x:row r="785">
      <x:c r="A785" s="339" t="str">
        <x:v>BR-00784</x:v>
      </x:c>
      <x:c r="B785" s="339" t="str">
        <x:v>Screen</x:v>
      </x:c>
      <x:c r="C785" s="339" t="str">
        <x:v>SCR-262</x:v>
      </x:c>
      <x:c r="D785" s="339" t="str">
        <x:v>Documents &amp; Certificates</x:v>
      </x:c>
      <x:c r="E785" s="339" t="str">
        <x:v>Transfer Certificate</x:v>
      </x:c>
      <x:c r="F785" s="339" t="str">
        <x:v>Documents, Verification &amp; Certificates rule 1</x:v>
      </x:c>
      <x:c r="G785" s="339" t="str">
        <x:v>Certificate numbers are unique within the configured template/series scope.</x:v>
      </x:c>
      <x:c r="H785" s="339" t="str">
        <x:v>Enforced in service/domain layer and reflected in UI validation/action availability.</x:v>
      </x:c>
      <x:c r="I785" s="339" t="str">
        <x:v>Medium</x:v>
      </x:c>
      <x:c r="J785" s="339" t="str">
        <x:v>Only an explicitly configured authorized override may bypass a non-statutory rule; overrides require reason and audit.</x:v>
      </x:c>
    </x:row>
    <x:row r="786">
      <x:c r="A786" s="339" t="str">
        <x:v>BR-00785</x:v>
      </x:c>
      <x:c r="B786" s="339" t="str">
        <x:v>Screen</x:v>
      </x:c>
      <x:c r="C786" s="339" t="str">
        <x:v>SCR-262</x:v>
      </x:c>
      <x:c r="D786" s="339" t="str">
        <x:v>Documents &amp; Certificates</x:v>
      </x:c>
      <x:c r="E786" s="339" t="str">
        <x:v>Transfer Certificate</x:v>
      </x:c>
      <x:c r="F786" s="339" t="str">
        <x:v>Documents, Verification &amp; Certificates rule 2</x:v>
      </x:c>
      <x:c r="G786" s="339" t="str">
        <x:v>Generated certificates must use approved templates and snapshot the source data used.</x:v>
      </x:c>
      <x:c r="H786" s="339" t="str">
        <x:v>Enforced in service/domain layer and reflected in UI validation/action availability.</x:v>
      </x:c>
      <x:c r="I786" s="339" t="str">
        <x:v>Medium</x:v>
      </x:c>
      <x:c r="J786" s="339" t="str">
        <x:v>Only an explicitly configured authorized override may bypass a non-statutory rule; overrides require reason and audit.</x:v>
      </x:c>
    </x:row>
    <x:row r="787">
      <x:c r="A787" s="339" t="str">
        <x:v>BR-00786</x:v>
      </x:c>
      <x:c r="B787" s="339" t="str">
        <x:v>Screen Type</x:v>
      </x:c>
      <x:c r="C787" s="339" t="str">
        <x:v>SCR-262</x:v>
      </x:c>
      <x:c r="D787" s="339" t="str">
        <x:v>Documents &amp; Certificates</x:v>
      </x:c>
      <x:c r="E787" s="339" t="str">
        <x:v>Transfer Certificate</x:v>
      </x:c>
      <x:c r="F787" s="339" t="str">
        <x:v>Workflow / Management integrity rule</x:v>
      </x:c>
      <x:c r="G787" s="339" t="str">
        <x:v>State transitions are explicit, role-controlled and auditable; invalid transitions are rejected.</x:v>
      </x:c>
      <x:c r="H787" s="339" t="str">
        <x:v>Domain/service validation plus UI affordances.</x:v>
      </x:c>
      <x:c r="I787" s="339" t="str">
        <x:v>High</x:v>
      </x:c>
      <x:c r="J787" s="339" t="str">
        <x:v>No silent bypass; approved overrides must be separately authorized and audited.</x:v>
      </x:c>
    </x:row>
    <x:row r="788">
      <x:c r="A788" s="339" t="str">
        <x:v>BR-00787</x:v>
      </x:c>
      <x:c r="B788" s="339" t="str">
        <x:v>Screen</x:v>
      </x:c>
      <x:c r="C788" s="339" t="str">
        <x:v>SCR-263</x:v>
      </x:c>
      <x:c r="D788" s="339" t="str">
        <x:v>Documents &amp; Certificates</x:v>
      </x:c>
      <x:c r="E788" s="339" t="str">
        <x:v>Certificate Register</x:v>
      </x:c>
      <x:c r="F788" s="339" t="str">
        <x:v>Documents, Verification &amp; Certificates rule 1</x:v>
      </x:c>
      <x:c r="G788" s="339" t="str">
        <x:v>Generated certificates must use approved templates and snapshot the source data used.</x:v>
      </x:c>
      <x:c r="H788" s="339" t="str">
        <x:v>Enforced in service/domain layer and reflected in UI validation/action availability.</x:v>
      </x:c>
      <x:c r="I788" s="339" t="str">
        <x:v>Medium</x:v>
      </x:c>
      <x:c r="J788" s="339" t="str">
        <x:v>Only an explicitly configured authorized override may bypass a non-statutory rule; overrides require reason and audit.</x:v>
      </x:c>
    </x:row>
    <x:row r="789">
      <x:c r="A789" s="339" t="str">
        <x:v>BR-00788</x:v>
      </x:c>
      <x:c r="B789" s="339" t="str">
        <x:v>Screen</x:v>
      </x:c>
      <x:c r="C789" s="339" t="str">
        <x:v>SCR-263</x:v>
      </x:c>
      <x:c r="D789" s="339" t="str">
        <x:v>Documents &amp; Certificates</x:v>
      </x:c>
      <x:c r="E789" s="339" t="str">
        <x:v>Certificate Register</x:v>
      </x:c>
      <x:c r="F789" s="339" t="str">
        <x:v>Documents, Verification &amp; Certificates rule 2</x:v>
      </x:c>
      <x:c r="G789" s="339" t="str">
        <x:v>Expired/replaced documents remain historically traceable where retention requires.</x:v>
      </x:c>
      <x:c r="H789" s="339" t="str">
        <x:v>Enforced in service/domain layer and reflected in UI validation/action availability.</x:v>
      </x:c>
      <x:c r="I789" s="339" t="str">
        <x:v>Medium</x:v>
      </x:c>
      <x:c r="J789" s="339" t="str">
        <x:v>Only an explicitly configured authorized override may bypass a non-statutory rule; overrides require reason and audit.</x:v>
      </x:c>
    </x:row>
    <x:row r="790">
      <x:c r="A790" s="339" t="str">
        <x:v>BR-00789</x:v>
      </x:c>
      <x:c r="B790" s="339" t="str">
        <x:v>Screen Type</x:v>
      </x:c>
      <x:c r="C790" s="339" t="str">
        <x:v>SCR-263</x:v>
      </x:c>
      <x:c r="D790" s="339" t="str">
        <x:v>Documents &amp; Certificates</x:v>
      </x:c>
      <x:c r="E790" s="339" t="str">
        <x:v>Certificate Register</x:v>
      </x:c>
      <x:c r="F790" s="339" t="str">
        <x:v>Detail / Profile integrity rule</x:v>
      </x:c>
      <x:c r="G790" s="339" t="str">
        <x:v>Concurrent updates must not silently overwrite newer data; material edits are audited.</x:v>
      </x:c>
      <x:c r="H790" s="339" t="str">
        <x:v>Domain/service validation plus UI affordances.</x:v>
      </x:c>
      <x:c r="I790" s="339" t="str">
        <x:v>High</x:v>
      </x:c>
      <x:c r="J790" s="339" t="str">
        <x:v>No silent bypass; approved overrides must be separately authorized and audited.</x:v>
      </x:c>
    </x:row>
    <x:row r="791">
      <x:c r="A791" s="339" t="str">
        <x:v>BR-00790</x:v>
      </x:c>
      <x:c r="B791" s="339" t="str">
        <x:v>Screen</x:v>
      </x:c>
      <x:c r="C791" s="339" t="str">
        <x:v>SCR-264</x:v>
      </x:c>
      <x:c r="D791" s="339" t="str">
        <x:v>Reports &amp; Analytics</x:v>
      </x:c>
      <x:c r="E791" s="339" t="str">
        <x:v>Executive Analytics Dashboard</x:v>
      </x:c>
      <x:c r="F791" s="339" t="str">
        <x:v>Reporting, Analytics &amp; Decision Support rule 1</x:v>
      </x:c>
      <x:c r="G791" s="339" t="str">
        <x:v>Custom reports cannot bypass tenant isolation or security policies.</x:v>
      </x:c>
      <x:c r="H791" s="339" t="str">
        <x:v>Enforced in service/domain layer and reflected in UI validation/action availability.</x:v>
      </x:c>
      <x:c r="I791" s="339" t="str">
        <x:v>Medium</x:v>
      </x:c>
      <x:c r="J791" s="339" t="str">
        <x:v>Only an explicitly configured authorized override may bypass a non-statutory rule; overrides require reason and audit.</x:v>
      </x:c>
    </x:row>
    <x:row r="792">
      <x:c r="A792" s="339" t="str">
        <x:v>BR-00791</x:v>
      </x:c>
      <x:c r="B792" s="339" t="str">
        <x:v>Screen</x:v>
      </x:c>
      <x:c r="C792" s="339" t="str">
        <x:v>SCR-264</x:v>
      </x:c>
      <x:c r="D792" s="339" t="str">
        <x:v>Reports &amp; Analytics</x:v>
      </x:c>
      <x:c r="E792" s="339" t="str">
        <x:v>Executive Analytics Dashboard</x:v>
      </x:c>
      <x:c r="F792" s="339" t="str">
        <x:v>Reporting, Analytics &amp; Decision Support rule 2</x:v>
      </x:c>
      <x:c r="G792" s="339" t="str">
        <x:v>Reports must enforce the same row-level data scope as transactional screens.</x:v>
      </x:c>
      <x:c r="H792" s="339" t="str">
        <x:v>Enforced in service/domain layer and reflected in UI validation/action availability.</x:v>
      </x:c>
      <x:c r="I792" s="339" t="str">
        <x:v>Medium</x:v>
      </x:c>
      <x:c r="J792" s="339" t="str">
        <x:v>Only an explicitly configured authorized override may bypass a non-statutory rule; overrides require reason and audit.</x:v>
      </x:c>
    </x:row>
    <x:row r="793">
      <x:c r="A793" s="339" t="str">
        <x:v>BR-00792</x:v>
      </x:c>
      <x:c r="B793" s="339" t="str">
        <x:v>Screen Type</x:v>
      </x:c>
      <x:c r="C793" s="339" t="str">
        <x:v>SCR-264</x:v>
      </x:c>
      <x:c r="D793" s="339" t="str">
        <x:v>Reports &amp; Analytics</x:v>
      </x:c>
      <x:c r="E793" s="339" t="str">
        <x:v>Executive Analytics Dashboard</x:v>
      </x:c>
      <x:c r="F793" s="339" t="str">
        <x:v>Dashboard integrity rule</x:v>
      </x:c>
      <x:c r="G793" s="339" t="str">
        <x:v>Displayed totals must reconcile to the same authorized source rows used by drill-down and reports.</x:v>
      </x:c>
      <x:c r="H793" s="339" t="str">
        <x:v>Domain/service validation plus UI affordances.</x:v>
      </x:c>
      <x:c r="I793" s="339" t="str">
        <x:v>High</x:v>
      </x:c>
      <x:c r="J793" s="339" t="str">
        <x:v>No silent bypass; approved overrides must be separately authorized and audited.</x:v>
      </x:c>
    </x:row>
    <x:row r="794">
      <x:c r="A794" s="339" t="str">
        <x:v>BR-00793</x:v>
      </x:c>
      <x:c r="B794" s="339" t="str">
        <x:v>Screen</x:v>
      </x:c>
      <x:c r="C794" s="339" t="str">
        <x:v>SCR-265</x:v>
      </x:c>
      <x:c r="D794" s="339" t="str">
        <x:v>Reports &amp; Analytics</x:v>
      </x:c>
      <x:c r="E794" s="339" t="str">
        <x:v>Admission Reports</x:v>
      </x:c>
      <x:c r="F794" s="339" t="str">
        <x:v>Reporting, Analytics &amp; Decision Support rule 1</x:v>
      </x:c>
      <x:c r="G794" s="339" t="str">
        <x:v>Reports must enforce the same row-level data scope as transactional screens.</x:v>
      </x:c>
      <x:c r="H794" s="339" t="str">
        <x:v>Enforced in service/domain layer and reflected in UI validation/action availability.</x:v>
      </x:c>
      <x:c r="I794" s="339" t="str">
        <x:v>Medium</x:v>
      </x:c>
      <x:c r="J794" s="339" t="str">
        <x:v>Only an explicitly configured authorized override may bypass a non-statutory rule; overrides require reason and audit.</x:v>
      </x:c>
    </x:row>
    <x:row r="795">
      <x:c r="A795" s="339" t="str">
        <x:v>BR-00794</x:v>
      </x:c>
      <x:c r="B795" s="339" t="str">
        <x:v>Screen</x:v>
      </x:c>
      <x:c r="C795" s="339" t="str">
        <x:v>SCR-265</x:v>
      </x:c>
      <x:c r="D795" s="339" t="str">
        <x:v>Reports &amp; Analytics</x:v>
      </x:c>
      <x:c r="E795" s="339" t="str">
        <x:v>Admission Reports</x:v>
      </x:c>
      <x:c r="F795" s="339" t="str">
        <x:v>Reporting, Analytics &amp; Decision Support rule 2</x:v>
      </x:c>
      <x:c r="G795" s="339" t="str">
        <x:v>Metric definitions must be consistent across dashboards and detailed reports.</x:v>
      </x:c>
      <x:c r="H795" s="339" t="str">
        <x:v>Enforced in service/domain layer and reflected in UI validation/action availability.</x:v>
      </x:c>
      <x:c r="I795" s="339" t="str">
        <x:v>Medium</x:v>
      </x:c>
      <x:c r="J795" s="339" t="str">
        <x:v>Only an explicitly configured authorized override may bypass a non-statutory rule; overrides require reason and audit.</x:v>
      </x:c>
    </x:row>
    <x:row r="796">
      <x:c r="A796" s="339" t="str">
        <x:v>BR-00795</x:v>
      </x:c>
      <x:c r="B796" s="339" t="str">
        <x:v>Screen Type</x:v>
      </x:c>
      <x:c r="C796" s="339" t="str">
        <x:v>SCR-265</x:v>
      </x:c>
      <x:c r="D796" s="339" t="str">
        <x:v>Reports &amp; Analytics</x:v>
      </x:c>
      <x:c r="E796" s="339" t="str">
        <x:v>Admission Reports</x:v>
      </x:c>
      <x:c r="F796" s="339" t="str">
        <x:v>Report / Analytics integrity rule</x:v>
      </x:c>
      <x:c r="G796" s="339" t="str">
        <x:v>Report formulas and filters must be deterministic, documented and export the same visible scope.</x:v>
      </x:c>
      <x:c r="H796" s="339" t="str">
        <x:v>Domain/service validation plus UI affordances.</x:v>
      </x:c>
      <x:c r="I796" s="339" t="str">
        <x:v>High</x:v>
      </x:c>
      <x:c r="J796" s="339" t="str">
        <x:v>No silent bypass; approved overrides must be separately authorized and audited.</x:v>
      </x:c>
    </x:row>
    <x:row r="797">
      <x:c r="A797" s="339" t="str">
        <x:v>BR-00796</x:v>
      </x:c>
      <x:c r="B797" s="339" t="str">
        <x:v>Screen</x:v>
      </x:c>
      <x:c r="C797" s="339" t="str">
        <x:v>SCR-266</x:v>
      </x:c>
      <x:c r="D797" s="339" t="str">
        <x:v>Reports &amp; Analytics</x:v>
      </x:c>
      <x:c r="E797" s="339" t="str">
        <x:v>Student Strength Report</x:v>
      </x:c>
      <x:c r="F797" s="339" t="str">
        <x:v>Reporting, Analytics &amp; Decision Support rule 1</x:v>
      </x:c>
      <x:c r="G797" s="339" t="str">
        <x:v>Metric definitions must be consistent across dashboards and detailed reports.</x:v>
      </x:c>
      <x:c r="H797" s="339" t="str">
        <x:v>Enforced in service/domain layer and reflected in UI validation/action availability.</x:v>
      </x:c>
      <x:c r="I797" s="339" t="str">
        <x:v>Medium</x:v>
      </x:c>
      <x:c r="J797" s="339" t="str">
        <x:v>Only an explicitly configured authorized override may bypass a non-statutory rule; overrides require reason and audit.</x:v>
      </x:c>
    </x:row>
    <x:row r="798">
      <x:c r="A798" s="339" t="str">
        <x:v>BR-00797</x:v>
      </x:c>
      <x:c r="B798" s="339" t="str">
        <x:v>Screen</x:v>
      </x:c>
      <x:c r="C798" s="339" t="str">
        <x:v>SCR-266</x:v>
      </x:c>
      <x:c r="D798" s="339" t="str">
        <x:v>Reports &amp; Analytics</x:v>
      </x:c>
      <x:c r="E798" s="339" t="str">
        <x:v>Student Strength Report</x:v>
      </x:c>
      <x:c r="F798" s="339" t="str">
        <x:v>Reporting, Analytics &amp; Decision Support rule 2</x:v>
      </x:c>
      <x:c r="G798" s="339" t="str">
        <x:v>Exports must reflect the visible filter scope and include report run context/timestamp where appropriate.</x:v>
      </x:c>
      <x:c r="H798" s="339" t="str">
        <x:v>Enforced in service/domain layer and reflected in UI validation/action availability.</x:v>
      </x:c>
      <x:c r="I798" s="339" t="str">
        <x:v>Medium</x:v>
      </x:c>
      <x:c r="J798" s="339" t="str">
        <x:v>Only an explicitly configured authorized override may bypass a non-statutory rule; overrides require reason and audit.</x:v>
      </x:c>
    </x:row>
    <x:row r="799">
      <x:c r="A799" s="339" t="str">
        <x:v>BR-00798</x:v>
      </x:c>
      <x:c r="B799" s="339" t="str">
        <x:v>Screen Type</x:v>
      </x:c>
      <x:c r="C799" s="339" t="str">
        <x:v>SCR-266</x:v>
      </x:c>
      <x:c r="D799" s="339" t="str">
        <x:v>Reports &amp; Analytics</x:v>
      </x:c>
      <x:c r="E799" s="339" t="str">
        <x:v>Student Strength Report</x:v>
      </x:c>
      <x:c r="F799" s="339" t="str">
        <x:v>Report / Analytics integrity rule</x:v>
      </x:c>
      <x:c r="G799" s="339" t="str">
        <x:v>Report formulas and filters must be deterministic, documented and export the same visible scope.</x:v>
      </x:c>
      <x:c r="H799" s="339" t="str">
        <x:v>Domain/service validation plus UI affordances.</x:v>
      </x:c>
      <x:c r="I799" s="339" t="str">
        <x:v>High</x:v>
      </x:c>
      <x:c r="J799" s="339" t="str">
        <x:v>No silent bypass; approved overrides must be separately authorized and audited.</x:v>
      </x:c>
    </x:row>
    <x:row r="800">
      <x:c r="A800" s="339" t="str">
        <x:v>BR-00799</x:v>
      </x:c>
      <x:c r="B800" s="339" t="str">
        <x:v>Screen</x:v>
      </x:c>
      <x:c r="C800" s="339" t="str">
        <x:v>SCR-267</x:v>
      </x:c>
      <x:c r="D800" s="339" t="str">
        <x:v>Reports &amp; Analytics</x:v>
      </x:c>
      <x:c r="E800" s="339" t="str">
        <x:v>Student Demographics</x:v>
      </x:c>
      <x:c r="F800" s="339" t="str">
        <x:v>Reporting, Analytics &amp; Decision Support rule 1</x:v>
      </x:c>
      <x:c r="G800" s="339" t="str">
        <x:v>Exports must reflect the visible filter scope and include report run context/timestamp where appropriate.</x:v>
      </x:c>
      <x:c r="H800" s="339" t="str">
        <x:v>Enforced in service/domain layer and reflected in UI validation/action availability.</x:v>
      </x:c>
      <x:c r="I800" s="339" t="str">
        <x:v>Medium</x:v>
      </x:c>
      <x:c r="J800" s="339" t="str">
        <x:v>Only an explicitly configured authorized override may bypass a non-statutory rule; overrides require reason and audit.</x:v>
      </x:c>
    </x:row>
    <x:row r="801">
      <x:c r="A801" s="339" t="str">
        <x:v>BR-00800</x:v>
      </x:c>
      <x:c r="B801" s="339" t="str">
        <x:v>Screen</x:v>
      </x:c>
      <x:c r="C801" s="339" t="str">
        <x:v>SCR-267</x:v>
      </x:c>
      <x:c r="D801" s="339" t="str">
        <x:v>Reports &amp; Analytics</x:v>
      </x:c>
      <x:c r="E801" s="339" t="str">
        <x:v>Student Demographics</x:v>
      </x:c>
      <x:c r="F801" s="339" t="str">
        <x:v>Reporting, Analytics &amp; Decision Support rule 2</x:v>
      </x:c>
      <x:c r="G801" s="339" t="str">
        <x:v>Sensitive columns must be masked/omitted based on role and export permission.</x:v>
      </x:c>
      <x:c r="H801" s="339" t="str">
        <x:v>Enforced in service/domain layer and reflected in UI validation/action availability.</x:v>
      </x:c>
      <x:c r="I801" s="339" t="str">
        <x:v>Medium</x:v>
      </x:c>
      <x:c r="J801" s="339" t="str">
        <x:v>Only an explicitly configured authorized override may bypass a non-statutory rule; overrides require reason and audit.</x:v>
      </x:c>
    </x:row>
    <x:row r="802">
      <x:c r="A802" s="339" t="str">
        <x:v>BR-00801</x:v>
      </x:c>
      <x:c r="B802" s="339" t="str">
        <x:v>Screen Type</x:v>
      </x:c>
      <x:c r="C802" s="339" t="str">
        <x:v>SCR-267</x:v>
      </x:c>
      <x:c r="D802" s="339" t="str">
        <x:v>Reports &amp; Analytics</x:v>
      </x:c>
      <x:c r="E802" s="339" t="str">
        <x:v>Student Demographics</x:v>
      </x:c>
      <x:c r="F802" s="339" t="str">
        <x:v>Workflow / Management integrity rule</x:v>
      </x:c>
      <x:c r="G802" s="339" t="str">
        <x:v>State transitions are explicit, role-controlled and auditable; invalid transitions are rejected.</x:v>
      </x:c>
      <x:c r="H802" s="339" t="str">
        <x:v>Domain/service validation plus UI affordances.</x:v>
      </x:c>
      <x:c r="I802" s="339" t="str">
        <x:v>High</x:v>
      </x:c>
      <x:c r="J802" s="339" t="str">
        <x:v>No silent bypass; approved overrides must be separately authorized and audited.</x:v>
      </x:c>
    </x:row>
    <x:row r="803">
      <x:c r="A803" s="339" t="str">
        <x:v>BR-00802</x:v>
      </x:c>
      <x:c r="B803" s="339" t="str">
        <x:v>Screen</x:v>
      </x:c>
      <x:c r="C803" s="339" t="str">
        <x:v>SCR-268</x:v>
      </x:c>
      <x:c r="D803" s="339" t="str">
        <x:v>Reports &amp; Analytics</x:v>
      </x:c>
      <x:c r="E803" s="339" t="str">
        <x:v>Attendance Analytics</x:v>
      </x:c>
      <x:c r="F803" s="339" t="str">
        <x:v>Reporting, Analytics &amp; Decision Support rule 1</x:v>
      </x:c>
      <x:c r="G803" s="339" t="str">
        <x:v>Sensitive columns must be masked/omitted based on role and export permission.</x:v>
      </x:c>
      <x:c r="H803" s="339" t="str">
        <x:v>Enforced in service/domain layer and reflected in UI validation/action availability.</x:v>
      </x:c>
      <x:c r="I803" s="339" t="str">
        <x:v>Medium</x:v>
      </x:c>
      <x:c r="J803" s="339" t="str">
        <x:v>Only an explicitly configured authorized override may bypass a non-statutory rule; overrides require reason and audit.</x:v>
      </x:c>
    </x:row>
    <x:row r="804">
      <x:c r="A804" s="339" t="str">
        <x:v>BR-00803</x:v>
      </x:c>
      <x:c r="B804" s="339" t="str">
        <x:v>Screen</x:v>
      </x:c>
      <x:c r="C804" s="339" t="str">
        <x:v>SCR-268</x:v>
      </x:c>
      <x:c r="D804" s="339" t="str">
        <x:v>Reports &amp; Analytics</x:v>
      </x:c>
      <x:c r="E804" s="339" t="str">
        <x:v>Attendance Analytics</x:v>
      </x:c>
      <x:c r="F804" s="339" t="str">
        <x:v>Reporting, Analytics &amp; Decision Support rule 2</x:v>
      </x:c>
      <x:c r="G804" s="339" t="str">
        <x:v>Custom reports cannot bypass tenant isolation or security policies.</x:v>
      </x:c>
      <x:c r="H804" s="339" t="str">
        <x:v>Enforced in service/domain layer and reflected in UI validation/action availability.</x:v>
      </x:c>
      <x:c r="I804" s="339" t="str">
        <x:v>Medium</x:v>
      </x:c>
      <x:c r="J804" s="339" t="str">
        <x:v>Only an explicitly configured authorized override may bypass a non-statutory rule; overrides require reason and audit.</x:v>
      </x:c>
    </x:row>
    <x:row r="805">
      <x:c r="A805" s="339" t="str">
        <x:v>BR-00804</x:v>
      </x:c>
      <x:c r="B805" s="339" t="str">
        <x:v>Screen Type</x:v>
      </x:c>
      <x:c r="C805" s="339" t="str">
        <x:v>SCR-268</x:v>
      </x:c>
      <x:c r="D805" s="339" t="str">
        <x:v>Reports &amp; Analytics</x:v>
      </x:c>
      <x:c r="E805" s="339" t="str">
        <x:v>Attendance Analytics</x:v>
      </x:c>
      <x:c r="F805" s="339" t="str">
        <x:v>Report / Analytics integrity rule</x:v>
      </x:c>
      <x:c r="G805" s="339" t="str">
        <x:v>Report formulas and filters must be deterministic, documented and export the same visible scope.</x:v>
      </x:c>
      <x:c r="H805" s="339" t="str">
        <x:v>Domain/service validation plus UI affordances.</x:v>
      </x:c>
      <x:c r="I805" s="339" t="str">
        <x:v>High</x:v>
      </x:c>
      <x:c r="J805" s="339" t="str">
        <x:v>No silent bypass; approved overrides must be separately authorized and audited.</x:v>
      </x:c>
    </x:row>
    <x:row r="806">
      <x:c r="A806" s="339" t="str">
        <x:v>BR-00805</x:v>
      </x:c>
      <x:c r="B806" s="339" t="str">
        <x:v>Screen</x:v>
      </x:c>
      <x:c r="C806" s="339" t="str">
        <x:v>SCR-269</x:v>
      </x:c>
      <x:c r="D806" s="339" t="str">
        <x:v>Reports &amp; Analytics</x:v>
      </x:c>
      <x:c r="E806" s="339" t="str">
        <x:v>Chronic Absenteeism Report</x:v>
      </x:c>
      <x:c r="F806" s="339" t="str">
        <x:v>Reporting, Analytics &amp; Decision Support rule 1</x:v>
      </x:c>
      <x:c r="G806" s="339" t="str">
        <x:v>Custom reports cannot bypass tenant isolation or security policies.</x:v>
      </x:c>
      <x:c r="H806" s="339" t="str">
        <x:v>Enforced in service/domain layer and reflected in UI validation/action availability.</x:v>
      </x:c>
      <x:c r="I806" s="339" t="str">
        <x:v>Medium</x:v>
      </x:c>
      <x:c r="J806" s="339" t="str">
        <x:v>Only an explicitly configured authorized override may bypass a non-statutory rule; overrides require reason and audit.</x:v>
      </x:c>
    </x:row>
    <x:row r="807">
      <x:c r="A807" s="339" t="str">
        <x:v>BR-00806</x:v>
      </x:c>
      <x:c r="B807" s="339" t="str">
        <x:v>Screen</x:v>
      </x:c>
      <x:c r="C807" s="339" t="str">
        <x:v>SCR-269</x:v>
      </x:c>
      <x:c r="D807" s="339" t="str">
        <x:v>Reports &amp; Analytics</x:v>
      </x:c>
      <x:c r="E807" s="339" t="str">
        <x:v>Chronic Absenteeism Report</x:v>
      </x:c>
      <x:c r="F807" s="339" t="str">
        <x:v>Reporting, Analytics &amp; Decision Support rule 2</x:v>
      </x:c>
      <x:c r="G807" s="339" t="str">
        <x:v>Reports must enforce the same row-level data scope as transactional screens.</x:v>
      </x:c>
      <x:c r="H807" s="339" t="str">
        <x:v>Enforced in service/domain layer and reflected in UI validation/action availability.</x:v>
      </x:c>
      <x:c r="I807" s="339" t="str">
        <x:v>Medium</x:v>
      </x:c>
      <x:c r="J807" s="339" t="str">
        <x:v>Only an explicitly configured authorized override may bypass a non-statutory rule; overrides require reason and audit.</x:v>
      </x:c>
    </x:row>
    <x:row r="808">
      <x:c r="A808" s="339" t="str">
        <x:v>BR-00807</x:v>
      </x:c>
      <x:c r="B808" s="339" t="str">
        <x:v>Screen Type</x:v>
      </x:c>
      <x:c r="C808" s="339" t="str">
        <x:v>SCR-269</x:v>
      </x:c>
      <x:c r="D808" s="339" t="str">
        <x:v>Reports &amp; Analytics</x:v>
      </x:c>
      <x:c r="E808" s="339" t="str">
        <x:v>Chronic Absenteeism Report</x:v>
      </x:c>
      <x:c r="F808" s="339" t="str">
        <x:v>Report / Analytics integrity rule</x:v>
      </x:c>
      <x:c r="G808" s="339" t="str">
        <x:v>Report formulas and filters must be deterministic, documented and export the same visible scope.</x:v>
      </x:c>
      <x:c r="H808" s="339" t="str">
        <x:v>Domain/service validation plus UI affordances.</x:v>
      </x:c>
      <x:c r="I808" s="339" t="str">
        <x:v>High</x:v>
      </x:c>
      <x:c r="J808" s="339" t="str">
        <x:v>No silent bypass; approved overrides must be separately authorized and audited.</x:v>
      </x:c>
    </x:row>
    <x:row r="809">
      <x:c r="A809" s="339" t="str">
        <x:v>BR-00808</x:v>
      </x:c>
      <x:c r="B809" s="339" t="str">
        <x:v>Screen</x:v>
      </x:c>
      <x:c r="C809" s="339" t="str">
        <x:v>SCR-270</x:v>
      </x:c>
      <x:c r="D809" s="339" t="str">
        <x:v>Reports &amp; Analytics</x:v>
      </x:c>
      <x:c r="E809" s="339" t="str">
        <x:v>Academic Performance</x:v>
      </x:c>
      <x:c r="F809" s="339" t="str">
        <x:v>Reporting, Analytics &amp; Decision Support rule 1</x:v>
      </x:c>
      <x:c r="G809" s="339" t="str">
        <x:v>Reports must enforce the same row-level data scope as transactional screens.</x:v>
      </x:c>
      <x:c r="H809" s="339" t="str">
        <x:v>Enforced in service/domain layer and reflected in UI validation/action availability.</x:v>
      </x:c>
      <x:c r="I809" s="339" t="str">
        <x:v>Medium</x:v>
      </x:c>
      <x:c r="J809" s="339" t="str">
        <x:v>Only an explicitly configured authorized override may bypass a non-statutory rule; overrides require reason and audit.</x:v>
      </x:c>
    </x:row>
    <x:row r="810">
      <x:c r="A810" s="339" t="str">
        <x:v>BR-00809</x:v>
      </x:c>
      <x:c r="B810" s="339" t="str">
        <x:v>Screen</x:v>
      </x:c>
      <x:c r="C810" s="339" t="str">
        <x:v>SCR-270</x:v>
      </x:c>
      <x:c r="D810" s="339" t="str">
        <x:v>Reports &amp; Analytics</x:v>
      </x:c>
      <x:c r="E810" s="339" t="str">
        <x:v>Academic Performance</x:v>
      </x:c>
      <x:c r="F810" s="339" t="str">
        <x:v>Reporting, Analytics &amp; Decision Support rule 2</x:v>
      </x:c>
      <x:c r="G810" s="339" t="str">
        <x:v>Metric definitions must be consistent across dashboards and detailed reports.</x:v>
      </x:c>
      <x:c r="H810" s="339" t="str">
        <x:v>Enforced in service/domain layer and reflected in UI validation/action availability.</x:v>
      </x:c>
      <x:c r="I810" s="339" t="str">
        <x:v>Medium</x:v>
      </x:c>
      <x:c r="J810" s="339" t="str">
        <x:v>Only an explicitly configured authorized override may bypass a non-statutory rule; overrides require reason and audit.</x:v>
      </x:c>
    </x:row>
    <x:row r="811">
      <x:c r="A811" s="339" t="str">
        <x:v>BR-00810</x:v>
      </x:c>
      <x:c r="B811" s="339" t="str">
        <x:v>Screen Type</x:v>
      </x:c>
      <x:c r="C811" s="339" t="str">
        <x:v>SCR-270</x:v>
      </x:c>
      <x:c r="D811" s="339" t="str">
        <x:v>Reports &amp; Analytics</x:v>
      </x:c>
      <x:c r="E811" s="339" t="str">
        <x:v>Academic Performance</x:v>
      </x:c>
      <x:c r="F811" s="339" t="str">
        <x:v>Workflow / Management integrity rule</x:v>
      </x:c>
      <x:c r="G811" s="339" t="str">
        <x:v>State transitions are explicit, role-controlled and auditable; invalid transitions are rejected.</x:v>
      </x:c>
      <x:c r="H811" s="339" t="str">
        <x:v>Domain/service validation plus UI affordances.</x:v>
      </x:c>
      <x:c r="I811" s="339" t="str">
        <x:v>High</x:v>
      </x:c>
      <x:c r="J811" s="339" t="str">
        <x:v>No silent bypass; approved overrides must be separately authorized and audited.</x:v>
      </x:c>
    </x:row>
    <x:row r="812">
      <x:c r="A812" s="339" t="str">
        <x:v>BR-00811</x:v>
      </x:c>
      <x:c r="B812" s="339" t="str">
        <x:v>Screen</x:v>
      </x:c>
      <x:c r="C812" s="339" t="str">
        <x:v>SCR-271</x:v>
      </x:c>
      <x:c r="D812" s="339" t="str">
        <x:v>Reports &amp; Analytics</x:v>
      </x:c>
      <x:c r="E812" s="339" t="str">
        <x:v>Subject Performance</x:v>
      </x:c>
      <x:c r="F812" s="339" t="str">
        <x:v>Reporting, Analytics &amp; Decision Support rule 1</x:v>
      </x:c>
      <x:c r="G812" s="339" t="str">
        <x:v>Metric definitions must be consistent across dashboards and detailed reports.</x:v>
      </x:c>
      <x:c r="H812" s="339" t="str">
        <x:v>Enforced in service/domain layer and reflected in UI validation/action availability.</x:v>
      </x:c>
      <x:c r="I812" s="339" t="str">
        <x:v>Medium</x:v>
      </x:c>
      <x:c r="J812" s="339" t="str">
        <x:v>Only an explicitly configured authorized override may bypass a non-statutory rule; overrides require reason and audit.</x:v>
      </x:c>
    </x:row>
    <x:row r="813">
      <x:c r="A813" s="339" t="str">
        <x:v>BR-00812</x:v>
      </x:c>
      <x:c r="B813" s="339" t="str">
        <x:v>Screen</x:v>
      </x:c>
      <x:c r="C813" s="339" t="str">
        <x:v>SCR-271</x:v>
      </x:c>
      <x:c r="D813" s="339" t="str">
        <x:v>Reports &amp; Analytics</x:v>
      </x:c>
      <x:c r="E813" s="339" t="str">
        <x:v>Subject Performance</x:v>
      </x:c>
      <x:c r="F813" s="339" t="str">
        <x:v>Reporting, Analytics &amp; Decision Support rule 2</x:v>
      </x:c>
      <x:c r="G813" s="339" t="str">
        <x:v>Exports must reflect the visible filter scope and include report run context/timestamp where appropriate.</x:v>
      </x:c>
      <x:c r="H813" s="339" t="str">
        <x:v>Enforced in service/domain layer and reflected in UI validation/action availability.</x:v>
      </x:c>
      <x:c r="I813" s="339" t="str">
        <x:v>Medium</x:v>
      </x:c>
      <x:c r="J813" s="339" t="str">
        <x:v>Only an explicitly configured authorized override may bypass a non-statutory rule; overrides require reason and audit.</x:v>
      </x:c>
    </x:row>
    <x:row r="814">
      <x:c r="A814" s="339" t="str">
        <x:v>BR-00813</x:v>
      </x:c>
      <x:c r="B814" s="339" t="str">
        <x:v>Screen Type</x:v>
      </x:c>
      <x:c r="C814" s="339" t="str">
        <x:v>SCR-271</x:v>
      </x:c>
      <x:c r="D814" s="339" t="str">
        <x:v>Reports &amp; Analytics</x:v>
      </x:c>
      <x:c r="E814" s="339" t="str">
        <x:v>Subject Performance</x:v>
      </x:c>
      <x:c r="F814" s="339" t="str">
        <x:v>Workflow / Management integrity rule</x:v>
      </x:c>
      <x:c r="G814" s="339" t="str">
        <x:v>State transitions are explicit, role-controlled and auditable; invalid transitions are rejected.</x:v>
      </x:c>
      <x:c r="H814" s="339" t="str">
        <x:v>Domain/service validation plus UI affordances.</x:v>
      </x:c>
      <x:c r="I814" s="339" t="str">
        <x:v>High</x:v>
      </x:c>
      <x:c r="J814" s="339" t="str">
        <x:v>No silent bypass; approved overrides must be separately authorized and audited.</x:v>
      </x:c>
    </x:row>
    <x:row r="815">
      <x:c r="A815" s="339" t="str">
        <x:v>BR-00814</x:v>
      </x:c>
      <x:c r="B815" s="339" t="str">
        <x:v>Screen</x:v>
      </x:c>
      <x:c r="C815" s="339" t="str">
        <x:v>SCR-272</x:v>
      </x:c>
      <x:c r="D815" s="339" t="str">
        <x:v>Reports &amp; Analytics</x:v>
      </x:c>
      <x:c r="E815" s="339" t="str">
        <x:v>Exam Result Analysis</x:v>
      </x:c>
      <x:c r="F815" s="339" t="str">
        <x:v>Reporting, Analytics &amp; Decision Support rule 1</x:v>
      </x:c>
      <x:c r="G815" s="339" t="str">
        <x:v>Exports must reflect the visible filter scope and include report run context/timestamp where appropriate.</x:v>
      </x:c>
      <x:c r="H815" s="339" t="str">
        <x:v>Enforced in service/domain layer and reflected in UI validation/action availability.</x:v>
      </x:c>
      <x:c r="I815" s="339" t="str">
        <x:v>Medium</x:v>
      </x:c>
      <x:c r="J815" s="339" t="str">
        <x:v>Only an explicitly configured authorized override may bypass a non-statutory rule; overrides require reason and audit.</x:v>
      </x:c>
    </x:row>
    <x:row r="816">
      <x:c r="A816" s="339" t="str">
        <x:v>BR-00815</x:v>
      </x:c>
      <x:c r="B816" s="339" t="str">
        <x:v>Screen</x:v>
      </x:c>
      <x:c r="C816" s="339" t="str">
        <x:v>SCR-272</x:v>
      </x:c>
      <x:c r="D816" s="339" t="str">
        <x:v>Reports &amp; Analytics</x:v>
      </x:c>
      <x:c r="E816" s="339" t="str">
        <x:v>Exam Result Analysis</x:v>
      </x:c>
      <x:c r="F816" s="339" t="str">
        <x:v>Reporting, Analytics &amp; Decision Support rule 2</x:v>
      </x:c>
      <x:c r="G816" s="339" t="str">
        <x:v>Sensitive columns must be masked/omitted based on role and export permission.</x:v>
      </x:c>
      <x:c r="H816" s="339" t="str">
        <x:v>Enforced in service/domain layer and reflected in UI validation/action availability.</x:v>
      </x:c>
      <x:c r="I816" s="339" t="str">
        <x:v>Medium</x:v>
      </x:c>
      <x:c r="J816" s="339" t="str">
        <x:v>Only an explicitly configured authorized override may bypass a non-statutory rule; overrides require reason and audit.</x:v>
      </x:c>
    </x:row>
    <x:row r="817">
      <x:c r="A817" s="339" t="str">
        <x:v>BR-00816</x:v>
      </x:c>
      <x:c r="B817" s="339" t="str">
        <x:v>Screen Type</x:v>
      </x:c>
      <x:c r="C817" s="339" t="str">
        <x:v>SCR-272</x:v>
      </x:c>
      <x:c r="D817" s="339" t="str">
        <x:v>Reports &amp; Analytics</x:v>
      </x:c>
      <x:c r="E817" s="339" t="str">
        <x:v>Exam Result Analysis</x:v>
      </x:c>
      <x:c r="F817" s="339" t="str">
        <x:v>Detail / Profile integrity rule</x:v>
      </x:c>
      <x:c r="G817" s="339" t="str">
        <x:v>Concurrent updates must not silently overwrite newer data; material edits are audited.</x:v>
      </x:c>
      <x:c r="H817" s="339" t="str">
        <x:v>Domain/service validation plus UI affordances.</x:v>
      </x:c>
      <x:c r="I817" s="339" t="str">
        <x:v>High</x:v>
      </x:c>
      <x:c r="J817" s="339" t="str">
        <x:v>No silent bypass; approved overrides must be separately authorized and audited.</x:v>
      </x:c>
    </x:row>
    <x:row r="818">
      <x:c r="A818" s="339" t="str">
        <x:v>BR-00817</x:v>
      </x:c>
      <x:c r="B818" s="339" t="str">
        <x:v>Screen</x:v>
      </x:c>
      <x:c r="C818" s="339" t="str">
        <x:v>SCR-273</x:v>
      </x:c>
      <x:c r="D818" s="339" t="str">
        <x:v>Reports &amp; Analytics</x:v>
      </x:c>
      <x:c r="E818" s="339" t="str">
        <x:v>Fee Collection Report</x:v>
      </x:c>
      <x:c r="F818" s="339" t="str">
        <x:v>Reporting, Analytics &amp; Decision Support rule 1</x:v>
      </x:c>
      <x:c r="G818" s="339" t="str">
        <x:v>Sensitive columns must be masked/omitted based on role and export permission.</x:v>
      </x:c>
      <x:c r="H818" s="339" t="str">
        <x:v>Enforced in service/domain layer and reflected in UI validation/action availability.</x:v>
      </x:c>
      <x:c r="I818" s="339" t="str">
        <x:v>Medium</x:v>
      </x:c>
      <x:c r="J818" s="339" t="str">
        <x:v>Only an explicitly configured authorized override may bypass a non-statutory rule; overrides require reason and audit.</x:v>
      </x:c>
    </x:row>
    <x:row r="819">
      <x:c r="A819" s="339" t="str">
        <x:v>BR-00818</x:v>
      </x:c>
      <x:c r="B819" s="339" t="str">
        <x:v>Screen</x:v>
      </x:c>
      <x:c r="C819" s="339" t="str">
        <x:v>SCR-273</x:v>
      </x:c>
      <x:c r="D819" s="339" t="str">
        <x:v>Reports &amp; Analytics</x:v>
      </x:c>
      <x:c r="E819" s="339" t="str">
        <x:v>Fee Collection Report</x:v>
      </x:c>
      <x:c r="F819" s="339" t="str">
        <x:v>Reporting, Analytics &amp; Decision Support rule 2</x:v>
      </x:c>
      <x:c r="G819" s="339" t="str">
        <x:v>Custom reports cannot bypass tenant isolation or security policies.</x:v>
      </x:c>
      <x:c r="H819" s="339" t="str">
        <x:v>Enforced in service/domain layer and reflected in UI validation/action availability.</x:v>
      </x:c>
      <x:c r="I819" s="339" t="str">
        <x:v>Medium</x:v>
      </x:c>
      <x:c r="J819" s="339" t="str">
        <x:v>Only an explicitly configured authorized override may bypass a non-statutory rule; overrides require reason and audit.</x:v>
      </x:c>
    </x:row>
    <x:row r="820">
      <x:c r="A820" s="339" t="str">
        <x:v>BR-00819</x:v>
      </x:c>
      <x:c r="B820" s="339" t="str">
        <x:v>Screen Type</x:v>
      </x:c>
      <x:c r="C820" s="339" t="str">
        <x:v>SCR-273</x:v>
      </x:c>
      <x:c r="D820" s="339" t="str">
        <x:v>Reports &amp; Analytics</x:v>
      </x:c>
      <x:c r="E820" s="339" t="str">
        <x:v>Fee Collection Report</x:v>
      </x:c>
      <x:c r="F820" s="339" t="str">
        <x:v>Create / Transaction integrity rule</x:v>
      </x:c>
      <x:c r="G820" s="339" t="str">
        <x:v>A record is created only after all blocking validations, duplicate checks and reference checks pass.</x:v>
      </x:c>
      <x:c r="H820" s="339" t="str">
        <x:v>Domain/service validation plus UI affordances.</x:v>
      </x:c>
      <x:c r="I820" s="339" t="str">
        <x:v>High</x:v>
      </x:c>
      <x:c r="J820" s="339" t="str">
        <x:v>No silent bypass; approved overrides must be separately authorized and audited.</x:v>
      </x:c>
    </x:row>
    <x:row r="821">
      <x:c r="A821" s="339" t="str">
        <x:v>BR-00820</x:v>
      </x:c>
      <x:c r="B821" s="339" t="str">
        <x:v>Screen</x:v>
      </x:c>
      <x:c r="C821" s="339" t="str">
        <x:v>SCR-274</x:v>
      </x:c>
      <x:c r="D821" s="339" t="str">
        <x:v>Reports &amp; Analytics</x:v>
      </x:c>
      <x:c r="E821" s="339" t="str">
        <x:v>Outstanding Dues Report</x:v>
      </x:c>
      <x:c r="F821" s="339" t="str">
        <x:v>Reporting, Analytics &amp; Decision Support rule 1</x:v>
      </x:c>
      <x:c r="G821" s="339" t="str">
        <x:v>Custom reports cannot bypass tenant isolation or security policies.</x:v>
      </x:c>
      <x:c r="H821" s="339" t="str">
        <x:v>Enforced in service/domain layer and reflected in UI validation/action availability.</x:v>
      </x:c>
      <x:c r="I821" s="339" t="str">
        <x:v>Medium</x:v>
      </x:c>
      <x:c r="J821" s="339" t="str">
        <x:v>Only an explicitly configured authorized override may bypass a non-statutory rule; overrides require reason and audit.</x:v>
      </x:c>
    </x:row>
    <x:row r="822">
      <x:c r="A822" s="339" t="str">
        <x:v>BR-00821</x:v>
      </x:c>
      <x:c r="B822" s="339" t="str">
        <x:v>Screen</x:v>
      </x:c>
      <x:c r="C822" s="339" t="str">
        <x:v>SCR-274</x:v>
      </x:c>
      <x:c r="D822" s="339" t="str">
        <x:v>Reports &amp; Analytics</x:v>
      </x:c>
      <x:c r="E822" s="339" t="str">
        <x:v>Outstanding Dues Report</x:v>
      </x:c>
      <x:c r="F822" s="339" t="str">
        <x:v>Reporting, Analytics &amp; Decision Support rule 2</x:v>
      </x:c>
      <x:c r="G822" s="339" t="str">
        <x:v>Reports must enforce the same row-level data scope as transactional screens.</x:v>
      </x:c>
      <x:c r="H822" s="339" t="str">
        <x:v>Enforced in service/domain layer and reflected in UI validation/action availability.</x:v>
      </x:c>
      <x:c r="I822" s="339" t="str">
        <x:v>Medium</x:v>
      </x:c>
      <x:c r="J822" s="339" t="str">
        <x:v>Only an explicitly configured authorized override may bypass a non-statutory rule; overrides require reason and audit.</x:v>
      </x:c>
    </x:row>
    <x:row r="823">
      <x:c r="A823" s="339" t="str">
        <x:v>BR-00822</x:v>
      </x:c>
      <x:c r="B823" s="339" t="str">
        <x:v>Screen Type</x:v>
      </x:c>
      <x:c r="C823" s="339" t="str">
        <x:v>SCR-274</x:v>
      </x:c>
      <x:c r="D823" s="339" t="str">
        <x:v>Reports &amp; Analytics</x:v>
      </x:c>
      <x:c r="E823" s="339" t="str">
        <x:v>Outstanding Dues Report</x:v>
      </x:c>
      <x:c r="F823" s="339" t="str">
        <x:v>Report / Analytics integrity rule</x:v>
      </x:c>
      <x:c r="G823" s="339" t="str">
        <x:v>Report formulas and filters must be deterministic, documented and export the same visible scope.</x:v>
      </x:c>
      <x:c r="H823" s="339" t="str">
        <x:v>Domain/service validation plus UI affordances.</x:v>
      </x:c>
      <x:c r="I823" s="339" t="str">
        <x:v>High</x:v>
      </x:c>
      <x:c r="J823" s="339" t="str">
        <x:v>No silent bypass; approved overrides must be separately authorized and audited.</x:v>
      </x:c>
    </x:row>
    <x:row r="824">
      <x:c r="A824" s="339" t="str">
        <x:v>BR-00823</x:v>
      </x:c>
      <x:c r="B824" s="339" t="str">
        <x:v>Screen</x:v>
      </x:c>
      <x:c r="C824" s="339" t="str">
        <x:v>SCR-275</x:v>
      </x:c>
      <x:c r="D824" s="339" t="str">
        <x:v>Reports &amp; Analytics</x:v>
      </x:c>
      <x:c r="E824" s="339" t="str">
        <x:v>Finance Summary</x:v>
      </x:c>
      <x:c r="F824" s="339" t="str">
        <x:v>Reporting, Analytics &amp; Decision Support rule 1</x:v>
      </x:c>
      <x:c r="G824" s="339" t="str">
        <x:v>Reports must enforce the same row-level data scope as transactional screens.</x:v>
      </x:c>
      <x:c r="H824" s="339" t="str">
        <x:v>Enforced in service/domain layer and reflected in UI validation/action availability.</x:v>
      </x:c>
      <x:c r="I824" s="339" t="str">
        <x:v>Medium</x:v>
      </x:c>
      <x:c r="J824" s="339" t="str">
        <x:v>Only an explicitly configured authorized override may bypass a non-statutory rule; overrides require reason and audit.</x:v>
      </x:c>
    </x:row>
    <x:row r="825">
      <x:c r="A825" s="339" t="str">
        <x:v>BR-00824</x:v>
      </x:c>
      <x:c r="B825" s="339" t="str">
        <x:v>Screen</x:v>
      </x:c>
      <x:c r="C825" s="339" t="str">
        <x:v>SCR-275</x:v>
      </x:c>
      <x:c r="D825" s="339" t="str">
        <x:v>Reports &amp; Analytics</x:v>
      </x:c>
      <x:c r="E825" s="339" t="str">
        <x:v>Finance Summary</x:v>
      </x:c>
      <x:c r="F825" s="339" t="str">
        <x:v>Reporting, Analytics &amp; Decision Support rule 2</x:v>
      </x:c>
      <x:c r="G825" s="339" t="str">
        <x:v>Metric definitions must be consistent across dashboards and detailed reports.</x:v>
      </x:c>
      <x:c r="H825" s="339" t="str">
        <x:v>Enforced in service/domain layer and reflected in UI validation/action availability.</x:v>
      </x:c>
      <x:c r="I825" s="339" t="str">
        <x:v>Medium</x:v>
      </x:c>
      <x:c r="J825" s="339" t="str">
        <x:v>Only an explicitly configured authorized override may bypass a non-statutory rule; overrides require reason and audit.</x:v>
      </x:c>
    </x:row>
    <x:row r="826">
      <x:c r="A826" s="339" t="str">
        <x:v>BR-00825</x:v>
      </x:c>
      <x:c r="B826" s="339" t="str">
        <x:v>Screen Type</x:v>
      </x:c>
      <x:c r="C826" s="339" t="str">
        <x:v>SCR-275</x:v>
      </x:c>
      <x:c r="D826" s="339" t="str">
        <x:v>Reports &amp; Analytics</x:v>
      </x:c>
      <x:c r="E826" s="339" t="str">
        <x:v>Finance Summary</x:v>
      </x:c>
      <x:c r="F826" s="339" t="str">
        <x:v>Report / Analytics integrity rule</x:v>
      </x:c>
      <x:c r="G826" s="339" t="str">
        <x:v>Report formulas and filters must be deterministic, documented and export the same visible scope.</x:v>
      </x:c>
      <x:c r="H826" s="339" t="str">
        <x:v>Domain/service validation plus UI affordances.</x:v>
      </x:c>
      <x:c r="I826" s="339" t="str">
        <x:v>High</x:v>
      </x:c>
      <x:c r="J826" s="339" t="str">
        <x:v>No silent bypass; approved overrides must be separately authorized and audited.</x:v>
      </x:c>
    </x:row>
    <x:row r="827">
      <x:c r="A827" s="339" t="str">
        <x:v>BR-00826</x:v>
      </x:c>
      <x:c r="B827" s="339" t="str">
        <x:v>Screen</x:v>
      </x:c>
      <x:c r="C827" s="339" t="str">
        <x:v>SCR-276</x:v>
      </x:c>
      <x:c r="D827" s="339" t="str">
        <x:v>Reports &amp; Analytics</x:v>
      </x:c>
      <x:c r="E827" s="339" t="str">
        <x:v>Staff Attendance Report</x:v>
      </x:c>
      <x:c r="F827" s="339" t="str">
        <x:v>Reporting, Analytics &amp; Decision Support rule 1</x:v>
      </x:c>
      <x:c r="G827" s="339" t="str">
        <x:v>Metric definitions must be consistent across dashboards and detailed reports.</x:v>
      </x:c>
      <x:c r="H827" s="339" t="str">
        <x:v>Enforced in service/domain layer and reflected in UI validation/action availability.</x:v>
      </x:c>
      <x:c r="I827" s="339" t="str">
        <x:v>Medium</x:v>
      </x:c>
      <x:c r="J827" s="339" t="str">
        <x:v>Only an explicitly configured authorized override may bypass a non-statutory rule; overrides require reason and audit.</x:v>
      </x:c>
    </x:row>
    <x:row r="828">
      <x:c r="A828" s="339" t="str">
        <x:v>BR-00827</x:v>
      </x:c>
      <x:c r="B828" s="339" t="str">
        <x:v>Screen</x:v>
      </x:c>
      <x:c r="C828" s="339" t="str">
        <x:v>SCR-276</x:v>
      </x:c>
      <x:c r="D828" s="339" t="str">
        <x:v>Reports &amp; Analytics</x:v>
      </x:c>
      <x:c r="E828" s="339" t="str">
        <x:v>Staff Attendance Report</x:v>
      </x:c>
      <x:c r="F828" s="339" t="str">
        <x:v>Reporting, Analytics &amp; Decision Support rule 2</x:v>
      </x:c>
      <x:c r="G828" s="339" t="str">
        <x:v>Exports must reflect the visible filter scope and include report run context/timestamp where appropriate.</x:v>
      </x:c>
      <x:c r="H828" s="339" t="str">
        <x:v>Enforced in service/domain layer and reflected in UI validation/action availability.</x:v>
      </x:c>
      <x:c r="I828" s="339" t="str">
        <x:v>Medium</x:v>
      </x:c>
      <x:c r="J828" s="339" t="str">
        <x:v>Only an explicitly configured authorized override may bypass a non-statutory rule; overrides require reason and audit.</x:v>
      </x:c>
    </x:row>
    <x:row r="829">
      <x:c r="A829" s="339" t="str">
        <x:v>BR-00828</x:v>
      </x:c>
      <x:c r="B829" s="339" t="str">
        <x:v>Screen Type</x:v>
      </x:c>
      <x:c r="C829" s="339" t="str">
        <x:v>SCR-276</x:v>
      </x:c>
      <x:c r="D829" s="339" t="str">
        <x:v>Reports &amp; Analytics</x:v>
      </x:c>
      <x:c r="E829" s="339" t="str">
        <x:v>Staff Attendance Report</x:v>
      </x:c>
      <x:c r="F829" s="339" t="str">
        <x:v>Report / Analytics integrity rule</x:v>
      </x:c>
      <x:c r="G829" s="339" t="str">
        <x:v>Report formulas and filters must be deterministic, documented and export the same visible scope.</x:v>
      </x:c>
      <x:c r="H829" s="339" t="str">
        <x:v>Domain/service validation plus UI affordances.</x:v>
      </x:c>
      <x:c r="I829" s="339" t="str">
        <x:v>High</x:v>
      </x:c>
      <x:c r="J829" s="339" t="str">
        <x:v>No silent bypass; approved overrides must be separately authorized and audited.</x:v>
      </x:c>
    </x:row>
    <x:row r="830">
      <x:c r="A830" s="339" t="str">
        <x:v>BR-00829</x:v>
      </x:c>
      <x:c r="B830" s="339" t="str">
        <x:v>Screen</x:v>
      </x:c>
      <x:c r="C830" s="339" t="str">
        <x:v>SCR-277</x:v>
      </x:c>
      <x:c r="D830" s="339" t="str">
        <x:v>Reports &amp; Analytics</x:v>
      </x:c>
      <x:c r="E830" s="339" t="str">
        <x:v>Payroll Summary</x:v>
      </x:c>
      <x:c r="F830" s="339" t="str">
        <x:v>Reporting, Analytics &amp; Decision Support rule 1</x:v>
      </x:c>
      <x:c r="G830" s="339" t="str">
        <x:v>Exports must reflect the visible filter scope and include report run context/timestamp where appropriate.</x:v>
      </x:c>
      <x:c r="H830" s="339" t="str">
        <x:v>Enforced in service/domain layer and reflected in UI validation/action availability.</x:v>
      </x:c>
      <x:c r="I830" s="339" t="str">
        <x:v>Medium</x:v>
      </x:c>
      <x:c r="J830" s="339" t="str">
        <x:v>Only an explicitly configured authorized override may bypass a non-statutory rule; overrides require reason and audit.</x:v>
      </x:c>
    </x:row>
    <x:row r="831">
      <x:c r="A831" s="339" t="str">
        <x:v>BR-00830</x:v>
      </x:c>
      <x:c r="B831" s="339" t="str">
        <x:v>Screen</x:v>
      </x:c>
      <x:c r="C831" s="339" t="str">
        <x:v>SCR-277</x:v>
      </x:c>
      <x:c r="D831" s="339" t="str">
        <x:v>Reports &amp; Analytics</x:v>
      </x:c>
      <x:c r="E831" s="339" t="str">
        <x:v>Payroll Summary</x:v>
      </x:c>
      <x:c r="F831" s="339" t="str">
        <x:v>Reporting, Analytics &amp; Decision Support rule 2</x:v>
      </x:c>
      <x:c r="G831" s="339" t="str">
        <x:v>Sensitive columns must be masked/omitted based on role and export permission.</x:v>
      </x:c>
      <x:c r="H831" s="339" t="str">
        <x:v>Enforced in service/domain layer and reflected in UI validation/action availability.</x:v>
      </x:c>
      <x:c r="I831" s="339" t="str">
        <x:v>Medium</x:v>
      </x:c>
      <x:c r="J831" s="339" t="str">
        <x:v>Only an explicitly configured authorized override may bypass a non-statutory rule; overrides require reason and audit.</x:v>
      </x:c>
    </x:row>
    <x:row r="832">
      <x:c r="A832" s="339" t="str">
        <x:v>BR-00831</x:v>
      </x:c>
      <x:c r="B832" s="339" t="str">
        <x:v>Screen Type</x:v>
      </x:c>
      <x:c r="C832" s="339" t="str">
        <x:v>SCR-277</x:v>
      </x:c>
      <x:c r="D832" s="339" t="str">
        <x:v>Reports &amp; Analytics</x:v>
      </x:c>
      <x:c r="E832" s="339" t="str">
        <x:v>Payroll Summary</x:v>
      </x:c>
      <x:c r="F832" s="339" t="str">
        <x:v>Report / Analytics integrity rule</x:v>
      </x:c>
      <x:c r="G832" s="339" t="str">
        <x:v>Report formulas and filters must be deterministic, documented and export the same visible scope.</x:v>
      </x:c>
      <x:c r="H832" s="339" t="str">
        <x:v>Domain/service validation plus UI affordances.</x:v>
      </x:c>
      <x:c r="I832" s="339" t="str">
        <x:v>High</x:v>
      </x:c>
      <x:c r="J832" s="339" t="str">
        <x:v>No silent bypass; approved overrides must be separately authorized and audited.</x:v>
      </x:c>
    </x:row>
    <x:row r="833">
      <x:c r="A833" s="339" t="str">
        <x:v>BR-00832</x:v>
      </x:c>
      <x:c r="B833" s="339" t="str">
        <x:v>Screen</x:v>
      </x:c>
      <x:c r="C833" s="339" t="str">
        <x:v>SCR-278</x:v>
      </x:c>
      <x:c r="D833" s="339" t="str">
        <x:v>Reports &amp; Analytics</x:v>
      </x:c>
      <x:c r="E833" s="339" t="str">
        <x:v>Teacher Performance</x:v>
      </x:c>
      <x:c r="F833" s="339" t="str">
        <x:v>Reporting, Analytics &amp; Decision Support rule 1</x:v>
      </x:c>
      <x:c r="G833" s="339" t="str">
        <x:v>Sensitive columns must be masked/omitted based on role and export permission.</x:v>
      </x:c>
      <x:c r="H833" s="339" t="str">
        <x:v>Enforced in service/domain layer and reflected in UI validation/action availability.</x:v>
      </x:c>
      <x:c r="I833" s="339" t="str">
        <x:v>Medium</x:v>
      </x:c>
      <x:c r="J833" s="339" t="str">
        <x:v>Only an explicitly configured authorized override may bypass a non-statutory rule; overrides require reason and audit.</x:v>
      </x:c>
    </x:row>
    <x:row r="834">
      <x:c r="A834" s="339" t="str">
        <x:v>BR-00833</x:v>
      </x:c>
      <x:c r="B834" s="339" t="str">
        <x:v>Screen</x:v>
      </x:c>
      <x:c r="C834" s="339" t="str">
        <x:v>SCR-278</x:v>
      </x:c>
      <x:c r="D834" s="339" t="str">
        <x:v>Reports &amp; Analytics</x:v>
      </x:c>
      <x:c r="E834" s="339" t="str">
        <x:v>Teacher Performance</x:v>
      </x:c>
      <x:c r="F834" s="339" t="str">
        <x:v>Reporting, Analytics &amp; Decision Support rule 2</x:v>
      </x:c>
      <x:c r="G834" s="339" t="str">
        <x:v>Custom reports cannot bypass tenant isolation or security policies.</x:v>
      </x:c>
      <x:c r="H834" s="339" t="str">
        <x:v>Enforced in service/domain layer and reflected in UI validation/action availability.</x:v>
      </x:c>
      <x:c r="I834" s="339" t="str">
        <x:v>Medium</x:v>
      </x:c>
      <x:c r="J834" s="339" t="str">
        <x:v>Only an explicitly configured authorized override may bypass a non-statutory rule; overrides require reason and audit.</x:v>
      </x:c>
    </x:row>
    <x:row r="835">
      <x:c r="A835" s="339" t="str">
        <x:v>BR-00834</x:v>
      </x:c>
      <x:c r="B835" s="339" t="str">
        <x:v>Screen Type</x:v>
      </x:c>
      <x:c r="C835" s="339" t="str">
        <x:v>SCR-278</x:v>
      </x:c>
      <x:c r="D835" s="339" t="str">
        <x:v>Reports &amp; Analytics</x:v>
      </x:c>
      <x:c r="E835" s="339" t="str">
        <x:v>Teacher Performance</x:v>
      </x:c>
      <x:c r="F835" s="339" t="str">
        <x:v>Workflow / Management integrity rule</x:v>
      </x:c>
      <x:c r="G835" s="339" t="str">
        <x:v>State transitions are explicit, role-controlled and auditable; invalid transitions are rejected.</x:v>
      </x:c>
      <x:c r="H835" s="339" t="str">
        <x:v>Domain/service validation plus UI affordances.</x:v>
      </x:c>
      <x:c r="I835" s="339" t="str">
        <x:v>High</x:v>
      </x:c>
      <x:c r="J835" s="339" t="str">
        <x:v>No silent bypass; approved overrides must be separately authorized and audited.</x:v>
      </x:c>
    </x:row>
    <x:row r="836">
      <x:c r="A836" s="339" t="str">
        <x:v>BR-00835</x:v>
      </x:c>
      <x:c r="B836" s="339" t="str">
        <x:v>Screen</x:v>
      </x:c>
      <x:c r="C836" s="339" t="str">
        <x:v>SCR-279</x:v>
      </x:c>
      <x:c r="D836" s="339" t="str">
        <x:v>Reports &amp; Analytics</x:v>
      </x:c>
      <x:c r="E836" s="339" t="str">
        <x:v>Transport Utilization</x:v>
      </x:c>
      <x:c r="F836" s="339" t="str">
        <x:v>Reporting, Analytics &amp; Decision Support rule 1</x:v>
      </x:c>
      <x:c r="G836" s="339" t="str">
        <x:v>Custom reports cannot bypass tenant isolation or security policies.</x:v>
      </x:c>
      <x:c r="H836" s="339" t="str">
        <x:v>Enforced in service/domain layer and reflected in UI validation/action availability.</x:v>
      </x:c>
      <x:c r="I836" s="339" t="str">
        <x:v>Medium</x:v>
      </x:c>
      <x:c r="J836" s="339" t="str">
        <x:v>Only an explicitly configured authorized override may bypass a non-statutory rule; overrides require reason and audit.</x:v>
      </x:c>
    </x:row>
    <x:row r="837">
      <x:c r="A837" s="339" t="str">
        <x:v>BR-00836</x:v>
      </x:c>
      <x:c r="B837" s="339" t="str">
        <x:v>Screen</x:v>
      </x:c>
      <x:c r="C837" s="339" t="str">
        <x:v>SCR-279</x:v>
      </x:c>
      <x:c r="D837" s="339" t="str">
        <x:v>Reports &amp; Analytics</x:v>
      </x:c>
      <x:c r="E837" s="339" t="str">
        <x:v>Transport Utilization</x:v>
      </x:c>
      <x:c r="F837" s="339" t="str">
        <x:v>Reporting, Analytics &amp; Decision Support rule 2</x:v>
      </x:c>
      <x:c r="G837" s="339" t="str">
        <x:v>Reports must enforce the same row-level data scope as transactional screens.</x:v>
      </x:c>
      <x:c r="H837" s="339" t="str">
        <x:v>Enforced in service/domain layer and reflected in UI validation/action availability.</x:v>
      </x:c>
      <x:c r="I837" s="339" t="str">
        <x:v>Medium</x:v>
      </x:c>
      <x:c r="J837" s="339" t="str">
        <x:v>Only an explicitly configured authorized override may bypass a non-statutory rule; overrides require reason and audit.</x:v>
      </x:c>
    </x:row>
    <x:row r="838">
      <x:c r="A838" s="339" t="str">
        <x:v>BR-00837</x:v>
      </x:c>
      <x:c r="B838" s="339" t="str">
        <x:v>Screen Type</x:v>
      </x:c>
      <x:c r="C838" s="339" t="str">
        <x:v>SCR-279</x:v>
      </x:c>
      <x:c r="D838" s="339" t="str">
        <x:v>Reports &amp; Analytics</x:v>
      </x:c>
      <x:c r="E838" s="339" t="str">
        <x:v>Transport Utilization</x:v>
      </x:c>
      <x:c r="F838" s="339" t="str">
        <x:v>Report / Analytics integrity rule</x:v>
      </x:c>
      <x:c r="G838" s="339" t="str">
        <x:v>Report formulas and filters must be deterministic, documented and export the same visible scope.</x:v>
      </x:c>
      <x:c r="H838" s="339" t="str">
        <x:v>Domain/service validation plus UI affordances.</x:v>
      </x:c>
      <x:c r="I838" s="339" t="str">
        <x:v>High</x:v>
      </x:c>
      <x:c r="J838" s="339" t="str">
        <x:v>No silent bypass; approved overrides must be separately authorized and audited.</x:v>
      </x:c>
    </x:row>
    <x:row r="839">
      <x:c r="A839" s="339" t="str">
        <x:v>BR-00838</x:v>
      </x:c>
      <x:c r="B839" s="339" t="str">
        <x:v>Screen</x:v>
      </x:c>
      <x:c r="C839" s="339" t="str">
        <x:v>SCR-280</x:v>
      </x:c>
      <x:c r="D839" s="339" t="str">
        <x:v>Reports &amp; Analytics</x:v>
      </x:c>
      <x:c r="E839" s="339" t="str">
        <x:v>Library Usage</x:v>
      </x:c>
      <x:c r="F839" s="339" t="str">
        <x:v>Reporting, Analytics &amp; Decision Support rule 1</x:v>
      </x:c>
      <x:c r="G839" s="339" t="str">
        <x:v>Reports must enforce the same row-level data scope as transactional screens.</x:v>
      </x:c>
      <x:c r="H839" s="339" t="str">
        <x:v>Enforced in service/domain layer and reflected in UI validation/action availability.</x:v>
      </x:c>
      <x:c r="I839" s="339" t="str">
        <x:v>Medium</x:v>
      </x:c>
      <x:c r="J839" s="339" t="str">
        <x:v>Only an explicitly configured authorized override may bypass a non-statutory rule; overrides require reason and audit.</x:v>
      </x:c>
    </x:row>
    <x:row r="840">
      <x:c r="A840" s="339" t="str">
        <x:v>BR-00839</x:v>
      </x:c>
      <x:c r="B840" s="339" t="str">
        <x:v>Screen</x:v>
      </x:c>
      <x:c r="C840" s="339" t="str">
        <x:v>SCR-280</x:v>
      </x:c>
      <x:c r="D840" s="339" t="str">
        <x:v>Reports &amp; Analytics</x:v>
      </x:c>
      <x:c r="E840" s="339" t="str">
        <x:v>Library Usage</x:v>
      </x:c>
      <x:c r="F840" s="339" t="str">
        <x:v>Reporting, Analytics &amp; Decision Support rule 2</x:v>
      </x:c>
      <x:c r="G840" s="339" t="str">
        <x:v>Metric definitions must be consistent across dashboards and detailed reports.</x:v>
      </x:c>
      <x:c r="H840" s="339" t="str">
        <x:v>Enforced in service/domain layer and reflected in UI validation/action availability.</x:v>
      </x:c>
      <x:c r="I840" s="339" t="str">
        <x:v>Medium</x:v>
      </x:c>
      <x:c r="J840" s="339" t="str">
        <x:v>Only an explicitly configured authorized override may bypass a non-statutory rule; overrides require reason and audit.</x:v>
      </x:c>
    </x:row>
    <x:row r="841">
      <x:c r="A841" s="339" t="str">
        <x:v>BR-00840</x:v>
      </x:c>
      <x:c r="B841" s="339" t="str">
        <x:v>Screen Type</x:v>
      </x:c>
      <x:c r="C841" s="339" t="str">
        <x:v>SCR-280</x:v>
      </x:c>
      <x:c r="D841" s="339" t="str">
        <x:v>Reports &amp; Analytics</x:v>
      </x:c>
      <x:c r="E841" s="339" t="str">
        <x:v>Library Usage</x:v>
      </x:c>
      <x:c r="F841" s="339" t="str">
        <x:v>Report / Analytics integrity rule</x:v>
      </x:c>
      <x:c r="G841" s="339" t="str">
        <x:v>Report formulas and filters must be deterministic, documented and export the same visible scope.</x:v>
      </x:c>
      <x:c r="H841" s="339" t="str">
        <x:v>Domain/service validation plus UI affordances.</x:v>
      </x:c>
      <x:c r="I841" s="339" t="str">
        <x:v>High</x:v>
      </x:c>
      <x:c r="J841" s="339" t="str">
        <x:v>No silent bypass; approved overrides must be separately authorized and audited.</x:v>
      </x:c>
    </x:row>
    <x:row r="842">
      <x:c r="A842" s="339" t="str">
        <x:v>BR-00841</x:v>
      </x:c>
      <x:c r="B842" s="339" t="str">
        <x:v>Screen</x:v>
      </x:c>
      <x:c r="C842" s="339" t="str">
        <x:v>SCR-281</x:v>
      </x:c>
      <x:c r="D842" s="339" t="str">
        <x:v>Reports &amp; Analytics</x:v>
      </x:c>
      <x:c r="E842" s="339" t="str">
        <x:v>Inventory &amp; Asset Report</x:v>
      </x:c>
      <x:c r="F842" s="339" t="str">
        <x:v>Reporting, Analytics &amp; Decision Support rule 1</x:v>
      </x:c>
      <x:c r="G842" s="339" t="str">
        <x:v>Metric definitions must be consistent across dashboards and detailed reports.</x:v>
      </x:c>
      <x:c r="H842" s="339" t="str">
        <x:v>Enforced in service/domain layer and reflected in UI validation/action availability.</x:v>
      </x:c>
      <x:c r="I842" s="339" t="str">
        <x:v>Medium</x:v>
      </x:c>
      <x:c r="J842" s="339" t="str">
        <x:v>Only an explicitly configured authorized override may bypass a non-statutory rule; overrides require reason and audit.</x:v>
      </x:c>
    </x:row>
    <x:row r="843">
      <x:c r="A843" s="339" t="str">
        <x:v>BR-00842</x:v>
      </x:c>
      <x:c r="B843" s="339" t="str">
        <x:v>Screen</x:v>
      </x:c>
      <x:c r="C843" s="339" t="str">
        <x:v>SCR-281</x:v>
      </x:c>
      <x:c r="D843" s="339" t="str">
        <x:v>Reports &amp; Analytics</x:v>
      </x:c>
      <x:c r="E843" s="339" t="str">
        <x:v>Inventory &amp; Asset Report</x:v>
      </x:c>
      <x:c r="F843" s="339" t="str">
        <x:v>Reporting, Analytics &amp; Decision Support rule 2</x:v>
      </x:c>
      <x:c r="G843" s="339" t="str">
        <x:v>Exports must reflect the visible filter scope and include report run context/timestamp where appropriate.</x:v>
      </x:c>
      <x:c r="H843" s="339" t="str">
        <x:v>Enforced in service/domain layer and reflected in UI validation/action availability.</x:v>
      </x:c>
      <x:c r="I843" s="339" t="str">
        <x:v>Medium</x:v>
      </x:c>
      <x:c r="J843" s="339" t="str">
        <x:v>Only an explicitly configured authorized override may bypass a non-statutory rule; overrides require reason and audit.</x:v>
      </x:c>
    </x:row>
    <x:row r="844">
      <x:c r="A844" s="339" t="str">
        <x:v>BR-00843</x:v>
      </x:c>
      <x:c r="B844" s="339" t="str">
        <x:v>Screen Type</x:v>
      </x:c>
      <x:c r="C844" s="339" t="str">
        <x:v>SCR-281</x:v>
      </x:c>
      <x:c r="D844" s="339" t="str">
        <x:v>Reports &amp; Analytics</x:v>
      </x:c>
      <x:c r="E844" s="339" t="str">
        <x:v>Inventory &amp; Asset Report</x:v>
      </x:c>
      <x:c r="F844" s="339" t="str">
        <x:v>Report / Analytics integrity rule</x:v>
      </x:c>
      <x:c r="G844" s="339" t="str">
        <x:v>Report formulas and filters must be deterministic, documented and export the same visible scope.</x:v>
      </x:c>
      <x:c r="H844" s="339" t="str">
        <x:v>Domain/service validation plus UI affordances.</x:v>
      </x:c>
      <x:c r="I844" s="339" t="str">
        <x:v>High</x:v>
      </x:c>
      <x:c r="J844" s="339" t="str">
        <x:v>No silent bypass; approved overrides must be separately authorized and audited.</x:v>
      </x:c>
    </x:row>
    <x:row r="845">
      <x:c r="A845" s="339" t="str">
        <x:v>BR-00844</x:v>
      </x:c>
      <x:c r="B845" s="339" t="str">
        <x:v>Screen</x:v>
      </x:c>
      <x:c r="C845" s="339" t="str">
        <x:v>SCR-282</x:v>
      </x:c>
      <x:c r="D845" s="339" t="str">
        <x:v>Reports &amp; Analytics</x:v>
      </x:c>
      <x:c r="E845" s="339" t="str">
        <x:v>Communication / Notification Report</x:v>
      </x:c>
      <x:c r="F845" s="339" t="str">
        <x:v>Reporting, Analytics &amp; Decision Support rule 1</x:v>
      </x:c>
      <x:c r="G845" s="339" t="str">
        <x:v>Exports must reflect the visible filter scope and include report run context/timestamp where appropriate.</x:v>
      </x:c>
      <x:c r="H845" s="339" t="str">
        <x:v>Enforced in service/domain layer and reflected in UI validation/action availability.</x:v>
      </x:c>
      <x:c r="I845" s="339" t="str">
        <x:v>Medium</x:v>
      </x:c>
      <x:c r="J845" s="339" t="str">
        <x:v>Only an explicitly configured authorized override may bypass a non-statutory rule; overrides require reason and audit.</x:v>
      </x:c>
    </x:row>
    <x:row r="846">
      <x:c r="A846" s="339" t="str">
        <x:v>BR-00845</x:v>
      </x:c>
      <x:c r="B846" s="339" t="str">
        <x:v>Screen</x:v>
      </x:c>
      <x:c r="C846" s="339" t="str">
        <x:v>SCR-282</x:v>
      </x:c>
      <x:c r="D846" s="339" t="str">
        <x:v>Reports &amp; Analytics</x:v>
      </x:c>
      <x:c r="E846" s="339" t="str">
        <x:v>Communication / Notification Report</x:v>
      </x:c>
      <x:c r="F846" s="339" t="str">
        <x:v>Reporting, Analytics &amp; Decision Support rule 2</x:v>
      </x:c>
      <x:c r="G846" s="339" t="str">
        <x:v>Sensitive columns must be masked/omitted based on role and export permission.</x:v>
      </x:c>
      <x:c r="H846" s="339" t="str">
        <x:v>Enforced in service/domain layer and reflected in UI validation/action availability.</x:v>
      </x:c>
      <x:c r="I846" s="339" t="str">
        <x:v>Medium</x:v>
      </x:c>
      <x:c r="J846" s="339" t="str">
        <x:v>Only an explicitly configured authorized override may bypass a non-statutory rule; overrides require reason and audit.</x:v>
      </x:c>
    </x:row>
    <x:row r="847">
      <x:c r="A847" s="339" t="str">
        <x:v>BR-00846</x:v>
      </x:c>
      <x:c r="B847" s="339" t="str">
        <x:v>Screen Type</x:v>
      </x:c>
      <x:c r="C847" s="339" t="str">
        <x:v>SCR-282</x:v>
      </x:c>
      <x:c r="D847" s="339" t="str">
        <x:v>Reports &amp; Analytics</x:v>
      </x:c>
      <x:c r="E847" s="339" t="str">
        <x:v>Communication / Notification Report</x:v>
      </x:c>
      <x:c r="F847" s="339" t="str">
        <x:v>Report / Analytics integrity rule</x:v>
      </x:c>
      <x:c r="G847" s="339" t="str">
        <x:v>Report formulas and filters must be deterministic, documented and export the same visible scope.</x:v>
      </x:c>
      <x:c r="H847" s="339" t="str">
        <x:v>Domain/service validation plus UI affordances.</x:v>
      </x:c>
      <x:c r="I847" s="339" t="str">
        <x:v>High</x:v>
      </x:c>
      <x:c r="J847" s="339" t="str">
        <x:v>No silent bypass; approved overrides must be separately authorized and audited.</x:v>
      </x:c>
    </x:row>
    <x:row r="848">
      <x:c r="A848" s="339" t="str">
        <x:v>BR-00847</x:v>
      </x:c>
      <x:c r="B848" s="339" t="str">
        <x:v>Screen</x:v>
      </x:c>
      <x:c r="C848" s="339" t="str">
        <x:v>SCR-283</x:v>
      </x:c>
      <x:c r="D848" s="339" t="str">
        <x:v>Reports &amp; Analytics</x:v>
      </x:c>
      <x:c r="E848" s="339" t="str">
        <x:v>Custom Report Builder</x:v>
      </x:c>
      <x:c r="F848" s="339" t="str">
        <x:v>Reporting, Analytics &amp; Decision Support rule 1</x:v>
      </x:c>
      <x:c r="G848" s="339" t="str">
        <x:v>Sensitive columns must be masked/omitted based on role and export permission.</x:v>
      </x:c>
      <x:c r="H848" s="339" t="str">
        <x:v>Enforced in service/domain layer and reflected in UI validation/action availability.</x:v>
      </x:c>
      <x:c r="I848" s="339" t="str">
        <x:v>Medium</x:v>
      </x:c>
      <x:c r="J848" s="339" t="str">
        <x:v>Only an explicitly configured authorized override may bypass a non-statutory rule; overrides require reason and audit.</x:v>
      </x:c>
    </x:row>
    <x:row r="849">
      <x:c r="A849" s="339" t="str">
        <x:v>BR-00848</x:v>
      </x:c>
      <x:c r="B849" s="339" t="str">
        <x:v>Screen</x:v>
      </x:c>
      <x:c r="C849" s="339" t="str">
        <x:v>SCR-283</x:v>
      </x:c>
      <x:c r="D849" s="339" t="str">
        <x:v>Reports &amp; Analytics</x:v>
      </x:c>
      <x:c r="E849" s="339" t="str">
        <x:v>Custom Report Builder</x:v>
      </x:c>
      <x:c r="F849" s="339" t="str">
        <x:v>Reporting, Analytics &amp; Decision Support rule 2</x:v>
      </x:c>
      <x:c r="G849" s="339" t="str">
        <x:v>Custom reports cannot bypass tenant isolation or security policies.</x:v>
      </x:c>
      <x:c r="H849" s="339" t="str">
        <x:v>Enforced in service/domain layer and reflected in UI validation/action availability.</x:v>
      </x:c>
      <x:c r="I849" s="339" t="str">
        <x:v>Medium</x:v>
      </x:c>
      <x:c r="J849" s="339" t="str">
        <x:v>Only an explicitly configured authorized override may bypass a non-statutory rule; overrides require reason and audit.</x:v>
      </x:c>
    </x:row>
    <x:row r="850">
      <x:c r="A850" s="339" t="str">
        <x:v>BR-00849</x:v>
      </x:c>
      <x:c r="B850" s="339" t="str">
        <x:v>Screen Type</x:v>
      </x:c>
      <x:c r="C850" s="339" t="str">
        <x:v>SCR-283</x:v>
      </x:c>
      <x:c r="D850" s="339" t="str">
        <x:v>Reports &amp; Analytics</x:v>
      </x:c>
      <x:c r="E850" s="339" t="str">
        <x:v>Custom Report Builder</x:v>
      </x:c>
      <x:c r="F850" s="339" t="str">
        <x:v>Report / Analytics integrity rule</x:v>
      </x:c>
      <x:c r="G850" s="339" t="str">
        <x:v>Report formulas and filters must be deterministic, documented and export the same visible scope.</x:v>
      </x:c>
      <x:c r="H850" s="339" t="str">
        <x:v>Domain/service validation plus UI affordances.</x:v>
      </x:c>
      <x:c r="I850" s="339" t="str">
        <x:v>High</x:v>
      </x:c>
      <x:c r="J850" s="339" t="str">
        <x:v>No silent bypass; approved overrides must be separately authorized and audited.</x:v>
      </x:c>
    </x:row>
    <x:row r="851">
      <x:c r="A851" s="339" t="str">
        <x:v>BR-00850</x:v>
      </x:c>
      <x:c r="B851" s="339" t="str">
        <x:v>Screen</x:v>
      </x:c>
      <x:c r="C851" s="339" t="str">
        <x:v>SCR-284</x:v>
      </x:c>
      <x:c r="D851" s="339" t="str">
        <x:v>Settings / Roles / Permissions / Audit</x:v>
      </x:c>
      <x:c r="E851" s="339" t="str">
        <x:v>User Management</x:v>
      </x:c>
      <x:c r="F851" s="339" t="str">
        <x:v>Security, RBAC, Settings &amp; Audit rule 1</x:v>
      </x:c>
      <x:c r="G851" s="339" t="str">
        <x:v>Audit records are append-only and include actor, action, target, time and relevant context.</x:v>
      </x:c>
      <x:c r="H851" s="339" t="str">
        <x:v>Enforced in service/domain layer and reflected in UI validation/action availability.</x:v>
      </x:c>
      <x:c r="I851" s="339" t="str">
        <x:v>High</x:v>
      </x:c>
      <x:c r="J851" s="339" t="str">
        <x:v>Only an explicitly configured authorized override may bypass a non-statutory rule; overrides require reason and audit.</x:v>
      </x:c>
    </x:row>
    <x:row r="852">
      <x:c r="A852" s="339" t="str">
        <x:v>BR-00851</x:v>
      </x:c>
      <x:c r="B852" s="339" t="str">
        <x:v>Screen</x:v>
      </x:c>
      <x:c r="C852" s="339" t="str">
        <x:v>SCR-284</x:v>
      </x:c>
      <x:c r="D852" s="339" t="str">
        <x:v>Settings / Roles / Permissions / Audit</x:v>
      </x:c>
      <x:c r="E852" s="339" t="str">
        <x:v>User Management</x:v>
      </x:c>
      <x:c r="F852" s="339" t="str">
        <x:v>Security, RBAC, Settings &amp; Audit rule 2</x:v>
      </x:c>
      <x:c r="G852" s="339" t="str">
        <x:v>Access is deny-by-default and granted explicitly through roles/scopes.</x:v>
      </x:c>
      <x:c r="H852" s="339" t="str">
        <x:v>Enforced in service/domain layer and reflected in UI validation/action availability.</x:v>
      </x:c>
      <x:c r="I852" s="339" t="str">
        <x:v>High</x:v>
      </x:c>
      <x:c r="J852" s="339" t="str">
        <x:v>Only an explicitly configured authorized override may bypass a non-statutory rule; overrides require reason and audit.</x:v>
      </x:c>
    </x:row>
    <x:row r="853">
      <x:c r="A853" s="339" t="str">
        <x:v>BR-00852</x:v>
      </x:c>
      <x:c r="B853" s="339" t="str">
        <x:v>Screen Type</x:v>
      </x:c>
      <x:c r="C853" s="339" t="str">
        <x:v>SCR-284</x:v>
      </x:c>
      <x:c r="D853" s="339" t="str">
        <x:v>Settings / Roles / Permissions / Audit</x:v>
      </x:c>
      <x:c r="E853" s="339" t="str">
        <x:v>User Management</x:v>
      </x:c>
      <x:c r="F853" s="339" t="str">
        <x:v>Workflow / Management integrity rule</x:v>
      </x:c>
      <x:c r="G853" s="339" t="str">
        <x:v>State transitions are explicit, role-controlled and auditable; invalid transitions are rejected.</x:v>
      </x:c>
      <x:c r="H853" s="339" t="str">
        <x:v>Domain/service validation plus UI affordances.</x:v>
      </x:c>
      <x:c r="I853" s="339" t="str">
        <x:v>High</x:v>
      </x:c>
      <x:c r="J853" s="339" t="str">
        <x:v>No silent bypass; approved overrides must be separately authorized and audited.</x:v>
      </x:c>
    </x:row>
    <x:row r="854">
      <x:c r="A854" s="339" t="str">
        <x:v>BR-00853</x:v>
      </x:c>
      <x:c r="B854" s="339" t="str">
        <x:v>Screen</x:v>
      </x:c>
      <x:c r="C854" s="339" t="str">
        <x:v>SCR-285</x:v>
      </x:c>
      <x:c r="D854" s="339" t="str">
        <x:v>Settings / Roles / Permissions / Audit</x:v>
      </x:c>
      <x:c r="E854" s="339" t="str">
        <x:v>Roles</x:v>
      </x:c>
      <x:c r="F854" s="339" t="str">
        <x:v>Security, RBAC, Settings &amp; Audit rule 1</x:v>
      </x:c>
      <x:c r="G854" s="339" t="str">
        <x:v>Access is deny-by-default and granted explicitly through roles/scopes.</x:v>
      </x:c>
      <x:c r="H854" s="339" t="str">
        <x:v>Enforced in service/domain layer and reflected in UI validation/action availability.</x:v>
      </x:c>
      <x:c r="I854" s="339" t="str">
        <x:v>High</x:v>
      </x:c>
      <x:c r="J854" s="339" t="str">
        <x:v>Only an explicitly configured authorized override may bypass a non-statutory rule; overrides require reason and audit.</x:v>
      </x:c>
    </x:row>
    <x:row r="855">
      <x:c r="A855" s="339" t="str">
        <x:v>BR-00854</x:v>
      </x:c>
      <x:c r="B855" s="339" t="str">
        <x:v>Screen</x:v>
      </x:c>
      <x:c r="C855" s="339" t="str">
        <x:v>SCR-285</x:v>
      </x:c>
      <x:c r="D855" s="339" t="str">
        <x:v>Settings / Roles / Permissions / Audit</x:v>
      </x:c>
      <x:c r="E855" s="339" t="str">
        <x:v>Roles</x:v>
      </x:c>
      <x:c r="F855" s="339" t="str">
        <x:v>Security, RBAC, Settings &amp; Audit rule 2</x:v>
      </x:c>
      <x:c r="G855" s="339" t="str">
        <x:v>High-risk permission changes require audit logging and may require step-up approval.</x:v>
      </x:c>
      <x:c r="H855" s="339" t="str">
        <x:v>Enforced in service/domain layer and reflected in UI validation/action availability.</x:v>
      </x:c>
      <x:c r="I855" s="339" t="str">
        <x:v>High</x:v>
      </x:c>
      <x:c r="J855" s="339" t="str">
        <x:v>Only an explicitly configured authorized override may bypass a non-statutory rule; overrides require reason and audit.</x:v>
      </x:c>
    </x:row>
    <x:row r="856">
      <x:c r="A856" s="339" t="str">
        <x:v>BR-00855</x:v>
      </x:c>
      <x:c r="B856" s="339" t="str">
        <x:v>Screen Type</x:v>
      </x:c>
      <x:c r="C856" s="339" t="str">
        <x:v>SCR-285</x:v>
      </x:c>
      <x:c r="D856" s="339" t="str">
        <x:v>Settings / Roles / Permissions / Audit</x:v>
      </x:c>
      <x:c r="E856" s="339" t="str">
        <x:v>Roles</x:v>
      </x:c>
      <x:c r="F856" s="339" t="str">
        <x:v>Configuration integrity rule</x:v>
      </x:c>
      <x:c r="G856" s="339" t="str">
        <x:v>Referenced master/configuration data is not hard-deleted; use effective dating, versioning or inactivation.</x:v>
      </x:c>
      <x:c r="H856" s="339" t="str">
        <x:v>Domain/service validation plus UI affordances.</x:v>
      </x:c>
      <x:c r="I856" s="339" t="str">
        <x:v>High</x:v>
      </x:c>
      <x:c r="J856" s="339" t="str">
        <x:v>No silent bypass; approved overrides must be separately authorized and audited.</x:v>
      </x:c>
    </x:row>
    <x:row r="857">
      <x:c r="A857" s="339" t="str">
        <x:v>BR-00856</x:v>
      </x:c>
      <x:c r="B857" s="339" t="str">
        <x:v>Screen</x:v>
      </x:c>
      <x:c r="C857" s="339" t="str">
        <x:v>SCR-286</x:v>
      </x:c>
      <x:c r="D857" s="339" t="str">
        <x:v>Settings / Roles / Permissions / Audit</x:v>
      </x:c>
      <x:c r="E857" s="339" t="str">
        <x:v>Permissions</x:v>
      </x:c>
      <x:c r="F857" s="339" t="str">
        <x:v>Security, RBAC, Settings &amp; Audit rule 1</x:v>
      </x:c>
      <x:c r="G857" s="339" t="str">
        <x:v>High-risk permission changes require audit logging and may require step-up approval.</x:v>
      </x:c>
      <x:c r="H857" s="339" t="str">
        <x:v>Enforced in service/domain layer and reflected in UI validation/action availability.</x:v>
      </x:c>
      <x:c r="I857" s="339" t="str">
        <x:v>High</x:v>
      </x:c>
      <x:c r="J857" s="339" t="str">
        <x:v>Only an explicitly configured authorized override may bypass a non-statutory rule; overrides require reason and audit.</x:v>
      </x:c>
    </x:row>
    <x:row r="858">
      <x:c r="A858" s="339" t="str">
        <x:v>BR-00857</x:v>
      </x:c>
      <x:c r="B858" s="339" t="str">
        <x:v>Screen</x:v>
      </x:c>
      <x:c r="C858" s="339" t="str">
        <x:v>SCR-286</x:v>
      </x:c>
      <x:c r="D858" s="339" t="str">
        <x:v>Settings / Roles / Permissions / Audit</x:v>
      </x:c>
      <x:c r="E858" s="339" t="str">
        <x:v>Permissions</x:v>
      </x:c>
      <x:c r="F858" s="339" t="str">
        <x:v>Security, RBAC, Settings &amp; Audit rule 2</x:v>
      </x:c>
      <x:c r="G858" s="339" t="str">
        <x:v>A user cannot grant permissions beyond their own authorized administration scope.</x:v>
      </x:c>
      <x:c r="H858" s="339" t="str">
        <x:v>Enforced in service/domain layer and reflected in UI validation/action availability.</x:v>
      </x:c>
      <x:c r="I858" s="339" t="str">
        <x:v>High</x:v>
      </x:c>
      <x:c r="J858" s="339" t="str">
        <x:v>Only an explicitly configured authorized override may bypass a non-statutory rule; overrides require reason and audit.</x:v>
      </x:c>
    </x:row>
    <x:row r="859">
      <x:c r="A859" s="339" t="str">
        <x:v>BR-00858</x:v>
      </x:c>
      <x:c r="B859" s="339" t="str">
        <x:v>Screen Type</x:v>
      </x:c>
      <x:c r="C859" s="339" t="str">
        <x:v>SCR-286</x:v>
      </x:c>
      <x:c r="D859" s="339" t="str">
        <x:v>Settings / Roles / Permissions / Audit</x:v>
      </x:c>
      <x:c r="E859" s="339" t="str">
        <x:v>Permissions</x:v>
      </x:c>
      <x:c r="F859" s="339" t="str">
        <x:v>Configuration integrity rule</x:v>
      </x:c>
      <x:c r="G859" s="339" t="str">
        <x:v>Referenced master/configuration data is not hard-deleted; use effective dating, versioning or inactivation.</x:v>
      </x:c>
      <x:c r="H859" s="339" t="str">
        <x:v>Domain/service validation plus UI affordances.</x:v>
      </x:c>
      <x:c r="I859" s="339" t="str">
        <x:v>High</x:v>
      </x:c>
      <x:c r="J859" s="339" t="str">
        <x:v>No silent bypass; approved overrides must be separately authorized and audited.</x:v>
      </x:c>
    </x:row>
    <x:row r="860">
      <x:c r="A860" s="339" t="str">
        <x:v>BR-00859</x:v>
      </x:c>
      <x:c r="B860" s="339" t="str">
        <x:v>Screen</x:v>
      </x:c>
      <x:c r="C860" s="339" t="str">
        <x:v>SCR-287</x:v>
      </x:c>
      <x:c r="D860" s="339" t="str">
        <x:v>Settings / Roles / Permissions / Audit</x:v>
      </x:c>
      <x:c r="E860" s="339" t="str">
        <x:v>Role Permission Matrix</x:v>
      </x:c>
      <x:c r="F860" s="339" t="str">
        <x:v>Security, RBAC, Settings &amp; Audit rule 1</x:v>
      </x:c>
      <x:c r="G860" s="339" t="str">
        <x:v>A user cannot grant permissions beyond their own authorized administration scope.</x:v>
      </x:c>
      <x:c r="H860" s="339" t="str">
        <x:v>Enforced in service/domain layer and reflected in UI validation/action availability.</x:v>
      </x:c>
      <x:c r="I860" s="339" t="str">
        <x:v>High</x:v>
      </x:c>
      <x:c r="J860" s="339" t="str">
        <x:v>Only an explicitly configured authorized override may bypass a non-statutory rule; overrides require reason and audit.</x:v>
      </x:c>
    </x:row>
    <x:row r="861">
      <x:c r="A861" s="339" t="str">
        <x:v>BR-00860</x:v>
      </x:c>
      <x:c r="B861" s="339" t="str">
        <x:v>Screen</x:v>
      </x:c>
      <x:c r="C861" s="339" t="str">
        <x:v>SCR-287</x:v>
      </x:c>
      <x:c r="D861" s="339" t="str">
        <x:v>Settings / Roles / Permissions / Audit</x:v>
      </x:c>
      <x:c r="E861" s="339" t="str">
        <x:v>Role Permission Matrix</x:v>
      </x:c>
      <x:c r="F861" s="339" t="str">
        <x:v>Security, RBAC, Settings &amp; Audit rule 2</x:v>
      </x:c>
      <x:c r="G861" s="339" t="str">
        <x:v>Security/integration secrets are never displayed or logged in plain text after storage.</x:v>
      </x:c>
      <x:c r="H861" s="339" t="str">
        <x:v>Enforced in service/domain layer and reflected in UI validation/action availability.</x:v>
      </x:c>
      <x:c r="I861" s="339" t="str">
        <x:v>High</x:v>
      </x:c>
      <x:c r="J861" s="339" t="str">
        <x:v>Only an explicitly configured authorized override may bypass a non-statutory rule; overrides require reason and audit.</x:v>
      </x:c>
    </x:row>
    <x:row r="862">
      <x:c r="A862" s="339" t="str">
        <x:v>BR-00861</x:v>
      </x:c>
      <x:c r="B862" s="339" t="str">
        <x:v>Screen Type</x:v>
      </x:c>
      <x:c r="C862" s="339" t="str">
        <x:v>SCR-287</x:v>
      </x:c>
      <x:c r="D862" s="339" t="str">
        <x:v>Settings / Roles / Permissions / Audit</x:v>
      </x:c>
      <x:c r="E862" s="339" t="str">
        <x:v>Role Permission Matrix</x:v>
      </x:c>
      <x:c r="F862" s="339" t="str">
        <x:v>Workflow / Management integrity rule</x:v>
      </x:c>
      <x:c r="G862" s="339" t="str">
        <x:v>State transitions are explicit, role-controlled and auditable; invalid transitions are rejected.</x:v>
      </x:c>
      <x:c r="H862" s="339" t="str">
        <x:v>Domain/service validation plus UI affordances.</x:v>
      </x:c>
      <x:c r="I862" s="339" t="str">
        <x:v>High</x:v>
      </x:c>
      <x:c r="J862" s="339" t="str">
        <x:v>No silent bypass; approved overrides must be separately authorized and audited.</x:v>
      </x:c>
    </x:row>
    <x:row r="863">
      <x:c r="A863" s="339" t="str">
        <x:v>BR-00862</x:v>
      </x:c>
      <x:c r="B863" s="339" t="str">
        <x:v>Screen</x:v>
      </x:c>
      <x:c r="C863" s="339" t="str">
        <x:v>SCR-288</x:v>
      </x:c>
      <x:c r="D863" s="339" t="str">
        <x:v>Settings / Roles / Permissions / Audit</x:v>
      </x:c>
      <x:c r="E863" s="339" t="str">
        <x:v>User Role Assignment</x:v>
      </x:c>
      <x:c r="F863" s="339" t="str">
        <x:v>Security, RBAC, Settings &amp; Audit rule 1</x:v>
      </x:c>
      <x:c r="G863" s="339" t="str">
        <x:v>Security/integration secrets are never displayed or logged in plain text after storage.</x:v>
      </x:c>
      <x:c r="H863" s="339" t="str">
        <x:v>Enforced in service/domain layer and reflected in UI validation/action availability.</x:v>
      </x:c>
      <x:c r="I863" s="339" t="str">
        <x:v>High</x:v>
      </x:c>
      <x:c r="J863" s="339" t="str">
        <x:v>Only an explicitly configured authorized override may bypass a non-statutory rule; overrides require reason and audit.</x:v>
      </x:c>
    </x:row>
    <x:row r="864">
      <x:c r="A864" s="339" t="str">
        <x:v>BR-00863</x:v>
      </x:c>
      <x:c r="B864" s="339" t="str">
        <x:v>Screen</x:v>
      </x:c>
      <x:c r="C864" s="339" t="str">
        <x:v>SCR-288</x:v>
      </x:c>
      <x:c r="D864" s="339" t="str">
        <x:v>Settings / Roles / Permissions / Audit</x:v>
      </x:c>
      <x:c r="E864" s="339" t="str">
        <x:v>User Role Assignment</x:v>
      </x:c>
      <x:c r="F864" s="339" t="str">
        <x:v>Security, RBAC, Settings &amp; Audit rule 2</x:v>
      </x:c>
      <x:c r="G864" s="339" t="str">
        <x:v>Audit records are append-only and include actor, action, target, time and relevant context.</x:v>
      </x:c>
      <x:c r="H864" s="339" t="str">
        <x:v>Enforced in service/domain layer and reflected in UI validation/action availability.</x:v>
      </x:c>
      <x:c r="I864" s="339" t="str">
        <x:v>High</x:v>
      </x:c>
      <x:c r="J864" s="339" t="str">
        <x:v>Only an explicitly configured authorized override may bypass a non-statutory rule; overrides require reason and audit.</x:v>
      </x:c>
    </x:row>
    <x:row r="865">
      <x:c r="A865" s="339" t="str">
        <x:v>BR-00864</x:v>
      </x:c>
      <x:c r="B865" s="339" t="str">
        <x:v>Screen Type</x:v>
      </x:c>
      <x:c r="C865" s="339" t="str">
        <x:v>SCR-288</x:v>
      </x:c>
      <x:c r="D865" s="339" t="str">
        <x:v>Settings / Roles / Permissions / Audit</x:v>
      </x:c>
      <x:c r="E865" s="339" t="str">
        <x:v>User Role Assignment</x:v>
      </x:c>
      <x:c r="F865" s="339" t="str">
        <x:v>Workflow / Management integrity rule</x:v>
      </x:c>
      <x:c r="G865" s="339" t="str">
        <x:v>State transitions are explicit, role-controlled and auditable; invalid transitions are rejected.</x:v>
      </x:c>
      <x:c r="H865" s="339" t="str">
        <x:v>Domain/service validation plus UI affordances.</x:v>
      </x:c>
      <x:c r="I865" s="339" t="str">
        <x:v>High</x:v>
      </x:c>
      <x:c r="J865" s="339" t="str">
        <x:v>No silent bypass; approved overrides must be separately authorized and audited.</x:v>
      </x:c>
    </x:row>
    <x:row r="866">
      <x:c r="A866" s="339" t="str">
        <x:v>BR-00865</x:v>
      </x:c>
      <x:c r="B866" s="339" t="str">
        <x:v>Screen</x:v>
      </x:c>
      <x:c r="C866" s="339" t="str">
        <x:v>SCR-289</x:v>
      </x:c>
      <x:c r="D866" s="339" t="str">
        <x:v>Settings / Roles / Permissions / Audit</x:v>
      </x:c>
      <x:c r="E866" s="339" t="str">
        <x:v>School Settings</x:v>
      </x:c>
      <x:c r="F866" s="339" t="str">
        <x:v>Security, RBAC, Settings &amp; Audit rule 1</x:v>
      </x:c>
      <x:c r="G866" s="339" t="str">
        <x:v>Audit records are append-only and include actor, action, target, time and relevant context.</x:v>
      </x:c>
      <x:c r="H866" s="339" t="str">
        <x:v>Enforced in service/domain layer and reflected in UI validation/action availability.</x:v>
      </x:c>
      <x:c r="I866" s="339" t="str">
        <x:v>High</x:v>
      </x:c>
      <x:c r="J866" s="339" t="str">
        <x:v>Only an explicitly configured authorized override may bypass a non-statutory rule; overrides require reason and audit.</x:v>
      </x:c>
    </x:row>
    <x:row r="867">
      <x:c r="A867" s="339" t="str">
        <x:v>BR-00866</x:v>
      </x:c>
      <x:c r="B867" s="339" t="str">
        <x:v>Screen</x:v>
      </x:c>
      <x:c r="C867" s="339" t="str">
        <x:v>SCR-289</x:v>
      </x:c>
      <x:c r="D867" s="339" t="str">
        <x:v>Settings / Roles / Permissions / Audit</x:v>
      </x:c>
      <x:c r="E867" s="339" t="str">
        <x:v>School Settings</x:v>
      </x:c>
      <x:c r="F867" s="339" t="str">
        <x:v>Security, RBAC, Settings &amp; Audit rule 2</x:v>
      </x:c>
      <x:c r="G867" s="339" t="str">
        <x:v>Access is deny-by-default and granted explicitly through roles/scopes.</x:v>
      </x:c>
      <x:c r="H867" s="339" t="str">
        <x:v>Enforced in service/domain layer and reflected in UI validation/action availability.</x:v>
      </x:c>
      <x:c r="I867" s="339" t="str">
        <x:v>High</x:v>
      </x:c>
      <x:c r="J867" s="339" t="str">
        <x:v>Only an explicitly configured authorized override may bypass a non-statutory rule; overrides require reason and audit.</x:v>
      </x:c>
    </x:row>
    <x:row r="868">
      <x:c r="A868" s="339" t="str">
        <x:v>BR-00867</x:v>
      </x:c>
      <x:c r="B868" s="339" t="str">
        <x:v>Screen Type</x:v>
      </x:c>
      <x:c r="C868" s="339" t="str">
        <x:v>SCR-289</x:v>
      </x:c>
      <x:c r="D868" s="339" t="str">
        <x:v>Settings / Roles / Permissions / Audit</x:v>
      </x:c>
      <x:c r="E868" s="339" t="str">
        <x:v>School Settings</x:v>
      </x:c>
      <x:c r="F868" s="339" t="str">
        <x:v>Configuration integrity rule</x:v>
      </x:c>
      <x:c r="G868" s="339" t="str">
        <x:v>Referenced master/configuration data is not hard-deleted; use effective dating, versioning or inactivation.</x:v>
      </x:c>
      <x:c r="H868" s="339" t="str">
        <x:v>Domain/service validation plus UI affordances.</x:v>
      </x:c>
      <x:c r="I868" s="339" t="str">
        <x:v>High</x:v>
      </x:c>
      <x:c r="J868" s="339" t="str">
        <x:v>No silent bypass; approved overrides must be separately authorized and audited.</x:v>
      </x:c>
    </x:row>
    <x:row r="869">
      <x:c r="A869" s="339" t="str">
        <x:v>BR-00868</x:v>
      </x:c>
      <x:c r="B869" s="339" t="str">
        <x:v>Screen</x:v>
      </x:c>
      <x:c r="C869" s="339" t="str">
        <x:v>SCR-290</x:v>
      </x:c>
      <x:c r="D869" s="339" t="str">
        <x:v>Settings / Roles / Permissions / Audit</x:v>
      </x:c>
      <x:c r="E869" s="339" t="str">
        <x:v>Academic Settings</x:v>
      </x:c>
      <x:c r="F869" s="339" t="str">
        <x:v>Security, RBAC, Settings &amp; Audit rule 1</x:v>
      </x:c>
      <x:c r="G869" s="339" t="str">
        <x:v>Access is deny-by-default and granted explicitly through roles/scopes.</x:v>
      </x:c>
      <x:c r="H869" s="339" t="str">
        <x:v>Enforced in service/domain layer and reflected in UI validation/action availability.</x:v>
      </x:c>
      <x:c r="I869" s="339" t="str">
        <x:v>High</x:v>
      </x:c>
      <x:c r="J869" s="339" t="str">
        <x:v>Only an explicitly configured authorized override may bypass a non-statutory rule; overrides require reason and audit.</x:v>
      </x:c>
    </x:row>
    <x:row r="870">
      <x:c r="A870" s="339" t="str">
        <x:v>BR-00869</x:v>
      </x:c>
      <x:c r="B870" s="339" t="str">
        <x:v>Screen</x:v>
      </x:c>
      <x:c r="C870" s="339" t="str">
        <x:v>SCR-290</x:v>
      </x:c>
      <x:c r="D870" s="339" t="str">
        <x:v>Settings / Roles / Permissions / Audit</x:v>
      </x:c>
      <x:c r="E870" s="339" t="str">
        <x:v>Academic Settings</x:v>
      </x:c>
      <x:c r="F870" s="339" t="str">
        <x:v>Security, RBAC, Settings &amp; Audit rule 2</x:v>
      </x:c>
      <x:c r="G870" s="339" t="str">
        <x:v>High-risk permission changes require audit logging and may require step-up approval.</x:v>
      </x:c>
      <x:c r="H870" s="339" t="str">
        <x:v>Enforced in service/domain layer and reflected in UI validation/action availability.</x:v>
      </x:c>
      <x:c r="I870" s="339" t="str">
        <x:v>High</x:v>
      </x:c>
      <x:c r="J870" s="339" t="str">
        <x:v>Only an explicitly configured authorized override may bypass a non-statutory rule; overrides require reason and audit.</x:v>
      </x:c>
    </x:row>
    <x:row r="871">
      <x:c r="A871" s="339" t="str">
        <x:v>BR-00870</x:v>
      </x:c>
      <x:c r="B871" s="339" t="str">
        <x:v>Screen Type</x:v>
      </x:c>
      <x:c r="C871" s="339" t="str">
        <x:v>SCR-290</x:v>
      </x:c>
      <x:c r="D871" s="339" t="str">
        <x:v>Settings / Roles / Permissions / Audit</x:v>
      </x:c>
      <x:c r="E871" s="339" t="str">
        <x:v>Academic Settings</x:v>
      </x:c>
      <x:c r="F871" s="339" t="str">
        <x:v>Configuration integrity rule</x:v>
      </x:c>
      <x:c r="G871" s="339" t="str">
        <x:v>Referenced master/configuration data is not hard-deleted; use effective dating, versioning or inactivation.</x:v>
      </x:c>
      <x:c r="H871" s="339" t="str">
        <x:v>Domain/service validation plus UI affordances.</x:v>
      </x:c>
      <x:c r="I871" s="339" t="str">
        <x:v>High</x:v>
      </x:c>
      <x:c r="J871" s="339" t="str">
        <x:v>No silent bypass; approved overrides must be separately authorized and audited.</x:v>
      </x:c>
    </x:row>
    <x:row r="872">
      <x:c r="A872" s="339" t="str">
        <x:v>BR-00871</x:v>
      </x:c>
      <x:c r="B872" s="339" t="str">
        <x:v>Screen</x:v>
      </x:c>
      <x:c r="C872" s="339" t="str">
        <x:v>SCR-291</x:v>
      </x:c>
      <x:c r="D872" s="339" t="str">
        <x:v>Settings / Roles / Permissions / Audit</x:v>
      </x:c>
      <x:c r="E872" s="339" t="str">
        <x:v>Notification Settings</x:v>
      </x:c>
      <x:c r="F872" s="339" t="str">
        <x:v>Security, RBAC, Settings &amp; Audit rule 1</x:v>
      </x:c>
      <x:c r="G872" s="339" t="str">
        <x:v>High-risk permission changes require audit logging and may require step-up approval.</x:v>
      </x:c>
      <x:c r="H872" s="339" t="str">
        <x:v>Enforced in service/domain layer and reflected in UI validation/action availability.</x:v>
      </x:c>
      <x:c r="I872" s="339" t="str">
        <x:v>High</x:v>
      </x:c>
      <x:c r="J872" s="339" t="str">
        <x:v>Only an explicitly configured authorized override may bypass a non-statutory rule; overrides require reason and audit.</x:v>
      </x:c>
    </x:row>
    <x:row r="873">
      <x:c r="A873" s="339" t="str">
        <x:v>BR-00872</x:v>
      </x:c>
      <x:c r="B873" s="339" t="str">
        <x:v>Screen</x:v>
      </x:c>
      <x:c r="C873" s="339" t="str">
        <x:v>SCR-291</x:v>
      </x:c>
      <x:c r="D873" s="339" t="str">
        <x:v>Settings / Roles / Permissions / Audit</x:v>
      </x:c>
      <x:c r="E873" s="339" t="str">
        <x:v>Notification Settings</x:v>
      </x:c>
      <x:c r="F873" s="339" t="str">
        <x:v>Security, RBAC, Settings &amp; Audit rule 2</x:v>
      </x:c>
      <x:c r="G873" s="339" t="str">
        <x:v>A user cannot grant permissions beyond their own authorized administration scope.</x:v>
      </x:c>
      <x:c r="H873" s="339" t="str">
        <x:v>Enforced in service/domain layer and reflected in UI validation/action availability.</x:v>
      </x:c>
      <x:c r="I873" s="339" t="str">
        <x:v>High</x:v>
      </x:c>
      <x:c r="J873" s="339" t="str">
        <x:v>Only an explicitly configured authorized override may bypass a non-statutory rule; overrides require reason and audit.</x:v>
      </x:c>
    </x:row>
    <x:row r="874">
      <x:c r="A874" s="339" t="str">
        <x:v>BR-00873</x:v>
      </x:c>
      <x:c r="B874" s="339" t="str">
        <x:v>Screen Type</x:v>
      </x:c>
      <x:c r="C874" s="339" t="str">
        <x:v>SCR-291</x:v>
      </x:c>
      <x:c r="D874" s="339" t="str">
        <x:v>Settings / Roles / Permissions / Audit</x:v>
      </x:c>
      <x:c r="E874" s="339" t="str">
        <x:v>Notification Settings</x:v>
      </x:c>
      <x:c r="F874" s="339" t="str">
        <x:v>Configuration integrity rule</x:v>
      </x:c>
      <x:c r="G874" s="339" t="str">
        <x:v>Referenced master/configuration data is not hard-deleted; use effective dating, versioning or inactivation.</x:v>
      </x:c>
      <x:c r="H874" s="339" t="str">
        <x:v>Domain/service validation plus UI affordances.</x:v>
      </x:c>
      <x:c r="I874" s="339" t="str">
        <x:v>High</x:v>
      </x:c>
      <x:c r="J874" s="339" t="str">
        <x:v>No silent bypass; approved overrides must be separately authorized and audited.</x:v>
      </x:c>
    </x:row>
    <x:row r="875">
      <x:c r="A875" s="339" t="str">
        <x:v>BR-00874</x:v>
      </x:c>
      <x:c r="B875" s="339" t="str">
        <x:v>Screen</x:v>
      </x:c>
      <x:c r="C875" s="339" t="str">
        <x:v>SCR-292</x:v>
      </x:c>
      <x:c r="D875" s="339" t="str">
        <x:v>Settings / Roles / Permissions / Audit</x:v>
      </x:c>
      <x:c r="E875" s="339" t="str">
        <x:v>Integration / API Settings</x:v>
      </x:c>
      <x:c r="F875" s="339" t="str">
        <x:v>Security, RBAC, Settings &amp; Audit rule 1</x:v>
      </x:c>
      <x:c r="G875" s="339" t="str">
        <x:v>A user cannot grant permissions beyond their own authorized administration scope.</x:v>
      </x:c>
      <x:c r="H875" s="339" t="str">
        <x:v>Enforced in service/domain layer and reflected in UI validation/action availability.</x:v>
      </x:c>
      <x:c r="I875" s="339" t="str">
        <x:v>High</x:v>
      </x:c>
      <x:c r="J875" s="339" t="str">
        <x:v>Only an explicitly configured authorized override may bypass a non-statutory rule; overrides require reason and audit.</x:v>
      </x:c>
    </x:row>
    <x:row r="876">
      <x:c r="A876" s="339" t="str">
        <x:v>BR-00875</x:v>
      </x:c>
      <x:c r="B876" s="339" t="str">
        <x:v>Screen</x:v>
      </x:c>
      <x:c r="C876" s="339" t="str">
        <x:v>SCR-292</x:v>
      </x:c>
      <x:c r="D876" s="339" t="str">
        <x:v>Settings / Roles / Permissions / Audit</x:v>
      </x:c>
      <x:c r="E876" s="339" t="str">
        <x:v>Integration / API Settings</x:v>
      </x:c>
      <x:c r="F876" s="339" t="str">
        <x:v>Security, RBAC, Settings &amp; Audit rule 2</x:v>
      </x:c>
      <x:c r="G876" s="339" t="str">
        <x:v>Security/integration secrets are never displayed or logged in plain text after storage.</x:v>
      </x:c>
      <x:c r="H876" s="339" t="str">
        <x:v>Enforced in service/domain layer and reflected in UI validation/action availability.</x:v>
      </x:c>
      <x:c r="I876" s="339" t="str">
        <x:v>High</x:v>
      </x:c>
      <x:c r="J876" s="339" t="str">
        <x:v>Only an explicitly configured authorized override may bypass a non-statutory rule; overrides require reason and audit.</x:v>
      </x:c>
    </x:row>
    <x:row r="877">
      <x:c r="A877" s="339" t="str">
        <x:v>BR-00876</x:v>
      </x:c>
      <x:c r="B877" s="339" t="str">
        <x:v>Screen Type</x:v>
      </x:c>
      <x:c r="C877" s="339" t="str">
        <x:v>SCR-292</x:v>
      </x:c>
      <x:c r="D877" s="339" t="str">
        <x:v>Settings / Roles / Permissions / Audit</x:v>
      </x:c>
      <x:c r="E877" s="339" t="str">
        <x:v>Integration / API Settings</x:v>
      </x:c>
      <x:c r="F877" s="339" t="str">
        <x:v>Configuration integrity rule</x:v>
      </x:c>
      <x:c r="G877" s="339" t="str">
        <x:v>Referenced master/configuration data is not hard-deleted; use effective dating, versioning or inactivation.</x:v>
      </x:c>
      <x:c r="H877" s="339" t="str">
        <x:v>Domain/service validation plus UI affordances.</x:v>
      </x:c>
      <x:c r="I877" s="339" t="str">
        <x:v>High</x:v>
      </x:c>
      <x:c r="J877" s="339" t="str">
        <x:v>No silent bypass; approved overrides must be separately authorized and audited.</x:v>
      </x:c>
    </x:row>
    <x:row r="878">
      <x:c r="A878" s="339" t="str">
        <x:v>BR-00877</x:v>
      </x:c>
      <x:c r="B878" s="339" t="str">
        <x:v>Screen</x:v>
      </x:c>
      <x:c r="C878" s="339" t="str">
        <x:v>SCR-293</x:v>
      </x:c>
      <x:c r="D878" s="339" t="str">
        <x:v>Settings / Roles / Permissions / Audit</x:v>
      </x:c>
      <x:c r="E878" s="339" t="str">
        <x:v>Security &amp; Password Policy</x:v>
      </x:c>
      <x:c r="F878" s="339" t="str">
        <x:v>Security, RBAC, Settings &amp; Audit rule 1</x:v>
      </x:c>
      <x:c r="G878" s="339" t="str">
        <x:v>Security/integration secrets are never displayed or logged in plain text after storage.</x:v>
      </x:c>
      <x:c r="H878" s="339" t="str">
        <x:v>Enforced in service/domain layer and reflected in UI validation/action availability.</x:v>
      </x:c>
      <x:c r="I878" s="339" t="str">
        <x:v>High</x:v>
      </x:c>
      <x:c r="J878" s="339" t="str">
        <x:v>Only an explicitly configured authorized override may bypass a non-statutory rule; overrides require reason and audit.</x:v>
      </x:c>
    </x:row>
    <x:row r="879">
      <x:c r="A879" s="339" t="str">
        <x:v>BR-00878</x:v>
      </x:c>
      <x:c r="B879" s="339" t="str">
        <x:v>Screen</x:v>
      </x:c>
      <x:c r="C879" s="339" t="str">
        <x:v>SCR-293</x:v>
      </x:c>
      <x:c r="D879" s="339" t="str">
        <x:v>Settings / Roles / Permissions / Audit</x:v>
      </x:c>
      <x:c r="E879" s="339" t="str">
        <x:v>Security &amp; Password Policy</x:v>
      </x:c>
      <x:c r="F879" s="339" t="str">
        <x:v>Security, RBAC, Settings &amp; Audit rule 2</x:v>
      </x:c>
      <x:c r="G879" s="339" t="str">
        <x:v>Audit records are append-only and include actor, action, target, time and relevant context.</x:v>
      </x:c>
      <x:c r="H879" s="339" t="str">
        <x:v>Enforced in service/domain layer and reflected in UI validation/action availability.</x:v>
      </x:c>
      <x:c r="I879" s="339" t="str">
        <x:v>High</x:v>
      </x:c>
      <x:c r="J879" s="339" t="str">
        <x:v>Only an explicitly configured authorized override may bypass a non-statutory rule; overrides require reason and audit.</x:v>
      </x:c>
    </x:row>
    <x:row r="880">
      <x:c r="A880" s="339" t="str">
        <x:v>BR-00879</x:v>
      </x:c>
      <x:c r="B880" s="339" t="str">
        <x:v>Screen Type</x:v>
      </x:c>
      <x:c r="C880" s="339" t="str">
        <x:v>SCR-293</x:v>
      </x:c>
      <x:c r="D880" s="339" t="str">
        <x:v>Settings / Roles / Permissions / Audit</x:v>
      </x:c>
      <x:c r="E880" s="339" t="str">
        <x:v>Security &amp; Password Policy</x:v>
      </x:c>
      <x:c r="F880" s="339" t="str">
        <x:v>Configuration integrity rule</x:v>
      </x:c>
      <x:c r="G880" s="339" t="str">
        <x:v>Referenced master/configuration data is not hard-deleted; use effective dating, versioning or inactivation.</x:v>
      </x:c>
      <x:c r="H880" s="339" t="str">
        <x:v>Domain/service validation plus UI affordances.</x:v>
      </x:c>
      <x:c r="I880" s="339" t="str">
        <x:v>High</x:v>
      </x:c>
      <x:c r="J880" s="339" t="str">
        <x:v>No silent bypass; approved overrides must be separately authorized and audited.</x:v>
      </x:c>
    </x:row>
    <x:row r="881">
      <x:c r="A881" s="339" t="str">
        <x:v>BR-00880</x:v>
      </x:c>
      <x:c r="B881" s="339" t="str">
        <x:v>Screen</x:v>
      </x:c>
      <x:c r="C881" s="339" t="str">
        <x:v>SCR-294</x:v>
      </x:c>
      <x:c r="D881" s="339" t="str">
        <x:v>Settings / Roles / Permissions / Audit</x:v>
      </x:c>
      <x:c r="E881" s="339" t="str">
        <x:v>Audit Logs</x:v>
      </x:c>
      <x:c r="F881" s="339" t="str">
        <x:v>Security, RBAC, Settings &amp; Audit rule 1</x:v>
      </x:c>
      <x:c r="G881" s="339" t="str">
        <x:v>Audit records are append-only and include actor, action, target, time and relevant context.</x:v>
      </x:c>
      <x:c r="H881" s="339" t="str">
        <x:v>Enforced in service/domain layer and reflected in UI validation/action availability.</x:v>
      </x:c>
      <x:c r="I881" s="339" t="str">
        <x:v>High</x:v>
      </x:c>
      <x:c r="J881" s="339" t="str">
        <x:v>Only an explicitly configured authorized override may bypass a non-statutory rule; overrides require reason and audit.</x:v>
      </x:c>
    </x:row>
    <x:row r="882">
      <x:c r="A882" s="339" t="str">
        <x:v>BR-00881</x:v>
      </x:c>
      <x:c r="B882" s="339" t="str">
        <x:v>Screen</x:v>
      </x:c>
      <x:c r="C882" s="339" t="str">
        <x:v>SCR-294</x:v>
      </x:c>
      <x:c r="D882" s="339" t="str">
        <x:v>Settings / Roles / Permissions / Audit</x:v>
      </x:c>
      <x:c r="E882" s="339" t="str">
        <x:v>Audit Logs</x:v>
      </x:c>
      <x:c r="F882" s="339" t="str">
        <x:v>Security, RBAC, Settings &amp; Audit rule 2</x:v>
      </x:c>
      <x:c r="G882" s="339" t="str">
        <x:v>Access is deny-by-default and granted explicitly through roles/scopes.</x:v>
      </x:c>
      <x:c r="H882" s="339" t="str">
        <x:v>Enforced in service/domain layer and reflected in UI validation/action availability.</x:v>
      </x:c>
      <x:c r="I882" s="339" t="str">
        <x:v>High</x:v>
      </x:c>
      <x:c r="J882" s="339" t="str">
        <x:v>Only an explicitly configured authorized override may bypass a non-statutory rule; overrides require reason and audit.</x:v>
      </x:c>
    </x:row>
    <x:row r="883">
      <x:c r="A883" s="339" t="str">
        <x:v>BR-00882</x:v>
      </x:c>
      <x:c r="B883" s="339" t="str">
        <x:v>Screen Type</x:v>
      </x:c>
      <x:c r="C883" s="339" t="str">
        <x:v>SCR-294</x:v>
      </x:c>
      <x:c r="D883" s="339" t="str">
        <x:v>Settings / Roles / Permissions / Audit</x:v>
      </x:c>
      <x:c r="E883" s="339" t="str">
        <x:v>Audit Logs</x:v>
      </x:c>
      <x:c r="F883" s="339" t="str">
        <x:v>Workflow / Management integrity rule</x:v>
      </x:c>
      <x:c r="G883" s="339" t="str">
        <x:v>State transitions are explicit, role-controlled and auditable; invalid transitions are rejected.</x:v>
      </x:c>
      <x:c r="H883" s="339" t="str">
        <x:v>Domain/service validation plus UI affordances.</x:v>
      </x:c>
      <x:c r="I883" s="339" t="str">
        <x:v>High</x:v>
      </x:c>
      <x:c r="J883" s="339" t="str">
        <x:v>No silent bypass; approved overrides must be separately authorized and audited.</x:v>
      </x:c>
    </x:row>
    <x:row r="884">
      <x:c r="A884" s="339" t="str">
        <x:v>BR-00883</x:v>
      </x:c>
      <x:c r="B884" s="339" t="str">
        <x:v>Screen</x:v>
      </x:c>
      <x:c r="C884" s="339" t="str">
        <x:v>SCR-295</x:v>
      </x:c>
      <x:c r="D884" s="339" t="str">
        <x:v>Settings / Roles / Permissions / Audit</x:v>
      </x:c>
      <x:c r="E884" s="339" t="str">
        <x:v>Data Import / Export / Backup</x:v>
      </x:c>
      <x:c r="F884" s="339" t="str">
        <x:v>Security, RBAC, Settings &amp; Audit rule 1</x:v>
      </x:c>
      <x:c r="G884" s="339" t="str">
        <x:v>Access is deny-by-default and granted explicitly through roles/scopes.</x:v>
      </x:c>
      <x:c r="H884" s="339" t="str">
        <x:v>Enforced in service/domain layer and reflected in UI validation/action availability.</x:v>
      </x:c>
      <x:c r="I884" s="339" t="str">
        <x:v>High</x:v>
      </x:c>
      <x:c r="J884" s="339" t="str">
        <x:v>Only an explicitly configured authorized override may bypass a non-statutory rule; overrides require reason and audit.</x:v>
      </x:c>
    </x:row>
    <x:row r="885">
      <x:c r="A885" s="339" t="str">
        <x:v>BR-00884</x:v>
      </x:c>
      <x:c r="B885" s="339" t="str">
        <x:v>Screen</x:v>
      </x:c>
      <x:c r="C885" s="339" t="str">
        <x:v>SCR-295</x:v>
      </x:c>
      <x:c r="D885" s="339" t="str">
        <x:v>Settings / Roles / Permissions / Audit</x:v>
      </x:c>
      <x:c r="E885" s="339" t="str">
        <x:v>Data Import / Export / Backup</x:v>
      </x:c>
      <x:c r="F885" s="339" t="str">
        <x:v>Security, RBAC, Settings &amp; Audit rule 2</x:v>
      </x:c>
      <x:c r="G885" s="339" t="str">
        <x:v>High-risk permission changes require audit logging and may require step-up approval.</x:v>
      </x:c>
      <x:c r="H885" s="339" t="str">
        <x:v>Enforced in service/domain layer and reflected in UI validation/action availability.</x:v>
      </x:c>
      <x:c r="I885" s="339" t="str">
        <x:v>High</x:v>
      </x:c>
      <x:c r="J885" s="339" t="str">
        <x:v>Only an explicitly configured authorized override may bypass a non-statutory rule; overrides require reason and audit.</x:v>
      </x:c>
    </x:row>
    <x:row r="886">
      <x:c r="A886" s="339" t="str">
        <x:v>BR-00885</x:v>
      </x:c>
      <x:c r="B886" s="339" t="str">
        <x:v>Screen Type</x:v>
      </x:c>
      <x:c r="C886" s="339" t="str">
        <x:v>SCR-295</x:v>
      </x:c>
      <x:c r="D886" s="339" t="str">
        <x:v>Settings / Roles / Permissions / Audit</x:v>
      </x:c>
      <x:c r="E886" s="339" t="str">
        <x:v>Data Import / Export / Backup</x:v>
      </x:c>
      <x:c r="F886" s="339" t="str">
        <x:v>Workflow / Management integrity rule</x:v>
      </x:c>
      <x:c r="G886" s="339" t="str">
        <x:v>State transitions are explicit, role-controlled and auditable; invalid transitions are rejected.</x:v>
      </x:c>
      <x:c r="H886" s="339" t="str">
        <x:v>Domain/service validation plus UI affordances.</x:v>
      </x:c>
      <x:c r="I886" s="339" t="str">
        <x:v>High</x:v>
      </x:c>
      <x:c r="J886" s="339" t="str">
        <x:v>No silent bypass; approved overrides must be separately authorized and audited.</x:v>
      </x:c>
    </x:row>
    <x:row r="887">
      <x:c r="A887" s="339" t="str">
        <x:v>BR-00886</x:v>
      </x:c>
      <x:c r="B887" s="339" t="str">
        <x:v>Module</x:v>
      </x:c>
      <x:c r="C887" s="339" t="str"/>
      <x:c r="D887" s="339" t="str">
        <x:v>Public Website &amp; Authentication</x:v>
      </x:c>
      <x:c r="E887" s="339" t="str"/>
      <x:c r="F887" s="339" t="str">
        <x:v>Secure Access &amp; Role Entry canonical rule</x:v>
      </x:c>
      <x:c r="G887" s="339" t="str">
        <x:v>Authentication must resolve tenant/school context before protected data is returned.</x:v>
      </x:c>
      <x:c r="H887" s="339" t="str">
        <x:v>Domain/service layer; database constraints where appropriate; UI mirrors the rule.</x:v>
      </x:c>
      <x:c r="I887" s="339" t="str">
        <x:v>High</x:v>
      </x:c>
      <x:c r="J887" s="339" t="str">
        <x:v>Overrides only if explicitly defined, authorized and audited.</x:v>
      </x:c>
    </x:row>
    <x:row r="888">
      <x:c r="A888" s="339" t="str">
        <x:v>BR-00887</x:v>
      </x:c>
      <x:c r="B888" s="339" t="str">
        <x:v>Module</x:v>
      </x:c>
      <x:c r="C888" s="339" t="str"/>
      <x:c r="D888" s="339" t="str">
        <x:v>Public Website &amp; Authentication</x:v>
      </x:c>
      <x:c r="E888" s="339" t="str"/>
      <x:c r="F888" s="339" t="str">
        <x:v>Secure Access &amp; Role Entry canonical rule</x:v>
      </x:c>
      <x:c r="G888" s="339" t="str">
        <x:v>Locked, inactive, suspended or expired accounts cannot start a protected session.</x:v>
      </x:c>
      <x:c r="H888" s="339" t="str">
        <x:v>Domain/service layer; database constraints where appropriate; UI mirrors the rule.</x:v>
      </x:c>
      <x:c r="I888" s="339" t="str">
        <x:v>High</x:v>
      </x:c>
      <x:c r="J888" s="339" t="str">
        <x:v>Overrides only if explicitly defined, authorized and audited.</x:v>
      </x:c>
    </x:row>
    <x:row r="889">
      <x:c r="A889" s="339" t="str">
        <x:v>BR-00888</x:v>
      </x:c>
      <x:c r="B889" s="339" t="str">
        <x:v>Module</x:v>
      </x:c>
      <x:c r="C889" s="339" t="str"/>
      <x:c r="D889" s="339" t="str">
        <x:v>Public Website &amp; Authentication</x:v>
      </x:c>
      <x:c r="E889" s="339" t="str"/>
      <x:c r="F889" s="339" t="str">
        <x:v>Secure Access &amp; Role Entry canonical rule</x:v>
      </x:c>
      <x:c r="G889" s="339" t="str">
        <x:v>Password reset and OTP tokens must be single-use and time-bound.</x:v>
      </x:c>
      <x:c r="H889" s="339" t="str">
        <x:v>Domain/service layer; database constraints where appropriate; UI mirrors the rule.</x:v>
      </x:c>
      <x:c r="I889" s="339" t="str">
        <x:v>High</x:v>
      </x:c>
      <x:c r="J889" s="339" t="str">
        <x:v>Overrides only if explicitly defined, authorized and audited.</x:v>
      </x:c>
    </x:row>
    <x:row r="890">
      <x:c r="A890" s="339" t="str">
        <x:v>BR-00889</x:v>
      </x:c>
      <x:c r="B890" s="339" t="str">
        <x:v>Module</x:v>
      </x:c>
      <x:c r="C890" s="339" t="str"/>
      <x:c r="D890" s="339" t="str">
        <x:v>Public Website &amp; Authentication</x:v>
      </x:c>
      <x:c r="E890" s="339" t="str"/>
      <x:c r="F890" s="339" t="str">
        <x:v>Secure Access &amp; Role Entry canonical rule</x:v>
      </x:c>
      <x:c r="G890" s="339" t="str">
        <x:v>Authorization is evaluated server-side on every protected request; UI hiding alone is not sufficient.</x:v>
      </x:c>
      <x:c r="H890" s="339" t="str">
        <x:v>Domain/service layer; database constraints where appropriate; UI mirrors the rule.</x:v>
      </x:c>
      <x:c r="I890" s="339" t="str">
        <x:v>High</x:v>
      </x:c>
      <x:c r="J890" s="339" t="str">
        <x:v>Overrides only if explicitly defined, authorized and audited.</x:v>
      </x:c>
    </x:row>
    <x:row r="891">
      <x:c r="A891" s="339" t="str">
        <x:v>BR-00890</x:v>
      </x:c>
      <x:c r="B891" s="339" t="str">
        <x:v>Module</x:v>
      </x:c>
      <x:c r="C891" s="339" t="str"/>
      <x:c r="D891" s="339" t="str">
        <x:v>Public Website &amp; Authentication</x:v>
      </x:c>
      <x:c r="E891" s="339" t="str"/>
      <x:c r="F891" s="339" t="str">
        <x:v>Secure Access &amp; Role Entry canonical rule</x:v>
      </x:c>
      <x:c r="G891" s="339" t="str">
        <x:v>Session expiry must not silently lose unsaved user input where recovery is technically feasible.</x:v>
      </x:c>
      <x:c r="H891" s="339" t="str">
        <x:v>Domain/service layer; database constraints where appropriate; UI mirrors the rule.</x:v>
      </x:c>
      <x:c r="I891" s="339" t="str">
        <x:v>High</x:v>
      </x:c>
      <x:c r="J891" s="339" t="str">
        <x:v>Overrides only if explicitly defined, authorized and audited.</x:v>
      </x:c>
    </x:row>
    <x:row r="892">
      <x:c r="A892" s="339" t="str">
        <x:v>BR-00891</x:v>
      </x:c>
      <x:c r="B892" s="339" t="str">
        <x:v>Module</x:v>
      </x:c>
      <x:c r="C892" s="339" t="str"/>
      <x:c r="D892" s="339" t="str">
        <x:v>Super Admin / SaaS Administration</x:v>
      </x:c>
      <x:c r="E892" s="339" t="str"/>
      <x:c r="F892" s="339" t="str">
        <x:v>Multi-Tenant Platform Administration canonical rule</x:v>
      </x:c>
      <x:c r="G892" s="339" t="str">
        <x:v>Tenant data must remain isolated across organizations and schools.</x:v>
      </x:c>
      <x:c r="H892" s="339" t="str">
        <x:v>Domain/service layer; database constraints where appropriate; UI mirrors the rule.</x:v>
      </x:c>
      <x:c r="I892" s="339" t="str">
        <x:v>High</x:v>
      </x:c>
      <x:c r="J892" s="339" t="str">
        <x:v>Overrides only if explicitly defined, authorized and audited.</x:v>
      </x:c>
    </x:row>
    <x:row r="893">
      <x:c r="A893" s="339" t="str">
        <x:v>BR-00892</x:v>
      </x:c>
      <x:c r="B893" s="339" t="str">
        <x:v>Module</x:v>
      </x:c>
      <x:c r="C893" s="339" t="str"/>
      <x:c r="D893" s="339" t="str">
        <x:v>Super Admin / SaaS Administration</x:v>
      </x:c>
      <x:c r="E893" s="339" t="str"/>
      <x:c r="F893" s="339" t="str">
        <x:v>Multi-Tenant Platform Administration canonical rule</x:v>
      </x:c>
      <x:c r="G893" s="339" t="str">
        <x:v>Plan limits must be enforced consistently at API and UI boundaries.</x:v>
      </x:c>
      <x:c r="H893" s="339" t="str">
        <x:v>Domain/service layer; database constraints where appropriate; UI mirrors the rule.</x:v>
      </x:c>
      <x:c r="I893" s="339" t="str">
        <x:v>High</x:v>
      </x:c>
      <x:c r="J893" s="339" t="str">
        <x:v>Overrides only if explicitly defined, authorized and audited.</x:v>
      </x:c>
    </x:row>
    <x:row r="894">
      <x:c r="A894" s="339" t="str">
        <x:v>BR-00893</x:v>
      </x:c>
      <x:c r="B894" s="339" t="str">
        <x:v>Module</x:v>
      </x:c>
      <x:c r="C894" s="339" t="str"/>
      <x:c r="D894" s="339" t="str">
        <x:v>Super Admin / SaaS Administration</x:v>
      </x:c>
      <x:c r="E894" s="339" t="str"/>
      <x:c r="F894" s="339" t="str">
        <x:v>Multi-Tenant Platform Administration canonical rule</x:v>
      </x:c>
      <x:c r="G894" s="339" t="str">
        <x:v>Suspending a tenant blocks transactional access without deleting historical records.</x:v>
      </x:c>
      <x:c r="H894" s="339" t="str">
        <x:v>Domain/service layer; database constraints where appropriate; UI mirrors the rule.</x:v>
      </x:c>
      <x:c r="I894" s="339" t="str">
        <x:v>High</x:v>
      </x:c>
      <x:c r="J894" s="339" t="str">
        <x:v>Overrides only if explicitly defined, authorized and audited.</x:v>
      </x:c>
    </x:row>
    <x:row r="895">
      <x:c r="A895" s="339" t="str">
        <x:v>BR-00894</x:v>
      </x:c>
      <x:c r="B895" s="339" t="str">
        <x:v>Module</x:v>
      </x:c>
      <x:c r="C895" s="339" t="str"/>
      <x:c r="D895" s="339" t="str">
        <x:v>Super Admin / SaaS Administration</x:v>
      </x:c>
      <x:c r="E895" s="339" t="str"/>
      <x:c r="F895" s="339" t="str">
        <x:v>Multi-Tenant Platform Administration canonical rule</x:v>
      </x:c>
      <x:c r="G895" s="339" t="str">
        <x:v>Subscription changes are effective according to configured billing/effective-date rules.</x:v>
      </x:c>
      <x:c r="H895" s="339" t="str">
        <x:v>Domain/service layer; database constraints where appropriate; UI mirrors the rule.</x:v>
      </x:c>
      <x:c r="I895" s="339" t="str">
        <x:v>High</x:v>
      </x:c>
      <x:c r="J895" s="339" t="str">
        <x:v>Overrides only if explicitly defined, authorized and audited.</x:v>
      </x:c>
    </x:row>
    <x:row r="896">
      <x:c r="A896" s="339" t="str">
        <x:v>BR-00895</x:v>
      </x:c>
      <x:c r="B896" s="339" t="str">
        <x:v>Module</x:v>
      </x:c>
      <x:c r="C896" s="339" t="str"/>
      <x:c r="D896" s="339" t="str">
        <x:v>Super Admin / SaaS Administration</x:v>
      </x:c>
      <x:c r="E896" s="339" t="str"/>
      <x:c r="F896" s="339" t="str">
        <x:v>Multi-Tenant Platform Administration canonical rule</x:v>
      </x:c>
      <x:c r="G896" s="339" t="str">
        <x:v>Platform-level changes must be fully audit logged.</x:v>
      </x:c>
      <x:c r="H896" s="339" t="str">
        <x:v>Domain/service layer; database constraints where appropriate; UI mirrors the rule.</x:v>
      </x:c>
      <x:c r="I896" s="339" t="str">
        <x:v>High</x:v>
      </x:c>
      <x:c r="J896" s="339" t="str">
        <x:v>Overrides only if explicitly defined, authorized and audited.</x:v>
      </x:c>
    </x:row>
    <x:row r="897">
      <x:c r="A897" s="339" t="str">
        <x:v>BR-00896</x:v>
      </x:c>
      <x:c r="B897" s="339" t="str">
        <x:v>Module</x:v>
      </x:c>
      <x:c r="C897" s="339" t="str"/>
      <x:c r="D897" s="339" t="str">
        <x:v>Organization / School / Branch Setup</x:v>
      </x:c>
      <x:c r="E897" s="339" t="str"/>
      <x:c r="F897" s="339" t="str">
        <x:v>School Structure &amp; Academic Foundation canonical rule</x:v>
      </x:c>
      <x:c r="G897" s="339" t="str">
        <x:v>Codes/names that act as master identifiers must be unique within their configured scope.</x:v>
      </x:c>
      <x:c r="H897" s="339" t="str">
        <x:v>Domain/service layer; database constraints where appropriate; UI mirrors the rule.</x:v>
      </x:c>
      <x:c r="I897" s="339" t="str">
        <x:v>High</x:v>
      </x:c>
      <x:c r="J897" s="339" t="str">
        <x:v>Overrides only if explicitly defined, authorized and audited.</x:v>
      </x:c>
    </x:row>
    <x:row r="898">
      <x:c r="A898" s="339" t="str">
        <x:v>BR-00897</x:v>
      </x:c>
      <x:c r="B898" s="339" t="str">
        <x:v>Module</x:v>
      </x:c>
      <x:c r="C898" s="339" t="str"/>
      <x:c r="D898" s="339" t="str">
        <x:v>Organization / School / Branch Setup</x:v>
      </x:c>
      <x:c r="E898" s="339" t="str"/>
      <x:c r="F898" s="339" t="str">
        <x:v>School Structure &amp; Academic Foundation canonical rule</x:v>
      </x:c>
      <x:c r="G898" s="339" t="str">
        <x:v>Only one academic year can be marked active per school unless multi-calendar operation is explicitly enabled.</x:v>
      </x:c>
      <x:c r="H898" s="339" t="str">
        <x:v>Domain/service layer; database constraints where appropriate; UI mirrors the rule.</x:v>
      </x:c>
      <x:c r="I898" s="339" t="str">
        <x:v>High</x:v>
      </x:c>
      <x:c r="J898" s="339" t="str">
        <x:v>Overrides only if explicitly defined, authorized and audited.</x:v>
      </x:c>
    </x:row>
    <x:row r="899">
      <x:c r="A899" s="339" t="str">
        <x:v>BR-00898</x:v>
      </x:c>
      <x:c r="B899" s="339" t="str">
        <x:v>Module</x:v>
      </x:c>
      <x:c r="C899" s="339" t="str"/>
      <x:c r="D899" s="339" t="str">
        <x:v>Organization / School / Branch Setup</x:v>
      </x:c>
      <x:c r="E899" s="339" t="str"/>
      <x:c r="F899" s="339" t="str">
        <x:v>School Structure &amp; Academic Foundation canonical rule</x:v>
      </x:c>
      <x:c r="G899" s="339" t="str">
        <x:v>Master data referenced by transactions cannot be hard-deleted; it must be inactivated or versioned.</x:v>
      </x:c>
      <x:c r="H899" s="339" t="str">
        <x:v>Domain/service layer; database constraints where appropriate; UI mirrors the rule.</x:v>
      </x:c>
      <x:c r="I899" s="339" t="str">
        <x:v>High</x:v>
      </x:c>
      <x:c r="J899" s="339" t="str">
        <x:v>Overrides only if explicitly defined, authorized and audited.</x:v>
      </x:c>
    </x:row>
    <x:row r="900">
      <x:c r="A900" s="339" t="str">
        <x:v>BR-00899</x:v>
      </x:c>
      <x:c r="B900" s="339" t="str">
        <x:v>Module</x:v>
      </x:c>
      <x:c r="C900" s="339" t="str"/>
      <x:c r="D900" s="339" t="str">
        <x:v>Organization / School / Branch Setup</x:v>
      </x:c>
      <x:c r="E900" s="339" t="str"/>
      <x:c r="F900" s="339" t="str">
        <x:v>School Structure &amp; Academic Foundation canonical rule</x:v>
      </x:c>
      <x:c r="G900" s="339" t="str">
        <x:v>Effective dates must not create overlapping active configurations.</x:v>
      </x:c>
      <x:c r="H900" s="339" t="str">
        <x:v>Domain/service layer; database constraints where appropriate; UI mirrors the rule.</x:v>
      </x:c>
      <x:c r="I900" s="339" t="str">
        <x:v>High</x:v>
      </x:c>
      <x:c r="J900" s="339" t="str">
        <x:v>Overrides only if explicitly defined, authorized and audited.</x:v>
      </x:c>
    </x:row>
    <x:row r="901">
      <x:c r="A901" s="339" t="str">
        <x:v>BR-00900</x:v>
      </x:c>
      <x:c r="B901" s="339" t="str">
        <x:v>Module</x:v>
      </x:c>
      <x:c r="C901" s="339" t="str"/>
      <x:c r="D901" s="339" t="str">
        <x:v>Organization / School / Branch Setup</x:v>
      </x:c>
      <x:c r="E901" s="339" t="str"/>
      <x:c r="F901" s="339" t="str">
        <x:v>School Structure &amp; Academic Foundation canonical rule</x:v>
      </x:c>
      <x:c r="G901" s="339" t="str">
        <x:v>Branch access and reporting must honor the user's authorized organizational scope.</x:v>
      </x:c>
      <x:c r="H901" s="339" t="str">
        <x:v>Domain/service layer; database constraints where appropriate; UI mirrors the rule.</x:v>
      </x:c>
      <x:c r="I901" s="339" t="str">
        <x:v>High</x:v>
      </x:c>
      <x:c r="J901" s="339" t="str">
        <x:v>Overrides only if explicitly defined, authorized and audited.</x:v>
      </x:c>
    </x:row>
    <x:row r="902">
      <x:c r="A902" s="339" t="str">
        <x:v>BR-00901</x:v>
      </x:c>
      <x:c r="B902" s="339" t="str">
        <x:v>Module</x:v>
      </x:c>
      <x:c r="C902" s="339" t="str"/>
      <x:c r="D902" s="339" t="str">
        <x:v>Role Dashboards</x:v>
      </x:c>
      <x:c r="E902" s="339" t="str"/>
      <x:c r="F902" s="339" t="str">
        <x:v>Role-Based Operational Dashboards canonical rule</x:v>
      </x:c>
      <x:c r="G902" s="339" t="str">
        <x:v>Dashboard metrics must use the same source-of-truth logic as their detailed reports.</x:v>
      </x:c>
      <x:c r="H902" s="339" t="str">
        <x:v>Domain/service layer; database constraints where appropriate; UI mirrors the rule.</x:v>
      </x:c>
      <x:c r="I902" s="339" t="str">
        <x:v>High</x:v>
      </x:c>
      <x:c r="J902" s="339" t="str">
        <x:v>Overrides only if explicitly defined, authorized and audited.</x:v>
      </x:c>
    </x:row>
    <x:row r="903">
      <x:c r="A903" s="339" t="str">
        <x:v>BR-00902</x:v>
      </x:c>
      <x:c r="B903" s="339" t="str">
        <x:v>Module</x:v>
      </x:c>
      <x:c r="C903" s="339" t="str"/>
      <x:c r="D903" s="339" t="str">
        <x:v>Role Dashboards</x:v>
      </x:c>
      <x:c r="E903" s="339" t="str"/>
      <x:c r="F903" s="339" t="str">
        <x:v>Role-Based Operational Dashboards canonical rule</x:v>
      </x:c>
      <x:c r="G903" s="339" t="str">
        <x:v>Users can only see KPIs and records allowed by role, school, branch and class scope.</x:v>
      </x:c>
      <x:c r="H903" s="339" t="str">
        <x:v>Domain/service layer; database constraints where appropriate; UI mirrors the rule.</x:v>
      </x:c>
      <x:c r="I903" s="339" t="str">
        <x:v>High</x:v>
      </x:c>
      <x:c r="J903" s="339" t="str">
        <x:v>Overrides only if explicitly defined, authorized and audited.</x:v>
      </x:c>
    </x:row>
    <x:row r="904">
      <x:c r="A904" s="339" t="str">
        <x:v>BR-00903</x:v>
      </x:c>
      <x:c r="B904" s="339" t="str">
        <x:v>Module</x:v>
      </x:c>
      <x:c r="C904" s="339" t="str"/>
      <x:c r="D904" s="339" t="str">
        <x:v>Role Dashboards</x:v>
      </x:c>
      <x:c r="E904" s="339" t="str"/>
      <x:c r="F904" s="339" t="str">
        <x:v>Role-Based Operational Dashboards canonical rule</x:v>
      </x:c>
      <x:c r="G904" s="339" t="str">
        <x:v>Metric timestamps and filter context must be visible where freshness matters.</x:v>
      </x:c>
      <x:c r="H904" s="339" t="str">
        <x:v>Domain/service layer; database constraints where appropriate; UI mirrors the rule.</x:v>
      </x:c>
      <x:c r="I904" s="339" t="str">
        <x:v>High</x:v>
      </x:c>
      <x:c r="J904" s="339" t="str">
        <x:v>Overrides only if explicitly defined, authorized and audited.</x:v>
      </x:c>
    </x:row>
    <x:row r="905">
      <x:c r="A905" s="339" t="str">
        <x:v>BR-00904</x:v>
      </x:c>
      <x:c r="B905" s="339" t="str">
        <x:v>Module</x:v>
      </x:c>
      <x:c r="C905" s="339" t="str"/>
      <x:c r="D905" s="339" t="str">
        <x:v>Role Dashboards</x:v>
      </x:c>
      <x:c r="E905" s="339" t="str"/>
      <x:c r="F905" s="339" t="str">
        <x:v>Role-Based Operational Dashboards canonical rule</x:v>
      </x:c>
      <x:c r="G905" s="339" t="str">
        <x:v>Drill-down counts must reconcile with the underlying filtered records.</x:v>
      </x:c>
      <x:c r="H905" s="339" t="str">
        <x:v>Domain/service layer; database constraints where appropriate; UI mirrors the rule.</x:v>
      </x:c>
      <x:c r="I905" s="339" t="str">
        <x:v>High</x:v>
      </x:c>
      <x:c r="J905" s="339" t="str">
        <x:v>Overrides only if explicitly defined, authorized and audited.</x:v>
      </x:c>
    </x:row>
    <x:row r="906">
      <x:c r="A906" s="339" t="str">
        <x:v>BR-00905</x:v>
      </x:c>
      <x:c r="B906" s="339" t="str">
        <x:v>Module</x:v>
      </x:c>
      <x:c r="C906" s="339" t="str"/>
      <x:c r="D906" s="339" t="str">
        <x:v>Role Dashboards</x:v>
      </x:c>
      <x:c r="E906" s="339" t="str"/>
      <x:c r="F906" s="339" t="str">
        <x:v>Role-Based Operational Dashboards canonical rule</x:v>
      </x:c>
      <x:c r="G906" s="339" t="str">
        <x:v>Sensitive data must be masked for roles that do not require it.</x:v>
      </x:c>
      <x:c r="H906" s="339" t="str">
        <x:v>Domain/service layer; database constraints where appropriate; UI mirrors the rule.</x:v>
      </x:c>
      <x:c r="I906" s="339" t="str">
        <x:v>High</x:v>
      </x:c>
      <x:c r="J906" s="339" t="str">
        <x:v>Overrides only if explicitly defined, authorized and audited.</x:v>
      </x:c>
    </x:row>
    <x:row r="907">
      <x:c r="A907" s="339" t="str">
        <x:v>BR-00906</x:v>
      </x:c>
      <x:c r="B907" s="339" t="str">
        <x:v>Module</x:v>
      </x:c>
      <x:c r="C907" s="339" t="str"/>
      <x:c r="D907" s="339" t="str">
        <x:v>Admissions &amp; Enquiries</x:v>
      </x:c>
      <x:c r="E907" s="339" t="str"/>
      <x:c r="F907" s="339" t="str">
        <x:v>Admissions &amp; Enquiry Lifecycle canonical rule</x:v>
      </x:c>
      <x:c r="G907" s="339" t="str">
        <x:v>A confirmed admission requires configured mandatory documents, required approvals and seat availability.</x:v>
      </x:c>
      <x:c r="H907" s="339" t="str">
        <x:v>Domain/service layer; database constraints where appropriate; UI mirrors the rule.</x:v>
      </x:c>
      <x:c r="I907" s="339" t="str">
        <x:v>High</x:v>
      </x:c>
      <x:c r="J907" s="339" t="str">
        <x:v>Overrides only if explicitly defined, authorized and audited.</x:v>
      </x:c>
    </x:row>
    <x:row r="908">
      <x:c r="A908" s="339" t="str">
        <x:v>BR-00907</x:v>
      </x:c>
      <x:c r="B908" s="339" t="str">
        <x:v>Module</x:v>
      </x:c>
      <x:c r="C908" s="339" t="str"/>
      <x:c r="D908" s="339" t="str">
        <x:v>Admissions &amp; Enquiries</x:v>
      </x:c>
      <x:c r="E908" s="339" t="str"/>
      <x:c r="F908" s="339" t="str">
        <x:v>Admissions &amp; Enquiry Lifecycle canonical rule</x:v>
      </x:c>
      <x:c r="G908" s="339" t="str">
        <x:v>Potential duplicate applicants must be flagged using configured identity/contact matching rules.</x:v>
      </x:c>
      <x:c r="H908" s="339" t="str">
        <x:v>Domain/service layer; database constraints where appropriate; UI mirrors the rule.</x:v>
      </x:c>
      <x:c r="I908" s="339" t="str">
        <x:v>High</x:v>
      </x:c>
      <x:c r="J908" s="339" t="str">
        <x:v>Overrides only if explicitly defined, authorized and audited.</x:v>
      </x:c>
    </x:row>
    <x:row r="909">
      <x:c r="A909" s="339" t="str">
        <x:v>BR-00908</x:v>
      </x:c>
      <x:c r="B909" s="339" t="str">
        <x:v>Module</x:v>
      </x:c>
      <x:c r="C909" s="339" t="str"/>
      <x:c r="D909" s="339" t="str">
        <x:v>Admissions &amp; Enquiries</x:v>
      </x:c>
      <x:c r="E909" s="339" t="str"/>
      <x:c r="F909" s="339" t="str">
        <x:v>Admissions &amp; Enquiry Lifecycle canonical rule</x:v>
      </x:c>
      <x:c r="G909" s="339" t="str">
        <x:v>Application status transitions must follow the defined admissions workflow and authority matrix.</x:v>
      </x:c>
      <x:c r="H909" s="339" t="str">
        <x:v>Domain/service layer; database constraints where appropriate; UI mirrors the rule.</x:v>
      </x:c>
      <x:c r="I909" s="339" t="str">
        <x:v>High</x:v>
      </x:c>
      <x:c r="J909" s="339" t="str">
        <x:v>Overrides only if explicitly defined, authorized and audited.</x:v>
      </x:c>
    </x:row>
    <x:row r="910">
      <x:c r="A910" s="339" t="str">
        <x:v>BR-00909</x:v>
      </x:c>
      <x:c r="B910" s="339" t="str">
        <x:v>Module</x:v>
      </x:c>
      <x:c r="C910" s="339" t="str"/>
      <x:c r="D910" s="339" t="str">
        <x:v>Admissions &amp; Enquiries</x:v>
      </x:c>
      <x:c r="E910" s="339" t="str"/>
      <x:c r="F910" s="339" t="str">
        <x:v>Admissions &amp; Enquiry Lifecycle canonical rule</x:v>
      </x:c>
      <x:c r="G910" s="339" t="str">
        <x:v>An admission number must be unique within the school's numbering scope.</x:v>
      </x:c>
      <x:c r="H910" s="339" t="str">
        <x:v>Domain/service layer; database constraints where appropriate; UI mirrors the rule.</x:v>
      </x:c>
      <x:c r="I910" s="339" t="str">
        <x:v>High</x:v>
      </x:c>
      <x:c r="J910" s="339" t="str">
        <x:v>Overrides only if explicitly defined, authorized and audited.</x:v>
      </x:c>
    </x:row>
    <x:row r="911">
      <x:c r="A911" s="339" t="str">
        <x:v>BR-00910</x:v>
      </x:c>
      <x:c r="B911" s="339" t="str">
        <x:v>Module</x:v>
      </x:c>
      <x:c r="C911" s="339" t="str"/>
      <x:c r="D911" s="339" t="str">
        <x:v>Admissions &amp; Enquiries</x:v>
      </x:c>
      <x:c r="E911" s="339" t="str"/>
      <x:c r="F911" s="339" t="str">
        <x:v>Admissions &amp; Enquiry Lifecycle canonical rule</x:v>
      </x:c>
      <x:c r="G911" s="339" t="str">
        <x:v>Student/guardian master records are created only after admission confirmation or an explicitly configured pre-admission stage.</x:v>
      </x:c>
      <x:c r="H911" s="339" t="str">
        <x:v>Domain/service layer; database constraints where appropriate; UI mirrors the rule.</x:v>
      </x:c>
      <x:c r="I911" s="339" t="str">
        <x:v>High</x:v>
      </x:c>
      <x:c r="J911" s="339" t="str">
        <x:v>Overrides only if explicitly defined, authorized and audited.</x:v>
      </x:c>
    </x:row>
    <x:row r="912">
      <x:c r="A912" s="339" t="str">
        <x:v>BR-00911</x:v>
      </x:c>
      <x:c r="B912" s="339" t="str">
        <x:v>Module</x:v>
      </x:c>
      <x:c r="C912" s="339" t="str"/>
      <x:c r="D912" s="339" t="str">
        <x:v>Students</x:v>
      </x:c>
      <x:c r="E912" s="339" t="str"/>
      <x:c r="F912" s="339" t="str">
        <x:v>Student Lifecycle Management canonical rule</x:v>
      </x:c>
      <x:c r="G912" s="339" t="str">
        <x:v>Each active student must have one unique student/admission identifier within the configured school scope.</x:v>
      </x:c>
      <x:c r="H912" s="339" t="str">
        <x:v>Domain/service layer; database constraints where appropriate; UI mirrors the rule.</x:v>
      </x:c>
      <x:c r="I912" s="339" t="str">
        <x:v>High</x:v>
      </x:c>
      <x:c r="J912" s="339" t="str">
        <x:v>Overrides only if explicitly defined, authorized and audited.</x:v>
      </x:c>
    </x:row>
    <x:row r="913">
      <x:c r="A913" s="339" t="str">
        <x:v>BR-00912</x:v>
      </x:c>
      <x:c r="B913" s="339" t="str">
        <x:v>Module</x:v>
      </x:c>
      <x:c r="C913" s="339" t="str"/>
      <x:c r="D913" s="339" t="str">
        <x:v>Students</x:v>
      </x:c>
      <x:c r="E913" s="339" t="str"/>
      <x:c r="F913" s="339" t="str">
        <x:v>Student Lifecycle Management canonical rule</x:v>
      </x:c>
      <x:c r="G913" s="339" t="str">
        <x:v>Class/section assignment must be valid for the active academic year.</x:v>
      </x:c>
      <x:c r="H913" s="339" t="str">
        <x:v>Domain/service layer; database constraints where appropriate; UI mirrors the rule.</x:v>
      </x:c>
      <x:c r="I913" s="339" t="str">
        <x:v>High</x:v>
      </x:c>
      <x:c r="J913" s="339" t="str">
        <x:v>Overrides only if explicitly defined, authorized and audited.</x:v>
      </x:c>
    </x:row>
    <x:row r="914">
      <x:c r="A914" s="339" t="str">
        <x:v>BR-00913</x:v>
      </x:c>
      <x:c r="B914" s="339" t="str">
        <x:v>Module</x:v>
      </x:c>
      <x:c r="C914" s="339" t="str"/>
      <x:c r="D914" s="339" t="str">
        <x:v>Students</x:v>
      </x:c>
      <x:c r="E914" s="339" t="str"/>
      <x:c r="F914" s="339" t="str">
        <x:v>Student Lifecycle Management canonical rule</x:v>
      </x:c>
      <x:c r="G914" s="339" t="str">
        <x:v>Historical academic, attendance and financial records must remain linked when a student is promoted or transferred.</x:v>
      </x:c>
      <x:c r="H914" s="339" t="str">
        <x:v>Domain/service layer; database constraints where appropriate; UI mirrors the rule.</x:v>
      </x:c>
      <x:c r="I914" s="339" t="str">
        <x:v>High</x:v>
      </x:c>
      <x:c r="J914" s="339" t="str">
        <x:v>Overrides only if explicitly defined, authorized and audited.</x:v>
      </x:c>
    </x:row>
    <x:row r="915">
      <x:c r="A915" s="339" t="str">
        <x:v>BR-00914</x:v>
      </x:c>
      <x:c r="B915" s="339" t="str">
        <x:v>Module</x:v>
      </x:c>
      <x:c r="C915" s="339" t="str"/>
      <x:c r="D915" s="339" t="str">
        <x:v>Students</x:v>
      </x:c>
      <x:c r="E915" s="339" t="str"/>
      <x:c r="F915" s="339" t="str">
        <x:v>Student Lifecycle Management canonical rule</x:v>
      </x:c>
      <x:c r="G915" s="339" t="str">
        <x:v>Sensitive student information is visible only to authorized roles with legitimate need.</x:v>
      </x:c>
      <x:c r="H915" s="339" t="str">
        <x:v>Domain/service layer; database constraints where appropriate; UI mirrors the rule.</x:v>
      </x:c>
      <x:c r="I915" s="339" t="str">
        <x:v>High</x:v>
      </x:c>
      <x:c r="J915" s="339" t="str">
        <x:v>Overrides only if explicitly defined, authorized and audited.</x:v>
      </x:c>
    </x:row>
    <x:row r="916">
      <x:c r="A916" s="339" t="str">
        <x:v>BR-00915</x:v>
      </x:c>
      <x:c r="B916" s="339" t="str">
        <x:v>Module</x:v>
      </x:c>
      <x:c r="C916" s="339" t="str"/>
      <x:c r="D916" s="339" t="str">
        <x:v>Students</x:v>
      </x:c>
      <x:c r="E916" s="339" t="str"/>
      <x:c r="F916" s="339" t="str">
        <x:v>Student Lifecycle Management canonical rule</x:v>
      </x:c>
      <x:c r="G916" s="339" t="str">
        <x:v>Student exit states must prevent new operational transactions while preserving historical access.</x:v>
      </x:c>
      <x:c r="H916" s="339" t="str">
        <x:v>Domain/service layer; database constraints where appropriate; UI mirrors the rule.</x:v>
      </x:c>
      <x:c r="I916" s="339" t="str">
        <x:v>High</x:v>
      </x:c>
      <x:c r="J916" s="339" t="str">
        <x:v>Overrides only if explicitly defined, authorized and audited.</x:v>
      </x:c>
    </x:row>
    <x:row r="917">
      <x:c r="A917" s="339" t="str">
        <x:v>BR-00916</x:v>
      </x:c>
      <x:c r="B917" s="339" t="str">
        <x:v>Module</x:v>
      </x:c>
      <x:c r="C917" s="339" t="str"/>
      <x:c r="D917" s="339" t="str">
        <x:v>Parents &amp; Guardians</x:v>
      </x:c>
      <x:c r="E917" s="339" t="str"/>
      <x:c r="F917" s="339" t="str">
        <x:v>Parent &amp; Guardian Engagement canonical rule</x:v>
      </x:c>
      <x:c r="G917" s="339" t="str">
        <x:v>A guardian may be linked to multiple students and a student may have multiple authorized guardians.</x:v>
      </x:c>
      <x:c r="H917" s="339" t="str">
        <x:v>Domain/service layer; database constraints where appropriate; UI mirrors the rule.</x:v>
      </x:c>
      <x:c r="I917" s="339" t="str">
        <x:v>High</x:v>
      </x:c>
      <x:c r="J917" s="339" t="str">
        <x:v>Overrides only if explicitly defined, authorized and audited.</x:v>
      </x:c>
    </x:row>
    <x:row r="918">
      <x:c r="A918" s="339" t="str">
        <x:v>BR-00917</x:v>
      </x:c>
      <x:c r="B918" s="339" t="str">
        <x:v>Module</x:v>
      </x:c>
      <x:c r="C918" s="339" t="str"/>
      <x:c r="D918" s="339" t="str">
        <x:v>Parents &amp; Guardians</x:v>
      </x:c>
      <x:c r="E918" s="339" t="str"/>
      <x:c r="F918" s="339" t="str">
        <x:v>Parent &amp; Guardian Engagement canonical rule</x:v>
      </x:c>
      <x:c r="G918" s="339" t="str">
        <x:v>Guardian access requires an active verified relationship to the student.</x:v>
      </x:c>
      <x:c r="H918" s="339" t="str">
        <x:v>Domain/service layer; database constraints where appropriate; UI mirrors the rule.</x:v>
      </x:c>
      <x:c r="I918" s="339" t="str">
        <x:v>High</x:v>
      </x:c>
      <x:c r="J918" s="339" t="str">
        <x:v>Overrides only if explicitly defined, authorized and audited.</x:v>
      </x:c>
    </x:row>
    <x:row r="919">
      <x:c r="A919" s="339" t="str">
        <x:v>BR-00918</x:v>
      </x:c>
      <x:c r="B919" s="339" t="str">
        <x:v>Module</x:v>
      </x:c>
      <x:c r="C919" s="339" t="str"/>
      <x:c r="D919" s="339" t="str">
        <x:v>Parents &amp; Guardians</x:v>
      </x:c>
      <x:c r="E919" s="339" t="str"/>
      <x:c r="F919" s="339" t="str">
        <x:v>Parent &amp; Guardian Engagement canonical rule</x:v>
      </x:c>
      <x:c r="G919" s="339" t="str">
        <x:v>Financial, academic and communication visibility follows configured guardian permissions and custody restrictions.</x:v>
      </x:c>
      <x:c r="H919" s="339" t="str">
        <x:v>Domain/service layer; database constraints where appropriate; UI mirrors the rule.</x:v>
      </x:c>
      <x:c r="I919" s="339" t="str">
        <x:v>High</x:v>
      </x:c>
      <x:c r="J919" s="339" t="str">
        <x:v>Overrides only if explicitly defined, authorized and audited.</x:v>
      </x:c>
    </x:row>
    <x:row r="920">
      <x:c r="A920" s="339" t="str">
        <x:v>BR-00919</x:v>
      </x:c>
      <x:c r="B920" s="339" t="str">
        <x:v>Module</x:v>
      </x:c>
      <x:c r="C920" s="339" t="str"/>
      <x:c r="D920" s="339" t="str">
        <x:v>Parents &amp; Guardians</x:v>
      </x:c>
      <x:c r="E920" s="339" t="str"/>
      <x:c r="F920" s="339" t="str">
        <x:v>Parent &amp; Guardian Engagement canonical rule</x:v>
      </x:c>
      <x:c r="G920" s="339" t="str">
        <x:v>Contact changes affecting login or notifications require verification when configured.</x:v>
      </x:c>
      <x:c r="H920" s="339" t="str">
        <x:v>Domain/service layer; database constraints where appropriate; UI mirrors the rule.</x:v>
      </x:c>
      <x:c r="I920" s="339" t="str">
        <x:v>High</x:v>
      </x:c>
      <x:c r="J920" s="339" t="str">
        <x:v>Overrides only if explicitly defined, authorized and audited.</x:v>
      </x:c>
    </x:row>
    <x:row r="921">
      <x:c r="A921" s="339" t="str">
        <x:v>BR-00920</x:v>
      </x:c>
      <x:c r="B921" s="339" t="str">
        <x:v>Module</x:v>
      </x:c>
      <x:c r="C921" s="339" t="str"/>
      <x:c r="D921" s="339" t="str">
        <x:v>Parents &amp; Guardians</x:v>
      </x:c>
      <x:c r="E921" s="339" t="str"/>
      <x:c r="F921" s="339" t="str">
        <x:v>Parent &amp; Guardian Engagement canonical rule</x:v>
      </x:c>
      <x:c r="G921" s="339" t="str">
        <x:v>Guardian unlinking must not delete historical communications or payments.</x:v>
      </x:c>
      <x:c r="H921" s="339" t="str">
        <x:v>Domain/service layer; database constraints where appropriate; UI mirrors the rule.</x:v>
      </x:c>
      <x:c r="I921" s="339" t="str">
        <x:v>High</x:v>
      </x:c>
      <x:c r="J921" s="339" t="str">
        <x:v>Overrides only if explicitly defined, authorized and audited.</x:v>
      </x:c>
    </x:row>
    <x:row r="922">
      <x:c r="A922" s="339" t="str">
        <x:v>BR-00921</x:v>
      </x:c>
      <x:c r="B922" s="339" t="str">
        <x:v>Module</x:v>
      </x:c>
      <x:c r="C922" s="339" t="str"/>
      <x:c r="D922" s="339" t="str">
        <x:v>Teachers &amp; Staff</x:v>
      </x:c>
      <x:c r="E922" s="339" t="str"/>
      <x:c r="F922" s="339" t="str">
        <x:v>Teacher &amp; Staff Master Management canonical rule</x:v>
      </x:c>
      <x:c r="G922" s="339" t="str">
        <x:v>Employee IDs must be unique within the configured organization scope.</x:v>
      </x:c>
      <x:c r="H922" s="339" t="str">
        <x:v>Domain/service layer; database constraints where appropriate; UI mirrors the rule.</x:v>
      </x:c>
      <x:c r="I922" s="339" t="str">
        <x:v>High</x:v>
      </x:c>
      <x:c r="J922" s="339" t="str">
        <x:v>Overrides only if explicitly defined, authorized and audited.</x:v>
      </x:c>
    </x:row>
    <x:row r="923">
      <x:c r="A923" s="339" t="str">
        <x:v>BR-00922</x:v>
      </x:c>
      <x:c r="B923" s="339" t="str">
        <x:v>Module</x:v>
      </x:c>
      <x:c r="C923" s="339" t="str"/>
      <x:c r="D923" s="339" t="str">
        <x:v>Teachers &amp; Staff</x:v>
      </x:c>
      <x:c r="E923" s="339" t="str"/>
      <x:c r="F923" s="339" t="str">
        <x:v>Teacher &amp; Staff Master Management canonical rule</x:v>
      </x:c>
      <x:c r="G923" s="339" t="str">
        <x:v>A teacher can only be assigned to active classes/subjects for periods within their employment and academic-year validity.</x:v>
      </x:c>
      <x:c r="H923" s="339" t="str">
        <x:v>Domain/service layer; database constraints where appropriate; UI mirrors the rule.</x:v>
      </x:c>
      <x:c r="I923" s="339" t="str">
        <x:v>High</x:v>
      </x:c>
      <x:c r="J923" s="339" t="str">
        <x:v>Overrides only if explicitly defined, authorized and audited.</x:v>
      </x:c>
    </x:row>
    <x:row r="924">
      <x:c r="A924" s="339" t="str">
        <x:v>BR-00923</x:v>
      </x:c>
      <x:c r="B924" s="339" t="str">
        <x:v>Module</x:v>
      </x:c>
      <x:c r="C924" s="339" t="str"/>
      <x:c r="D924" s="339" t="str">
        <x:v>Teachers &amp; Staff</x:v>
      </x:c>
      <x:c r="E924" s="339" t="str"/>
      <x:c r="F924" s="339" t="str">
        <x:v>Teacher &amp; Staff Master Management canonical rule</x:v>
      </x:c>
      <x:c r="G924" s="339" t="str">
        <x:v>Conflicting teacher allocations must be prevented or explicitly overridden by authorized users.</x:v>
      </x:c>
      <x:c r="H924" s="339" t="str">
        <x:v>Domain/service layer; database constraints where appropriate; UI mirrors the rule.</x:v>
      </x:c>
      <x:c r="I924" s="339" t="str">
        <x:v>High</x:v>
      </x:c>
      <x:c r="J924" s="339" t="str">
        <x:v>Overrides only if explicitly defined, authorized and audited.</x:v>
      </x:c>
    </x:row>
    <x:row r="925">
      <x:c r="A925" s="339" t="str">
        <x:v>BR-00924</x:v>
      </x:c>
      <x:c r="B925" s="339" t="str">
        <x:v>Module</x:v>
      </x:c>
      <x:c r="C925" s="339" t="str"/>
      <x:c r="D925" s="339" t="str">
        <x:v>Teachers &amp; Staff</x:v>
      </x:c>
      <x:c r="E925" s="339" t="str"/>
      <x:c r="F925" s="339" t="str">
        <x:v>Teacher &amp; Staff Master Management canonical rule</x:v>
      </x:c>
      <x:c r="G925" s="339" t="str">
        <x:v>Qualification and compliance documents may be required before certain assignments.</x:v>
      </x:c>
      <x:c r="H925" s="339" t="str">
        <x:v>Domain/service layer; database constraints where appropriate; UI mirrors the rule.</x:v>
      </x:c>
      <x:c r="I925" s="339" t="str">
        <x:v>High</x:v>
      </x:c>
      <x:c r="J925" s="339" t="str">
        <x:v>Overrides only if explicitly defined, authorized and audited.</x:v>
      </x:c>
    </x:row>
    <x:row r="926">
      <x:c r="A926" s="339" t="str">
        <x:v>BR-00925</x:v>
      </x:c>
      <x:c r="B926" s="339" t="str">
        <x:v>Module</x:v>
      </x:c>
      <x:c r="C926" s="339" t="str"/>
      <x:c r="D926" s="339" t="str">
        <x:v>Teachers &amp; Staff</x:v>
      </x:c>
      <x:c r="E926" s="339" t="str"/>
      <x:c r="F926" s="339" t="str">
        <x:v>Teacher &amp; Staff Master Management canonical rule</x:v>
      </x:c>
      <x:c r="G926" s="339" t="str">
        <x:v>Offboarded staff lose transactional access from the effective exit time while history remains available.</x:v>
      </x:c>
      <x:c r="H926" s="339" t="str">
        <x:v>Domain/service layer; database constraints where appropriate; UI mirrors the rule.</x:v>
      </x:c>
      <x:c r="I926" s="339" t="str">
        <x:v>High</x:v>
      </x:c>
      <x:c r="J926" s="339" t="str">
        <x:v>Overrides only if explicitly defined, authorized and audited.</x:v>
      </x:c>
    </x:row>
    <x:row r="927">
      <x:c r="A927" s="339" t="str">
        <x:v>BR-00926</x:v>
      </x:c>
      <x:c r="B927" s="339" t="str">
        <x:v>Module</x:v>
      </x:c>
      <x:c r="C927" s="339" t="str"/>
      <x:c r="D927" s="339" t="str">
        <x:v>Academics &amp; Curriculum</x:v>
      </x:c>
      <x:c r="E927" s="339" t="str"/>
      <x:c r="F927" s="339" t="str">
        <x:v>Academic Planning &amp; Curriculum Delivery canonical rule</x:v>
      </x:c>
      <x:c r="G927" s="339" t="str">
        <x:v>Curriculum and subject structures are versioned by academic year/term.</x:v>
      </x:c>
      <x:c r="H927" s="339" t="str">
        <x:v>Domain/service layer; database constraints where appropriate; UI mirrors the rule.</x:v>
      </x:c>
      <x:c r="I927" s="339" t="str">
        <x:v>High</x:v>
      </x:c>
      <x:c r="J927" s="339" t="str">
        <x:v>Overrides only if explicitly defined, authorized and audited.</x:v>
      </x:c>
    </x:row>
    <x:row r="928">
      <x:c r="A928" s="339" t="str">
        <x:v>BR-00927</x:v>
      </x:c>
      <x:c r="B928" s="339" t="str">
        <x:v>Module</x:v>
      </x:c>
      <x:c r="C928" s="339" t="str"/>
      <x:c r="D928" s="339" t="str">
        <x:v>Academics &amp; Curriculum</x:v>
      </x:c>
      <x:c r="E928" s="339" t="str"/>
      <x:c r="F928" s="339" t="str">
        <x:v>Academic Planning &amp; Curriculum Delivery canonical rule</x:v>
      </x:c>
      <x:c r="G928" s="339" t="str">
        <x:v>Lesson plans must reference valid class, subject, curriculum units and assigned teacher scope.</x:v>
      </x:c>
      <x:c r="H928" s="339" t="str">
        <x:v>Domain/service layer; database constraints where appropriate; UI mirrors the rule.</x:v>
      </x:c>
      <x:c r="I928" s="339" t="str">
        <x:v>High</x:v>
      </x:c>
      <x:c r="J928" s="339" t="str">
        <x:v>Overrides only if explicitly defined, authorized and audited.</x:v>
      </x:c>
    </x:row>
    <x:row r="929">
      <x:c r="A929" s="339" t="str">
        <x:v>BR-00928</x:v>
      </x:c>
      <x:c r="B929" s="339" t="str">
        <x:v>Module</x:v>
      </x:c>
      <x:c r="C929" s="339" t="str"/>
      <x:c r="D929" s="339" t="str">
        <x:v>Academics &amp; Curriculum</x:v>
      </x:c>
      <x:c r="E929" s="339" t="str"/>
      <x:c r="F929" s="339" t="str">
        <x:v>Academic Planning &amp; Curriculum Delivery canonical rule</x:v>
      </x:c>
      <x:c r="G929" s="339" t="str">
        <x:v>Syllabus progress cannot exceed 100% and must be derived from approved/completed curriculum units.</x:v>
      </x:c>
      <x:c r="H929" s="339" t="str">
        <x:v>Domain/service layer; database constraints where appropriate; UI mirrors the rule.</x:v>
      </x:c>
      <x:c r="I929" s="339" t="str">
        <x:v>High</x:v>
      </x:c>
      <x:c r="J929" s="339" t="str">
        <x:v>Overrides only if explicitly defined, authorized and audited.</x:v>
      </x:c>
    </x:row>
    <x:row r="930">
      <x:c r="A930" s="339" t="str">
        <x:v>BR-00929</x:v>
      </x:c>
      <x:c r="B930" s="339" t="str">
        <x:v>Module</x:v>
      </x:c>
      <x:c r="C930" s="339" t="str"/>
      <x:c r="D930" s="339" t="str">
        <x:v>Academics &amp; Curriculum</x:v>
      </x:c>
      <x:c r="E930" s="339" t="str"/>
      <x:c r="F930" s="339" t="str">
        <x:v>Academic Planning &amp; Curriculum Delivery canonical rule</x:v>
      </x:c>
      <x:c r="G930" s="339" t="str">
        <x:v>Published academic content should not be edited in a way that destroys historical reporting; revisions must be traceable.</x:v>
      </x:c>
      <x:c r="H930" s="339" t="str">
        <x:v>Domain/service layer; database constraints where appropriate; UI mirrors the rule.</x:v>
      </x:c>
      <x:c r="I930" s="339" t="str">
        <x:v>High</x:v>
      </x:c>
      <x:c r="J930" s="339" t="str">
        <x:v>Overrides only if explicitly defined, authorized and audited.</x:v>
      </x:c>
    </x:row>
    <x:row r="931">
      <x:c r="A931" s="339" t="str">
        <x:v>BR-00930</x:v>
      </x:c>
      <x:c r="B931" s="339" t="str">
        <x:v>Module</x:v>
      </x:c>
      <x:c r="C931" s="339" t="str"/>
      <x:c r="D931" s="339" t="str">
        <x:v>Academics &amp; Curriculum</x:v>
      </x:c>
      <x:c r="E931" s="339" t="str"/>
      <x:c r="F931" s="339" t="str">
        <x:v>Academic Planning &amp; Curriculum Delivery canonical rule</x:v>
      </x:c>
      <x:c r="G931" s="339" t="str">
        <x:v>Only authorized academic roles can approve curriculum/lesson plans where approval is enabled.</x:v>
      </x:c>
      <x:c r="H931" s="339" t="str">
        <x:v>Domain/service layer; database constraints where appropriate; UI mirrors the rule.</x:v>
      </x:c>
      <x:c r="I931" s="339" t="str">
        <x:v>High</x:v>
      </x:c>
      <x:c r="J931" s="339" t="str">
        <x:v>Overrides only if explicitly defined, authorized and audited.</x:v>
      </x:c>
    </x:row>
    <x:row r="932">
      <x:c r="A932" s="339" t="str">
        <x:v>BR-00931</x:v>
      </x:c>
      <x:c r="B932" s="339" t="str">
        <x:v>Module</x:v>
      </x:c>
      <x:c r="C932" s="339" t="str"/>
      <x:c r="D932" s="339" t="str">
        <x:v>Student Attendance</x:v>
      </x:c>
      <x:c r="E932" s="339" t="str"/>
      <x:c r="F932" s="339" t="str">
        <x:v>Student Attendance &amp; Leave canonical rule</x:v>
      </x:c>
      <x:c r="G932" s="339" t="str">
        <x:v>Only one final attendance state is allowed per student for the same attendance session key.</x:v>
      </x:c>
      <x:c r="H932" s="339" t="str">
        <x:v>Domain/service layer; database constraints where appropriate; UI mirrors the rule.</x:v>
      </x:c>
      <x:c r="I932" s="339" t="str">
        <x:v>High</x:v>
      </x:c>
      <x:c r="J932" s="339" t="str">
        <x:v>Overrides only if explicitly defined, authorized and audited.</x:v>
      </x:c>
    </x:row>
    <x:row r="933">
      <x:c r="A933" s="339" t="str">
        <x:v>BR-00932</x:v>
      </x:c>
      <x:c r="B933" s="339" t="str">
        <x:v>Module</x:v>
      </x:c>
      <x:c r="C933" s="339" t="str"/>
      <x:c r="D933" s="339" t="str">
        <x:v>Student Attendance</x:v>
      </x:c>
      <x:c r="E933" s="339" t="str"/>
      <x:c r="F933" s="339" t="str">
        <x:v>Student Attendance &amp; Leave canonical rule</x:v>
      </x:c>
      <x:c r="G933" s="339" t="str">
        <x:v>Attendance can only be marked for students actively enrolled in the selected class/section on that date.</x:v>
      </x:c>
      <x:c r="H933" s="339" t="str">
        <x:v>Domain/service layer; database constraints where appropriate; UI mirrors the rule.</x:v>
      </x:c>
      <x:c r="I933" s="339" t="str">
        <x:v>High</x:v>
      </x:c>
      <x:c r="J933" s="339" t="str">
        <x:v>Overrides only if explicitly defined, authorized and audited.</x:v>
      </x:c>
    </x:row>
    <x:row r="934">
      <x:c r="A934" s="339" t="str">
        <x:v>BR-00933</x:v>
      </x:c>
      <x:c r="B934" s="339" t="str">
        <x:v>Module</x:v>
      </x:c>
      <x:c r="C934" s="339" t="str"/>
      <x:c r="D934" s="339" t="str">
        <x:v>Student Attendance</x:v>
      </x:c>
      <x:c r="E934" s="339" t="str"/>
      <x:c r="F934" s="339" t="str">
        <x:v>Student Attendance &amp; Leave canonical rule</x:v>
      </x:c>
      <x:c r="G934" s="339" t="str">
        <x:v>Corrections after lock/cutoff require configured approval and an audit trail.</x:v>
      </x:c>
      <x:c r="H934" s="339" t="str">
        <x:v>Domain/service layer; database constraints where appropriate; UI mirrors the rule.</x:v>
      </x:c>
      <x:c r="I934" s="339" t="str">
        <x:v>High</x:v>
      </x:c>
      <x:c r="J934" s="339" t="str">
        <x:v>Overrides only if explicitly defined, authorized and audited.</x:v>
      </x:c>
    </x:row>
    <x:row r="935">
      <x:c r="A935" s="339" t="str">
        <x:v>BR-00934</x:v>
      </x:c>
      <x:c r="B935" s="339" t="str">
        <x:v>Module</x:v>
      </x:c>
      <x:c r="C935" s="339" t="str"/>
      <x:c r="D935" s="339" t="str">
        <x:v>Student Attendance</x:v>
      </x:c>
      <x:c r="E935" s="339" t="str"/>
      <x:c r="F935" s="339" t="str">
        <x:v>Student Attendance &amp; Leave canonical rule</x:v>
      </x:c>
      <x:c r="G935" s="339" t="str">
        <x:v>Approved leave must be represented according to the school's attendance policy and cannot silently overwrite actual attendance.</x:v>
      </x:c>
      <x:c r="H935" s="339" t="str">
        <x:v>Domain/service layer; database constraints where appropriate; UI mirrors the rule.</x:v>
      </x:c>
      <x:c r="I935" s="339" t="str">
        <x:v>High</x:v>
      </x:c>
      <x:c r="J935" s="339" t="str">
        <x:v>Overrides only if explicitly defined, authorized and audited.</x:v>
      </x:c>
    </x:row>
    <x:row r="936">
      <x:c r="A936" s="339" t="str">
        <x:v>BR-00935</x:v>
      </x:c>
      <x:c r="B936" s="339" t="str">
        <x:v>Module</x:v>
      </x:c>
      <x:c r="C936" s="339" t="str"/>
      <x:c r="D936" s="339" t="str">
        <x:v>Student Attendance</x:v>
      </x:c>
      <x:c r="E936" s="339" t="str"/>
      <x:c r="F936" s="339" t="str">
        <x:v>Student Attendance &amp; Leave canonical rule</x:v>
      </x:c>
      <x:c r="G936" s="339" t="str">
        <x:v>Attendance percentage must use configured eligible working sessions and state weightings.</x:v>
      </x:c>
      <x:c r="H936" s="339" t="str">
        <x:v>Domain/service layer; database constraints where appropriate; UI mirrors the rule.</x:v>
      </x:c>
      <x:c r="I936" s="339" t="str">
        <x:v>High</x:v>
      </x:c>
      <x:c r="J936" s="339" t="str">
        <x:v>Overrides only if explicitly defined, authorized and audited.</x:v>
      </x:c>
    </x:row>
    <x:row r="937">
      <x:c r="A937" s="339" t="str">
        <x:v>BR-00936</x:v>
      </x:c>
      <x:c r="B937" s="339" t="str">
        <x:v>Module</x:v>
      </x:c>
      <x:c r="C937" s="339" t="str"/>
      <x:c r="D937" s="339" t="str">
        <x:v>Timetable &amp; Substitution</x:v>
      </x:c>
      <x:c r="E937" s="339" t="str"/>
      <x:c r="F937" s="339" t="str">
        <x:v>Timetable &amp; Resource Scheduling canonical rule</x:v>
      </x:c>
      <x:c r="G937" s="339" t="str">
        <x:v>A teacher, class/section or room cannot be booked in overlapping periods unless explicitly allowed.</x:v>
      </x:c>
      <x:c r="H937" s="339" t="str">
        <x:v>Domain/service layer; database constraints where appropriate; UI mirrors the rule.</x:v>
      </x:c>
      <x:c r="I937" s="339" t="str">
        <x:v>High</x:v>
      </x:c>
      <x:c r="J937" s="339" t="str">
        <x:v>Overrides only if explicitly defined, authorized and audited.</x:v>
      </x:c>
    </x:row>
    <x:row r="938">
      <x:c r="A938" s="339" t="str">
        <x:v>BR-00937</x:v>
      </x:c>
      <x:c r="B938" s="339" t="str">
        <x:v>Module</x:v>
      </x:c>
      <x:c r="C938" s="339" t="str"/>
      <x:c r="D938" s="339" t="str">
        <x:v>Timetable &amp; Substitution</x:v>
      </x:c>
      <x:c r="E938" s="339" t="str"/>
      <x:c r="F938" s="339" t="str">
        <x:v>Timetable &amp; Resource Scheduling canonical rule</x:v>
      </x:c>
      <x:c r="G938" s="339" t="str">
        <x:v>Timetables must respect teacher availability, periods, breaks and configured workload constraints.</x:v>
      </x:c>
      <x:c r="H938" s="339" t="str">
        <x:v>Domain/service layer; database constraints where appropriate; UI mirrors the rule.</x:v>
      </x:c>
      <x:c r="I938" s="339" t="str">
        <x:v>High</x:v>
      </x:c>
      <x:c r="J938" s="339" t="str">
        <x:v>Overrides only if explicitly defined, authorized and audited.</x:v>
      </x:c>
    </x:row>
    <x:row r="939">
      <x:c r="A939" s="339" t="str">
        <x:v>BR-00938</x:v>
      </x:c>
      <x:c r="B939" s="339" t="str">
        <x:v>Module</x:v>
      </x:c>
      <x:c r="C939" s="339" t="str"/>
      <x:c r="D939" s="339" t="str">
        <x:v>Timetable &amp; Substitution</x:v>
      </x:c>
      <x:c r="E939" s="339" t="str"/>
      <x:c r="F939" s="339" t="str">
        <x:v>Timetable &amp; Resource Scheduling canonical rule</x:v>
      </x:c>
      <x:c r="G939" s="339" t="str">
        <x:v>Published timetable changes require effective dates and participant notification when applicable.</x:v>
      </x:c>
      <x:c r="H939" s="339" t="str">
        <x:v>Domain/service layer; database constraints where appropriate; UI mirrors the rule.</x:v>
      </x:c>
      <x:c r="I939" s="339" t="str">
        <x:v>High</x:v>
      </x:c>
      <x:c r="J939" s="339" t="str">
        <x:v>Overrides only if explicitly defined, authorized and audited.</x:v>
      </x:c>
    </x:row>
    <x:row r="940">
      <x:c r="A940" s="339" t="str">
        <x:v>BR-00939</x:v>
      </x:c>
      <x:c r="B940" s="339" t="str">
        <x:v>Module</x:v>
      </x:c>
      <x:c r="C940" s="339" t="str"/>
      <x:c r="D940" s="339" t="str">
        <x:v>Timetable &amp; Substitution</x:v>
      </x:c>
      <x:c r="E940" s="339" t="str"/>
      <x:c r="F940" s="339" t="str">
        <x:v>Timetable &amp; Resource Scheduling canonical rule</x:v>
      </x:c>
      <x:c r="G940" s="339" t="str">
        <x:v>Substitutions must use eligible active staff and retain the original teacher reference for audit/reporting.</x:v>
      </x:c>
      <x:c r="H940" s="339" t="str">
        <x:v>Domain/service layer; database constraints where appropriate; UI mirrors the rule.</x:v>
      </x:c>
      <x:c r="I940" s="339" t="str">
        <x:v>High</x:v>
      </x:c>
      <x:c r="J940" s="339" t="str">
        <x:v>Overrides only if explicitly defined, authorized and audited.</x:v>
      </x:c>
    </x:row>
    <x:row r="941">
      <x:c r="A941" s="339" t="str">
        <x:v>BR-00940</x:v>
      </x:c>
      <x:c r="B941" s="339" t="str">
        <x:v>Module</x:v>
      </x:c>
      <x:c r="C941" s="339" t="str"/>
      <x:c r="D941" s="339" t="str">
        <x:v>Timetable &amp; Substitution</x:v>
      </x:c>
      <x:c r="E941" s="339" t="str"/>
      <x:c r="F941" s="339" t="str">
        <x:v>Timetable &amp; Resource Scheduling canonical rule</x:v>
      </x:c>
      <x:c r="G941" s="339" t="str">
        <x:v>Archived timetables remain read-only.</x:v>
      </x:c>
      <x:c r="H941" s="339" t="str">
        <x:v>Domain/service layer; database constraints where appropriate; UI mirrors the rule.</x:v>
      </x:c>
      <x:c r="I941" s="339" t="str">
        <x:v>High</x:v>
      </x:c>
      <x:c r="J941" s="339" t="str">
        <x:v>Overrides only if explicitly defined, authorized and audited.</x:v>
      </x:c>
    </x:row>
    <x:row r="942">
      <x:c r="A942" s="339" t="str">
        <x:v>BR-00941</x:v>
      </x:c>
      <x:c r="B942" s="339" t="str">
        <x:v>Module</x:v>
      </x:c>
      <x:c r="C942" s="339" t="str"/>
      <x:c r="D942" s="339" t="str">
        <x:v>Homework &amp; Assignments</x:v>
      </x:c>
      <x:c r="E942" s="339" t="str"/>
      <x:c r="F942" s="339" t="str">
        <x:v>Homework &amp; Assignment Management canonical rule</x:v>
      </x:c>
      <x:c r="G942" s="339" t="str">
        <x:v>Only authorized teachers can publish work to their assigned classes/subjects unless delegated.</x:v>
      </x:c>
      <x:c r="H942" s="339" t="str">
        <x:v>Domain/service layer; database constraints where appropriate; UI mirrors the rule.</x:v>
      </x:c>
      <x:c r="I942" s="339" t="str">
        <x:v>High</x:v>
      </x:c>
      <x:c r="J942" s="339" t="str">
        <x:v>Overrides only if explicitly defined, authorized and audited.</x:v>
      </x:c>
    </x:row>
    <x:row r="943">
      <x:c r="A943" s="339" t="str">
        <x:v>BR-00942</x:v>
      </x:c>
      <x:c r="B943" s="339" t="str">
        <x:v>Module</x:v>
      </x:c>
      <x:c r="C943" s="339" t="str"/>
      <x:c r="D943" s="339" t="str">
        <x:v>Homework &amp; Assignments</x:v>
      </x:c>
      <x:c r="E943" s="339" t="str"/>
      <x:c r="F943" s="339" t="str">
        <x:v>Homework &amp; Assignment Management canonical rule</x:v>
      </x:c>
      <x:c r="G943" s="339" t="str">
        <x:v>Due dates must be on/after publish time and follow school calendar restrictions if enabled.</x:v>
      </x:c>
      <x:c r="H943" s="339" t="str">
        <x:v>Domain/service layer; database constraints where appropriate; UI mirrors the rule.</x:v>
      </x:c>
      <x:c r="I943" s="339" t="str">
        <x:v>High</x:v>
      </x:c>
      <x:c r="J943" s="339" t="str">
        <x:v>Overrides only if explicitly defined, authorized and audited.</x:v>
      </x:c>
    </x:row>
    <x:row r="944">
      <x:c r="A944" s="339" t="str">
        <x:v>BR-00943</x:v>
      </x:c>
      <x:c r="B944" s="339" t="str">
        <x:v>Module</x:v>
      </x:c>
      <x:c r="C944" s="339" t="str"/>
      <x:c r="D944" s="339" t="str">
        <x:v>Homework &amp; Assignments</x:v>
      </x:c>
      <x:c r="E944" s="339" t="str"/>
      <x:c r="F944" s="339" t="str">
        <x:v>Homework &amp; Assignment Management canonical rule</x:v>
      </x:c>
      <x:c r="G944" s="339" t="str">
        <x:v>Submission status must preserve original submission time even after resubmission.</x:v>
      </x:c>
      <x:c r="H944" s="339" t="str">
        <x:v>Domain/service layer; database constraints where appropriate; UI mirrors the rule.</x:v>
      </x:c>
      <x:c r="I944" s="339" t="str">
        <x:v>High</x:v>
      </x:c>
      <x:c r="J944" s="339" t="str">
        <x:v>Overrides only if explicitly defined, authorized and audited.</x:v>
      </x:c>
    </x:row>
    <x:row r="945">
      <x:c r="A945" s="339" t="str">
        <x:v>BR-00944</x:v>
      </x:c>
      <x:c r="B945" s="339" t="str">
        <x:v>Module</x:v>
      </x:c>
      <x:c r="C945" s="339" t="str"/>
      <x:c r="D945" s="339" t="str">
        <x:v>Homework &amp; Assignments</x:v>
      </x:c>
      <x:c r="E945" s="339" t="str"/>
      <x:c r="F945" s="339" t="str">
        <x:v>Homework &amp; Assignment Management canonical rule</x:v>
      </x:c>
      <x:c r="G945" s="339" t="str">
        <x:v>Evaluation cannot be finalized above configured maximum marks/rubric score.</x:v>
      </x:c>
      <x:c r="H945" s="339" t="str">
        <x:v>Domain/service layer; database constraints where appropriate; UI mirrors the rule.</x:v>
      </x:c>
      <x:c r="I945" s="339" t="str">
        <x:v>High</x:v>
      </x:c>
      <x:c r="J945" s="339" t="str">
        <x:v>Overrides only if explicitly defined, authorized and audited.</x:v>
      </x:c>
    </x:row>
    <x:row r="946">
      <x:c r="A946" s="339" t="str">
        <x:v>BR-00945</x:v>
      </x:c>
      <x:c r="B946" s="339" t="str">
        <x:v>Module</x:v>
      </x:c>
      <x:c r="C946" s="339" t="str"/>
      <x:c r="D946" s="339" t="str">
        <x:v>Homework &amp; Assignments</x:v>
      </x:c>
      <x:c r="E946" s="339" t="str"/>
      <x:c r="F946" s="339" t="str">
        <x:v>Homework &amp; Assignment Management canonical rule</x:v>
      </x:c>
      <x:c r="G946" s="339" t="str">
        <x:v>Parents receive only the visibility configured for the linked child.</x:v>
      </x:c>
      <x:c r="H946" s="339" t="str">
        <x:v>Domain/service layer; database constraints where appropriate; UI mirrors the rule.</x:v>
      </x:c>
      <x:c r="I946" s="339" t="str">
        <x:v>High</x:v>
      </x:c>
      <x:c r="J946" s="339" t="str">
        <x:v>Overrides only if explicitly defined, authorized and audited.</x:v>
      </x:c>
    </x:row>
    <x:row r="947">
      <x:c r="A947" s="339" t="str">
        <x:v>BR-00946</x:v>
      </x:c>
      <x:c r="B947" s="339" t="str">
        <x:v>Module</x:v>
      </x:c>
      <x:c r="C947" s="339" t="str"/>
      <x:c r="D947" s="339" t="str">
        <x:v>Examinations / Marks / Results</x:v>
      </x:c>
      <x:c r="E947" s="339" t="str"/>
      <x:c r="F947" s="339" t="str">
        <x:v>Examinations, Grading &amp; Results canonical rule</x:v>
      </x:c>
      <x:c r="G947" s="339" t="str">
        <x:v>Marks must be within configured min/max ranges; absence and exemption are represented as statuses, not invalid numeric marks.</x:v>
      </x:c>
      <x:c r="H947" s="339" t="str">
        <x:v>Domain/service layer; database constraints where appropriate; UI mirrors the rule.</x:v>
      </x:c>
      <x:c r="I947" s="339" t="str">
        <x:v>High</x:v>
      </x:c>
      <x:c r="J947" s="339" t="str">
        <x:v>Overrides only if explicitly defined, authorized and audited.</x:v>
      </x:c>
    </x:row>
    <x:row r="948">
      <x:c r="A948" s="339" t="str">
        <x:v>BR-00947</x:v>
      </x:c>
      <x:c r="B948" s="339" t="str">
        <x:v>Module</x:v>
      </x:c>
      <x:c r="C948" s="339" t="str"/>
      <x:c r="D948" s="339" t="str">
        <x:v>Examinations / Marks / Results</x:v>
      </x:c>
      <x:c r="E948" s="339" t="str"/>
      <x:c r="F948" s="339" t="str">
        <x:v>Examinations, Grading &amp; Results canonical rule</x:v>
      </x:c>
      <x:c r="G948" s="339" t="str">
        <x:v>Result calculations use the grading/weightage configuration effective for that exam and academic period.</x:v>
      </x:c>
      <x:c r="H948" s="339" t="str">
        <x:v>Domain/service layer; database constraints where appropriate; UI mirrors the rule.</x:v>
      </x:c>
      <x:c r="I948" s="339" t="str">
        <x:v>High</x:v>
      </x:c>
      <x:c r="J948" s="339" t="str">
        <x:v>Overrides only if explicitly defined, authorized and audited.</x:v>
      </x:c>
    </x:row>
    <x:row r="949">
      <x:c r="A949" s="339" t="str">
        <x:v>BR-00948</x:v>
      </x:c>
      <x:c r="B949" s="339" t="str">
        <x:v>Module</x:v>
      </x:c>
      <x:c r="C949" s="339" t="str"/>
      <x:c r="D949" s="339" t="str">
        <x:v>Examinations / Marks / Results</x:v>
      </x:c>
      <x:c r="E949" s="339" t="str"/>
      <x:c r="F949" s="339" t="str">
        <x:v>Examinations, Grading &amp; Results canonical rule</x:v>
      </x:c>
      <x:c r="G949" s="339" t="str">
        <x:v>Results cannot be published until required subjects/marks are complete and verification/approval gates pass.</x:v>
      </x:c>
      <x:c r="H949" s="339" t="str">
        <x:v>Domain/service layer; database constraints where appropriate; UI mirrors the rule.</x:v>
      </x:c>
      <x:c r="I949" s="339" t="str">
        <x:v>High</x:v>
      </x:c>
      <x:c r="J949" s="339" t="str">
        <x:v>Overrides only if explicitly defined, authorized and audited.</x:v>
      </x:c>
    </x:row>
    <x:row r="950">
      <x:c r="A950" s="339" t="str">
        <x:v>BR-00949</x:v>
      </x:c>
      <x:c r="B950" s="339" t="str">
        <x:v>Module</x:v>
      </x:c>
      <x:c r="C950" s="339" t="str"/>
      <x:c r="D950" s="339" t="str">
        <x:v>Examinations / Marks / Results</x:v>
      </x:c>
      <x:c r="E950" s="339" t="str"/>
      <x:c r="F950" s="339" t="str">
        <x:v>Examinations, Grading &amp; Results canonical rule</x:v>
      </x:c>
      <x:c r="G950" s="339" t="str">
        <x:v>Published results are immutable to normal users; corrections require an authorized revision workflow.</x:v>
      </x:c>
      <x:c r="H950" s="339" t="str">
        <x:v>Domain/service layer; database constraints where appropriate; UI mirrors the rule.</x:v>
      </x:c>
      <x:c r="I950" s="339" t="str">
        <x:v>High</x:v>
      </x:c>
      <x:c r="J950" s="339" t="str">
        <x:v>Overrides only if explicitly defined, authorized and audited.</x:v>
      </x:c>
    </x:row>
    <x:row r="951">
      <x:c r="A951" s="339" t="str">
        <x:v>BR-00950</x:v>
      </x:c>
      <x:c r="B951" s="339" t="str">
        <x:v>Module</x:v>
      </x:c>
      <x:c r="C951" s="339" t="str"/>
      <x:c r="D951" s="339" t="str">
        <x:v>Examinations / Marks / Results</x:v>
      </x:c>
      <x:c r="E951" s="339" t="str"/>
      <x:c r="F951" s="339" t="str">
        <x:v>Examinations, Grading &amp; Results canonical rule</x:v>
      </x:c>
      <x:c r="G951" s="339" t="str">
        <x:v>Report-card totals must reconcile with stored subject components and weighting rules.</x:v>
      </x:c>
      <x:c r="H951" s="339" t="str">
        <x:v>Domain/service layer; database constraints where appropriate; UI mirrors the rule.</x:v>
      </x:c>
      <x:c r="I951" s="339" t="str">
        <x:v>High</x:v>
      </x:c>
      <x:c r="J951" s="339" t="str">
        <x:v>Overrides only if explicitly defined, authorized and audited.</x:v>
      </x:c>
    </x:row>
    <x:row r="952">
      <x:c r="A952" s="339" t="str">
        <x:v>BR-00951</x:v>
      </x:c>
      <x:c r="B952" s="339" t="str">
        <x:v>Module</x:v>
      </x:c>
      <x:c r="C952" s="339" t="str"/>
      <x:c r="D952" s="339" t="str">
        <x:v>Fees &amp; Finance</x:v>
      </x:c>
      <x:c r="E952" s="339" t="str"/>
      <x:c r="F952" s="339" t="str">
        <x:v>Student Fees &amp; School Finance canonical rule</x:v>
      </x:c>
      <x:c r="G952" s="339" t="str">
        <x:v>Posted financial transactions must not be hard-deleted; corrections use reversal/refund/credit mechanisms.</x:v>
      </x:c>
      <x:c r="H952" s="339" t="str">
        <x:v>Domain/service layer; database constraints where appropriate; UI mirrors the rule.</x:v>
      </x:c>
      <x:c r="I952" s="339" t="str">
        <x:v>High</x:v>
      </x:c>
      <x:c r="J952" s="339" t="str">
        <x:v>Overrides only if explicitly defined, authorized and audited.</x:v>
      </x:c>
    </x:row>
    <x:row r="953">
      <x:c r="A953" s="339" t="str">
        <x:v>BR-00952</x:v>
      </x:c>
      <x:c r="B953" s="339" t="str">
        <x:v>Module</x:v>
      </x:c>
      <x:c r="C953" s="339" t="str"/>
      <x:c r="D953" s="339" t="str">
        <x:v>Fees &amp; Finance</x:v>
      </x:c>
      <x:c r="E953" s="339" t="str"/>
      <x:c r="F953" s="339" t="str">
        <x:v>Student Fees &amp; School Finance canonical rule</x:v>
      </x:c>
      <x:c r="G953" s="339" t="str">
        <x:v>A payment allocation cannot exceed the eligible open balance unless overpayment handling is configured.</x:v>
      </x:c>
      <x:c r="H953" s="339" t="str">
        <x:v>Domain/service layer; database constraints where appropriate; UI mirrors the rule.</x:v>
      </x:c>
      <x:c r="I953" s="339" t="str">
        <x:v>High</x:v>
      </x:c>
      <x:c r="J953" s="339" t="str">
        <x:v>Overrides only if explicitly defined, authorized and audited.</x:v>
      </x:c>
    </x:row>
    <x:row r="954">
      <x:c r="A954" s="339" t="str">
        <x:v>BR-00953</x:v>
      </x:c>
      <x:c r="B954" s="339" t="str">
        <x:v>Module</x:v>
      </x:c>
      <x:c r="C954" s="339" t="str"/>
      <x:c r="D954" s="339" t="str">
        <x:v>Fees &amp; Finance</x:v>
      </x:c>
      <x:c r="E954" s="339" t="str"/>
      <x:c r="F954" s="339" t="str">
        <x:v>Student Fees &amp; School Finance canonical rule</x:v>
      </x:c>
      <x:c r="G954" s="339" t="str">
        <x:v>Receipts must have unique immutable numbers and reference the underlying payment transaction.</x:v>
      </x:c>
      <x:c r="H954" s="339" t="str">
        <x:v>Domain/service layer; database constraints where appropriate; UI mirrors the rule.</x:v>
      </x:c>
      <x:c r="I954" s="339" t="str">
        <x:v>High</x:v>
      </x:c>
      <x:c r="J954" s="339" t="str">
        <x:v>Overrides only if explicitly defined, authorized and audited.</x:v>
      </x:c>
    </x:row>
    <x:row r="955">
      <x:c r="A955" s="339" t="str">
        <x:v>BR-00954</x:v>
      </x:c>
      <x:c r="B955" s="339" t="str">
        <x:v>Module</x:v>
      </x:c>
      <x:c r="C955" s="339" t="str"/>
      <x:c r="D955" s="339" t="str">
        <x:v>Fees &amp; Finance</x:v>
      </x:c>
      <x:c r="E955" s="339" t="str"/>
      <x:c r="F955" s="339" t="str">
        <x:v>Student Fees &amp; School Finance canonical rule</x:v>
      </x:c>
      <x:c r="G955" s="339" t="str">
        <x:v>Discounts, scholarships and waivers require configured authorization and cannot produce an invalid negative charge balance.</x:v>
      </x:c>
      <x:c r="H955" s="339" t="str">
        <x:v>Domain/service layer; database constraints where appropriate; UI mirrors the rule.</x:v>
      </x:c>
      <x:c r="I955" s="339" t="str">
        <x:v>High</x:v>
      </x:c>
      <x:c r="J955" s="339" t="str">
        <x:v>Overrides only if explicitly defined, authorized and audited.</x:v>
      </x:c>
    </x:row>
    <x:row r="956">
      <x:c r="A956" s="339" t="str">
        <x:v>BR-00955</x:v>
      </x:c>
      <x:c r="B956" s="339" t="str">
        <x:v>Module</x:v>
      </x:c>
      <x:c r="C956" s="339" t="str"/>
      <x:c r="D956" s="339" t="str">
        <x:v>Fees &amp; Finance</x:v>
      </x:c>
      <x:c r="E956" s="339" t="str"/>
      <x:c r="F956" s="339" t="str">
        <x:v>Student Fees &amp; School Finance canonical rule</x:v>
      </x:c>
      <x:c r="G956" s="339" t="str">
        <x:v>Outstanding balance is calculated from posted charges, fines, discounts/credits, payments and reversals.</x:v>
      </x:c>
      <x:c r="H956" s="339" t="str">
        <x:v>Domain/service layer; database constraints where appropriate; UI mirrors the rule.</x:v>
      </x:c>
      <x:c r="I956" s="339" t="str">
        <x:v>High</x:v>
      </x:c>
      <x:c r="J956" s="339" t="str">
        <x:v>Overrides only if explicitly defined, authorized and audited.</x:v>
      </x:c>
    </x:row>
    <x:row r="957">
      <x:c r="A957" s="339" t="str">
        <x:v>BR-00956</x:v>
      </x:c>
      <x:c r="B957" s="339" t="str">
        <x:v>Module</x:v>
      </x:c>
      <x:c r="C957" s="339" t="str"/>
      <x:c r="D957" s="339" t="str">
        <x:v>HR / Leave / Payroll</x:v>
      </x:c>
      <x:c r="E957" s="339" t="str"/>
      <x:c r="F957" s="339" t="str">
        <x:v>HR, Leave &amp; Payroll canonical rule</x:v>
      </x:c>
      <x:c r="G957" s="339" t="str">
        <x:v>Leave approvals must respect leave balance, policy, employment status and approval hierarchy.</x:v>
      </x:c>
      <x:c r="H957" s="339" t="str">
        <x:v>Domain/service layer; database constraints where appropriate; UI mirrors the rule.</x:v>
      </x:c>
      <x:c r="I957" s="339" t="str">
        <x:v>High</x:v>
      </x:c>
      <x:c r="J957" s="339" t="str">
        <x:v>Overrides only if explicitly defined, authorized and audited.</x:v>
      </x:c>
    </x:row>
    <x:row r="958">
      <x:c r="A958" s="339" t="str">
        <x:v>BR-00957</x:v>
      </x:c>
      <x:c r="B958" s="339" t="str">
        <x:v>Module</x:v>
      </x:c>
      <x:c r="C958" s="339" t="str"/>
      <x:c r="D958" s="339" t="str">
        <x:v>HR / Leave / Payroll</x:v>
      </x:c>
      <x:c r="E958" s="339" t="str"/>
      <x:c r="F958" s="339" t="str">
        <x:v>HR, Leave &amp; Payroll canonical rule</x:v>
      </x:c>
      <x:c r="G958" s="339" t="str">
        <x:v>Approved leave and attendance adjustments must feed payroll according to configured policies.</x:v>
      </x:c>
      <x:c r="H958" s="339" t="str">
        <x:v>Domain/service layer; database constraints where appropriate; UI mirrors the rule.</x:v>
      </x:c>
      <x:c r="I958" s="339" t="str">
        <x:v>High</x:v>
      </x:c>
      <x:c r="J958" s="339" t="str">
        <x:v>Overrides only if explicitly defined, authorized and audited.</x:v>
      </x:c>
    </x:row>
    <x:row r="959">
      <x:c r="A959" s="339" t="str">
        <x:v>BR-00958</x:v>
      </x:c>
      <x:c r="B959" s="339" t="str">
        <x:v>Module</x:v>
      </x:c>
      <x:c r="C959" s="339" t="str"/>
      <x:c r="D959" s="339" t="str">
        <x:v>HR / Leave / Payroll</x:v>
      </x:c>
      <x:c r="E959" s="339" t="str"/>
      <x:c r="F959" s="339" t="str">
        <x:v>HR, Leave &amp; Payroll canonical rule</x:v>
      </x:c>
      <x:c r="G959" s="339" t="str">
        <x:v>Payroll for a period must be versioned/locked after approval; later corrections require adjustment runs.</x:v>
      </x:c>
      <x:c r="H959" s="339" t="str">
        <x:v>Domain/service layer; database constraints where appropriate; UI mirrors the rule.</x:v>
      </x:c>
      <x:c r="I959" s="339" t="str">
        <x:v>High</x:v>
      </x:c>
      <x:c r="J959" s="339" t="str">
        <x:v>Overrides only if explicitly defined, authorized and audited.</x:v>
      </x:c>
    </x:row>
    <x:row r="960">
      <x:c r="A960" s="339" t="str">
        <x:v>BR-00959</x:v>
      </x:c>
      <x:c r="B960" s="339" t="str">
        <x:v>Module</x:v>
      </x:c>
      <x:c r="C960" s="339" t="str"/>
      <x:c r="D960" s="339" t="str">
        <x:v>HR / Leave / Payroll</x:v>
      </x:c>
      <x:c r="E960" s="339" t="str"/>
      <x:c r="F960" s="339" t="str">
        <x:v>HR, Leave &amp; Payroll canonical rule</x:v>
      </x:c>
      <x:c r="G960" s="339" t="str">
        <x:v>Net pay cannot be finalized until all mandatory earnings/deductions and statutory rules are resolved.</x:v>
      </x:c>
      <x:c r="H960" s="339" t="str">
        <x:v>Domain/service layer; database constraints where appropriate; UI mirrors the rule.</x:v>
      </x:c>
      <x:c r="I960" s="339" t="str">
        <x:v>High</x:v>
      </x:c>
      <x:c r="J960" s="339" t="str">
        <x:v>Overrides only if explicitly defined, authorized and audited.</x:v>
      </x:c>
    </x:row>
    <x:row r="961">
      <x:c r="A961" s="339" t="str">
        <x:v>BR-00960</x:v>
      </x:c>
      <x:c r="B961" s="339" t="str">
        <x:v>Module</x:v>
      </x:c>
      <x:c r="C961" s="339" t="str"/>
      <x:c r="D961" s="339" t="str">
        <x:v>HR / Leave / Payroll</x:v>
      </x:c>
      <x:c r="E961" s="339" t="str"/>
      <x:c r="F961" s="339" t="str">
        <x:v>HR, Leave &amp; Payroll canonical rule</x:v>
      </x:c>
      <x:c r="G961" s="339" t="str">
        <x:v>Sensitive compensation data is restricted to authorized HR/finance roles and the employee's own record.</x:v>
      </x:c>
      <x:c r="H961" s="339" t="str">
        <x:v>Domain/service layer; database constraints where appropriate; UI mirrors the rule.</x:v>
      </x:c>
      <x:c r="I961" s="339" t="str">
        <x:v>High</x:v>
      </x:c>
      <x:c r="J961" s="339" t="str">
        <x:v>Overrides only if explicitly defined, authorized and audited.</x:v>
      </x:c>
    </x:row>
    <x:row r="962">
      <x:c r="A962" s="339" t="str">
        <x:v>BR-00961</x:v>
      </x:c>
      <x:c r="B962" s="339" t="str">
        <x:v>Module</x:v>
      </x:c>
      <x:c r="C962" s="339" t="str"/>
      <x:c r="D962" s="339" t="str">
        <x:v>Transport / Bus / GPS</x:v>
      </x:c>
      <x:c r="E962" s="339" t="str"/>
      <x:c r="F962" s="339" t="str">
        <x:v>School Transport &amp; Live Trips canonical rule</x:v>
      </x:c>
      <x:c r="G962" s="339" t="str">
        <x:v>Student route assignment must respect active route/stop, service dates and configured vehicle capacity.</x:v>
      </x:c>
      <x:c r="H962" s="339" t="str">
        <x:v>Domain/service layer; database constraints where appropriate; UI mirrors the rule.</x:v>
      </x:c>
      <x:c r="I962" s="339" t="str">
        <x:v>High</x:v>
      </x:c>
      <x:c r="J962" s="339" t="str">
        <x:v>Overrides only if explicitly defined, authorized and audited.</x:v>
      </x:c>
    </x:row>
    <x:row r="963">
      <x:c r="A963" s="339" t="str">
        <x:v>BR-00962</x:v>
      </x:c>
      <x:c r="B963" s="339" t="str">
        <x:v>Module</x:v>
      </x:c>
      <x:c r="C963" s="339" t="str"/>
      <x:c r="D963" s="339" t="str">
        <x:v>Transport / Bus / GPS</x:v>
      </x:c>
      <x:c r="E963" s="339" t="str"/>
      <x:c r="F963" s="339" t="str">
        <x:v>School Transport &amp; Live Trips canonical rule</x:v>
      </x:c>
      <x:c r="G963" s="339" t="str">
        <x:v>Drivers and vehicles must be active/compliant before assignment to a trip.</x:v>
      </x:c>
      <x:c r="H963" s="339" t="str">
        <x:v>Domain/service layer; database constraints where appropriate; UI mirrors the rule.</x:v>
      </x:c>
      <x:c r="I963" s="339" t="str">
        <x:v>High</x:v>
      </x:c>
      <x:c r="J963" s="339" t="str">
        <x:v>Overrides only if explicitly defined, authorized and audited.</x:v>
      </x:c>
    </x:row>
    <x:row r="964">
      <x:c r="A964" s="339" t="str">
        <x:v>BR-00963</x:v>
      </x:c>
      <x:c r="B964" s="339" t="str">
        <x:v>Module</x:v>
      </x:c>
      <x:c r="C964" s="339" t="str"/>
      <x:c r="D964" s="339" t="str">
        <x:v>Transport / Bus / GPS</x:v>
      </x:c>
      <x:c r="E964" s="339" t="str"/>
      <x:c r="F964" s="339" t="str">
        <x:v>School Transport &amp; Live Trips canonical rule</x:v>
      </x:c>
      <x:c r="G964" s="339" t="str">
        <x:v>Trip state changes follow Planned → Started → Completed/Cancelled with timestamps.</x:v>
      </x:c>
      <x:c r="H964" s="339" t="str">
        <x:v>Domain/service layer; database constraints where appropriate; UI mirrors the rule.</x:v>
      </x:c>
      <x:c r="I964" s="339" t="str">
        <x:v>High</x:v>
      </x:c>
      <x:c r="J964" s="339" t="str">
        <x:v>Overrides only if explicitly defined, authorized and audited.</x:v>
      </x:c>
    </x:row>
    <x:row r="965">
      <x:c r="A965" s="339" t="str">
        <x:v>BR-00964</x:v>
      </x:c>
      <x:c r="B965" s="339" t="str">
        <x:v>Module</x:v>
      </x:c>
      <x:c r="C965" s="339" t="str"/>
      <x:c r="D965" s="339" t="str">
        <x:v>Transport / Bus / GPS</x:v>
      </x:c>
      <x:c r="E965" s="339" t="str"/>
      <x:c r="F965" s="339" t="str">
        <x:v>School Transport &amp; Live Trips canonical rule</x:v>
      </x:c>
      <x:c r="G965" s="339" t="str">
        <x:v>Boarding/drop events must identify student, trip, stop/time and actor/device where available.</x:v>
      </x:c>
      <x:c r="H965" s="339" t="str">
        <x:v>Domain/service layer; database constraints where appropriate; UI mirrors the rule.</x:v>
      </x:c>
      <x:c r="I965" s="339" t="str">
        <x:v>High</x:v>
      </x:c>
      <x:c r="J965" s="339" t="str">
        <x:v>Overrides only if explicitly defined, authorized and audited.</x:v>
      </x:c>
    </x:row>
    <x:row r="966">
      <x:c r="A966" s="339" t="str">
        <x:v>BR-00965</x:v>
      </x:c>
      <x:c r="B966" s="339" t="str">
        <x:v>Module</x:v>
      </x:c>
      <x:c r="C966" s="339" t="str"/>
      <x:c r="D966" s="339" t="str">
        <x:v>Transport / Bus / GPS</x:v>
      </x:c>
      <x:c r="E966" s="339" t="str"/>
      <x:c r="F966" s="339" t="str">
        <x:v>School Transport &amp; Live Trips canonical rule</x:v>
      </x:c>
      <x:c r="G966" s="339" t="str">
        <x:v>GPS visibility is limited to active authorized trips and linked guardians/users.</x:v>
      </x:c>
      <x:c r="H966" s="339" t="str">
        <x:v>Domain/service layer; database constraints where appropriate; UI mirrors the rule.</x:v>
      </x:c>
      <x:c r="I966" s="339" t="str">
        <x:v>High</x:v>
      </x:c>
      <x:c r="J966" s="339" t="str">
        <x:v>Overrides only if explicitly defined, authorized and audited.</x:v>
      </x:c>
    </x:row>
    <x:row r="967">
      <x:c r="A967" s="339" t="str">
        <x:v>BR-00966</x:v>
      </x:c>
      <x:c r="B967" s="339" t="str">
        <x:v>Module</x:v>
      </x:c>
      <x:c r="C967" s="339" t="str"/>
      <x:c r="D967" s="339" t="str">
        <x:v>Library</x:v>
      </x:c>
      <x:c r="E967" s="339" t="str"/>
      <x:c r="F967" s="339" t="str">
        <x:v>Library Circulation &amp; Digital Resources canonical rule</x:v>
      </x:c>
      <x:c r="G967" s="339" t="str">
        <x:v>A physical copy cannot be issued to more than one active borrower at the same time.</x:v>
      </x:c>
      <x:c r="H967" s="339" t="str">
        <x:v>Domain/service layer; database constraints where appropriate; UI mirrors the rule.</x:v>
      </x:c>
      <x:c r="I967" s="339" t="str">
        <x:v>High</x:v>
      </x:c>
      <x:c r="J967" s="339" t="str">
        <x:v>Overrides only if explicitly defined, authorized and audited.</x:v>
      </x:c>
    </x:row>
    <x:row r="968">
      <x:c r="A968" s="339" t="str">
        <x:v>BR-00967</x:v>
      </x:c>
      <x:c r="B968" s="339" t="str">
        <x:v>Module</x:v>
      </x:c>
      <x:c r="C968" s="339" t="str"/>
      <x:c r="D968" s="339" t="str">
        <x:v>Library</x:v>
      </x:c>
      <x:c r="E968" s="339" t="str"/>
      <x:c r="F968" s="339" t="str">
        <x:v>Library Circulation &amp; Digital Resources canonical rule</x:v>
      </x:c>
      <x:c r="G968" s="339" t="str">
        <x:v>Issue/renewal limits and due dates follow member type and circulation policy.</x:v>
      </x:c>
      <x:c r="H968" s="339" t="str">
        <x:v>Domain/service layer; database constraints where appropriate; UI mirrors the rule.</x:v>
      </x:c>
      <x:c r="I968" s="339" t="str">
        <x:v>High</x:v>
      </x:c>
      <x:c r="J968" s="339" t="str">
        <x:v>Overrides only if explicitly defined, authorized and audited.</x:v>
      </x:c>
    </x:row>
    <x:row r="969">
      <x:c r="A969" s="339" t="str">
        <x:v>BR-00968</x:v>
      </x:c>
      <x:c r="B969" s="339" t="str">
        <x:v>Module</x:v>
      </x:c>
      <x:c r="C969" s="339" t="str"/>
      <x:c r="D969" s="339" t="str">
        <x:v>Library</x:v>
      </x:c>
      <x:c r="E969" s="339" t="str"/>
      <x:c r="F969" s="339" t="str">
        <x:v>Library Circulation &amp; Digital Resources canonical rule</x:v>
      </x:c>
      <x:c r="G969" s="339" t="str">
        <x:v>Overdue fines are calculated from configured grace period, rate and cap.</x:v>
      </x:c>
      <x:c r="H969" s="339" t="str">
        <x:v>Domain/service layer; database constraints where appropriate; UI mirrors the rule.</x:v>
      </x:c>
      <x:c r="I969" s="339" t="str">
        <x:v>High</x:v>
      </x:c>
      <x:c r="J969" s="339" t="str">
        <x:v>Overrides only if explicitly defined, authorized and audited.</x:v>
      </x:c>
    </x:row>
    <x:row r="970">
      <x:c r="A970" s="339" t="str">
        <x:v>BR-00969</x:v>
      </x:c>
      <x:c r="B970" s="339" t="str">
        <x:v>Module</x:v>
      </x:c>
      <x:c r="C970" s="339" t="str"/>
      <x:c r="D970" s="339" t="str">
        <x:v>Library</x:v>
      </x:c>
      <x:c r="E970" s="339" t="str"/>
      <x:c r="F970" s="339" t="str">
        <x:v>Library Circulation &amp; Digital Resources canonical rule</x:v>
      </x:c>
      <x:c r="G970" s="339" t="str">
        <x:v>Lost/damaged status removes a copy from normal available inventory until resolved.</x:v>
      </x:c>
      <x:c r="H970" s="339" t="str">
        <x:v>Domain/service layer; database constraints where appropriate; UI mirrors the rule.</x:v>
      </x:c>
      <x:c r="I970" s="339" t="str">
        <x:v>High</x:v>
      </x:c>
      <x:c r="J970" s="339" t="str">
        <x:v>Overrides only if explicitly defined, authorized and audited.</x:v>
      </x:c>
    </x:row>
    <x:row r="971">
      <x:c r="A971" s="339" t="str">
        <x:v>BR-00970</x:v>
      </x:c>
      <x:c r="B971" s="339" t="str">
        <x:v>Module</x:v>
      </x:c>
      <x:c r="C971" s="339" t="str"/>
      <x:c r="D971" s="339" t="str">
        <x:v>Library</x:v>
      </x:c>
      <x:c r="E971" s="339" t="str"/>
      <x:c r="F971" s="339" t="str">
        <x:v>Library Circulation &amp; Digital Resources canonical rule</x:v>
      </x:c>
      <x:c r="G971" s="339" t="str">
        <x:v>Reservations are fulfilled in configured queue order unless overridden by an authorized librarian.</x:v>
      </x:c>
      <x:c r="H971" s="339" t="str">
        <x:v>Domain/service layer; database constraints where appropriate; UI mirrors the rule.</x:v>
      </x:c>
      <x:c r="I971" s="339" t="str">
        <x:v>High</x:v>
      </x:c>
      <x:c r="J971" s="339" t="str">
        <x:v>Overrides only if explicitly defined, authorized and audited.</x:v>
      </x:c>
    </x:row>
    <x:row r="972">
      <x:c r="A972" s="339" t="str">
        <x:v>BR-00971</x:v>
      </x:c>
      <x:c r="B972" s="339" t="str">
        <x:v>Module</x:v>
      </x:c>
      <x:c r="C972" s="339" t="str"/>
      <x:c r="D972" s="339" t="str">
        <x:v>Hostel</x:v>
      </x:c>
      <x:c r="E972" s="339" t="str"/>
      <x:c r="F972" s="339" t="str">
        <x:v>Hostel &amp; Residential Operations canonical rule</x:v>
      </x:c>
      <x:c r="G972" s="339" t="str">
        <x:v>A bed can have only one active student allocation for overlapping dates.</x:v>
      </x:c>
      <x:c r="H972" s="339" t="str">
        <x:v>Domain/service layer; database constraints where appropriate; UI mirrors the rule.</x:v>
      </x:c>
      <x:c r="I972" s="339" t="str">
        <x:v>High</x:v>
      </x:c>
      <x:c r="J972" s="339" t="str">
        <x:v>Overrides only if explicitly defined, authorized and audited.</x:v>
      </x:c>
    </x:row>
    <x:row r="973">
      <x:c r="A973" s="339" t="str">
        <x:v>BR-00972</x:v>
      </x:c>
      <x:c r="B973" s="339" t="str">
        <x:v>Module</x:v>
      </x:c>
      <x:c r="C973" s="339" t="str"/>
      <x:c r="D973" s="339" t="str">
        <x:v>Hostel</x:v>
      </x:c>
      <x:c r="E973" s="339" t="str"/>
      <x:c r="F973" s="339" t="str">
        <x:v>Hostel &amp; Residential Operations canonical rule</x:v>
      </x:c>
      <x:c r="G973" s="339" t="str">
        <x:v>Hostel allocation requires an active eligible student and available capacity.</x:v>
      </x:c>
      <x:c r="H973" s="339" t="str">
        <x:v>Domain/service layer; database constraints where appropriate; UI mirrors the rule.</x:v>
      </x:c>
      <x:c r="I973" s="339" t="str">
        <x:v>High</x:v>
      </x:c>
      <x:c r="J973" s="339" t="str">
        <x:v>Overrides only if explicitly defined, authorized and audited.</x:v>
      </x:c>
    </x:row>
    <x:row r="974">
      <x:c r="A974" s="339" t="str">
        <x:v>BR-00973</x:v>
      </x:c>
      <x:c r="B974" s="339" t="str">
        <x:v>Module</x:v>
      </x:c>
      <x:c r="C974" s="339" t="str"/>
      <x:c r="D974" s="339" t="str">
        <x:v>Hostel</x:v>
      </x:c>
      <x:c r="E974" s="339" t="str"/>
      <x:c r="F974" s="339" t="str">
        <x:v>Hostel &amp; Residential Operations canonical rule</x:v>
      </x:c>
      <x:c r="G974" s="339" t="str">
        <x:v>Outing/leave follows guardian/warden approval rules and captures actual exit/return.</x:v>
      </x:c>
      <x:c r="H974" s="339" t="str">
        <x:v>Domain/service layer; database constraints where appropriate; UI mirrors the rule.</x:v>
      </x:c>
      <x:c r="I974" s="339" t="str">
        <x:v>High</x:v>
      </x:c>
      <x:c r="J974" s="339" t="str">
        <x:v>Overrides only if explicitly defined, authorized and audited.</x:v>
      </x:c>
    </x:row>
    <x:row r="975">
      <x:c r="A975" s="339" t="str">
        <x:v>BR-00974</x:v>
      </x:c>
      <x:c r="B975" s="339" t="str">
        <x:v>Module</x:v>
      </x:c>
      <x:c r="C975" s="339" t="str"/>
      <x:c r="D975" s="339" t="str">
        <x:v>Hostel</x:v>
      </x:c>
      <x:c r="E975" s="339" t="str"/>
      <x:c r="F975" s="339" t="str">
        <x:v>Hostel &amp; Residential Operations canonical rule</x:v>
      </x:c>
      <x:c r="G975" s="339" t="str">
        <x:v>Room/bed transfers preserve allocation history.</x:v>
      </x:c>
      <x:c r="H975" s="339" t="str">
        <x:v>Domain/service layer; database constraints where appropriate; UI mirrors the rule.</x:v>
      </x:c>
      <x:c r="I975" s="339" t="str">
        <x:v>High</x:v>
      </x:c>
      <x:c r="J975" s="339" t="str">
        <x:v>Overrides only if explicitly defined, authorized and audited.</x:v>
      </x:c>
    </x:row>
    <x:row r="976">
      <x:c r="A976" s="339" t="str">
        <x:v>BR-00975</x:v>
      </x:c>
      <x:c r="B976" s="339" t="str">
        <x:v>Module</x:v>
      </x:c>
      <x:c r="C976" s="339" t="str"/>
      <x:c r="D976" s="339" t="str">
        <x:v>Hostel</x:v>
      </x:c>
      <x:c r="E976" s="339" t="str"/>
      <x:c r="F976" s="339" t="str">
        <x:v>Hostel &amp; Residential Operations canonical rule</x:v>
      </x:c>
      <x:c r="G976" s="339" t="str">
        <x:v>Hostel fees and penalties integrate with finance without duplicating student charges.</x:v>
      </x:c>
      <x:c r="H976" s="339" t="str">
        <x:v>Domain/service layer; database constraints where appropriate; UI mirrors the rule.</x:v>
      </x:c>
      <x:c r="I976" s="339" t="str">
        <x:v>High</x:v>
      </x:c>
      <x:c r="J976" s="339" t="str">
        <x:v>Overrides only if explicitly defined, authorized and audited.</x:v>
      </x:c>
    </x:row>
    <x:row r="977">
      <x:c r="A977" s="339" t="str">
        <x:v>BR-00976</x:v>
      </x:c>
      <x:c r="B977" s="339" t="str">
        <x:v>Module</x:v>
      </x:c>
      <x:c r="C977" s="339" t="str"/>
      <x:c r="D977" s="339" t="str">
        <x:v>Health / Counselling / Discipline</x:v>
      </x:c>
      <x:c r="E977" s="339" t="str"/>
      <x:c r="F977" s="339" t="str">
        <x:v>Student Health, Counselling &amp; Discipline canonical rule</x:v>
      </x:c>
      <x:c r="G977" s="339" t="str">
        <x:v>Clinical and counselling notes are restricted to specifically authorized roles and must not inherit broad teacher/admin visibility by default.</x:v>
      </x:c>
      <x:c r="H977" s="339" t="str">
        <x:v>Domain/service layer; database constraints where appropriate; UI mirrors the rule.</x:v>
      </x:c>
      <x:c r="I977" s="339" t="str">
        <x:v>High</x:v>
      </x:c>
      <x:c r="J977" s="339" t="str">
        <x:v>Overrides only if explicitly defined, authorized and audited.</x:v>
      </x:c>
    </x:row>
    <x:row r="978">
      <x:c r="A978" s="339" t="str">
        <x:v>BR-00977</x:v>
      </x:c>
      <x:c r="B978" s="339" t="str">
        <x:v>Module</x:v>
      </x:c>
      <x:c r="C978" s="339" t="str"/>
      <x:c r="D978" s="339" t="str">
        <x:v>Health / Counselling / Discipline</x:v>
      </x:c>
      <x:c r="E978" s="339" t="str"/>
      <x:c r="F978" s="339" t="str">
        <x:v>Student Health, Counselling &amp; Discipline canonical rule</x:v>
      </x:c>
      <x:c r="G978" s="339" t="str">
        <x:v>Emergency conditions trigger configured escalation and guardian notification rules.</x:v>
      </x:c>
      <x:c r="H978" s="339" t="str">
        <x:v>Domain/service layer; database constraints where appropriate; UI mirrors the rule.</x:v>
      </x:c>
      <x:c r="I978" s="339" t="str">
        <x:v>High</x:v>
      </x:c>
      <x:c r="J978" s="339" t="str">
        <x:v>Overrides only if explicitly defined, authorized and audited.</x:v>
      </x:c>
    </x:row>
    <x:row r="979">
      <x:c r="A979" s="339" t="str">
        <x:v>BR-00978</x:v>
      </x:c>
      <x:c r="B979" s="339" t="str">
        <x:v>Module</x:v>
      </x:c>
      <x:c r="C979" s="339" t="str"/>
      <x:c r="D979" s="339" t="str">
        <x:v>Health / Counselling / Discipline</x:v>
      </x:c>
      <x:c r="E979" s="339" t="str"/>
      <x:c r="F979" s="339" t="str">
        <x:v>Student Health, Counselling &amp; Discipline canonical rule</x:v>
      </x:c>
      <x:c r="G979" s="339" t="str">
        <x:v>Medication administration records must capture medication, dose, time and administering user where applicable.</x:v>
      </x:c>
      <x:c r="H979" s="339" t="str">
        <x:v>Domain/service layer; database constraints where appropriate; UI mirrors the rule.</x:v>
      </x:c>
      <x:c r="I979" s="339" t="str">
        <x:v>High</x:v>
      </x:c>
      <x:c r="J979" s="339" t="str">
        <x:v>Overrides only if explicitly defined, authorized and audited.</x:v>
      </x:c>
    </x:row>
    <x:row r="980">
      <x:c r="A980" s="339" t="str">
        <x:v>BR-00979</x:v>
      </x:c>
      <x:c r="B980" s="339" t="str">
        <x:v>Module</x:v>
      </x:c>
      <x:c r="C980" s="339" t="str"/>
      <x:c r="D980" s="339" t="str">
        <x:v>Health / Counselling / Discipline</x:v>
      </x:c>
      <x:c r="E980" s="339" t="str"/>
      <x:c r="F980" s="339" t="str">
        <x:v>Student Health, Counselling &amp; Discipline canonical rule</x:v>
      </x:c>
      <x:c r="G980" s="339" t="str">
        <x:v>Discipline actions require traceable incident facts, action and follow-up; sensitive notes may be separately protected.</x:v>
      </x:c>
      <x:c r="H980" s="339" t="str">
        <x:v>Domain/service layer; database constraints where appropriate; UI mirrors the rule.</x:v>
      </x:c>
      <x:c r="I980" s="339" t="str">
        <x:v>High</x:v>
      </x:c>
      <x:c r="J980" s="339" t="str">
        <x:v>Overrides only if explicitly defined, authorized and audited.</x:v>
      </x:c>
    </x:row>
    <x:row r="981">
      <x:c r="A981" s="339" t="str">
        <x:v>BR-00980</x:v>
      </x:c>
      <x:c r="B981" s="339" t="str">
        <x:v>Module</x:v>
      </x:c>
      <x:c r="C981" s="339" t="str"/>
      <x:c r="D981" s="339" t="str">
        <x:v>Health / Counselling / Discipline</x:v>
      </x:c>
      <x:c r="E981" s="339" t="str"/>
      <x:c r="F981" s="339" t="str">
        <x:v>Student Health, Counselling &amp; Discipline canonical rule</x:v>
      </x:c>
      <x:c r="G981" s="339" t="str">
        <x:v>Health/counselling records must follow configured retention and legal/privacy requirements.</x:v>
      </x:c>
      <x:c r="H981" s="339" t="str">
        <x:v>Domain/service layer; database constraints where appropriate; UI mirrors the rule.</x:v>
      </x:c>
      <x:c r="I981" s="339" t="str">
        <x:v>High</x:v>
      </x:c>
      <x:c r="J981" s="339" t="str">
        <x:v>Overrides only if explicitly defined, authorized and audited.</x:v>
      </x:c>
    </x:row>
    <x:row r="982">
      <x:c r="A982" s="339" t="str">
        <x:v>BR-00981</x:v>
      </x:c>
      <x:c r="B982" s="339" t="str">
        <x:v>Module</x:v>
      </x:c>
      <x:c r="C982" s="339" t="str"/>
      <x:c r="D982" s="339" t="str">
        <x:v>Visitor / Gate / Security</x:v>
      </x:c>
      <x:c r="E982" s="339" t="str"/>
      <x:c r="F982" s="339" t="str">
        <x:v>Visitor, Gate &amp; Security Control canonical rule</x:v>
      </x:c>
      <x:c r="G982" s="339" t="str">
        <x:v>Visitor entry requires the configured identity/purpose/host data before pass issuance.</x:v>
      </x:c>
      <x:c r="H982" s="339" t="str">
        <x:v>Domain/service layer; database constraints where appropriate; UI mirrors the rule.</x:v>
      </x:c>
      <x:c r="I982" s="339" t="str">
        <x:v>High</x:v>
      </x:c>
      <x:c r="J982" s="339" t="str">
        <x:v>Overrides only if explicitly defined, authorized and audited.</x:v>
      </x:c>
    </x:row>
    <x:row r="983">
      <x:c r="A983" s="339" t="str">
        <x:v>BR-00982</x:v>
      </x:c>
      <x:c r="B983" s="339" t="str">
        <x:v>Module</x:v>
      </x:c>
      <x:c r="C983" s="339" t="str"/>
      <x:c r="D983" s="339" t="str">
        <x:v>Visitor / Gate / Security</x:v>
      </x:c>
      <x:c r="E983" s="339" t="str"/>
      <x:c r="F983" s="339" t="str">
        <x:v>Visitor, Gate &amp; Security Control canonical rule</x:v>
      </x:c>
      <x:c r="G983" s="339" t="str">
        <x:v>Restricted visitors or denied approvals cannot be checked in.</x:v>
      </x:c>
      <x:c r="H983" s="339" t="str">
        <x:v>Domain/service layer; database constraints where appropriate; UI mirrors the rule.</x:v>
      </x:c>
      <x:c r="I983" s="339" t="str">
        <x:v>High</x:v>
      </x:c>
      <x:c r="J983" s="339" t="str">
        <x:v>Overrides only if explicitly defined, authorized and audited.</x:v>
      </x:c>
    </x:row>
    <x:row r="984">
      <x:c r="A984" s="339" t="str">
        <x:v>BR-00983</x:v>
      </x:c>
      <x:c r="B984" s="339" t="str">
        <x:v>Module</x:v>
      </x:c>
      <x:c r="C984" s="339" t="str"/>
      <x:c r="D984" s="339" t="str">
        <x:v>Visitor / Gate / Security</x:v>
      </x:c>
      <x:c r="E984" s="339" t="str"/>
      <x:c r="F984" s="339" t="str">
        <x:v>Visitor, Gate &amp; Security Control canonical rule</x:v>
      </x:c>
      <x:c r="G984" s="339" t="str">
        <x:v>Student early pickup requires authorized guardian/approver verification.</x:v>
      </x:c>
      <x:c r="H984" s="339" t="str">
        <x:v>Domain/service layer; database constraints where appropriate; UI mirrors the rule.</x:v>
      </x:c>
      <x:c r="I984" s="339" t="str">
        <x:v>High</x:v>
      </x:c>
      <x:c r="J984" s="339" t="str">
        <x:v>Overrides only if explicitly defined, authorized and audited.</x:v>
      </x:c>
    </x:row>
    <x:row r="985">
      <x:c r="A985" s="339" t="str">
        <x:v>BR-00984</x:v>
      </x:c>
      <x:c r="B985" s="339" t="str">
        <x:v>Module</x:v>
      </x:c>
      <x:c r="C985" s="339" t="str"/>
      <x:c r="D985" s="339" t="str">
        <x:v>Visitor / Gate / Security</x:v>
      </x:c>
      <x:c r="E985" s="339" t="str"/>
      <x:c r="F985" s="339" t="str">
        <x:v>Visitor, Gate &amp; Security Control canonical rule</x:v>
      </x:c>
      <x:c r="G985" s="339" t="str">
        <x:v>Check-out cannot precede check-in and must close the active visit/pass.</x:v>
      </x:c>
      <x:c r="H985" s="339" t="str">
        <x:v>Domain/service layer; database constraints where appropriate; UI mirrors the rule.</x:v>
      </x:c>
      <x:c r="I985" s="339" t="str">
        <x:v>High</x:v>
      </x:c>
      <x:c r="J985" s="339" t="str">
        <x:v>Overrides only if explicitly defined, authorized and audited.</x:v>
      </x:c>
    </x:row>
    <x:row r="986">
      <x:c r="A986" s="339" t="str">
        <x:v>BR-00985</x:v>
      </x:c>
      <x:c r="B986" s="339" t="str">
        <x:v>Module</x:v>
      </x:c>
      <x:c r="C986" s="339" t="str"/>
      <x:c r="D986" s="339" t="str">
        <x:v>Visitor / Gate / Security</x:v>
      </x:c>
      <x:c r="E986" s="339" t="str"/>
      <x:c r="F986" s="339" t="str">
        <x:v>Visitor, Gate &amp; Security Control canonical rule</x:v>
      </x:c>
      <x:c r="G986" s="339" t="str">
        <x:v>Gate/security events are append-only and retained for audit.</x:v>
      </x:c>
      <x:c r="H986" s="339" t="str">
        <x:v>Domain/service layer; database constraints where appropriate; UI mirrors the rule.</x:v>
      </x:c>
      <x:c r="I986" s="339" t="str">
        <x:v>High</x:v>
      </x:c>
      <x:c r="J986" s="339" t="str">
        <x:v>Overrides only if explicitly defined, authorized and audited.</x:v>
      </x:c>
    </x:row>
    <x:row r="987">
      <x:c r="A987" s="339" t="str">
        <x:v>BR-00986</x:v>
      </x:c>
      <x:c r="B987" s="339" t="str">
        <x:v>Module</x:v>
      </x:c>
      <x:c r="C987" s="339" t="str"/>
      <x:c r="D987" s="339" t="str">
        <x:v>Inventory / Assets / Labs</x:v>
      </x:c>
      <x:c r="E987" s="339" t="str"/>
      <x:c r="F987" s="339" t="str">
        <x:v>Inventory, Assets &amp; Laboratory Operations canonical rule</x:v>
      </x:c>
      <x:c r="G987" s="339" t="str">
        <x:v>Available stock cannot fall below zero unless negative stock is explicitly allowed.</x:v>
      </x:c>
      <x:c r="H987" s="339" t="str">
        <x:v>Domain/service layer; database constraints where appropriate; UI mirrors the rule.</x:v>
      </x:c>
      <x:c r="I987" s="339" t="str">
        <x:v>High</x:v>
      </x:c>
      <x:c r="J987" s="339" t="str">
        <x:v>Overrides only if explicitly defined, authorized and audited.</x:v>
      </x:c>
    </x:row>
    <x:row r="988">
      <x:c r="A988" s="339" t="str">
        <x:v>BR-00987</x:v>
      </x:c>
      <x:c r="B988" s="339" t="str">
        <x:v>Module</x:v>
      </x:c>
      <x:c r="C988" s="339" t="str"/>
      <x:c r="D988" s="339" t="str">
        <x:v>Inventory / Assets / Labs</x:v>
      </x:c>
      <x:c r="E988" s="339" t="str"/>
      <x:c r="F988" s="339" t="str">
        <x:v>Inventory, Assets &amp; Laboratory Operations canonical rule</x:v>
      </x:c>
      <x:c r="G988" s="339" t="str">
        <x:v>Serialized assets must have unique asset/serial identifiers.</x:v>
      </x:c>
      <x:c r="H988" s="339" t="str">
        <x:v>Domain/service layer; database constraints where appropriate; UI mirrors the rule.</x:v>
      </x:c>
      <x:c r="I988" s="339" t="str">
        <x:v>High</x:v>
      </x:c>
      <x:c r="J988" s="339" t="str">
        <x:v>Overrides only if explicitly defined, authorized and audited.</x:v>
      </x:c>
    </x:row>
    <x:row r="989">
      <x:c r="A989" s="339" t="str">
        <x:v>BR-00988</x:v>
      </x:c>
      <x:c r="B989" s="339" t="str">
        <x:v>Module</x:v>
      </x:c>
      <x:c r="C989" s="339" t="str"/>
      <x:c r="D989" s="339" t="str">
        <x:v>Inventory / Assets / Labs</x:v>
      </x:c>
      <x:c r="E989" s="339" t="str"/>
      <x:c r="F989" s="339" t="str">
        <x:v>Inventory, Assets &amp; Laboratory Operations canonical rule</x:v>
      </x:c>
      <x:c r="G989" s="339" t="str">
        <x:v>Asset transfer/assignment preserves custody history and current location.</x:v>
      </x:c>
      <x:c r="H989" s="339" t="str">
        <x:v>Domain/service layer; database constraints where appropriate; UI mirrors the rule.</x:v>
      </x:c>
      <x:c r="I989" s="339" t="str">
        <x:v>High</x:v>
      </x:c>
      <x:c r="J989" s="339" t="str">
        <x:v>Overrides only if explicitly defined, authorized and audited.</x:v>
      </x:c>
    </x:row>
    <x:row r="990">
      <x:c r="A990" s="339" t="str">
        <x:v>BR-00989</x:v>
      </x:c>
      <x:c r="B990" s="339" t="str">
        <x:v>Module</x:v>
      </x:c>
      <x:c r="C990" s="339" t="str"/>
      <x:c r="D990" s="339" t="str">
        <x:v>Inventory / Assets / Labs</x:v>
      </x:c>
      <x:c r="E990" s="339" t="str"/>
      <x:c r="F990" s="339" t="str">
        <x:v>Inventory, Assets &amp; Laboratory Operations canonical rule</x:v>
      </x:c>
      <x:c r="G990" s="339" t="str">
        <x:v>Stock write-offs, disposals and high-value transfers require configured authorization.</x:v>
      </x:c>
      <x:c r="H990" s="339" t="str">
        <x:v>Domain/service layer; database constraints where appropriate; UI mirrors the rule.</x:v>
      </x:c>
      <x:c r="I990" s="339" t="str">
        <x:v>High</x:v>
      </x:c>
      <x:c r="J990" s="339" t="str">
        <x:v>Overrides only if explicitly defined, authorized and audited.</x:v>
      </x:c>
    </x:row>
    <x:row r="991">
      <x:c r="A991" s="339" t="str">
        <x:v>BR-00990</x:v>
      </x:c>
      <x:c r="B991" s="339" t="str">
        <x:v>Module</x:v>
      </x:c>
      <x:c r="C991" s="339" t="str"/>
      <x:c r="D991" s="339" t="str">
        <x:v>Inventory / Assets / Labs</x:v>
      </x:c>
      <x:c r="E991" s="339" t="str"/>
      <x:c r="F991" s="339" t="str">
        <x:v>Inventory, Assets &amp; Laboratory Operations canonical rule</x:v>
      </x:c>
      <x:c r="G991" s="339" t="str">
        <x:v>Lab bookings cannot exceed resource availability or overlap conflicting reservations.</x:v>
      </x:c>
      <x:c r="H991" s="339" t="str">
        <x:v>Domain/service layer; database constraints where appropriate; UI mirrors the rule.</x:v>
      </x:c>
      <x:c r="I991" s="339" t="str">
        <x:v>High</x:v>
      </x:c>
      <x:c r="J991" s="339" t="str">
        <x:v>Overrides only if explicitly defined, authorized and audited.</x:v>
      </x:c>
    </x:row>
    <x:row r="992">
      <x:c r="A992" s="339" t="str">
        <x:v>BR-00991</x:v>
      </x:c>
      <x:c r="B992" s="339" t="str">
        <x:v>Module</x:v>
      </x:c>
      <x:c r="C992" s="339" t="str"/>
      <x:c r="D992" s="339" t="str">
        <x:v>Events / PTM / Communication</x:v>
      </x:c>
      <x:c r="E992" s="339" t="str"/>
      <x:c r="F992" s="339" t="str">
        <x:v>Events, PTM &amp; School Communication canonical rule</x:v>
      </x:c>
      <x:c r="G992" s="339" t="str">
        <x:v>Recipients are resolved from current role/class/section relationships at send time or from an approved frozen audience snapshot.</x:v>
      </x:c>
      <x:c r="H992" s="339" t="str">
        <x:v>Domain/service layer; database constraints where appropriate; UI mirrors the rule.</x:v>
      </x:c>
      <x:c r="I992" s="339" t="str">
        <x:v>High</x:v>
      </x:c>
      <x:c r="J992" s="339" t="str">
        <x:v>Overrides only if explicitly defined, authorized and audited.</x:v>
      </x:c>
    </x:row>
    <x:row r="993">
      <x:c r="A993" s="339" t="str">
        <x:v>BR-00992</x:v>
      </x:c>
      <x:c r="B993" s="339" t="str">
        <x:v>Module</x:v>
      </x:c>
      <x:c r="C993" s="339" t="str"/>
      <x:c r="D993" s="339" t="str">
        <x:v>Events / PTM / Communication</x:v>
      </x:c>
      <x:c r="E993" s="339" t="str"/>
      <x:c r="F993" s="339" t="str">
        <x:v>Events, PTM &amp; School Communication canonical rule</x:v>
      </x:c>
      <x:c r="G993" s="339" t="str">
        <x:v>Sensitive communication is only sent to authorized recipients.</x:v>
      </x:c>
      <x:c r="H993" s="339" t="str">
        <x:v>Domain/service layer; database constraints where appropriate; UI mirrors the rule.</x:v>
      </x:c>
      <x:c r="I993" s="339" t="str">
        <x:v>High</x:v>
      </x:c>
      <x:c r="J993" s="339" t="str">
        <x:v>Overrides only if explicitly defined, authorized and audited.</x:v>
      </x:c>
    </x:row>
    <x:row r="994">
      <x:c r="A994" s="339" t="str">
        <x:v>BR-00993</x:v>
      </x:c>
      <x:c r="B994" s="339" t="str">
        <x:v>Module</x:v>
      </x:c>
      <x:c r="C994" s="339" t="str"/>
      <x:c r="D994" s="339" t="str">
        <x:v>Events / PTM / Communication</x:v>
      </x:c>
      <x:c r="E994" s="339" t="str"/>
      <x:c r="F994" s="339" t="str">
        <x:v>Events, PTM &amp; School Communication canonical rule</x:v>
      </x:c>
      <x:c r="G994" s="339" t="str">
        <x:v>PTM slots cannot be double-booked for the same teacher/parent/student resource.</x:v>
      </x:c>
      <x:c r="H994" s="339" t="str">
        <x:v>Domain/service layer; database constraints where appropriate; UI mirrors the rule.</x:v>
      </x:c>
      <x:c r="I994" s="339" t="str">
        <x:v>High</x:v>
      </x:c>
      <x:c r="J994" s="339" t="str">
        <x:v>Overrides only if explicitly defined, authorized and audited.</x:v>
      </x:c>
    </x:row>
    <x:row r="995">
      <x:c r="A995" s="339" t="str">
        <x:v>BR-00994</x:v>
      </x:c>
      <x:c r="B995" s="339" t="str">
        <x:v>Module</x:v>
      </x:c>
      <x:c r="C995" s="339" t="str"/>
      <x:c r="D995" s="339" t="str">
        <x:v>Events / PTM / Communication</x:v>
      </x:c>
      <x:c r="E995" s="339" t="str"/>
      <x:c r="F995" s="339" t="str">
        <x:v>Events, PTM &amp; School Communication canonical rule</x:v>
      </x:c>
      <x:c r="G995" s="339" t="str">
        <x:v>Scheduled communications honor timezone, channel preferences and quiet-hour policies when configured.</x:v>
      </x:c>
      <x:c r="H995" s="339" t="str">
        <x:v>Domain/service layer; database constraints where appropriate; UI mirrors the rule.</x:v>
      </x:c>
      <x:c r="I995" s="339" t="str">
        <x:v>High</x:v>
      </x:c>
      <x:c r="J995" s="339" t="str">
        <x:v>Overrides only if explicitly defined, authorized and audited.</x:v>
      </x:c>
    </x:row>
    <x:row r="996">
      <x:c r="A996" s="339" t="str">
        <x:v>BR-00995</x:v>
      </x:c>
      <x:c r="B996" s="339" t="str">
        <x:v>Module</x:v>
      </x:c>
      <x:c r="C996" s="339" t="str"/>
      <x:c r="D996" s="339" t="str">
        <x:v>Events / PTM / Communication</x:v>
      </x:c>
      <x:c r="E996" s="339" t="str"/>
      <x:c r="F996" s="339" t="str">
        <x:v>Events, PTM &amp; School Communication canonical rule</x:v>
      </x:c>
      <x:c r="G996" s="339" t="str">
        <x:v>Delivery status and failures are retained for operational follow-up.</x:v>
      </x:c>
      <x:c r="H996" s="339" t="str">
        <x:v>Domain/service layer; database constraints where appropriate; UI mirrors the rule.</x:v>
      </x:c>
      <x:c r="I996" s="339" t="str">
        <x:v>High</x:v>
      </x:c>
      <x:c r="J996" s="339" t="str">
        <x:v>Overrides only if explicitly defined, authorized and audited.</x:v>
      </x:c>
    </x:row>
    <x:row r="997">
      <x:c r="A997" s="339" t="str">
        <x:v>BR-00996</x:v>
      </x:c>
      <x:c r="B997" s="339" t="str">
        <x:v>Module</x:v>
      </x:c>
      <x:c r="C997" s="339" t="str"/>
      <x:c r="D997" s="339" t="str">
        <x:v>Documents &amp; Certificates</x:v>
      </x:c>
      <x:c r="E997" s="339" t="str"/>
      <x:c r="F997" s="339" t="str">
        <x:v>Documents, Verification &amp; Certificates canonical rule</x:v>
      </x:c>
      <x:c r="G997" s="339" t="str">
        <x:v>Document access follows owner, role and document-sensitivity permissions.</x:v>
      </x:c>
      <x:c r="H997" s="339" t="str">
        <x:v>Domain/service layer; database constraints where appropriate; UI mirrors the rule.</x:v>
      </x:c>
      <x:c r="I997" s="339" t="str">
        <x:v>High</x:v>
      </x:c>
      <x:c r="J997" s="339" t="str">
        <x:v>Overrides only if explicitly defined, authorized and audited.</x:v>
      </x:c>
    </x:row>
    <x:row r="998">
      <x:c r="A998" s="339" t="str">
        <x:v>BR-00997</x:v>
      </x:c>
      <x:c r="B998" s="339" t="str">
        <x:v>Module</x:v>
      </x:c>
      <x:c r="C998" s="339" t="str"/>
      <x:c r="D998" s="339" t="str">
        <x:v>Documents &amp; Certificates</x:v>
      </x:c>
      <x:c r="E998" s="339" t="str"/>
      <x:c r="F998" s="339" t="str">
        <x:v>Documents, Verification &amp; Certificates canonical rule</x:v>
      </x:c>
      <x:c r="G998" s="339" t="str">
        <x:v>Verified documents retain verifier/time and cannot silently lose verification evidence.</x:v>
      </x:c>
      <x:c r="H998" s="339" t="str">
        <x:v>Domain/service layer; database constraints where appropriate; UI mirrors the rule.</x:v>
      </x:c>
      <x:c r="I998" s="339" t="str">
        <x:v>High</x:v>
      </x:c>
      <x:c r="J998" s="339" t="str">
        <x:v>Overrides only if explicitly defined, authorized and audited.</x:v>
      </x:c>
    </x:row>
    <x:row r="999">
      <x:c r="A999" s="339" t="str">
        <x:v>BR-00998</x:v>
      </x:c>
      <x:c r="B999" s="339" t="str">
        <x:v>Module</x:v>
      </x:c>
      <x:c r="C999" s="339" t="str"/>
      <x:c r="D999" s="339" t="str">
        <x:v>Documents &amp; Certificates</x:v>
      </x:c>
      <x:c r="E999" s="339" t="str"/>
      <x:c r="F999" s="339" t="str">
        <x:v>Documents, Verification &amp; Certificates canonical rule</x:v>
      </x:c>
      <x:c r="G999" s="339" t="str">
        <x:v>Certificate numbers are unique within the configured template/series scope.</x:v>
      </x:c>
      <x:c r="H999" s="339" t="str">
        <x:v>Domain/service layer; database constraints where appropriate; UI mirrors the rule.</x:v>
      </x:c>
      <x:c r="I999" s="339" t="str">
        <x:v>High</x:v>
      </x:c>
      <x:c r="J999" s="339" t="str">
        <x:v>Overrides only if explicitly defined, authorized and audited.</x:v>
      </x:c>
    </x:row>
    <x:row r="1000">
      <x:c r="A1000" s="339" t="str">
        <x:v>BR-00999</x:v>
      </x:c>
      <x:c r="B1000" s="339" t="str">
        <x:v>Module</x:v>
      </x:c>
      <x:c r="C1000" s="339" t="str"/>
      <x:c r="D1000" s="339" t="str">
        <x:v>Documents &amp; Certificates</x:v>
      </x:c>
      <x:c r="E1000" s="339" t="str"/>
      <x:c r="F1000" s="339" t="str">
        <x:v>Documents, Verification &amp; Certificates canonical rule</x:v>
      </x:c>
      <x:c r="G1000" s="339" t="str">
        <x:v>Generated certificates must use approved templates and snapshot the source data used.</x:v>
      </x:c>
      <x:c r="H1000" s="339" t="str">
        <x:v>Domain/service layer; database constraints where appropriate; UI mirrors the rule.</x:v>
      </x:c>
      <x:c r="I1000" s="339" t="str">
        <x:v>High</x:v>
      </x:c>
      <x:c r="J1000" s="339" t="str">
        <x:v>Overrides only if explicitly defined, authorized and audited.</x:v>
      </x:c>
    </x:row>
    <x:row r="1001">
      <x:c r="A1001" s="339" t="str">
        <x:v>BR-01000</x:v>
      </x:c>
      <x:c r="B1001" s="339" t="str">
        <x:v>Module</x:v>
      </x:c>
      <x:c r="C1001" s="339" t="str"/>
      <x:c r="D1001" s="339" t="str">
        <x:v>Documents &amp; Certificates</x:v>
      </x:c>
      <x:c r="E1001" s="339" t="str"/>
      <x:c r="F1001" s="339" t="str">
        <x:v>Documents, Verification &amp; Certificates canonical rule</x:v>
      </x:c>
      <x:c r="G1001" s="339" t="str">
        <x:v>Expired/replaced documents remain historically traceable where retention requires.</x:v>
      </x:c>
      <x:c r="H1001" s="339" t="str">
        <x:v>Domain/service layer; database constraints where appropriate; UI mirrors the rule.</x:v>
      </x:c>
      <x:c r="I1001" s="339" t="str">
        <x:v>High</x:v>
      </x:c>
      <x:c r="J1001" s="339" t="str">
        <x:v>Overrides only if explicitly defined, authorized and audited.</x:v>
      </x:c>
    </x:row>
    <x:row r="1002">
      <x:c r="A1002" s="339" t="str">
        <x:v>BR-01001</x:v>
      </x:c>
      <x:c r="B1002" s="339" t="str">
        <x:v>Module</x:v>
      </x:c>
      <x:c r="C1002" s="339" t="str"/>
      <x:c r="D1002" s="339" t="str">
        <x:v>Reports &amp; Analytics</x:v>
      </x:c>
      <x:c r="E1002" s="339" t="str"/>
      <x:c r="F1002" s="339" t="str">
        <x:v>Reporting, Analytics &amp; Decision Support canonical rule</x:v>
      </x:c>
      <x:c r="G1002" s="339" t="str">
        <x:v>Reports must enforce the same row-level data scope as transactional screens.</x:v>
      </x:c>
      <x:c r="H1002" s="339" t="str">
        <x:v>Domain/service layer; database constraints where appropriate; UI mirrors the rule.</x:v>
      </x:c>
      <x:c r="I1002" s="339" t="str">
        <x:v>High</x:v>
      </x:c>
      <x:c r="J1002" s="339" t="str">
        <x:v>Overrides only if explicitly defined, authorized and audited.</x:v>
      </x:c>
    </x:row>
    <x:row r="1003">
      <x:c r="A1003" s="339" t="str">
        <x:v>BR-01002</x:v>
      </x:c>
      <x:c r="B1003" s="339" t="str">
        <x:v>Module</x:v>
      </x:c>
      <x:c r="C1003" s="339" t="str"/>
      <x:c r="D1003" s="339" t="str">
        <x:v>Reports &amp; Analytics</x:v>
      </x:c>
      <x:c r="E1003" s="339" t="str"/>
      <x:c r="F1003" s="339" t="str">
        <x:v>Reporting, Analytics &amp; Decision Support canonical rule</x:v>
      </x:c>
      <x:c r="G1003" s="339" t="str">
        <x:v>Metric definitions must be consistent across dashboards and detailed reports.</x:v>
      </x:c>
      <x:c r="H1003" s="339" t="str">
        <x:v>Domain/service layer; database constraints where appropriate; UI mirrors the rule.</x:v>
      </x:c>
      <x:c r="I1003" s="339" t="str">
        <x:v>High</x:v>
      </x:c>
      <x:c r="J1003" s="339" t="str">
        <x:v>Overrides only if explicitly defined, authorized and audited.</x:v>
      </x:c>
    </x:row>
    <x:row r="1004">
      <x:c r="A1004" s="339" t="str">
        <x:v>BR-01003</x:v>
      </x:c>
      <x:c r="B1004" s="339" t="str">
        <x:v>Module</x:v>
      </x:c>
      <x:c r="C1004" s="339" t="str"/>
      <x:c r="D1004" s="339" t="str">
        <x:v>Reports &amp; Analytics</x:v>
      </x:c>
      <x:c r="E1004" s="339" t="str"/>
      <x:c r="F1004" s="339" t="str">
        <x:v>Reporting, Analytics &amp; Decision Support canonical rule</x:v>
      </x:c>
      <x:c r="G1004" s="339" t="str">
        <x:v>Exports must reflect the visible filter scope and include report run context/timestamp where appropriate.</x:v>
      </x:c>
      <x:c r="H1004" s="339" t="str">
        <x:v>Domain/service layer; database constraints where appropriate; UI mirrors the rule.</x:v>
      </x:c>
      <x:c r="I1004" s="339" t="str">
        <x:v>High</x:v>
      </x:c>
      <x:c r="J1004" s="339" t="str">
        <x:v>Overrides only if explicitly defined, authorized and audited.</x:v>
      </x:c>
    </x:row>
    <x:row r="1005">
      <x:c r="A1005" s="339" t="str">
        <x:v>BR-01004</x:v>
      </x:c>
      <x:c r="B1005" s="339" t="str">
        <x:v>Module</x:v>
      </x:c>
      <x:c r="C1005" s="339" t="str"/>
      <x:c r="D1005" s="339" t="str">
        <x:v>Reports &amp; Analytics</x:v>
      </x:c>
      <x:c r="E1005" s="339" t="str"/>
      <x:c r="F1005" s="339" t="str">
        <x:v>Reporting, Analytics &amp; Decision Support canonical rule</x:v>
      </x:c>
      <x:c r="G1005" s="339" t="str">
        <x:v>Sensitive columns must be masked/omitted based on role and export permission.</x:v>
      </x:c>
      <x:c r="H1005" s="339" t="str">
        <x:v>Domain/service layer; database constraints where appropriate; UI mirrors the rule.</x:v>
      </x:c>
      <x:c r="I1005" s="339" t="str">
        <x:v>High</x:v>
      </x:c>
      <x:c r="J1005" s="339" t="str">
        <x:v>Overrides only if explicitly defined, authorized and audited.</x:v>
      </x:c>
    </x:row>
    <x:row r="1006">
      <x:c r="A1006" s="339" t="str">
        <x:v>BR-01005</x:v>
      </x:c>
      <x:c r="B1006" s="339" t="str">
        <x:v>Module</x:v>
      </x:c>
      <x:c r="C1006" s="339" t="str"/>
      <x:c r="D1006" s="339" t="str">
        <x:v>Reports &amp; Analytics</x:v>
      </x:c>
      <x:c r="E1006" s="339" t="str"/>
      <x:c r="F1006" s="339" t="str">
        <x:v>Reporting, Analytics &amp; Decision Support canonical rule</x:v>
      </x:c>
      <x:c r="G1006" s="339" t="str">
        <x:v>Custom reports cannot bypass tenant isolation or security policies.</x:v>
      </x:c>
      <x:c r="H1006" s="339" t="str">
        <x:v>Domain/service layer; database constraints where appropriate; UI mirrors the rule.</x:v>
      </x:c>
      <x:c r="I1006" s="339" t="str">
        <x:v>High</x:v>
      </x:c>
      <x:c r="J1006" s="339" t="str">
        <x:v>Overrides only if explicitly defined, authorized and audited.</x:v>
      </x:c>
    </x:row>
    <x:row r="1007">
      <x:c r="A1007" s="339" t="str">
        <x:v>BR-01006</x:v>
      </x:c>
      <x:c r="B1007" s="339" t="str">
        <x:v>Module</x:v>
      </x:c>
      <x:c r="C1007" s="339" t="str"/>
      <x:c r="D1007" s="339" t="str">
        <x:v>Settings / Roles / Permissions / Audit</x:v>
      </x:c>
      <x:c r="E1007" s="339" t="str"/>
      <x:c r="F1007" s="339" t="str">
        <x:v>Security, RBAC, Settings &amp; Audit canonical rule</x:v>
      </x:c>
      <x:c r="G1007" s="339" t="str">
        <x:v>Access is deny-by-default and granted explicitly through roles/scopes.</x:v>
      </x:c>
      <x:c r="H1007" s="339" t="str">
        <x:v>Domain/service layer; database constraints where appropriate; UI mirrors the rule.</x:v>
      </x:c>
      <x:c r="I1007" s="339" t="str">
        <x:v>High</x:v>
      </x:c>
      <x:c r="J1007" s="339" t="str">
        <x:v>Overrides only if explicitly defined, authorized and audited.</x:v>
      </x:c>
    </x:row>
    <x:row r="1008">
      <x:c r="A1008" s="339" t="str">
        <x:v>BR-01007</x:v>
      </x:c>
      <x:c r="B1008" s="339" t="str">
        <x:v>Module</x:v>
      </x:c>
      <x:c r="C1008" s="339" t="str"/>
      <x:c r="D1008" s="339" t="str">
        <x:v>Settings / Roles / Permissions / Audit</x:v>
      </x:c>
      <x:c r="E1008" s="339" t="str"/>
      <x:c r="F1008" s="339" t="str">
        <x:v>Security, RBAC, Settings &amp; Audit canonical rule</x:v>
      </x:c>
      <x:c r="G1008" s="339" t="str">
        <x:v>High-risk permission changes require audit logging and may require step-up approval.</x:v>
      </x:c>
      <x:c r="H1008" s="339" t="str">
        <x:v>Domain/service layer; database constraints where appropriate; UI mirrors the rule.</x:v>
      </x:c>
      <x:c r="I1008" s="339" t="str">
        <x:v>High</x:v>
      </x:c>
      <x:c r="J1008" s="339" t="str">
        <x:v>Overrides only if explicitly defined, authorized and audited.</x:v>
      </x:c>
    </x:row>
    <x:row r="1009">
      <x:c r="A1009" s="339" t="str">
        <x:v>BR-01008</x:v>
      </x:c>
      <x:c r="B1009" s="339" t="str">
        <x:v>Module</x:v>
      </x:c>
      <x:c r="C1009" s="339" t="str"/>
      <x:c r="D1009" s="339" t="str">
        <x:v>Settings / Roles / Permissions / Audit</x:v>
      </x:c>
      <x:c r="E1009" s="339" t="str"/>
      <x:c r="F1009" s="339" t="str">
        <x:v>Security, RBAC, Settings &amp; Audit canonical rule</x:v>
      </x:c>
      <x:c r="G1009" s="339" t="str">
        <x:v>A user cannot grant permissions beyond their own authorized administration scope.</x:v>
      </x:c>
      <x:c r="H1009" s="339" t="str">
        <x:v>Domain/service layer; database constraints where appropriate; UI mirrors the rule.</x:v>
      </x:c>
      <x:c r="I1009" s="339" t="str">
        <x:v>High</x:v>
      </x:c>
      <x:c r="J1009" s="339" t="str">
        <x:v>Overrides only if explicitly defined, authorized and audited.</x:v>
      </x:c>
    </x:row>
    <x:row r="1010">
      <x:c r="A1010" s="339" t="str">
        <x:v>BR-01009</x:v>
      </x:c>
      <x:c r="B1010" s="339" t="str">
        <x:v>Module</x:v>
      </x:c>
      <x:c r="C1010" s="339" t="str"/>
      <x:c r="D1010" s="339" t="str">
        <x:v>Settings / Roles / Permissions / Audit</x:v>
      </x:c>
      <x:c r="E1010" s="339" t="str"/>
      <x:c r="F1010" s="339" t="str">
        <x:v>Security, RBAC, Settings &amp; Audit canonical rule</x:v>
      </x:c>
      <x:c r="G1010" s="339" t="str">
        <x:v>Security/integration secrets are never displayed or logged in plain text after storage.</x:v>
      </x:c>
      <x:c r="H1010" s="339" t="str">
        <x:v>Domain/service layer; database constraints where appropriate; UI mirrors the rule.</x:v>
      </x:c>
      <x:c r="I1010" s="339" t="str">
        <x:v>High</x:v>
      </x:c>
      <x:c r="J1010" s="339" t="str">
        <x:v>Overrides only if explicitly defined, authorized and audited.</x:v>
      </x:c>
    </x:row>
    <x:row r="1011">
      <x:c r="A1011" s="340" t="str">
        <x:v>BR-01010</x:v>
      </x:c>
      <x:c r="B1011" s="340" t="str">
        <x:v>Module</x:v>
      </x:c>
      <x:c r="C1011" s="340" t="str"/>
      <x:c r="D1011" s="340" t="str">
        <x:v>Settings / Roles / Permissions / Audit</x:v>
      </x:c>
      <x:c r="E1011" s="340" t="str"/>
      <x:c r="F1011" s="340" t="str">
        <x:v>Security, RBAC, Settings &amp; Audit canonical rule</x:v>
      </x:c>
      <x:c r="G1011" s="340" t="str">
        <x:v>Audit records are append-only and include actor, action, target, time and relevant context.</x:v>
      </x:c>
      <x:c r="H1011" s="340" t="str">
        <x:v>Domain/service layer; database constraints where appropriate; UI mirrors the rule.</x:v>
      </x:c>
      <x:c r="I1011" s="340" t="str">
        <x:v>High</x:v>
      </x:c>
      <x:c r="J1011" s="340" t="str">
        <x:v>Overrides only if explicitly defined, authorized and audited.</x:v>
      </x:c>
    </x:row>
  </x:sheetData>
  <x:conditionalFormatting sqref="I2:I1011">
    <x:cfRule type="expression" dxfId="15" priority="1">
      <x:formula>I2="High"</x:formula>
    </x:cfRule>
    <x:cfRule type="expression" dxfId="16" priority="2">
      <x:formula>I2="Medium"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dca01a2709c4cfe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1" hidden="0" customWidth="1"/>
    <x:col min="3" max="3" width="28" hidden="0" customWidth="1"/>
    <x:col min="4" max="4" width="30" hidden="0" customWidth="1"/>
    <x:col min="5" max="5" width="24" hidden="0" customWidth="1"/>
    <x:col min="6" max="6" width="62" hidden="0" customWidth="1"/>
    <x:col min="7" max="7" width="56" hidden="0" customWidth="1"/>
    <x:col min="8" max="8" width="34" hidden="0" customWidth="1"/>
    <x:col min="9" max="9" width="50" hidden="0" customWidth="1"/>
    <x:col min="10" max="10" width="42" hidden="0" customWidth="1"/>
  </x:cols>
  <x:sheetData>
    <x:row r="1" ht="30" customHeight="1">
      <x:c r="A1" s="338" t="str">
        <x:v>Workflow ID</x:v>
      </x:c>
      <x:c r="B1" s="338" t="str">
        <x:v>Screen ID</x:v>
      </x:c>
      <x:c r="C1" s="338" t="str">
        <x:v>Module</x:v>
      </x:c>
      <x:c r="D1" s="338" t="str">
        <x:v>Screen Name</x:v>
      </x:c>
      <x:c r="E1" s="338" t="str">
        <x:v>Start State</x:v>
      </x:c>
      <x:c r="F1" s="338" t="str">
        <x:v>Allowed States / Path</x:v>
      </x:c>
      <x:c r="G1" s="338" t="str">
        <x:v>Transition Rules</x:v>
      </x:c>
      <x:c r="H1" s="338" t="str">
        <x:v>Approver / Authority</x:v>
      </x:c>
      <x:c r="I1" s="338" t="str">
        <x:v>Reopen / Reversal Rules</x:v>
      </x:c>
      <x:c r="J1" s="338" t="str">
        <x:v>SLA / Timing</x:v>
      </x:c>
    </x:row>
    <x:row r="2">
      <x:c r="A2" s="339" t="str">
        <x:v>WF-001</x:v>
      </x:c>
      <x:c r="B2" s="339" t="str">
        <x:v>SCR-001</x:v>
      </x:c>
      <x:c r="C2" s="339" t="str">
        <x:v>Public Website &amp; Authentication</x:v>
      </x:c>
      <x:c r="D2" s="339" t="str">
        <x:v>Landing / Home</x:v>
      </x:c>
      <x:c r="E2" s="339" t="str">
        <x:v>Unauthenticated</x:v>
      </x:c>
      <x:c r="F2" s="339" t="str">
        <x:v>Unauthenticated → Authenticated / Locked / Expired</x:v>
      </x:c>
      <x:c r="G2" s="339" t="str">
        <x:v>Only transitions valid for the current state, role, effective dates and prerequisites are accepted.</x:v>
      </x:c>
      <x:c r="H2" s="339" t="str">
        <x:v>As defined by Primary Roles / configured approval hierarchy</x:v>
      </x:c>
      <x:c r="I2" s="339" t="str">
        <x:v>Reopen/reversal uses an explicit controlled action with reason; never silently rewrite finalized history.</x:v>
      </x:c>
      <x:c r="J2" s="339" t="str">
        <x:v>Use school-configured cutoffs/SLAs; time-sensitive operations use school timezone.</x:v>
      </x:c>
    </x:row>
    <x:row r="3">
      <x:c r="A3" s="339" t="str">
        <x:v>WF-002</x:v>
      </x:c>
      <x:c r="B3" s="339" t="str">
        <x:v>SCR-002</x:v>
      </x:c>
      <x:c r="C3" s="339" t="str">
        <x:v>Public Website &amp; Authentication</x:v>
      </x:c>
      <x:c r="D3" s="339" t="str">
        <x:v>Workspace / Role Selection</x:v>
      </x:c>
      <x:c r="E3" s="339" t="str">
        <x:v>Unauthenticated</x:v>
      </x:c>
      <x:c r="F3" s="339" t="str">
        <x:v>Unauthenticated → Authenticated / Locked / Expired</x:v>
      </x:c>
      <x:c r="G3" s="339" t="str">
        <x:v>Only transitions valid for the current state, role, effective dates and prerequisites are accepted.</x:v>
      </x:c>
      <x:c r="H3" s="339" t="str">
        <x:v>As defined by Primary Roles / configured approval hierarchy</x:v>
      </x:c>
      <x:c r="I3" s="339" t="str">
        <x:v>Reopen/reversal uses an explicit controlled action with reason; never silently rewrite finalized history.</x:v>
      </x:c>
      <x:c r="J3" s="339" t="str">
        <x:v>Use school-configured cutoffs/SLAs; time-sensitive operations use school timezone.</x:v>
      </x:c>
    </x:row>
    <x:row r="4">
      <x:c r="A4" s="339" t="str">
        <x:v>WF-003</x:v>
      </x:c>
      <x:c r="B4" s="339" t="str">
        <x:v>SCR-003</x:v>
      </x:c>
      <x:c r="C4" s="339" t="str">
        <x:v>Public Website &amp; Authentication</x:v>
      </x:c>
      <x:c r="D4" s="339" t="str">
        <x:v>Sign In</x:v>
      </x:c>
      <x:c r="E4" s="339" t="str">
        <x:v>Unauthenticated</x:v>
      </x:c>
      <x:c r="F4" s="339" t="str">
        <x:v>Unauthenticated → Authenticated / Locked / Expired</x:v>
      </x:c>
      <x:c r="G4" s="339" t="str">
        <x:v>Only transitions valid for the current state, role, effective dates and prerequisites are accepted.</x:v>
      </x:c>
      <x:c r="H4" s="339" t="str">
        <x:v>As defined by Primary Roles / configured approval hierarchy</x:v>
      </x:c>
      <x:c r="I4" s="339" t="str">
        <x:v>Reopen/reversal uses an explicit controlled action with reason; never silently rewrite finalized history.</x:v>
      </x:c>
      <x:c r="J4" s="339" t="str">
        <x:v>Use school-configured cutoffs/SLAs; time-sensitive operations use school timezone.</x:v>
      </x:c>
    </x:row>
    <x:row r="5">
      <x:c r="A5" s="339" t="str">
        <x:v>WF-004</x:v>
      </x:c>
      <x:c r="B5" s="339" t="str">
        <x:v>SCR-004</x:v>
      </x:c>
      <x:c r="C5" s="339" t="str">
        <x:v>Public Website &amp; Authentication</x:v>
      </x:c>
      <x:c r="D5" s="339" t="str">
        <x:v>Forgot Password</x:v>
      </x:c>
      <x:c r="E5" s="339" t="str">
        <x:v>Unauthenticated</x:v>
      </x:c>
      <x:c r="F5" s="339" t="str">
        <x:v>Unauthenticated → Authenticated / Locked / Expired</x:v>
      </x:c>
      <x:c r="G5" s="339" t="str">
        <x:v>Only transitions valid for the current state, role, effective dates and prerequisites are accepted.</x:v>
      </x:c>
      <x:c r="H5" s="339" t="str">
        <x:v>As defined by Primary Roles / configured approval hierarchy</x:v>
      </x:c>
      <x:c r="I5" s="339" t="str">
        <x:v>Reopen/reversal uses an explicit controlled action with reason; never silently rewrite finalized history.</x:v>
      </x:c>
      <x:c r="J5" s="339" t="str">
        <x:v>Use school-configured cutoffs/SLAs; time-sensitive operations use school timezone.</x:v>
      </x:c>
    </x:row>
    <x:row r="6">
      <x:c r="A6" s="339" t="str">
        <x:v>WF-005</x:v>
      </x:c>
      <x:c r="B6" s="339" t="str">
        <x:v>SCR-005</x:v>
      </x:c>
      <x:c r="C6" s="339" t="str">
        <x:v>Public Website &amp; Authentication</x:v>
      </x:c>
      <x:c r="D6" s="339" t="str">
        <x:v>Reset Password</x:v>
      </x:c>
      <x:c r="E6" s="339" t="str">
        <x:v>Unauthenticated</x:v>
      </x:c>
      <x:c r="F6" s="339" t="str">
        <x:v>Unauthenticated → Authenticated / Locked / Expired</x:v>
      </x:c>
      <x:c r="G6" s="339" t="str">
        <x:v>Only transitions valid for the current state, role, effective dates and prerequisites are accepted.</x:v>
      </x:c>
      <x:c r="H6" s="339" t="str">
        <x:v>As defined by Primary Roles / configured approval hierarchy</x:v>
      </x:c>
      <x:c r="I6" s="339" t="str">
        <x:v>Reopen/reversal uses an explicit controlled action with reason; never silently rewrite finalized history.</x:v>
      </x:c>
      <x:c r="J6" s="339" t="str">
        <x:v>Use school-configured cutoffs/SLAs; time-sensitive operations use school timezone.</x:v>
      </x:c>
    </x:row>
    <x:row r="7">
      <x:c r="A7" s="339" t="str">
        <x:v>WF-006</x:v>
      </x:c>
      <x:c r="B7" s="339" t="str">
        <x:v>SCR-006</x:v>
      </x:c>
      <x:c r="C7" s="339" t="str">
        <x:v>Public Website &amp; Authentication</x:v>
      </x:c>
      <x:c r="D7" s="339" t="str">
        <x:v>OTP / Two-Factor Verification</x:v>
      </x:c>
      <x:c r="E7" s="339" t="str">
        <x:v>Unauthenticated</x:v>
      </x:c>
      <x:c r="F7" s="339" t="str">
        <x:v>Unauthenticated → Authenticated / Locked / Expired</x:v>
      </x:c>
      <x:c r="G7" s="339" t="str">
        <x:v>Only transitions valid for the current state, role, effective dates and prerequisites are accepted.</x:v>
      </x:c>
      <x:c r="H7" s="339" t="str">
        <x:v>As defined by Primary Roles / configured approval hierarchy</x:v>
      </x:c>
      <x:c r="I7" s="339" t="str">
        <x:v>Reopen/reversal uses an explicit controlled action with reason; never silently rewrite finalized history.</x:v>
      </x:c>
      <x:c r="J7" s="339" t="str">
        <x:v>Use school-configured cutoffs/SLAs; time-sensitive operations use school timezone.</x:v>
      </x:c>
    </x:row>
    <x:row r="8">
      <x:c r="A8" s="339" t="str">
        <x:v>WF-007</x:v>
      </x:c>
      <x:c r="B8" s="339" t="str">
        <x:v>SCR-007</x:v>
      </x:c>
      <x:c r="C8" s="339" t="str">
        <x:v>Public Website &amp; Authentication</x:v>
      </x:c>
      <x:c r="D8" s="339" t="str">
        <x:v>First Login / Change Password</x:v>
      </x:c>
      <x:c r="E8" s="339" t="str">
        <x:v>Unauthenticated</x:v>
      </x:c>
      <x:c r="F8" s="339" t="str">
        <x:v>Unauthenticated → Authenticated / Locked / Expired</x:v>
      </x:c>
      <x:c r="G8" s="339" t="str">
        <x:v>Only transitions valid for the current state, role, effective dates and prerequisites are accepted.</x:v>
      </x:c>
      <x:c r="H8" s="339" t="str">
        <x:v>As defined by Primary Roles / configured approval hierarchy</x:v>
      </x:c>
      <x:c r="I8" s="339" t="str">
        <x:v>Reopen/reversal uses an explicit controlled action with reason; never silently rewrite finalized history.</x:v>
      </x:c>
      <x:c r="J8" s="339" t="str">
        <x:v>Use school-configured cutoffs/SLAs; time-sensitive operations use school timezone.</x:v>
      </x:c>
    </x:row>
    <x:row r="9">
      <x:c r="A9" s="339" t="str">
        <x:v>WF-008</x:v>
      </x:c>
      <x:c r="B9" s="339" t="str">
        <x:v>SCR-008</x:v>
      </x:c>
      <x:c r="C9" s="339" t="str">
        <x:v>Public Website &amp; Authentication</x:v>
      </x:c>
      <x:c r="D9" s="339" t="str">
        <x:v>Access Denied / Session Expired</x:v>
      </x:c>
      <x:c r="E9" s="339" t="str">
        <x:v>Unauthenticated</x:v>
      </x:c>
      <x:c r="F9" s="339" t="str">
        <x:v>Unauthenticated → Authenticated / Locked / Expired</x:v>
      </x:c>
      <x:c r="G9" s="339" t="str">
        <x:v>Only transitions valid for the current state, role, effective dates and prerequisites are accepted.</x:v>
      </x:c>
      <x:c r="H9" s="339" t="str">
        <x:v>As defined by Primary Roles / configured approval hierarchy</x:v>
      </x:c>
      <x:c r="I9" s="339" t="str">
        <x:v>Reopen/reversal uses an explicit controlled action with reason; never silently rewrite finalized history.</x:v>
      </x:c>
      <x:c r="J9" s="339" t="str">
        <x:v>Use school-configured cutoffs/SLAs; time-sensitive operations use school timezone.</x:v>
      </x:c>
    </x:row>
    <x:row r="10">
      <x:c r="A10" s="339" t="str">
        <x:v>WF-009</x:v>
      </x:c>
      <x:c r="B10" s="339" t="str">
        <x:v>SCR-009</x:v>
      </x:c>
      <x:c r="C10" s="339" t="str">
        <x:v>Super Admin / SaaS Administration</x:v>
      </x:c>
      <x:c r="D10" s="339" t="str">
        <x:v>Platform Dashboard</x:v>
      </x:c>
      <x:c r="E10" s="339" t="str">
        <x:v>Trial / Draft</x:v>
      </x:c>
      <x:c r="F10" s="339" t="str">
        <x:v>Trial / Draft → Active → Suspended → Cancelled / Archived</x:v>
      </x:c>
      <x:c r="G10" s="339" t="str">
        <x:v>Only transitions valid for the current state, role, effective dates and prerequisites are accepted.</x:v>
      </x:c>
      <x:c r="H10" s="339" t="str">
        <x:v>As defined by Primary Roles / configured approval hierarchy</x:v>
      </x:c>
      <x:c r="I10" s="339" t="str">
        <x:v>Reopen/reversal uses an explicit controlled action with reason; never silently rewrite finalized history.</x:v>
      </x:c>
      <x:c r="J10" s="339" t="str">
        <x:v>Use school-configured cutoffs/SLAs; time-sensitive operations use school timezone.</x:v>
      </x:c>
    </x:row>
    <x:row r="11">
      <x:c r="A11" s="339" t="str">
        <x:v>WF-010</x:v>
      </x:c>
      <x:c r="B11" s="339" t="str">
        <x:v>SCR-010</x:v>
      </x:c>
      <x:c r="C11" s="339" t="str">
        <x:v>Super Admin / SaaS Administration</x:v>
      </x:c>
      <x:c r="D11" s="339" t="str">
        <x:v>Organizations List</x:v>
      </x:c>
      <x:c r="E11" s="339" t="str">
        <x:v>Trial / Draft</x:v>
      </x:c>
      <x:c r="F11" s="339" t="str">
        <x:v>Trial / Draft → Active → Suspended → Cancelled / Archived</x:v>
      </x:c>
      <x:c r="G11" s="339" t="str">
        <x:v>Only transitions valid for the current state, role, effective dates and prerequisites are accepted.</x:v>
      </x:c>
      <x:c r="H11" s="339" t="str">
        <x:v>As defined by Primary Roles / configured approval hierarchy</x:v>
      </x:c>
      <x:c r="I11" s="339" t="str">
        <x:v>Reopen/reversal uses an explicit controlled action with reason; never silently rewrite finalized history.</x:v>
      </x:c>
      <x:c r="J11" s="339" t="str">
        <x:v>Use school-configured cutoffs/SLAs; time-sensitive operations use school timezone.</x:v>
      </x:c>
    </x:row>
    <x:row r="12">
      <x:c r="A12" s="339" t="str">
        <x:v>WF-011</x:v>
      </x:c>
      <x:c r="B12" s="339" t="str">
        <x:v>SCR-011</x:v>
      </x:c>
      <x:c r="C12" s="339" t="str">
        <x:v>Super Admin / SaaS Administration</x:v>
      </x:c>
      <x:c r="D12" s="339" t="str">
        <x:v>Add Organization</x:v>
      </x:c>
      <x:c r="E12" s="339" t="str">
        <x:v>Trial / Draft</x:v>
      </x:c>
      <x:c r="F12" s="339" t="str">
        <x:v>Trial / Draft → Active → Suspended → Cancelled / Archived</x:v>
      </x:c>
      <x:c r="G12" s="339" t="str">
        <x:v>Only transitions valid for the current state, role, effective dates and prerequisites are accepted.</x:v>
      </x:c>
      <x:c r="H12" s="339" t="str">
        <x:v>As defined by Primary Roles / configured approval hierarchy</x:v>
      </x:c>
      <x:c r="I12" s="339" t="str">
        <x:v>Reopen/reversal uses an explicit controlled action with reason; never silently rewrite finalized history.</x:v>
      </x:c>
      <x:c r="J12" s="339" t="str">
        <x:v>Use school-configured cutoffs/SLAs; time-sensitive operations use school timezone.</x:v>
      </x:c>
    </x:row>
    <x:row r="13">
      <x:c r="A13" s="339" t="str">
        <x:v>WF-012</x:v>
      </x:c>
      <x:c r="B13" s="339" t="str">
        <x:v>SCR-012</x:v>
      </x:c>
      <x:c r="C13" s="339" t="str">
        <x:v>Super Admin / SaaS Administration</x:v>
      </x:c>
      <x:c r="D13" s="339" t="str">
        <x:v>Organization Details</x:v>
      </x:c>
      <x:c r="E13" s="339" t="str">
        <x:v>Trial / Draft</x:v>
      </x:c>
      <x:c r="F13" s="339" t="str">
        <x:v>Trial / Draft → Active → Suspended → Cancelled / Archived</x:v>
      </x:c>
      <x:c r="G13" s="339" t="str">
        <x:v>Only transitions valid for the current state, role, effective dates and prerequisites are accepted.</x:v>
      </x:c>
      <x:c r="H13" s="339" t="str">
        <x:v>As defined by Primary Roles / configured approval hierarchy</x:v>
      </x:c>
      <x:c r="I13" s="339" t="str">
        <x:v>Reopen/reversal uses an explicit controlled action with reason; never silently rewrite finalized history.</x:v>
      </x:c>
      <x:c r="J13" s="339" t="str">
        <x:v>Use school-configured cutoffs/SLAs; time-sensitive operations use school timezone.</x:v>
      </x:c>
    </x:row>
    <x:row r="14">
      <x:c r="A14" s="339" t="str">
        <x:v>WF-013</x:v>
      </x:c>
      <x:c r="B14" s="339" t="str">
        <x:v>SCR-013</x:v>
      </x:c>
      <x:c r="C14" s="339" t="str">
        <x:v>Super Admin / SaaS Administration</x:v>
      </x:c>
      <x:c r="D14" s="339" t="str">
        <x:v>Subscription Plans</x:v>
      </x:c>
      <x:c r="E14" s="339" t="str">
        <x:v>Trial / Draft</x:v>
      </x:c>
      <x:c r="F14" s="339" t="str">
        <x:v>Trial / Draft → Active → Suspended → Cancelled / Archived</x:v>
      </x:c>
      <x:c r="G14" s="339" t="str">
        <x:v>Only transitions valid for the current state, role, effective dates and prerequisites are accepted.</x:v>
      </x:c>
      <x:c r="H14" s="339" t="str">
        <x:v>As defined by Primary Roles / configured approval hierarchy</x:v>
      </x:c>
      <x:c r="I14" s="339" t="str">
        <x:v>Reopen/reversal uses an explicit controlled action with reason; never silently rewrite finalized history.</x:v>
      </x:c>
      <x:c r="J14" s="339" t="str">
        <x:v>Use school-configured cutoffs/SLAs; time-sensitive operations use school timezone.</x:v>
      </x:c>
    </x:row>
    <x:row r="15">
      <x:c r="A15" s="339" t="str">
        <x:v>WF-014</x:v>
      </x:c>
      <x:c r="B15" s="339" t="str">
        <x:v>SCR-014</x:v>
      </x:c>
      <x:c r="C15" s="339" t="str">
        <x:v>Super Admin / SaaS Administration</x:v>
      </x:c>
      <x:c r="D15" s="339" t="str">
        <x:v>Subscriptions &amp; Billing</x:v>
      </x:c>
      <x:c r="E15" s="339" t="str">
        <x:v>Trial / Draft</x:v>
      </x:c>
      <x:c r="F15" s="339" t="str">
        <x:v>Trial / Draft → Active → Suspended → Cancelled / Archived</x:v>
      </x:c>
      <x:c r="G15" s="339" t="str">
        <x:v>Only transitions valid for the current state, role, effective dates and prerequisites are accepted.</x:v>
      </x:c>
      <x:c r="H15" s="339" t="str">
        <x:v>As defined by Primary Roles / configured approval hierarchy</x:v>
      </x:c>
      <x:c r="I15" s="339" t="str">
        <x:v>Reopen/reversal uses an explicit controlled action with reason; never silently rewrite finalized history.</x:v>
      </x:c>
      <x:c r="J15" s="339" t="str">
        <x:v>Use school-configured cutoffs/SLAs; time-sensitive operations use school timezone.</x:v>
      </x:c>
    </x:row>
    <x:row r="16">
      <x:c r="A16" s="339" t="str">
        <x:v>WF-015</x:v>
      </x:c>
      <x:c r="B16" s="339" t="str">
        <x:v>SCR-015</x:v>
      </x:c>
      <x:c r="C16" s="339" t="str">
        <x:v>Super Admin / SaaS Administration</x:v>
      </x:c>
      <x:c r="D16" s="339" t="str">
        <x:v>Tenant Usage &amp; Limits</x:v>
      </x:c>
      <x:c r="E16" s="339" t="str">
        <x:v>Trial / Draft</x:v>
      </x:c>
      <x:c r="F16" s="339" t="str">
        <x:v>Trial / Draft → Active → Suspended → Cancelled / Archived</x:v>
      </x:c>
      <x:c r="G16" s="339" t="str">
        <x:v>Only transitions valid for the current state, role, effective dates and prerequisites are accepted.</x:v>
      </x:c>
      <x:c r="H16" s="339" t="str">
        <x:v>As defined by Primary Roles / configured approval hierarchy</x:v>
      </x:c>
      <x:c r="I16" s="339" t="str">
        <x:v>Reopen/reversal uses an explicit controlled action with reason; never silently rewrite finalized history.</x:v>
      </x:c>
      <x:c r="J16" s="339" t="str">
        <x:v>Use school-configured cutoffs/SLAs; time-sensitive operations use school timezone.</x:v>
      </x:c>
    </x:row>
    <x:row r="17">
      <x:c r="A17" s="339" t="str">
        <x:v>WF-016</x:v>
      </x:c>
      <x:c r="B17" s="339" t="str">
        <x:v>SCR-016</x:v>
      </x:c>
      <x:c r="C17" s="339" t="str">
        <x:v>Super Admin / SaaS Administration</x:v>
      </x:c>
      <x:c r="D17" s="339" t="str">
        <x:v>Platform Users</x:v>
      </x:c>
      <x:c r="E17" s="339" t="str">
        <x:v>Trial / Draft</x:v>
      </x:c>
      <x:c r="F17" s="339" t="str">
        <x:v>Trial / Draft → Active → Suspended → Cancelled / Archived</x:v>
      </x:c>
      <x:c r="G17" s="339" t="str">
        <x:v>Only transitions valid for the current state, role, effective dates and prerequisites are accepted.</x:v>
      </x:c>
      <x:c r="H17" s="339" t="str">
        <x:v>As defined by Primary Roles / configured approval hierarchy</x:v>
      </x:c>
      <x:c r="I17" s="339" t="str">
        <x:v>Reopen/reversal uses an explicit controlled action with reason; never silently rewrite finalized history.</x:v>
      </x:c>
      <x:c r="J17" s="339" t="str">
        <x:v>Use school-configured cutoffs/SLAs; time-sensitive operations use school timezone.</x:v>
      </x:c>
    </x:row>
    <x:row r="18">
      <x:c r="A18" s="339" t="str">
        <x:v>WF-017</x:v>
      </x:c>
      <x:c r="B18" s="339" t="str">
        <x:v>SCR-017</x:v>
      </x:c>
      <x:c r="C18" s="339" t="str">
        <x:v>Super Admin / SaaS Administration</x:v>
      </x:c>
      <x:c r="D18" s="339" t="str">
        <x:v>Support Tickets</x:v>
      </x:c>
      <x:c r="E18" s="339" t="str">
        <x:v>Trial / Draft</x:v>
      </x:c>
      <x:c r="F18" s="339" t="str">
        <x:v>Trial / Draft → Active → Suspended → Cancelled / Archived</x:v>
      </x:c>
      <x:c r="G18" s="339" t="str">
        <x:v>Only transitions valid for the current state, role, effective dates and prerequisites are accepted.</x:v>
      </x:c>
      <x:c r="H18" s="339" t="str">
        <x:v>As defined by Primary Roles / configured approval hierarchy</x:v>
      </x:c>
      <x:c r="I18" s="339" t="str">
        <x:v>Reopen/reversal uses an explicit controlled action with reason; never silently rewrite finalized history.</x:v>
      </x:c>
      <x:c r="J18" s="339" t="str">
        <x:v>Use school-configured cutoffs/SLAs; time-sensitive operations use school timezone.</x:v>
      </x:c>
    </x:row>
    <x:row r="19">
      <x:c r="A19" s="339" t="str">
        <x:v>WF-018</x:v>
      </x:c>
      <x:c r="B19" s="339" t="str">
        <x:v>SCR-018</x:v>
      </x:c>
      <x:c r="C19" s="339" t="str">
        <x:v>Super Admin / SaaS Administration</x:v>
      </x:c>
      <x:c r="D19" s="339" t="str">
        <x:v>System Health &amp; Service Status</x:v>
      </x:c>
      <x:c r="E19" s="339" t="str">
        <x:v>Trial / Draft</x:v>
      </x:c>
      <x:c r="F19" s="339" t="str">
        <x:v>Trial / Draft → Active → Suspended → Cancelled / Archived</x:v>
      </x:c>
      <x:c r="G19" s="339" t="str">
        <x:v>Only transitions valid for the current state, role, effective dates and prerequisites are accepted.</x:v>
      </x:c>
      <x:c r="H19" s="339" t="str">
        <x:v>As defined by Primary Roles / configured approval hierarchy</x:v>
      </x:c>
      <x:c r="I19" s="339" t="str">
        <x:v>Reopen/reversal uses an explicit controlled action with reason; never silently rewrite finalized history.</x:v>
      </x:c>
      <x:c r="J19" s="339" t="str">
        <x:v>Use school-configured cutoffs/SLAs; time-sensitive operations use school timezone.</x:v>
      </x:c>
    </x:row>
    <x:row r="20">
      <x:c r="A20" s="339" t="str">
        <x:v>WF-019</x:v>
      </x:c>
      <x:c r="B20" s="339" t="str">
        <x:v>SCR-019</x:v>
      </x:c>
      <x:c r="C20" s="339" t="str">
        <x:v>Super Admin / SaaS Administration</x:v>
      </x:c>
      <x:c r="D20" s="339" t="str">
        <x:v>Global Announcements</x:v>
      </x:c>
      <x:c r="E20" s="339" t="str">
        <x:v>Trial / Draft</x:v>
      </x:c>
      <x:c r="F20" s="339" t="str">
        <x:v>Trial / Draft → Active → Suspended → Cancelled / Archived</x:v>
      </x:c>
      <x:c r="G20" s="339" t="str">
        <x:v>Only transitions valid for the current state, role, effective dates and prerequisites are accepted.</x:v>
      </x:c>
      <x:c r="H20" s="339" t="str">
        <x:v>As defined by Primary Roles / configured approval hierarchy</x:v>
      </x:c>
      <x:c r="I20" s="339" t="str">
        <x:v>Reopen/reversal uses an explicit controlled action with reason; never silently rewrite finalized history.</x:v>
      </x:c>
      <x:c r="J20" s="339" t="str">
        <x:v>Use school-configured cutoffs/SLAs; time-sensitive operations use school timezone.</x:v>
      </x:c>
    </x:row>
    <x:row r="21">
      <x:c r="A21" s="339" t="str">
        <x:v>WF-020</x:v>
      </x:c>
      <x:c r="B21" s="339" t="str">
        <x:v>SCR-020</x:v>
      </x:c>
      <x:c r="C21" s="339" t="str">
        <x:v>Super Admin / SaaS Administration</x:v>
      </x:c>
      <x:c r="D21" s="339" t="str">
        <x:v>Platform Settings</x:v>
      </x:c>
      <x:c r="E21" s="339" t="str">
        <x:v>Trial / Draft</x:v>
      </x:c>
      <x:c r="F21" s="339" t="str">
        <x:v>Trial / Draft → Active → Suspended → Cancelled / Archived</x:v>
      </x:c>
      <x:c r="G21" s="339" t="str">
        <x:v>Only transitions valid for the current state, role, effective dates and prerequisites are accepted.</x:v>
      </x:c>
      <x:c r="H21" s="339" t="str">
        <x:v>As defined by Primary Roles / configured approval hierarchy</x:v>
      </x:c>
      <x:c r="I21" s="339" t="str">
        <x:v>Reopen/reversal uses an explicit controlled action with reason; never silently rewrite finalized history.</x:v>
      </x:c>
      <x:c r="J21" s="339" t="str">
        <x:v>Use school-configured cutoffs/SLAs; time-sensitive operations use school timezone.</x:v>
      </x:c>
    </x:row>
    <x:row r="22">
      <x:c r="A22" s="339" t="str">
        <x:v>WF-021</x:v>
      </x:c>
      <x:c r="B22" s="339" t="str">
        <x:v>SCR-021</x:v>
      </x:c>
      <x:c r="C22" s="339" t="str">
        <x:v>Organization / School / Branch Setup</x:v>
      </x:c>
      <x:c r="D22" s="339" t="str">
        <x:v>Organization Profile</x:v>
      </x:c>
      <x:c r="E22" s="339" t="str">
        <x:v>Draft</x:v>
      </x:c>
      <x:c r="F22" s="339" t="str">
        <x:v>Draft → Active → Inactive / Archived</x:v>
      </x:c>
      <x:c r="G22" s="339" t="str">
        <x:v>Only transitions valid for the current state, role, effective dates and prerequisites are accepted.</x:v>
      </x:c>
      <x:c r="H22" s="339" t="str">
        <x:v>As defined by Primary Roles / configured approval hierarchy</x:v>
      </x:c>
      <x:c r="I22" s="339" t="str">
        <x:v>Reopen/reversal uses an explicit controlled action with reason; never silently rewrite finalized history.</x:v>
      </x:c>
      <x:c r="J22" s="339" t="str">
        <x:v>Use school-configured cutoffs/SLAs; time-sensitive operations use school timezone.</x:v>
      </x:c>
    </x:row>
    <x:row r="23">
      <x:c r="A23" s="339" t="str">
        <x:v>WF-022</x:v>
      </x:c>
      <x:c r="B23" s="339" t="str">
        <x:v>SCR-022</x:v>
      </x:c>
      <x:c r="C23" s="339" t="str">
        <x:v>Organization / School / Branch Setup</x:v>
      </x:c>
      <x:c r="D23" s="339" t="str">
        <x:v>Schools List</x:v>
      </x:c>
      <x:c r="E23" s="339" t="str">
        <x:v>Draft</x:v>
      </x:c>
      <x:c r="F23" s="339" t="str">
        <x:v>Draft → Active → Inactive / Archived</x:v>
      </x:c>
      <x:c r="G23" s="339" t="str">
        <x:v>Only transitions valid for the current state, role, effective dates and prerequisites are accepted.</x:v>
      </x:c>
      <x:c r="H23" s="339" t="str">
        <x:v>As defined by Primary Roles / configured approval hierarchy</x:v>
      </x:c>
      <x:c r="I23" s="339" t="str">
        <x:v>Reopen/reversal uses an explicit controlled action with reason; never silently rewrite finalized history.</x:v>
      </x:c>
      <x:c r="J23" s="339" t="str">
        <x:v>Use school-configured cutoffs/SLAs; time-sensitive operations use school timezone.</x:v>
      </x:c>
    </x:row>
    <x:row r="24">
      <x:c r="A24" s="339" t="str">
        <x:v>WF-023</x:v>
      </x:c>
      <x:c r="B24" s="339" t="str">
        <x:v>SCR-023</x:v>
      </x:c>
      <x:c r="C24" s="339" t="str">
        <x:v>Organization / School / Branch Setup</x:v>
      </x:c>
      <x:c r="D24" s="339" t="str">
        <x:v>Add School</x:v>
      </x:c>
      <x:c r="E24" s="339" t="str">
        <x:v>Draft</x:v>
      </x:c>
      <x:c r="F24" s="339" t="str">
        <x:v>Draft → Active → Inactive / Archived</x:v>
      </x:c>
      <x:c r="G24" s="339" t="str">
        <x:v>Only transitions valid for the current state, role, effective dates and prerequisites are accepted.</x:v>
      </x:c>
      <x:c r="H24" s="339" t="str">
        <x:v>As defined by Primary Roles / configured approval hierarchy</x:v>
      </x:c>
      <x:c r="I24" s="339" t="str">
        <x:v>Reopen/reversal uses an explicit controlled action with reason; never silently rewrite finalized history.</x:v>
      </x:c>
      <x:c r="J24" s="339" t="str">
        <x:v>Use school-configured cutoffs/SLAs; time-sensitive operations use school timezone.</x:v>
      </x:c>
    </x:row>
    <x:row r="25">
      <x:c r="A25" s="339" t="str">
        <x:v>WF-024</x:v>
      </x:c>
      <x:c r="B25" s="339" t="str">
        <x:v>SCR-024</x:v>
      </x:c>
      <x:c r="C25" s="339" t="str">
        <x:v>Organization / School / Branch Setup</x:v>
      </x:c>
      <x:c r="D25" s="339" t="str">
        <x:v>School Details</x:v>
      </x:c>
      <x:c r="E25" s="339" t="str">
        <x:v>Draft</x:v>
      </x:c>
      <x:c r="F25" s="339" t="str">
        <x:v>Draft → Active → Inactive / Archived</x:v>
      </x:c>
      <x:c r="G25" s="339" t="str">
        <x:v>Only transitions valid for the current state, role, effective dates and prerequisites are accepted.</x:v>
      </x:c>
      <x:c r="H25" s="339" t="str">
        <x:v>As defined by Primary Roles / configured approval hierarchy</x:v>
      </x:c>
      <x:c r="I25" s="339" t="str">
        <x:v>Reopen/reversal uses an explicit controlled action with reason; never silently rewrite finalized history.</x:v>
      </x:c>
      <x:c r="J25" s="339" t="str">
        <x:v>Use school-configured cutoffs/SLAs; time-sensitive operations use school timezone.</x:v>
      </x:c>
    </x:row>
    <x:row r="26">
      <x:c r="A26" s="339" t="str">
        <x:v>WF-025</x:v>
      </x:c>
      <x:c r="B26" s="339" t="str">
        <x:v>SCR-025</x:v>
      </x:c>
      <x:c r="C26" s="339" t="str">
        <x:v>Organization / School / Branch Setup</x:v>
      </x:c>
      <x:c r="D26" s="339" t="str">
        <x:v>Branches List</x:v>
      </x:c>
      <x:c r="E26" s="339" t="str">
        <x:v>Draft</x:v>
      </x:c>
      <x:c r="F26" s="339" t="str">
        <x:v>Draft → Active → Inactive / Archived</x:v>
      </x:c>
      <x:c r="G26" s="339" t="str">
        <x:v>Only transitions valid for the current state, role, effective dates and prerequisites are accepted.</x:v>
      </x:c>
      <x:c r="H26" s="339" t="str">
        <x:v>As defined by Primary Roles / configured approval hierarchy</x:v>
      </x:c>
      <x:c r="I26" s="339" t="str">
        <x:v>Reopen/reversal uses an explicit controlled action with reason; never silently rewrite finalized history.</x:v>
      </x:c>
      <x:c r="J26" s="339" t="str">
        <x:v>Use school-configured cutoffs/SLAs; time-sensitive operations use school timezone.</x:v>
      </x:c>
    </x:row>
    <x:row r="27">
      <x:c r="A27" s="339" t="str">
        <x:v>WF-026</x:v>
      </x:c>
      <x:c r="B27" s="339" t="str">
        <x:v>SCR-026</x:v>
      </x:c>
      <x:c r="C27" s="339" t="str">
        <x:v>Organization / School / Branch Setup</x:v>
      </x:c>
      <x:c r="D27" s="339" t="str">
        <x:v>Add Branch</x:v>
      </x:c>
      <x:c r="E27" s="339" t="str">
        <x:v>Draft</x:v>
      </x:c>
      <x:c r="F27" s="339" t="str">
        <x:v>Draft → Active → Inactive / Archived</x:v>
      </x:c>
      <x:c r="G27" s="339" t="str">
        <x:v>Only transitions valid for the current state, role, effective dates and prerequisites are accepted.</x:v>
      </x:c>
      <x:c r="H27" s="339" t="str">
        <x:v>As defined by Primary Roles / configured approval hierarchy</x:v>
      </x:c>
      <x:c r="I27" s="339" t="str">
        <x:v>Reopen/reversal uses an explicit controlled action with reason; never silently rewrite finalized history.</x:v>
      </x:c>
      <x:c r="J27" s="339" t="str">
        <x:v>Use school-configured cutoffs/SLAs; time-sensitive operations use school timezone.</x:v>
      </x:c>
    </x:row>
    <x:row r="28">
      <x:c r="A28" s="339" t="str">
        <x:v>WF-027</x:v>
      </x:c>
      <x:c r="B28" s="339" t="str">
        <x:v>SCR-027</x:v>
      </x:c>
      <x:c r="C28" s="339" t="str">
        <x:v>Organization / School / Branch Setup</x:v>
      </x:c>
      <x:c r="D28" s="339" t="str">
        <x:v>Branch Details</x:v>
      </x:c>
      <x:c r="E28" s="339" t="str">
        <x:v>Draft</x:v>
      </x:c>
      <x:c r="F28" s="339" t="str">
        <x:v>Draft → Active → Inactive / Archived</x:v>
      </x:c>
      <x:c r="G28" s="339" t="str">
        <x:v>Only transitions valid for the current state, role, effective dates and prerequisites are accepted.</x:v>
      </x:c>
      <x:c r="H28" s="339" t="str">
        <x:v>As defined by Primary Roles / configured approval hierarchy</x:v>
      </x:c>
      <x:c r="I28" s="339" t="str">
        <x:v>Reopen/reversal uses an explicit controlled action with reason; never silently rewrite finalized history.</x:v>
      </x:c>
      <x:c r="J28" s="339" t="str">
        <x:v>Use school-configured cutoffs/SLAs; time-sensitive operations use school timezone.</x:v>
      </x:c>
    </x:row>
    <x:row r="29">
      <x:c r="A29" s="339" t="str">
        <x:v>WF-028</x:v>
      </x:c>
      <x:c r="B29" s="339" t="str">
        <x:v>SCR-028</x:v>
      </x:c>
      <x:c r="C29" s="339" t="str">
        <x:v>Organization / School / Branch Setup</x:v>
      </x:c>
      <x:c r="D29" s="339" t="str">
        <x:v>Academic Year Setup</x:v>
      </x:c>
      <x:c r="E29" s="339" t="str">
        <x:v>Draft</x:v>
      </x:c>
      <x:c r="F29" s="339" t="str">
        <x:v>Draft → Active → Inactive / Archived</x:v>
      </x:c>
      <x:c r="G29" s="339" t="str">
        <x:v>Only transitions valid for the current state, role, effective dates and prerequisites are accepted.</x:v>
      </x:c>
      <x:c r="H29" s="339" t="str">
        <x:v>As defined by Primary Roles / configured approval hierarchy</x:v>
      </x:c>
      <x:c r="I29" s="339" t="str">
        <x:v>Reopen/reversal uses an explicit controlled action with reason; never silently rewrite finalized history.</x:v>
      </x:c>
      <x:c r="J29" s="339" t="str">
        <x:v>Use school-configured cutoffs/SLAs; time-sensitive operations use school timezone.</x:v>
      </x:c>
    </x:row>
    <x:row r="30">
      <x:c r="A30" s="339" t="str">
        <x:v>WF-029</x:v>
      </x:c>
      <x:c r="B30" s="339" t="str">
        <x:v>SCR-029</x:v>
      </x:c>
      <x:c r="C30" s="339" t="str">
        <x:v>Organization / School / Branch Setup</x:v>
      </x:c>
      <x:c r="D30" s="339" t="str">
        <x:v>Grade / Class Setup</x:v>
      </x:c>
      <x:c r="E30" s="339" t="str">
        <x:v>Draft</x:v>
      </x:c>
      <x:c r="F30" s="339" t="str">
        <x:v>Draft → Active → Inactive / Archived</x:v>
      </x:c>
      <x:c r="G30" s="339" t="str">
        <x:v>Only transitions valid for the current state, role, effective dates and prerequisites are accepted.</x:v>
      </x:c>
      <x:c r="H30" s="339" t="str">
        <x:v>As defined by Primary Roles / configured approval hierarchy</x:v>
      </x:c>
      <x:c r="I30" s="339" t="str">
        <x:v>Reopen/reversal uses an explicit controlled action with reason; never silently rewrite finalized history.</x:v>
      </x:c>
      <x:c r="J30" s="339" t="str">
        <x:v>Use school-configured cutoffs/SLAs; time-sensitive operations use school timezone.</x:v>
      </x:c>
    </x:row>
    <x:row r="31">
      <x:c r="A31" s="339" t="str">
        <x:v>WF-030</x:v>
      </x:c>
      <x:c r="B31" s="339" t="str">
        <x:v>SCR-030</x:v>
      </x:c>
      <x:c r="C31" s="339" t="str">
        <x:v>Organization / School / Branch Setup</x:v>
      </x:c>
      <x:c r="D31" s="339" t="str">
        <x:v>Section Setup</x:v>
      </x:c>
      <x:c r="E31" s="339" t="str">
        <x:v>Draft</x:v>
      </x:c>
      <x:c r="F31" s="339" t="str">
        <x:v>Draft → Active → Inactive / Archived</x:v>
      </x:c>
      <x:c r="G31" s="339" t="str">
        <x:v>Only transitions valid for the current state, role, effective dates and prerequisites are accepted.</x:v>
      </x:c>
      <x:c r="H31" s="339" t="str">
        <x:v>As defined by Primary Roles / configured approval hierarchy</x:v>
      </x:c>
      <x:c r="I31" s="339" t="str">
        <x:v>Reopen/reversal uses an explicit controlled action with reason; never silently rewrite finalized history.</x:v>
      </x:c>
      <x:c r="J31" s="339" t="str">
        <x:v>Use school-configured cutoffs/SLAs; time-sensitive operations use school timezone.</x:v>
      </x:c>
    </x:row>
    <x:row r="32">
      <x:c r="A32" s="339" t="str">
        <x:v>WF-031</x:v>
      </x:c>
      <x:c r="B32" s="339" t="str">
        <x:v>SCR-031</x:v>
      </x:c>
      <x:c r="C32" s="339" t="str">
        <x:v>Organization / School / Branch Setup</x:v>
      </x:c>
      <x:c r="D32" s="339" t="str">
        <x:v>Department Setup</x:v>
      </x:c>
      <x:c r="E32" s="339" t="str">
        <x:v>Draft</x:v>
      </x:c>
      <x:c r="F32" s="339" t="str">
        <x:v>Draft → Active → Inactive / Archived</x:v>
      </x:c>
      <x:c r="G32" s="339" t="str">
        <x:v>Only transitions valid for the current state, role, effective dates and prerequisites are accepted.</x:v>
      </x:c>
      <x:c r="H32" s="339" t="str">
        <x:v>As defined by Primary Roles / configured approval hierarchy</x:v>
      </x:c>
      <x:c r="I32" s="339" t="str">
        <x:v>Reopen/reversal uses an explicit controlled action with reason; never silently rewrite finalized history.</x:v>
      </x:c>
      <x:c r="J32" s="339" t="str">
        <x:v>Use school-configured cutoffs/SLAs; time-sensitive operations use school timezone.</x:v>
      </x:c>
    </x:row>
    <x:row r="33">
      <x:c r="A33" s="339" t="str">
        <x:v>WF-032</x:v>
      </x:c>
      <x:c r="B33" s="339" t="str">
        <x:v>SCR-032</x:v>
      </x:c>
      <x:c r="C33" s="339" t="str">
        <x:v>Organization / School / Branch Setup</x:v>
      </x:c>
      <x:c r="D33" s="339" t="str">
        <x:v>School Branding &amp; Profile</x:v>
      </x:c>
      <x:c r="E33" s="339" t="str">
        <x:v>Draft</x:v>
      </x:c>
      <x:c r="F33" s="339" t="str">
        <x:v>Draft → Active → Inactive / Archived</x:v>
      </x:c>
      <x:c r="G33" s="339" t="str">
        <x:v>Only transitions valid for the current state, role, effective dates and prerequisites are accepted.</x:v>
      </x:c>
      <x:c r="H33" s="339" t="str">
        <x:v>As defined by Primary Roles / configured approval hierarchy</x:v>
      </x:c>
      <x:c r="I33" s="339" t="str">
        <x:v>Reopen/reversal uses an explicit controlled action with reason; never silently rewrite finalized history.</x:v>
      </x:c>
      <x:c r="J33" s="339" t="str">
        <x:v>Use school-configured cutoffs/SLAs; time-sensitive operations use school timezone.</x:v>
      </x:c>
    </x:row>
    <x:row r="34">
      <x:c r="A34" s="339" t="str">
        <x:v>WF-033</x:v>
      </x:c>
      <x:c r="B34" s="339" t="str">
        <x:v>SCR-033</x:v>
      </x:c>
      <x:c r="C34" s="339" t="str">
        <x:v>Role Dashboards</x:v>
      </x:c>
      <x:c r="D34" s="339" t="str">
        <x:v>School Admin Dashboard</x:v>
      </x:c>
      <x:c r="E34" s="339" t="str">
        <x:v>Context Selected</x:v>
      </x:c>
      <x:c r="F34" s="339" t="str">
        <x:v>Context Selected → Metrics Loaded → Drill-down / Action</x:v>
      </x:c>
      <x:c r="G34" s="339" t="str">
        <x:v>Only transitions valid for the current state, role, effective dates and prerequisites are accepted.</x:v>
      </x:c>
      <x:c r="H34" s="339" t="str">
        <x:v>As defined by Primary Roles / configured approval hierarchy</x:v>
      </x:c>
      <x:c r="I34" s="339" t="str">
        <x:v>Reopen/reversal uses an explicit controlled action with reason; never silently rewrite finalized history.</x:v>
      </x:c>
      <x:c r="J34" s="339" t="str">
        <x:v>Use school-configured cutoffs/SLAs; time-sensitive operations use school timezone.</x:v>
      </x:c>
    </x:row>
    <x:row r="35">
      <x:c r="A35" s="339" t="str">
        <x:v>WF-034</x:v>
      </x:c>
      <x:c r="B35" s="339" t="str">
        <x:v>SCR-034</x:v>
      </x:c>
      <x:c r="C35" s="339" t="str">
        <x:v>Role Dashboards</x:v>
      </x:c>
      <x:c r="D35" s="339" t="str">
        <x:v>Principal Dashboard</x:v>
      </x:c>
      <x:c r="E35" s="339" t="str">
        <x:v>Context Selected</x:v>
      </x:c>
      <x:c r="F35" s="339" t="str">
        <x:v>Context Selected → Metrics Loaded → Drill-down / Action</x:v>
      </x:c>
      <x:c r="G35" s="339" t="str">
        <x:v>Only transitions valid for the current state, role, effective dates and prerequisites are accepted.</x:v>
      </x:c>
      <x:c r="H35" s="339" t="str">
        <x:v>As defined by Primary Roles / configured approval hierarchy</x:v>
      </x:c>
      <x:c r="I35" s="339" t="str">
        <x:v>Reopen/reversal uses an explicit controlled action with reason; never silently rewrite finalized history.</x:v>
      </x:c>
      <x:c r="J35" s="339" t="str">
        <x:v>Use school-configured cutoffs/SLAs; time-sensitive operations use school timezone.</x:v>
      </x:c>
    </x:row>
    <x:row r="36">
      <x:c r="A36" s="339" t="str">
        <x:v>WF-035</x:v>
      </x:c>
      <x:c r="B36" s="339" t="str">
        <x:v>SCR-035</x:v>
      </x:c>
      <x:c r="C36" s="339" t="str">
        <x:v>Role Dashboards</x:v>
      </x:c>
      <x:c r="D36" s="339" t="str">
        <x:v>Teacher Dashboard</x:v>
      </x:c>
      <x:c r="E36" s="339" t="str">
        <x:v>Context Selected</x:v>
      </x:c>
      <x:c r="F36" s="339" t="str">
        <x:v>Context Selected → Metrics Loaded → Drill-down / Action</x:v>
      </x:c>
      <x:c r="G36" s="339" t="str">
        <x:v>Only transitions valid for the current state, role, effective dates and prerequisites are accepted.</x:v>
      </x:c>
      <x:c r="H36" s="339" t="str">
        <x:v>As defined by Primary Roles / configured approval hierarchy</x:v>
      </x:c>
      <x:c r="I36" s="339" t="str">
        <x:v>Reopen/reversal uses an explicit controlled action with reason; never silently rewrite finalized history.</x:v>
      </x:c>
      <x:c r="J36" s="339" t="str">
        <x:v>Use school-configured cutoffs/SLAs; time-sensitive operations use school timezone.</x:v>
      </x:c>
    </x:row>
    <x:row r="37">
      <x:c r="A37" s="339" t="str">
        <x:v>WF-036</x:v>
      </x:c>
      <x:c r="B37" s="339" t="str">
        <x:v>SCR-036</x:v>
      </x:c>
      <x:c r="C37" s="339" t="str">
        <x:v>Role Dashboards</x:v>
      </x:c>
      <x:c r="D37" s="339" t="str">
        <x:v>Student Dashboard</x:v>
      </x:c>
      <x:c r="E37" s="339" t="str">
        <x:v>Context Selected</x:v>
      </x:c>
      <x:c r="F37" s="339" t="str">
        <x:v>Context Selected → Metrics Loaded → Drill-down / Action</x:v>
      </x:c>
      <x:c r="G37" s="339" t="str">
        <x:v>Only transitions valid for the current state, role, effective dates and prerequisites are accepted.</x:v>
      </x:c>
      <x:c r="H37" s="339" t="str">
        <x:v>As defined by Primary Roles / configured approval hierarchy</x:v>
      </x:c>
      <x:c r="I37" s="339" t="str">
        <x:v>Reopen/reversal uses an explicit controlled action with reason; never silently rewrite finalized history.</x:v>
      </x:c>
      <x:c r="J37" s="339" t="str">
        <x:v>Use school-configured cutoffs/SLAs; time-sensitive operations use school timezone.</x:v>
      </x:c>
    </x:row>
    <x:row r="38">
      <x:c r="A38" s="339" t="str">
        <x:v>WF-037</x:v>
      </x:c>
      <x:c r="B38" s="339" t="str">
        <x:v>SCR-037</x:v>
      </x:c>
      <x:c r="C38" s="339" t="str">
        <x:v>Role Dashboards</x:v>
      </x:c>
      <x:c r="D38" s="339" t="str">
        <x:v>Parent Dashboard</x:v>
      </x:c>
      <x:c r="E38" s="339" t="str">
        <x:v>Context Selected</x:v>
      </x:c>
      <x:c r="F38" s="339" t="str">
        <x:v>Context Selected → Metrics Loaded → Drill-down / Action</x:v>
      </x:c>
      <x:c r="G38" s="339" t="str">
        <x:v>Only transitions valid for the current state, role, effective dates and prerequisites are accepted.</x:v>
      </x:c>
      <x:c r="H38" s="339" t="str">
        <x:v>As defined by Primary Roles / configured approval hierarchy</x:v>
      </x:c>
      <x:c r="I38" s="339" t="str">
        <x:v>Reopen/reversal uses an explicit controlled action with reason; never silently rewrite finalized history.</x:v>
      </x:c>
      <x:c r="J38" s="339" t="str">
        <x:v>Use school-configured cutoffs/SLAs; time-sensitive operations use school timezone.</x:v>
      </x:c>
    </x:row>
    <x:row r="39">
      <x:c r="A39" s="339" t="str">
        <x:v>WF-038</x:v>
      </x:c>
      <x:c r="B39" s="339" t="str">
        <x:v>SCR-038</x:v>
      </x:c>
      <x:c r="C39" s="339" t="str">
        <x:v>Role Dashboards</x:v>
      </x:c>
      <x:c r="D39" s="339" t="str">
        <x:v>Accountant Dashboard</x:v>
      </x:c>
      <x:c r="E39" s="339" t="str">
        <x:v>Context Selected</x:v>
      </x:c>
      <x:c r="F39" s="339" t="str">
        <x:v>Context Selected → Metrics Loaded → Drill-down / Action</x:v>
      </x:c>
      <x:c r="G39" s="339" t="str">
        <x:v>Only transitions valid for the current state, role, effective dates and prerequisites are accepted.</x:v>
      </x:c>
      <x:c r="H39" s="339" t="str">
        <x:v>As defined by Primary Roles / configured approval hierarchy</x:v>
      </x:c>
      <x:c r="I39" s="339" t="str">
        <x:v>Reopen/reversal uses an explicit controlled action with reason; never silently rewrite finalized history.</x:v>
      </x:c>
      <x:c r="J39" s="339" t="str">
        <x:v>Use school-configured cutoffs/SLAs; time-sensitive operations use school timezone.</x:v>
      </x:c>
    </x:row>
    <x:row r="40">
      <x:c r="A40" s="339" t="str">
        <x:v>WF-039</x:v>
      </x:c>
      <x:c r="B40" s="339" t="str">
        <x:v>SCR-039</x:v>
      </x:c>
      <x:c r="C40" s="339" t="str">
        <x:v>Role Dashboards</x:v>
      </x:c>
      <x:c r="D40" s="339" t="str">
        <x:v>HR Dashboard</x:v>
      </x:c>
      <x:c r="E40" s="339" t="str">
        <x:v>Context Selected</x:v>
      </x:c>
      <x:c r="F40" s="339" t="str">
        <x:v>Context Selected → Metrics Loaded → Drill-down / Action</x:v>
      </x:c>
      <x:c r="G40" s="339" t="str">
        <x:v>Only transitions valid for the current state, role, effective dates and prerequisites are accepted.</x:v>
      </x:c>
      <x:c r="H40" s="339" t="str">
        <x:v>As defined by Primary Roles / configured approval hierarchy</x:v>
      </x:c>
      <x:c r="I40" s="339" t="str">
        <x:v>Reopen/reversal uses an explicit controlled action with reason; never silently rewrite finalized history.</x:v>
      </x:c>
      <x:c r="J40" s="339" t="str">
        <x:v>Use school-configured cutoffs/SLAs; time-sensitive operations use school timezone.</x:v>
      </x:c>
    </x:row>
    <x:row r="41">
      <x:c r="A41" s="339" t="str">
        <x:v>WF-040</x:v>
      </x:c>
      <x:c r="B41" s="339" t="str">
        <x:v>SCR-040</x:v>
      </x:c>
      <x:c r="C41" s="339" t="str">
        <x:v>Role Dashboards</x:v>
      </x:c>
      <x:c r="D41" s="339" t="str">
        <x:v>Admission Officer Dashboard</x:v>
      </x:c>
      <x:c r="E41" s="339" t="str">
        <x:v>Context Selected</x:v>
      </x:c>
      <x:c r="F41" s="339" t="str">
        <x:v>Context Selected → Metrics Loaded → Drill-down / Action</x:v>
      </x:c>
      <x:c r="G41" s="339" t="str">
        <x:v>Only transitions valid for the current state, role, effective dates and prerequisites are accepted.</x:v>
      </x:c>
      <x:c r="H41" s="339" t="str">
        <x:v>As defined by Primary Roles / configured approval hierarchy</x:v>
      </x:c>
      <x:c r="I41" s="339" t="str">
        <x:v>Reopen/reversal uses an explicit controlled action with reason; never silently rewrite finalized history.</x:v>
      </x:c>
      <x:c r="J41" s="339" t="str">
        <x:v>Use school-configured cutoffs/SLAs; time-sensitive operations use school timezone.</x:v>
      </x:c>
    </x:row>
    <x:row r="42">
      <x:c r="A42" s="339" t="str">
        <x:v>WF-041</x:v>
      </x:c>
      <x:c r="B42" s="339" t="str">
        <x:v>SCR-041</x:v>
      </x:c>
      <x:c r="C42" s="339" t="str">
        <x:v>Role Dashboards</x:v>
      </x:c>
      <x:c r="D42" s="339" t="str">
        <x:v>Transport Manager Dashboard</x:v>
      </x:c>
      <x:c r="E42" s="339" t="str">
        <x:v>Context Selected</x:v>
      </x:c>
      <x:c r="F42" s="339" t="str">
        <x:v>Context Selected → Metrics Loaded → Drill-down / Action</x:v>
      </x:c>
      <x:c r="G42" s="339" t="str">
        <x:v>Only transitions valid for the current state, role, effective dates and prerequisites are accepted.</x:v>
      </x:c>
      <x:c r="H42" s="339" t="str">
        <x:v>As defined by Primary Roles / configured approval hierarchy</x:v>
      </x:c>
      <x:c r="I42" s="339" t="str">
        <x:v>Reopen/reversal uses an explicit controlled action with reason; never silently rewrite finalized history.</x:v>
      </x:c>
      <x:c r="J42" s="339" t="str">
        <x:v>Use school-configured cutoffs/SLAs; time-sensitive operations use school timezone.</x:v>
      </x:c>
    </x:row>
    <x:row r="43">
      <x:c r="A43" s="339" t="str">
        <x:v>WF-042</x:v>
      </x:c>
      <x:c r="B43" s="339" t="str">
        <x:v>SCR-042</x:v>
      </x:c>
      <x:c r="C43" s="339" t="str">
        <x:v>Role Dashboards</x:v>
      </x:c>
      <x:c r="D43" s="339" t="str">
        <x:v>Librarian Dashboard</x:v>
      </x:c>
      <x:c r="E43" s="339" t="str">
        <x:v>Context Selected</x:v>
      </x:c>
      <x:c r="F43" s="339" t="str">
        <x:v>Context Selected → Metrics Loaded → Drill-down / Action</x:v>
      </x:c>
      <x:c r="G43" s="339" t="str">
        <x:v>Only transitions valid for the current state, role, effective dates and prerequisites are accepted.</x:v>
      </x:c>
      <x:c r="H43" s="339" t="str">
        <x:v>As defined by Primary Roles / configured approval hierarchy</x:v>
      </x:c>
      <x:c r="I43" s="339" t="str">
        <x:v>Reopen/reversal uses an explicit controlled action with reason; never silently rewrite finalized history.</x:v>
      </x:c>
      <x:c r="J43" s="339" t="str">
        <x:v>Use school-configured cutoffs/SLAs; time-sensitive operations use school timezone.</x:v>
      </x:c>
    </x:row>
    <x:row r="44">
      <x:c r="A44" s="339" t="str">
        <x:v>WF-043</x:v>
      </x:c>
      <x:c r="B44" s="339" t="str">
        <x:v>SCR-043</x:v>
      </x:c>
      <x:c r="C44" s="339" t="str">
        <x:v>Admissions &amp; Enquiries</x:v>
      </x:c>
      <x:c r="D44" s="339" t="str">
        <x:v>Admission / Enquiry Dashboard</x:v>
      </x:c>
      <x:c r="E44" s="339" t="str">
        <x:v>New</x:v>
      </x:c>
      <x:c r="F44" s="339" t="str">
        <x:v>New → Contacted → Follow-up → Qualified / Lost / Converted</x:v>
      </x:c>
      <x:c r="G44" s="339" t="str">
        <x:v>Only transitions valid for the current state, role, effective dates and prerequisites are accepted.</x:v>
      </x:c>
      <x:c r="H44" s="339" t="str">
        <x:v>As defined by Primary Roles / configured approval hierarchy</x:v>
      </x:c>
      <x:c r="I44" s="339" t="str">
        <x:v>Reopen/reversal uses an explicit controlled action with reason; never silently rewrite finalized history.</x:v>
      </x:c>
      <x:c r="J44" s="339" t="str">
        <x:v>Use school-configured cutoffs/SLAs; time-sensitive operations use school timezone.</x:v>
      </x:c>
    </x:row>
    <x:row r="45">
      <x:c r="A45" s="339" t="str">
        <x:v>WF-044</x:v>
      </x:c>
      <x:c r="B45" s="339" t="str">
        <x:v>SCR-044</x:v>
      </x:c>
      <x:c r="C45" s="339" t="str">
        <x:v>Admissions &amp; Enquiries</x:v>
      </x:c>
      <x:c r="D45" s="339" t="str">
        <x:v>Enquiry List</x:v>
      </x:c>
      <x:c r="E45" s="339" t="str">
        <x:v>New</x:v>
      </x:c>
      <x:c r="F45" s="339" t="str">
        <x:v>New → Contacted → Follow-up → Qualified / Lost / Converted</x:v>
      </x:c>
      <x:c r="G45" s="339" t="str">
        <x:v>Only transitions valid for the current state, role, effective dates and prerequisites are accepted.</x:v>
      </x:c>
      <x:c r="H45" s="339" t="str">
        <x:v>As defined by Primary Roles / configured approval hierarchy</x:v>
      </x:c>
      <x:c r="I45" s="339" t="str">
        <x:v>Reopen/reversal uses an explicit controlled action with reason; never silently rewrite finalized history.</x:v>
      </x:c>
      <x:c r="J45" s="339" t="str">
        <x:v>Use school-configured cutoffs/SLAs; time-sensitive operations use school timezone.</x:v>
      </x:c>
    </x:row>
    <x:row r="46">
      <x:c r="A46" s="339" t="str">
        <x:v>WF-045</x:v>
      </x:c>
      <x:c r="B46" s="339" t="str">
        <x:v>SCR-045</x:v>
      </x:c>
      <x:c r="C46" s="339" t="str">
        <x:v>Admissions &amp; Enquiries</x:v>
      </x:c>
      <x:c r="D46" s="339" t="str">
        <x:v>Add Enquiry</x:v>
      </x:c>
      <x:c r="E46" s="339" t="str">
        <x:v>New</x:v>
      </x:c>
      <x:c r="F46" s="339" t="str">
        <x:v>New → Contacted → Follow-up → Qualified / Lost / Converted</x:v>
      </x:c>
      <x:c r="G46" s="339" t="str">
        <x:v>Only transitions valid for the current state, role, effective dates and prerequisites are accepted.</x:v>
      </x:c>
      <x:c r="H46" s="339" t="str">
        <x:v>As defined by Primary Roles / configured approval hierarchy</x:v>
      </x:c>
      <x:c r="I46" s="339" t="str">
        <x:v>Reopen/reversal uses an explicit controlled action with reason; never silently rewrite finalized history.</x:v>
      </x:c>
      <x:c r="J46" s="339" t="str">
        <x:v>Use school-configured cutoffs/SLAs; time-sensitive operations use school timezone.</x:v>
      </x:c>
    </x:row>
    <x:row r="47">
      <x:c r="A47" s="339" t="str">
        <x:v>WF-046</x:v>
      </x:c>
      <x:c r="B47" s="339" t="str">
        <x:v>SCR-046</x:v>
      </x:c>
      <x:c r="C47" s="339" t="str">
        <x:v>Admissions &amp; Enquiries</x:v>
      </x:c>
      <x:c r="D47" s="339" t="str">
        <x:v>Enquiry Details</x:v>
      </x:c>
      <x:c r="E47" s="339" t="str">
        <x:v>New</x:v>
      </x:c>
      <x:c r="F47" s="339" t="str">
        <x:v>New → Contacted → Follow-up → Qualified / Lost / Converted</x:v>
      </x:c>
      <x:c r="G47" s="339" t="str">
        <x:v>Only transitions valid for the current state, role, effective dates and prerequisites are accepted.</x:v>
      </x:c>
      <x:c r="H47" s="339" t="str">
        <x:v>As defined by Primary Roles / configured approval hierarchy</x:v>
      </x:c>
      <x:c r="I47" s="339" t="str">
        <x:v>Reopen/reversal uses an explicit controlled action with reason; never silently rewrite finalized history.</x:v>
      </x:c>
      <x:c r="J47" s="339" t="str">
        <x:v>Use school-configured cutoffs/SLAs; time-sensitive operations use school timezone.</x:v>
      </x:c>
    </x:row>
    <x:row r="48">
      <x:c r="A48" s="339" t="str">
        <x:v>WF-047</x:v>
      </x:c>
      <x:c r="B48" s="339" t="str">
        <x:v>SCR-047</x:v>
      </x:c>
      <x:c r="C48" s="339" t="str">
        <x:v>Admissions &amp; Enquiries</x:v>
      </x:c>
      <x:c r="D48" s="339" t="str">
        <x:v>Follow-up Calendar</x:v>
      </x:c>
      <x:c r="E48" s="339" t="str">
        <x:v>New</x:v>
      </x:c>
      <x:c r="F48" s="339" t="str">
        <x:v>New → Contacted → Follow-up → Qualified / Lost / Converted</x:v>
      </x:c>
      <x:c r="G48" s="339" t="str">
        <x:v>Only transitions valid for the current state, role, effective dates and prerequisites are accepted.</x:v>
      </x:c>
      <x:c r="H48" s="339" t="str">
        <x:v>As defined by Primary Roles / configured approval hierarchy</x:v>
      </x:c>
      <x:c r="I48" s="339" t="str">
        <x:v>Reopen/reversal uses an explicit controlled action with reason; never silently rewrite finalized history.</x:v>
      </x:c>
      <x:c r="J48" s="339" t="str">
        <x:v>Use school-configured cutoffs/SLAs; time-sensitive operations use school timezone.</x:v>
      </x:c>
    </x:row>
    <x:row r="49">
      <x:c r="A49" s="339" t="str">
        <x:v>WF-048</x:v>
      </x:c>
      <x:c r="B49" s="339" t="str">
        <x:v>SCR-048</x:v>
      </x:c>
      <x:c r="C49" s="339" t="str">
        <x:v>Admissions &amp; Enquiries</x:v>
      </x:c>
      <x:c r="D49" s="339" t="str">
        <x:v>Admission Applications</x:v>
      </x:c>
      <x:c r="E49" s="339" t="str">
        <x:v>Draft</x:v>
      </x:c>
      <x:c r="F49" s="339" t="str">
        <x:v>Draft → Submitted → Verification → Assessment (optional) → Approved / Rejected → Fee Pending → Admitted</x:v>
      </x:c>
      <x:c r="G49" s="339" t="str">
        <x:v>Only transitions valid for the current state, role, effective dates and prerequisites are accepted.</x:v>
      </x:c>
      <x:c r="H49" s="339" t="str">
        <x:v>As defined by Primary Roles / configured approval hierarchy</x:v>
      </x:c>
      <x:c r="I49" s="339" t="str">
        <x:v>Reopen/reversal uses an explicit controlled action with reason; never silently rewrite finalized history.</x:v>
      </x:c>
      <x:c r="J49" s="339" t="str">
        <x:v>Use school-configured cutoffs/SLAs; time-sensitive operations use school timezone.</x:v>
      </x:c>
    </x:row>
    <x:row r="50">
      <x:c r="A50" s="339" t="str">
        <x:v>WF-049</x:v>
      </x:c>
      <x:c r="B50" s="339" t="str">
        <x:v>SCR-049</x:v>
      </x:c>
      <x:c r="C50" s="339" t="str">
        <x:v>Admissions &amp; Enquiries</x:v>
      </x:c>
      <x:c r="D50" s="339" t="str">
        <x:v>New Admission Application</x:v>
      </x:c>
      <x:c r="E50" s="339" t="str">
        <x:v>Draft</x:v>
      </x:c>
      <x:c r="F50" s="339" t="str">
        <x:v>Draft → Submitted → Verification → Assessment (optional) → Approved / Rejected → Fee Pending → Admitted</x:v>
      </x:c>
      <x:c r="G50" s="339" t="str">
        <x:v>Only transitions valid for the current state, role, effective dates and prerequisites are accepted.</x:v>
      </x:c>
      <x:c r="H50" s="339" t="str">
        <x:v>As defined by Primary Roles / configured approval hierarchy</x:v>
      </x:c>
      <x:c r="I50" s="339" t="str">
        <x:v>Reopen/reversal uses an explicit controlled action with reason; never silently rewrite finalized history.</x:v>
      </x:c>
      <x:c r="J50" s="339" t="str">
        <x:v>Use school-configured cutoffs/SLAs; time-sensitive operations use school timezone.</x:v>
      </x:c>
    </x:row>
    <x:row r="51">
      <x:c r="A51" s="339" t="str">
        <x:v>WF-050</x:v>
      </x:c>
      <x:c r="B51" s="339" t="str">
        <x:v>SCR-050</x:v>
      </x:c>
      <x:c r="C51" s="339" t="str">
        <x:v>Admissions &amp; Enquiries</x:v>
      </x:c>
      <x:c r="D51" s="339" t="str">
        <x:v>Application Details</x:v>
      </x:c>
      <x:c r="E51" s="339" t="str">
        <x:v>Draft</x:v>
      </x:c>
      <x:c r="F51" s="339" t="str">
        <x:v>Draft → Submitted → Verification → Assessment (optional) → Approved / Rejected → Fee Pending → Admitted</x:v>
      </x:c>
      <x:c r="G51" s="339" t="str">
        <x:v>Only transitions valid for the current state, role, effective dates and prerequisites are accepted.</x:v>
      </x:c>
      <x:c r="H51" s="339" t="str">
        <x:v>As defined by Primary Roles / configured approval hierarchy</x:v>
      </x:c>
      <x:c r="I51" s="339" t="str">
        <x:v>Reopen/reversal uses an explicit controlled action with reason; never silently rewrite finalized history.</x:v>
      </x:c>
      <x:c r="J51" s="339" t="str">
        <x:v>Use school-configured cutoffs/SLAs; time-sensitive operations use school timezone.</x:v>
      </x:c>
    </x:row>
    <x:row r="52">
      <x:c r="A52" s="339" t="str">
        <x:v>WF-051</x:v>
      </x:c>
      <x:c r="B52" s="339" t="str">
        <x:v>SCR-051</x:v>
      </x:c>
      <x:c r="C52" s="339" t="str">
        <x:v>Admissions &amp; Enquiries</x:v>
      </x:c>
      <x:c r="D52" s="339" t="str">
        <x:v>Document Verification</x:v>
      </x:c>
      <x:c r="E52" s="339" t="str">
        <x:v>Draft</x:v>
      </x:c>
      <x:c r="F52" s="339" t="str">
        <x:v>Draft → Submitted → Verification → Assessment (optional) → Approved / Rejected → Fee Pending → Admitted</x:v>
      </x:c>
      <x:c r="G52" s="339" t="str">
        <x:v>Only transitions valid for the current state, role, effective dates and prerequisites are accepted.</x:v>
      </x:c>
      <x:c r="H52" s="339" t="str">
        <x:v>As defined by Primary Roles / configured approval hierarchy</x:v>
      </x:c>
      <x:c r="I52" s="339" t="str">
        <x:v>Reopen/reversal uses an explicit controlled action with reason; never silently rewrite finalized history.</x:v>
      </x:c>
      <x:c r="J52" s="339" t="str">
        <x:v>Use school-configured cutoffs/SLAs; time-sensitive operations use school timezone.</x:v>
      </x:c>
    </x:row>
    <x:row r="53">
      <x:c r="A53" s="339" t="str">
        <x:v>WF-052</x:v>
      </x:c>
      <x:c r="B53" s="339" t="str">
        <x:v>SCR-052</x:v>
      </x:c>
      <x:c r="C53" s="339" t="str">
        <x:v>Admissions &amp; Enquiries</x:v>
      </x:c>
      <x:c r="D53" s="339" t="str">
        <x:v>Entrance Assessment</x:v>
      </x:c>
      <x:c r="E53" s="339" t="str">
        <x:v>Draft</x:v>
      </x:c>
      <x:c r="F53" s="339" t="str">
        <x:v>Draft → Submitted → Verification → Assessment (optional) → Approved / Rejected → Fee Pending → Admitted</x:v>
      </x:c>
      <x:c r="G53" s="339" t="str">
        <x:v>Only transitions valid for the current state, role, effective dates and prerequisites are accepted.</x:v>
      </x:c>
      <x:c r="H53" s="339" t="str">
        <x:v>As defined by Primary Roles / configured approval hierarchy</x:v>
      </x:c>
      <x:c r="I53" s="339" t="str">
        <x:v>Reopen/reversal uses an explicit controlled action with reason; never silently rewrite finalized history.</x:v>
      </x:c>
      <x:c r="J53" s="339" t="str">
        <x:v>Use school-configured cutoffs/SLAs; time-sensitive operations use school timezone.</x:v>
      </x:c>
    </x:row>
    <x:row r="54">
      <x:c r="A54" s="339" t="str">
        <x:v>WF-053</x:v>
      </x:c>
      <x:c r="B54" s="339" t="str">
        <x:v>SCR-053</x:v>
      </x:c>
      <x:c r="C54" s="339" t="str">
        <x:v>Admissions &amp; Enquiries</x:v>
      </x:c>
      <x:c r="D54" s="339" t="str">
        <x:v>Admission Approval</x:v>
      </x:c>
      <x:c r="E54" s="339" t="str">
        <x:v>Draft</x:v>
      </x:c>
      <x:c r="F54" s="339" t="str">
        <x:v>Draft → Submitted → Verification → Assessment (optional) → Approved / Rejected → Fee Pending → Admitted</x:v>
      </x:c>
      <x:c r="G54" s="339" t="str">
        <x:v>Only transitions valid for the current state, role, effective dates and prerequisites are accepted.</x:v>
      </x:c>
      <x:c r="H54" s="339" t="str">
        <x:v>As defined by Primary Roles / configured approval hierarchy</x:v>
      </x:c>
      <x:c r="I54" s="339" t="str">
        <x:v>Reopen/reversal uses an explicit controlled action with reason; never silently rewrite finalized history.</x:v>
      </x:c>
      <x:c r="J54" s="339" t="str">
        <x:v>Use school-configured cutoffs/SLAs; time-sensitive operations use school timezone.</x:v>
      </x:c>
    </x:row>
    <x:row r="55">
      <x:c r="A55" s="339" t="str">
        <x:v>WF-054</x:v>
      </x:c>
      <x:c r="B55" s="339" t="str">
        <x:v>SCR-054</x:v>
      </x:c>
      <x:c r="C55" s="339" t="str">
        <x:v>Admissions &amp; Enquiries</x:v>
      </x:c>
      <x:c r="D55" s="339" t="str">
        <x:v>Admission Confirmation &amp; Student Creation</x:v>
      </x:c>
      <x:c r="E55" s="339" t="str">
        <x:v>Draft</x:v>
      </x:c>
      <x:c r="F55" s="339" t="str">
        <x:v>Draft → Submitted → Verification → Assessment (optional) → Approved / Rejected → Fee Pending → Admitted</x:v>
      </x:c>
      <x:c r="G55" s="339" t="str">
        <x:v>Only transitions valid for the current state, role, effective dates and prerequisites are accepted.</x:v>
      </x:c>
      <x:c r="H55" s="339" t="str">
        <x:v>As defined by Primary Roles / configured approval hierarchy</x:v>
      </x:c>
      <x:c r="I55" s="339" t="str">
        <x:v>Reopen/reversal uses an explicit controlled action with reason; never silently rewrite finalized history.</x:v>
      </x:c>
      <x:c r="J55" s="339" t="str">
        <x:v>Use school-configured cutoffs/SLAs; time-sensitive operations use school timezone.</x:v>
      </x:c>
    </x:row>
    <x:row r="56">
      <x:c r="A56" s="339" t="str">
        <x:v>WF-055</x:v>
      </x:c>
      <x:c r="B56" s="339" t="str">
        <x:v>SCR-055</x:v>
      </x:c>
      <x:c r="C56" s="339" t="str">
        <x:v>Students</x:v>
      </x:c>
      <x:c r="D56" s="339" t="str">
        <x:v>Student Directory</x:v>
      </x:c>
      <x:c r="E56" s="339" t="str">
        <x:v>Pre-admission (optional)</x:v>
      </x:c>
      <x:c r="F56" s="339" t="str">
        <x:v>Pre-admission (optional) → Active → Suspended (optional) → Transferred / Graduated / Withdrawn → Alumni</x:v>
      </x:c>
      <x:c r="G56" s="339" t="str">
        <x:v>Only transitions valid for the current state, role, effective dates and prerequisites are accepted.</x:v>
      </x:c>
      <x:c r="H56" s="339" t="str">
        <x:v>As defined by Primary Roles / configured approval hierarchy</x:v>
      </x:c>
      <x:c r="I56" s="339" t="str">
        <x:v>Reopen/reversal uses an explicit controlled action with reason; never silently rewrite finalized history.</x:v>
      </x:c>
      <x:c r="J56" s="339" t="str">
        <x:v>Use school-configured cutoffs/SLAs; time-sensitive operations use school timezone.</x:v>
      </x:c>
    </x:row>
    <x:row r="57">
      <x:c r="A57" s="339" t="str">
        <x:v>WF-056</x:v>
      </x:c>
      <x:c r="B57" s="339" t="str">
        <x:v>SCR-056</x:v>
      </x:c>
      <x:c r="C57" s="339" t="str">
        <x:v>Students</x:v>
      </x:c>
      <x:c r="D57" s="339" t="str">
        <x:v>Add Student</x:v>
      </x:c>
      <x:c r="E57" s="339" t="str">
        <x:v>Pre-admission (optional)</x:v>
      </x:c>
      <x:c r="F57" s="339" t="str">
        <x:v>Pre-admission (optional) → Active → Suspended (optional) → Transferred / Graduated / Withdrawn → Alumni</x:v>
      </x:c>
      <x:c r="G57" s="339" t="str">
        <x:v>Only transitions valid for the current state, role, effective dates and prerequisites are accepted.</x:v>
      </x:c>
      <x:c r="H57" s="339" t="str">
        <x:v>As defined by Primary Roles / configured approval hierarchy</x:v>
      </x:c>
      <x:c r="I57" s="339" t="str">
        <x:v>Reopen/reversal uses an explicit controlled action with reason; never silently rewrite finalized history.</x:v>
      </x:c>
      <x:c r="J57" s="339" t="str">
        <x:v>Use school-configured cutoffs/SLAs; time-sensitive operations use school timezone.</x:v>
      </x:c>
    </x:row>
    <x:row r="58">
      <x:c r="A58" s="339" t="str">
        <x:v>WF-057</x:v>
      </x:c>
      <x:c r="B58" s="339" t="str">
        <x:v>SCR-057</x:v>
      </x:c>
      <x:c r="C58" s="339" t="str">
        <x:v>Students</x:v>
      </x:c>
      <x:c r="D58" s="339" t="str">
        <x:v>Student Profile Overview</x:v>
      </x:c>
      <x:c r="E58" s="339" t="str">
        <x:v>Pre-admission (optional)</x:v>
      </x:c>
      <x:c r="F58" s="339" t="str">
        <x:v>Pre-admission (optional) → Active → Suspended (optional) → Transferred / Graduated / Withdrawn → Alumni</x:v>
      </x:c>
      <x:c r="G58" s="339" t="str">
        <x:v>Only transitions valid for the current state, role, effective dates and prerequisites are accepted.</x:v>
      </x:c>
      <x:c r="H58" s="339" t="str">
        <x:v>As defined by Primary Roles / configured approval hierarchy</x:v>
      </x:c>
      <x:c r="I58" s="339" t="str">
        <x:v>Reopen/reversal uses an explicit controlled action with reason; never silently rewrite finalized history.</x:v>
      </x:c>
      <x:c r="J58" s="339" t="str">
        <x:v>Use school-configured cutoffs/SLAs; time-sensitive operations use school timezone.</x:v>
      </x:c>
    </x:row>
    <x:row r="59">
      <x:c r="A59" s="339" t="str">
        <x:v>WF-058</x:v>
      </x:c>
      <x:c r="B59" s="339" t="str">
        <x:v>SCR-058</x:v>
      </x:c>
      <x:c r="C59" s="339" t="str">
        <x:v>Students</x:v>
      </x:c>
      <x:c r="D59" s="339" t="str">
        <x:v>Edit Student</x:v>
      </x:c>
      <x:c r="E59" s="339" t="str">
        <x:v>Pre-admission (optional)</x:v>
      </x:c>
      <x:c r="F59" s="339" t="str">
        <x:v>Pre-admission (optional) → Active → Suspended (optional) → Transferred / Graduated / Withdrawn → Alumni</x:v>
      </x:c>
      <x:c r="G59" s="339" t="str">
        <x:v>Only transitions valid for the current state, role, effective dates and prerequisites are accepted.</x:v>
      </x:c>
      <x:c r="H59" s="339" t="str">
        <x:v>As defined by Primary Roles / configured approval hierarchy</x:v>
      </x:c>
      <x:c r="I59" s="339" t="str">
        <x:v>Reopen/reversal uses an explicit controlled action with reason; never silently rewrite finalized history.</x:v>
      </x:c>
      <x:c r="J59" s="339" t="str">
        <x:v>Use school-configured cutoffs/SLAs; time-sensitive operations use school timezone.</x:v>
      </x:c>
    </x:row>
    <x:row r="60">
      <x:c r="A60" s="339" t="str">
        <x:v>WF-059</x:v>
      </x:c>
      <x:c r="B60" s="339" t="str">
        <x:v>SCR-059</x:v>
      </x:c>
      <x:c r="C60" s="339" t="str">
        <x:v>Students</x:v>
      </x:c>
      <x:c r="D60" s="339" t="str">
        <x:v>Student Academic Details</x:v>
      </x:c>
      <x:c r="E60" s="339" t="str">
        <x:v>Pre-admission (optional)</x:v>
      </x:c>
      <x:c r="F60" s="339" t="str">
        <x:v>Pre-admission (optional) → Active → Suspended (optional) → Transferred / Graduated / Withdrawn → Alumni</x:v>
      </x:c>
      <x:c r="G60" s="339" t="str">
        <x:v>Only transitions valid for the current state, role, effective dates and prerequisites are accepted.</x:v>
      </x:c>
      <x:c r="H60" s="339" t="str">
        <x:v>As defined by Primary Roles / configured approval hierarchy</x:v>
      </x:c>
      <x:c r="I60" s="339" t="str">
        <x:v>Reopen/reversal uses an explicit controlled action with reason; never silently rewrite finalized history.</x:v>
      </x:c>
      <x:c r="J60" s="339" t="str">
        <x:v>Use school-configured cutoffs/SLAs; time-sensitive operations use school timezone.</x:v>
      </x:c>
    </x:row>
    <x:row r="61">
      <x:c r="A61" s="339" t="str">
        <x:v>WF-060</x:v>
      </x:c>
      <x:c r="B61" s="339" t="str">
        <x:v>SCR-060</x:v>
      </x:c>
      <x:c r="C61" s="339" t="str">
        <x:v>Students</x:v>
      </x:c>
      <x:c r="D61" s="339" t="str">
        <x:v>Student Attendance History</x:v>
      </x:c>
      <x:c r="E61" s="339" t="str">
        <x:v>Pre-admission (optional)</x:v>
      </x:c>
      <x:c r="F61" s="339" t="str">
        <x:v>Pre-admission (optional) → Active → Suspended (optional) → Transferred / Graduated / Withdrawn → Alumni</x:v>
      </x:c>
      <x:c r="G61" s="339" t="str">
        <x:v>Only transitions valid for the current state, role, effective dates and prerequisites are accepted.</x:v>
      </x:c>
      <x:c r="H61" s="339" t="str">
        <x:v>As defined by Primary Roles / configured approval hierarchy</x:v>
      </x:c>
      <x:c r="I61" s="339" t="str">
        <x:v>Reopen/reversal uses an explicit controlled action with reason; never silently rewrite finalized history.</x:v>
      </x:c>
      <x:c r="J61" s="339" t="str">
        <x:v>Use school-configured cutoffs/SLAs; time-sensitive operations use school timezone.</x:v>
      </x:c>
    </x:row>
    <x:row r="62">
      <x:c r="A62" s="339" t="str">
        <x:v>WF-061</x:v>
      </x:c>
      <x:c r="B62" s="339" t="str">
        <x:v>SCR-061</x:v>
      </x:c>
      <x:c r="C62" s="339" t="str">
        <x:v>Students</x:v>
      </x:c>
      <x:c r="D62" s="339" t="str">
        <x:v>Student Examination &amp; Results</x:v>
      </x:c>
      <x:c r="E62" s="339" t="str">
        <x:v>Pre-admission (optional)</x:v>
      </x:c>
      <x:c r="F62" s="339" t="str">
        <x:v>Pre-admission (optional) → Active → Suspended (optional) → Transferred / Graduated / Withdrawn → Alumni</x:v>
      </x:c>
      <x:c r="G62" s="339" t="str">
        <x:v>Only transitions valid for the current state, role, effective dates and prerequisites are accepted.</x:v>
      </x:c>
      <x:c r="H62" s="339" t="str">
        <x:v>As defined by Primary Roles / configured approval hierarchy</x:v>
      </x:c>
      <x:c r="I62" s="339" t="str">
        <x:v>Reopen/reversal uses an explicit controlled action with reason; never silently rewrite finalized history.</x:v>
      </x:c>
      <x:c r="J62" s="339" t="str">
        <x:v>Use school-configured cutoffs/SLAs; time-sensitive operations use school timezone.</x:v>
      </x:c>
    </x:row>
    <x:row r="63">
      <x:c r="A63" s="339" t="str">
        <x:v>WF-062</x:v>
      </x:c>
      <x:c r="B63" s="339" t="str">
        <x:v>SCR-062</x:v>
      </x:c>
      <x:c r="C63" s="339" t="str">
        <x:v>Students</x:v>
      </x:c>
      <x:c r="D63" s="339" t="str">
        <x:v>Student Fees &amp; Ledger</x:v>
      </x:c>
      <x:c r="E63" s="339" t="str">
        <x:v>Pre-admission (optional)</x:v>
      </x:c>
      <x:c r="F63" s="339" t="str">
        <x:v>Pre-admission (optional) → Active → Suspended (optional) → Transferred / Graduated / Withdrawn → Alumni</x:v>
      </x:c>
      <x:c r="G63" s="339" t="str">
        <x:v>Only transitions valid for the current state, role, effective dates and prerequisites are accepted.</x:v>
      </x:c>
      <x:c r="H63" s="339" t="str">
        <x:v>As defined by Primary Roles / configured approval hierarchy</x:v>
      </x:c>
      <x:c r="I63" s="339" t="str">
        <x:v>Reopen/reversal uses an explicit controlled action with reason; never silently rewrite finalized history.</x:v>
      </x:c>
      <x:c r="J63" s="339" t="str">
        <x:v>Use school-configured cutoffs/SLAs; time-sensitive operations use school timezone.</x:v>
      </x:c>
    </x:row>
    <x:row r="64">
      <x:c r="A64" s="339" t="str">
        <x:v>WF-063</x:v>
      </x:c>
      <x:c r="B64" s="339" t="str">
        <x:v>SCR-063</x:v>
      </x:c>
      <x:c r="C64" s="339" t="str">
        <x:v>Students</x:v>
      </x:c>
      <x:c r="D64" s="339" t="str">
        <x:v>Student Documents</x:v>
      </x:c>
      <x:c r="E64" s="339" t="str">
        <x:v>Pre-admission (optional)</x:v>
      </x:c>
      <x:c r="F64" s="339" t="str">
        <x:v>Pre-admission (optional) → Active → Suspended (optional) → Transferred / Graduated / Withdrawn → Alumni</x:v>
      </x:c>
      <x:c r="G64" s="339" t="str">
        <x:v>Only transitions valid for the current state, role, effective dates and prerequisites are accepted.</x:v>
      </x:c>
      <x:c r="H64" s="339" t="str">
        <x:v>As defined by Primary Roles / configured approval hierarchy</x:v>
      </x:c>
      <x:c r="I64" s="339" t="str">
        <x:v>Reopen/reversal uses an explicit controlled action with reason; never silently rewrite finalized history.</x:v>
      </x:c>
      <x:c r="J64" s="339" t="str">
        <x:v>Use school-configured cutoffs/SLAs; time-sensitive operations use school timezone.</x:v>
      </x:c>
    </x:row>
    <x:row r="65">
      <x:c r="A65" s="339" t="str">
        <x:v>WF-064</x:v>
      </x:c>
      <x:c r="B65" s="339" t="str">
        <x:v>SCR-064</x:v>
      </x:c>
      <x:c r="C65" s="339" t="str">
        <x:v>Students</x:v>
      </x:c>
      <x:c r="D65" s="339" t="str">
        <x:v>Student Behaviour &amp; Discipline</x:v>
      </x:c>
      <x:c r="E65" s="339" t="str">
        <x:v>Pre-admission (optional)</x:v>
      </x:c>
      <x:c r="F65" s="339" t="str">
        <x:v>Pre-admission (optional) → Active → Suspended (optional) → Transferred / Graduated / Withdrawn → Alumni</x:v>
      </x:c>
      <x:c r="G65" s="339" t="str">
        <x:v>Only transitions valid for the current state, role, effective dates and prerequisites are accepted.</x:v>
      </x:c>
      <x:c r="H65" s="339" t="str">
        <x:v>As defined by Primary Roles / configured approval hierarchy</x:v>
      </x:c>
      <x:c r="I65" s="339" t="str">
        <x:v>Reopen/reversal uses an explicit controlled action with reason; never silently rewrite finalized history.</x:v>
      </x:c>
      <x:c r="J65" s="339" t="str">
        <x:v>Use school-configured cutoffs/SLAs; time-sensitive operations use school timezone.</x:v>
      </x:c>
    </x:row>
    <x:row r="66">
      <x:c r="A66" s="339" t="str">
        <x:v>WF-065</x:v>
      </x:c>
      <x:c r="B66" s="339" t="str">
        <x:v>SCR-065</x:v>
      </x:c>
      <x:c r="C66" s="339" t="str">
        <x:v>Students</x:v>
      </x:c>
      <x:c r="D66" s="339" t="str">
        <x:v>Student Health</x:v>
      </x:c>
      <x:c r="E66" s="339" t="str">
        <x:v>Pre-admission (optional)</x:v>
      </x:c>
      <x:c r="F66" s="339" t="str">
        <x:v>Pre-admission (optional) → Active → Suspended (optional) → Transferred / Graduated / Withdrawn → Alumni</x:v>
      </x:c>
      <x:c r="G66" s="339" t="str">
        <x:v>Only transitions valid for the current state, role, effective dates and prerequisites are accepted.</x:v>
      </x:c>
      <x:c r="H66" s="339" t="str">
        <x:v>As defined by Primary Roles / configured approval hierarchy</x:v>
      </x:c>
      <x:c r="I66" s="339" t="str">
        <x:v>Reopen/reversal uses an explicit controlled action with reason; never silently rewrite finalized history.</x:v>
      </x:c>
      <x:c r="J66" s="339" t="str">
        <x:v>Use school-configured cutoffs/SLAs; time-sensitive operations use school timezone.</x:v>
      </x:c>
    </x:row>
    <x:row r="67">
      <x:c r="A67" s="339" t="str">
        <x:v>WF-066</x:v>
      </x:c>
      <x:c r="B67" s="339" t="str">
        <x:v>SCR-066</x:v>
      </x:c>
      <x:c r="C67" s="339" t="str">
        <x:v>Students</x:v>
      </x:c>
      <x:c r="D67" s="339" t="str">
        <x:v>Student Transport</x:v>
      </x:c>
      <x:c r="E67" s="339" t="str">
        <x:v>Pre-admission (optional)</x:v>
      </x:c>
      <x:c r="F67" s="339" t="str">
        <x:v>Pre-admission (optional) → Active → Suspended (optional) → Transferred / Graduated / Withdrawn → Alumni</x:v>
      </x:c>
      <x:c r="G67" s="339" t="str">
        <x:v>Only transitions valid for the current state, role, effective dates and prerequisites are accepted.</x:v>
      </x:c>
      <x:c r="H67" s="339" t="str">
        <x:v>As defined by Primary Roles / configured approval hierarchy</x:v>
      </x:c>
      <x:c r="I67" s="339" t="str">
        <x:v>Reopen/reversal uses an explicit controlled action with reason; never silently rewrite finalized history.</x:v>
      </x:c>
      <x:c r="J67" s="339" t="str">
        <x:v>Use school-configured cutoffs/SLAs; time-sensitive operations use school timezone.</x:v>
      </x:c>
    </x:row>
    <x:row r="68">
      <x:c r="A68" s="339" t="str">
        <x:v>WF-067</x:v>
      </x:c>
      <x:c r="B68" s="339" t="str">
        <x:v>SCR-067</x:v>
      </x:c>
      <x:c r="C68" s="339" t="str">
        <x:v>Students</x:v>
      </x:c>
      <x:c r="D68" s="339" t="str">
        <x:v>Student Library</x:v>
      </x:c>
      <x:c r="E68" s="339" t="str">
        <x:v>Pre-admission (optional)</x:v>
      </x:c>
      <x:c r="F68" s="339" t="str">
        <x:v>Pre-admission (optional) → Active → Suspended (optional) → Transferred / Graduated / Withdrawn → Alumni</x:v>
      </x:c>
      <x:c r="G68" s="339" t="str">
        <x:v>Only transitions valid for the current state, role, effective dates and prerequisites are accepted.</x:v>
      </x:c>
      <x:c r="H68" s="339" t="str">
        <x:v>As defined by Primary Roles / configured approval hierarchy</x:v>
      </x:c>
      <x:c r="I68" s="339" t="str">
        <x:v>Reopen/reversal uses an explicit controlled action with reason; never silently rewrite finalized history.</x:v>
      </x:c>
      <x:c r="J68" s="339" t="str">
        <x:v>Use school-configured cutoffs/SLAs; time-sensitive operations use school timezone.</x:v>
      </x:c>
    </x:row>
    <x:row r="69">
      <x:c r="A69" s="339" t="str">
        <x:v>WF-068</x:v>
      </x:c>
      <x:c r="B69" s="339" t="str">
        <x:v>SCR-068</x:v>
      </x:c>
      <x:c r="C69" s="339" t="str">
        <x:v>Students</x:v>
      </x:c>
      <x:c r="D69" s="339" t="str">
        <x:v>Siblings &amp; Family</x:v>
      </x:c>
      <x:c r="E69" s="339" t="str">
        <x:v>Pre-admission (optional)</x:v>
      </x:c>
      <x:c r="F69" s="339" t="str">
        <x:v>Pre-admission (optional) → Active → Suspended (optional) → Transferred / Graduated / Withdrawn → Alumni</x:v>
      </x:c>
      <x:c r="G69" s="339" t="str">
        <x:v>Only transitions valid for the current state, role, effective dates and prerequisites are accepted.</x:v>
      </x:c>
      <x:c r="H69" s="339" t="str">
        <x:v>As defined by Primary Roles / configured approval hierarchy</x:v>
      </x:c>
      <x:c r="I69" s="339" t="str">
        <x:v>Reopen/reversal uses an explicit controlled action with reason; never silently rewrite finalized history.</x:v>
      </x:c>
      <x:c r="J69" s="339" t="str">
        <x:v>Use school-configured cutoffs/SLAs; time-sensitive operations use school timezone.</x:v>
      </x:c>
    </x:row>
    <x:row r="70">
      <x:c r="A70" s="339" t="str">
        <x:v>WF-069</x:v>
      </x:c>
      <x:c r="B70" s="339" t="str">
        <x:v>SCR-069</x:v>
      </x:c>
      <x:c r="C70" s="339" t="str">
        <x:v>Students</x:v>
      </x:c>
      <x:c r="D70" s="339" t="str">
        <x:v>Promotion / Transfer</x:v>
      </x:c>
      <x:c r="E70" s="339" t="str">
        <x:v>Pre-admission (optional)</x:v>
      </x:c>
      <x:c r="F70" s="339" t="str">
        <x:v>Pre-admission (optional) → Active → Suspended (optional) → Transferred / Graduated / Withdrawn → Alumni</x:v>
      </x:c>
      <x:c r="G70" s="339" t="str">
        <x:v>Only transitions valid for the current state, role, effective dates and prerequisites are accepted.</x:v>
      </x:c>
      <x:c r="H70" s="339" t="str">
        <x:v>As defined by Primary Roles / configured approval hierarchy</x:v>
      </x:c>
      <x:c r="I70" s="339" t="str">
        <x:v>Reopen/reversal uses an explicit controlled action with reason; never silently rewrite finalized history.</x:v>
      </x:c>
      <x:c r="J70" s="339" t="str">
        <x:v>Use school-configured cutoffs/SLAs; time-sensitive operations use school timezone.</x:v>
      </x:c>
    </x:row>
    <x:row r="71">
      <x:c r="A71" s="339" t="str">
        <x:v>WF-070</x:v>
      </x:c>
      <x:c r="B71" s="339" t="str">
        <x:v>SCR-070</x:v>
      </x:c>
      <x:c r="C71" s="339" t="str">
        <x:v>Students</x:v>
      </x:c>
      <x:c r="D71" s="339" t="str">
        <x:v>Student Exit / Alumni Conversion</x:v>
      </x:c>
      <x:c r="E71" s="339" t="str">
        <x:v>Pre-admission (optional)</x:v>
      </x:c>
      <x:c r="F71" s="339" t="str">
        <x:v>Pre-admission (optional) → Active → Suspended (optional) → Transferred / Graduated / Withdrawn → Alumni</x:v>
      </x:c>
      <x:c r="G71" s="339" t="str">
        <x:v>Only transitions valid for the current state, role, effective dates and prerequisites are accepted.</x:v>
      </x:c>
      <x:c r="H71" s="339" t="str">
        <x:v>As defined by Primary Roles / configured approval hierarchy</x:v>
      </x:c>
      <x:c r="I71" s="339" t="str">
        <x:v>Reopen/reversal uses an explicit controlled action with reason; never silently rewrite finalized history.</x:v>
      </x:c>
      <x:c r="J71" s="339" t="str">
        <x:v>Use school-configured cutoffs/SLAs; time-sensitive operations use school timezone.</x:v>
      </x:c>
    </x:row>
    <x:row r="72">
      <x:c r="A72" s="339" t="str">
        <x:v>WF-071</x:v>
      </x:c>
      <x:c r="B72" s="339" t="str">
        <x:v>SCR-071</x:v>
      </x:c>
      <x:c r="C72" s="339" t="str">
        <x:v>Parents &amp; Guardians</x:v>
      </x:c>
      <x:c r="D72" s="339" t="str">
        <x:v>Parent / Guardian Directory</x:v>
      </x:c>
      <x:c r="E72" s="339" t="str">
        <x:v>Invited / Unverified</x:v>
      </x:c>
      <x:c r="F72" s="339" t="str">
        <x:v>Invited / Unverified → Verified → Active → Suspended / Unlinked</x:v>
      </x:c>
      <x:c r="G72" s="339" t="str">
        <x:v>Only transitions valid for the current state, role, effective dates and prerequisites are accepted.</x:v>
      </x:c>
      <x:c r="H72" s="339" t="str">
        <x:v>As defined by Primary Roles / configured approval hierarchy</x:v>
      </x:c>
      <x:c r="I72" s="339" t="str">
        <x:v>Reopen/reversal uses an explicit controlled action with reason; never silently rewrite finalized history.</x:v>
      </x:c>
      <x:c r="J72" s="339" t="str">
        <x:v>Use school-configured cutoffs/SLAs; time-sensitive operations use school timezone.</x:v>
      </x:c>
    </x:row>
    <x:row r="73">
      <x:c r="A73" s="339" t="str">
        <x:v>WF-072</x:v>
      </x:c>
      <x:c r="B73" s="339" t="str">
        <x:v>SCR-072</x:v>
      </x:c>
      <x:c r="C73" s="339" t="str">
        <x:v>Parents &amp; Guardians</x:v>
      </x:c>
      <x:c r="D73" s="339" t="str">
        <x:v>Add Parent / Guardian</x:v>
      </x:c>
      <x:c r="E73" s="339" t="str">
        <x:v>Invited / Unverified</x:v>
      </x:c>
      <x:c r="F73" s="339" t="str">
        <x:v>Invited / Unverified → Verified → Active → Suspended / Unlinked</x:v>
      </x:c>
      <x:c r="G73" s="339" t="str">
        <x:v>Only transitions valid for the current state, role, effective dates and prerequisites are accepted.</x:v>
      </x:c>
      <x:c r="H73" s="339" t="str">
        <x:v>As defined by Primary Roles / configured approval hierarchy</x:v>
      </x:c>
      <x:c r="I73" s="339" t="str">
        <x:v>Reopen/reversal uses an explicit controlled action with reason; never silently rewrite finalized history.</x:v>
      </x:c>
      <x:c r="J73" s="339" t="str">
        <x:v>Use school-configured cutoffs/SLAs; time-sensitive operations use school timezone.</x:v>
      </x:c>
    </x:row>
    <x:row r="74">
      <x:c r="A74" s="339" t="str">
        <x:v>WF-073</x:v>
      </x:c>
      <x:c r="B74" s="339" t="str">
        <x:v>SCR-073</x:v>
      </x:c>
      <x:c r="C74" s="339" t="str">
        <x:v>Parents &amp; Guardians</x:v>
      </x:c>
      <x:c r="D74" s="339" t="str">
        <x:v>Parent Profile</x:v>
      </x:c>
      <x:c r="E74" s="339" t="str">
        <x:v>Invited / Unverified</x:v>
      </x:c>
      <x:c r="F74" s="339" t="str">
        <x:v>Invited / Unverified → Verified → Active → Suspended / Unlinked</x:v>
      </x:c>
      <x:c r="G74" s="339" t="str">
        <x:v>Only transitions valid for the current state, role, effective dates and prerequisites are accepted.</x:v>
      </x:c>
      <x:c r="H74" s="339" t="str">
        <x:v>As defined by Primary Roles / configured approval hierarchy</x:v>
      </x:c>
      <x:c r="I74" s="339" t="str">
        <x:v>Reopen/reversal uses an explicit controlled action with reason; never silently rewrite finalized history.</x:v>
      </x:c>
      <x:c r="J74" s="339" t="str">
        <x:v>Use school-configured cutoffs/SLAs; time-sensitive operations use school timezone.</x:v>
      </x:c>
    </x:row>
    <x:row r="75">
      <x:c r="A75" s="339" t="str">
        <x:v>WF-074</x:v>
      </x:c>
      <x:c r="B75" s="339" t="str">
        <x:v>SCR-074</x:v>
      </x:c>
      <x:c r="C75" s="339" t="str">
        <x:v>Parents &amp; Guardians</x:v>
      </x:c>
      <x:c r="D75" s="339" t="str">
        <x:v>Link Children</x:v>
      </x:c>
      <x:c r="E75" s="339" t="str">
        <x:v>Invited / Unverified</x:v>
      </x:c>
      <x:c r="F75" s="339" t="str">
        <x:v>Invited / Unverified → Verified → Active → Suspended / Unlinked</x:v>
      </x:c>
      <x:c r="G75" s="339" t="str">
        <x:v>Only transitions valid for the current state, role, effective dates and prerequisites are accepted.</x:v>
      </x:c>
      <x:c r="H75" s="339" t="str">
        <x:v>As defined by Primary Roles / configured approval hierarchy</x:v>
      </x:c>
      <x:c r="I75" s="339" t="str">
        <x:v>Reopen/reversal uses an explicit controlled action with reason; never silently rewrite finalized history.</x:v>
      </x:c>
      <x:c r="J75" s="339" t="str">
        <x:v>Use school-configured cutoffs/SLAs; time-sensitive operations use school timezone.</x:v>
      </x:c>
    </x:row>
    <x:row r="76">
      <x:c r="A76" s="339" t="str">
        <x:v>WF-075</x:v>
      </x:c>
      <x:c r="B76" s="339" t="str">
        <x:v>SCR-075</x:v>
      </x:c>
      <x:c r="C76" s="339" t="str">
        <x:v>Parents &amp; Guardians</x:v>
      </x:c>
      <x:c r="D76" s="339" t="str">
        <x:v>Communication Preferences</x:v>
      </x:c>
      <x:c r="E76" s="339" t="str">
        <x:v>Invited / Unverified</x:v>
      </x:c>
      <x:c r="F76" s="339" t="str">
        <x:v>Invited / Unverified → Verified → Active → Suspended / Unlinked</x:v>
      </x:c>
      <x:c r="G76" s="339" t="str">
        <x:v>Only transitions valid for the current state, role, effective dates and prerequisites are accepted.</x:v>
      </x:c>
      <x:c r="H76" s="339" t="str">
        <x:v>As defined by Primary Roles / configured approval hierarchy</x:v>
      </x:c>
      <x:c r="I76" s="339" t="str">
        <x:v>Reopen/reversal uses an explicit controlled action with reason; never silently rewrite finalized history.</x:v>
      </x:c>
      <x:c r="J76" s="339" t="str">
        <x:v>Use school-configured cutoffs/SLAs; time-sensitive operations use school timezone.</x:v>
      </x:c>
    </x:row>
    <x:row r="77">
      <x:c r="A77" s="339" t="str">
        <x:v>WF-076</x:v>
      </x:c>
      <x:c r="B77" s="339" t="str">
        <x:v>SCR-076</x:v>
      </x:c>
      <x:c r="C77" s="339" t="str">
        <x:v>Parents &amp; Guardians</x:v>
      </x:c>
      <x:c r="D77" s="339" t="str">
        <x:v>Parent Login Access</x:v>
      </x:c>
      <x:c r="E77" s="339" t="str">
        <x:v>Invited / Unverified</x:v>
      </x:c>
      <x:c r="F77" s="339" t="str">
        <x:v>Invited / Unverified → Verified → Active → Suspended / Unlinked</x:v>
      </x:c>
      <x:c r="G77" s="339" t="str">
        <x:v>Only transitions valid for the current state, role, effective dates and prerequisites are accepted.</x:v>
      </x:c>
      <x:c r="H77" s="339" t="str">
        <x:v>As defined by Primary Roles / configured approval hierarchy</x:v>
      </x:c>
      <x:c r="I77" s="339" t="str">
        <x:v>Reopen/reversal uses an explicit controlled action with reason; never silently rewrite finalized history.</x:v>
      </x:c>
      <x:c r="J77" s="339" t="str">
        <x:v>Use school-configured cutoffs/SLAs; time-sensitive operations use school timezone.</x:v>
      </x:c>
    </x:row>
    <x:row r="78">
      <x:c r="A78" s="339" t="str">
        <x:v>WF-077</x:v>
      </x:c>
      <x:c r="B78" s="339" t="str">
        <x:v>SCR-077</x:v>
      </x:c>
      <x:c r="C78" s="339" t="str">
        <x:v>Parents &amp; Guardians</x:v>
      </x:c>
      <x:c r="D78" s="339" t="str">
        <x:v>Parent-Teacher Interactions</x:v>
      </x:c>
      <x:c r="E78" s="339" t="str">
        <x:v>Invited / Unverified</x:v>
      </x:c>
      <x:c r="F78" s="339" t="str">
        <x:v>Invited / Unverified → Verified → Active → Suspended / Unlinked</x:v>
      </x:c>
      <x:c r="G78" s="339" t="str">
        <x:v>Only transitions valid for the current state, role, effective dates and prerequisites are accepted.</x:v>
      </x:c>
      <x:c r="H78" s="339" t="str">
        <x:v>As defined by Primary Roles / configured approval hierarchy</x:v>
      </x:c>
      <x:c r="I78" s="339" t="str">
        <x:v>Reopen/reversal uses an explicit controlled action with reason; never silently rewrite finalized history.</x:v>
      </x:c>
      <x:c r="J78" s="339" t="str">
        <x:v>Use school-configured cutoffs/SLAs; time-sensitive operations use school timezone.</x:v>
      </x:c>
    </x:row>
    <x:row r="79">
      <x:c r="A79" s="339" t="str">
        <x:v>WF-078</x:v>
      </x:c>
      <x:c r="B79" s="339" t="str">
        <x:v>SCR-078</x:v>
      </x:c>
      <x:c r="C79" s="339" t="str">
        <x:v>Parents &amp; Guardians</x:v>
      </x:c>
      <x:c r="D79" s="339" t="str">
        <x:v>Parent Payments &amp; Receipts</x:v>
      </x:c>
      <x:c r="E79" s="339" t="str">
        <x:v>Invited / Unverified</x:v>
      </x:c>
      <x:c r="F79" s="339" t="str">
        <x:v>Invited / Unverified → Verified → Active → Suspended / Unlinked</x:v>
      </x:c>
      <x:c r="G79" s="339" t="str">
        <x:v>Only transitions valid for the current state, role, effective dates and prerequisites are accepted.</x:v>
      </x:c>
      <x:c r="H79" s="339" t="str">
        <x:v>As defined by Primary Roles / configured approval hierarchy</x:v>
      </x:c>
      <x:c r="I79" s="339" t="str">
        <x:v>Reopen/reversal uses an explicit controlled action with reason; never silently rewrite finalized history.</x:v>
      </x:c>
      <x:c r="J79" s="339" t="str">
        <x:v>Use school-configured cutoffs/SLAs; time-sensitive operations use school timezone.</x:v>
      </x:c>
    </x:row>
    <x:row r="80">
      <x:c r="A80" s="339" t="str">
        <x:v>WF-079</x:v>
      </x:c>
      <x:c r="B80" s="339" t="str">
        <x:v>SCR-079</x:v>
      </x:c>
      <x:c r="C80" s="339" t="str">
        <x:v>Parents &amp; Guardians</x:v>
      </x:c>
      <x:c r="D80" s="339" t="str">
        <x:v>Parent Activity History</x:v>
      </x:c>
      <x:c r="E80" s="339" t="str">
        <x:v>Invited / Unverified</x:v>
      </x:c>
      <x:c r="F80" s="339" t="str">
        <x:v>Invited / Unverified → Verified → Active → Suspended / Unlinked</x:v>
      </x:c>
      <x:c r="G80" s="339" t="str">
        <x:v>Only transitions valid for the current state, role, effective dates and prerequisites are accepted.</x:v>
      </x:c>
      <x:c r="H80" s="339" t="str">
        <x:v>As defined by Primary Roles / configured approval hierarchy</x:v>
      </x:c>
      <x:c r="I80" s="339" t="str">
        <x:v>Reopen/reversal uses an explicit controlled action with reason; never silently rewrite finalized history.</x:v>
      </x:c>
      <x:c r="J80" s="339" t="str">
        <x:v>Use school-configured cutoffs/SLAs; time-sensitive operations use school timezone.</x:v>
      </x:c>
    </x:row>
    <x:row r="81">
      <x:c r="A81" s="339" t="str">
        <x:v>WF-080</x:v>
      </x:c>
      <x:c r="B81" s="339" t="str">
        <x:v>SCR-080</x:v>
      </x:c>
      <x:c r="C81" s="339" t="str">
        <x:v>Teachers &amp; Staff</x:v>
      </x:c>
      <x:c r="D81" s="339" t="str">
        <x:v>Staff Directory</x:v>
      </x:c>
      <x:c r="E81" s="339" t="str">
        <x:v>Draft / Candidate</x:v>
      </x:c>
      <x:c r="F81" s="339" t="str">
        <x:v>Draft / Candidate → Active Employee → On Leave (operational) → Exited / Inactive</x:v>
      </x:c>
      <x:c r="G81" s="339" t="str">
        <x:v>Only transitions valid for the current state, role, effective dates and prerequisites are accepted.</x:v>
      </x:c>
      <x:c r="H81" s="339" t="str">
        <x:v>As defined by Primary Roles / configured approval hierarchy</x:v>
      </x:c>
      <x:c r="I81" s="339" t="str">
        <x:v>Reopen/reversal uses an explicit controlled action with reason; never silently rewrite finalized history.</x:v>
      </x:c>
      <x:c r="J81" s="339" t="str">
        <x:v>Use school-configured cutoffs/SLAs; time-sensitive operations use school timezone.</x:v>
      </x:c>
    </x:row>
    <x:row r="82">
      <x:c r="A82" s="339" t="str">
        <x:v>WF-081</x:v>
      </x:c>
      <x:c r="B82" s="339" t="str">
        <x:v>SCR-081</x:v>
      </x:c>
      <x:c r="C82" s="339" t="str">
        <x:v>Teachers &amp; Staff</x:v>
      </x:c>
      <x:c r="D82" s="339" t="str">
        <x:v>Add Staff</x:v>
      </x:c>
      <x:c r="E82" s="339" t="str">
        <x:v>Draft / Candidate</x:v>
      </x:c>
      <x:c r="F82" s="339" t="str">
        <x:v>Draft / Candidate → Active Employee → On Leave (operational) → Exited / Inactive</x:v>
      </x:c>
      <x:c r="G82" s="339" t="str">
        <x:v>Only transitions valid for the current state, role, effective dates and prerequisites are accepted.</x:v>
      </x:c>
      <x:c r="H82" s="339" t="str">
        <x:v>As defined by Primary Roles / configured approval hierarchy</x:v>
      </x:c>
      <x:c r="I82" s="339" t="str">
        <x:v>Reopen/reversal uses an explicit controlled action with reason; never silently rewrite finalized history.</x:v>
      </x:c>
      <x:c r="J82" s="339" t="str">
        <x:v>Use school-configured cutoffs/SLAs; time-sensitive operations use school timezone.</x:v>
      </x:c>
    </x:row>
    <x:row r="83">
      <x:c r="A83" s="339" t="str">
        <x:v>WF-082</x:v>
      </x:c>
      <x:c r="B83" s="339" t="str">
        <x:v>SCR-082</x:v>
      </x:c>
      <x:c r="C83" s="339" t="str">
        <x:v>Teachers &amp; Staff</x:v>
      </x:c>
      <x:c r="D83" s="339" t="str">
        <x:v>Staff Profile</x:v>
      </x:c>
      <x:c r="E83" s="339" t="str">
        <x:v>Draft / Candidate</x:v>
      </x:c>
      <x:c r="F83" s="339" t="str">
        <x:v>Draft / Candidate → Active Employee → On Leave (operational) → Exited / Inactive</x:v>
      </x:c>
      <x:c r="G83" s="339" t="str">
        <x:v>Only transitions valid for the current state, role, effective dates and prerequisites are accepted.</x:v>
      </x:c>
      <x:c r="H83" s="339" t="str">
        <x:v>As defined by Primary Roles / configured approval hierarchy</x:v>
      </x:c>
      <x:c r="I83" s="339" t="str">
        <x:v>Reopen/reversal uses an explicit controlled action with reason; never silently rewrite finalized history.</x:v>
      </x:c>
      <x:c r="J83" s="339" t="str">
        <x:v>Use school-configured cutoffs/SLAs; time-sensitive operations use school timezone.</x:v>
      </x:c>
    </x:row>
    <x:row r="84">
      <x:c r="A84" s="339" t="str">
        <x:v>WF-083</x:v>
      </x:c>
      <x:c r="B84" s="339" t="str">
        <x:v>SCR-083</x:v>
      </x:c>
      <x:c r="C84" s="339" t="str">
        <x:v>Teachers &amp; Staff</x:v>
      </x:c>
      <x:c r="D84" s="339" t="str">
        <x:v>Edit Staff</x:v>
      </x:c>
      <x:c r="E84" s="339" t="str">
        <x:v>Draft / Candidate</x:v>
      </x:c>
      <x:c r="F84" s="339" t="str">
        <x:v>Draft / Candidate → Active Employee → On Leave (operational) → Exited / Inactive</x:v>
      </x:c>
      <x:c r="G84" s="339" t="str">
        <x:v>Only transitions valid for the current state, role, effective dates and prerequisites are accepted.</x:v>
      </x:c>
      <x:c r="H84" s="339" t="str">
        <x:v>As defined by Primary Roles / configured approval hierarchy</x:v>
      </x:c>
      <x:c r="I84" s="339" t="str">
        <x:v>Reopen/reversal uses an explicit controlled action with reason; never silently rewrite finalized history.</x:v>
      </x:c>
      <x:c r="J84" s="339" t="str">
        <x:v>Use school-configured cutoffs/SLAs; time-sensitive operations use school timezone.</x:v>
      </x:c>
    </x:row>
    <x:row r="85">
      <x:c r="A85" s="339" t="str">
        <x:v>WF-084</x:v>
      </x:c>
      <x:c r="B85" s="339" t="str">
        <x:v>SCR-084</x:v>
      </x:c>
      <x:c r="C85" s="339" t="str">
        <x:v>Teachers &amp; Staff</x:v>
      </x:c>
      <x:c r="D85" s="339" t="str">
        <x:v>Teacher Allocation</x:v>
      </x:c>
      <x:c r="E85" s="339" t="str">
        <x:v>Draft / Candidate</x:v>
      </x:c>
      <x:c r="F85" s="339" t="str">
        <x:v>Draft / Candidate → Active Employee → On Leave (operational) → Exited / Inactive</x:v>
      </x:c>
      <x:c r="G85" s="339" t="str">
        <x:v>Only transitions valid for the current state, role, effective dates and prerequisites are accepted.</x:v>
      </x:c>
      <x:c r="H85" s="339" t="str">
        <x:v>As defined by Primary Roles / configured approval hierarchy</x:v>
      </x:c>
      <x:c r="I85" s="339" t="str">
        <x:v>Reopen/reversal uses an explicit controlled action with reason; never silently rewrite finalized history.</x:v>
      </x:c>
      <x:c r="J85" s="339" t="str">
        <x:v>Use school-configured cutoffs/SLAs; time-sensitive operations use school timezone.</x:v>
      </x:c>
    </x:row>
    <x:row r="86">
      <x:c r="A86" s="339" t="str">
        <x:v>WF-085</x:v>
      </x:c>
      <x:c r="B86" s="339" t="str">
        <x:v>SCR-085</x:v>
      </x:c>
      <x:c r="C86" s="339" t="str">
        <x:v>Teachers &amp; Staff</x:v>
      </x:c>
      <x:c r="D86" s="339" t="str">
        <x:v>Subject &amp; Class Assignment</x:v>
      </x:c>
      <x:c r="E86" s="339" t="str">
        <x:v>Draft / Candidate</x:v>
      </x:c>
      <x:c r="F86" s="339" t="str">
        <x:v>Draft / Candidate → Active Employee → On Leave (operational) → Exited / Inactive</x:v>
      </x:c>
      <x:c r="G86" s="339" t="str">
        <x:v>Only transitions valid for the current state, role, effective dates and prerequisites are accepted.</x:v>
      </x:c>
      <x:c r="H86" s="339" t="str">
        <x:v>As defined by Primary Roles / configured approval hierarchy</x:v>
      </x:c>
      <x:c r="I86" s="339" t="str">
        <x:v>Reopen/reversal uses an explicit controlled action with reason; never silently rewrite finalized history.</x:v>
      </x:c>
      <x:c r="J86" s="339" t="str">
        <x:v>Use school-configured cutoffs/SLAs; time-sensitive operations use school timezone.</x:v>
      </x:c>
    </x:row>
    <x:row r="87">
      <x:c r="A87" s="339" t="str">
        <x:v>WF-086</x:v>
      </x:c>
      <x:c r="B87" s="339" t="str">
        <x:v>SCR-086</x:v>
      </x:c>
      <x:c r="C87" s="339" t="str">
        <x:v>Teachers &amp; Staff</x:v>
      </x:c>
      <x:c r="D87" s="339" t="str">
        <x:v>Teacher Workload</x:v>
      </x:c>
      <x:c r="E87" s="339" t="str">
        <x:v>Draft / Candidate</x:v>
      </x:c>
      <x:c r="F87" s="339" t="str">
        <x:v>Draft / Candidate → Active Employee → On Leave (operational) → Exited / Inactive</x:v>
      </x:c>
      <x:c r="G87" s="339" t="str">
        <x:v>Only transitions valid for the current state, role, effective dates and prerequisites are accepted.</x:v>
      </x:c>
      <x:c r="H87" s="339" t="str">
        <x:v>As defined by Primary Roles / configured approval hierarchy</x:v>
      </x:c>
      <x:c r="I87" s="339" t="str">
        <x:v>Reopen/reversal uses an explicit controlled action with reason; never silently rewrite finalized history.</x:v>
      </x:c>
      <x:c r="J87" s="339" t="str">
        <x:v>Use school-configured cutoffs/SLAs; time-sensitive operations use school timezone.</x:v>
      </x:c>
    </x:row>
    <x:row r="88">
      <x:c r="A88" s="339" t="str">
        <x:v>WF-087</x:v>
      </x:c>
      <x:c r="B88" s="339" t="str">
        <x:v>SCR-087</x:v>
      </x:c>
      <x:c r="C88" s="339" t="str">
        <x:v>Teachers &amp; Staff</x:v>
      </x:c>
      <x:c r="D88" s="339" t="str">
        <x:v>Qualifications &amp; Documents</x:v>
      </x:c>
      <x:c r="E88" s="339" t="str">
        <x:v>Draft / Candidate</x:v>
      </x:c>
      <x:c r="F88" s="339" t="str">
        <x:v>Draft / Candidate → Active Employee → On Leave (operational) → Exited / Inactive</x:v>
      </x:c>
      <x:c r="G88" s="339" t="str">
        <x:v>Only transitions valid for the current state, role, effective dates and prerequisites are accepted.</x:v>
      </x:c>
      <x:c r="H88" s="339" t="str">
        <x:v>As defined by Primary Roles / configured approval hierarchy</x:v>
      </x:c>
      <x:c r="I88" s="339" t="str">
        <x:v>Reopen/reversal uses an explicit controlled action with reason; never silently rewrite finalized history.</x:v>
      </x:c>
      <x:c r="J88" s="339" t="str">
        <x:v>Use school-configured cutoffs/SLAs; time-sensitive operations use school timezone.</x:v>
      </x:c>
    </x:row>
    <x:row r="89">
      <x:c r="A89" s="339" t="str">
        <x:v>WF-088</x:v>
      </x:c>
      <x:c r="B89" s="339" t="str">
        <x:v>SCR-088</x:v>
      </x:c>
      <x:c r="C89" s="339" t="str">
        <x:v>Teachers &amp; Staff</x:v>
      </x:c>
      <x:c r="D89" s="339" t="str">
        <x:v>Staff Attendance Summary</x:v>
      </x:c>
      <x:c r="E89" s="339" t="str">
        <x:v>Draft / Candidate</x:v>
      </x:c>
      <x:c r="F89" s="339" t="str">
        <x:v>Draft / Candidate → Active Employee → On Leave (operational) → Exited / Inactive</x:v>
      </x:c>
      <x:c r="G89" s="339" t="str">
        <x:v>Only transitions valid for the current state, role, effective dates and prerequisites are accepted.</x:v>
      </x:c>
      <x:c r="H89" s="339" t="str">
        <x:v>As defined by Primary Roles / configured approval hierarchy</x:v>
      </x:c>
      <x:c r="I89" s="339" t="str">
        <x:v>Reopen/reversal uses an explicit controlled action with reason; never silently rewrite finalized history.</x:v>
      </x:c>
      <x:c r="J89" s="339" t="str">
        <x:v>Use school-configured cutoffs/SLAs; time-sensitive operations use school timezone.</x:v>
      </x:c>
    </x:row>
    <x:row r="90">
      <x:c r="A90" s="339" t="str">
        <x:v>WF-089</x:v>
      </x:c>
      <x:c r="B90" s="339" t="str">
        <x:v>SCR-089</x:v>
      </x:c>
      <x:c r="C90" s="339" t="str">
        <x:v>Teachers &amp; Staff</x:v>
      </x:c>
      <x:c r="D90" s="339" t="str">
        <x:v>Staff Leave Summary</x:v>
      </x:c>
      <x:c r="E90" s="339" t="str">
        <x:v>Draft / Candidate</x:v>
      </x:c>
      <x:c r="F90" s="339" t="str">
        <x:v>Draft / Candidate → Active Employee → On Leave (operational) → Exited / Inactive</x:v>
      </x:c>
      <x:c r="G90" s="339" t="str">
        <x:v>Only transitions valid for the current state, role, effective dates and prerequisites are accepted.</x:v>
      </x:c>
      <x:c r="H90" s="339" t="str">
        <x:v>As defined by Primary Roles / configured approval hierarchy</x:v>
      </x:c>
      <x:c r="I90" s="339" t="str">
        <x:v>Reopen/reversal uses an explicit controlled action with reason; never silently rewrite finalized history.</x:v>
      </x:c>
      <x:c r="J90" s="339" t="str">
        <x:v>Use school-configured cutoffs/SLAs; time-sensitive operations use school timezone.</x:v>
      </x:c>
    </x:row>
    <x:row r="91">
      <x:c r="A91" s="339" t="str">
        <x:v>WF-090</x:v>
      </x:c>
      <x:c r="B91" s="339" t="str">
        <x:v>SCR-090</x:v>
      </x:c>
      <x:c r="C91" s="339" t="str">
        <x:v>Teachers &amp; Staff</x:v>
      </x:c>
      <x:c r="D91" s="339" t="str">
        <x:v>Performance &amp; Classroom Observation</x:v>
      </x:c>
      <x:c r="E91" s="339" t="str">
        <x:v>Draft / Candidate</x:v>
      </x:c>
      <x:c r="F91" s="339" t="str">
        <x:v>Draft / Candidate → Active Employee → On Leave (operational) → Exited / Inactive</x:v>
      </x:c>
      <x:c r="G91" s="339" t="str">
        <x:v>Only transitions valid for the current state, role, effective dates and prerequisites are accepted.</x:v>
      </x:c>
      <x:c r="H91" s="339" t="str">
        <x:v>As defined by Primary Roles / configured approval hierarchy</x:v>
      </x:c>
      <x:c r="I91" s="339" t="str">
        <x:v>Reopen/reversal uses an explicit controlled action with reason; never silently rewrite finalized history.</x:v>
      </x:c>
      <x:c r="J91" s="339" t="str">
        <x:v>Use school-configured cutoffs/SLAs; time-sensitive operations use school timezone.</x:v>
      </x:c>
    </x:row>
    <x:row r="92">
      <x:c r="A92" s="339" t="str">
        <x:v>WF-091</x:v>
      </x:c>
      <x:c r="B92" s="339" t="str">
        <x:v>SCR-091</x:v>
      </x:c>
      <x:c r="C92" s="339" t="str">
        <x:v>Teachers &amp; Staff</x:v>
      </x:c>
      <x:c r="D92" s="339" t="str">
        <x:v>Exit / Offboarding</x:v>
      </x:c>
      <x:c r="E92" s="339" t="str">
        <x:v>Draft / Candidate</x:v>
      </x:c>
      <x:c r="F92" s="339" t="str">
        <x:v>Draft / Candidate → Active Employee → On Leave (operational) → Exited / Inactive</x:v>
      </x:c>
      <x:c r="G92" s="339" t="str">
        <x:v>Only transitions valid for the current state, role, effective dates and prerequisites are accepted.</x:v>
      </x:c>
      <x:c r="H92" s="339" t="str">
        <x:v>As defined by Primary Roles / configured approval hierarchy</x:v>
      </x:c>
      <x:c r="I92" s="339" t="str">
        <x:v>Reopen/reversal uses an explicit controlled action with reason; never silently rewrite finalized history.</x:v>
      </x:c>
      <x:c r="J92" s="339" t="str">
        <x:v>Use school-configured cutoffs/SLAs; time-sensitive operations use school timezone.</x:v>
      </x:c>
    </x:row>
    <x:row r="93">
      <x:c r="A93" s="339" t="str">
        <x:v>WF-092</x:v>
      </x:c>
      <x:c r="B93" s="339" t="str">
        <x:v>SCR-092</x:v>
      </x:c>
      <x:c r="C93" s="339" t="str">
        <x:v>Academics &amp; Curriculum</x:v>
      </x:c>
      <x:c r="D93" s="339" t="str">
        <x:v>Academic Years</x:v>
      </x:c>
      <x:c r="E93" s="339" t="str">
        <x:v>Draft</x:v>
      </x:c>
      <x:c r="F93" s="339" t="str">
        <x:v>Draft → Review (optional) → Approved → Published / Active → Archived</x:v>
      </x:c>
      <x:c r="G93" s="339" t="str">
        <x:v>Only transitions valid for the current state, role, effective dates and prerequisites are accepted.</x:v>
      </x:c>
      <x:c r="H93" s="339" t="str">
        <x:v>As defined by Primary Roles / configured approval hierarchy</x:v>
      </x:c>
      <x:c r="I93" s="339" t="str">
        <x:v>Reopen/reversal uses an explicit controlled action with reason; never silently rewrite finalized history.</x:v>
      </x:c>
      <x:c r="J93" s="339" t="str">
        <x:v>Use school-configured cutoffs/SLAs; time-sensitive operations use school timezone.</x:v>
      </x:c>
    </x:row>
    <x:row r="94">
      <x:c r="A94" s="339" t="str">
        <x:v>WF-093</x:v>
      </x:c>
      <x:c r="B94" s="339" t="str">
        <x:v>SCR-093</x:v>
      </x:c>
      <x:c r="C94" s="339" t="str">
        <x:v>Academics &amp; Curriculum</x:v>
      </x:c>
      <x:c r="D94" s="339" t="str">
        <x:v>Terms / Semesters</x:v>
      </x:c>
      <x:c r="E94" s="339" t="str">
        <x:v>Draft</x:v>
      </x:c>
      <x:c r="F94" s="339" t="str">
        <x:v>Draft → Review (optional) → Approved → Published / Active → Archived</x:v>
      </x:c>
      <x:c r="G94" s="339" t="str">
        <x:v>Only transitions valid for the current state, role, effective dates and prerequisites are accepted.</x:v>
      </x:c>
      <x:c r="H94" s="339" t="str">
        <x:v>As defined by Primary Roles / configured approval hierarchy</x:v>
      </x:c>
      <x:c r="I94" s="339" t="str">
        <x:v>Reopen/reversal uses an explicit controlled action with reason; never silently rewrite finalized history.</x:v>
      </x:c>
      <x:c r="J94" s="339" t="str">
        <x:v>Use school-configured cutoffs/SLAs; time-sensitive operations use school timezone.</x:v>
      </x:c>
    </x:row>
    <x:row r="95">
      <x:c r="A95" s="339" t="str">
        <x:v>WF-094</x:v>
      </x:c>
      <x:c r="B95" s="339" t="str">
        <x:v>SCR-094</x:v>
      </x:c>
      <x:c r="C95" s="339" t="str">
        <x:v>Academics &amp; Curriculum</x:v>
      </x:c>
      <x:c r="D95" s="339" t="str">
        <x:v>Grades / Classes</x:v>
      </x:c>
      <x:c r="E95" s="339" t="str">
        <x:v>Draft</x:v>
      </x:c>
      <x:c r="F95" s="339" t="str">
        <x:v>Draft → Review (optional) → Approved → Published / Active → Archived</x:v>
      </x:c>
      <x:c r="G95" s="339" t="str">
        <x:v>Only transitions valid for the current state, role, effective dates and prerequisites are accepted.</x:v>
      </x:c>
      <x:c r="H95" s="339" t="str">
        <x:v>As defined by Primary Roles / configured approval hierarchy</x:v>
      </x:c>
      <x:c r="I95" s="339" t="str">
        <x:v>Reopen/reversal uses an explicit controlled action with reason; never silently rewrite finalized history.</x:v>
      </x:c>
      <x:c r="J95" s="339" t="str">
        <x:v>Use school-configured cutoffs/SLAs; time-sensitive operations use school timezone.</x:v>
      </x:c>
    </x:row>
    <x:row r="96">
      <x:c r="A96" s="339" t="str">
        <x:v>WF-095</x:v>
      </x:c>
      <x:c r="B96" s="339" t="str">
        <x:v>SCR-095</x:v>
      </x:c>
      <x:c r="C96" s="339" t="str">
        <x:v>Academics &amp; Curriculum</x:v>
      </x:c>
      <x:c r="D96" s="339" t="str">
        <x:v>Sections</x:v>
      </x:c>
      <x:c r="E96" s="339" t="str">
        <x:v>Draft</x:v>
      </x:c>
      <x:c r="F96" s="339" t="str">
        <x:v>Draft → Review (optional) → Approved → Published / Active → Archived</x:v>
      </x:c>
      <x:c r="G96" s="339" t="str">
        <x:v>Only transitions valid for the current state, role, effective dates and prerequisites are accepted.</x:v>
      </x:c>
      <x:c r="H96" s="339" t="str">
        <x:v>As defined by Primary Roles / configured approval hierarchy</x:v>
      </x:c>
      <x:c r="I96" s="339" t="str">
        <x:v>Reopen/reversal uses an explicit controlled action with reason; never silently rewrite finalized history.</x:v>
      </x:c>
      <x:c r="J96" s="339" t="str">
        <x:v>Use school-configured cutoffs/SLAs; time-sensitive operations use school timezone.</x:v>
      </x:c>
    </x:row>
    <x:row r="97">
      <x:c r="A97" s="339" t="str">
        <x:v>WF-096</x:v>
      </x:c>
      <x:c r="B97" s="339" t="str">
        <x:v>SCR-096</x:v>
      </x:c>
      <x:c r="C97" s="339" t="str">
        <x:v>Academics &amp; Curriculum</x:v>
      </x:c>
      <x:c r="D97" s="339" t="str">
        <x:v>Subjects</x:v>
      </x:c>
      <x:c r="E97" s="339" t="str">
        <x:v>Draft</x:v>
      </x:c>
      <x:c r="F97" s="339" t="str">
        <x:v>Draft → Review (optional) → Approved → Published / Active → Archived</x:v>
      </x:c>
      <x:c r="G97" s="339" t="str">
        <x:v>Only transitions valid for the current state, role, effective dates and prerequisites are accepted.</x:v>
      </x:c>
      <x:c r="H97" s="339" t="str">
        <x:v>As defined by Primary Roles / configured approval hierarchy</x:v>
      </x:c>
      <x:c r="I97" s="339" t="str">
        <x:v>Reopen/reversal uses an explicit controlled action with reason; never silently rewrite finalized history.</x:v>
      </x:c>
      <x:c r="J97" s="339" t="str">
        <x:v>Use school-configured cutoffs/SLAs; time-sensitive operations use school timezone.</x:v>
      </x:c>
    </x:row>
    <x:row r="98">
      <x:c r="A98" s="339" t="str">
        <x:v>WF-097</x:v>
      </x:c>
      <x:c r="B98" s="339" t="str">
        <x:v>SCR-097</x:v>
      </x:c>
      <x:c r="C98" s="339" t="str">
        <x:v>Academics &amp; Curriculum</x:v>
      </x:c>
      <x:c r="D98" s="339" t="str">
        <x:v>Subject Groups</x:v>
      </x:c>
      <x:c r="E98" s="339" t="str">
        <x:v>Draft</x:v>
      </x:c>
      <x:c r="F98" s="339" t="str">
        <x:v>Draft → Review (optional) → Approved → Published / Active → Archived</x:v>
      </x:c>
      <x:c r="G98" s="339" t="str">
        <x:v>Only transitions valid for the current state, role, effective dates and prerequisites are accepted.</x:v>
      </x:c>
      <x:c r="H98" s="339" t="str">
        <x:v>As defined by Primary Roles / configured approval hierarchy</x:v>
      </x:c>
      <x:c r="I98" s="339" t="str">
        <x:v>Reopen/reversal uses an explicit controlled action with reason; never silently rewrite finalized history.</x:v>
      </x:c>
      <x:c r="J98" s="339" t="str">
        <x:v>Use school-configured cutoffs/SLAs; time-sensitive operations use school timezone.</x:v>
      </x:c>
    </x:row>
    <x:row r="99">
      <x:c r="A99" s="339" t="str">
        <x:v>WF-098</x:v>
      </x:c>
      <x:c r="B99" s="339" t="str">
        <x:v>SCR-098</x:v>
      </x:c>
      <x:c r="C99" s="339" t="str">
        <x:v>Academics &amp; Curriculum</x:v>
      </x:c>
      <x:c r="D99" s="339" t="str">
        <x:v>Curriculum</x:v>
      </x:c>
      <x:c r="E99" s="339" t="str">
        <x:v>Draft</x:v>
      </x:c>
      <x:c r="F99" s="339" t="str">
        <x:v>Draft → Review (optional) → Approved → Published / Active → Archived</x:v>
      </x:c>
      <x:c r="G99" s="339" t="str">
        <x:v>Only transitions valid for the current state, role, effective dates and prerequisites are accepted.</x:v>
      </x:c>
      <x:c r="H99" s="339" t="str">
        <x:v>As defined by Primary Roles / configured approval hierarchy</x:v>
      </x:c>
      <x:c r="I99" s="339" t="str">
        <x:v>Reopen/reversal uses an explicit controlled action with reason; never silently rewrite finalized history.</x:v>
      </x:c>
      <x:c r="J99" s="339" t="str">
        <x:v>Use school-configured cutoffs/SLAs; time-sensitive operations use school timezone.</x:v>
      </x:c>
    </x:row>
    <x:row r="100">
      <x:c r="A100" s="339" t="str">
        <x:v>WF-099</x:v>
      </x:c>
      <x:c r="B100" s="339" t="str">
        <x:v>SCR-099</x:v>
      </x:c>
      <x:c r="C100" s="339" t="str">
        <x:v>Academics &amp; Curriculum</x:v>
      </x:c>
      <x:c r="D100" s="339" t="str">
        <x:v>Curriculum Details</x:v>
      </x:c>
      <x:c r="E100" s="339" t="str">
        <x:v>Draft</x:v>
      </x:c>
      <x:c r="F100" s="339" t="str">
        <x:v>Draft → Review (optional) → Approved → Published / Active → Archived</x:v>
      </x:c>
      <x:c r="G100" s="339" t="str">
        <x:v>Only transitions valid for the current state, role, effective dates and prerequisites are accepted.</x:v>
      </x:c>
      <x:c r="H100" s="339" t="str">
        <x:v>As defined by Primary Roles / configured approval hierarchy</x:v>
      </x:c>
      <x:c r="I100" s="339" t="str">
        <x:v>Reopen/reversal uses an explicit controlled action with reason; never silently rewrite finalized history.</x:v>
      </x:c>
      <x:c r="J100" s="339" t="str">
        <x:v>Use school-configured cutoffs/SLAs; time-sensitive operations use school timezone.</x:v>
      </x:c>
    </x:row>
    <x:row r="101">
      <x:c r="A101" s="339" t="str">
        <x:v>WF-100</x:v>
      </x:c>
      <x:c r="B101" s="339" t="str">
        <x:v>SCR-100</x:v>
      </x:c>
      <x:c r="C101" s="339" t="str">
        <x:v>Academics &amp; Curriculum</x:v>
      </x:c>
      <x:c r="D101" s="339" t="str">
        <x:v>Units / Chapters / Topics</x:v>
      </x:c>
      <x:c r="E101" s="339" t="str">
        <x:v>Draft</x:v>
      </x:c>
      <x:c r="F101" s="339" t="str">
        <x:v>Draft → Review (optional) → Approved → Published / Active → Archived</x:v>
      </x:c>
      <x:c r="G101" s="339" t="str">
        <x:v>Only transitions valid for the current state, role, effective dates and prerequisites are accepted.</x:v>
      </x:c>
      <x:c r="H101" s="339" t="str">
        <x:v>As defined by Primary Roles / configured approval hierarchy</x:v>
      </x:c>
      <x:c r="I101" s="339" t="str">
        <x:v>Reopen/reversal uses an explicit controlled action with reason; never silently rewrite finalized history.</x:v>
      </x:c>
      <x:c r="J101" s="339" t="str">
        <x:v>Use school-configured cutoffs/SLAs; time-sensitive operations use school timezone.</x:v>
      </x:c>
    </x:row>
    <x:row r="102">
      <x:c r="A102" s="339" t="str">
        <x:v>WF-101</x:v>
      </x:c>
      <x:c r="B102" s="339" t="str">
        <x:v>SCR-101</x:v>
      </x:c>
      <x:c r="C102" s="339" t="str">
        <x:v>Academics &amp; Curriculum</x:v>
      </x:c>
      <x:c r="D102" s="339" t="str">
        <x:v>Learning Outcomes</x:v>
      </x:c>
      <x:c r="E102" s="339" t="str">
        <x:v>Draft</x:v>
      </x:c>
      <x:c r="F102" s="339" t="str">
        <x:v>Draft → Review (optional) → Approved → Published / Active → Archived</x:v>
      </x:c>
      <x:c r="G102" s="339" t="str">
        <x:v>Only transitions valid for the current state, role, effective dates and prerequisites are accepted.</x:v>
      </x:c>
      <x:c r="H102" s="339" t="str">
        <x:v>As defined by Primary Roles / configured approval hierarchy</x:v>
      </x:c>
      <x:c r="I102" s="339" t="str">
        <x:v>Reopen/reversal uses an explicit controlled action with reason; never silently rewrite finalized history.</x:v>
      </x:c>
      <x:c r="J102" s="339" t="str">
        <x:v>Use school-configured cutoffs/SLAs; time-sensitive operations use school timezone.</x:v>
      </x:c>
    </x:row>
    <x:row r="103">
      <x:c r="A103" s="339" t="str">
        <x:v>WF-102</x:v>
      </x:c>
      <x:c r="B103" s="339" t="str">
        <x:v>SCR-102</x:v>
      </x:c>
      <x:c r="C103" s="339" t="str">
        <x:v>Academics &amp; Curriculum</x:v>
      </x:c>
      <x:c r="D103" s="339" t="str">
        <x:v>Lesson Plans</x:v>
      </x:c>
      <x:c r="E103" s="339" t="str">
        <x:v>Draft</x:v>
      </x:c>
      <x:c r="F103" s="339" t="str">
        <x:v>Draft → Review (optional) → Approved → Published / Active → Archived</x:v>
      </x:c>
      <x:c r="G103" s="339" t="str">
        <x:v>Only transitions valid for the current state, role, effective dates and prerequisites are accepted.</x:v>
      </x:c>
      <x:c r="H103" s="339" t="str">
        <x:v>As defined by Primary Roles / configured approval hierarchy</x:v>
      </x:c>
      <x:c r="I103" s="339" t="str">
        <x:v>Reopen/reversal uses an explicit controlled action with reason; never silently rewrite finalized history.</x:v>
      </x:c>
      <x:c r="J103" s="339" t="str">
        <x:v>Use school-configured cutoffs/SLAs; time-sensitive operations use school timezone.</x:v>
      </x:c>
    </x:row>
    <x:row r="104">
      <x:c r="A104" s="339" t="str">
        <x:v>WF-103</x:v>
      </x:c>
      <x:c r="B104" s="339" t="str">
        <x:v>SCR-103</x:v>
      </x:c>
      <x:c r="C104" s="339" t="str">
        <x:v>Academics &amp; Curriculum</x:v>
      </x:c>
      <x:c r="D104" s="339" t="str">
        <x:v>Create / Edit Lesson Plan</x:v>
      </x:c>
      <x:c r="E104" s="339" t="str">
        <x:v>Draft</x:v>
      </x:c>
      <x:c r="F104" s="339" t="str">
        <x:v>Draft → Review (optional) → Approved → Published / Active → Archived</x:v>
      </x:c>
      <x:c r="G104" s="339" t="str">
        <x:v>Only transitions valid for the current state, role, effective dates and prerequisites are accepted.</x:v>
      </x:c>
      <x:c r="H104" s="339" t="str">
        <x:v>As defined by Primary Roles / configured approval hierarchy</x:v>
      </x:c>
      <x:c r="I104" s="339" t="str">
        <x:v>Reopen/reversal uses an explicit controlled action with reason; never silently rewrite finalized history.</x:v>
      </x:c>
      <x:c r="J104" s="339" t="str">
        <x:v>Use school-configured cutoffs/SLAs; time-sensitive operations use school timezone.</x:v>
      </x:c>
    </x:row>
    <x:row r="105">
      <x:c r="A105" s="339" t="str">
        <x:v>WF-104</x:v>
      </x:c>
      <x:c r="B105" s="339" t="str">
        <x:v>SCR-104</x:v>
      </x:c>
      <x:c r="C105" s="339" t="str">
        <x:v>Academics &amp; Curriculum</x:v>
      </x:c>
      <x:c r="D105" s="339" t="str">
        <x:v>Lesson Plan Review &amp; Approval</x:v>
      </x:c>
      <x:c r="E105" s="339" t="str">
        <x:v>Draft</x:v>
      </x:c>
      <x:c r="F105" s="339" t="str">
        <x:v>Draft → Review (optional) → Approved → Published / Active → Archived</x:v>
      </x:c>
      <x:c r="G105" s="339" t="str">
        <x:v>Only transitions valid for the current state, role, effective dates and prerequisites are accepted.</x:v>
      </x:c>
      <x:c r="H105" s="339" t="str">
        <x:v>As defined by Primary Roles / configured approval hierarchy</x:v>
      </x:c>
      <x:c r="I105" s="339" t="str">
        <x:v>Reopen/reversal uses an explicit controlled action with reason; never silently rewrite finalized history.</x:v>
      </x:c>
      <x:c r="J105" s="339" t="str">
        <x:v>Use school-configured cutoffs/SLAs; time-sensitive operations use school timezone.</x:v>
      </x:c>
    </x:row>
    <x:row r="106">
      <x:c r="A106" s="339" t="str">
        <x:v>WF-105</x:v>
      </x:c>
      <x:c r="B106" s="339" t="str">
        <x:v>SCR-105</x:v>
      </x:c>
      <x:c r="C106" s="339" t="str">
        <x:v>Academics &amp; Curriculum</x:v>
      </x:c>
      <x:c r="D106" s="339" t="str">
        <x:v>Syllabus Progress</x:v>
      </x:c>
      <x:c r="E106" s="339" t="str">
        <x:v>Draft</x:v>
      </x:c>
      <x:c r="F106" s="339" t="str">
        <x:v>Draft → Review (optional) → Approved → Published / Active → Archived</x:v>
      </x:c>
      <x:c r="G106" s="339" t="str">
        <x:v>Only transitions valid for the current state, role, effective dates and prerequisites are accepted.</x:v>
      </x:c>
      <x:c r="H106" s="339" t="str">
        <x:v>As defined by Primary Roles / configured approval hierarchy</x:v>
      </x:c>
      <x:c r="I106" s="339" t="str">
        <x:v>Reopen/reversal uses an explicit controlled action with reason; never silently rewrite finalized history.</x:v>
      </x:c>
      <x:c r="J106" s="339" t="str">
        <x:v>Use school-configured cutoffs/SLAs; time-sensitive operations use school timezone.</x:v>
      </x:c>
    </x:row>
    <x:row r="107">
      <x:c r="A107" s="339" t="str">
        <x:v>WF-106</x:v>
      </x:c>
      <x:c r="B107" s="339" t="str">
        <x:v>SCR-106</x:v>
      </x:c>
      <x:c r="C107" s="339" t="str">
        <x:v>Academics &amp; Curriculum</x:v>
      </x:c>
      <x:c r="D107" s="339" t="str">
        <x:v>Teaching Resources</x:v>
      </x:c>
      <x:c r="E107" s="339" t="str">
        <x:v>Draft</x:v>
      </x:c>
      <x:c r="F107" s="339" t="str">
        <x:v>Draft → Review (optional) → Approved → Published / Active → Archived</x:v>
      </x:c>
      <x:c r="G107" s="339" t="str">
        <x:v>Only transitions valid for the current state, role, effective dates and prerequisites are accepted.</x:v>
      </x:c>
      <x:c r="H107" s="339" t="str">
        <x:v>As defined by Primary Roles / configured approval hierarchy</x:v>
      </x:c>
      <x:c r="I107" s="339" t="str">
        <x:v>Reopen/reversal uses an explicit controlled action with reason; never silently rewrite finalized history.</x:v>
      </x:c>
      <x:c r="J107" s="339" t="str">
        <x:v>Use school-configured cutoffs/SLAs; time-sensitive operations use school timezone.</x:v>
      </x:c>
    </x:row>
    <x:row r="108">
      <x:c r="A108" s="339" t="str">
        <x:v>WF-107</x:v>
      </x:c>
      <x:c r="B108" s="339" t="str">
        <x:v>SCR-107</x:v>
      </x:c>
      <x:c r="C108" s="339" t="str">
        <x:v>Academics &amp; Curriculum</x:v>
      </x:c>
      <x:c r="D108" s="339" t="str">
        <x:v>Classroom / Room Management</x:v>
      </x:c>
      <x:c r="E108" s="339" t="str">
        <x:v>Draft</x:v>
      </x:c>
      <x:c r="F108" s="339" t="str">
        <x:v>Draft → Review (optional) → Approved → Published / Active → Archived</x:v>
      </x:c>
      <x:c r="G108" s="339" t="str">
        <x:v>Only transitions valid for the current state, role, effective dates and prerequisites are accepted.</x:v>
      </x:c>
      <x:c r="H108" s="339" t="str">
        <x:v>As defined by Primary Roles / configured approval hierarchy</x:v>
      </x:c>
      <x:c r="I108" s="339" t="str">
        <x:v>Reopen/reversal uses an explicit controlled action with reason; never silently rewrite finalized history.</x:v>
      </x:c>
      <x:c r="J108" s="339" t="str">
        <x:v>Use school-configured cutoffs/SLAs; time-sensitive operations use school timezone.</x:v>
      </x:c>
    </x:row>
    <x:row r="109">
      <x:c r="A109" s="339" t="str">
        <x:v>WF-108</x:v>
      </x:c>
      <x:c r="B109" s="339" t="str">
        <x:v>SCR-108</x:v>
      </x:c>
      <x:c r="C109" s="339" t="str">
        <x:v>Academics &amp; Curriculum</x:v>
      </x:c>
      <x:c r="D109" s="339" t="str">
        <x:v>Academic Calendar</x:v>
      </x:c>
      <x:c r="E109" s="339" t="str">
        <x:v>Draft</x:v>
      </x:c>
      <x:c r="F109" s="339" t="str">
        <x:v>Draft → Review (optional) → Approved → Published / Active → Archived</x:v>
      </x:c>
      <x:c r="G109" s="339" t="str">
        <x:v>Only transitions valid for the current state, role, effective dates and prerequisites are accepted.</x:v>
      </x:c>
      <x:c r="H109" s="339" t="str">
        <x:v>As defined by Primary Roles / configured approval hierarchy</x:v>
      </x:c>
      <x:c r="I109" s="339" t="str">
        <x:v>Reopen/reversal uses an explicit controlled action with reason; never silently rewrite finalized history.</x:v>
      </x:c>
      <x:c r="J109" s="339" t="str">
        <x:v>Use school-configured cutoffs/SLAs; time-sensitive operations use school timezone.</x:v>
      </x:c>
    </x:row>
    <x:row r="110">
      <x:c r="A110" s="339" t="str">
        <x:v>WF-109</x:v>
      </x:c>
      <x:c r="B110" s="339" t="str">
        <x:v>SCR-109</x:v>
      </x:c>
      <x:c r="C110" s="339" t="str">
        <x:v>Academics &amp; Curriculum</x:v>
      </x:c>
      <x:c r="D110" s="339" t="str">
        <x:v>Co-Curricular Activities</x:v>
      </x:c>
      <x:c r="E110" s="339" t="str">
        <x:v>Draft</x:v>
      </x:c>
      <x:c r="F110" s="339" t="str">
        <x:v>Draft → Review (optional) → Approved → Published / Active → Archived</x:v>
      </x:c>
      <x:c r="G110" s="339" t="str">
        <x:v>Only transitions valid for the current state, role, effective dates and prerequisites are accepted.</x:v>
      </x:c>
      <x:c r="H110" s="339" t="str">
        <x:v>As defined by Primary Roles / configured approval hierarchy</x:v>
      </x:c>
      <x:c r="I110" s="339" t="str">
        <x:v>Reopen/reversal uses an explicit controlled action with reason; never silently rewrite finalized history.</x:v>
      </x:c>
      <x:c r="J110" s="339" t="str">
        <x:v>Use school-configured cutoffs/SLAs; time-sensitive operations use school timezone.</x:v>
      </x:c>
    </x:row>
    <x:row r="111">
      <x:c r="A111" s="339" t="str">
        <x:v>WF-110</x:v>
      </x:c>
      <x:c r="B111" s="339" t="str">
        <x:v>SCR-110</x:v>
      </x:c>
      <x:c r="C111" s="339" t="str">
        <x:v>Student Attendance</x:v>
      </x:c>
      <x:c r="D111" s="339" t="str">
        <x:v>Daily Class Attendance</x:v>
      </x:c>
      <x:c r="E111" s="339" t="str">
        <x:v>Pending</x:v>
      </x:c>
      <x:c r="F111" s="339" t="str">
        <x:v>Pending → Present / Absent / Late / Leave / Half-day → Locked → Corrected (approved)</x:v>
      </x:c>
      <x:c r="G111" s="339" t="str">
        <x:v>Only transitions valid for the current state, role, effective dates and prerequisites are accepted.</x:v>
      </x:c>
      <x:c r="H111" s="339" t="str">
        <x:v>As defined by Primary Roles / configured approval hierarchy</x:v>
      </x:c>
      <x:c r="I111" s="339" t="str">
        <x:v>Reopen/reversal uses an explicit controlled action with reason; never silently rewrite finalized history.</x:v>
      </x:c>
      <x:c r="J111" s="339" t="str">
        <x:v>Use school-configured cutoffs/SLAs; time-sensitive operations use school timezone.</x:v>
      </x:c>
    </x:row>
    <x:row r="112">
      <x:c r="A112" s="339" t="str">
        <x:v>WF-111</x:v>
      </x:c>
      <x:c r="B112" s="339" t="str">
        <x:v>SCR-111</x:v>
      </x:c>
      <x:c r="C112" s="339" t="str">
        <x:v>Student Attendance</x:v>
      </x:c>
      <x:c r="D112" s="339" t="str">
        <x:v>Period / Subject Attendance</x:v>
      </x:c>
      <x:c r="E112" s="339" t="str">
        <x:v>Pending</x:v>
      </x:c>
      <x:c r="F112" s="339" t="str">
        <x:v>Pending → Present / Absent / Late / Leave / Half-day → Locked → Corrected (approved)</x:v>
      </x:c>
      <x:c r="G112" s="339" t="str">
        <x:v>Only transitions valid for the current state, role, effective dates and prerequisites are accepted.</x:v>
      </x:c>
      <x:c r="H112" s="339" t="str">
        <x:v>As defined by Primary Roles / configured approval hierarchy</x:v>
      </x:c>
      <x:c r="I112" s="339" t="str">
        <x:v>Reopen/reversal uses an explicit controlled action with reason; never silently rewrite finalized history.</x:v>
      </x:c>
      <x:c r="J112" s="339" t="str">
        <x:v>Use school-configured cutoffs/SLAs; time-sensitive operations use school timezone.</x:v>
      </x:c>
    </x:row>
    <x:row r="113">
      <x:c r="A113" s="339" t="str">
        <x:v>WF-112</x:v>
      </x:c>
      <x:c r="B113" s="339" t="str">
        <x:v>SCR-112</x:v>
      </x:c>
      <x:c r="C113" s="339" t="str">
        <x:v>Student Attendance</x:v>
      </x:c>
      <x:c r="D113" s="339" t="str">
        <x:v>Student Attendance Register</x:v>
      </x:c>
      <x:c r="E113" s="339" t="str">
        <x:v>Pending</x:v>
      </x:c>
      <x:c r="F113" s="339" t="str">
        <x:v>Pending → Present / Absent / Late / Leave / Half-day → Locked → Corrected (approved)</x:v>
      </x:c>
      <x:c r="G113" s="339" t="str">
        <x:v>Only transitions valid for the current state, role, effective dates and prerequisites are accepted.</x:v>
      </x:c>
      <x:c r="H113" s="339" t="str">
        <x:v>As defined by Primary Roles / configured approval hierarchy</x:v>
      </x:c>
      <x:c r="I113" s="339" t="str">
        <x:v>Reopen/reversal uses an explicit controlled action with reason; never silently rewrite finalized history.</x:v>
      </x:c>
      <x:c r="J113" s="339" t="str">
        <x:v>Use school-configured cutoffs/SLAs; time-sensitive operations use school timezone.</x:v>
      </x:c>
    </x:row>
    <x:row r="114">
      <x:c r="A114" s="339" t="str">
        <x:v>WF-113</x:v>
      </x:c>
      <x:c r="B114" s="339" t="str">
        <x:v>SCR-113</x:v>
      </x:c>
      <x:c r="C114" s="339" t="str">
        <x:v>Student Attendance</x:v>
      </x:c>
      <x:c r="D114" s="339" t="str">
        <x:v>Attendance Correction</x:v>
      </x:c>
      <x:c r="E114" s="339" t="str">
        <x:v>Pending</x:v>
      </x:c>
      <x:c r="F114" s="339" t="str">
        <x:v>Pending → Present / Absent / Late / Leave / Half-day → Locked → Corrected (approved)</x:v>
      </x:c>
      <x:c r="G114" s="339" t="str">
        <x:v>Only transitions valid for the current state, role, effective dates and prerequisites are accepted.</x:v>
      </x:c>
      <x:c r="H114" s="339" t="str">
        <x:v>As defined by Primary Roles / configured approval hierarchy</x:v>
      </x:c>
      <x:c r="I114" s="339" t="str">
        <x:v>Reopen/reversal uses an explicit controlled action with reason; never silently rewrite finalized history.</x:v>
      </x:c>
      <x:c r="J114" s="339" t="str">
        <x:v>Use school-configured cutoffs/SLAs; time-sensitive operations use school timezone.</x:v>
      </x:c>
    </x:row>
    <x:row r="115">
      <x:c r="A115" s="339" t="str">
        <x:v>WF-114</x:v>
      </x:c>
      <x:c r="B115" s="339" t="str">
        <x:v>SCR-114</x:v>
      </x:c>
      <x:c r="C115" s="339" t="str">
        <x:v>Student Attendance</x:v>
      </x:c>
      <x:c r="D115" s="339" t="str">
        <x:v>Student Leave Requests</x:v>
      </x:c>
      <x:c r="E115" s="339" t="str">
        <x:v>Pending</x:v>
      </x:c>
      <x:c r="F115" s="339" t="str">
        <x:v>Pending → Present / Absent / Late / Leave / Half-day → Locked → Corrected (approved)</x:v>
      </x:c>
      <x:c r="G115" s="339" t="str">
        <x:v>Only transitions valid for the current state, role, effective dates and prerequisites are accepted.</x:v>
      </x:c>
      <x:c r="H115" s="339" t="str">
        <x:v>As defined by Primary Roles / configured approval hierarchy</x:v>
      </x:c>
      <x:c r="I115" s="339" t="str">
        <x:v>Reopen/reversal uses an explicit controlled action with reason; never silently rewrite finalized history.</x:v>
      </x:c>
      <x:c r="J115" s="339" t="str">
        <x:v>Use school-configured cutoffs/SLAs; time-sensitive operations use school timezone.</x:v>
      </x:c>
    </x:row>
    <x:row r="116">
      <x:c r="A116" s="339" t="str">
        <x:v>WF-115</x:v>
      </x:c>
      <x:c r="B116" s="339" t="str">
        <x:v>SCR-115</x:v>
      </x:c>
      <x:c r="C116" s="339" t="str">
        <x:v>Student Attendance</x:v>
      </x:c>
      <x:c r="D116" s="339" t="str">
        <x:v>Student Leave Approval</x:v>
      </x:c>
      <x:c r="E116" s="339" t="str">
        <x:v>Pending</x:v>
      </x:c>
      <x:c r="F116" s="339" t="str">
        <x:v>Pending → Present / Absent / Late / Leave / Half-day → Locked → Corrected (approved)</x:v>
      </x:c>
      <x:c r="G116" s="339" t="str">
        <x:v>Only transitions valid for the current state, role, effective dates and prerequisites are accepted.</x:v>
      </x:c>
      <x:c r="H116" s="339" t="str">
        <x:v>As defined by Primary Roles / configured approval hierarchy</x:v>
      </x:c>
      <x:c r="I116" s="339" t="str">
        <x:v>Reopen/reversal uses an explicit controlled action with reason; never silently rewrite finalized history.</x:v>
      </x:c>
      <x:c r="J116" s="339" t="str">
        <x:v>Use school-configured cutoffs/SLAs; time-sensitive operations use school timezone.</x:v>
      </x:c>
    </x:row>
    <x:row r="117">
      <x:c r="A117" s="339" t="str">
        <x:v>WF-116</x:v>
      </x:c>
      <x:c r="B117" s="339" t="str">
        <x:v>SCR-116</x:v>
      </x:c>
      <x:c r="C117" s="339" t="str">
        <x:v>Student Attendance</x:v>
      </x:c>
      <x:c r="D117" s="339" t="str">
        <x:v>Late Entry / Early Exit</x:v>
      </x:c>
      <x:c r="E117" s="339" t="str">
        <x:v>Pending</x:v>
      </x:c>
      <x:c r="F117" s="339" t="str">
        <x:v>Pending → Present / Absent / Late / Leave / Half-day → Locked → Corrected (approved)</x:v>
      </x:c>
      <x:c r="G117" s="339" t="str">
        <x:v>Only transitions valid for the current state, role, effective dates and prerequisites are accepted.</x:v>
      </x:c>
      <x:c r="H117" s="339" t="str">
        <x:v>As defined by Primary Roles / configured approval hierarchy</x:v>
      </x:c>
      <x:c r="I117" s="339" t="str">
        <x:v>Reopen/reversal uses an explicit controlled action with reason; never silently rewrite finalized history.</x:v>
      </x:c>
      <x:c r="J117" s="339" t="str">
        <x:v>Use school-configured cutoffs/SLAs; time-sensitive operations use school timezone.</x:v>
      </x:c>
    </x:row>
    <x:row r="118">
      <x:c r="A118" s="339" t="str">
        <x:v>WF-117</x:v>
      </x:c>
      <x:c r="B118" s="339" t="str">
        <x:v>SCR-117</x:v>
      </x:c>
      <x:c r="C118" s="339" t="str">
        <x:v>Student Attendance</x:v>
      </x:c>
      <x:c r="D118" s="339" t="str">
        <x:v>Monthly Attendance Summary</x:v>
      </x:c>
      <x:c r="E118" s="339" t="str">
        <x:v>Pending</x:v>
      </x:c>
      <x:c r="F118" s="339" t="str">
        <x:v>Pending → Present / Absent / Late / Leave / Half-day → Locked → Corrected (approved)</x:v>
      </x:c>
      <x:c r="G118" s="339" t="str">
        <x:v>Only transitions valid for the current state, role, effective dates and prerequisites are accepted.</x:v>
      </x:c>
      <x:c r="H118" s="339" t="str">
        <x:v>As defined by Primary Roles / configured approval hierarchy</x:v>
      </x:c>
      <x:c r="I118" s="339" t="str">
        <x:v>Reopen/reversal uses an explicit controlled action with reason; never silently rewrite finalized history.</x:v>
      </x:c>
      <x:c r="J118" s="339" t="str">
        <x:v>Use school-configured cutoffs/SLAs; time-sensitive operations use school timezone.</x:v>
      </x:c>
    </x:row>
    <x:row r="119">
      <x:c r="A119" s="339" t="str">
        <x:v>WF-118</x:v>
      </x:c>
      <x:c r="B119" s="339" t="str">
        <x:v>SCR-118</x:v>
      </x:c>
      <x:c r="C119" s="339" t="str">
        <x:v>Student Attendance</x:v>
      </x:c>
      <x:c r="D119" s="339" t="str">
        <x:v>Chronic Absence Alerts</x:v>
      </x:c>
      <x:c r="E119" s="339" t="str">
        <x:v>Pending</x:v>
      </x:c>
      <x:c r="F119" s="339" t="str">
        <x:v>Pending → Present / Absent / Late / Leave / Half-day → Locked → Corrected (approved)</x:v>
      </x:c>
      <x:c r="G119" s="339" t="str">
        <x:v>Only transitions valid for the current state, role, effective dates and prerequisites are accepted.</x:v>
      </x:c>
      <x:c r="H119" s="339" t="str">
        <x:v>As defined by Primary Roles / configured approval hierarchy</x:v>
      </x:c>
      <x:c r="I119" s="339" t="str">
        <x:v>Reopen/reversal uses an explicit controlled action with reason; never silently rewrite finalized history.</x:v>
      </x:c>
      <x:c r="J119" s="339" t="str">
        <x:v>Use school-configured cutoffs/SLAs; time-sensitive operations use school timezone.</x:v>
      </x:c>
    </x:row>
    <x:row r="120">
      <x:c r="A120" s="339" t="str">
        <x:v>WF-119</x:v>
      </x:c>
      <x:c r="B120" s="339" t="str">
        <x:v>SCR-119</x:v>
      </x:c>
      <x:c r="C120" s="339" t="str">
        <x:v>Student Attendance</x:v>
      </x:c>
      <x:c r="D120" s="339" t="str">
        <x:v>Attendance Reports</x:v>
      </x:c>
      <x:c r="E120" s="339" t="str">
        <x:v>Pending</x:v>
      </x:c>
      <x:c r="F120" s="339" t="str">
        <x:v>Pending → Present / Absent / Late / Leave / Half-day → Locked → Corrected (approved)</x:v>
      </x:c>
      <x:c r="G120" s="339" t="str">
        <x:v>Only transitions valid for the current state, role, effective dates and prerequisites are accepted.</x:v>
      </x:c>
      <x:c r="H120" s="339" t="str">
        <x:v>As defined by Primary Roles / configured approval hierarchy</x:v>
      </x:c>
      <x:c r="I120" s="339" t="str">
        <x:v>Reopen/reversal uses an explicit controlled action with reason; never silently rewrite finalized history.</x:v>
      </x:c>
      <x:c r="J120" s="339" t="str">
        <x:v>Use school-configured cutoffs/SLAs; time-sensitive operations use school timezone.</x:v>
      </x:c>
    </x:row>
    <x:row r="121">
      <x:c r="A121" s="339" t="str">
        <x:v>WF-120</x:v>
      </x:c>
      <x:c r="B121" s="339" t="str">
        <x:v>SCR-120</x:v>
      </x:c>
      <x:c r="C121" s="339" t="str">
        <x:v>Timetable &amp; Substitution</x:v>
      </x:c>
      <x:c r="D121" s="339" t="str">
        <x:v>Timetable Dashboard</x:v>
      </x:c>
      <x:c r="E121" s="339" t="str">
        <x:v>Draft</x:v>
      </x:c>
      <x:c r="F121" s="339" t="str">
        <x:v>Draft → Validated → Published → Revised / Archived</x:v>
      </x:c>
      <x:c r="G121" s="339" t="str">
        <x:v>Only transitions valid for the current state, role, effective dates and prerequisites are accepted.</x:v>
      </x:c>
      <x:c r="H121" s="339" t="str">
        <x:v>As defined by Primary Roles / configured approval hierarchy</x:v>
      </x:c>
      <x:c r="I121" s="339" t="str">
        <x:v>Reopen/reversal uses an explicit controlled action with reason; never silently rewrite finalized history.</x:v>
      </x:c>
      <x:c r="J121" s="339" t="str">
        <x:v>Use school-configured cutoffs/SLAs; time-sensitive operations use school timezone.</x:v>
      </x:c>
    </x:row>
    <x:row r="122">
      <x:c r="A122" s="339" t="str">
        <x:v>WF-121</x:v>
      </x:c>
      <x:c r="B122" s="339" t="str">
        <x:v>SCR-121</x:v>
      </x:c>
      <x:c r="C122" s="339" t="str">
        <x:v>Timetable &amp; Substitution</x:v>
      </x:c>
      <x:c r="D122" s="339" t="str">
        <x:v>Timetable Setup</x:v>
      </x:c>
      <x:c r="E122" s="339" t="str">
        <x:v>Draft</x:v>
      </x:c>
      <x:c r="F122" s="339" t="str">
        <x:v>Draft → Validated → Published → Revised / Archived</x:v>
      </x:c>
      <x:c r="G122" s="339" t="str">
        <x:v>Only transitions valid for the current state, role, effective dates and prerequisites are accepted.</x:v>
      </x:c>
      <x:c r="H122" s="339" t="str">
        <x:v>As defined by Primary Roles / configured approval hierarchy</x:v>
      </x:c>
      <x:c r="I122" s="339" t="str">
        <x:v>Reopen/reversal uses an explicit controlled action with reason; never silently rewrite finalized history.</x:v>
      </x:c>
      <x:c r="J122" s="339" t="str">
        <x:v>Use school-configured cutoffs/SLAs; time-sensitive operations use school timezone.</x:v>
      </x:c>
    </x:row>
    <x:row r="123">
      <x:c r="A123" s="339" t="str">
        <x:v>WF-122</x:v>
      </x:c>
      <x:c r="B123" s="339" t="str">
        <x:v>SCR-122</x:v>
      </x:c>
      <x:c r="C123" s="339" t="str">
        <x:v>Timetable &amp; Substitution</x:v>
      </x:c>
      <x:c r="D123" s="339" t="str">
        <x:v>Period Setup</x:v>
      </x:c>
      <x:c r="E123" s="339" t="str">
        <x:v>Draft</x:v>
      </x:c>
      <x:c r="F123" s="339" t="str">
        <x:v>Draft → Validated → Published → Revised / Archived</x:v>
      </x:c>
      <x:c r="G123" s="339" t="str">
        <x:v>Only transitions valid for the current state, role, effective dates and prerequisites are accepted.</x:v>
      </x:c>
      <x:c r="H123" s="339" t="str">
        <x:v>As defined by Primary Roles / configured approval hierarchy</x:v>
      </x:c>
      <x:c r="I123" s="339" t="str">
        <x:v>Reopen/reversal uses an explicit controlled action with reason; never silently rewrite finalized history.</x:v>
      </x:c>
      <x:c r="J123" s="339" t="str">
        <x:v>Use school-configured cutoffs/SLAs; time-sensitive operations use school timezone.</x:v>
      </x:c>
    </x:row>
    <x:row r="124">
      <x:c r="A124" s="339" t="str">
        <x:v>WF-123</x:v>
      </x:c>
      <x:c r="B124" s="339" t="str">
        <x:v>SCR-123</x:v>
      </x:c>
      <x:c r="C124" s="339" t="str">
        <x:v>Timetable &amp; Substitution</x:v>
      </x:c>
      <x:c r="D124" s="339" t="str">
        <x:v>Teacher Availability</x:v>
      </x:c>
      <x:c r="E124" s="339" t="str">
        <x:v>Draft</x:v>
      </x:c>
      <x:c r="F124" s="339" t="str">
        <x:v>Draft → Validated → Published → Revised / Archived</x:v>
      </x:c>
      <x:c r="G124" s="339" t="str">
        <x:v>Only transitions valid for the current state, role, effective dates and prerequisites are accepted.</x:v>
      </x:c>
      <x:c r="H124" s="339" t="str">
        <x:v>As defined by Primary Roles / configured approval hierarchy</x:v>
      </x:c>
      <x:c r="I124" s="339" t="str">
        <x:v>Reopen/reversal uses an explicit controlled action with reason; never silently rewrite finalized history.</x:v>
      </x:c>
      <x:c r="J124" s="339" t="str">
        <x:v>Use school-configured cutoffs/SLAs; time-sensitive operations use school timezone.</x:v>
      </x:c>
    </x:row>
    <x:row r="125">
      <x:c r="A125" s="339" t="str">
        <x:v>WF-124</x:v>
      </x:c>
      <x:c r="B125" s="339" t="str">
        <x:v>SCR-124</x:v>
      </x:c>
      <x:c r="C125" s="339" t="str">
        <x:v>Timetable &amp; Substitution</x:v>
      </x:c>
      <x:c r="D125" s="339" t="str">
        <x:v>Generate Timetable</x:v>
      </x:c>
      <x:c r="E125" s="339" t="str">
        <x:v>Draft</x:v>
      </x:c>
      <x:c r="F125" s="339" t="str">
        <x:v>Draft → Validated → Published → Revised / Archived</x:v>
      </x:c>
      <x:c r="G125" s="339" t="str">
        <x:v>Only transitions valid for the current state, role, effective dates and prerequisites are accepted.</x:v>
      </x:c>
      <x:c r="H125" s="339" t="str">
        <x:v>As defined by Primary Roles / configured approval hierarchy</x:v>
      </x:c>
      <x:c r="I125" s="339" t="str">
        <x:v>Reopen/reversal uses an explicit controlled action with reason; never silently rewrite finalized history.</x:v>
      </x:c>
      <x:c r="J125" s="339" t="str">
        <x:v>Use school-configured cutoffs/SLAs; time-sensitive operations use school timezone.</x:v>
      </x:c>
    </x:row>
    <x:row r="126">
      <x:c r="A126" s="339" t="str">
        <x:v>WF-125</x:v>
      </x:c>
      <x:c r="B126" s="339" t="str">
        <x:v>SCR-125</x:v>
      </x:c>
      <x:c r="C126" s="339" t="str">
        <x:v>Timetable &amp; Substitution</x:v>
      </x:c>
      <x:c r="D126" s="339" t="str">
        <x:v>Class Timetable</x:v>
      </x:c>
      <x:c r="E126" s="339" t="str">
        <x:v>Draft</x:v>
      </x:c>
      <x:c r="F126" s="339" t="str">
        <x:v>Draft → Validated → Published → Revised / Archived</x:v>
      </x:c>
      <x:c r="G126" s="339" t="str">
        <x:v>Only transitions valid for the current state, role, effective dates and prerequisites are accepted.</x:v>
      </x:c>
      <x:c r="H126" s="339" t="str">
        <x:v>As defined by Primary Roles / configured approval hierarchy</x:v>
      </x:c>
      <x:c r="I126" s="339" t="str">
        <x:v>Reopen/reversal uses an explicit controlled action with reason; never silently rewrite finalized history.</x:v>
      </x:c>
      <x:c r="J126" s="339" t="str">
        <x:v>Use school-configured cutoffs/SLAs; time-sensitive operations use school timezone.</x:v>
      </x:c>
    </x:row>
    <x:row r="127">
      <x:c r="A127" s="339" t="str">
        <x:v>WF-126</x:v>
      </x:c>
      <x:c r="B127" s="339" t="str">
        <x:v>SCR-126</x:v>
      </x:c>
      <x:c r="C127" s="339" t="str">
        <x:v>Timetable &amp; Substitution</x:v>
      </x:c>
      <x:c r="D127" s="339" t="str">
        <x:v>Teacher Timetable</x:v>
      </x:c>
      <x:c r="E127" s="339" t="str">
        <x:v>Draft</x:v>
      </x:c>
      <x:c r="F127" s="339" t="str">
        <x:v>Draft → Validated → Published → Revised / Archived</x:v>
      </x:c>
      <x:c r="G127" s="339" t="str">
        <x:v>Only transitions valid for the current state, role, effective dates and prerequisites are accepted.</x:v>
      </x:c>
      <x:c r="H127" s="339" t="str">
        <x:v>As defined by Primary Roles / configured approval hierarchy</x:v>
      </x:c>
      <x:c r="I127" s="339" t="str">
        <x:v>Reopen/reversal uses an explicit controlled action with reason; never silently rewrite finalized history.</x:v>
      </x:c>
      <x:c r="J127" s="339" t="str">
        <x:v>Use school-configured cutoffs/SLAs; time-sensitive operations use school timezone.</x:v>
      </x:c>
    </x:row>
    <x:row r="128">
      <x:c r="A128" s="339" t="str">
        <x:v>WF-127</x:v>
      </x:c>
      <x:c r="B128" s="339" t="str">
        <x:v>SCR-127</x:v>
      </x:c>
      <x:c r="C128" s="339" t="str">
        <x:v>Timetable &amp; Substitution</x:v>
      </x:c>
      <x:c r="D128" s="339" t="str">
        <x:v>Substitution / Replacement</x:v>
      </x:c>
      <x:c r="E128" s="339" t="str">
        <x:v>Draft</x:v>
      </x:c>
      <x:c r="F128" s="339" t="str">
        <x:v>Draft → Validated → Published → Revised / Archived</x:v>
      </x:c>
      <x:c r="G128" s="339" t="str">
        <x:v>Only transitions valid for the current state, role, effective dates and prerequisites are accepted.</x:v>
      </x:c>
      <x:c r="H128" s="339" t="str">
        <x:v>As defined by Primary Roles / configured approval hierarchy</x:v>
      </x:c>
      <x:c r="I128" s="339" t="str">
        <x:v>Reopen/reversal uses an explicit controlled action with reason; never silently rewrite finalized history.</x:v>
      </x:c>
      <x:c r="J128" s="339" t="str">
        <x:v>Use school-configured cutoffs/SLAs; time-sensitive operations use school timezone.</x:v>
      </x:c>
    </x:row>
    <x:row r="129">
      <x:c r="A129" s="339" t="str">
        <x:v>WF-128</x:v>
      </x:c>
      <x:c r="B129" s="339" t="str">
        <x:v>SCR-128</x:v>
      </x:c>
      <x:c r="C129" s="339" t="str">
        <x:v>Homework &amp; Assignments</x:v>
      </x:c>
      <x:c r="D129" s="339" t="str">
        <x:v>Homework List</x:v>
      </x:c>
      <x:c r="E129" s="339" t="str">
        <x:v>Draft</x:v>
      </x:c>
      <x:c r="F129" s="339" t="str">
        <x:v>Draft → Published → Submitted / Late / Missing → Evaluated → Returned / Closed</x:v>
      </x:c>
      <x:c r="G129" s="339" t="str">
        <x:v>Only transitions valid for the current state, role, effective dates and prerequisites are accepted.</x:v>
      </x:c>
      <x:c r="H129" s="339" t="str">
        <x:v>As defined by Primary Roles / configured approval hierarchy</x:v>
      </x:c>
      <x:c r="I129" s="339" t="str">
        <x:v>Reopen/reversal uses an explicit controlled action with reason; never silently rewrite finalized history.</x:v>
      </x:c>
      <x:c r="J129" s="339" t="str">
        <x:v>Use school-configured cutoffs/SLAs; time-sensitive operations use school timezone.</x:v>
      </x:c>
    </x:row>
    <x:row r="130">
      <x:c r="A130" s="339" t="str">
        <x:v>WF-129</x:v>
      </x:c>
      <x:c r="B130" s="339" t="str">
        <x:v>SCR-129</x:v>
      </x:c>
      <x:c r="C130" s="339" t="str">
        <x:v>Homework &amp; Assignments</x:v>
      </x:c>
      <x:c r="D130" s="339" t="str">
        <x:v>Create Homework</x:v>
      </x:c>
      <x:c r="E130" s="339" t="str">
        <x:v>Draft</x:v>
      </x:c>
      <x:c r="F130" s="339" t="str">
        <x:v>Draft → Published → Submitted / Late / Missing → Evaluated → Returned / Closed</x:v>
      </x:c>
      <x:c r="G130" s="339" t="str">
        <x:v>Only transitions valid for the current state, role, effective dates and prerequisites are accepted.</x:v>
      </x:c>
      <x:c r="H130" s="339" t="str">
        <x:v>As defined by Primary Roles / configured approval hierarchy</x:v>
      </x:c>
      <x:c r="I130" s="339" t="str">
        <x:v>Reopen/reversal uses an explicit controlled action with reason; never silently rewrite finalized history.</x:v>
      </x:c>
      <x:c r="J130" s="339" t="str">
        <x:v>Use school-configured cutoffs/SLAs; time-sensitive operations use school timezone.</x:v>
      </x:c>
    </x:row>
    <x:row r="131">
      <x:c r="A131" s="339" t="str">
        <x:v>WF-130</x:v>
      </x:c>
      <x:c r="B131" s="339" t="str">
        <x:v>SCR-130</x:v>
      </x:c>
      <x:c r="C131" s="339" t="str">
        <x:v>Homework &amp; Assignments</x:v>
      </x:c>
      <x:c r="D131" s="339" t="str">
        <x:v>Homework Details</x:v>
      </x:c>
      <x:c r="E131" s="339" t="str">
        <x:v>Draft</x:v>
      </x:c>
      <x:c r="F131" s="339" t="str">
        <x:v>Draft → Published → Submitted / Late / Missing → Evaluated → Returned / Closed</x:v>
      </x:c>
      <x:c r="G131" s="339" t="str">
        <x:v>Only transitions valid for the current state, role, effective dates and prerequisites are accepted.</x:v>
      </x:c>
      <x:c r="H131" s="339" t="str">
        <x:v>As defined by Primary Roles / configured approval hierarchy</x:v>
      </x:c>
      <x:c r="I131" s="339" t="str">
        <x:v>Reopen/reversal uses an explicit controlled action with reason; never silently rewrite finalized history.</x:v>
      </x:c>
      <x:c r="J131" s="339" t="str">
        <x:v>Use school-configured cutoffs/SLAs; time-sensitive operations use school timezone.</x:v>
      </x:c>
    </x:row>
    <x:row r="132">
      <x:c r="A132" s="339" t="str">
        <x:v>WF-131</x:v>
      </x:c>
      <x:c r="B132" s="339" t="str">
        <x:v>SCR-131</x:v>
      </x:c>
      <x:c r="C132" s="339" t="str">
        <x:v>Homework &amp; Assignments</x:v>
      </x:c>
      <x:c r="D132" s="339" t="str">
        <x:v>Student Homework View</x:v>
      </x:c>
      <x:c r="E132" s="339" t="str">
        <x:v>Draft</x:v>
      </x:c>
      <x:c r="F132" s="339" t="str">
        <x:v>Draft → Published → Submitted / Late / Missing → Evaluated → Returned / Closed</x:v>
      </x:c>
      <x:c r="G132" s="339" t="str">
        <x:v>Only transitions valid for the current state, role, effective dates and prerequisites are accepted.</x:v>
      </x:c>
      <x:c r="H132" s="339" t="str">
        <x:v>As defined by Primary Roles / configured approval hierarchy</x:v>
      </x:c>
      <x:c r="I132" s="339" t="str">
        <x:v>Reopen/reversal uses an explicit controlled action with reason; never silently rewrite finalized history.</x:v>
      </x:c>
      <x:c r="J132" s="339" t="str">
        <x:v>Use school-configured cutoffs/SLAs; time-sensitive operations use school timezone.</x:v>
      </x:c>
    </x:row>
    <x:row r="133">
      <x:c r="A133" s="339" t="str">
        <x:v>WF-132</x:v>
      </x:c>
      <x:c r="B133" s="339" t="str">
        <x:v>SCR-132</x:v>
      </x:c>
      <x:c r="C133" s="339" t="str">
        <x:v>Homework &amp; Assignments</x:v>
      </x:c>
      <x:c r="D133" s="339" t="str">
        <x:v>Homework Submission</x:v>
      </x:c>
      <x:c r="E133" s="339" t="str">
        <x:v>Draft</x:v>
      </x:c>
      <x:c r="F133" s="339" t="str">
        <x:v>Draft → Published → Submitted / Late / Missing → Evaluated → Returned / Closed</x:v>
      </x:c>
      <x:c r="G133" s="339" t="str">
        <x:v>Only transitions valid for the current state, role, effective dates and prerequisites are accepted.</x:v>
      </x:c>
      <x:c r="H133" s="339" t="str">
        <x:v>As defined by Primary Roles / configured approval hierarchy</x:v>
      </x:c>
      <x:c r="I133" s="339" t="str">
        <x:v>Reopen/reversal uses an explicit controlled action with reason; never silently rewrite finalized history.</x:v>
      </x:c>
      <x:c r="J133" s="339" t="str">
        <x:v>Use school-configured cutoffs/SLAs; time-sensitive operations use school timezone.</x:v>
      </x:c>
    </x:row>
    <x:row r="134">
      <x:c r="A134" s="339" t="str">
        <x:v>WF-133</x:v>
      </x:c>
      <x:c r="B134" s="339" t="str">
        <x:v>SCR-133</x:v>
      </x:c>
      <x:c r="C134" s="339" t="str">
        <x:v>Homework &amp; Assignments</x:v>
      </x:c>
      <x:c r="D134" s="339" t="str">
        <x:v>Homework Evaluation</x:v>
      </x:c>
      <x:c r="E134" s="339" t="str">
        <x:v>Draft</x:v>
      </x:c>
      <x:c r="F134" s="339" t="str">
        <x:v>Draft → Published → Submitted / Late / Missing → Evaluated → Returned / Closed</x:v>
      </x:c>
      <x:c r="G134" s="339" t="str">
        <x:v>Only transitions valid for the current state, role, effective dates and prerequisites are accepted.</x:v>
      </x:c>
      <x:c r="H134" s="339" t="str">
        <x:v>As defined by Primary Roles / configured approval hierarchy</x:v>
      </x:c>
      <x:c r="I134" s="339" t="str">
        <x:v>Reopen/reversal uses an explicit controlled action with reason; never silently rewrite finalized history.</x:v>
      </x:c>
      <x:c r="J134" s="339" t="str">
        <x:v>Use school-configured cutoffs/SLAs; time-sensitive operations use school timezone.</x:v>
      </x:c>
    </x:row>
    <x:row r="135">
      <x:c r="A135" s="339" t="str">
        <x:v>WF-134</x:v>
      </x:c>
      <x:c r="B135" s="339" t="str">
        <x:v>SCR-134</x:v>
      </x:c>
      <x:c r="C135" s="339" t="str">
        <x:v>Homework &amp; Assignments</x:v>
      </x:c>
      <x:c r="D135" s="339" t="str">
        <x:v>Assignment List</x:v>
      </x:c>
      <x:c r="E135" s="339" t="str">
        <x:v>Draft</x:v>
      </x:c>
      <x:c r="F135" s="339" t="str">
        <x:v>Draft → Published → Submitted / Late / Missing → Evaluated → Returned / Closed</x:v>
      </x:c>
      <x:c r="G135" s="339" t="str">
        <x:v>Only transitions valid for the current state, role, effective dates and prerequisites are accepted.</x:v>
      </x:c>
      <x:c r="H135" s="339" t="str">
        <x:v>As defined by Primary Roles / configured approval hierarchy</x:v>
      </x:c>
      <x:c r="I135" s="339" t="str">
        <x:v>Reopen/reversal uses an explicit controlled action with reason; never silently rewrite finalized history.</x:v>
      </x:c>
      <x:c r="J135" s="339" t="str">
        <x:v>Use school-configured cutoffs/SLAs; time-sensitive operations use school timezone.</x:v>
      </x:c>
    </x:row>
    <x:row r="136">
      <x:c r="A136" s="339" t="str">
        <x:v>WF-135</x:v>
      </x:c>
      <x:c r="B136" s="339" t="str">
        <x:v>SCR-135</x:v>
      </x:c>
      <x:c r="C136" s="339" t="str">
        <x:v>Homework &amp; Assignments</x:v>
      </x:c>
      <x:c r="D136" s="339" t="str">
        <x:v>Create Assignment</x:v>
      </x:c>
      <x:c r="E136" s="339" t="str">
        <x:v>Draft</x:v>
      </x:c>
      <x:c r="F136" s="339" t="str">
        <x:v>Draft → Published → Submitted / Late / Missing → Evaluated → Returned / Closed</x:v>
      </x:c>
      <x:c r="G136" s="339" t="str">
        <x:v>Only transitions valid for the current state, role, effective dates and prerequisites are accepted.</x:v>
      </x:c>
      <x:c r="H136" s="339" t="str">
        <x:v>As defined by Primary Roles / configured approval hierarchy</x:v>
      </x:c>
      <x:c r="I136" s="339" t="str">
        <x:v>Reopen/reversal uses an explicit controlled action with reason; never silently rewrite finalized history.</x:v>
      </x:c>
      <x:c r="J136" s="339" t="str">
        <x:v>Use school-configured cutoffs/SLAs; time-sensitive operations use school timezone.</x:v>
      </x:c>
    </x:row>
    <x:row r="137">
      <x:c r="A137" s="339" t="str">
        <x:v>WF-136</x:v>
      </x:c>
      <x:c r="B137" s="339" t="str">
        <x:v>SCR-136</x:v>
      </x:c>
      <x:c r="C137" s="339" t="str">
        <x:v>Homework &amp; Assignments</x:v>
      </x:c>
      <x:c r="D137" s="339" t="str">
        <x:v>Assignment Submissions</x:v>
      </x:c>
      <x:c r="E137" s="339" t="str">
        <x:v>Draft</x:v>
      </x:c>
      <x:c r="F137" s="339" t="str">
        <x:v>Draft → Published → Submitted / Late / Missing → Evaluated → Returned / Closed</x:v>
      </x:c>
      <x:c r="G137" s="339" t="str">
        <x:v>Only transitions valid for the current state, role, effective dates and prerequisites are accepted.</x:v>
      </x:c>
      <x:c r="H137" s="339" t="str">
        <x:v>As defined by Primary Roles / configured approval hierarchy</x:v>
      </x:c>
      <x:c r="I137" s="339" t="str">
        <x:v>Reopen/reversal uses an explicit controlled action with reason; never silently rewrite finalized history.</x:v>
      </x:c>
      <x:c r="J137" s="339" t="str">
        <x:v>Use school-configured cutoffs/SLAs; time-sensitive operations use school timezone.</x:v>
      </x:c>
    </x:row>
    <x:row r="138">
      <x:c r="A138" s="339" t="str">
        <x:v>WF-137</x:v>
      </x:c>
      <x:c r="B138" s="339" t="str">
        <x:v>SCR-137</x:v>
      </x:c>
      <x:c r="C138" s="339" t="str">
        <x:v>Homework &amp; Assignments</x:v>
      </x:c>
      <x:c r="D138" s="339" t="str">
        <x:v>Assignment Evaluation</x:v>
      </x:c>
      <x:c r="E138" s="339" t="str">
        <x:v>Draft</x:v>
      </x:c>
      <x:c r="F138" s="339" t="str">
        <x:v>Draft → Published → Submitted / Late / Missing → Evaluated → Returned / Closed</x:v>
      </x:c>
      <x:c r="G138" s="339" t="str">
        <x:v>Only transitions valid for the current state, role, effective dates and prerequisites are accepted.</x:v>
      </x:c>
      <x:c r="H138" s="339" t="str">
        <x:v>As defined by Primary Roles / configured approval hierarchy</x:v>
      </x:c>
      <x:c r="I138" s="339" t="str">
        <x:v>Reopen/reversal uses an explicit controlled action with reason; never silently rewrite finalized history.</x:v>
      </x:c>
      <x:c r="J138" s="339" t="str">
        <x:v>Use school-configured cutoffs/SLAs; time-sensitive operations use school timezone.</x:v>
      </x:c>
    </x:row>
    <x:row r="139">
      <x:c r="A139" s="339" t="str">
        <x:v>WF-138</x:v>
      </x:c>
      <x:c r="B139" s="339" t="str">
        <x:v>SCR-138</x:v>
      </x:c>
      <x:c r="C139" s="339" t="str">
        <x:v>Examinations / Marks / Results</x:v>
      </x:c>
      <x:c r="D139" s="339" t="str">
        <x:v>Exam Dashboard</x:v>
      </x:c>
      <x:c r="E139" s="339" t="str">
        <x:v>Draft</x:v>
      </x:c>
      <x:c r="F139" s="339" t="str">
        <x:v>Draft → Scheduled → Marks Entry → Verification → Approved → Published → Revised (controlled)</x:v>
      </x:c>
      <x:c r="G139" s="339" t="str">
        <x:v>Only transitions valid for the current state, role, effective dates and prerequisites are accepted.</x:v>
      </x:c>
      <x:c r="H139" s="339" t="str">
        <x:v>As defined by Primary Roles / configured approval hierarchy</x:v>
      </x:c>
      <x:c r="I139" s="339" t="str">
        <x:v>Reopen/reversal uses an explicit controlled action with reason; never silently rewrite finalized history.</x:v>
      </x:c>
      <x:c r="J139" s="339" t="str">
        <x:v>Use school-configured cutoffs/SLAs; time-sensitive operations use school timezone.</x:v>
      </x:c>
    </x:row>
    <x:row r="140">
      <x:c r="A140" s="339" t="str">
        <x:v>WF-139</x:v>
      </x:c>
      <x:c r="B140" s="339" t="str">
        <x:v>SCR-139</x:v>
      </x:c>
      <x:c r="C140" s="339" t="str">
        <x:v>Examinations / Marks / Results</x:v>
      </x:c>
      <x:c r="D140" s="339" t="str">
        <x:v>Exam Types</x:v>
      </x:c>
      <x:c r="E140" s="339" t="str">
        <x:v>Draft</x:v>
      </x:c>
      <x:c r="F140" s="339" t="str">
        <x:v>Draft → Scheduled → Marks Entry → Verification → Approved → Published → Revised (controlled)</x:v>
      </x:c>
      <x:c r="G140" s="339" t="str">
        <x:v>Only transitions valid for the current state, role, effective dates and prerequisites are accepted.</x:v>
      </x:c>
      <x:c r="H140" s="339" t="str">
        <x:v>As defined by Primary Roles / configured approval hierarchy</x:v>
      </x:c>
      <x:c r="I140" s="339" t="str">
        <x:v>Reopen/reversal uses an explicit controlled action with reason; never silently rewrite finalized history.</x:v>
      </x:c>
      <x:c r="J140" s="339" t="str">
        <x:v>Use school-configured cutoffs/SLAs; time-sensitive operations use school timezone.</x:v>
      </x:c>
    </x:row>
    <x:row r="141">
      <x:c r="A141" s="339" t="str">
        <x:v>WF-140</x:v>
      </x:c>
      <x:c r="B141" s="339" t="str">
        <x:v>SCR-140</x:v>
      </x:c>
      <x:c r="C141" s="339" t="str">
        <x:v>Examinations / Marks / Results</x:v>
      </x:c>
      <x:c r="D141" s="339" t="str">
        <x:v>Exam Setup</x:v>
      </x:c>
      <x:c r="E141" s="339" t="str">
        <x:v>Draft</x:v>
      </x:c>
      <x:c r="F141" s="339" t="str">
        <x:v>Draft → Scheduled → Marks Entry → Verification → Approved → Published → Revised (controlled)</x:v>
      </x:c>
      <x:c r="G141" s="339" t="str">
        <x:v>Only transitions valid for the current state, role, effective dates and prerequisites are accepted.</x:v>
      </x:c>
      <x:c r="H141" s="339" t="str">
        <x:v>As defined by Primary Roles / configured approval hierarchy</x:v>
      </x:c>
      <x:c r="I141" s="339" t="str">
        <x:v>Reopen/reversal uses an explicit controlled action with reason; never silently rewrite finalized history.</x:v>
      </x:c>
      <x:c r="J141" s="339" t="str">
        <x:v>Use school-configured cutoffs/SLAs; time-sensitive operations use school timezone.</x:v>
      </x:c>
    </x:row>
    <x:row r="142">
      <x:c r="A142" s="339" t="str">
        <x:v>WF-141</x:v>
      </x:c>
      <x:c r="B142" s="339" t="str">
        <x:v>SCR-141</x:v>
      </x:c>
      <x:c r="C142" s="339" t="str">
        <x:v>Examinations / Marks / Results</x:v>
      </x:c>
      <x:c r="D142" s="339" t="str">
        <x:v>Exam Schedule</x:v>
      </x:c>
      <x:c r="E142" s="339" t="str">
        <x:v>Draft</x:v>
      </x:c>
      <x:c r="F142" s="339" t="str">
        <x:v>Draft → Scheduled → Marks Entry → Verification → Approved → Published → Revised (controlled)</x:v>
      </x:c>
      <x:c r="G142" s="339" t="str">
        <x:v>Only transitions valid for the current state, role, effective dates and prerequisites are accepted.</x:v>
      </x:c>
      <x:c r="H142" s="339" t="str">
        <x:v>As defined by Primary Roles / configured approval hierarchy</x:v>
      </x:c>
      <x:c r="I142" s="339" t="str">
        <x:v>Reopen/reversal uses an explicit controlled action with reason; never silently rewrite finalized history.</x:v>
      </x:c>
      <x:c r="J142" s="339" t="str">
        <x:v>Use school-configured cutoffs/SLAs; time-sensitive operations use school timezone.</x:v>
      </x:c>
    </x:row>
    <x:row r="143">
      <x:c r="A143" s="339" t="str">
        <x:v>WF-142</x:v>
      </x:c>
      <x:c r="B143" s="339" t="str">
        <x:v>SCR-142</x:v>
      </x:c>
      <x:c r="C143" s="339" t="str">
        <x:v>Examinations / Marks / Results</x:v>
      </x:c>
      <x:c r="D143" s="339" t="str">
        <x:v>Hall / Room Allocation</x:v>
      </x:c>
      <x:c r="E143" s="339" t="str">
        <x:v>Draft</x:v>
      </x:c>
      <x:c r="F143" s="339" t="str">
        <x:v>Draft → Scheduled → Marks Entry → Verification → Approved → Published → Revised (controlled)</x:v>
      </x:c>
      <x:c r="G143" s="339" t="str">
        <x:v>Only transitions valid for the current state, role, effective dates and prerequisites are accepted.</x:v>
      </x:c>
      <x:c r="H143" s="339" t="str">
        <x:v>As defined by Primary Roles / configured approval hierarchy</x:v>
      </x:c>
      <x:c r="I143" s="339" t="str">
        <x:v>Reopen/reversal uses an explicit controlled action with reason; never silently rewrite finalized history.</x:v>
      </x:c>
      <x:c r="J143" s="339" t="str">
        <x:v>Use school-configured cutoffs/SLAs; time-sensitive operations use school timezone.</x:v>
      </x:c>
    </x:row>
    <x:row r="144">
      <x:c r="A144" s="339" t="str">
        <x:v>WF-143</x:v>
      </x:c>
      <x:c r="B144" s="339" t="str">
        <x:v>SCR-143</x:v>
      </x:c>
      <x:c r="C144" s="339" t="str">
        <x:v>Examinations / Marks / Results</x:v>
      </x:c>
      <x:c r="D144" s="339" t="str">
        <x:v>Invigilation Assignment</x:v>
      </x:c>
      <x:c r="E144" s="339" t="str">
        <x:v>Draft</x:v>
      </x:c>
      <x:c r="F144" s="339" t="str">
        <x:v>Draft → Scheduled → Marks Entry → Verification → Approved → Published → Revised (controlled)</x:v>
      </x:c>
      <x:c r="G144" s="339" t="str">
        <x:v>Only transitions valid for the current state, role, effective dates and prerequisites are accepted.</x:v>
      </x:c>
      <x:c r="H144" s="339" t="str">
        <x:v>As defined by Primary Roles / configured approval hierarchy</x:v>
      </x:c>
      <x:c r="I144" s="339" t="str">
        <x:v>Reopen/reversal uses an explicit controlled action with reason; never silently rewrite finalized history.</x:v>
      </x:c>
      <x:c r="J144" s="339" t="str">
        <x:v>Use school-configured cutoffs/SLAs; time-sensitive operations use school timezone.</x:v>
      </x:c>
    </x:row>
    <x:row r="145">
      <x:c r="A145" s="339" t="str">
        <x:v>WF-144</x:v>
      </x:c>
      <x:c r="B145" s="339" t="str">
        <x:v>SCR-144</x:v>
      </x:c>
      <x:c r="C145" s="339" t="str">
        <x:v>Examinations / Marks / Results</x:v>
      </x:c>
      <x:c r="D145" s="339" t="str">
        <x:v>Admit Card</x:v>
      </x:c>
      <x:c r="E145" s="339" t="str">
        <x:v>Draft</x:v>
      </x:c>
      <x:c r="F145" s="339" t="str">
        <x:v>Draft → Scheduled → Marks Entry → Verification → Approved → Published → Revised (controlled)</x:v>
      </x:c>
      <x:c r="G145" s="339" t="str">
        <x:v>Only transitions valid for the current state, role, effective dates and prerequisites are accepted.</x:v>
      </x:c>
      <x:c r="H145" s="339" t="str">
        <x:v>As defined by Primary Roles / configured approval hierarchy</x:v>
      </x:c>
      <x:c r="I145" s="339" t="str">
        <x:v>Reopen/reversal uses an explicit controlled action with reason; never silently rewrite finalized history.</x:v>
      </x:c>
      <x:c r="J145" s="339" t="str">
        <x:v>Use school-configured cutoffs/SLAs; time-sensitive operations use school timezone.</x:v>
      </x:c>
    </x:row>
    <x:row r="146">
      <x:c r="A146" s="339" t="str">
        <x:v>WF-145</x:v>
      </x:c>
      <x:c r="B146" s="339" t="str">
        <x:v>SCR-145</x:v>
      </x:c>
      <x:c r="C146" s="339" t="str">
        <x:v>Examinations / Marks / Results</x:v>
      </x:c>
      <x:c r="D146" s="339" t="str">
        <x:v>Marks Entry</x:v>
      </x:c>
      <x:c r="E146" s="339" t="str">
        <x:v>Draft</x:v>
      </x:c>
      <x:c r="F146" s="339" t="str">
        <x:v>Draft → Scheduled → Marks Entry → Verification → Approved → Published → Revised (controlled)</x:v>
      </x:c>
      <x:c r="G146" s="339" t="str">
        <x:v>Only transitions valid for the current state, role, effective dates and prerequisites are accepted.</x:v>
      </x:c>
      <x:c r="H146" s="339" t="str">
        <x:v>As defined by Primary Roles / configured approval hierarchy</x:v>
      </x:c>
      <x:c r="I146" s="339" t="str">
        <x:v>Reopen/reversal uses an explicit controlled action with reason; never silently rewrite finalized history.</x:v>
      </x:c>
      <x:c r="J146" s="339" t="str">
        <x:v>Use school-configured cutoffs/SLAs; time-sensitive operations use school timezone.</x:v>
      </x:c>
    </x:row>
    <x:row r="147">
      <x:c r="A147" s="339" t="str">
        <x:v>WF-146</x:v>
      </x:c>
      <x:c r="B147" s="339" t="str">
        <x:v>SCR-146</x:v>
      </x:c>
      <x:c r="C147" s="339" t="str">
        <x:v>Examinations / Marks / Results</x:v>
      </x:c>
      <x:c r="D147" s="339" t="str">
        <x:v>Practical / Internal Marks</x:v>
      </x:c>
      <x:c r="E147" s="339" t="str">
        <x:v>Draft</x:v>
      </x:c>
      <x:c r="F147" s="339" t="str">
        <x:v>Draft → Scheduled → Marks Entry → Verification → Approved → Published → Revised (controlled)</x:v>
      </x:c>
      <x:c r="G147" s="339" t="str">
        <x:v>Only transitions valid for the current state, role, effective dates and prerequisites are accepted.</x:v>
      </x:c>
      <x:c r="H147" s="339" t="str">
        <x:v>As defined by Primary Roles / configured approval hierarchy</x:v>
      </x:c>
      <x:c r="I147" s="339" t="str">
        <x:v>Reopen/reversal uses an explicit controlled action with reason; never silently rewrite finalized history.</x:v>
      </x:c>
      <x:c r="J147" s="339" t="str">
        <x:v>Use school-configured cutoffs/SLAs; time-sensitive operations use school timezone.</x:v>
      </x:c>
    </x:row>
    <x:row r="148">
      <x:c r="A148" s="339" t="str">
        <x:v>WF-147</x:v>
      </x:c>
      <x:c r="B148" s="339" t="str">
        <x:v>SCR-147</x:v>
      </x:c>
      <x:c r="C148" s="339" t="str">
        <x:v>Examinations / Marks / Results</x:v>
      </x:c>
      <x:c r="D148" s="339" t="str">
        <x:v>Bulk Marks Import</x:v>
      </x:c>
      <x:c r="E148" s="339" t="str">
        <x:v>Draft</x:v>
      </x:c>
      <x:c r="F148" s="339" t="str">
        <x:v>Draft → Scheduled → Marks Entry → Verification → Approved → Published → Revised (controlled)</x:v>
      </x:c>
      <x:c r="G148" s="339" t="str">
        <x:v>Only transitions valid for the current state, role, effective dates and prerequisites are accepted.</x:v>
      </x:c>
      <x:c r="H148" s="339" t="str">
        <x:v>As defined by Primary Roles / configured approval hierarchy</x:v>
      </x:c>
      <x:c r="I148" s="339" t="str">
        <x:v>Reopen/reversal uses an explicit controlled action with reason; never silently rewrite finalized history.</x:v>
      </x:c>
      <x:c r="J148" s="339" t="str">
        <x:v>Use school-configured cutoffs/SLAs; time-sensitive operations use school timezone.</x:v>
      </x:c>
    </x:row>
    <x:row r="149">
      <x:c r="A149" s="339" t="str">
        <x:v>WF-148</x:v>
      </x:c>
      <x:c r="B149" s="339" t="str">
        <x:v>SCR-148</x:v>
      </x:c>
      <x:c r="C149" s="339" t="str">
        <x:v>Examinations / Marks / Results</x:v>
      </x:c>
      <x:c r="D149" s="339" t="str">
        <x:v>Marks Verification</x:v>
      </x:c>
      <x:c r="E149" s="339" t="str">
        <x:v>Draft</x:v>
      </x:c>
      <x:c r="F149" s="339" t="str">
        <x:v>Draft → Scheduled → Marks Entry → Verification → Approved → Published → Revised (controlled)</x:v>
      </x:c>
      <x:c r="G149" s="339" t="str">
        <x:v>Only transitions valid for the current state, role, effective dates and prerequisites are accepted.</x:v>
      </x:c>
      <x:c r="H149" s="339" t="str">
        <x:v>As defined by Primary Roles / configured approval hierarchy</x:v>
      </x:c>
      <x:c r="I149" s="339" t="str">
        <x:v>Reopen/reversal uses an explicit controlled action with reason; never silently rewrite finalized history.</x:v>
      </x:c>
      <x:c r="J149" s="339" t="str">
        <x:v>Use school-configured cutoffs/SLAs; time-sensitive operations use school timezone.</x:v>
      </x:c>
    </x:row>
    <x:row r="150">
      <x:c r="A150" s="339" t="str">
        <x:v>WF-149</x:v>
      </x:c>
      <x:c r="B150" s="339" t="str">
        <x:v>SCR-149</x:v>
      </x:c>
      <x:c r="C150" s="339" t="str">
        <x:v>Examinations / Marks / Results</x:v>
      </x:c>
      <x:c r="D150" s="339" t="str">
        <x:v>Grade / Grading Setup</x:v>
      </x:c>
      <x:c r="E150" s="339" t="str">
        <x:v>Draft</x:v>
      </x:c>
      <x:c r="F150" s="339" t="str">
        <x:v>Draft → Scheduled → Marks Entry → Verification → Approved → Published → Revised (controlled)</x:v>
      </x:c>
      <x:c r="G150" s="339" t="str">
        <x:v>Only transitions valid for the current state, role, effective dates and prerequisites are accepted.</x:v>
      </x:c>
      <x:c r="H150" s="339" t="str">
        <x:v>As defined by Primary Roles / configured approval hierarchy</x:v>
      </x:c>
      <x:c r="I150" s="339" t="str">
        <x:v>Reopen/reversal uses an explicit controlled action with reason; never silently rewrite finalized history.</x:v>
      </x:c>
      <x:c r="J150" s="339" t="str">
        <x:v>Use school-configured cutoffs/SLAs; time-sensitive operations use school timezone.</x:v>
      </x:c>
    </x:row>
    <x:row r="151">
      <x:c r="A151" s="339" t="str">
        <x:v>WF-150</x:v>
      </x:c>
      <x:c r="B151" s="339" t="str">
        <x:v>SCR-150</x:v>
      </x:c>
      <x:c r="C151" s="339" t="str">
        <x:v>Examinations / Marks / Results</x:v>
      </x:c>
      <x:c r="D151" s="339" t="str">
        <x:v>Publish Results</x:v>
      </x:c>
      <x:c r="E151" s="339" t="str">
        <x:v>Draft</x:v>
      </x:c>
      <x:c r="F151" s="339" t="str">
        <x:v>Draft → Scheduled → Marks Entry → Verification → Approved → Published → Revised (controlled)</x:v>
      </x:c>
      <x:c r="G151" s="339" t="str">
        <x:v>Only transitions valid for the current state, role, effective dates and prerequisites are accepted.</x:v>
      </x:c>
      <x:c r="H151" s="339" t="str">
        <x:v>As defined by Primary Roles / configured approval hierarchy</x:v>
      </x:c>
      <x:c r="I151" s="339" t="str">
        <x:v>Reopen/reversal uses an explicit controlled action with reason; never silently rewrite finalized history.</x:v>
      </x:c>
      <x:c r="J151" s="339" t="str">
        <x:v>Use school-configured cutoffs/SLAs; time-sensitive operations use school timezone.</x:v>
      </x:c>
    </x:row>
    <x:row r="152">
      <x:c r="A152" s="339" t="str">
        <x:v>WF-151</x:v>
      </x:c>
      <x:c r="B152" s="339" t="str">
        <x:v>SCR-151</x:v>
      </x:c>
      <x:c r="C152" s="339" t="str">
        <x:v>Examinations / Marks / Results</x:v>
      </x:c>
      <x:c r="D152" s="339" t="str">
        <x:v>Student Result</x:v>
      </x:c>
      <x:c r="E152" s="339" t="str">
        <x:v>Draft</x:v>
      </x:c>
      <x:c r="F152" s="339" t="str">
        <x:v>Draft → Scheduled → Marks Entry → Verification → Approved → Published → Revised (controlled)</x:v>
      </x:c>
      <x:c r="G152" s="339" t="str">
        <x:v>Only transitions valid for the current state, role, effective dates and prerequisites are accepted.</x:v>
      </x:c>
      <x:c r="H152" s="339" t="str">
        <x:v>As defined by Primary Roles / configured approval hierarchy</x:v>
      </x:c>
      <x:c r="I152" s="339" t="str">
        <x:v>Reopen/reversal uses an explicit controlled action with reason; never silently rewrite finalized history.</x:v>
      </x:c>
      <x:c r="J152" s="339" t="str">
        <x:v>Use school-configured cutoffs/SLAs; time-sensitive operations use school timezone.</x:v>
      </x:c>
    </x:row>
    <x:row r="153">
      <x:c r="A153" s="339" t="str">
        <x:v>WF-152</x:v>
      </x:c>
      <x:c r="B153" s="339" t="str">
        <x:v>SCR-152</x:v>
      </x:c>
      <x:c r="C153" s="339" t="str">
        <x:v>Examinations / Marks / Results</x:v>
      </x:c>
      <x:c r="D153" s="339" t="str">
        <x:v>Report Card</x:v>
      </x:c>
      <x:c r="E153" s="339" t="str">
        <x:v>Draft</x:v>
      </x:c>
      <x:c r="F153" s="339" t="str">
        <x:v>Draft → Scheduled → Marks Entry → Verification → Approved → Published → Revised (controlled)</x:v>
      </x:c>
      <x:c r="G153" s="339" t="str">
        <x:v>Only transitions valid for the current state, role, effective dates and prerequisites are accepted.</x:v>
      </x:c>
      <x:c r="H153" s="339" t="str">
        <x:v>As defined by Primary Roles / configured approval hierarchy</x:v>
      </x:c>
      <x:c r="I153" s="339" t="str">
        <x:v>Reopen/reversal uses an explicit controlled action with reason; never silently rewrite finalized history.</x:v>
      </x:c>
      <x:c r="J153" s="339" t="str">
        <x:v>Use school-configured cutoffs/SLAs; time-sensitive operations use school timezone.</x:v>
      </x:c>
    </x:row>
    <x:row r="154">
      <x:c r="A154" s="339" t="str">
        <x:v>WF-153</x:v>
      </x:c>
      <x:c r="B154" s="339" t="str">
        <x:v>SCR-153</x:v>
      </x:c>
      <x:c r="C154" s="339" t="str">
        <x:v>Examinations / Marks / Results</x:v>
      </x:c>
      <x:c r="D154" s="339" t="str">
        <x:v>Promotion Decision</x:v>
      </x:c>
      <x:c r="E154" s="339" t="str">
        <x:v>Draft</x:v>
      </x:c>
      <x:c r="F154" s="339" t="str">
        <x:v>Draft → Scheduled → Marks Entry → Verification → Approved → Published → Revised (controlled)</x:v>
      </x:c>
      <x:c r="G154" s="339" t="str">
        <x:v>Only transitions valid for the current state, role, effective dates and prerequisites are accepted.</x:v>
      </x:c>
      <x:c r="H154" s="339" t="str">
        <x:v>As defined by Primary Roles / configured approval hierarchy</x:v>
      </x:c>
      <x:c r="I154" s="339" t="str">
        <x:v>Reopen/reversal uses an explicit controlled action with reason; never silently rewrite finalized history.</x:v>
      </x:c>
      <x:c r="J154" s="339" t="str">
        <x:v>Use school-configured cutoffs/SLAs; time-sensitive operations use school timezone.</x:v>
      </x:c>
    </x:row>
    <x:row r="155">
      <x:c r="A155" s="339" t="str">
        <x:v>WF-154</x:v>
      </x:c>
      <x:c r="B155" s="339" t="str">
        <x:v>SCR-154</x:v>
      </x:c>
      <x:c r="C155" s="339" t="str">
        <x:v>Fees &amp; Finance</x:v>
      </x:c>
      <x:c r="D155" s="339" t="str">
        <x:v>Fee Dashboard</x:v>
      </x:c>
      <x:c r="E155" s="339" t="str">
        <x:v>Draft / Posted</x:v>
      </x:c>
      <x:c r="F155" s="339" t="str">
        <x:v>Draft / Posted → Due → Partially Paid → Paid / Overdue → Reversed / Refunded (controlled)</x:v>
      </x:c>
      <x:c r="G155" s="339" t="str">
        <x:v>Only transitions valid for the current state, role, effective dates and prerequisites are accepted.</x:v>
      </x:c>
      <x:c r="H155" s="339" t="str">
        <x:v>As defined by Primary Roles / configured approval hierarchy</x:v>
      </x:c>
      <x:c r="I155" s="339" t="str">
        <x:v>Reopen/reversal uses an explicit controlled action with reason; never silently rewrite finalized history.</x:v>
      </x:c>
      <x:c r="J155" s="339" t="str">
        <x:v>Use school-configured cutoffs/SLAs; time-sensitive operations use school timezone.</x:v>
      </x:c>
    </x:row>
    <x:row r="156">
      <x:c r="A156" s="339" t="str">
        <x:v>WF-155</x:v>
      </x:c>
      <x:c r="B156" s="339" t="str">
        <x:v>SCR-155</x:v>
      </x:c>
      <x:c r="C156" s="339" t="str">
        <x:v>Fees &amp; Finance</x:v>
      </x:c>
      <x:c r="D156" s="339" t="str">
        <x:v>Fee Structure</x:v>
      </x:c>
      <x:c r="E156" s="339" t="str">
        <x:v>Draft / Posted</x:v>
      </x:c>
      <x:c r="F156" s="339" t="str">
        <x:v>Draft / Posted → Due → Partially Paid → Paid / Overdue → Reversed / Refunded (controlled)</x:v>
      </x:c>
      <x:c r="G156" s="339" t="str">
        <x:v>Only transitions valid for the current state, role, effective dates and prerequisites are accepted.</x:v>
      </x:c>
      <x:c r="H156" s="339" t="str">
        <x:v>As defined by Primary Roles / configured approval hierarchy</x:v>
      </x:c>
      <x:c r="I156" s="339" t="str">
        <x:v>Reopen/reversal uses an explicit controlled action with reason; never silently rewrite finalized history.</x:v>
      </x:c>
      <x:c r="J156" s="339" t="str">
        <x:v>Use school-configured cutoffs/SLAs; time-sensitive operations use school timezone.</x:v>
      </x:c>
    </x:row>
    <x:row r="157">
      <x:c r="A157" s="339" t="str">
        <x:v>WF-156</x:v>
      </x:c>
      <x:c r="B157" s="339" t="str">
        <x:v>SCR-156</x:v>
      </x:c>
      <x:c r="C157" s="339" t="str">
        <x:v>Fees &amp; Finance</x:v>
      </x:c>
      <x:c r="D157" s="339" t="str">
        <x:v>Create / Edit Fee Structure</x:v>
      </x:c>
      <x:c r="E157" s="339" t="str">
        <x:v>Draft / Posted</x:v>
      </x:c>
      <x:c r="F157" s="339" t="str">
        <x:v>Draft / Posted → Due → Partially Paid → Paid / Overdue → Reversed / Refunded (controlled)</x:v>
      </x:c>
      <x:c r="G157" s="339" t="str">
        <x:v>Only transitions valid for the current state, role, effective dates and prerequisites are accepted.</x:v>
      </x:c>
      <x:c r="H157" s="339" t="str">
        <x:v>As defined by Primary Roles / configured approval hierarchy</x:v>
      </x:c>
      <x:c r="I157" s="339" t="str">
        <x:v>Reopen/reversal uses an explicit controlled action with reason; never silently rewrite finalized history.</x:v>
      </x:c>
      <x:c r="J157" s="339" t="str">
        <x:v>Use school-configured cutoffs/SLAs; time-sensitive operations use school timezone.</x:v>
      </x:c>
    </x:row>
    <x:row r="158">
      <x:c r="A158" s="339" t="str">
        <x:v>WF-157</x:v>
      </x:c>
      <x:c r="B158" s="339" t="str">
        <x:v>SCR-157</x:v>
      </x:c>
      <x:c r="C158" s="339" t="str">
        <x:v>Fees &amp; Finance</x:v>
      </x:c>
      <x:c r="D158" s="339" t="str">
        <x:v>Student Fee Assignment</x:v>
      </x:c>
      <x:c r="E158" s="339" t="str">
        <x:v>Draft / Posted</x:v>
      </x:c>
      <x:c r="F158" s="339" t="str">
        <x:v>Draft / Posted → Due → Partially Paid → Paid / Overdue → Reversed / Refunded (controlled)</x:v>
      </x:c>
      <x:c r="G158" s="339" t="str">
        <x:v>Only transitions valid for the current state, role, effective dates and prerequisites are accepted.</x:v>
      </x:c>
      <x:c r="H158" s="339" t="str">
        <x:v>As defined by Primary Roles / configured approval hierarchy</x:v>
      </x:c>
      <x:c r="I158" s="339" t="str">
        <x:v>Reopen/reversal uses an explicit controlled action with reason; never silently rewrite finalized history.</x:v>
      </x:c>
      <x:c r="J158" s="339" t="str">
        <x:v>Use school-configured cutoffs/SLAs; time-sensitive operations use school timezone.</x:v>
      </x:c>
    </x:row>
    <x:row r="159">
      <x:c r="A159" s="339" t="str">
        <x:v>WF-158</x:v>
      </x:c>
      <x:c r="B159" s="339" t="str">
        <x:v>SCR-158</x:v>
      </x:c>
      <x:c r="C159" s="339" t="str">
        <x:v>Fees &amp; Finance</x:v>
      </x:c>
      <x:c r="D159" s="339" t="str">
        <x:v>Fee Collection</x:v>
      </x:c>
      <x:c r="E159" s="339" t="str">
        <x:v>Draft / Posted</x:v>
      </x:c>
      <x:c r="F159" s="339" t="str">
        <x:v>Draft / Posted → Due → Partially Paid → Paid / Overdue → Reversed / Refunded (controlled)</x:v>
      </x:c>
      <x:c r="G159" s="339" t="str">
        <x:v>Only transitions valid for the current state, role, effective dates and prerequisites are accepted.</x:v>
      </x:c>
      <x:c r="H159" s="339" t="str">
        <x:v>As defined by Primary Roles / configured approval hierarchy</x:v>
      </x:c>
      <x:c r="I159" s="339" t="str">
        <x:v>Reopen/reversal uses an explicit controlled action with reason; never silently rewrite finalized history.</x:v>
      </x:c>
      <x:c r="J159" s="339" t="str">
        <x:v>Use school-configured cutoffs/SLAs; time-sensitive operations use school timezone.</x:v>
      </x:c>
    </x:row>
    <x:row r="160">
      <x:c r="A160" s="339" t="str">
        <x:v>WF-159</x:v>
      </x:c>
      <x:c r="B160" s="339" t="str">
        <x:v>SCR-159</x:v>
      </x:c>
      <x:c r="C160" s="339" t="str">
        <x:v>Fees &amp; Finance</x:v>
      </x:c>
      <x:c r="D160" s="339" t="str">
        <x:v>Online Payment</x:v>
      </x:c>
      <x:c r="E160" s="339" t="str">
        <x:v>Draft / Posted</x:v>
      </x:c>
      <x:c r="F160" s="339" t="str">
        <x:v>Draft / Posted → Due → Partially Paid → Paid / Overdue → Reversed / Refunded (controlled)</x:v>
      </x:c>
      <x:c r="G160" s="339" t="str">
        <x:v>Only transitions valid for the current state, role, effective dates and prerequisites are accepted.</x:v>
      </x:c>
      <x:c r="H160" s="339" t="str">
        <x:v>As defined by Primary Roles / configured approval hierarchy</x:v>
      </x:c>
      <x:c r="I160" s="339" t="str">
        <x:v>Reopen/reversal uses an explicit controlled action with reason; never silently rewrite finalized history.</x:v>
      </x:c>
      <x:c r="J160" s="339" t="str">
        <x:v>Use school-configured cutoffs/SLAs; time-sensitive operations use school timezone.</x:v>
      </x:c>
    </x:row>
    <x:row r="161">
      <x:c r="A161" s="339" t="str">
        <x:v>WF-160</x:v>
      </x:c>
      <x:c r="B161" s="339" t="str">
        <x:v>SCR-160</x:v>
      </x:c>
      <x:c r="C161" s="339" t="str">
        <x:v>Fees &amp; Finance</x:v>
      </x:c>
      <x:c r="D161" s="339" t="str">
        <x:v>Payment Receipt</x:v>
      </x:c>
      <x:c r="E161" s="339" t="str">
        <x:v>Draft / Posted</x:v>
      </x:c>
      <x:c r="F161" s="339" t="str">
        <x:v>Draft / Posted → Due → Partially Paid → Paid / Overdue → Reversed / Refunded (controlled)</x:v>
      </x:c>
      <x:c r="G161" s="339" t="str">
        <x:v>Only transitions valid for the current state, role, effective dates and prerequisites are accepted.</x:v>
      </x:c>
      <x:c r="H161" s="339" t="str">
        <x:v>As defined by Primary Roles / configured approval hierarchy</x:v>
      </x:c>
      <x:c r="I161" s="339" t="str">
        <x:v>Reopen/reversal uses an explicit controlled action with reason; never silently rewrite finalized history.</x:v>
      </x:c>
      <x:c r="J161" s="339" t="str">
        <x:v>Use school-configured cutoffs/SLAs; time-sensitive operations use school timezone.</x:v>
      </x:c>
    </x:row>
    <x:row r="162">
      <x:c r="A162" s="339" t="str">
        <x:v>WF-161</x:v>
      </x:c>
      <x:c r="B162" s="339" t="str">
        <x:v>SCR-161</x:v>
      </x:c>
      <x:c r="C162" s="339" t="str">
        <x:v>Fees &amp; Finance</x:v>
      </x:c>
      <x:c r="D162" s="339" t="str">
        <x:v>Student Ledger</x:v>
      </x:c>
      <x:c r="E162" s="339" t="str">
        <x:v>Draft / Posted</x:v>
      </x:c>
      <x:c r="F162" s="339" t="str">
        <x:v>Draft / Posted → Due → Partially Paid → Paid / Overdue → Reversed / Refunded (controlled)</x:v>
      </x:c>
      <x:c r="G162" s="339" t="str">
        <x:v>Only transitions valid for the current state, role, effective dates and prerequisites are accepted.</x:v>
      </x:c>
      <x:c r="H162" s="339" t="str">
        <x:v>As defined by Primary Roles / configured approval hierarchy</x:v>
      </x:c>
      <x:c r="I162" s="339" t="str">
        <x:v>Reopen/reversal uses an explicit controlled action with reason; never silently rewrite finalized history.</x:v>
      </x:c>
      <x:c r="J162" s="339" t="str">
        <x:v>Use school-configured cutoffs/SLAs; time-sensitive operations use school timezone.</x:v>
      </x:c>
    </x:row>
    <x:row r="163">
      <x:c r="A163" s="339" t="str">
        <x:v>WF-162</x:v>
      </x:c>
      <x:c r="B163" s="339" t="str">
        <x:v>SCR-162</x:v>
      </x:c>
      <x:c r="C163" s="339" t="str">
        <x:v>Fees &amp; Finance</x:v>
      </x:c>
      <x:c r="D163" s="339" t="str">
        <x:v>Outstanding Dues</x:v>
      </x:c>
      <x:c r="E163" s="339" t="str">
        <x:v>Draft / Posted</x:v>
      </x:c>
      <x:c r="F163" s="339" t="str">
        <x:v>Draft / Posted → Due → Partially Paid → Paid / Overdue → Reversed / Refunded (controlled)</x:v>
      </x:c>
      <x:c r="G163" s="339" t="str">
        <x:v>Only transitions valid for the current state, role, effective dates and prerequisites are accepted.</x:v>
      </x:c>
      <x:c r="H163" s="339" t="str">
        <x:v>As defined by Primary Roles / configured approval hierarchy</x:v>
      </x:c>
      <x:c r="I163" s="339" t="str">
        <x:v>Reopen/reversal uses an explicit controlled action with reason; never silently rewrite finalized history.</x:v>
      </x:c>
      <x:c r="J163" s="339" t="str">
        <x:v>Use school-configured cutoffs/SLAs; time-sensitive operations use school timezone.</x:v>
      </x:c>
    </x:row>
    <x:row r="164">
      <x:c r="A164" s="339" t="str">
        <x:v>WF-163</x:v>
      </x:c>
      <x:c r="B164" s="339" t="str">
        <x:v>SCR-163</x:v>
      </x:c>
      <x:c r="C164" s="339" t="str">
        <x:v>Fees &amp; Finance</x:v>
      </x:c>
      <x:c r="D164" s="339" t="str">
        <x:v>Concession / Scholarship</x:v>
      </x:c>
      <x:c r="E164" s="339" t="str">
        <x:v>Draft / Posted</x:v>
      </x:c>
      <x:c r="F164" s="339" t="str">
        <x:v>Draft / Posted → Due → Partially Paid → Paid / Overdue → Reversed / Refunded (controlled)</x:v>
      </x:c>
      <x:c r="G164" s="339" t="str">
        <x:v>Only transitions valid for the current state, role, effective dates and prerequisites are accepted.</x:v>
      </x:c>
      <x:c r="H164" s="339" t="str">
        <x:v>As defined by Primary Roles / configured approval hierarchy</x:v>
      </x:c>
      <x:c r="I164" s="339" t="str">
        <x:v>Reopen/reversal uses an explicit controlled action with reason; never silently rewrite finalized history.</x:v>
      </x:c>
      <x:c r="J164" s="339" t="str">
        <x:v>Use school-configured cutoffs/SLAs; time-sensitive operations use school timezone.</x:v>
      </x:c>
    </x:row>
    <x:row r="165">
      <x:c r="A165" s="339" t="str">
        <x:v>WF-164</x:v>
      </x:c>
      <x:c r="B165" s="339" t="str">
        <x:v>SCR-164</x:v>
      </x:c>
      <x:c r="C165" s="339" t="str">
        <x:v>Fees &amp; Finance</x:v>
      </x:c>
      <x:c r="D165" s="339" t="str">
        <x:v>Fine Rules</x:v>
      </x:c>
      <x:c r="E165" s="339" t="str">
        <x:v>Draft / Posted</x:v>
      </x:c>
      <x:c r="F165" s="339" t="str">
        <x:v>Draft / Posted → Due → Partially Paid → Paid / Overdue → Reversed / Refunded (controlled)</x:v>
      </x:c>
      <x:c r="G165" s="339" t="str">
        <x:v>Only transitions valid for the current state, role, effective dates and prerequisites are accepted.</x:v>
      </x:c>
      <x:c r="H165" s="339" t="str">
        <x:v>As defined by Primary Roles / configured approval hierarchy</x:v>
      </x:c>
      <x:c r="I165" s="339" t="str">
        <x:v>Reopen/reversal uses an explicit controlled action with reason; never silently rewrite finalized history.</x:v>
      </x:c>
      <x:c r="J165" s="339" t="str">
        <x:v>Use school-configured cutoffs/SLAs; time-sensitive operations use school timezone.</x:v>
      </x:c>
    </x:row>
    <x:row r="166">
      <x:c r="A166" s="339" t="str">
        <x:v>WF-165</x:v>
      </x:c>
      <x:c r="B166" s="339" t="str">
        <x:v>SCR-165</x:v>
      </x:c>
      <x:c r="C166" s="339" t="str">
        <x:v>Fees &amp; Finance</x:v>
      </x:c>
      <x:c r="D166" s="339" t="str">
        <x:v>Refunds</x:v>
      </x:c>
      <x:c r="E166" s="339" t="str">
        <x:v>Draft / Posted</x:v>
      </x:c>
      <x:c r="F166" s="339" t="str">
        <x:v>Draft / Posted → Due → Partially Paid → Paid / Overdue → Reversed / Refunded (controlled)</x:v>
      </x:c>
      <x:c r="G166" s="339" t="str">
        <x:v>Only transitions valid for the current state, role, effective dates and prerequisites are accepted.</x:v>
      </x:c>
      <x:c r="H166" s="339" t="str">
        <x:v>As defined by Primary Roles / configured approval hierarchy</x:v>
      </x:c>
      <x:c r="I166" s="339" t="str">
        <x:v>Reopen/reversal uses an explicit controlled action with reason; never silently rewrite finalized history.</x:v>
      </x:c>
      <x:c r="J166" s="339" t="str">
        <x:v>Use school-configured cutoffs/SLAs; time-sensitive operations use school timezone.</x:v>
      </x:c>
    </x:row>
    <x:row r="167">
      <x:c r="A167" s="339" t="str">
        <x:v>WF-166</x:v>
      </x:c>
      <x:c r="B167" s="339" t="str">
        <x:v>SCR-166</x:v>
      </x:c>
      <x:c r="C167" s="339" t="str">
        <x:v>Fees &amp; Finance</x:v>
      </x:c>
      <x:c r="D167" s="339" t="str">
        <x:v>Income</x:v>
      </x:c>
      <x:c r="E167" s="339" t="str">
        <x:v>Draft / Posted</x:v>
      </x:c>
      <x:c r="F167" s="339" t="str">
        <x:v>Draft / Posted → Due → Partially Paid → Paid / Overdue → Reversed / Refunded (controlled)</x:v>
      </x:c>
      <x:c r="G167" s="339" t="str">
        <x:v>Only transitions valid for the current state, role, effective dates and prerequisites are accepted.</x:v>
      </x:c>
      <x:c r="H167" s="339" t="str">
        <x:v>As defined by Primary Roles / configured approval hierarchy</x:v>
      </x:c>
      <x:c r="I167" s="339" t="str">
        <x:v>Reopen/reversal uses an explicit controlled action with reason; never silently rewrite finalized history.</x:v>
      </x:c>
      <x:c r="J167" s="339" t="str">
        <x:v>Use school-configured cutoffs/SLAs; time-sensitive operations use school timezone.</x:v>
      </x:c>
    </x:row>
    <x:row r="168">
      <x:c r="A168" s="339" t="str">
        <x:v>WF-167</x:v>
      </x:c>
      <x:c r="B168" s="339" t="str">
        <x:v>SCR-167</x:v>
      </x:c>
      <x:c r="C168" s="339" t="str">
        <x:v>Fees &amp; Finance</x:v>
      </x:c>
      <x:c r="D168" s="339" t="str">
        <x:v>Expenses</x:v>
      </x:c>
      <x:c r="E168" s="339" t="str">
        <x:v>Draft / Posted</x:v>
      </x:c>
      <x:c r="F168" s="339" t="str">
        <x:v>Draft / Posted → Due → Partially Paid → Paid / Overdue → Reversed / Refunded (controlled)</x:v>
      </x:c>
      <x:c r="G168" s="339" t="str">
        <x:v>Only transitions valid for the current state, role, effective dates and prerequisites are accepted.</x:v>
      </x:c>
      <x:c r="H168" s="339" t="str">
        <x:v>As defined by Primary Roles / configured approval hierarchy</x:v>
      </x:c>
      <x:c r="I168" s="339" t="str">
        <x:v>Reopen/reversal uses an explicit controlled action with reason; never silently rewrite finalized history.</x:v>
      </x:c>
      <x:c r="J168" s="339" t="str">
        <x:v>Use school-configured cutoffs/SLAs; time-sensitive operations use school timezone.</x:v>
      </x:c>
    </x:row>
    <x:row r="169">
      <x:c r="A169" s="339" t="str">
        <x:v>WF-168</x:v>
      </x:c>
      <x:c r="B169" s="339" t="str">
        <x:v>SCR-168</x:v>
      </x:c>
      <x:c r="C169" s="339" t="str">
        <x:v>Fees &amp; Finance</x:v>
      </x:c>
      <x:c r="D169" s="339" t="str">
        <x:v>Vendor Management</x:v>
      </x:c>
      <x:c r="E169" s="339" t="str">
        <x:v>Draft / Posted</x:v>
      </x:c>
      <x:c r="F169" s="339" t="str">
        <x:v>Draft / Posted → Due → Partially Paid → Paid / Overdue → Reversed / Refunded (controlled)</x:v>
      </x:c>
      <x:c r="G169" s="339" t="str">
        <x:v>Only transitions valid for the current state, role, effective dates and prerequisites are accepted.</x:v>
      </x:c>
      <x:c r="H169" s="339" t="str">
        <x:v>As defined by Primary Roles / configured approval hierarchy</x:v>
      </x:c>
      <x:c r="I169" s="339" t="str">
        <x:v>Reopen/reversal uses an explicit controlled action with reason; never silently rewrite finalized history.</x:v>
      </x:c>
      <x:c r="J169" s="339" t="str">
        <x:v>Use school-configured cutoffs/SLAs; time-sensitive operations use school timezone.</x:v>
      </x:c>
    </x:row>
    <x:row r="170">
      <x:c r="A170" s="339" t="str">
        <x:v>WF-169</x:v>
      </x:c>
      <x:c r="B170" s="339" t="str">
        <x:v>SCR-169</x:v>
      </x:c>
      <x:c r="C170" s="339" t="str">
        <x:v>Fees &amp; Finance</x:v>
      </x:c>
      <x:c r="D170" s="339" t="str">
        <x:v>Purchase / Payment</x:v>
      </x:c>
      <x:c r="E170" s="339" t="str">
        <x:v>Draft / Posted</x:v>
      </x:c>
      <x:c r="F170" s="339" t="str">
        <x:v>Draft / Posted → Due → Partially Paid → Paid / Overdue → Reversed / Refunded (controlled)</x:v>
      </x:c>
      <x:c r="G170" s="339" t="str">
        <x:v>Only transitions valid for the current state, role, effective dates and prerequisites are accepted.</x:v>
      </x:c>
      <x:c r="H170" s="339" t="str">
        <x:v>As defined by Primary Roles / configured approval hierarchy</x:v>
      </x:c>
      <x:c r="I170" s="339" t="str">
        <x:v>Reopen/reversal uses an explicit controlled action with reason; never silently rewrite finalized history.</x:v>
      </x:c>
      <x:c r="J170" s="339" t="str">
        <x:v>Use school-configured cutoffs/SLAs; time-sensitive operations use school timezone.</x:v>
      </x:c>
    </x:row>
    <x:row r="171">
      <x:c r="A171" s="339" t="str">
        <x:v>WF-170</x:v>
      </x:c>
      <x:c r="B171" s="339" t="str">
        <x:v>SCR-170</x:v>
      </x:c>
      <x:c r="C171" s="339" t="str">
        <x:v>Fees &amp; Finance</x:v>
      </x:c>
      <x:c r="D171" s="339" t="str">
        <x:v>Cash &amp; Bank Book</x:v>
      </x:c>
      <x:c r="E171" s="339" t="str">
        <x:v>Draft / Posted</x:v>
      </x:c>
      <x:c r="F171" s="339" t="str">
        <x:v>Draft / Posted → Due → Partially Paid → Paid / Overdue → Reversed / Refunded (controlled)</x:v>
      </x:c>
      <x:c r="G171" s="339" t="str">
        <x:v>Only transitions valid for the current state, role, effective dates and prerequisites are accepted.</x:v>
      </x:c>
      <x:c r="H171" s="339" t="str">
        <x:v>As defined by Primary Roles / configured approval hierarchy</x:v>
      </x:c>
      <x:c r="I171" s="339" t="str">
        <x:v>Reopen/reversal uses an explicit controlled action with reason; never silently rewrite finalized history.</x:v>
      </x:c>
      <x:c r="J171" s="339" t="str">
        <x:v>Use school-configured cutoffs/SLAs; time-sensitive operations use school timezone.</x:v>
      </x:c>
    </x:row>
    <x:row r="172">
      <x:c r="A172" s="339" t="str">
        <x:v>WF-171</x:v>
      </x:c>
      <x:c r="B172" s="339" t="str">
        <x:v>SCR-171</x:v>
      </x:c>
      <x:c r="C172" s="339" t="str">
        <x:v>Fees &amp; Finance</x:v>
      </x:c>
      <x:c r="D172" s="339" t="str">
        <x:v>Finance Reports</x:v>
      </x:c>
      <x:c r="E172" s="339" t="str">
        <x:v>Draft / Posted</x:v>
      </x:c>
      <x:c r="F172" s="339" t="str">
        <x:v>Draft / Posted → Due → Partially Paid → Paid / Overdue → Reversed / Refunded (controlled)</x:v>
      </x:c>
      <x:c r="G172" s="339" t="str">
        <x:v>Only transitions valid for the current state, role, effective dates and prerequisites are accepted.</x:v>
      </x:c>
      <x:c r="H172" s="339" t="str">
        <x:v>As defined by Primary Roles / configured approval hierarchy</x:v>
      </x:c>
      <x:c r="I172" s="339" t="str">
        <x:v>Reopen/reversal uses an explicit controlled action with reason; never silently rewrite finalized history.</x:v>
      </x:c>
      <x:c r="J172" s="339" t="str">
        <x:v>Use school-configured cutoffs/SLAs; time-sensitive operations use school timezone.</x:v>
      </x:c>
    </x:row>
    <x:row r="173">
      <x:c r="A173" s="339" t="str">
        <x:v>WF-172</x:v>
      </x:c>
      <x:c r="B173" s="339" t="str">
        <x:v>SCR-172</x:v>
      </x:c>
      <x:c r="C173" s="339" t="str">
        <x:v>HR / Leave / Payroll</x:v>
      </x:c>
      <x:c r="D173" s="339" t="str">
        <x:v>Recruitment Requisitions</x:v>
      </x:c>
      <x:c r="E173" s="339" t="str">
        <x:v>Draft</x:v>
      </x:c>
      <x:c r="F173" s="339" t="str">
        <x:v>Draft → Active → Completed / Closed</x:v>
      </x:c>
      <x:c r="G173" s="339" t="str">
        <x:v>Only transitions valid for the current state, role, effective dates and prerequisites are accepted.</x:v>
      </x:c>
      <x:c r="H173" s="339" t="str">
        <x:v>As defined by Primary Roles / configured approval hierarchy</x:v>
      </x:c>
      <x:c r="I173" s="339" t="str">
        <x:v>Reopen/reversal uses an explicit controlled action with reason; never silently rewrite finalized history.</x:v>
      </x:c>
      <x:c r="J173" s="339" t="str">
        <x:v>Use school-configured cutoffs/SLAs; time-sensitive operations use school timezone.</x:v>
      </x:c>
    </x:row>
    <x:row r="174">
      <x:c r="A174" s="339" t="str">
        <x:v>WF-173</x:v>
      </x:c>
      <x:c r="B174" s="339" t="str">
        <x:v>SCR-173</x:v>
      </x:c>
      <x:c r="C174" s="339" t="str">
        <x:v>HR / Leave / Payroll</x:v>
      </x:c>
      <x:c r="D174" s="339" t="str">
        <x:v>Job Openings</x:v>
      </x:c>
      <x:c r="E174" s="339" t="str">
        <x:v>Draft</x:v>
      </x:c>
      <x:c r="F174" s="339" t="str">
        <x:v>Draft → Active → Completed / Closed</x:v>
      </x:c>
      <x:c r="G174" s="339" t="str">
        <x:v>Only transitions valid for the current state, role, effective dates and prerequisites are accepted.</x:v>
      </x:c>
      <x:c r="H174" s="339" t="str">
        <x:v>As defined by Primary Roles / configured approval hierarchy</x:v>
      </x:c>
      <x:c r="I174" s="339" t="str">
        <x:v>Reopen/reversal uses an explicit controlled action with reason; never silently rewrite finalized history.</x:v>
      </x:c>
      <x:c r="J174" s="339" t="str">
        <x:v>Use school-configured cutoffs/SLAs; time-sensitive operations use school timezone.</x:v>
      </x:c>
    </x:row>
    <x:row r="175">
      <x:c r="A175" s="339" t="str">
        <x:v>WF-174</x:v>
      </x:c>
      <x:c r="B175" s="339" t="str">
        <x:v>SCR-174</x:v>
      </x:c>
      <x:c r="C175" s="339" t="str">
        <x:v>HR / Leave / Payroll</x:v>
      </x:c>
      <x:c r="D175" s="339" t="str">
        <x:v>Candidate Applications</x:v>
      </x:c>
      <x:c r="E175" s="339" t="str">
        <x:v>Draft</x:v>
      </x:c>
      <x:c r="F175" s="339" t="str">
        <x:v>Draft → Active → Completed / Closed</x:v>
      </x:c>
      <x:c r="G175" s="339" t="str">
        <x:v>Only transitions valid for the current state, role, effective dates and prerequisites are accepted.</x:v>
      </x:c>
      <x:c r="H175" s="339" t="str">
        <x:v>As defined by Primary Roles / configured approval hierarchy</x:v>
      </x:c>
      <x:c r="I175" s="339" t="str">
        <x:v>Reopen/reversal uses an explicit controlled action with reason; never silently rewrite finalized history.</x:v>
      </x:c>
      <x:c r="J175" s="339" t="str">
        <x:v>Use school-configured cutoffs/SLAs; time-sensitive operations use school timezone.</x:v>
      </x:c>
    </x:row>
    <x:row r="176">
      <x:c r="A176" s="339" t="str">
        <x:v>WF-175</x:v>
      </x:c>
      <x:c r="B176" s="339" t="str">
        <x:v>SCR-175</x:v>
      </x:c>
      <x:c r="C176" s="339" t="str">
        <x:v>HR / Leave / Payroll</x:v>
      </x:c>
      <x:c r="D176" s="339" t="str">
        <x:v>Candidate Details</x:v>
      </x:c>
      <x:c r="E176" s="339" t="str">
        <x:v>Draft</x:v>
      </x:c>
      <x:c r="F176" s="339" t="str">
        <x:v>Draft → Active → Completed / Closed</x:v>
      </x:c>
      <x:c r="G176" s="339" t="str">
        <x:v>Only transitions valid for the current state, role, effective dates and prerequisites are accepted.</x:v>
      </x:c>
      <x:c r="H176" s="339" t="str">
        <x:v>As defined by Primary Roles / configured approval hierarchy</x:v>
      </x:c>
      <x:c r="I176" s="339" t="str">
        <x:v>Reopen/reversal uses an explicit controlled action with reason; never silently rewrite finalized history.</x:v>
      </x:c>
      <x:c r="J176" s="339" t="str">
        <x:v>Use school-configured cutoffs/SLAs; time-sensitive operations use school timezone.</x:v>
      </x:c>
    </x:row>
    <x:row r="177">
      <x:c r="A177" s="339" t="str">
        <x:v>WF-176</x:v>
      </x:c>
      <x:c r="B177" s="339" t="str">
        <x:v>SCR-176</x:v>
      </x:c>
      <x:c r="C177" s="339" t="str">
        <x:v>HR / Leave / Payroll</x:v>
      </x:c>
      <x:c r="D177" s="339" t="str">
        <x:v>Interview Schedule</x:v>
      </x:c>
      <x:c r="E177" s="339" t="str">
        <x:v>Draft</x:v>
      </x:c>
      <x:c r="F177" s="339" t="str">
        <x:v>Draft → Active → Completed / Closed</x:v>
      </x:c>
      <x:c r="G177" s="339" t="str">
        <x:v>Only transitions valid for the current state, role, effective dates and prerequisites are accepted.</x:v>
      </x:c>
      <x:c r="H177" s="339" t="str">
        <x:v>As defined by Primary Roles / configured approval hierarchy</x:v>
      </x:c>
      <x:c r="I177" s="339" t="str">
        <x:v>Reopen/reversal uses an explicit controlled action with reason; never silently rewrite finalized history.</x:v>
      </x:c>
      <x:c r="J177" s="339" t="str">
        <x:v>Use school-configured cutoffs/SLAs; time-sensitive operations use school timezone.</x:v>
      </x:c>
    </x:row>
    <x:row r="178">
      <x:c r="A178" s="339" t="str">
        <x:v>WF-177</x:v>
      </x:c>
      <x:c r="B178" s="339" t="str">
        <x:v>SCR-177</x:v>
      </x:c>
      <x:c r="C178" s="339" t="str">
        <x:v>HR / Leave / Payroll</x:v>
      </x:c>
      <x:c r="D178" s="339" t="str">
        <x:v>Offer &amp; Appointment</x:v>
      </x:c>
      <x:c r="E178" s="339" t="str">
        <x:v>Draft</x:v>
      </x:c>
      <x:c r="F178" s="339" t="str">
        <x:v>Draft → Active → Completed / Closed</x:v>
      </x:c>
      <x:c r="G178" s="339" t="str">
        <x:v>Only transitions valid for the current state, role, effective dates and prerequisites are accepted.</x:v>
      </x:c>
      <x:c r="H178" s="339" t="str">
        <x:v>As defined by Primary Roles / configured approval hierarchy</x:v>
      </x:c>
      <x:c r="I178" s="339" t="str">
        <x:v>Reopen/reversal uses an explicit controlled action with reason; never silently rewrite finalized history.</x:v>
      </x:c>
      <x:c r="J178" s="339" t="str">
        <x:v>Use school-configured cutoffs/SLAs; time-sensitive operations use school timezone.</x:v>
      </x:c>
    </x:row>
    <x:row r="179">
      <x:c r="A179" s="339" t="str">
        <x:v>WF-178</x:v>
      </x:c>
      <x:c r="B179" s="339" t="str">
        <x:v>SCR-178</x:v>
      </x:c>
      <x:c r="C179" s="339" t="str">
        <x:v>HR / Leave / Payroll</x:v>
      </x:c>
      <x:c r="D179" s="339" t="str">
        <x:v>Employee Onboarding Checklist</x:v>
      </x:c>
      <x:c r="E179" s="339" t="str">
        <x:v>Draft</x:v>
      </x:c>
      <x:c r="F179" s="339" t="str">
        <x:v>Draft → Active → Completed / Closed</x:v>
      </x:c>
      <x:c r="G179" s="339" t="str">
        <x:v>Only transitions valid for the current state, role, effective dates and prerequisites are accepted.</x:v>
      </x:c>
      <x:c r="H179" s="339" t="str">
        <x:v>As defined by Primary Roles / configured approval hierarchy</x:v>
      </x:c>
      <x:c r="I179" s="339" t="str">
        <x:v>Reopen/reversal uses an explicit controlled action with reason; never silently rewrite finalized history.</x:v>
      </x:c>
      <x:c r="J179" s="339" t="str">
        <x:v>Use school-configured cutoffs/SLAs; time-sensitive operations use school timezone.</x:v>
      </x:c>
    </x:row>
    <x:row r="180">
      <x:c r="A180" s="339" t="str">
        <x:v>WF-179</x:v>
      </x:c>
      <x:c r="B180" s="339" t="str">
        <x:v>SCR-179</x:v>
      </x:c>
      <x:c r="C180" s="339" t="str">
        <x:v>HR / Leave / Payroll</x:v>
      </x:c>
      <x:c r="D180" s="339" t="str">
        <x:v>Staff Attendance Management</x:v>
      </x:c>
      <x:c r="E180" s="339" t="str">
        <x:v>Draft</x:v>
      </x:c>
      <x:c r="F180" s="339" t="str">
        <x:v>Draft → Active → Completed / Closed</x:v>
      </x:c>
      <x:c r="G180" s="339" t="str">
        <x:v>Only transitions valid for the current state, role, effective dates and prerequisites are accepted.</x:v>
      </x:c>
      <x:c r="H180" s="339" t="str">
        <x:v>As defined by Primary Roles / configured approval hierarchy</x:v>
      </x:c>
      <x:c r="I180" s="339" t="str">
        <x:v>Reopen/reversal uses an explicit controlled action with reason; never silently rewrite finalized history.</x:v>
      </x:c>
      <x:c r="J180" s="339" t="str">
        <x:v>Use school-configured cutoffs/SLAs; time-sensitive operations use school timezone.</x:v>
      </x:c>
    </x:row>
    <x:row r="181">
      <x:c r="A181" s="339" t="str">
        <x:v>WF-180</x:v>
      </x:c>
      <x:c r="B181" s="339" t="str">
        <x:v>SCR-180</x:v>
      </x:c>
      <x:c r="C181" s="339" t="str">
        <x:v>HR / Leave / Payroll</x:v>
      </x:c>
      <x:c r="D181" s="339" t="str">
        <x:v>Leave Policies</x:v>
      </x:c>
      <x:c r="E181" s="339" t="str">
        <x:v>Draft</x:v>
      </x:c>
      <x:c r="F181" s="339" t="str">
        <x:v>Draft → Submitted → Approved / Rejected → Cancelled</x:v>
      </x:c>
      <x:c r="G181" s="339" t="str">
        <x:v>Only transitions valid for the current state, role, effective dates and prerequisites are accepted.</x:v>
      </x:c>
      <x:c r="H181" s="339" t="str">
        <x:v>As defined by Primary Roles / configured approval hierarchy</x:v>
      </x:c>
      <x:c r="I181" s="339" t="str">
        <x:v>Reopen/reversal uses an explicit controlled action with reason; never silently rewrite finalized history.</x:v>
      </x:c>
      <x:c r="J181" s="339" t="str">
        <x:v>Use school-configured cutoffs/SLAs; time-sensitive operations use school timezone.</x:v>
      </x:c>
    </x:row>
    <x:row r="182">
      <x:c r="A182" s="339" t="str">
        <x:v>WF-181</x:v>
      </x:c>
      <x:c r="B182" s="339" t="str">
        <x:v>SCR-181</x:v>
      </x:c>
      <x:c r="C182" s="339" t="str">
        <x:v>HR / Leave / Payroll</x:v>
      </x:c>
      <x:c r="D182" s="339" t="str">
        <x:v>Staff Leave Requests</x:v>
      </x:c>
      <x:c r="E182" s="339" t="str">
        <x:v>Draft</x:v>
      </x:c>
      <x:c r="F182" s="339" t="str">
        <x:v>Draft → Submitted → Approved / Rejected → Cancelled</x:v>
      </x:c>
      <x:c r="G182" s="339" t="str">
        <x:v>Only transitions valid for the current state, role, effective dates and prerequisites are accepted.</x:v>
      </x:c>
      <x:c r="H182" s="339" t="str">
        <x:v>As defined by Primary Roles / configured approval hierarchy</x:v>
      </x:c>
      <x:c r="I182" s="339" t="str">
        <x:v>Reopen/reversal uses an explicit controlled action with reason; never silently rewrite finalized history.</x:v>
      </x:c>
      <x:c r="J182" s="339" t="str">
        <x:v>Use school-configured cutoffs/SLAs; time-sensitive operations use school timezone.</x:v>
      </x:c>
    </x:row>
    <x:row r="183">
      <x:c r="A183" s="339" t="str">
        <x:v>WF-182</x:v>
      </x:c>
      <x:c r="B183" s="339" t="str">
        <x:v>SCR-182</x:v>
      </x:c>
      <x:c r="C183" s="339" t="str">
        <x:v>HR / Leave / Payroll</x:v>
      </x:c>
      <x:c r="D183" s="339" t="str">
        <x:v>Leave Approval</x:v>
      </x:c>
      <x:c r="E183" s="339" t="str">
        <x:v>Draft</x:v>
      </x:c>
      <x:c r="F183" s="339" t="str">
        <x:v>Draft → Submitted → Approved / Rejected → Cancelled</x:v>
      </x:c>
      <x:c r="G183" s="339" t="str">
        <x:v>Only transitions valid for the current state, role, effective dates and prerequisites are accepted.</x:v>
      </x:c>
      <x:c r="H183" s="339" t="str">
        <x:v>As defined by Primary Roles / configured approval hierarchy</x:v>
      </x:c>
      <x:c r="I183" s="339" t="str">
        <x:v>Reopen/reversal uses an explicit controlled action with reason; never silently rewrite finalized history.</x:v>
      </x:c>
      <x:c r="J183" s="339" t="str">
        <x:v>Use school-configured cutoffs/SLAs; time-sensitive operations use school timezone.</x:v>
      </x:c>
    </x:row>
    <x:row r="184">
      <x:c r="A184" s="339" t="str">
        <x:v>WF-183</x:v>
      </x:c>
      <x:c r="B184" s="339" t="str">
        <x:v>SCR-183</x:v>
      </x:c>
      <x:c r="C184" s="339" t="str">
        <x:v>HR / Leave / Payroll</x:v>
      </x:c>
      <x:c r="D184" s="339" t="str">
        <x:v>Payroll Setup</x:v>
      </x:c>
      <x:c r="E184" s="339" t="str">
        <x:v>Draft</x:v>
      </x:c>
      <x:c r="F184" s="339" t="str">
        <x:v>Draft → Calculated → Reviewed → Approved → Posted / Paid → Adjustment</x:v>
      </x:c>
      <x:c r="G184" s="339" t="str">
        <x:v>Only transitions valid for the current state, role, effective dates and prerequisites are accepted.</x:v>
      </x:c>
      <x:c r="H184" s="339" t="str">
        <x:v>As defined by Primary Roles / configured approval hierarchy</x:v>
      </x:c>
      <x:c r="I184" s="339" t="str">
        <x:v>Reopen/reversal uses an explicit controlled action with reason; never silently rewrite finalized history.</x:v>
      </x:c>
      <x:c r="J184" s="339" t="str">
        <x:v>Use school-configured cutoffs/SLAs; time-sensitive operations use school timezone.</x:v>
      </x:c>
    </x:row>
    <x:row r="185">
      <x:c r="A185" s="339" t="str">
        <x:v>WF-184</x:v>
      </x:c>
      <x:c r="B185" s="339" t="str">
        <x:v>SCR-184</x:v>
      </x:c>
      <x:c r="C185" s="339" t="str">
        <x:v>HR / Leave / Payroll</x:v>
      </x:c>
      <x:c r="D185" s="339" t="str">
        <x:v>Payroll Processing</x:v>
      </x:c>
      <x:c r="E185" s="339" t="str">
        <x:v>Draft</x:v>
      </x:c>
      <x:c r="F185" s="339" t="str">
        <x:v>Draft → Calculated → Reviewed → Approved → Posted / Paid → Adjustment</x:v>
      </x:c>
      <x:c r="G185" s="339" t="str">
        <x:v>Only transitions valid for the current state, role, effective dates and prerequisites are accepted.</x:v>
      </x:c>
      <x:c r="H185" s="339" t="str">
        <x:v>As defined by Primary Roles / configured approval hierarchy</x:v>
      </x:c>
      <x:c r="I185" s="339" t="str">
        <x:v>Reopen/reversal uses an explicit controlled action with reason; never silently rewrite finalized history.</x:v>
      </x:c>
      <x:c r="J185" s="339" t="str">
        <x:v>Use school-configured cutoffs/SLAs; time-sensitive operations use school timezone.</x:v>
      </x:c>
    </x:row>
    <x:row r="186">
      <x:c r="A186" s="339" t="str">
        <x:v>WF-185</x:v>
      </x:c>
      <x:c r="B186" s="339" t="str">
        <x:v>SCR-185</x:v>
      </x:c>
      <x:c r="C186" s="339" t="str">
        <x:v>HR / Leave / Payroll</x:v>
      </x:c>
      <x:c r="D186" s="339" t="str">
        <x:v>Payslip &amp; Payroll History</x:v>
      </x:c>
      <x:c r="E186" s="339" t="str">
        <x:v>Draft</x:v>
      </x:c>
      <x:c r="F186" s="339" t="str">
        <x:v>Draft → Calculated → Reviewed → Approved → Posted / Paid → Adjustment</x:v>
      </x:c>
      <x:c r="G186" s="339" t="str">
        <x:v>Only transitions valid for the current state, role, effective dates and prerequisites are accepted.</x:v>
      </x:c>
      <x:c r="H186" s="339" t="str">
        <x:v>As defined by Primary Roles / configured approval hierarchy</x:v>
      </x:c>
      <x:c r="I186" s="339" t="str">
        <x:v>Reopen/reversal uses an explicit controlled action with reason; never silently rewrite finalized history.</x:v>
      </x:c>
      <x:c r="J186" s="339" t="str">
        <x:v>Use school-configured cutoffs/SLAs; time-sensitive operations use school timezone.</x:v>
      </x:c>
    </x:row>
    <x:row r="187">
      <x:c r="A187" s="339" t="str">
        <x:v>WF-186</x:v>
      </x:c>
      <x:c r="B187" s="339" t="str">
        <x:v>SCR-186</x:v>
      </x:c>
      <x:c r="C187" s="339" t="str">
        <x:v>Transport / Bus / GPS</x:v>
      </x:c>
      <x:c r="D187" s="339" t="str">
        <x:v>Vehicles</x:v>
      </x:c>
      <x:c r="E187" s="339" t="str">
        <x:v>Draft</x:v>
      </x:c>
      <x:c r="F187" s="339" t="str">
        <x:v>Draft → Active → Inactive / Maintenance / Archived</x:v>
      </x:c>
      <x:c r="G187" s="339" t="str">
        <x:v>Only transitions valid for the current state, role, effective dates and prerequisites are accepted.</x:v>
      </x:c>
      <x:c r="H187" s="339" t="str">
        <x:v>As defined by Primary Roles / configured approval hierarchy</x:v>
      </x:c>
      <x:c r="I187" s="339" t="str">
        <x:v>Reopen/reversal uses an explicit controlled action with reason; never silently rewrite finalized history.</x:v>
      </x:c>
      <x:c r="J187" s="339" t="str">
        <x:v>Use school-configured cutoffs/SLAs; time-sensitive operations use school timezone.</x:v>
      </x:c>
    </x:row>
    <x:row r="188">
      <x:c r="A188" s="339" t="str">
        <x:v>WF-187</x:v>
      </x:c>
      <x:c r="B188" s="339" t="str">
        <x:v>SCR-187</x:v>
      </x:c>
      <x:c r="C188" s="339" t="str">
        <x:v>Transport / Bus / GPS</x:v>
      </x:c>
      <x:c r="D188" s="339" t="str">
        <x:v>Add / Edit Vehicle</x:v>
      </x:c>
      <x:c r="E188" s="339" t="str">
        <x:v>Draft</x:v>
      </x:c>
      <x:c r="F188" s="339" t="str">
        <x:v>Draft → Active → Inactive / Maintenance / Archived</x:v>
      </x:c>
      <x:c r="G188" s="339" t="str">
        <x:v>Only transitions valid for the current state, role, effective dates and prerequisites are accepted.</x:v>
      </x:c>
      <x:c r="H188" s="339" t="str">
        <x:v>As defined by Primary Roles / configured approval hierarchy</x:v>
      </x:c>
      <x:c r="I188" s="339" t="str">
        <x:v>Reopen/reversal uses an explicit controlled action with reason; never silently rewrite finalized history.</x:v>
      </x:c>
      <x:c r="J188" s="339" t="str">
        <x:v>Use school-configured cutoffs/SLAs; time-sensitive operations use school timezone.</x:v>
      </x:c>
    </x:row>
    <x:row r="189">
      <x:c r="A189" s="339" t="str">
        <x:v>WF-188</x:v>
      </x:c>
      <x:c r="B189" s="339" t="str">
        <x:v>SCR-188</x:v>
      </x:c>
      <x:c r="C189" s="339" t="str">
        <x:v>Transport / Bus / GPS</x:v>
      </x:c>
      <x:c r="D189" s="339" t="str">
        <x:v>Vehicle Details</x:v>
      </x:c>
      <x:c r="E189" s="339" t="str">
        <x:v>Draft</x:v>
      </x:c>
      <x:c r="F189" s="339" t="str">
        <x:v>Draft → Active → Inactive / Maintenance / Archived</x:v>
      </x:c>
      <x:c r="G189" s="339" t="str">
        <x:v>Only transitions valid for the current state, role, effective dates and prerequisites are accepted.</x:v>
      </x:c>
      <x:c r="H189" s="339" t="str">
        <x:v>As defined by Primary Roles / configured approval hierarchy</x:v>
      </x:c>
      <x:c r="I189" s="339" t="str">
        <x:v>Reopen/reversal uses an explicit controlled action with reason; never silently rewrite finalized history.</x:v>
      </x:c>
      <x:c r="J189" s="339" t="str">
        <x:v>Use school-configured cutoffs/SLAs; time-sensitive operations use school timezone.</x:v>
      </x:c>
    </x:row>
    <x:row r="190">
      <x:c r="A190" s="339" t="str">
        <x:v>WF-189</x:v>
      </x:c>
      <x:c r="B190" s="339" t="str">
        <x:v>SCR-189</x:v>
      </x:c>
      <x:c r="C190" s="339" t="str">
        <x:v>Transport / Bus / GPS</x:v>
      </x:c>
      <x:c r="D190" s="339" t="str">
        <x:v>Routes</x:v>
      </x:c>
      <x:c r="E190" s="339" t="str">
        <x:v>Draft</x:v>
      </x:c>
      <x:c r="F190" s="339" t="str">
        <x:v>Draft → Active → Inactive / Maintenance / Archived</x:v>
      </x:c>
      <x:c r="G190" s="339" t="str">
        <x:v>Only transitions valid for the current state, role, effective dates and prerequisites are accepted.</x:v>
      </x:c>
      <x:c r="H190" s="339" t="str">
        <x:v>As defined by Primary Roles / configured approval hierarchy</x:v>
      </x:c>
      <x:c r="I190" s="339" t="str">
        <x:v>Reopen/reversal uses an explicit controlled action with reason; never silently rewrite finalized history.</x:v>
      </x:c>
      <x:c r="J190" s="339" t="str">
        <x:v>Use school-configured cutoffs/SLAs; time-sensitive operations use school timezone.</x:v>
      </x:c>
    </x:row>
    <x:row r="191">
      <x:c r="A191" s="339" t="str">
        <x:v>WF-190</x:v>
      </x:c>
      <x:c r="B191" s="339" t="str">
        <x:v>SCR-190</x:v>
      </x:c>
      <x:c r="C191" s="339" t="str">
        <x:v>Transport / Bus / GPS</x:v>
      </x:c>
      <x:c r="D191" s="339" t="str">
        <x:v>Create / Edit Route</x:v>
      </x:c>
      <x:c r="E191" s="339" t="str">
        <x:v>Draft</x:v>
      </x:c>
      <x:c r="F191" s="339" t="str">
        <x:v>Draft → Active → Inactive / Maintenance / Archived</x:v>
      </x:c>
      <x:c r="G191" s="339" t="str">
        <x:v>Only transitions valid for the current state, role, effective dates and prerequisites are accepted.</x:v>
      </x:c>
      <x:c r="H191" s="339" t="str">
        <x:v>As defined by Primary Roles / configured approval hierarchy</x:v>
      </x:c>
      <x:c r="I191" s="339" t="str">
        <x:v>Reopen/reversal uses an explicit controlled action with reason; never silently rewrite finalized history.</x:v>
      </x:c>
      <x:c r="J191" s="339" t="str">
        <x:v>Use school-configured cutoffs/SLAs; time-sensitive operations use school timezone.</x:v>
      </x:c>
    </x:row>
    <x:row r="192">
      <x:c r="A192" s="339" t="str">
        <x:v>WF-191</x:v>
      </x:c>
      <x:c r="B192" s="339" t="str">
        <x:v>SCR-191</x:v>
      </x:c>
      <x:c r="C192" s="339" t="str">
        <x:v>Transport / Bus / GPS</x:v>
      </x:c>
      <x:c r="D192" s="339" t="str">
        <x:v>Stops</x:v>
      </x:c>
      <x:c r="E192" s="339" t="str">
        <x:v>Draft</x:v>
      </x:c>
      <x:c r="F192" s="339" t="str">
        <x:v>Draft → Active → Inactive / Maintenance / Archived</x:v>
      </x:c>
      <x:c r="G192" s="339" t="str">
        <x:v>Only transitions valid for the current state, role, effective dates and prerequisites are accepted.</x:v>
      </x:c>
      <x:c r="H192" s="339" t="str">
        <x:v>As defined by Primary Roles / configured approval hierarchy</x:v>
      </x:c>
      <x:c r="I192" s="339" t="str">
        <x:v>Reopen/reversal uses an explicit controlled action with reason; never silently rewrite finalized history.</x:v>
      </x:c>
      <x:c r="J192" s="339" t="str">
        <x:v>Use school-configured cutoffs/SLAs; time-sensitive operations use school timezone.</x:v>
      </x:c>
    </x:row>
    <x:row r="193">
      <x:c r="A193" s="339" t="str">
        <x:v>WF-192</x:v>
      </x:c>
      <x:c r="B193" s="339" t="str">
        <x:v>SCR-192</x:v>
      </x:c>
      <x:c r="C193" s="339" t="str">
        <x:v>Transport / Bus / GPS</x:v>
      </x:c>
      <x:c r="D193" s="339" t="str">
        <x:v>Drivers &amp; Conductors</x:v>
      </x:c>
      <x:c r="E193" s="339" t="str">
        <x:v>Draft</x:v>
      </x:c>
      <x:c r="F193" s="339" t="str">
        <x:v>Draft → Active → Inactive / Maintenance / Archived</x:v>
      </x:c>
      <x:c r="G193" s="339" t="str">
        <x:v>Only transitions valid for the current state, role, effective dates and prerequisites are accepted.</x:v>
      </x:c>
      <x:c r="H193" s="339" t="str">
        <x:v>As defined by Primary Roles / configured approval hierarchy</x:v>
      </x:c>
      <x:c r="I193" s="339" t="str">
        <x:v>Reopen/reversal uses an explicit controlled action with reason; never silently rewrite finalized history.</x:v>
      </x:c>
      <x:c r="J193" s="339" t="str">
        <x:v>Use school-configured cutoffs/SLAs; time-sensitive operations use school timezone.</x:v>
      </x:c>
    </x:row>
    <x:row r="194">
      <x:c r="A194" s="339" t="str">
        <x:v>WF-193</x:v>
      </x:c>
      <x:c r="B194" s="339" t="str">
        <x:v>SCR-193</x:v>
      </x:c>
      <x:c r="C194" s="339" t="str">
        <x:v>Transport / Bus / GPS</x:v>
      </x:c>
      <x:c r="D194" s="339" t="str">
        <x:v>Student Route Assignment</x:v>
      </x:c>
      <x:c r="E194" s="339" t="str">
        <x:v>Draft</x:v>
      </x:c>
      <x:c r="F194" s="339" t="str">
        <x:v>Draft → Active → Inactive / Maintenance / Archived</x:v>
      </x:c>
      <x:c r="G194" s="339" t="str">
        <x:v>Only transitions valid for the current state, role, effective dates and prerequisites are accepted.</x:v>
      </x:c>
      <x:c r="H194" s="339" t="str">
        <x:v>As defined by Primary Roles / configured approval hierarchy</x:v>
      </x:c>
      <x:c r="I194" s="339" t="str">
        <x:v>Reopen/reversal uses an explicit controlled action with reason; never silently rewrite finalized history.</x:v>
      </x:c>
      <x:c r="J194" s="339" t="str">
        <x:v>Use school-configured cutoffs/SLAs; time-sensitive operations use school timezone.</x:v>
      </x:c>
    </x:row>
    <x:row r="195">
      <x:c r="A195" s="339" t="str">
        <x:v>WF-194</x:v>
      </x:c>
      <x:c r="B195" s="339" t="str">
        <x:v>SCR-194</x:v>
      </x:c>
      <x:c r="C195" s="339" t="str">
        <x:v>Transport / Bus / GPS</x:v>
      </x:c>
      <x:c r="D195" s="339" t="str">
        <x:v>Trip Sheet</x:v>
      </x:c>
      <x:c r="E195" s="339" t="str">
        <x:v>Planned</x:v>
      </x:c>
      <x:c r="F195" s="339" t="str">
        <x:v>Planned → Started → In Progress → Completed / Cancelled</x:v>
      </x:c>
      <x:c r="G195" s="339" t="str">
        <x:v>Only transitions valid for the current state, role, effective dates and prerequisites are accepted.</x:v>
      </x:c>
      <x:c r="H195" s="339" t="str">
        <x:v>As defined by Primary Roles / configured approval hierarchy</x:v>
      </x:c>
      <x:c r="I195" s="339" t="str">
        <x:v>Reopen/reversal uses an explicit controlled action with reason; never silently rewrite finalized history.</x:v>
      </x:c>
      <x:c r="J195" s="339" t="str">
        <x:v>Use school-configured cutoffs/SLAs; time-sensitive operations use school timezone.</x:v>
      </x:c>
    </x:row>
    <x:row r="196">
      <x:c r="A196" s="339" t="str">
        <x:v>WF-195</x:v>
      </x:c>
      <x:c r="B196" s="339" t="str">
        <x:v>SCR-195</x:v>
      </x:c>
      <x:c r="C196" s="339" t="str">
        <x:v>Transport / Bus / GPS</x:v>
      </x:c>
      <x:c r="D196" s="339" t="str">
        <x:v>Live GPS Tracking</x:v>
      </x:c>
      <x:c r="E196" s="339" t="str">
        <x:v>Planned</x:v>
      </x:c>
      <x:c r="F196" s="339" t="str">
        <x:v>Planned → Started → In Progress → Completed / Cancelled</x:v>
      </x:c>
      <x:c r="G196" s="339" t="str">
        <x:v>Only transitions valid for the current state, role, effective dates and prerequisites are accepted.</x:v>
      </x:c>
      <x:c r="H196" s="339" t="str">
        <x:v>As defined by Primary Roles / configured approval hierarchy</x:v>
      </x:c>
      <x:c r="I196" s="339" t="str">
        <x:v>Reopen/reversal uses an explicit controlled action with reason; never silently rewrite finalized history.</x:v>
      </x:c>
      <x:c r="J196" s="339" t="str">
        <x:v>Use school-configured cutoffs/SLAs; time-sensitive operations use school timezone.</x:v>
      </x:c>
    </x:row>
    <x:row r="197">
      <x:c r="A197" s="339" t="str">
        <x:v>WF-196</x:v>
      </x:c>
      <x:c r="B197" s="339" t="str">
        <x:v>SCR-196</x:v>
      </x:c>
      <x:c r="C197" s="339" t="str">
        <x:v>Transport / Bus / GPS</x:v>
      </x:c>
      <x:c r="D197" s="339" t="str">
        <x:v>Boarding / Drop Attendance</x:v>
      </x:c>
      <x:c r="E197" s="339" t="str">
        <x:v>Planned</x:v>
      </x:c>
      <x:c r="F197" s="339" t="str">
        <x:v>Planned → Started → In Progress → Completed / Cancelled</x:v>
      </x:c>
      <x:c r="G197" s="339" t="str">
        <x:v>Only transitions valid for the current state, role, effective dates and prerequisites are accepted.</x:v>
      </x:c>
      <x:c r="H197" s="339" t="str">
        <x:v>As defined by Primary Roles / configured approval hierarchy</x:v>
      </x:c>
      <x:c r="I197" s="339" t="str">
        <x:v>Reopen/reversal uses an explicit controlled action with reason; never silently rewrite finalized history.</x:v>
      </x:c>
      <x:c r="J197" s="339" t="str">
        <x:v>Use school-configured cutoffs/SLAs; time-sensitive operations use school timezone.</x:v>
      </x:c>
    </x:row>
    <x:row r="198">
      <x:c r="A198" s="339" t="str">
        <x:v>WF-197</x:v>
      </x:c>
      <x:c r="B198" s="339" t="str">
        <x:v>SCR-197</x:v>
      </x:c>
      <x:c r="C198" s="339" t="str">
        <x:v>Transport / Bus / GPS</x:v>
      </x:c>
      <x:c r="D198" s="339" t="str">
        <x:v>Vehicle Maintenance &amp; Fuel</x:v>
      </x:c>
      <x:c r="E198" s="339" t="str">
        <x:v>Draft</x:v>
      </x:c>
      <x:c r="F198" s="339" t="str">
        <x:v>Draft → Active → Inactive / Maintenance / Archived</x:v>
      </x:c>
      <x:c r="G198" s="339" t="str">
        <x:v>Only transitions valid for the current state, role, effective dates and prerequisites are accepted.</x:v>
      </x:c>
      <x:c r="H198" s="339" t="str">
        <x:v>As defined by Primary Roles / configured approval hierarchy</x:v>
      </x:c>
      <x:c r="I198" s="339" t="str">
        <x:v>Reopen/reversal uses an explicit controlled action with reason; never silently rewrite finalized history.</x:v>
      </x:c>
      <x:c r="J198" s="339" t="str">
        <x:v>Use school-configured cutoffs/SLAs; time-sensitive operations use school timezone.</x:v>
      </x:c>
    </x:row>
    <x:row r="199">
      <x:c r="A199" s="339" t="str">
        <x:v>WF-198</x:v>
      </x:c>
      <x:c r="B199" s="339" t="str">
        <x:v>SCR-198</x:v>
      </x:c>
      <x:c r="C199" s="339" t="str">
        <x:v>Library</x:v>
      </x:c>
      <x:c r="D199" s="339" t="str">
        <x:v>Library Catalogue</x:v>
      </x:c>
      <x:c r="E199" s="339" t="str">
        <x:v>Available</x:v>
      </x:c>
      <x:c r="F199" s="339" t="str">
        <x:v>Available → Reserved / Issued → Overdue → Returned / Lost / Damaged</x:v>
      </x:c>
      <x:c r="G199" s="339" t="str">
        <x:v>Only transitions valid for the current state, role, effective dates and prerequisites are accepted.</x:v>
      </x:c>
      <x:c r="H199" s="339" t="str">
        <x:v>As defined by Primary Roles / configured approval hierarchy</x:v>
      </x:c>
      <x:c r="I199" s="339" t="str">
        <x:v>Reopen/reversal uses an explicit controlled action with reason; never silently rewrite finalized history.</x:v>
      </x:c>
      <x:c r="J199" s="339" t="str">
        <x:v>Use school-configured cutoffs/SLAs; time-sensitive operations use school timezone.</x:v>
      </x:c>
    </x:row>
    <x:row r="200">
      <x:c r="A200" s="339" t="str">
        <x:v>WF-199</x:v>
      </x:c>
      <x:c r="B200" s="339" t="str">
        <x:v>SCR-199</x:v>
      </x:c>
      <x:c r="C200" s="339" t="str">
        <x:v>Library</x:v>
      </x:c>
      <x:c r="D200" s="339" t="str">
        <x:v>Add / Edit Book</x:v>
      </x:c>
      <x:c r="E200" s="339" t="str">
        <x:v>Available</x:v>
      </x:c>
      <x:c r="F200" s="339" t="str">
        <x:v>Available → Reserved / Issued → Overdue → Returned / Lost / Damaged</x:v>
      </x:c>
      <x:c r="G200" s="339" t="str">
        <x:v>Only transitions valid for the current state, role, effective dates and prerequisites are accepted.</x:v>
      </x:c>
      <x:c r="H200" s="339" t="str">
        <x:v>As defined by Primary Roles / configured approval hierarchy</x:v>
      </x:c>
      <x:c r="I200" s="339" t="str">
        <x:v>Reopen/reversal uses an explicit controlled action with reason; never silently rewrite finalized history.</x:v>
      </x:c>
      <x:c r="J200" s="339" t="str">
        <x:v>Use school-configured cutoffs/SLAs; time-sensitive operations use school timezone.</x:v>
      </x:c>
    </x:row>
    <x:row r="201">
      <x:c r="A201" s="339" t="str">
        <x:v>WF-200</x:v>
      </x:c>
      <x:c r="B201" s="339" t="str">
        <x:v>SCR-200</x:v>
      </x:c>
      <x:c r="C201" s="339" t="str">
        <x:v>Library</x:v>
      </x:c>
      <x:c r="D201" s="339" t="str">
        <x:v>Book Details &amp; Copies</x:v>
      </x:c>
      <x:c r="E201" s="339" t="str">
        <x:v>Available</x:v>
      </x:c>
      <x:c r="F201" s="339" t="str">
        <x:v>Available → Reserved / Issued → Overdue → Returned / Lost / Damaged</x:v>
      </x:c>
      <x:c r="G201" s="339" t="str">
        <x:v>Only transitions valid for the current state, role, effective dates and prerequisites are accepted.</x:v>
      </x:c>
      <x:c r="H201" s="339" t="str">
        <x:v>As defined by Primary Roles / configured approval hierarchy</x:v>
      </x:c>
      <x:c r="I201" s="339" t="str">
        <x:v>Reopen/reversal uses an explicit controlled action with reason; never silently rewrite finalized history.</x:v>
      </x:c>
      <x:c r="J201" s="339" t="str">
        <x:v>Use school-configured cutoffs/SLAs; time-sensitive operations use school timezone.</x:v>
      </x:c>
    </x:row>
    <x:row r="202">
      <x:c r="A202" s="339" t="str">
        <x:v>WF-201</x:v>
      </x:c>
      <x:c r="B202" s="339" t="str">
        <x:v>SCR-201</x:v>
      </x:c>
      <x:c r="C202" s="339" t="str">
        <x:v>Library</x:v>
      </x:c>
      <x:c r="D202" s="339" t="str">
        <x:v>Library Members</x:v>
      </x:c>
      <x:c r="E202" s="339" t="str">
        <x:v>Available</x:v>
      </x:c>
      <x:c r="F202" s="339" t="str">
        <x:v>Available → Reserved / Issued → Overdue → Returned / Lost / Damaged</x:v>
      </x:c>
      <x:c r="G202" s="339" t="str">
        <x:v>Only transitions valid for the current state, role, effective dates and prerequisites are accepted.</x:v>
      </x:c>
      <x:c r="H202" s="339" t="str">
        <x:v>As defined by Primary Roles / configured approval hierarchy</x:v>
      </x:c>
      <x:c r="I202" s="339" t="str">
        <x:v>Reopen/reversal uses an explicit controlled action with reason; never silently rewrite finalized history.</x:v>
      </x:c>
      <x:c r="J202" s="339" t="str">
        <x:v>Use school-configured cutoffs/SLAs; time-sensitive operations use school timezone.</x:v>
      </x:c>
    </x:row>
    <x:row r="203">
      <x:c r="A203" s="339" t="str">
        <x:v>WF-202</x:v>
      </x:c>
      <x:c r="B203" s="339" t="str">
        <x:v>SCR-202</x:v>
      </x:c>
      <x:c r="C203" s="339" t="str">
        <x:v>Library</x:v>
      </x:c>
      <x:c r="D203" s="339" t="str">
        <x:v>Issue Book</x:v>
      </x:c>
      <x:c r="E203" s="339" t="str">
        <x:v>Available</x:v>
      </x:c>
      <x:c r="F203" s="339" t="str">
        <x:v>Available → Reserved / Issued → Overdue → Returned / Lost / Damaged</x:v>
      </x:c>
      <x:c r="G203" s="339" t="str">
        <x:v>Only transitions valid for the current state, role, effective dates and prerequisites are accepted.</x:v>
      </x:c>
      <x:c r="H203" s="339" t="str">
        <x:v>As defined by Primary Roles / configured approval hierarchy</x:v>
      </x:c>
      <x:c r="I203" s="339" t="str">
        <x:v>Reopen/reversal uses an explicit controlled action with reason; never silently rewrite finalized history.</x:v>
      </x:c>
      <x:c r="J203" s="339" t="str">
        <x:v>Use school-configured cutoffs/SLAs; time-sensitive operations use school timezone.</x:v>
      </x:c>
    </x:row>
    <x:row r="204">
      <x:c r="A204" s="339" t="str">
        <x:v>WF-203</x:v>
      </x:c>
      <x:c r="B204" s="339" t="str">
        <x:v>SCR-203</x:v>
      </x:c>
      <x:c r="C204" s="339" t="str">
        <x:v>Library</x:v>
      </x:c>
      <x:c r="D204" s="339" t="str">
        <x:v>Return Book</x:v>
      </x:c>
      <x:c r="E204" s="339" t="str">
        <x:v>Available</x:v>
      </x:c>
      <x:c r="F204" s="339" t="str">
        <x:v>Available → Reserved / Issued → Overdue → Returned / Lost / Damaged</x:v>
      </x:c>
      <x:c r="G204" s="339" t="str">
        <x:v>Only transitions valid for the current state, role, effective dates and prerequisites are accepted.</x:v>
      </x:c>
      <x:c r="H204" s="339" t="str">
        <x:v>As defined by Primary Roles / configured approval hierarchy</x:v>
      </x:c>
      <x:c r="I204" s="339" t="str">
        <x:v>Reopen/reversal uses an explicit controlled action with reason; never silently rewrite finalized history.</x:v>
      </x:c>
      <x:c r="J204" s="339" t="str">
        <x:v>Use school-configured cutoffs/SLAs; time-sensitive operations use school timezone.</x:v>
      </x:c>
    </x:row>
    <x:row r="205">
      <x:c r="A205" s="339" t="str">
        <x:v>WF-204</x:v>
      </x:c>
      <x:c r="B205" s="339" t="str">
        <x:v>SCR-204</x:v>
      </x:c>
      <x:c r="C205" s="339" t="str">
        <x:v>Library</x:v>
      </x:c>
      <x:c r="D205" s="339" t="str">
        <x:v>Renew / Reserve Book</x:v>
      </x:c>
      <x:c r="E205" s="339" t="str">
        <x:v>Available</x:v>
      </x:c>
      <x:c r="F205" s="339" t="str">
        <x:v>Available → Reserved / Issued → Overdue → Returned / Lost / Damaged</x:v>
      </x:c>
      <x:c r="G205" s="339" t="str">
        <x:v>Only transitions valid for the current state, role, effective dates and prerequisites are accepted.</x:v>
      </x:c>
      <x:c r="H205" s="339" t="str">
        <x:v>As defined by Primary Roles / configured approval hierarchy</x:v>
      </x:c>
      <x:c r="I205" s="339" t="str">
        <x:v>Reopen/reversal uses an explicit controlled action with reason; never silently rewrite finalized history.</x:v>
      </x:c>
      <x:c r="J205" s="339" t="str">
        <x:v>Use school-configured cutoffs/SLAs; time-sensitive operations use school timezone.</x:v>
      </x:c>
    </x:row>
    <x:row r="206">
      <x:c r="A206" s="339" t="str">
        <x:v>WF-205</x:v>
      </x:c>
      <x:c r="B206" s="339" t="str">
        <x:v>SCR-205</x:v>
      </x:c>
      <x:c r="C206" s="339" t="str">
        <x:v>Library</x:v>
      </x:c>
      <x:c r="D206" s="339" t="str">
        <x:v>Fine / Lost / Damaged Book</x:v>
      </x:c>
      <x:c r="E206" s="339" t="str">
        <x:v>Available</x:v>
      </x:c>
      <x:c r="F206" s="339" t="str">
        <x:v>Available → Reserved / Issued → Overdue → Returned / Lost / Damaged</x:v>
      </x:c>
      <x:c r="G206" s="339" t="str">
        <x:v>Only transitions valid for the current state, role, effective dates and prerequisites are accepted.</x:v>
      </x:c>
      <x:c r="H206" s="339" t="str">
        <x:v>As defined by Primary Roles / configured approval hierarchy</x:v>
      </x:c>
      <x:c r="I206" s="339" t="str">
        <x:v>Reopen/reversal uses an explicit controlled action with reason; never silently rewrite finalized history.</x:v>
      </x:c>
      <x:c r="J206" s="339" t="str">
        <x:v>Use school-configured cutoffs/SLAs; time-sensitive operations use school timezone.</x:v>
      </x:c>
    </x:row>
    <x:row r="207">
      <x:c r="A207" s="339" t="str">
        <x:v>WF-206</x:v>
      </x:c>
      <x:c r="B207" s="339" t="str">
        <x:v>SCR-206</x:v>
      </x:c>
      <x:c r="C207" s="339" t="str">
        <x:v>Library</x:v>
      </x:c>
      <x:c r="D207" s="339" t="str">
        <x:v>Digital Library</x:v>
      </x:c>
      <x:c r="E207" s="339" t="str">
        <x:v>Available</x:v>
      </x:c>
      <x:c r="F207" s="339" t="str">
        <x:v>Available → Reserved / Issued → Overdue → Returned / Lost / Damaged</x:v>
      </x:c>
      <x:c r="G207" s="339" t="str">
        <x:v>Only transitions valid for the current state, role, effective dates and prerequisites are accepted.</x:v>
      </x:c>
      <x:c r="H207" s="339" t="str">
        <x:v>As defined by Primary Roles / configured approval hierarchy</x:v>
      </x:c>
      <x:c r="I207" s="339" t="str">
        <x:v>Reopen/reversal uses an explicit controlled action with reason; never silently rewrite finalized history.</x:v>
      </x:c>
      <x:c r="J207" s="339" t="str">
        <x:v>Use school-configured cutoffs/SLAs; time-sensitive operations use school timezone.</x:v>
      </x:c>
    </x:row>
    <x:row r="208">
      <x:c r="A208" s="339" t="str">
        <x:v>WF-207</x:v>
      </x:c>
      <x:c r="B208" s="339" t="str">
        <x:v>SCR-207</x:v>
      </x:c>
      <x:c r="C208" s="339" t="str">
        <x:v>Library</x:v>
      </x:c>
      <x:c r="D208" s="339" t="str">
        <x:v>Library Reports</x:v>
      </x:c>
      <x:c r="E208" s="339" t="str">
        <x:v>Available</x:v>
      </x:c>
      <x:c r="F208" s="339" t="str">
        <x:v>Available → Reserved / Issued → Overdue → Returned / Lost / Damaged</x:v>
      </x:c>
      <x:c r="G208" s="339" t="str">
        <x:v>Only transitions valid for the current state, role, effective dates and prerequisites are accepted.</x:v>
      </x:c>
      <x:c r="H208" s="339" t="str">
        <x:v>As defined by Primary Roles / configured approval hierarchy</x:v>
      </x:c>
      <x:c r="I208" s="339" t="str">
        <x:v>Reopen/reversal uses an explicit controlled action with reason; never silently rewrite finalized history.</x:v>
      </x:c>
      <x:c r="J208" s="339" t="str">
        <x:v>Use school-configured cutoffs/SLAs; time-sensitive operations use school timezone.</x:v>
      </x:c>
    </x:row>
    <x:row r="209">
      <x:c r="A209" s="339" t="str">
        <x:v>WF-208</x:v>
      </x:c>
      <x:c r="B209" s="339" t="str">
        <x:v>SCR-208</x:v>
      </x:c>
      <x:c r="C209" s="339" t="str">
        <x:v>Hostel</x:v>
      </x:c>
      <x:c r="D209" s="339" t="str">
        <x:v>Hostels / Buildings</x:v>
      </x:c>
      <x:c r="E209" s="339" t="str">
        <x:v>Available</x:v>
      </x:c>
      <x:c r="F209" s="339" t="str">
        <x:v>Available → Allocated → Occupied → Transfer / Vacated → Closed</x:v>
      </x:c>
      <x:c r="G209" s="339" t="str">
        <x:v>Only transitions valid for the current state, role, effective dates and prerequisites are accepted.</x:v>
      </x:c>
      <x:c r="H209" s="339" t="str">
        <x:v>As defined by Primary Roles / configured approval hierarchy</x:v>
      </x:c>
      <x:c r="I209" s="339" t="str">
        <x:v>Reopen/reversal uses an explicit controlled action with reason; never silently rewrite finalized history.</x:v>
      </x:c>
      <x:c r="J209" s="339" t="str">
        <x:v>Use school-configured cutoffs/SLAs; time-sensitive operations use school timezone.</x:v>
      </x:c>
    </x:row>
    <x:row r="210">
      <x:c r="A210" s="339" t="str">
        <x:v>WF-209</x:v>
      </x:c>
      <x:c r="B210" s="339" t="str">
        <x:v>SCR-209</x:v>
      </x:c>
      <x:c r="C210" s="339" t="str">
        <x:v>Hostel</x:v>
      </x:c>
      <x:c r="D210" s="339" t="str">
        <x:v>Rooms &amp; Beds</x:v>
      </x:c>
      <x:c r="E210" s="339" t="str">
        <x:v>Available</x:v>
      </x:c>
      <x:c r="F210" s="339" t="str">
        <x:v>Available → Allocated → Occupied → Transfer / Vacated → Closed</x:v>
      </x:c>
      <x:c r="G210" s="339" t="str">
        <x:v>Only transitions valid for the current state, role, effective dates and prerequisites are accepted.</x:v>
      </x:c>
      <x:c r="H210" s="339" t="str">
        <x:v>As defined by Primary Roles / configured approval hierarchy</x:v>
      </x:c>
      <x:c r="I210" s="339" t="str">
        <x:v>Reopen/reversal uses an explicit controlled action with reason; never silently rewrite finalized history.</x:v>
      </x:c>
      <x:c r="J210" s="339" t="str">
        <x:v>Use school-configured cutoffs/SLAs; time-sensitive operations use school timezone.</x:v>
      </x:c>
    </x:row>
    <x:row r="211">
      <x:c r="A211" s="339" t="str">
        <x:v>WF-210</x:v>
      </x:c>
      <x:c r="B211" s="339" t="str">
        <x:v>SCR-210</x:v>
      </x:c>
      <x:c r="C211" s="339" t="str">
        <x:v>Hostel</x:v>
      </x:c>
      <x:c r="D211" s="339" t="str">
        <x:v>Student Hostel Allocation</x:v>
      </x:c>
      <x:c r="E211" s="339" t="str">
        <x:v>Available</x:v>
      </x:c>
      <x:c r="F211" s="339" t="str">
        <x:v>Available → Allocated → Occupied → Transfer / Vacated → Closed</x:v>
      </x:c>
      <x:c r="G211" s="339" t="str">
        <x:v>Only transitions valid for the current state, role, effective dates and prerequisites are accepted.</x:v>
      </x:c>
      <x:c r="H211" s="339" t="str">
        <x:v>As defined by Primary Roles / configured approval hierarchy</x:v>
      </x:c>
      <x:c r="I211" s="339" t="str">
        <x:v>Reopen/reversal uses an explicit controlled action with reason; never silently rewrite finalized history.</x:v>
      </x:c>
      <x:c r="J211" s="339" t="str">
        <x:v>Use school-configured cutoffs/SLAs; time-sensitive operations use school timezone.</x:v>
      </x:c>
    </x:row>
    <x:row r="212">
      <x:c r="A212" s="339" t="str">
        <x:v>WF-211</x:v>
      </x:c>
      <x:c r="B212" s="339" t="str">
        <x:v>SCR-211</x:v>
      </x:c>
      <x:c r="C212" s="339" t="str">
        <x:v>Hostel</x:v>
      </x:c>
      <x:c r="D212" s="339" t="str">
        <x:v>Warden Management</x:v>
      </x:c>
      <x:c r="E212" s="339" t="str">
        <x:v>Available</x:v>
      </x:c>
      <x:c r="F212" s="339" t="str">
        <x:v>Available → Allocated → Occupied → Transfer / Vacated → Closed</x:v>
      </x:c>
      <x:c r="G212" s="339" t="str">
        <x:v>Only transitions valid for the current state, role, effective dates and prerequisites are accepted.</x:v>
      </x:c>
      <x:c r="H212" s="339" t="str">
        <x:v>As defined by Primary Roles / configured approval hierarchy</x:v>
      </x:c>
      <x:c r="I212" s="339" t="str">
        <x:v>Reopen/reversal uses an explicit controlled action with reason; never silently rewrite finalized history.</x:v>
      </x:c>
      <x:c r="J212" s="339" t="str">
        <x:v>Use school-configured cutoffs/SLAs; time-sensitive operations use school timezone.</x:v>
      </x:c>
    </x:row>
    <x:row r="213">
      <x:c r="A213" s="339" t="str">
        <x:v>WF-212</x:v>
      </x:c>
      <x:c r="B213" s="339" t="str">
        <x:v>SCR-212</x:v>
      </x:c>
      <x:c r="C213" s="339" t="str">
        <x:v>Hostel</x:v>
      </x:c>
      <x:c r="D213" s="339" t="str">
        <x:v>Hostel Attendance</x:v>
      </x:c>
      <x:c r="E213" s="339" t="str">
        <x:v>Available</x:v>
      </x:c>
      <x:c r="F213" s="339" t="str">
        <x:v>Available → Allocated → Occupied → Transfer / Vacated → Closed</x:v>
      </x:c>
      <x:c r="G213" s="339" t="str">
        <x:v>Only transitions valid for the current state, role, effective dates and prerequisites are accepted.</x:v>
      </x:c>
      <x:c r="H213" s="339" t="str">
        <x:v>As defined by Primary Roles / configured approval hierarchy</x:v>
      </x:c>
      <x:c r="I213" s="339" t="str">
        <x:v>Reopen/reversal uses an explicit controlled action with reason; never silently rewrite finalized history.</x:v>
      </x:c>
      <x:c r="J213" s="339" t="str">
        <x:v>Use school-configured cutoffs/SLAs; time-sensitive operations use school timezone.</x:v>
      </x:c>
    </x:row>
    <x:row r="214">
      <x:c r="A214" s="339" t="str">
        <x:v>WF-213</x:v>
      </x:c>
      <x:c r="B214" s="339" t="str">
        <x:v>SCR-213</x:v>
      </x:c>
      <x:c r="C214" s="339" t="str">
        <x:v>Hostel</x:v>
      </x:c>
      <x:c r="D214" s="339" t="str">
        <x:v>Leave / Outing</x:v>
      </x:c>
      <x:c r="E214" s="339" t="str">
        <x:v>Available</x:v>
      </x:c>
      <x:c r="F214" s="339" t="str">
        <x:v>Available → Allocated → Occupied → Transfer / Vacated → Closed</x:v>
      </x:c>
      <x:c r="G214" s="339" t="str">
        <x:v>Only transitions valid for the current state, role, effective dates and prerequisites are accepted.</x:v>
      </x:c>
      <x:c r="H214" s="339" t="str">
        <x:v>As defined by Primary Roles / configured approval hierarchy</x:v>
      </x:c>
      <x:c r="I214" s="339" t="str">
        <x:v>Reopen/reversal uses an explicit controlled action with reason; never silently rewrite finalized history.</x:v>
      </x:c>
      <x:c r="J214" s="339" t="str">
        <x:v>Use school-configured cutoffs/SLAs; time-sensitive operations use school timezone.</x:v>
      </x:c>
    </x:row>
    <x:row r="215">
      <x:c r="A215" s="339" t="str">
        <x:v>WF-214</x:v>
      </x:c>
      <x:c r="B215" s="339" t="str">
        <x:v>SCR-214</x:v>
      </x:c>
      <x:c r="C215" s="339" t="str">
        <x:v>Hostel</x:v>
      </x:c>
      <x:c r="D215" s="339" t="str">
        <x:v>Mess / Meal Schedule</x:v>
      </x:c>
      <x:c r="E215" s="339" t="str">
        <x:v>Available</x:v>
      </x:c>
      <x:c r="F215" s="339" t="str">
        <x:v>Available → Allocated → Occupied → Transfer / Vacated → Closed</x:v>
      </x:c>
      <x:c r="G215" s="339" t="str">
        <x:v>Only transitions valid for the current state, role, effective dates and prerequisites are accepted.</x:v>
      </x:c>
      <x:c r="H215" s="339" t="str">
        <x:v>As defined by Primary Roles / configured approval hierarchy</x:v>
      </x:c>
      <x:c r="I215" s="339" t="str">
        <x:v>Reopen/reversal uses an explicit controlled action with reason; never silently rewrite finalized history.</x:v>
      </x:c>
      <x:c r="J215" s="339" t="str">
        <x:v>Use school-configured cutoffs/SLAs; time-sensitive operations use school timezone.</x:v>
      </x:c>
    </x:row>
    <x:row r="216">
      <x:c r="A216" s="339" t="str">
        <x:v>WF-215</x:v>
      </x:c>
      <x:c r="B216" s="339" t="str">
        <x:v>SCR-215</x:v>
      </x:c>
      <x:c r="C216" s="339" t="str">
        <x:v>Hostel</x:v>
      </x:c>
      <x:c r="D216" s="339" t="str">
        <x:v>Hostel Complaints &amp; Fees</x:v>
      </x:c>
      <x:c r="E216" s="339" t="str">
        <x:v>Available</x:v>
      </x:c>
      <x:c r="F216" s="339" t="str">
        <x:v>Available → Allocated → Occupied → Transfer / Vacated → Closed</x:v>
      </x:c>
      <x:c r="G216" s="339" t="str">
        <x:v>Only transitions valid for the current state, role, effective dates and prerequisites are accepted.</x:v>
      </x:c>
      <x:c r="H216" s="339" t="str">
        <x:v>As defined by Primary Roles / configured approval hierarchy</x:v>
      </x:c>
      <x:c r="I216" s="339" t="str">
        <x:v>Reopen/reversal uses an explicit controlled action with reason; never silently rewrite finalized history.</x:v>
      </x:c>
      <x:c r="J216" s="339" t="str">
        <x:v>Use school-configured cutoffs/SLAs; time-sensitive operations use school timezone.</x:v>
      </x:c>
    </x:row>
    <x:row r="217">
      <x:c r="A217" s="339" t="str">
        <x:v>WF-216</x:v>
      </x:c>
      <x:c r="B217" s="339" t="str">
        <x:v>SCR-216</x:v>
      </x:c>
      <x:c r="C217" s="339" t="str">
        <x:v>Health / Counselling / Discipline</x:v>
      </x:c>
      <x:c r="D217" s="339" t="str">
        <x:v>Health Dashboard</x:v>
      </x:c>
      <x:c r="E217" s="339" t="str">
        <x:v>Open</x:v>
      </x:c>
      <x:c r="F217" s="339" t="str">
        <x:v>Open → In Progress / Monitoring → Escalated (if needed) → Resolved / Closed</x:v>
      </x:c>
      <x:c r="G217" s="339" t="str">
        <x:v>Only transitions valid for the current state, role, effective dates and prerequisites are accepted.</x:v>
      </x:c>
      <x:c r="H217" s="339" t="str">
        <x:v>As defined by Primary Roles / configured approval hierarchy</x:v>
      </x:c>
      <x:c r="I217" s="339" t="str">
        <x:v>Reopen/reversal uses an explicit controlled action with reason; never silently rewrite finalized history.</x:v>
      </x:c>
      <x:c r="J217" s="339" t="str">
        <x:v>Use school-configured cutoffs/SLAs; time-sensitive operations use school timezone.</x:v>
      </x:c>
    </x:row>
    <x:row r="218">
      <x:c r="A218" s="339" t="str">
        <x:v>WF-217</x:v>
      </x:c>
      <x:c r="B218" s="339" t="str">
        <x:v>SCR-217</x:v>
      </x:c>
      <x:c r="C218" s="339" t="str">
        <x:v>Health / Counselling / Discipline</x:v>
      </x:c>
      <x:c r="D218" s="339" t="str">
        <x:v>Student Medical Profile</x:v>
      </x:c>
      <x:c r="E218" s="339" t="str">
        <x:v>Open</x:v>
      </x:c>
      <x:c r="F218" s="339" t="str">
        <x:v>Open → In Progress / Monitoring → Escalated (if needed) → Resolved / Closed</x:v>
      </x:c>
      <x:c r="G218" s="339" t="str">
        <x:v>Only transitions valid for the current state, role, effective dates and prerequisites are accepted.</x:v>
      </x:c>
      <x:c r="H218" s="339" t="str">
        <x:v>As defined by Primary Roles / configured approval hierarchy</x:v>
      </x:c>
      <x:c r="I218" s="339" t="str">
        <x:v>Reopen/reversal uses an explicit controlled action with reason; never silently rewrite finalized history.</x:v>
      </x:c>
      <x:c r="J218" s="339" t="str">
        <x:v>Use school-configured cutoffs/SLAs; time-sensitive operations use school timezone.</x:v>
      </x:c>
    </x:row>
    <x:row r="219">
      <x:c r="A219" s="339" t="str">
        <x:v>WF-218</x:v>
      </x:c>
      <x:c r="B219" s="339" t="str">
        <x:v>SCR-218</x:v>
      </x:c>
      <x:c r="C219" s="339" t="str">
        <x:v>Health / Counselling / Discipline</x:v>
      </x:c>
      <x:c r="D219" s="339" t="str">
        <x:v>Clinic Visit</x:v>
      </x:c>
      <x:c r="E219" s="339" t="str">
        <x:v>Open</x:v>
      </x:c>
      <x:c r="F219" s="339" t="str">
        <x:v>Open → In Progress / Monitoring → Escalated (if needed) → Resolved / Closed</x:v>
      </x:c>
      <x:c r="G219" s="339" t="str">
        <x:v>Only transitions valid for the current state, role, effective dates and prerequisites are accepted.</x:v>
      </x:c>
      <x:c r="H219" s="339" t="str">
        <x:v>As defined by Primary Roles / configured approval hierarchy</x:v>
      </x:c>
      <x:c r="I219" s="339" t="str">
        <x:v>Reopen/reversal uses an explicit controlled action with reason; never silently rewrite finalized history.</x:v>
      </x:c>
      <x:c r="J219" s="339" t="str">
        <x:v>Use school-configured cutoffs/SLAs; time-sensitive operations use school timezone.</x:v>
      </x:c>
    </x:row>
    <x:row r="220">
      <x:c r="A220" s="339" t="str">
        <x:v>WF-219</x:v>
      </x:c>
      <x:c r="B220" s="339" t="str">
        <x:v>SCR-219</x:v>
      </x:c>
      <x:c r="C220" s="339" t="str">
        <x:v>Health / Counselling / Discipline</x:v>
      </x:c>
      <x:c r="D220" s="339" t="str">
        <x:v>Medication / First Aid</x:v>
      </x:c>
      <x:c r="E220" s="339" t="str">
        <x:v>Open</x:v>
      </x:c>
      <x:c r="F220" s="339" t="str">
        <x:v>Open → In Progress / Monitoring → Escalated (if needed) → Resolved / Closed</x:v>
      </x:c>
      <x:c r="G220" s="339" t="str">
        <x:v>Only transitions valid for the current state, role, effective dates and prerequisites are accepted.</x:v>
      </x:c>
      <x:c r="H220" s="339" t="str">
        <x:v>As defined by Primary Roles / configured approval hierarchy</x:v>
      </x:c>
      <x:c r="I220" s="339" t="str">
        <x:v>Reopen/reversal uses an explicit controlled action with reason; never silently rewrite finalized history.</x:v>
      </x:c>
      <x:c r="J220" s="339" t="str">
        <x:v>Use school-configured cutoffs/SLAs; time-sensitive operations use school timezone.</x:v>
      </x:c>
    </x:row>
    <x:row r="221">
      <x:c r="A221" s="339" t="str">
        <x:v>WF-220</x:v>
      </x:c>
      <x:c r="B221" s="339" t="str">
        <x:v>SCR-220</x:v>
      </x:c>
      <x:c r="C221" s="339" t="str">
        <x:v>Health / Counselling / Discipline</x:v>
      </x:c>
      <x:c r="D221" s="339" t="str">
        <x:v>Immunization / Allergy</x:v>
      </x:c>
      <x:c r="E221" s="339" t="str">
        <x:v>Open</x:v>
      </x:c>
      <x:c r="F221" s="339" t="str">
        <x:v>Open → In Progress / Monitoring → Escalated (if needed) → Resolved / Closed</x:v>
      </x:c>
      <x:c r="G221" s="339" t="str">
        <x:v>Only transitions valid for the current state, role, effective dates and prerequisites are accepted.</x:v>
      </x:c>
      <x:c r="H221" s="339" t="str">
        <x:v>As defined by Primary Roles / configured approval hierarchy</x:v>
      </x:c>
      <x:c r="I221" s="339" t="str">
        <x:v>Reopen/reversal uses an explicit controlled action with reason; never silently rewrite finalized history.</x:v>
      </x:c>
      <x:c r="J221" s="339" t="str">
        <x:v>Use school-configured cutoffs/SLAs; time-sensitive operations use school timezone.</x:v>
      </x:c>
    </x:row>
    <x:row r="222">
      <x:c r="A222" s="339" t="str">
        <x:v>WF-221</x:v>
      </x:c>
      <x:c r="B222" s="339" t="str">
        <x:v>SCR-221</x:v>
      </x:c>
      <x:c r="C222" s="339" t="str">
        <x:v>Health / Counselling / Discipline</x:v>
      </x:c>
      <x:c r="D222" s="339" t="str">
        <x:v>Counselling Appointments</x:v>
      </x:c>
      <x:c r="E222" s="339" t="str">
        <x:v>Open</x:v>
      </x:c>
      <x:c r="F222" s="339" t="str">
        <x:v>Open → In Progress / Monitoring → Escalated (if needed) → Resolved / Closed</x:v>
      </x:c>
      <x:c r="G222" s="339" t="str">
        <x:v>Only transitions valid for the current state, role, effective dates and prerequisites are accepted.</x:v>
      </x:c>
      <x:c r="H222" s="339" t="str">
        <x:v>As defined by Primary Roles / configured approval hierarchy</x:v>
      </x:c>
      <x:c r="I222" s="339" t="str">
        <x:v>Reopen/reversal uses an explicit controlled action with reason; never silently rewrite finalized history.</x:v>
      </x:c>
      <x:c r="J222" s="339" t="str">
        <x:v>Use school-configured cutoffs/SLAs; time-sensitive operations use school timezone.</x:v>
      </x:c>
    </x:row>
    <x:row r="223">
      <x:c r="A223" s="339" t="str">
        <x:v>WF-222</x:v>
      </x:c>
      <x:c r="B223" s="339" t="str">
        <x:v>SCR-222</x:v>
      </x:c>
      <x:c r="C223" s="339" t="str">
        <x:v>Health / Counselling / Discipline</x:v>
      </x:c>
      <x:c r="D223" s="339" t="str">
        <x:v>Counselling Case Notes</x:v>
      </x:c>
      <x:c r="E223" s="339" t="str">
        <x:v>Open</x:v>
      </x:c>
      <x:c r="F223" s="339" t="str">
        <x:v>Open → In Progress / Monitoring → Escalated (if needed) → Resolved / Closed</x:v>
      </x:c>
      <x:c r="G223" s="339" t="str">
        <x:v>Only transitions valid for the current state, role, effective dates and prerequisites are accepted.</x:v>
      </x:c>
      <x:c r="H223" s="339" t="str">
        <x:v>As defined by Primary Roles / configured approval hierarchy</x:v>
      </x:c>
      <x:c r="I223" s="339" t="str">
        <x:v>Reopen/reversal uses an explicit controlled action with reason; never silently rewrite finalized history.</x:v>
      </x:c>
      <x:c r="J223" s="339" t="str">
        <x:v>Use school-configured cutoffs/SLAs; time-sensitive operations use school timezone.</x:v>
      </x:c>
    </x:row>
    <x:row r="224">
      <x:c r="A224" s="339" t="str">
        <x:v>WF-223</x:v>
      </x:c>
      <x:c r="B224" s="339" t="str">
        <x:v>SCR-223</x:v>
      </x:c>
      <x:c r="C224" s="339" t="str">
        <x:v>Health / Counselling / Discipline</x:v>
      </x:c>
      <x:c r="D224" s="339" t="str">
        <x:v>Behaviour / Discipline Incidents</x:v>
      </x:c>
      <x:c r="E224" s="339" t="str">
        <x:v>Open</x:v>
      </x:c>
      <x:c r="F224" s="339" t="str">
        <x:v>Open → In Progress / Monitoring → Escalated (if needed) → Resolved / Closed</x:v>
      </x:c>
      <x:c r="G224" s="339" t="str">
        <x:v>Only transitions valid for the current state, role, effective dates and prerequisites are accepted.</x:v>
      </x:c>
      <x:c r="H224" s="339" t="str">
        <x:v>As defined by Primary Roles / configured approval hierarchy</x:v>
      </x:c>
      <x:c r="I224" s="339" t="str">
        <x:v>Reopen/reversal uses an explicit controlled action with reason; never silently rewrite finalized history.</x:v>
      </x:c>
      <x:c r="J224" s="339" t="str">
        <x:v>Use school-configured cutoffs/SLAs; time-sensitive operations use school timezone.</x:v>
      </x:c>
    </x:row>
    <x:row r="225">
      <x:c r="A225" s="339" t="str">
        <x:v>WF-224</x:v>
      </x:c>
      <x:c r="B225" s="339" t="str">
        <x:v>SCR-224</x:v>
      </x:c>
      <x:c r="C225" s="339" t="str">
        <x:v>Health / Counselling / Discipline</x:v>
      </x:c>
      <x:c r="D225" s="339" t="str">
        <x:v>Incident Action &amp; Follow-up</x:v>
      </x:c>
      <x:c r="E225" s="339" t="str">
        <x:v>Open</x:v>
      </x:c>
      <x:c r="F225" s="339" t="str">
        <x:v>Open → In Progress / Monitoring → Escalated (if needed) → Resolved / Closed</x:v>
      </x:c>
      <x:c r="G225" s="339" t="str">
        <x:v>Only transitions valid for the current state, role, effective dates and prerequisites are accepted.</x:v>
      </x:c>
      <x:c r="H225" s="339" t="str">
        <x:v>As defined by Primary Roles / configured approval hierarchy</x:v>
      </x:c>
      <x:c r="I225" s="339" t="str">
        <x:v>Reopen/reversal uses an explicit controlled action with reason; never silently rewrite finalized history.</x:v>
      </x:c>
      <x:c r="J225" s="339" t="str">
        <x:v>Use school-configured cutoffs/SLAs; time-sensitive operations use school timezone.</x:v>
      </x:c>
    </x:row>
    <x:row r="226">
      <x:c r="A226" s="339" t="str">
        <x:v>WF-225</x:v>
      </x:c>
      <x:c r="B226" s="339" t="str">
        <x:v>SCR-225</x:v>
      </x:c>
      <x:c r="C226" s="339" t="str">
        <x:v>Health / Counselling / Discipline</x:v>
      </x:c>
      <x:c r="D226" s="339" t="str">
        <x:v>Emergency Contacts &amp; Escalation</x:v>
      </x:c>
      <x:c r="E226" s="339" t="str">
        <x:v>Open</x:v>
      </x:c>
      <x:c r="F226" s="339" t="str">
        <x:v>Open → In Progress / Monitoring → Escalated (if needed) → Resolved / Closed</x:v>
      </x:c>
      <x:c r="G226" s="339" t="str">
        <x:v>Only transitions valid for the current state, role, effective dates and prerequisites are accepted.</x:v>
      </x:c>
      <x:c r="H226" s="339" t="str">
        <x:v>As defined by Primary Roles / configured approval hierarchy</x:v>
      </x:c>
      <x:c r="I226" s="339" t="str">
        <x:v>Reopen/reversal uses an explicit controlled action with reason; never silently rewrite finalized history.</x:v>
      </x:c>
      <x:c r="J226" s="339" t="str">
        <x:v>Use school-configured cutoffs/SLAs; time-sensitive operations use school timezone.</x:v>
      </x:c>
    </x:row>
    <x:row r="227">
      <x:c r="A227" s="339" t="str">
        <x:v>WF-226</x:v>
      </x:c>
      <x:c r="B227" s="339" t="str">
        <x:v>SCR-226</x:v>
      </x:c>
      <x:c r="C227" s="339" t="str">
        <x:v>Visitor / Gate / Security</x:v>
      </x:c>
      <x:c r="D227" s="339" t="str">
        <x:v>Visitor Dashboard</x:v>
      </x:c>
      <x:c r="E227" s="339" t="str">
        <x:v>Requested / Registered</x:v>
      </x:c>
      <x:c r="F227" s="339" t="str">
        <x:v>Requested / Registered → Approved / Denied → Checked In → Checked Out / Cancelled</x:v>
      </x:c>
      <x:c r="G227" s="339" t="str">
        <x:v>Only transitions valid for the current state, role, effective dates and prerequisites are accepted.</x:v>
      </x:c>
      <x:c r="H227" s="339" t="str">
        <x:v>As defined by Primary Roles / configured approval hierarchy</x:v>
      </x:c>
      <x:c r="I227" s="339" t="str">
        <x:v>Reopen/reversal uses an explicit controlled action with reason; never silently rewrite finalized history.</x:v>
      </x:c>
      <x:c r="J227" s="339" t="str">
        <x:v>Use school-configured cutoffs/SLAs; time-sensitive operations use school timezone.</x:v>
      </x:c>
    </x:row>
    <x:row r="228">
      <x:c r="A228" s="339" t="str">
        <x:v>WF-227</x:v>
      </x:c>
      <x:c r="B228" s="339" t="str">
        <x:v>SCR-227</x:v>
      </x:c>
      <x:c r="C228" s="339" t="str">
        <x:v>Visitor / Gate / Security</x:v>
      </x:c>
      <x:c r="D228" s="339" t="str">
        <x:v>Visitor Check-in</x:v>
      </x:c>
      <x:c r="E228" s="339" t="str">
        <x:v>Requested / Registered</x:v>
      </x:c>
      <x:c r="F228" s="339" t="str">
        <x:v>Requested / Registered → Approved / Denied → Checked In → Checked Out / Cancelled</x:v>
      </x:c>
      <x:c r="G228" s="339" t="str">
        <x:v>Only transitions valid for the current state, role, effective dates and prerequisites are accepted.</x:v>
      </x:c>
      <x:c r="H228" s="339" t="str">
        <x:v>As defined by Primary Roles / configured approval hierarchy</x:v>
      </x:c>
      <x:c r="I228" s="339" t="str">
        <x:v>Reopen/reversal uses an explicit controlled action with reason; never silently rewrite finalized history.</x:v>
      </x:c>
      <x:c r="J228" s="339" t="str">
        <x:v>Use school-configured cutoffs/SLAs; time-sensitive operations use school timezone.</x:v>
      </x:c>
    </x:row>
    <x:row r="229">
      <x:c r="A229" s="339" t="str">
        <x:v>WF-228</x:v>
      </x:c>
      <x:c r="B229" s="339" t="str">
        <x:v>SCR-228</x:v>
      </x:c>
      <x:c r="C229" s="339" t="str">
        <x:v>Visitor / Gate / Security</x:v>
      </x:c>
      <x:c r="D229" s="339" t="str">
        <x:v>Visitor Approval</x:v>
      </x:c>
      <x:c r="E229" s="339" t="str">
        <x:v>Requested / Registered</x:v>
      </x:c>
      <x:c r="F229" s="339" t="str">
        <x:v>Requested / Registered → Approved / Denied → Checked In → Checked Out / Cancelled</x:v>
      </x:c>
      <x:c r="G229" s="339" t="str">
        <x:v>Only transitions valid for the current state, role, effective dates and prerequisites are accepted.</x:v>
      </x:c>
      <x:c r="H229" s="339" t="str">
        <x:v>As defined by Primary Roles / configured approval hierarchy</x:v>
      </x:c>
      <x:c r="I229" s="339" t="str">
        <x:v>Reopen/reversal uses an explicit controlled action with reason; never silently rewrite finalized history.</x:v>
      </x:c>
      <x:c r="J229" s="339" t="str">
        <x:v>Use school-configured cutoffs/SLAs; time-sensitive operations use school timezone.</x:v>
      </x:c>
    </x:row>
    <x:row r="230">
      <x:c r="A230" s="339" t="str">
        <x:v>WF-229</x:v>
      </x:c>
      <x:c r="B230" s="339" t="str">
        <x:v>SCR-229</x:v>
      </x:c>
      <x:c r="C230" s="339" t="str">
        <x:v>Visitor / Gate / Security</x:v>
      </x:c>
      <x:c r="D230" s="339" t="str">
        <x:v>Visitor Pass</x:v>
      </x:c>
      <x:c r="E230" s="339" t="str">
        <x:v>Requested / Registered</x:v>
      </x:c>
      <x:c r="F230" s="339" t="str">
        <x:v>Requested / Registered → Approved / Denied → Checked In → Checked Out / Cancelled</x:v>
      </x:c>
      <x:c r="G230" s="339" t="str">
        <x:v>Only transitions valid for the current state, role, effective dates and prerequisites are accepted.</x:v>
      </x:c>
      <x:c r="H230" s="339" t="str">
        <x:v>As defined by Primary Roles / configured approval hierarchy</x:v>
      </x:c>
      <x:c r="I230" s="339" t="str">
        <x:v>Reopen/reversal uses an explicit controlled action with reason; never silently rewrite finalized history.</x:v>
      </x:c>
      <x:c r="J230" s="339" t="str">
        <x:v>Use school-configured cutoffs/SLAs; time-sensitive operations use school timezone.</x:v>
      </x:c>
    </x:row>
    <x:row r="231">
      <x:c r="A231" s="339" t="str">
        <x:v>WF-230</x:v>
      </x:c>
      <x:c r="B231" s="339" t="str">
        <x:v>SCR-230</x:v>
      </x:c>
      <x:c r="C231" s="339" t="str">
        <x:v>Visitor / Gate / Security</x:v>
      </x:c>
      <x:c r="D231" s="339" t="str">
        <x:v>Visitor Check-out</x:v>
      </x:c>
      <x:c r="E231" s="339" t="str">
        <x:v>Requested / Registered</x:v>
      </x:c>
      <x:c r="F231" s="339" t="str">
        <x:v>Requested / Registered → Approved / Denied → Checked In → Checked Out / Cancelled</x:v>
      </x:c>
      <x:c r="G231" s="339" t="str">
        <x:v>Only transitions valid for the current state, role, effective dates and prerequisites are accepted.</x:v>
      </x:c>
      <x:c r="H231" s="339" t="str">
        <x:v>As defined by Primary Roles / configured approval hierarchy</x:v>
      </x:c>
      <x:c r="I231" s="339" t="str">
        <x:v>Reopen/reversal uses an explicit controlled action with reason; never silently rewrite finalized history.</x:v>
      </x:c>
      <x:c r="J231" s="339" t="str">
        <x:v>Use school-configured cutoffs/SLAs; time-sensitive operations use school timezone.</x:v>
      </x:c>
    </x:row>
    <x:row r="232">
      <x:c r="A232" s="339" t="str">
        <x:v>WF-231</x:v>
      </x:c>
      <x:c r="B232" s="339" t="str">
        <x:v>SCR-231</x:v>
      </x:c>
      <x:c r="C232" s="339" t="str">
        <x:v>Visitor / Gate / Security</x:v>
      </x:c>
      <x:c r="D232" s="339" t="str">
        <x:v>Student Early Pickup / Gate Pass</x:v>
      </x:c>
      <x:c r="E232" s="339" t="str">
        <x:v>Requested / Registered</x:v>
      </x:c>
      <x:c r="F232" s="339" t="str">
        <x:v>Requested / Registered → Approved / Denied → Checked In → Checked Out / Cancelled</x:v>
      </x:c>
      <x:c r="G232" s="339" t="str">
        <x:v>Only transitions valid for the current state, role, effective dates and prerequisites are accepted.</x:v>
      </x:c>
      <x:c r="H232" s="339" t="str">
        <x:v>As defined by Primary Roles / configured approval hierarchy</x:v>
      </x:c>
      <x:c r="I232" s="339" t="str">
        <x:v>Reopen/reversal uses an explicit controlled action with reason; never silently rewrite finalized history.</x:v>
      </x:c>
      <x:c r="J232" s="339" t="str">
        <x:v>Use school-configured cutoffs/SLAs; time-sensitive operations use school timezone.</x:v>
      </x:c>
    </x:row>
    <x:row r="233">
      <x:c r="A233" s="339" t="str">
        <x:v>WF-232</x:v>
      </x:c>
      <x:c r="B233" s="339" t="str">
        <x:v>SCR-232</x:v>
      </x:c>
      <x:c r="C233" s="339" t="str">
        <x:v>Visitor / Gate / Security</x:v>
      </x:c>
      <x:c r="D233" s="339" t="str">
        <x:v>Staff &amp; Vehicle Gate Log</x:v>
      </x:c>
      <x:c r="E233" s="339" t="str">
        <x:v>Requested / Registered</x:v>
      </x:c>
      <x:c r="F233" s="339" t="str">
        <x:v>Requested / Registered → Approved / Denied → Checked In → Checked Out / Cancelled</x:v>
      </x:c>
      <x:c r="G233" s="339" t="str">
        <x:v>Only transitions valid for the current state, role, effective dates and prerequisites are accepted.</x:v>
      </x:c>
      <x:c r="H233" s="339" t="str">
        <x:v>As defined by Primary Roles / configured approval hierarchy</x:v>
      </x:c>
      <x:c r="I233" s="339" t="str">
        <x:v>Reopen/reversal uses an explicit controlled action with reason; never silently rewrite finalized history.</x:v>
      </x:c>
      <x:c r="J233" s="339" t="str">
        <x:v>Use school-configured cutoffs/SLAs; time-sensitive operations use school timezone.</x:v>
      </x:c>
    </x:row>
    <x:row r="234">
      <x:c r="A234" s="339" t="str">
        <x:v>WF-233</x:v>
      </x:c>
      <x:c r="B234" s="339" t="str">
        <x:v>SCR-233</x:v>
      </x:c>
      <x:c r="C234" s="339" t="str">
        <x:v>Visitor / Gate / Security</x:v>
      </x:c>
      <x:c r="D234" s="339" t="str">
        <x:v>Security Incident Log</x:v>
      </x:c>
      <x:c r="E234" s="339" t="str">
        <x:v>Requested / Registered</x:v>
      </x:c>
      <x:c r="F234" s="339" t="str">
        <x:v>Requested / Registered → Approved / Denied → Checked In → Checked Out / Cancelled</x:v>
      </x:c>
      <x:c r="G234" s="339" t="str">
        <x:v>Only transitions valid for the current state, role, effective dates and prerequisites are accepted.</x:v>
      </x:c>
      <x:c r="H234" s="339" t="str">
        <x:v>As defined by Primary Roles / configured approval hierarchy</x:v>
      </x:c>
      <x:c r="I234" s="339" t="str">
        <x:v>Reopen/reversal uses an explicit controlled action with reason; never silently rewrite finalized history.</x:v>
      </x:c>
      <x:c r="J234" s="339" t="str">
        <x:v>Use school-configured cutoffs/SLAs; time-sensitive operations use school timezone.</x:v>
      </x:c>
    </x:row>
    <x:row r="235">
      <x:c r="A235" s="339" t="str">
        <x:v>WF-234</x:v>
      </x:c>
      <x:c r="B235" s="339" t="str">
        <x:v>SCR-234</x:v>
      </x:c>
      <x:c r="C235" s="339" t="str">
        <x:v>Inventory / Assets / Labs</x:v>
      </x:c>
      <x:c r="D235" s="339" t="str">
        <x:v>Inventory Dashboard</x:v>
      </x:c>
      <x:c r="E235" s="339" t="str">
        <x:v>Available</x:v>
      </x:c>
      <x:c r="F235" s="339" t="str">
        <x:v>Available → Assigned / Issued / Reserved → Returned / Maintenance → Retired / Written Off</x:v>
      </x:c>
      <x:c r="G235" s="339" t="str">
        <x:v>Only transitions valid for the current state, role, effective dates and prerequisites are accepted.</x:v>
      </x:c>
      <x:c r="H235" s="339" t="str">
        <x:v>As defined by Primary Roles / configured approval hierarchy</x:v>
      </x:c>
      <x:c r="I235" s="339" t="str">
        <x:v>Reopen/reversal uses an explicit controlled action with reason; never silently rewrite finalized history.</x:v>
      </x:c>
      <x:c r="J235" s="339" t="str">
        <x:v>Use school-configured cutoffs/SLAs; time-sensitive operations use school timezone.</x:v>
      </x:c>
    </x:row>
    <x:row r="236">
      <x:c r="A236" s="339" t="str">
        <x:v>WF-235</x:v>
      </x:c>
      <x:c r="B236" s="339" t="str">
        <x:v>SCR-235</x:v>
      </x:c>
      <x:c r="C236" s="339" t="str">
        <x:v>Inventory / Assets / Labs</x:v>
      </x:c>
      <x:c r="D236" s="339" t="str">
        <x:v>Item Catalogue</x:v>
      </x:c>
      <x:c r="E236" s="339" t="str">
        <x:v>Available</x:v>
      </x:c>
      <x:c r="F236" s="339" t="str">
        <x:v>Available → Assigned / Issued / Reserved → Returned / Maintenance → Retired / Written Off</x:v>
      </x:c>
      <x:c r="G236" s="339" t="str">
        <x:v>Only transitions valid for the current state, role, effective dates and prerequisites are accepted.</x:v>
      </x:c>
      <x:c r="H236" s="339" t="str">
        <x:v>As defined by Primary Roles / configured approval hierarchy</x:v>
      </x:c>
      <x:c r="I236" s="339" t="str">
        <x:v>Reopen/reversal uses an explicit controlled action with reason; never silently rewrite finalized history.</x:v>
      </x:c>
      <x:c r="J236" s="339" t="str">
        <x:v>Use school-configured cutoffs/SLAs; time-sensitive operations use school timezone.</x:v>
      </x:c>
    </x:row>
    <x:row r="237">
      <x:c r="A237" s="339" t="str">
        <x:v>WF-236</x:v>
      </x:c>
      <x:c r="B237" s="339" t="str">
        <x:v>SCR-236</x:v>
      </x:c>
      <x:c r="C237" s="339" t="str">
        <x:v>Inventory / Assets / Labs</x:v>
      </x:c>
      <x:c r="D237" s="339" t="str">
        <x:v>Stock In / Purchase Receipt</x:v>
      </x:c>
      <x:c r="E237" s="339" t="str">
        <x:v>Available</x:v>
      </x:c>
      <x:c r="F237" s="339" t="str">
        <x:v>Available → Assigned / Issued / Reserved → Returned / Maintenance → Retired / Written Off</x:v>
      </x:c>
      <x:c r="G237" s="339" t="str">
        <x:v>Only transitions valid for the current state, role, effective dates and prerequisites are accepted.</x:v>
      </x:c>
      <x:c r="H237" s="339" t="str">
        <x:v>As defined by Primary Roles / configured approval hierarchy</x:v>
      </x:c>
      <x:c r="I237" s="339" t="str">
        <x:v>Reopen/reversal uses an explicit controlled action with reason; never silently rewrite finalized history.</x:v>
      </x:c>
      <x:c r="J237" s="339" t="str">
        <x:v>Use school-configured cutoffs/SLAs; time-sensitive operations use school timezone.</x:v>
      </x:c>
    </x:row>
    <x:row r="238">
      <x:c r="A238" s="339" t="str">
        <x:v>WF-237</x:v>
      </x:c>
      <x:c r="B238" s="339" t="str">
        <x:v>SCR-237</x:v>
      </x:c>
      <x:c r="C238" s="339" t="str">
        <x:v>Inventory / Assets / Labs</x:v>
      </x:c>
      <x:c r="D238" s="339" t="str">
        <x:v>Stock Issue / Return</x:v>
      </x:c>
      <x:c r="E238" s="339" t="str">
        <x:v>Available</x:v>
      </x:c>
      <x:c r="F238" s="339" t="str">
        <x:v>Available → Assigned / Issued / Reserved → Returned / Maintenance → Retired / Written Off</x:v>
      </x:c>
      <x:c r="G238" s="339" t="str">
        <x:v>Only transitions valid for the current state, role, effective dates and prerequisites are accepted.</x:v>
      </x:c>
      <x:c r="H238" s="339" t="str">
        <x:v>As defined by Primary Roles / configured approval hierarchy</x:v>
      </x:c>
      <x:c r="I238" s="339" t="str">
        <x:v>Reopen/reversal uses an explicit controlled action with reason; never silently rewrite finalized history.</x:v>
      </x:c>
      <x:c r="J238" s="339" t="str">
        <x:v>Use school-configured cutoffs/SLAs; time-sensitive operations use school timezone.</x:v>
      </x:c>
    </x:row>
    <x:row r="239">
      <x:c r="A239" s="339" t="str">
        <x:v>WF-238</x:v>
      </x:c>
      <x:c r="B239" s="339" t="str">
        <x:v>SCR-238</x:v>
      </x:c>
      <x:c r="C239" s="339" t="str">
        <x:v>Inventory / Assets / Labs</x:v>
      </x:c>
      <x:c r="D239" s="339" t="str">
        <x:v>Supplier Management</x:v>
      </x:c>
      <x:c r="E239" s="339" t="str">
        <x:v>Available</x:v>
      </x:c>
      <x:c r="F239" s="339" t="str">
        <x:v>Available → Assigned / Issued / Reserved → Returned / Maintenance → Retired / Written Off</x:v>
      </x:c>
      <x:c r="G239" s="339" t="str">
        <x:v>Only transitions valid for the current state, role, effective dates and prerequisites are accepted.</x:v>
      </x:c>
      <x:c r="H239" s="339" t="str">
        <x:v>As defined by Primary Roles / configured approval hierarchy</x:v>
      </x:c>
      <x:c r="I239" s="339" t="str">
        <x:v>Reopen/reversal uses an explicit controlled action with reason; never silently rewrite finalized history.</x:v>
      </x:c>
      <x:c r="J239" s="339" t="str">
        <x:v>Use school-configured cutoffs/SLAs; time-sensitive operations use school timezone.</x:v>
      </x:c>
    </x:row>
    <x:row r="240">
      <x:c r="A240" s="339" t="str">
        <x:v>WF-239</x:v>
      </x:c>
      <x:c r="B240" s="339" t="str">
        <x:v>SCR-239</x:v>
      </x:c>
      <x:c r="C240" s="339" t="str">
        <x:v>Inventory / Assets / Labs</x:v>
      </x:c>
      <x:c r="D240" s="339" t="str">
        <x:v>Asset Register</x:v>
      </x:c>
      <x:c r="E240" s="339" t="str">
        <x:v>Available</x:v>
      </x:c>
      <x:c r="F240" s="339" t="str">
        <x:v>Available → Assigned / Issued / Reserved → Returned / Maintenance → Retired / Written Off</x:v>
      </x:c>
      <x:c r="G240" s="339" t="str">
        <x:v>Only transitions valid for the current state, role, effective dates and prerequisites are accepted.</x:v>
      </x:c>
      <x:c r="H240" s="339" t="str">
        <x:v>As defined by Primary Roles / configured approval hierarchy</x:v>
      </x:c>
      <x:c r="I240" s="339" t="str">
        <x:v>Reopen/reversal uses an explicit controlled action with reason; never silently rewrite finalized history.</x:v>
      </x:c>
      <x:c r="J240" s="339" t="str">
        <x:v>Use school-configured cutoffs/SLAs; time-sensitive operations use school timezone.</x:v>
      </x:c>
    </x:row>
    <x:row r="241">
      <x:c r="A241" s="339" t="str">
        <x:v>WF-240</x:v>
      </x:c>
      <x:c r="B241" s="339" t="str">
        <x:v>SCR-240</x:v>
      </x:c>
      <x:c r="C241" s="339" t="str">
        <x:v>Inventory / Assets / Labs</x:v>
      </x:c>
      <x:c r="D241" s="339" t="str">
        <x:v>Asset Assignment / Transfer</x:v>
      </x:c>
      <x:c r="E241" s="339" t="str">
        <x:v>Available</x:v>
      </x:c>
      <x:c r="F241" s="339" t="str">
        <x:v>Available → Assigned / Issued / Reserved → Returned / Maintenance → Retired / Written Off</x:v>
      </x:c>
      <x:c r="G241" s="339" t="str">
        <x:v>Only transitions valid for the current state, role, effective dates and prerequisites are accepted.</x:v>
      </x:c>
      <x:c r="H241" s="339" t="str">
        <x:v>As defined by Primary Roles / configured approval hierarchy</x:v>
      </x:c>
      <x:c r="I241" s="339" t="str">
        <x:v>Reopen/reversal uses an explicit controlled action with reason; never silently rewrite finalized history.</x:v>
      </x:c>
      <x:c r="J241" s="339" t="str">
        <x:v>Use school-configured cutoffs/SLAs; time-sensitive operations use school timezone.</x:v>
      </x:c>
    </x:row>
    <x:row r="242">
      <x:c r="A242" s="339" t="str">
        <x:v>WF-241</x:v>
      </x:c>
      <x:c r="B242" s="339" t="str">
        <x:v>SCR-241</x:v>
      </x:c>
      <x:c r="C242" s="339" t="str">
        <x:v>Inventory / Assets / Labs</x:v>
      </x:c>
      <x:c r="D242" s="339" t="str">
        <x:v>Asset Maintenance</x:v>
      </x:c>
      <x:c r="E242" s="339" t="str">
        <x:v>Available</x:v>
      </x:c>
      <x:c r="F242" s="339" t="str">
        <x:v>Available → Assigned / Issued / Reserved → Returned / Maintenance → Retired / Written Off</x:v>
      </x:c>
      <x:c r="G242" s="339" t="str">
        <x:v>Only transitions valid for the current state, role, effective dates and prerequisites are accepted.</x:v>
      </x:c>
      <x:c r="H242" s="339" t="str">
        <x:v>As defined by Primary Roles / configured approval hierarchy</x:v>
      </x:c>
      <x:c r="I242" s="339" t="str">
        <x:v>Reopen/reversal uses an explicit controlled action with reason; never silently rewrite finalized history.</x:v>
      </x:c>
      <x:c r="J242" s="339" t="str">
        <x:v>Use school-configured cutoffs/SLAs; time-sensitive operations use school timezone.</x:v>
      </x:c>
    </x:row>
    <x:row r="243">
      <x:c r="A243" s="339" t="str">
        <x:v>WF-242</x:v>
      </x:c>
      <x:c r="B243" s="339" t="str">
        <x:v>SCR-242</x:v>
      </x:c>
      <x:c r="C243" s="339" t="str">
        <x:v>Inventory / Assets / Labs</x:v>
      </x:c>
      <x:c r="D243" s="339" t="str">
        <x:v>Lab Register</x:v>
      </x:c>
      <x:c r="E243" s="339" t="str">
        <x:v>Available</x:v>
      </x:c>
      <x:c r="F243" s="339" t="str">
        <x:v>Available → Assigned / Issued / Reserved → Returned / Maintenance → Retired / Written Off</x:v>
      </x:c>
      <x:c r="G243" s="339" t="str">
        <x:v>Only transitions valid for the current state, role, effective dates and prerequisites are accepted.</x:v>
      </x:c>
      <x:c r="H243" s="339" t="str">
        <x:v>As defined by Primary Roles / configured approval hierarchy</x:v>
      </x:c>
      <x:c r="I243" s="339" t="str">
        <x:v>Reopen/reversal uses an explicit controlled action with reason; never silently rewrite finalized history.</x:v>
      </x:c>
      <x:c r="J243" s="339" t="str">
        <x:v>Use school-configured cutoffs/SLAs; time-sensitive operations use school timezone.</x:v>
      </x:c>
    </x:row>
    <x:row r="244">
      <x:c r="A244" s="339" t="str">
        <x:v>WF-243</x:v>
      </x:c>
      <x:c r="B244" s="339" t="str">
        <x:v>SCR-243</x:v>
      </x:c>
      <x:c r="C244" s="339" t="str">
        <x:v>Inventory / Assets / Labs</x:v>
      </x:c>
      <x:c r="D244" s="339" t="str">
        <x:v>Lab Equipment &amp; Consumables</x:v>
      </x:c>
      <x:c r="E244" s="339" t="str">
        <x:v>Available</x:v>
      </x:c>
      <x:c r="F244" s="339" t="str">
        <x:v>Available → Assigned / Issued / Reserved → Returned / Maintenance → Retired / Written Off</x:v>
      </x:c>
      <x:c r="G244" s="339" t="str">
        <x:v>Only transitions valid for the current state, role, effective dates and prerequisites are accepted.</x:v>
      </x:c>
      <x:c r="H244" s="339" t="str">
        <x:v>As defined by Primary Roles / configured approval hierarchy</x:v>
      </x:c>
      <x:c r="I244" s="339" t="str">
        <x:v>Reopen/reversal uses an explicit controlled action with reason; never silently rewrite finalized history.</x:v>
      </x:c>
      <x:c r="J244" s="339" t="str">
        <x:v>Use school-configured cutoffs/SLAs; time-sensitive operations use school timezone.</x:v>
      </x:c>
    </x:row>
    <x:row r="245">
      <x:c r="A245" s="339" t="str">
        <x:v>WF-244</x:v>
      </x:c>
      <x:c r="B245" s="339" t="str">
        <x:v>SCR-244</x:v>
      </x:c>
      <x:c r="C245" s="339" t="str">
        <x:v>Inventory / Assets / Labs</x:v>
      </x:c>
      <x:c r="D245" s="339" t="str">
        <x:v>Practical / Lab Booking</x:v>
      </x:c>
      <x:c r="E245" s="339" t="str">
        <x:v>Available</x:v>
      </x:c>
      <x:c r="F245" s="339" t="str">
        <x:v>Available → Assigned / Issued / Reserved → Returned / Maintenance → Retired / Written Off</x:v>
      </x:c>
      <x:c r="G245" s="339" t="str">
        <x:v>Only transitions valid for the current state, role, effective dates and prerequisites are accepted.</x:v>
      </x:c>
      <x:c r="H245" s="339" t="str">
        <x:v>As defined by Primary Roles / configured approval hierarchy</x:v>
      </x:c>
      <x:c r="I245" s="339" t="str">
        <x:v>Reopen/reversal uses an explicit controlled action with reason; never silently rewrite finalized history.</x:v>
      </x:c>
      <x:c r="J245" s="339" t="str">
        <x:v>Use school-configured cutoffs/SLAs; time-sensitive operations use school timezone.</x:v>
      </x:c>
    </x:row>
    <x:row r="246">
      <x:c r="A246" s="339" t="str">
        <x:v>WF-245</x:v>
      </x:c>
      <x:c r="B246" s="339" t="str">
        <x:v>SCR-245</x:v>
      </x:c>
      <x:c r="C246" s="339" t="str">
        <x:v>Inventory / Assets / Labs</x:v>
      </x:c>
      <x:c r="D246" s="339" t="str">
        <x:v>Stock &amp; Asset Reports</x:v>
      </x:c>
      <x:c r="E246" s="339" t="str">
        <x:v>Available</x:v>
      </x:c>
      <x:c r="F246" s="339" t="str">
        <x:v>Available → Assigned / Issued / Reserved → Returned / Maintenance → Retired / Written Off</x:v>
      </x:c>
      <x:c r="G246" s="339" t="str">
        <x:v>Only transitions valid for the current state, role, effective dates and prerequisites are accepted.</x:v>
      </x:c>
      <x:c r="H246" s="339" t="str">
        <x:v>As defined by Primary Roles / configured approval hierarchy</x:v>
      </x:c>
      <x:c r="I246" s="339" t="str">
        <x:v>Reopen/reversal uses an explicit controlled action with reason; never silently rewrite finalized history.</x:v>
      </x:c>
      <x:c r="J246" s="339" t="str">
        <x:v>Use school-configured cutoffs/SLAs; time-sensitive operations use school timezone.</x:v>
      </x:c>
    </x:row>
    <x:row r="247">
      <x:c r="A247" s="339" t="str">
        <x:v>WF-246</x:v>
      </x:c>
      <x:c r="B247" s="339" t="str">
        <x:v>SCR-246</x:v>
      </x:c>
      <x:c r="C247" s="339" t="str">
        <x:v>Events / PTM / Communication</x:v>
      </x:c>
      <x:c r="D247" s="339" t="str">
        <x:v>Events Calendar</x:v>
      </x:c>
      <x:c r="E247" s="339" t="str">
        <x:v>Draft</x:v>
      </x:c>
      <x:c r="F247" s="339" t="str">
        <x:v>Draft → Scheduled / Published → In Progress / Sent → Completed / Delivered / Failed → Archived</x:v>
      </x:c>
      <x:c r="G247" s="339" t="str">
        <x:v>Only transitions valid for the current state, role, effective dates and prerequisites are accepted.</x:v>
      </x:c>
      <x:c r="H247" s="339" t="str">
        <x:v>As defined by Primary Roles / configured approval hierarchy</x:v>
      </x:c>
      <x:c r="I247" s="339" t="str">
        <x:v>Reopen/reversal uses an explicit controlled action with reason; never silently rewrite finalized history.</x:v>
      </x:c>
      <x:c r="J247" s="339" t="str">
        <x:v>Use school-configured cutoffs/SLAs; time-sensitive operations use school timezone.</x:v>
      </x:c>
    </x:row>
    <x:row r="248">
      <x:c r="A248" s="339" t="str">
        <x:v>WF-247</x:v>
      </x:c>
      <x:c r="B248" s="339" t="str">
        <x:v>SCR-247</x:v>
      </x:c>
      <x:c r="C248" s="339" t="str">
        <x:v>Events / PTM / Communication</x:v>
      </x:c>
      <x:c r="D248" s="339" t="str">
        <x:v>Create / Edit Event</x:v>
      </x:c>
      <x:c r="E248" s="339" t="str">
        <x:v>Draft</x:v>
      </x:c>
      <x:c r="F248" s="339" t="str">
        <x:v>Draft → Scheduled / Published → In Progress / Sent → Completed / Delivered / Failed → Archived</x:v>
      </x:c>
      <x:c r="G248" s="339" t="str">
        <x:v>Only transitions valid for the current state, role, effective dates and prerequisites are accepted.</x:v>
      </x:c>
      <x:c r="H248" s="339" t="str">
        <x:v>As defined by Primary Roles / configured approval hierarchy</x:v>
      </x:c>
      <x:c r="I248" s="339" t="str">
        <x:v>Reopen/reversal uses an explicit controlled action with reason; never silently rewrite finalized history.</x:v>
      </x:c>
      <x:c r="J248" s="339" t="str">
        <x:v>Use school-configured cutoffs/SLAs; time-sensitive operations use school timezone.</x:v>
      </x:c>
    </x:row>
    <x:row r="249">
      <x:c r="A249" s="339" t="str">
        <x:v>WF-248</x:v>
      </x:c>
      <x:c r="B249" s="339" t="str">
        <x:v>SCR-248</x:v>
      </x:c>
      <x:c r="C249" s="339" t="str">
        <x:v>Events / PTM / Communication</x:v>
      </x:c>
      <x:c r="D249" s="339" t="str">
        <x:v>Event Details &amp; Participants</x:v>
      </x:c>
      <x:c r="E249" s="339" t="str">
        <x:v>Draft</x:v>
      </x:c>
      <x:c r="F249" s="339" t="str">
        <x:v>Draft → Scheduled / Published → In Progress / Sent → Completed / Delivered / Failed → Archived</x:v>
      </x:c>
      <x:c r="G249" s="339" t="str">
        <x:v>Only transitions valid for the current state, role, effective dates and prerequisites are accepted.</x:v>
      </x:c>
      <x:c r="H249" s="339" t="str">
        <x:v>As defined by Primary Roles / configured approval hierarchy</x:v>
      </x:c>
      <x:c r="I249" s="339" t="str">
        <x:v>Reopen/reversal uses an explicit controlled action with reason; never silently rewrite finalized history.</x:v>
      </x:c>
      <x:c r="J249" s="339" t="str">
        <x:v>Use school-configured cutoffs/SLAs; time-sensitive operations use school timezone.</x:v>
      </x:c>
    </x:row>
    <x:row r="250">
      <x:c r="A250" s="339" t="str">
        <x:v>WF-249</x:v>
      </x:c>
      <x:c r="B250" s="339" t="str">
        <x:v>SCR-249</x:v>
      </x:c>
      <x:c r="C250" s="339" t="str">
        <x:v>Events / PTM / Communication</x:v>
      </x:c>
      <x:c r="D250" s="339" t="str">
        <x:v>Field Trip &amp; Parent Consent</x:v>
      </x:c>
      <x:c r="E250" s="339" t="str">
        <x:v>Draft</x:v>
      </x:c>
      <x:c r="F250" s="339" t="str">
        <x:v>Draft → Scheduled / Published → In Progress / Sent → Completed / Delivered / Failed → Archived</x:v>
      </x:c>
      <x:c r="G250" s="339" t="str">
        <x:v>Only transitions valid for the current state, role, effective dates and prerequisites are accepted.</x:v>
      </x:c>
      <x:c r="H250" s="339" t="str">
        <x:v>As defined by Primary Roles / configured approval hierarchy</x:v>
      </x:c>
      <x:c r="I250" s="339" t="str">
        <x:v>Reopen/reversal uses an explicit controlled action with reason; never silently rewrite finalized history.</x:v>
      </x:c>
      <x:c r="J250" s="339" t="str">
        <x:v>Use school-configured cutoffs/SLAs; time-sensitive operations use school timezone.</x:v>
      </x:c>
    </x:row>
    <x:row r="251">
      <x:c r="A251" s="339" t="str">
        <x:v>WF-250</x:v>
      </x:c>
      <x:c r="B251" s="339" t="str">
        <x:v>SCR-250</x:v>
      </x:c>
      <x:c r="C251" s="339" t="str">
        <x:v>Events / PTM / Communication</x:v>
      </x:c>
      <x:c r="D251" s="339" t="str">
        <x:v>PTM Setup</x:v>
      </x:c>
      <x:c r="E251" s="339" t="str">
        <x:v>Draft</x:v>
      </x:c>
      <x:c r="F251" s="339" t="str">
        <x:v>Draft → Scheduled / Published → In Progress / Sent → Completed / Delivered / Failed → Archived</x:v>
      </x:c>
      <x:c r="G251" s="339" t="str">
        <x:v>Only transitions valid for the current state, role, effective dates and prerequisites are accepted.</x:v>
      </x:c>
      <x:c r="H251" s="339" t="str">
        <x:v>As defined by Primary Roles / configured approval hierarchy</x:v>
      </x:c>
      <x:c r="I251" s="339" t="str">
        <x:v>Reopen/reversal uses an explicit controlled action with reason; never silently rewrite finalized history.</x:v>
      </x:c>
      <x:c r="J251" s="339" t="str">
        <x:v>Use school-configured cutoffs/SLAs; time-sensitive operations use school timezone.</x:v>
      </x:c>
    </x:row>
    <x:row r="252">
      <x:c r="A252" s="339" t="str">
        <x:v>WF-251</x:v>
      </x:c>
      <x:c r="B252" s="339" t="str">
        <x:v>SCR-251</x:v>
      </x:c>
      <x:c r="C252" s="339" t="str">
        <x:v>Events / PTM / Communication</x:v>
      </x:c>
      <x:c r="D252" s="339" t="str">
        <x:v>PTM Slot Booking</x:v>
      </x:c>
      <x:c r="E252" s="339" t="str">
        <x:v>Draft</x:v>
      </x:c>
      <x:c r="F252" s="339" t="str">
        <x:v>Draft → Scheduled / Published → In Progress / Sent → Completed / Delivered / Failed → Archived</x:v>
      </x:c>
      <x:c r="G252" s="339" t="str">
        <x:v>Only transitions valid for the current state, role, effective dates and prerequisites are accepted.</x:v>
      </x:c>
      <x:c r="H252" s="339" t="str">
        <x:v>As defined by Primary Roles / configured approval hierarchy</x:v>
      </x:c>
      <x:c r="I252" s="339" t="str">
        <x:v>Reopen/reversal uses an explicit controlled action with reason; never silently rewrite finalized history.</x:v>
      </x:c>
      <x:c r="J252" s="339" t="str">
        <x:v>Use school-configured cutoffs/SLAs; time-sensitive operations use school timezone.</x:v>
      </x:c>
    </x:row>
    <x:row r="253">
      <x:c r="A253" s="339" t="str">
        <x:v>WF-252</x:v>
      </x:c>
      <x:c r="B253" s="339" t="str">
        <x:v>SCR-252</x:v>
      </x:c>
      <x:c r="C253" s="339" t="str">
        <x:v>Events / PTM / Communication</x:v>
      </x:c>
      <x:c r="D253" s="339" t="str">
        <x:v>Announcements</x:v>
      </x:c>
      <x:c r="E253" s="339" t="str">
        <x:v>Draft</x:v>
      </x:c>
      <x:c r="F253" s="339" t="str">
        <x:v>Draft → Scheduled / Published → In Progress / Sent → Completed / Delivered / Failed → Archived</x:v>
      </x:c>
      <x:c r="G253" s="339" t="str">
        <x:v>Only transitions valid for the current state, role, effective dates and prerequisites are accepted.</x:v>
      </x:c>
      <x:c r="H253" s="339" t="str">
        <x:v>As defined by Primary Roles / configured approval hierarchy</x:v>
      </x:c>
      <x:c r="I253" s="339" t="str">
        <x:v>Reopen/reversal uses an explicit controlled action with reason; never silently rewrite finalized history.</x:v>
      </x:c>
      <x:c r="J253" s="339" t="str">
        <x:v>Use school-configured cutoffs/SLAs; time-sensitive operations use school timezone.</x:v>
      </x:c>
    </x:row>
    <x:row r="254">
      <x:c r="A254" s="339" t="str">
        <x:v>WF-253</x:v>
      </x:c>
      <x:c r="B254" s="339" t="str">
        <x:v>SCR-253</x:v>
      </x:c>
      <x:c r="C254" s="339" t="str">
        <x:v>Events / PTM / Communication</x:v>
      </x:c>
      <x:c r="D254" s="339" t="str">
        <x:v>Messaging / Inbox</x:v>
      </x:c>
      <x:c r="E254" s="339" t="str">
        <x:v>Draft</x:v>
      </x:c>
      <x:c r="F254" s="339" t="str">
        <x:v>Draft → Scheduled / Published → In Progress / Sent → Completed / Delivered / Failed → Archived</x:v>
      </x:c>
      <x:c r="G254" s="339" t="str">
        <x:v>Only transitions valid for the current state, role, effective dates and prerequisites are accepted.</x:v>
      </x:c>
      <x:c r="H254" s="339" t="str">
        <x:v>As defined by Primary Roles / configured approval hierarchy</x:v>
      </x:c>
      <x:c r="I254" s="339" t="str">
        <x:v>Reopen/reversal uses an explicit controlled action with reason; never silently rewrite finalized history.</x:v>
      </x:c>
      <x:c r="J254" s="339" t="str">
        <x:v>Use school-configured cutoffs/SLAs; time-sensitive operations use school timezone.</x:v>
      </x:c>
    </x:row>
    <x:row r="255">
      <x:c r="A255" s="339" t="str">
        <x:v>WF-254</x:v>
      </x:c>
      <x:c r="B255" s="339" t="str">
        <x:v>SCR-254</x:v>
      </x:c>
      <x:c r="C255" s="339" t="str">
        <x:v>Events / PTM / Communication</x:v>
      </x:c>
      <x:c r="D255" s="339" t="str">
        <x:v>Notification Campaigns</x:v>
      </x:c>
      <x:c r="E255" s="339" t="str">
        <x:v>Draft</x:v>
      </x:c>
      <x:c r="F255" s="339" t="str">
        <x:v>Draft → Scheduled / Published → In Progress / Sent → Completed / Delivered / Failed → Archived</x:v>
      </x:c>
      <x:c r="G255" s="339" t="str">
        <x:v>Only transitions valid for the current state, role, effective dates and prerequisites are accepted.</x:v>
      </x:c>
      <x:c r="H255" s="339" t="str">
        <x:v>As defined by Primary Roles / configured approval hierarchy</x:v>
      </x:c>
      <x:c r="I255" s="339" t="str">
        <x:v>Reopen/reversal uses an explicit controlled action with reason; never silently rewrite finalized history.</x:v>
      </x:c>
      <x:c r="J255" s="339" t="str">
        <x:v>Use school-configured cutoffs/SLAs; time-sensitive operations use school timezone.</x:v>
      </x:c>
    </x:row>
    <x:row r="256">
      <x:c r="A256" s="339" t="str">
        <x:v>WF-255</x:v>
      </x:c>
      <x:c r="B256" s="339" t="str">
        <x:v>SCR-255</x:v>
      </x:c>
      <x:c r="C256" s="339" t="str">
        <x:v>Events / PTM / Communication</x:v>
      </x:c>
      <x:c r="D256" s="339" t="str">
        <x:v>Communication History</x:v>
      </x:c>
      <x:c r="E256" s="339" t="str">
        <x:v>Draft</x:v>
      </x:c>
      <x:c r="F256" s="339" t="str">
        <x:v>Draft → Scheduled / Published → In Progress / Sent → Completed / Delivered / Failed → Archived</x:v>
      </x:c>
      <x:c r="G256" s="339" t="str">
        <x:v>Only transitions valid for the current state, role, effective dates and prerequisites are accepted.</x:v>
      </x:c>
      <x:c r="H256" s="339" t="str">
        <x:v>As defined by Primary Roles / configured approval hierarchy</x:v>
      </x:c>
      <x:c r="I256" s="339" t="str">
        <x:v>Reopen/reversal uses an explicit controlled action with reason; never silently rewrite finalized history.</x:v>
      </x:c>
      <x:c r="J256" s="339" t="str">
        <x:v>Use school-configured cutoffs/SLAs; time-sensitive operations use school timezone.</x:v>
      </x:c>
    </x:row>
    <x:row r="257">
      <x:c r="A257" s="339" t="str">
        <x:v>WF-256</x:v>
      </x:c>
      <x:c r="B257" s="339" t="str">
        <x:v>SCR-256</x:v>
      </x:c>
      <x:c r="C257" s="339" t="str">
        <x:v>Documents &amp; Certificates</x:v>
      </x:c>
      <x:c r="D257" s="339" t="str">
        <x:v>Document Repository</x:v>
      </x:c>
      <x:c r="E257" s="339" t="str">
        <x:v>Draft / Uploaded</x:v>
      </x:c>
      <x:c r="F257" s="339" t="str">
        <x:v>Draft / Uploaded → Pending Verification → Verified / Rejected → Expired / Replaced / Archived</x:v>
      </x:c>
      <x:c r="G257" s="339" t="str">
        <x:v>Only transitions valid for the current state, role, effective dates and prerequisites are accepted.</x:v>
      </x:c>
      <x:c r="H257" s="339" t="str">
        <x:v>As defined by Primary Roles / configured approval hierarchy</x:v>
      </x:c>
      <x:c r="I257" s="339" t="str">
        <x:v>Reopen/reversal uses an explicit controlled action with reason; never silently rewrite finalized history.</x:v>
      </x:c>
      <x:c r="J257" s="339" t="str">
        <x:v>Use school-configured cutoffs/SLAs; time-sensitive operations use school timezone.</x:v>
      </x:c>
    </x:row>
    <x:row r="258">
      <x:c r="A258" s="339" t="str">
        <x:v>WF-257</x:v>
      </x:c>
      <x:c r="B258" s="339" t="str">
        <x:v>SCR-257</x:v>
      </x:c>
      <x:c r="C258" s="339" t="str">
        <x:v>Documents &amp; Certificates</x:v>
      </x:c>
      <x:c r="D258" s="339" t="str">
        <x:v>Student Documents</x:v>
      </x:c>
      <x:c r="E258" s="339" t="str">
        <x:v>Draft / Uploaded</x:v>
      </x:c>
      <x:c r="F258" s="339" t="str">
        <x:v>Draft / Uploaded → Pending Verification → Verified / Rejected → Expired / Replaced / Archived</x:v>
      </x:c>
      <x:c r="G258" s="339" t="str">
        <x:v>Only transitions valid for the current state, role, effective dates and prerequisites are accepted.</x:v>
      </x:c>
      <x:c r="H258" s="339" t="str">
        <x:v>As defined by Primary Roles / configured approval hierarchy</x:v>
      </x:c>
      <x:c r="I258" s="339" t="str">
        <x:v>Reopen/reversal uses an explicit controlled action with reason; never silently rewrite finalized history.</x:v>
      </x:c>
      <x:c r="J258" s="339" t="str">
        <x:v>Use school-configured cutoffs/SLAs; time-sensitive operations use school timezone.</x:v>
      </x:c>
    </x:row>
    <x:row r="259">
      <x:c r="A259" s="339" t="str">
        <x:v>WF-258</x:v>
      </x:c>
      <x:c r="B259" s="339" t="str">
        <x:v>SCR-258</x:v>
      </x:c>
      <x:c r="C259" s="339" t="str">
        <x:v>Documents &amp; Certificates</x:v>
      </x:c>
      <x:c r="D259" s="339" t="str">
        <x:v>Staff Documents</x:v>
      </x:c>
      <x:c r="E259" s="339" t="str">
        <x:v>Draft / Uploaded</x:v>
      </x:c>
      <x:c r="F259" s="339" t="str">
        <x:v>Draft / Uploaded → Pending Verification → Verified / Rejected → Expired / Replaced / Archived</x:v>
      </x:c>
      <x:c r="G259" s="339" t="str">
        <x:v>Only transitions valid for the current state, role, effective dates and prerequisites are accepted.</x:v>
      </x:c>
      <x:c r="H259" s="339" t="str">
        <x:v>As defined by Primary Roles / configured approval hierarchy</x:v>
      </x:c>
      <x:c r="I259" s="339" t="str">
        <x:v>Reopen/reversal uses an explicit controlled action with reason; never silently rewrite finalized history.</x:v>
      </x:c>
      <x:c r="J259" s="339" t="str">
        <x:v>Use school-configured cutoffs/SLAs; time-sensitive operations use school timezone.</x:v>
      </x:c>
    </x:row>
    <x:row r="260">
      <x:c r="A260" s="339" t="str">
        <x:v>WF-259</x:v>
      </x:c>
      <x:c r="B260" s="339" t="str">
        <x:v>SCR-259</x:v>
      </x:c>
      <x:c r="C260" s="339" t="str">
        <x:v>Documents &amp; Certificates</x:v>
      </x:c>
      <x:c r="D260" s="339" t="str">
        <x:v>Upload &amp; Verification</x:v>
      </x:c>
      <x:c r="E260" s="339" t="str">
        <x:v>Draft / Uploaded</x:v>
      </x:c>
      <x:c r="F260" s="339" t="str">
        <x:v>Draft / Uploaded → Pending Verification → Verified / Rejected → Expired / Replaced / Archived</x:v>
      </x:c>
      <x:c r="G260" s="339" t="str">
        <x:v>Only transitions valid for the current state, role, effective dates and prerequisites are accepted.</x:v>
      </x:c>
      <x:c r="H260" s="339" t="str">
        <x:v>As defined by Primary Roles / configured approval hierarchy</x:v>
      </x:c>
      <x:c r="I260" s="339" t="str">
        <x:v>Reopen/reversal uses an explicit controlled action with reason; never silently rewrite finalized history.</x:v>
      </x:c>
      <x:c r="J260" s="339" t="str">
        <x:v>Use school-configured cutoffs/SLAs; time-sensitive operations use school timezone.</x:v>
      </x:c>
    </x:row>
    <x:row r="261">
      <x:c r="A261" s="339" t="str">
        <x:v>WF-260</x:v>
      </x:c>
      <x:c r="B261" s="339" t="str">
        <x:v>SCR-260</x:v>
      </x:c>
      <x:c r="C261" s="339" t="str">
        <x:v>Documents &amp; Certificates</x:v>
      </x:c>
      <x:c r="D261" s="339" t="str">
        <x:v>Certificate Templates</x:v>
      </x:c>
      <x:c r="E261" s="339" t="str">
        <x:v>Draft / Uploaded</x:v>
      </x:c>
      <x:c r="F261" s="339" t="str">
        <x:v>Draft / Uploaded → Pending Verification → Verified / Rejected → Expired / Replaced / Archived</x:v>
      </x:c>
      <x:c r="G261" s="339" t="str">
        <x:v>Only transitions valid for the current state, role, effective dates and prerequisites are accepted.</x:v>
      </x:c>
      <x:c r="H261" s="339" t="str">
        <x:v>As defined by Primary Roles / configured approval hierarchy</x:v>
      </x:c>
      <x:c r="I261" s="339" t="str">
        <x:v>Reopen/reversal uses an explicit controlled action with reason; never silently rewrite finalized history.</x:v>
      </x:c>
      <x:c r="J261" s="339" t="str">
        <x:v>Use school-configured cutoffs/SLAs; time-sensitive operations use school timezone.</x:v>
      </x:c>
    </x:row>
    <x:row r="262">
      <x:c r="A262" s="339" t="str">
        <x:v>WF-261</x:v>
      </x:c>
      <x:c r="B262" s="339" t="str">
        <x:v>SCR-261</x:v>
      </x:c>
      <x:c r="C262" s="339" t="str">
        <x:v>Documents &amp; Certificates</x:v>
      </x:c>
      <x:c r="D262" s="339" t="str">
        <x:v>Generate Certificate</x:v>
      </x:c>
      <x:c r="E262" s="339" t="str">
        <x:v>Draft / Uploaded</x:v>
      </x:c>
      <x:c r="F262" s="339" t="str">
        <x:v>Draft / Uploaded → Pending Verification → Verified / Rejected → Expired / Replaced / Archived</x:v>
      </x:c>
      <x:c r="G262" s="339" t="str">
        <x:v>Only transitions valid for the current state, role, effective dates and prerequisites are accepted.</x:v>
      </x:c>
      <x:c r="H262" s="339" t="str">
        <x:v>As defined by Primary Roles / configured approval hierarchy</x:v>
      </x:c>
      <x:c r="I262" s="339" t="str">
        <x:v>Reopen/reversal uses an explicit controlled action with reason; never silently rewrite finalized history.</x:v>
      </x:c>
      <x:c r="J262" s="339" t="str">
        <x:v>Use school-configured cutoffs/SLAs; time-sensitive operations use school timezone.</x:v>
      </x:c>
    </x:row>
    <x:row r="263">
      <x:c r="A263" s="339" t="str">
        <x:v>WF-262</x:v>
      </x:c>
      <x:c r="B263" s="339" t="str">
        <x:v>SCR-262</x:v>
      </x:c>
      <x:c r="C263" s="339" t="str">
        <x:v>Documents &amp; Certificates</x:v>
      </x:c>
      <x:c r="D263" s="339" t="str">
        <x:v>Transfer Certificate</x:v>
      </x:c>
      <x:c r="E263" s="339" t="str">
        <x:v>Draft / Uploaded</x:v>
      </x:c>
      <x:c r="F263" s="339" t="str">
        <x:v>Draft / Uploaded → Pending Verification → Verified / Rejected → Expired / Replaced / Archived</x:v>
      </x:c>
      <x:c r="G263" s="339" t="str">
        <x:v>Only transitions valid for the current state, role, effective dates and prerequisites are accepted.</x:v>
      </x:c>
      <x:c r="H263" s="339" t="str">
        <x:v>As defined by Primary Roles / configured approval hierarchy</x:v>
      </x:c>
      <x:c r="I263" s="339" t="str">
        <x:v>Reopen/reversal uses an explicit controlled action with reason; never silently rewrite finalized history.</x:v>
      </x:c>
      <x:c r="J263" s="339" t="str">
        <x:v>Use school-configured cutoffs/SLAs; time-sensitive operations use school timezone.</x:v>
      </x:c>
    </x:row>
    <x:row r="264">
      <x:c r="A264" s="339" t="str">
        <x:v>WF-263</x:v>
      </x:c>
      <x:c r="B264" s="339" t="str">
        <x:v>SCR-263</x:v>
      </x:c>
      <x:c r="C264" s="339" t="str">
        <x:v>Documents &amp; Certificates</x:v>
      </x:c>
      <x:c r="D264" s="339" t="str">
        <x:v>Certificate Register</x:v>
      </x:c>
      <x:c r="E264" s="339" t="str">
        <x:v>Draft / Uploaded</x:v>
      </x:c>
      <x:c r="F264" s="339" t="str">
        <x:v>Draft / Uploaded → Pending Verification → Verified / Rejected → Expired / Replaced / Archived</x:v>
      </x:c>
      <x:c r="G264" s="339" t="str">
        <x:v>Only transitions valid for the current state, role, effective dates and prerequisites are accepted.</x:v>
      </x:c>
      <x:c r="H264" s="339" t="str">
        <x:v>As defined by Primary Roles / configured approval hierarchy</x:v>
      </x:c>
      <x:c r="I264" s="339" t="str">
        <x:v>Reopen/reversal uses an explicit controlled action with reason; never silently rewrite finalized history.</x:v>
      </x:c>
      <x:c r="J264" s="339" t="str">
        <x:v>Use school-configured cutoffs/SLAs; time-sensitive operations use school timezone.</x:v>
      </x:c>
    </x:row>
    <x:row r="265">
      <x:c r="A265" s="339" t="str">
        <x:v>WF-264</x:v>
      </x:c>
      <x:c r="B265" s="339" t="str">
        <x:v>SCR-264</x:v>
      </x:c>
      <x:c r="C265" s="339" t="str">
        <x:v>Reports &amp; Analytics</x:v>
      </x:c>
      <x:c r="D265" s="339" t="str">
        <x:v>Executive Analytics Dashboard</x:v>
      </x:c>
      <x:c r="E265" s="339" t="str">
        <x:v>Filter Context Set</x:v>
      </x:c>
      <x:c r="F265" s="339" t="str">
        <x:v>Filter Context Set → Report Generated → Viewed / Exported</x:v>
      </x:c>
      <x:c r="G265" s="339" t="str">
        <x:v>Only transitions valid for the current state, role, effective dates and prerequisites are accepted.</x:v>
      </x:c>
      <x:c r="H265" s="339" t="str">
        <x:v>As defined by Primary Roles / configured approval hierarchy</x:v>
      </x:c>
      <x:c r="I265" s="339" t="str">
        <x:v>Reopen/reversal uses an explicit controlled action with reason; never silently rewrite finalized history.</x:v>
      </x:c>
      <x:c r="J265" s="339" t="str">
        <x:v>Use school-configured cutoffs/SLAs; time-sensitive operations use school timezone.</x:v>
      </x:c>
    </x:row>
    <x:row r="266">
      <x:c r="A266" s="339" t="str">
        <x:v>WF-265</x:v>
      </x:c>
      <x:c r="B266" s="339" t="str">
        <x:v>SCR-265</x:v>
      </x:c>
      <x:c r="C266" s="339" t="str">
        <x:v>Reports &amp; Analytics</x:v>
      </x:c>
      <x:c r="D266" s="339" t="str">
        <x:v>Admission Reports</x:v>
      </x:c>
      <x:c r="E266" s="339" t="str">
        <x:v>Filter Context Set</x:v>
      </x:c>
      <x:c r="F266" s="339" t="str">
        <x:v>Filter Context Set → Report Generated → Viewed / Exported</x:v>
      </x:c>
      <x:c r="G266" s="339" t="str">
        <x:v>Only transitions valid for the current state, role, effective dates and prerequisites are accepted.</x:v>
      </x:c>
      <x:c r="H266" s="339" t="str">
        <x:v>As defined by Primary Roles / configured approval hierarchy</x:v>
      </x:c>
      <x:c r="I266" s="339" t="str">
        <x:v>Reopen/reversal uses an explicit controlled action with reason; never silently rewrite finalized history.</x:v>
      </x:c>
      <x:c r="J266" s="339" t="str">
        <x:v>Use school-configured cutoffs/SLAs; time-sensitive operations use school timezone.</x:v>
      </x:c>
    </x:row>
    <x:row r="267">
      <x:c r="A267" s="339" t="str">
        <x:v>WF-266</x:v>
      </x:c>
      <x:c r="B267" s="339" t="str">
        <x:v>SCR-266</x:v>
      </x:c>
      <x:c r="C267" s="339" t="str">
        <x:v>Reports &amp; Analytics</x:v>
      </x:c>
      <x:c r="D267" s="339" t="str">
        <x:v>Student Strength Report</x:v>
      </x:c>
      <x:c r="E267" s="339" t="str">
        <x:v>Filter Context Set</x:v>
      </x:c>
      <x:c r="F267" s="339" t="str">
        <x:v>Filter Context Set → Report Generated → Viewed / Exported</x:v>
      </x:c>
      <x:c r="G267" s="339" t="str">
        <x:v>Only transitions valid for the current state, role, effective dates and prerequisites are accepted.</x:v>
      </x:c>
      <x:c r="H267" s="339" t="str">
        <x:v>As defined by Primary Roles / configured approval hierarchy</x:v>
      </x:c>
      <x:c r="I267" s="339" t="str">
        <x:v>Reopen/reversal uses an explicit controlled action with reason; never silently rewrite finalized history.</x:v>
      </x:c>
      <x:c r="J267" s="339" t="str">
        <x:v>Use school-configured cutoffs/SLAs; time-sensitive operations use school timezone.</x:v>
      </x:c>
    </x:row>
    <x:row r="268">
      <x:c r="A268" s="339" t="str">
        <x:v>WF-267</x:v>
      </x:c>
      <x:c r="B268" s="339" t="str">
        <x:v>SCR-267</x:v>
      </x:c>
      <x:c r="C268" s="339" t="str">
        <x:v>Reports &amp; Analytics</x:v>
      </x:c>
      <x:c r="D268" s="339" t="str">
        <x:v>Student Demographics</x:v>
      </x:c>
      <x:c r="E268" s="339" t="str">
        <x:v>Filter Context Set</x:v>
      </x:c>
      <x:c r="F268" s="339" t="str">
        <x:v>Filter Context Set → Report Generated → Viewed / Exported</x:v>
      </x:c>
      <x:c r="G268" s="339" t="str">
        <x:v>Only transitions valid for the current state, role, effective dates and prerequisites are accepted.</x:v>
      </x:c>
      <x:c r="H268" s="339" t="str">
        <x:v>As defined by Primary Roles / configured approval hierarchy</x:v>
      </x:c>
      <x:c r="I268" s="339" t="str">
        <x:v>Reopen/reversal uses an explicit controlled action with reason; never silently rewrite finalized history.</x:v>
      </x:c>
      <x:c r="J268" s="339" t="str">
        <x:v>Use school-configured cutoffs/SLAs; time-sensitive operations use school timezone.</x:v>
      </x:c>
    </x:row>
    <x:row r="269">
      <x:c r="A269" s="339" t="str">
        <x:v>WF-268</x:v>
      </x:c>
      <x:c r="B269" s="339" t="str">
        <x:v>SCR-268</x:v>
      </x:c>
      <x:c r="C269" s="339" t="str">
        <x:v>Reports &amp; Analytics</x:v>
      </x:c>
      <x:c r="D269" s="339" t="str">
        <x:v>Attendance Analytics</x:v>
      </x:c>
      <x:c r="E269" s="339" t="str">
        <x:v>Filter Context Set</x:v>
      </x:c>
      <x:c r="F269" s="339" t="str">
        <x:v>Filter Context Set → Report Generated → Viewed / Exported</x:v>
      </x:c>
      <x:c r="G269" s="339" t="str">
        <x:v>Only transitions valid for the current state, role, effective dates and prerequisites are accepted.</x:v>
      </x:c>
      <x:c r="H269" s="339" t="str">
        <x:v>As defined by Primary Roles / configured approval hierarchy</x:v>
      </x:c>
      <x:c r="I269" s="339" t="str">
        <x:v>Reopen/reversal uses an explicit controlled action with reason; never silently rewrite finalized history.</x:v>
      </x:c>
      <x:c r="J269" s="339" t="str">
        <x:v>Use school-configured cutoffs/SLAs; time-sensitive operations use school timezone.</x:v>
      </x:c>
    </x:row>
    <x:row r="270">
      <x:c r="A270" s="339" t="str">
        <x:v>WF-269</x:v>
      </x:c>
      <x:c r="B270" s="339" t="str">
        <x:v>SCR-269</x:v>
      </x:c>
      <x:c r="C270" s="339" t="str">
        <x:v>Reports &amp; Analytics</x:v>
      </x:c>
      <x:c r="D270" s="339" t="str">
        <x:v>Chronic Absenteeism Report</x:v>
      </x:c>
      <x:c r="E270" s="339" t="str">
        <x:v>Filter Context Set</x:v>
      </x:c>
      <x:c r="F270" s="339" t="str">
        <x:v>Filter Context Set → Report Generated → Viewed / Exported</x:v>
      </x:c>
      <x:c r="G270" s="339" t="str">
        <x:v>Only transitions valid for the current state, role, effective dates and prerequisites are accepted.</x:v>
      </x:c>
      <x:c r="H270" s="339" t="str">
        <x:v>As defined by Primary Roles / configured approval hierarchy</x:v>
      </x:c>
      <x:c r="I270" s="339" t="str">
        <x:v>Reopen/reversal uses an explicit controlled action with reason; never silently rewrite finalized history.</x:v>
      </x:c>
      <x:c r="J270" s="339" t="str">
        <x:v>Use school-configured cutoffs/SLAs; time-sensitive operations use school timezone.</x:v>
      </x:c>
    </x:row>
    <x:row r="271">
      <x:c r="A271" s="339" t="str">
        <x:v>WF-270</x:v>
      </x:c>
      <x:c r="B271" s="339" t="str">
        <x:v>SCR-270</x:v>
      </x:c>
      <x:c r="C271" s="339" t="str">
        <x:v>Reports &amp; Analytics</x:v>
      </x:c>
      <x:c r="D271" s="339" t="str">
        <x:v>Academic Performance</x:v>
      </x:c>
      <x:c r="E271" s="339" t="str">
        <x:v>Filter Context Set</x:v>
      </x:c>
      <x:c r="F271" s="339" t="str">
        <x:v>Filter Context Set → Report Generated → Viewed / Exported</x:v>
      </x:c>
      <x:c r="G271" s="339" t="str">
        <x:v>Only transitions valid for the current state, role, effective dates and prerequisites are accepted.</x:v>
      </x:c>
      <x:c r="H271" s="339" t="str">
        <x:v>As defined by Primary Roles / configured approval hierarchy</x:v>
      </x:c>
      <x:c r="I271" s="339" t="str">
        <x:v>Reopen/reversal uses an explicit controlled action with reason; never silently rewrite finalized history.</x:v>
      </x:c>
      <x:c r="J271" s="339" t="str">
        <x:v>Use school-configured cutoffs/SLAs; time-sensitive operations use school timezone.</x:v>
      </x:c>
    </x:row>
    <x:row r="272">
      <x:c r="A272" s="339" t="str">
        <x:v>WF-271</x:v>
      </x:c>
      <x:c r="B272" s="339" t="str">
        <x:v>SCR-271</x:v>
      </x:c>
      <x:c r="C272" s="339" t="str">
        <x:v>Reports &amp; Analytics</x:v>
      </x:c>
      <x:c r="D272" s="339" t="str">
        <x:v>Subject Performance</x:v>
      </x:c>
      <x:c r="E272" s="339" t="str">
        <x:v>Filter Context Set</x:v>
      </x:c>
      <x:c r="F272" s="339" t="str">
        <x:v>Filter Context Set → Report Generated → Viewed / Exported</x:v>
      </x:c>
      <x:c r="G272" s="339" t="str">
        <x:v>Only transitions valid for the current state, role, effective dates and prerequisites are accepted.</x:v>
      </x:c>
      <x:c r="H272" s="339" t="str">
        <x:v>As defined by Primary Roles / configured approval hierarchy</x:v>
      </x:c>
      <x:c r="I272" s="339" t="str">
        <x:v>Reopen/reversal uses an explicit controlled action with reason; never silently rewrite finalized history.</x:v>
      </x:c>
      <x:c r="J272" s="339" t="str">
        <x:v>Use school-configured cutoffs/SLAs; time-sensitive operations use school timezone.</x:v>
      </x:c>
    </x:row>
    <x:row r="273">
      <x:c r="A273" s="339" t="str">
        <x:v>WF-272</x:v>
      </x:c>
      <x:c r="B273" s="339" t="str">
        <x:v>SCR-272</x:v>
      </x:c>
      <x:c r="C273" s="339" t="str">
        <x:v>Reports &amp; Analytics</x:v>
      </x:c>
      <x:c r="D273" s="339" t="str">
        <x:v>Exam Result Analysis</x:v>
      </x:c>
      <x:c r="E273" s="339" t="str">
        <x:v>Filter Context Set</x:v>
      </x:c>
      <x:c r="F273" s="339" t="str">
        <x:v>Filter Context Set → Report Generated → Viewed / Exported</x:v>
      </x:c>
      <x:c r="G273" s="339" t="str">
        <x:v>Only transitions valid for the current state, role, effective dates and prerequisites are accepted.</x:v>
      </x:c>
      <x:c r="H273" s="339" t="str">
        <x:v>As defined by Primary Roles / configured approval hierarchy</x:v>
      </x:c>
      <x:c r="I273" s="339" t="str">
        <x:v>Reopen/reversal uses an explicit controlled action with reason; never silently rewrite finalized history.</x:v>
      </x:c>
      <x:c r="J273" s="339" t="str">
        <x:v>Use school-configured cutoffs/SLAs; time-sensitive operations use school timezone.</x:v>
      </x:c>
    </x:row>
    <x:row r="274">
      <x:c r="A274" s="339" t="str">
        <x:v>WF-273</x:v>
      </x:c>
      <x:c r="B274" s="339" t="str">
        <x:v>SCR-273</x:v>
      </x:c>
      <x:c r="C274" s="339" t="str">
        <x:v>Reports &amp; Analytics</x:v>
      </x:c>
      <x:c r="D274" s="339" t="str">
        <x:v>Fee Collection Report</x:v>
      </x:c>
      <x:c r="E274" s="339" t="str">
        <x:v>Filter Context Set</x:v>
      </x:c>
      <x:c r="F274" s="339" t="str">
        <x:v>Filter Context Set → Report Generated → Viewed / Exported</x:v>
      </x:c>
      <x:c r="G274" s="339" t="str">
        <x:v>Only transitions valid for the current state, role, effective dates and prerequisites are accepted.</x:v>
      </x:c>
      <x:c r="H274" s="339" t="str">
        <x:v>As defined by Primary Roles / configured approval hierarchy</x:v>
      </x:c>
      <x:c r="I274" s="339" t="str">
        <x:v>Reopen/reversal uses an explicit controlled action with reason; never silently rewrite finalized history.</x:v>
      </x:c>
      <x:c r="J274" s="339" t="str">
        <x:v>Use school-configured cutoffs/SLAs; time-sensitive operations use school timezone.</x:v>
      </x:c>
    </x:row>
    <x:row r="275">
      <x:c r="A275" s="339" t="str">
        <x:v>WF-274</x:v>
      </x:c>
      <x:c r="B275" s="339" t="str">
        <x:v>SCR-274</x:v>
      </x:c>
      <x:c r="C275" s="339" t="str">
        <x:v>Reports &amp; Analytics</x:v>
      </x:c>
      <x:c r="D275" s="339" t="str">
        <x:v>Outstanding Dues Report</x:v>
      </x:c>
      <x:c r="E275" s="339" t="str">
        <x:v>Filter Context Set</x:v>
      </x:c>
      <x:c r="F275" s="339" t="str">
        <x:v>Filter Context Set → Report Generated → Viewed / Exported</x:v>
      </x:c>
      <x:c r="G275" s="339" t="str">
        <x:v>Only transitions valid for the current state, role, effective dates and prerequisites are accepted.</x:v>
      </x:c>
      <x:c r="H275" s="339" t="str">
        <x:v>As defined by Primary Roles / configured approval hierarchy</x:v>
      </x:c>
      <x:c r="I275" s="339" t="str">
        <x:v>Reopen/reversal uses an explicit controlled action with reason; never silently rewrite finalized history.</x:v>
      </x:c>
      <x:c r="J275" s="339" t="str">
        <x:v>Use school-configured cutoffs/SLAs; time-sensitive operations use school timezone.</x:v>
      </x:c>
    </x:row>
    <x:row r="276">
      <x:c r="A276" s="339" t="str">
        <x:v>WF-275</x:v>
      </x:c>
      <x:c r="B276" s="339" t="str">
        <x:v>SCR-275</x:v>
      </x:c>
      <x:c r="C276" s="339" t="str">
        <x:v>Reports &amp; Analytics</x:v>
      </x:c>
      <x:c r="D276" s="339" t="str">
        <x:v>Finance Summary</x:v>
      </x:c>
      <x:c r="E276" s="339" t="str">
        <x:v>Filter Context Set</x:v>
      </x:c>
      <x:c r="F276" s="339" t="str">
        <x:v>Filter Context Set → Report Generated → Viewed / Exported</x:v>
      </x:c>
      <x:c r="G276" s="339" t="str">
        <x:v>Only transitions valid for the current state, role, effective dates and prerequisites are accepted.</x:v>
      </x:c>
      <x:c r="H276" s="339" t="str">
        <x:v>As defined by Primary Roles / configured approval hierarchy</x:v>
      </x:c>
      <x:c r="I276" s="339" t="str">
        <x:v>Reopen/reversal uses an explicit controlled action with reason; never silently rewrite finalized history.</x:v>
      </x:c>
      <x:c r="J276" s="339" t="str">
        <x:v>Use school-configured cutoffs/SLAs; time-sensitive operations use school timezone.</x:v>
      </x:c>
    </x:row>
    <x:row r="277">
      <x:c r="A277" s="339" t="str">
        <x:v>WF-276</x:v>
      </x:c>
      <x:c r="B277" s="339" t="str">
        <x:v>SCR-276</x:v>
      </x:c>
      <x:c r="C277" s="339" t="str">
        <x:v>Reports &amp; Analytics</x:v>
      </x:c>
      <x:c r="D277" s="339" t="str">
        <x:v>Staff Attendance Report</x:v>
      </x:c>
      <x:c r="E277" s="339" t="str">
        <x:v>Filter Context Set</x:v>
      </x:c>
      <x:c r="F277" s="339" t="str">
        <x:v>Filter Context Set → Report Generated → Viewed / Exported</x:v>
      </x:c>
      <x:c r="G277" s="339" t="str">
        <x:v>Only transitions valid for the current state, role, effective dates and prerequisites are accepted.</x:v>
      </x:c>
      <x:c r="H277" s="339" t="str">
        <x:v>As defined by Primary Roles / configured approval hierarchy</x:v>
      </x:c>
      <x:c r="I277" s="339" t="str">
        <x:v>Reopen/reversal uses an explicit controlled action with reason; never silently rewrite finalized history.</x:v>
      </x:c>
      <x:c r="J277" s="339" t="str">
        <x:v>Use school-configured cutoffs/SLAs; time-sensitive operations use school timezone.</x:v>
      </x:c>
    </x:row>
    <x:row r="278">
      <x:c r="A278" s="339" t="str">
        <x:v>WF-277</x:v>
      </x:c>
      <x:c r="B278" s="339" t="str">
        <x:v>SCR-277</x:v>
      </x:c>
      <x:c r="C278" s="339" t="str">
        <x:v>Reports &amp; Analytics</x:v>
      </x:c>
      <x:c r="D278" s="339" t="str">
        <x:v>Payroll Summary</x:v>
      </x:c>
      <x:c r="E278" s="339" t="str">
        <x:v>Filter Context Set</x:v>
      </x:c>
      <x:c r="F278" s="339" t="str">
        <x:v>Filter Context Set → Report Generated → Viewed / Exported</x:v>
      </x:c>
      <x:c r="G278" s="339" t="str">
        <x:v>Only transitions valid for the current state, role, effective dates and prerequisites are accepted.</x:v>
      </x:c>
      <x:c r="H278" s="339" t="str">
        <x:v>As defined by Primary Roles / configured approval hierarchy</x:v>
      </x:c>
      <x:c r="I278" s="339" t="str">
        <x:v>Reopen/reversal uses an explicit controlled action with reason; never silently rewrite finalized history.</x:v>
      </x:c>
      <x:c r="J278" s="339" t="str">
        <x:v>Use school-configured cutoffs/SLAs; time-sensitive operations use school timezone.</x:v>
      </x:c>
    </x:row>
    <x:row r="279">
      <x:c r="A279" s="339" t="str">
        <x:v>WF-278</x:v>
      </x:c>
      <x:c r="B279" s="339" t="str">
        <x:v>SCR-278</x:v>
      </x:c>
      <x:c r="C279" s="339" t="str">
        <x:v>Reports &amp; Analytics</x:v>
      </x:c>
      <x:c r="D279" s="339" t="str">
        <x:v>Teacher Performance</x:v>
      </x:c>
      <x:c r="E279" s="339" t="str">
        <x:v>Filter Context Set</x:v>
      </x:c>
      <x:c r="F279" s="339" t="str">
        <x:v>Filter Context Set → Report Generated → Viewed / Exported</x:v>
      </x:c>
      <x:c r="G279" s="339" t="str">
        <x:v>Only transitions valid for the current state, role, effective dates and prerequisites are accepted.</x:v>
      </x:c>
      <x:c r="H279" s="339" t="str">
        <x:v>As defined by Primary Roles / configured approval hierarchy</x:v>
      </x:c>
      <x:c r="I279" s="339" t="str">
        <x:v>Reopen/reversal uses an explicit controlled action with reason; never silently rewrite finalized history.</x:v>
      </x:c>
      <x:c r="J279" s="339" t="str">
        <x:v>Use school-configured cutoffs/SLAs; time-sensitive operations use school timezone.</x:v>
      </x:c>
    </x:row>
    <x:row r="280">
      <x:c r="A280" s="339" t="str">
        <x:v>WF-279</x:v>
      </x:c>
      <x:c r="B280" s="339" t="str">
        <x:v>SCR-279</x:v>
      </x:c>
      <x:c r="C280" s="339" t="str">
        <x:v>Reports &amp; Analytics</x:v>
      </x:c>
      <x:c r="D280" s="339" t="str">
        <x:v>Transport Utilization</x:v>
      </x:c>
      <x:c r="E280" s="339" t="str">
        <x:v>Filter Context Set</x:v>
      </x:c>
      <x:c r="F280" s="339" t="str">
        <x:v>Filter Context Set → Report Generated → Viewed / Exported</x:v>
      </x:c>
      <x:c r="G280" s="339" t="str">
        <x:v>Only transitions valid for the current state, role, effective dates and prerequisites are accepted.</x:v>
      </x:c>
      <x:c r="H280" s="339" t="str">
        <x:v>As defined by Primary Roles / configured approval hierarchy</x:v>
      </x:c>
      <x:c r="I280" s="339" t="str">
        <x:v>Reopen/reversal uses an explicit controlled action with reason; never silently rewrite finalized history.</x:v>
      </x:c>
      <x:c r="J280" s="339" t="str">
        <x:v>Use school-configured cutoffs/SLAs; time-sensitive operations use school timezone.</x:v>
      </x:c>
    </x:row>
    <x:row r="281">
      <x:c r="A281" s="339" t="str">
        <x:v>WF-280</x:v>
      </x:c>
      <x:c r="B281" s="339" t="str">
        <x:v>SCR-280</x:v>
      </x:c>
      <x:c r="C281" s="339" t="str">
        <x:v>Reports &amp; Analytics</x:v>
      </x:c>
      <x:c r="D281" s="339" t="str">
        <x:v>Library Usage</x:v>
      </x:c>
      <x:c r="E281" s="339" t="str">
        <x:v>Filter Context Set</x:v>
      </x:c>
      <x:c r="F281" s="339" t="str">
        <x:v>Filter Context Set → Report Generated → Viewed / Exported</x:v>
      </x:c>
      <x:c r="G281" s="339" t="str">
        <x:v>Only transitions valid for the current state, role, effective dates and prerequisites are accepted.</x:v>
      </x:c>
      <x:c r="H281" s="339" t="str">
        <x:v>As defined by Primary Roles / configured approval hierarchy</x:v>
      </x:c>
      <x:c r="I281" s="339" t="str">
        <x:v>Reopen/reversal uses an explicit controlled action with reason; never silently rewrite finalized history.</x:v>
      </x:c>
      <x:c r="J281" s="339" t="str">
        <x:v>Use school-configured cutoffs/SLAs; time-sensitive operations use school timezone.</x:v>
      </x:c>
    </x:row>
    <x:row r="282">
      <x:c r="A282" s="339" t="str">
        <x:v>WF-281</x:v>
      </x:c>
      <x:c r="B282" s="339" t="str">
        <x:v>SCR-281</x:v>
      </x:c>
      <x:c r="C282" s="339" t="str">
        <x:v>Reports &amp; Analytics</x:v>
      </x:c>
      <x:c r="D282" s="339" t="str">
        <x:v>Inventory &amp; Asset Report</x:v>
      </x:c>
      <x:c r="E282" s="339" t="str">
        <x:v>Filter Context Set</x:v>
      </x:c>
      <x:c r="F282" s="339" t="str">
        <x:v>Filter Context Set → Report Generated → Viewed / Exported</x:v>
      </x:c>
      <x:c r="G282" s="339" t="str">
        <x:v>Only transitions valid for the current state, role, effective dates and prerequisites are accepted.</x:v>
      </x:c>
      <x:c r="H282" s="339" t="str">
        <x:v>As defined by Primary Roles / configured approval hierarchy</x:v>
      </x:c>
      <x:c r="I282" s="339" t="str">
        <x:v>Reopen/reversal uses an explicit controlled action with reason; never silently rewrite finalized history.</x:v>
      </x:c>
      <x:c r="J282" s="339" t="str">
        <x:v>Use school-configured cutoffs/SLAs; time-sensitive operations use school timezone.</x:v>
      </x:c>
    </x:row>
    <x:row r="283">
      <x:c r="A283" s="339" t="str">
        <x:v>WF-282</x:v>
      </x:c>
      <x:c r="B283" s="339" t="str">
        <x:v>SCR-282</x:v>
      </x:c>
      <x:c r="C283" s="339" t="str">
        <x:v>Reports &amp; Analytics</x:v>
      </x:c>
      <x:c r="D283" s="339" t="str">
        <x:v>Communication / Notification Report</x:v>
      </x:c>
      <x:c r="E283" s="339" t="str">
        <x:v>Filter Context Set</x:v>
      </x:c>
      <x:c r="F283" s="339" t="str">
        <x:v>Filter Context Set → Report Generated → Viewed / Exported</x:v>
      </x:c>
      <x:c r="G283" s="339" t="str">
        <x:v>Only transitions valid for the current state, role, effective dates and prerequisites are accepted.</x:v>
      </x:c>
      <x:c r="H283" s="339" t="str">
        <x:v>As defined by Primary Roles / configured approval hierarchy</x:v>
      </x:c>
      <x:c r="I283" s="339" t="str">
        <x:v>Reopen/reversal uses an explicit controlled action with reason; never silently rewrite finalized history.</x:v>
      </x:c>
      <x:c r="J283" s="339" t="str">
        <x:v>Use school-configured cutoffs/SLAs; time-sensitive operations use school timezone.</x:v>
      </x:c>
    </x:row>
    <x:row r="284">
      <x:c r="A284" s="339" t="str">
        <x:v>WF-283</x:v>
      </x:c>
      <x:c r="B284" s="339" t="str">
        <x:v>SCR-283</x:v>
      </x:c>
      <x:c r="C284" s="339" t="str">
        <x:v>Reports &amp; Analytics</x:v>
      </x:c>
      <x:c r="D284" s="339" t="str">
        <x:v>Custom Report Builder</x:v>
      </x:c>
      <x:c r="E284" s="339" t="str">
        <x:v>Filter Context Set</x:v>
      </x:c>
      <x:c r="F284" s="339" t="str">
        <x:v>Filter Context Set → Report Generated → Viewed / Exported</x:v>
      </x:c>
      <x:c r="G284" s="339" t="str">
        <x:v>Only transitions valid for the current state, role, effective dates and prerequisites are accepted.</x:v>
      </x:c>
      <x:c r="H284" s="339" t="str">
        <x:v>As defined by Primary Roles / configured approval hierarchy</x:v>
      </x:c>
      <x:c r="I284" s="339" t="str">
        <x:v>Reopen/reversal uses an explicit controlled action with reason; never silently rewrite finalized history.</x:v>
      </x:c>
      <x:c r="J284" s="339" t="str">
        <x:v>Use school-configured cutoffs/SLAs; time-sensitive operations use school timezone.</x:v>
      </x:c>
    </x:row>
    <x:row r="285">
      <x:c r="A285" s="339" t="str">
        <x:v>WF-284</x:v>
      </x:c>
      <x:c r="B285" s="339" t="str">
        <x:v>SCR-284</x:v>
      </x:c>
      <x:c r="C285" s="339" t="str">
        <x:v>Settings / Roles / Permissions / Audit</x:v>
      </x:c>
      <x:c r="D285" s="339" t="str">
        <x:v>User Management</x:v>
      </x:c>
      <x:c r="E285" s="339" t="str">
        <x:v>Draft / Proposed</x:v>
      </x:c>
      <x:c r="F285" s="339" t="str">
        <x:v>Draft / Proposed → Active → Revised / Inactive; audit entries are append-only</x:v>
      </x:c>
      <x:c r="G285" s="339" t="str">
        <x:v>Only transitions valid for the current state, role, effective dates and prerequisites are accepted.</x:v>
      </x:c>
      <x:c r="H285" s="339" t="str">
        <x:v>As defined by Primary Roles / configured approval hierarchy</x:v>
      </x:c>
      <x:c r="I285" s="339" t="str">
        <x:v>Reopen/reversal uses an explicit controlled action with reason; never silently rewrite finalized history.</x:v>
      </x:c>
      <x:c r="J285" s="339" t="str">
        <x:v>Use school-configured cutoffs/SLAs; time-sensitive operations use school timezone.</x:v>
      </x:c>
    </x:row>
    <x:row r="286">
      <x:c r="A286" s="339" t="str">
        <x:v>WF-285</x:v>
      </x:c>
      <x:c r="B286" s="339" t="str">
        <x:v>SCR-285</x:v>
      </x:c>
      <x:c r="C286" s="339" t="str">
        <x:v>Settings / Roles / Permissions / Audit</x:v>
      </x:c>
      <x:c r="D286" s="339" t="str">
        <x:v>Roles</x:v>
      </x:c>
      <x:c r="E286" s="339" t="str">
        <x:v>Draft / Proposed</x:v>
      </x:c>
      <x:c r="F286" s="339" t="str">
        <x:v>Draft / Proposed → Active → Revised / Inactive; audit entries are append-only</x:v>
      </x:c>
      <x:c r="G286" s="339" t="str">
        <x:v>Only transitions valid for the current state, role, effective dates and prerequisites are accepted.</x:v>
      </x:c>
      <x:c r="H286" s="339" t="str">
        <x:v>As defined by Primary Roles / configured approval hierarchy</x:v>
      </x:c>
      <x:c r="I286" s="339" t="str">
        <x:v>Reopen/reversal uses an explicit controlled action with reason; never silently rewrite finalized history.</x:v>
      </x:c>
      <x:c r="J286" s="339" t="str">
        <x:v>Use school-configured cutoffs/SLAs; time-sensitive operations use school timezone.</x:v>
      </x:c>
    </x:row>
    <x:row r="287">
      <x:c r="A287" s="339" t="str">
        <x:v>WF-286</x:v>
      </x:c>
      <x:c r="B287" s="339" t="str">
        <x:v>SCR-286</x:v>
      </x:c>
      <x:c r="C287" s="339" t="str">
        <x:v>Settings / Roles / Permissions / Audit</x:v>
      </x:c>
      <x:c r="D287" s="339" t="str">
        <x:v>Permissions</x:v>
      </x:c>
      <x:c r="E287" s="339" t="str">
        <x:v>Draft / Proposed</x:v>
      </x:c>
      <x:c r="F287" s="339" t="str">
        <x:v>Draft / Proposed → Active → Revised / Inactive; audit entries are append-only</x:v>
      </x:c>
      <x:c r="G287" s="339" t="str">
        <x:v>Only transitions valid for the current state, role, effective dates and prerequisites are accepted.</x:v>
      </x:c>
      <x:c r="H287" s="339" t="str">
        <x:v>As defined by Primary Roles / configured approval hierarchy</x:v>
      </x:c>
      <x:c r="I287" s="339" t="str">
        <x:v>Reopen/reversal uses an explicit controlled action with reason; never silently rewrite finalized history.</x:v>
      </x:c>
      <x:c r="J287" s="339" t="str">
        <x:v>Use school-configured cutoffs/SLAs; time-sensitive operations use school timezone.</x:v>
      </x:c>
    </x:row>
    <x:row r="288">
      <x:c r="A288" s="339" t="str">
        <x:v>WF-287</x:v>
      </x:c>
      <x:c r="B288" s="339" t="str">
        <x:v>SCR-287</x:v>
      </x:c>
      <x:c r="C288" s="339" t="str">
        <x:v>Settings / Roles / Permissions / Audit</x:v>
      </x:c>
      <x:c r="D288" s="339" t="str">
        <x:v>Role Permission Matrix</x:v>
      </x:c>
      <x:c r="E288" s="339" t="str">
        <x:v>Draft / Proposed</x:v>
      </x:c>
      <x:c r="F288" s="339" t="str">
        <x:v>Draft / Proposed → Active → Revised / Inactive; audit entries are append-only</x:v>
      </x:c>
      <x:c r="G288" s="339" t="str">
        <x:v>Only transitions valid for the current state, role, effective dates and prerequisites are accepted.</x:v>
      </x:c>
      <x:c r="H288" s="339" t="str">
        <x:v>As defined by Primary Roles / configured approval hierarchy</x:v>
      </x:c>
      <x:c r="I288" s="339" t="str">
        <x:v>Reopen/reversal uses an explicit controlled action with reason; never silently rewrite finalized history.</x:v>
      </x:c>
      <x:c r="J288" s="339" t="str">
        <x:v>Use school-configured cutoffs/SLAs; time-sensitive operations use school timezone.</x:v>
      </x:c>
    </x:row>
    <x:row r="289">
      <x:c r="A289" s="339" t="str">
        <x:v>WF-288</x:v>
      </x:c>
      <x:c r="B289" s="339" t="str">
        <x:v>SCR-288</x:v>
      </x:c>
      <x:c r="C289" s="339" t="str">
        <x:v>Settings / Roles / Permissions / Audit</x:v>
      </x:c>
      <x:c r="D289" s="339" t="str">
        <x:v>User Role Assignment</x:v>
      </x:c>
      <x:c r="E289" s="339" t="str">
        <x:v>Draft / Proposed</x:v>
      </x:c>
      <x:c r="F289" s="339" t="str">
        <x:v>Draft / Proposed → Active → Revised / Inactive; audit entries are append-only</x:v>
      </x:c>
      <x:c r="G289" s="339" t="str">
        <x:v>Only transitions valid for the current state, role, effective dates and prerequisites are accepted.</x:v>
      </x:c>
      <x:c r="H289" s="339" t="str">
        <x:v>As defined by Primary Roles / configured approval hierarchy</x:v>
      </x:c>
      <x:c r="I289" s="339" t="str">
        <x:v>Reopen/reversal uses an explicit controlled action with reason; never silently rewrite finalized history.</x:v>
      </x:c>
      <x:c r="J289" s="339" t="str">
        <x:v>Use school-configured cutoffs/SLAs; time-sensitive operations use school timezone.</x:v>
      </x:c>
    </x:row>
    <x:row r="290">
      <x:c r="A290" s="339" t="str">
        <x:v>WF-289</x:v>
      </x:c>
      <x:c r="B290" s="339" t="str">
        <x:v>SCR-289</x:v>
      </x:c>
      <x:c r="C290" s="339" t="str">
        <x:v>Settings / Roles / Permissions / Audit</x:v>
      </x:c>
      <x:c r="D290" s="339" t="str">
        <x:v>School Settings</x:v>
      </x:c>
      <x:c r="E290" s="339" t="str">
        <x:v>Draft / Proposed</x:v>
      </x:c>
      <x:c r="F290" s="339" t="str">
        <x:v>Draft / Proposed → Active → Revised / Inactive; audit entries are append-only</x:v>
      </x:c>
      <x:c r="G290" s="339" t="str">
        <x:v>Only transitions valid for the current state, role, effective dates and prerequisites are accepted.</x:v>
      </x:c>
      <x:c r="H290" s="339" t="str">
        <x:v>As defined by Primary Roles / configured approval hierarchy</x:v>
      </x:c>
      <x:c r="I290" s="339" t="str">
        <x:v>Reopen/reversal uses an explicit controlled action with reason; never silently rewrite finalized history.</x:v>
      </x:c>
      <x:c r="J290" s="339" t="str">
        <x:v>Use school-configured cutoffs/SLAs; time-sensitive operations use school timezone.</x:v>
      </x:c>
    </x:row>
    <x:row r="291">
      <x:c r="A291" s="339" t="str">
        <x:v>WF-290</x:v>
      </x:c>
      <x:c r="B291" s="339" t="str">
        <x:v>SCR-290</x:v>
      </x:c>
      <x:c r="C291" s="339" t="str">
        <x:v>Settings / Roles / Permissions / Audit</x:v>
      </x:c>
      <x:c r="D291" s="339" t="str">
        <x:v>Academic Settings</x:v>
      </x:c>
      <x:c r="E291" s="339" t="str">
        <x:v>Draft / Proposed</x:v>
      </x:c>
      <x:c r="F291" s="339" t="str">
        <x:v>Draft / Proposed → Active → Revised / Inactive; audit entries are append-only</x:v>
      </x:c>
      <x:c r="G291" s="339" t="str">
        <x:v>Only transitions valid for the current state, role, effective dates and prerequisites are accepted.</x:v>
      </x:c>
      <x:c r="H291" s="339" t="str">
        <x:v>As defined by Primary Roles / configured approval hierarchy</x:v>
      </x:c>
      <x:c r="I291" s="339" t="str">
        <x:v>Reopen/reversal uses an explicit controlled action with reason; never silently rewrite finalized history.</x:v>
      </x:c>
      <x:c r="J291" s="339" t="str">
        <x:v>Use school-configured cutoffs/SLAs; time-sensitive operations use school timezone.</x:v>
      </x:c>
    </x:row>
    <x:row r="292">
      <x:c r="A292" s="339" t="str">
        <x:v>WF-291</x:v>
      </x:c>
      <x:c r="B292" s="339" t="str">
        <x:v>SCR-291</x:v>
      </x:c>
      <x:c r="C292" s="339" t="str">
        <x:v>Settings / Roles / Permissions / Audit</x:v>
      </x:c>
      <x:c r="D292" s="339" t="str">
        <x:v>Notification Settings</x:v>
      </x:c>
      <x:c r="E292" s="339" t="str">
        <x:v>Draft / Proposed</x:v>
      </x:c>
      <x:c r="F292" s="339" t="str">
        <x:v>Draft / Proposed → Active → Revised / Inactive; audit entries are append-only</x:v>
      </x:c>
      <x:c r="G292" s="339" t="str">
        <x:v>Only transitions valid for the current state, role, effective dates and prerequisites are accepted.</x:v>
      </x:c>
      <x:c r="H292" s="339" t="str">
        <x:v>As defined by Primary Roles / configured approval hierarchy</x:v>
      </x:c>
      <x:c r="I292" s="339" t="str">
        <x:v>Reopen/reversal uses an explicit controlled action with reason; never silently rewrite finalized history.</x:v>
      </x:c>
      <x:c r="J292" s="339" t="str">
        <x:v>Use school-configured cutoffs/SLAs; time-sensitive operations use school timezone.</x:v>
      </x:c>
    </x:row>
    <x:row r="293">
      <x:c r="A293" s="339" t="str">
        <x:v>WF-292</x:v>
      </x:c>
      <x:c r="B293" s="339" t="str">
        <x:v>SCR-292</x:v>
      </x:c>
      <x:c r="C293" s="339" t="str">
        <x:v>Settings / Roles / Permissions / Audit</x:v>
      </x:c>
      <x:c r="D293" s="339" t="str">
        <x:v>Integration / API Settings</x:v>
      </x:c>
      <x:c r="E293" s="339" t="str">
        <x:v>Draft / Proposed</x:v>
      </x:c>
      <x:c r="F293" s="339" t="str">
        <x:v>Draft / Proposed → Active → Revised / Inactive; audit entries are append-only</x:v>
      </x:c>
      <x:c r="G293" s="339" t="str">
        <x:v>Only transitions valid for the current state, role, effective dates and prerequisites are accepted.</x:v>
      </x:c>
      <x:c r="H293" s="339" t="str">
        <x:v>As defined by Primary Roles / configured approval hierarchy</x:v>
      </x:c>
      <x:c r="I293" s="339" t="str">
        <x:v>Reopen/reversal uses an explicit controlled action with reason; never silently rewrite finalized history.</x:v>
      </x:c>
      <x:c r="J293" s="339" t="str">
        <x:v>Use school-configured cutoffs/SLAs; time-sensitive operations use school timezone.</x:v>
      </x:c>
    </x:row>
    <x:row r="294">
      <x:c r="A294" s="339" t="str">
        <x:v>WF-293</x:v>
      </x:c>
      <x:c r="B294" s="339" t="str">
        <x:v>SCR-293</x:v>
      </x:c>
      <x:c r="C294" s="339" t="str">
        <x:v>Settings / Roles / Permissions / Audit</x:v>
      </x:c>
      <x:c r="D294" s="339" t="str">
        <x:v>Security &amp; Password Policy</x:v>
      </x:c>
      <x:c r="E294" s="339" t="str">
        <x:v>Draft / Proposed</x:v>
      </x:c>
      <x:c r="F294" s="339" t="str">
        <x:v>Draft / Proposed → Active → Revised / Inactive; audit entries are append-only</x:v>
      </x:c>
      <x:c r="G294" s="339" t="str">
        <x:v>Only transitions valid for the current state, role, effective dates and prerequisites are accepted.</x:v>
      </x:c>
      <x:c r="H294" s="339" t="str">
        <x:v>As defined by Primary Roles / configured approval hierarchy</x:v>
      </x:c>
      <x:c r="I294" s="339" t="str">
        <x:v>Reopen/reversal uses an explicit controlled action with reason; never silently rewrite finalized history.</x:v>
      </x:c>
      <x:c r="J294" s="339" t="str">
        <x:v>Use school-configured cutoffs/SLAs; time-sensitive operations use school timezone.</x:v>
      </x:c>
    </x:row>
    <x:row r="295">
      <x:c r="A295" s="339" t="str">
        <x:v>WF-294</x:v>
      </x:c>
      <x:c r="B295" s="339" t="str">
        <x:v>SCR-294</x:v>
      </x:c>
      <x:c r="C295" s="339" t="str">
        <x:v>Settings / Roles / Permissions / Audit</x:v>
      </x:c>
      <x:c r="D295" s="339" t="str">
        <x:v>Audit Logs</x:v>
      </x:c>
      <x:c r="E295" s="339" t="str">
        <x:v>Draft / Proposed</x:v>
      </x:c>
      <x:c r="F295" s="339" t="str">
        <x:v>Draft / Proposed → Active → Revised / Inactive; audit entries are append-only</x:v>
      </x:c>
      <x:c r="G295" s="339" t="str">
        <x:v>Only transitions valid for the current state, role, effective dates and prerequisites are accepted.</x:v>
      </x:c>
      <x:c r="H295" s="339" t="str">
        <x:v>As defined by Primary Roles / configured approval hierarchy</x:v>
      </x:c>
      <x:c r="I295" s="339" t="str">
        <x:v>Reopen/reversal uses an explicit controlled action with reason; never silently rewrite finalized history.</x:v>
      </x:c>
      <x:c r="J295" s="339" t="str">
        <x:v>Use school-configured cutoffs/SLAs; time-sensitive operations use school timezone.</x:v>
      </x:c>
    </x:row>
    <x:row r="296">
      <x:c r="A296" s="340" t="str">
        <x:v>WF-295</x:v>
      </x:c>
      <x:c r="B296" s="340" t="str">
        <x:v>SCR-295</x:v>
      </x:c>
      <x:c r="C296" s="340" t="str">
        <x:v>Settings / Roles / Permissions / Audit</x:v>
      </x:c>
      <x:c r="D296" s="340" t="str">
        <x:v>Data Import / Export / Backup</x:v>
      </x:c>
      <x:c r="E296" s="340" t="str">
        <x:v>Draft / Proposed</x:v>
      </x:c>
      <x:c r="F296" s="340" t="str">
        <x:v>Draft / Proposed → Active → Revised / Inactive; audit entries are append-only</x:v>
      </x:c>
      <x:c r="G296" s="340" t="str">
        <x:v>Only transitions valid for the current state, role, effective dates and prerequisites are accepted.</x:v>
      </x:c>
      <x:c r="H296" s="340" t="str">
        <x:v>As defined by Primary Roles / configured approval hierarchy</x:v>
      </x:c>
      <x:c r="I296" s="340" t="str">
        <x:v>Reopen/reversal uses an explicit controlled action with reason; never silently rewrite finalized history.</x:v>
      </x:c>
      <x:c r="J296" s="340" t="str">
        <x:v>Use school-configured cutoffs/SLAs; time-sensitive operations use school timezone.</x:v>
      </x:c>
    </x:row>
  </x:sheetData>
  <x:pageMargins left="0.7" right="0.7" top="0.75" bottom="0.75" header="0.3" footer="0.3"/>
  <x:tableParts count="1">
    <x:tablePart xmlns:r="http://schemas.openxmlformats.org/officeDocument/2006/relationships" r:id="Ref17716224184c72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1" hidden="0" customWidth="1"/>
    <x:col min="3" max="3" width="28" hidden="0" customWidth="1"/>
    <x:col min="4" max="4" width="28" hidden="0" customWidth="1"/>
    <x:col min="5" max="5" width="26" hidden="0" customWidth="1"/>
    <x:col min="6" max="6" width="60" hidden="0" customWidth="1"/>
    <x:col min="7" max="7" width="48" hidden="0" customWidth="1"/>
    <x:col min="8" max="8" width="22" hidden="0" customWidth="1"/>
    <x:col min="9" max="9" width="12" hidden="0" customWidth="1"/>
  </x:cols>
  <x:sheetData>
    <x:row r="1" ht="30" customHeight="1">
      <x:c r="A1" s="338" t="str">
        <x:v>Validation ID</x:v>
      </x:c>
      <x:c r="B1" s="338" t="str">
        <x:v>Screen ID</x:v>
      </x:c>
      <x:c r="C1" s="338" t="str">
        <x:v>Module</x:v>
      </x:c>
      <x:c r="D1" s="338" t="str">
        <x:v>Screen Name</x:v>
      </x:c>
      <x:c r="E1" s="338" t="str">
        <x:v>Field / Area</x:v>
      </x:c>
      <x:c r="F1" s="338" t="str">
        <x:v>Validation Rule</x:v>
      </x:c>
      <x:c r="G1" s="338" t="str">
        <x:v>User Error Message</x:v>
      </x:c>
      <x:c r="H1" s="338" t="str">
        <x:v>When Applied</x:v>
      </x:c>
      <x:c r="I1" s="338" t="str">
        <x:v>Blocking</x:v>
      </x:c>
    </x:row>
    <x:row r="2">
      <x:c r="A2" s="339" t="str">
        <x:v>VAL-00001</x:v>
      </x:c>
      <x:c r="B2" s="339" t="str">
        <x:v>SCR-001</x:v>
      </x:c>
      <x:c r="C2" s="339" t="str">
        <x:v>Public Website &amp; Authentication</x:v>
      </x:c>
      <x:c r="D2" s="339" t="str">
        <x:v>Landing / Home</x:v>
      </x:c>
      <x:c r="E2" s="339" t="str">
        <x:v>Authorization &amp; scope</x:v>
      </x:c>
      <x:c r="F2" s="339" t="str">
        <x:v>User must have permission for the screen/action and the target record must be inside tenant/school/branch/class scope.</x:v>
      </x:c>
      <x:c r="G2" s="339" t="str">
        <x:v>You do not have permission to perform this action.</x:v>
      </x:c>
      <x:c r="H2" s="339" t="str">
        <x:v>On load and submit</x:v>
      </x:c>
      <x:c r="I2" s="339" t="str">
        <x:v>Yes</x:v>
      </x:c>
    </x:row>
    <x:row r="3">
      <x:c r="A3" s="339" t="str">
        <x:v>VAL-00002</x:v>
      </x:c>
      <x:c r="B3" s="339" t="str">
        <x:v>SCR-001</x:v>
      </x:c>
      <x:c r="C3" s="339" t="str">
        <x:v>Public Website &amp; Authentication</x:v>
      </x:c>
      <x:c r="D3" s="339" t="str">
        <x:v>Landing / Home</x:v>
      </x:c>
      <x:c r="E3" s="339" t="str">
        <x:v>Required/effective references</x:v>
      </x:c>
      <x:c r="F3" s="339" t="str">
        <x:v>Selected master/reference values must exist, be active and effective for the transaction date.</x:v>
      </x:c>
      <x:c r="G3" s="339" t="str">
        <x:v>One or more selected values are no longer valid. Refresh and try again.</x:v>
      </x:c>
      <x:c r="H3" s="339" t="str">
        <x:v>On submit</x:v>
      </x:c>
      <x:c r="I3" s="339" t="str">
        <x:v>Yes</x:v>
      </x:c>
    </x:row>
    <x:row r="4">
      <x:c r="A4" s="339" t="str">
        <x:v>VAL-00003</x:v>
      </x:c>
      <x:c r="B4" s="339" t="str">
        <x:v>SCR-002</x:v>
      </x:c>
      <x:c r="C4" s="339" t="str">
        <x:v>Public Website &amp; Authentication</x:v>
      </x:c>
      <x:c r="D4" s="339" t="str">
        <x:v>Workspace / Role Selection</x:v>
      </x:c>
      <x:c r="E4" s="339" t="str">
        <x:v>Authorization &amp; scope</x:v>
      </x:c>
      <x:c r="F4" s="339" t="str">
        <x:v>User must have permission for the screen/action and the target record must be inside tenant/school/branch/class scope.</x:v>
      </x:c>
      <x:c r="G4" s="339" t="str">
        <x:v>You do not have permission to perform this action.</x:v>
      </x:c>
      <x:c r="H4" s="339" t="str">
        <x:v>On load and submit</x:v>
      </x:c>
      <x:c r="I4" s="339" t="str">
        <x:v>Yes</x:v>
      </x:c>
    </x:row>
    <x:row r="5">
      <x:c r="A5" s="339" t="str">
        <x:v>VAL-00004</x:v>
      </x:c>
      <x:c r="B5" s="339" t="str">
        <x:v>SCR-002</x:v>
      </x:c>
      <x:c r="C5" s="339" t="str">
        <x:v>Public Website &amp; Authentication</x:v>
      </x:c>
      <x:c r="D5" s="339" t="str">
        <x:v>Workspace / Role Selection</x:v>
      </x:c>
      <x:c r="E5" s="339" t="str">
        <x:v>Required/effective references</x:v>
      </x:c>
      <x:c r="F5" s="339" t="str">
        <x:v>Selected master/reference values must exist, be active and effective for the transaction date.</x:v>
      </x:c>
      <x:c r="G5" s="339" t="str">
        <x:v>One or more selected values are no longer valid. Refresh and try again.</x:v>
      </x:c>
      <x:c r="H5" s="339" t="str">
        <x:v>On submit</x:v>
      </x:c>
      <x:c r="I5" s="339" t="str">
        <x:v>Yes</x:v>
      </x:c>
    </x:row>
    <x:row r="6">
      <x:c r="A6" s="339" t="str">
        <x:v>VAL-00005</x:v>
      </x:c>
      <x:c r="B6" s="339" t="str">
        <x:v>SCR-003</x:v>
      </x:c>
      <x:c r="C6" s="339" t="str">
        <x:v>Public Website &amp; Authentication</x:v>
      </x:c>
      <x:c r="D6" s="339" t="str">
        <x:v>Sign In</x:v>
      </x:c>
      <x:c r="E6" s="339" t="str">
        <x:v>Authorization &amp; scope</x:v>
      </x:c>
      <x:c r="F6" s="339" t="str">
        <x:v>User must have permission for the screen/action and the target record must be inside tenant/school/branch/class scope.</x:v>
      </x:c>
      <x:c r="G6" s="339" t="str">
        <x:v>You do not have permission to perform this action.</x:v>
      </x:c>
      <x:c r="H6" s="339" t="str">
        <x:v>On load and submit</x:v>
      </x:c>
      <x:c r="I6" s="339" t="str">
        <x:v>Yes</x:v>
      </x:c>
    </x:row>
    <x:row r="7">
      <x:c r="A7" s="339" t="str">
        <x:v>VAL-00006</x:v>
      </x:c>
      <x:c r="B7" s="339" t="str">
        <x:v>SCR-003</x:v>
      </x:c>
      <x:c r="C7" s="339" t="str">
        <x:v>Public Website &amp; Authentication</x:v>
      </x:c>
      <x:c r="D7" s="339" t="str">
        <x:v>Sign In</x:v>
      </x:c>
      <x:c r="E7" s="339" t="str">
        <x:v>Required/effective references</x:v>
      </x:c>
      <x:c r="F7" s="339" t="str">
        <x:v>Selected master/reference values must exist, be active and effective for the transaction date.</x:v>
      </x:c>
      <x:c r="G7" s="339" t="str">
        <x:v>One or more selected values are no longer valid. Refresh and try again.</x:v>
      </x:c>
      <x:c r="H7" s="339" t="str">
        <x:v>On submit</x:v>
      </x:c>
      <x:c r="I7" s="339" t="str">
        <x:v>Yes</x:v>
      </x:c>
    </x:row>
    <x:row r="8">
      <x:c r="A8" s="339" t="str">
        <x:v>VAL-00007</x:v>
      </x:c>
      <x:c r="B8" s="339" t="str">
        <x:v>SCR-004</x:v>
      </x:c>
      <x:c r="C8" s="339" t="str">
        <x:v>Public Website &amp; Authentication</x:v>
      </x:c>
      <x:c r="D8" s="339" t="str">
        <x:v>Forgot Password</x:v>
      </x:c>
      <x:c r="E8" s="339" t="str">
        <x:v>Authorization &amp; scope</x:v>
      </x:c>
      <x:c r="F8" s="339" t="str">
        <x:v>User must have permission for the screen/action and the target record must be inside tenant/school/branch/class scope.</x:v>
      </x:c>
      <x:c r="G8" s="339" t="str">
        <x:v>You do not have permission to perform this action.</x:v>
      </x:c>
      <x:c r="H8" s="339" t="str">
        <x:v>On load and submit</x:v>
      </x:c>
      <x:c r="I8" s="339" t="str">
        <x:v>Yes</x:v>
      </x:c>
    </x:row>
    <x:row r="9">
      <x:c r="A9" s="339" t="str">
        <x:v>VAL-00008</x:v>
      </x:c>
      <x:c r="B9" s="339" t="str">
        <x:v>SCR-004</x:v>
      </x:c>
      <x:c r="C9" s="339" t="str">
        <x:v>Public Website &amp; Authentication</x:v>
      </x:c>
      <x:c r="D9" s="339" t="str">
        <x:v>Forgot Password</x:v>
      </x:c>
      <x:c r="E9" s="339" t="str">
        <x:v>Required/effective references</x:v>
      </x:c>
      <x:c r="F9" s="339" t="str">
        <x:v>Selected master/reference values must exist, be active and effective for the transaction date.</x:v>
      </x:c>
      <x:c r="G9" s="339" t="str">
        <x:v>One or more selected values are no longer valid. Refresh and try again.</x:v>
      </x:c>
      <x:c r="H9" s="339" t="str">
        <x:v>On submit</x:v>
      </x:c>
      <x:c r="I9" s="339" t="str">
        <x:v>Yes</x:v>
      </x:c>
    </x:row>
    <x:row r="10">
      <x:c r="A10" s="339" t="str">
        <x:v>VAL-00009</x:v>
      </x:c>
      <x:c r="B10" s="339" t="str">
        <x:v>SCR-005</x:v>
      </x:c>
      <x:c r="C10" s="339" t="str">
        <x:v>Public Website &amp; Authentication</x:v>
      </x:c>
      <x:c r="D10" s="339" t="str">
        <x:v>Reset Password</x:v>
      </x:c>
      <x:c r="E10" s="339" t="str">
        <x:v>Authorization &amp; scope</x:v>
      </x:c>
      <x:c r="F10" s="339" t="str">
        <x:v>User must have permission for the screen/action and the target record must be inside tenant/school/branch/class scope.</x:v>
      </x:c>
      <x:c r="G10" s="339" t="str">
        <x:v>You do not have permission to perform this action.</x:v>
      </x:c>
      <x:c r="H10" s="339" t="str">
        <x:v>On load and submit</x:v>
      </x:c>
      <x:c r="I10" s="339" t="str">
        <x:v>Yes</x:v>
      </x:c>
    </x:row>
    <x:row r="11">
      <x:c r="A11" s="339" t="str">
        <x:v>VAL-00010</x:v>
      </x:c>
      <x:c r="B11" s="339" t="str">
        <x:v>SCR-005</x:v>
      </x:c>
      <x:c r="C11" s="339" t="str">
        <x:v>Public Website &amp; Authentication</x:v>
      </x:c>
      <x:c r="D11" s="339" t="str">
        <x:v>Reset Password</x:v>
      </x:c>
      <x:c r="E11" s="339" t="str">
        <x:v>Required/effective references</x:v>
      </x:c>
      <x:c r="F11" s="339" t="str">
        <x:v>Selected master/reference values must exist, be active and effective for the transaction date.</x:v>
      </x:c>
      <x:c r="G11" s="339" t="str">
        <x:v>One or more selected values are no longer valid. Refresh and try again.</x:v>
      </x:c>
      <x:c r="H11" s="339" t="str">
        <x:v>On submit</x:v>
      </x:c>
      <x:c r="I11" s="339" t="str">
        <x:v>Yes</x:v>
      </x:c>
    </x:row>
    <x:row r="12">
      <x:c r="A12" s="339" t="str">
        <x:v>VAL-00011</x:v>
      </x:c>
      <x:c r="B12" s="339" t="str">
        <x:v>SCR-006</x:v>
      </x:c>
      <x:c r="C12" s="339" t="str">
        <x:v>Public Website &amp; Authentication</x:v>
      </x:c>
      <x:c r="D12" s="339" t="str">
        <x:v>OTP / Two-Factor Verification</x:v>
      </x:c>
      <x:c r="E12" s="339" t="str">
        <x:v>Authorization &amp; scope</x:v>
      </x:c>
      <x:c r="F12" s="339" t="str">
        <x:v>User must have permission for the screen/action and the target record must be inside tenant/school/branch/class scope.</x:v>
      </x:c>
      <x:c r="G12" s="339" t="str">
        <x:v>You do not have permission to perform this action.</x:v>
      </x:c>
      <x:c r="H12" s="339" t="str">
        <x:v>On load and submit</x:v>
      </x:c>
      <x:c r="I12" s="339" t="str">
        <x:v>Yes</x:v>
      </x:c>
    </x:row>
    <x:row r="13">
      <x:c r="A13" s="339" t="str">
        <x:v>VAL-00012</x:v>
      </x:c>
      <x:c r="B13" s="339" t="str">
        <x:v>SCR-006</x:v>
      </x:c>
      <x:c r="C13" s="339" t="str">
        <x:v>Public Website &amp; Authentication</x:v>
      </x:c>
      <x:c r="D13" s="339" t="str">
        <x:v>OTP / Two-Factor Verification</x:v>
      </x:c>
      <x:c r="E13" s="339" t="str">
        <x:v>Required/effective references</x:v>
      </x:c>
      <x:c r="F13" s="339" t="str">
        <x:v>Selected master/reference values must exist, be active and effective for the transaction date.</x:v>
      </x:c>
      <x:c r="G13" s="339" t="str">
        <x:v>One or more selected values are no longer valid. Refresh and try again.</x:v>
      </x:c>
      <x:c r="H13" s="339" t="str">
        <x:v>On submit</x:v>
      </x:c>
      <x:c r="I13" s="339" t="str">
        <x:v>Yes</x:v>
      </x:c>
    </x:row>
    <x:row r="14">
      <x:c r="A14" s="339" t="str">
        <x:v>VAL-00013</x:v>
      </x:c>
      <x:c r="B14" s="339" t="str">
        <x:v>SCR-007</x:v>
      </x:c>
      <x:c r="C14" s="339" t="str">
        <x:v>Public Website &amp; Authentication</x:v>
      </x:c>
      <x:c r="D14" s="339" t="str">
        <x:v>First Login / Change Password</x:v>
      </x:c>
      <x:c r="E14" s="339" t="str">
        <x:v>Authorization &amp; scope</x:v>
      </x:c>
      <x:c r="F14" s="339" t="str">
        <x:v>User must have permission for the screen/action and the target record must be inside tenant/school/branch/class scope.</x:v>
      </x:c>
      <x:c r="G14" s="339" t="str">
        <x:v>You do not have permission to perform this action.</x:v>
      </x:c>
      <x:c r="H14" s="339" t="str">
        <x:v>On load and submit</x:v>
      </x:c>
      <x:c r="I14" s="339" t="str">
        <x:v>Yes</x:v>
      </x:c>
    </x:row>
    <x:row r="15">
      <x:c r="A15" s="339" t="str">
        <x:v>VAL-00014</x:v>
      </x:c>
      <x:c r="B15" s="339" t="str">
        <x:v>SCR-007</x:v>
      </x:c>
      <x:c r="C15" s="339" t="str">
        <x:v>Public Website &amp; Authentication</x:v>
      </x:c>
      <x:c r="D15" s="339" t="str">
        <x:v>First Login / Change Password</x:v>
      </x:c>
      <x:c r="E15" s="339" t="str">
        <x:v>Required/effective references</x:v>
      </x:c>
      <x:c r="F15" s="339" t="str">
        <x:v>Selected master/reference values must exist, be active and effective for the transaction date.</x:v>
      </x:c>
      <x:c r="G15" s="339" t="str">
        <x:v>One or more selected values are no longer valid. Refresh and try again.</x:v>
      </x:c>
      <x:c r="H15" s="339" t="str">
        <x:v>On submit</x:v>
      </x:c>
      <x:c r="I15" s="339" t="str">
        <x:v>Yes</x:v>
      </x:c>
    </x:row>
    <x:row r="16">
      <x:c r="A16" s="339" t="str">
        <x:v>VAL-00015</x:v>
      </x:c>
      <x:c r="B16" s="339" t="str">
        <x:v>SCR-008</x:v>
      </x:c>
      <x:c r="C16" s="339" t="str">
        <x:v>Public Website &amp; Authentication</x:v>
      </x:c>
      <x:c r="D16" s="339" t="str">
        <x:v>Access Denied / Session Expired</x:v>
      </x:c>
      <x:c r="E16" s="339" t="str">
        <x:v>Authorization &amp; scope</x:v>
      </x:c>
      <x:c r="F16" s="339" t="str">
        <x:v>User must have permission for the screen/action and the target record must be inside tenant/school/branch/class scope.</x:v>
      </x:c>
      <x:c r="G16" s="339" t="str">
        <x:v>You do not have permission to perform this action.</x:v>
      </x:c>
      <x:c r="H16" s="339" t="str">
        <x:v>On load and submit</x:v>
      </x:c>
      <x:c r="I16" s="339" t="str">
        <x:v>Yes</x:v>
      </x:c>
    </x:row>
    <x:row r="17">
      <x:c r="A17" s="339" t="str">
        <x:v>VAL-00016</x:v>
      </x:c>
      <x:c r="B17" s="339" t="str">
        <x:v>SCR-008</x:v>
      </x:c>
      <x:c r="C17" s="339" t="str">
        <x:v>Public Website &amp; Authentication</x:v>
      </x:c>
      <x:c r="D17" s="339" t="str">
        <x:v>Access Denied / Session Expired</x:v>
      </x:c>
      <x:c r="E17" s="339" t="str">
        <x:v>Required/effective references</x:v>
      </x:c>
      <x:c r="F17" s="339" t="str">
        <x:v>Selected master/reference values must exist, be active and effective for the transaction date.</x:v>
      </x:c>
      <x:c r="G17" s="339" t="str">
        <x:v>One or more selected values are no longer valid. Refresh and try again.</x:v>
      </x:c>
      <x:c r="H17" s="339" t="str">
        <x:v>On submit</x:v>
      </x:c>
      <x:c r="I17" s="339" t="str">
        <x:v>Yes</x:v>
      </x:c>
    </x:row>
    <x:row r="18">
      <x:c r="A18" s="339" t="str">
        <x:v>VAL-00017</x:v>
      </x:c>
      <x:c r="B18" s="339" t="str">
        <x:v>SCR-009</x:v>
      </x:c>
      <x:c r="C18" s="339" t="str">
        <x:v>Super Admin / SaaS Administration</x:v>
      </x:c>
      <x:c r="D18" s="339" t="str">
        <x:v>Platform Dashboard</x:v>
      </x:c>
      <x:c r="E18" s="339" t="str">
        <x:v>Authorization &amp; scope</x:v>
      </x:c>
      <x:c r="F18" s="339" t="str">
        <x:v>User must have permission for the screen/action and the target record must be inside tenant/school/branch/class scope.</x:v>
      </x:c>
      <x:c r="G18" s="339" t="str">
        <x:v>You do not have permission to perform this action.</x:v>
      </x:c>
      <x:c r="H18" s="339" t="str">
        <x:v>On load and submit</x:v>
      </x:c>
      <x:c r="I18" s="339" t="str">
        <x:v>Yes</x:v>
      </x:c>
    </x:row>
    <x:row r="19">
      <x:c r="A19" s="339" t="str">
        <x:v>VAL-00018</x:v>
      </x:c>
      <x:c r="B19" s="339" t="str">
        <x:v>SCR-009</x:v>
      </x:c>
      <x:c r="C19" s="339" t="str">
        <x:v>Super Admin / SaaS Administration</x:v>
      </x:c>
      <x:c r="D19" s="339" t="str">
        <x:v>Platform Dashboard</x:v>
      </x:c>
      <x:c r="E19" s="339" t="str">
        <x:v>Required/effective references</x:v>
      </x:c>
      <x:c r="F19" s="339" t="str">
        <x:v>Selected master/reference values must exist, be active and effective for the transaction date.</x:v>
      </x:c>
      <x:c r="G19" s="339" t="str">
        <x:v>One or more selected values are no longer valid. Refresh and try again.</x:v>
      </x:c>
      <x:c r="H19" s="339" t="str">
        <x:v>On submit</x:v>
      </x:c>
      <x:c r="I19" s="339" t="str">
        <x:v>Yes</x:v>
      </x:c>
    </x:row>
    <x:row r="20">
      <x:c r="A20" s="339" t="str">
        <x:v>VAL-00019</x:v>
      </x:c>
      <x:c r="B20" s="339" t="str">
        <x:v>SCR-010</x:v>
      </x:c>
      <x:c r="C20" s="339" t="str">
        <x:v>Super Admin / SaaS Administration</x:v>
      </x:c>
      <x:c r="D20" s="339" t="str">
        <x:v>Organizations List</x:v>
      </x:c>
      <x:c r="E20" s="339" t="str">
        <x:v>Authorization &amp; scope</x:v>
      </x:c>
      <x:c r="F20" s="339" t="str">
        <x:v>User must have permission for the screen/action and the target record must be inside tenant/school/branch/class scope.</x:v>
      </x:c>
      <x:c r="G20" s="339" t="str">
        <x:v>You do not have permission to perform this action.</x:v>
      </x:c>
      <x:c r="H20" s="339" t="str">
        <x:v>On load and submit</x:v>
      </x:c>
      <x:c r="I20" s="339" t="str">
        <x:v>Yes</x:v>
      </x:c>
    </x:row>
    <x:row r="21">
      <x:c r="A21" s="339" t="str">
        <x:v>VAL-00020</x:v>
      </x:c>
      <x:c r="B21" s="339" t="str">
        <x:v>SCR-010</x:v>
      </x:c>
      <x:c r="C21" s="339" t="str">
        <x:v>Super Admin / SaaS Administration</x:v>
      </x:c>
      <x:c r="D21" s="339" t="str">
        <x:v>Organizations List</x:v>
      </x:c>
      <x:c r="E21" s="339" t="str">
        <x:v>Required/effective references</x:v>
      </x:c>
      <x:c r="F21" s="339" t="str">
        <x:v>Selected master/reference values must exist, be active and effective for the transaction date.</x:v>
      </x:c>
      <x:c r="G21" s="339" t="str">
        <x:v>One or more selected values are no longer valid. Refresh and try again.</x:v>
      </x:c>
      <x:c r="H21" s="339" t="str">
        <x:v>On submit</x:v>
      </x:c>
      <x:c r="I21" s="339" t="str">
        <x:v>Yes</x:v>
      </x:c>
    </x:row>
    <x:row r="22">
      <x:c r="A22" s="339" t="str">
        <x:v>VAL-00021</x:v>
      </x:c>
      <x:c r="B22" s="339" t="str">
        <x:v>SCR-011</x:v>
      </x:c>
      <x:c r="C22" s="339" t="str">
        <x:v>Super Admin / SaaS Administration</x:v>
      </x:c>
      <x:c r="D22" s="339" t="str">
        <x:v>Add Organization</x:v>
      </x:c>
      <x:c r="E22" s="339" t="str">
        <x:v>Authorization &amp; scope</x:v>
      </x:c>
      <x:c r="F22" s="339" t="str">
        <x:v>User must have permission for the screen/action and the target record must be inside tenant/school/branch/class scope.</x:v>
      </x:c>
      <x:c r="G22" s="339" t="str">
        <x:v>You do not have permission to perform this action.</x:v>
      </x:c>
      <x:c r="H22" s="339" t="str">
        <x:v>On load and submit</x:v>
      </x:c>
      <x:c r="I22" s="339" t="str">
        <x:v>Yes</x:v>
      </x:c>
    </x:row>
    <x:row r="23">
      <x:c r="A23" s="339" t="str">
        <x:v>VAL-00022</x:v>
      </x:c>
      <x:c r="B23" s="339" t="str">
        <x:v>SCR-011</x:v>
      </x:c>
      <x:c r="C23" s="339" t="str">
        <x:v>Super Admin / SaaS Administration</x:v>
      </x:c>
      <x:c r="D23" s="339" t="str">
        <x:v>Add Organization</x:v>
      </x:c>
      <x:c r="E23" s="339" t="str">
        <x:v>Required/effective references</x:v>
      </x:c>
      <x:c r="F23" s="339" t="str">
        <x:v>Selected master/reference values must exist, be active and effective for the transaction date.</x:v>
      </x:c>
      <x:c r="G23" s="339" t="str">
        <x:v>One or more selected values are no longer valid. Refresh and try again.</x:v>
      </x:c>
      <x:c r="H23" s="339" t="str">
        <x:v>On submit</x:v>
      </x:c>
      <x:c r="I23" s="339" t="str">
        <x:v>Yes</x:v>
      </x:c>
    </x:row>
    <x:row r="24">
      <x:c r="A24" s="339" t="str">
        <x:v>VAL-00023</x:v>
      </x:c>
      <x:c r="B24" s="339" t="str">
        <x:v>SCR-012</x:v>
      </x:c>
      <x:c r="C24" s="339" t="str">
        <x:v>Super Admin / SaaS Administration</x:v>
      </x:c>
      <x:c r="D24" s="339" t="str">
        <x:v>Organization Details</x:v>
      </x:c>
      <x:c r="E24" s="339" t="str">
        <x:v>Authorization &amp; scope</x:v>
      </x:c>
      <x:c r="F24" s="339" t="str">
        <x:v>User must have permission for the screen/action and the target record must be inside tenant/school/branch/class scope.</x:v>
      </x:c>
      <x:c r="G24" s="339" t="str">
        <x:v>You do not have permission to perform this action.</x:v>
      </x:c>
      <x:c r="H24" s="339" t="str">
        <x:v>On load and submit</x:v>
      </x:c>
      <x:c r="I24" s="339" t="str">
        <x:v>Yes</x:v>
      </x:c>
    </x:row>
    <x:row r="25">
      <x:c r="A25" s="339" t="str">
        <x:v>VAL-00024</x:v>
      </x:c>
      <x:c r="B25" s="339" t="str">
        <x:v>SCR-012</x:v>
      </x:c>
      <x:c r="C25" s="339" t="str">
        <x:v>Super Admin / SaaS Administration</x:v>
      </x:c>
      <x:c r="D25" s="339" t="str">
        <x:v>Organization Details</x:v>
      </x:c>
      <x:c r="E25" s="339" t="str">
        <x:v>Required/effective references</x:v>
      </x:c>
      <x:c r="F25" s="339" t="str">
        <x:v>Selected master/reference values must exist, be active and effective for the transaction date.</x:v>
      </x:c>
      <x:c r="G25" s="339" t="str">
        <x:v>One or more selected values are no longer valid. Refresh and try again.</x:v>
      </x:c>
      <x:c r="H25" s="339" t="str">
        <x:v>On submit</x:v>
      </x:c>
      <x:c r="I25" s="339" t="str">
        <x:v>Yes</x:v>
      </x:c>
    </x:row>
    <x:row r="26">
      <x:c r="A26" s="339" t="str">
        <x:v>VAL-00025</x:v>
      </x:c>
      <x:c r="B26" s="339" t="str">
        <x:v>SCR-013</x:v>
      </x:c>
      <x:c r="C26" s="339" t="str">
        <x:v>Super Admin / SaaS Administration</x:v>
      </x:c>
      <x:c r="D26" s="339" t="str">
        <x:v>Subscription Plans</x:v>
      </x:c>
      <x:c r="E26" s="339" t="str">
        <x:v>Authorization &amp; scope</x:v>
      </x:c>
      <x:c r="F26" s="339" t="str">
        <x:v>User must have permission for the screen/action and the target record must be inside tenant/school/branch/class scope.</x:v>
      </x:c>
      <x:c r="G26" s="339" t="str">
        <x:v>You do not have permission to perform this action.</x:v>
      </x:c>
      <x:c r="H26" s="339" t="str">
        <x:v>On load and submit</x:v>
      </x:c>
      <x:c r="I26" s="339" t="str">
        <x:v>Yes</x:v>
      </x:c>
    </x:row>
    <x:row r="27">
      <x:c r="A27" s="339" t="str">
        <x:v>VAL-00026</x:v>
      </x:c>
      <x:c r="B27" s="339" t="str">
        <x:v>SCR-013</x:v>
      </x:c>
      <x:c r="C27" s="339" t="str">
        <x:v>Super Admin / SaaS Administration</x:v>
      </x:c>
      <x:c r="D27" s="339" t="str">
        <x:v>Subscription Plans</x:v>
      </x:c>
      <x:c r="E27" s="339" t="str">
        <x:v>Required/effective references</x:v>
      </x:c>
      <x:c r="F27" s="339" t="str">
        <x:v>Selected master/reference values must exist, be active and effective for the transaction date.</x:v>
      </x:c>
      <x:c r="G27" s="339" t="str">
        <x:v>One or more selected values are no longer valid. Refresh and try again.</x:v>
      </x:c>
      <x:c r="H27" s="339" t="str">
        <x:v>On submit</x:v>
      </x:c>
      <x:c r="I27" s="339" t="str">
        <x:v>Yes</x:v>
      </x:c>
    </x:row>
    <x:row r="28">
      <x:c r="A28" s="339" t="str">
        <x:v>VAL-00027</x:v>
      </x:c>
      <x:c r="B28" s="339" t="str">
        <x:v>SCR-014</x:v>
      </x:c>
      <x:c r="C28" s="339" t="str">
        <x:v>Super Admin / SaaS Administration</x:v>
      </x:c>
      <x:c r="D28" s="339" t="str">
        <x:v>Subscriptions &amp; Billing</x:v>
      </x:c>
      <x:c r="E28" s="339" t="str">
        <x:v>Authorization &amp; scope</x:v>
      </x:c>
      <x:c r="F28" s="339" t="str">
        <x:v>User must have permission for the screen/action and the target record must be inside tenant/school/branch/class scope.</x:v>
      </x:c>
      <x:c r="G28" s="339" t="str">
        <x:v>You do not have permission to perform this action.</x:v>
      </x:c>
      <x:c r="H28" s="339" t="str">
        <x:v>On load and submit</x:v>
      </x:c>
      <x:c r="I28" s="339" t="str">
        <x:v>Yes</x:v>
      </x:c>
    </x:row>
    <x:row r="29">
      <x:c r="A29" s="339" t="str">
        <x:v>VAL-00028</x:v>
      </x:c>
      <x:c r="B29" s="339" t="str">
        <x:v>SCR-014</x:v>
      </x:c>
      <x:c r="C29" s="339" t="str">
        <x:v>Super Admin / SaaS Administration</x:v>
      </x:c>
      <x:c r="D29" s="339" t="str">
        <x:v>Subscriptions &amp; Billing</x:v>
      </x:c>
      <x:c r="E29" s="339" t="str">
        <x:v>Required/effective references</x:v>
      </x:c>
      <x:c r="F29" s="339" t="str">
        <x:v>Selected master/reference values must exist, be active and effective for the transaction date.</x:v>
      </x:c>
      <x:c r="G29" s="339" t="str">
        <x:v>One or more selected values are no longer valid. Refresh and try again.</x:v>
      </x:c>
      <x:c r="H29" s="339" t="str">
        <x:v>On submit</x:v>
      </x:c>
      <x:c r="I29" s="339" t="str">
        <x:v>Yes</x:v>
      </x:c>
    </x:row>
    <x:row r="30">
      <x:c r="A30" s="339" t="str">
        <x:v>VAL-00029</x:v>
      </x:c>
      <x:c r="B30" s="339" t="str">
        <x:v>SCR-015</x:v>
      </x:c>
      <x:c r="C30" s="339" t="str">
        <x:v>Super Admin / SaaS Administration</x:v>
      </x:c>
      <x:c r="D30" s="339" t="str">
        <x:v>Tenant Usage &amp; Limits</x:v>
      </x:c>
      <x:c r="E30" s="339" t="str">
        <x:v>Authorization &amp; scope</x:v>
      </x:c>
      <x:c r="F30" s="339" t="str">
        <x:v>User must have permission for the screen/action and the target record must be inside tenant/school/branch/class scope.</x:v>
      </x:c>
      <x:c r="G30" s="339" t="str">
        <x:v>You do not have permission to perform this action.</x:v>
      </x:c>
      <x:c r="H30" s="339" t="str">
        <x:v>On load and submit</x:v>
      </x:c>
      <x:c r="I30" s="339" t="str">
        <x:v>Yes</x:v>
      </x:c>
    </x:row>
    <x:row r="31">
      <x:c r="A31" s="339" t="str">
        <x:v>VAL-00030</x:v>
      </x:c>
      <x:c r="B31" s="339" t="str">
        <x:v>SCR-015</x:v>
      </x:c>
      <x:c r="C31" s="339" t="str">
        <x:v>Super Admin / SaaS Administration</x:v>
      </x:c>
      <x:c r="D31" s="339" t="str">
        <x:v>Tenant Usage &amp; Limits</x:v>
      </x:c>
      <x:c r="E31" s="339" t="str">
        <x:v>Required/effective references</x:v>
      </x:c>
      <x:c r="F31" s="339" t="str">
        <x:v>Selected master/reference values must exist, be active and effective for the transaction date.</x:v>
      </x:c>
      <x:c r="G31" s="339" t="str">
        <x:v>One or more selected values are no longer valid. Refresh and try again.</x:v>
      </x:c>
      <x:c r="H31" s="339" t="str">
        <x:v>On submit</x:v>
      </x:c>
      <x:c r="I31" s="339" t="str">
        <x:v>Yes</x:v>
      </x:c>
    </x:row>
    <x:row r="32">
      <x:c r="A32" s="339" t="str">
        <x:v>VAL-00031</x:v>
      </x:c>
      <x:c r="B32" s="339" t="str">
        <x:v>SCR-016</x:v>
      </x:c>
      <x:c r="C32" s="339" t="str">
        <x:v>Super Admin / SaaS Administration</x:v>
      </x:c>
      <x:c r="D32" s="339" t="str">
        <x:v>Platform Users</x:v>
      </x:c>
      <x:c r="E32" s="339" t="str">
        <x:v>Authorization &amp; scope</x:v>
      </x:c>
      <x:c r="F32" s="339" t="str">
        <x:v>User must have permission for the screen/action and the target record must be inside tenant/school/branch/class scope.</x:v>
      </x:c>
      <x:c r="G32" s="339" t="str">
        <x:v>You do not have permission to perform this action.</x:v>
      </x:c>
      <x:c r="H32" s="339" t="str">
        <x:v>On load and submit</x:v>
      </x:c>
      <x:c r="I32" s="339" t="str">
        <x:v>Yes</x:v>
      </x:c>
    </x:row>
    <x:row r="33">
      <x:c r="A33" s="339" t="str">
        <x:v>VAL-00032</x:v>
      </x:c>
      <x:c r="B33" s="339" t="str">
        <x:v>SCR-016</x:v>
      </x:c>
      <x:c r="C33" s="339" t="str">
        <x:v>Super Admin / SaaS Administration</x:v>
      </x:c>
      <x:c r="D33" s="339" t="str">
        <x:v>Platform Users</x:v>
      </x:c>
      <x:c r="E33" s="339" t="str">
        <x:v>Required/effective references</x:v>
      </x:c>
      <x:c r="F33" s="339" t="str">
        <x:v>Selected master/reference values must exist, be active and effective for the transaction date.</x:v>
      </x:c>
      <x:c r="G33" s="339" t="str">
        <x:v>One or more selected values are no longer valid. Refresh and try again.</x:v>
      </x:c>
      <x:c r="H33" s="339" t="str">
        <x:v>On submit</x:v>
      </x:c>
      <x:c r="I33" s="339" t="str">
        <x:v>Yes</x:v>
      </x:c>
    </x:row>
    <x:row r="34">
      <x:c r="A34" s="339" t="str">
        <x:v>VAL-00033</x:v>
      </x:c>
      <x:c r="B34" s="339" t="str">
        <x:v>SCR-017</x:v>
      </x:c>
      <x:c r="C34" s="339" t="str">
        <x:v>Super Admin / SaaS Administration</x:v>
      </x:c>
      <x:c r="D34" s="339" t="str">
        <x:v>Support Tickets</x:v>
      </x:c>
      <x:c r="E34" s="339" t="str">
        <x:v>Authorization &amp; scope</x:v>
      </x:c>
      <x:c r="F34" s="339" t="str">
        <x:v>User must have permission for the screen/action and the target record must be inside tenant/school/branch/class scope.</x:v>
      </x:c>
      <x:c r="G34" s="339" t="str">
        <x:v>You do not have permission to perform this action.</x:v>
      </x:c>
      <x:c r="H34" s="339" t="str">
        <x:v>On load and submit</x:v>
      </x:c>
      <x:c r="I34" s="339" t="str">
        <x:v>Yes</x:v>
      </x:c>
    </x:row>
    <x:row r="35">
      <x:c r="A35" s="339" t="str">
        <x:v>VAL-00034</x:v>
      </x:c>
      <x:c r="B35" s="339" t="str">
        <x:v>SCR-017</x:v>
      </x:c>
      <x:c r="C35" s="339" t="str">
        <x:v>Super Admin / SaaS Administration</x:v>
      </x:c>
      <x:c r="D35" s="339" t="str">
        <x:v>Support Tickets</x:v>
      </x:c>
      <x:c r="E35" s="339" t="str">
        <x:v>Required/effective references</x:v>
      </x:c>
      <x:c r="F35" s="339" t="str">
        <x:v>Selected master/reference values must exist, be active and effective for the transaction date.</x:v>
      </x:c>
      <x:c r="G35" s="339" t="str">
        <x:v>One or more selected values are no longer valid. Refresh and try again.</x:v>
      </x:c>
      <x:c r="H35" s="339" t="str">
        <x:v>On submit</x:v>
      </x:c>
      <x:c r="I35" s="339" t="str">
        <x:v>Yes</x:v>
      </x:c>
    </x:row>
    <x:row r="36">
      <x:c r="A36" s="339" t="str">
        <x:v>VAL-00035</x:v>
      </x:c>
      <x:c r="B36" s="339" t="str">
        <x:v>SCR-018</x:v>
      </x:c>
      <x:c r="C36" s="339" t="str">
        <x:v>Super Admin / SaaS Administration</x:v>
      </x:c>
      <x:c r="D36" s="339" t="str">
        <x:v>System Health &amp; Service Status</x:v>
      </x:c>
      <x:c r="E36" s="339" t="str">
        <x:v>Authorization &amp; scope</x:v>
      </x:c>
      <x:c r="F36" s="339" t="str">
        <x:v>User must have permission for the screen/action and the target record must be inside tenant/school/branch/class scope.</x:v>
      </x:c>
      <x:c r="G36" s="339" t="str">
        <x:v>You do not have permission to perform this action.</x:v>
      </x:c>
      <x:c r="H36" s="339" t="str">
        <x:v>On load and submit</x:v>
      </x:c>
      <x:c r="I36" s="339" t="str">
        <x:v>Yes</x:v>
      </x:c>
    </x:row>
    <x:row r="37">
      <x:c r="A37" s="339" t="str">
        <x:v>VAL-00036</x:v>
      </x:c>
      <x:c r="B37" s="339" t="str">
        <x:v>SCR-018</x:v>
      </x:c>
      <x:c r="C37" s="339" t="str">
        <x:v>Super Admin / SaaS Administration</x:v>
      </x:c>
      <x:c r="D37" s="339" t="str">
        <x:v>System Health &amp; Service Status</x:v>
      </x:c>
      <x:c r="E37" s="339" t="str">
        <x:v>Required/effective references</x:v>
      </x:c>
      <x:c r="F37" s="339" t="str">
        <x:v>Selected master/reference values must exist, be active and effective for the transaction date.</x:v>
      </x:c>
      <x:c r="G37" s="339" t="str">
        <x:v>One or more selected values are no longer valid. Refresh and try again.</x:v>
      </x:c>
      <x:c r="H37" s="339" t="str">
        <x:v>On submit</x:v>
      </x:c>
      <x:c r="I37" s="339" t="str">
        <x:v>Yes</x:v>
      </x:c>
    </x:row>
    <x:row r="38">
      <x:c r="A38" s="339" t="str">
        <x:v>VAL-00037</x:v>
      </x:c>
      <x:c r="B38" s="339" t="str">
        <x:v>SCR-019</x:v>
      </x:c>
      <x:c r="C38" s="339" t="str">
        <x:v>Super Admin / SaaS Administration</x:v>
      </x:c>
      <x:c r="D38" s="339" t="str">
        <x:v>Global Announcements</x:v>
      </x:c>
      <x:c r="E38" s="339" t="str">
        <x:v>Authorization &amp; scope</x:v>
      </x:c>
      <x:c r="F38" s="339" t="str">
        <x:v>User must have permission for the screen/action and the target record must be inside tenant/school/branch/class scope.</x:v>
      </x:c>
      <x:c r="G38" s="339" t="str">
        <x:v>You do not have permission to perform this action.</x:v>
      </x:c>
      <x:c r="H38" s="339" t="str">
        <x:v>On load and submit</x:v>
      </x:c>
      <x:c r="I38" s="339" t="str">
        <x:v>Yes</x:v>
      </x:c>
    </x:row>
    <x:row r="39">
      <x:c r="A39" s="339" t="str">
        <x:v>VAL-00038</x:v>
      </x:c>
      <x:c r="B39" s="339" t="str">
        <x:v>SCR-019</x:v>
      </x:c>
      <x:c r="C39" s="339" t="str">
        <x:v>Super Admin / SaaS Administration</x:v>
      </x:c>
      <x:c r="D39" s="339" t="str">
        <x:v>Global Announcements</x:v>
      </x:c>
      <x:c r="E39" s="339" t="str">
        <x:v>Required/effective references</x:v>
      </x:c>
      <x:c r="F39" s="339" t="str">
        <x:v>Selected master/reference values must exist, be active and effective for the transaction date.</x:v>
      </x:c>
      <x:c r="G39" s="339" t="str">
        <x:v>One or more selected values are no longer valid. Refresh and try again.</x:v>
      </x:c>
      <x:c r="H39" s="339" t="str">
        <x:v>On submit</x:v>
      </x:c>
      <x:c r="I39" s="339" t="str">
        <x:v>Yes</x:v>
      </x:c>
    </x:row>
    <x:row r="40">
      <x:c r="A40" s="339" t="str">
        <x:v>VAL-00039</x:v>
      </x:c>
      <x:c r="B40" s="339" t="str">
        <x:v>SCR-020</x:v>
      </x:c>
      <x:c r="C40" s="339" t="str">
        <x:v>Super Admin / SaaS Administration</x:v>
      </x:c>
      <x:c r="D40" s="339" t="str">
        <x:v>Platform Settings</x:v>
      </x:c>
      <x:c r="E40" s="339" t="str">
        <x:v>Authorization &amp; scope</x:v>
      </x:c>
      <x:c r="F40" s="339" t="str">
        <x:v>User must have permission for the screen/action and the target record must be inside tenant/school/branch/class scope.</x:v>
      </x:c>
      <x:c r="G40" s="339" t="str">
        <x:v>You do not have permission to perform this action.</x:v>
      </x:c>
      <x:c r="H40" s="339" t="str">
        <x:v>On load and submit</x:v>
      </x:c>
      <x:c r="I40" s="339" t="str">
        <x:v>Yes</x:v>
      </x:c>
    </x:row>
    <x:row r="41">
      <x:c r="A41" s="339" t="str">
        <x:v>VAL-00040</x:v>
      </x:c>
      <x:c r="B41" s="339" t="str">
        <x:v>SCR-020</x:v>
      </x:c>
      <x:c r="C41" s="339" t="str">
        <x:v>Super Admin / SaaS Administration</x:v>
      </x:c>
      <x:c r="D41" s="339" t="str">
        <x:v>Platform Settings</x:v>
      </x:c>
      <x:c r="E41" s="339" t="str">
        <x:v>Required/effective references</x:v>
      </x:c>
      <x:c r="F41" s="339" t="str">
        <x:v>Selected master/reference values must exist, be active and effective for the transaction date.</x:v>
      </x:c>
      <x:c r="G41" s="339" t="str">
        <x:v>One or more selected values are no longer valid. Refresh and try again.</x:v>
      </x:c>
      <x:c r="H41" s="339" t="str">
        <x:v>On submit</x:v>
      </x:c>
      <x:c r="I41" s="339" t="str">
        <x:v>Yes</x:v>
      </x:c>
    </x:row>
    <x:row r="42">
      <x:c r="A42" s="339" t="str">
        <x:v>VAL-00041</x:v>
      </x:c>
      <x:c r="B42" s="339" t="str">
        <x:v>SCR-021</x:v>
      </x:c>
      <x:c r="C42" s="339" t="str">
        <x:v>Organization / School / Branch Setup</x:v>
      </x:c>
      <x:c r="D42" s="339" t="str">
        <x:v>Organization Profile</x:v>
      </x:c>
      <x:c r="E42" s="339" t="str">
        <x:v>Authorization &amp; scope</x:v>
      </x:c>
      <x:c r="F42" s="339" t="str">
        <x:v>User must have permission for the screen/action and the target record must be inside tenant/school/branch/class scope.</x:v>
      </x:c>
      <x:c r="G42" s="339" t="str">
        <x:v>You do not have permission to perform this action.</x:v>
      </x:c>
      <x:c r="H42" s="339" t="str">
        <x:v>On load and submit</x:v>
      </x:c>
      <x:c r="I42" s="339" t="str">
        <x:v>Yes</x:v>
      </x:c>
    </x:row>
    <x:row r="43">
      <x:c r="A43" s="339" t="str">
        <x:v>VAL-00042</x:v>
      </x:c>
      <x:c r="B43" s="339" t="str">
        <x:v>SCR-021</x:v>
      </x:c>
      <x:c r="C43" s="339" t="str">
        <x:v>Organization / School / Branch Setup</x:v>
      </x:c>
      <x:c r="D43" s="339" t="str">
        <x:v>Organization Profile</x:v>
      </x:c>
      <x:c r="E43" s="339" t="str">
        <x:v>Required/effective references</x:v>
      </x:c>
      <x:c r="F43" s="339" t="str">
        <x:v>Selected master/reference values must exist, be active and effective for the transaction date.</x:v>
      </x:c>
      <x:c r="G43" s="339" t="str">
        <x:v>One or more selected values are no longer valid. Refresh and try again.</x:v>
      </x:c>
      <x:c r="H43" s="339" t="str">
        <x:v>On submit</x:v>
      </x:c>
      <x:c r="I43" s="339" t="str">
        <x:v>Yes</x:v>
      </x:c>
    </x:row>
    <x:row r="44">
      <x:c r="A44" s="339" t="str">
        <x:v>VAL-00043</x:v>
      </x:c>
      <x:c r="B44" s="339" t="str">
        <x:v>SCR-022</x:v>
      </x:c>
      <x:c r="C44" s="339" t="str">
        <x:v>Organization / School / Branch Setup</x:v>
      </x:c>
      <x:c r="D44" s="339" t="str">
        <x:v>Schools List</x:v>
      </x:c>
      <x:c r="E44" s="339" t="str">
        <x:v>Authorization &amp; scope</x:v>
      </x:c>
      <x:c r="F44" s="339" t="str">
        <x:v>User must have permission for the screen/action and the target record must be inside tenant/school/branch/class scope.</x:v>
      </x:c>
      <x:c r="G44" s="339" t="str">
        <x:v>You do not have permission to perform this action.</x:v>
      </x:c>
      <x:c r="H44" s="339" t="str">
        <x:v>On load and submit</x:v>
      </x:c>
      <x:c r="I44" s="339" t="str">
        <x:v>Yes</x:v>
      </x:c>
    </x:row>
    <x:row r="45">
      <x:c r="A45" s="339" t="str">
        <x:v>VAL-00044</x:v>
      </x:c>
      <x:c r="B45" s="339" t="str">
        <x:v>SCR-022</x:v>
      </x:c>
      <x:c r="C45" s="339" t="str">
        <x:v>Organization / School / Branch Setup</x:v>
      </x:c>
      <x:c r="D45" s="339" t="str">
        <x:v>Schools List</x:v>
      </x:c>
      <x:c r="E45" s="339" t="str">
        <x:v>Required/effective references</x:v>
      </x:c>
      <x:c r="F45" s="339" t="str">
        <x:v>Selected master/reference values must exist, be active and effective for the transaction date.</x:v>
      </x:c>
      <x:c r="G45" s="339" t="str">
        <x:v>One or more selected values are no longer valid. Refresh and try again.</x:v>
      </x:c>
      <x:c r="H45" s="339" t="str">
        <x:v>On submit</x:v>
      </x:c>
      <x:c r="I45" s="339" t="str">
        <x:v>Yes</x:v>
      </x:c>
    </x:row>
    <x:row r="46">
      <x:c r="A46" s="339" t="str">
        <x:v>VAL-00045</x:v>
      </x:c>
      <x:c r="B46" s="339" t="str">
        <x:v>SCR-023</x:v>
      </x:c>
      <x:c r="C46" s="339" t="str">
        <x:v>Organization / School / Branch Setup</x:v>
      </x:c>
      <x:c r="D46" s="339" t="str">
        <x:v>Add School</x:v>
      </x:c>
      <x:c r="E46" s="339" t="str">
        <x:v>Authorization &amp; scope</x:v>
      </x:c>
      <x:c r="F46" s="339" t="str">
        <x:v>User must have permission for the screen/action and the target record must be inside tenant/school/branch/class scope.</x:v>
      </x:c>
      <x:c r="G46" s="339" t="str">
        <x:v>You do not have permission to perform this action.</x:v>
      </x:c>
      <x:c r="H46" s="339" t="str">
        <x:v>On load and submit</x:v>
      </x:c>
      <x:c r="I46" s="339" t="str">
        <x:v>Yes</x:v>
      </x:c>
    </x:row>
    <x:row r="47">
      <x:c r="A47" s="339" t="str">
        <x:v>VAL-00046</x:v>
      </x:c>
      <x:c r="B47" s="339" t="str">
        <x:v>SCR-023</x:v>
      </x:c>
      <x:c r="C47" s="339" t="str">
        <x:v>Organization / School / Branch Setup</x:v>
      </x:c>
      <x:c r="D47" s="339" t="str">
        <x:v>Add School</x:v>
      </x:c>
      <x:c r="E47" s="339" t="str">
        <x:v>Required/effective references</x:v>
      </x:c>
      <x:c r="F47" s="339" t="str">
        <x:v>Selected master/reference values must exist, be active and effective for the transaction date.</x:v>
      </x:c>
      <x:c r="G47" s="339" t="str">
        <x:v>One or more selected values are no longer valid. Refresh and try again.</x:v>
      </x:c>
      <x:c r="H47" s="339" t="str">
        <x:v>On submit</x:v>
      </x:c>
      <x:c r="I47" s="339" t="str">
        <x:v>Yes</x:v>
      </x:c>
    </x:row>
    <x:row r="48">
      <x:c r="A48" s="339" t="str">
        <x:v>VAL-00047</x:v>
      </x:c>
      <x:c r="B48" s="339" t="str">
        <x:v>SCR-024</x:v>
      </x:c>
      <x:c r="C48" s="339" t="str">
        <x:v>Organization / School / Branch Setup</x:v>
      </x:c>
      <x:c r="D48" s="339" t="str">
        <x:v>School Details</x:v>
      </x:c>
      <x:c r="E48" s="339" t="str">
        <x:v>Authorization &amp; scope</x:v>
      </x:c>
      <x:c r="F48" s="339" t="str">
        <x:v>User must have permission for the screen/action and the target record must be inside tenant/school/branch/class scope.</x:v>
      </x:c>
      <x:c r="G48" s="339" t="str">
        <x:v>You do not have permission to perform this action.</x:v>
      </x:c>
      <x:c r="H48" s="339" t="str">
        <x:v>On load and submit</x:v>
      </x:c>
      <x:c r="I48" s="339" t="str">
        <x:v>Yes</x:v>
      </x:c>
    </x:row>
    <x:row r="49">
      <x:c r="A49" s="339" t="str">
        <x:v>VAL-00048</x:v>
      </x:c>
      <x:c r="B49" s="339" t="str">
        <x:v>SCR-024</x:v>
      </x:c>
      <x:c r="C49" s="339" t="str">
        <x:v>Organization / School / Branch Setup</x:v>
      </x:c>
      <x:c r="D49" s="339" t="str">
        <x:v>School Details</x:v>
      </x:c>
      <x:c r="E49" s="339" t="str">
        <x:v>Required/effective references</x:v>
      </x:c>
      <x:c r="F49" s="339" t="str">
        <x:v>Selected master/reference values must exist, be active and effective for the transaction date.</x:v>
      </x:c>
      <x:c r="G49" s="339" t="str">
        <x:v>One or more selected values are no longer valid. Refresh and try again.</x:v>
      </x:c>
      <x:c r="H49" s="339" t="str">
        <x:v>On submit</x:v>
      </x:c>
      <x:c r="I49" s="339" t="str">
        <x:v>Yes</x:v>
      </x:c>
    </x:row>
    <x:row r="50">
      <x:c r="A50" s="339" t="str">
        <x:v>VAL-00049</x:v>
      </x:c>
      <x:c r="B50" s="339" t="str">
        <x:v>SCR-025</x:v>
      </x:c>
      <x:c r="C50" s="339" t="str">
        <x:v>Organization / School / Branch Setup</x:v>
      </x:c>
      <x:c r="D50" s="339" t="str">
        <x:v>Branches List</x:v>
      </x:c>
      <x:c r="E50" s="339" t="str">
        <x:v>Authorization &amp; scope</x:v>
      </x:c>
      <x:c r="F50" s="339" t="str">
        <x:v>User must have permission for the screen/action and the target record must be inside tenant/school/branch/class scope.</x:v>
      </x:c>
      <x:c r="G50" s="339" t="str">
        <x:v>You do not have permission to perform this action.</x:v>
      </x:c>
      <x:c r="H50" s="339" t="str">
        <x:v>On load and submit</x:v>
      </x:c>
      <x:c r="I50" s="339" t="str">
        <x:v>Yes</x:v>
      </x:c>
    </x:row>
    <x:row r="51">
      <x:c r="A51" s="339" t="str">
        <x:v>VAL-00050</x:v>
      </x:c>
      <x:c r="B51" s="339" t="str">
        <x:v>SCR-025</x:v>
      </x:c>
      <x:c r="C51" s="339" t="str">
        <x:v>Organization / School / Branch Setup</x:v>
      </x:c>
      <x:c r="D51" s="339" t="str">
        <x:v>Branches List</x:v>
      </x:c>
      <x:c r="E51" s="339" t="str">
        <x:v>Required/effective references</x:v>
      </x:c>
      <x:c r="F51" s="339" t="str">
        <x:v>Selected master/reference values must exist, be active and effective for the transaction date.</x:v>
      </x:c>
      <x:c r="G51" s="339" t="str">
        <x:v>One or more selected values are no longer valid. Refresh and try again.</x:v>
      </x:c>
      <x:c r="H51" s="339" t="str">
        <x:v>On submit</x:v>
      </x:c>
      <x:c r="I51" s="339" t="str">
        <x:v>Yes</x:v>
      </x:c>
    </x:row>
    <x:row r="52">
      <x:c r="A52" s="339" t="str">
        <x:v>VAL-00051</x:v>
      </x:c>
      <x:c r="B52" s="339" t="str">
        <x:v>SCR-026</x:v>
      </x:c>
      <x:c r="C52" s="339" t="str">
        <x:v>Organization / School / Branch Setup</x:v>
      </x:c>
      <x:c r="D52" s="339" t="str">
        <x:v>Add Branch</x:v>
      </x:c>
      <x:c r="E52" s="339" t="str">
        <x:v>Authorization &amp; scope</x:v>
      </x:c>
      <x:c r="F52" s="339" t="str">
        <x:v>User must have permission for the screen/action and the target record must be inside tenant/school/branch/class scope.</x:v>
      </x:c>
      <x:c r="G52" s="339" t="str">
        <x:v>You do not have permission to perform this action.</x:v>
      </x:c>
      <x:c r="H52" s="339" t="str">
        <x:v>On load and submit</x:v>
      </x:c>
      <x:c r="I52" s="339" t="str">
        <x:v>Yes</x:v>
      </x:c>
    </x:row>
    <x:row r="53">
      <x:c r="A53" s="339" t="str">
        <x:v>VAL-00052</x:v>
      </x:c>
      <x:c r="B53" s="339" t="str">
        <x:v>SCR-026</x:v>
      </x:c>
      <x:c r="C53" s="339" t="str">
        <x:v>Organization / School / Branch Setup</x:v>
      </x:c>
      <x:c r="D53" s="339" t="str">
        <x:v>Add Branch</x:v>
      </x:c>
      <x:c r="E53" s="339" t="str">
        <x:v>Required/effective references</x:v>
      </x:c>
      <x:c r="F53" s="339" t="str">
        <x:v>Selected master/reference values must exist, be active and effective for the transaction date.</x:v>
      </x:c>
      <x:c r="G53" s="339" t="str">
        <x:v>One or more selected values are no longer valid. Refresh and try again.</x:v>
      </x:c>
      <x:c r="H53" s="339" t="str">
        <x:v>On submit</x:v>
      </x:c>
      <x:c r="I53" s="339" t="str">
        <x:v>Yes</x:v>
      </x:c>
    </x:row>
    <x:row r="54">
      <x:c r="A54" s="339" t="str">
        <x:v>VAL-00053</x:v>
      </x:c>
      <x:c r="B54" s="339" t="str">
        <x:v>SCR-027</x:v>
      </x:c>
      <x:c r="C54" s="339" t="str">
        <x:v>Organization / School / Branch Setup</x:v>
      </x:c>
      <x:c r="D54" s="339" t="str">
        <x:v>Branch Details</x:v>
      </x:c>
      <x:c r="E54" s="339" t="str">
        <x:v>Authorization &amp; scope</x:v>
      </x:c>
      <x:c r="F54" s="339" t="str">
        <x:v>User must have permission for the screen/action and the target record must be inside tenant/school/branch/class scope.</x:v>
      </x:c>
      <x:c r="G54" s="339" t="str">
        <x:v>You do not have permission to perform this action.</x:v>
      </x:c>
      <x:c r="H54" s="339" t="str">
        <x:v>On load and submit</x:v>
      </x:c>
      <x:c r="I54" s="339" t="str">
        <x:v>Yes</x:v>
      </x:c>
    </x:row>
    <x:row r="55">
      <x:c r="A55" s="339" t="str">
        <x:v>VAL-00054</x:v>
      </x:c>
      <x:c r="B55" s="339" t="str">
        <x:v>SCR-027</x:v>
      </x:c>
      <x:c r="C55" s="339" t="str">
        <x:v>Organization / School / Branch Setup</x:v>
      </x:c>
      <x:c r="D55" s="339" t="str">
        <x:v>Branch Details</x:v>
      </x:c>
      <x:c r="E55" s="339" t="str">
        <x:v>Required/effective references</x:v>
      </x:c>
      <x:c r="F55" s="339" t="str">
        <x:v>Selected master/reference values must exist, be active and effective for the transaction date.</x:v>
      </x:c>
      <x:c r="G55" s="339" t="str">
        <x:v>One or more selected values are no longer valid. Refresh and try again.</x:v>
      </x:c>
      <x:c r="H55" s="339" t="str">
        <x:v>On submit</x:v>
      </x:c>
      <x:c r="I55" s="339" t="str">
        <x:v>Yes</x:v>
      </x:c>
    </x:row>
    <x:row r="56">
      <x:c r="A56" s="339" t="str">
        <x:v>VAL-00055</x:v>
      </x:c>
      <x:c r="B56" s="339" t="str">
        <x:v>SCR-028</x:v>
      </x:c>
      <x:c r="C56" s="339" t="str">
        <x:v>Organization / School / Branch Setup</x:v>
      </x:c>
      <x:c r="D56" s="339" t="str">
        <x:v>Academic Year Setup</x:v>
      </x:c>
      <x:c r="E56" s="339" t="str">
        <x:v>Authorization &amp; scope</x:v>
      </x:c>
      <x:c r="F56" s="339" t="str">
        <x:v>User must have permission for the screen/action and the target record must be inside tenant/school/branch/class scope.</x:v>
      </x:c>
      <x:c r="G56" s="339" t="str">
        <x:v>You do not have permission to perform this action.</x:v>
      </x:c>
      <x:c r="H56" s="339" t="str">
        <x:v>On load and submit</x:v>
      </x:c>
      <x:c r="I56" s="339" t="str">
        <x:v>Yes</x:v>
      </x:c>
    </x:row>
    <x:row r="57">
      <x:c r="A57" s="339" t="str">
        <x:v>VAL-00056</x:v>
      </x:c>
      <x:c r="B57" s="339" t="str">
        <x:v>SCR-028</x:v>
      </x:c>
      <x:c r="C57" s="339" t="str">
        <x:v>Organization / School / Branch Setup</x:v>
      </x:c>
      <x:c r="D57" s="339" t="str">
        <x:v>Academic Year Setup</x:v>
      </x:c>
      <x:c r="E57" s="339" t="str">
        <x:v>Required/effective references</x:v>
      </x:c>
      <x:c r="F57" s="339" t="str">
        <x:v>Selected master/reference values must exist, be active and effective for the transaction date.</x:v>
      </x:c>
      <x:c r="G57" s="339" t="str">
        <x:v>One or more selected values are no longer valid. Refresh and try again.</x:v>
      </x:c>
      <x:c r="H57" s="339" t="str">
        <x:v>On submit</x:v>
      </x:c>
      <x:c r="I57" s="339" t="str">
        <x:v>Yes</x:v>
      </x:c>
    </x:row>
    <x:row r="58">
      <x:c r="A58" s="339" t="str">
        <x:v>VAL-00057</x:v>
      </x:c>
      <x:c r="B58" s="339" t="str">
        <x:v>SCR-029</x:v>
      </x:c>
      <x:c r="C58" s="339" t="str">
        <x:v>Organization / School / Branch Setup</x:v>
      </x:c>
      <x:c r="D58" s="339" t="str">
        <x:v>Grade / Class Setup</x:v>
      </x:c>
      <x:c r="E58" s="339" t="str">
        <x:v>Authorization &amp; scope</x:v>
      </x:c>
      <x:c r="F58" s="339" t="str">
        <x:v>User must have permission for the screen/action and the target record must be inside tenant/school/branch/class scope.</x:v>
      </x:c>
      <x:c r="G58" s="339" t="str">
        <x:v>You do not have permission to perform this action.</x:v>
      </x:c>
      <x:c r="H58" s="339" t="str">
        <x:v>On load and submit</x:v>
      </x:c>
      <x:c r="I58" s="339" t="str">
        <x:v>Yes</x:v>
      </x:c>
    </x:row>
    <x:row r="59">
      <x:c r="A59" s="339" t="str">
        <x:v>VAL-00058</x:v>
      </x:c>
      <x:c r="B59" s="339" t="str">
        <x:v>SCR-029</x:v>
      </x:c>
      <x:c r="C59" s="339" t="str">
        <x:v>Organization / School / Branch Setup</x:v>
      </x:c>
      <x:c r="D59" s="339" t="str">
        <x:v>Grade / Class Setup</x:v>
      </x:c>
      <x:c r="E59" s="339" t="str">
        <x:v>Required/effective references</x:v>
      </x:c>
      <x:c r="F59" s="339" t="str">
        <x:v>Selected master/reference values must exist, be active and effective for the transaction date.</x:v>
      </x:c>
      <x:c r="G59" s="339" t="str">
        <x:v>One or more selected values are no longer valid. Refresh and try again.</x:v>
      </x:c>
      <x:c r="H59" s="339" t="str">
        <x:v>On submit</x:v>
      </x:c>
      <x:c r="I59" s="339" t="str">
        <x:v>Yes</x:v>
      </x:c>
    </x:row>
    <x:row r="60">
      <x:c r="A60" s="339" t="str">
        <x:v>VAL-00059</x:v>
      </x:c>
      <x:c r="B60" s="339" t="str">
        <x:v>SCR-030</x:v>
      </x:c>
      <x:c r="C60" s="339" t="str">
        <x:v>Organization / School / Branch Setup</x:v>
      </x:c>
      <x:c r="D60" s="339" t="str">
        <x:v>Section Setup</x:v>
      </x:c>
      <x:c r="E60" s="339" t="str">
        <x:v>Authorization &amp; scope</x:v>
      </x:c>
      <x:c r="F60" s="339" t="str">
        <x:v>User must have permission for the screen/action and the target record must be inside tenant/school/branch/class scope.</x:v>
      </x:c>
      <x:c r="G60" s="339" t="str">
        <x:v>You do not have permission to perform this action.</x:v>
      </x:c>
      <x:c r="H60" s="339" t="str">
        <x:v>On load and submit</x:v>
      </x:c>
      <x:c r="I60" s="339" t="str">
        <x:v>Yes</x:v>
      </x:c>
    </x:row>
    <x:row r="61">
      <x:c r="A61" s="339" t="str">
        <x:v>VAL-00060</x:v>
      </x:c>
      <x:c r="B61" s="339" t="str">
        <x:v>SCR-030</x:v>
      </x:c>
      <x:c r="C61" s="339" t="str">
        <x:v>Organization / School / Branch Setup</x:v>
      </x:c>
      <x:c r="D61" s="339" t="str">
        <x:v>Section Setup</x:v>
      </x:c>
      <x:c r="E61" s="339" t="str">
        <x:v>Required/effective references</x:v>
      </x:c>
      <x:c r="F61" s="339" t="str">
        <x:v>Selected master/reference values must exist, be active and effective for the transaction date.</x:v>
      </x:c>
      <x:c r="G61" s="339" t="str">
        <x:v>One or more selected values are no longer valid. Refresh and try again.</x:v>
      </x:c>
      <x:c r="H61" s="339" t="str">
        <x:v>On submit</x:v>
      </x:c>
      <x:c r="I61" s="339" t="str">
        <x:v>Yes</x:v>
      </x:c>
    </x:row>
    <x:row r="62">
      <x:c r="A62" s="339" t="str">
        <x:v>VAL-00061</x:v>
      </x:c>
      <x:c r="B62" s="339" t="str">
        <x:v>SCR-031</x:v>
      </x:c>
      <x:c r="C62" s="339" t="str">
        <x:v>Organization / School / Branch Setup</x:v>
      </x:c>
      <x:c r="D62" s="339" t="str">
        <x:v>Department Setup</x:v>
      </x:c>
      <x:c r="E62" s="339" t="str">
        <x:v>Authorization &amp; scope</x:v>
      </x:c>
      <x:c r="F62" s="339" t="str">
        <x:v>User must have permission for the screen/action and the target record must be inside tenant/school/branch/class scope.</x:v>
      </x:c>
      <x:c r="G62" s="339" t="str">
        <x:v>You do not have permission to perform this action.</x:v>
      </x:c>
      <x:c r="H62" s="339" t="str">
        <x:v>On load and submit</x:v>
      </x:c>
      <x:c r="I62" s="339" t="str">
        <x:v>Yes</x:v>
      </x:c>
    </x:row>
    <x:row r="63">
      <x:c r="A63" s="339" t="str">
        <x:v>VAL-00062</x:v>
      </x:c>
      <x:c r="B63" s="339" t="str">
        <x:v>SCR-031</x:v>
      </x:c>
      <x:c r="C63" s="339" t="str">
        <x:v>Organization / School / Branch Setup</x:v>
      </x:c>
      <x:c r="D63" s="339" t="str">
        <x:v>Department Setup</x:v>
      </x:c>
      <x:c r="E63" s="339" t="str">
        <x:v>Required/effective references</x:v>
      </x:c>
      <x:c r="F63" s="339" t="str">
        <x:v>Selected master/reference values must exist, be active and effective for the transaction date.</x:v>
      </x:c>
      <x:c r="G63" s="339" t="str">
        <x:v>One or more selected values are no longer valid. Refresh and try again.</x:v>
      </x:c>
      <x:c r="H63" s="339" t="str">
        <x:v>On submit</x:v>
      </x:c>
      <x:c r="I63" s="339" t="str">
        <x:v>Yes</x:v>
      </x:c>
    </x:row>
    <x:row r="64">
      <x:c r="A64" s="339" t="str">
        <x:v>VAL-00063</x:v>
      </x:c>
      <x:c r="B64" s="339" t="str">
        <x:v>SCR-032</x:v>
      </x:c>
      <x:c r="C64" s="339" t="str">
        <x:v>Organization / School / Branch Setup</x:v>
      </x:c>
      <x:c r="D64" s="339" t="str">
        <x:v>School Branding &amp; Profile</x:v>
      </x:c>
      <x:c r="E64" s="339" t="str">
        <x:v>Authorization &amp; scope</x:v>
      </x:c>
      <x:c r="F64" s="339" t="str">
        <x:v>User must have permission for the screen/action and the target record must be inside tenant/school/branch/class scope.</x:v>
      </x:c>
      <x:c r="G64" s="339" t="str">
        <x:v>You do not have permission to perform this action.</x:v>
      </x:c>
      <x:c r="H64" s="339" t="str">
        <x:v>On load and submit</x:v>
      </x:c>
      <x:c r="I64" s="339" t="str">
        <x:v>Yes</x:v>
      </x:c>
    </x:row>
    <x:row r="65">
      <x:c r="A65" s="339" t="str">
        <x:v>VAL-00064</x:v>
      </x:c>
      <x:c r="B65" s="339" t="str">
        <x:v>SCR-032</x:v>
      </x:c>
      <x:c r="C65" s="339" t="str">
        <x:v>Organization / School / Branch Setup</x:v>
      </x:c>
      <x:c r="D65" s="339" t="str">
        <x:v>School Branding &amp; Profile</x:v>
      </x:c>
      <x:c r="E65" s="339" t="str">
        <x:v>Required/effective references</x:v>
      </x:c>
      <x:c r="F65" s="339" t="str">
        <x:v>Selected master/reference values must exist, be active and effective for the transaction date.</x:v>
      </x:c>
      <x:c r="G65" s="339" t="str">
        <x:v>One or more selected values are no longer valid. Refresh and try again.</x:v>
      </x:c>
      <x:c r="H65" s="339" t="str">
        <x:v>On submit</x:v>
      </x:c>
      <x:c r="I65" s="339" t="str">
        <x:v>Yes</x:v>
      </x:c>
    </x:row>
    <x:row r="66">
      <x:c r="A66" s="339" t="str">
        <x:v>VAL-00065</x:v>
      </x:c>
      <x:c r="B66" s="339" t="str">
        <x:v>SCR-033</x:v>
      </x:c>
      <x:c r="C66" s="339" t="str">
        <x:v>Role Dashboards</x:v>
      </x:c>
      <x:c r="D66" s="339" t="str">
        <x:v>School Admin Dashboard</x:v>
      </x:c>
      <x:c r="E66" s="339" t="str">
        <x:v>Authorization &amp; scope</x:v>
      </x:c>
      <x:c r="F66" s="339" t="str">
        <x:v>User must have permission for the screen/action and the target record must be inside tenant/school/branch/class scope.</x:v>
      </x:c>
      <x:c r="G66" s="339" t="str">
        <x:v>You do not have permission to perform this action.</x:v>
      </x:c>
      <x:c r="H66" s="339" t="str">
        <x:v>On load and submit</x:v>
      </x:c>
      <x:c r="I66" s="339" t="str">
        <x:v>Yes</x:v>
      </x:c>
    </x:row>
    <x:row r="67">
      <x:c r="A67" s="339" t="str">
        <x:v>VAL-00066</x:v>
      </x:c>
      <x:c r="B67" s="339" t="str">
        <x:v>SCR-033</x:v>
      </x:c>
      <x:c r="C67" s="339" t="str">
        <x:v>Role Dashboards</x:v>
      </x:c>
      <x:c r="D67" s="339" t="str">
        <x:v>School Admin Dashboard</x:v>
      </x:c>
      <x:c r="E67" s="339" t="str">
        <x:v>Required/effective references</x:v>
      </x:c>
      <x:c r="F67" s="339" t="str">
        <x:v>Selected master/reference values must exist, be active and effective for the transaction date.</x:v>
      </x:c>
      <x:c r="G67" s="339" t="str">
        <x:v>One or more selected values are no longer valid. Refresh and try again.</x:v>
      </x:c>
      <x:c r="H67" s="339" t="str">
        <x:v>On submit</x:v>
      </x:c>
      <x:c r="I67" s="339" t="str">
        <x:v>Yes</x:v>
      </x:c>
    </x:row>
    <x:row r="68">
      <x:c r="A68" s="339" t="str">
        <x:v>VAL-00067</x:v>
      </x:c>
      <x:c r="B68" s="339" t="str">
        <x:v>SCR-034</x:v>
      </x:c>
      <x:c r="C68" s="339" t="str">
        <x:v>Role Dashboards</x:v>
      </x:c>
      <x:c r="D68" s="339" t="str">
        <x:v>Principal Dashboard</x:v>
      </x:c>
      <x:c r="E68" s="339" t="str">
        <x:v>Authorization &amp; scope</x:v>
      </x:c>
      <x:c r="F68" s="339" t="str">
        <x:v>User must have permission for the screen/action and the target record must be inside tenant/school/branch/class scope.</x:v>
      </x:c>
      <x:c r="G68" s="339" t="str">
        <x:v>You do not have permission to perform this action.</x:v>
      </x:c>
      <x:c r="H68" s="339" t="str">
        <x:v>On load and submit</x:v>
      </x:c>
      <x:c r="I68" s="339" t="str">
        <x:v>Yes</x:v>
      </x:c>
    </x:row>
    <x:row r="69">
      <x:c r="A69" s="339" t="str">
        <x:v>VAL-00068</x:v>
      </x:c>
      <x:c r="B69" s="339" t="str">
        <x:v>SCR-034</x:v>
      </x:c>
      <x:c r="C69" s="339" t="str">
        <x:v>Role Dashboards</x:v>
      </x:c>
      <x:c r="D69" s="339" t="str">
        <x:v>Principal Dashboard</x:v>
      </x:c>
      <x:c r="E69" s="339" t="str">
        <x:v>Required/effective references</x:v>
      </x:c>
      <x:c r="F69" s="339" t="str">
        <x:v>Selected master/reference values must exist, be active and effective for the transaction date.</x:v>
      </x:c>
      <x:c r="G69" s="339" t="str">
        <x:v>One or more selected values are no longer valid. Refresh and try again.</x:v>
      </x:c>
      <x:c r="H69" s="339" t="str">
        <x:v>On submit</x:v>
      </x:c>
      <x:c r="I69" s="339" t="str">
        <x:v>Yes</x:v>
      </x:c>
    </x:row>
    <x:row r="70">
      <x:c r="A70" s="339" t="str">
        <x:v>VAL-00069</x:v>
      </x:c>
      <x:c r="B70" s="339" t="str">
        <x:v>SCR-035</x:v>
      </x:c>
      <x:c r="C70" s="339" t="str">
        <x:v>Role Dashboards</x:v>
      </x:c>
      <x:c r="D70" s="339" t="str">
        <x:v>Teacher Dashboard</x:v>
      </x:c>
      <x:c r="E70" s="339" t="str">
        <x:v>Authorization &amp; scope</x:v>
      </x:c>
      <x:c r="F70" s="339" t="str">
        <x:v>User must have permission for the screen/action and the target record must be inside tenant/school/branch/class scope.</x:v>
      </x:c>
      <x:c r="G70" s="339" t="str">
        <x:v>You do not have permission to perform this action.</x:v>
      </x:c>
      <x:c r="H70" s="339" t="str">
        <x:v>On load and submit</x:v>
      </x:c>
      <x:c r="I70" s="339" t="str">
        <x:v>Yes</x:v>
      </x:c>
    </x:row>
    <x:row r="71">
      <x:c r="A71" s="339" t="str">
        <x:v>VAL-00070</x:v>
      </x:c>
      <x:c r="B71" s="339" t="str">
        <x:v>SCR-035</x:v>
      </x:c>
      <x:c r="C71" s="339" t="str">
        <x:v>Role Dashboards</x:v>
      </x:c>
      <x:c r="D71" s="339" t="str">
        <x:v>Teacher Dashboard</x:v>
      </x:c>
      <x:c r="E71" s="339" t="str">
        <x:v>Required/effective references</x:v>
      </x:c>
      <x:c r="F71" s="339" t="str">
        <x:v>Selected master/reference values must exist, be active and effective for the transaction date.</x:v>
      </x:c>
      <x:c r="G71" s="339" t="str">
        <x:v>One or more selected values are no longer valid. Refresh and try again.</x:v>
      </x:c>
      <x:c r="H71" s="339" t="str">
        <x:v>On submit</x:v>
      </x:c>
      <x:c r="I71" s="339" t="str">
        <x:v>Yes</x:v>
      </x:c>
    </x:row>
    <x:row r="72">
      <x:c r="A72" s="339" t="str">
        <x:v>VAL-00071</x:v>
      </x:c>
      <x:c r="B72" s="339" t="str">
        <x:v>SCR-036</x:v>
      </x:c>
      <x:c r="C72" s="339" t="str">
        <x:v>Role Dashboards</x:v>
      </x:c>
      <x:c r="D72" s="339" t="str">
        <x:v>Student Dashboard</x:v>
      </x:c>
      <x:c r="E72" s="339" t="str">
        <x:v>Authorization &amp; scope</x:v>
      </x:c>
      <x:c r="F72" s="339" t="str">
        <x:v>User must have permission for the screen/action and the target record must be inside tenant/school/branch/class scope.</x:v>
      </x:c>
      <x:c r="G72" s="339" t="str">
        <x:v>You do not have permission to perform this action.</x:v>
      </x:c>
      <x:c r="H72" s="339" t="str">
        <x:v>On load and submit</x:v>
      </x:c>
      <x:c r="I72" s="339" t="str">
        <x:v>Yes</x:v>
      </x:c>
    </x:row>
    <x:row r="73">
      <x:c r="A73" s="339" t="str">
        <x:v>VAL-00072</x:v>
      </x:c>
      <x:c r="B73" s="339" t="str">
        <x:v>SCR-036</x:v>
      </x:c>
      <x:c r="C73" s="339" t="str">
        <x:v>Role Dashboards</x:v>
      </x:c>
      <x:c r="D73" s="339" t="str">
        <x:v>Student Dashboard</x:v>
      </x:c>
      <x:c r="E73" s="339" t="str">
        <x:v>Required/effective references</x:v>
      </x:c>
      <x:c r="F73" s="339" t="str">
        <x:v>Selected master/reference values must exist, be active and effective for the transaction date.</x:v>
      </x:c>
      <x:c r="G73" s="339" t="str">
        <x:v>One or more selected values are no longer valid. Refresh and try again.</x:v>
      </x:c>
      <x:c r="H73" s="339" t="str">
        <x:v>On submit</x:v>
      </x:c>
      <x:c r="I73" s="339" t="str">
        <x:v>Yes</x:v>
      </x:c>
    </x:row>
    <x:row r="74">
      <x:c r="A74" s="339" t="str">
        <x:v>VAL-00073</x:v>
      </x:c>
      <x:c r="B74" s="339" t="str">
        <x:v>SCR-037</x:v>
      </x:c>
      <x:c r="C74" s="339" t="str">
        <x:v>Role Dashboards</x:v>
      </x:c>
      <x:c r="D74" s="339" t="str">
        <x:v>Parent Dashboard</x:v>
      </x:c>
      <x:c r="E74" s="339" t="str">
        <x:v>Authorization &amp; scope</x:v>
      </x:c>
      <x:c r="F74" s="339" t="str">
        <x:v>User must have permission for the screen/action and the target record must be inside tenant/school/branch/class scope.</x:v>
      </x:c>
      <x:c r="G74" s="339" t="str">
        <x:v>You do not have permission to perform this action.</x:v>
      </x:c>
      <x:c r="H74" s="339" t="str">
        <x:v>On load and submit</x:v>
      </x:c>
      <x:c r="I74" s="339" t="str">
        <x:v>Yes</x:v>
      </x:c>
    </x:row>
    <x:row r="75">
      <x:c r="A75" s="339" t="str">
        <x:v>VAL-00074</x:v>
      </x:c>
      <x:c r="B75" s="339" t="str">
        <x:v>SCR-037</x:v>
      </x:c>
      <x:c r="C75" s="339" t="str">
        <x:v>Role Dashboards</x:v>
      </x:c>
      <x:c r="D75" s="339" t="str">
        <x:v>Parent Dashboard</x:v>
      </x:c>
      <x:c r="E75" s="339" t="str">
        <x:v>Required/effective references</x:v>
      </x:c>
      <x:c r="F75" s="339" t="str">
        <x:v>Selected master/reference values must exist, be active and effective for the transaction date.</x:v>
      </x:c>
      <x:c r="G75" s="339" t="str">
        <x:v>One or more selected values are no longer valid. Refresh and try again.</x:v>
      </x:c>
      <x:c r="H75" s="339" t="str">
        <x:v>On submit</x:v>
      </x:c>
      <x:c r="I75" s="339" t="str">
        <x:v>Yes</x:v>
      </x:c>
    </x:row>
    <x:row r="76">
      <x:c r="A76" s="339" t="str">
        <x:v>VAL-00075</x:v>
      </x:c>
      <x:c r="B76" s="339" t="str">
        <x:v>SCR-038</x:v>
      </x:c>
      <x:c r="C76" s="339" t="str">
        <x:v>Role Dashboards</x:v>
      </x:c>
      <x:c r="D76" s="339" t="str">
        <x:v>Accountant Dashboard</x:v>
      </x:c>
      <x:c r="E76" s="339" t="str">
        <x:v>Authorization &amp; scope</x:v>
      </x:c>
      <x:c r="F76" s="339" t="str">
        <x:v>User must have permission for the screen/action and the target record must be inside tenant/school/branch/class scope.</x:v>
      </x:c>
      <x:c r="G76" s="339" t="str">
        <x:v>You do not have permission to perform this action.</x:v>
      </x:c>
      <x:c r="H76" s="339" t="str">
        <x:v>On load and submit</x:v>
      </x:c>
      <x:c r="I76" s="339" t="str">
        <x:v>Yes</x:v>
      </x:c>
    </x:row>
    <x:row r="77">
      <x:c r="A77" s="339" t="str">
        <x:v>VAL-00076</x:v>
      </x:c>
      <x:c r="B77" s="339" t="str">
        <x:v>SCR-038</x:v>
      </x:c>
      <x:c r="C77" s="339" t="str">
        <x:v>Role Dashboards</x:v>
      </x:c>
      <x:c r="D77" s="339" t="str">
        <x:v>Accountant Dashboard</x:v>
      </x:c>
      <x:c r="E77" s="339" t="str">
        <x:v>Required/effective references</x:v>
      </x:c>
      <x:c r="F77" s="339" t="str">
        <x:v>Selected master/reference values must exist, be active and effective for the transaction date.</x:v>
      </x:c>
      <x:c r="G77" s="339" t="str">
        <x:v>One or more selected values are no longer valid. Refresh and try again.</x:v>
      </x:c>
      <x:c r="H77" s="339" t="str">
        <x:v>On submit</x:v>
      </x:c>
      <x:c r="I77" s="339" t="str">
        <x:v>Yes</x:v>
      </x:c>
    </x:row>
    <x:row r="78">
      <x:c r="A78" s="339" t="str">
        <x:v>VAL-00077</x:v>
      </x:c>
      <x:c r="B78" s="339" t="str">
        <x:v>SCR-039</x:v>
      </x:c>
      <x:c r="C78" s="339" t="str">
        <x:v>Role Dashboards</x:v>
      </x:c>
      <x:c r="D78" s="339" t="str">
        <x:v>HR Dashboard</x:v>
      </x:c>
      <x:c r="E78" s="339" t="str">
        <x:v>Authorization &amp; scope</x:v>
      </x:c>
      <x:c r="F78" s="339" t="str">
        <x:v>User must have permission for the screen/action and the target record must be inside tenant/school/branch/class scope.</x:v>
      </x:c>
      <x:c r="G78" s="339" t="str">
        <x:v>You do not have permission to perform this action.</x:v>
      </x:c>
      <x:c r="H78" s="339" t="str">
        <x:v>On load and submit</x:v>
      </x:c>
      <x:c r="I78" s="339" t="str">
        <x:v>Yes</x:v>
      </x:c>
    </x:row>
    <x:row r="79">
      <x:c r="A79" s="339" t="str">
        <x:v>VAL-00078</x:v>
      </x:c>
      <x:c r="B79" s="339" t="str">
        <x:v>SCR-039</x:v>
      </x:c>
      <x:c r="C79" s="339" t="str">
        <x:v>Role Dashboards</x:v>
      </x:c>
      <x:c r="D79" s="339" t="str">
        <x:v>HR Dashboard</x:v>
      </x:c>
      <x:c r="E79" s="339" t="str">
        <x:v>Required/effective references</x:v>
      </x:c>
      <x:c r="F79" s="339" t="str">
        <x:v>Selected master/reference values must exist, be active and effective for the transaction date.</x:v>
      </x:c>
      <x:c r="G79" s="339" t="str">
        <x:v>One or more selected values are no longer valid. Refresh and try again.</x:v>
      </x:c>
      <x:c r="H79" s="339" t="str">
        <x:v>On submit</x:v>
      </x:c>
      <x:c r="I79" s="339" t="str">
        <x:v>Yes</x:v>
      </x:c>
    </x:row>
    <x:row r="80">
      <x:c r="A80" s="339" t="str">
        <x:v>VAL-00079</x:v>
      </x:c>
      <x:c r="B80" s="339" t="str">
        <x:v>SCR-040</x:v>
      </x:c>
      <x:c r="C80" s="339" t="str">
        <x:v>Role Dashboards</x:v>
      </x:c>
      <x:c r="D80" s="339" t="str">
        <x:v>Admission Officer Dashboard</x:v>
      </x:c>
      <x:c r="E80" s="339" t="str">
        <x:v>Authorization &amp; scope</x:v>
      </x:c>
      <x:c r="F80" s="339" t="str">
        <x:v>User must have permission for the screen/action and the target record must be inside tenant/school/branch/class scope.</x:v>
      </x:c>
      <x:c r="G80" s="339" t="str">
        <x:v>You do not have permission to perform this action.</x:v>
      </x:c>
      <x:c r="H80" s="339" t="str">
        <x:v>On load and submit</x:v>
      </x:c>
      <x:c r="I80" s="339" t="str">
        <x:v>Yes</x:v>
      </x:c>
    </x:row>
    <x:row r="81">
      <x:c r="A81" s="339" t="str">
        <x:v>VAL-00080</x:v>
      </x:c>
      <x:c r="B81" s="339" t="str">
        <x:v>SCR-040</x:v>
      </x:c>
      <x:c r="C81" s="339" t="str">
        <x:v>Role Dashboards</x:v>
      </x:c>
      <x:c r="D81" s="339" t="str">
        <x:v>Admission Officer Dashboard</x:v>
      </x:c>
      <x:c r="E81" s="339" t="str">
        <x:v>Required/effective references</x:v>
      </x:c>
      <x:c r="F81" s="339" t="str">
        <x:v>Selected master/reference values must exist, be active and effective for the transaction date.</x:v>
      </x:c>
      <x:c r="G81" s="339" t="str">
        <x:v>One or more selected values are no longer valid. Refresh and try again.</x:v>
      </x:c>
      <x:c r="H81" s="339" t="str">
        <x:v>On submit</x:v>
      </x:c>
      <x:c r="I81" s="339" t="str">
        <x:v>Yes</x:v>
      </x:c>
    </x:row>
    <x:row r="82">
      <x:c r="A82" s="339" t="str">
        <x:v>VAL-00081</x:v>
      </x:c>
      <x:c r="B82" s="339" t="str">
        <x:v>SCR-041</x:v>
      </x:c>
      <x:c r="C82" s="339" t="str">
        <x:v>Role Dashboards</x:v>
      </x:c>
      <x:c r="D82" s="339" t="str">
        <x:v>Transport Manager Dashboard</x:v>
      </x:c>
      <x:c r="E82" s="339" t="str">
        <x:v>Authorization &amp; scope</x:v>
      </x:c>
      <x:c r="F82" s="339" t="str">
        <x:v>User must have permission for the screen/action and the target record must be inside tenant/school/branch/class scope.</x:v>
      </x:c>
      <x:c r="G82" s="339" t="str">
        <x:v>You do not have permission to perform this action.</x:v>
      </x:c>
      <x:c r="H82" s="339" t="str">
        <x:v>On load and submit</x:v>
      </x:c>
      <x:c r="I82" s="339" t="str">
        <x:v>Yes</x:v>
      </x:c>
    </x:row>
    <x:row r="83">
      <x:c r="A83" s="339" t="str">
        <x:v>VAL-00082</x:v>
      </x:c>
      <x:c r="B83" s="339" t="str">
        <x:v>SCR-041</x:v>
      </x:c>
      <x:c r="C83" s="339" t="str">
        <x:v>Role Dashboards</x:v>
      </x:c>
      <x:c r="D83" s="339" t="str">
        <x:v>Transport Manager Dashboard</x:v>
      </x:c>
      <x:c r="E83" s="339" t="str">
        <x:v>Required/effective references</x:v>
      </x:c>
      <x:c r="F83" s="339" t="str">
        <x:v>Selected master/reference values must exist, be active and effective for the transaction date.</x:v>
      </x:c>
      <x:c r="G83" s="339" t="str">
        <x:v>One or more selected values are no longer valid. Refresh and try again.</x:v>
      </x:c>
      <x:c r="H83" s="339" t="str">
        <x:v>On submit</x:v>
      </x:c>
      <x:c r="I83" s="339" t="str">
        <x:v>Yes</x:v>
      </x:c>
    </x:row>
    <x:row r="84">
      <x:c r="A84" s="339" t="str">
        <x:v>VAL-00083</x:v>
      </x:c>
      <x:c r="B84" s="339" t="str">
        <x:v>SCR-042</x:v>
      </x:c>
      <x:c r="C84" s="339" t="str">
        <x:v>Role Dashboards</x:v>
      </x:c>
      <x:c r="D84" s="339" t="str">
        <x:v>Librarian Dashboard</x:v>
      </x:c>
      <x:c r="E84" s="339" t="str">
        <x:v>Authorization &amp; scope</x:v>
      </x:c>
      <x:c r="F84" s="339" t="str">
        <x:v>User must have permission for the screen/action and the target record must be inside tenant/school/branch/class scope.</x:v>
      </x:c>
      <x:c r="G84" s="339" t="str">
        <x:v>You do not have permission to perform this action.</x:v>
      </x:c>
      <x:c r="H84" s="339" t="str">
        <x:v>On load and submit</x:v>
      </x:c>
      <x:c r="I84" s="339" t="str">
        <x:v>Yes</x:v>
      </x:c>
    </x:row>
    <x:row r="85">
      <x:c r="A85" s="339" t="str">
        <x:v>VAL-00084</x:v>
      </x:c>
      <x:c r="B85" s="339" t="str">
        <x:v>SCR-042</x:v>
      </x:c>
      <x:c r="C85" s="339" t="str">
        <x:v>Role Dashboards</x:v>
      </x:c>
      <x:c r="D85" s="339" t="str">
        <x:v>Librarian Dashboard</x:v>
      </x:c>
      <x:c r="E85" s="339" t="str">
        <x:v>Required/effective references</x:v>
      </x:c>
      <x:c r="F85" s="339" t="str">
        <x:v>Selected master/reference values must exist, be active and effective for the transaction date.</x:v>
      </x:c>
      <x:c r="G85" s="339" t="str">
        <x:v>One or more selected values are no longer valid. Refresh and try again.</x:v>
      </x:c>
      <x:c r="H85" s="339" t="str">
        <x:v>On submit</x:v>
      </x:c>
      <x:c r="I85" s="339" t="str">
        <x:v>Yes</x:v>
      </x:c>
    </x:row>
    <x:row r="86">
      <x:c r="A86" s="339" t="str">
        <x:v>VAL-00085</x:v>
      </x:c>
      <x:c r="B86" s="339" t="str">
        <x:v>SCR-043</x:v>
      </x:c>
      <x:c r="C86" s="339" t="str">
        <x:v>Admissions &amp; Enquiries</x:v>
      </x:c>
      <x:c r="D86" s="339" t="str">
        <x:v>Admission / Enquiry Dashboard</x:v>
      </x:c>
      <x:c r="E86" s="339" t="str">
        <x:v>Authorization &amp; scope</x:v>
      </x:c>
      <x:c r="F86" s="339" t="str">
        <x:v>User must have permission for the screen/action and the target record must be inside tenant/school/branch/class scope.</x:v>
      </x:c>
      <x:c r="G86" s="339" t="str">
        <x:v>You do not have permission to perform this action.</x:v>
      </x:c>
      <x:c r="H86" s="339" t="str">
        <x:v>On load and submit</x:v>
      </x:c>
      <x:c r="I86" s="339" t="str">
        <x:v>Yes</x:v>
      </x:c>
    </x:row>
    <x:row r="87">
      <x:c r="A87" s="339" t="str">
        <x:v>VAL-00086</x:v>
      </x:c>
      <x:c r="B87" s="339" t="str">
        <x:v>SCR-043</x:v>
      </x:c>
      <x:c r="C87" s="339" t="str">
        <x:v>Admissions &amp; Enquiries</x:v>
      </x:c>
      <x:c r="D87" s="339" t="str">
        <x:v>Admission / Enquiry Dashboard</x:v>
      </x:c>
      <x:c r="E87" s="339" t="str">
        <x:v>Required/effective references</x:v>
      </x:c>
      <x:c r="F87" s="339" t="str">
        <x:v>Selected master/reference values must exist, be active and effective for the transaction date.</x:v>
      </x:c>
      <x:c r="G87" s="339" t="str">
        <x:v>One or more selected values are no longer valid. Refresh and try again.</x:v>
      </x:c>
      <x:c r="H87" s="339" t="str">
        <x:v>On submit</x:v>
      </x:c>
      <x:c r="I87" s="339" t="str">
        <x:v>Yes</x:v>
      </x:c>
    </x:row>
    <x:row r="88">
      <x:c r="A88" s="339" t="str">
        <x:v>VAL-00087</x:v>
      </x:c>
      <x:c r="B88" s="339" t="str">
        <x:v>SCR-043</x:v>
      </x:c>
      <x:c r="C88" s="339" t="str">
        <x:v>Admissions &amp; Enquiries</x:v>
      </x:c>
      <x:c r="D88" s="339" t="str">
        <x:v>Admission / Enquiry Dashboard</x:v>
      </x:c>
      <x:c r="E88" s="339" t="str">
        <x:v>Duplicate applicant</x:v>
      </x:c>
      <x:c r="F88" s="339" t="str">
        <x:v>Potential duplicates must be checked using configured applicant identity/contact matching fields.</x:v>
      </x:c>
      <x:c r="G88" s="339" t="str">
        <x:v>A possible duplicate applicant already exists.</x:v>
      </x:c>
      <x:c r="H88" s="339" t="str">
        <x:v>On applicant/application save</x:v>
      </x:c>
      <x:c r="I88" s="339" t="str">
        <x:v>Policy</x:v>
      </x:c>
    </x:row>
    <x:row r="89">
      <x:c r="A89" s="339" t="str">
        <x:v>VAL-00088</x:v>
      </x:c>
      <x:c r="B89" s="339" t="str">
        <x:v>SCR-044</x:v>
      </x:c>
      <x:c r="C89" s="339" t="str">
        <x:v>Admissions &amp; Enquiries</x:v>
      </x:c>
      <x:c r="D89" s="339" t="str">
        <x:v>Enquiry List</x:v>
      </x:c>
      <x:c r="E89" s="339" t="str">
        <x:v>Authorization &amp; scope</x:v>
      </x:c>
      <x:c r="F89" s="339" t="str">
        <x:v>User must have permission for the screen/action and the target record must be inside tenant/school/branch/class scope.</x:v>
      </x:c>
      <x:c r="G89" s="339" t="str">
        <x:v>You do not have permission to perform this action.</x:v>
      </x:c>
      <x:c r="H89" s="339" t="str">
        <x:v>On load and submit</x:v>
      </x:c>
      <x:c r="I89" s="339" t="str">
        <x:v>Yes</x:v>
      </x:c>
    </x:row>
    <x:row r="90">
      <x:c r="A90" s="339" t="str">
        <x:v>VAL-00089</x:v>
      </x:c>
      <x:c r="B90" s="339" t="str">
        <x:v>SCR-044</x:v>
      </x:c>
      <x:c r="C90" s="339" t="str">
        <x:v>Admissions &amp; Enquiries</x:v>
      </x:c>
      <x:c r="D90" s="339" t="str">
        <x:v>Enquiry List</x:v>
      </x:c>
      <x:c r="E90" s="339" t="str">
        <x:v>Required/effective references</x:v>
      </x:c>
      <x:c r="F90" s="339" t="str">
        <x:v>Selected master/reference values must exist, be active and effective for the transaction date.</x:v>
      </x:c>
      <x:c r="G90" s="339" t="str">
        <x:v>One or more selected values are no longer valid. Refresh and try again.</x:v>
      </x:c>
      <x:c r="H90" s="339" t="str">
        <x:v>On submit</x:v>
      </x:c>
      <x:c r="I90" s="339" t="str">
        <x:v>Yes</x:v>
      </x:c>
    </x:row>
    <x:row r="91">
      <x:c r="A91" s="339" t="str">
        <x:v>VAL-00090</x:v>
      </x:c>
      <x:c r="B91" s="339" t="str">
        <x:v>SCR-044</x:v>
      </x:c>
      <x:c r="C91" s="339" t="str">
        <x:v>Admissions &amp; Enquiries</x:v>
      </x:c>
      <x:c r="D91" s="339" t="str">
        <x:v>Enquiry List</x:v>
      </x:c>
      <x:c r="E91" s="339" t="str">
        <x:v>Duplicate applicant</x:v>
      </x:c>
      <x:c r="F91" s="339" t="str">
        <x:v>Potential duplicates must be checked using configured applicant identity/contact matching fields.</x:v>
      </x:c>
      <x:c r="G91" s="339" t="str">
        <x:v>A possible duplicate applicant already exists.</x:v>
      </x:c>
      <x:c r="H91" s="339" t="str">
        <x:v>On applicant/application save</x:v>
      </x:c>
      <x:c r="I91" s="339" t="str">
        <x:v>Policy</x:v>
      </x:c>
    </x:row>
    <x:row r="92">
      <x:c r="A92" s="339" t="str">
        <x:v>VAL-00091</x:v>
      </x:c>
      <x:c r="B92" s="339" t="str">
        <x:v>SCR-045</x:v>
      </x:c>
      <x:c r="C92" s="339" t="str">
        <x:v>Admissions &amp; Enquiries</x:v>
      </x:c>
      <x:c r="D92" s="339" t="str">
        <x:v>Add Enquiry</x:v>
      </x:c>
      <x:c r="E92" s="339" t="str">
        <x:v>Authorization &amp; scope</x:v>
      </x:c>
      <x:c r="F92" s="339" t="str">
        <x:v>User must have permission for the screen/action and the target record must be inside tenant/school/branch/class scope.</x:v>
      </x:c>
      <x:c r="G92" s="339" t="str">
        <x:v>You do not have permission to perform this action.</x:v>
      </x:c>
      <x:c r="H92" s="339" t="str">
        <x:v>On load and submit</x:v>
      </x:c>
      <x:c r="I92" s="339" t="str">
        <x:v>Yes</x:v>
      </x:c>
    </x:row>
    <x:row r="93">
      <x:c r="A93" s="339" t="str">
        <x:v>VAL-00092</x:v>
      </x:c>
      <x:c r="B93" s="339" t="str">
        <x:v>SCR-045</x:v>
      </x:c>
      <x:c r="C93" s="339" t="str">
        <x:v>Admissions &amp; Enquiries</x:v>
      </x:c>
      <x:c r="D93" s="339" t="str">
        <x:v>Add Enquiry</x:v>
      </x:c>
      <x:c r="E93" s="339" t="str">
        <x:v>Required/effective references</x:v>
      </x:c>
      <x:c r="F93" s="339" t="str">
        <x:v>Selected master/reference values must exist, be active and effective for the transaction date.</x:v>
      </x:c>
      <x:c r="G93" s="339" t="str">
        <x:v>One or more selected values are no longer valid. Refresh and try again.</x:v>
      </x:c>
      <x:c r="H93" s="339" t="str">
        <x:v>On submit</x:v>
      </x:c>
      <x:c r="I93" s="339" t="str">
        <x:v>Yes</x:v>
      </x:c>
    </x:row>
    <x:row r="94">
      <x:c r="A94" s="339" t="str">
        <x:v>VAL-00093</x:v>
      </x:c>
      <x:c r="B94" s="339" t="str">
        <x:v>SCR-045</x:v>
      </x:c>
      <x:c r="C94" s="339" t="str">
        <x:v>Admissions &amp; Enquiries</x:v>
      </x:c>
      <x:c r="D94" s="339" t="str">
        <x:v>Add Enquiry</x:v>
      </x:c>
      <x:c r="E94" s="339" t="str">
        <x:v>Duplicate applicant</x:v>
      </x:c>
      <x:c r="F94" s="339" t="str">
        <x:v>Potential duplicates must be checked using configured applicant identity/contact matching fields.</x:v>
      </x:c>
      <x:c r="G94" s="339" t="str">
        <x:v>A possible duplicate applicant already exists.</x:v>
      </x:c>
      <x:c r="H94" s="339" t="str">
        <x:v>On applicant/application save</x:v>
      </x:c>
      <x:c r="I94" s="339" t="str">
        <x:v>Policy</x:v>
      </x:c>
    </x:row>
    <x:row r="95">
      <x:c r="A95" s="339" t="str">
        <x:v>VAL-00094</x:v>
      </x:c>
      <x:c r="B95" s="339" t="str">
        <x:v>SCR-046</x:v>
      </x:c>
      <x:c r="C95" s="339" t="str">
        <x:v>Admissions &amp; Enquiries</x:v>
      </x:c>
      <x:c r="D95" s="339" t="str">
        <x:v>Enquiry Details</x:v>
      </x:c>
      <x:c r="E95" s="339" t="str">
        <x:v>Authorization &amp; scope</x:v>
      </x:c>
      <x:c r="F95" s="339" t="str">
        <x:v>User must have permission for the screen/action and the target record must be inside tenant/school/branch/class scope.</x:v>
      </x:c>
      <x:c r="G95" s="339" t="str">
        <x:v>You do not have permission to perform this action.</x:v>
      </x:c>
      <x:c r="H95" s="339" t="str">
        <x:v>On load and submit</x:v>
      </x:c>
      <x:c r="I95" s="339" t="str">
        <x:v>Yes</x:v>
      </x:c>
    </x:row>
    <x:row r="96">
      <x:c r="A96" s="339" t="str">
        <x:v>VAL-00095</x:v>
      </x:c>
      <x:c r="B96" s="339" t="str">
        <x:v>SCR-046</x:v>
      </x:c>
      <x:c r="C96" s="339" t="str">
        <x:v>Admissions &amp; Enquiries</x:v>
      </x:c>
      <x:c r="D96" s="339" t="str">
        <x:v>Enquiry Details</x:v>
      </x:c>
      <x:c r="E96" s="339" t="str">
        <x:v>Required/effective references</x:v>
      </x:c>
      <x:c r="F96" s="339" t="str">
        <x:v>Selected master/reference values must exist, be active and effective for the transaction date.</x:v>
      </x:c>
      <x:c r="G96" s="339" t="str">
        <x:v>One or more selected values are no longer valid. Refresh and try again.</x:v>
      </x:c>
      <x:c r="H96" s="339" t="str">
        <x:v>On submit</x:v>
      </x:c>
      <x:c r="I96" s="339" t="str">
        <x:v>Yes</x:v>
      </x:c>
    </x:row>
    <x:row r="97">
      <x:c r="A97" s="339" t="str">
        <x:v>VAL-00096</x:v>
      </x:c>
      <x:c r="B97" s="339" t="str">
        <x:v>SCR-046</x:v>
      </x:c>
      <x:c r="C97" s="339" t="str">
        <x:v>Admissions &amp; Enquiries</x:v>
      </x:c>
      <x:c r="D97" s="339" t="str">
        <x:v>Enquiry Details</x:v>
      </x:c>
      <x:c r="E97" s="339" t="str">
        <x:v>Duplicate applicant</x:v>
      </x:c>
      <x:c r="F97" s="339" t="str">
        <x:v>Potential duplicates must be checked using configured applicant identity/contact matching fields.</x:v>
      </x:c>
      <x:c r="G97" s="339" t="str">
        <x:v>A possible duplicate applicant already exists.</x:v>
      </x:c>
      <x:c r="H97" s="339" t="str">
        <x:v>On applicant/application save</x:v>
      </x:c>
      <x:c r="I97" s="339" t="str">
        <x:v>Policy</x:v>
      </x:c>
    </x:row>
    <x:row r="98">
      <x:c r="A98" s="339" t="str">
        <x:v>VAL-00097</x:v>
      </x:c>
      <x:c r="B98" s="339" t="str">
        <x:v>SCR-047</x:v>
      </x:c>
      <x:c r="C98" s="339" t="str">
        <x:v>Admissions &amp; Enquiries</x:v>
      </x:c>
      <x:c r="D98" s="339" t="str">
        <x:v>Follow-up Calendar</x:v>
      </x:c>
      <x:c r="E98" s="339" t="str">
        <x:v>Authorization &amp; scope</x:v>
      </x:c>
      <x:c r="F98" s="339" t="str">
        <x:v>User must have permission for the screen/action and the target record must be inside tenant/school/branch/class scope.</x:v>
      </x:c>
      <x:c r="G98" s="339" t="str">
        <x:v>You do not have permission to perform this action.</x:v>
      </x:c>
      <x:c r="H98" s="339" t="str">
        <x:v>On load and submit</x:v>
      </x:c>
      <x:c r="I98" s="339" t="str">
        <x:v>Yes</x:v>
      </x:c>
    </x:row>
    <x:row r="99">
      <x:c r="A99" s="339" t="str">
        <x:v>VAL-00098</x:v>
      </x:c>
      <x:c r="B99" s="339" t="str">
        <x:v>SCR-047</x:v>
      </x:c>
      <x:c r="C99" s="339" t="str">
        <x:v>Admissions &amp; Enquiries</x:v>
      </x:c>
      <x:c r="D99" s="339" t="str">
        <x:v>Follow-up Calendar</x:v>
      </x:c>
      <x:c r="E99" s="339" t="str">
        <x:v>Required/effective references</x:v>
      </x:c>
      <x:c r="F99" s="339" t="str">
        <x:v>Selected master/reference values must exist, be active and effective for the transaction date.</x:v>
      </x:c>
      <x:c r="G99" s="339" t="str">
        <x:v>One or more selected values are no longer valid. Refresh and try again.</x:v>
      </x:c>
      <x:c r="H99" s="339" t="str">
        <x:v>On submit</x:v>
      </x:c>
      <x:c r="I99" s="339" t="str">
        <x:v>Yes</x:v>
      </x:c>
    </x:row>
    <x:row r="100">
      <x:c r="A100" s="339" t="str">
        <x:v>VAL-00099</x:v>
      </x:c>
      <x:c r="B100" s="339" t="str">
        <x:v>SCR-047</x:v>
      </x:c>
      <x:c r="C100" s="339" t="str">
        <x:v>Admissions &amp; Enquiries</x:v>
      </x:c>
      <x:c r="D100" s="339" t="str">
        <x:v>Follow-up Calendar</x:v>
      </x:c>
      <x:c r="E100" s="339" t="str">
        <x:v>Duplicate applicant</x:v>
      </x:c>
      <x:c r="F100" s="339" t="str">
        <x:v>Potential duplicates must be checked using configured applicant identity/contact matching fields.</x:v>
      </x:c>
      <x:c r="G100" s="339" t="str">
        <x:v>A possible duplicate applicant already exists.</x:v>
      </x:c>
      <x:c r="H100" s="339" t="str">
        <x:v>On applicant/application save</x:v>
      </x:c>
      <x:c r="I100" s="339" t="str">
        <x:v>Policy</x:v>
      </x:c>
    </x:row>
    <x:row r="101">
      <x:c r="A101" s="339" t="str">
        <x:v>VAL-00100</x:v>
      </x:c>
      <x:c r="B101" s="339" t="str">
        <x:v>SCR-048</x:v>
      </x:c>
      <x:c r="C101" s="339" t="str">
        <x:v>Admissions &amp; Enquiries</x:v>
      </x:c>
      <x:c r="D101" s="339" t="str">
        <x:v>Admission Applications</x:v>
      </x:c>
      <x:c r="E101" s="339" t="str">
        <x:v>Authorization &amp; scope</x:v>
      </x:c>
      <x:c r="F101" s="339" t="str">
        <x:v>User must have permission for the screen/action and the target record must be inside tenant/school/branch/class scope.</x:v>
      </x:c>
      <x:c r="G101" s="339" t="str">
        <x:v>You do not have permission to perform this action.</x:v>
      </x:c>
      <x:c r="H101" s="339" t="str">
        <x:v>On load and submit</x:v>
      </x:c>
      <x:c r="I101" s="339" t="str">
        <x:v>Yes</x:v>
      </x:c>
    </x:row>
    <x:row r="102">
      <x:c r="A102" s="339" t="str">
        <x:v>VAL-00101</x:v>
      </x:c>
      <x:c r="B102" s="339" t="str">
        <x:v>SCR-048</x:v>
      </x:c>
      <x:c r="C102" s="339" t="str">
        <x:v>Admissions &amp; Enquiries</x:v>
      </x:c>
      <x:c r="D102" s="339" t="str">
        <x:v>Admission Applications</x:v>
      </x:c>
      <x:c r="E102" s="339" t="str">
        <x:v>Required/effective references</x:v>
      </x:c>
      <x:c r="F102" s="339" t="str">
        <x:v>Selected master/reference values must exist, be active and effective for the transaction date.</x:v>
      </x:c>
      <x:c r="G102" s="339" t="str">
        <x:v>One or more selected values are no longer valid. Refresh and try again.</x:v>
      </x:c>
      <x:c r="H102" s="339" t="str">
        <x:v>On submit</x:v>
      </x:c>
      <x:c r="I102" s="339" t="str">
        <x:v>Yes</x:v>
      </x:c>
    </x:row>
    <x:row r="103">
      <x:c r="A103" s="339" t="str">
        <x:v>VAL-00102</x:v>
      </x:c>
      <x:c r="B103" s="339" t="str">
        <x:v>SCR-048</x:v>
      </x:c>
      <x:c r="C103" s="339" t="str">
        <x:v>Admissions &amp; Enquiries</x:v>
      </x:c>
      <x:c r="D103" s="339" t="str">
        <x:v>Admission Applications</x:v>
      </x:c>
      <x:c r="E103" s="339" t="str">
        <x:v>Duplicate applicant</x:v>
      </x:c>
      <x:c r="F103" s="339" t="str">
        <x:v>Potential duplicates must be checked using configured applicant identity/contact matching fields.</x:v>
      </x:c>
      <x:c r="G103" s="339" t="str">
        <x:v>A possible duplicate applicant already exists.</x:v>
      </x:c>
      <x:c r="H103" s="339" t="str">
        <x:v>On applicant/application save</x:v>
      </x:c>
      <x:c r="I103" s="339" t="str">
        <x:v>Policy</x:v>
      </x:c>
    </x:row>
    <x:row r="104">
      <x:c r="A104" s="339" t="str">
        <x:v>VAL-00103</x:v>
      </x:c>
      <x:c r="B104" s="339" t="str">
        <x:v>SCR-049</x:v>
      </x:c>
      <x:c r="C104" s="339" t="str">
        <x:v>Admissions &amp; Enquiries</x:v>
      </x:c>
      <x:c r="D104" s="339" t="str">
        <x:v>New Admission Application</x:v>
      </x:c>
      <x:c r="E104" s="339" t="str">
        <x:v>Authorization &amp; scope</x:v>
      </x:c>
      <x:c r="F104" s="339" t="str">
        <x:v>User must have permission for the screen/action and the target record must be inside tenant/school/branch/class scope.</x:v>
      </x:c>
      <x:c r="G104" s="339" t="str">
        <x:v>You do not have permission to perform this action.</x:v>
      </x:c>
      <x:c r="H104" s="339" t="str">
        <x:v>On load and submit</x:v>
      </x:c>
      <x:c r="I104" s="339" t="str">
        <x:v>Yes</x:v>
      </x:c>
    </x:row>
    <x:row r="105">
      <x:c r="A105" s="339" t="str">
        <x:v>VAL-00104</x:v>
      </x:c>
      <x:c r="B105" s="339" t="str">
        <x:v>SCR-049</x:v>
      </x:c>
      <x:c r="C105" s="339" t="str">
        <x:v>Admissions &amp; Enquiries</x:v>
      </x:c>
      <x:c r="D105" s="339" t="str">
        <x:v>New Admission Application</x:v>
      </x:c>
      <x:c r="E105" s="339" t="str">
        <x:v>Required/effective references</x:v>
      </x:c>
      <x:c r="F105" s="339" t="str">
        <x:v>Selected master/reference values must exist, be active and effective for the transaction date.</x:v>
      </x:c>
      <x:c r="G105" s="339" t="str">
        <x:v>One or more selected values are no longer valid. Refresh and try again.</x:v>
      </x:c>
      <x:c r="H105" s="339" t="str">
        <x:v>On submit</x:v>
      </x:c>
      <x:c r="I105" s="339" t="str">
        <x:v>Yes</x:v>
      </x:c>
    </x:row>
    <x:row r="106">
      <x:c r="A106" s="339" t="str">
        <x:v>VAL-00105</x:v>
      </x:c>
      <x:c r="B106" s="339" t="str">
        <x:v>SCR-049</x:v>
      </x:c>
      <x:c r="C106" s="339" t="str">
        <x:v>Admissions &amp; Enquiries</x:v>
      </x:c>
      <x:c r="D106" s="339" t="str">
        <x:v>New Admission Application</x:v>
      </x:c>
      <x:c r="E106" s="339" t="str">
        <x:v>Duplicate applicant</x:v>
      </x:c>
      <x:c r="F106" s="339" t="str">
        <x:v>Potential duplicates must be checked using configured applicant identity/contact matching fields.</x:v>
      </x:c>
      <x:c r="G106" s="339" t="str">
        <x:v>A possible duplicate applicant already exists.</x:v>
      </x:c>
      <x:c r="H106" s="339" t="str">
        <x:v>On applicant/application save</x:v>
      </x:c>
      <x:c r="I106" s="339" t="str">
        <x:v>Policy</x:v>
      </x:c>
    </x:row>
    <x:row r="107">
      <x:c r="A107" s="339" t="str">
        <x:v>VAL-00106</x:v>
      </x:c>
      <x:c r="B107" s="339" t="str">
        <x:v>SCR-050</x:v>
      </x:c>
      <x:c r="C107" s="339" t="str">
        <x:v>Admissions &amp; Enquiries</x:v>
      </x:c>
      <x:c r="D107" s="339" t="str">
        <x:v>Application Details</x:v>
      </x:c>
      <x:c r="E107" s="339" t="str">
        <x:v>Authorization &amp; scope</x:v>
      </x:c>
      <x:c r="F107" s="339" t="str">
        <x:v>User must have permission for the screen/action and the target record must be inside tenant/school/branch/class scope.</x:v>
      </x:c>
      <x:c r="G107" s="339" t="str">
        <x:v>You do not have permission to perform this action.</x:v>
      </x:c>
      <x:c r="H107" s="339" t="str">
        <x:v>On load and submit</x:v>
      </x:c>
      <x:c r="I107" s="339" t="str">
        <x:v>Yes</x:v>
      </x:c>
    </x:row>
    <x:row r="108">
      <x:c r="A108" s="339" t="str">
        <x:v>VAL-00107</x:v>
      </x:c>
      <x:c r="B108" s="339" t="str">
        <x:v>SCR-050</x:v>
      </x:c>
      <x:c r="C108" s="339" t="str">
        <x:v>Admissions &amp; Enquiries</x:v>
      </x:c>
      <x:c r="D108" s="339" t="str">
        <x:v>Application Details</x:v>
      </x:c>
      <x:c r="E108" s="339" t="str">
        <x:v>Required/effective references</x:v>
      </x:c>
      <x:c r="F108" s="339" t="str">
        <x:v>Selected master/reference values must exist, be active and effective for the transaction date.</x:v>
      </x:c>
      <x:c r="G108" s="339" t="str">
        <x:v>One or more selected values are no longer valid. Refresh and try again.</x:v>
      </x:c>
      <x:c r="H108" s="339" t="str">
        <x:v>On submit</x:v>
      </x:c>
      <x:c r="I108" s="339" t="str">
        <x:v>Yes</x:v>
      </x:c>
    </x:row>
    <x:row r="109">
      <x:c r="A109" s="339" t="str">
        <x:v>VAL-00108</x:v>
      </x:c>
      <x:c r="B109" s="339" t="str">
        <x:v>SCR-050</x:v>
      </x:c>
      <x:c r="C109" s="339" t="str">
        <x:v>Admissions &amp; Enquiries</x:v>
      </x:c>
      <x:c r="D109" s="339" t="str">
        <x:v>Application Details</x:v>
      </x:c>
      <x:c r="E109" s="339" t="str">
        <x:v>Duplicate applicant</x:v>
      </x:c>
      <x:c r="F109" s="339" t="str">
        <x:v>Potential duplicates must be checked using configured applicant identity/contact matching fields.</x:v>
      </x:c>
      <x:c r="G109" s="339" t="str">
        <x:v>A possible duplicate applicant already exists.</x:v>
      </x:c>
      <x:c r="H109" s="339" t="str">
        <x:v>On applicant/application save</x:v>
      </x:c>
      <x:c r="I109" s="339" t="str">
        <x:v>Policy</x:v>
      </x:c>
    </x:row>
    <x:row r="110">
      <x:c r="A110" s="339" t="str">
        <x:v>VAL-00109</x:v>
      </x:c>
      <x:c r="B110" s="339" t="str">
        <x:v>SCR-051</x:v>
      </x:c>
      <x:c r="C110" s="339" t="str">
        <x:v>Admissions &amp; Enquiries</x:v>
      </x:c>
      <x:c r="D110" s="339" t="str">
        <x:v>Document Verification</x:v>
      </x:c>
      <x:c r="E110" s="339" t="str">
        <x:v>Authorization &amp; scope</x:v>
      </x:c>
      <x:c r="F110" s="339" t="str">
        <x:v>User must have permission for the screen/action and the target record must be inside tenant/school/branch/class scope.</x:v>
      </x:c>
      <x:c r="G110" s="339" t="str">
        <x:v>You do not have permission to perform this action.</x:v>
      </x:c>
      <x:c r="H110" s="339" t="str">
        <x:v>On load and submit</x:v>
      </x:c>
      <x:c r="I110" s="339" t="str">
        <x:v>Yes</x:v>
      </x:c>
    </x:row>
    <x:row r="111">
      <x:c r="A111" s="339" t="str">
        <x:v>VAL-00110</x:v>
      </x:c>
      <x:c r="B111" s="339" t="str">
        <x:v>SCR-051</x:v>
      </x:c>
      <x:c r="C111" s="339" t="str">
        <x:v>Admissions &amp; Enquiries</x:v>
      </x:c>
      <x:c r="D111" s="339" t="str">
        <x:v>Document Verification</x:v>
      </x:c>
      <x:c r="E111" s="339" t="str">
        <x:v>Required/effective references</x:v>
      </x:c>
      <x:c r="F111" s="339" t="str">
        <x:v>Selected master/reference values must exist, be active and effective for the transaction date.</x:v>
      </x:c>
      <x:c r="G111" s="339" t="str">
        <x:v>One or more selected values are no longer valid. Refresh and try again.</x:v>
      </x:c>
      <x:c r="H111" s="339" t="str">
        <x:v>On submit</x:v>
      </x:c>
      <x:c r="I111" s="339" t="str">
        <x:v>Yes</x:v>
      </x:c>
    </x:row>
    <x:row r="112">
      <x:c r="A112" s="339" t="str">
        <x:v>VAL-00111</x:v>
      </x:c>
      <x:c r="B112" s="339" t="str">
        <x:v>SCR-051</x:v>
      </x:c>
      <x:c r="C112" s="339" t="str">
        <x:v>Admissions &amp; Enquiries</x:v>
      </x:c>
      <x:c r="D112" s="339" t="str">
        <x:v>Document Verification</x:v>
      </x:c>
      <x:c r="E112" s="339" t="str">
        <x:v>Duplicate applicant</x:v>
      </x:c>
      <x:c r="F112" s="339" t="str">
        <x:v>Potential duplicates must be checked using configured applicant identity/contact matching fields.</x:v>
      </x:c>
      <x:c r="G112" s="339" t="str">
        <x:v>A possible duplicate applicant already exists.</x:v>
      </x:c>
      <x:c r="H112" s="339" t="str">
        <x:v>On applicant/application save</x:v>
      </x:c>
      <x:c r="I112" s="339" t="str">
        <x:v>Policy</x:v>
      </x:c>
    </x:row>
    <x:row r="113">
      <x:c r="A113" s="339" t="str">
        <x:v>VAL-00112</x:v>
      </x:c>
      <x:c r="B113" s="339" t="str">
        <x:v>SCR-052</x:v>
      </x:c>
      <x:c r="C113" s="339" t="str">
        <x:v>Admissions &amp; Enquiries</x:v>
      </x:c>
      <x:c r="D113" s="339" t="str">
        <x:v>Entrance Assessment</x:v>
      </x:c>
      <x:c r="E113" s="339" t="str">
        <x:v>Authorization &amp; scope</x:v>
      </x:c>
      <x:c r="F113" s="339" t="str">
        <x:v>User must have permission for the screen/action and the target record must be inside tenant/school/branch/class scope.</x:v>
      </x:c>
      <x:c r="G113" s="339" t="str">
        <x:v>You do not have permission to perform this action.</x:v>
      </x:c>
      <x:c r="H113" s="339" t="str">
        <x:v>On load and submit</x:v>
      </x:c>
      <x:c r="I113" s="339" t="str">
        <x:v>Yes</x:v>
      </x:c>
    </x:row>
    <x:row r="114">
      <x:c r="A114" s="339" t="str">
        <x:v>VAL-00113</x:v>
      </x:c>
      <x:c r="B114" s="339" t="str">
        <x:v>SCR-052</x:v>
      </x:c>
      <x:c r="C114" s="339" t="str">
        <x:v>Admissions &amp; Enquiries</x:v>
      </x:c>
      <x:c r="D114" s="339" t="str">
        <x:v>Entrance Assessment</x:v>
      </x:c>
      <x:c r="E114" s="339" t="str">
        <x:v>Required/effective references</x:v>
      </x:c>
      <x:c r="F114" s="339" t="str">
        <x:v>Selected master/reference values must exist, be active and effective for the transaction date.</x:v>
      </x:c>
      <x:c r="G114" s="339" t="str">
        <x:v>One or more selected values are no longer valid. Refresh and try again.</x:v>
      </x:c>
      <x:c r="H114" s="339" t="str">
        <x:v>On submit</x:v>
      </x:c>
      <x:c r="I114" s="339" t="str">
        <x:v>Yes</x:v>
      </x:c>
    </x:row>
    <x:row r="115">
      <x:c r="A115" s="339" t="str">
        <x:v>VAL-00114</x:v>
      </x:c>
      <x:c r="B115" s="339" t="str">
        <x:v>SCR-052</x:v>
      </x:c>
      <x:c r="C115" s="339" t="str">
        <x:v>Admissions &amp; Enquiries</x:v>
      </x:c>
      <x:c r="D115" s="339" t="str">
        <x:v>Entrance Assessment</x:v>
      </x:c>
      <x:c r="E115" s="339" t="str">
        <x:v>Duplicate applicant</x:v>
      </x:c>
      <x:c r="F115" s="339" t="str">
        <x:v>Potential duplicates must be checked using configured applicant identity/contact matching fields.</x:v>
      </x:c>
      <x:c r="G115" s="339" t="str">
        <x:v>A possible duplicate applicant already exists.</x:v>
      </x:c>
      <x:c r="H115" s="339" t="str">
        <x:v>On applicant/application save</x:v>
      </x:c>
      <x:c r="I115" s="339" t="str">
        <x:v>Policy</x:v>
      </x:c>
    </x:row>
    <x:row r="116">
      <x:c r="A116" s="339" t="str">
        <x:v>VAL-00115</x:v>
      </x:c>
      <x:c r="B116" s="339" t="str">
        <x:v>SCR-053</x:v>
      </x:c>
      <x:c r="C116" s="339" t="str">
        <x:v>Admissions &amp; Enquiries</x:v>
      </x:c>
      <x:c r="D116" s="339" t="str">
        <x:v>Admission Approval</x:v>
      </x:c>
      <x:c r="E116" s="339" t="str">
        <x:v>Authorization &amp; scope</x:v>
      </x:c>
      <x:c r="F116" s="339" t="str">
        <x:v>User must have permission for the screen/action and the target record must be inside tenant/school/branch/class scope.</x:v>
      </x:c>
      <x:c r="G116" s="339" t="str">
        <x:v>You do not have permission to perform this action.</x:v>
      </x:c>
      <x:c r="H116" s="339" t="str">
        <x:v>On load and submit</x:v>
      </x:c>
      <x:c r="I116" s="339" t="str">
        <x:v>Yes</x:v>
      </x:c>
    </x:row>
    <x:row r="117">
      <x:c r="A117" s="339" t="str">
        <x:v>VAL-00116</x:v>
      </x:c>
      <x:c r="B117" s="339" t="str">
        <x:v>SCR-053</x:v>
      </x:c>
      <x:c r="C117" s="339" t="str">
        <x:v>Admissions &amp; Enquiries</x:v>
      </x:c>
      <x:c r="D117" s="339" t="str">
        <x:v>Admission Approval</x:v>
      </x:c>
      <x:c r="E117" s="339" t="str">
        <x:v>Required/effective references</x:v>
      </x:c>
      <x:c r="F117" s="339" t="str">
        <x:v>Selected master/reference values must exist, be active and effective for the transaction date.</x:v>
      </x:c>
      <x:c r="G117" s="339" t="str">
        <x:v>One or more selected values are no longer valid. Refresh and try again.</x:v>
      </x:c>
      <x:c r="H117" s="339" t="str">
        <x:v>On submit</x:v>
      </x:c>
      <x:c r="I117" s="339" t="str">
        <x:v>Yes</x:v>
      </x:c>
    </x:row>
    <x:row r="118">
      <x:c r="A118" s="339" t="str">
        <x:v>VAL-00117</x:v>
      </x:c>
      <x:c r="B118" s="339" t="str">
        <x:v>SCR-053</x:v>
      </x:c>
      <x:c r="C118" s="339" t="str">
        <x:v>Admissions &amp; Enquiries</x:v>
      </x:c>
      <x:c r="D118" s="339" t="str">
        <x:v>Admission Approval</x:v>
      </x:c>
      <x:c r="E118" s="339" t="str">
        <x:v>Duplicate applicant</x:v>
      </x:c>
      <x:c r="F118" s="339" t="str">
        <x:v>Potential duplicates must be checked using configured applicant identity/contact matching fields.</x:v>
      </x:c>
      <x:c r="G118" s="339" t="str">
        <x:v>A possible duplicate applicant already exists.</x:v>
      </x:c>
      <x:c r="H118" s="339" t="str">
        <x:v>On applicant/application save</x:v>
      </x:c>
      <x:c r="I118" s="339" t="str">
        <x:v>Policy</x:v>
      </x:c>
    </x:row>
    <x:row r="119">
      <x:c r="A119" s="339" t="str">
        <x:v>VAL-00118</x:v>
      </x:c>
      <x:c r="B119" s="339" t="str">
        <x:v>SCR-054</x:v>
      </x:c>
      <x:c r="C119" s="339" t="str">
        <x:v>Admissions &amp; Enquiries</x:v>
      </x:c>
      <x:c r="D119" s="339" t="str">
        <x:v>Admission Confirmation &amp; Student Creation</x:v>
      </x:c>
      <x:c r="E119" s="339" t="str">
        <x:v>Authorization &amp; scope</x:v>
      </x:c>
      <x:c r="F119" s="339" t="str">
        <x:v>User must have permission for the screen/action and the target record must be inside tenant/school/branch/class scope.</x:v>
      </x:c>
      <x:c r="G119" s="339" t="str">
        <x:v>You do not have permission to perform this action.</x:v>
      </x:c>
      <x:c r="H119" s="339" t="str">
        <x:v>On load and submit</x:v>
      </x:c>
      <x:c r="I119" s="339" t="str">
        <x:v>Yes</x:v>
      </x:c>
    </x:row>
    <x:row r="120">
      <x:c r="A120" s="339" t="str">
        <x:v>VAL-00119</x:v>
      </x:c>
      <x:c r="B120" s="339" t="str">
        <x:v>SCR-054</x:v>
      </x:c>
      <x:c r="C120" s="339" t="str">
        <x:v>Admissions &amp; Enquiries</x:v>
      </x:c>
      <x:c r="D120" s="339" t="str">
        <x:v>Admission Confirmation &amp; Student Creation</x:v>
      </x:c>
      <x:c r="E120" s="339" t="str">
        <x:v>Required/effective references</x:v>
      </x:c>
      <x:c r="F120" s="339" t="str">
        <x:v>Selected master/reference values must exist, be active and effective for the transaction date.</x:v>
      </x:c>
      <x:c r="G120" s="339" t="str">
        <x:v>One or more selected values are no longer valid. Refresh and try again.</x:v>
      </x:c>
      <x:c r="H120" s="339" t="str">
        <x:v>On submit</x:v>
      </x:c>
      <x:c r="I120" s="339" t="str">
        <x:v>Yes</x:v>
      </x:c>
    </x:row>
    <x:row r="121">
      <x:c r="A121" s="339" t="str">
        <x:v>VAL-00120</x:v>
      </x:c>
      <x:c r="B121" s="339" t="str">
        <x:v>SCR-054</x:v>
      </x:c>
      <x:c r="C121" s="339" t="str">
        <x:v>Admissions &amp; Enquiries</x:v>
      </x:c>
      <x:c r="D121" s="339" t="str">
        <x:v>Admission Confirmation &amp; Student Creation</x:v>
      </x:c>
      <x:c r="E121" s="339" t="str">
        <x:v>Duplicate applicant</x:v>
      </x:c>
      <x:c r="F121" s="339" t="str">
        <x:v>Potential duplicates must be checked using configured applicant identity/contact matching fields.</x:v>
      </x:c>
      <x:c r="G121" s="339" t="str">
        <x:v>A possible duplicate applicant already exists.</x:v>
      </x:c>
      <x:c r="H121" s="339" t="str">
        <x:v>On applicant/application save</x:v>
      </x:c>
      <x:c r="I121" s="339" t="str">
        <x:v>Policy</x:v>
      </x:c>
    </x:row>
    <x:row r="122">
      <x:c r="A122" s="339" t="str">
        <x:v>VAL-00121</x:v>
      </x:c>
      <x:c r="B122" s="339" t="str">
        <x:v>SCR-055</x:v>
      </x:c>
      <x:c r="C122" s="339" t="str">
        <x:v>Students</x:v>
      </x:c>
      <x:c r="D122" s="339" t="str">
        <x:v>Student Directory</x:v>
      </x:c>
      <x:c r="E122" s="339" t="str">
        <x:v>Authorization &amp; scope</x:v>
      </x:c>
      <x:c r="F122" s="339" t="str">
        <x:v>User must have permission for the screen/action and the target record must be inside tenant/school/branch/class scope.</x:v>
      </x:c>
      <x:c r="G122" s="339" t="str">
        <x:v>You do not have permission to perform this action.</x:v>
      </x:c>
      <x:c r="H122" s="339" t="str">
        <x:v>On load and submit</x:v>
      </x:c>
      <x:c r="I122" s="339" t="str">
        <x:v>Yes</x:v>
      </x:c>
    </x:row>
    <x:row r="123">
      <x:c r="A123" s="339" t="str">
        <x:v>VAL-00122</x:v>
      </x:c>
      <x:c r="B123" s="339" t="str">
        <x:v>SCR-055</x:v>
      </x:c>
      <x:c r="C123" s="339" t="str">
        <x:v>Students</x:v>
      </x:c>
      <x:c r="D123" s="339" t="str">
        <x:v>Student Directory</x:v>
      </x:c>
      <x:c r="E123" s="339" t="str">
        <x:v>Required/effective references</x:v>
      </x:c>
      <x:c r="F123" s="339" t="str">
        <x:v>Selected master/reference values must exist, be active and effective for the transaction date.</x:v>
      </x:c>
      <x:c r="G123" s="339" t="str">
        <x:v>One or more selected values are no longer valid. Refresh and try again.</x:v>
      </x:c>
      <x:c r="H123" s="339" t="str">
        <x:v>On submit</x:v>
      </x:c>
      <x:c r="I123" s="339" t="str">
        <x:v>Yes</x:v>
      </x:c>
    </x:row>
    <x:row r="124">
      <x:c r="A124" s="339" t="str">
        <x:v>VAL-00123</x:v>
      </x:c>
      <x:c r="B124" s="339" t="str">
        <x:v>SCR-056</x:v>
      </x:c>
      <x:c r="C124" s="339" t="str">
        <x:v>Students</x:v>
      </x:c>
      <x:c r="D124" s="339" t="str">
        <x:v>Add Student</x:v>
      </x:c>
      <x:c r="E124" s="339" t="str">
        <x:v>Authorization &amp; scope</x:v>
      </x:c>
      <x:c r="F124" s="339" t="str">
        <x:v>User must have permission for the screen/action and the target record must be inside tenant/school/branch/class scope.</x:v>
      </x:c>
      <x:c r="G124" s="339" t="str">
        <x:v>You do not have permission to perform this action.</x:v>
      </x:c>
      <x:c r="H124" s="339" t="str">
        <x:v>On load and submit</x:v>
      </x:c>
      <x:c r="I124" s="339" t="str">
        <x:v>Yes</x:v>
      </x:c>
    </x:row>
    <x:row r="125">
      <x:c r="A125" s="339" t="str">
        <x:v>VAL-00124</x:v>
      </x:c>
      <x:c r="B125" s="339" t="str">
        <x:v>SCR-056</x:v>
      </x:c>
      <x:c r="C125" s="339" t="str">
        <x:v>Students</x:v>
      </x:c>
      <x:c r="D125" s="339" t="str">
        <x:v>Add Student</x:v>
      </x:c>
      <x:c r="E125" s="339" t="str">
        <x:v>Required/effective references</x:v>
      </x:c>
      <x:c r="F125" s="339" t="str">
        <x:v>Selected master/reference values must exist, be active and effective for the transaction date.</x:v>
      </x:c>
      <x:c r="G125" s="339" t="str">
        <x:v>One or more selected values are no longer valid. Refresh and try again.</x:v>
      </x:c>
      <x:c r="H125" s="339" t="str">
        <x:v>On submit</x:v>
      </x:c>
      <x:c r="I125" s="339" t="str">
        <x:v>Yes</x:v>
      </x:c>
    </x:row>
    <x:row r="126">
      <x:c r="A126" s="339" t="str">
        <x:v>VAL-00125</x:v>
      </x:c>
      <x:c r="B126" s="339" t="str">
        <x:v>SCR-057</x:v>
      </x:c>
      <x:c r="C126" s="339" t="str">
        <x:v>Students</x:v>
      </x:c>
      <x:c r="D126" s="339" t="str">
        <x:v>Student Profile Overview</x:v>
      </x:c>
      <x:c r="E126" s="339" t="str">
        <x:v>Authorization &amp; scope</x:v>
      </x:c>
      <x:c r="F126" s="339" t="str">
        <x:v>User must have permission for the screen/action and the target record must be inside tenant/school/branch/class scope.</x:v>
      </x:c>
      <x:c r="G126" s="339" t="str">
        <x:v>You do not have permission to perform this action.</x:v>
      </x:c>
      <x:c r="H126" s="339" t="str">
        <x:v>On load and submit</x:v>
      </x:c>
      <x:c r="I126" s="339" t="str">
        <x:v>Yes</x:v>
      </x:c>
    </x:row>
    <x:row r="127">
      <x:c r="A127" s="339" t="str">
        <x:v>VAL-00126</x:v>
      </x:c>
      <x:c r="B127" s="339" t="str">
        <x:v>SCR-057</x:v>
      </x:c>
      <x:c r="C127" s="339" t="str">
        <x:v>Students</x:v>
      </x:c>
      <x:c r="D127" s="339" t="str">
        <x:v>Student Profile Overview</x:v>
      </x:c>
      <x:c r="E127" s="339" t="str">
        <x:v>Required/effective references</x:v>
      </x:c>
      <x:c r="F127" s="339" t="str">
        <x:v>Selected master/reference values must exist, be active and effective for the transaction date.</x:v>
      </x:c>
      <x:c r="G127" s="339" t="str">
        <x:v>One or more selected values are no longer valid. Refresh and try again.</x:v>
      </x:c>
      <x:c r="H127" s="339" t="str">
        <x:v>On submit</x:v>
      </x:c>
      <x:c r="I127" s="339" t="str">
        <x:v>Yes</x:v>
      </x:c>
    </x:row>
    <x:row r="128">
      <x:c r="A128" s="339" t="str">
        <x:v>VAL-00127</x:v>
      </x:c>
      <x:c r="B128" s="339" t="str">
        <x:v>SCR-058</x:v>
      </x:c>
      <x:c r="C128" s="339" t="str">
        <x:v>Students</x:v>
      </x:c>
      <x:c r="D128" s="339" t="str">
        <x:v>Edit Student</x:v>
      </x:c>
      <x:c r="E128" s="339" t="str">
        <x:v>Authorization &amp; scope</x:v>
      </x:c>
      <x:c r="F128" s="339" t="str">
        <x:v>User must have permission for the screen/action and the target record must be inside tenant/school/branch/class scope.</x:v>
      </x:c>
      <x:c r="G128" s="339" t="str">
        <x:v>You do not have permission to perform this action.</x:v>
      </x:c>
      <x:c r="H128" s="339" t="str">
        <x:v>On load and submit</x:v>
      </x:c>
      <x:c r="I128" s="339" t="str">
        <x:v>Yes</x:v>
      </x:c>
    </x:row>
    <x:row r="129">
      <x:c r="A129" s="339" t="str">
        <x:v>VAL-00128</x:v>
      </x:c>
      <x:c r="B129" s="339" t="str">
        <x:v>SCR-058</x:v>
      </x:c>
      <x:c r="C129" s="339" t="str">
        <x:v>Students</x:v>
      </x:c>
      <x:c r="D129" s="339" t="str">
        <x:v>Edit Student</x:v>
      </x:c>
      <x:c r="E129" s="339" t="str">
        <x:v>Required/effective references</x:v>
      </x:c>
      <x:c r="F129" s="339" t="str">
        <x:v>Selected master/reference values must exist, be active and effective for the transaction date.</x:v>
      </x:c>
      <x:c r="G129" s="339" t="str">
        <x:v>One or more selected values are no longer valid. Refresh and try again.</x:v>
      </x:c>
      <x:c r="H129" s="339" t="str">
        <x:v>On submit</x:v>
      </x:c>
      <x:c r="I129" s="339" t="str">
        <x:v>Yes</x:v>
      </x:c>
    </x:row>
    <x:row r="130">
      <x:c r="A130" s="339" t="str">
        <x:v>VAL-00129</x:v>
      </x:c>
      <x:c r="B130" s="339" t="str">
        <x:v>SCR-059</x:v>
      </x:c>
      <x:c r="C130" s="339" t="str">
        <x:v>Students</x:v>
      </x:c>
      <x:c r="D130" s="339" t="str">
        <x:v>Student Academic Details</x:v>
      </x:c>
      <x:c r="E130" s="339" t="str">
        <x:v>Authorization &amp; scope</x:v>
      </x:c>
      <x:c r="F130" s="339" t="str">
        <x:v>User must have permission for the screen/action and the target record must be inside tenant/school/branch/class scope.</x:v>
      </x:c>
      <x:c r="G130" s="339" t="str">
        <x:v>You do not have permission to perform this action.</x:v>
      </x:c>
      <x:c r="H130" s="339" t="str">
        <x:v>On load and submit</x:v>
      </x:c>
      <x:c r="I130" s="339" t="str">
        <x:v>Yes</x:v>
      </x:c>
    </x:row>
    <x:row r="131">
      <x:c r="A131" s="339" t="str">
        <x:v>VAL-00130</x:v>
      </x:c>
      <x:c r="B131" s="339" t="str">
        <x:v>SCR-059</x:v>
      </x:c>
      <x:c r="C131" s="339" t="str">
        <x:v>Students</x:v>
      </x:c>
      <x:c r="D131" s="339" t="str">
        <x:v>Student Academic Details</x:v>
      </x:c>
      <x:c r="E131" s="339" t="str">
        <x:v>Required/effective references</x:v>
      </x:c>
      <x:c r="F131" s="339" t="str">
        <x:v>Selected master/reference values must exist, be active and effective for the transaction date.</x:v>
      </x:c>
      <x:c r="G131" s="339" t="str">
        <x:v>One or more selected values are no longer valid. Refresh and try again.</x:v>
      </x:c>
      <x:c r="H131" s="339" t="str">
        <x:v>On submit</x:v>
      </x:c>
      <x:c r="I131" s="339" t="str">
        <x:v>Yes</x:v>
      </x:c>
    </x:row>
    <x:row r="132">
      <x:c r="A132" s="339" t="str">
        <x:v>VAL-00131</x:v>
      </x:c>
      <x:c r="B132" s="339" t="str">
        <x:v>SCR-060</x:v>
      </x:c>
      <x:c r="C132" s="339" t="str">
        <x:v>Students</x:v>
      </x:c>
      <x:c r="D132" s="339" t="str">
        <x:v>Student Attendance History</x:v>
      </x:c>
      <x:c r="E132" s="339" t="str">
        <x:v>Authorization &amp; scope</x:v>
      </x:c>
      <x:c r="F132" s="339" t="str">
        <x:v>User must have permission for the screen/action and the target record must be inside tenant/school/branch/class scope.</x:v>
      </x:c>
      <x:c r="G132" s="339" t="str">
        <x:v>You do not have permission to perform this action.</x:v>
      </x:c>
      <x:c r="H132" s="339" t="str">
        <x:v>On load and submit</x:v>
      </x:c>
      <x:c r="I132" s="339" t="str">
        <x:v>Yes</x:v>
      </x:c>
    </x:row>
    <x:row r="133">
      <x:c r="A133" s="339" t="str">
        <x:v>VAL-00132</x:v>
      </x:c>
      <x:c r="B133" s="339" t="str">
        <x:v>SCR-060</x:v>
      </x:c>
      <x:c r="C133" s="339" t="str">
        <x:v>Students</x:v>
      </x:c>
      <x:c r="D133" s="339" t="str">
        <x:v>Student Attendance History</x:v>
      </x:c>
      <x:c r="E133" s="339" t="str">
        <x:v>Required/effective references</x:v>
      </x:c>
      <x:c r="F133" s="339" t="str">
        <x:v>Selected master/reference values must exist, be active and effective for the transaction date.</x:v>
      </x:c>
      <x:c r="G133" s="339" t="str">
        <x:v>One or more selected values are no longer valid. Refresh and try again.</x:v>
      </x:c>
      <x:c r="H133" s="339" t="str">
        <x:v>On submit</x:v>
      </x:c>
      <x:c r="I133" s="339" t="str">
        <x:v>Yes</x:v>
      </x:c>
    </x:row>
    <x:row r="134">
      <x:c r="A134" s="339" t="str">
        <x:v>VAL-00133</x:v>
      </x:c>
      <x:c r="B134" s="339" t="str">
        <x:v>SCR-061</x:v>
      </x:c>
      <x:c r="C134" s="339" t="str">
        <x:v>Students</x:v>
      </x:c>
      <x:c r="D134" s="339" t="str">
        <x:v>Student Examination &amp; Results</x:v>
      </x:c>
      <x:c r="E134" s="339" t="str">
        <x:v>Authorization &amp; scope</x:v>
      </x:c>
      <x:c r="F134" s="339" t="str">
        <x:v>User must have permission for the screen/action and the target record must be inside tenant/school/branch/class scope.</x:v>
      </x:c>
      <x:c r="G134" s="339" t="str">
        <x:v>You do not have permission to perform this action.</x:v>
      </x:c>
      <x:c r="H134" s="339" t="str">
        <x:v>On load and submit</x:v>
      </x:c>
      <x:c r="I134" s="339" t="str">
        <x:v>Yes</x:v>
      </x:c>
    </x:row>
    <x:row r="135">
      <x:c r="A135" s="339" t="str">
        <x:v>VAL-00134</x:v>
      </x:c>
      <x:c r="B135" s="339" t="str">
        <x:v>SCR-061</x:v>
      </x:c>
      <x:c r="C135" s="339" t="str">
        <x:v>Students</x:v>
      </x:c>
      <x:c r="D135" s="339" t="str">
        <x:v>Student Examination &amp; Results</x:v>
      </x:c>
      <x:c r="E135" s="339" t="str">
        <x:v>Required/effective references</x:v>
      </x:c>
      <x:c r="F135" s="339" t="str">
        <x:v>Selected master/reference values must exist, be active and effective for the transaction date.</x:v>
      </x:c>
      <x:c r="G135" s="339" t="str">
        <x:v>One or more selected values are no longer valid. Refresh and try again.</x:v>
      </x:c>
      <x:c r="H135" s="339" t="str">
        <x:v>On submit</x:v>
      </x:c>
      <x:c r="I135" s="339" t="str">
        <x:v>Yes</x:v>
      </x:c>
    </x:row>
    <x:row r="136">
      <x:c r="A136" s="339" t="str">
        <x:v>VAL-00135</x:v>
      </x:c>
      <x:c r="B136" s="339" t="str">
        <x:v>SCR-062</x:v>
      </x:c>
      <x:c r="C136" s="339" t="str">
        <x:v>Students</x:v>
      </x:c>
      <x:c r="D136" s="339" t="str">
        <x:v>Student Fees &amp; Ledger</x:v>
      </x:c>
      <x:c r="E136" s="339" t="str">
        <x:v>Authorization &amp; scope</x:v>
      </x:c>
      <x:c r="F136" s="339" t="str">
        <x:v>User must have permission for the screen/action and the target record must be inside tenant/school/branch/class scope.</x:v>
      </x:c>
      <x:c r="G136" s="339" t="str">
        <x:v>You do not have permission to perform this action.</x:v>
      </x:c>
      <x:c r="H136" s="339" t="str">
        <x:v>On load and submit</x:v>
      </x:c>
      <x:c r="I136" s="339" t="str">
        <x:v>Yes</x:v>
      </x:c>
    </x:row>
    <x:row r="137">
      <x:c r="A137" s="339" t="str">
        <x:v>VAL-00136</x:v>
      </x:c>
      <x:c r="B137" s="339" t="str">
        <x:v>SCR-062</x:v>
      </x:c>
      <x:c r="C137" s="339" t="str">
        <x:v>Students</x:v>
      </x:c>
      <x:c r="D137" s="339" t="str">
        <x:v>Student Fees &amp; Ledger</x:v>
      </x:c>
      <x:c r="E137" s="339" t="str">
        <x:v>Required/effective references</x:v>
      </x:c>
      <x:c r="F137" s="339" t="str">
        <x:v>Selected master/reference values must exist, be active and effective for the transaction date.</x:v>
      </x:c>
      <x:c r="G137" s="339" t="str">
        <x:v>One or more selected values are no longer valid. Refresh and try again.</x:v>
      </x:c>
      <x:c r="H137" s="339" t="str">
        <x:v>On submit</x:v>
      </x:c>
      <x:c r="I137" s="339" t="str">
        <x:v>Yes</x:v>
      </x:c>
    </x:row>
    <x:row r="138">
      <x:c r="A138" s="339" t="str">
        <x:v>VAL-00137</x:v>
      </x:c>
      <x:c r="B138" s="339" t="str">
        <x:v>SCR-063</x:v>
      </x:c>
      <x:c r="C138" s="339" t="str">
        <x:v>Students</x:v>
      </x:c>
      <x:c r="D138" s="339" t="str">
        <x:v>Student Documents</x:v>
      </x:c>
      <x:c r="E138" s="339" t="str">
        <x:v>Authorization &amp; scope</x:v>
      </x:c>
      <x:c r="F138" s="339" t="str">
        <x:v>User must have permission for the screen/action and the target record must be inside tenant/school/branch/class scope.</x:v>
      </x:c>
      <x:c r="G138" s="339" t="str">
        <x:v>You do not have permission to perform this action.</x:v>
      </x:c>
      <x:c r="H138" s="339" t="str">
        <x:v>On load and submit</x:v>
      </x:c>
      <x:c r="I138" s="339" t="str">
        <x:v>Yes</x:v>
      </x:c>
    </x:row>
    <x:row r="139">
      <x:c r="A139" s="339" t="str">
        <x:v>VAL-00138</x:v>
      </x:c>
      <x:c r="B139" s="339" t="str">
        <x:v>SCR-063</x:v>
      </x:c>
      <x:c r="C139" s="339" t="str">
        <x:v>Students</x:v>
      </x:c>
      <x:c r="D139" s="339" t="str">
        <x:v>Student Documents</x:v>
      </x:c>
      <x:c r="E139" s="339" t="str">
        <x:v>Required/effective references</x:v>
      </x:c>
      <x:c r="F139" s="339" t="str">
        <x:v>Selected master/reference values must exist, be active and effective for the transaction date.</x:v>
      </x:c>
      <x:c r="G139" s="339" t="str">
        <x:v>One or more selected values are no longer valid. Refresh and try again.</x:v>
      </x:c>
      <x:c r="H139" s="339" t="str">
        <x:v>On submit</x:v>
      </x:c>
      <x:c r="I139" s="339" t="str">
        <x:v>Yes</x:v>
      </x:c>
    </x:row>
    <x:row r="140">
      <x:c r="A140" s="339" t="str">
        <x:v>VAL-00139</x:v>
      </x:c>
      <x:c r="B140" s="339" t="str">
        <x:v>SCR-064</x:v>
      </x:c>
      <x:c r="C140" s="339" t="str">
        <x:v>Students</x:v>
      </x:c>
      <x:c r="D140" s="339" t="str">
        <x:v>Student Behaviour &amp; Discipline</x:v>
      </x:c>
      <x:c r="E140" s="339" t="str">
        <x:v>Authorization &amp; scope</x:v>
      </x:c>
      <x:c r="F140" s="339" t="str">
        <x:v>User must have permission for the screen/action and the target record must be inside tenant/school/branch/class scope.</x:v>
      </x:c>
      <x:c r="G140" s="339" t="str">
        <x:v>You do not have permission to perform this action.</x:v>
      </x:c>
      <x:c r="H140" s="339" t="str">
        <x:v>On load and submit</x:v>
      </x:c>
      <x:c r="I140" s="339" t="str">
        <x:v>Yes</x:v>
      </x:c>
    </x:row>
    <x:row r="141">
      <x:c r="A141" s="339" t="str">
        <x:v>VAL-00140</x:v>
      </x:c>
      <x:c r="B141" s="339" t="str">
        <x:v>SCR-064</x:v>
      </x:c>
      <x:c r="C141" s="339" t="str">
        <x:v>Students</x:v>
      </x:c>
      <x:c r="D141" s="339" t="str">
        <x:v>Student Behaviour &amp; Discipline</x:v>
      </x:c>
      <x:c r="E141" s="339" t="str">
        <x:v>Required/effective references</x:v>
      </x:c>
      <x:c r="F141" s="339" t="str">
        <x:v>Selected master/reference values must exist, be active and effective for the transaction date.</x:v>
      </x:c>
      <x:c r="G141" s="339" t="str">
        <x:v>One or more selected values are no longer valid. Refresh and try again.</x:v>
      </x:c>
      <x:c r="H141" s="339" t="str">
        <x:v>On submit</x:v>
      </x:c>
      <x:c r="I141" s="339" t="str">
        <x:v>Yes</x:v>
      </x:c>
    </x:row>
    <x:row r="142">
      <x:c r="A142" s="339" t="str">
        <x:v>VAL-00141</x:v>
      </x:c>
      <x:c r="B142" s="339" t="str">
        <x:v>SCR-065</x:v>
      </x:c>
      <x:c r="C142" s="339" t="str">
        <x:v>Students</x:v>
      </x:c>
      <x:c r="D142" s="339" t="str">
        <x:v>Student Health</x:v>
      </x:c>
      <x:c r="E142" s="339" t="str">
        <x:v>Authorization &amp; scope</x:v>
      </x:c>
      <x:c r="F142" s="339" t="str">
        <x:v>User must have permission for the screen/action and the target record must be inside tenant/school/branch/class scope.</x:v>
      </x:c>
      <x:c r="G142" s="339" t="str">
        <x:v>You do not have permission to perform this action.</x:v>
      </x:c>
      <x:c r="H142" s="339" t="str">
        <x:v>On load and submit</x:v>
      </x:c>
      <x:c r="I142" s="339" t="str">
        <x:v>Yes</x:v>
      </x:c>
    </x:row>
    <x:row r="143">
      <x:c r="A143" s="339" t="str">
        <x:v>VAL-00142</x:v>
      </x:c>
      <x:c r="B143" s="339" t="str">
        <x:v>SCR-065</x:v>
      </x:c>
      <x:c r="C143" s="339" t="str">
        <x:v>Students</x:v>
      </x:c>
      <x:c r="D143" s="339" t="str">
        <x:v>Student Health</x:v>
      </x:c>
      <x:c r="E143" s="339" t="str">
        <x:v>Required/effective references</x:v>
      </x:c>
      <x:c r="F143" s="339" t="str">
        <x:v>Selected master/reference values must exist, be active and effective for the transaction date.</x:v>
      </x:c>
      <x:c r="G143" s="339" t="str">
        <x:v>One or more selected values are no longer valid. Refresh and try again.</x:v>
      </x:c>
      <x:c r="H143" s="339" t="str">
        <x:v>On submit</x:v>
      </x:c>
      <x:c r="I143" s="339" t="str">
        <x:v>Yes</x:v>
      </x:c>
    </x:row>
    <x:row r="144">
      <x:c r="A144" s="339" t="str">
        <x:v>VAL-00143</x:v>
      </x:c>
      <x:c r="B144" s="339" t="str">
        <x:v>SCR-066</x:v>
      </x:c>
      <x:c r="C144" s="339" t="str">
        <x:v>Students</x:v>
      </x:c>
      <x:c r="D144" s="339" t="str">
        <x:v>Student Transport</x:v>
      </x:c>
      <x:c r="E144" s="339" t="str">
        <x:v>Authorization &amp; scope</x:v>
      </x:c>
      <x:c r="F144" s="339" t="str">
        <x:v>User must have permission for the screen/action and the target record must be inside tenant/school/branch/class scope.</x:v>
      </x:c>
      <x:c r="G144" s="339" t="str">
        <x:v>You do not have permission to perform this action.</x:v>
      </x:c>
      <x:c r="H144" s="339" t="str">
        <x:v>On load and submit</x:v>
      </x:c>
      <x:c r="I144" s="339" t="str">
        <x:v>Yes</x:v>
      </x:c>
    </x:row>
    <x:row r="145">
      <x:c r="A145" s="339" t="str">
        <x:v>VAL-00144</x:v>
      </x:c>
      <x:c r="B145" s="339" t="str">
        <x:v>SCR-066</x:v>
      </x:c>
      <x:c r="C145" s="339" t="str">
        <x:v>Students</x:v>
      </x:c>
      <x:c r="D145" s="339" t="str">
        <x:v>Student Transport</x:v>
      </x:c>
      <x:c r="E145" s="339" t="str">
        <x:v>Required/effective references</x:v>
      </x:c>
      <x:c r="F145" s="339" t="str">
        <x:v>Selected master/reference values must exist, be active and effective for the transaction date.</x:v>
      </x:c>
      <x:c r="G145" s="339" t="str">
        <x:v>One or more selected values are no longer valid. Refresh and try again.</x:v>
      </x:c>
      <x:c r="H145" s="339" t="str">
        <x:v>On submit</x:v>
      </x:c>
      <x:c r="I145" s="339" t="str">
        <x:v>Yes</x:v>
      </x:c>
    </x:row>
    <x:row r="146">
      <x:c r="A146" s="339" t="str">
        <x:v>VAL-00145</x:v>
      </x:c>
      <x:c r="B146" s="339" t="str">
        <x:v>SCR-067</x:v>
      </x:c>
      <x:c r="C146" s="339" t="str">
        <x:v>Students</x:v>
      </x:c>
      <x:c r="D146" s="339" t="str">
        <x:v>Student Library</x:v>
      </x:c>
      <x:c r="E146" s="339" t="str">
        <x:v>Authorization &amp; scope</x:v>
      </x:c>
      <x:c r="F146" s="339" t="str">
        <x:v>User must have permission for the screen/action and the target record must be inside tenant/school/branch/class scope.</x:v>
      </x:c>
      <x:c r="G146" s="339" t="str">
        <x:v>You do not have permission to perform this action.</x:v>
      </x:c>
      <x:c r="H146" s="339" t="str">
        <x:v>On load and submit</x:v>
      </x:c>
      <x:c r="I146" s="339" t="str">
        <x:v>Yes</x:v>
      </x:c>
    </x:row>
    <x:row r="147">
      <x:c r="A147" s="339" t="str">
        <x:v>VAL-00146</x:v>
      </x:c>
      <x:c r="B147" s="339" t="str">
        <x:v>SCR-067</x:v>
      </x:c>
      <x:c r="C147" s="339" t="str">
        <x:v>Students</x:v>
      </x:c>
      <x:c r="D147" s="339" t="str">
        <x:v>Student Library</x:v>
      </x:c>
      <x:c r="E147" s="339" t="str">
        <x:v>Required/effective references</x:v>
      </x:c>
      <x:c r="F147" s="339" t="str">
        <x:v>Selected master/reference values must exist, be active and effective for the transaction date.</x:v>
      </x:c>
      <x:c r="G147" s="339" t="str">
        <x:v>One or more selected values are no longer valid. Refresh and try again.</x:v>
      </x:c>
      <x:c r="H147" s="339" t="str">
        <x:v>On submit</x:v>
      </x:c>
      <x:c r="I147" s="339" t="str">
        <x:v>Yes</x:v>
      </x:c>
    </x:row>
    <x:row r="148">
      <x:c r="A148" s="339" t="str">
        <x:v>VAL-00147</x:v>
      </x:c>
      <x:c r="B148" s="339" t="str">
        <x:v>SCR-068</x:v>
      </x:c>
      <x:c r="C148" s="339" t="str">
        <x:v>Students</x:v>
      </x:c>
      <x:c r="D148" s="339" t="str">
        <x:v>Siblings &amp; Family</x:v>
      </x:c>
      <x:c r="E148" s="339" t="str">
        <x:v>Authorization &amp; scope</x:v>
      </x:c>
      <x:c r="F148" s="339" t="str">
        <x:v>User must have permission for the screen/action and the target record must be inside tenant/school/branch/class scope.</x:v>
      </x:c>
      <x:c r="G148" s="339" t="str">
        <x:v>You do not have permission to perform this action.</x:v>
      </x:c>
      <x:c r="H148" s="339" t="str">
        <x:v>On load and submit</x:v>
      </x:c>
      <x:c r="I148" s="339" t="str">
        <x:v>Yes</x:v>
      </x:c>
    </x:row>
    <x:row r="149">
      <x:c r="A149" s="339" t="str">
        <x:v>VAL-00148</x:v>
      </x:c>
      <x:c r="B149" s="339" t="str">
        <x:v>SCR-068</x:v>
      </x:c>
      <x:c r="C149" s="339" t="str">
        <x:v>Students</x:v>
      </x:c>
      <x:c r="D149" s="339" t="str">
        <x:v>Siblings &amp; Family</x:v>
      </x:c>
      <x:c r="E149" s="339" t="str">
        <x:v>Required/effective references</x:v>
      </x:c>
      <x:c r="F149" s="339" t="str">
        <x:v>Selected master/reference values must exist, be active and effective for the transaction date.</x:v>
      </x:c>
      <x:c r="G149" s="339" t="str">
        <x:v>One or more selected values are no longer valid. Refresh and try again.</x:v>
      </x:c>
      <x:c r="H149" s="339" t="str">
        <x:v>On submit</x:v>
      </x:c>
      <x:c r="I149" s="339" t="str">
        <x:v>Yes</x:v>
      </x:c>
    </x:row>
    <x:row r="150">
      <x:c r="A150" s="339" t="str">
        <x:v>VAL-00149</x:v>
      </x:c>
      <x:c r="B150" s="339" t="str">
        <x:v>SCR-069</x:v>
      </x:c>
      <x:c r="C150" s="339" t="str">
        <x:v>Students</x:v>
      </x:c>
      <x:c r="D150" s="339" t="str">
        <x:v>Promotion / Transfer</x:v>
      </x:c>
      <x:c r="E150" s="339" t="str">
        <x:v>Authorization &amp; scope</x:v>
      </x:c>
      <x:c r="F150" s="339" t="str">
        <x:v>User must have permission for the screen/action and the target record must be inside tenant/school/branch/class scope.</x:v>
      </x:c>
      <x:c r="G150" s="339" t="str">
        <x:v>You do not have permission to perform this action.</x:v>
      </x:c>
      <x:c r="H150" s="339" t="str">
        <x:v>On load and submit</x:v>
      </x:c>
      <x:c r="I150" s="339" t="str">
        <x:v>Yes</x:v>
      </x:c>
    </x:row>
    <x:row r="151">
      <x:c r="A151" s="339" t="str">
        <x:v>VAL-00150</x:v>
      </x:c>
      <x:c r="B151" s="339" t="str">
        <x:v>SCR-069</x:v>
      </x:c>
      <x:c r="C151" s="339" t="str">
        <x:v>Students</x:v>
      </x:c>
      <x:c r="D151" s="339" t="str">
        <x:v>Promotion / Transfer</x:v>
      </x:c>
      <x:c r="E151" s="339" t="str">
        <x:v>Required/effective references</x:v>
      </x:c>
      <x:c r="F151" s="339" t="str">
        <x:v>Selected master/reference values must exist, be active and effective for the transaction date.</x:v>
      </x:c>
      <x:c r="G151" s="339" t="str">
        <x:v>One or more selected values are no longer valid. Refresh and try again.</x:v>
      </x:c>
      <x:c r="H151" s="339" t="str">
        <x:v>On submit</x:v>
      </x:c>
      <x:c r="I151" s="339" t="str">
        <x:v>Yes</x:v>
      </x:c>
    </x:row>
    <x:row r="152">
      <x:c r="A152" s="339" t="str">
        <x:v>VAL-00151</x:v>
      </x:c>
      <x:c r="B152" s="339" t="str">
        <x:v>SCR-070</x:v>
      </x:c>
      <x:c r="C152" s="339" t="str">
        <x:v>Students</x:v>
      </x:c>
      <x:c r="D152" s="339" t="str">
        <x:v>Student Exit / Alumni Conversion</x:v>
      </x:c>
      <x:c r="E152" s="339" t="str">
        <x:v>Authorization &amp; scope</x:v>
      </x:c>
      <x:c r="F152" s="339" t="str">
        <x:v>User must have permission for the screen/action and the target record must be inside tenant/school/branch/class scope.</x:v>
      </x:c>
      <x:c r="G152" s="339" t="str">
        <x:v>You do not have permission to perform this action.</x:v>
      </x:c>
      <x:c r="H152" s="339" t="str">
        <x:v>On load and submit</x:v>
      </x:c>
      <x:c r="I152" s="339" t="str">
        <x:v>Yes</x:v>
      </x:c>
    </x:row>
    <x:row r="153">
      <x:c r="A153" s="339" t="str">
        <x:v>VAL-00152</x:v>
      </x:c>
      <x:c r="B153" s="339" t="str">
        <x:v>SCR-070</x:v>
      </x:c>
      <x:c r="C153" s="339" t="str">
        <x:v>Students</x:v>
      </x:c>
      <x:c r="D153" s="339" t="str">
        <x:v>Student Exit / Alumni Conversion</x:v>
      </x:c>
      <x:c r="E153" s="339" t="str">
        <x:v>Required/effective references</x:v>
      </x:c>
      <x:c r="F153" s="339" t="str">
        <x:v>Selected master/reference values must exist, be active and effective for the transaction date.</x:v>
      </x:c>
      <x:c r="G153" s="339" t="str">
        <x:v>One or more selected values are no longer valid. Refresh and try again.</x:v>
      </x:c>
      <x:c r="H153" s="339" t="str">
        <x:v>On submit</x:v>
      </x:c>
      <x:c r="I153" s="339" t="str">
        <x:v>Yes</x:v>
      </x:c>
    </x:row>
    <x:row r="154">
      <x:c r="A154" s="339" t="str">
        <x:v>VAL-00153</x:v>
      </x:c>
      <x:c r="B154" s="339" t="str">
        <x:v>SCR-071</x:v>
      </x:c>
      <x:c r="C154" s="339" t="str">
        <x:v>Parents &amp; Guardians</x:v>
      </x:c>
      <x:c r="D154" s="339" t="str">
        <x:v>Parent / Guardian Directory</x:v>
      </x:c>
      <x:c r="E154" s="339" t="str">
        <x:v>Authorization &amp; scope</x:v>
      </x:c>
      <x:c r="F154" s="339" t="str">
        <x:v>User must have permission for the screen/action and the target record must be inside tenant/school/branch/class scope.</x:v>
      </x:c>
      <x:c r="G154" s="339" t="str">
        <x:v>You do not have permission to perform this action.</x:v>
      </x:c>
      <x:c r="H154" s="339" t="str">
        <x:v>On load and submit</x:v>
      </x:c>
      <x:c r="I154" s="339" t="str">
        <x:v>Yes</x:v>
      </x:c>
    </x:row>
    <x:row r="155">
      <x:c r="A155" s="339" t="str">
        <x:v>VAL-00154</x:v>
      </x:c>
      <x:c r="B155" s="339" t="str">
        <x:v>SCR-071</x:v>
      </x:c>
      <x:c r="C155" s="339" t="str">
        <x:v>Parents &amp; Guardians</x:v>
      </x:c>
      <x:c r="D155" s="339" t="str">
        <x:v>Parent / Guardian Directory</x:v>
      </x:c>
      <x:c r="E155" s="339" t="str">
        <x:v>Required/effective references</x:v>
      </x:c>
      <x:c r="F155" s="339" t="str">
        <x:v>Selected master/reference values must exist, be active and effective for the transaction date.</x:v>
      </x:c>
      <x:c r="G155" s="339" t="str">
        <x:v>One or more selected values are no longer valid. Refresh and try again.</x:v>
      </x:c>
      <x:c r="H155" s="339" t="str">
        <x:v>On submit</x:v>
      </x:c>
      <x:c r="I155" s="339" t="str">
        <x:v>Yes</x:v>
      </x:c>
    </x:row>
    <x:row r="156">
      <x:c r="A156" s="339" t="str">
        <x:v>VAL-00155</x:v>
      </x:c>
      <x:c r="B156" s="339" t="str">
        <x:v>SCR-072</x:v>
      </x:c>
      <x:c r="C156" s="339" t="str">
        <x:v>Parents &amp; Guardians</x:v>
      </x:c>
      <x:c r="D156" s="339" t="str">
        <x:v>Add Parent / Guardian</x:v>
      </x:c>
      <x:c r="E156" s="339" t="str">
        <x:v>Authorization &amp; scope</x:v>
      </x:c>
      <x:c r="F156" s="339" t="str">
        <x:v>User must have permission for the screen/action and the target record must be inside tenant/school/branch/class scope.</x:v>
      </x:c>
      <x:c r="G156" s="339" t="str">
        <x:v>You do not have permission to perform this action.</x:v>
      </x:c>
      <x:c r="H156" s="339" t="str">
        <x:v>On load and submit</x:v>
      </x:c>
      <x:c r="I156" s="339" t="str">
        <x:v>Yes</x:v>
      </x:c>
    </x:row>
    <x:row r="157">
      <x:c r="A157" s="339" t="str">
        <x:v>VAL-00156</x:v>
      </x:c>
      <x:c r="B157" s="339" t="str">
        <x:v>SCR-072</x:v>
      </x:c>
      <x:c r="C157" s="339" t="str">
        <x:v>Parents &amp; Guardians</x:v>
      </x:c>
      <x:c r="D157" s="339" t="str">
        <x:v>Add Parent / Guardian</x:v>
      </x:c>
      <x:c r="E157" s="339" t="str">
        <x:v>Required/effective references</x:v>
      </x:c>
      <x:c r="F157" s="339" t="str">
        <x:v>Selected master/reference values must exist, be active and effective for the transaction date.</x:v>
      </x:c>
      <x:c r="G157" s="339" t="str">
        <x:v>One or more selected values are no longer valid. Refresh and try again.</x:v>
      </x:c>
      <x:c r="H157" s="339" t="str">
        <x:v>On submit</x:v>
      </x:c>
      <x:c r="I157" s="339" t="str">
        <x:v>Yes</x:v>
      </x:c>
    </x:row>
    <x:row r="158">
      <x:c r="A158" s="339" t="str">
        <x:v>VAL-00157</x:v>
      </x:c>
      <x:c r="B158" s="339" t="str">
        <x:v>SCR-073</x:v>
      </x:c>
      <x:c r="C158" s="339" t="str">
        <x:v>Parents &amp; Guardians</x:v>
      </x:c>
      <x:c r="D158" s="339" t="str">
        <x:v>Parent Profile</x:v>
      </x:c>
      <x:c r="E158" s="339" t="str">
        <x:v>Authorization &amp; scope</x:v>
      </x:c>
      <x:c r="F158" s="339" t="str">
        <x:v>User must have permission for the screen/action and the target record must be inside tenant/school/branch/class scope.</x:v>
      </x:c>
      <x:c r="G158" s="339" t="str">
        <x:v>You do not have permission to perform this action.</x:v>
      </x:c>
      <x:c r="H158" s="339" t="str">
        <x:v>On load and submit</x:v>
      </x:c>
      <x:c r="I158" s="339" t="str">
        <x:v>Yes</x:v>
      </x:c>
    </x:row>
    <x:row r="159">
      <x:c r="A159" s="339" t="str">
        <x:v>VAL-00158</x:v>
      </x:c>
      <x:c r="B159" s="339" t="str">
        <x:v>SCR-073</x:v>
      </x:c>
      <x:c r="C159" s="339" t="str">
        <x:v>Parents &amp; Guardians</x:v>
      </x:c>
      <x:c r="D159" s="339" t="str">
        <x:v>Parent Profile</x:v>
      </x:c>
      <x:c r="E159" s="339" t="str">
        <x:v>Required/effective references</x:v>
      </x:c>
      <x:c r="F159" s="339" t="str">
        <x:v>Selected master/reference values must exist, be active and effective for the transaction date.</x:v>
      </x:c>
      <x:c r="G159" s="339" t="str">
        <x:v>One or more selected values are no longer valid. Refresh and try again.</x:v>
      </x:c>
      <x:c r="H159" s="339" t="str">
        <x:v>On submit</x:v>
      </x:c>
      <x:c r="I159" s="339" t="str">
        <x:v>Yes</x:v>
      </x:c>
    </x:row>
    <x:row r="160">
      <x:c r="A160" s="339" t="str">
        <x:v>VAL-00159</x:v>
      </x:c>
      <x:c r="B160" s="339" t="str">
        <x:v>SCR-074</x:v>
      </x:c>
      <x:c r="C160" s="339" t="str">
        <x:v>Parents &amp; Guardians</x:v>
      </x:c>
      <x:c r="D160" s="339" t="str">
        <x:v>Link Children</x:v>
      </x:c>
      <x:c r="E160" s="339" t="str">
        <x:v>Authorization &amp; scope</x:v>
      </x:c>
      <x:c r="F160" s="339" t="str">
        <x:v>User must have permission for the screen/action and the target record must be inside tenant/school/branch/class scope.</x:v>
      </x:c>
      <x:c r="G160" s="339" t="str">
        <x:v>You do not have permission to perform this action.</x:v>
      </x:c>
      <x:c r="H160" s="339" t="str">
        <x:v>On load and submit</x:v>
      </x:c>
      <x:c r="I160" s="339" t="str">
        <x:v>Yes</x:v>
      </x:c>
    </x:row>
    <x:row r="161">
      <x:c r="A161" s="339" t="str">
        <x:v>VAL-00160</x:v>
      </x:c>
      <x:c r="B161" s="339" t="str">
        <x:v>SCR-074</x:v>
      </x:c>
      <x:c r="C161" s="339" t="str">
        <x:v>Parents &amp; Guardians</x:v>
      </x:c>
      <x:c r="D161" s="339" t="str">
        <x:v>Link Children</x:v>
      </x:c>
      <x:c r="E161" s="339" t="str">
        <x:v>Required/effective references</x:v>
      </x:c>
      <x:c r="F161" s="339" t="str">
        <x:v>Selected master/reference values must exist, be active and effective for the transaction date.</x:v>
      </x:c>
      <x:c r="G161" s="339" t="str">
        <x:v>One or more selected values are no longer valid. Refresh and try again.</x:v>
      </x:c>
      <x:c r="H161" s="339" t="str">
        <x:v>On submit</x:v>
      </x:c>
      <x:c r="I161" s="339" t="str">
        <x:v>Yes</x:v>
      </x:c>
    </x:row>
    <x:row r="162">
      <x:c r="A162" s="339" t="str">
        <x:v>VAL-00161</x:v>
      </x:c>
      <x:c r="B162" s="339" t="str">
        <x:v>SCR-075</x:v>
      </x:c>
      <x:c r="C162" s="339" t="str">
        <x:v>Parents &amp; Guardians</x:v>
      </x:c>
      <x:c r="D162" s="339" t="str">
        <x:v>Communication Preferences</x:v>
      </x:c>
      <x:c r="E162" s="339" t="str">
        <x:v>Authorization &amp; scope</x:v>
      </x:c>
      <x:c r="F162" s="339" t="str">
        <x:v>User must have permission for the screen/action and the target record must be inside tenant/school/branch/class scope.</x:v>
      </x:c>
      <x:c r="G162" s="339" t="str">
        <x:v>You do not have permission to perform this action.</x:v>
      </x:c>
      <x:c r="H162" s="339" t="str">
        <x:v>On load and submit</x:v>
      </x:c>
      <x:c r="I162" s="339" t="str">
        <x:v>Yes</x:v>
      </x:c>
    </x:row>
    <x:row r="163">
      <x:c r="A163" s="339" t="str">
        <x:v>VAL-00162</x:v>
      </x:c>
      <x:c r="B163" s="339" t="str">
        <x:v>SCR-075</x:v>
      </x:c>
      <x:c r="C163" s="339" t="str">
        <x:v>Parents &amp; Guardians</x:v>
      </x:c>
      <x:c r="D163" s="339" t="str">
        <x:v>Communication Preferences</x:v>
      </x:c>
      <x:c r="E163" s="339" t="str">
        <x:v>Required/effective references</x:v>
      </x:c>
      <x:c r="F163" s="339" t="str">
        <x:v>Selected master/reference values must exist, be active and effective for the transaction date.</x:v>
      </x:c>
      <x:c r="G163" s="339" t="str">
        <x:v>One or more selected values are no longer valid. Refresh and try again.</x:v>
      </x:c>
      <x:c r="H163" s="339" t="str">
        <x:v>On submit</x:v>
      </x:c>
      <x:c r="I163" s="339" t="str">
        <x:v>Yes</x:v>
      </x:c>
    </x:row>
    <x:row r="164">
      <x:c r="A164" s="339" t="str">
        <x:v>VAL-00163</x:v>
      </x:c>
      <x:c r="B164" s="339" t="str">
        <x:v>SCR-076</x:v>
      </x:c>
      <x:c r="C164" s="339" t="str">
        <x:v>Parents &amp; Guardians</x:v>
      </x:c>
      <x:c r="D164" s="339" t="str">
        <x:v>Parent Login Access</x:v>
      </x:c>
      <x:c r="E164" s="339" t="str">
        <x:v>Authorization &amp; scope</x:v>
      </x:c>
      <x:c r="F164" s="339" t="str">
        <x:v>User must have permission for the screen/action and the target record must be inside tenant/school/branch/class scope.</x:v>
      </x:c>
      <x:c r="G164" s="339" t="str">
        <x:v>You do not have permission to perform this action.</x:v>
      </x:c>
      <x:c r="H164" s="339" t="str">
        <x:v>On load and submit</x:v>
      </x:c>
      <x:c r="I164" s="339" t="str">
        <x:v>Yes</x:v>
      </x:c>
    </x:row>
    <x:row r="165">
      <x:c r="A165" s="339" t="str">
        <x:v>VAL-00164</x:v>
      </x:c>
      <x:c r="B165" s="339" t="str">
        <x:v>SCR-076</x:v>
      </x:c>
      <x:c r="C165" s="339" t="str">
        <x:v>Parents &amp; Guardians</x:v>
      </x:c>
      <x:c r="D165" s="339" t="str">
        <x:v>Parent Login Access</x:v>
      </x:c>
      <x:c r="E165" s="339" t="str">
        <x:v>Required/effective references</x:v>
      </x:c>
      <x:c r="F165" s="339" t="str">
        <x:v>Selected master/reference values must exist, be active and effective for the transaction date.</x:v>
      </x:c>
      <x:c r="G165" s="339" t="str">
        <x:v>One or more selected values are no longer valid. Refresh and try again.</x:v>
      </x:c>
      <x:c r="H165" s="339" t="str">
        <x:v>On submit</x:v>
      </x:c>
      <x:c r="I165" s="339" t="str">
        <x:v>Yes</x:v>
      </x:c>
    </x:row>
    <x:row r="166">
      <x:c r="A166" s="339" t="str">
        <x:v>VAL-00165</x:v>
      </x:c>
      <x:c r="B166" s="339" t="str">
        <x:v>SCR-077</x:v>
      </x:c>
      <x:c r="C166" s="339" t="str">
        <x:v>Parents &amp; Guardians</x:v>
      </x:c>
      <x:c r="D166" s="339" t="str">
        <x:v>Parent-Teacher Interactions</x:v>
      </x:c>
      <x:c r="E166" s="339" t="str">
        <x:v>Authorization &amp; scope</x:v>
      </x:c>
      <x:c r="F166" s="339" t="str">
        <x:v>User must have permission for the screen/action and the target record must be inside tenant/school/branch/class scope.</x:v>
      </x:c>
      <x:c r="G166" s="339" t="str">
        <x:v>You do not have permission to perform this action.</x:v>
      </x:c>
      <x:c r="H166" s="339" t="str">
        <x:v>On load and submit</x:v>
      </x:c>
      <x:c r="I166" s="339" t="str">
        <x:v>Yes</x:v>
      </x:c>
    </x:row>
    <x:row r="167">
      <x:c r="A167" s="339" t="str">
        <x:v>VAL-00166</x:v>
      </x:c>
      <x:c r="B167" s="339" t="str">
        <x:v>SCR-077</x:v>
      </x:c>
      <x:c r="C167" s="339" t="str">
        <x:v>Parents &amp; Guardians</x:v>
      </x:c>
      <x:c r="D167" s="339" t="str">
        <x:v>Parent-Teacher Interactions</x:v>
      </x:c>
      <x:c r="E167" s="339" t="str">
        <x:v>Required/effective references</x:v>
      </x:c>
      <x:c r="F167" s="339" t="str">
        <x:v>Selected master/reference values must exist, be active and effective for the transaction date.</x:v>
      </x:c>
      <x:c r="G167" s="339" t="str">
        <x:v>One or more selected values are no longer valid. Refresh and try again.</x:v>
      </x:c>
      <x:c r="H167" s="339" t="str">
        <x:v>On submit</x:v>
      </x:c>
      <x:c r="I167" s="339" t="str">
        <x:v>Yes</x:v>
      </x:c>
    </x:row>
    <x:row r="168">
      <x:c r="A168" s="339" t="str">
        <x:v>VAL-00167</x:v>
      </x:c>
      <x:c r="B168" s="339" t="str">
        <x:v>SCR-078</x:v>
      </x:c>
      <x:c r="C168" s="339" t="str">
        <x:v>Parents &amp; Guardians</x:v>
      </x:c>
      <x:c r="D168" s="339" t="str">
        <x:v>Parent Payments &amp; Receipts</x:v>
      </x:c>
      <x:c r="E168" s="339" t="str">
        <x:v>Authorization &amp; scope</x:v>
      </x:c>
      <x:c r="F168" s="339" t="str">
        <x:v>User must have permission for the screen/action and the target record must be inside tenant/school/branch/class scope.</x:v>
      </x:c>
      <x:c r="G168" s="339" t="str">
        <x:v>You do not have permission to perform this action.</x:v>
      </x:c>
      <x:c r="H168" s="339" t="str">
        <x:v>On load and submit</x:v>
      </x:c>
      <x:c r="I168" s="339" t="str">
        <x:v>Yes</x:v>
      </x:c>
    </x:row>
    <x:row r="169">
      <x:c r="A169" s="339" t="str">
        <x:v>VAL-00168</x:v>
      </x:c>
      <x:c r="B169" s="339" t="str">
        <x:v>SCR-078</x:v>
      </x:c>
      <x:c r="C169" s="339" t="str">
        <x:v>Parents &amp; Guardians</x:v>
      </x:c>
      <x:c r="D169" s="339" t="str">
        <x:v>Parent Payments &amp; Receipts</x:v>
      </x:c>
      <x:c r="E169" s="339" t="str">
        <x:v>Required/effective references</x:v>
      </x:c>
      <x:c r="F169" s="339" t="str">
        <x:v>Selected master/reference values must exist, be active and effective for the transaction date.</x:v>
      </x:c>
      <x:c r="G169" s="339" t="str">
        <x:v>One or more selected values are no longer valid. Refresh and try again.</x:v>
      </x:c>
      <x:c r="H169" s="339" t="str">
        <x:v>On submit</x:v>
      </x:c>
      <x:c r="I169" s="339" t="str">
        <x:v>Yes</x:v>
      </x:c>
    </x:row>
    <x:row r="170">
      <x:c r="A170" s="339" t="str">
        <x:v>VAL-00169</x:v>
      </x:c>
      <x:c r="B170" s="339" t="str">
        <x:v>SCR-079</x:v>
      </x:c>
      <x:c r="C170" s="339" t="str">
        <x:v>Parents &amp; Guardians</x:v>
      </x:c>
      <x:c r="D170" s="339" t="str">
        <x:v>Parent Activity History</x:v>
      </x:c>
      <x:c r="E170" s="339" t="str">
        <x:v>Authorization &amp; scope</x:v>
      </x:c>
      <x:c r="F170" s="339" t="str">
        <x:v>User must have permission for the screen/action and the target record must be inside tenant/school/branch/class scope.</x:v>
      </x:c>
      <x:c r="G170" s="339" t="str">
        <x:v>You do not have permission to perform this action.</x:v>
      </x:c>
      <x:c r="H170" s="339" t="str">
        <x:v>On load and submit</x:v>
      </x:c>
      <x:c r="I170" s="339" t="str">
        <x:v>Yes</x:v>
      </x:c>
    </x:row>
    <x:row r="171">
      <x:c r="A171" s="339" t="str">
        <x:v>VAL-00170</x:v>
      </x:c>
      <x:c r="B171" s="339" t="str">
        <x:v>SCR-079</x:v>
      </x:c>
      <x:c r="C171" s="339" t="str">
        <x:v>Parents &amp; Guardians</x:v>
      </x:c>
      <x:c r="D171" s="339" t="str">
        <x:v>Parent Activity History</x:v>
      </x:c>
      <x:c r="E171" s="339" t="str">
        <x:v>Required/effective references</x:v>
      </x:c>
      <x:c r="F171" s="339" t="str">
        <x:v>Selected master/reference values must exist, be active and effective for the transaction date.</x:v>
      </x:c>
      <x:c r="G171" s="339" t="str">
        <x:v>One or more selected values are no longer valid. Refresh and try again.</x:v>
      </x:c>
      <x:c r="H171" s="339" t="str">
        <x:v>On submit</x:v>
      </x:c>
      <x:c r="I171" s="339" t="str">
        <x:v>Yes</x:v>
      </x:c>
    </x:row>
    <x:row r="172">
      <x:c r="A172" s="339" t="str">
        <x:v>VAL-00171</x:v>
      </x:c>
      <x:c r="B172" s="339" t="str">
        <x:v>SCR-080</x:v>
      </x:c>
      <x:c r="C172" s="339" t="str">
        <x:v>Teachers &amp; Staff</x:v>
      </x:c>
      <x:c r="D172" s="339" t="str">
        <x:v>Staff Directory</x:v>
      </x:c>
      <x:c r="E172" s="339" t="str">
        <x:v>Authorization &amp; scope</x:v>
      </x:c>
      <x:c r="F172" s="339" t="str">
        <x:v>User must have permission for the screen/action and the target record must be inside tenant/school/branch/class scope.</x:v>
      </x:c>
      <x:c r="G172" s="339" t="str">
        <x:v>You do not have permission to perform this action.</x:v>
      </x:c>
      <x:c r="H172" s="339" t="str">
        <x:v>On load and submit</x:v>
      </x:c>
      <x:c r="I172" s="339" t="str">
        <x:v>Yes</x:v>
      </x:c>
    </x:row>
    <x:row r="173">
      <x:c r="A173" s="339" t="str">
        <x:v>VAL-00172</x:v>
      </x:c>
      <x:c r="B173" s="339" t="str">
        <x:v>SCR-080</x:v>
      </x:c>
      <x:c r="C173" s="339" t="str">
        <x:v>Teachers &amp; Staff</x:v>
      </x:c>
      <x:c r="D173" s="339" t="str">
        <x:v>Staff Directory</x:v>
      </x:c>
      <x:c r="E173" s="339" t="str">
        <x:v>Required/effective references</x:v>
      </x:c>
      <x:c r="F173" s="339" t="str">
        <x:v>Selected master/reference values must exist, be active and effective for the transaction date.</x:v>
      </x:c>
      <x:c r="G173" s="339" t="str">
        <x:v>One or more selected values are no longer valid. Refresh and try again.</x:v>
      </x:c>
      <x:c r="H173" s="339" t="str">
        <x:v>On submit</x:v>
      </x:c>
      <x:c r="I173" s="339" t="str">
        <x:v>Yes</x:v>
      </x:c>
    </x:row>
    <x:row r="174">
      <x:c r="A174" s="339" t="str">
        <x:v>VAL-00173</x:v>
      </x:c>
      <x:c r="B174" s="339" t="str">
        <x:v>SCR-081</x:v>
      </x:c>
      <x:c r="C174" s="339" t="str">
        <x:v>Teachers &amp; Staff</x:v>
      </x:c>
      <x:c r="D174" s="339" t="str">
        <x:v>Add Staff</x:v>
      </x:c>
      <x:c r="E174" s="339" t="str">
        <x:v>Authorization &amp; scope</x:v>
      </x:c>
      <x:c r="F174" s="339" t="str">
        <x:v>User must have permission for the screen/action and the target record must be inside tenant/school/branch/class scope.</x:v>
      </x:c>
      <x:c r="G174" s="339" t="str">
        <x:v>You do not have permission to perform this action.</x:v>
      </x:c>
      <x:c r="H174" s="339" t="str">
        <x:v>On load and submit</x:v>
      </x:c>
      <x:c r="I174" s="339" t="str">
        <x:v>Yes</x:v>
      </x:c>
    </x:row>
    <x:row r="175">
      <x:c r="A175" s="339" t="str">
        <x:v>VAL-00174</x:v>
      </x:c>
      <x:c r="B175" s="339" t="str">
        <x:v>SCR-081</x:v>
      </x:c>
      <x:c r="C175" s="339" t="str">
        <x:v>Teachers &amp; Staff</x:v>
      </x:c>
      <x:c r="D175" s="339" t="str">
        <x:v>Add Staff</x:v>
      </x:c>
      <x:c r="E175" s="339" t="str">
        <x:v>Required/effective references</x:v>
      </x:c>
      <x:c r="F175" s="339" t="str">
        <x:v>Selected master/reference values must exist, be active and effective for the transaction date.</x:v>
      </x:c>
      <x:c r="G175" s="339" t="str">
        <x:v>One or more selected values are no longer valid. Refresh and try again.</x:v>
      </x:c>
      <x:c r="H175" s="339" t="str">
        <x:v>On submit</x:v>
      </x:c>
      <x:c r="I175" s="339" t="str">
        <x:v>Yes</x:v>
      </x:c>
    </x:row>
    <x:row r="176">
      <x:c r="A176" s="339" t="str">
        <x:v>VAL-00175</x:v>
      </x:c>
      <x:c r="B176" s="339" t="str">
        <x:v>SCR-082</x:v>
      </x:c>
      <x:c r="C176" s="339" t="str">
        <x:v>Teachers &amp; Staff</x:v>
      </x:c>
      <x:c r="D176" s="339" t="str">
        <x:v>Staff Profile</x:v>
      </x:c>
      <x:c r="E176" s="339" t="str">
        <x:v>Authorization &amp; scope</x:v>
      </x:c>
      <x:c r="F176" s="339" t="str">
        <x:v>User must have permission for the screen/action and the target record must be inside tenant/school/branch/class scope.</x:v>
      </x:c>
      <x:c r="G176" s="339" t="str">
        <x:v>You do not have permission to perform this action.</x:v>
      </x:c>
      <x:c r="H176" s="339" t="str">
        <x:v>On load and submit</x:v>
      </x:c>
      <x:c r="I176" s="339" t="str">
        <x:v>Yes</x:v>
      </x:c>
    </x:row>
    <x:row r="177">
      <x:c r="A177" s="339" t="str">
        <x:v>VAL-00176</x:v>
      </x:c>
      <x:c r="B177" s="339" t="str">
        <x:v>SCR-082</x:v>
      </x:c>
      <x:c r="C177" s="339" t="str">
        <x:v>Teachers &amp; Staff</x:v>
      </x:c>
      <x:c r="D177" s="339" t="str">
        <x:v>Staff Profile</x:v>
      </x:c>
      <x:c r="E177" s="339" t="str">
        <x:v>Required/effective references</x:v>
      </x:c>
      <x:c r="F177" s="339" t="str">
        <x:v>Selected master/reference values must exist, be active and effective for the transaction date.</x:v>
      </x:c>
      <x:c r="G177" s="339" t="str">
        <x:v>One or more selected values are no longer valid. Refresh and try again.</x:v>
      </x:c>
      <x:c r="H177" s="339" t="str">
        <x:v>On submit</x:v>
      </x:c>
      <x:c r="I177" s="339" t="str">
        <x:v>Yes</x:v>
      </x:c>
    </x:row>
    <x:row r="178">
      <x:c r="A178" s="339" t="str">
        <x:v>VAL-00177</x:v>
      </x:c>
      <x:c r="B178" s="339" t="str">
        <x:v>SCR-083</x:v>
      </x:c>
      <x:c r="C178" s="339" t="str">
        <x:v>Teachers &amp; Staff</x:v>
      </x:c>
      <x:c r="D178" s="339" t="str">
        <x:v>Edit Staff</x:v>
      </x:c>
      <x:c r="E178" s="339" t="str">
        <x:v>Authorization &amp; scope</x:v>
      </x:c>
      <x:c r="F178" s="339" t="str">
        <x:v>User must have permission for the screen/action and the target record must be inside tenant/school/branch/class scope.</x:v>
      </x:c>
      <x:c r="G178" s="339" t="str">
        <x:v>You do not have permission to perform this action.</x:v>
      </x:c>
      <x:c r="H178" s="339" t="str">
        <x:v>On load and submit</x:v>
      </x:c>
      <x:c r="I178" s="339" t="str">
        <x:v>Yes</x:v>
      </x:c>
    </x:row>
    <x:row r="179">
      <x:c r="A179" s="339" t="str">
        <x:v>VAL-00178</x:v>
      </x:c>
      <x:c r="B179" s="339" t="str">
        <x:v>SCR-083</x:v>
      </x:c>
      <x:c r="C179" s="339" t="str">
        <x:v>Teachers &amp; Staff</x:v>
      </x:c>
      <x:c r="D179" s="339" t="str">
        <x:v>Edit Staff</x:v>
      </x:c>
      <x:c r="E179" s="339" t="str">
        <x:v>Required/effective references</x:v>
      </x:c>
      <x:c r="F179" s="339" t="str">
        <x:v>Selected master/reference values must exist, be active and effective for the transaction date.</x:v>
      </x:c>
      <x:c r="G179" s="339" t="str">
        <x:v>One or more selected values are no longer valid. Refresh and try again.</x:v>
      </x:c>
      <x:c r="H179" s="339" t="str">
        <x:v>On submit</x:v>
      </x:c>
      <x:c r="I179" s="339" t="str">
        <x:v>Yes</x:v>
      </x:c>
    </x:row>
    <x:row r="180">
      <x:c r="A180" s="339" t="str">
        <x:v>VAL-00179</x:v>
      </x:c>
      <x:c r="B180" s="339" t="str">
        <x:v>SCR-084</x:v>
      </x:c>
      <x:c r="C180" s="339" t="str">
        <x:v>Teachers &amp; Staff</x:v>
      </x:c>
      <x:c r="D180" s="339" t="str">
        <x:v>Teacher Allocation</x:v>
      </x:c>
      <x:c r="E180" s="339" t="str">
        <x:v>Authorization &amp; scope</x:v>
      </x:c>
      <x:c r="F180" s="339" t="str">
        <x:v>User must have permission for the screen/action and the target record must be inside tenant/school/branch/class scope.</x:v>
      </x:c>
      <x:c r="G180" s="339" t="str">
        <x:v>You do not have permission to perform this action.</x:v>
      </x:c>
      <x:c r="H180" s="339" t="str">
        <x:v>On load and submit</x:v>
      </x:c>
      <x:c r="I180" s="339" t="str">
        <x:v>Yes</x:v>
      </x:c>
    </x:row>
    <x:row r="181">
      <x:c r="A181" s="339" t="str">
        <x:v>VAL-00180</x:v>
      </x:c>
      <x:c r="B181" s="339" t="str">
        <x:v>SCR-084</x:v>
      </x:c>
      <x:c r="C181" s="339" t="str">
        <x:v>Teachers &amp; Staff</x:v>
      </x:c>
      <x:c r="D181" s="339" t="str">
        <x:v>Teacher Allocation</x:v>
      </x:c>
      <x:c r="E181" s="339" t="str">
        <x:v>Required/effective references</x:v>
      </x:c>
      <x:c r="F181" s="339" t="str">
        <x:v>Selected master/reference values must exist, be active and effective for the transaction date.</x:v>
      </x:c>
      <x:c r="G181" s="339" t="str">
        <x:v>One or more selected values are no longer valid. Refresh and try again.</x:v>
      </x:c>
      <x:c r="H181" s="339" t="str">
        <x:v>On submit</x:v>
      </x:c>
      <x:c r="I181" s="339" t="str">
        <x:v>Yes</x:v>
      </x:c>
    </x:row>
    <x:row r="182">
      <x:c r="A182" s="339" t="str">
        <x:v>VAL-00181</x:v>
      </x:c>
      <x:c r="B182" s="339" t="str">
        <x:v>SCR-085</x:v>
      </x:c>
      <x:c r="C182" s="339" t="str">
        <x:v>Teachers &amp; Staff</x:v>
      </x:c>
      <x:c r="D182" s="339" t="str">
        <x:v>Subject &amp; Class Assignment</x:v>
      </x:c>
      <x:c r="E182" s="339" t="str">
        <x:v>Authorization &amp; scope</x:v>
      </x:c>
      <x:c r="F182" s="339" t="str">
        <x:v>User must have permission for the screen/action and the target record must be inside tenant/school/branch/class scope.</x:v>
      </x:c>
      <x:c r="G182" s="339" t="str">
        <x:v>You do not have permission to perform this action.</x:v>
      </x:c>
      <x:c r="H182" s="339" t="str">
        <x:v>On load and submit</x:v>
      </x:c>
      <x:c r="I182" s="339" t="str">
        <x:v>Yes</x:v>
      </x:c>
    </x:row>
    <x:row r="183">
      <x:c r="A183" s="339" t="str">
        <x:v>VAL-00182</x:v>
      </x:c>
      <x:c r="B183" s="339" t="str">
        <x:v>SCR-085</x:v>
      </x:c>
      <x:c r="C183" s="339" t="str">
        <x:v>Teachers &amp; Staff</x:v>
      </x:c>
      <x:c r="D183" s="339" t="str">
        <x:v>Subject &amp; Class Assignment</x:v>
      </x:c>
      <x:c r="E183" s="339" t="str">
        <x:v>Required/effective references</x:v>
      </x:c>
      <x:c r="F183" s="339" t="str">
        <x:v>Selected master/reference values must exist, be active and effective for the transaction date.</x:v>
      </x:c>
      <x:c r="G183" s="339" t="str">
        <x:v>One or more selected values are no longer valid. Refresh and try again.</x:v>
      </x:c>
      <x:c r="H183" s="339" t="str">
        <x:v>On submit</x:v>
      </x:c>
      <x:c r="I183" s="339" t="str">
        <x:v>Yes</x:v>
      </x:c>
    </x:row>
    <x:row r="184">
      <x:c r="A184" s="339" t="str">
        <x:v>VAL-00183</x:v>
      </x:c>
      <x:c r="B184" s="339" t="str">
        <x:v>SCR-086</x:v>
      </x:c>
      <x:c r="C184" s="339" t="str">
        <x:v>Teachers &amp; Staff</x:v>
      </x:c>
      <x:c r="D184" s="339" t="str">
        <x:v>Teacher Workload</x:v>
      </x:c>
      <x:c r="E184" s="339" t="str">
        <x:v>Authorization &amp; scope</x:v>
      </x:c>
      <x:c r="F184" s="339" t="str">
        <x:v>User must have permission for the screen/action and the target record must be inside tenant/school/branch/class scope.</x:v>
      </x:c>
      <x:c r="G184" s="339" t="str">
        <x:v>You do not have permission to perform this action.</x:v>
      </x:c>
      <x:c r="H184" s="339" t="str">
        <x:v>On load and submit</x:v>
      </x:c>
      <x:c r="I184" s="339" t="str">
        <x:v>Yes</x:v>
      </x:c>
    </x:row>
    <x:row r="185">
      <x:c r="A185" s="339" t="str">
        <x:v>VAL-00184</x:v>
      </x:c>
      <x:c r="B185" s="339" t="str">
        <x:v>SCR-086</x:v>
      </x:c>
      <x:c r="C185" s="339" t="str">
        <x:v>Teachers &amp; Staff</x:v>
      </x:c>
      <x:c r="D185" s="339" t="str">
        <x:v>Teacher Workload</x:v>
      </x:c>
      <x:c r="E185" s="339" t="str">
        <x:v>Required/effective references</x:v>
      </x:c>
      <x:c r="F185" s="339" t="str">
        <x:v>Selected master/reference values must exist, be active and effective for the transaction date.</x:v>
      </x:c>
      <x:c r="G185" s="339" t="str">
        <x:v>One or more selected values are no longer valid. Refresh and try again.</x:v>
      </x:c>
      <x:c r="H185" s="339" t="str">
        <x:v>On submit</x:v>
      </x:c>
      <x:c r="I185" s="339" t="str">
        <x:v>Yes</x:v>
      </x:c>
    </x:row>
    <x:row r="186">
      <x:c r="A186" s="339" t="str">
        <x:v>VAL-00185</x:v>
      </x:c>
      <x:c r="B186" s="339" t="str">
        <x:v>SCR-087</x:v>
      </x:c>
      <x:c r="C186" s="339" t="str">
        <x:v>Teachers &amp; Staff</x:v>
      </x:c>
      <x:c r="D186" s="339" t="str">
        <x:v>Qualifications &amp; Documents</x:v>
      </x:c>
      <x:c r="E186" s="339" t="str">
        <x:v>Authorization &amp; scope</x:v>
      </x:c>
      <x:c r="F186" s="339" t="str">
        <x:v>User must have permission for the screen/action and the target record must be inside tenant/school/branch/class scope.</x:v>
      </x:c>
      <x:c r="G186" s="339" t="str">
        <x:v>You do not have permission to perform this action.</x:v>
      </x:c>
      <x:c r="H186" s="339" t="str">
        <x:v>On load and submit</x:v>
      </x:c>
      <x:c r="I186" s="339" t="str">
        <x:v>Yes</x:v>
      </x:c>
    </x:row>
    <x:row r="187">
      <x:c r="A187" s="339" t="str">
        <x:v>VAL-00186</x:v>
      </x:c>
      <x:c r="B187" s="339" t="str">
        <x:v>SCR-087</x:v>
      </x:c>
      <x:c r="C187" s="339" t="str">
        <x:v>Teachers &amp; Staff</x:v>
      </x:c>
      <x:c r="D187" s="339" t="str">
        <x:v>Qualifications &amp; Documents</x:v>
      </x:c>
      <x:c r="E187" s="339" t="str">
        <x:v>Required/effective references</x:v>
      </x:c>
      <x:c r="F187" s="339" t="str">
        <x:v>Selected master/reference values must exist, be active and effective for the transaction date.</x:v>
      </x:c>
      <x:c r="G187" s="339" t="str">
        <x:v>One or more selected values are no longer valid. Refresh and try again.</x:v>
      </x:c>
      <x:c r="H187" s="339" t="str">
        <x:v>On submit</x:v>
      </x:c>
      <x:c r="I187" s="339" t="str">
        <x:v>Yes</x:v>
      </x:c>
    </x:row>
    <x:row r="188">
      <x:c r="A188" s="339" t="str">
        <x:v>VAL-00187</x:v>
      </x:c>
      <x:c r="B188" s="339" t="str">
        <x:v>SCR-088</x:v>
      </x:c>
      <x:c r="C188" s="339" t="str">
        <x:v>Teachers &amp; Staff</x:v>
      </x:c>
      <x:c r="D188" s="339" t="str">
        <x:v>Staff Attendance Summary</x:v>
      </x:c>
      <x:c r="E188" s="339" t="str">
        <x:v>Authorization &amp; scope</x:v>
      </x:c>
      <x:c r="F188" s="339" t="str">
        <x:v>User must have permission for the screen/action and the target record must be inside tenant/school/branch/class scope.</x:v>
      </x:c>
      <x:c r="G188" s="339" t="str">
        <x:v>You do not have permission to perform this action.</x:v>
      </x:c>
      <x:c r="H188" s="339" t="str">
        <x:v>On load and submit</x:v>
      </x:c>
      <x:c r="I188" s="339" t="str">
        <x:v>Yes</x:v>
      </x:c>
    </x:row>
    <x:row r="189">
      <x:c r="A189" s="339" t="str">
        <x:v>VAL-00188</x:v>
      </x:c>
      <x:c r="B189" s="339" t="str">
        <x:v>SCR-088</x:v>
      </x:c>
      <x:c r="C189" s="339" t="str">
        <x:v>Teachers &amp; Staff</x:v>
      </x:c>
      <x:c r="D189" s="339" t="str">
        <x:v>Staff Attendance Summary</x:v>
      </x:c>
      <x:c r="E189" s="339" t="str">
        <x:v>Required/effective references</x:v>
      </x:c>
      <x:c r="F189" s="339" t="str">
        <x:v>Selected master/reference values must exist, be active and effective for the transaction date.</x:v>
      </x:c>
      <x:c r="G189" s="339" t="str">
        <x:v>One or more selected values are no longer valid. Refresh and try again.</x:v>
      </x:c>
      <x:c r="H189" s="339" t="str">
        <x:v>On submit</x:v>
      </x:c>
      <x:c r="I189" s="339" t="str">
        <x:v>Yes</x:v>
      </x:c>
    </x:row>
    <x:row r="190">
      <x:c r="A190" s="339" t="str">
        <x:v>VAL-00189</x:v>
      </x:c>
      <x:c r="B190" s="339" t="str">
        <x:v>SCR-089</x:v>
      </x:c>
      <x:c r="C190" s="339" t="str">
        <x:v>Teachers &amp; Staff</x:v>
      </x:c>
      <x:c r="D190" s="339" t="str">
        <x:v>Staff Leave Summary</x:v>
      </x:c>
      <x:c r="E190" s="339" t="str">
        <x:v>Authorization &amp; scope</x:v>
      </x:c>
      <x:c r="F190" s="339" t="str">
        <x:v>User must have permission for the screen/action and the target record must be inside tenant/school/branch/class scope.</x:v>
      </x:c>
      <x:c r="G190" s="339" t="str">
        <x:v>You do not have permission to perform this action.</x:v>
      </x:c>
      <x:c r="H190" s="339" t="str">
        <x:v>On load and submit</x:v>
      </x:c>
      <x:c r="I190" s="339" t="str">
        <x:v>Yes</x:v>
      </x:c>
    </x:row>
    <x:row r="191">
      <x:c r="A191" s="339" t="str">
        <x:v>VAL-00190</x:v>
      </x:c>
      <x:c r="B191" s="339" t="str">
        <x:v>SCR-089</x:v>
      </x:c>
      <x:c r="C191" s="339" t="str">
        <x:v>Teachers &amp; Staff</x:v>
      </x:c>
      <x:c r="D191" s="339" t="str">
        <x:v>Staff Leave Summary</x:v>
      </x:c>
      <x:c r="E191" s="339" t="str">
        <x:v>Required/effective references</x:v>
      </x:c>
      <x:c r="F191" s="339" t="str">
        <x:v>Selected master/reference values must exist, be active and effective for the transaction date.</x:v>
      </x:c>
      <x:c r="G191" s="339" t="str">
        <x:v>One or more selected values are no longer valid. Refresh and try again.</x:v>
      </x:c>
      <x:c r="H191" s="339" t="str">
        <x:v>On submit</x:v>
      </x:c>
      <x:c r="I191" s="339" t="str">
        <x:v>Yes</x:v>
      </x:c>
    </x:row>
    <x:row r="192">
      <x:c r="A192" s="339" t="str">
        <x:v>VAL-00191</x:v>
      </x:c>
      <x:c r="B192" s="339" t="str">
        <x:v>SCR-090</x:v>
      </x:c>
      <x:c r="C192" s="339" t="str">
        <x:v>Teachers &amp; Staff</x:v>
      </x:c>
      <x:c r="D192" s="339" t="str">
        <x:v>Performance &amp; Classroom Observation</x:v>
      </x:c>
      <x:c r="E192" s="339" t="str">
        <x:v>Authorization &amp; scope</x:v>
      </x:c>
      <x:c r="F192" s="339" t="str">
        <x:v>User must have permission for the screen/action and the target record must be inside tenant/school/branch/class scope.</x:v>
      </x:c>
      <x:c r="G192" s="339" t="str">
        <x:v>You do not have permission to perform this action.</x:v>
      </x:c>
      <x:c r="H192" s="339" t="str">
        <x:v>On load and submit</x:v>
      </x:c>
      <x:c r="I192" s="339" t="str">
        <x:v>Yes</x:v>
      </x:c>
    </x:row>
    <x:row r="193">
      <x:c r="A193" s="339" t="str">
        <x:v>VAL-00192</x:v>
      </x:c>
      <x:c r="B193" s="339" t="str">
        <x:v>SCR-090</x:v>
      </x:c>
      <x:c r="C193" s="339" t="str">
        <x:v>Teachers &amp; Staff</x:v>
      </x:c>
      <x:c r="D193" s="339" t="str">
        <x:v>Performance &amp; Classroom Observation</x:v>
      </x:c>
      <x:c r="E193" s="339" t="str">
        <x:v>Required/effective references</x:v>
      </x:c>
      <x:c r="F193" s="339" t="str">
        <x:v>Selected master/reference values must exist, be active and effective for the transaction date.</x:v>
      </x:c>
      <x:c r="G193" s="339" t="str">
        <x:v>One or more selected values are no longer valid. Refresh and try again.</x:v>
      </x:c>
      <x:c r="H193" s="339" t="str">
        <x:v>On submit</x:v>
      </x:c>
      <x:c r="I193" s="339" t="str">
        <x:v>Yes</x:v>
      </x:c>
    </x:row>
    <x:row r="194">
      <x:c r="A194" s="339" t="str">
        <x:v>VAL-00193</x:v>
      </x:c>
      <x:c r="B194" s="339" t="str">
        <x:v>SCR-091</x:v>
      </x:c>
      <x:c r="C194" s="339" t="str">
        <x:v>Teachers &amp; Staff</x:v>
      </x:c>
      <x:c r="D194" s="339" t="str">
        <x:v>Exit / Offboarding</x:v>
      </x:c>
      <x:c r="E194" s="339" t="str">
        <x:v>Authorization &amp; scope</x:v>
      </x:c>
      <x:c r="F194" s="339" t="str">
        <x:v>User must have permission for the screen/action and the target record must be inside tenant/school/branch/class scope.</x:v>
      </x:c>
      <x:c r="G194" s="339" t="str">
        <x:v>You do not have permission to perform this action.</x:v>
      </x:c>
      <x:c r="H194" s="339" t="str">
        <x:v>On load and submit</x:v>
      </x:c>
      <x:c r="I194" s="339" t="str">
        <x:v>Yes</x:v>
      </x:c>
    </x:row>
    <x:row r="195">
      <x:c r="A195" s="339" t="str">
        <x:v>VAL-00194</x:v>
      </x:c>
      <x:c r="B195" s="339" t="str">
        <x:v>SCR-091</x:v>
      </x:c>
      <x:c r="C195" s="339" t="str">
        <x:v>Teachers &amp; Staff</x:v>
      </x:c>
      <x:c r="D195" s="339" t="str">
        <x:v>Exit / Offboarding</x:v>
      </x:c>
      <x:c r="E195" s="339" t="str">
        <x:v>Required/effective references</x:v>
      </x:c>
      <x:c r="F195" s="339" t="str">
        <x:v>Selected master/reference values must exist, be active and effective for the transaction date.</x:v>
      </x:c>
      <x:c r="G195" s="339" t="str">
        <x:v>One or more selected values are no longer valid. Refresh and try again.</x:v>
      </x:c>
      <x:c r="H195" s="339" t="str">
        <x:v>On submit</x:v>
      </x:c>
      <x:c r="I195" s="339" t="str">
        <x:v>Yes</x:v>
      </x:c>
    </x:row>
    <x:row r="196">
      <x:c r="A196" s="339" t="str">
        <x:v>VAL-00195</x:v>
      </x:c>
      <x:c r="B196" s="339" t="str">
        <x:v>SCR-092</x:v>
      </x:c>
      <x:c r="C196" s="339" t="str">
        <x:v>Academics &amp; Curriculum</x:v>
      </x:c>
      <x:c r="D196" s="339" t="str">
        <x:v>Academic Years</x:v>
      </x:c>
      <x:c r="E196" s="339" t="str">
        <x:v>Authorization &amp; scope</x:v>
      </x:c>
      <x:c r="F196" s="339" t="str">
        <x:v>User must have permission for the screen/action and the target record must be inside tenant/school/branch/class scope.</x:v>
      </x:c>
      <x:c r="G196" s="339" t="str">
        <x:v>You do not have permission to perform this action.</x:v>
      </x:c>
      <x:c r="H196" s="339" t="str">
        <x:v>On load and submit</x:v>
      </x:c>
      <x:c r="I196" s="339" t="str">
        <x:v>Yes</x:v>
      </x:c>
    </x:row>
    <x:row r="197">
      <x:c r="A197" s="339" t="str">
        <x:v>VAL-00196</x:v>
      </x:c>
      <x:c r="B197" s="339" t="str">
        <x:v>SCR-092</x:v>
      </x:c>
      <x:c r="C197" s="339" t="str">
        <x:v>Academics &amp; Curriculum</x:v>
      </x:c>
      <x:c r="D197" s="339" t="str">
        <x:v>Academic Years</x:v>
      </x:c>
      <x:c r="E197" s="339" t="str">
        <x:v>Required/effective references</x:v>
      </x:c>
      <x:c r="F197" s="339" t="str">
        <x:v>Selected master/reference values must exist, be active and effective for the transaction date.</x:v>
      </x:c>
      <x:c r="G197" s="339" t="str">
        <x:v>One or more selected values are no longer valid. Refresh and try again.</x:v>
      </x:c>
      <x:c r="H197" s="339" t="str">
        <x:v>On submit</x:v>
      </x:c>
      <x:c r="I197" s="339" t="str">
        <x:v>Yes</x:v>
      </x:c>
    </x:row>
    <x:row r="198">
      <x:c r="A198" s="339" t="str">
        <x:v>VAL-00197</x:v>
      </x:c>
      <x:c r="B198" s="339" t="str">
        <x:v>SCR-093</x:v>
      </x:c>
      <x:c r="C198" s="339" t="str">
        <x:v>Academics &amp; Curriculum</x:v>
      </x:c>
      <x:c r="D198" s="339" t="str">
        <x:v>Terms / Semesters</x:v>
      </x:c>
      <x:c r="E198" s="339" t="str">
        <x:v>Authorization &amp; scope</x:v>
      </x:c>
      <x:c r="F198" s="339" t="str">
        <x:v>User must have permission for the screen/action and the target record must be inside tenant/school/branch/class scope.</x:v>
      </x:c>
      <x:c r="G198" s="339" t="str">
        <x:v>You do not have permission to perform this action.</x:v>
      </x:c>
      <x:c r="H198" s="339" t="str">
        <x:v>On load and submit</x:v>
      </x:c>
      <x:c r="I198" s="339" t="str">
        <x:v>Yes</x:v>
      </x:c>
    </x:row>
    <x:row r="199">
      <x:c r="A199" s="339" t="str">
        <x:v>VAL-00198</x:v>
      </x:c>
      <x:c r="B199" s="339" t="str">
        <x:v>SCR-093</x:v>
      </x:c>
      <x:c r="C199" s="339" t="str">
        <x:v>Academics &amp; Curriculum</x:v>
      </x:c>
      <x:c r="D199" s="339" t="str">
        <x:v>Terms / Semesters</x:v>
      </x:c>
      <x:c r="E199" s="339" t="str">
        <x:v>Required/effective references</x:v>
      </x:c>
      <x:c r="F199" s="339" t="str">
        <x:v>Selected master/reference values must exist, be active and effective for the transaction date.</x:v>
      </x:c>
      <x:c r="G199" s="339" t="str">
        <x:v>One or more selected values are no longer valid. Refresh and try again.</x:v>
      </x:c>
      <x:c r="H199" s="339" t="str">
        <x:v>On submit</x:v>
      </x:c>
      <x:c r="I199" s="339" t="str">
        <x:v>Yes</x:v>
      </x:c>
    </x:row>
    <x:row r="200">
      <x:c r="A200" s="339" t="str">
        <x:v>VAL-00199</x:v>
      </x:c>
      <x:c r="B200" s="339" t="str">
        <x:v>SCR-094</x:v>
      </x:c>
      <x:c r="C200" s="339" t="str">
        <x:v>Academics &amp; Curriculum</x:v>
      </x:c>
      <x:c r="D200" s="339" t="str">
        <x:v>Grades / Classes</x:v>
      </x:c>
      <x:c r="E200" s="339" t="str">
        <x:v>Authorization &amp; scope</x:v>
      </x:c>
      <x:c r="F200" s="339" t="str">
        <x:v>User must have permission for the screen/action and the target record must be inside tenant/school/branch/class scope.</x:v>
      </x:c>
      <x:c r="G200" s="339" t="str">
        <x:v>You do not have permission to perform this action.</x:v>
      </x:c>
      <x:c r="H200" s="339" t="str">
        <x:v>On load and submit</x:v>
      </x:c>
      <x:c r="I200" s="339" t="str">
        <x:v>Yes</x:v>
      </x:c>
    </x:row>
    <x:row r="201">
      <x:c r="A201" s="339" t="str">
        <x:v>VAL-00200</x:v>
      </x:c>
      <x:c r="B201" s="339" t="str">
        <x:v>SCR-094</x:v>
      </x:c>
      <x:c r="C201" s="339" t="str">
        <x:v>Academics &amp; Curriculum</x:v>
      </x:c>
      <x:c r="D201" s="339" t="str">
        <x:v>Grades / Classes</x:v>
      </x:c>
      <x:c r="E201" s="339" t="str">
        <x:v>Required/effective references</x:v>
      </x:c>
      <x:c r="F201" s="339" t="str">
        <x:v>Selected master/reference values must exist, be active and effective for the transaction date.</x:v>
      </x:c>
      <x:c r="G201" s="339" t="str">
        <x:v>One or more selected values are no longer valid. Refresh and try again.</x:v>
      </x:c>
      <x:c r="H201" s="339" t="str">
        <x:v>On submit</x:v>
      </x:c>
      <x:c r="I201" s="339" t="str">
        <x:v>Yes</x:v>
      </x:c>
    </x:row>
    <x:row r="202">
      <x:c r="A202" s="339" t="str">
        <x:v>VAL-00201</x:v>
      </x:c>
      <x:c r="B202" s="339" t="str">
        <x:v>SCR-095</x:v>
      </x:c>
      <x:c r="C202" s="339" t="str">
        <x:v>Academics &amp; Curriculum</x:v>
      </x:c>
      <x:c r="D202" s="339" t="str">
        <x:v>Sections</x:v>
      </x:c>
      <x:c r="E202" s="339" t="str">
        <x:v>Authorization &amp; scope</x:v>
      </x:c>
      <x:c r="F202" s="339" t="str">
        <x:v>User must have permission for the screen/action and the target record must be inside tenant/school/branch/class scope.</x:v>
      </x:c>
      <x:c r="G202" s="339" t="str">
        <x:v>You do not have permission to perform this action.</x:v>
      </x:c>
      <x:c r="H202" s="339" t="str">
        <x:v>On load and submit</x:v>
      </x:c>
      <x:c r="I202" s="339" t="str">
        <x:v>Yes</x:v>
      </x:c>
    </x:row>
    <x:row r="203">
      <x:c r="A203" s="339" t="str">
        <x:v>VAL-00202</x:v>
      </x:c>
      <x:c r="B203" s="339" t="str">
        <x:v>SCR-095</x:v>
      </x:c>
      <x:c r="C203" s="339" t="str">
        <x:v>Academics &amp; Curriculum</x:v>
      </x:c>
      <x:c r="D203" s="339" t="str">
        <x:v>Sections</x:v>
      </x:c>
      <x:c r="E203" s="339" t="str">
        <x:v>Required/effective references</x:v>
      </x:c>
      <x:c r="F203" s="339" t="str">
        <x:v>Selected master/reference values must exist, be active and effective for the transaction date.</x:v>
      </x:c>
      <x:c r="G203" s="339" t="str">
        <x:v>One or more selected values are no longer valid. Refresh and try again.</x:v>
      </x:c>
      <x:c r="H203" s="339" t="str">
        <x:v>On submit</x:v>
      </x:c>
      <x:c r="I203" s="339" t="str">
        <x:v>Yes</x:v>
      </x:c>
    </x:row>
    <x:row r="204">
      <x:c r="A204" s="339" t="str">
        <x:v>VAL-00203</x:v>
      </x:c>
      <x:c r="B204" s="339" t="str">
        <x:v>SCR-096</x:v>
      </x:c>
      <x:c r="C204" s="339" t="str">
        <x:v>Academics &amp; Curriculum</x:v>
      </x:c>
      <x:c r="D204" s="339" t="str">
        <x:v>Subjects</x:v>
      </x:c>
      <x:c r="E204" s="339" t="str">
        <x:v>Authorization &amp; scope</x:v>
      </x:c>
      <x:c r="F204" s="339" t="str">
        <x:v>User must have permission for the screen/action and the target record must be inside tenant/school/branch/class scope.</x:v>
      </x:c>
      <x:c r="G204" s="339" t="str">
        <x:v>You do not have permission to perform this action.</x:v>
      </x:c>
      <x:c r="H204" s="339" t="str">
        <x:v>On load and submit</x:v>
      </x:c>
      <x:c r="I204" s="339" t="str">
        <x:v>Yes</x:v>
      </x:c>
    </x:row>
    <x:row r="205">
      <x:c r="A205" s="339" t="str">
        <x:v>VAL-00204</x:v>
      </x:c>
      <x:c r="B205" s="339" t="str">
        <x:v>SCR-096</x:v>
      </x:c>
      <x:c r="C205" s="339" t="str">
        <x:v>Academics &amp; Curriculum</x:v>
      </x:c>
      <x:c r="D205" s="339" t="str">
        <x:v>Subjects</x:v>
      </x:c>
      <x:c r="E205" s="339" t="str">
        <x:v>Required/effective references</x:v>
      </x:c>
      <x:c r="F205" s="339" t="str">
        <x:v>Selected master/reference values must exist, be active and effective for the transaction date.</x:v>
      </x:c>
      <x:c r="G205" s="339" t="str">
        <x:v>One or more selected values are no longer valid. Refresh and try again.</x:v>
      </x:c>
      <x:c r="H205" s="339" t="str">
        <x:v>On submit</x:v>
      </x:c>
      <x:c r="I205" s="339" t="str">
        <x:v>Yes</x:v>
      </x:c>
    </x:row>
    <x:row r="206">
      <x:c r="A206" s="339" t="str">
        <x:v>VAL-00205</x:v>
      </x:c>
      <x:c r="B206" s="339" t="str">
        <x:v>SCR-097</x:v>
      </x:c>
      <x:c r="C206" s="339" t="str">
        <x:v>Academics &amp; Curriculum</x:v>
      </x:c>
      <x:c r="D206" s="339" t="str">
        <x:v>Subject Groups</x:v>
      </x:c>
      <x:c r="E206" s="339" t="str">
        <x:v>Authorization &amp; scope</x:v>
      </x:c>
      <x:c r="F206" s="339" t="str">
        <x:v>User must have permission for the screen/action and the target record must be inside tenant/school/branch/class scope.</x:v>
      </x:c>
      <x:c r="G206" s="339" t="str">
        <x:v>You do not have permission to perform this action.</x:v>
      </x:c>
      <x:c r="H206" s="339" t="str">
        <x:v>On load and submit</x:v>
      </x:c>
      <x:c r="I206" s="339" t="str">
        <x:v>Yes</x:v>
      </x:c>
    </x:row>
    <x:row r="207">
      <x:c r="A207" s="339" t="str">
        <x:v>VAL-00206</x:v>
      </x:c>
      <x:c r="B207" s="339" t="str">
        <x:v>SCR-097</x:v>
      </x:c>
      <x:c r="C207" s="339" t="str">
        <x:v>Academics &amp; Curriculum</x:v>
      </x:c>
      <x:c r="D207" s="339" t="str">
        <x:v>Subject Groups</x:v>
      </x:c>
      <x:c r="E207" s="339" t="str">
        <x:v>Required/effective references</x:v>
      </x:c>
      <x:c r="F207" s="339" t="str">
        <x:v>Selected master/reference values must exist, be active and effective for the transaction date.</x:v>
      </x:c>
      <x:c r="G207" s="339" t="str">
        <x:v>One or more selected values are no longer valid. Refresh and try again.</x:v>
      </x:c>
      <x:c r="H207" s="339" t="str">
        <x:v>On submit</x:v>
      </x:c>
      <x:c r="I207" s="339" t="str">
        <x:v>Yes</x:v>
      </x:c>
    </x:row>
    <x:row r="208">
      <x:c r="A208" s="339" t="str">
        <x:v>VAL-00207</x:v>
      </x:c>
      <x:c r="B208" s="339" t="str">
        <x:v>SCR-098</x:v>
      </x:c>
      <x:c r="C208" s="339" t="str">
        <x:v>Academics &amp; Curriculum</x:v>
      </x:c>
      <x:c r="D208" s="339" t="str">
        <x:v>Curriculum</x:v>
      </x:c>
      <x:c r="E208" s="339" t="str">
        <x:v>Authorization &amp; scope</x:v>
      </x:c>
      <x:c r="F208" s="339" t="str">
        <x:v>User must have permission for the screen/action and the target record must be inside tenant/school/branch/class scope.</x:v>
      </x:c>
      <x:c r="G208" s="339" t="str">
        <x:v>You do not have permission to perform this action.</x:v>
      </x:c>
      <x:c r="H208" s="339" t="str">
        <x:v>On load and submit</x:v>
      </x:c>
      <x:c r="I208" s="339" t="str">
        <x:v>Yes</x:v>
      </x:c>
    </x:row>
    <x:row r="209">
      <x:c r="A209" s="339" t="str">
        <x:v>VAL-00208</x:v>
      </x:c>
      <x:c r="B209" s="339" t="str">
        <x:v>SCR-098</x:v>
      </x:c>
      <x:c r="C209" s="339" t="str">
        <x:v>Academics &amp; Curriculum</x:v>
      </x:c>
      <x:c r="D209" s="339" t="str">
        <x:v>Curriculum</x:v>
      </x:c>
      <x:c r="E209" s="339" t="str">
        <x:v>Required/effective references</x:v>
      </x:c>
      <x:c r="F209" s="339" t="str">
        <x:v>Selected master/reference values must exist, be active and effective for the transaction date.</x:v>
      </x:c>
      <x:c r="G209" s="339" t="str">
        <x:v>One or more selected values are no longer valid. Refresh and try again.</x:v>
      </x:c>
      <x:c r="H209" s="339" t="str">
        <x:v>On submit</x:v>
      </x:c>
      <x:c r="I209" s="339" t="str">
        <x:v>Yes</x:v>
      </x:c>
    </x:row>
    <x:row r="210">
      <x:c r="A210" s="339" t="str">
        <x:v>VAL-00209</x:v>
      </x:c>
      <x:c r="B210" s="339" t="str">
        <x:v>SCR-099</x:v>
      </x:c>
      <x:c r="C210" s="339" t="str">
        <x:v>Academics &amp; Curriculum</x:v>
      </x:c>
      <x:c r="D210" s="339" t="str">
        <x:v>Curriculum Details</x:v>
      </x:c>
      <x:c r="E210" s="339" t="str">
        <x:v>Authorization &amp; scope</x:v>
      </x:c>
      <x:c r="F210" s="339" t="str">
        <x:v>User must have permission for the screen/action and the target record must be inside tenant/school/branch/class scope.</x:v>
      </x:c>
      <x:c r="G210" s="339" t="str">
        <x:v>You do not have permission to perform this action.</x:v>
      </x:c>
      <x:c r="H210" s="339" t="str">
        <x:v>On load and submit</x:v>
      </x:c>
      <x:c r="I210" s="339" t="str">
        <x:v>Yes</x:v>
      </x:c>
    </x:row>
    <x:row r="211">
      <x:c r="A211" s="339" t="str">
        <x:v>VAL-00210</x:v>
      </x:c>
      <x:c r="B211" s="339" t="str">
        <x:v>SCR-099</x:v>
      </x:c>
      <x:c r="C211" s="339" t="str">
        <x:v>Academics &amp; Curriculum</x:v>
      </x:c>
      <x:c r="D211" s="339" t="str">
        <x:v>Curriculum Details</x:v>
      </x:c>
      <x:c r="E211" s="339" t="str">
        <x:v>Required/effective references</x:v>
      </x:c>
      <x:c r="F211" s="339" t="str">
        <x:v>Selected master/reference values must exist, be active and effective for the transaction date.</x:v>
      </x:c>
      <x:c r="G211" s="339" t="str">
        <x:v>One or more selected values are no longer valid. Refresh and try again.</x:v>
      </x:c>
      <x:c r="H211" s="339" t="str">
        <x:v>On submit</x:v>
      </x:c>
      <x:c r="I211" s="339" t="str">
        <x:v>Yes</x:v>
      </x:c>
    </x:row>
    <x:row r="212">
      <x:c r="A212" s="339" t="str">
        <x:v>VAL-00211</x:v>
      </x:c>
      <x:c r="B212" s="339" t="str">
        <x:v>SCR-100</x:v>
      </x:c>
      <x:c r="C212" s="339" t="str">
        <x:v>Academics &amp; Curriculum</x:v>
      </x:c>
      <x:c r="D212" s="339" t="str">
        <x:v>Units / Chapters / Topics</x:v>
      </x:c>
      <x:c r="E212" s="339" t="str">
        <x:v>Authorization &amp; scope</x:v>
      </x:c>
      <x:c r="F212" s="339" t="str">
        <x:v>User must have permission for the screen/action and the target record must be inside tenant/school/branch/class scope.</x:v>
      </x:c>
      <x:c r="G212" s="339" t="str">
        <x:v>You do not have permission to perform this action.</x:v>
      </x:c>
      <x:c r="H212" s="339" t="str">
        <x:v>On load and submit</x:v>
      </x:c>
      <x:c r="I212" s="339" t="str">
        <x:v>Yes</x:v>
      </x:c>
    </x:row>
    <x:row r="213">
      <x:c r="A213" s="339" t="str">
        <x:v>VAL-00212</x:v>
      </x:c>
      <x:c r="B213" s="339" t="str">
        <x:v>SCR-100</x:v>
      </x:c>
      <x:c r="C213" s="339" t="str">
        <x:v>Academics &amp; Curriculum</x:v>
      </x:c>
      <x:c r="D213" s="339" t="str">
        <x:v>Units / Chapters / Topics</x:v>
      </x:c>
      <x:c r="E213" s="339" t="str">
        <x:v>Required/effective references</x:v>
      </x:c>
      <x:c r="F213" s="339" t="str">
        <x:v>Selected master/reference values must exist, be active and effective for the transaction date.</x:v>
      </x:c>
      <x:c r="G213" s="339" t="str">
        <x:v>One or more selected values are no longer valid. Refresh and try again.</x:v>
      </x:c>
      <x:c r="H213" s="339" t="str">
        <x:v>On submit</x:v>
      </x:c>
      <x:c r="I213" s="339" t="str">
        <x:v>Yes</x:v>
      </x:c>
    </x:row>
    <x:row r="214">
      <x:c r="A214" s="339" t="str">
        <x:v>VAL-00213</x:v>
      </x:c>
      <x:c r="B214" s="339" t="str">
        <x:v>SCR-101</x:v>
      </x:c>
      <x:c r="C214" s="339" t="str">
        <x:v>Academics &amp; Curriculum</x:v>
      </x:c>
      <x:c r="D214" s="339" t="str">
        <x:v>Learning Outcomes</x:v>
      </x:c>
      <x:c r="E214" s="339" t="str">
        <x:v>Authorization &amp; scope</x:v>
      </x:c>
      <x:c r="F214" s="339" t="str">
        <x:v>User must have permission for the screen/action and the target record must be inside tenant/school/branch/class scope.</x:v>
      </x:c>
      <x:c r="G214" s="339" t="str">
        <x:v>You do not have permission to perform this action.</x:v>
      </x:c>
      <x:c r="H214" s="339" t="str">
        <x:v>On load and submit</x:v>
      </x:c>
      <x:c r="I214" s="339" t="str">
        <x:v>Yes</x:v>
      </x:c>
    </x:row>
    <x:row r="215">
      <x:c r="A215" s="339" t="str">
        <x:v>VAL-00214</x:v>
      </x:c>
      <x:c r="B215" s="339" t="str">
        <x:v>SCR-101</x:v>
      </x:c>
      <x:c r="C215" s="339" t="str">
        <x:v>Academics &amp; Curriculum</x:v>
      </x:c>
      <x:c r="D215" s="339" t="str">
        <x:v>Learning Outcomes</x:v>
      </x:c>
      <x:c r="E215" s="339" t="str">
        <x:v>Required/effective references</x:v>
      </x:c>
      <x:c r="F215" s="339" t="str">
        <x:v>Selected master/reference values must exist, be active and effective for the transaction date.</x:v>
      </x:c>
      <x:c r="G215" s="339" t="str">
        <x:v>One or more selected values are no longer valid. Refresh and try again.</x:v>
      </x:c>
      <x:c r="H215" s="339" t="str">
        <x:v>On submit</x:v>
      </x:c>
      <x:c r="I215" s="339" t="str">
        <x:v>Yes</x:v>
      </x:c>
    </x:row>
    <x:row r="216">
      <x:c r="A216" s="339" t="str">
        <x:v>VAL-00215</x:v>
      </x:c>
      <x:c r="B216" s="339" t="str">
        <x:v>SCR-102</x:v>
      </x:c>
      <x:c r="C216" s="339" t="str">
        <x:v>Academics &amp; Curriculum</x:v>
      </x:c>
      <x:c r="D216" s="339" t="str">
        <x:v>Lesson Plans</x:v>
      </x:c>
      <x:c r="E216" s="339" t="str">
        <x:v>Authorization &amp; scope</x:v>
      </x:c>
      <x:c r="F216" s="339" t="str">
        <x:v>User must have permission for the screen/action and the target record must be inside tenant/school/branch/class scope.</x:v>
      </x:c>
      <x:c r="G216" s="339" t="str">
        <x:v>You do not have permission to perform this action.</x:v>
      </x:c>
      <x:c r="H216" s="339" t="str">
        <x:v>On load and submit</x:v>
      </x:c>
      <x:c r="I216" s="339" t="str">
        <x:v>Yes</x:v>
      </x:c>
    </x:row>
    <x:row r="217">
      <x:c r="A217" s="339" t="str">
        <x:v>VAL-00216</x:v>
      </x:c>
      <x:c r="B217" s="339" t="str">
        <x:v>SCR-102</x:v>
      </x:c>
      <x:c r="C217" s="339" t="str">
        <x:v>Academics &amp; Curriculum</x:v>
      </x:c>
      <x:c r="D217" s="339" t="str">
        <x:v>Lesson Plans</x:v>
      </x:c>
      <x:c r="E217" s="339" t="str">
        <x:v>Required/effective references</x:v>
      </x:c>
      <x:c r="F217" s="339" t="str">
        <x:v>Selected master/reference values must exist, be active and effective for the transaction date.</x:v>
      </x:c>
      <x:c r="G217" s="339" t="str">
        <x:v>One or more selected values are no longer valid. Refresh and try again.</x:v>
      </x:c>
      <x:c r="H217" s="339" t="str">
        <x:v>On submit</x:v>
      </x:c>
      <x:c r="I217" s="339" t="str">
        <x:v>Yes</x:v>
      </x:c>
    </x:row>
    <x:row r="218">
      <x:c r="A218" s="339" t="str">
        <x:v>VAL-00217</x:v>
      </x:c>
      <x:c r="B218" s="339" t="str">
        <x:v>SCR-103</x:v>
      </x:c>
      <x:c r="C218" s="339" t="str">
        <x:v>Academics &amp; Curriculum</x:v>
      </x:c>
      <x:c r="D218" s="339" t="str">
        <x:v>Create / Edit Lesson Plan</x:v>
      </x:c>
      <x:c r="E218" s="339" t="str">
        <x:v>Authorization &amp; scope</x:v>
      </x:c>
      <x:c r="F218" s="339" t="str">
        <x:v>User must have permission for the screen/action and the target record must be inside tenant/school/branch/class scope.</x:v>
      </x:c>
      <x:c r="G218" s="339" t="str">
        <x:v>You do not have permission to perform this action.</x:v>
      </x:c>
      <x:c r="H218" s="339" t="str">
        <x:v>On load and submit</x:v>
      </x:c>
      <x:c r="I218" s="339" t="str">
        <x:v>Yes</x:v>
      </x:c>
    </x:row>
    <x:row r="219">
      <x:c r="A219" s="339" t="str">
        <x:v>VAL-00218</x:v>
      </x:c>
      <x:c r="B219" s="339" t="str">
        <x:v>SCR-103</x:v>
      </x:c>
      <x:c r="C219" s="339" t="str">
        <x:v>Academics &amp; Curriculum</x:v>
      </x:c>
      <x:c r="D219" s="339" t="str">
        <x:v>Create / Edit Lesson Plan</x:v>
      </x:c>
      <x:c r="E219" s="339" t="str">
        <x:v>Required/effective references</x:v>
      </x:c>
      <x:c r="F219" s="339" t="str">
        <x:v>Selected master/reference values must exist, be active and effective for the transaction date.</x:v>
      </x:c>
      <x:c r="G219" s="339" t="str">
        <x:v>One or more selected values are no longer valid. Refresh and try again.</x:v>
      </x:c>
      <x:c r="H219" s="339" t="str">
        <x:v>On submit</x:v>
      </x:c>
      <x:c r="I219" s="339" t="str">
        <x:v>Yes</x:v>
      </x:c>
    </x:row>
    <x:row r="220">
      <x:c r="A220" s="339" t="str">
        <x:v>VAL-00219</x:v>
      </x:c>
      <x:c r="B220" s="339" t="str">
        <x:v>SCR-104</x:v>
      </x:c>
      <x:c r="C220" s="339" t="str">
        <x:v>Academics &amp; Curriculum</x:v>
      </x:c>
      <x:c r="D220" s="339" t="str">
        <x:v>Lesson Plan Review &amp; Approval</x:v>
      </x:c>
      <x:c r="E220" s="339" t="str">
        <x:v>Authorization &amp; scope</x:v>
      </x:c>
      <x:c r="F220" s="339" t="str">
        <x:v>User must have permission for the screen/action and the target record must be inside tenant/school/branch/class scope.</x:v>
      </x:c>
      <x:c r="G220" s="339" t="str">
        <x:v>You do not have permission to perform this action.</x:v>
      </x:c>
      <x:c r="H220" s="339" t="str">
        <x:v>On load and submit</x:v>
      </x:c>
      <x:c r="I220" s="339" t="str">
        <x:v>Yes</x:v>
      </x:c>
    </x:row>
    <x:row r="221">
      <x:c r="A221" s="339" t="str">
        <x:v>VAL-00220</x:v>
      </x:c>
      <x:c r="B221" s="339" t="str">
        <x:v>SCR-104</x:v>
      </x:c>
      <x:c r="C221" s="339" t="str">
        <x:v>Academics &amp; Curriculum</x:v>
      </x:c>
      <x:c r="D221" s="339" t="str">
        <x:v>Lesson Plan Review &amp; Approval</x:v>
      </x:c>
      <x:c r="E221" s="339" t="str">
        <x:v>Required/effective references</x:v>
      </x:c>
      <x:c r="F221" s="339" t="str">
        <x:v>Selected master/reference values must exist, be active and effective for the transaction date.</x:v>
      </x:c>
      <x:c r="G221" s="339" t="str">
        <x:v>One or more selected values are no longer valid. Refresh and try again.</x:v>
      </x:c>
      <x:c r="H221" s="339" t="str">
        <x:v>On submit</x:v>
      </x:c>
      <x:c r="I221" s="339" t="str">
        <x:v>Yes</x:v>
      </x:c>
    </x:row>
    <x:row r="222">
      <x:c r="A222" s="339" t="str">
        <x:v>VAL-00221</x:v>
      </x:c>
      <x:c r="B222" s="339" t="str">
        <x:v>SCR-105</x:v>
      </x:c>
      <x:c r="C222" s="339" t="str">
        <x:v>Academics &amp; Curriculum</x:v>
      </x:c>
      <x:c r="D222" s="339" t="str">
        <x:v>Syllabus Progress</x:v>
      </x:c>
      <x:c r="E222" s="339" t="str">
        <x:v>Authorization &amp; scope</x:v>
      </x:c>
      <x:c r="F222" s="339" t="str">
        <x:v>User must have permission for the screen/action and the target record must be inside tenant/school/branch/class scope.</x:v>
      </x:c>
      <x:c r="G222" s="339" t="str">
        <x:v>You do not have permission to perform this action.</x:v>
      </x:c>
      <x:c r="H222" s="339" t="str">
        <x:v>On load and submit</x:v>
      </x:c>
      <x:c r="I222" s="339" t="str">
        <x:v>Yes</x:v>
      </x:c>
    </x:row>
    <x:row r="223">
      <x:c r="A223" s="339" t="str">
        <x:v>VAL-00222</x:v>
      </x:c>
      <x:c r="B223" s="339" t="str">
        <x:v>SCR-105</x:v>
      </x:c>
      <x:c r="C223" s="339" t="str">
        <x:v>Academics &amp; Curriculum</x:v>
      </x:c>
      <x:c r="D223" s="339" t="str">
        <x:v>Syllabus Progress</x:v>
      </x:c>
      <x:c r="E223" s="339" t="str">
        <x:v>Required/effective references</x:v>
      </x:c>
      <x:c r="F223" s="339" t="str">
        <x:v>Selected master/reference values must exist, be active and effective for the transaction date.</x:v>
      </x:c>
      <x:c r="G223" s="339" t="str">
        <x:v>One or more selected values are no longer valid. Refresh and try again.</x:v>
      </x:c>
      <x:c r="H223" s="339" t="str">
        <x:v>On submit</x:v>
      </x:c>
      <x:c r="I223" s="339" t="str">
        <x:v>Yes</x:v>
      </x:c>
    </x:row>
    <x:row r="224">
      <x:c r="A224" s="339" t="str">
        <x:v>VAL-00223</x:v>
      </x:c>
      <x:c r="B224" s="339" t="str">
        <x:v>SCR-106</x:v>
      </x:c>
      <x:c r="C224" s="339" t="str">
        <x:v>Academics &amp; Curriculum</x:v>
      </x:c>
      <x:c r="D224" s="339" t="str">
        <x:v>Teaching Resources</x:v>
      </x:c>
      <x:c r="E224" s="339" t="str">
        <x:v>Authorization &amp; scope</x:v>
      </x:c>
      <x:c r="F224" s="339" t="str">
        <x:v>User must have permission for the screen/action and the target record must be inside tenant/school/branch/class scope.</x:v>
      </x:c>
      <x:c r="G224" s="339" t="str">
        <x:v>You do not have permission to perform this action.</x:v>
      </x:c>
      <x:c r="H224" s="339" t="str">
        <x:v>On load and submit</x:v>
      </x:c>
      <x:c r="I224" s="339" t="str">
        <x:v>Yes</x:v>
      </x:c>
    </x:row>
    <x:row r="225">
      <x:c r="A225" s="339" t="str">
        <x:v>VAL-00224</x:v>
      </x:c>
      <x:c r="B225" s="339" t="str">
        <x:v>SCR-106</x:v>
      </x:c>
      <x:c r="C225" s="339" t="str">
        <x:v>Academics &amp; Curriculum</x:v>
      </x:c>
      <x:c r="D225" s="339" t="str">
        <x:v>Teaching Resources</x:v>
      </x:c>
      <x:c r="E225" s="339" t="str">
        <x:v>Required/effective references</x:v>
      </x:c>
      <x:c r="F225" s="339" t="str">
        <x:v>Selected master/reference values must exist, be active and effective for the transaction date.</x:v>
      </x:c>
      <x:c r="G225" s="339" t="str">
        <x:v>One or more selected values are no longer valid. Refresh and try again.</x:v>
      </x:c>
      <x:c r="H225" s="339" t="str">
        <x:v>On submit</x:v>
      </x:c>
      <x:c r="I225" s="339" t="str">
        <x:v>Yes</x:v>
      </x:c>
    </x:row>
    <x:row r="226">
      <x:c r="A226" s="339" t="str">
        <x:v>VAL-00225</x:v>
      </x:c>
      <x:c r="B226" s="339" t="str">
        <x:v>SCR-107</x:v>
      </x:c>
      <x:c r="C226" s="339" t="str">
        <x:v>Academics &amp; Curriculum</x:v>
      </x:c>
      <x:c r="D226" s="339" t="str">
        <x:v>Classroom / Room Management</x:v>
      </x:c>
      <x:c r="E226" s="339" t="str">
        <x:v>Authorization &amp; scope</x:v>
      </x:c>
      <x:c r="F226" s="339" t="str">
        <x:v>User must have permission for the screen/action and the target record must be inside tenant/school/branch/class scope.</x:v>
      </x:c>
      <x:c r="G226" s="339" t="str">
        <x:v>You do not have permission to perform this action.</x:v>
      </x:c>
      <x:c r="H226" s="339" t="str">
        <x:v>On load and submit</x:v>
      </x:c>
      <x:c r="I226" s="339" t="str">
        <x:v>Yes</x:v>
      </x:c>
    </x:row>
    <x:row r="227">
      <x:c r="A227" s="339" t="str">
        <x:v>VAL-00226</x:v>
      </x:c>
      <x:c r="B227" s="339" t="str">
        <x:v>SCR-107</x:v>
      </x:c>
      <x:c r="C227" s="339" t="str">
        <x:v>Academics &amp; Curriculum</x:v>
      </x:c>
      <x:c r="D227" s="339" t="str">
        <x:v>Classroom / Room Management</x:v>
      </x:c>
      <x:c r="E227" s="339" t="str">
        <x:v>Required/effective references</x:v>
      </x:c>
      <x:c r="F227" s="339" t="str">
        <x:v>Selected master/reference values must exist, be active and effective for the transaction date.</x:v>
      </x:c>
      <x:c r="G227" s="339" t="str">
        <x:v>One or more selected values are no longer valid. Refresh and try again.</x:v>
      </x:c>
      <x:c r="H227" s="339" t="str">
        <x:v>On submit</x:v>
      </x:c>
      <x:c r="I227" s="339" t="str">
        <x:v>Yes</x:v>
      </x:c>
    </x:row>
    <x:row r="228">
      <x:c r="A228" s="339" t="str">
        <x:v>VAL-00227</x:v>
      </x:c>
      <x:c r="B228" s="339" t="str">
        <x:v>SCR-108</x:v>
      </x:c>
      <x:c r="C228" s="339" t="str">
        <x:v>Academics &amp; Curriculum</x:v>
      </x:c>
      <x:c r="D228" s="339" t="str">
        <x:v>Academic Calendar</x:v>
      </x:c>
      <x:c r="E228" s="339" t="str">
        <x:v>Authorization &amp; scope</x:v>
      </x:c>
      <x:c r="F228" s="339" t="str">
        <x:v>User must have permission for the screen/action and the target record must be inside tenant/school/branch/class scope.</x:v>
      </x:c>
      <x:c r="G228" s="339" t="str">
        <x:v>You do not have permission to perform this action.</x:v>
      </x:c>
      <x:c r="H228" s="339" t="str">
        <x:v>On load and submit</x:v>
      </x:c>
      <x:c r="I228" s="339" t="str">
        <x:v>Yes</x:v>
      </x:c>
    </x:row>
    <x:row r="229">
      <x:c r="A229" s="339" t="str">
        <x:v>VAL-00228</x:v>
      </x:c>
      <x:c r="B229" s="339" t="str">
        <x:v>SCR-108</x:v>
      </x:c>
      <x:c r="C229" s="339" t="str">
        <x:v>Academics &amp; Curriculum</x:v>
      </x:c>
      <x:c r="D229" s="339" t="str">
        <x:v>Academic Calendar</x:v>
      </x:c>
      <x:c r="E229" s="339" t="str">
        <x:v>Required/effective references</x:v>
      </x:c>
      <x:c r="F229" s="339" t="str">
        <x:v>Selected master/reference values must exist, be active and effective for the transaction date.</x:v>
      </x:c>
      <x:c r="G229" s="339" t="str">
        <x:v>One or more selected values are no longer valid. Refresh and try again.</x:v>
      </x:c>
      <x:c r="H229" s="339" t="str">
        <x:v>On submit</x:v>
      </x:c>
      <x:c r="I229" s="339" t="str">
        <x:v>Yes</x:v>
      </x:c>
    </x:row>
    <x:row r="230">
      <x:c r="A230" s="339" t="str">
        <x:v>VAL-00229</x:v>
      </x:c>
      <x:c r="B230" s="339" t="str">
        <x:v>SCR-109</x:v>
      </x:c>
      <x:c r="C230" s="339" t="str">
        <x:v>Academics &amp; Curriculum</x:v>
      </x:c>
      <x:c r="D230" s="339" t="str">
        <x:v>Co-Curricular Activities</x:v>
      </x:c>
      <x:c r="E230" s="339" t="str">
        <x:v>Authorization &amp; scope</x:v>
      </x:c>
      <x:c r="F230" s="339" t="str">
        <x:v>User must have permission for the screen/action and the target record must be inside tenant/school/branch/class scope.</x:v>
      </x:c>
      <x:c r="G230" s="339" t="str">
        <x:v>You do not have permission to perform this action.</x:v>
      </x:c>
      <x:c r="H230" s="339" t="str">
        <x:v>On load and submit</x:v>
      </x:c>
      <x:c r="I230" s="339" t="str">
        <x:v>Yes</x:v>
      </x:c>
    </x:row>
    <x:row r="231">
      <x:c r="A231" s="339" t="str">
        <x:v>VAL-00230</x:v>
      </x:c>
      <x:c r="B231" s="339" t="str">
        <x:v>SCR-109</x:v>
      </x:c>
      <x:c r="C231" s="339" t="str">
        <x:v>Academics &amp; Curriculum</x:v>
      </x:c>
      <x:c r="D231" s="339" t="str">
        <x:v>Co-Curricular Activities</x:v>
      </x:c>
      <x:c r="E231" s="339" t="str">
        <x:v>Required/effective references</x:v>
      </x:c>
      <x:c r="F231" s="339" t="str">
        <x:v>Selected master/reference values must exist, be active and effective for the transaction date.</x:v>
      </x:c>
      <x:c r="G231" s="339" t="str">
        <x:v>One or more selected values are no longer valid. Refresh and try again.</x:v>
      </x:c>
      <x:c r="H231" s="339" t="str">
        <x:v>On submit</x:v>
      </x:c>
      <x:c r="I231" s="339" t="str">
        <x:v>Yes</x:v>
      </x:c>
    </x:row>
    <x:row r="232">
      <x:c r="A232" s="339" t="str">
        <x:v>VAL-00231</x:v>
      </x:c>
      <x:c r="B232" s="339" t="str">
        <x:v>SCR-110</x:v>
      </x:c>
      <x:c r="C232" s="339" t="str">
        <x:v>Student Attendance</x:v>
      </x:c>
      <x:c r="D232" s="339" t="str">
        <x:v>Daily Class Attendance</x:v>
      </x:c>
      <x:c r="E232" s="339" t="str">
        <x:v>Authorization &amp; scope</x:v>
      </x:c>
      <x:c r="F232" s="339" t="str">
        <x:v>User must have permission for the screen/action and the target record must be inside tenant/school/branch/class scope.</x:v>
      </x:c>
      <x:c r="G232" s="339" t="str">
        <x:v>You do not have permission to perform this action.</x:v>
      </x:c>
      <x:c r="H232" s="339" t="str">
        <x:v>On load and submit</x:v>
      </x:c>
      <x:c r="I232" s="339" t="str">
        <x:v>Yes</x:v>
      </x:c>
    </x:row>
    <x:row r="233">
      <x:c r="A233" s="339" t="str">
        <x:v>VAL-00232</x:v>
      </x:c>
      <x:c r="B233" s="339" t="str">
        <x:v>SCR-110</x:v>
      </x:c>
      <x:c r="C233" s="339" t="str">
        <x:v>Student Attendance</x:v>
      </x:c>
      <x:c r="D233" s="339" t="str">
        <x:v>Daily Class Attendance</x:v>
      </x:c>
      <x:c r="E233" s="339" t="str">
        <x:v>Required/effective references</x:v>
      </x:c>
      <x:c r="F233" s="339" t="str">
        <x:v>Selected master/reference values must exist, be active and effective for the transaction date.</x:v>
      </x:c>
      <x:c r="G233" s="339" t="str">
        <x:v>One or more selected values are no longer valid. Refresh and try again.</x:v>
      </x:c>
      <x:c r="H233" s="339" t="str">
        <x:v>On submit</x:v>
      </x:c>
      <x:c r="I233" s="339" t="str">
        <x:v>Yes</x:v>
      </x:c>
    </x:row>
    <x:row r="234">
      <x:c r="A234" s="339" t="str">
        <x:v>VAL-00233</x:v>
      </x:c>
      <x:c r="B234" s="339" t="str">
        <x:v>SCR-110</x:v>
      </x:c>
      <x:c r="C234" s="339" t="str">
        <x:v>Student Attendance</x:v>
      </x:c>
      <x:c r="D234" s="339" t="str">
        <x:v>Daily Class Attendance</x:v>
      </x:c>
      <x:c r="E234" s="339" t="str">
        <x:v>Unique attendance session</x:v>
      </x:c>
      <x:c r="F234" s="339" t="str">
        <x:v>A student may have only one final attendance record for the same date/class/period session key.</x:v>
      </x:c>
      <x:c r="G234" s="339" t="str">
        <x:v>Attendance already exists for this student/session.</x:v>
      </x:c>
      <x:c r="H234" s="339" t="str">
        <x:v>On mark/save</x:v>
      </x:c>
      <x:c r="I234" s="339" t="str">
        <x:v>Yes</x:v>
      </x:c>
    </x:row>
    <x:row r="235">
      <x:c r="A235" s="339" t="str">
        <x:v>VAL-00234</x:v>
      </x:c>
      <x:c r="B235" s="339" t="str">
        <x:v>SCR-111</x:v>
      </x:c>
      <x:c r="C235" s="339" t="str">
        <x:v>Student Attendance</x:v>
      </x:c>
      <x:c r="D235" s="339" t="str">
        <x:v>Period / Subject Attendance</x:v>
      </x:c>
      <x:c r="E235" s="339" t="str">
        <x:v>Authorization &amp; scope</x:v>
      </x:c>
      <x:c r="F235" s="339" t="str">
        <x:v>User must have permission for the screen/action and the target record must be inside tenant/school/branch/class scope.</x:v>
      </x:c>
      <x:c r="G235" s="339" t="str">
        <x:v>You do not have permission to perform this action.</x:v>
      </x:c>
      <x:c r="H235" s="339" t="str">
        <x:v>On load and submit</x:v>
      </x:c>
      <x:c r="I235" s="339" t="str">
        <x:v>Yes</x:v>
      </x:c>
    </x:row>
    <x:row r="236">
      <x:c r="A236" s="339" t="str">
        <x:v>VAL-00235</x:v>
      </x:c>
      <x:c r="B236" s="339" t="str">
        <x:v>SCR-111</x:v>
      </x:c>
      <x:c r="C236" s="339" t="str">
        <x:v>Student Attendance</x:v>
      </x:c>
      <x:c r="D236" s="339" t="str">
        <x:v>Period / Subject Attendance</x:v>
      </x:c>
      <x:c r="E236" s="339" t="str">
        <x:v>Required/effective references</x:v>
      </x:c>
      <x:c r="F236" s="339" t="str">
        <x:v>Selected master/reference values must exist, be active and effective for the transaction date.</x:v>
      </x:c>
      <x:c r="G236" s="339" t="str">
        <x:v>One or more selected values are no longer valid. Refresh and try again.</x:v>
      </x:c>
      <x:c r="H236" s="339" t="str">
        <x:v>On submit</x:v>
      </x:c>
      <x:c r="I236" s="339" t="str">
        <x:v>Yes</x:v>
      </x:c>
    </x:row>
    <x:row r="237">
      <x:c r="A237" s="339" t="str">
        <x:v>VAL-00236</x:v>
      </x:c>
      <x:c r="B237" s="339" t="str">
        <x:v>SCR-111</x:v>
      </x:c>
      <x:c r="C237" s="339" t="str">
        <x:v>Student Attendance</x:v>
      </x:c>
      <x:c r="D237" s="339" t="str">
        <x:v>Period / Subject Attendance</x:v>
      </x:c>
      <x:c r="E237" s="339" t="str">
        <x:v>Unique attendance session</x:v>
      </x:c>
      <x:c r="F237" s="339" t="str">
        <x:v>A student may have only one final attendance record for the same date/class/period session key.</x:v>
      </x:c>
      <x:c r="G237" s="339" t="str">
        <x:v>Attendance already exists for this student/session.</x:v>
      </x:c>
      <x:c r="H237" s="339" t="str">
        <x:v>On mark/save</x:v>
      </x:c>
      <x:c r="I237" s="339" t="str">
        <x:v>Yes</x:v>
      </x:c>
    </x:row>
    <x:row r="238">
      <x:c r="A238" s="339" t="str">
        <x:v>VAL-00237</x:v>
      </x:c>
      <x:c r="B238" s="339" t="str">
        <x:v>SCR-112</x:v>
      </x:c>
      <x:c r="C238" s="339" t="str">
        <x:v>Student Attendance</x:v>
      </x:c>
      <x:c r="D238" s="339" t="str">
        <x:v>Student Attendance Register</x:v>
      </x:c>
      <x:c r="E238" s="339" t="str">
        <x:v>Authorization &amp; scope</x:v>
      </x:c>
      <x:c r="F238" s="339" t="str">
        <x:v>User must have permission for the screen/action and the target record must be inside tenant/school/branch/class scope.</x:v>
      </x:c>
      <x:c r="G238" s="339" t="str">
        <x:v>You do not have permission to perform this action.</x:v>
      </x:c>
      <x:c r="H238" s="339" t="str">
        <x:v>On load and submit</x:v>
      </x:c>
      <x:c r="I238" s="339" t="str">
        <x:v>Yes</x:v>
      </x:c>
    </x:row>
    <x:row r="239">
      <x:c r="A239" s="339" t="str">
        <x:v>VAL-00238</x:v>
      </x:c>
      <x:c r="B239" s="339" t="str">
        <x:v>SCR-112</x:v>
      </x:c>
      <x:c r="C239" s="339" t="str">
        <x:v>Student Attendance</x:v>
      </x:c>
      <x:c r="D239" s="339" t="str">
        <x:v>Student Attendance Register</x:v>
      </x:c>
      <x:c r="E239" s="339" t="str">
        <x:v>Required/effective references</x:v>
      </x:c>
      <x:c r="F239" s="339" t="str">
        <x:v>Selected master/reference values must exist, be active and effective for the transaction date.</x:v>
      </x:c>
      <x:c r="G239" s="339" t="str">
        <x:v>One or more selected values are no longer valid. Refresh and try again.</x:v>
      </x:c>
      <x:c r="H239" s="339" t="str">
        <x:v>On submit</x:v>
      </x:c>
      <x:c r="I239" s="339" t="str">
        <x:v>Yes</x:v>
      </x:c>
    </x:row>
    <x:row r="240">
      <x:c r="A240" s="339" t="str">
        <x:v>VAL-00239</x:v>
      </x:c>
      <x:c r="B240" s="339" t="str">
        <x:v>SCR-112</x:v>
      </x:c>
      <x:c r="C240" s="339" t="str">
        <x:v>Student Attendance</x:v>
      </x:c>
      <x:c r="D240" s="339" t="str">
        <x:v>Student Attendance Register</x:v>
      </x:c>
      <x:c r="E240" s="339" t="str">
        <x:v>Unique attendance session</x:v>
      </x:c>
      <x:c r="F240" s="339" t="str">
        <x:v>A student may have only one final attendance record for the same date/class/period session key.</x:v>
      </x:c>
      <x:c r="G240" s="339" t="str">
        <x:v>Attendance already exists for this student/session.</x:v>
      </x:c>
      <x:c r="H240" s="339" t="str">
        <x:v>On mark/save</x:v>
      </x:c>
      <x:c r="I240" s="339" t="str">
        <x:v>Yes</x:v>
      </x:c>
    </x:row>
    <x:row r="241">
      <x:c r="A241" s="339" t="str">
        <x:v>VAL-00240</x:v>
      </x:c>
      <x:c r="B241" s="339" t="str">
        <x:v>SCR-113</x:v>
      </x:c>
      <x:c r="C241" s="339" t="str">
        <x:v>Student Attendance</x:v>
      </x:c>
      <x:c r="D241" s="339" t="str">
        <x:v>Attendance Correction</x:v>
      </x:c>
      <x:c r="E241" s="339" t="str">
        <x:v>Authorization &amp; scope</x:v>
      </x:c>
      <x:c r="F241" s="339" t="str">
        <x:v>User must have permission for the screen/action and the target record must be inside tenant/school/branch/class scope.</x:v>
      </x:c>
      <x:c r="G241" s="339" t="str">
        <x:v>You do not have permission to perform this action.</x:v>
      </x:c>
      <x:c r="H241" s="339" t="str">
        <x:v>On load and submit</x:v>
      </x:c>
      <x:c r="I241" s="339" t="str">
        <x:v>Yes</x:v>
      </x:c>
    </x:row>
    <x:row r="242">
      <x:c r="A242" s="339" t="str">
        <x:v>VAL-00241</x:v>
      </x:c>
      <x:c r="B242" s="339" t="str">
        <x:v>SCR-113</x:v>
      </x:c>
      <x:c r="C242" s="339" t="str">
        <x:v>Student Attendance</x:v>
      </x:c>
      <x:c r="D242" s="339" t="str">
        <x:v>Attendance Correction</x:v>
      </x:c>
      <x:c r="E242" s="339" t="str">
        <x:v>Required/effective references</x:v>
      </x:c>
      <x:c r="F242" s="339" t="str">
        <x:v>Selected master/reference values must exist, be active and effective for the transaction date.</x:v>
      </x:c>
      <x:c r="G242" s="339" t="str">
        <x:v>One or more selected values are no longer valid. Refresh and try again.</x:v>
      </x:c>
      <x:c r="H242" s="339" t="str">
        <x:v>On submit</x:v>
      </x:c>
      <x:c r="I242" s="339" t="str">
        <x:v>Yes</x:v>
      </x:c>
    </x:row>
    <x:row r="243">
      <x:c r="A243" s="339" t="str">
        <x:v>VAL-00242</x:v>
      </x:c>
      <x:c r="B243" s="339" t="str">
        <x:v>SCR-113</x:v>
      </x:c>
      <x:c r="C243" s="339" t="str">
        <x:v>Student Attendance</x:v>
      </x:c>
      <x:c r="D243" s="339" t="str">
        <x:v>Attendance Correction</x:v>
      </x:c>
      <x:c r="E243" s="339" t="str">
        <x:v>Unique attendance session</x:v>
      </x:c>
      <x:c r="F243" s="339" t="str">
        <x:v>A student may have only one final attendance record for the same date/class/period session key.</x:v>
      </x:c>
      <x:c r="G243" s="339" t="str">
        <x:v>Attendance already exists for this student/session.</x:v>
      </x:c>
      <x:c r="H243" s="339" t="str">
        <x:v>On mark/save</x:v>
      </x:c>
      <x:c r="I243" s="339" t="str">
        <x:v>Yes</x:v>
      </x:c>
    </x:row>
    <x:row r="244">
      <x:c r="A244" s="339" t="str">
        <x:v>VAL-00243</x:v>
      </x:c>
      <x:c r="B244" s="339" t="str">
        <x:v>SCR-114</x:v>
      </x:c>
      <x:c r="C244" s="339" t="str">
        <x:v>Student Attendance</x:v>
      </x:c>
      <x:c r="D244" s="339" t="str">
        <x:v>Student Leave Requests</x:v>
      </x:c>
      <x:c r="E244" s="339" t="str">
        <x:v>Authorization &amp; scope</x:v>
      </x:c>
      <x:c r="F244" s="339" t="str">
        <x:v>User must have permission for the screen/action and the target record must be inside tenant/school/branch/class scope.</x:v>
      </x:c>
      <x:c r="G244" s="339" t="str">
        <x:v>You do not have permission to perform this action.</x:v>
      </x:c>
      <x:c r="H244" s="339" t="str">
        <x:v>On load and submit</x:v>
      </x:c>
      <x:c r="I244" s="339" t="str">
        <x:v>Yes</x:v>
      </x:c>
    </x:row>
    <x:row r="245">
      <x:c r="A245" s="339" t="str">
        <x:v>VAL-00244</x:v>
      </x:c>
      <x:c r="B245" s="339" t="str">
        <x:v>SCR-114</x:v>
      </x:c>
      <x:c r="C245" s="339" t="str">
        <x:v>Student Attendance</x:v>
      </x:c>
      <x:c r="D245" s="339" t="str">
        <x:v>Student Leave Requests</x:v>
      </x:c>
      <x:c r="E245" s="339" t="str">
        <x:v>Required/effective references</x:v>
      </x:c>
      <x:c r="F245" s="339" t="str">
        <x:v>Selected master/reference values must exist, be active and effective for the transaction date.</x:v>
      </x:c>
      <x:c r="G245" s="339" t="str">
        <x:v>One or more selected values are no longer valid. Refresh and try again.</x:v>
      </x:c>
      <x:c r="H245" s="339" t="str">
        <x:v>On submit</x:v>
      </x:c>
      <x:c r="I245" s="339" t="str">
        <x:v>Yes</x:v>
      </x:c>
    </x:row>
    <x:row r="246">
      <x:c r="A246" s="339" t="str">
        <x:v>VAL-00245</x:v>
      </x:c>
      <x:c r="B246" s="339" t="str">
        <x:v>SCR-114</x:v>
      </x:c>
      <x:c r="C246" s="339" t="str">
        <x:v>Student Attendance</x:v>
      </x:c>
      <x:c r="D246" s="339" t="str">
        <x:v>Student Leave Requests</x:v>
      </x:c>
      <x:c r="E246" s="339" t="str">
        <x:v>Unique attendance session</x:v>
      </x:c>
      <x:c r="F246" s="339" t="str">
        <x:v>A student may have only one final attendance record for the same date/class/period session key.</x:v>
      </x:c>
      <x:c r="G246" s="339" t="str">
        <x:v>Attendance already exists for this student/session.</x:v>
      </x:c>
      <x:c r="H246" s="339" t="str">
        <x:v>On mark/save</x:v>
      </x:c>
      <x:c r="I246" s="339" t="str">
        <x:v>Yes</x:v>
      </x:c>
    </x:row>
    <x:row r="247">
      <x:c r="A247" s="339" t="str">
        <x:v>VAL-00246</x:v>
      </x:c>
      <x:c r="B247" s="339" t="str">
        <x:v>SCR-115</x:v>
      </x:c>
      <x:c r="C247" s="339" t="str">
        <x:v>Student Attendance</x:v>
      </x:c>
      <x:c r="D247" s="339" t="str">
        <x:v>Student Leave Approval</x:v>
      </x:c>
      <x:c r="E247" s="339" t="str">
        <x:v>Authorization &amp; scope</x:v>
      </x:c>
      <x:c r="F247" s="339" t="str">
        <x:v>User must have permission for the screen/action and the target record must be inside tenant/school/branch/class scope.</x:v>
      </x:c>
      <x:c r="G247" s="339" t="str">
        <x:v>You do not have permission to perform this action.</x:v>
      </x:c>
      <x:c r="H247" s="339" t="str">
        <x:v>On load and submit</x:v>
      </x:c>
      <x:c r="I247" s="339" t="str">
        <x:v>Yes</x:v>
      </x:c>
    </x:row>
    <x:row r="248">
      <x:c r="A248" s="339" t="str">
        <x:v>VAL-00247</x:v>
      </x:c>
      <x:c r="B248" s="339" t="str">
        <x:v>SCR-115</x:v>
      </x:c>
      <x:c r="C248" s="339" t="str">
        <x:v>Student Attendance</x:v>
      </x:c>
      <x:c r="D248" s="339" t="str">
        <x:v>Student Leave Approval</x:v>
      </x:c>
      <x:c r="E248" s="339" t="str">
        <x:v>Required/effective references</x:v>
      </x:c>
      <x:c r="F248" s="339" t="str">
        <x:v>Selected master/reference values must exist, be active and effective for the transaction date.</x:v>
      </x:c>
      <x:c r="G248" s="339" t="str">
        <x:v>One or more selected values are no longer valid. Refresh and try again.</x:v>
      </x:c>
      <x:c r="H248" s="339" t="str">
        <x:v>On submit</x:v>
      </x:c>
      <x:c r="I248" s="339" t="str">
        <x:v>Yes</x:v>
      </x:c>
    </x:row>
    <x:row r="249">
      <x:c r="A249" s="339" t="str">
        <x:v>VAL-00248</x:v>
      </x:c>
      <x:c r="B249" s="339" t="str">
        <x:v>SCR-115</x:v>
      </x:c>
      <x:c r="C249" s="339" t="str">
        <x:v>Student Attendance</x:v>
      </x:c>
      <x:c r="D249" s="339" t="str">
        <x:v>Student Leave Approval</x:v>
      </x:c>
      <x:c r="E249" s="339" t="str">
        <x:v>Unique attendance session</x:v>
      </x:c>
      <x:c r="F249" s="339" t="str">
        <x:v>A student may have only one final attendance record for the same date/class/period session key.</x:v>
      </x:c>
      <x:c r="G249" s="339" t="str">
        <x:v>Attendance already exists for this student/session.</x:v>
      </x:c>
      <x:c r="H249" s="339" t="str">
        <x:v>On mark/save</x:v>
      </x:c>
      <x:c r="I249" s="339" t="str">
        <x:v>Yes</x:v>
      </x:c>
    </x:row>
    <x:row r="250">
      <x:c r="A250" s="339" t="str">
        <x:v>VAL-00249</x:v>
      </x:c>
      <x:c r="B250" s="339" t="str">
        <x:v>SCR-116</x:v>
      </x:c>
      <x:c r="C250" s="339" t="str">
        <x:v>Student Attendance</x:v>
      </x:c>
      <x:c r="D250" s="339" t="str">
        <x:v>Late Entry / Early Exit</x:v>
      </x:c>
      <x:c r="E250" s="339" t="str">
        <x:v>Authorization &amp; scope</x:v>
      </x:c>
      <x:c r="F250" s="339" t="str">
        <x:v>User must have permission for the screen/action and the target record must be inside tenant/school/branch/class scope.</x:v>
      </x:c>
      <x:c r="G250" s="339" t="str">
        <x:v>You do not have permission to perform this action.</x:v>
      </x:c>
      <x:c r="H250" s="339" t="str">
        <x:v>On load and submit</x:v>
      </x:c>
      <x:c r="I250" s="339" t="str">
        <x:v>Yes</x:v>
      </x:c>
    </x:row>
    <x:row r="251">
      <x:c r="A251" s="339" t="str">
        <x:v>VAL-00250</x:v>
      </x:c>
      <x:c r="B251" s="339" t="str">
        <x:v>SCR-116</x:v>
      </x:c>
      <x:c r="C251" s="339" t="str">
        <x:v>Student Attendance</x:v>
      </x:c>
      <x:c r="D251" s="339" t="str">
        <x:v>Late Entry / Early Exit</x:v>
      </x:c>
      <x:c r="E251" s="339" t="str">
        <x:v>Required/effective references</x:v>
      </x:c>
      <x:c r="F251" s="339" t="str">
        <x:v>Selected master/reference values must exist, be active and effective for the transaction date.</x:v>
      </x:c>
      <x:c r="G251" s="339" t="str">
        <x:v>One or more selected values are no longer valid. Refresh and try again.</x:v>
      </x:c>
      <x:c r="H251" s="339" t="str">
        <x:v>On submit</x:v>
      </x:c>
      <x:c r="I251" s="339" t="str">
        <x:v>Yes</x:v>
      </x:c>
    </x:row>
    <x:row r="252">
      <x:c r="A252" s="339" t="str">
        <x:v>VAL-00251</x:v>
      </x:c>
      <x:c r="B252" s="339" t="str">
        <x:v>SCR-116</x:v>
      </x:c>
      <x:c r="C252" s="339" t="str">
        <x:v>Student Attendance</x:v>
      </x:c>
      <x:c r="D252" s="339" t="str">
        <x:v>Late Entry / Early Exit</x:v>
      </x:c>
      <x:c r="E252" s="339" t="str">
        <x:v>Unique attendance session</x:v>
      </x:c>
      <x:c r="F252" s="339" t="str">
        <x:v>A student may have only one final attendance record for the same date/class/period session key.</x:v>
      </x:c>
      <x:c r="G252" s="339" t="str">
        <x:v>Attendance already exists for this student/session.</x:v>
      </x:c>
      <x:c r="H252" s="339" t="str">
        <x:v>On mark/save</x:v>
      </x:c>
      <x:c r="I252" s="339" t="str">
        <x:v>Yes</x:v>
      </x:c>
    </x:row>
    <x:row r="253">
      <x:c r="A253" s="339" t="str">
        <x:v>VAL-00252</x:v>
      </x:c>
      <x:c r="B253" s="339" t="str">
        <x:v>SCR-117</x:v>
      </x:c>
      <x:c r="C253" s="339" t="str">
        <x:v>Student Attendance</x:v>
      </x:c>
      <x:c r="D253" s="339" t="str">
        <x:v>Monthly Attendance Summary</x:v>
      </x:c>
      <x:c r="E253" s="339" t="str">
        <x:v>Authorization &amp; scope</x:v>
      </x:c>
      <x:c r="F253" s="339" t="str">
        <x:v>User must have permission for the screen/action and the target record must be inside tenant/school/branch/class scope.</x:v>
      </x:c>
      <x:c r="G253" s="339" t="str">
        <x:v>You do not have permission to perform this action.</x:v>
      </x:c>
      <x:c r="H253" s="339" t="str">
        <x:v>On load and submit</x:v>
      </x:c>
      <x:c r="I253" s="339" t="str">
        <x:v>Yes</x:v>
      </x:c>
    </x:row>
    <x:row r="254">
      <x:c r="A254" s="339" t="str">
        <x:v>VAL-00253</x:v>
      </x:c>
      <x:c r="B254" s="339" t="str">
        <x:v>SCR-117</x:v>
      </x:c>
      <x:c r="C254" s="339" t="str">
        <x:v>Student Attendance</x:v>
      </x:c>
      <x:c r="D254" s="339" t="str">
        <x:v>Monthly Attendance Summary</x:v>
      </x:c>
      <x:c r="E254" s="339" t="str">
        <x:v>Required/effective references</x:v>
      </x:c>
      <x:c r="F254" s="339" t="str">
        <x:v>Selected master/reference values must exist, be active and effective for the transaction date.</x:v>
      </x:c>
      <x:c r="G254" s="339" t="str">
        <x:v>One or more selected values are no longer valid. Refresh and try again.</x:v>
      </x:c>
      <x:c r="H254" s="339" t="str">
        <x:v>On submit</x:v>
      </x:c>
      <x:c r="I254" s="339" t="str">
        <x:v>Yes</x:v>
      </x:c>
    </x:row>
    <x:row r="255">
      <x:c r="A255" s="339" t="str">
        <x:v>VAL-00254</x:v>
      </x:c>
      <x:c r="B255" s="339" t="str">
        <x:v>SCR-117</x:v>
      </x:c>
      <x:c r="C255" s="339" t="str">
        <x:v>Student Attendance</x:v>
      </x:c>
      <x:c r="D255" s="339" t="str">
        <x:v>Monthly Attendance Summary</x:v>
      </x:c>
      <x:c r="E255" s="339" t="str">
        <x:v>Unique attendance session</x:v>
      </x:c>
      <x:c r="F255" s="339" t="str">
        <x:v>A student may have only one final attendance record for the same date/class/period session key.</x:v>
      </x:c>
      <x:c r="G255" s="339" t="str">
        <x:v>Attendance already exists for this student/session.</x:v>
      </x:c>
      <x:c r="H255" s="339" t="str">
        <x:v>On mark/save</x:v>
      </x:c>
      <x:c r="I255" s="339" t="str">
        <x:v>Yes</x:v>
      </x:c>
    </x:row>
    <x:row r="256">
      <x:c r="A256" s="339" t="str">
        <x:v>VAL-00255</x:v>
      </x:c>
      <x:c r="B256" s="339" t="str">
        <x:v>SCR-118</x:v>
      </x:c>
      <x:c r="C256" s="339" t="str">
        <x:v>Student Attendance</x:v>
      </x:c>
      <x:c r="D256" s="339" t="str">
        <x:v>Chronic Absence Alerts</x:v>
      </x:c>
      <x:c r="E256" s="339" t="str">
        <x:v>Authorization &amp; scope</x:v>
      </x:c>
      <x:c r="F256" s="339" t="str">
        <x:v>User must have permission for the screen/action and the target record must be inside tenant/school/branch/class scope.</x:v>
      </x:c>
      <x:c r="G256" s="339" t="str">
        <x:v>You do not have permission to perform this action.</x:v>
      </x:c>
      <x:c r="H256" s="339" t="str">
        <x:v>On load and submit</x:v>
      </x:c>
      <x:c r="I256" s="339" t="str">
        <x:v>Yes</x:v>
      </x:c>
    </x:row>
    <x:row r="257">
      <x:c r="A257" s="339" t="str">
        <x:v>VAL-00256</x:v>
      </x:c>
      <x:c r="B257" s="339" t="str">
        <x:v>SCR-118</x:v>
      </x:c>
      <x:c r="C257" s="339" t="str">
        <x:v>Student Attendance</x:v>
      </x:c>
      <x:c r="D257" s="339" t="str">
        <x:v>Chronic Absence Alerts</x:v>
      </x:c>
      <x:c r="E257" s="339" t="str">
        <x:v>Required/effective references</x:v>
      </x:c>
      <x:c r="F257" s="339" t="str">
        <x:v>Selected master/reference values must exist, be active and effective for the transaction date.</x:v>
      </x:c>
      <x:c r="G257" s="339" t="str">
        <x:v>One or more selected values are no longer valid. Refresh and try again.</x:v>
      </x:c>
      <x:c r="H257" s="339" t="str">
        <x:v>On submit</x:v>
      </x:c>
      <x:c r="I257" s="339" t="str">
        <x:v>Yes</x:v>
      </x:c>
    </x:row>
    <x:row r="258">
      <x:c r="A258" s="339" t="str">
        <x:v>VAL-00257</x:v>
      </x:c>
      <x:c r="B258" s="339" t="str">
        <x:v>SCR-118</x:v>
      </x:c>
      <x:c r="C258" s="339" t="str">
        <x:v>Student Attendance</x:v>
      </x:c>
      <x:c r="D258" s="339" t="str">
        <x:v>Chronic Absence Alerts</x:v>
      </x:c>
      <x:c r="E258" s="339" t="str">
        <x:v>Unique attendance session</x:v>
      </x:c>
      <x:c r="F258" s="339" t="str">
        <x:v>A student may have only one final attendance record for the same date/class/period session key.</x:v>
      </x:c>
      <x:c r="G258" s="339" t="str">
        <x:v>Attendance already exists for this student/session.</x:v>
      </x:c>
      <x:c r="H258" s="339" t="str">
        <x:v>On mark/save</x:v>
      </x:c>
      <x:c r="I258" s="339" t="str">
        <x:v>Yes</x:v>
      </x:c>
    </x:row>
    <x:row r="259">
      <x:c r="A259" s="339" t="str">
        <x:v>VAL-00258</x:v>
      </x:c>
      <x:c r="B259" s="339" t="str">
        <x:v>SCR-119</x:v>
      </x:c>
      <x:c r="C259" s="339" t="str">
        <x:v>Student Attendance</x:v>
      </x:c>
      <x:c r="D259" s="339" t="str">
        <x:v>Attendance Reports</x:v>
      </x:c>
      <x:c r="E259" s="339" t="str">
        <x:v>Authorization &amp; scope</x:v>
      </x:c>
      <x:c r="F259" s="339" t="str">
        <x:v>User must have permission for the screen/action and the target record must be inside tenant/school/branch/class scope.</x:v>
      </x:c>
      <x:c r="G259" s="339" t="str">
        <x:v>You do not have permission to perform this action.</x:v>
      </x:c>
      <x:c r="H259" s="339" t="str">
        <x:v>On load and submit</x:v>
      </x:c>
      <x:c r="I259" s="339" t="str">
        <x:v>Yes</x:v>
      </x:c>
    </x:row>
    <x:row r="260">
      <x:c r="A260" s="339" t="str">
        <x:v>VAL-00259</x:v>
      </x:c>
      <x:c r="B260" s="339" t="str">
        <x:v>SCR-119</x:v>
      </x:c>
      <x:c r="C260" s="339" t="str">
        <x:v>Student Attendance</x:v>
      </x:c>
      <x:c r="D260" s="339" t="str">
        <x:v>Attendance Reports</x:v>
      </x:c>
      <x:c r="E260" s="339" t="str">
        <x:v>Required/effective references</x:v>
      </x:c>
      <x:c r="F260" s="339" t="str">
        <x:v>Selected master/reference values must exist, be active and effective for the transaction date.</x:v>
      </x:c>
      <x:c r="G260" s="339" t="str">
        <x:v>One or more selected values are no longer valid. Refresh and try again.</x:v>
      </x:c>
      <x:c r="H260" s="339" t="str">
        <x:v>On submit</x:v>
      </x:c>
      <x:c r="I260" s="339" t="str">
        <x:v>Yes</x:v>
      </x:c>
    </x:row>
    <x:row r="261">
      <x:c r="A261" s="339" t="str">
        <x:v>VAL-00260</x:v>
      </x:c>
      <x:c r="B261" s="339" t="str">
        <x:v>SCR-119</x:v>
      </x:c>
      <x:c r="C261" s="339" t="str">
        <x:v>Student Attendance</x:v>
      </x:c>
      <x:c r="D261" s="339" t="str">
        <x:v>Attendance Reports</x:v>
      </x:c>
      <x:c r="E261" s="339" t="str">
        <x:v>Unique attendance session</x:v>
      </x:c>
      <x:c r="F261" s="339" t="str">
        <x:v>A student may have only one final attendance record for the same date/class/period session key.</x:v>
      </x:c>
      <x:c r="G261" s="339" t="str">
        <x:v>Attendance already exists for this student/session.</x:v>
      </x:c>
      <x:c r="H261" s="339" t="str">
        <x:v>On mark/save</x:v>
      </x:c>
      <x:c r="I261" s="339" t="str">
        <x:v>Yes</x:v>
      </x:c>
    </x:row>
    <x:row r="262">
      <x:c r="A262" s="339" t="str">
        <x:v>VAL-00261</x:v>
      </x:c>
      <x:c r="B262" s="339" t="str">
        <x:v>SCR-120</x:v>
      </x:c>
      <x:c r="C262" s="339" t="str">
        <x:v>Timetable &amp; Substitution</x:v>
      </x:c>
      <x:c r="D262" s="339" t="str">
        <x:v>Timetable Dashboard</x:v>
      </x:c>
      <x:c r="E262" s="339" t="str">
        <x:v>Authorization &amp; scope</x:v>
      </x:c>
      <x:c r="F262" s="339" t="str">
        <x:v>User must have permission for the screen/action and the target record must be inside tenant/school/branch/class scope.</x:v>
      </x:c>
      <x:c r="G262" s="339" t="str">
        <x:v>You do not have permission to perform this action.</x:v>
      </x:c>
      <x:c r="H262" s="339" t="str">
        <x:v>On load and submit</x:v>
      </x:c>
      <x:c r="I262" s="339" t="str">
        <x:v>Yes</x:v>
      </x:c>
    </x:row>
    <x:row r="263">
      <x:c r="A263" s="339" t="str">
        <x:v>VAL-00262</x:v>
      </x:c>
      <x:c r="B263" s="339" t="str">
        <x:v>SCR-120</x:v>
      </x:c>
      <x:c r="C263" s="339" t="str">
        <x:v>Timetable &amp; Substitution</x:v>
      </x:c>
      <x:c r="D263" s="339" t="str">
        <x:v>Timetable Dashboard</x:v>
      </x:c>
      <x:c r="E263" s="339" t="str">
        <x:v>Required/effective references</x:v>
      </x:c>
      <x:c r="F263" s="339" t="str">
        <x:v>Selected master/reference values must exist, be active and effective for the transaction date.</x:v>
      </x:c>
      <x:c r="G263" s="339" t="str">
        <x:v>One or more selected values are no longer valid. Refresh and try again.</x:v>
      </x:c>
      <x:c r="H263" s="339" t="str">
        <x:v>On submit</x:v>
      </x:c>
      <x:c r="I263" s="339" t="str">
        <x:v>Yes</x:v>
      </x:c>
    </x:row>
    <x:row r="264">
      <x:c r="A264" s="339" t="str">
        <x:v>VAL-00263</x:v>
      </x:c>
      <x:c r="B264" s="339" t="str">
        <x:v>SCR-120</x:v>
      </x:c>
      <x:c r="C264" s="339" t="str">
        <x:v>Timetable &amp; Substitution</x:v>
      </x:c>
      <x:c r="D264" s="339" t="str">
        <x:v>Timetable Dashboard</x:v>
      </x:c>
      <x:c r="E264" s="339" t="str">
        <x:v>Schedule conflict</x:v>
      </x:c>
      <x:c r="F264" s="339" t="str">
        <x:v>Teacher, class/section and room cannot overlap an existing active commitment unless authorized override is enabled.</x:v>
      </x:c>
      <x:c r="G264" s="339" t="str">
        <x:v>This time slot conflicts with an existing schedule.</x:v>
      </x:c>
      <x:c r="H264" s="339" t="str">
        <x:v>On schedule save</x:v>
      </x:c>
      <x:c r="I264" s="339" t="str">
        <x:v>Yes</x:v>
      </x:c>
    </x:row>
    <x:row r="265">
      <x:c r="A265" s="339" t="str">
        <x:v>VAL-00264</x:v>
      </x:c>
      <x:c r="B265" s="339" t="str">
        <x:v>SCR-121</x:v>
      </x:c>
      <x:c r="C265" s="339" t="str">
        <x:v>Timetable &amp; Substitution</x:v>
      </x:c>
      <x:c r="D265" s="339" t="str">
        <x:v>Timetable Setup</x:v>
      </x:c>
      <x:c r="E265" s="339" t="str">
        <x:v>Authorization &amp; scope</x:v>
      </x:c>
      <x:c r="F265" s="339" t="str">
        <x:v>User must have permission for the screen/action and the target record must be inside tenant/school/branch/class scope.</x:v>
      </x:c>
      <x:c r="G265" s="339" t="str">
        <x:v>You do not have permission to perform this action.</x:v>
      </x:c>
      <x:c r="H265" s="339" t="str">
        <x:v>On load and submit</x:v>
      </x:c>
      <x:c r="I265" s="339" t="str">
        <x:v>Yes</x:v>
      </x:c>
    </x:row>
    <x:row r="266">
      <x:c r="A266" s="339" t="str">
        <x:v>VAL-00265</x:v>
      </x:c>
      <x:c r="B266" s="339" t="str">
        <x:v>SCR-121</x:v>
      </x:c>
      <x:c r="C266" s="339" t="str">
        <x:v>Timetable &amp; Substitution</x:v>
      </x:c>
      <x:c r="D266" s="339" t="str">
        <x:v>Timetable Setup</x:v>
      </x:c>
      <x:c r="E266" s="339" t="str">
        <x:v>Required/effective references</x:v>
      </x:c>
      <x:c r="F266" s="339" t="str">
        <x:v>Selected master/reference values must exist, be active and effective for the transaction date.</x:v>
      </x:c>
      <x:c r="G266" s="339" t="str">
        <x:v>One or more selected values are no longer valid. Refresh and try again.</x:v>
      </x:c>
      <x:c r="H266" s="339" t="str">
        <x:v>On submit</x:v>
      </x:c>
      <x:c r="I266" s="339" t="str">
        <x:v>Yes</x:v>
      </x:c>
    </x:row>
    <x:row r="267">
      <x:c r="A267" s="339" t="str">
        <x:v>VAL-00266</x:v>
      </x:c>
      <x:c r="B267" s="339" t="str">
        <x:v>SCR-121</x:v>
      </x:c>
      <x:c r="C267" s="339" t="str">
        <x:v>Timetable &amp; Substitution</x:v>
      </x:c>
      <x:c r="D267" s="339" t="str">
        <x:v>Timetable Setup</x:v>
      </x:c>
      <x:c r="E267" s="339" t="str">
        <x:v>Schedule conflict</x:v>
      </x:c>
      <x:c r="F267" s="339" t="str">
        <x:v>Teacher, class/section and room cannot overlap an existing active commitment unless authorized override is enabled.</x:v>
      </x:c>
      <x:c r="G267" s="339" t="str">
        <x:v>This time slot conflicts with an existing schedule.</x:v>
      </x:c>
      <x:c r="H267" s="339" t="str">
        <x:v>On schedule save</x:v>
      </x:c>
      <x:c r="I267" s="339" t="str">
        <x:v>Yes</x:v>
      </x:c>
    </x:row>
    <x:row r="268">
      <x:c r="A268" s="339" t="str">
        <x:v>VAL-00267</x:v>
      </x:c>
      <x:c r="B268" s="339" t="str">
        <x:v>SCR-122</x:v>
      </x:c>
      <x:c r="C268" s="339" t="str">
        <x:v>Timetable &amp; Substitution</x:v>
      </x:c>
      <x:c r="D268" s="339" t="str">
        <x:v>Period Setup</x:v>
      </x:c>
      <x:c r="E268" s="339" t="str">
        <x:v>Authorization &amp; scope</x:v>
      </x:c>
      <x:c r="F268" s="339" t="str">
        <x:v>User must have permission for the screen/action and the target record must be inside tenant/school/branch/class scope.</x:v>
      </x:c>
      <x:c r="G268" s="339" t="str">
        <x:v>You do not have permission to perform this action.</x:v>
      </x:c>
      <x:c r="H268" s="339" t="str">
        <x:v>On load and submit</x:v>
      </x:c>
      <x:c r="I268" s="339" t="str">
        <x:v>Yes</x:v>
      </x:c>
    </x:row>
    <x:row r="269">
      <x:c r="A269" s="339" t="str">
        <x:v>VAL-00268</x:v>
      </x:c>
      <x:c r="B269" s="339" t="str">
        <x:v>SCR-122</x:v>
      </x:c>
      <x:c r="C269" s="339" t="str">
        <x:v>Timetable &amp; Substitution</x:v>
      </x:c>
      <x:c r="D269" s="339" t="str">
        <x:v>Period Setup</x:v>
      </x:c>
      <x:c r="E269" s="339" t="str">
        <x:v>Required/effective references</x:v>
      </x:c>
      <x:c r="F269" s="339" t="str">
        <x:v>Selected master/reference values must exist, be active and effective for the transaction date.</x:v>
      </x:c>
      <x:c r="G269" s="339" t="str">
        <x:v>One or more selected values are no longer valid. Refresh and try again.</x:v>
      </x:c>
      <x:c r="H269" s="339" t="str">
        <x:v>On submit</x:v>
      </x:c>
      <x:c r="I269" s="339" t="str">
        <x:v>Yes</x:v>
      </x:c>
    </x:row>
    <x:row r="270">
      <x:c r="A270" s="339" t="str">
        <x:v>VAL-00269</x:v>
      </x:c>
      <x:c r="B270" s="339" t="str">
        <x:v>SCR-122</x:v>
      </x:c>
      <x:c r="C270" s="339" t="str">
        <x:v>Timetable &amp; Substitution</x:v>
      </x:c>
      <x:c r="D270" s="339" t="str">
        <x:v>Period Setup</x:v>
      </x:c>
      <x:c r="E270" s="339" t="str">
        <x:v>Schedule conflict</x:v>
      </x:c>
      <x:c r="F270" s="339" t="str">
        <x:v>Teacher, class/section and room cannot overlap an existing active commitment unless authorized override is enabled.</x:v>
      </x:c>
      <x:c r="G270" s="339" t="str">
        <x:v>This time slot conflicts with an existing schedule.</x:v>
      </x:c>
      <x:c r="H270" s="339" t="str">
        <x:v>On schedule save</x:v>
      </x:c>
      <x:c r="I270" s="339" t="str">
        <x:v>Yes</x:v>
      </x:c>
    </x:row>
    <x:row r="271">
      <x:c r="A271" s="339" t="str">
        <x:v>VAL-00270</x:v>
      </x:c>
      <x:c r="B271" s="339" t="str">
        <x:v>SCR-123</x:v>
      </x:c>
      <x:c r="C271" s="339" t="str">
        <x:v>Timetable &amp; Substitution</x:v>
      </x:c>
      <x:c r="D271" s="339" t="str">
        <x:v>Teacher Availability</x:v>
      </x:c>
      <x:c r="E271" s="339" t="str">
        <x:v>Authorization &amp; scope</x:v>
      </x:c>
      <x:c r="F271" s="339" t="str">
        <x:v>User must have permission for the screen/action and the target record must be inside tenant/school/branch/class scope.</x:v>
      </x:c>
      <x:c r="G271" s="339" t="str">
        <x:v>You do not have permission to perform this action.</x:v>
      </x:c>
      <x:c r="H271" s="339" t="str">
        <x:v>On load and submit</x:v>
      </x:c>
      <x:c r="I271" s="339" t="str">
        <x:v>Yes</x:v>
      </x:c>
    </x:row>
    <x:row r="272">
      <x:c r="A272" s="339" t="str">
        <x:v>VAL-00271</x:v>
      </x:c>
      <x:c r="B272" s="339" t="str">
        <x:v>SCR-123</x:v>
      </x:c>
      <x:c r="C272" s="339" t="str">
        <x:v>Timetable &amp; Substitution</x:v>
      </x:c>
      <x:c r="D272" s="339" t="str">
        <x:v>Teacher Availability</x:v>
      </x:c>
      <x:c r="E272" s="339" t="str">
        <x:v>Required/effective references</x:v>
      </x:c>
      <x:c r="F272" s="339" t="str">
        <x:v>Selected master/reference values must exist, be active and effective for the transaction date.</x:v>
      </x:c>
      <x:c r="G272" s="339" t="str">
        <x:v>One or more selected values are no longer valid. Refresh and try again.</x:v>
      </x:c>
      <x:c r="H272" s="339" t="str">
        <x:v>On submit</x:v>
      </x:c>
      <x:c r="I272" s="339" t="str">
        <x:v>Yes</x:v>
      </x:c>
    </x:row>
    <x:row r="273">
      <x:c r="A273" s="339" t="str">
        <x:v>VAL-00272</x:v>
      </x:c>
      <x:c r="B273" s="339" t="str">
        <x:v>SCR-123</x:v>
      </x:c>
      <x:c r="C273" s="339" t="str">
        <x:v>Timetable &amp; Substitution</x:v>
      </x:c>
      <x:c r="D273" s="339" t="str">
        <x:v>Teacher Availability</x:v>
      </x:c>
      <x:c r="E273" s="339" t="str">
        <x:v>Schedule conflict</x:v>
      </x:c>
      <x:c r="F273" s="339" t="str">
        <x:v>Teacher, class/section and room cannot overlap an existing active commitment unless authorized override is enabled.</x:v>
      </x:c>
      <x:c r="G273" s="339" t="str">
        <x:v>This time slot conflicts with an existing schedule.</x:v>
      </x:c>
      <x:c r="H273" s="339" t="str">
        <x:v>On schedule save</x:v>
      </x:c>
      <x:c r="I273" s="339" t="str">
        <x:v>Yes</x:v>
      </x:c>
    </x:row>
    <x:row r="274">
      <x:c r="A274" s="339" t="str">
        <x:v>VAL-00273</x:v>
      </x:c>
      <x:c r="B274" s="339" t="str">
        <x:v>SCR-124</x:v>
      </x:c>
      <x:c r="C274" s="339" t="str">
        <x:v>Timetable &amp; Substitution</x:v>
      </x:c>
      <x:c r="D274" s="339" t="str">
        <x:v>Generate Timetable</x:v>
      </x:c>
      <x:c r="E274" s="339" t="str">
        <x:v>Authorization &amp; scope</x:v>
      </x:c>
      <x:c r="F274" s="339" t="str">
        <x:v>User must have permission for the screen/action and the target record must be inside tenant/school/branch/class scope.</x:v>
      </x:c>
      <x:c r="G274" s="339" t="str">
        <x:v>You do not have permission to perform this action.</x:v>
      </x:c>
      <x:c r="H274" s="339" t="str">
        <x:v>On load and submit</x:v>
      </x:c>
      <x:c r="I274" s="339" t="str">
        <x:v>Yes</x:v>
      </x:c>
    </x:row>
    <x:row r="275">
      <x:c r="A275" s="339" t="str">
        <x:v>VAL-00274</x:v>
      </x:c>
      <x:c r="B275" s="339" t="str">
        <x:v>SCR-124</x:v>
      </x:c>
      <x:c r="C275" s="339" t="str">
        <x:v>Timetable &amp; Substitution</x:v>
      </x:c>
      <x:c r="D275" s="339" t="str">
        <x:v>Generate Timetable</x:v>
      </x:c>
      <x:c r="E275" s="339" t="str">
        <x:v>Required/effective references</x:v>
      </x:c>
      <x:c r="F275" s="339" t="str">
        <x:v>Selected master/reference values must exist, be active and effective for the transaction date.</x:v>
      </x:c>
      <x:c r="G275" s="339" t="str">
        <x:v>One or more selected values are no longer valid. Refresh and try again.</x:v>
      </x:c>
      <x:c r="H275" s="339" t="str">
        <x:v>On submit</x:v>
      </x:c>
      <x:c r="I275" s="339" t="str">
        <x:v>Yes</x:v>
      </x:c>
    </x:row>
    <x:row r="276">
      <x:c r="A276" s="339" t="str">
        <x:v>VAL-00275</x:v>
      </x:c>
      <x:c r="B276" s="339" t="str">
        <x:v>SCR-124</x:v>
      </x:c>
      <x:c r="C276" s="339" t="str">
        <x:v>Timetable &amp; Substitution</x:v>
      </x:c>
      <x:c r="D276" s="339" t="str">
        <x:v>Generate Timetable</x:v>
      </x:c>
      <x:c r="E276" s="339" t="str">
        <x:v>Schedule conflict</x:v>
      </x:c>
      <x:c r="F276" s="339" t="str">
        <x:v>Teacher, class/section and room cannot overlap an existing active commitment unless authorized override is enabled.</x:v>
      </x:c>
      <x:c r="G276" s="339" t="str">
        <x:v>This time slot conflicts with an existing schedule.</x:v>
      </x:c>
      <x:c r="H276" s="339" t="str">
        <x:v>On schedule save</x:v>
      </x:c>
      <x:c r="I276" s="339" t="str">
        <x:v>Yes</x:v>
      </x:c>
    </x:row>
    <x:row r="277">
      <x:c r="A277" s="339" t="str">
        <x:v>VAL-00276</x:v>
      </x:c>
      <x:c r="B277" s="339" t="str">
        <x:v>SCR-125</x:v>
      </x:c>
      <x:c r="C277" s="339" t="str">
        <x:v>Timetable &amp; Substitution</x:v>
      </x:c>
      <x:c r="D277" s="339" t="str">
        <x:v>Class Timetable</x:v>
      </x:c>
      <x:c r="E277" s="339" t="str">
        <x:v>Authorization &amp; scope</x:v>
      </x:c>
      <x:c r="F277" s="339" t="str">
        <x:v>User must have permission for the screen/action and the target record must be inside tenant/school/branch/class scope.</x:v>
      </x:c>
      <x:c r="G277" s="339" t="str">
        <x:v>You do not have permission to perform this action.</x:v>
      </x:c>
      <x:c r="H277" s="339" t="str">
        <x:v>On load and submit</x:v>
      </x:c>
      <x:c r="I277" s="339" t="str">
        <x:v>Yes</x:v>
      </x:c>
    </x:row>
    <x:row r="278">
      <x:c r="A278" s="339" t="str">
        <x:v>VAL-00277</x:v>
      </x:c>
      <x:c r="B278" s="339" t="str">
        <x:v>SCR-125</x:v>
      </x:c>
      <x:c r="C278" s="339" t="str">
        <x:v>Timetable &amp; Substitution</x:v>
      </x:c>
      <x:c r="D278" s="339" t="str">
        <x:v>Class Timetable</x:v>
      </x:c>
      <x:c r="E278" s="339" t="str">
        <x:v>Required/effective references</x:v>
      </x:c>
      <x:c r="F278" s="339" t="str">
        <x:v>Selected master/reference values must exist, be active and effective for the transaction date.</x:v>
      </x:c>
      <x:c r="G278" s="339" t="str">
        <x:v>One or more selected values are no longer valid. Refresh and try again.</x:v>
      </x:c>
      <x:c r="H278" s="339" t="str">
        <x:v>On submit</x:v>
      </x:c>
      <x:c r="I278" s="339" t="str">
        <x:v>Yes</x:v>
      </x:c>
    </x:row>
    <x:row r="279">
      <x:c r="A279" s="339" t="str">
        <x:v>VAL-00278</x:v>
      </x:c>
      <x:c r="B279" s="339" t="str">
        <x:v>SCR-125</x:v>
      </x:c>
      <x:c r="C279" s="339" t="str">
        <x:v>Timetable &amp; Substitution</x:v>
      </x:c>
      <x:c r="D279" s="339" t="str">
        <x:v>Class Timetable</x:v>
      </x:c>
      <x:c r="E279" s="339" t="str">
        <x:v>Schedule conflict</x:v>
      </x:c>
      <x:c r="F279" s="339" t="str">
        <x:v>Teacher, class/section and room cannot overlap an existing active commitment unless authorized override is enabled.</x:v>
      </x:c>
      <x:c r="G279" s="339" t="str">
        <x:v>This time slot conflicts with an existing schedule.</x:v>
      </x:c>
      <x:c r="H279" s="339" t="str">
        <x:v>On schedule save</x:v>
      </x:c>
      <x:c r="I279" s="339" t="str">
        <x:v>Yes</x:v>
      </x:c>
    </x:row>
    <x:row r="280">
      <x:c r="A280" s="339" t="str">
        <x:v>VAL-00279</x:v>
      </x:c>
      <x:c r="B280" s="339" t="str">
        <x:v>SCR-126</x:v>
      </x:c>
      <x:c r="C280" s="339" t="str">
        <x:v>Timetable &amp; Substitution</x:v>
      </x:c>
      <x:c r="D280" s="339" t="str">
        <x:v>Teacher Timetable</x:v>
      </x:c>
      <x:c r="E280" s="339" t="str">
        <x:v>Authorization &amp; scope</x:v>
      </x:c>
      <x:c r="F280" s="339" t="str">
        <x:v>User must have permission for the screen/action and the target record must be inside tenant/school/branch/class scope.</x:v>
      </x:c>
      <x:c r="G280" s="339" t="str">
        <x:v>You do not have permission to perform this action.</x:v>
      </x:c>
      <x:c r="H280" s="339" t="str">
        <x:v>On load and submit</x:v>
      </x:c>
      <x:c r="I280" s="339" t="str">
        <x:v>Yes</x:v>
      </x:c>
    </x:row>
    <x:row r="281">
      <x:c r="A281" s="339" t="str">
        <x:v>VAL-00280</x:v>
      </x:c>
      <x:c r="B281" s="339" t="str">
        <x:v>SCR-126</x:v>
      </x:c>
      <x:c r="C281" s="339" t="str">
        <x:v>Timetable &amp; Substitution</x:v>
      </x:c>
      <x:c r="D281" s="339" t="str">
        <x:v>Teacher Timetable</x:v>
      </x:c>
      <x:c r="E281" s="339" t="str">
        <x:v>Required/effective references</x:v>
      </x:c>
      <x:c r="F281" s="339" t="str">
        <x:v>Selected master/reference values must exist, be active and effective for the transaction date.</x:v>
      </x:c>
      <x:c r="G281" s="339" t="str">
        <x:v>One or more selected values are no longer valid. Refresh and try again.</x:v>
      </x:c>
      <x:c r="H281" s="339" t="str">
        <x:v>On submit</x:v>
      </x:c>
      <x:c r="I281" s="339" t="str">
        <x:v>Yes</x:v>
      </x:c>
    </x:row>
    <x:row r="282">
      <x:c r="A282" s="339" t="str">
        <x:v>VAL-00281</x:v>
      </x:c>
      <x:c r="B282" s="339" t="str">
        <x:v>SCR-126</x:v>
      </x:c>
      <x:c r="C282" s="339" t="str">
        <x:v>Timetable &amp; Substitution</x:v>
      </x:c>
      <x:c r="D282" s="339" t="str">
        <x:v>Teacher Timetable</x:v>
      </x:c>
      <x:c r="E282" s="339" t="str">
        <x:v>Schedule conflict</x:v>
      </x:c>
      <x:c r="F282" s="339" t="str">
        <x:v>Teacher, class/section and room cannot overlap an existing active commitment unless authorized override is enabled.</x:v>
      </x:c>
      <x:c r="G282" s="339" t="str">
        <x:v>This time slot conflicts with an existing schedule.</x:v>
      </x:c>
      <x:c r="H282" s="339" t="str">
        <x:v>On schedule save</x:v>
      </x:c>
      <x:c r="I282" s="339" t="str">
        <x:v>Yes</x:v>
      </x:c>
    </x:row>
    <x:row r="283">
      <x:c r="A283" s="339" t="str">
        <x:v>VAL-00282</x:v>
      </x:c>
      <x:c r="B283" s="339" t="str">
        <x:v>SCR-127</x:v>
      </x:c>
      <x:c r="C283" s="339" t="str">
        <x:v>Timetable &amp; Substitution</x:v>
      </x:c>
      <x:c r="D283" s="339" t="str">
        <x:v>Substitution / Replacement</x:v>
      </x:c>
      <x:c r="E283" s="339" t="str">
        <x:v>Authorization &amp; scope</x:v>
      </x:c>
      <x:c r="F283" s="339" t="str">
        <x:v>User must have permission for the screen/action and the target record must be inside tenant/school/branch/class scope.</x:v>
      </x:c>
      <x:c r="G283" s="339" t="str">
        <x:v>You do not have permission to perform this action.</x:v>
      </x:c>
      <x:c r="H283" s="339" t="str">
        <x:v>On load and submit</x:v>
      </x:c>
      <x:c r="I283" s="339" t="str">
        <x:v>Yes</x:v>
      </x:c>
    </x:row>
    <x:row r="284">
      <x:c r="A284" s="339" t="str">
        <x:v>VAL-00283</x:v>
      </x:c>
      <x:c r="B284" s="339" t="str">
        <x:v>SCR-127</x:v>
      </x:c>
      <x:c r="C284" s="339" t="str">
        <x:v>Timetable &amp; Substitution</x:v>
      </x:c>
      <x:c r="D284" s="339" t="str">
        <x:v>Substitution / Replacement</x:v>
      </x:c>
      <x:c r="E284" s="339" t="str">
        <x:v>Required/effective references</x:v>
      </x:c>
      <x:c r="F284" s="339" t="str">
        <x:v>Selected master/reference values must exist, be active and effective for the transaction date.</x:v>
      </x:c>
      <x:c r="G284" s="339" t="str">
        <x:v>One or more selected values are no longer valid. Refresh and try again.</x:v>
      </x:c>
      <x:c r="H284" s="339" t="str">
        <x:v>On submit</x:v>
      </x:c>
      <x:c r="I284" s="339" t="str">
        <x:v>Yes</x:v>
      </x:c>
    </x:row>
    <x:row r="285">
      <x:c r="A285" s="339" t="str">
        <x:v>VAL-00284</x:v>
      </x:c>
      <x:c r="B285" s="339" t="str">
        <x:v>SCR-127</x:v>
      </x:c>
      <x:c r="C285" s="339" t="str">
        <x:v>Timetable &amp; Substitution</x:v>
      </x:c>
      <x:c r="D285" s="339" t="str">
        <x:v>Substitution / Replacement</x:v>
      </x:c>
      <x:c r="E285" s="339" t="str">
        <x:v>Schedule conflict</x:v>
      </x:c>
      <x:c r="F285" s="339" t="str">
        <x:v>Teacher, class/section and room cannot overlap an existing active commitment unless authorized override is enabled.</x:v>
      </x:c>
      <x:c r="G285" s="339" t="str">
        <x:v>This time slot conflicts with an existing schedule.</x:v>
      </x:c>
      <x:c r="H285" s="339" t="str">
        <x:v>On schedule save</x:v>
      </x:c>
      <x:c r="I285" s="339" t="str">
        <x:v>Yes</x:v>
      </x:c>
    </x:row>
    <x:row r="286">
      <x:c r="A286" s="339" t="str">
        <x:v>VAL-00285</x:v>
      </x:c>
      <x:c r="B286" s="339" t="str">
        <x:v>SCR-128</x:v>
      </x:c>
      <x:c r="C286" s="339" t="str">
        <x:v>Homework &amp; Assignments</x:v>
      </x:c>
      <x:c r="D286" s="339" t="str">
        <x:v>Homework List</x:v>
      </x:c>
      <x:c r="E286" s="339" t="str">
        <x:v>Authorization &amp; scope</x:v>
      </x:c>
      <x:c r="F286" s="339" t="str">
        <x:v>User must have permission for the screen/action and the target record must be inside tenant/school/branch/class scope.</x:v>
      </x:c>
      <x:c r="G286" s="339" t="str">
        <x:v>You do not have permission to perform this action.</x:v>
      </x:c>
      <x:c r="H286" s="339" t="str">
        <x:v>On load and submit</x:v>
      </x:c>
      <x:c r="I286" s="339" t="str">
        <x:v>Yes</x:v>
      </x:c>
    </x:row>
    <x:row r="287">
      <x:c r="A287" s="339" t="str">
        <x:v>VAL-00286</x:v>
      </x:c>
      <x:c r="B287" s="339" t="str">
        <x:v>SCR-128</x:v>
      </x:c>
      <x:c r="C287" s="339" t="str">
        <x:v>Homework &amp; Assignments</x:v>
      </x:c>
      <x:c r="D287" s="339" t="str">
        <x:v>Homework List</x:v>
      </x:c>
      <x:c r="E287" s="339" t="str">
        <x:v>Required/effective references</x:v>
      </x:c>
      <x:c r="F287" s="339" t="str">
        <x:v>Selected master/reference values must exist, be active and effective for the transaction date.</x:v>
      </x:c>
      <x:c r="G287" s="339" t="str">
        <x:v>One or more selected values are no longer valid. Refresh and try again.</x:v>
      </x:c>
      <x:c r="H287" s="339" t="str">
        <x:v>On submit</x:v>
      </x:c>
      <x:c r="I287" s="339" t="str">
        <x:v>Yes</x:v>
      </x:c>
    </x:row>
    <x:row r="288">
      <x:c r="A288" s="339" t="str">
        <x:v>VAL-00287</x:v>
      </x:c>
      <x:c r="B288" s="339" t="str">
        <x:v>SCR-129</x:v>
      </x:c>
      <x:c r="C288" s="339" t="str">
        <x:v>Homework &amp; Assignments</x:v>
      </x:c>
      <x:c r="D288" s="339" t="str">
        <x:v>Create Homework</x:v>
      </x:c>
      <x:c r="E288" s="339" t="str">
        <x:v>Authorization &amp; scope</x:v>
      </x:c>
      <x:c r="F288" s="339" t="str">
        <x:v>User must have permission for the screen/action and the target record must be inside tenant/school/branch/class scope.</x:v>
      </x:c>
      <x:c r="G288" s="339" t="str">
        <x:v>You do not have permission to perform this action.</x:v>
      </x:c>
      <x:c r="H288" s="339" t="str">
        <x:v>On load and submit</x:v>
      </x:c>
      <x:c r="I288" s="339" t="str">
        <x:v>Yes</x:v>
      </x:c>
    </x:row>
    <x:row r="289">
      <x:c r="A289" s="339" t="str">
        <x:v>VAL-00288</x:v>
      </x:c>
      <x:c r="B289" s="339" t="str">
        <x:v>SCR-129</x:v>
      </x:c>
      <x:c r="C289" s="339" t="str">
        <x:v>Homework &amp; Assignments</x:v>
      </x:c>
      <x:c r="D289" s="339" t="str">
        <x:v>Create Homework</x:v>
      </x:c>
      <x:c r="E289" s="339" t="str">
        <x:v>Required/effective references</x:v>
      </x:c>
      <x:c r="F289" s="339" t="str">
        <x:v>Selected master/reference values must exist, be active and effective for the transaction date.</x:v>
      </x:c>
      <x:c r="G289" s="339" t="str">
        <x:v>One or more selected values are no longer valid. Refresh and try again.</x:v>
      </x:c>
      <x:c r="H289" s="339" t="str">
        <x:v>On submit</x:v>
      </x:c>
      <x:c r="I289" s="339" t="str">
        <x:v>Yes</x:v>
      </x:c>
    </x:row>
    <x:row r="290">
      <x:c r="A290" s="339" t="str">
        <x:v>VAL-00289</x:v>
      </x:c>
      <x:c r="B290" s="339" t="str">
        <x:v>SCR-130</x:v>
      </x:c>
      <x:c r="C290" s="339" t="str">
        <x:v>Homework &amp; Assignments</x:v>
      </x:c>
      <x:c r="D290" s="339" t="str">
        <x:v>Homework Details</x:v>
      </x:c>
      <x:c r="E290" s="339" t="str">
        <x:v>Authorization &amp; scope</x:v>
      </x:c>
      <x:c r="F290" s="339" t="str">
        <x:v>User must have permission for the screen/action and the target record must be inside tenant/school/branch/class scope.</x:v>
      </x:c>
      <x:c r="G290" s="339" t="str">
        <x:v>You do not have permission to perform this action.</x:v>
      </x:c>
      <x:c r="H290" s="339" t="str">
        <x:v>On load and submit</x:v>
      </x:c>
      <x:c r="I290" s="339" t="str">
        <x:v>Yes</x:v>
      </x:c>
    </x:row>
    <x:row r="291">
      <x:c r="A291" s="339" t="str">
        <x:v>VAL-00290</x:v>
      </x:c>
      <x:c r="B291" s="339" t="str">
        <x:v>SCR-130</x:v>
      </x:c>
      <x:c r="C291" s="339" t="str">
        <x:v>Homework &amp; Assignments</x:v>
      </x:c>
      <x:c r="D291" s="339" t="str">
        <x:v>Homework Details</x:v>
      </x:c>
      <x:c r="E291" s="339" t="str">
        <x:v>Required/effective references</x:v>
      </x:c>
      <x:c r="F291" s="339" t="str">
        <x:v>Selected master/reference values must exist, be active and effective for the transaction date.</x:v>
      </x:c>
      <x:c r="G291" s="339" t="str">
        <x:v>One or more selected values are no longer valid. Refresh and try again.</x:v>
      </x:c>
      <x:c r="H291" s="339" t="str">
        <x:v>On submit</x:v>
      </x:c>
      <x:c r="I291" s="339" t="str">
        <x:v>Yes</x:v>
      </x:c>
    </x:row>
    <x:row r="292">
      <x:c r="A292" s="339" t="str">
        <x:v>VAL-00291</x:v>
      </x:c>
      <x:c r="B292" s="339" t="str">
        <x:v>SCR-131</x:v>
      </x:c>
      <x:c r="C292" s="339" t="str">
        <x:v>Homework &amp; Assignments</x:v>
      </x:c>
      <x:c r="D292" s="339" t="str">
        <x:v>Student Homework View</x:v>
      </x:c>
      <x:c r="E292" s="339" t="str">
        <x:v>Authorization &amp; scope</x:v>
      </x:c>
      <x:c r="F292" s="339" t="str">
        <x:v>User must have permission for the screen/action and the target record must be inside tenant/school/branch/class scope.</x:v>
      </x:c>
      <x:c r="G292" s="339" t="str">
        <x:v>You do not have permission to perform this action.</x:v>
      </x:c>
      <x:c r="H292" s="339" t="str">
        <x:v>On load and submit</x:v>
      </x:c>
      <x:c r="I292" s="339" t="str">
        <x:v>Yes</x:v>
      </x:c>
    </x:row>
    <x:row r="293">
      <x:c r="A293" s="339" t="str">
        <x:v>VAL-00292</x:v>
      </x:c>
      <x:c r="B293" s="339" t="str">
        <x:v>SCR-131</x:v>
      </x:c>
      <x:c r="C293" s="339" t="str">
        <x:v>Homework &amp; Assignments</x:v>
      </x:c>
      <x:c r="D293" s="339" t="str">
        <x:v>Student Homework View</x:v>
      </x:c>
      <x:c r="E293" s="339" t="str">
        <x:v>Required/effective references</x:v>
      </x:c>
      <x:c r="F293" s="339" t="str">
        <x:v>Selected master/reference values must exist, be active and effective for the transaction date.</x:v>
      </x:c>
      <x:c r="G293" s="339" t="str">
        <x:v>One or more selected values are no longer valid. Refresh and try again.</x:v>
      </x:c>
      <x:c r="H293" s="339" t="str">
        <x:v>On submit</x:v>
      </x:c>
      <x:c r="I293" s="339" t="str">
        <x:v>Yes</x:v>
      </x:c>
    </x:row>
    <x:row r="294">
      <x:c r="A294" s="339" t="str">
        <x:v>VAL-00293</x:v>
      </x:c>
      <x:c r="B294" s="339" t="str">
        <x:v>SCR-132</x:v>
      </x:c>
      <x:c r="C294" s="339" t="str">
        <x:v>Homework &amp; Assignments</x:v>
      </x:c>
      <x:c r="D294" s="339" t="str">
        <x:v>Homework Submission</x:v>
      </x:c>
      <x:c r="E294" s="339" t="str">
        <x:v>Authorization &amp; scope</x:v>
      </x:c>
      <x:c r="F294" s="339" t="str">
        <x:v>User must have permission for the screen/action and the target record must be inside tenant/school/branch/class scope.</x:v>
      </x:c>
      <x:c r="G294" s="339" t="str">
        <x:v>You do not have permission to perform this action.</x:v>
      </x:c>
      <x:c r="H294" s="339" t="str">
        <x:v>On load and submit</x:v>
      </x:c>
      <x:c r="I294" s="339" t="str">
        <x:v>Yes</x:v>
      </x:c>
    </x:row>
    <x:row r="295">
      <x:c r="A295" s="339" t="str">
        <x:v>VAL-00294</x:v>
      </x:c>
      <x:c r="B295" s="339" t="str">
        <x:v>SCR-132</x:v>
      </x:c>
      <x:c r="C295" s="339" t="str">
        <x:v>Homework &amp; Assignments</x:v>
      </x:c>
      <x:c r="D295" s="339" t="str">
        <x:v>Homework Submission</x:v>
      </x:c>
      <x:c r="E295" s="339" t="str">
        <x:v>Required/effective references</x:v>
      </x:c>
      <x:c r="F295" s="339" t="str">
        <x:v>Selected master/reference values must exist, be active and effective for the transaction date.</x:v>
      </x:c>
      <x:c r="G295" s="339" t="str">
        <x:v>One or more selected values are no longer valid. Refresh and try again.</x:v>
      </x:c>
      <x:c r="H295" s="339" t="str">
        <x:v>On submit</x:v>
      </x:c>
      <x:c r="I295" s="339" t="str">
        <x:v>Yes</x:v>
      </x:c>
    </x:row>
    <x:row r="296">
      <x:c r="A296" s="339" t="str">
        <x:v>VAL-00295</x:v>
      </x:c>
      <x:c r="B296" s="339" t="str">
        <x:v>SCR-133</x:v>
      </x:c>
      <x:c r="C296" s="339" t="str">
        <x:v>Homework &amp; Assignments</x:v>
      </x:c>
      <x:c r="D296" s="339" t="str">
        <x:v>Homework Evaluation</x:v>
      </x:c>
      <x:c r="E296" s="339" t="str">
        <x:v>Authorization &amp; scope</x:v>
      </x:c>
      <x:c r="F296" s="339" t="str">
        <x:v>User must have permission for the screen/action and the target record must be inside tenant/school/branch/class scope.</x:v>
      </x:c>
      <x:c r="G296" s="339" t="str">
        <x:v>You do not have permission to perform this action.</x:v>
      </x:c>
      <x:c r="H296" s="339" t="str">
        <x:v>On load and submit</x:v>
      </x:c>
      <x:c r="I296" s="339" t="str">
        <x:v>Yes</x:v>
      </x:c>
    </x:row>
    <x:row r="297">
      <x:c r="A297" s="339" t="str">
        <x:v>VAL-00296</x:v>
      </x:c>
      <x:c r="B297" s="339" t="str">
        <x:v>SCR-133</x:v>
      </x:c>
      <x:c r="C297" s="339" t="str">
        <x:v>Homework &amp; Assignments</x:v>
      </x:c>
      <x:c r="D297" s="339" t="str">
        <x:v>Homework Evaluation</x:v>
      </x:c>
      <x:c r="E297" s="339" t="str">
        <x:v>Required/effective references</x:v>
      </x:c>
      <x:c r="F297" s="339" t="str">
        <x:v>Selected master/reference values must exist, be active and effective for the transaction date.</x:v>
      </x:c>
      <x:c r="G297" s="339" t="str">
        <x:v>One or more selected values are no longer valid. Refresh and try again.</x:v>
      </x:c>
      <x:c r="H297" s="339" t="str">
        <x:v>On submit</x:v>
      </x:c>
      <x:c r="I297" s="339" t="str">
        <x:v>Yes</x:v>
      </x:c>
    </x:row>
    <x:row r="298">
      <x:c r="A298" s="339" t="str">
        <x:v>VAL-00297</x:v>
      </x:c>
      <x:c r="B298" s="339" t="str">
        <x:v>SCR-134</x:v>
      </x:c>
      <x:c r="C298" s="339" t="str">
        <x:v>Homework &amp; Assignments</x:v>
      </x:c>
      <x:c r="D298" s="339" t="str">
        <x:v>Assignment List</x:v>
      </x:c>
      <x:c r="E298" s="339" t="str">
        <x:v>Authorization &amp; scope</x:v>
      </x:c>
      <x:c r="F298" s="339" t="str">
        <x:v>User must have permission for the screen/action and the target record must be inside tenant/school/branch/class scope.</x:v>
      </x:c>
      <x:c r="G298" s="339" t="str">
        <x:v>You do not have permission to perform this action.</x:v>
      </x:c>
      <x:c r="H298" s="339" t="str">
        <x:v>On load and submit</x:v>
      </x:c>
      <x:c r="I298" s="339" t="str">
        <x:v>Yes</x:v>
      </x:c>
    </x:row>
    <x:row r="299">
      <x:c r="A299" s="339" t="str">
        <x:v>VAL-00298</x:v>
      </x:c>
      <x:c r="B299" s="339" t="str">
        <x:v>SCR-134</x:v>
      </x:c>
      <x:c r="C299" s="339" t="str">
        <x:v>Homework &amp; Assignments</x:v>
      </x:c>
      <x:c r="D299" s="339" t="str">
        <x:v>Assignment List</x:v>
      </x:c>
      <x:c r="E299" s="339" t="str">
        <x:v>Required/effective references</x:v>
      </x:c>
      <x:c r="F299" s="339" t="str">
        <x:v>Selected master/reference values must exist, be active and effective for the transaction date.</x:v>
      </x:c>
      <x:c r="G299" s="339" t="str">
        <x:v>One or more selected values are no longer valid. Refresh and try again.</x:v>
      </x:c>
      <x:c r="H299" s="339" t="str">
        <x:v>On submit</x:v>
      </x:c>
      <x:c r="I299" s="339" t="str">
        <x:v>Yes</x:v>
      </x:c>
    </x:row>
    <x:row r="300">
      <x:c r="A300" s="339" t="str">
        <x:v>VAL-00299</x:v>
      </x:c>
      <x:c r="B300" s="339" t="str">
        <x:v>SCR-135</x:v>
      </x:c>
      <x:c r="C300" s="339" t="str">
        <x:v>Homework &amp; Assignments</x:v>
      </x:c>
      <x:c r="D300" s="339" t="str">
        <x:v>Create Assignment</x:v>
      </x:c>
      <x:c r="E300" s="339" t="str">
        <x:v>Authorization &amp; scope</x:v>
      </x:c>
      <x:c r="F300" s="339" t="str">
        <x:v>User must have permission for the screen/action and the target record must be inside tenant/school/branch/class scope.</x:v>
      </x:c>
      <x:c r="G300" s="339" t="str">
        <x:v>You do not have permission to perform this action.</x:v>
      </x:c>
      <x:c r="H300" s="339" t="str">
        <x:v>On load and submit</x:v>
      </x:c>
      <x:c r="I300" s="339" t="str">
        <x:v>Yes</x:v>
      </x:c>
    </x:row>
    <x:row r="301">
      <x:c r="A301" s="339" t="str">
        <x:v>VAL-00300</x:v>
      </x:c>
      <x:c r="B301" s="339" t="str">
        <x:v>SCR-135</x:v>
      </x:c>
      <x:c r="C301" s="339" t="str">
        <x:v>Homework &amp; Assignments</x:v>
      </x:c>
      <x:c r="D301" s="339" t="str">
        <x:v>Create Assignment</x:v>
      </x:c>
      <x:c r="E301" s="339" t="str">
        <x:v>Required/effective references</x:v>
      </x:c>
      <x:c r="F301" s="339" t="str">
        <x:v>Selected master/reference values must exist, be active and effective for the transaction date.</x:v>
      </x:c>
      <x:c r="G301" s="339" t="str">
        <x:v>One or more selected values are no longer valid. Refresh and try again.</x:v>
      </x:c>
      <x:c r="H301" s="339" t="str">
        <x:v>On submit</x:v>
      </x:c>
      <x:c r="I301" s="339" t="str">
        <x:v>Yes</x:v>
      </x:c>
    </x:row>
    <x:row r="302">
      <x:c r="A302" s="339" t="str">
        <x:v>VAL-00301</x:v>
      </x:c>
      <x:c r="B302" s="339" t="str">
        <x:v>SCR-136</x:v>
      </x:c>
      <x:c r="C302" s="339" t="str">
        <x:v>Homework &amp; Assignments</x:v>
      </x:c>
      <x:c r="D302" s="339" t="str">
        <x:v>Assignment Submissions</x:v>
      </x:c>
      <x:c r="E302" s="339" t="str">
        <x:v>Authorization &amp; scope</x:v>
      </x:c>
      <x:c r="F302" s="339" t="str">
        <x:v>User must have permission for the screen/action and the target record must be inside tenant/school/branch/class scope.</x:v>
      </x:c>
      <x:c r="G302" s="339" t="str">
        <x:v>You do not have permission to perform this action.</x:v>
      </x:c>
      <x:c r="H302" s="339" t="str">
        <x:v>On load and submit</x:v>
      </x:c>
      <x:c r="I302" s="339" t="str">
        <x:v>Yes</x:v>
      </x:c>
    </x:row>
    <x:row r="303">
      <x:c r="A303" s="339" t="str">
        <x:v>VAL-00302</x:v>
      </x:c>
      <x:c r="B303" s="339" t="str">
        <x:v>SCR-136</x:v>
      </x:c>
      <x:c r="C303" s="339" t="str">
        <x:v>Homework &amp; Assignments</x:v>
      </x:c>
      <x:c r="D303" s="339" t="str">
        <x:v>Assignment Submissions</x:v>
      </x:c>
      <x:c r="E303" s="339" t="str">
        <x:v>Required/effective references</x:v>
      </x:c>
      <x:c r="F303" s="339" t="str">
        <x:v>Selected master/reference values must exist, be active and effective for the transaction date.</x:v>
      </x:c>
      <x:c r="G303" s="339" t="str">
        <x:v>One or more selected values are no longer valid. Refresh and try again.</x:v>
      </x:c>
      <x:c r="H303" s="339" t="str">
        <x:v>On submit</x:v>
      </x:c>
      <x:c r="I303" s="339" t="str">
        <x:v>Yes</x:v>
      </x:c>
    </x:row>
    <x:row r="304">
      <x:c r="A304" s="339" t="str">
        <x:v>VAL-00303</x:v>
      </x:c>
      <x:c r="B304" s="339" t="str">
        <x:v>SCR-137</x:v>
      </x:c>
      <x:c r="C304" s="339" t="str">
        <x:v>Homework &amp; Assignments</x:v>
      </x:c>
      <x:c r="D304" s="339" t="str">
        <x:v>Assignment Evaluation</x:v>
      </x:c>
      <x:c r="E304" s="339" t="str">
        <x:v>Authorization &amp; scope</x:v>
      </x:c>
      <x:c r="F304" s="339" t="str">
        <x:v>User must have permission for the screen/action and the target record must be inside tenant/school/branch/class scope.</x:v>
      </x:c>
      <x:c r="G304" s="339" t="str">
        <x:v>You do not have permission to perform this action.</x:v>
      </x:c>
      <x:c r="H304" s="339" t="str">
        <x:v>On load and submit</x:v>
      </x:c>
      <x:c r="I304" s="339" t="str">
        <x:v>Yes</x:v>
      </x:c>
    </x:row>
    <x:row r="305">
      <x:c r="A305" s="339" t="str">
        <x:v>VAL-00304</x:v>
      </x:c>
      <x:c r="B305" s="339" t="str">
        <x:v>SCR-137</x:v>
      </x:c>
      <x:c r="C305" s="339" t="str">
        <x:v>Homework &amp; Assignments</x:v>
      </x:c>
      <x:c r="D305" s="339" t="str">
        <x:v>Assignment Evaluation</x:v>
      </x:c>
      <x:c r="E305" s="339" t="str">
        <x:v>Required/effective references</x:v>
      </x:c>
      <x:c r="F305" s="339" t="str">
        <x:v>Selected master/reference values must exist, be active and effective for the transaction date.</x:v>
      </x:c>
      <x:c r="G305" s="339" t="str">
        <x:v>One or more selected values are no longer valid. Refresh and try again.</x:v>
      </x:c>
      <x:c r="H305" s="339" t="str">
        <x:v>On submit</x:v>
      </x:c>
      <x:c r="I305" s="339" t="str">
        <x:v>Yes</x:v>
      </x:c>
    </x:row>
    <x:row r="306">
      <x:c r="A306" s="339" t="str">
        <x:v>VAL-00305</x:v>
      </x:c>
      <x:c r="B306" s="339" t="str">
        <x:v>SCR-138</x:v>
      </x:c>
      <x:c r="C306" s="339" t="str">
        <x:v>Examinations / Marks / Results</x:v>
      </x:c>
      <x:c r="D306" s="339" t="str">
        <x:v>Exam Dashboard</x:v>
      </x:c>
      <x:c r="E306" s="339" t="str">
        <x:v>Authorization &amp; scope</x:v>
      </x:c>
      <x:c r="F306" s="339" t="str">
        <x:v>User must have permission for the screen/action and the target record must be inside tenant/school/branch/class scope.</x:v>
      </x:c>
      <x:c r="G306" s="339" t="str">
        <x:v>You do not have permission to perform this action.</x:v>
      </x:c>
      <x:c r="H306" s="339" t="str">
        <x:v>On load and submit</x:v>
      </x:c>
      <x:c r="I306" s="339" t="str">
        <x:v>Yes</x:v>
      </x:c>
    </x:row>
    <x:row r="307">
      <x:c r="A307" s="339" t="str">
        <x:v>VAL-00306</x:v>
      </x:c>
      <x:c r="B307" s="339" t="str">
        <x:v>SCR-138</x:v>
      </x:c>
      <x:c r="C307" s="339" t="str">
        <x:v>Examinations / Marks / Results</x:v>
      </x:c>
      <x:c r="D307" s="339" t="str">
        <x:v>Exam Dashboard</x:v>
      </x:c>
      <x:c r="E307" s="339" t="str">
        <x:v>Required/effective references</x:v>
      </x:c>
      <x:c r="F307" s="339" t="str">
        <x:v>Selected master/reference values must exist, be active and effective for the transaction date.</x:v>
      </x:c>
      <x:c r="G307" s="339" t="str">
        <x:v>One or more selected values are no longer valid. Refresh and try again.</x:v>
      </x:c>
      <x:c r="H307" s="339" t="str">
        <x:v>On submit</x:v>
      </x:c>
      <x:c r="I307" s="339" t="str">
        <x:v>Yes</x:v>
      </x:c>
    </x:row>
    <x:row r="308">
      <x:c r="A308" s="339" t="str">
        <x:v>VAL-00307</x:v>
      </x:c>
      <x:c r="B308" s="339" t="str">
        <x:v>SCR-138</x:v>
      </x:c>
      <x:c r="C308" s="339" t="str">
        <x:v>Examinations / Marks / Results</x:v>
      </x:c>
      <x:c r="D308" s="339" t="str">
        <x:v>Exam Dashboard</x:v>
      </x:c>
      <x:c r="E308" s="339" t="str">
        <x:v>Marks range</x:v>
      </x:c>
      <x:c r="F308" s="339" t="str">
        <x:v>Numeric marks must be between 0 and the configured maximum; absence/exemption uses status fields.</x:v>
      </x:c>
      <x:c r="G308" s="339" t="str">
        <x:v>Enter marks within the allowed range or choose a valid status.</x:v>
      </x:c>
      <x:c r="H308" s="339" t="str">
        <x:v>On marks save</x:v>
      </x:c>
      <x:c r="I308" s="339" t="str">
        <x:v>Yes</x:v>
      </x:c>
    </x:row>
    <x:row r="309">
      <x:c r="A309" s="339" t="str">
        <x:v>VAL-00308</x:v>
      </x:c>
      <x:c r="B309" s="339" t="str">
        <x:v>SCR-139</x:v>
      </x:c>
      <x:c r="C309" s="339" t="str">
        <x:v>Examinations / Marks / Results</x:v>
      </x:c>
      <x:c r="D309" s="339" t="str">
        <x:v>Exam Types</x:v>
      </x:c>
      <x:c r="E309" s="339" t="str">
        <x:v>Authorization &amp; scope</x:v>
      </x:c>
      <x:c r="F309" s="339" t="str">
        <x:v>User must have permission for the screen/action and the target record must be inside tenant/school/branch/class scope.</x:v>
      </x:c>
      <x:c r="G309" s="339" t="str">
        <x:v>You do not have permission to perform this action.</x:v>
      </x:c>
      <x:c r="H309" s="339" t="str">
        <x:v>On load and submit</x:v>
      </x:c>
      <x:c r="I309" s="339" t="str">
        <x:v>Yes</x:v>
      </x:c>
    </x:row>
    <x:row r="310">
      <x:c r="A310" s="339" t="str">
        <x:v>VAL-00309</x:v>
      </x:c>
      <x:c r="B310" s="339" t="str">
        <x:v>SCR-139</x:v>
      </x:c>
      <x:c r="C310" s="339" t="str">
        <x:v>Examinations / Marks / Results</x:v>
      </x:c>
      <x:c r="D310" s="339" t="str">
        <x:v>Exam Types</x:v>
      </x:c>
      <x:c r="E310" s="339" t="str">
        <x:v>Required/effective references</x:v>
      </x:c>
      <x:c r="F310" s="339" t="str">
        <x:v>Selected master/reference values must exist, be active and effective for the transaction date.</x:v>
      </x:c>
      <x:c r="G310" s="339" t="str">
        <x:v>One or more selected values are no longer valid. Refresh and try again.</x:v>
      </x:c>
      <x:c r="H310" s="339" t="str">
        <x:v>On submit</x:v>
      </x:c>
      <x:c r="I310" s="339" t="str">
        <x:v>Yes</x:v>
      </x:c>
    </x:row>
    <x:row r="311">
      <x:c r="A311" s="339" t="str">
        <x:v>VAL-00310</x:v>
      </x:c>
      <x:c r="B311" s="339" t="str">
        <x:v>SCR-139</x:v>
      </x:c>
      <x:c r="C311" s="339" t="str">
        <x:v>Examinations / Marks / Results</x:v>
      </x:c>
      <x:c r="D311" s="339" t="str">
        <x:v>Exam Types</x:v>
      </x:c>
      <x:c r="E311" s="339" t="str">
        <x:v>Marks range</x:v>
      </x:c>
      <x:c r="F311" s="339" t="str">
        <x:v>Numeric marks must be between 0 and the configured maximum; absence/exemption uses status fields.</x:v>
      </x:c>
      <x:c r="G311" s="339" t="str">
        <x:v>Enter marks within the allowed range or choose a valid status.</x:v>
      </x:c>
      <x:c r="H311" s="339" t="str">
        <x:v>On marks save</x:v>
      </x:c>
      <x:c r="I311" s="339" t="str">
        <x:v>Yes</x:v>
      </x:c>
    </x:row>
    <x:row r="312">
      <x:c r="A312" s="339" t="str">
        <x:v>VAL-00311</x:v>
      </x:c>
      <x:c r="B312" s="339" t="str">
        <x:v>SCR-140</x:v>
      </x:c>
      <x:c r="C312" s="339" t="str">
        <x:v>Examinations / Marks / Results</x:v>
      </x:c>
      <x:c r="D312" s="339" t="str">
        <x:v>Exam Setup</x:v>
      </x:c>
      <x:c r="E312" s="339" t="str">
        <x:v>Authorization &amp; scope</x:v>
      </x:c>
      <x:c r="F312" s="339" t="str">
        <x:v>User must have permission for the screen/action and the target record must be inside tenant/school/branch/class scope.</x:v>
      </x:c>
      <x:c r="G312" s="339" t="str">
        <x:v>You do not have permission to perform this action.</x:v>
      </x:c>
      <x:c r="H312" s="339" t="str">
        <x:v>On load and submit</x:v>
      </x:c>
      <x:c r="I312" s="339" t="str">
        <x:v>Yes</x:v>
      </x:c>
    </x:row>
    <x:row r="313">
      <x:c r="A313" s="339" t="str">
        <x:v>VAL-00312</x:v>
      </x:c>
      <x:c r="B313" s="339" t="str">
        <x:v>SCR-140</x:v>
      </x:c>
      <x:c r="C313" s="339" t="str">
        <x:v>Examinations / Marks / Results</x:v>
      </x:c>
      <x:c r="D313" s="339" t="str">
        <x:v>Exam Setup</x:v>
      </x:c>
      <x:c r="E313" s="339" t="str">
        <x:v>Required/effective references</x:v>
      </x:c>
      <x:c r="F313" s="339" t="str">
        <x:v>Selected master/reference values must exist, be active and effective for the transaction date.</x:v>
      </x:c>
      <x:c r="G313" s="339" t="str">
        <x:v>One or more selected values are no longer valid. Refresh and try again.</x:v>
      </x:c>
      <x:c r="H313" s="339" t="str">
        <x:v>On submit</x:v>
      </x:c>
      <x:c r="I313" s="339" t="str">
        <x:v>Yes</x:v>
      </x:c>
    </x:row>
    <x:row r="314">
      <x:c r="A314" s="339" t="str">
        <x:v>VAL-00313</x:v>
      </x:c>
      <x:c r="B314" s="339" t="str">
        <x:v>SCR-140</x:v>
      </x:c>
      <x:c r="C314" s="339" t="str">
        <x:v>Examinations / Marks / Results</x:v>
      </x:c>
      <x:c r="D314" s="339" t="str">
        <x:v>Exam Setup</x:v>
      </x:c>
      <x:c r="E314" s="339" t="str">
        <x:v>Marks range</x:v>
      </x:c>
      <x:c r="F314" s="339" t="str">
        <x:v>Numeric marks must be between 0 and the configured maximum; absence/exemption uses status fields.</x:v>
      </x:c>
      <x:c r="G314" s="339" t="str">
        <x:v>Enter marks within the allowed range or choose a valid status.</x:v>
      </x:c>
      <x:c r="H314" s="339" t="str">
        <x:v>On marks save</x:v>
      </x:c>
      <x:c r="I314" s="339" t="str">
        <x:v>Yes</x:v>
      </x:c>
    </x:row>
    <x:row r="315">
      <x:c r="A315" s="339" t="str">
        <x:v>VAL-00314</x:v>
      </x:c>
      <x:c r="B315" s="339" t="str">
        <x:v>SCR-141</x:v>
      </x:c>
      <x:c r="C315" s="339" t="str">
        <x:v>Examinations / Marks / Results</x:v>
      </x:c>
      <x:c r="D315" s="339" t="str">
        <x:v>Exam Schedule</x:v>
      </x:c>
      <x:c r="E315" s="339" t="str">
        <x:v>Authorization &amp; scope</x:v>
      </x:c>
      <x:c r="F315" s="339" t="str">
        <x:v>User must have permission for the screen/action and the target record must be inside tenant/school/branch/class scope.</x:v>
      </x:c>
      <x:c r="G315" s="339" t="str">
        <x:v>You do not have permission to perform this action.</x:v>
      </x:c>
      <x:c r="H315" s="339" t="str">
        <x:v>On load and submit</x:v>
      </x:c>
      <x:c r="I315" s="339" t="str">
        <x:v>Yes</x:v>
      </x:c>
    </x:row>
    <x:row r="316">
      <x:c r="A316" s="339" t="str">
        <x:v>VAL-00315</x:v>
      </x:c>
      <x:c r="B316" s="339" t="str">
        <x:v>SCR-141</x:v>
      </x:c>
      <x:c r="C316" s="339" t="str">
        <x:v>Examinations / Marks / Results</x:v>
      </x:c>
      <x:c r="D316" s="339" t="str">
        <x:v>Exam Schedule</x:v>
      </x:c>
      <x:c r="E316" s="339" t="str">
        <x:v>Required/effective references</x:v>
      </x:c>
      <x:c r="F316" s="339" t="str">
        <x:v>Selected master/reference values must exist, be active and effective for the transaction date.</x:v>
      </x:c>
      <x:c r="G316" s="339" t="str">
        <x:v>One or more selected values are no longer valid. Refresh and try again.</x:v>
      </x:c>
      <x:c r="H316" s="339" t="str">
        <x:v>On submit</x:v>
      </x:c>
      <x:c r="I316" s="339" t="str">
        <x:v>Yes</x:v>
      </x:c>
    </x:row>
    <x:row r="317">
      <x:c r="A317" s="339" t="str">
        <x:v>VAL-00316</x:v>
      </x:c>
      <x:c r="B317" s="339" t="str">
        <x:v>SCR-141</x:v>
      </x:c>
      <x:c r="C317" s="339" t="str">
        <x:v>Examinations / Marks / Results</x:v>
      </x:c>
      <x:c r="D317" s="339" t="str">
        <x:v>Exam Schedule</x:v>
      </x:c>
      <x:c r="E317" s="339" t="str">
        <x:v>Marks range</x:v>
      </x:c>
      <x:c r="F317" s="339" t="str">
        <x:v>Numeric marks must be between 0 and the configured maximum; absence/exemption uses status fields.</x:v>
      </x:c>
      <x:c r="G317" s="339" t="str">
        <x:v>Enter marks within the allowed range or choose a valid status.</x:v>
      </x:c>
      <x:c r="H317" s="339" t="str">
        <x:v>On marks save</x:v>
      </x:c>
      <x:c r="I317" s="339" t="str">
        <x:v>Yes</x:v>
      </x:c>
    </x:row>
    <x:row r="318">
      <x:c r="A318" s="339" t="str">
        <x:v>VAL-00317</x:v>
      </x:c>
      <x:c r="B318" s="339" t="str">
        <x:v>SCR-142</x:v>
      </x:c>
      <x:c r="C318" s="339" t="str">
        <x:v>Examinations / Marks / Results</x:v>
      </x:c>
      <x:c r="D318" s="339" t="str">
        <x:v>Hall / Room Allocation</x:v>
      </x:c>
      <x:c r="E318" s="339" t="str">
        <x:v>Authorization &amp; scope</x:v>
      </x:c>
      <x:c r="F318" s="339" t="str">
        <x:v>User must have permission for the screen/action and the target record must be inside tenant/school/branch/class scope.</x:v>
      </x:c>
      <x:c r="G318" s="339" t="str">
        <x:v>You do not have permission to perform this action.</x:v>
      </x:c>
      <x:c r="H318" s="339" t="str">
        <x:v>On load and submit</x:v>
      </x:c>
      <x:c r="I318" s="339" t="str">
        <x:v>Yes</x:v>
      </x:c>
    </x:row>
    <x:row r="319">
      <x:c r="A319" s="339" t="str">
        <x:v>VAL-00318</x:v>
      </x:c>
      <x:c r="B319" s="339" t="str">
        <x:v>SCR-142</x:v>
      </x:c>
      <x:c r="C319" s="339" t="str">
        <x:v>Examinations / Marks / Results</x:v>
      </x:c>
      <x:c r="D319" s="339" t="str">
        <x:v>Hall / Room Allocation</x:v>
      </x:c>
      <x:c r="E319" s="339" t="str">
        <x:v>Required/effective references</x:v>
      </x:c>
      <x:c r="F319" s="339" t="str">
        <x:v>Selected master/reference values must exist, be active and effective for the transaction date.</x:v>
      </x:c>
      <x:c r="G319" s="339" t="str">
        <x:v>One or more selected values are no longer valid. Refresh and try again.</x:v>
      </x:c>
      <x:c r="H319" s="339" t="str">
        <x:v>On submit</x:v>
      </x:c>
      <x:c r="I319" s="339" t="str">
        <x:v>Yes</x:v>
      </x:c>
    </x:row>
    <x:row r="320">
      <x:c r="A320" s="339" t="str">
        <x:v>VAL-00319</x:v>
      </x:c>
      <x:c r="B320" s="339" t="str">
        <x:v>SCR-142</x:v>
      </x:c>
      <x:c r="C320" s="339" t="str">
        <x:v>Examinations / Marks / Results</x:v>
      </x:c>
      <x:c r="D320" s="339" t="str">
        <x:v>Hall / Room Allocation</x:v>
      </x:c>
      <x:c r="E320" s="339" t="str">
        <x:v>Marks range</x:v>
      </x:c>
      <x:c r="F320" s="339" t="str">
        <x:v>Numeric marks must be between 0 and the configured maximum; absence/exemption uses status fields.</x:v>
      </x:c>
      <x:c r="G320" s="339" t="str">
        <x:v>Enter marks within the allowed range or choose a valid status.</x:v>
      </x:c>
      <x:c r="H320" s="339" t="str">
        <x:v>On marks save</x:v>
      </x:c>
      <x:c r="I320" s="339" t="str">
        <x:v>Yes</x:v>
      </x:c>
    </x:row>
    <x:row r="321">
      <x:c r="A321" s="339" t="str">
        <x:v>VAL-00320</x:v>
      </x:c>
      <x:c r="B321" s="339" t="str">
        <x:v>SCR-143</x:v>
      </x:c>
      <x:c r="C321" s="339" t="str">
        <x:v>Examinations / Marks / Results</x:v>
      </x:c>
      <x:c r="D321" s="339" t="str">
        <x:v>Invigilation Assignment</x:v>
      </x:c>
      <x:c r="E321" s="339" t="str">
        <x:v>Authorization &amp; scope</x:v>
      </x:c>
      <x:c r="F321" s="339" t="str">
        <x:v>User must have permission for the screen/action and the target record must be inside tenant/school/branch/class scope.</x:v>
      </x:c>
      <x:c r="G321" s="339" t="str">
        <x:v>You do not have permission to perform this action.</x:v>
      </x:c>
      <x:c r="H321" s="339" t="str">
        <x:v>On load and submit</x:v>
      </x:c>
      <x:c r="I321" s="339" t="str">
        <x:v>Yes</x:v>
      </x:c>
    </x:row>
    <x:row r="322">
      <x:c r="A322" s="339" t="str">
        <x:v>VAL-00321</x:v>
      </x:c>
      <x:c r="B322" s="339" t="str">
        <x:v>SCR-143</x:v>
      </x:c>
      <x:c r="C322" s="339" t="str">
        <x:v>Examinations / Marks / Results</x:v>
      </x:c>
      <x:c r="D322" s="339" t="str">
        <x:v>Invigilation Assignment</x:v>
      </x:c>
      <x:c r="E322" s="339" t="str">
        <x:v>Required/effective references</x:v>
      </x:c>
      <x:c r="F322" s="339" t="str">
        <x:v>Selected master/reference values must exist, be active and effective for the transaction date.</x:v>
      </x:c>
      <x:c r="G322" s="339" t="str">
        <x:v>One or more selected values are no longer valid. Refresh and try again.</x:v>
      </x:c>
      <x:c r="H322" s="339" t="str">
        <x:v>On submit</x:v>
      </x:c>
      <x:c r="I322" s="339" t="str">
        <x:v>Yes</x:v>
      </x:c>
    </x:row>
    <x:row r="323">
      <x:c r="A323" s="339" t="str">
        <x:v>VAL-00322</x:v>
      </x:c>
      <x:c r="B323" s="339" t="str">
        <x:v>SCR-143</x:v>
      </x:c>
      <x:c r="C323" s="339" t="str">
        <x:v>Examinations / Marks / Results</x:v>
      </x:c>
      <x:c r="D323" s="339" t="str">
        <x:v>Invigilation Assignment</x:v>
      </x:c>
      <x:c r="E323" s="339" t="str">
        <x:v>Marks range</x:v>
      </x:c>
      <x:c r="F323" s="339" t="str">
        <x:v>Numeric marks must be between 0 and the configured maximum; absence/exemption uses status fields.</x:v>
      </x:c>
      <x:c r="G323" s="339" t="str">
        <x:v>Enter marks within the allowed range or choose a valid status.</x:v>
      </x:c>
      <x:c r="H323" s="339" t="str">
        <x:v>On marks save</x:v>
      </x:c>
      <x:c r="I323" s="339" t="str">
        <x:v>Yes</x:v>
      </x:c>
    </x:row>
    <x:row r="324">
      <x:c r="A324" s="339" t="str">
        <x:v>VAL-00323</x:v>
      </x:c>
      <x:c r="B324" s="339" t="str">
        <x:v>SCR-144</x:v>
      </x:c>
      <x:c r="C324" s="339" t="str">
        <x:v>Examinations / Marks / Results</x:v>
      </x:c>
      <x:c r="D324" s="339" t="str">
        <x:v>Admit Card</x:v>
      </x:c>
      <x:c r="E324" s="339" t="str">
        <x:v>Authorization &amp; scope</x:v>
      </x:c>
      <x:c r="F324" s="339" t="str">
        <x:v>User must have permission for the screen/action and the target record must be inside tenant/school/branch/class scope.</x:v>
      </x:c>
      <x:c r="G324" s="339" t="str">
        <x:v>You do not have permission to perform this action.</x:v>
      </x:c>
      <x:c r="H324" s="339" t="str">
        <x:v>On load and submit</x:v>
      </x:c>
      <x:c r="I324" s="339" t="str">
        <x:v>Yes</x:v>
      </x:c>
    </x:row>
    <x:row r="325">
      <x:c r="A325" s="339" t="str">
        <x:v>VAL-00324</x:v>
      </x:c>
      <x:c r="B325" s="339" t="str">
        <x:v>SCR-144</x:v>
      </x:c>
      <x:c r="C325" s="339" t="str">
        <x:v>Examinations / Marks / Results</x:v>
      </x:c>
      <x:c r="D325" s="339" t="str">
        <x:v>Admit Card</x:v>
      </x:c>
      <x:c r="E325" s="339" t="str">
        <x:v>Required/effective references</x:v>
      </x:c>
      <x:c r="F325" s="339" t="str">
        <x:v>Selected master/reference values must exist, be active and effective for the transaction date.</x:v>
      </x:c>
      <x:c r="G325" s="339" t="str">
        <x:v>One or more selected values are no longer valid. Refresh and try again.</x:v>
      </x:c>
      <x:c r="H325" s="339" t="str">
        <x:v>On submit</x:v>
      </x:c>
      <x:c r="I325" s="339" t="str">
        <x:v>Yes</x:v>
      </x:c>
    </x:row>
    <x:row r="326">
      <x:c r="A326" s="339" t="str">
        <x:v>VAL-00325</x:v>
      </x:c>
      <x:c r="B326" s="339" t="str">
        <x:v>SCR-144</x:v>
      </x:c>
      <x:c r="C326" s="339" t="str">
        <x:v>Examinations / Marks / Results</x:v>
      </x:c>
      <x:c r="D326" s="339" t="str">
        <x:v>Admit Card</x:v>
      </x:c>
      <x:c r="E326" s="339" t="str">
        <x:v>Marks range</x:v>
      </x:c>
      <x:c r="F326" s="339" t="str">
        <x:v>Numeric marks must be between 0 and the configured maximum; absence/exemption uses status fields.</x:v>
      </x:c>
      <x:c r="G326" s="339" t="str">
        <x:v>Enter marks within the allowed range or choose a valid status.</x:v>
      </x:c>
      <x:c r="H326" s="339" t="str">
        <x:v>On marks save</x:v>
      </x:c>
      <x:c r="I326" s="339" t="str">
        <x:v>Yes</x:v>
      </x:c>
    </x:row>
    <x:row r="327">
      <x:c r="A327" s="339" t="str">
        <x:v>VAL-00326</x:v>
      </x:c>
      <x:c r="B327" s="339" t="str">
        <x:v>SCR-145</x:v>
      </x:c>
      <x:c r="C327" s="339" t="str">
        <x:v>Examinations / Marks / Results</x:v>
      </x:c>
      <x:c r="D327" s="339" t="str">
        <x:v>Marks Entry</x:v>
      </x:c>
      <x:c r="E327" s="339" t="str">
        <x:v>Authorization &amp; scope</x:v>
      </x:c>
      <x:c r="F327" s="339" t="str">
        <x:v>User must have permission for the screen/action and the target record must be inside tenant/school/branch/class scope.</x:v>
      </x:c>
      <x:c r="G327" s="339" t="str">
        <x:v>You do not have permission to perform this action.</x:v>
      </x:c>
      <x:c r="H327" s="339" t="str">
        <x:v>On load and submit</x:v>
      </x:c>
      <x:c r="I327" s="339" t="str">
        <x:v>Yes</x:v>
      </x:c>
    </x:row>
    <x:row r="328">
      <x:c r="A328" s="339" t="str">
        <x:v>VAL-00327</x:v>
      </x:c>
      <x:c r="B328" s="339" t="str">
        <x:v>SCR-145</x:v>
      </x:c>
      <x:c r="C328" s="339" t="str">
        <x:v>Examinations / Marks / Results</x:v>
      </x:c>
      <x:c r="D328" s="339" t="str">
        <x:v>Marks Entry</x:v>
      </x:c>
      <x:c r="E328" s="339" t="str">
        <x:v>Required/effective references</x:v>
      </x:c>
      <x:c r="F328" s="339" t="str">
        <x:v>Selected master/reference values must exist, be active and effective for the transaction date.</x:v>
      </x:c>
      <x:c r="G328" s="339" t="str">
        <x:v>One or more selected values are no longer valid. Refresh and try again.</x:v>
      </x:c>
      <x:c r="H328" s="339" t="str">
        <x:v>On submit</x:v>
      </x:c>
      <x:c r="I328" s="339" t="str">
        <x:v>Yes</x:v>
      </x:c>
    </x:row>
    <x:row r="329">
      <x:c r="A329" s="339" t="str">
        <x:v>VAL-00328</x:v>
      </x:c>
      <x:c r="B329" s="339" t="str">
        <x:v>SCR-145</x:v>
      </x:c>
      <x:c r="C329" s="339" t="str">
        <x:v>Examinations / Marks / Results</x:v>
      </x:c>
      <x:c r="D329" s="339" t="str">
        <x:v>Marks Entry</x:v>
      </x:c>
      <x:c r="E329" s="339" t="str">
        <x:v>Marks range</x:v>
      </x:c>
      <x:c r="F329" s="339" t="str">
        <x:v>Numeric marks must be between 0 and the configured maximum; absence/exemption uses status fields.</x:v>
      </x:c>
      <x:c r="G329" s="339" t="str">
        <x:v>Enter marks within the allowed range or choose a valid status.</x:v>
      </x:c>
      <x:c r="H329" s="339" t="str">
        <x:v>On marks save</x:v>
      </x:c>
      <x:c r="I329" s="339" t="str">
        <x:v>Yes</x:v>
      </x:c>
    </x:row>
    <x:row r="330">
      <x:c r="A330" s="339" t="str">
        <x:v>VAL-00329</x:v>
      </x:c>
      <x:c r="B330" s="339" t="str">
        <x:v>SCR-146</x:v>
      </x:c>
      <x:c r="C330" s="339" t="str">
        <x:v>Examinations / Marks / Results</x:v>
      </x:c>
      <x:c r="D330" s="339" t="str">
        <x:v>Practical / Internal Marks</x:v>
      </x:c>
      <x:c r="E330" s="339" t="str">
        <x:v>Authorization &amp; scope</x:v>
      </x:c>
      <x:c r="F330" s="339" t="str">
        <x:v>User must have permission for the screen/action and the target record must be inside tenant/school/branch/class scope.</x:v>
      </x:c>
      <x:c r="G330" s="339" t="str">
        <x:v>You do not have permission to perform this action.</x:v>
      </x:c>
      <x:c r="H330" s="339" t="str">
        <x:v>On load and submit</x:v>
      </x:c>
      <x:c r="I330" s="339" t="str">
        <x:v>Yes</x:v>
      </x:c>
    </x:row>
    <x:row r="331">
      <x:c r="A331" s="339" t="str">
        <x:v>VAL-00330</x:v>
      </x:c>
      <x:c r="B331" s="339" t="str">
        <x:v>SCR-146</x:v>
      </x:c>
      <x:c r="C331" s="339" t="str">
        <x:v>Examinations / Marks / Results</x:v>
      </x:c>
      <x:c r="D331" s="339" t="str">
        <x:v>Practical / Internal Marks</x:v>
      </x:c>
      <x:c r="E331" s="339" t="str">
        <x:v>Required/effective references</x:v>
      </x:c>
      <x:c r="F331" s="339" t="str">
        <x:v>Selected master/reference values must exist, be active and effective for the transaction date.</x:v>
      </x:c>
      <x:c r="G331" s="339" t="str">
        <x:v>One or more selected values are no longer valid. Refresh and try again.</x:v>
      </x:c>
      <x:c r="H331" s="339" t="str">
        <x:v>On submit</x:v>
      </x:c>
      <x:c r="I331" s="339" t="str">
        <x:v>Yes</x:v>
      </x:c>
    </x:row>
    <x:row r="332">
      <x:c r="A332" s="339" t="str">
        <x:v>VAL-00331</x:v>
      </x:c>
      <x:c r="B332" s="339" t="str">
        <x:v>SCR-146</x:v>
      </x:c>
      <x:c r="C332" s="339" t="str">
        <x:v>Examinations / Marks / Results</x:v>
      </x:c>
      <x:c r="D332" s="339" t="str">
        <x:v>Practical / Internal Marks</x:v>
      </x:c>
      <x:c r="E332" s="339" t="str">
        <x:v>Marks range</x:v>
      </x:c>
      <x:c r="F332" s="339" t="str">
        <x:v>Numeric marks must be between 0 and the configured maximum; absence/exemption uses status fields.</x:v>
      </x:c>
      <x:c r="G332" s="339" t="str">
        <x:v>Enter marks within the allowed range or choose a valid status.</x:v>
      </x:c>
      <x:c r="H332" s="339" t="str">
        <x:v>On marks save</x:v>
      </x:c>
      <x:c r="I332" s="339" t="str">
        <x:v>Yes</x:v>
      </x:c>
    </x:row>
    <x:row r="333">
      <x:c r="A333" s="339" t="str">
        <x:v>VAL-00332</x:v>
      </x:c>
      <x:c r="B333" s="339" t="str">
        <x:v>SCR-147</x:v>
      </x:c>
      <x:c r="C333" s="339" t="str">
        <x:v>Examinations / Marks / Results</x:v>
      </x:c>
      <x:c r="D333" s="339" t="str">
        <x:v>Bulk Marks Import</x:v>
      </x:c>
      <x:c r="E333" s="339" t="str">
        <x:v>Authorization &amp; scope</x:v>
      </x:c>
      <x:c r="F333" s="339" t="str">
        <x:v>User must have permission for the screen/action and the target record must be inside tenant/school/branch/class scope.</x:v>
      </x:c>
      <x:c r="G333" s="339" t="str">
        <x:v>You do not have permission to perform this action.</x:v>
      </x:c>
      <x:c r="H333" s="339" t="str">
        <x:v>On load and submit</x:v>
      </x:c>
      <x:c r="I333" s="339" t="str">
        <x:v>Yes</x:v>
      </x:c>
    </x:row>
    <x:row r="334">
      <x:c r="A334" s="339" t="str">
        <x:v>VAL-00333</x:v>
      </x:c>
      <x:c r="B334" s="339" t="str">
        <x:v>SCR-147</x:v>
      </x:c>
      <x:c r="C334" s="339" t="str">
        <x:v>Examinations / Marks / Results</x:v>
      </x:c>
      <x:c r="D334" s="339" t="str">
        <x:v>Bulk Marks Import</x:v>
      </x:c>
      <x:c r="E334" s="339" t="str">
        <x:v>Required/effective references</x:v>
      </x:c>
      <x:c r="F334" s="339" t="str">
        <x:v>Selected master/reference values must exist, be active and effective for the transaction date.</x:v>
      </x:c>
      <x:c r="G334" s="339" t="str">
        <x:v>One or more selected values are no longer valid. Refresh and try again.</x:v>
      </x:c>
      <x:c r="H334" s="339" t="str">
        <x:v>On submit</x:v>
      </x:c>
      <x:c r="I334" s="339" t="str">
        <x:v>Yes</x:v>
      </x:c>
    </x:row>
    <x:row r="335">
      <x:c r="A335" s="339" t="str">
        <x:v>VAL-00334</x:v>
      </x:c>
      <x:c r="B335" s="339" t="str">
        <x:v>SCR-147</x:v>
      </x:c>
      <x:c r="C335" s="339" t="str">
        <x:v>Examinations / Marks / Results</x:v>
      </x:c>
      <x:c r="D335" s="339" t="str">
        <x:v>Bulk Marks Import</x:v>
      </x:c>
      <x:c r="E335" s="339" t="str">
        <x:v>Marks range</x:v>
      </x:c>
      <x:c r="F335" s="339" t="str">
        <x:v>Numeric marks must be between 0 and the configured maximum; absence/exemption uses status fields.</x:v>
      </x:c>
      <x:c r="G335" s="339" t="str">
        <x:v>Enter marks within the allowed range or choose a valid status.</x:v>
      </x:c>
      <x:c r="H335" s="339" t="str">
        <x:v>On marks save</x:v>
      </x:c>
      <x:c r="I335" s="339" t="str">
        <x:v>Yes</x:v>
      </x:c>
    </x:row>
    <x:row r="336">
      <x:c r="A336" s="339" t="str">
        <x:v>VAL-00335</x:v>
      </x:c>
      <x:c r="B336" s="339" t="str">
        <x:v>SCR-148</x:v>
      </x:c>
      <x:c r="C336" s="339" t="str">
        <x:v>Examinations / Marks / Results</x:v>
      </x:c>
      <x:c r="D336" s="339" t="str">
        <x:v>Marks Verification</x:v>
      </x:c>
      <x:c r="E336" s="339" t="str">
        <x:v>Authorization &amp; scope</x:v>
      </x:c>
      <x:c r="F336" s="339" t="str">
        <x:v>User must have permission for the screen/action and the target record must be inside tenant/school/branch/class scope.</x:v>
      </x:c>
      <x:c r="G336" s="339" t="str">
        <x:v>You do not have permission to perform this action.</x:v>
      </x:c>
      <x:c r="H336" s="339" t="str">
        <x:v>On load and submit</x:v>
      </x:c>
      <x:c r="I336" s="339" t="str">
        <x:v>Yes</x:v>
      </x:c>
    </x:row>
    <x:row r="337">
      <x:c r="A337" s="339" t="str">
        <x:v>VAL-00336</x:v>
      </x:c>
      <x:c r="B337" s="339" t="str">
        <x:v>SCR-148</x:v>
      </x:c>
      <x:c r="C337" s="339" t="str">
        <x:v>Examinations / Marks / Results</x:v>
      </x:c>
      <x:c r="D337" s="339" t="str">
        <x:v>Marks Verification</x:v>
      </x:c>
      <x:c r="E337" s="339" t="str">
        <x:v>Required/effective references</x:v>
      </x:c>
      <x:c r="F337" s="339" t="str">
        <x:v>Selected master/reference values must exist, be active and effective for the transaction date.</x:v>
      </x:c>
      <x:c r="G337" s="339" t="str">
        <x:v>One or more selected values are no longer valid. Refresh and try again.</x:v>
      </x:c>
      <x:c r="H337" s="339" t="str">
        <x:v>On submit</x:v>
      </x:c>
      <x:c r="I337" s="339" t="str">
        <x:v>Yes</x:v>
      </x:c>
    </x:row>
    <x:row r="338">
      <x:c r="A338" s="339" t="str">
        <x:v>VAL-00337</x:v>
      </x:c>
      <x:c r="B338" s="339" t="str">
        <x:v>SCR-148</x:v>
      </x:c>
      <x:c r="C338" s="339" t="str">
        <x:v>Examinations / Marks / Results</x:v>
      </x:c>
      <x:c r="D338" s="339" t="str">
        <x:v>Marks Verification</x:v>
      </x:c>
      <x:c r="E338" s="339" t="str">
        <x:v>Marks range</x:v>
      </x:c>
      <x:c r="F338" s="339" t="str">
        <x:v>Numeric marks must be between 0 and the configured maximum; absence/exemption uses status fields.</x:v>
      </x:c>
      <x:c r="G338" s="339" t="str">
        <x:v>Enter marks within the allowed range or choose a valid status.</x:v>
      </x:c>
      <x:c r="H338" s="339" t="str">
        <x:v>On marks save</x:v>
      </x:c>
      <x:c r="I338" s="339" t="str">
        <x:v>Yes</x:v>
      </x:c>
    </x:row>
    <x:row r="339">
      <x:c r="A339" s="339" t="str">
        <x:v>VAL-00338</x:v>
      </x:c>
      <x:c r="B339" s="339" t="str">
        <x:v>SCR-149</x:v>
      </x:c>
      <x:c r="C339" s="339" t="str">
        <x:v>Examinations / Marks / Results</x:v>
      </x:c>
      <x:c r="D339" s="339" t="str">
        <x:v>Grade / Grading Setup</x:v>
      </x:c>
      <x:c r="E339" s="339" t="str">
        <x:v>Authorization &amp; scope</x:v>
      </x:c>
      <x:c r="F339" s="339" t="str">
        <x:v>User must have permission for the screen/action and the target record must be inside tenant/school/branch/class scope.</x:v>
      </x:c>
      <x:c r="G339" s="339" t="str">
        <x:v>You do not have permission to perform this action.</x:v>
      </x:c>
      <x:c r="H339" s="339" t="str">
        <x:v>On load and submit</x:v>
      </x:c>
      <x:c r="I339" s="339" t="str">
        <x:v>Yes</x:v>
      </x:c>
    </x:row>
    <x:row r="340">
      <x:c r="A340" s="339" t="str">
        <x:v>VAL-00339</x:v>
      </x:c>
      <x:c r="B340" s="339" t="str">
        <x:v>SCR-149</x:v>
      </x:c>
      <x:c r="C340" s="339" t="str">
        <x:v>Examinations / Marks / Results</x:v>
      </x:c>
      <x:c r="D340" s="339" t="str">
        <x:v>Grade / Grading Setup</x:v>
      </x:c>
      <x:c r="E340" s="339" t="str">
        <x:v>Required/effective references</x:v>
      </x:c>
      <x:c r="F340" s="339" t="str">
        <x:v>Selected master/reference values must exist, be active and effective for the transaction date.</x:v>
      </x:c>
      <x:c r="G340" s="339" t="str">
        <x:v>One or more selected values are no longer valid. Refresh and try again.</x:v>
      </x:c>
      <x:c r="H340" s="339" t="str">
        <x:v>On submit</x:v>
      </x:c>
      <x:c r="I340" s="339" t="str">
        <x:v>Yes</x:v>
      </x:c>
    </x:row>
    <x:row r="341">
      <x:c r="A341" s="339" t="str">
        <x:v>VAL-00340</x:v>
      </x:c>
      <x:c r="B341" s="339" t="str">
        <x:v>SCR-149</x:v>
      </x:c>
      <x:c r="C341" s="339" t="str">
        <x:v>Examinations / Marks / Results</x:v>
      </x:c>
      <x:c r="D341" s="339" t="str">
        <x:v>Grade / Grading Setup</x:v>
      </x:c>
      <x:c r="E341" s="339" t="str">
        <x:v>Marks range</x:v>
      </x:c>
      <x:c r="F341" s="339" t="str">
        <x:v>Numeric marks must be between 0 and the configured maximum; absence/exemption uses status fields.</x:v>
      </x:c>
      <x:c r="G341" s="339" t="str">
        <x:v>Enter marks within the allowed range or choose a valid status.</x:v>
      </x:c>
      <x:c r="H341" s="339" t="str">
        <x:v>On marks save</x:v>
      </x:c>
      <x:c r="I341" s="339" t="str">
        <x:v>Yes</x:v>
      </x:c>
    </x:row>
    <x:row r="342">
      <x:c r="A342" s="339" t="str">
        <x:v>VAL-00341</x:v>
      </x:c>
      <x:c r="B342" s="339" t="str">
        <x:v>SCR-150</x:v>
      </x:c>
      <x:c r="C342" s="339" t="str">
        <x:v>Examinations / Marks / Results</x:v>
      </x:c>
      <x:c r="D342" s="339" t="str">
        <x:v>Publish Results</x:v>
      </x:c>
      <x:c r="E342" s="339" t="str">
        <x:v>Authorization &amp; scope</x:v>
      </x:c>
      <x:c r="F342" s="339" t="str">
        <x:v>User must have permission for the screen/action and the target record must be inside tenant/school/branch/class scope.</x:v>
      </x:c>
      <x:c r="G342" s="339" t="str">
        <x:v>You do not have permission to perform this action.</x:v>
      </x:c>
      <x:c r="H342" s="339" t="str">
        <x:v>On load and submit</x:v>
      </x:c>
      <x:c r="I342" s="339" t="str">
        <x:v>Yes</x:v>
      </x:c>
    </x:row>
    <x:row r="343">
      <x:c r="A343" s="339" t="str">
        <x:v>VAL-00342</x:v>
      </x:c>
      <x:c r="B343" s="339" t="str">
        <x:v>SCR-150</x:v>
      </x:c>
      <x:c r="C343" s="339" t="str">
        <x:v>Examinations / Marks / Results</x:v>
      </x:c>
      <x:c r="D343" s="339" t="str">
        <x:v>Publish Results</x:v>
      </x:c>
      <x:c r="E343" s="339" t="str">
        <x:v>Required/effective references</x:v>
      </x:c>
      <x:c r="F343" s="339" t="str">
        <x:v>Selected master/reference values must exist, be active and effective for the transaction date.</x:v>
      </x:c>
      <x:c r="G343" s="339" t="str">
        <x:v>One or more selected values are no longer valid. Refresh and try again.</x:v>
      </x:c>
      <x:c r="H343" s="339" t="str">
        <x:v>On submit</x:v>
      </x:c>
      <x:c r="I343" s="339" t="str">
        <x:v>Yes</x:v>
      </x:c>
    </x:row>
    <x:row r="344">
      <x:c r="A344" s="339" t="str">
        <x:v>VAL-00343</x:v>
      </x:c>
      <x:c r="B344" s="339" t="str">
        <x:v>SCR-150</x:v>
      </x:c>
      <x:c r="C344" s="339" t="str">
        <x:v>Examinations / Marks / Results</x:v>
      </x:c>
      <x:c r="D344" s="339" t="str">
        <x:v>Publish Results</x:v>
      </x:c>
      <x:c r="E344" s="339" t="str">
        <x:v>Marks range</x:v>
      </x:c>
      <x:c r="F344" s="339" t="str">
        <x:v>Numeric marks must be between 0 and the configured maximum; absence/exemption uses status fields.</x:v>
      </x:c>
      <x:c r="G344" s="339" t="str">
        <x:v>Enter marks within the allowed range or choose a valid status.</x:v>
      </x:c>
      <x:c r="H344" s="339" t="str">
        <x:v>On marks save</x:v>
      </x:c>
      <x:c r="I344" s="339" t="str">
        <x:v>Yes</x:v>
      </x:c>
    </x:row>
    <x:row r="345">
      <x:c r="A345" s="339" t="str">
        <x:v>VAL-00344</x:v>
      </x:c>
      <x:c r="B345" s="339" t="str">
        <x:v>SCR-151</x:v>
      </x:c>
      <x:c r="C345" s="339" t="str">
        <x:v>Examinations / Marks / Results</x:v>
      </x:c>
      <x:c r="D345" s="339" t="str">
        <x:v>Student Result</x:v>
      </x:c>
      <x:c r="E345" s="339" t="str">
        <x:v>Authorization &amp; scope</x:v>
      </x:c>
      <x:c r="F345" s="339" t="str">
        <x:v>User must have permission for the screen/action and the target record must be inside tenant/school/branch/class scope.</x:v>
      </x:c>
      <x:c r="G345" s="339" t="str">
        <x:v>You do not have permission to perform this action.</x:v>
      </x:c>
      <x:c r="H345" s="339" t="str">
        <x:v>On load and submit</x:v>
      </x:c>
      <x:c r="I345" s="339" t="str">
        <x:v>Yes</x:v>
      </x:c>
    </x:row>
    <x:row r="346">
      <x:c r="A346" s="339" t="str">
        <x:v>VAL-00345</x:v>
      </x:c>
      <x:c r="B346" s="339" t="str">
        <x:v>SCR-151</x:v>
      </x:c>
      <x:c r="C346" s="339" t="str">
        <x:v>Examinations / Marks / Results</x:v>
      </x:c>
      <x:c r="D346" s="339" t="str">
        <x:v>Student Result</x:v>
      </x:c>
      <x:c r="E346" s="339" t="str">
        <x:v>Required/effective references</x:v>
      </x:c>
      <x:c r="F346" s="339" t="str">
        <x:v>Selected master/reference values must exist, be active and effective for the transaction date.</x:v>
      </x:c>
      <x:c r="G346" s="339" t="str">
        <x:v>One or more selected values are no longer valid. Refresh and try again.</x:v>
      </x:c>
      <x:c r="H346" s="339" t="str">
        <x:v>On submit</x:v>
      </x:c>
      <x:c r="I346" s="339" t="str">
        <x:v>Yes</x:v>
      </x:c>
    </x:row>
    <x:row r="347">
      <x:c r="A347" s="339" t="str">
        <x:v>VAL-00346</x:v>
      </x:c>
      <x:c r="B347" s="339" t="str">
        <x:v>SCR-151</x:v>
      </x:c>
      <x:c r="C347" s="339" t="str">
        <x:v>Examinations / Marks / Results</x:v>
      </x:c>
      <x:c r="D347" s="339" t="str">
        <x:v>Student Result</x:v>
      </x:c>
      <x:c r="E347" s="339" t="str">
        <x:v>Marks range</x:v>
      </x:c>
      <x:c r="F347" s="339" t="str">
        <x:v>Numeric marks must be between 0 and the configured maximum; absence/exemption uses status fields.</x:v>
      </x:c>
      <x:c r="G347" s="339" t="str">
        <x:v>Enter marks within the allowed range or choose a valid status.</x:v>
      </x:c>
      <x:c r="H347" s="339" t="str">
        <x:v>On marks save</x:v>
      </x:c>
      <x:c r="I347" s="339" t="str">
        <x:v>Yes</x:v>
      </x:c>
    </x:row>
    <x:row r="348">
      <x:c r="A348" s="339" t="str">
        <x:v>VAL-00347</x:v>
      </x:c>
      <x:c r="B348" s="339" t="str">
        <x:v>SCR-152</x:v>
      </x:c>
      <x:c r="C348" s="339" t="str">
        <x:v>Examinations / Marks / Results</x:v>
      </x:c>
      <x:c r="D348" s="339" t="str">
        <x:v>Report Card</x:v>
      </x:c>
      <x:c r="E348" s="339" t="str">
        <x:v>Authorization &amp; scope</x:v>
      </x:c>
      <x:c r="F348" s="339" t="str">
        <x:v>User must have permission for the screen/action and the target record must be inside tenant/school/branch/class scope.</x:v>
      </x:c>
      <x:c r="G348" s="339" t="str">
        <x:v>You do not have permission to perform this action.</x:v>
      </x:c>
      <x:c r="H348" s="339" t="str">
        <x:v>On load and submit</x:v>
      </x:c>
      <x:c r="I348" s="339" t="str">
        <x:v>Yes</x:v>
      </x:c>
    </x:row>
    <x:row r="349">
      <x:c r="A349" s="339" t="str">
        <x:v>VAL-00348</x:v>
      </x:c>
      <x:c r="B349" s="339" t="str">
        <x:v>SCR-152</x:v>
      </x:c>
      <x:c r="C349" s="339" t="str">
        <x:v>Examinations / Marks / Results</x:v>
      </x:c>
      <x:c r="D349" s="339" t="str">
        <x:v>Report Card</x:v>
      </x:c>
      <x:c r="E349" s="339" t="str">
        <x:v>Required/effective references</x:v>
      </x:c>
      <x:c r="F349" s="339" t="str">
        <x:v>Selected master/reference values must exist, be active and effective for the transaction date.</x:v>
      </x:c>
      <x:c r="G349" s="339" t="str">
        <x:v>One or more selected values are no longer valid. Refresh and try again.</x:v>
      </x:c>
      <x:c r="H349" s="339" t="str">
        <x:v>On submit</x:v>
      </x:c>
      <x:c r="I349" s="339" t="str">
        <x:v>Yes</x:v>
      </x:c>
    </x:row>
    <x:row r="350">
      <x:c r="A350" s="339" t="str">
        <x:v>VAL-00349</x:v>
      </x:c>
      <x:c r="B350" s="339" t="str">
        <x:v>SCR-152</x:v>
      </x:c>
      <x:c r="C350" s="339" t="str">
        <x:v>Examinations / Marks / Results</x:v>
      </x:c>
      <x:c r="D350" s="339" t="str">
        <x:v>Report Card</x:v>
      </x:c>
      <x:c r="E350" s="339" t="str">
        <x:v>Marks range</x:v>
      </x:c>
      <x:c r="F350" s="339" t="str">
        <x:v>Numeric marks must be between 0 and the configured maximum; absence/exemption uses status fields.</x:v>
      </x:c>
      <x:c r="G350" s="339" t="str">
        <x:v>Enter marks within the allowed range or choose a valid status.</x:v>
      </x:c>
      <x:c r="H350" s="339" t="str">
        <x:v>On marks save</x:v>
      </x:c>
      <x:c r="I350" s="339" t="str">
        <x:v>Yes</x:v>
      </x:c>
    </x:row>
    <x:row r="351">
      <x:c r="A351" s="339" t="str">
        <x:v>VAL-00350</x:v>
      </x:c>
      <x:c r="B351" s="339" t="str">
        <x:v>SCR-153</x:v>
      </x:c>
      <x:c r="C351" s="339" t="str">
        <x:v>Examinations / Marks / Results</x:v>
      </x:c>
      <x:c r="D351" s="339" t="str">
        <x:v>Promotion Decision</x:v>
      </x:c>
      <x:c r="E351" s="339" t="str">
        <x:v>Authorization &amp; scope</x:v>
      </x:c>
      <x:c r="F351" s="339" t="str">
        <x:v>User must have permission for the screen/action and the target record must be inside tenant/school/branch/class scope.</x:v>
      </x:c>
      <x:c r="G351" s="339" t="str">
        <x:v>You do not have permission to perform this action.</x:v>
      </x:c>
      <x:c r="H351" s="339" t="str">
        <x:v>On load and submit</x:v>
      </x:c>
      <x:c r="I351" s="339" t="str">
        <x:v>Yes</x:v>
      </x:c>
    </x:row>
    <x:row r="352">
      <x:c r="A352" s="339" t="str">
        <x:v>VAL-00351</x:v>
      </x:c>
      <x:c r="B352" s="339" t="str">
        <x:v>SCR-153</x:v>
      </x:c>
      <x:c r="C352" s="339" t="str">
        <x:v>Examinations / Marks / Results</x:v>
      </x:c>
      <x:c r="D352" s="339" t="str">
        <x:v>Promotion Decision</x:v>
      </x:c>
      <x:c r="E352" s="339" t="str">
        <x:v>Required/effective references</x:v>
      </x:c>
      <x:c r="F352" s="339" t="str">
        <x:v>Selected master/reference values must exist, be active and effective for the transaction date.</x:v>
      </x:c>
      <x:c r="G352" s="339" t="str">
        <x:v>One or more selected values are no longer valid. Refresh and try again.</x:v>
      </x:c>
      <x:c r="H352" s="339" t="str">
        <x:v>On submit</x:v>
      </x:c>
      <x:c r="I352" s="339" t="str">
        <x:v>Yes</x:v>
      </x:c>
    </x:row>
    <x:row r="353">
      <x:c r="A353" s="339" t="str">
        <x:v>VAL-00352</x:v>
      </x:c>
      <x:c r="B353" s="339" t="str">
        <x:v>SCR-153</x:v>
      </x:c>
      <x:c r="C353" s="339" t="str">
        <x:v>Examinations / Marks / Results</x:v>
      </x:c>
      <x:c r="D353" s="339" t="str">
        <x:v>Promotion Decision</x:v>
      </x:c>
      <x:c r="E353" s="339" t="str">
        <x:v>Marks range</x:v>
      </x:c>
      <x:c r="F353" s="339" t="str">
        <x:v>Numeric marks must be between 0 and the configured maximum; absence/exemption uses status fields.</x:v>
      </x:c>
      <x:c r="G353" s="339" t="str">
        <x:v>Enter marks within the allowed range or choose a valid status.</x:v>
      </x:c>
      <x:c r="H353" s="339" t="str">
        <x:v>On marks save</x:v>
      </x:c>
      <x:c r="I353" s="339" t="str">
        <x:v>Yes</x:v>
      </x:c>
    </x:row>
    <x:row r="354">
      <x:c r="A354" s="339" t="str">
        <x:v>VAL-00353</x:v>
      </x:c>
      <x:c r="B354" s="339" t="str">
        <x:v>SCR-154</x:v>
      </x:c>
      <x:c r="C354" s="339" t="str">
        <x:v>Fees &amp; Finance</x:v>
      </x:c>
      <x:c r="D354" s="339" t="str">
        <x:v>Fee Dashboard</x:v>
      </x:c>
      <x:c r="E354" s="339" t="str">
        <x:v>Authorization &amp; scope</x:v>
      </x:c>
      <x:c r="F354" s="339" t="str">
        <x:v>User must have permission for the screen/action and the target record must be inside tenant/school/branch/class scope.</x:v>
      </x:c>
      <x:c r="G354" s="339" t="str">
        <x:v>You do not have permission to perform this action.</x:v>
      </x:c>
      <x:c r="H354" s="339" t="str">
        <x:v>On load and submit</x:v>
      </x:c>
      <x:c r="I354" s="339" t="str">
        <x:v>Yes</x:v>
      </x:c>
    </x:row>
    <x:row r="355">
      <x:c r="A355" s="339" t="str">
        <x:v>VAL-00354</x:v>
      </x:c>
      <x:c r="B355" s="339" t="str">
        <x:v>SCR-154</x:v>
      </x:c>
      <x:c r="C355" s="339" t="str">
        <x:v>Fees &amp; Finance</x:v>
      </x:c>
      <x:c r="D355" s="339" t="str">
        <x:v>Fee Dashboard</x:v>
      </x:c>
      <x:c r="E355" s="339" t="str">
        <x:v>Required/effective references</x:v>
      </x:c>
      <x:c r="F355" s="339" t="str">
        <x:v>Selected master/reference values must exist, be active and effective for the transaction date.</x:v>
      </x:c>
      <x:c r="G355" s="339" t="str">
        <x:v>One or more selected values are no longer valid. Refresh and try again.</x:v>
      </x:c>
      <x:c r="H355" s="339" t="str">
        <x:v>On submit</x:v>
      </x:c>
      <x:c r="I355" s="339" t="str">
        <x:v>Yes</x:v>
      </x:c>
    </x:row>
    <x:row r="356">
      <x:c r="A356" s="339" t="str">
        <x:v>VAL-00355</x:v>
      </x:c>
      <x:c r="B356" s="339" t="str">
        <x:v>SCR-154</x:v>
      </x:c>
      <x:c r="C356" s="339" t="str">
        <x:v>Fees &amp; Finance</x:v>
      </x:c>
      <x:c r="D356" s="339" t="str">
        <x:v>Fee Dashboard</x:v>
      </x:c>
      <x:c r="E356" s="339" t="str">
        <x:v>Financial amount</x:v>
      </x:c>
      <x:c r="F356" s="339" t="str">
        <x:v>Amounts must be positive where required and allocations may not exceed eligible open balance unless policy allows.</x:v>
      </x:c>
      <x:c r="G356" s="339" t="str">
        <x:v>The amount is not valid for the selected balance.</x:v>
      </x:c>
      <x:c r="H356" s="339" t="str">
        <x:v>On payment/adjustment</x:v>
      </x:c>
      <x:c r="I356" s="339" t="str">
        <x:v>Yes</x:v>
      </x:c>
    </x:row>
    <x:row r="357">
      <x:c r="A357" s="339" t="str">
        <x:v>VAL-00356</x:v>
      </x:c>
      <x:c r="B357" s="339" t="str">
        <x:v>SCR-155</x:v>
      </x:c>
      <x:c r="C357" s="339" t="str">
        <x:v>Fees &amp; Finance</x:v>
      </x:c>
      <x:c r="D357" s="339" t="str">
        <x:v>Fee Structure</x:v>
      </x:c>
      <x:c r="E357" s="339" t="str">
        <x:v>Authorization &amp; scope</x:v>
      </x:c>
      <x:c r="F357" s="339" t="str">
        <x:v>User must have permission for the screen/action and the target record must be inside tenant/school/branch/class scope.</x:v>
      </x:c>
      <x:c r="G357" s="339" t="str">
        <x:v>You do not have permission to perform this action.</x:v>
      </x:c>
      <x:c r="H357" s="339" t="str">
        <x:v>On load and submit</x:v>
      </x:c>
      <x:c r="I357" s="339" t="str">
        <x:v>Yes</x:v>
      </x:c>
    </x:row>
    <x:row r="358">
      <x:c r="A358" s="339" t="str">
        <x:v>VAL-00357</x:v>
      </x:c>
      <x:c r="B358" s="339" t="str">
        <x:v>SCR-155</x:v>
      </x:c>
      <x:c r="C358" s="339" t="str">
        <x:v>Fees &amp; Finance</x:v>
      </x:c>
      <x:c r="D358" s="339" t="str">
        <x:v>Fee Structure</x:v>
      </x:c>
      <x:c r="E358" s="339" t="str">
        <x:v>Required/effective references</x:v>
      </x:c>
      <x:c r="F358" s="339" t="str">
        <x:v>Selected master/reference values must exist, be active and effective for the transaction date.</x:v>
      </x:c>
      <x:c r="G358" s="339" t="str">
        <x:v>One or more selected values are no longer valid. Refresh and try again.</x:v>
      </x:c>
      <x:c r="H358" s="339" t="str">
        <x:v>On submit</x:v>
      </x:c>
      <x:c r="I358" s="339" t="str">
        <x:v>Yes</x:v>
      </x:c>
    </x:row>
    <x:row r="359">
      <x:c r="A359" s="339" t="str">
        <x:v>VAL-00358</x:v>
      </x:c>
      <x:c r="B359" s="339" t="str">
        <x:v>SCR-155</x:v>
      </x:c>
      <x:c r="C359" s="339" t="str">
        <x:v>Fees &amp; Finance</x:v>
      </x:c>
      <x:c r="D359" s="339" t="str">
        <x:v>Fee Structure</x:v>
      </x:c>
      <x:c r="E359" s="339" t="str">
        <x:v>Financial amount</x:v>
      </x:c>
      <x:c r="F359" s="339" t="str">
        <x:v>Amounts must be positive where required and allocations may not exceed eligible open balance unless policy allows.</x:v>
      </x:c>
      <x:c r="G359" s="339" t="str">
        <x:v>The amount is not valid for the selected balance.</x:v>
      </x:c>
      <x:c r="H359" s="339" t="str">
        <x:v>On payment/adjustment</x:v>
      </x:c>
      <x:c r="I359" s="339" t="str">
        <x:v>Yes</x:v>
      </x:c>
    </x:row>
    <x:row r="360">
      <x:c r="A360" s="339" t="str">
        <x:v>VAL-00359</x:v>
      </x:c>
      <x:c r="B360" s="339" t="str">
        <x:v>SCR-156</x:v>
      </x:c>
      <x:c r="C360" s="339" t="str">
        <x:v>Fees &amp; Finance</x:v>
      </x:c>
      <x:c r="D360" s="339" t="str">
        <x:v>Create / Edit Fee Structure</x:v>
      </x:c>
      <x:c r="E360" s="339" t="str">
        <x:v>Authorization &amp; scope</x:v>
      </x:c>
      <x:c r="F360" s="339" t="str">
        <x:v>User must have permission for the screen/action and the target record must be inside tenant/school/branch/class scope.</x:v>
      </x:c>
      <x:c r="G360" s="339" t="str">
        <x:v>You do not have permission to perform this action.</x:v>
      </x:c>
      <x:c r="H360" s="339" t="str">
        <x:v>On load and submit</x:v>
      </x:c>
      <x:c r="I360" s="339" t="str">
        <x:v>Yes</x:v>
      </x:c>
    </x:row>
    <x:row r="361">
      <x:c r="A361" s="339" t="str">
        <x:v>VAL-00360</x:v>
      </x:c>
      <x:c r="B361" s="339" t="str">
        <x:v>SCR-156</x:v>
      </x:c>
      <x:c r="C361" s="339" t="str">
        <x:v>Fees &amp; Finance</x:v>
      </x:c>
      <x:c r="D361" s="339" t="str">
        <x:v>Create / Edit Fee Structure</x:v>
      </x:c>
      <x:c r="E361" s="339" t="str">
        <x:v>Required/effective references</x:v>
      </x:c>
      <x:c r="F361" s="339" t="str">
        <x:v>Selected master/reference values must exist, be active and effective for the transaction date.</x:v>
      </x:c>
      <x:c r="G361" s="339" t="str">
        <x:v>One or more selected values are no longer valid. Refresh and try again.</x:v>
      </x:c>
      <x:c r="H361" s="339" t="str">
        <x:v>On submit</x:v>
      </x:c>
      <x:c r="I361" s="339" t="str">
        <x:v>Yes</x:v>
      </x:c>
    </x:row>
    <x:row r="362">
      <x:c r="A362" s="339" t="str">
        <x:v>VAL-00361</x:v>
      </x:c>
      <x:c r="B362" s="339" t="str">
        <x:v>SCR-156</x:v>
      </x:c>
      <x:c r="C362" s="339" t="str">
        <x:v>Fees &amp; Finance</x:v>
      </x:c>
      <x:c r="D362" s="339" t="str">
        <x:v>Create / Edit Fee Structure</x:v>
      </x:c>
      <x:c r="E362" s="339" t="str">
        <x:v>Financial amount</x:v>
      </x:c>
      <x:c r="F362" s="339" t="str">
        <x:v>Amounts must be positive where required and allocations may not exceed eligible open balance unless policy allows.</x:v>
      </x:c>
      <x:c r="G362" s="339" t="str">
        <x:v>The amount is not valid for the selected balance.</x:v>
      </x:c>
      <x:c r="H362" s="339" t="str">
        <x:v>On payment/adjustment</x:v>
      </x:c>
      <x:c r="I362" s="339" t="str">
        <x:v>Yes</x:v>
      </x:c>
    </x:row>
    <x:row r="363">
      <x:c r="A363" s="339" t="str">
        <x:v>VAL-00362</x:v>
      </x:c>
      <x:c r="B363" s="339" t="str">
        <x:v>SCR-157</x:v>
      </x:c>
      <x:c r="C363" s="339" t="str">
        <x:v>Fees &amp; Finance</x:v>
      </x:c>
      <x:c r="D363" s="339" t="str">
        <x:v>Student Fee Assignment</x:v>
      </x:c>
      <x:c r="E363" s="339" t="str">
        <x:v>Authorization &amp; scope</x:v>
      </x:c>
      <x:c r="F363" s="339" t="str">
        <x:v>User must have permission for the screen/action and the target record must be inside tenant/school/branch/class scope.</x:v>
      </x:c>
      <x:c r="G363" s="339" t="str">
        <x:v>You do not have permission to perform this action.</x:v>
      </x:c>
      <x:c r="H363" s="339" t="str">
        <x:v>On load and submit</x:v>
      </x:c>
      <x:c r="I363" s="339" t="str">
        <x:v>Yes</x:v>
      </x:c>
    </x:row>
    <x:row r="364">
      <x:c r="A364" s="339" t="str">
        <x:v>VAL-00363</x:v>
      </x:c>
      <x:c r="B364" s="339" t="str">
        <x:v>SCR-157</x:v>
      </x:c>
      <x:c r="C364" s="339" t="str">
        <x:v>Fees &amp; Finance</x:v>
      </x:c>
      <x:c r="D364" s="339" t="str">
        <x:v>Student Fee Assignment</x:v>
      </x:c>
      <x:c r="E364" s="339" t="str">
        <x:v>Required/effective references</x:v>
      </x:c>
      <x:c r="F364" s="339" t="str">
        <x:v>Selected master/reference values must exist, be active and effective for the transaction date.</x:v>
      </x:c>
      <x:c r="G364" s="339" t="str">
        <x:v>One or more selected values are no longer valid. Refresh and try again.</x:v>
      </x:c>
      <x:c r="H364" s="339" t="str">
        <x:v>On submit</x:v>
      </x:c>
      <x:c r="I364" s="339" t="str">
        <x:v>Yes</x:v>
      </x:c>
    </x:row>
    <x:row r="365">
      <x:c r="A365" s="339" t="str">
        <x:v>VAL-00364</x:v>
      </x:c>
      <x:c r="B365" s="339" t="str">
        <x:v>SCR-157</x:v>
      </x:c>
      <x:c r="C365" s="339" t="str">
        <x:v>Fees &amp; Finance</x:v>
      </x:c>
      <x:c r="D365" s="339" t="str">
        <x:v>Student Fee Assignment</x:v>
      </x:c>
      <x:c r="E365" s="339" t="str">
        <x:v>Financial amount</x:v>
      </x:c>
      <x:c r="F365" s="339" t="str">
        <x:v>Amounts must be positive where required and allocations may not exceed eligible open balance unless policy allows.</x:v>
      </x:c>
      <x:c r="G365" s="339" t="str">
        <x:v>The amount is not valid for the selected balance.</x:v>
      </x:c>
      <x:c r="H365" s="339" t="str">
        <x:v>On payment/adjustment</x:v>
      </x:c>
      <x:c r="I365" s="339" t="str">
        <x:v>Yes</x:v>
      </x:c>
    </x:row>
    <x:row r="366">
      <x:c r="A366" s="339" t="str">
        <x:v>VAL-00365</x:v>
      </x:c>
      <x:c r="B366" s="339" t="str">
        <x:v>SCR-158</x:v>
      </x:c>
      <x:c r="C366" s="339" t="str">
        <x:v>Fees &amp; Finance</x:v>
      </x:c>
      <x:c r="D366" s="339" t="str">
        <x:v>Fee Collection</x:v>
      </x:c>
      <x:c r="E366" s="339" t="str">
        <x:v>Authorization &amp; scope</x:v>
      </x:c>
      <x:c r="F366" s="339" t="str">
        <x:v>User must have permission for the screen/action and the target record must be inside tenant/school/branch/class scope.</x:v>
      </x:c>
      <x:c r="G366" s="339" t="str">
        <x:v>You do not have permission to perform this action.</x:v>
      </x:c>
      <x:c r="H366" s="339" t="str">
        <x:v>On load and submit</x:v>
      </x:c>
      <x:c r="I366" s="339" t="str">
        <x:v>Yes</x:v>
      </x:c>
    </x:row>
    <x:row r="367">
      <x:c r="A367" s="339" t="str">
        <x:v>VAL-00366</x:v>
      </x:c>
      <x:c r="B367" s="339" t="str">
        <x:v>SCR-158</x:v>
      </x:c>
      <x:c r="C367" s="339" t="str">
        <x:v>Fees &amp; Finance</x:v>
      </x:c>
      <x:c r="D367" s="339" t="str">
        <x:v>Fee Collection</x:v>
      </x:c>
      <x:c r="E367" s="339" t="str">
        <x:v>Required/effective references</x:v>
      </x:c>
      <x:c r="F367" s="339" t="str">
        <x:v>Selected master/reference values must exist, be active and effective for the transaction date.</x:v>
      </x:c>
      <x:c r="G367" s="339" t="str">
        <x:v>One or more selected values are no longer valid. Refresh and try again.</x:v>
      </x:c>
      <x:c r="H367" s="339" t="str">
        <x:v>On submit</x:v>
      </x:c>
      <x:c r="I367" s="339" t="str">
        <x:v>Yes</x:v>
      </x:c>
    </x:row>
    <x:row r="368">
      <x:c r="A368" s="339" t="str">
        <x:v>VAL-00367</x:v>
      </x:c>
      <x:c r="B368" s="339" t="str">
        <x:v>SCR-158</x:v>
      </x:c>
      <x:c r="C368" s="339" t="str">
        <x:v>Fees &amp; Finance</x:v>
      </x:c>
      <x:c r="D368" s="339" t="str">
        <x:v>Fee Collection</x:v>
      </x:c>
      <x:c r="E368" s="339" t="str">
        <x:v>Financial amount</x:v>
      </x:c>
      <x:c r="F368" s="339" t="str">
        <x:v>Amounts must be positive where required and allocations may not exceed eligible open balance unless policy allows.</x:v>
      </x:c>
      <x:c r="G368" s="339" t="str">
        <x:v>The amount is not valid for the selected balance.</x:v>
      </x:c>
      <x:c r="H368" s="339" t="str">
        <x:v>On payment/adjustment</x:v>
      </x:c>
      <x:c r="I368" s="339" t="str">
        <x:v>Yes</x:v>
      </x:c>
    </x:row>
    <x:row r="369">
      <x:c r="A369" s="339" t="str">
        <x:v>VAL-00368</x:v>
      </x:c>
      <x:c r="B369" s="339" t="str">
        <x:v>SCR-159</x:v>
      </x:c>
      <x:c r="C369" s="339" t="str">
        <x:v>Fees &amp; Finance</x:v>
      </x:c>
      <x:c r="D369" s="339" t="str">
        <x:v>Online Payment</x:v>
      </x:c>
      <x:c r="E369" s="339" t="str">
        <x:v>Authorization &amp; scope</x:v>
      </x:c>
      <x:c r="F369" s="339" t="str">
        <x:v>User must have permission for the screen/action and the target record must be inside tenant/school/branch/class scope.</x:v>
      </x:c>
      <x:c r="G369" s="339" t="str">
        <x:v>You do not have permission to perform this action.</x:v>
      </x:c>
      <x:c r="H369" s="339" t="str">
        <x:v>On load and submit</x:v>
      </x:c>
      <x:c r="I369" s="339" t="str">
        <x:v>Yes</x:v>
      </x:c>
    </x:row>
    <x:row r="370">
      <x:c r="A370" s="339" t="str">
        <x:v>VAL-00369</x:v>
      </x:c>
      <x:c r="B370" s="339" t="str">
        <x:v>SCR-159</x:v>
      </x:c>
      <x:c r="C370" s="339" t="str">
        <x:v>Fees &amp; Finance</x:v>
      </x:c>
      <x:c r="D370" s="339" t="str">
        <x:v>Online Payment</x:v>
      </x:c>
      <x:c r="E370" s="339" t="str">
        <x:v>Required/effective references</x:v>
      </x:c>
      <x:c r="F370" s="339" t="str">
        <x:v>Selected master/reference values must exist, be active and effective for the transaction date.</x:v>
      </x:c>
      <x:c r="G370" s="339" t="str">
        <x:v>One or more selected values are no longer valid. Refresh and try again.</x:v>
      </x:c>
      <x:c r="H370" s="339" t="str">
        <x:v>On submit</x:v>
      </x:c>
      <x:c r="I370" s="339" t="str">
        <x:v>Yes</x:v>
      </x:c>
    </x:row>
    <x:row r="371">
      <x:c r="A371" s="339" t="str">
        <x:v>VAL-00370</x:v>
      </x:c>
      <x:c r="B371" s="339" t="str">
        <x:v>SCR-159</x:v>
      </x:c>
      <x:c r="C371" s="339" t="str">
        <x:v>Fees &amp; Finance</x:v>
      </x:c>
      <x:c r="D371" s="339" t="str">
        <x:v>Online Payment</x:v>
      </x:c>
      <x:c r="E371" s="339" t="str">
        <x:v>Financial amount</x:v>
      </x:c>
      <x:c r="F371" s="339" t="str">
        <x:v>Amounts must be positive where required and allocations may not exceed eligible open balance unless policy allows.</x:v>
      </x:c>
      <x:c r="G371" s="339" t="str">
        <x:v>The amount is not valid for the selected balance.</x:v>
      </x:c>
      <x:c r="H371" s="339" t="str">
        <x:v>On payment/adjustment</x:v>
      </x:c>
      <x:c r="I371" s="339" t="str">
        <x:v>Yes</x:v>
      </x:c>
    </x:row>
    <x:row r="372">
      <x:c r="A372" s="339" t="str">
        <x:v>VAL-00371</x:v>
      </x:c>
      <x:c r="B372" s="339" t="str">
        <x:v>SCR-160</x:v>
      </x:c>
      <x:c r="C372" s="339" t="str">
        <x:v>Fees &amp; Finance</x:v>
      </x:c>
      <x:c r="D372" s="339" t="str">
        <x:v>Payment Receipt</x:v>
      </x:c>
      <x:c r="E372" s="339" t="str">
        <x:v>Authorization &amp; scope</x:v>
      </x:c>
      <x:c r="F372" s="339" t="str">
        <x:v>User must have permission for the screen/action and the target record must be inside tenant/school/branch/class scope.</x:v>
      </x:c>
      <x:c r="G372" s="339" t="str">
        <x:v>You do not have permission to perform this action.</x:v>
      </x:c>
      <x:c r="H372" s="339" t="str">
        <x:v>On load and submit</x:v>
      </x:c>
      <x:c r="I372" s="339" t="str">
        <x:v>Yes</x:v>
      </x:c>
    </x:row>
    <x:row r="373">
      <x:c r="A373" s="339" t="str">
        <x:v>VAL-00372</x:v>
      </x:c>
      <x:c r="B373" s="339" t="str">
        <x:v>SCR-160</x:v>
      </x:c>
      <x:c r="C373" s="339" t="str">
        <x:v>Fees &amp; Finance</x:v>
      </x:c>
      <x:c r="D373" s="339" t="str">
        <x:v>Payment Receipt</x:v>
      </x:c>
      <x:c r="E373" s="339" t="str">
        <x:v>Required/effective references</x:v>
      </x:c>
      <x:c r="F373" s="339" t="str">
        <x:v>Selected master/reference values must exist, be active and effective for the transaction date.</x:v>
      </x:c>
      <x:c r="G373" s="339" t="str">
        <x:v>One or more selected values are no longer valid. Refresh and try again.</x:v>
      </x:c>
      <x:c r="H373" s="339" t="str">
        <x:v>On submit</x:v>
      </x:c>
      <x:c r="I373" s="339" t="str">
        <x:v>Yes</x:v>
      </x:c>
    </x:row>
    <x:row r="374">
      <x:c r="A374" s="339" t="str">
        <x:v>VAL-00373</x:v>
      </x:c>
      <x:c r="B374" s="339" t="str">
        <x:v>SCR-160</x:v>
      </x:c>
      <x:c r="C374" s="339" t="str">
        <x:v>Fees &amp; Finance</x:v>
      </x:c>
      <x:c r="D374" s="339" t="str">
        <x:v>Payment Receipt</x:v>
      </x:c>
      <x:c r="E374" s="339" t="str">
        <x:v>Financial amount</x:v>
      </x:c>
      <x:c r="F374" s="339" t="str">
        <x:v>Amounts must be positive where required and allocations may not exceed eligible open balance unless policy allows.</x:v>
      </x:c>
      <x:c r="G374" s="339" t="str">
        <x:v>The amount is not valid for the selected balance.</x:v>
      </x:c>
      <x:c r="H374" s="339" t="str">
        <x:v>On payment/adjustment</x:v>
      </x:c>
      <x:c r="I374" s="339" t="str">
        <x:v>Yes</x:v>
      </x:c>
    </x:row>
    <x:row r="375">
      <x:c r="A375" s="339" t="str">
        <x:v>VAL-00374</x:v>
      </x:c>
      <x:c r="B375" s="339" t="str">
        <x:v>SCR-161</x:v>
      </x:c>
      <x:c r="C375" s="339" t="str">
        <x:v>Fees &amp; Finance</x:v>
      </x:c>
      <x:c r="D375" s="339" t="str">
        <x:v>Student Ledger</x:v>
      </x:c>
      <x:c r="E375" s="339" t="str">
        <x:v>Authorization &amp; scope</x:v>
      </x:c>
      <x:c r="F375" s="339" t="str">
        <x:v>User must have permission for the screen/action and the target record must be inside tenant/school/branch/class scope.</x:v>
      </x:c>
      <x:c r="G375" s="339" t="str">
        <x:v>You do not have permission to perform this action.</x:v>
      </x:c>
      <x:c r="H375" s="339" t="str">
        <x:v>On load and submit</x:v>
      </x:c>
      <x:c r="I375" s="339" t="str">
        <x:v>Yes</x:v>
      </x:c>
    </x:row>
    <x:row r="376">
      <x:c r="A376" s="339" t="str">
        <x:v>VAL-00375</x:v>
      </x:c>
      <x:c r="B376" s="339" t="str">
        <x:v>SCR-161</x:v>
      </x:c>
      <x:c r="C376" s="339" t="str">
        <x:v>Fees &amp; Finance</x:v>
      </x:c>
      <x:c r="D376" s="339" t="str">
        <x:v>Student Ledger</x:v>
      </x:c>
      <x:c r="E376" s="339" t="str">
        <x:v>Required/effective references</x:v>
      </x:c>
      <x:c r="F376" s="339" t="str">
        <x:v>Selected master/reference values must exist, be active and effective for the transaction date.</x:v>
      </x:c>
      <x:c r="G376" s="339" t="str">
        <x:v>One or more selected values are no longer valid. Refresh and try again.</x:v>
      </x:c>
      <x:c r="H376" s="339" t="str">
        <x:v>On submit</x:v>
      </x:c>
      <x:c r="I376" s="339" t="str">
        <x:v>Yes</x:v>
      </x:c>
    </x:row>
    <x:row r="377">
      <x:c r="A377" s="339" t="str">
        <x:v>VAL-00376</x:v>
      </x:c>
      <x:c r="B377" s="339" t="str">
        <x:v>SCR-161</x:v>
      </x:c>
      <x:c r="C377" s="339" t="str">
        <x:v>Fees &amp; Finance</x:v>
      </x:c>
      <x:c r="D377" s="339" t="str">
        <x:v>Student Ledger</x:v>
      </x:c>
      <x:c r="E377" s="339" t="str">
        <x:v>Financial amount</x:v>
      </x:c>
      <x:c r="F377" s="339" t="str">
        <x:v>Amounts must be positive where required and allocations may not exceed eligible open balance unless policy allows.</x:v>
      </x:c>
      <x:c r="G377" s="339" t="str">
        <x:v>The amount is not valid for the selected balance.</x:v>
      </x:c>
      <x:c r="H377" s="339" t="str">
        <x:v>On payment/adjustment</x:v>
      </x:c>
      <x:c r="I377" s="339" t="str">
        <x:v>Yes</x:v>
      </x:c>
    </x:row>
    <x:row r="378">
      <x:c r="A378" s="339" t="str">
        <x:v>VAL-00377</x:v>
      </x:c>
      <x:c r="B378" s="339" t="str">
        <x:v>SCR-162</x:v>
      </x:c>
      <x:c r="C378" s="339" t="str">
        <x:v>Fees &amp; Finance</x:v>
      </x:c>
      <x:c r="D378" s="339" t="str">
        <x:v>Outstanding Dues</x:v>
      </x:c>
      <x:c r="E378" s="339" t="str">
        <x:v>Authorization &amp; scope</x:v>
      </x:c>
      <x:c r="F378" s="339" t="str">
        <x:v>User must have permission for the screen/action and the target record must be inside tenant/school/branch/class scope.</x:v>
      </x:c>
      <x:c r="G378" s="339" t="str">
        <x:v>You do not have permission to perform this action.</x:v>
      </x:c>
      <x:c r="H378" s="339" t="str">
        <x:v>On load and submit</x:v>
      </x:c>
      <x:c r="I378" s="339" t="str">
        <x:v>Yes</x:v>
      </x:c>
    </x:row>
    <x:row r="379">
      <x:c r="A379" s="339" t="str">
        <x:v>VAL-00378</x:v>
      </x:c>
      <x:c r="B379" s="339" t="str">
        <x:v>SCR-162</x:v>
      </x:c>
      <x:c r="C379" s="339" t="str">
        <x:v>Fees &amp; Finance</x:v>
      </x:c>
      <x:c r="D379" s="339" t="str">
        <x:v>Outstanding Dues</x:v>
      </x:c>
      <x:c r="E379" s="339" t="str">
        <x:v>Required/effective references</x:v>
      </x:c>
      <x:c r="F379" s="339" t="str">
        <x:v>Selected master/reference values must exist, be active and effective for the transaction date.</x:v>
      </x:c>
      <x:c r="G379" s="339" t="str">
        <x:v>One or more selected values are no longer valid. Refresh and try again.</x:v>
      </x:c>
      <x:c r="H379" s="339" t="str">
        <x:v>On submit</x:v>
      </x:c>
      <x:c r="I379" s="339" t="str">
        <x:v>Yes</x:v>
      </x:c>
    </x:row>
    <x:row r="380">
      <x:c r="A380" s="339" t="str">
        <x:v>VAL-00379</x:v>
      </x:c>
      <x:c r="B380" s="339" t="str">
        <x:v>SCR-162</x:v>
      </x:c>
      <x:c r="C380" s="339" t="str">
        <x:v>Fees &amp; Finance</x:v>
      </x:c>
      <x:c r="D380" s="339" t="str">
        <x:v>Outstanding Dues</x:v>
      </x:c>
      <x:c r="E380" s="339" t="str">
        <x:v>Financial amount</x:v>
      </x:c>
      <x:c r="F380" s="339" t="str">
        <x:v>Amounts must be positive where required and allocations may not exceed eligible open balance unless policy allows.</x:v>
      </x:c>
      <x:c r="G380" s="339" t="str">
        <x:v>The amount is not valid for the selected balance.</x:v>
      </x:c>
      <x:c r="H380" s="339" t="str">
        <x:v>On payment/adjustment</x:v>
      </x:c>
      <x:c r="I380" s="339" t="str">
        <x:v>Yes</x:v>
      </x:c>
    </x:row>
    <x:row r="381">
      <x:c r="A381" s="339" t="str">
        <x:v>VAL-00380</x:v>
      </x:c>
      <x:c r="B381" s="339" t="str">
        <x:v>SCR-163</x:v>
      </x:c>
      <x:c r="C381" s="339" t="str">
        <x:v>Fees &amp; Finance</x:v>
      </x:c>
      <x:c r="D381" s="339" t="str">
        <x:v>Concession / Scholarship</x:v>
      </x:c>
      <x:c r="E381" s="339" t="str">
        <x:v>Authorization &amp; scope</x:v>
      </x:c>
      <x:c r="F381" s="339" t="str">
        <x:v>User must have permission for the screen/action and the target record must be inside tenant/school/branch/class scope.</x:v>
      </x:c>
      <x:c r="G381" s="339" t="str">
        <x:v>You do not have permission to perform this action.</x:v>
      </x:c>
      <x:c r="H381" s="339" t="str">
        <x:v>On load and submit</x:v>
      </x:c>
      <x:c r="I381" s="339" t="str">
        <x:v>Yes</x:v>
      </x:c>
    </x:row>
    <x:row r="382">
      <x:c r="A382" s="339" t="str">
        <x:v>VAL-00381</x:v>
      </x:c>
      <x:c r="B382" s="339" t="str">
        <x:v>SCR-163</x:v>
      </x:c>
      <x:c r="C382" s="339" t="str">
        <x:v>Fees &amp; Finance</x:v>
      </x:c>
      <x:c r="D382" s="339" t="str">
        <x:v>Concession / Scholarship</x:v>
      </x:c>
      <x:c r="E382" s="339" t="str">
        <x:v>Required/effective references</x:v>
      </x:c>
      <x:c r="F382" s="339" t="str">
        <x:v>Selected master/reference values must exist, be active and effective for the transaction date.</x:v>
      </x:c>
      <x:c r="G382" s="339" t="str">
        <x:v>One or more selected values are no longer valid. Refresh and try again.</x:v>
      </x:c>
      <x:c r="H382" s="339" t="str">
        <x:v>On submit</x:v>
      </x:c>
      <x:c r="I382" s="339" t="str">
        <x:v>Yes</x:v>
      </x:c>
    </x:row>
    <x:row r="383">
      <x:c r="A383" s="339" t="str">
        <x:v>VAL-00382</x:v>
      </x:c>
      <x:c r="B383" s="339" t="str">
        <x:v>SCR-163</x:v>
      </x:c>
      <x:c r="C383" s="339" t="str">
        <x:v>Fees &amp; Finance</x:v>
      </x:c>
      <x:c r="D383" s="339" t="str">
        <x:v>Concession / Scholarship</x:v>
      </x:c>
      <x:c r="E383" s="339" t="str">
        <x:v>Financial amount</x:v>
      </x:c>
      <x:c r="F383" s="339" t="str">
        <x:v>Amounts must be positive where required and allocations may not exceed eligible open balance unless policy allows.</x:v>
      </x:c>
      <x:c r="G383" s="339" t="str">
        <x:v>The amount is not valid for the selected balance.</x:v>
      </x:c>
      <x:c r="H383" s="339" t="str">
        <x:v>On payment/adjustment</x:v>
      </x:c>
      <x:c r="I383" s="339" t="str">
        <x:v>Yes</x:v>
      </x:c>
    </x:row>
    <x:row r="384">
      <x:c r="A384" s="339" t="str">
        <x:v>VAL-00383</x:v>
      </x:c>
      <x:c r="B384" s="339" t="str">
        <x:v>SCR-164</x:v>
      </x:c>
      <x:c r="C384" s="339" t="str">
        <x:v>Fees &amp; Finance</x:v>
      </x:c>
      <x:c r="D384" s="339" t="str">
        <x:v>Fine Rules</x:v>
      </x:c>
      <x:c r="E384" s="339" t="str">
        <x:v>Authorization &amp; scope</x:v>
      </x:c>
      <x:c r="F384" s="339" t="str">
        <x:v>User must have permission for the screen/action and the target record must be inside tenant/school/branch/class scope.</x:v>
      </x:c>
      <x:c r="G384" s="339" t="str">
        <x:v>You do not have permission to perform this action.</x:v>
      </x:c>
      <x:c r="H384" s="339" t="str">
        <x:v>On load and submit</x:v>
      </x:c>
      <x:c r="I384" s="339" t="str">
        <x:v>Yes</x:v>
      </x:c>
    </x:row>
    <x:row r="385">
      <x:c r="A385" s="339" t="str">
        <x:v>VAL-00384</x:v>
      </x:c>
      <x:c r="B385" s="339" t="str">
        <x:v>SCR-164</x:v>
      </x:c>
      <x:c r="C385" s="339" t="str">
        <x:v>Fees &amp; Finance</x:v>
      </x:c>
      <x:c r="D385" s="339" t="str">
        <x:v>Fine Rules</x:v>
      </x:c>
      <x:c r="E385" s="339" t="str">
        <x:v>Required/effective references</x:v>
      </x:c>
      <x:c r="F385" s="339" t="str">
        <x:v>Selected master/reference values must exist, be active and effective for the transaction date.</x:v>
      </x:c>
      <x:c r="G385" s="339" t="str">
        <x:v>One or more selected values are no longer valid. Refresh and try again.</x:v>
      </x:c>
      <x:c r="H385" s="339" t="str">
        <x:v>On submit</x:v>
      </x:c>
      <x:c r="I385" s="339" t="str">
        <x:v>Yes</x:v>
      </x:c>
    </x:row>
    <x:row r="386">
      <x:c r="A386" s="339" t="str">
        <x:v>VAL-00385</x:v>
      </x:c>
      <x:c r="B386" s="339" t="str">
        <x:v>SCR-164</x:v>
      </x:c>
      <x:c r="C386" s="339" t="str">
        <x:v>Fees &amp; Finance</x:v>
      </x:c>
      <x:c r="D386" s="339" t="str">
        <x:v>Fine Rules</x:v>
      </x:c>
      <x:c r="E386" s="339" t="str">
        <x:v>Financial amount</x:v>
      </x:c>
      <x:c r="F386" s="339" t="str">
        <x:v>Amounts must be positive where required and allocations may not exceed eligible open balance unless policy allows.</x:v>
      </x:c>
      <x:c r="G386" s="339" t="str">
        <x:v>The amount is not valid for the selected balance.</x:v>
      </x:c>
      <x:c r="H386" s="339" t="str">
        <x:v>On payment/adjustment</x:v>
      </x:c>
      <x:c r="I386" s="339" t="str">
        <x:v>Yes</x:v>
      </x:c>
    </x:row>
    <x:row r="387">
      <x:c r="A387" s="339" t="str">
        <x:v>VAL-00386</x:v>
      </x:c>
      <x:c r="B387" s="339" t="str">
        <x:v>SCR-165</x:v>
      </x:c>
      <x:c r="C387" s="339" t="str">
        <x:v>Fees &amp; Finance</x:v>
      </x:c>
      <x:c r="D387" s="339" t="str">
        <x:v>Refunds</x:v>
      </x:c>
      <x:c r="E387" s="339" t="str">
        <x:v>Authorization &amp; scope</x:v>
      </x:c>
      <x:c r="F387" s="339" t="str">
        <x:v>User must have permission for the screen/action and the target record must be inside tenant/school/branch/class scope.</x:v>
      </x:c>
      <x:c r="G387" s="339" t="str">
        <x:v>You do not have permission to perform this action.</x:v>
      </x:c>
      <x:c r="H387" s="339" t="str">
        <x:v>On load and submit</x:v>
      </x:c>
      <x:c r="I387" s="339" t="str">
        <x:v>Yes</x:v>
      </x:c>
    </x:row>
    <x:row r="388">
      <x:c r="A388" s="339" t="str">
        <x:v>VAL-00387</x:v>
      </x:c>
      <x:c r="B388" s="339" t="str">
        <x:v>SCR-165</x:v>
      </x:c>
      <x:c r="C388" s="339" t="str">
        <x:v>Fees &amp; Finance</x:v>
      </x:c>
      <x:c r="D388" s="339" t="str">
        <x:v>Refunds</x:v>
      </x:c>
      <x:c r="E388" s="339" t="str">
        <x:v>Required/effective references</x:v>
      </x:c>
      <x:c r="F388" s="339" t="str">
        <x:v>Selected master/reference values must exist, be active and effective for the transaction date.</x:v>
      </x:c>
      <x:c r="G388" s="339" t="str">
        <x:v>One or more selected values are no longer valid. Refresh and try again.</x:v>
      </x:c>
      <x:c r="H388" s="339" t="str">
        <x:v>On submit</x:v>
      </x:c>
      <x:c r="I388" s="339" t="str">
        <x:v>Yes</x:v>
      </x:c>
    </x:row>
    <x:row r="389">
      <x:c r="A389" s="339" t="str">
        <x:v>VAL-00388</x:v>
      </x:c>
      <x:c r="B389" s="339" t="str">
        <x:v>SCR-165</x:v>
      </x:c>
      <x:c r="C389" s="339" t="str">
        <x:v>Fees &amp; Finance</x:v>
      </x:c>
      <x:c r="D389" s="339" t="str">
        <x:v>Refunds</x:v>
      </x:c>
      <x:c r="E389" s="339" t="str">
        <x:v>Financial amount</x:v>
      </x:c>
      <x:c r="F389" s="339" t="str">
        <x:v>Amounts must be positive where required and allocations may not exceed eligible open balance unless policy allows.</x:v>
      </x:c>
      <x:c r="G389" s="339" t="str">
        <x:v>The amount is not valid for the selected balance.</x:v>
      </x:c>
      <x:c r="H389" s="339" t="str">
        <x:v>On payment/adjustment</x:v>
      </x:c>
      <x:c r="I389" s="339" t="str">
        <x:v>Yes</x:v>
      </x:c>
    </x:row>
    <x:row r="390">
      <x:c r="A390" s="339" t="str">
        <x:v>VAL-00389</x:v>
      </x:c>
      <x:c r="B390" s="339" t="str">
        <x:v>SCR-166</x:v>
      </x:c>
      <x:c r="C390" s="339" t="str">
        <x:v>Fees &amp; Finance</x:v>
      </x:c>
      <x:c r="D390" s="339" t="str">
        <x:v>Income</x:v>
      </x:c>
      <x:c r="E390" s="339" t="str">
        <x:v>Authorization &amp; scope</x:v>
      </x:c>
      <x:c r="F390" s="339" t="str">
        <x:v>User must have permission for the screen/action and the target record must be inside tenant/school/branch/class scope.</x:v>
      </x:c>
      <x:c r="G390" s="339" t="str">
        <x:v>You do not have permission to perform this action.</x:v>
      </x:c>
      <x:c r="H390" s="339" t="str">
        <x:v>On load and submit</x:v>
      </x:c>
      <x:c r="I390" s="339" t="str">
        <x:v>Yes</x:v>
      </x:c>
    </x:row>
    <x:row r="391">
      <x:c r="A391" s="339" t="str">
        <x:v>VAL-00390</x:v>
      </x:c>
      <x:c r="B391" s="339" t="str">
        <x:v>SCR-166</x:v>
      </x:c>
      <x:c r="C391" s="339" t="str">
        <x:v>Fees &amp; Finance</x:v>
      </x:c>
      <x:c r="D391" s="339" t="str">
        <x:v>Income</x:v>
      </x:c>
      <x:c r="E391" s="339" t="str">
        <x:v>Required/effective references</x:v>
      </x:c>
      <x:c r="F391" s="339" t="str">
        <x:v>Selected master/reference values must exist, be active and effective for the transaction date.</x:v>
      </x:c>
      <x:c r="G391" s="339" t="str">
        <x:v>One or more selected values are no longer valid. Refresh and try again.</x:v>
      </x:c>
      <x:c r="H391" s="339" t="str">
        <x:v>On submit</x:v>
      </x:c>
      <x:c r="I391" s="339" t="str">
        <x:v>Yes</x:v>
      </x:c>
    </x:row>
    <x:row r="392">
      <x:c r="A392" s="339" t="str">
        <x:v>VAL-00391</x:v>
      </x:c>
      <x:c r="B392" s="339" t="str">
        <x:v>SCR-166</x:v>
      </x:c>
      <x:c r="C392" s="339" t="str">
        <x:v>Fees &amp; Finance</x:v>
      </x:c>
      <x:c r="D392" s="339" t="str">
        <x:v>Income</x:v>
      </x:c>
      <x:c r="E392" s="339" t="str">
        <x:v>Financial amount</x:v>
      </x:c>
      <x:c r="F392" s="339" t="str">
        <x:v>Amounts must be positive where required and allocations may not exceed eligible open balance unless policy allows.</x:v>
      </x:c>
      <x:c r="G392" s="339" t="str">
        <x:v>The amount is not valid for the selected balance.</x:v>
      </x:c>
      <x:c r="H392" s="339" t="str">
        <x:v>On payment/adjustment</x:v>
      </x:c>
      <x:c r="I392" s="339" t="str">
        <x:v>Yes</x:v>
      </x:c>
    </x:row>
    <x:row r="393">
      <x:c r="A393" s="339" t="str">
        <x:v>VAL-00392</x:v>
      </x:c>
      <x:c r="B393" s="339" t="str">
        <x:v>SCR-167</x:v>
      </x:c>
      <x:c r="C393" s="339" t="str">
        <x:v>Fees &amp; Finance</x:v>
      </x:c>
      <x:c r="D393" s="339" t="str">
        <x:v>Expenses</x:v>
      </x:c>
      <x:c r="E393" s="339" t="str">
        <x:v>Authorization &amp; scope</x:v>
      </x:c>
      <x:c r="F393" s="339" t="str">
        <x:v>User must have permission for the screen/action and the target record must be inside tenant/school/branch/class scope.</x:v>
      </x:c>
      <x:c r="G393" s="339" t="str">
        <x:v>You do not have permission to perform this action.</x:v>
      </x:c>
      <x:c r="H393" s="339" t="str">
        <x:v>On load and submit</x:v>
      </x:c>
      <x:c r="I393" s="339" t="str">
        <x:v>Yes</x:v>
      </x:c>
    </x:row>
    <x:row r="394">
      <x:c r="A394" s="339" t="str">
        <x:v>VAL-00393</x:v>
      </x:c>
      <x:c r="B394" s="339" t="str">
        <x:v>SCR-167</x:v>
      </x:c>
      <x:c r="C394" s="339" t="str">
        <x:v>Fees &amp; Finance</x:v>
      </x:c>
      <x:c r="D394" s="339" t="str">
        <x:v>Expenses</x:v>
      </x:c>
      <x:c r="E394" s="339" t="str">
        <x:v>Required/effective references</x:v>
      </x:c>
      <x:c r="F394" s="339" t="str">
        <x:v>Selected master/reference values must exist, be active and effective for the transaction date.</x:v>
      </x:c>
      <x:c r="G394" s="339" t="str">
        <x:v>One or more selected values are no longer valid. Refresh and try again.</x:v>
      </x:c>
      <x:c r="H394" s="339" t="str">
        <x:v>On submit</x:v>
      </x:c>
      <x:c r="I394" s="339" t="str">
        <x:v>Yes</x:v>
      </x:c>
    </x:row>
    <x:row r="395">
      <x:c r="A395" s="339" t="str">
        <x:v>VAL-00394</x:v>
      </x:c>
      <x:c r="B395" s="339" t="str">
        <x:v>SCR-167</x:v>
      </x:c>
      <x:c r="C395" s="339" t="str">
        <x:v>Fees &amp; Finance</x:v>
      </x:c>
      <x:c r="D395" s="339" t="str">
        <x:v>Expenses</x:v>
      </x:c>
      <x:c r="E395" s="339" t="str">
        <x:v>Financial amount</x:v>
      </x:c>
      <x:c r="F395" s="339" t="str">
        <x:v>Amounts must be positive where required and allocations may not exceed eligible open balance unless policy allows.</x:v>
      </x:c>
      <x:c r="G395" s="339" t="str">
        <x:v>The amount is not valid for the selected balance.</x:v>
      </x:c>
      <x:c r="H395" s="339" t="str">
        <x:v>On payment/adjustment</x:v>
      </x:c>
      <x:c r="I395" s="339" t="str">
        <x:v>Yes</x:v>
      </x:c>
    </x:row>
    <x:row r="396">
      <x:c r="A396" s="339" t="str">
        <x:v>VAL-00395</x:v>
      </x:c>
      <x:c r="B396" s="339" t="str">
        <x:v>SCR-168</x:v>
      </x:c>
      <x:c r="C396" s="339" t="str">
        <x:v>Fees &amp; Finance</x:v>
      </x:c>
      <x:c r="D396" s="339" t="str">
        <x:v>Vendor Management</x:v>
      </x:c>
      <x:c r="E396" s="339" t="str">
        <x:v>Authorization &amp; scope</x:v>
      </x:c>
      <x:c r="F396" s="339" t="str">
        <x:v>User must have permission for the screen/action and the target record must be inside tenant/school/branch/class scope.</x:v>
      </x:c>
      <x:c r="G396" s="339" t="str">
        <x:v>You do not have permission to perform this action.</x:v>
      </x:c>
      <x:c r="H396" s="339" t="str">
        <x:v>On load and submit</x:v>
      </x:c>
      <x:c r="I396" s="339" t="str">
        <x:v>Yes</x:v>
      </x:c>
    </x:row>
    <x:row r="397">
      <x:c r="A397" s="339" t="str">
        <x:v>VAL-00396</x:v>
      </x:c>
      <x:c r="B397" s="339" t="str">
        <x:v>SCR-168</x:v>
      </x:c>
      <x:c r="C397" s="339" t="str">
        <x:v>Fees &amp; Finance</x:v>
      </x:c>
      <x:c r="D397" s="339" t="str">
        <x:v>Vendor Management</x:v>
      </x:c>
      <x:c r="E397" s="339" t="str">
        <x:v>Required/effective references</x:v>
      </x:c>
      <x:c r="F397" s="339" t="str">
        <x:v>Selected master/reference values must exist, be active and effective for the transaction date.</x:v>
      </x:c>
      <x:c r="G397" s="339" t="str">
        <x:v>One or more selected values are no longer valid. Refresh and try again.</x:v>
      </x:c>
      <x:c r="H397" s="339" t="str">
        <x:v>On submit</x:v>
      </x:c>
      <x:c r="I397" s="339" t="str">
        <x:v>Yes</x:v>
      </x:c>
    </x:row>
    <x:row r="398">
      <x:c r="A398" s="339" t="str">
        <x:v>VAL-00397</x:v>
      </x:c>
      <x:c r="B398" s="339" t="str">
        <x:v>SCR-168</x:v>
      </x:c>
      <x:c r="C398" s="339" t="str">
        <x:v>Fees &amp; Finance</x:v>
      </x:c>
      <x:c r="D398" s="339" t="str">
        <x:v>Vendor Management</x:v>
      </x:c>
      <x:c r="E398" s="339" t="str">
        <x:v>Financial amount</x:v>
      </x:c>
      <x:c r="F398" s="339" t="str">
        <x:v>Amounts must be positive where required and allocations may not exceed eligible open balance unless policy allows.</x:v>
      </x:c>
      <x:c r="G398" s="339" t="str">
        <x:v>The amount is not valid for the selected balance.</x:v>
      </x:c>
      <x:c r="H398" s="339" t="str">
        <x:v>On payment/adjustment</x:v>
      </x:c>
      <x:c r="I398" s="339" t="str">
        <x:v>Yes</x:v>
      </x:c>
    </x:row>
    <x:row r="399">
      <x:c r="A399" s="339" t="str">
        <x:v>VAL-00398</x:v>
      </x:c>
      <x:c r="B399" s="339" t="str">
        <x:v>SCR-169</x:v>
      </x:c>
      <x:c r="C399" s="339" t="str">
        <x:v>Fees &amp; Finance</x:v>
      </x:c>
      <x:c r="D399" s="339" t="str">
        <x:v>Purchase / Payment</x:v>
      </x:c>
      <x:c r="E399" s="339" t="str">
        <x:v>Authorization &amp; scope</x:v>
      </x:c>
      <x:c r="F399" s="339" t="str">
        <x:v>User must have permission for the screen/action and the target record must be inside tenant/school/branch/class scope.</x:v>
      </x:c>
      <x:c r="G399" s="339" t="str">
        <x:v>You do not have permission to perform this action.</x:v>
      </x:c>
      <x:c r="H399" s="339" t="str">
        <x:v>On load and submit</x:v>
      </x:c>
      <x:c r="I399" s="339" t="str">
        <x:v>Yes</x:v>
      </x:c>
    </x:row>
    <x:row r="400">
      <x:c r="A400" s="339" t="str">
        <x:v>VAL-00399</x:v>
      </x:c>
      <x:c r="B400" s="339" t="str">
        <x:v>SCR-169</x:v>
      </x:c>
      <x:c r="C400" s="339" t="str">
        <x:v>Fees &amp; Finance</x:v>
      </x:c>
      <x:c r="D400" s="339" t="str">
        <x:v>Purchase / Payment</x:v>
      </x:c>
      <x:c r="E400" s="339" t="str">
        <x:v>Required/effective references</x:v>
      </x:c>
      <x:c r="F400" s="339" t="str">
        <x:v>Selected master/reference values must exist, be active and effective for the transaction date.</x:v>
      </x:c>
      <x:c r="G400" s="339" t="str">
        <x:v>One or more selected values are no longer valid. Refresh and try again.</x:v>
      </x:c>
      <x:c r="H400" s="339" t="str">
        <x:v>On submit</x:v>
      </x:c>
      <x:c r="I400" s="339" t="str">
        <x:v>Yes</x:v>
      </x:c>
    </x:row>
    <x:row r="401">
      <x:c r="A401" s="339" t="str">
        <x:v>VAL-00400</x:v>
      </x:c>
      <x:c r="B401" s="339" t="str">
        <x:v>SCR-169</x:v>
      </x:c>
      <x:c r="C401" s="339" t="str">
        <x:v>Fees &amp; Finance</x:v>
      </x:c>
      <x:c r="D401" s="339" t="str">
        <x:v>Purchase / Payment</x:v>
      </x:c>
      <x:c r="E401" s="339" t="str">
        <x:v>Financial amount</x:v>
      </x:c>
      <x:c r="F401" s="339" t="str">
        <x:v>Amounts must be positive where required and allocations may not exceed eligible open balance unless policy allows.</x:v>
      </x:c>
      <x:c r="G401" s="339" t="str">
        <x:v>The amount is not valid for the selected balance.</x:v>
      </x:c>
      <x:c r="H401" s="339" t="str">
        <x:v>On payment/adjustment</x:v>
      </x:c>
      <x:c r="I401" s="339" t="str">
        <x:v>Yes</x:v>
      </x:c>
    </x:row>
    <x:row r="402">
      <x:c r="A402" s="339" t="str">
        <x:v>VAL-00401</x:v>
      </x:c>
      <x:c r="B402" s="339" t="str">
        <x:v>SCR-170</x:v>
      </x:c>
      <x:c r="C402" s="339" t="str">
        <x:v>Fees &amp; Finance</x:v>
      </x:c>
      <x:c r="D402" s="339" t="str">
        <x:v>Cash &amp; Bank Book</x:v>
      </x:c>
      <x:c r="E402" s="339" t="str">
        <x:v>Authorization &amp; scope</x:v>
      </x:c>
      <x:c r="F402" s="339" t="str">
        <x:v>User must have permission for the screen/action and the target record must be inside tenant/school/branch/class scope.</x:v>
      </x:c>
      <x:c r="G402" s="339" t="str">
        <x:v>You do not have permission to perform this action.</x:v>
      </x:c>
      <x:c r="H402" s="339" t="str">
        <x:v>On load and submit</x:v>
      </x:c>
      <x:c r="I402" s="339" t="str">
        <x:v>Yes</x:v>
      </x:c>
    </x:row>
    <x:row r="403">
      <x:c r="A403" s="339" t="str">
        <x:v>VAL-00402</x:v>
      </x:c>
      <x:c r="B403" s="339" t="str">
        <x:v>SCR-170</x:v>
      </x:c>
      <x:c r="C403" s="339" t="str">
        <x:v>Fees &amp; Finance</x:v>
      </x:c>
      <x:c r="D403" s="339" t="str">
        <x:v>Cash &amp; Bank Book</x:v>
      </x:c>
      <x:c r="E403" s="339" t="str">
        <x:v>Required/effective references</x:v>
      </x:c>
      <x:c r="F403" s="339" t="str">
        <x:v>Selected master/reference values must exist, be active and effective for the transaction date.</x:v>
      </x:c>
      <x:c r="G403" s="339" t="str">
        <x:v>One or more selected values are no longer valid. Refresh and try again.</x:v>
      </x:c>
      <x:c r="H403" s="339" t="str">
        <x:v>On submit</x:v>
      </x:c>
      <x:c r="I403" s="339" t="str">
        <x:v>Yes</x:v>
      </x:c>
    </x:row>
    <x:row r="404">
      <x:c r="A404" s="339" t="str">
        <x:v>VAL-00403</x:v>
      </x:c>
      <x:c r="B404" s="339" t="str">
        <x:v>SCR-170</x:v>
      </x:c>
      <x:c r="C404" s="339" t="str">
        <x:v>Fees &amp; Finance</x:v>
      </x:c>
      <x:c r="D404" s="339" t="str">
        <x:v>Cash &amp; Bank Book</x:v>
      </x:c>
      <x:c r="E404" s="339" t="str">
        <x:v>Financial amount</x:v>
      </x:c>
      <x:c r="F404" s="339" t="str">
        <x:v>Amounts must be positive where required and allocations may not exceed eligible open balance unless policy allows.</x:v>
      </x:c>
      <x:c r="G404" s="339" t="str">
        <x:v>The amount is not valid for the selected balance.</x:v>
      </x:c>
      <x:c r="H404" s="339" t="str">
        <x:v>On payment/adjustment</x:v>
      </x:c>
      <x:c r="I404" s="339" t="str">
        <x:v>Yes</x:v>
      </x:c>
    </x:row>
    <x:row r="405">
      <x:c r="A405" s="339" t="str">
        <x:v>VAL-00404</x:v>
      </x:c>
      <x:c r="B405" s="339" t="str">
        <x:v>SCR-171</x:v>
      </x:c>
      <x:c r="C405" s="339" t="str">
        <x:v>Fees &amp; Finance</x:v>
      </x:c>
      <x:c r="D405" s="339" t="str">
        <x:v>Finance Reports</x:v>
      </x:c>
      <x:c r="E405" s="339" t="str">
        <x:v>Authorization &amp; scope</x:v>
      </x:c>
      <x:c r="F405" s="339" t="str">
        <x:v>User must have permission for the screen/action and the target record must be inside tenant/school/branch/class scope.</x:v>
      </x:c>
      <x:c r="G405" s="339" t="str">
        <x:v>You do not have permission to perform this action.</x:v>
      </x:c>
      <x:c r="H405" s="339" t="str">
        <x:v>On load and submit</x:v>
      </x:c>
      <x:c r="I405" s="339" t="str">
        <x:v>Yes</x:v>
      </x:c>
    </x:row>
    <x:row r="406">
      <x:c r="A406" s="339" t="str">
        <x:v>VAL-00405</x:v>
      </x:c>
      <x:c r="B406" s="339" t="str">
        <x:v>SCR-171</x:v>
      </x:c>
      <x:c r="C406" s="339" t="str">
        <x:v>Fees &amp; Finance</x:v>
      </x:c>
      <x:c r="D406" s="339" t="str">
        <x:v>Finance Reports</x:v>
      </x:c>
      <x:c r="E406" s="339" t="str">
        <x:v>Required/effective references</x:v>
      </x:c>
      <x:c r="F406" s="339" t="str">
        <x:v>Selected master/reference values must exist, be active and effective for the transaction date.</x:v>
      </x:c>
      <x:c r="G406" s="339" t="str">
        <x:v>One or more selected values are no longer valid. Refresh and try again.</x:v>
      </x:c>
      <x:c r="H406" s="339" t="str">
        <x:v>On submit</x:v>
      </x:c>
      <x:c r="I406" s="339" t="str">
        <x:v>Yes</x:v>
      </x:c>
    </x:row>
    <x:row r="407">
      <x:c r="A407" s="339" t="str">
        <x:v>VAL-00406</x:v>
      </x:c>
      <x:c r="B407" s="339" t="str">
        <x:v>SCR-171</x:v>
      </x:c>
      <x:c r="C407" s="339" t="str">
        <x:v>Fees &amp; Finance</x:v>
      </x:c>
      <x:c r="D407" s="339" t="str">
        <x:v>Finance Reports</x:v>
      </x:c>
      <x:c r="E407" s="339" t="str">
        <x:v>Financial amount</x:v>
      </x:c>
      <x:c r="F407" s="339" t="str">
        <x:v>Amounts must be positive where required and allocations may not exceed eligible open balance unless policy allows.</x:v>
      </x:c>
      <x:c r="G407" s="339" t="str">
        <x:v>The amount is not valid for the selected balance.</x:v>
      </x:c>
      <x:c r="H407" s="339" t="str">
        <x:v>On payment/adjustment</x:v>
      </x:c>
      <x:c r="I407" s="339" t="str">
        <x:v>Yes</x:v>
      </x:c>
    </x:row>
    <x:row r="408">
      <x:c r="A408" s="339" t="str">
        <x:v>VAL-00407</x:v>
      </x:c>
      <x:c r="B408" s="339" t="str">
        <x:v>SCR-172</x:v>
      </x:c>
      <x:c r="C408" s="339" t="str">
        <x:v>HR / Leave / Payroll</x:v>
      </x:c>
      <x:c r="D408" s="339" t="str">
        <x:v>Recruitment Requisitions</x:v>
      </x:c>
      <x:c r="E408" s="339" t="str">
        <x:v>Authorization &amp; scope</x:v>
      </x:c>
      <x:c r="F408" s="339" t="str">
        <x:v>User must have permission for the screen/action and the target record must be inside tenant/school/branch/class scope.</x:v>
      </x:c>
      <x:c r="G408" s="339" t="str">
        <x:v>You do not have permission to perform this action.</x:v>
      </x:c>
      <x:c r="H408" s="339" t="str">
        <x:v>On load and submit</x:v>
      </x:c>
      <x:c r="I408" s="339" t="str">
        <x:v>Yes</x:v>
      </x:c>
    </x:row>
    <x:row r="409">
      <x:c r="A409" s="339" t="str">
        <x:v>VAL-00408</x:v>
      </x:c>
      <x:c r="B409" s="339" t="str">
        <x:v>SCR-172</x:v>
      </x:c>
      <x:c r="C409" s="339" t="str">
        <x:v>HR / Leave / Payroll</x:v>
      </x:c>
      <x:c r="D409" s="339" t="str">
        <x:v>Recruitment Requisitions</x:v>
      </x:c>
      <x:c r="E409" s="339" t="str">
        <x:v>Required/effective references</x:v>
      </x:c>
      <x:c r="F409" s="339" t="str">
        <x:v>Selected master/reference values must exist, be active and effective for the transaction date.</x:v>
      </x:c>
      <x:c r="G409" s="339" t="str">
        <x:v>One or more selected values are no longer valid. Refresh and try again.</x:v>
      </x:c>
      <x:c r="H409" s="339" t="str">
        <x:v>On submit</x:v>
      </x:c>
      <x:c r="I409" s="339" t="str">
        <x:v>Yes</x:v>
      </x:c>
    </x:row>
    <x:row r="410">
      <x:c r="A410" s="339" t="str">
        <x:v>VAL-00409</x:v>
      </x:c>
      <x:c r="B410" s="339" t="str">
        <x:v>SCR-173</x:v>
      </x:c>
      <x:c r="C410" s="339" t="str">
        <x:v>HR / Leave / Payroll</x:v>
      </x:c>
      <x:c r="D410" s="339" t="str">
        <x:v>Job Openings</x:v>
      </x:c>
      <x:c r="E410" s="339" t="str">
        <x:v>Authorization &amp; scope</x:v>
      </x:c>
      <x:c r="F410" s="339" t="str">
        <x:v>User must have permission for the screen/action and the target record must be inside tenant/school/branch/class scope.</x:v>
      </x:c>
      <x:c r="G410" s="339" t="str">
        <x:v>You do not have permission to perform this action.</x:v>
      </x:c>
      <x:c r="H410" s="339" t="str">
        <x:v>On load and submit</x:v>
      </x:c>
      <x:c r="I410" s="339" t="str">
        <x:v>Yes</x:v>
      </x:c>
    </x:row>
    <x:row r="411">
      <x:c r="A411" s="339" t="str">
        <x:v>VAL-00410</x:v>
      </x:c>
      <x:c r="B411" s="339" t="str">
        <x:v>SCR-173</x:v>
      </x:c>
      <x:c r="C411" s="339" t="str">
        <x:v>HR / Leave / Payroll</x:v>
      </x:c>
      <x:c r="D411" s="339" t="str">
        <x:v>Job Openings</x:v>
      </x:c>
      <x:c r="E411" s="339" t="str">
        <x:v>Required/effective references</x:v>
      </x:c>
      <x:c r="F411" s="339" t="str">
        <x:v>Selected master/reference values must exist, be active and effective for the transaction date.</x:v>
      </x:c>
      <x:c r="G411" s="339" t="str">
        <x:v>One or more selected values are no longer valid. Refresh and try again.</x:v>
      </x:c>
      <x:c r="H411" s="339" t="str">
        <x:v>On submit</x:v>
      </x:c>
      <x:c r="I411" s="339" t="str">
        <x:v>Yes</x:v>
      </x:c>
    </x:row>
    <x:row r="412">
      <x:c r="A412" s="339" t="str">
        <x:v>VAL-00411</x:v>
      </x:c>
      <x:c r="B412" s="339" t="str">
        <x:v>SCR-174</x:v>
      </x:c>
      <x:c r="C412" s="339" t="str">
        <x:v>HR / Leave / Payroll</x:v>
      </x:c>
      <x:c r="D412" s="339" t="str">
        <x:v>Candidate Applications</x:v>
      </x:c>
      <x:c r="E412" s="339" t="str">
        <x:v>Authorization &amp; scope</x:v>
      </x:c>
      <x:c r="F412" s="339" t="str">
        <x:v>User must have permission for the screen/action and the target record must be inside tenant/school/branch/class scope.</x:v>
      </x:c>
      <x:c r="G412" s="339" t="str">
        <x:v>You do not have permission to perform this action.</x:v>
      </x:c>
      <x:c r="H412" s="339" t="str">
        <x:v>On load and submit</x:v>
      </x:c>
      <x:c r="I412" s="339" t="str">
        <x:v>Yes</x:v>
      </x:c>
    </x:row>
    <x:row r="413">
      <x:c r="A413" s="339" t="str">
        <x:v>VAL-00412</x:v>
      </x:c>
      <x:c r="B413" s="339" t="str">
        <x:v>SCR-174</x:v>
      </x:c>
      <x:c r="C413" s="339" t="str">
        <x:v>HR / Leave / Payroll</x:v>
      </x:c>
      <x:c r="D413" s="339" t="str">
        <x:v>Candidate Applications</x:v>
      </x:c>
      <x:c r="E413" s="339" t="str">
        <x:v>Required/effective references</x:v>
      </x:c>
      <x:c r="F413" s="339" t="str">
        <x:v>Selected master/reference values must exist, be active and effective for the transaction date.</x:v>
      </x:c>
      <x:c r="G413" s="339" t="str">
        <x:v>One or more selected values are no longer valid. Refresh and try again.</x:v>
      </x:c>
      <x:c r="H413" s="339" t="str">
        <x:v>On submit</x:v>
      </x:c>
      <x:c r="I413" s="339" t="str">
        <x:v>Yes</x:v>
      </x:c>
    </x:row>
    <x:row r="414">
      <x:c r="A414" s="339" t="str">
        <x:v>VAL-00413</x:v>
      </x:c>
      <x:c r="B414" s="339" t="str">
        <x:v>SCR-175</x:v>
      </x:c>
      <x:c r="C414" s="339" t="str">
        <x:v>HR / Leave / Payroll</x:v>
      </x:c>
      <x:c r="D414" s="339" t="str">
        <x:v>Candidate Details</x:v>
      </x:c>
      <x:c r="E414" s="339" t="str">
        <x:v>Authorization &amp; scope</x:v>
      </x:c>
      <x:c r="F414" s="339" t="str">
        <x:v>User must have permission for the screen/action and the target record must be inside tenant/school/branch/class scope.</x:v>
      </x:c>
      <x:c r="G414" s="339" t="str">
        <x:v>You do not have permission to perform this action.</x:v>
      </x:c>
      <x:c r="H414" s="339" t="str">
        <x:v>On load and submit</x:v>
      </x:c>
      <x:c r="I414" s="339" t="str">
        <x:v>Yes</x:v>
      </x:c>
    </x:row>
    <x:row r="415">
      <x:c r="A415" s="339" t="str">
        <x:v>VAL-00414</x:v>
      </x:c>
      <x:c r="B415" s="339" t="str">
        <x:v>SCR-175</x:v>
      </x:c>
      <x:c r="C415" s="339" t="str">
        <x:v>HR / Leave / Payroll</x:v>
      </x:c>
      <x:c r="D415" s="339" t="str">
        <x:v>Candidate Details</x:v>
      </x:c>
      <x:c r="E415" s="339" t="str">
        <x:v>Required/effective references</x:v>
      </x:c>
      <x:c r="F415" s="339" t="str">
        <x:v>Selected master/reference values must exist, be active and effective for the transaction date.</x:v>
      </x:c>
      <x:c r="G415" s="339" t="str">
        <x:v>One or more selected values are no longer valid. Refresh and try again.</x:v>
      </x:c>
      <x:c r="H415" s="339" t="str">
        <x:v>On submit</x:v>
      </x:c>
      <x:c r="I415" s="339" t="str">
        <x:v>Yes</x:v>
      </x:c>
    </x:row>
    <x:row r="416">
      <x:c r="A416" s="339" t="str">
        <x:v>VAL-00415</x:v>
      </x:c>
      <x:c r="B416" s="339" t="str">
        <x:v>SCR-176</x:v>
      </x:c>
      <x:c r="C416" s="339" t="str">
        <x:v>HR / Leave / Payroll</x:v>
      </x:c>
      <x:c r="D416" s="339" t="str">
        <x:v>Interview Schedule</x:v>
      </x:c>
      <x:c r="E416" s="339" t="str">
        <x:v>Authorization &amp; scope</x:v>
      </x:c>
      <x:c r="F416" s="339" t="str">
        <x:v>User must have permission for the screen/action and the target record must be inside tenant/school/branch/class scope.</x:v>
      </x:c>
      <x:c r="G416" s="339" t="str">
        <x:v>You do not have permission to perform this action.</x:v>
      </x:c>
      <x:c r="H416" s="339" t="str">
        <x:v>On load and submit</x:v>
      </x:c>
      <x:c r="I416" s="339" t="str">
        <x:v>Yes</x:v>
      </x:c>
    </x:row>
    <x:row r="417">
      <x:c r="A417" s="339" t="str">
        <x:v>VAL-00416</x:v>
      </x:c>
      <x:c r="B417" s="339" t="str">
        <x:v>SCR-176</x:v>
      </x:c>
      <x:c r="C417" s="339" t="str">
        <x:v>HR / Leave / Payroll</x:v>
      </x:c>
      <x:c r="D417" s="339" t="str">
        <x:v>Interview Schedule</x:v>
      </x:c>
      <x:c r="E417" s="339" t="str">
        <x:v>Required/effective references</x:v>
      </x:c>
      <x:c r="F417" s="339" t="str">
        <x:v>Selected master/reference values must exist, be active and effective for the transaction date.</x:v>
      </x:c>
      <x:c r="G417" s="339" t="str">
        <x:v>One or more selected values are no longer valid. Refresh and try again.</x:v>
      </x:c>
      <x:c r="H417" s="339" t="str">
        <x:v>On submit</x:v>
      </x:c>
      <x:c r="I417" s="339" t="str">
        <x:v>Yes</x:v>
      </x:c>
    </x:row>
    <x:row r="418">
      <x:c r="A418" s="339" t="str">
        <x:v>VAL-00417</x:v>
      </x:c>
      <x:c r="B418" s="339" t="str">
        <x:v>SCR-177</x:v>
      </x:c>
      <x:c r="C418" s="339" t="str">
        <x:v>HR / Leave / Payroll</x:v>
      </x:c>
      <x:c r="D418" s="339" t="str">
        <x:v>Offer &amp; Appointment</x:v>
      </x:c>
      <x:c r="E418" s="339" t="str">
        <x:v>Authorization &amp; scope</x:v>
      </x:c>
      <x:c r="F418" s="339" t="str">
        <x:v>User must have permission for the screen/action and the target record must be inside tenant/school/branch/class scope.</x:v>
      </x:c>
      <x:c r="G418" s="339" t="str">
        <x:v>You do not have permission to perform this action.</x:v>
      </x:c>
      <x:c r="H418" s="339" t="str">
        <x:v>On load and submit</x:v>
      </x:c>
      <x:c r="I418" s="339" t="str">
        <x:v>Yes</x:v>
      </x:c>
    </x:row>
    <x:row r="419">
      <x:c r="A419" s="339" t="str">
        <x:v>VAL-00418</x:v>
      </x:c>
      <x:c r="B419" s="339" t="str">
        <x:v>SCR-177</x:v>
      </x:c>
      <x:c r="C419" s="339" t="str">
        <x:v>HR / Leave / Payroll</x:v>
      </x:c>
      <x:c r="D419" s="339" t="str">
        <x:v>Offer &amp; Appointment</x:v>
      </x:c>
      <x:c r="E419" s="339" t="str">
        <x:v>Required/effective references</x:v>
      </x:c>
      <x:c r="F419" s="339" t="str">
        <x:v>Selected master/reference values must exist, be active and effective for the transaction date.</x:v>
      </x:c>
      <x:c r="G419" s="339" t="str">
        <x:v>One or more selected values are no longer valid. Refresh and try again.</x:v>
      </x:c>
      <x:c r="H419" s="339" t="str">
        <x:v>On submit</x:v>
      </x:c>
      <x:c r="I419" s="339" t="str">
        <x:v>Yes</x:v>
      </x:c>
    </x:row>
    <x:row r="420">
      <x:c r="A420" s="339" t="str">
        <x:v>VAL-00419</x:v>
      </x:c>
      <x:c r="B420" s="339" t="str">
        <x:v>SCR-178</x:v>
      </x:c>
      <x:c r="C420" s="339" t="str">
        <x:v>HR / Leave / Payroll</x:v>
      </x:c>
      <x:c r="D420" s="339" t="str">
        <x:v>Employee Onboarding Checklist</x:v>
      </x:c>
      <x:c r="E420" s="339" t="str">
        <x:v>Authorization &amp; scope</x:v>
      </x:c>
      <x:c r="F420" s="339" t="str">
        <x:v>User must have permission for the screen/action and the target record must be inside tenant/school/branch/class scope.</x:v>
      </x:c>
      <x:c r="G420" s="339" t="str">
        <x:v>You do not have permission to perform this action.</x:v>
      </x:c>
      <x:c r="H420" s="339" t="str">
        <x:v>On load and submit</x:v>
      </x:c>
      <x:c r="I420" s="339" t="str">
        <x:v>Yes</x:v>
      </x:c>
    </x:row>
    <x:row r="421">
      <x:c r="A421" s="339" t="str">
        <x:v>VAL-00420</x:v>
      </x:c>
      <x:c r="B421" s="339" t="str">
        <x:v>SCR-178</x:v>
      </x:c>
      <x:c r="C421" s="339" t="str">
        <x:v>HR / Leave / Payroll</x:v>
      </x:c>
      <x:c r="D421" s="339" t="str">
        <x:v>Employee Onboarding Checklist</x:v>
      </x:c>
      <x:c r="E421" s="339" t="str">
        <x:v>Required/effective references</x:v>
      </x:c>
      <x:c r="F421" s="339" t="str">
        <x:v>Selected master/reference values must exist, be active and effective for the transaction date.</x:v>
      </x:c>
      <x:c r="G421" s="339" t="str">
        <x:v>One or more selected values are no longer valid. Refresh and try again.</x:v>
      </x:c>
      <x:c r="H421" s="339" t="str">
        <x:v>On submit</x:v>
      </x:c>
      <x:c r="I421" s="339" t="str">
        <x:v>Yes</x:v>
      </x:c>
    </x:row>
    <x:row r="422">
      <x:c r="A422" s="339" t="str">
        <x:v>VAL-00421</x:v>
      </x:c>
      <x:c r="B422" s="339" t="str">
        <x:v>SCR-179</x:v>
      </x:c>
      <x:c r="C422" s="339" t="str">
        <x:v>HR / Leave / Payroll</x:v>
      </x:c>
      <x:c r="D422" s="339" t="str">
        <x:v>Staff Attendance Management</x:v>
      </x:c>
      <x:c r="E422" s="339" t="str">
        <x:v>Authorization &amp; scope</x:v>
      </x:c>
      <x:c r="F422" s="339" t="str">
        <x:v>User must have permission for the screen/action and the target record must be inside tenant/school/branch/class scope.</x:v>
      </x:c>
      <x:c r="G422" s="339" t="str">
        <x:v>You do not have permission to perform this action.</x:v>
      </x:c>
      <x:c r="H422" s="339" t="str">
        <x:v>On load and submit</x:v>
      </x:c>
      <x:c r="I422" s="339" t="str">
        <x:v>Yes</x:v>
      </x:c>
    </x:row>
    <x:row r="423">
      <x:c r="A423" s="339" t="str">
        <x:v>VAL-00422</x:v>
      </x:c>
      <x:c r="B423" s="339" t="str">
        <x:v>SCR-179</x:v>
      </x:c>
      <x:c r="C423" s="339" t="str">
        <x:v>HR / Leave / Payroll</x:v>
      </x:c>
      <x:c r="D423" s="339" t="str">
        <x:v>Staff Attendance Management</x:v>
      </x:c>
      <x:c r="E423" s="339" t="str">
        <x:v>Required/effective references</x:v>
      </x:c>
      <x:c r="F423" s="339" t="str">
        <x:v>Selected master/reference values must exist, be active and effective for the transaction date.</x:v>
      </x:c>
      <x:c r="G423" s="339" t="str">
        <x:v>One or more selected values are no longer valid. Refresh and try again.</x:v>
      </x:c>
      <x:c r="H423" s="339" t="str">
        <x:v>On submit</x:v>
      </x:c>
      <x:c r="I423" s="339" t="str">
        <x:v>Yes</x:v>
      </x:c>
    </x:row>
    <x:row r="424">
      <x:c r="A424" s="339" t="str">
        <x:v>VAL-00423</x:v>
      </x:c>
      <x:c r="B424" s="339" t="str">
        <x:v>SCR-180</x:v>
      </x:c>
      <x:c r="C424" s="339" t="str">
        <x:v>HR / Leave / Payroll</x:v>
      </x:c>
      <x:c r="D424" s="339" t="str">
        <x:v>Leave Policies</x:v>
      </x:c>
      <x:c r="E424" s="339" t="str">
        <x:v>Authorization &amp; scope</x:v>
      </x:c>
      <x:c r="F424" s="339" t="str">
        <x:v>User must have permission for the screen/action and the target record must be inside tenant/school/branch/class scope.</x:v>
      </x:c>
      <x:c r="G424" s="339" t="str">
        <x:v>You do not have permission to perform this action.</x:v>
      </x:c>
      <x:c r="H424" s="339" t="str">
        <x:v>On load and submit</x:v>
      </x:c>
      <x:c r="I424" s="339" t="str">
        <x:v>Yes</x:v>
      </x:c>
    </x:row>
    <x:row r="425">
      <x:c r="A425" s="339" t="str">
        <x:v>VAL-00424</x:v>
      </x:c>
      <x:c r="B425" s="339" t="str">
        <x:v>SCR-180</x:v>
      </x:c>
      <x:c r="C425" s="339" t="str">
        <x:v>HR / Leave / Payroll</x:v>
      </x:c>
      <x:c r="D425" s="339" t="str">
        <x:v>Leave Policies</x:v>
      </x:c>
      <x:c r="E425" s="339" t="str">
        <x:v>Required/effective references</x:v>
      </x:c>
      <x:c r="F425" s="339" t="str">
        <x:v>Selected master/reference values must exist, be active and effective for the transaction date.</x:v>
      </x:c>
      <x:c r="G425" s="339" t="str">
        <x:v>One or more selected values are no longer valid. Refresh and try again.</x:v>
      </x:c>
      <x:c r="H425" s="339" t="str">
        <x:v>On submit</x:v>
      </x:c>
      <x:c r="I425" s="339" t="str">
        <x:v>Yes</x:v>
      </x:c>
    </x:row>
    <x:row r="426">
      <x:c r="A426" s="339" t="str">
        <x:v>VAL-00425</x:v>
      </x:c>
      <x:c r="B426" s="339" t="str">
        <x:v>SCR-181</x:v>
      </x:c>
      <x:c r="C426" s="339" t="str">
        <x:v>HR / Leave / Payroll</x:v>
      </x:c>
      <x:c r="D426" s="339" t="str">
        <x:v>Staff Leave Requests</x:v>
      </x:c>
      <x:c r="E426" s="339" t="str">
        <x:v>Authorization &amp; scope</x:v>
      </x:c>
      <x:c r="F426" s="339" t="str">
        <x:v>User must have permission for the screen/action and the target record must be inside tenant/school/branch/class scope.</x:v>
      </x:c>
      <x:c r="G426" s="339" t="str">
        <x:v>You do not have permission to perform this action.</x:v>
      </x:c>
      <x:c r="H426" s="339" t="str">
        <x:v>On load and submit</x:v>
      </x:c>
      <x:c r="I426" s="339" t="str">
        <x:v>Yes</x:v>
      </x:c>
    </x:row>
    <x:row r="427">
      <x:c r="A427" s="339" t="str">
        <x:v>VAL-00426</x:v>
      </x:c>
      <x:c r="B427" s="339" t="str">
        <x:v>SCR-181</x:v>
      </x:c>
      <x:c r="C427" s="339" t="str">
        <x:v>HR / Leave / Payroll</x:v>
      </x:c>
      <x:c r="D427" s="339" t="str">
        <x:v>Staff Leave Requests</x:v>
      </x:c>
      <x:c r="E427" s="339" t="str">
        <x:v>Required/effective references</x:v>
      </x:c>
      <x:c r="F427" s="339" t="str">
        <x:v>Selected master/reference values must exist, be active and effective for the transaction date.</x:v>
      </x:c>
      <x:c r="G427" s="339" t="str">
        <x:v>One or more selected values are no longer valid. Refresh and try again.</x:v>
      </x:c>
      <x:c r="H427" s="339" t="str">
        <x:v>On submit</x:v>
      </x:c>
      <x:c r="I427" s="339" t="str">
        <x:v>Yes</x:v>
      </x:c>
    </x:row>
    <x:row r="428">
      <x:c r="A428" s="339" t="str">
        <x:v>VAL-00427</x:v>
      </x:c>
      <x:c r="B428" s="339" t="str">
        <x:v>SCR-182</x:v>
      </x:c>
      <x:c r="C428" s="339" t="str">
        <x:v>HR / Leave / Payroll</x:v>
      </x:c>
      <x:c r="D428" s="339" t="str">
        <x:v>Leave Approval</x:v>
      </x:c>
      <x:c r="E428" s="339" t="str">
        <x:v>Authorization &amp; scope</x:v>
      </x:c>
      <x:c r="F428" s="339" t="str">
        <x:v>User must have permission for the screen/action and the target record must be inside tenant/school/branch/class scope.</x:v>
      </x:c>
      <x:c r="G428" s="339" t="str">
        <x:v>You do not have permission to perform this action.</x:v>
      </x:c>
      <x:c r="H428" s="339" t="str">
        <x:v>On load and submit</x:v>
      </x:c>
      <x:c r="I428" s="339" t="str">
        <x:v>Yes</x:v>
      </x:c>
    </x:row>
    <x:row r="429">
      <x:c r="A429" s="339" t="str">
        <x:v>VAL-00428</x:v>
      </x:c>
      <x:c r="B429" s="339" t="str">
        <x:v>SCR-182</x:v>
      </x:c>
      <x:c r="C429" s="339" t="str">
        <x:v>HR / Leave / Payroll</x:v>
      </x:c>
      <x:c r="D429" s="339" t="str">
        <x:v>Leave Approval</x:v>
      </x:c>
      <x:c r="E429" s="339" t="str">
        <x:v>Required/effective references</x:v>
      </x:c>
      <x:c r="F429" s="339" t="str">
        <x:v>Selected master/reference values must exist, be active and effective for the transaction date.</x:v>
      </x:c>
      <x:c r="G429" s="339" t="str">
        <x:v>One or more selected values are no longer valid. Refresh and try again.</x:v>
      </x:c>
      <x:c r="H429" s="339" t="str">
        <x:v>On submit</x:v>
      </x:c>
      <x:c r="I429" s="339" t="str">
        <x:v>Yes</x:v>
      </x:c>
    </x:row>
    <x:row r="430">
      <x:c r="A430" s="339" t="str">
        <x:v>VAL-00429</x:v>
      </x:c>
      <x:c r="B430" s="339" t="str">
        <x:v>SCR-183</x:v>
      </x:c>
      <x:c r="C430" s="339" t="str">
        <x:v>HR / Leave / Payroll</x:v>
      </x:c>
      <x:c r="D430" s="339" t="str">
        <x:v>Payroll Setup</x:v>
      </x:c>
      <x:c r="E430" s="339" t="str">
        <x:v>Authorization &amp; scope</x:v>
      </x:c>
      <x:c r="F430" s="339" t="str">
        <x:v>User must have permission for the screen/action and the target record must be inside tenant/school/branch/class scope.</x:v>
      </x:c>
      <x:c r="G430" s="339" t="str">
        <x:v>You do not have permission to perform this action.</x:v>
      </x:c>
      <x:c r="H430" s="339" t="str">
        <x:v>On load and submit</x:v>
      </x:c>
      <x:c r="I430" s="339" t="str">
        <x:v>Yes</x:v>
      </x:c>
    </x:row>
    <x:row r="431">
      <x:c r="A431" s="339" t="str">
        <x:v>VAL-00430</x:v>
      </x:c>
      <x:c r="B431" s="339" t="str">
        <x:v>SCR-183</x:v>
      </x:c>
      <x:c r="C431" s="339" t="str">
        <x:v>HR / Leave / Payroll</x:v>
      </x:c>
      <x:c r="D431" s="339" t="str">
        <x:v>Payroll Setup</x:v>
      </x:c>
      <x:c r="E431" s="339" t="str">
        <x:v>Required/effective references</x:v>
      </x:c>
      <x:c r="F431" s="339" t="str">
        <x:v>Selected master/reference values must exist, be active and effective for the transaction date.</x:v>
      </x:c>
      <x:c r="G431" s="339" t="str">
        <x:v>One or more selected values are no longer valid. Refresh and try again.</x:v>
      </x:c>
      <x:c r="H431" s="339" t="str">
        <x:v>On submit</x:v>
      </x:c>
      <x:c r="I431" s="339" t="str">
        <x:v>Yes</x:v>
      </x:c>
    </x:row>
    <x:row r="432">
      <x:c r="A432" s="339" t="str">
        <x:v>VAL-00431</x:v>
      </x:c>
      <x:c r="B432" s="339" t="str">
        <x:v>SCR-184</x:v>
      </x:c>
      <x:c r="C432" s="339" t="str">
        <x:v>HR / Leave / Payroll</x:v>
      </x:c>
      <x:c r="D432" s="339" t="str">
        <x:v>Payroll Processing</x:v>
      </x:c>
      <x:c r="E432" s="339" t="str">
        <x:v>Authorization &amp; scope</x:v>
      </x:c>
      <x:c r="F432" s="339" t="str">
        <x:v>User must have permission for the screen/action and the target record must be inside tenant/school/branch/class scope.</x:v>
      </x:c>
      <x:c r="G432" s="339" t="str">
        <x:v>You do not have permission to perform this action.</x:v>
      </x:c>
      <x:c r="H432" s="339" t="str">
        <x:v>On load and submit</x:v>
      </x:c>
      <x:c r="I432" s="339" t="str">
        <x:v>Yes</x:v>
      </x:c>
    </x:row>
    <x:row r="433">
      <x:c r="A433" s="339" t="str">
        <x:v>VAL-00432</x:v>
      </x:c>
      <x:c r="B433" s="339" t="str">
        <x:v>SCR-184</x:v>
      </x:c>
      <x:c r="C433" s="339" t="str">
        <x:v>HR / Leave / Payroll</x:v>
      </x:c>
      <x:c r="D433" s="339" t="str">
        <x:v>Payroll Processing</x:v>
      </x:c>
      <x:c r="E433" s="339" t="str">
        <x:v>Required/effective references</x:v>
      </x:c>
      <x:c r="F433" s="339" t="str">
        <x:v>Selected master/reference values must exist, be active and effective for the transaction date.</x:v>
      </x:c>
      <x:c r="G433" s="339" t="str">
        <x:v>One or more selected values are no longer valid. Refresh and try again.</x:v>
      </x:c>
      <x:c r="H433" s="339" t="str">
        <x:v>On submit</x:v>
      </x:c>
      <x:c r="I433" s="339" t="str">
        <x:v>Yes</x:v>
      </x:c>
    </x:row>
    <x:row r="434">
      <x:c r="A434" s="339" t="str">
        <x:v>VAL-00433</x:v>
      </x:c>
      <x:c r="B434" s="339" t="str">
        <x:v>SCR-185</x:v>
      </x:c>
      <x:c r="C434" s="339" t="str">
        <x:v>HR / Leave / Payroll</x:v>
      </x:c>
      <x:c r="D434" s="339" t="str">
        <x:v>Payslip &amp; Payroll History</x:v>
      </x:c>
      <x:c r="E434" s="339" t="str">
        <x:v>Authorization &amp; scope</x:v>
      </x:c>
      <x:c r="F434" s="339" t="str">
        <x:v>User must have permission for the screen/action and the target record must be inside tenant/school/branch/class scope.</x:v>
      </x:c>
      <x:c r="G434" s="339" t="str">
        <x:v>You do not have permission to perform this action.</x:v>
      </x:c>
      <x:c r="H434" s="339" t="str">
        <x:v>On load and submit</x:v>
      </x:c>
      <x:c r="I434" s="339" t="str">
        <x:v>Yes</x:v>
      </x:c>
    </x:row>
    <x:row r="435">
      <x:c r="A435" s="339" t="str">
        <x:v>VAL-00434</x:v>
      </x:c>
      <x:c r="B435" s="339" t="str">
        <x:v>SCR-185</x:v>
      </x:c>
      <x:c r="C435" s="339" t="str">
        <x:v>HR / Leave / Payroll</x:v>
      </x:c>
      <x:c r="D435" s="339" t="str">
        <x:v>Payslip &amp; Payroll History</x:v>
      </x:c>
      <x:c r="E435" s="339" t="str">
        <x:v>Required/effective references</x:v>
      </x:c>
      <x:c r="F435" s="339" t="str">
        <x:v>Selected master/reference values must exist, be active and effective for the transaction date.</x:v>
      </x:c>
      <x:c r="G435" s="339" t="str">
        <x:v>One or more selected values are no longer valid. Refresh and try again.</x:v>
      </x:c>
      <x:c r="H435" s="339" t="str">
        <x:v>On submit</x:v>
      </x:c>
      <x:c r="I435" s="339" t="str">
        <x:v>Yes</x:v>
      </x:c>
    </x:row>
    <x:row r="436">
      <x:c r="A436" s="339" t="str">
        <x:v>VAL-00435</x:v>
      </x:c>
      <x:c r="B436" s="339" t="str">
        <x:v>SCR-186</x:v>
      </x:c>
      <x:c r="C436" s="339" t="str">
        <x:v>Transport / Bus / GPS</x:v>
      </x:c>
      <x:c r="D436" s="339" t="str">
        <x:v>Vehicles</x:v>
      </x:c>
      <x:c r="E436" s="339" t="str">
        <x:v>Authorization &amp; scope</x:v>
      </x:c>
      <x:c r="F436" s="339" t="str">
        <x:v>User must have permission for the screen/action and the target record must be inside tenant/school/branch/class scope.</x:v>
      </x:c>
      <x:c r="G436" s="339" t="str">
        <x:v>You do not have permission to perform this action.</x:v>
      </x:c>
      <x:c r="H436" s="339" t="str">
        <x:v>On load and submit</x:v>
      </x:c>
      <x:c r="I436" s="339" t="str">
        <x:v>Yes</x:v>
      </x:c>
    </x:row>
    <x:row r="437">
      <x:c r="A437" s="339" t="str">
        <x:v>VAL-00436</x:v>
      </x:c>
      <x:c r="B437" s="339" t="str">
        <x:v>SCR-186</x:v>
      </x:c>
      <x:c r="C437" s="339" t="str">
        <x:v>Transport / Bus / GPS</x:v>
      </x:c>
      <x:c r="D437" s="339" t="str">
        <x:v>Vehicles</x:v>
      </x:c>
      <x:c r="E437" s="339" t="str">
        <x:v>Required/effective references</x:v>
      </x:c>
      <x:c r="F437" s="339" t="str">
        <x:v>Selected master/reference values must exist, be active and effective for the transaction date.</x:v>
      </x:c>
      <x:c r="G437" s="339" t="str">
        <x:v>One or more selected values are no longer valid. Refresh and try again.</x:v>
      </x:c>
      <x:c r="H437" s="339" t="str">
        <x:v>On submit</x:v>
      </x:c>
      <x:c r="I437" s="339" t="str">
        <x:v>Yes</x:v>
      </x:c>
    </x:row>
    <x:row r="438">
      <x:c r="A438" s="339" t="str">
        <x:v>VAL-00437</x:v>
      </x:c>
      <x:c r="B438" s="339" t="str">
        <x:v>SCR-187</x:v>
      </x:c>
      <x:c r="C438" s="339" t="str">
        <x:v>Transport / Bus / GPS</x:v>
      </x:c>
      <x:c r="D438" s="339" t="str">
        <x:v>Add / Edit Vehicle</x:v>
      </x:c>
      <x:c r="E438" s="339" t="str">
        <x:v>Authorization &amp; scope</x:v>
      </x:c>
      <x:c r="F438" s="339" t="str">
        <x:v>User must have permission for the screen/action and the target record must be inside tenant/school/branch/class scope.</x:v>
      </x:c>
      <x:c r="G438" s="339" t="str">
        <x:v>You do not have permission to perform this action.</x:v>
      </x:c>
      <x:c r="H438" s="339" t="str">
        <x:v>On load and submit</x:v>
      </x:c>
      <x:c r="I438" s="339" t="str">
        <x:v>Yes</x:v>
      </x:c>
    </x:row>
    <x:row r="439">
      <x:c r="A439" s="339" t="str">
        <x:v>VAL-00438</x:v>
      </x:c>
      <x:c r="B439" s="339" t="str">
        <x:v>SCR-187</x:v>
      </x:c>
      <x:c r="C439" s="339" t="str">
        <x:v>Transport / Bus / GPS</x:v>
      </x:c>
      <x:c r="D439" s="339" t="str">
        <x:v>Add / Edit Vehicle</x:v>
      </x:c>
      <x:c r="E439" s="339" t="str">
        <x:v>Required/effective references</x:v>
      </x:c>
      <x:c r="F439" s="339" t="str">
        <x:v>Selected master/reference values must exist, be active and effective for the transaction date.</x:v>
      </x:c>
      <x:c r="G439" s="339" t="str">
        <x:v>One or more selected values are no longer valid. Refresh and try again.</x:v>
      </x:c>
      <x:c r="H439" s="339" t="str">
        <x:v>On submit</x:v>
      </x:c>
      <x:c r="I439" s="339" t="str">
        <x:v>Yes</x:v>
      </x:c>
    </x:row>
    <x:row r="440">
      <x:c r="A440" s="339" t="str">
        <x:v>VAL-00439</x:v>
      </x:c>
      <x:c r="B440" s="339" t="str">
        <x:v>SCR-188</x:v>
      </x:c>
      <x:c r="C440" s="339" t="str">
        <x:v>Transport / Bus / GPS</x:v>
      </x:c>
      <x:c r="D440" s="339" t="str">
        <x:v>Vehicle Details</x:v>
      </x:c>
      <x:c r="E440" s="339" t="str">
        <x:v>Authorization &amp; scope</x:v>
      </x:c>
      <x:c r="F440" s="339" t="str">
        <x:v>User must have permission for the screen/action and the target record must be inside tenant/school/branch/class scope.</x:v>
      </x:c>
      <x:c r="G440" s="339" t="str">
        <x:v>You do not have permission to perform this action.</x:v>
      </x:c>
      <x:c r="H440" s="339" t="str">
        <x:v>On load and submit</x:v>
      </x:c>
      <x:c r="I440" s="339" t="str">
        <x:v>Yes</x:v>
      </x:c>
    </x:row>
    <x:row r="441">
      <x:c r="A441" s="339" t="str">
        <x:v>VAL-00440</x:v>
      </x:c>
      <x:c r="B441" s="339" t="str">
        <x:v>SCR-188</x:v>
      </x:c>
      <x:c r="C441" s="339" t="str">
        <x:v>Transport / Bus / GPS</x:v>
      </x:c>
      <x:c r="D441" s="339" t="str">
        <x:v>Vehicle Details</x:v>
      </x:c>
      <x:c r="E441" s="339" t="str">
        <x:v>Required/effective references</x:v>
      </x:c>
      <x:c r="F441" s="339" t="str">
        <x:v>Selected master/reference values must exist, be active and effective for the transaction date.</x:v>
      </x:c>
      <x:c r="G441" s="339" t="str">
        <x:v>One or more selected values are no longer valid. Refresh and try again.</x:v>
      </x:c>
      <x:c r="H441" s="339" t="str">
        <x:v>On submit</x:v>
      </x:c>
      <x:c r="I441" s="339" t="str">
        <x:v>Yes</x:v>
      </x:c>
    </x:row>
    <x:row r="442">
      <x:c r="A442" s="339" t="str">
        <x:v>VAL-00441</x:v>
      </x:c>
      <x:c r="B442" s="339" t="str">
        <x:v>SCR-189</x:v>
      </x:c>
      <x:c r="C442" s="339" t="str">
        <x:v>Transport / Bus / GPS</x:v>
      </x:c>
      <x:c r="D442" s="339" t="str">
        <x:v>Routes</x:v>
      </x:c>
      <x:c r="E442" s="339" t="str">
        <x:v>Authorization &amp; scope</x:v>
      </x:c>
      <x:c r="F442" s="339" t="str">
        <x:v>User must have permission for the screen/action and the target record must be inside tenant/school/branch/class scope.</x:v>
      </x:c>
      <x:c r="G442" s="339" t="str">
        <x:v>You do not have permission to perform this action.</x:v>
      </x:c>
      <x:c r="H442" s="339" t="str">
        <x:v>On load and submit</x:v>
      </x:c>
      <x:c r="I442" s="339" t="str">
        <x:v>Yes</x:v>
      </x:c>
    </x:row>
    <x:row r="443">
      <x:c r="A443" s="339" t="str">
        <x:v>VAL-00442</x:v>
      </x:c>
      <x:c r="B443" s="339" t="str">
        <x:v>SCR-189</x:v>
      </x:c>
      <x:c r="C443" s="339" t="str">
        <x:v>Transport / Bus / GPS</x:v>
      </x:c>
      <x:c r="D443" s="339" t="str">
        <x:v>Routes</x:v>
      </x:c>
      <x:c r="E443" s="339" t="str">
        <x:v>Required/effective references</x:v>
      </x:c>
      <x:c r="F443" s="339" t="str">
        <x:v>Selected master/reference values must exist, be active and effective for the transaction date.</x:v>
      </x:c>
      <x:c r="G443" s="339" t="str">
        <x:v>One or more selected values are no longer valid. Refresh and try again.</x:v>
      </x:c>
      <x:c r="H443" s="339" t="str">
        <x:v>On submit</x:v>
      </x:c>
      <x:c r="I443" s="339" t="str">
        <x:v>Yes</x:v>
      </x:c>
    </x:row>
    <x:row r="444">
      <x:c r="A444" s="339" t="str">
        <x:v>VAL-00443</x:v>
      </x:c>
      <x:c r="B444" s="339" t="str">
        <x:v>SCR-190</x:v>
      </x:c>
      <x:c r="C444" s="339" t="str">
        <x:v>Transport / Bus / GPS</x:v>
      </x:c>
      <x:c r="D444" s="339" t="str">
        <x:v>Create / Edit Route</x:v>
      </x:c>
      <x:c r="E444" s="339" t="str">
        <x:v>Authorization &amp; scope</x:v>
      </x:c>
      <x:c r="F444" s="339" t="str">
        <x:v>User must have permission for the screen/action and the target record must be inside tenant/school/branch/class scope.</x:v>
      </x:c>
      <x:c r="G444" s="339" t="str">
        <x:v>You do not have permission to perform this action.</x:v>
      </x:c>
      <x:c r="H444" s="339" t="str">
        <x:v>On load and submit</x:v>
      </x:c>
      <x:c r="I444" s="339" t="str">
        <x:v>Yes</x:v>
      </x:c>
    </x:row>
    <x:row r="445">
      <x:c r="A445" s="339" t="str">
        <x:v>VAL-00444</x:v>
      </x:c>
      <x:c r="B445" s="339" t="str">
        <x:v>SCR-190</x:v>
      </x:c>
      <x:c r="C445" s="339" t="str">
        <x:v>Transport / Bus / GPS</x:v>
      </x:c>
      <x:c r="D445" s="339" t="str">
        <x:v>Create / Edit Route</x:v>
      </x:c>
      <x:c r="E445" s="339" t="str">
        <x:v>Required/effective references</x:v>
      </x:c>
      <x:c r="F445" s="339" t="str">
        <x:v>Selected master/reference values must exist, be active and effective for the transaction date.</x:v>
      </x:c>
      <x:c r="G445" s="339" t="str">
        <x:v>One or more selected values are no longer valid. Refresh and try again.</x:v>
      </x:c>
      <x:c r="H445" s="339" t="str">
        <x:v>On submit</x:v>
      </x:c>
      <x:c r="I445" s="339" t="str">
        <x:v>Yes</x:v>
      </x:c>
    </x:row>
    <x:row r="446">
      <x:c r="A446" s="339" t="str">
        <x:v>VAL-00445</x:v>
      </x:c>
      <x:c r="B446" s="339" t="str">
        <x:v>SCR-191</x:v>
      </x:c>
      <x:c r="C446" s="339" t="str">
        <x:v>Transport / Bus / GPS</x:v>
      </x:c>
      <x:c r="D446" s="339" t="str">
        <x:v>Stops</x:v>
      </x:c>
      <x:c r="E446" s="339" t="str">
        <x:v>Authorization &amp; scope</x:v>
      </x:c>
      <x:c r="F446" s="339" t="str">
        <x:v>User must have permission for the screen/action and the target record must be inside tenant/school/branch/class scope.</x:v>
      </x:c>
      <x:c r="G446" s="339" t="str">
        <x:v>You do not have permission to perform this action.</x:v>
      </x:c>
      <x:c r="H446" s="339" t="str">
        <x:v>On load and submit</x:v>
      </x:c>
      <x:c r="I446" s="339" t="str">
        <x:v>Yes</x:v>
      </x:c>
    </x:row>
    <x:row r="447">
      <x:c r="A447" s="339" t="str">
        <x:v>VAL-00446</x:v>
      </x:c>
      <x:c r="B447" s="339" t="str">
        <x:v>SCR-191</x:v>
      </x:c>
      <x:c r="C447" s="339" t="str">
        <x:v>Transport / Bus / GPS</x:v>
      </x:c>
      <x:c r="D447" s="339" t="str">
        <x:v>Stops</x:v>
      </x:c>
      <x:c r="E447" s="339" t="str">
        <x:v>Required/effective references</x:v>
      </x:c>
      <x:c r="F447" s="339" t="str">
        <x:v>Selected master/reference values must exist, be active and effective for the transaction date.</x:v>
      </x:c>
      <x:c r="G447" s="339" t="str">
        <x:v>One or more selected values are no longer valid. Refresh and try again.</x:v>
      </x:c>
      <x:c r="H447" s="339" t="str">
        <x:v>On submit</x:v>
      </x:c>
      <x:c r="I447" s="339" t="str">
        <x:v>Yes</x:v>
      </x:c>
    </x:row>
    <x:row r="448">
      <x:c r="A448" s="339" t="str">
        <x:v>VAL-00447</x:v>
      </x:c>
      <x:c r="B448" s="339" t="str">
        <x:v>SCR-192</x:v>
      </x:c>
      <x:c r="C448" s="339" t="str">
        <x:v>Transport / Bus / GPS</x:v>
      </x:c>
      <x:c r="D448" s="339" t="str">
        <x:v>Drivers &amp; Conductors</x:v>
      </x:c>
      <x:c r="E448" s="339" t="str">
        <x:v>Authorization &amp; scope</x:v>
      </x:c>
      <x:c r="F448" s="339" t="str">
        <x:v>User must have permission for the screen/action and the target record must be inside tenant/school/branch/class scope.</x:v>
      </x:c>
      <x:c r="G448" s="339" t="str">
        <x:v>You do not have permission to perform this action.</x:v>
      </x:c>
      <x:c r="H448" s="339" t="str">
        <x:v>On load and submit</x:v>
      </x:c>
      <x:c r="I448" s="339" t="str">
        <x:v>Yes</x:v>
      </x:c>
    </x:row>
    <x:row r="449">
      <x:c r="A449" s="339" t="str">
        <x:v>VAL-00448</x:v>
      </x:c>
      <x:c r="B449" s="339" t="str">
        <x:v>SCR-192</x:v>
      </x:c>
      <x:c r="C449" s="339" t="str">
        <x:v>Transport / Bus / GPS</x:v>
      </x:c>
      <x:c r="D449" s="339" t="str">
        <x:v>Drivers &amp; Conductors</x:v>
      </x:c>
      <x:c r="E449" s="339" t="str">
        <x:v>Required/effective references</x:v>
      </x:c>
      <x:c r="F449" s="339" t="str">
        <x:v>Selected master/reference values must exist, be active and effective for the transaction date.</x:v>
      </x:c>
      <x:c r="G449" s="339" t="str">
        <x:v>One or more selected values are no longer valid. Refresh and try again.</x:v>
      </x:c>
      <x:c r="H449" s="339" t="str">
        <x:v>On submit</x:v>
      </x:c>
      <x:c r="I449" s="339" t="str">
        <x:v>Yes</x:v>
      </x:c>
    </x:row>
    <x:row r="450">
      <x:c r="A450" s="339" t="str">
        <x:v>VAL-00449</x:v>
      </x:c>
      <x:c r="B450" s="339" t="str">
        <x:v>SCR-193</x:v>
      </x:c>
      <x:c r="C450" s="339" t="str">
        <x:v>Transport / Bus / GPS</x:v>
      </x:c>
      <x:c r="D450" s="339" t="str">
        <x:v>Student Route Assignment</x:v>
      </x:c>
      <x:c r="E450" s="339" t="str">
        <x:v>Authorization &amp; scope</x:v>
      </x:c>
      <x:c r="F450" s="339" t="str">
        <x:v>User must have permission for the screen/action and the target record must be inside tenant/school/branch/class scope.</x:v>
      </x:c>
      <x:c r="G450" s="339" t="str">
        <x:v>You do not have permission to perform this action.</x:v>
      </x:c>
      <x:c r="H450" s="339" t="str">
        <x:v>On load and submit</x:v>
      </x:c>
      <x:c r="I450" s="339" t="str">
        <x:v>Yes</x:v>
      </x:c>
    </x:row>
    <x:row r="451">
      <x:c r="A451" s="339" t="str">
        <x:v>VAL-00450</x:v>
      </x:c>
      <x:c r="B451" s="339" t="str">
        <x:v>SCR-193</x:v>
      </x:c>
      <x:c r="C451" s="339" t="str">
        <x:v>Transport / Bus / GPS</x:v>
      </x:c>
      <x:c r="D451" s="339" t="str">
        <x:v>Student Route Assignment</x:v>
      </x:c>
      <x:c r="E451" s="339" t="str">
        <x:v>Required/effective references</x:v>
      </x:c>
      <x:c r="F451" s="339" t="str">
        <x:v>Selected master/reference values must exist, be active and effective for the transaction date.</x:v>
      </x:c>
      <x:c r="G451" s="339" t="str">
        <x:v>One or more selected values are no longer valid. Refresh and try again.</x:v>
      </x:c>
      <x:c r="H451" s="339" t="str">
        <x:v>On submit</x:v>
      </x:c>
      <x:c r="I451" s="339" t="str">
        <x:v>Yes</x:v>
      </x:c>
    </x:row>
    <x:row r="452">
      <x:c r="A452" s="339" t="str">
        <x:v>VAL-00451</x:v>
      </x:c>
      <x:c r="B452" s="339" t="str">
        <x:v>SCR-194</x:v>
      </x:c>
      <x:c r="C452" s="339" t="str">
        <x:v>Transport / Bus / GPS</x:v>
      </x:c>
      <x:c r="D452" s="339" t="str">
        <x:v>Trip Sheet</x:v>
      </x:c>
      <x:c r="E452" s="339" t="str">
        <x:v>Authorization &amp; scope</x:v>
      </x:c>
      <x:c r="F452" s="339" t="str">
        <x:v>User must have permission for the screen/action and the target record must be inside tenant/school/branch/class scope.</x:v>
      </x:c>
      <x:c r="G452" s="339" t="str">
        <x:v>You do not have permission to perform this action.</x:v>
      </x:c>
      <x:c r="H452" s="339" t="str">
        <x:v>On load and submit</x:v>
      </x:c>
      <x:c r="I452" s="339" t="str">
        <x:v>Yes</x:v>
      </x:c>
    </x:row>
    <x:row r="453">
      <x:c r="A453" s="339" t="str">
        <x:v>VAL-00452</x:v>
      </x:c>
      <x:c r="B453" s="339" t="str">
        <x:v>SCR-194</x:v>
      </x:c>
      <x:c r="C453" s="339" t="str">
        <x:v>Transport / Bus / GPS</x:v>
      </x:c>
      <x:c r="D453" s="339" t="str">
        <x:v>Trip Sheet</x:v>
      </x:c>
      <x:c r="E453" s="339" t="str">
        <x:v>Required/effective references</x:v>
      </x:c>
      <x:c r="F453" s="339" t="str">
        <x:v>Selected master/reference values must exist, be active and effective for the transaction date.</x:v>
      </x:c>
      <x:c r="G453" s="339" t="str">
        <x:v>One or more selected values are no longer valid. Refresh and try again.</x:v>
      </x:c>
      <x:c r="H453" s="339" t="str">
        <x:v>On submit</x:v>
      </x:c>
      <x:c r="I453" s="339" t="str">
        <x:v>Yes</x:v>
      </x:c>
    </x:row>
    <x:row r="454">
      <x:c r="A454" s="339" t="str">
        <x:v>VAL-00453</x:v>
      </x:c>
      <x:c r="B454" s="339" t="str">
        <x:v>SCR-195</x:v>
      </x:c>
      <x:c r="C454" s="339" t="str">
        <x:v>Transport / Bus / GPS</x:v>
      </x:c>
      <x:c r="D454" s="339" t="str">
        <x:v>Live GPS Tracking</x:v>
      </x:c>
      <x:c r="E454" s="339" t="str">
        <x:v>Authorization &amp; scope</x:v>
      </x:c>
      <x:c r="F454" s="339" t="str">
        <x:v>User must have permission for the screen/action and the target record must be inside tenant/school/branch/class scope.</x:v>
      </x:c>
      <x:c r="G454" s="339" t="str">
        <x:v>You do not have permission to perform this action.</x:v>
      </x:c>
      <x:c r="H454" s="339" t="str">
        <x:v>On load and submit</x:v>
      </x:c>
      <x:c r="I454" s="339" t="str">
        <x:v>Yes</x:v>
      </x:c>
    </x:row>
    <x:row r="455">
      <x:c r="A455" s="339" t="str">
        <x:v>VAL-00454</x:v>
      </x:c>
      <x:c r="B455" s="339" t="str">
        <x:v>SCR-195</x:v>
      </x:c>
      <x:c r="C455" s="339" t="str">
        <x:v>Transport / Bus / GPS</x:v>
      </x:c>
      <x:c r="D455" s="339" t="str">
        <x:v>Live GPS Tracking</x:v>
      </x:c>
      <x:c r="E455" s="339" t="str">
        <x:v>Required/effective references</x:v>
      </x:c>
      <x:c r="F455" s="339" t="str">
        <x:v>Selected master/reference values must exist, be active and effective for the transaction date.</x:v>
      </x:c>
      <x:c r="G455" s="339" t="str">
        <x:v>One or more selected values are no longer valid. Refresh and try again.</x:v>
      </x:c>
      <x:c r="H455" s="339" t="str">
        <x:v>On submit</x:v>
      </x:c>
      <x:c r="I455" s="339" t="str">
        <x:v>Yes</x:v>
      </x:c>
    </x:row>
    <x:row r="456">
      <x:c r="A456" s="339" t="str">
        <x:v>VAL-00455</x:v>
      </x:c>
      <x:c r="B456" s="339" t="str">
        <x:v>SCR-196</x:v>
      </x:c>
      <x:c r="C456" s="339" t="str">
        <x:v>Transport / Bus / GPS</x:v>
      </x:c>
      <x:c r="D456" s="339" t="str">
        <x:v>Boarding / Drop Attendance</x:v>
      </x:c>
      <x:c r="E456" s="339" t="str">
        <x:v>Authorization &amp; scope</x:v>
      </x:c>
      <x:c r="F456" s="339" t="str">
        <x:v>User must have permission for the screen/action and the target record must be inside tenant/school/branch/class scope.</x:v>
      </x:c>
      <x:c r="G456" s="339" t="str">
        <x:v>You do not have permission to perform this action.</x:v>
      </x:c>
      <x:c r="H456" s="339" t="str">
        <x:v>On load and submit</x:v>
      </x:c>
      <x:c r="I456" s="339" t="str">
        <x:v>Yes</x:v>
      </x:c>
    </x:row>
    <x:row r="457">
      <x:c r="A457" s="339" t="str">
        <x:v>VAL-00456</x:v>
      </x:c>
      <x:c r="B457" s="339" t="str">
        <x:v>SCR-196</x:v>
      </x:c>
      <x:c r="C457" s="339" t="str">
        <x:v>Transport / Bus / GPS</x:v>
      </x:c>
      <x:c r="D457" s="339" t="str">
        <x:v>Boarding / Drop Attendance</x:v>
      </x:c>
      <x:c r="E457" s="339" t="str">
        <x:v>Required/effective references</x:v>
      </x:c>
      <x:c r="F457" s="339" t="str">
        <x:v>Selected master/reference values must exist, be active and effective for the transaction date.</x:v>
      </x:c>
      <x:c r="G457" s="339" t="str">
        <x:v>One or more selected values are no longer valid. Refresh and try again.</x:v>
      </x:c>
      <x:c r="H457" s="339" t="str">
        <x:v>On submit</x:v>
      </x:c>
      <x:c r="I457" s="339" t="str">
        <x:v>Yes</x:v>
      </x:c>
    </x:row>
    <x:row r="458">
      <x:c r="A458" s="339" t="str">
        <x:v>VAL-00457</x:v>
      </x:c>
      <x:c r="B458" s="339" t="str">
        <x:v>SCR-197</x:v>
      </x:c>
      <x:c r="C458" s="339" t="str">
        <x:v>Transport / Bus / GPS</x:v>
      </x:c>
      <x:c r="D458" s="339" t="str">
        <x:v>Vehicle Maintenance &amp; Fuel</x:v>
      </x:c>
      <x:c r="E458" s="339" t="str">
        <x:v>Authorization &amp; scope</x:v>
      </x:c>
      <x:c r="F458" s="339" t="str">
        <x:v>User must have permission for the screen/action and the target record must be inside tenant/school/branch/class scope.</x:v>
      </x:c>
      <x:c r="G458" s="339" t="str">
        <x:v>You do not have permission to perform this action.</x:v>
      </x:c>
      <x:c r="H458" s="339" t="str">
        <x:v>On load and submit</x:v>
      </x:c>
      <x:c r="I458" s="339" t="str">
        <x:v>Yes</x:v>
      </x:c>
    </x:row>
    <x:row r="459">
      <x:c r="A459" s="339" t="str">
        <x:v>VAL-00458</x:v>
      </x:c>
      <x:c r="B459" s="339" t="str">
        <x:v>SCR-197</x:v>
      </x:c>
      <x:c r="C459" s="339" t="str">
        <x:v>Transport / Bus / GPS</x:v>
      </x:c>
      <x:c r="D459" s="339" t="str">
        <x:v>Vehicle Maintenance &amp; Fuel</x:v>
      </x:c>
      <x:c r="E459" s="339" t="str">
        <x:v>Required/effective references</x:v>
      </x:c>
      <x:c r="F459" s="339" t="str">
        <x:v>Selected master/reference values must exist, be active and effective for the transaction date.</x:v>
      </x:c>
      <x:c r="G459" s="339" t="str">
        <x:v>One or more selected values are no longer valid. Refresh and try again.</x:v>
      </x:c>
      <x:c r="H459" s="339" t="str">
        <x:v>On submit</x:v>
      </x:c>
      <x:c r="I459" s="339" t="str">
        <x:v>Yes</x:v>
      </x:c>
    </x:row>
    <x:row r="460">
      <x:c r="A460" s="339" t="str">
        <x:v>VAL-00459</x:v>
      </x:c>
      <x:c r="B460" s="339" t="str">
        <x:v>SCR-198</x:v>
      </x:c>
      <x:c r="C460" s="339" t="str">
        <x:v>Library</x:v>
      </x:c>
      <x:c r="D460" s="339" t="str">
        <x:v>Library Catalogue</x:v>
      </x:c>
      <x:c r="E460" s="339" t="str">
        <x:v>Authorization &amp; scope</x:v>
      </x:c>
      <x:c r="F460" s="339" t="str">
        <x:v>User must have permission for the screen/action and the target record must be inside tenant/school/branch/class scope.</x:v>
      </x:c>
      <x:c r="G460" s="339" t="str">
        <x:v>You do not have permission to perform this action.</x:v>
      </x:c>
      <x:c r="H460" s="339" t="str">
        <x:v>On load and submit</x:v>
      </x:c>
      <x:c r="I460" s="339" t="str">
        <x:v>Yes</x:v>
      </x:c>
    </x:row>
    <x:row r="461">
      <x:c r="A461" s="339" t="str">
        <x:v>VAL-00460</x:v>
      </x:c>
      <x:c r="B461" s="339" t="str">
        <x:v>SCR-198</x:v>
      </x:c>
      <x:c r="C461" s="339" t="str">
        <x:v>Library</x:v>
      </x:c>
      <x:c r="D461" s="339" t="str">
        <x:v>Library Catalogue</x:v>
      </x:c>
      <x:c r="E461" s="339" t="str">
        <x:v>Required/effective references</x:v>
      </x:c>
      <x:c r="F461" s="339" t="str">
        <x:v>Selected master/reference values must exist, be active and effective for the transaction date.</x:v>
      </x:c>
      <x:c r="G461" s="339" t="str">
        <x:v>One or more selected values are no longer valid. Refresh and try again.</x:v>
      </x:c>
      <x:c r="H461" s="339" t="str">
        <x:v>On submit</x:v>
      </x:c>
      <x:c r="I461" s="339" t="str">
        <x:v>Yes</x:v>
      </x:c>
    </x:row>
    <x:row r="462">
      <x:c r="A462" s="339" t="str">
        <x:v>VAL-00461</x:v>
      </x:c>
      <x:c r="B462" s="339" t="str">
        <x:v>SCR-198</x:v>
      </x:c>
      <x:c r="C462" s="339" t="str">
        <x:v>Library</x:v>
      </x:c>
      <x:c r="D462" s="339" t="str">
        <x:v>Library Catalogue</x:v>
      </x:c>
      <x:c r="E462" s="339" t="str">
        <x:v>Copy availability</x:v>
      </x:c>
      <x:c r="F462" s="339" t="str">
        <x:v>Only an available/eligible copy can be issued; borrower limits and overdue restrictions must pass.</x:v>
      </x:c>
      <x:c r="G462" s="339" t="str">
        <x:v>This copy/member is not eligible for issue.</x:v>
      </x:c>
      <x:c r="H462" s="339" t="str">
        <x:v>On issue/renew</x:v>
      </x:c>
      <x:c r="I462" s="339" t="str">
        <x:v>Yes</x:v>
      </x:c>
    </x:row>
    <x:row r="463">
      <x:c r="A463" s="339" t="str">
        <x:v>VAL-00462</x:v>
      </x:c>
      <x:c r="B463" s="339" t="str">
        <x:v>SCR-199</x:v>
      </x:c>
      <x:c r="C463" s="339" t="str">
        <x:v>Library</x:v>
      </x:c>
      <x:c r="D463" s="339" t="str">
        <x:v>Add / Edit Book</x:v>
      </x:c>
      <x:c r="E463" s="339" t="str">
        <x:v>Authorization &amp; scope</x:v>
      </x:c>
      <x:c r="F463" s="339" t="str">
        <x:v>User must have permission for the screen/action and the target record must be inside tenant/school/branch/class scope.</x:v>
      </x:c>
      <x:c r="G463" s="339" t="str">
        <x:v>You do not have permission to perform this action.</x:v>
      </x:c>
      <x:c r="H463" s="339" t="str">
        <x:v>On load and submit</x:v>
      </x:c>
      <x:c r="I463" s="339" t="str">
        <x:v>Yes</x:v>
      </x:c>
    </x:row>
    <x:row r="464">
      <x:c r="A464" s="339" t="str">
        <x:v>VAL-00463</x:v>
      </x:c>
      <x:c r="B464" s="339" t="str">
        <x:v>SCR-199</x:v>
      </x:c>
      <x:c r="C464" s="339" t="str">
        <x:v>Library</x:v>
      </x:c>
      <x:c r="D464" s="339" t="str">
        <x:v>Add / Edit Book</x:v>
      </x:c>
      <x:c r="E464" s="339" t="str">
        <x:v>Required/effective references</x:v>
      </x:c>
      <x:c r="F464" s="339" t="str">
        <x:v>Selected master/reference values must exist, be active and effective for the transaction date.</x:v>
      </x:c>
      <x:c r="G464" s="339" t="str">
        <x:v>One or more selected values are no longer valid. Refresh and try again.</x:v>
      </x:c>
      <x:c r="H464" s="339" t="str">
        <x:v>On submit</x:v>
      </x:c>
      <x:c r="I464" s="339" t="str">
        <x:v>Yes</x:v>
      </x:c>
    </x:row>
    <x:row r="465">
      <x:c r="A465" s="339" t="str">
        <x:v>VAL-00464</x:v>
      </x:c>
      <x:c r="B465" s="339" t="str">
        <x:v>SCR-199</x:v>
      </x:c>
      <x:c r="C465" s="339" t="str">
        <x:v>Library</x:v>
      </x:c>
      <x:c r="D465" s="339" t="str">
        <x:v>Add / Edit Book</x:v>
      </x:c>
      <x:c r="E465" s="339" t="str">
        <x:v>Copy availability</x:v>
      </x:c>
      <x:c r="F465" s="339" t="str">
        <x:v>Only an available/eligible copy can be issued; borrower limits and overdue restrictions must pass.</x:v>
      </x:c>
      <x:c r="G465" s="339" t="str">
        <x:v>This copy/member is not eligible for issue.</x:v>
      </x:c>
      <x:c r="H465" s="339" t="str">
        <x:v>On issue/renew</x:v>
      </x:c>
      <x:c r="I465" s="339" t="str">
        <x:v>Yes</x:v>
      </x:c>
    </x:row>
    <x:row r="466">
      <x:c r="A466" s="339" t="str">
        <x:v>VAL-00465</x:v>
      </x:c>
      <x:c r="B466" s="339" t="str">
        <x:v>SCR-200</x:v>
      </x:c>
      <x:c r="C466" s="339" t="str">
        <x:v>Library</x:v>
      </x:c>
      <x:c r="D466" s="339" t="str">
        <x:v>Book Details &amp; Copies</x:v>
      </x:c>
      <x:c r="E466" s="339" t="str">
        <x:v>Authorization &amp; scope</x:v>
      </x:c>
      <x:c r="F466" s="339" t="str">
        <x:v>User must have permission for the screen/action and the target record must be inside tenant/school/branch/class scope.</x:v>
      </x:c>
      <x:c r="G466" s="339" t="str">
        <x:v>You do not have permission to perform this action.</x:v>
      </x:c>
      <x:c r="H466" s="339" t="str">
        <x:v>On load and submit</x:v>
      </x:c>
      <x:c r="I466" s="339" t="str">
        <x:v>Yes</x:v>
      </x:c>
    </x:row>
    <x:row r="467">
      <x:c r="A467" s="339" t="str">
        <x:v>VAL-00466</x:v>
      </x:c>
      <x:c r="B467" s="339" t="str">
        <x:v>SCR-200</x:v>
      </x:c>
      <x:c r="C467" s="339" t="str">
        <x:v>Library</x:v>
      </x:c>
      <x:c r="D467" s="339" t="str">
        <x:v>Book Details &amp; Copies</x:v>
      </x:c>
      <x:c r="E467" s="339" t="str">
        <x:v>Required/effective references</x:v>
      </x:c>
      <x:c r="F467" s="339" t="str">
        <x:v>Selected master/reference values must exist, be active and effective for the transaction date.</x:v>
      </x:c>
      <x:c r="G467" s="339" t="str">
        <x:v>One or more selected values are no longer valid. Refresh and try again.</x:v>
      </x:c>
      <x:c r="H467" s="339" t="str">
        <x:v>On submit</x:v>
      </x:c>
      <x:c r="I467" s="339" t="str">
        <x:v>Yes</x:v>
      </x:c>
    </x:row>
    <x:row r="468">
      <x:c r="A468" s="339" t="str">
        <x:v>VAL-00467</x:v>
      </x:c>
      <x:c r="B468" s="339" t="str">
        <x:v>SCR-200</x:v>
      </x:c>
      <x:c r="C468" s="339" t="str">
        <x:v>Library</x:v>
      </x:c>
      <x:c r="D468" s="339" t="str">
        <x:v>Book Details &amp; Copies</x:v>
      </x:c>
      <x:c r="E468" s="339" t="str">
        <x:v>Copy availability</x:v>
      </x:c>
      <x:c r="F468" s="339" t="str">
        <x:v>Only an available/eligible copy can be issued; borrower limits and overdue restrictions must pass.</x:v>
      </x:c>
      <x:c r="G468" s="339" t="str">
        <x:v>This copy/member is not eligible for issue.</x:v>
      </x:c>
      <x:c r="H468" s="339" t="str">
        <x:v>On issue/renew</x:v>
      </x:c>
      <x:c r="I468" s="339" t="str">
        <x:v>Yes</x:v>
      </x:c>
    </x:row>
    <x:row r="469">
      <x:c r="A469" s="339" t="str">
        <x:v>VAL-00468</x:v>
      </x:c>
      <x:c r="B469" s="339" t="str">
        <x:v>SCR-201</x:v>
      </x:c>
      <x:c r="C469" s="339" t="str">
        <x:v>Library</x:v>
      </x:c>
      <x:c r="D469" s="339" t="str">
        <x:v>Library Members</x:v>
      </x:c>
      <x:c r="E469" s="339" t="str">
        <x:v>Authorization &amp; scope</x:v>
      </x:c>
      <x:c r="F469" s="339" t="str">
        <x:v>User must have permission for the screen/action and the target record must be inside tenant/school/branch/class scope.</x:v>
      </x:c>
      <x:c r="G469" s="339" t="str">
        <x:v>You do not have permission to perform this action.</x:v>
      </x:c>
      <x:c r="H469" s="339" t="str">
        <x:v>On load and submit</x:v>
      </x:c>
      <x:c r="I469" s="339" t="str">
        <x:v>Yes</x:v>
      </x:c>
    </x:row>
    <x:row r="470">
      <x:c r="A470" s="339" t="str">
        <x:v>VAL-00469</x:v>
      </x:c>
      <x:c r="B470" s="339" t="str">
        <x:v>SCR-201</x:v>
      </x:c>
      <x:c r="C470" s="339" t="str">
        <x:v>Library</x:v>
      </x:c>
      <x:c r="D470" s="339" t="str">
        <x:v>Library Members</x:v>
      </x:c>
      <x:c r="E470" s="339" t="str">
        <x:v>Required/effective references</x:v>
      </x:c>
      <x:c r="F470" s="339" t="str">
        <x:v>Selected master/reference values must exist, be active and effective for the transaction date.</x:v>
      </x:c>
      <x:c r="G470" s="339" t="str">
        <x:v>One or more selected values are no longer valid. Refresh and try again.</x:v>
      </x:c>
      <x:c r="H470" s="339" t="str">
        <x:v>On submit</x:v>
      </x:c>
      <x:c r="I470" s="339" t="str">
        <x:v>Yes</x:v>
      </x:c>
    </x:row>
    <x:row r="471">
      <x:c r="A471" s="339" t="str">
        <x:v>VAL-00470</x:v>
      </x:c>
      <x:c r="B471" s="339" t="str">
        <x:v>SCR-201</x:v>
      </x:c>
      <x:c r="C471" s="339" t="str">
        <x:v>Library</x:v>
      </x:c>
      <x:c r="D471" s="339" t="str">
        <x:v>Library Members</x:v>
      </x:c>
      <x:c r="E471" s="339" t="str">
        <x:v>Copy availability</x:v>
      </x:c>
      <x:c r="F471" s="339" t="str">
        <x:v>Only an available/eligible copy can be issued; borrower limits and overdue restrictions must pass.</x:v>
      </x:c>
      <x:c r="G471" s="339" t="str">
        <x:v>This copy/member is not eligible for issue.</x:v>
      </x:c>
      <x:c r="H471" s="339" t="str">
        <x:v>On issue/renew</x:v>
      </x:c>
      <x:c r="I471" s="339" t="str">
        <x:v>Yes</x:v>
      </x:c>
    </x:row>
    <x:row r="472">
      <x:c r="A472" s="339" t="str">
        <x:v>VAL-00471</x:v>
      </x:c>
      <x:c r="B472" s="339" t="str">
        <x:v>SCR-202</x:v>
      </x:c>
      <x:c r="C472" s="339" t="str">
        <x:v>Library</x:v>
      </x:c>
      <x:c r="D472" s="339" t="str">
        <x:v>Issue Book</x:v>
      </x:c>
      <x:c r="E472" s="339" t="str">
        <x:v>Authorization &amp; scope</x:v>
      </x:c>
      <x:c r="F472" s="339" t="str">
        <x:v>User must have permission for the screen/action and the target record must be inside tenant/school/branch/class scope.</x:v>
      </x:c>
      <x:c r="G472" s="339" t="str">
        <x:v>You do not have permission to perform this action.</x:v>
      </x:c>
      <x:c r="H472" s="339" t="str">
        <x:v>On load and submit</x:v>
      </x:c>
      <x:c r="I472" s="339" t="str">
        <x:v>Yes</x:v>
      </x:c>
    </x:row>
    <x:row r="473">
      <x:c r="A473" s="339" t="str">
        <x:v>VAL-00472</x:v>
      </x:c>
      <x:c r="B473" s="339" t="str">
        <x:v>SCR-202</x:v>
      </x:c>
      <x:c r="C473" s="339" t="str">
        <x:v>Library</x:v>
      </x:c>
      <x:c r="D473" s="339" t="str">
        <x:v>Issue Book</x:v>
      </x:c>
      <x:c r="E473" s="339" t="str">
        <x:v>Required/effective references</x:v>
      </x:c>
      <x:c r="F473" s="339" t="str">
        <x:v>Selected master/reference values must exist, be active and effective for the transaction date.</x:v>
      </x:c>
      <x:c r="G473" s="339" t="str">
        <x:v>One or more selected values are no longer valid. Refresh and try again.</x:v>
      </x:c>
      <x:c r="H473" s="339" t="str">
        <x:v>On submit</x:v>
      </x:c>
      <x:c r="I473" s="339" t="str">
        <x:v>Yes</x:v>
      </x:c>
    </x:row>
    <x:row r="474">
      <x:c r="A474" s="339" t="str">
        <x:v>VAL-00473</x:v>
      </x:c>
      <x:c r="B474" s="339" t="str">
        <x:v>SCR-202</x:v>
      </x:c>
      <x:c r="C474" s="339" t="str">
        <x:v>Library</x:v>
      </x:c>
      <x:c r="D474" s="339" t="str">
        <x:v>Issue Book</x:v>
      </x:c>
      <x:c r="E474" s="339" t="str">
        <x:v>Copy availability</x:v>
      </x:c>
      <x:c r="F474" s="339" t="str">
        <x:v>Only an available/eligible copy can be issued; borrower limits and overdue restrictions must pass.</x:v>
      </x:c>
      <x:c r="G474" s="339" t="str">
        <x:v>This copy/member is not eligible for issue.</x:v>
      </x:c>
      <x:c r="H474" s="339" t="str">
        <x:v>On issue/renew</x:v>
      </x:c>
      <x:c r="I474" s="339" t="str">
        <x:v>Yes</x:v>
      </x:c>
    </x:row>
    <x:row r="475">
      <x:c r="A475" s="339" t="str">
        <x:v>VAL-00474</x:v>
      </x:c>
      <x:c r="B475" s="339" t="str">
        <x:v>SCR-203</x:v>
      </x:c>
      <x:c r="C475" s="339" t="str">
        <x:v>Library</x:v>
      </x:c>
      <x:c r="D475" s="339" t="str">
        <x:v>Return Book</x:v>
      </x:c>
      <x:c r="E475" s="339" t="str">
        <x:v>Authorization &amp; scope</x:v>
      </x:c>
      <x:c r="F475" s="339" t="str">
        <x:v>User must have permission for the screen/action and the target record must be inside tenant/school/branch/class scope.</x:v>
      </x:c>
      <x:c r="G475" s="339" t="str">
        <x:v>You do not have permission to perform this action.</x:v>
      </x:c>
      <x:c r="H475" s="339" t="str">
        <x:v>On load and submit</x:v>
      </x:c>
      <x:c r="I475" s="339" t="str">
        <x:v>Yes</x:v>
      </x:c>
    </x:row>
    <x:row r="476">
      <x:c r="A476" s="339" t="str">
        <x:v>VAL-00475</x:v>
      </x:c>
      <x:c r="B476" s="339" t="str">
        <x:v>SCR-203</x:v>
      </x:c>
      <x:c r="C476" s="339" t="str">
        <x:v>Library</x:v>
      </x:c>
      <x:c r="D476" s="339" t="str">
        <x:v>Return Book</x:v>
      </x:c>
      <x:c r="E476" s="339" t="str">
        <x:v>Required/effective references</x:v>
      </x:c>
      <x:c r="F476" s="339" t="str">
        <x:v>Selected master/reference values must exist, be active and effective for the transaction date.</x:v>
      </x:c>
      <x:c r="G476" s="339" t="str">
        <x:v>One or more selected values are no longer valid. Refresh and try again.</x:v>
      </x:c>
      <x:c r="H476" s="339" t="str">
        <x:v>On submit</x:v>
      </x:c>
      <x:c r="I476" s="339" t="str">
        <x:v>Yes</x:v>
      </x:c>
    </x:row>
    <x:row r="477">
      <x:c r="A477" s="339" t="str">
        <x:v>VAL-00476</x:v>
      </x:c>
      <x:c r="B477" s="339" t="str">
        <x:v>SCR-203</x:v>
      </x:c>
      <x:c r="C477" s="339" t="str">
        <x:v>Library</x:v>
      </x:c>
      <x:c r="D477" s="339" t="str">
        <x:v>Return Book</x:v>
      </x:c>
      <x:c r="E477" s="339" t="str">
        <x:v>Copy availability</x:v>
      </x:c>
      <x:c r="F477" s="339" t="str">
        <x:v>Only an available/eligible copy can be issued; borrower limits and overdue restrictions must pass.</x:v>
      </x:c>
      <x:c r="G477" s="339" t="str">
        <x:v>This copy/member is not eligible for issue.</x:v>
      </x:c>
      <x:c r="H477" s="339" t="str">
        <x:v>On issue/renew</x:v>
      </x:c>
      <x:c r="I477" s="339" t="str">
        <x:v>Yes</x:v>
      </x:c>
    </x:row>
    <x:row r="478">
      <x:c r="A478" s="339" t="str">
        <x:v>VAL-00477</x:v>
      </x:c>
      <x:c r="B478" s="339" t="str">
        <x:v>SCR-204</x:v>
      </x:c>
      <x:c r="C478" s="339" t="str">
        <x:v>Library</x:v>
      </x:c>
      <x:c r="D478" s="339" t="str">
        <x:v>Renew / Reserve Book</x:v>
      </x:c>
      <x:c r="E478" s="339" t="str">
        <x:v>Authorization &amp; scope</x:v>
      </x:c>
      <x:c r="F478" s="339" t="str">
        <x:v>User must have permission for the screen/action and the target record must be inside tenant/school/branch/class scope.</x:v>
      </x:c>
      <x:c r="G478" s="339" t="str">
        <x:v>You do not have permission to perform this action.</x:v>
      </x:c>
      <x:c r="H478" s="339" t="str">
        <x:v>On load and submit</x:v>
      </x:c>
      <x:c r="I478" s="339" t="str">
        <x:v>Yes</x:v>
      </x:c>
    </x:row>
    <x:row r="479">
      <x:c r="A479" s="339" t="str">
        <x:v>VAL-00478</x:v>
      </x:c>
      <x:c r="B479" s="339" t="str">
        <x:v>SCR-204</x:v>
      </x:c>
      <x:c r="C479" s="339" t="str">
        <x:v>Library</x:v>
      </x:c>
      <x:c r="D479" s="339" t="str">
        <x:v>Renew / Reserve Book</x:v>
      </x:c>
      <x:c r="E479" s="339" t="str">
        <x:v>Required/effective references</x:v>
      </x:c>
      <x:c r="F479" s="339" t="str">
        <x:v>Selected master/reference values must exist, be active and effective for the transaction date.</x:v>
      </x:c>
      <x:c r="G479" s="339" t="str">
        <x:v>One or more selected values are no longer valid. Refresh and try again.</x:v>
      </x:c>
      <x:c r="H479" s="339" t="str">
        <x:v>On submit</x:v>
      </x:c>
      <x:c r="I479" s="339" t="str">
        <x:v>Yes</x:v>
      </x:c>
    </x:row>
    <x:row r="480">
      <x:c r="A480" s="339" t="str">
        <x:v>VAL-00479</x:v>
      </x:c>
      <x:c r="B480" s="339" t="str">
        <x:v>SCR-204</x:v>
      </x:c>
      <x:c r="C480" s="339" t="str">
        <x:v>Library</x:v>
      </x:c>
      <x:c r="D480" s="339" t="str">
        <x:v>Renew / Reserve Book</x:v>
      </x:c>
      <x:c r="E480" s="339" t="str">
        <x:v>Copy availability</x:v>
      </x:c>
      <x:c r="F480" s="339" t="str">
        <x:v>Only an available/eligible copy can be issued; borrower limits and overdue restrictions must pass.</x:v>
      </x:c>
      <x:c r="G480" s="339" t="str">
        <x:v>This copy/member is not eligible for issue.</x:v>
      </x:c>
      <x:c r="H480" s="339" t="str">
        <x:v>On issue/renew</x:v>
      </x:c>
      <x:c r="I480" s="339" t="str">
        <x:v>Yes</x:v>
      </x:c>
    </x:row>
    <x:row r="481">
      <x:c r="A481" s="339" t="str">
        <x:v>VAL-00480</x:v>
      </x:c>
      <x:c r="B481" s="339" t="str">
        <x:v>SCR-205</x:v>
      </x:c>
      <x:c r="C481" s="339" t="str">
        <x:v>Library</x:v>
      </x:c>
      <x:c r="D481" s="339" t="str">
        <x:v>Fine / Lost / Damaged Book</x:v>
      </x:c>
      <x:c r="E481" s="339" t="str">
        <x:v>Authorization &amp; scope</x:v>
      </x:c>
      <x:c r="F481" s="339" t="str">
        <x:v>User must have permission for the screen/action and the target record must be inside tenant/school/branch/class scope.</x:v>
      </x:c>
      <x:c r="G481" s="339" t="str">
        <x:v>You do not have permission to perform this action.</x:v>
      </x:c>
      <x:c r="H481" s="339" t="str">
        <x:v>On load and submit</x:v>
      </x:c>
      <x:c r="I481" s="339" t="str">
        <x:v>Yes</x:v>
      </x:c>
    </x:row>
    <x:row r="482">
      <x:c r="A482" s="339" t="str">
        <x:v>VAL-00481</x:v>
      </x:c>
      <x:c r="B482" s="339" t="str">
        <x:v>SCR-205</x:v>
      </x:c>
      <x:c r="C482" s="339" t="str">
        <x:v>Library</x:v>
      </x:c>
      <x:c r="D482" s="339" t="str">
        <x:v>Fine / Lost / Damaged Book</x:v>
      </x:c>
      <x:c r="E482" s="339" t="str">
        <x:v>Required/effective references</x:v>
      </x:c>
      <x:c r="F482" s="339" t="str">
        <x:v>Selected master/reference values must exist, be active and effective for the transaction date.</x:v>
      </x:c>
      <x:c r="G482" s="339" t="str">
        <x:v>One or more selected values are no longer valid. Refresh and try again.</x:v>
      </x:c>
      <x:c r="H482" s="339" t="str">
        <x:v>On submit</x:v>
      </x:c>
      <x:c r="I482" s="339" t="str">
        <x:v>Yes</x:v>
      </x:c>
    </x:row>
    <x:row r="483">
      <x:c r="A483" s="339" t="str">
        <x:v>VAL-00482</x:v>
      </x:c>
      <x:c r="B483" s="339" t="str">
        <x:v>SCR-205</x:v>
      </x:c>
      <x:c r="C483" s="339" t="str">
        <x:v>Library</x:v>
      </x:c>
      <x:c r="D483" s="339" t="str">
        <x:v>Fine / Lost / Damaged Book</x:v>
      </x:c>
      <x:c r="E483" s="339" t="str">
        <x:v>Copy availability</x:v>
      </x:c>
      <x:c r="F483" s="339" t="str">
        <x:v>Only an available/eligible copy can be issued; borrower limits and overdue restrictions must pass.</x:v>
      </x:c>
      <x:c r="G483" s="339" t="str">
        <x:v>This copy/member is not eligible for issue.</x:v>
      </x:c>
      <x:c r="H483" s="339" t="str">
        <x:v>On issue/renew</x:v>
      </x:c>
      <x:c r="I483" s="339" t="str">
        <x:v>Yes</x:v>
      </x:c>
    </x:row>
    <x:row r="484">
      <x:c r="A484" s="339" t="str">
        <x:v>VAL-00483</x:v>
      </x:c>
      <x:c r="B484" s="339" t="str">
        <x:v>SCR-206</x:v>
      </x:c>
      <x:c r="C484" s="339" t="str">
        <x:v>Library</x:v>
      </x:c>
      <x:c r="D484" s="339" t="str">
        <x:v>Digital Library</x:v>
      </x:c>
      <x:c r="E484" s="339" t="str">
        <x:v>Authorization &amp; scope</x:v>
      </x:c>
      <x:c r="F484" s="339" t="str">
        <x:v>User must have permission for the screen/action and the target record must be inside tenant/school/branch/class scope.</x:v>
      </x:c>
      <x:c r="G484" s="339" t="str">
        <x:v>You do not have permission to perform this action.</x:v>
      </x:c>
      <x:c r="H484" s="339" t="str">
        <x:v>On load and submit</x:v>
      </x:c>
      <x:c r="I484" s="339" t="str">
        <x:v>Yes</x:v>
      </x:c>
    </x:row>
    <x:row r="485">
      <x:c r="A485" s="339" t="str">
        <x:v>VAL-00484</x:v>
      </x:c>
      <x:c r="B485" s="339" t="str">
        <x:v>SCR-206</x:v>
      </x:c>
      <x:c r="C485" s="339" t="str">
        <x:v>Library</x:v>
      </x:c>
      <x:c r="D485" s="339" t="str">
        <x:v>Digital Library</x:v>
      </x:c>
      <x:c r="E485" s="339" t="str">
        <x:v>Required/effective references</x:v>
      </x:c>
      <x:c r="F485" s="339" t="str">
        <x:v>Selected master/reference values must exist, be active and effective for the transaction date.</x:v>
      </x:c>
      <x:c r="G485" s="339" t="str">
        <x:v>One or more selected values are no longer valid. Refresh and try again.</x:v>
      </x:c>
      <x:c r="H485" s="339" t="str">
        <x:v>On submit</x:v>
      </x:c>
      <x:c r="I485" s="339" t="str">
        <x:v>Yes</x:v>
      </x:c>
    </x:row>
    <x:row r="486">
      <x:c r="A486" s="339" t="str">
        <x:v>VAL-00485</x:v>
      </x:c>
      <x:c r="B486" s="339" t="str">
        <x:v>SCR-206</x:v>
      </x:c>
      <x:c r="C486" s="339" t="str">
        <x:v>Library</x:v>
      </x:c>
      <x:c r="D486" s="339" t="str">
        <x:v>Digital Library</x:v>
      </x:c>
      <x:c r="E486" s="339" t="str">
        <x:v>Copy availability</x:v>
      </x:c>
      <x:c r="F486" s="339" t="str">
        <x:v>Only an available/eligible copy can be issued; borrower limits and overdue restrictions must pass.</x:v>
      </x:c>
      <x:c r="G486" s="339" t="str">
        <x:v>This copy/member is not eligible for issue.</x:v>
      </x:c>
      <x:c r="H486" s="339" t="str">
        <x:v>On issue/renew</x:v>
      </x:c>
      <x:c r="I486" s="339" t="str">
        <x:v>Yes</x:v>
      </x:c>
    </x:row>
    <x:row r="487">
      <x:c r="A487" s="339" t="str">
        <x:v>VAL-00486</x:v>
      </x:c>
      <x:c r="B487" s="339" t="str">
        <x:v>SCR-207</x:v>
      </x:c>
      <x:c r="C487" s="339" t="str">
        <x:v>Library</x:v>
      </x:c>
      <x:c r="D487" s="339" t="str">
        <x:v>Library Reports</x:v>
      </x:c>
      <x:c r="E487" s="339" t="str">
        <x:v>Authorization &amp; scope</x:v>
      </x:c>
      <x:c r="F487" s="339" t="str">
        <x:v>User must have permission for the screen/action and the target record must be inside tenant/school/branch/class scope.</x:v>
      </x:c>
      <x:c r="G487" s="339" t="str">
        <x:v>You do not have permission to perform this action.</x:v>
      </x:c>
      <x:c r="H487" s="339" t="str">
        <x:v>On load and submit</x:v>
      </x:c>
      <x:c r="I487" s="339" t="str">
        <x:v>Yes</x:v>
      </x:c>
    </x:row>
    <x:row r="488">
      <x:c r="A488" s="339" t="str">
        <x:v>VAL-00487</x:v>
      </x:c>
      <x:c r="B488" s="339" t="str">
        <x:v>SCR-207</x:v>
      </x:c>
      <x:c r="C488" s="339" t="str">
        <x:v>Library</x:v>
      </x:c>
      <x:c r="D488" s="339" t="str">
        <x:v>Library Reports</x:v>
      </x:c>
      <x:c r="E488" s="339" t="str">
        <x:v>Required/effective references</x:v>
      </x:c>
      <x:c r="F488" s="339" t="str">
        <x:v>Selected master/reference values must exist, be active and effective for the transaction date.</x:v>
      </x:c>
      <x:c r="G488" s="339" t="str">
        <x:v>One or more selected values are no longer valid. Refresh and try again.</x:v>
      </x:c>
      <x:c r="H488" s="339" t="str">
        <x:v>On submit</x:v>
      </x:c>
      <x:c r="I488" s="339" t="str">
        <x:v>Yes</x:v>
      </x:c>
    </x:row>
    <x:row r="489">
      <x:c r="A489" s="339" t="str">
        <x:v>VAL-00488</x:v>
      </x:c>
      <x:c r="B489" s="339" t="str">
        <x:v>SCR-207</x:v>
      </x:c>
      <x:c r="C489" s="339" t="str">
        <x:v>Library</x:v>
      </x:c>
      <x:c r="D489" s="339" t="str">
        <x:v>Library Reports</x:v>
      </x:c>
      <x:c r="E489" s="339" t="str">
        <x:v>Copy availability</x:v>
      </x:c>
      <x:c r="F489" s="339" t="str">
        <x:v>Only an available/eligible copy can be issued; borrower limits and overdue restrictions must pass.</x:v>
      </x:c>
      <x:c r="G489" s="339" t="str">
        <x:v>This copy/member is not eligible for issue.</x:v>
      </x:c>
      <x:c r="H489" s="339" t="str">
        <x:v>On issue/renew</x:v>
      </x:c>
      <x:c r="I489" s="339" t="str">
        <x:v>Yes</x:v>
      </x:c>
    </x:row>
    <x:row r="490">
      <x:c r="A490" s="339" t="str">
        <x:v>VAL-00489</x:v>
      </x:c>
      <x:c r="B490" s="339" t="str">
        <x:v>SCR-208</x:v>
      </x:c>
      <x:c r="C490" s="339" t="str">
        <x:v>Hostel</x:v>
      </x:c>
      <x:c r="D490" s="339" t="str">
        <x:v>Hostels / Buildings</x:v>
      </x:c>
      <x:c r="E490" s="339" t="str">
        <x:v>Authorization &amp; scope</x:v>
      </x:c>
      <x:c r="F490" s="339" t="str">
        <x:v>User must have permission for the screen/action and the target record must be inside tenant/school/branch/class scope.</x:v>
      </x:c>
      <x:c r="G490" s="339" t="str">
        <x:v>You do not have permission to perform this action.</x:v>
      </x:c>
      <x:c r="H490" s="339" t="str">
        <x:v>On load and submit</x:v>
      </x:c>
      <x:c r="I490" s="339" t="str">
        <x:v>Yes</x:v>
      </x:c>
    </x:row>
    <x:row r="491">
      <x:c r="A491" s="339" t="str">
        <x:v>VAL-00490</x:v>
      </x:c>
      <x:c r="B491" s="339" t="str">
        <x:v>SCR-208</x:v>
      </x:c>
      <x:c r="C491" s="339" t="str">
        <x:v>Hostel</x:v>
      </x:c>
      <x:c r="D491" s="339" t="str">
        <x:v>Hostels / Buildings</x:v>
      </x:c>
      <x:c r="E491" s="339" t="str">
        <x:v>Required/effective references</x:v>
      </x:c>
      <x:c r="F491" s="339" t="str">
        <x:v>Selected master/reference values must exist, be active and effective for the transaction date.</x:v>
      </x:c>
      <x:c r="G491" s="339" t="str">
        <x:v>One or more selected values are no longer valid. Refresh and try again.</x:v>
      </x:c>
      <x:c r="H491" s="339" t="str">
        <x:v>On submit</x:v>
      </x:c>
      <x:c r="I491" s="339" t="str">
        <x:v>Yes</x:v>
      </x:c>
    </x:row>
    <x:row r="492">
      <x:c r="A492" s="339" t="str">
        <x:v>VAL-00491</x:v>
      </x:c>
      <x:c r="B492" s="339" t="str">
        <x:v>SCR-209</x:v>
      </x:c>
      <x:c r="C492" s="339" t="str">
        <x:v>Hostel</x:v>
      </x:c>
      <x:c r="D492" s="339" t="str">
        <x:v>Rooms &amp; Beds</x:v>
      </x:c>
      <x:c r="E492" s="339" t="str">
        <x:v>Authorization &amp; scope</x:v>
      </x:c>
      <x:c r="F492" s="339" t="str">
        <x:v>User must have permission for the screen/action and the target record must be inside tenant/school/branch/class scope.</x:v>
      </x:c>
      <x:c r="G492" s="339" t="str">
        <x:v>You do not have permission to perform this action.</x:v>
      </x:c>
      <x:c r="H492" s="339" t="str">
        <x:v>On load and submit</x:v>
      </x:c>
      <x:c r="I492" s="339" t="str">
        <x:v>Yes</x:v>
      </x:c>
    </x:row>
    <x:row r="493">
      <x:c r="A493" s="339" t="str">
        <x:v>VAL-00492</x:v>
      </x:c>
      <x:c r="B493" s="339" t="str">
        <x:v>SCR-209</x:v>
      </x:c>
      <x:c r="C493" s="339" t="str">
        <x:v>Hostel</x:v>
      </x:c>
      <x:c r="D493" s="339" t="str">
        <x:v>Rooms &amp; Beds</x:v>
      </x:c>
      <x:c r="E493" s="339" t="str">
        <x:v>Required/effective references</x:v>
      </x:c>
      <x:c r="F493" s="339" t="str">
        <x:v>Selected master/reference values must exist, be active and effective for the transaction date.</x:v>
      </x:c>
      <x:c r="G493" s="339" t="str">
        <x:v>One or more selected values are no longer valid. Refresh and try again.</x:v>
      </x:c>
      <x:c r="H493" s="339" t="str">
        <x:v>On submit</x:v>
      </x:c>
      <x:c r="I493" s="339" t="str">
        <x:v>Yes</x:v>
      </x:c>
    </x:row>
    <x:row r="494">
      <x:c r="A494" s="339" t="str">
        <x:v>VAL-00493</x:v>
      </x:c>
      <x:c r="B494" s="339" t="str">
        <x:v>SCR-210</x:v>
      </x:c>
      <x:c r="C494" s="339" t="str">
        <x:v>Hostel</x:v>
      </x:c>
      <x:c r="D494" s="339" t="str">
        <x:v>Student Hostel Allocation</x:v>
      </x:c>
      <x:c r="E494" s="339" t="str">
        <x:v>Authorization &amp; scope</x:v>
      </x:c>
      <x:c r="F494" s="339" t="str">
        <x:v>User must have permission for the screen/action and the target record must be inside tenant/school/branch/class scope.</x:v>
      </x:c>
      <x:c r="G494" s="339" t="str">
        <x:v>You do not have permission to perform this action.</x:v>
      </x:c>
      <x:c r="H494" s="339" t="str">
        <x:v>On load and submit</x:v>
      </x:c>
      <x:c r="I494" s="339" t="str">
        <x:v>Yes</x:v>
      </x:c>
    </x:row>
    <x:row r="495">
      <x:c r="A495" s="339" t="str">
        <x:v>VAL-00494</x:v>
      </x:c>
      <x:c r="B495" s="339" t="str">
        <x:v>SCR-210</x:v>
      </x:c>
      <x:c r="C495" s="339" t="str">
        <x:v>Hostel</x:v>
      </x:c>
      <x:c r="D495" s="339" t="str">
        <x:v>Student Hostel Allocation</x:v>
      </x:c>
      <x:c r="E495" s="339" t="str">
        <x:v>Required/effective references</x:v>
      </x:c>
      <x:c r="F495" s="339" t="str">
        <x:v>Selected master/reference values must exist, be active and effective for the transaction date.</x:v>
      </x:c>
      <x:c r="G495" s="339" t="str">
        <x:v>One or more selected values are no longer valid. Refresh and try again.</x:v>
      </x:c>
      <x:c r="H495" s="339" t="str">
        <x:v>On submit</x:v>
      </x:c>
      <x:c r="I495" s="339" t="str">
        <x:v>Yes</x:v>
      </x:c>
    </x:row>
    <x:row r="496">
      <x:c r="A496" s="339" t="str">
        <x:v>VAL-00495</x:v>
      </x:c>
      <x:c r="B496" s="339" t="str">
        <x:v>SCR-211</x:v>
      </x:c>
      <x:c r="C496" s="339" t="str">
        <x:v>Hostel</x:v>
      </x:c>
      <x:c r="D496" s="339" t="str">
        <x:v>Warden Management</x:v>
      </x:c>
      <x:c r="E496" s="339" t="str">
        <x:v>Authorization &amp; scope</x:v>
      </x:c>
      <x:c r="F496" s="339" t="str">
        <x:v>User must have permission for the screen/action and the target record must be inside tenant/school/branch/class scope.</x:v>
      </x:c>
      <x:c r="G496" s="339" t="str">
        <x:v>You do not have permission to perform this action.</x:v>
      </x:c>
      <x:c r="H496" s="339" t="str">
        <x:v>On load and submit</x:v>
      </x:c>
      <x:c r="I496" s="339" t="str">
        <x:v>Yes</x:v>
      </x:c>
    </x:row>
    <x:row r="497">
      <x:c r="A497" s="339" t="str">
        <x:v>VAL-00496</x:v>
      </x:c>
      <x:c r="B497" s="339" t="str">
        <x:v>SCR-211</x:v>
      </x:c>
      <x:c r="C497" s="339" t="str">
        <x:v>Hostel</x:v>
      </x:c>
      <x:c r="D497" s="339" t="str">
        <x:v>Warden Management</x:v>
      </x:c>
      <x:c r="E497" s="339" t="str">
        <x:v>Required/effective references</x:v>
      </x:c>
      <x:c r="F497" s="339" t="str">
        <x:v>Selected master/reference values must exist, be active and effective for the transaction date.</x:v>
      </x:c>
      <x:c r="G497" s="339" t="str">
        <x:v>One or more selected values are no longer valid. Refresh and try again.</x:v>
      </x:c>
      <x:c r="H497" s="339" t="str">
        <x:v>On submit</x:v>
      </x:c>
      <x:c r="I497" s="339" t="str">
        <x:v>Yes</x:v>
      </x:c>
    </x:row>
    <x:row r="498">
      <x:c r="A498" s="339" t="str">
        <x:v>VAL-00497</x:v>
      </x:c>
      <x:c r="B498" s="339" t="str">
        <x:v>SCR-212</x:v>
      </x:c>
      <x:c r="C498" s="339" t="str">
        <x:v>Hostel</x:v>
      </x:c>
      <x:c r="D498" s="339" t="str">
        <x:v>Hostel Attendance</x:v>
      </x:c>
      <x:c r="E498" s="339" t="str">
        <x:v>Authorization &amp; scope</x:v>
      </x:c>
      <x:c r="F498" s="339" t="str">
        <x:v>User must have permission for the screen/action and the target record must be inside tenant/school/branch/class scope.</x:v>
      </x:c>
      <x:c r="G498" s="339" t="str">
        <x:v>You do not have permission to perform this action.</x:v>
      </x:c>
      <x:c r="H498" s="339" t="str">
        <x:v>On load and submit</x:v>
      </x:c>
      <x:c r="I498" s="339" t="str">
        <x:v>Yes</x:v>
      </x:c>
    </x:row>
    <x:row r="499">
      <x:c r="A499" s="339" t="str">
        <x:v>VAL-00498</x:v>
      </x:c>
      <x:c r="B499" s="339" t="str">
        <x:v>SCR-212</x:v>
      </x:c>
      <x:c r="C499" s="339" t="str">
        <x:v>Hostel</x:v>
      </x:c>
      <x:c r="D499" s="339" t="str">
        <x:v>Hostel Attendance</x:v>
      </x:c>
      <x:c r="E499" s="339" t="str">
        <x:v>Required/effective references</x:v>
      </x:c>
      <x:c r="F499" s="339" t="str">
        <x:v>Selected master/reference values must exist, be active and effective for the transaction date.</x:v>
      </x:c>
      <x:c r="G499" s="339" t="str">
        <x:v>One or more selected values are no longer valid. Refresh and try again.</x:v>
      </x:c>
      <x:c r="H499" s="339" t="str">
        <x:v>On submit</x:v>
      </x:c>
      <x:c r="I499" s="339" t="str">
        <x:v>Yes</x:v>
      </x:c>
    </x:row>
    <x:row r="500">
      <x:c r="A500" s="339" t="str">
        <x:v>VAL-00499</x:v>
      </x:c>
      <x:c r="B500" s="339" t="str">
        <x:v>SCR-213</x:v>
      </x:c>
      <x:c r="C500" s="339" t="str">
        <x:v>Hostel</x:v>
      </x:c>
      <x:c r="D500" s="339" t="str">
        <x:v>Leave / Outing</x:v>
      </x:c>
      <x:c r="E500" s="339" t="str">
        <x:v>Authorization &amp; scope</x:v>
      </x:c>
      <x:c r="F500" s="339" t="str">
        <x:v>User must have permission for the screen/action and the target record must be inside tenant/school/branch/class scope.</x:v>
      </x:c>
      <x:c r="G500" s="339" t="str">
        <x:v>You do not have permission to perform this action.</x:v>
      </x:c>
      <x:c r="H500" s="339" t="str">
        <x:v>On load and submit</x:v>
      </x:c>
      <x:c r="I500" s="339" t="str">
        <x:v>Yes</x:v>
      </x:c>
    </x:row>
    <x:row r="501">
      <x:c r="A501" s="339" t="str">
        <x:v>VAL-00500</x:v>
      </x:c>
      <x:c r="B501" s="339" t="str">
        <x:v>SCR-213</x:v>
      </x:c>
      <x:c r="C501" s="339" t="str">
        <x:v>Hostel</x:v>
      </x:c>
      <x:c r="D501" s="339" t="str">
        <x:v>Leave / Outing</x:v>
      </x:c>
      <x:c r="E501" s="339" t="str">
        <x:v>Required/effective references</x:v>
      </x:c>
      <x:c r="F501" s="339" t="str">
        <x:v>Selected master/reference values must exist, be active and effective for the transaction date.</x:v>
      </x:c>
      <x:c r="G501" s="339" t="str">
        <x:v>One or more selected values are no longer valid. Refresh and try again.</x:v>
      </x:c>
      <x:c r="H501" s="339" t="str">
        <x:v>On submit</x:v>
      </x:c>
      <x:c r="I501" s="339" t="str">
        <x:v>Yes</x:v>
      </x:c>
    </x:row>
    <x:row r="502">
      <x:c r="A502" s="339" t="str">
        <x:v>VAL-00501</x:v>
      </x:c>
      <x:c r="B502" s="339" t="str">
        <x:v>SCR-214</x:v>
      </x:c>
      <x:c r="C502" s="339" t="str">
        <x:v>Hostel</x:v>
      </x:c>
      <x:c r="D502" s="339" t="str">
        <x:v>Mess / Meal Schedule</x:v>
      </x:c>
      <x:c r="E502" s="339" t="str">
        <x:v>Authorization &amp; scope</x:v>
      </x:c>
      <x:c r="F502" s="339" t="str">
        <x:v>User must have permission for the screen/action and the target record must be inside tenant/school/branch/class scope.</x:v>
      </x:c>
      <x:c r="G502" s="339" t="str">
        <x:v>You do not have permission to perform this action.</x:v>
      </x:c>
      <x:c r="H502" s="339" t="str">
        <x:v>On load and submit</x:v>
      </x:c>
      <x:c r="I502" s="339" t="str">
        <x:v>Yes</x:v>
      </x:c>
    </x:row>
    <x:row r="503">
      <x:c r="A503" s="339" t="str">
        <x:v>VAL-00502</x:v>
      </x:c>
      <x:c r="B503" s="339" t="str">
        <x:v>SCR-214</x:v>
      </x:c>
      <x:c r="C503" s="339" t="str">
        <x:v>Hostel</x:v>
      </x:c>
      <x:c r="D503" s="339" t="str">
        <x:v>Mess / Meal Schedule</x:v>
      </x:c>
      <x:c r="E503" s="339" t="str">
        <x:v>Required/effective references</x:v>
      </x:c>
      <x:c r="F503" s="339" t="str">
        <x:v>Selected master/reference values must exist, be active and effective for the transaction date.</x:v>
      </x:c>
      <x:c r="G503" s="339" t="str">
        <x:v>One or more selected values are no longer valid. Refresh and try again.</x:v>
      </x:c>
      <x:c r="H503" s="339" t="str">
        <x:v>On submit</x:v>
      </x:c>
      <x:c r="I503" s="339" t="str">
        <x:v>Yes</x:v>
      </x:c>
    </x:row>
    <x:row r="504">
      <x:c r="A504" s="339" t="str">
        <x:v>VAL-00503</x:v>
      </x:c>
      <x:c r="B504" s="339" t="str">
        <x:v>SCR-215</x:v>
      </x:c>
      <x:c r="C504" s="339" t="str">
        <x:v>Hostel</x:v>
      </x:c>
      <x:c r="D504" s="339" t="str">
        <x:v>Hostel Complaints &amp; Fees</x:v>
      </x:c>
      <x:c r="E504" s="339" t="str">
        <x:v>Authorization &amp; scope</x:v>
      </x:c>
      <x:c r="F504" s="339" t="str">
        <x:v>User must have permission for the screen/action and the target record must be inside tenant/school/branch/class scope.</x:v>
      </x:c>
      <x:c r="G504" s="339" t="str">
        <x:v>You do not have permission to perform this action.</x:v>
      </x:c>
      <x:c r="H504" s="339" t="str">
        <x:v>On load and submit</x:v>
      </x:c>
      <x:c r="I504" s="339" t="str">
        <x:v>Yes</x:v>
      </x:c>
    </x:row>
    <x:row r="505">
      <x:c r="A505" s="339" t="str">
        <x:v>VAL-00504</x:v>
      </x:c>
      <x:c r="B505" s="339" t="str">
        <x:v>SCR-215</x:v>
      </x:c>
      <x:c r="C505" s="339" t="str">
        <x:v>Hostel</x:v>
      </x:c>
      <x:c r="D505" s="339" t="str">
        <x:v>Hostel Complaints &amp; Fees</x:v>
      </x:c>
      <x:c r="E505" s="339" t="str">
        <x:v>Required/effective references</x:v>
      </x:c>
      <x:c r="F505" s="339" t="str">
        <x:v>Selected master/reference values must exist, be active and effective for the transaction date.</x:v>
      </x:c>
      <x:c r="G505" s="339" t="str">
        <x:v>One or more selected values are no longer valid. Refresh and try again.</x:v>
      </x:c>
      <x:c r="H505" s="339" t="str">
        <x:v>On submit</x:v>
      </x:c>
      <x:c r="I505" s="339" t="str">
        <x:v>Yes</x:v>
      </x:c>
    </x:row>
    <x:row r="506">
      <x:c r="A506" s="339" t="str">
        <x:v>VAL-00505</x:v>
      </x:c>
      <x:c r="B506" s="339" t="str">
        <x:v>SCR-216</x:v>
      </x:c>
      <x:c r="C506" s="339" t="str">
        <x:v>Health / Counselling / Discipline</x:v>
      </x:c>
      <x:c r="D506" s="339" t="str">
        <x:v>Health Dashboard</x:v>
      </x:c>
      <x:c r="E506" s="339" t="str">
        <x:v>Authorization &amp; scope</x:v>
      </x:c>
      <x:c r="F506" s="339" t="str">
        <x:v>User must have permission for the screen/action and the target record must be inside tenant/school/branch/class scope.</x:v>
      </x:c>
      <x:c r="G506" s="339" t="str">
        <x:v>You do not have permission to perform this action.</x:v>
      </x:c>
      <x:c r="H506" s="339" t="str">
        <x:v>On load and submit</x:v>
      </x:c>
      <x:c r="I506" s="339" t="str">
        <x:v>Yes</x:v>
      </x:c>
    </x:row>
    <x:row r="507">
      <x:c r="A507" s="339" t="str">
        <x:v>VAL-00506</x:v>
      </x:c>
      <x:c r="B507" s="339" t="str">
        <x:v>SCR-216</x:v>
      </x:c>
      <x:c r="C507" s="339" t="str">
        <x:v>Health / Counselling / Discipline</x:v>
      </x:c>
      <x:c r="D507" s="339" t="str">
        <x:v>Health Dashboard</x:v>
      </x:c>
      <x:c r="E507" s="339" t="str">
        <x:v>Required/effective references</x:v>
      </x:c>
      <x:c r="F507" s="339" t="str">
        <x:v>Selected master/reference values must exist, be active and effective for the transaction date.</x:v>
      </x:c>
      <x:c r="G507" s="339" t="str">
        <x:v>One or more selected values are no longer valid. Refresh and try again.</x:v>
      </x:c>
      <x:c r="H507" s="339" t="str">
        <x:v>On submit</x:v>
      </x:c>
      <x:c r="I507" s="339" t="str">
        <x:v>Yes</x:v>
      </x:c>
    </x:row>
    <x:row r="508">
      <x:c r="A508" s="339" t="str">
        <x:v>VAL-00507</x:v>
      </x:c>
      <x:c r="B508" s="339" t="str">
        <x:v>SCR-217</x:v>
      </x:c>
      <x:c r="C508" s="339" t="str">
        <x:v>Health / Counselling / Discipline</x:v>
      </x:c>
      <x:c r="D508" s="339" t="str">
        <x:v>Student Medical Profile</x:v>
      </x:c>
      <x:c r="E508" s="339" t="str">
        <x:v>Authorization &amp; scope</x:v>
      </x:c>
      <x:c r="F508" s="339" t="str">
        <x:v>User must have permission for the screen/action and the target record must be inside tenant/school/branch/class scope.</x:v>
      </x:c>
      <x:c r="G508" s="339" t="str">
        <x:v>You do not have permission to perform this action.</x:v>
      </x:c>
      <x:c r="H508" s="339" t="str">
        <x:v>On load and submit</x:v>
      </x:c>
      <x:c r="I508" s="339" t="str">
        <x:v>Yes</x:v>
      </x:c>
    </x:row>
    <x:row r="509">
      <x:c r="A509" s="339" t="str">
        <x:v>VAL-00508</x:v>
      </x:c>
      <x:c r="B509" s="339" t="str">
        <x:v>SCR-217</x:v>
      </x:c>
      <x:c r="C509" s="339" t="str">
        <x:v>Health / Counselling / Discipline</x:v>
      </x:c>
      <x:c r="D509" s="339" t="str">
        <x:v>Student Medical Profile</x:v>
      </x:c>
      <x:c r="E509" s="339" t="str">
        <x:v>Required/effective references</x:v>
      </x:c>
      <x:c r="F509" s="339" t="str">
        <x:v>Selected master/reference values must exist, be active and effective for the transaction date.</x:v>
      </x:c>
      <x:c r="G509" s="339" t="str">
        <x:v>One or more selected values are no longer valid. Refresh and try again.</x:v>
      </x:c>
      <x:c r="H509" s="339" t="str">
        <x:v>On submit</x:v>
      </x:c>
      <x:c r="I509" s="339" t="str">
        <x:v>Yes</x:v>
      </x:c>
    </x:row>
    <x:row r="510">
      <x:c r="A510" s="339" t="str">
        <x:v>VAL-00509</x:v>
      </x:c>
      <x:c r="B510" s="339" t="str">
        <x:v>SCR-218</x:v>
      </x:c>
      <x:c r="C510" s="339" t="str">
        <x:v>Health / Counselling / Discipline</x:v>
      </x:c>
      <x:c r="D510" s="339" t="str">
        <x:v>Clinic Visit</x:v>
      </x:c>
      <x:c r="E510" s="339" t="str">
        <x:v>Authorization &amp; scope</x:v>
      </x:c>
      <x:c r="F510" s="339" t="str">
        <x:v>User must have permission for the screen/action and the target record must be inside tenant/school/branch/class scope.</x:v>
      </x:c>
      <x:c r="G510" s="339" t="str">
        <x:v>You do not have permission to perform this action.</x:v>
      </x:c>
      <x:c r="H510" s="339" t="str">
        <x:v>On load and submit</x:v>
      </x:c>
      <x:c r="I510" s="339" t="str">
        <x:v>Yes</x:v>
      </x:c>
    </x:row>
    <x:row r="511">
      <x:c r="A511" s="339" t="str">
        <x:v>VAL-00510</x:v>
      </x:c>
      <x:c r="B511" s="339" t="str">
        <x:v>SCR-218</x:v>
      </x:c>
      <x:c r="C511" s="339" t="str">
        <x:v>Health / Counselling / Discipline</x:v>
      </x:c>
      <x:c r="D511" s="339" t="str">
        <x:v>Clinic Visit</x:v>
      </x:c>
      <x:c r="E511" s="339" t="str">
        <x:v>Required/effective references</x:v>
      </x:c>
      <x:c r="F511" s="339" t="str">
        <x:v>Selected master/reference values must exist, be active and effective for the transaction date.</x:v>
      </x:c>
      <x:c r="G511" s="339" t="str">
        <x:v>One or more selected values are no longer valid. Refresh and try again.</x:v>
      </x:c>
      <x:c r="H511" s="339" t="str">
        <x:v>On submit</x:v>
      </x:c>
      <x:c r="I511" s="339" t="str">
        <x:v>Yes</x:v>
      </x:c>
    </x:row>
    <x:row r="512">
      <x:c r="A512" s="339" t="str">
        <x:v>VAL-00511</x:v>
      </x:c>
      <x:c r="B512" s="339" t="str">
        <x:v>SCR-219</x:v>
      </x:c>
      <x:c r="C512" s="339" t="str">
        <x:v>Health / Counselling / Discipline</x:v>
      </x:c>
      <x:c r="D512" s="339" t="str">
        <x:v>Medication / First Aid</x:v>
      </x:c>
      <x:c r="E512" s="339" t="str">
        <x:v>Authorization &amp; scope</x:v>
      </x:c>
      <x:c r="F512" s="339" t="str">
        <x:v>User must have permission for the screen/action and the target record must be inside tenant/school/branch/class scope.</x:v>
      </x:c>
      <x:c r="G512" s="339" t="str">
        <x:v>You do not have permission to perform this action.</x:v>
      </x:c>
      <x:c r="H512" s="339" t="str">
        <x:v>On load and submit</x:v>
      </x:c>
      <x:c r="I512" s="339" t="str">
        <x:v>Yes</x:v>
      </x:c>
    </x:row>
    <x:row r="513">
      <x:c r="A513" s="339" t="str">
        <x:v>VAL-00512</x:v>
      </x:c>
      <x:c r="B513" s="339" t="str">
        <x:v>SCR-219</x:v>
      </x:c>
      <x:c r="C513" s="339" t="str">
        <x:v>Health / Counselling / Discipline</x:v>
      </x:c>
      <x:c r="D513" s="339" t="str">
        <x:v>Medication / First Aid</x:v>
      </x:c>
      <x:c r="E513" s="339" t="str">
        <x:v>Required/effective references</x:v>
      </x:c>
      <x:c r="F513" s="339" t="str">
        <x:v>Selected master/reference values must exist, be active and effective for the transaction date.</x:v>
      </x:c>
      <x:c r="G513" s="339" t="str">
        <x:v>One or more selected values are no longer valid. Refresh and try again.</x:v>
      </x:c>
      <x:c r="H513" s="339" t="str">
        <x:v>On submit</x:v>
      </x:c>
      <x:c r="I513" s="339" t="str">
        <x:v>Yes</x:v>
      </x:c>
    </x:row>
    <x:row r="514">
      <x:c r="A514" s="339" t="str">
        <x:v>VAL-00513</x:v>
      </x:c>
      <x:c r="B514" s="339" t="str">
        <x:v>SCR-220</x:v>
      </x:c>
      <x:c r="C514" s="339" t="str">
        <x:v>Health / Counselling / Discipline</x:v>
      </x:c>
      <x:c r="D514" s="339" t="str">
        <x:v>Immunization / Allergy</x:v>
      </x:c>
      <x:c r="E514" s="339" t="str">
        <x:v>Authorization &amp; scope</x:v>
      </x:c>
      <x:c r="F514" s="339" t="str">
        <x:v>User must have permission for the screen/action and the target record must be inside tenant/school/branch/class scope.</x:v>
      </x:c>
      <x:c r="G514" s="339" t="str">
        <x:v>You do not have permission to perform this action.</x:v>
      </x:c>
      <x:c r="H514" s="339" t="str">
        <x:v>On load and submit</x:v>
      </x:c>
      <x:c r="I514" s="339" t="str">
        <x:v>Yes</x:v>
      </x:c>
    </x:row>
    <x:row r="515">
      <x:c r="A515" s="339" t="str">
        <x:v>VAL-00514</x:v>
      </x:c>
      <x:c r="B515" s="339" t="str">
        <x:v>SCR-220</x:v>
      </x:c>
      <x:c r="C515" s="339" t="str">
        <x:v>Health / Counselling / Discipline</x:v>
      </x:c>
      <x:c r="D515" s="339" t="str">
        <x:v>Immunization / Allergy</x:v>
      </x:c>
      <x:c r="E515" s="339" t="str">
        <x:v>Required/effective references</x:v>
      </x:c>
      <x:c r="F515" s="339" t="str">
        <x:v>Selected master/reference values must exist, be active and effective for the transaction date.</x:v>
      </x:c>
      <x:c r="G515" s="339" t="str">
        <x:v>One or more selected values are no longer valid. Refresh and try again.</x:v>
      </x:c>
      <x:c r="H515" s="339" t="str">
        <x:v>On submit</x:v>
      </x:c>
      <x:c r="I515" s="339" t="str">
        <x:v>Yes</x:v>
      </x:c>
    </x:row>
    <x:row r="516">
      <x:c r="A516" s="339" t="str">
        <x:v>VAL-00515</x:v>
      </x:c>
      <x:c r="B516" s="339" t="str">
        <x:v>SCR-221</x:v>
      </x:c>
      <x:c r="C516" s="339" t="str">
        <x:v>Health / Counselling / Discipline</x:v>
      </x:c>
      <x:c r="D516" s="339" t="str">
        <x:v>Counselling Appointments</x:v>
      </x:c>
      <x:c r="E516" s="339" t="str">
        <x:v>Authorization &amp; scope</x:v>
      </x:c>
      <x:c r="F516" s="339" t="str">
        <x:v>User must have permission for the screen/action and the target record must be inside tenant/school/branch/class scope.</x:v>
      </x:c>
      <x:c r="G516" s="339" t="str">
        <x:v>You do not have permission to perform this action.</x:v>
      </x:c>
      <x:c r="H516" s="339" t="str">
        <x:v>On load and submit</x:v>
      </x:c>
      <x:c r="I516" s="339" t="str">
        <x:v>Yes</x:v>
      </x:c>
    </x:row>
    <x:row r="517">
      <x:c r="A517" s="339" t="str">
        <x:v>VAL-00516</x:v>
      </x:c>
      <x:c r="B517" s="339" t="str">
        <x:v>SCR-221</x:v>
      </x:c>
      <x:c r="C517" s="339" t="str">
        <x:v>Health / Counselling / Discipline</x:v>
      </x:c>
      <x:c r="D517" s="339" t="str">
        <x:v>Counselling Appointments</x:v>
      </x:c>
      <x:c r="E517" s="339" t="str">
        <x:v>Required/effective references</x:v>
      </x:c>
      <x:c r="F517" s="339" t="str">
        <x:v>Selected master/reference values must exist, be active and effective for the transaction date.</x:v>
      </x:c>
      <x:c r="G517" s="339" t="str">
        <x:v>One or more selected values are no longer valid. Refresh and try again.</x:v>
      </x:c>
      <x:c r="H517" s="339" t="str">
        <x:v>On submit</x:v>
      </x:c>
      <x:c r="I517" s="339" t="str">
        <x:v>Yes</x:v>
      </x:c>
    </x:row>
    <x:row r="518">
      <x:c r="A518" s="339" t="str">
        <x:v>VAL-00517</x:v>
      </x:c>
      <x:c r="B518" s="339" t="str">
        <x:v>SCR-222</x:v>
      </x:c>
      <x:c r="C518" s="339" t="str">
        <x:v>Health / Counselling / Discipline</x:v>
      </x:c>
      <x:c r="D518" s="339" t="str">
        <x:v>Counselling Case Notes</x:v>
      </x:c>
      <x:c r="E518" s="339" t="str">
        <x:v>Authorization &amp; scope</x:v>
      </x:c>
      <x:c r="F518" s="339" t="str">
        <x:v>User must have permission for the screen/action and the target record must be inside tenant/school/branch/class scope.</x:v>
      </x:c>
      <x:c r="G518" s="339" t="str">
        <x:v>You do not have permission to perform this action.</x:v>
      </x:c>
      <x:c r="H518" s="339" t="str">
        <x:v>On load and submit</x:v>
      </x:c>
      <x:c r="I518" s="339" t="str">
        <x:v>Yes</x:v>
      </x:c>
    </x:row>
    <x:row r="519">
      <x:c r="A519" s="339" t="str">
        <x:v>VAL-00518</x:v>
      </x:c>
      <x:c r="B519" s="339" t="str">
        <x:v>SCR-222</x:v>
      </x:c>
      <x:c r="C519" s="339" t="str">
        <x:v>Health / Counselling / Discipline</x:v>
      </x:c>
      <x:c r="D519" s="339" t="str">
        <x:v>Counselling Case Notes</x:v>
      </x:c>
      <x:c r="E519" s="339" t="str">
        <x:v>Required/effective references</x:v>
      </x:c>
      <x:c r="F519" s="339" t="str">
        <x:v>Selected master/reference values must exist, be active and effective for the transaction date.</x:v>
      </x:c>
      <x:c r="G519" s="339" t="str">
        <x:v>One or more selected values are no longer valid. Refresh and try again.</x:v>
      </x:c>
      <x:c r="H519" s="339" t="str">
        <x:v>On submit</x:v>
      </x:c>
      <x:c r="I519" s="339" t="str">
        <x:v>Yes</x:v>
      </x:c>
    </x:row>
    <x:row r="520">
      <x:c r="A520" s="339" t="str">
        <x:v>VAL-00519</x:v>
      </x:c>
      <x:c r="B520" s="339" t="str">
        <x:v>SCR-223</x:v>
      </x:c>
      <x:c r="C520" s="339" t="str">
        <x:v>Health / Counselling / Discipline</x:v>
      </x:c>
      <x:c r="D520" s="339" t="str">
        <x:v>Behaviour / Discipline Incidents</x:v>
      </x:c>
      <x:c r="E520" s="339" t="str">
        <x:v>Authorization &amp; scope</x:v>
      </x:c>
      <x:c r="F520" s="339" t="str">
        <x:v>User must have permission for the screen/action and the target record must be inside tenant/school/branch/class scope.</x:v>
      </x:c>
      <x:c r="G520" s="339" t="str">
        <x:v>You do not have permission to perform this action.</x:v>
      </x:c>
      <x:c r="H520" s="339" t="str">
        <x:v>On load and submit</x:v>
      </x:c>
      <x:c r="I520" s="339" t="str">
        <x:v>Yes</x:v>
      </x:c>
    </x:row>
    <x:row r="521">
      <x:c r="A521" s="339" t="str">
        <x:v>VAL-00520</x:v>
      </x:c>
      <x:c r="B521" s="339" t="str">
        <x:v>SCR-223</x:v>
      </x:c>
      <x:c r="C521" s="339" t="str">
        <x:v>Health / Counselling / Discipline</x:v>
      </x:c>
      <x:c r="D521" s="339" t="str">
        <x:v>Behaviour / Discipline Incidents</x:v>
      </x:c>
      <x:c r="E521" s="339" t="str">
        <x:v>Required/effective references</x:v>
      </x:c>
      <x:c r="F521" s="339" t="str">
        <x:v>Selected master/reference values must exist, be active and effective for the transaction date.</x:v>
      </x:c>
      <x:c r="G521" s="339" t="str">
        <x:v>One or more selected values are no longer valid. Refresh and try again.</x:v>
      </x:c>
      <x:c r="H521" s="339" t="str">
        <x:v>On submit</x:v>
      </x:c>
      <x:c r="I521" s="339" t="str">
        <x:v>Yes</x:v>
      </x:c>
    </x:row>
    <x:row r="522">
      <x:c r="A522" s="339" t="str">
        <x:v>VAL-00521</x:v>
      </x:c>
      <x:c r="B522" s="339" t="str">
        <x:v>SCR-224</x:v>
      </x:c>
      <x:c r="C522" s="339" t="str">
        <x:v>Health / Counselling / Discipline</x:v>
      </x:c>
      <x:c r="D522" s="339" t="str">
        <x:v>Incident Action &amp; Follow-up</x:v>
      </x:c>
      <x:c r="E522" s="339" t="str">
        <x:v>Authorization &amp; scope</x:v>
      </x:c>
      <x:c r="F522" s="339" t="str">
        <x:v>User must have permission for the screen/action and the target record must be inside tenant/school/branch/class scope.</x:v>
      </x:c>
      <x:c r="G522" s="339" t="str">
        <x:v>You do not have permission to perform this action.</x:v>
      </x:c>
      <x:c r="H522" s="339" t="str">
        <x:v>On load and submit</x:v>
      </x:c>
      <x:c r="I522" s="339" t="str">
        <x:v>Yes</x:v>
      </x:c>
    </x:row>
    <x:row r="523">
      <x:c r="A523" s="339" t="str">
        <x:v>VAL-00522</x:v>
      </x:c>
      <x:c r="B523" s="339" t="str">
        <x:v>SCR-224</x:v>
      </x:c>
      <x:c r="C523" s="339" t="str">
        <x:v>Health / Counselling / Discipline</x:v>
      </x:c>
      <x:c r="D523" s="339" t="str">
        <x:v>Incident Action &amp; Follow-up</x:v>
      </x:c>
      <x:c r="E523" s="339" t="str">
        <x:v>Required/effective references</x:v>
      </x:c>
      <x:c r="F523" s="339" t="str">
        <x:v>Selected master/reference values must exist, be active and effective for the transaction date.</x:v>
      </x:c>
      <x:c r="G523" s="339" t="str">
        <x:v>One or more selected values are no longer valid. Refresh and try again.</x:v>
      </x:c>
      <x:c r="H523" s="339" t="str">
        <x:v>On submit</x:v>
      </x:c>
      <x:c r="I523" s="339" t="str">
        <x:v>Yes</x:v>
      </x:c>
    </x:row>
    <x:row r="524">
      <x:c r="A524" s="339" t="str">
        <x:v>VAL-00523</x:v>
      </x:c>
      <x:c r="B524" s="339" t="str">
        <x:v>SCR-225</x:v>
      </x:c>
      <x:c r="C524" s="339" t="str">
        <x:v>Health / Counselling / Discipline</x:v>
      </x:c>
      <x:c r="D524" s="339" t="str">
        <x:v>Emergency Contacts &amp; Escalation</x:v>
      </x:c>
      <x:c r="E524" s="339" t="str">
        <x:v>Authorization &amp; scope</x:v>
      </x:c>
      <x:c r="F524" s="339" t="str">
        <x:v>User must have permission for the screen/action and the target record must be inside tenant/school/branch/class scope.</x:v>
      </x:c>
      <x:c r="G524" s="339" t="str">
        <x:v>You do not have permission to perform this action.</x:v>
      </x:c>
      <x:c r="H524" s="339" t="str">
        <x:v>On load and submit</x:v>
      </x:c>
      <x:c r="I524" s="339" t="str">
        <x:v>Yes</x:v>
      </x:c>
    </x:row>
    <x:row r="525">
      <x:c r="A525" s="339" t="str">
        <x:v>VAL-00524</x:v>
      </x:c>
      <x:c r="B525" s="339" t="str">
        <x:v>SCR-225</x:v>
      </x:c>
      <x:c r="C525" s="339" t="str">
        <x:v>Health / Counselling / Discipline</x:v>
      </x:c>
      <x:c r="D525" s="339" t="str">
        <x:v>Emergency Contacts &amp; Escalation</x:v>
      </x:c>
      <x:c r="E525" s="339" t="str">
        <x:v>Required/effective references</x:v>
      </x:c>
      <x:c r="F525" s="339" t="str">
        <x:v>Selected master/reference values must exist, be active and effective for the transaction date.</x:v>
      </x:c>
      <x:c r="G525" s="339" t="str">
        <x:v>One or more selected values are no longer valid. Refresh and try again.</x:v>
      </x:c>
      <x:c r="H525" s="339" t="str">
        <x:v>On submit</x:v>
      </x:c>
      <x:c r="I525" s="339" t="str">
        <x:v>Yes</x:v>
      </x:c>
    </x:row>
    <x:row r="526">
      <x:c r="A526" s="339" t="str">
        <x:v>VAL-00525</x:v>
      </x:c>
      <x:c r="B526" s="339" t="str">
        <x:v>SCR-226</x:v>
      </x:c>
      <x:c r="C526" s="339" t="str">
        <x:v>Visitor / Gate / Security</x:v>
      </x:c>
      <x:c r="D526" s="339" t="str">
        <x:v>Visitor Dashboard</x:v>
      </x:c>
      <x:c r="E526" s="339" t="str">
        <x:v>Authorization &amp; scope</x:v>
      </x:c>
      <x:c r="F526" s="339" t="str">
        <x:v>User must have permission for the screen/action and the target record must be inside tenant/school/branch/class scope.</x:v>
      </x:c>
      <x:c r="G526" s="339" t="str">
        <x:v>You do not have permission to perform this action.</x:v>
      </x:c>
      <x:c r="H526" s="339" t="str">
        <x:v>On load and submit</x:v>
      </x:c>
      <x:c r="I526" s="339" t="str">
        <x:v>Yes</x:v>
      </x:c>
    </x:row>
    <x:row r="527">
      <x:c r="A527" s="339" t="str">
        <x:v>VAL-00526</x:v>
      </x:c>
      <x:c r="B527" s="339" t="str">
        <x:v>SCR-226</x:v>
      </x:c>
      <x:c r="C527" s="339" t="str">
        <x:v>Visitor / Gate / Security</x:v>
      </x:c>
      <x:c r="D527" s="339" t="str">
        <x:v>Visitor Dashboard</x:v>
      </x:c>
      <x:c r="E527" s="339" t="str">
        <x:v>Required/effective references</x:v>
      </x:c>
      <x:c r="F527" s="339" t="str">
        <x:v>Selected master/reference values must exist, be active and effective for the transaction date.</x:v>
      </x:c>
      <x:c r="G527" s="339" t="str">
        <x:v>One or more selected values are no longer valid. Refresh and try again.</x:v>
      </x:c>
      <x:c r="H527" s="339" t="str">
        <x:v>On submit</x:v>
      </x:c>
      <x:c r="I527" s="339" t="str">
        <x:v>Yes</x:v>
      </x:c>
    </x:row>
    <x:row r="528">
      <x:c r="A528" s="339" t="str">
        <x:v>VAL-00527</x:v>
      </x:c>
      <x:c r="B528" s="339" t="str">
        <x:v>SCR-227</x:v>
      </x:c>
      <x:c r="C528" s="339" t="str">
        <x:v>Visitor / Gate / Security</x:v>
      </x:c>
      <x:c r="D528" s="339" t="str">
        <x:v>Visitor Check-in</x:v>
      </x:c>
      <x:c r="E528" s="339" t="str">
        <x:v>Authorization &amp; scope</x:v>
      </x:c>
      <x:c r="F528" s="339" t="str">
        <x:v>User must have permission for the screen/action and the target record must be inside tenant/school/branch/class scope.</x:v>
      </x:c>
      <x:c r="G528" s="339" t="str">
        <x:v>You do not have permission to perform this action.</x:v>
      </x:c>
      <x:c r="H528" s="339" t="str">
        <x:v>On load and submit</x:v>
      </x:c>
      <x:c r="I528" s="339" t="str">
        <x:v>Yes</x:v>
      </x:c>
    </x:row>
    <x:row r="529">
      <x:c r="A529" s="339" t="str">
        <x:v>VAL-00528</x:v>
      </x:c>
      <x:c r="B529" s="339" t="str">
        <x:v>SCR-227</x:v>
      </x:c>
      <x:c r="C529" s="339" t="str">
        <x:v>Visitor / Gate / Security</x:v>
      </x:c>
      <x:c r="D529" s="339" t="str">
        <x:v>Visitor Check-in</x:v>
      </x:c>
      <x:c r="E529" s="339" t="str">
        <x:v>Required/effective references</x:v>
      </x:c>
      <x:c r="F529" s="339" t="str">
        <x:v>Selected master/reference values must exist, be active and effective for the transaction date.</x:v>
      </x:c>
      <x:c r="G529" s="339" t="str">
        <x:v>One or more selected values are no longer valid. Refresh and try again.</x:v>
      </x:c>
      <x:c r="H529" s="339" t="str">
        <x:v>On submit</x:v>
      </x:c>
      <x:c r="I529" s="339" t="str">
        <x:v>Yes</x:v>
      </x:c>
    </x:row>
    <x:row r="530">
      <x:c r="A530" s="339" t="str">
        <x:v>VAL-00529</x:v>
      </x:c>
      <x:c r="B530" s="339" t="str">
        <x:v>SCR-228</x:v>
      </x:c>
      <x:c r="C530" s="339" t="str">
        <x:v>Visitor / Gate / Security</x:v>
      </x:c>
      <x:c r="D530" s="339" t="str">
        <x:v>Visitor Approval</x:v>
      </x:c>
      <x:c r="E530" s="339" t="str">
        <x:v>Authorization &amp; scope</x:v>
      </x:c>
      <x:c r="F530" s="339" t="str">
        <x:v>User must have permission for the screen/action and the target record must be inside tenant/school/branch/class scope.</x:v>
      </x:c>
      <x:c r="G530" s="339" t="str">
        <x:v>You do not have permission to perform this action.</x:v>
      </x:c>
      <x:c r="H530" s="339" t="str">
        <x:v>On load and submit</x:v>
      </x:c>
      <x:c r="I530" s="339" t="str">
        <x:v>Yes</x:v>
      </x:c>
    </x:row>
    <x:row r="531">
      <x:c r="A531" s="339" t="str">
        <x:v>VAL-00530</x:v>
      </x:c>
      <x:c r="B531" s="339" t="str">
        <x:v>SCR-228</x:v>
      </x:c>
      <x:c r="C531" s="339" t="str">
        <x:v>Visitor / Gate / Security</x:v>
      </x:c>
      <x:c r="D531" s="339" t="str">
        <x:v>Visitor Approval</x:v>
      </x:c>
      <x:c r="E531" s="339" t="str">
        <x:v>Required/effective references</x:v>
      </x:c>
      <x:c r="F531" s="339" t="str">
        <x:v>Selected master/reference values must exist, be active and effective for the transaction date.</x:v>
      </x:c>
      <x:c r="G531" s="339" t="str">
        <x:v>One or more selected values are no longer valid. Refresh and try again.</x:v>
      </x:c>
      <x:c r="H531" s="339" t="str">
        <x:v>On submit</x:v>
      </x:c>
      <x:c r="I531" s="339" t="str">
        <x:v>Yes</x:v>
      </x:c>
    </x:row>
    <x:row r="532">
      <x:c r="A532" s="339" t="str">
        <x:v>VAL-00531</x:v>
      </x:c>
      <x:c r="B532" s="339" t="str">
        <x:v>SCR-229</x:v>
      </x:c>
      <x:c r="C532" s="339" t="str">
        <x:v>Visitor / Gate / Security</x:v>
      </x:c>
      <x:c r="D532" s="339" t="str">
        <x:v>Visitor Pass</x:v>
      </x:c>
      <x:c r="E532" s="339" t="str">
        <x:v>Authorization &amp; scope</x:v>
      </x:c>
      <x:c r="F532" s="339" t="str">
        <x:v>User must have permission for the screen/action and the target record must be inside tenant/school/branch/class scope.</x:v>
      </x:c>
      <x:c r="G532" s="339" t="str">
        <x:v>You do not have permission to perform this action.</x:v>
      </x:c>
      <x:c r="H532" s="339" t="str">
        <x:v>On load and submit</x:v>
      </x:c>
      <x:c r="I532" s="339" t="str">
        <x:v>Yes</x:v>
      </x:c>
    </x:row>
    <x:row r="533">
      <x:c r="A533" s="339" t="str">
        <x:v>VAL-00532</x:v>
      </x:c>
      <x:c r="B533" s="339" t="str">
        <x:v>SCR-229</x:v>
      </x:c>
      <x:c r="C533" s="339" t="str">
        <x:v>Visitor / Gate / Security</x:v>
      </x:c>
      <x:c r="D533" s="339" t="str">
        <x:v>Visitor Pass</x:v>
      </x:c>
      <x:c r="E533" s="339" t="str">
        <x:v>Required/effective references</x:v>
      </x:c>
      <x:c r="F533" s="339" t="str">
        <x:v>Selected master/reference values must exist, be active and effective for the transaction date.</x:v>
      </x:c>
      <x:c r="G533" s="339" t="str">
        <x:v>One or more selected values are no longer valid. Refresh and try again.</x:v>
      </x:c>
      <x:c r="H533" s="339" t="str">
        <x:v>On submit</x:v>
      </x:c>
      <x:c r="I533" s="339" t="str">
        <x:v>Yes</x:v>
      </x:c>
    </x:row>
    <x:row r="534">
      <x:c r="A534" s="339" t="str">
        <x:v>VAL-00533</x:v>
      </x:c>
      <x:c r="B534" s="339" t="str">
        <x:v>SCR-230</x:v>
      </x:c>
      <x:c r="C534" s="339" t="str">
        <x:v>Visitor / Gate / Security</x:v>
      </x:c>
      <x:c r="D534" s="339" t="str">
        <x:v>Visitor Check-out</x:v>
      </x:c>
      <x:c r="E534" s="339" t="str">
        <x:v>Authorization &amp; scope</x:v>
      </x:c>
      <x:c r="F534" s="339" t="str">
        <x:v>User must have permission for the screen/action and the target record must be inside tenant/school/branch/class scope.</x:v>
      </x:c>
      <x:c r="G534" s="339" t="str">
        <x:v>You do not have permission to perform this action.</x:v>
      </x:c>
      <x:c r="H534" s="339" t="str">
        <x:v>On load and submit</x:v>
      </x:c>
      <x:c r="I534" s="339" t="str">
        <x:v>Yes</x:v>
      </x:c>
    </x:row>
    <x:row r="535">
      <x:c r="A535" s="339" t="str">
        <x:v>VAL-00534</x:v>
      </x:c>
      <x:c r="B535" s="339" t="str">
        <x:v>SCR-230</x:v>
      </x:c>
      <x:c r="C535" s="339" t="str">
        <x:v>Visitor / Gate / Security</x:v>
      </x:c>
      <x:c r="D535" s="339" t="str">
        <x:v>Visitor Check-out</x:v>
      </x:c>
      <x:c r="E535" s="339" t="str">
        <x:v>Required/effective references</x:v>
      </x:c>
      <x:c r="F535" s="339" t="str">
        <x:v>Selected master/reference values must exist, be active and effective for the transaction date.</x:v>
      </x:c>
      <x:c r="G535" s="339" t="str">
        <x:v>One or more selected values are no longer valid. Refresh and try again.</x:v>
      </x:c>
      <x:c r="H535" s="339" t="str">
        <x:v>On submit</x:v>
      </x:c>
      <x:c r="I535" s="339" t="str">
        <x:v>Yes</x:v>
      </x:c>
    </x:row>
    <x:row r="536">
      <x:c r="A536" s="339" t="str">
        <x:v>VAL-00535</x:v>
      </x:c>
      <x:c r="B536" s="339" t="str">
        <x:v>SCR-231</x:v>
      </x:c>
      <x:c r="C536" s="339" t="str">
        <x:v>Visitor / Gate / Security</x:v>
      </x:c>
      <x:c r="D536" s="339" t="str">
        <x:v>Student Early Pickup / Gate Pass</x:v>
      </x:c>
      <x:c r="E536" s="339" t="str">
        <x:v>Authorization &amp; scope</x:v>
      </x:c>
      <x:c r="F536" s="339" t="str">
        <x:v>User must have permission for the screen/action and the target record must be inside tenant/school/branch/class scope.</x:v>
      </x:c>
      <x:c r="G536" s="339" t="str">
        <x:v>You do not have permission to perform this action.</x:v>
      </x:c>
      <x:c r="H536" s="339" t="str">
        <x:v>On load and submit</x:v>
      </x:c>
      <x:c r="I536" s="339" t="str">
        <x:v>Yes</x:v>
      </x:c>
    </x:row>
    <x:row r="537">
      <x:c r="A537" s="339" t="str">
        <x:v>VAL-00536</x:v>
      </x:c>
      <x:c r="B537" s="339" t="str">
        <x:v>SCR-231</x:v>
      </x:c>
      <x:c r="C537" s="339" t="str">
        <x:v>Visitor / Gate / Security</x:v>
      </x:c>
      <x:c r="D537" s="339" t="str">
        <x:v>Student Early Pickup / Gate Pass</x:v>
      </x:c>
      <x:c r="E537" s="339" t="str">
        <x:v>Required/effective references</x:v>
      </x:c>
      <x:c r="F537" s="339" t="str">
        <x:v>Selected master/reference values must exist, be active and effective for the transaction date.</x:v>
      </x:c>
      <x:c r="G537" s="339" t="str">
        <x:v>One or more selected values are no longer valid. Refresh and try again.</x:v>
      </x:c>
      <x:c r="H537" s="339" t="str">
        <x:v>On submit</x:v>
      </x:c>
      <x:c r="I537" s="339" t="str">
        <x:v>Yes</x:v>
      </x:c>
    </x:row>
    <x:row r="538">
      <x:c r="A538" s="339" t="str">
        <x:v>VAL-00537</x:v>
      </x:c>
      <x:c r="B538" s="339" t="str">
        <x:v>SCR-232</x:v>
      </x:c>
      <x:c r="C538" s="339" t="str">
        <x:v>Visitor / Gate / Security</x:v>
      </x:c>
      <x:c r="D538" s="339" t="str">
        <x:v>Staff &amp; Vehicle Gate Log</x:v>
      </x:c>
      <x:c r="E538" s="339" t="str">
        <x:v>Authorization &amp; scope</x:v>
      </x:c>
      <x:c r="F538" s="339" t="str">
        <x:v>User must have permission for the screen/action and the target record must be inside tenant/school/branch/class scope.</x:v>
      </x:c>
      <x:c r="G538" s="339" t="str">
        <x:v>You do not have permission to perform this action.</x:v>
      </x:c>
      <x:c r="H538" s="339" t="str">
        <x:v>On load and submit</x:v>
      </x:c>
      <x:c r="I538" s="339" t="str">
        <x:v>Yes</x:v>
      </x:c>
    </x:row>
    <x:row r="539">
      <x:c r="A539" s="339" t="str">
        <x:v>VAL-00538</x:v>
      </x:c>
      <x:c r="B539" s="339" t="str">
        <x:v>SCR-232</x:v>
      </x:c>
      <x:c r="C539" s="339" t="str">
        <x:v>Visitor / Gate / Security</x:v>
      </x:c>
      <x:c r="D539" s="339" t="str">
        <x:v>Staff &amp; Vehicle Gate Log</x:v>
      </x:c>
      <x:c r="E539" s="339" t="str">
        <x:v>Required/effective references</x:v>
      </x:c>
      <x:c r="F539" s="339" t="str">
        <x:v>Selected master/reference values must exist, be active and effective for the transaction date.</x:v>
      </x:c>
      <x:c r="G539" s="339" t="str">
        <x:v>One or more selected values are no longer valid. Refresh and try again.</x:v>
      </x:c>
      <x:c r="H539" s="339" t="str">
        <x:v>On submit</x:v>
      </x:c>
      <x:c r="I539" s="339" t="str">
        <x:v>Yes</x:v>
      </x:c>
    </x:row>
    <x:row r="540">
      <x:c r="A540" s="339" t="str">
        <x:v>VAL-00539</x:v>
      </x:c>
      <x:c r="B540" s="339" t="str">
        <x:v>SCR-233</x:v>
      </x:c>
      <x:c r="C540" s="339" t="str">
        <x:v>Visitor / Gate / Security</x:v>
      </x:c>
      <x:c r="D540" s="339" t="str">
        <x:v>Security Incident Log</x:v>
      </x:c>
      <x:c r="E540" s="339" t="str">
        <x:v>Authorization &amp; scope</x:v>
      </x:c>
      <x:c r="F540" s="339" t="str">
        <x:v>User must have permission for the screen/action and the target record must be inside tenant/school/branch/class scope.</x:v>
      </x:c>
      <x:c r="G540" s="339" t="str">
        <x:v>You do not have permission to perform this action.</x:v>
      </x:c>
      <x:c r="H540" s="339" t="str">
        <x:v>On load and submit</x:v>
      </x:c>
      <x:c r="I540" s="339" t="str">
        <x:v>Yes</x:v>
      </x:c>
    </x:row>
    <x:row r="541">
      <x:c r="A541" s="339" t="str">
        <x:v>VAL-00540</x:v>
      </x:c>
      <x:c r="B541" s="339" t="str">
        <x:v>SCR-233</x:v>
      </x:c>
      <x:c r="C541" s="339" t="str">
        <x:v>Visitor / Gate / Security</x:v>
      </x:c>
      <x:c r="D541" s="339" t="str">
        <x:v>Security Incident Log</x:v>
      </x:c>
      <x:c r="E541" s="339" t="str">
        <x:v>Required/effective references</x:v>
      </x:c>
      <x:c r="F541" s="339" t="str">
        <x:v>Selected master/reference values must exist, be active and effective for the transaction date.</x:v>
      </x:c>
      <x:c r="G541" s="339" t="str">
        <x:v>One or more selected values are no longer valid. Refresh and try again.</x:v>
      </x:c>
      <x:c r="H541" s="339" t="str">
        <x:v>On submit</x:v>
      </x:c>
      <x:c r="I541" s="339" t="str">
        <x:v>Yes</x:v>
      </x:c>
    </x:row>
    <x:row r="542">
      <x:c r="A542" s="339" t="str">
        <x:v>VAL-00541</x:v>
      </x:c>
      <x:c r="B542" s="339" t="str">
        <x:v>SCR-234</x:v>
      </x:c>
      <x:c r="C542" s="339" t="str">
        <x:v>Inventory / Assets / Labs</x:v>
      </x:c>
      <x:c r="D542" s="339" t="str">
        <x:v>Inventory Dashboard</x:v>
      </x:c>
      <x:c r="E542" s="339" t="str">
        <x:v>Authorization &amp; scope</x:v>
      </x:c>
      <x:c r="F542" s="339" t="str">
        <x:v>User must have permission for the screen/action and the target record must be inside tenant/school/branch/class scope.</x:v>
      </x:c>
      <x:c r="G542" s="339" t="str">
        <x:v>You do not have permission to perform this action.</x:v>
      </x:c>
      <x:c r="H542" s="339" t="str">
        <x:v>On load and submit</x:v>
      </x:c>
      <x:c r="I542" s="339" t="str">
        <x:v>Yes</x:v>
      </x:c>
    </x:row>
    <x:row r="543">
      <x:c r="A543" s="339" t="str">
        <x:v>VAL-00542</x:v>
      </x:c>
      <x:c r="B543" s="339" t="str">
        <x:v>SCR-234</x:v>
      </x:c>
      <x:c r="C543" s="339" t="str">
        <x:v>Inventory / Assets / Labs</x:v>
      </x:c>
      <x:c r="D543" s="339" t="str">
        <x:v>Inventory Dashboard</x:v>
      </x:c>
      <x:c r="E543" s="339" t="str">
        <x:v>Required/effective references</x:v>
      </x:c>
      <x:c r="F543" s="339" t="str">
        <x:v>Selected master/reference values must exist, be active and effective for the transaction date.</x:v>
      </x:c>
      <x:c r="G543" s="339" t="str">
        <x:v>One or more selected values are no longer valid. Refresh and try again.</x:v>
      </x:c>
      <x:c r="H543" s="339" t="str">
        <x:v>On submit</x:v>
      </x:c>
      <x:c r="I543" s="339" t="str">
        <x:v>Yes</x:v>
      </x:c>
    </x:row>
    <x:row r="544">
      <x:c r="A544" s="339" t="str">
        <x:v>VAL-00543</x:v>
      </x:c>
      <x:c r="B544" s="339" t="str">
        <x:v>SCR-234</x:v>
      </x:c>
      <x:c r="C544" s="339" t="str">
        <x:v>Inventory / Assets / Labs</x:v>
      </x:c>
      <x:c r="D544" s="339" t="str">
        <x:v>Inventory Dashboard</x:v>
      </x:c>
      <x:c r="E544" s="339" t="str">
        <x:v>Quantity/capacity</x:v>
      </x:c>
      <x:c r="F544" s="339" t="str">
        <x:v>Issue/reservation quantities cannot exceed available stock/capacity unless explicit override policy applies.</x:v>
      </x:c>
      <x:c r="G544" s="339" t="str">
        <x:v>Requested quantity or capacity is not available.</x:v>
      </x:c>
      <x:c r="H544" s="339" t="str">
        <x:v>On issue/booking</x:v>
      </x:c>
      <x:c r="I544" s="339" t="str">
        <x:v>Yes</x:v>
      </x:c>
    </x:row>
    <x:row r="545">
      <x:c r="A545" s="339" t="str">
        <x:v>VAL-00544</x:v>
      </x:c>
      <x:c r="B545" s="339" t="str">
        <x:v>SCR-235</x:v>
      </x:c>
      <x:c r="C545" s="339" t="str">
        <x:v>Inventory / Assets / Labs</x:v>
      </x:c>
      <x:c r="D545" s="339" t="str">
        <x:v>Item Catalogue</x:v>
      </x:c>
      <x:c r="E545" s="339" t="str">
        <x:v>Authorization &amp; scope</x:v>
      </x:c>
      <x:c r="F545" s="339" t="str">
        <x:v>User must have permission for the screen/action and the target record must be inside tenant/school/branch/class scope.</x:v>
      </x:c>
      <x:c r="G545" s="339" t="str">
        <x:v>You do not have permission to perform this action.</x:v>
      </x:c>
      <x:c r="H545" s="339" t="str">
        <x:v>On load and submit</x:v>
      </x:c>
      <x:c r="I545" s="339" t="str">
        <x:v>Yes</x:v>
      </x:c>
    </x:row>
    <x:row r="546">
      <x:c r="A546" s="339" t="str">
        <x:v>VAL-00545</x:v>
      </x:c>
      <x:c r="B546" s="339" t="str">
        <x:v>SCR-235</x:v>
      </x:c>
      <x:c r="C546" s="339" t="str">
        <x:v>Inventory / Assets / Labs</x:v>
      </x:c>
      <x:c r="D546" s="339" t="str">
        <x:v>Item Catalogue</x:v>
      </x:c>
      <x:c r="E546" s="339" t="str">
        <x:v>Required/effective references</x:v>
      </x:c>
      <x:c r="F546" s="339" t="str">
        <x:v>Selected master/reference values must exist, be active and effective for the transaction date.</x:v>
      </x:c>
      <x:c r="G546" s="339" t="str">
        <x:v>One or more selected values are no longer valid. Refresh and try again.</x:v>
      </x:c>
      <x:c r="H546" s="339" t="str">
        <x:v>On submit</x:v>
      </x:c>
      <x:c r="I546" s="339" t="str">
        <x:v>Yes</x:v>
      </x:c>
    </x:row>
    <x:row r="547">
      <x:c r="A547" s="339" t="str">
        <x:v>VAL-00546</x:v>
      </x:c>
      <x:c r="B547" s="339" t="str">
        <x:v>SCR-235</x:v>
      </x:c>
      <x:c r="C547" s="339" t="str">
        <x:v>Inventory / Assets / Labs</x:v>
      </x:c>
      <x:c r="D547" s="339" t="str">
        <x:v>Item Catalogue</x:v>
      </x:c>
      <x:c r="E547" s="339" t="str">
        <x:v>Quantity/capacity</x:v>
      </x:c>
      <x:c r="F547" s="339" t="str">
        <x:v>Issue/reservation quantities cannot exceed available stock/capacity unless explicit override policy applies.</x:v>
      </x:c>
      <x:c r="G547" s="339" t="str">
        <x:v>Requested quantity or capacity is not available.</x:v>
      </x:c>
      <x:c r="H547" s="339" t="str">
        <x:v>On issue/booking</x:v>
      </x:c>
      <x:c r="I547" s="339" t="str">
        <x:v>Yes</x:v>
      </x:c>
    </x:row>
    <x:row r="548">
      <x:c r="A548" s="339" t="str">
        <x:v>VAL-00547</x:v>
      </x:c>
      <x:c r="B548" s="339" t="str">
        <x:v>SCR-236</x:v>
      </x:c>
      <x:c r="C548" s="339" t="str">
        <x:v>Inventory / Assets / Labs</x:v>
      </x:c>
      <x:c r="D548" s="339" t="str">
        <x:v>Stock In / Purchase Receipt</x:v>
      </x:c>
      <x:c r="E548" s="339" t="str">
        <x:v>Authorization &amp; scope</x:v>
      </x:c>
      <x:c r="F548" s="339" t="str">
        <x:v>User must have permission for the screen/action and the target record must be inside tenant/school/branch/class scope.</x:v>
      </x:c>
      <x:c r="G548" s="339" t="str">
        <x:v>You do not have permission to perform this action.</x:v>
      </x:c>
      <x:c r="H548" s="339" t="str">
        <x:v>On load and submit</x:v>
      </x:c>
      <x:c r="I548" s="339" t="str">
        <x:v>Yes</x:v>
      </x:c>
    </x:row>
    <x:row r="549">
      <x:c r="A549" s="339" t="str">
        <x:v>VAL-00548</x:v>
      </x:c>
      <x:c r="B549" s="339" t="str">
        <x:v>SCR-236</x:v>
      </x:c>
      <x:c r="C549" s="339" t="str">
        <x:v>Inventory / Assets / Labs</x:v>
      </x:c>
      <x:c r="D549" s="339" t="str">
        <x:v>Stock In / Purchase Receipt</x:v>
      </x:c>
      <x:c r="E549" s="339" t="str">
        <x:v>Required/effective references</x:v>
      </x:c>
      <x:c r="F549" s="339" t="str">
        <x:v>Selected master/reference values must exist, be active and effective for the transaction date.</x:v>
      </x:c>
      <x:c r="G549" s="339" t="str">
        <x:v>One or more selected values are no longer valid. Refresh and try again.</x:v>
      </x:c>
      <x:c r="H549" s="339" t="str">
        <x:v>On submit</x:v>
      </x:c>
      <x:c r="I549" s="339" t="str">
        <x:v>Yes</x:v>
      </x:c>
    </x:row>
    <x:row r="550">
      <x:c r="A550" s="339" t="str">
        <x:v>VAL-00549</x:v>
      </x:c>
      <x:c r="B550" s="339" t="str">
        <x:v>SCR-236</x:v>
      </x:c>
      <x:c r="C550" s="339" t="str">
        <x:v>Inventory / Assets / Labs</x:v>
      </x:c>
      <x:c r="D550" s="339" t="str">
        <x:v>Stock In / Purchase Receipt</x:v>
      </x:c>
      <x:c r="E550" s="339" t="str">
        <x:v>Quantity/capacity</x:v>
      </x:c>
      <x:c r="F550" s="339" t="str">
        <x:v>Issue/reservation quantities cannot exceed available stock/capacity unless explicit override policy applies.</x:v>
      </x:c>
      <x:c r="G550" s="339" t="str">
        <x:v>Requested quantity or capacity is not available.</x:v>
      </x:c>
      <x:c r="H550" s="339" t="str">
        <x:v>On issue/booking</x:v>
      </x:c>
      <x:c r="I550" s="339" t="str">
        <x:v>Yes</x:v>
      </x:c>
    </x:row>
    <x:row r="551">
      <x:c r="A551" s="339" t="str">
        <x:v>VAL-00550</x:v>
      </x:c>
      <x:c r="B551" s="339" t="str">
        <x:v>SCR-237</x:v>
      </x:c>
      <x:c r="C551" s="339" t="str">
        <x:v>Inventory / Assets / Labs</x:v>
      </x:c>
      <x:c r="D551" s="339" t="str">
        <x:v>Stock Issue / Return</x:v>
      </x:c>
      <x:c r="E551" s="339" t="str">
        <x:v>Authorization &amp; scope</x:v>
      </x:c>
      <x:c r="F551" s="339" t="str">
        <x:v>User must have permission for the screen/action and the target record must be inside tenant/school/branch/class scope.</x:v>
      </x:c>
      <x:c r="G551" s="339" t="str">
        <x:v>You do not have permission to perform this action.</x:v>
      </x:c>
      <x:c r="H551" s="339" t="str">
        <x:v>On load and submit</x:v>
      </x:c>
      <x:c r="I551" s="339" t="str">
        <x:v>Yes</x:v>
      </x:c>
    </x:row>
    <x:row r="552">
      <x:c r="A552" s="339" t="str">
        <x:v>VAL-00551</x:v>
      </x:c>
      <x:c r="B552" s="339" t="str">
        <x:v>SCR-237</x:v>
      </x:c>
      <x:c r="C552" s="339" t="str">
        <x:v>Inventory / Assets / Labs</x:v>
      </x:c>
      <x:c r="D552" s="339" t="str">
        <x:v>Stock Issue / Return</x:v>
      </x:c>
      <x:c r="E552" s="339" t="str">
        <x:v>Required/effective references</x:v>
      </x:c>
      <x:c r="F552" s="339" t="str">
        <x:v>Selected master/reference values must exist, be active and effective for the transaction date.</x:v>
      </x:c>
      <x:c r="G552" s="339" t="str">
        <x:v>One or more selected values are no longer valid. Refresh and try again.</x:v>
      </x:c>
      <x:c r="H552" s="339" t="str">
        <x:v>On submit</x:v>
      </x:c>
      <x:c r="I552" s="339" t="str">
        <x:v>Yes</x:v>
      </x:c>
    </x:row>
    <x:row r="553">
      <x:c r="A553" s="339" t="str">
        <x:v>VAL-00552</x:v>
      </x:c>
      <x:c r="B553" s="339" t="str">
        <x:v>SCR-237</x:v>
      </x:c>
      <x:c r="C553" s="339" t="str">
        <x:v>Inventory / Assets / Labs</x:v>
      </x:c>
      <x:c r="D553" s="339" t="str">
        <x:v>Stock Issue / Return</x:v>
      </x:c>
      <x:c r="E553" s="339" t="str">
        <x:v>Quantity/capacity</x:v>
      </x:c>
      <x:c r="F553" s="339" t="str">
        <x:v>Issue/reservation quantities cannot exceed available stock/capacity unless explicit override policy applies.</x:v>
      </x:c>
      <x:c r="G553" s="339" t="str">
        <x:v>Requested quantity or capacity is not available.</x:v>
      </x:c>
      <x:c r="H553" s="339" t="str">
        <x:v>On issue/booking</x:v>
      </x:c>
      <x:c r="I553" s="339" t="str">
        <x:v>Yes</x:v>
      </x:c>
    </x:row>
    <x:row r="554">
      <x:c r="A554" s="339" t="str">
        <x:v>VAL-00553</x:v>
      </x:c>
      <x:c r="B554" s="339" t="str">
        <x:v>SCR-238</x:v>
      </x:c>
      <x:c r="C554" s="339" t="str">
        <x:v>Inventory / Assets / Labs</x:v>
      </x:c>
      <x:c r="D554" s="339" t="str">
        <x:v>Supplier Management</x:v>
      </x:c>
      <x:c r="E554" s="339" t="str">
        <x:v>Authorization &amp; scope</x:v>
      </x:c>
      <x:c r="F554" s="339" t="str">
        <x:v>User must have permission for the screen/action and the target record must be inside tenant/school/branch/class scope.</x:v>
      </x:c>
      <x:c r="G554" s="339" t="str">
        <x:v>You do not have permission to perform this action.</x:v>
      </x:c>
      <x:c r="H554" s="339" t="str">
        <x:v>On load and submit</x:v>
      </x:c>
      <x:c r="I554" s="339" t="str">
        <x:v>Yes</x:v>
      </x:c>
    </x:row>
    <x:row r="555">
      <x:c r="A555" s="339" t="str">
        <x:v>VAL-00554</x:v>
      </x:c>
      <x:c r="B555" s="339" t="str">
        <x:v>SCR-238</x:v>
      </x:c>
      <x:c r="C555" s="339" t="str">
        <x:v>Inventory / Assets / Labs</x:v>
      </x:c>
      <x:c r="D555" s="339" t="str">
        <x:v>Supplier Management</x:v>
      </x:c>
      <x:c r="E555" s="339" t="str">
        <x:v>Required/effective references</x:v>
      </x:c>
      <x:c r="F555" s="339" t="str">
        <x:v>Selected master/reference values must exist, be active and effective for the transaction date.</x:v>
      </x:c>
      <x:c r="G555" s="339" t="str">
        <x:v>One or more selected values are no longer valid. Refresh and try again.</x:v>
      </x:c>
      <x:c r="H555" s="339" t="str">
        <x:v>On submit</x:v>
      </x:c>
      <x:c r="I555" s="339" t="str">
        <x:v>Yes</x:v>
      </x:c>
    </x:row>
    <x:row r="556">
      <x:c r="A556" s="339" t="str">
        <x:v>VAL-00555</x:v>
      </x:c>
      <x:c r="B556" s="339" t="str">
        <x:v>SCR-238</x:v>
      </x:c>
      <x:c r="C556" s="339" t="str">
        <x:v>Inventory / Assets / Labs</x:v>
      </x:c>
      <x:c r="D556" s="339" t="str">
        <x:v>Supplier Management</x:v>
      </x:c>
      <x:c r="E556" s="339" t="str">
        <x:v>Quantity/capacity</x:v>
      </x:c>
      <x:c r="F556" s="339" t="str">
        <x:v>Issue/reservation quantities cannot exceed available stock/capacity unless explicit override policy applies.</x:v>
      </x:c>
      <x:c r="G556" s="339" t="str">
        <x:v>Requested quantity or capacity is not available.</x:v>
      </x:c>
      <x:c r="H556" s="339" t="str">
        <x:v>On issue/booking</x:v>
      </x:c>
      <x:c r="I556" s="339" t="str">
        <x:v>Yes</x:v>
      </x:c>
    </x:row>
    <x:row r="557">
      <x:c r="A557" s="339" t="str">
        <x:v>VAL-00556</x:v>
      </x:c>
      <x:c r="B557" s="339" t="str">
        <x:v>SCR-239</x:v>
      </x:c>
      <x:c r="C557" s="339" t="str">
        <x:v>Inventory / Assets / Labs</x:v>
      </x:c>
      <x:c r="D557" s="339" t="str">
        <x:v>Asset Register</x:v>
      </x:c>
      <x:c r="E557" s="339" t="str">
        <x:v>Authorization &amp; scope</x:v>
      </x:c>
      <x:c r="F557" s="339" t="str">
        <x:v>User must have permission for the screen/action and the target record must be inside tenant/school/branch/class scope.</x:v>
      </x:c>
      <x:c r="G557" s="339" t="str">
        <x:v>You do not have permission to perform this action.</x:v>
      </x:c>
      <x:c r="H557" s="339" t="str">
        <x:v>On load and submit</x:v>
      </x:c>
      <x:c r="I557" s="339" t="str">
        <x:v>Yes</x:v>
      </x:c>
    </x:row>
    <x:row r="558">
      <x:c r="A558" s="339" t="str">
        <x:v>VAL-00557</x:v>
      </x:c>
      <x:c r="B558" s="339" t="str">
        <x:v>SCR-239</x:v>
      </x:c>
      <x:c r="C558" s="339" t="str">
        <x:v>Inventory / Assets / Labs</x:v>
      </x:c>
      <x:c r="D558" s="339" t="str">
        <x:v>Asset Register</x:v>
      </x:c>
      <x:c r="E558" s="339" t="str">
        <x:v>Required/effective references</x:v>
      </x:c>
      <x:c r="F558" s="339" t="str">
        <x:v>Selected master/reference values must exist, be active and effective for the transaction date.</x:v>
      </x:c>
      <x:c r="G558" s="339" t="str">
        <x:v>One or more selected values are no longer valid. Refresh and try again.</x:v>
      </x:c>
      <x:c r="H558" s="339" t="str">
        <x:v>On submit</x:v>
      </x:c>
      <x:c r="I558" s="339" t="str">
        <x:v>Yes</x:v>
      </x:c>
    </x:row>
    <x:row r="559">
      <x:c r="A559" s="339" t="str">
        <x:v>VAL-00558</x:v>
      </x:c>
      <x:c r="B559" s="339" t="str">
        <x:v>SCR-239</x:v>
      </x:c>
      <x:c r="C559" s="339" t="str">
        <x:v>Inventory / Assets / Labs</x:v>
      </x:c>
      <x:c r="D559" s="339" t="str">
        <x:v>Asset Register</x:v>
      </x:c>
      <x:c r="E559" s="339" t="str">
        <x:v>Quantity/capacity</x:v>
      </x:c>
      <x:c r="F559" s="339" t="str">
        <x:v>Issue/reservation quantities cannot exceed available stock/capacity unless explicit override policy applies.</x:v>
      </x:c>
      <x:c r="G559" s="339" t="str">
        <x:v>Requested quantity or capacity is not available.</x:v>
      </x:c>
      <x:c r="H559" s="339" t="str">
        <x:v>On issue/booking</x:v>
      </x:c>
      <x:c r="I559" s="339" t="str">
        <x:v>Yes</x:v>
      </x:c>
    </x:row>
    <x:row r="560">
      <x:c r="A560" s="339" t="str">
        <x:v>VAL-00559</x:v>
      </x:c>
      <x:c r="B560" s="339" t="str">
        <x:v>SCR-240</x:v>
      </x:c>
      <x:c r="C560" s="339" t="str">
        <x:v>Inventory / Assets / Labs</x:v>
      </x:c>
      <x:c r="D560" s="339" t="str">
        <x:v>Asset Assignment / Transfer</x:v>
      </x:c>
      <x:c r="E560" s="339" t="str">
        <x:v>Authorization &amp; scope</x:v>
      </x:c>
      <x:c r="F560" s="339" t="str">
        <x:v>User must have permission for the screen/action and the target record must be inside tenant/school/branch/class scope.</x:v>
      </x:c>
      <x:c r="G560" s="339" t="str">
        <x:v>You do not have permission to perform this action.</x:v>
      </x:c>
      <x:c r="H560" s="339" t="str">
        <x:v>On load and submit</x:v>
      </x:c>
      <x:c r="I560" s="339" t="str">
        <x:v>Yes</x:v>
      </x:c>
    </x:row>
    <x:row r="561">
      <x:c r="A561" s="339" t="str">
        <x:v>VAL-00560</x:v>
      </x:c>
      <x:c r="B561" s="339" t="str">
        <x:v>SCR-240</x:v>
      </x:c>
      <x:c r="C561" s="339" t="str">
        <x:v>Inventory / Assets / Labs</x:v>
      </x:c>
      <x:c r="D561" s="339" t="str">
        <x:v>Asset Assignment / Transfer</x:v>
      </x:c>
      <x:c r="E561" s="339" t="str">
        <x:v>Required/effective references</x:v>
      </x:c>
      <x:c r="F561" s="339" t="str">
        <x:v>Selected master/reference values must exist, be active and effective for the transaction date.</x:v>
      </x:c>
      <x:c r="G561" s="339" t="str">
        <x:v>One or more selected values are no longer valid. Refresh and try again.</x:v>
      </x:c>
      <x:c r="H561" s="339" t="str">
        <x:v>On submit</x:v>
      </x:c>
      <x:c r="I561" s="339" t="str">
        <x:v>Yes</x:v>
      </x:c>
    </x:row>
    <x:row r="562">
      <x:c r="A562" s="339" t="str">
        <x:v>VAL-00561</x:v>
      </x:c>
      <x:c r="B562" s="339" t="str">
        <x:v>SCR-240</x:v>
      </x:c>
      <x:c r="C562" s="339" t="str">
        <x:v>Inventory / Assets / Labs</x:v>
      </x:c>
      <x:c r="D562" s="339" t="str">
        <x:v>Asset Assignment / Transfer</x:v>
      </x:c>
      <x:c r="E562" s="339" t="str">
        <x:v>Quantity/capacity</x:v>
      </x:c>
      <x:c r="F562" s="339" t="str">
        <x:v>Issue/reservation quantities cannot exceed available stock/capacity unless explicit override policy applies.</x:v>
      </x:c>
      <x:c r="G562" s="339" t="str">
        <x:v>Requested quantity or capacity is not available.</x:v>
      </x:c>
      <x:c r="H562" s="339" t="str">
        <x:v>On issue/booking</x:v>
      </x:c>
      <x:c r="I562" s="339" t="str">
        <x:v>Yes</x:v>
      </x:c>
    </x:row>
    <x:row r="563">
      <x:c r="A563" s="339" t="str">
        <x:v>VAL-00562</x:v>
      </x:c>
      <x:c r="B563" s="339" t="str">
        <x:v>SCR-241</x:v>
      </x:c>
      <x:c r="C563" s="339" t="str">
        <x:v>Inventory / Assets / Labs</x:v>
      </x:c>
      <x:c r="D563" s="339" t="str">
        <x:v>Asset Maintenance</x:v>
      </x:c>
      <x:c r="E563" s="339" t="str">
        <x:v>Authorization &amp; scope</x:v>
      </x:c>
      <x:c r="F563" s="339" t="str">
        <x:v>User must have permission for the screen/action and the target record must be inside tenant/school/branch/class scope.</x:v>
      </x:c>
      <x:c r="G563" s="339" t="str">
        <x:v>You do not have permission to perform this action.</x:v>
      </x:c>
      <x:c r="H563" s="339" t="str">
        <x:v>On load and submit</x:v>
      </x:c>
      <x:c r="I563" s="339" t="str">
        <x:v>Yes</x:v>
      </x:c>
    </x:row>
    <x:row r="564">
      <x:c r="A564" s="339" t="str">
        <x:v>VAL-00563</x:v>
      </x:c>
      <x:c r="B564" s="339" t="str">
        <x:v>SCR-241</x:v>
      </x:c>
      <x:c r="C564" s="339" t="str">
        <x:v>Inventory / Assets / Labs</x:v>
      </x:c>
      <x:c r="D564" s="339" t="str">
        <x:v>Asset Maintenance</x:v>
      </x:c>
      <x:c r="E564" s="339" t="str">
        <x:v>Required/effective references</x:v>
      </x:c>
      <x:c r="F564" s="339" t="str">
        <x:v>Selected master/reference values must exist, be active and effective for the transaction date.</x:v>
      </x:c>
      <x:c r="G564" s="339" t="str">
        <x:v>One or more selected values are no longer valid. Refresh and try again.</x:v>
      </x:c>
      <x:c r="H564" s="339" t="str">
        <x:v>On submit</x:v>
      </x:c>
      <x:c r="I564" s="339" t="str">
        <x:v>Yes</x:v>
      </x:c>
    </x:row>
    <x:row r="565">
      <x:c r="A565" s="339" t="str">
        <x:v>VAL-00564</x:v>
      </x:c>
      <x:c r="B565" s="339" t="str">
        <x:v>SCR-241</x:v>
      </x:c>
      <x:c r="C565" s="339" t="str">
        <x:v>Inventory / Assets / Labs</x:v>
      </x:c>
      <x:c r="D565" s="339" t="str">
        <x:v>Asset Maintenance</x:v>
      </x:c>
      <x:c r="E565" s="339" t="str">
        <x:v>Quantity/capacity</x:v>
      </x:c>
      <x:c r="F565" s="339" t="str">
        <x:v>Issue/reservation quantities cannot exceed available stock/capacity unless explicit override policy applies.</x:v>
      </x:c>
      <x:c r="G565" s="339" t="str">
        <x:v>Requested quantity or capacity is not available.</x:v>
      </x:c>
      <x:c r="H565" s="339" t="str">
        <x:v>On issue/booking</x:v>
      </x:c>
      <x:c r="I565" s="339" t="str">
        <x:v>Yes</x:v>
      </x:c>
    </x:row>
    <x:row r="566">
      <x:c r="A566" s="339" t="str">
        <x:v>VAL-00565</x:v>
      </x:c>
      <x:c r="B566" s="339" t="str">
        <x:v>SCR-242</x:v>
      </x:c>
      <x:c r="C566" s="339" t="str">
        <x:v>Inventory / Assets / Labs</x:v>
      </x:c>
      <x:c r="D566" s="339" t="str">
        <x:v>Lab Register</x:v>
      </x:c>
      <x:c r="E566" s="339" t="str">
        <x:v>Authorization &amp; scope</x:v>
      </x:c>
      <x:c r="F566" s="339" t="str">
        <x:v>User must have permission for the screen/action and the target record must be inside tenant/school/branch/class scope.</x:v>
      </x:c>
      <x:c r="G566" s="339" t="str">
        <x:v>You do not have permission to perform this action.</x:v>
      </x:c>
      <x:c r="H566" s="339" t="str">
        <x:v>On load and submit</x:v>
      </x:c>
      <x:c r="I566" s="339" t="str">
        <x:v>Yes</x:v>
      </x:c>
    </x:row>
    <x:row r="567">
      <x:c r="A567" s="339" t="str">
        <x:v>VAL-00566</x:v>
      </x:c>
      <x:c r="B567" s="339" t="str">
        <x:v>SCR-242</x:v>
      </x:c>
      <x:c r="C567" s="339" t="str">
        <x:v>Inventory / Assets / Labs</x:v>
      </x:c>
      <x:c r="D567" s="339" t="str">
        <x:v>Lab Register</x:v>
      </x:c>
      <x:c r="E567" s="339" t="str">
        <x:v>Required/effective references</x:v>
      </x:c>
      <x:c r="F567" s="339" t="str">
        <x:v>Selected master/reference values must exist, be active and effective for the transaction date.</x:v>
      </x:c>
      <x:c r="G567" s="339" t="str">
        <x:v>One or more selected values are no longer valid. Refresh and try again.</x:v>
      </x:c>
      <x:c r="H567" s="339" t="str">
        <x:v>On submit</x:v>
      </x:c>
      <x:c r="I567" s="339" t="str">
        <x:v>Yes</x:v>
      </x:c>
    </x:row>
    <x:row r="568">
      <x:c r="A568" s="339" t="str">
        <x:v>VAL-00567</x:v>
      </x:c>
      <x:c r="B568" s="339" t="str">
        <x:v>SCR-242</x:v>
      </x:c>
      <x:c r="C568" s="339" t="str">
        <x:v>Inventory / Assets / Labs</x:v>
      </x:c>
      <x:c r="D568" s="339" t="str">
        <x:v>Lab Register</x:v>
      </x:c>
      <x:c r="E568" s="339" t="str">
        <x:v>Quantity/capacity</x:v>
      </x:c>
      <x:c r="F568" s="339" t="str">
        <x:v>Issue/reservation quantities cannot exceed available stock/capacity unless explicit override policy applies.</x:v>
      </x:c>
      <x:c r="G568" s="339" t="str">
        <x:v>Requested quantity or capacity is not available.</x:v>
      </x:c>
      <x:c r="H568" s="339" t="str">
        <x:v>On issue/booking</x:v>
      </x:c>
      <x:c r="I568" s="339" t="str">
        <x:v>Yes</x:v>
      </x:c>
    </x:row>
    <x:row r="569">
      <x:c r="A569" s="339" t="str">
        <x:v>VAL-00568</x:v>
      </x:c>
      <x:c r="B569" s="339" t="str">
        <x:v>SCR-243</x:v>
      </x:c>
      <x:c r="C569" s="339" t="str">
        <x:v>Inventory / Assets / Labs</x:v>
      </x:c>
      <x:c r="D569" s="339" t="str">
        <x:v>Lab Equipment &amp; Consumables</x:v>
      </x:c>
      <x:c r="E569" s="339" t="str">
        <x:v>Authorization &amp; scope</x:v>
      </x:c>
      <x:c r="F569" s="339" t="str">
        <x:v>User must have permission for the screen/action and the target record must be inside tenant/school/branch/class scope.</x:v>
      </x:c>
      <x:c r="G569" s="339" t="str">
        <x:v>You do not have permission to perform this action.</x:v>
      </x:c>
      <x:c r="H569" s="339" t="str">
        <x:v>On load and submit</x:v>
      </x:c>
      <x:c r="I569" s="339" t="str">
        <x:v>Yes</x:v>
      </x:c>
    </x:row>
    <x:row r="570">
      <x:c r="A570" s="339" t="str">
        <x:v>VAL-00569</x:v>
      </x:c>
      <x:c r="B570" s="339" t="str">
        <x:v>SCR-243</x:v>
      </x:c>
      <x:c r="C570" s="339" t="str">
        <x:v>Inventory / Assets / Labs</x:v>
      </x:c>
      <x:c r="D570" s="339" t="str">
        <x:v>Lab Equipment &amp; Consumables</x:v>
      </x:c>
      <x:c r="E570" s="339" t="str">
        <x:v>Required/effective references</x:v>
      </x:c>
      <x:c r="F570" s="339" t="str">
        <x:v>Selected master/reference values must exist, be active and effective for the transaction date.</x:v>
      </x:c>
      <x:c r="G570" s="339" t="str">
        <x:v>One or more selected values are no longer valid. Refresh and try again.</x:v>
      </x:c>
      <x:c r="H570" s="339" t="str">
        <x:v>On submit</x:v>
      </x:c>
      <x:c r="I570" s="339" t="str">
        <x:v>Yes</x:v>
      </x:c>
    </x:row>
    <x:row r="571">
      <x:c r="A571" s="339" t="str">
        <x:v>VAL-00570</x:v>
      </x:c>
      <x:c r="B571" s="339" t="str">
        <x:v>SCR-243</x:v>
      </x:c>
      <x:c r="C571" s="339" t="str">
        <x:v>Inventory / Assets / Labs</x:v>
      </x:c>
      <x:c r="D571" s="339" t="str">
        <x:v>Lab Equipment &amp; Consumables</x:v>
      </x:c>
      <x:c r="E571" s="339" t="str">
        <x:v>Quantity/capacity</x:v>
      </x:c>
      <x:c r="F571" s="339" t="str">
        <x:v>Issue/reservation quantities cannot exceed available stock/capacity unless explicit override policy applies.</x:v>
      </x:c>
      <x:c r="G571" s="339" t="str">
        <x:v>Requested quantity or capacity is not available.</x:v>
      </x:c>
      <x:c r="H571" s="339" t="str">
        <x:v>On issue/booking</x:v>
      </x:c>
      <x:c r="I571" s="339" t="str">
        <x:v>Yes</x:v>
      </x:c>
    </x:row>
    <x:row r="572">
      <x:c r="A572" s="339" t="str">
        <x:v>VAL-00571</x:v>
      </x:c>
      <x:c r="B572" s="339" t="str">
        <x:v>SCR-244</x:v>
      </x:c>
      <x:c r="C572" s="339" t="str">
        <x:v>Inventory / Assets / Labs</x:v>
      </x:c>
      <x:c r="D572" s="339" t="str">
        <x:v>Practical / Lab Booking</x:v>
      </x:c>
      <x:c r="E572" s="339" t="str">
        <x:v>Authorization &amp; scope</x:v>
      </x:c>
      <x:c r="F572" s="339" t="str">
        <x:v>User must have permission for the screen/action and the target record must be inside tenant/school/branch/class scope.</x:v>
      </x:c>
      <x:c r="G572" s="339" t="str">
        <x:v>You do not have permission to perform this action.</x:v>
      </x:c>
      <x:c r="H572" s="339" t="str">
        <x:v>On load and submit</x:v>
      </x:c>
      <x:c r="I572" s="339" t="str">
        <x:v>Yes</x:v>
      </x:c>
    </x:row>
    <x:row r="573">
      <x:c r="A573" s="339" t="str">
        <x:v>VAL-00572</x:v>
      </x:c>
      <x:c r="B573" s="339" t="str">
        <x:v>SCR-244</x:v>
      </x:c>
      <x:c r="C573" s="339" t="str">
        <x:v>Inventory / Assets / Labs</x:v>
      </x:c>
      <x:c r="D573" s="339" t="str">
        <x:v>Practical / Lab Booking</x:v>
      </x:c>
      <x:c r="E573" s="339" t="str">
        <x:v>Required/effective references</x:v>
      </x:c>
      <x:c r="F573" s="339" t="str">
        <x:v>Selected master/reference values must exist, be active and effective for the transaction date.</x:v>
      </x:c>
      <x:c r="G573" s="339" t="str">
        <x:v>One or more selected values are no longer valid. Refresh and try again.</x:v>
      </x:c>
      <x:c r="H573" s="339" t="str">
        <x:v>On submit</x:v>
      </x:c>
      <x:c r="I573" s="339" t="str">
        <x:v>Yes</x:v>
      </x:c>
    </x:row>
    <x:row r="574">
      <x:c r="A574" s="339" t="str">
        <x:v>VAL-00573</x:v>
      </x:c>
      <x:c r="B574" s="339" t="str">
        <x:v>SCR-244</x:v>
      </x:c>
      <x:c r="C574" s="339" t="str">
        <x:v>Inventory / Assets / Labs</x:v>
      </x:c>
      <x:c r="D574" s="339" t="str">
        <x:v>Practical / Lab Booking</x:v>
      </x:c>
      <x:c r="E574" s="339" t="str">
        <x:v>Quantity/capacity</x:v>
      </x:c>
      <x:c r="F574" s="339" t="str">
        <x:v>Issue/reservation quantities cannot exceed available stock/capacity unless explicit override policy applies.</x:v>
      </x:c>
      <x:c r="G574" s="339" t="str">
        <x:v>Requested quantity or capacity is not available.</x:v>
      </x:c>
      <x:c r="H574" s="339" t="str">
        <x:v>On issue/booking</x:v>
      </x:c>
      <x:c r="I574" s="339" t="str">
        <x:v>Yes</x:v>
      </x:c>
    </x:row>
    <x:row r="575">
      <x:c r="A575" s="339" t="str">
        <x:v>VAL-00574</x:v>
      </x:c>
      <x:c r="B575" s="339" t="str">
        <x:v>SCR-245</x:v>
      </x:c>
      <x:c r="C575" s="339" t="str">
        <x:v>Inventory / Assets / Labs</x:v>
      </x:c>
      <x:c r="D575" s="339" t="str">
        <x:v>Stock &amp; Asset Reports</x:v>
      </x:c>
      <x:c r="E575" s="339" t="str">
        <x:v>Authorization &amp; scope</x:v>
      </x:c>
      <x:c r="F575" s="339" t="str">
        <x:v>User must have permission for the screen/action and the target record must be inside tenant/school/branch/class scope.</x:v>
      </x:c>
      <x:c r="G575" s="339" t="str">
        <x:v>You do not have permission to perform this action.</x:v>
      </x:c>
      <x:c r="H575" s="339" t="str">
        <x:v>On load and submit</x:v>
      </x:c>
      <x:c r="I575" s="339" t="str">
        <x:v>Yes</x:v>
      </x:c>
    </x:row>
    <x:row r="576">
      <x:c r="A576" s="339" t="str">
        <x:v>VAL-00575</x:v>
      </x:c>
      <x:c r="B576" s="339" t="str">
        <x:v>SCR-245</x:v>
      </x:c>
      <x:c r="C576" s="339" t="str">
        <x:v>Inventory / Assets / Labs</x:v>
      </x:c>
      <x:c r="D576" s="339" t="str">
        <x:v>Stock &amp; Asset Reports</x:v>
      </x:c>
      <x:c r="E576" s="339" t="str">
        <x:v>Required/effective references</x:v>
      </x:c>
      <x:c r="F576" s="339" t="str">
        <x:v>Selected master/reference values must exist, be active and effective for the transaction date.</x:v>
      </x:c>
      <x:c r="G576" s="339" t="str">
        <x:v>One or more selected values are no longer valid. Refresh and try again.</x:v>
      </x:c>
      <x:c r="H576" s="339" t="str">
        <x:v>On submit</x:v>
      </x:c>
      <x:c r="I576" s="339" t="str">
        <x:v>Yes</x:v>
      </x:c>
    </x:row>
    <x:row r="577">
      <x:c r="A577" s="339" t="str">
        <x:v>VAL-00576</x:v>
      </x:c>
      <x:c r="B577" s="339" t="str">
        <x:v>SCR-245</x:v>
      </x:c>
      <x:c r="C577" s="339" t="str">
        <x:v>Inventory / Assets / Labs</x:v>
      </x:c>
      <x:c r="D577" s="339" t="str">
        <x:v>Stock &amp; Asset Reports</x:v>
      </x:c>
      <x:c r="E577" s="339" t="str">
        <x:v>Quantity/capacity</x:v>
      </x:c>
      <x:c r="F577" s="339" t="str">
        <x:v>Issue/reservation quantities cannot exceed available stock/capacity unless explicit override policy applies.</x:v>
      </x:c>
      <x:c r="G577" s="339" t="str">
        <x:v>Requested quantity or capacity is not available.</x:v>
      </x:c>
      <x:c r="H577" s="339" t="str">
        <x:v>On issue/booking</x:v>
      </x:c>
      <x:c r="I577" s="339" t="str">
        <x:v>Yes</x:v>
      </x:c>
    </x:row>
    <x:row r="578">
      <x:c r="A578" s="339" t="str">
        <x:v>VAL-00577</x:v>
      </x:c>
      <x:c r="B578" s="339" t="str">
        <x:v>SCR-246</x:v>
      </x:c>
      <x:c r="C578" s="339" t="str">
        <x:v>Events / PTM / Communication</x:v>
      </x:c>
      <x:c r="D578" s="339" t="str">
        <x:v>Events Calendar</x:v>
      </x:c>
      <x:c r="E578" s="339" t="str">
        <x:v>Authorization &amp; scope</x:v>
      </x:c>
      <x:c r="F578" s="339" t="str">
        <x:v>User must have permission for the screen/action and the target record must be inside tenant/school/branch/class scope.</x:v>
      </x:c>
      <x:c r="G578" s="339" t="str">
        <x:v>You do not have permission to perform this action.</x:v>
      </x:c>
      <x:c r="H578" s="339" t="str">
        <x:v>On load and submit</x:v>
      </x:c>
      <x:c r="I578" s="339" t="str">
        <x:v>Yes</x:v>
      </x:c>
    </x:row>
    <x:row r="579">
      <x:c r="A579" s="339" t="str">
        <x:v>VAL-00578</x:v>
      </x:c>
      <x:c r="B579" s="339" t="str">
        <x:v>SCR-246</x:v>
      </x:c>
      <x:c r="C579" s="339" t="str">
        <x:v>Events / PTM / Communication</x:v>
      </x:c>
      <x:c r="D579" s="339" t="str">
        <x:v>Events Calendar</x:v>
      </x:c>
      <x:c r="E579" s="339" t="str">
        <x:v>Required/effective references</x:v>
      </x:c>
      <x:c r="F579" s="339" t="str">
        <x:v>Selected master/reference values must exist, be active and effective for the transaction date.</x:v>
      </x:c>
      <x:c r="G579" s="339" t="str">
        <x:v>One or more selected values are no longer valid. Refresh and try again.</x:v>
      </x:c>
      <x:c r="H579" s="339" t="str">
        <x:v>On submit</x:v>
      </x:c>
      <x:c r="I579" s="339" t="str">
        <x:v>Yes</x:v>
      </x:c>
    </x:row>
    <x:row r="580">
      <x:c r="A580" s="339" t="str">
        <x:v>VAL-00579</x:v>
      </x:c>
      <x:c r="B580" s="339" t="str">
        <x:v>SCR-247</x:v>
      </x:c>
      <x:c r="C580" s="339" t="str">
        <x:v>Events / PTM / Communication</x:v>
      </x:c>
      <x:c r="D580" s="339" t="str">
        <x:v>Create / Edit Event</x:v>
      </x:c>
      <x:c r="E580" s="339" t="str">
        <x:v>Authorization &amp; scope</x:v>
      </x:c>
      <x:c r="F580" s="339" t="str">
        <x:v>User must have permission for the screen/action and the target record must be inside tenant/school/branch/class scope.</x:v>
      </x:c>
      <x:c r="G580" s="339" t="str">
        <x:v>You do not have permission to perform this action.</x:v>
      </x:c>
      <x:c r="H580" s="339" t="str">
        <x:v>On load and submit</x:v>
      </x:c>
      <x:c r="I580" s="339" t="str">
        <x:v>Yes</x:v>
      </x:c>
    </x:row>
    <x:row r="581">
      <x:c r="A581" s="339" t="str">
        <x:v>VAL-00580</x:v>
      </x:c>
      <x:c r="B581" s="339" t="str">
        <x:v>SCR-247</x:v>
      </x:c>
      <x:c r="C581" s="339" t="str">
        <x:v>Events / PTM / Communication</x:v>
      </x:c>
      <x:c r="D581" s="339" t="str">
        <x:v>Create / Edit Event</x:v>
      </x:c>
      <x:c r="E581" s="339" t="str">
        <x:v>Required/effective references</x:v>
      </x:c>
      <x:c r="F581" s="339" t="str">
        <x:v>Selected master/reference values must exist, be active and effective for the transaction date.</x:v>
      </x:c>
      <x:c r="G581" s="339" t="str">
        <x:v>One or more selected values are no longer valid. Refresh and try again.</x:v>
      </x:c>
      <x:c r="H581" s="339" t="str">
        <x:v>On submit</x:v>
      </x:c>
      <x:c r="I581" s="339" t="str">
        <x:v>Yes</x:v>
      </x:c>
    </x:row>
    <x:row r="582">
      <x:c r="A582" s="339" t="str">
        <x:v>VAL-00581</x:v>
      </x:c>
      <x:c r="B582" s="339" t="str">
        <x:v>SCR-248</x:v>
      </x:c>
      <x:c r="C582" s="339" t="str">
        <x:v>Events / PTM / Communication</x:v>
      </x:c>
      <x:c r="D582" s="339" t="str">
        <x:v>Event Details &amp; Participants</x:v>
      </x:c>
      <x:c r="E582" s="339" t="str">
        <x:v>Authorization &amp; scope</x:v>
      </x:c>
      <x:c r="F582" s="339" t="str">
        <x:v>User must have permission for the screen/action and the target record must be inside tenant/school/branch/class scope.</x:v>
      </x:c>
      <x:c r="G582" s="339" t="str">
        <x:v>You do not have permission to perform this action.</x:v>
      </x:c>
      <x:c r="H582" s="339" t="str">
        <x:v>On load and submit</x:v>
      </x:c>
      <x:c r="I582" s="339" t="str">
        <x:v>Yes</x:v>
      </x:c>
    </x:row>
    <x:row r="583">
      <x:c r="A583" s="339" t="str">
        <x:v>VAL-00582</x:v>
      </x:c>
      <x:c r="B583" s="339" t="str">
        <x:v>SCR-248</x:v>
      </x:c>
      <x:c r="C583" s="339" t="str">
        <x:v>Events / PTM / Communication</x:v>
      </x:c>
      <x:c r="D583" s="339" t="str">
        <x:v>Event Details &amp; Participants</x:v>
      </x:c>
      <x:c r="E583" s="339" t="str">
        <x:v>Required/effective references</x:v>
      </x:c>
      <x:c r="F583" s="339" t="str">
        <x:v>Selected master/reference values must exist, be active and effective for the transaction date.</x:v>
      </x:c>
      <x:c r="G583" s="339" t="str">
        <x:v>One or more selected values are no longer valid. Refresh and try again.</x:v>
      </x:c>
      <x:c r="H583" s="339" t="str">
        <x:v>On submit</x:v>
      </x:c>
      <x:c r="I583" s="339" t="str">
        <x:v>Yes</x:v>
      </x:c>
    </x:row>
    <x:row r="584">
      <x:c r="A584" s="339" t="str">
        <x:v>VAL-00583</x:v>
      </x:c>
      <x:c r="B584" s="339" t="str">
        <x:v>SCR-249</x:v>
      </x:c>
      <x:c r="C584" s="339" t="str">
        <x:v>Events / PTM / Communication</x:v>
      </x:c>
      <x:c r="D584" s="339" t="str">
        <x:v>Field Trip &amp; Parent Consent</x:v>
      </x:c>
      <x:c r="E584" s="339" t="str">
        <x:v>Authorization &amp; scope</x:v>
      </x:c>
      <x:c r="F584" s="339" t="str">
        <x:v>User must have permission for the screen/action and the target record must be inside tenant/school/branch/class scope.</x:v>
      </x:c>
      <x:c r="G584" s="339" t="str">
        <x:v>You do not have permission to perform this action.</x:v>
      </x:c>
      <x:c r="H584" s="339" t="str">
        <x:v>On load and submit</x:v>
      </x:c>
      <x:c r="I584" s="339" t="str">
        <x:v>Yes</x:v>
      </x:c>
    </x:row>
    <x:row r="585">
      <x:c r="A585" s="339" t="str">
        <x:v>VAL-00584</x:v>
      </x:c>
      <x:c r="B585" s="339" t="str">
        <x:v>SCR-249</x:v>
      </x:c>
      <x:c r="C585" s="339" t="str">
        <x:v>Events / PTM / Communication</x:v>
      </x:c>
      <x:c r="D585" s="339" t="str">
        <x:v>Field Trip &amp; Parent Consent</x:v>
      </x:c>
      <x:c r="E585" s="339" t="str">
        <x:v>Required/effective references</x:v>
      </x:c>
      <x:c r="F585" s="339" t="str">
        <x:v>Selected master/reference values must exist, be active and effective for the transaction date.</x:v>
      </x:c>
      <x:c r="G585" s="339" t="str">
        <x:v>One or more selected values are no longer valid. Refresh and try again.</x:v>
      </x:c>
      <x:c r="H585" s="339" t="str">
        <x:v>On submit</x:v>
      </x:c>
      <x:c r="I585" s="339" t="str">
        <x:v>Yes</x:v>
      </x:c>
    </x:row>
    <x:row r="586">
      <x:c r="A586" s="339" t="str">
        <x:v>VAL-00585</x:v>
      </x:c>
      <x:c r="B586" s="339" t="str">
        <x:v>SCR-250</x:v>
      </x:c>
      <x:c r="C586" s="339" t="str">
        <x:v>Events / PTM / Communication</x:v>
      </x:c>
      <x:c r="D586" s="339" t="str">
        <x:v>PTM Setup</x:v>
      </x:c>
      <x:c r="E586" s="339" t="str">
        <x:v>Authorization &amp; scope</x:v>
      </x:c>
      <x:c r="F586" s="339" t="str">
        <x:v>User must have permission for the screen/action and the target record must be inside tenant/school/branch/class scope.</x:v>
      </x:c>
      <x:c r="G586" s="339" t="str">
        <x:v>You do not have permission to perform this action.</x:v>
      </x:c>
      <x:c r="H586" s="339" t="str">
        <x:v>On load and submit</x:v>
      </x:c>
      <x:c r="I586" s="339" t="str">
        <x:v>Yes</x:v>
      </x:c>
    </x:row>
    <x:row r="587">
      <x:c r="A587" s="339" t="str">
        <x:v>VAL-00586</x:v>
      </x:c>
      <x:c r="B587" s="339" t="str">
        <x:v>SCR-250</x:v>
      </x:c>
      <x:c r="C587" s="339" t="str">
        <x:v>Events / PTM / Communication</x:v>
      </x:c>
      <x:c r="D587" s="339" t="str">
        <x:v>PTM Setup</x:v>
      </x:c>
      <x:c r="E587" s="339" t="str">
        <x:v>Required/effective references</x:v>
      </x:c>
      <x:c r="F587" s="339" t="str">
        <x:v>Selected master/reference values must exist, be active and effective for the transaction date.</x:v>
      </x:c>
      <x:c r="G587" s="339" t="str">
        <x:v>One or more selected values are no longer valid. Refresh and try again.</x:v>
      </x:c>
      <x:c r="H587" s="339" t="str">
        <x:v>On submit</x:v>
      </x:c>
      <x:c r="I587" s="339" t="str">
        <x:v>Yes</x:v>
      </x:c>
    </x:row>
    <x:row r="588">
      <x:c r="A588" s="339" t="str">
        <x:v>VAL-00587</x:v>
      </x:c>
      <x:c r="B588" s="339" t="str">
        <x:v>SCR-251</x:v>
      </x:c>
      <x:c r="C588" s="339" t="str">
        <x:v>Events / PTM / Communication</x:v>
      </x:c>
      <x:c r="D588" s="339" t="str">
        <x:v>PTM Slot Booking</x:v>
      </x:c>
      <x:c r="E588" s="339" t="str">
        <x:v>Authorization &amp; scope</x:v>
      </x:c>
      <x:c r="F588" s="339" t="str">
        <x:v>User must have permission for the screen/action and the target record must be inside tenant/school/branch/class scope.</x:v>
      </x:c>
      <x:c r="G588" s="339" t="str">
        <x:v>You do not have permission to perform this action.</x:v>
      </x:c>
      <x:c r="H588" s="339" t="str">
        <x:v>On load and submit</x:v>
      </x:c>
      <x:c r="I588" s="339" t="str">
        <x:v>Yes</x:v>
      </x:c>
    </x:row>
    <x:row r="589">
      <x:c r="A589" s="339" t="str">
        <x:v>VAL-00588</x:v>
      </x:c>
      <x:c r="B589" s="339" t="str">
        <x:v>SCR-251</x:v>
      </x:c>
      <x:c r="C589" s="339" t="str">
        <x:v>Events / PTM / Communication</x:v>
      </x:c>
      <x:c r="D589" s="339" t="str">
        <x:v>PTM Slot Booking</x:v>
      </x:c>
      <x:c r="E589" s="339" t="str">
        <x:v>Required/effective references</x:v>
      </x:c>
      <x:c r="F589" s="339" t="str">
        <x:v>Selected master/reference values must exist, be active and effective for the transaction date.</x:v>
      </x:c>
      <x:c r="G589" s="339" t="str">
        <x:v>One or more selected values are no longer valid. Refresh and try again.</x:v>
      </x:c>
      <x:c r="H589" s="339" t="str">
        <x:v>On submit</x:v>
      </x:c>
      <x:c r="I589" s="339" t="str">
        <x:v>Yes</x:v>
      </x:c>
    </x:row>
    <x:row r="590">
      <x:c r="A590" s="339" t="str">
        <x:v>VAL-00589</x:v>
      </x:c>
      <x:c r="B590" s="339" t="str">
        <x:v>SCR-252</x:v>
      </x:c>
      <x:c r="C590" s="339" t="str">
        <x:v>Events / PTM / Communication</x:v>
      </x:c>
      <x:c r="D590" s="339" t="str">
        <x:v>Announcements</x:v>
      </x:c>
      <x:c r="E590" s="339" t="str">
        <x:v>Authorization &amp; scope</x:v>
      </x:c>
      <x:c r="F590" s="339" t="str">
        <x:v>User must have permission for the screen/action and the target record must be inside tenant/school/branch/class scope.</x:v>
      </x:c>
      <x:c r="G590" s="339" t="str">
        <x:v>You do not have permission to perform this action.</x:v>
      </x:c>
      <x:c r="H590" s="339" t="str">
        <x:v>On load and submit</x:v>
      </x:c>
      <x:c r="I590" s="339" t="str">
        <x:v>Yes</x:v>
      </x:c>
    </x:row>
    <x:row r="591">
      <x:c r="A591" s="339" t="str">
        <x:v>VAL-00590</x:v>
      </x:c>
      <x:c r="B591" s="339" t="str">
        <x:v>SCR-252</x:v>
      </x:c>
      <x:c r="C591" s="339" t="str">
        <x:v>Events / PTM / Communication</x:v>
      </x:c>
      <x:c r="D591" s="339" t="str">
        <x:v>Announcements</x:v>
      </x:c>
      <x:c r="E591" s="339" t="str">
        <x:v>Required/effective references</x:v>
      </x:c>
      <x:c r="F591" s="339" t="str">
        <x:v>Selected master/reference values must exist, be active and effective for the transaction date.</x:v>
      </x:c>
      <x:c r="G591" s="339" t="str">
        <x:v>One or more selected values are no longer valid. Refresh and try again.</x:v>
      </x:c>
      <x:c r="H591" s="339" t="str">
        <x:v>On submit</x:v>
      </x:c>
      <x:c r="I591" s="339" t="str">
        <x:v>Yes</x:v>
      </x:c>
    </x:row>
    <x:row r="592">
      <x:c r="A592" s="339" t="str">
        <x:v>VAL-00591</x:v>
      </x:c>
      <x:c r="B592" s="339" t="str">
        <x:v>SCR-253</x:v>
      </x:c>
      <x:c r="C592" s="339" t="str">
        <x:v>Events / PTM / Communication</x:v>
      </x:c>
      <x:c r="D592" s="339" t="str">
        <x:v>Messaging / Inbox</x:v>
      </x:c>
      <x:c r="E592" s="339" t="str">
        <x:v>Authorization &amp; scope</x:v>
      </x:c>
      <x:c r="F592" s="339" t="str">
        <x:v>User must have permission for the screen/action and the target record must be inside tenant/school/branch/class scope.</x:v>
      </x:c>
      <x:c r="G592" s="339" t="str">
        <x:v>You do not have permission to perform this action.</x:v>
      </x:c>
      <x:c r="H592" s="339" t="str">
        <x:v>On load and submit</x:v>
      </x:c>
      <x:c r="I592" s="339" t="str">
        <x:v>Yes</x:v>
      </x:c>
    </x:row>
    <x:row r="593">
      <x:c r="A593" s="339" t="str">
        <x:v>VAL-00592</x:v>
      </x:c>
      <x:c r="B593" s="339" t="str">
        <x:v>SCR-253</x:v>
      </x:c>
      <x:c r="C593" s="339" t="str">
        <x:v>Events / PTM / Communication</x:v>
      </x:c>
      <x:c r="D593" s="339" t="str">
        <x:v>Messaging / Inbox</x:v>
      </x:c>
      <x:c r="E593" s="339" t="str">
        <x:v>Required/effective references</x:v>
      </x:c>
      <x:c r="F593" s="339" t="str">
        <x:v>Selected master/reference values must exist, be active and effective for the transaction date.</x:v>
      </x:c>
      <x:c r="G593" s="339" t="str">
        <x:v>One or more selected values are no longer valid. Refresh and try again.</x:v>
      </x:c>
      <x:c r="H593" s="339" t="str">
        <x:v>On submit</x:v>
      </x:c>
      <x:c r="I593" s="339" t="str">
        <x:v>Yes</x:v>
      </x:c>
    </x:row>
    <x:row r="594">
      <x:c r="A594" s="339" t="str">
        <x:v>VAL-00593</x:v>
      </x:c>
      <x:c r="B594" s="339" t="str">
        <x:v>SCR-254</x:v>
      </x:c>
      <x:c r="C594" s="339" t="str">
        <x:v>Events / PTM / Communication</x:v>
      </x:c>
      <x:c r="D594" s="339" t="str">
        <x:v>Notification Campaigns</x:v>
      </x:c>
      <x:c r="E594" s="339" t="str">
        <x:v>Authorization &amp; scope</x:v>
      </x:c>
      <x:c r="F594" s="339" t="str">
        <x:v>User must have permission for the screen/action and the target record must be inside tenant/school/branch/class scope.</x:v>
      </x:c>
      <x:c r="G594" s="339" t="str">
        <x:v>You do not have permission to perform this action.</x:v>
      </x:c>
      <x:c r="H594" s="339" t="str">
        <x:v>On load and submit</x:v>
      </x:c>
      <x:c r="I594" s="339" t="str">
        <x:v>Yes</x:v>
      </x:c>
    </x:row>
    <x:row r="595">
      <x:c r="A595" s="339" t="str">
        <x:v>VAL-00594</x:v>
      </x:c>
      <x:c r="B595" s="339" t="str">
        <x:v>SCR-254</x:v>
      </x:c>
      <x:c r="C595" s="339" t="str">
        <x:v>Events / PTM / Communication</x:v>
      </x:c>
      <x:c r="D595" s="339" t="str">
        <x:v>Notification Campaigns</x:v>
      </x:c>
      <x:c r="E595" s="339" t="str">
        <x:v>Required/effective references</x:v>
      </x:c>
      <x:c r="F595" s="339" t="str">
        <x:v>Selected master/reference values must exist, be active and effective for the transaction date.</x:v>
      </x:c>
      <x:c r="G595" s="339" t="str">
        <x:v>One or more selected values are no longer valid. Refresh and try again.</x:v>
      </x:c>
      <x:c r="H595" s="339" t="str">
        <x:v>On submit</x:v>
      </x:c>
      <x:c r="I595" s="339" t="str">
        <x:v>Yes</x:v>
      </x:c>
    </x:row>
    <x:row r="596">
      <x:c r="A596" s="339" t="str">
        <x:v>VAL-00595</x:v>
      </x:c>
      <x:c r="B596" s="339" t="str">
        <x:v>SCR-255</x:v>
      </x:c>
      <x:c r="C596" s="339" t="str">
        <x:v>Events / PTM / Communication</x:v>
      </x:c>
      <x:c r="D596" s="339" t="str">
        <x:v>Communication History</x:v>
      </x:c>
      <x:c r="E596" s="339" t="str">
        <x:v>Authorization &amp; scope</x:v>
      </x:c>
      <x:c r="F596" s="339" t="str">
        <x:v>User must have permission for the screen/action and the target record must be inside tenant/school/branch/class scope.</x:v>
      </x:c>
      <x:c r="G596" s="339" t="str">
        <x:v>You do not have permission to perform this action.</x:v>
      </x:c>
      <x:c r="H596" s="339" t="str">
        <x:v>On load and submit</x:v>
      </x:c>
      <x:c r="I596" s="339" t="str">
        <x:v>Yes</x:v>
      </x:c>
    </x:row>
    <x:row r="597">
      <x:c r="A597" s="339" t="str">
        <x:v>VAL-00596</x:v>
      </x:c>
      <x:c r="B597" s="339" t="str">
        <x:v>SCR-255</x:v>
      </x:c>
      <x:c r="C597" s="339" t="str">
        <x:v>Events / PTM / Communication</x:v>
      </x:c>
      <x:c r="D597" s="339" t="str">
        <x:v>Communication History</x:v>
      </x:c>
      <x:c r="E597" s="339" t="str">
        <x:v>Required/effective references</x:v>
      </x:c>
      <x:c r="F597" s="339" t="str">
        <x:v>Selected master/reference values must exist, be active and effective for the transaction date.</x:v>
      </x:c>
      <x:c r="G597" s="339" t="str">
        <x:v>One or more selected values are no longer valid. Refresh and try again.</x:v>
      </x:c>
      <x:c r="H597" s="339" t="str">
        <x:v>On submit</x:v>
      </x:c>
      <x:c r="I597" s="339" t="str">
        <x:v>Yes</x:v>
      </x:c>
    </x:row>
    <x:row r="598">
      <x:c r="A598" s="339" t="str">
        <x:v>VAL-00597</x:v>
      </x:c>
      <x:c r="B598" s="339" t="str">
        <x:v>SCR-256</x:v>
      </x:c>
      <x:c r="C598" s="339" t="str">
        <x:v>Documents &amp; Certificates</x:v>
      </x:c>
      <x:c r="D598" s="339" t="str">
        <x:v>Document Repository</x:v>
      </x:c>
      <x:c r="E598" s="339" t="str">
        <x:v>Authorization &amp; scope</x:v>
      </x:c>
      <x:c r="F598" s="339" t="str">
        <x:v>User must have permission for the screen/action and the target record must be inside tenant/school/branch/class scope.</x:v>
      </x:c>
      <x:c r="G598" s="339" t="str">
        <x:v>You do not have permission to perform this action.</x:v>
      </x:c>
      <x:c r="H598" s="339" t="str">
        <x:v>On load and submit</x:v>
      </x:c>
      <x:c r="I598" s="339" t="str">
        <x:v>Yes</x:v>
      </x:c>
    </x:row>
    <x:row r="599">
      <x:c r="A599" s="339" t="str">
        <x:v>VAL-00598</x:v>
      </x:c>
      <x:c r="B599" s="339" t="str">
        <x:v>SCR-256</x:v>
      </x:c>
      <x:c r="C599" s="339" t="str">
        <x:v>Documents &amp; Certificates</x:v>
      </x:c>
      <x:c r="D599" s="339" t="str">
        <x:v>Document Repository</x:v>
      </x:c>
      <x:c r="E599" s="339" t="str">
        <x:v>Required/effective references</x:v>
      </x:c>
      <x:c r="F599" s="339" t="str">
        <x:v>Selected master/reference values must exist, be active and effective for the transaction date.</x:v>
      </x:c>
      <x:c r="G599" s="339" t="str">
        <x:v>One or more selected values are no longer valid. Refresh and try again.</x:v>
      </x:c>
      <x:c r="H599" s="339" t="str">
        <x:v>On submit</x:v>
      </x:c>
      <x:c r="I599" s="339" t="str">
        <x:v>Yes</x:v>
      </x:c>
    </x:row>
    <x:row r="600">
      <x:c r="A600" s="339" t="str">
        <x:v>VAL-00599</x:v>
      </x:c>
      <x:c r="B600" s="339" t="str">
        <x:v>SCR-257</x:v>
      </x:c>
      <x:c r="C600" s="339" t="str">
        <x:v>Documents &amp; Certificates</x:v>
      </x:c>
      <x:c r="D600" s="339" t="str">
        <x:v>Student Documents</x:v>
      </x:c>
      <x:c r="E600" s="339" t="str">
        <x:v>Authorization &amp; scope</x:v>
      </x:c>
      <x:c r="F600" s="339" t="str">
        <x:v>User must have permission for the screen/action and the target record must be inside tenant/school/branch/class scope.</x:v>
      </x:c>
      <x:c r="G600" s="339" t="str">
        <x:v>You do not have permission to perform this action.</x:v>
      </x:c>
      <x:c r="H600" s="339" t="str">
        <x:v>On load and submit</x:v>
      </x:c>
      <x:c r="I600" s="339" t="str">
        <x:v>Yes</x:v>
      </x:c>
    </x:row>
    <x:row r="601">
      <x:c r="A601" s="339" t="str">
        <x:v>VAL-00600</x:v>
      </x:c>
      <x:c r="B601" s="339" t="str">
        <x:v>SCR-257</x:v>
      </x:c>
      <x:c r="C601" s="339" t="str">
        <x:v>Documents &amp; Certificates</x:v>
      </x:c>
      <x:c r="D601" s="339" t="str">
        <x:v>Student Documents</x:v>
      </x:c>
      <x:c r="E601" s="339" t="str">
        <x:v>Required/effective references</x:v>
      </x:c>
      <x:c r="F601" s="339" t="str">
        <x:v>Selected master/reference values must exist, be active and effective for the transaction date.</x:v>
      </x:c>
      <x:c r="G601" s="339" t="str">
        <x:v>One or more selected values are no longer valid. Refresh and try again.</x:v>
      </x:c>
      <x:c r="H601" s="339" t="str">
        <x:v>On submit</x:v>
      </x:c>
      <x:c r="I601" s="339" t="str">
        <x:v>Yes</x:v>
      </x:c>
    </x:row>
    <x:row r="602">
      <x:c r="A602" s="339" t="str">
        <x:v>VAL-00601</x:v>
      </x:c>
      <x:c r="B602" s="339" t="str">
        <x:v>SCR-258</x:v>
      </x:c>
      <x:c r="C602" s="339" t="str">
        <x:v>Documents &amp; Certificates</x:v>
      </x:c>
      <x:c r="D602" s="339" t="str">
        <x:v>Staff Documents</x:v>
      </x:c>
      <x:c r="E602" s="339" t="str">
        <x:v>Authorization &amp; scope</x:v>
      </x:c>
      <x:c r="F602" s="339" t="str">
        <x:v>User must have permission for the screen/action and the target record must be inside tenant/school/branch/class scope.</x:v>
      </x:c>
      <x:c r="G602" s="339" t="str">
        <x:v>You do not have permission to perform this action.</x:v>
      </x:c>
      <x:c r="H602" s="339" t="str">
        <x:v>On load and submit</x:v>
      </x:c>
      <x:c r="I602" s="339" t="str">
        <x:v>Yes</x:v>
      </x:c>
    </x:row>
    <x:row r="603">
      <x:c r="A603" s="339" t="str">
        <x:v>VAL-00602</x:v>
      </x:c>
      <x:c r="B603" s="339" t="str">
        <x:v>SCR-258</x:v>
      </x:c>
      <x:c r="C603" s="339" t="str">
        <x:v>Documents &amp; Certificates</x:v>
      </x:c>
      <x:c r="D603" s="339" t="str">
        <x:v>Staff Documents</x:v>
      </x:c>
      <x:c r="E603" s="339" t="str">
        <x:v>Required/effective references</x:v>
      </x:c>
      <x:c r="F603" s="339" t="str">
        <x:v>Selected master/reference values must exist, be active and effective for the transaction date.</x:v>
      </x:c>
      <x:c r="G603" s="339" t="str">
        <x:v>One or more selected values are no longer valid. Refresh and try again.</x:v>
      </x:c>
      <x:c r="H603" s="339" t="str">
        <x:v>On submit</x:v>
      </x:c>
      <x:c r="I603" s="339" t="str">
        <x:v>Yes</x:v>
      </x:c>
    </x:row>
    <x:row r="604">
      <x:c r="A604" s="339" t="str">
        <x:v>VAL-00603</x:v>
      </x:c>
      <x:c r="B604" s="339" t="str">
        <x:v>SCR-259</x:v>
      </x:c>
      <x:c r="C604" s="339" t="str">
        <x:v>Documents &amp; Certificates</x:v>
      </x:c>
      <x:c r="D604" s="339" t="str">
        <x:v>Upload &amp; Verification</x:v>
      </x:c>
      <x:c r="E604" s="339" t="str">
        <x:v>Authorization &amp; scope</x:v>
      </x:c>
      <x:c r="F604" s="339" t="str">
        <x:v>User must have permission for the screen/action and the target record must be inside tenant/school/branch/class scope.</x:v>
      </x:c>
      <x:c r="G604" s="339" t="str">
        <x:v>You do not have permission to perform this action.</x:v>
      </x:c>
      <x:c r="H604" s="339" t="str">
        <x:v>On load and submit</x:v>
      </x:c>
      <x:c r="I604" s="339" t="str">
        <x:v>Yes</x:v>
      </x:c>
    </x:row>
    <x:row r="605">
      <x:c r="A605" s="339" t="str">
        <x:v>VAL-00604</x:v>
      </x:c>
      <x:c r="B605" s="339" t="str">
        <x:v>SCR-259</x:v>
      </x:c>
      <x:c r="C605" s="339" t="str">
        <x:v>Documents &amp; Certificates</x:v>
      </x:c>
      <x:c r="D605" s="339" t="str">
        <x:v>Upload &amp; Verification</x:v>
      </x:c>
      <x:c r="E605" s="339" t="str">
        <x:v>Required/effective references</x:v>
      </x:c>
      <x:c r="F605" s="339" t="str">
        <x:v>Selected master/reference values must exist, be active and effective for the transaction date.</x:v>
      </x:c>
      <x:c r="G605" s="339" t="str">
        <x:v>One or more selected values are no longer valid. Refresh and try again.</x:v>
      </x:c>
      <x:c r="H605" s="339" t="str">
        <x:v>On submit</x:v>
      </x:c>
      <x:c r="I605" s="339" t="str">
        <x:v>Yes</x:v>
      </x:c>
    </x:row>
    <x:row r="606">
      <x:c r="A606" s="339" t="str">
        <x:v>VAL-00605</x:v>
      </x:c>
      <x:c r="B606" s="339" t="str">
        <x:v>SCR-260</x:v>
      </x:c>
      <x:c r="C606" s="339" t="str">
        <x:v>Documents &amp; Certificates</x:v>
      </x:c>
      <x:c r="D606" s="339" t="str">
        <x:v>Certificate Templates</x:v>
      </x:c>
      <x:c r="E606" s="339" t="str">
        <x:v>Authorization &amp; scope</x:v>
      </x:c>
      <x:c r="F606" s="339" t="str">
        <x:v>User must have permission for the screen/action and the target record must be inside tenant/school/branch/class scope.</x:v>
      </x:c>
      <x:c r="G606" s="339" t="str">
        <x:v>You do not have permission to perform this action.</x:v>
      </x:c>
      <x:c r="H606" s="339" t="str">
        <x:v>On load and submit</x:v>
      </x:c>
      <x:c r="I606" s="339" t="str">
        <x:v>Yes</x:v>
      </x:c>
    </x:row>
    <x:row r="607">
      <x:c r="A607" s="339" t="str">
        <x:v>VAL-00606</x:v>
      </x:c>
      <x:c r="B607" s="339" t="str">
        <x:v>SCR-260</x:v>
      </x:c>
      <x:c r="C607" s="339" t="str">
        <x:v>Documents &amp; Certificates</x:v>
      </x:c>
      <x:c r="D607" s="339" t="str">
        <x:v>Certificate Templates</x:v>
      </x:c>
      <x:c r="E607" s="339" t="str">
        <x:v>Required/effective references</x:v>
      </x:c>
      <x:c r="F607" s="339" t="str">
        <x:v>Selected master/reference values must exist, be active and effective for the transaction date.</x:v>
      </x:c>
      <x:c r="G607" s="339" t="str">
        <x:v>One or more selected values are no longer valid. Refresh and try again.</x:v>
      </x:c>
      <x:c r="H607" s="339" t="str">
        <x:v>On submit</x:v>
      </x:c>
      <x:c r="I607" s="339" t="str">
        <x:v>Yes</x:v>
      </x:c>
    </x:row>
    <x:row r="608">
      <x:c r="A608" s="339" t="str">
        <x:v>VAL-00607</x:v>
      </x:c>
      <x:c r="B608" s="339" t="str">
        <x:v>SCR-261</x:v>
      </x:c>
      <x:c r="C608" s="339" t="str">
        <x:v>Documents &amp; Certificates</x:v>
      </x:c>
      <x:c r="D608" s="339" t="str">
        <x:v>Generate Certificate</x:v>
      </x:c>
      <x:c r="E608" s="339" t="str">
        <x:v>Authorization &amp; scope</x:v>
      </x:c>
      <x:c r="F608" s="339" t="str">
        <x:v>User must have permission for the screen/action and the target record must be inside tenant/school/branch/class scope.</x:v>
      </x:c>
      <x:c r="G608" s="339" t="str">
        <x:v>You do not have permission to perform this action.</x:v>
      </x:c>
      <x:c r="H608" s="339" t="str">
        <x:v>On load and submit</x:v>
      </x:c>
      <x:c r="I608" s="339" t="str">
        <x:v>Yes</x:v>
      </x:c>
    </x:row>
    <x:row r="609">
      <x:c r="A609" s="339" t="str">
        <x:v>VAL-00608</x:v>
      </x:c>
      <x:c r="B609" s="339" t="str">
        <x:v>SCR-261</x:v>
      </x:c>
      <x:c r="C609" s="339" t="str">
        <x:v>Documents &amp; Certificates</x:v>
      </x:c>
      <x:c r="D609" s="339" t="str">
        <x:v>Generate Certificate</x:v>
      </x:c>
      <x:c r="E609" s="339" t="str">
        <x:v>Required/effective references</x:v>
      </x:c>
      <x:c r="F609" s="339" t="str">
        <x:v>Selected master/reference values must exist, be active and effective for the transaction date.</x:v>
      </x:c>
      <x:c r="G609" s="339" t="str">
        <x:v>One or more selected values are no longer valid. Refresh and try again.</x:v>
      </x:c>
      <x:c r="H609" s="339" t="str">
        <x:v>On submit</x:v>
      </x:c>
      <x:c r="I609" s="339" t="str">
        <x:v>Yes</x:v>
      </x:c>
    </x:row>
    <x:row r="610">
      <x:c r="A610" s="339" t="str">
        <x:v>VAL-00609</x:v>
      </x:c>
      <x:c r="B610" s="339" t="str">
        <x:v>SCR-262</x:v>
      </x:c>
      <x:c r="C610" s="339" t="str">
        <x:v>Documents &amp; Certificates</x:v>
      </x:c>
      <x:c r="D610" s="339" t="str">
        <x:v>Transfer Certificate</x:v>
      </x:c>
      <x:c r="E610" s="339" t="str">
        <x:v>Authorization &amp; scope</x:v>
      </x:c>
      <x:c r="F610" s="339" t="str">
        <x:v>User must have permission for the screen/action and the target record must be inside tenant/school/branch/class scope.</x:v>
      </x:c>
      <x:c r="G610" s="339" t="str">
        <x:v>You do not have permission to perform this action.</x:v>
      </x:c>
      <x:c r="H610" s="339" t="str">
        <x:v>On load and submit</x:v>
      </x:c>
      <x:c r="I610" s="339" t="str">
        <x:v>Yes</x:v>
      </x:c>
    </x:row>
    <x:row r="611">
      <x:c r="A611" s="339" t="str">
        <x:v>VAL-00610</x:v>
      </x:c>
      <x:c r="B611" s="339" t="str">
        <x:v>SCR-262</x:v>
      </x:c>
      <x:c r="C611" s="339" t="str">
        <x:v>Documents &amp; Certificates</x:v>
      </x:c>
      <x:c r="D611" s="339" t="str">
        <x:v>Transfer Certificate</x:v>
      </x:c>
      <x:c r="E611" s="339" t="str">
        <x:v>Required/effective references</x:v>
      </x:c>
      <x:c r="F611" s="339" t="str">
        <x:v>Selected master/reference values must exist, be active and effective for the transaction date.</x:v>
      </x:c>
      <x:c r="G611" s="339" t="str">
        <x:v>One or more selected values are no longer valid. Refresh and try again.</x:v>
      </x:c>
      <x:c r="H611" s="339" t="str">
        <x:v>On submit</x:v>
      </x:c>
      <x:c r="I611" s="339" t="str">
        <x:v>Yes</x:v>
      </x:c>
    </x:row>
    <x:row r="612">
      <x:c r="A612" s="339" t="str">
        <x:v>VAL-00611</x:v>
      </x:c>
      <x:c r="B612" s="339" t="str">
        <x:v>SCR-263</x:v>
      </x:c>
      <x:c r="C612" s="339" t="str">
        <x:v>Documents &amp; Certificates</x:v>
      </x:c>
      <x:c r="D612" s="339" t="str">
        <x:v>Certificate Register</x:v>
      </x:c>
      <x:c r="E612" s="339" t="str">
        <x:v>Authorization &amp; scope</x:v>
      </x:c>
      <x:c r="F612" s="339" t="str">
        <x:v>User must have permission for the screen/action and the target record must be inside tenant/school/branch/class scope.</x:v>
      </x:c>
      <x:c r="G612" s="339" t="str">
        <x:v>You do not have permission to perform this action.</x:v>
      </x:c>
      <x:c r="H612" s="339" t="str">
        <x:v>On load and submit</x:v>
      </x:c>
      <x:c r="I612" s="339" t="str">
        <x:v>Yes</x:v>
      </x:c>
    </x:row>
    <x:row r="613">
      <x:c r="A613" s="339" t="str">
        <x:v>VAL-00612</x:v>
      </x:c>
      <x:c r="B613" s="339" t="str">
        <x:v>SCR-263</x:v>
      </x:c>
      <x:c r="C613" s="339" t="str">
        <x:v>Documents &amp; Certificates</x:v>
      </x:c>
      <x:c r="D613" s="339" t="str">
        <x:v>Certificate Register</x:v>
      </x:c>
      <x:c r="E613" s="339" t="str">
        <x:v>Required/effective references</x:v>
      </x:c>
      <x:c r="F613" s="339" t="str">
        <x:v>Selected master/reference values must exist, be active and effective for the transaction date.</x:v>
      </x:c>
      <x:c r="G613" s="339" t="str">
        <x:v>One or more selected values are no longer valid. Refresh and try again.</x:v>
      </x:c>
      <x:c r="H613" s="339" t="str">
        <x:v>On submit</x:v>
      </x:c>
      <x:c r="I613" s="339" t="str">
        <x:v>Yes</x:v>
      </x:c>
    </x:row>
    <x:row r="614">
      <x:c r="A614" s="339" t="str">
        <x:v>VAL-00613</x:v>
      </x:c>
      <x:c r="B614" s="339" t="str">
        <x:v>SCR-264</x:v>
      </x:c>
      <x:c r="C614" s="339" t="str">
        <x:v>Reports &amp; Analytics</x:v>
      </x:c>
      <x:c r="D614" s="339" t="str">
        <x:v>Executive Analytics Dashboard</x:v>
      </x:c>
      <x:c r="E614" s="339" t="str">
        <x:v>Authorization &amp; scope</x:v>
      </x:c>
      <x:c r="F614" s="339" t="str">
        <x:v>User must have permission for the screen/action and the target record must be inside tenant/school/branch/class scope.</x:v>
      </x:c>
      <x:c r="G614" s="339" t="str">
        <x:v>You do not have permission to perform this action.</x:v>
      </x:c>
      <x:c r="H614" s="339" t="str">
        <x:v>On load and submit</x:v>
      </x:c>
      <x:c r="I614" s="339" t="str">
        <x:v>Yes</x:v>
      </x:c>
    </x:row>
    <x:row r="615">
      <x:c r="A615" s="339" t="str">
        <x:v>VAL-00614</x:v>
      </x:c>
      <x:c r="B615" s="339" t="str">
        <x:v>SCR-264</x:v>
      </x:c>
      <x:c r="C615" s="339" t="str">
        <x:v>Reports &amp; Analytics</x:v>
      </x:c>
      <x:c r="D615" s="339" t="str">
        <x:v>Executive Analytics Dashboard</x:v>
      </x:c>
      <x:c r="E615" s="339" t="str">
        <x:v>Required/effective references</x:v>
      </x:c>
      <x:c r="F615" s="339" t="str">
        <x:v>Selected master/reference values must exist, be active and effective for the transaction date.</x:v>
      </x:c>
      <x:c r="G615" s="339" t="str">
        <x:v>One or more selected values are no longer valid. Refresh and try again.</x:v>
      </x:c>
      <x:c r="H615" s="339" t="str">
        <x:v>On submit</x:v>
      </x:c>
      <x:c r="I615" s="339" t="str">
        <x:v>Yes</x:v>
      </x:c>
    </x:row>
    <x:row r="616">
      <x:c r="A616" s="339" t="str">
        <x:v>VAL-00615</x:v>
      </x:c>
      <x:c r="B616" s="339" t="str">
        <x:v>SCR-265</x:v>
      </x:c>
      <x:c r="C616" s="339" t="str">
        <x:v>Reports &amp; Analytics</x:v>
      </x:c>
      <x:c r="D616" s="339" t="str">
        <x:v>Admission Reports</x:v>
      </x:c>
      <x:c r="E616" s="339" t="str">
        <x:v>Authorization &amp; scope</x:v>
      </x:c>
      <x:c r="F616" s="339" t="str">
        <x:v>User must have permission for the screen/action and the target record must be inside tenant/school/branch/class scope.</x:v>
      </x:c>
      <x:c r="G616" s="339" t="str">
        <x:v>You do not have permission to perform this action.</x:v>
      </x:c>
      <x:c r="H616" s="339" t="str">
        <x:v>On load and submit</x:v>
      </x:c>
      <x:c r="I616" s="339" t="str">
        <x:v>Yes</x:v>
      </x:c>
    </x:row>
    <x:row r="617">
      <x:c r="A617" s="339" t="str">
        <x:v>VAL-00616</x:v>
      </x:c>
      <x:c r="B617" s="339" t="str">
        <x:v>SCR-265</x:v>
      </x:c>
      <x:c r="C617" s="339" t="str">
        <x:v>Reports &amp; Analytics</x:v>
      </x:c>
      <x:c r="D617" s="339" t="str">
        <x:v>Admission Reports</x:v>
      </x:c>
      <x:c r="E617" s="339" t="str">
        <x:v>Required/effective references</x:v>
      </x:c>
      <x:c r="F617" s="339" t="str">
        <x:v>Selected master/reference values must exist, be active and effective for the transaction date.</x:v>
      </x:c>
      <x:c r="G617" s="339" t="str">
        <x:v>One or more selected values are no longer valid. Refresh and try again.</x:v>
      </x:c>
      <x:c r="H617" s="339" t="str">
        <x:v>On submit</x:v>
      </x:c>
      <x:c r="I617" s="339" t="str">
        <x:v>Yes</x:v>
      </x:c>
    </x:row>
    <x:row r="618">
      <x:c r="A618" s="339" t="str">
        <x:v>VAL-00617</x:v>
      </x:c>
      <x:c r="B618" s="339" t="str">
        <x:v>SCR-266</x:v>
      </x:c>
      <x:c r="C618" s="339" t="str">
        <x:v>Reports &amp; Analytics</x:v>
      </x:c>
      <x:c r="D618" s="339" t="str">
        <x:v>Student Strength Report</x:v>
      </x:c>
      <x:c r="E618" s="339" t="str">
        <x:v>Authorization &amp; scope</x:v>
      </x:c>
      <x:c r="F618" s="339" t="str">
        <x:v>User must have permission for the screen/action and the target record must be inside tenant/school/branch/class scope.</x:v>
      </x:c>
      <x:c r="G618" s="339" t="str">
        <x:v>You do not have permission to perform this action.</x:v>
      </x:c>
      <x:c r="H618" s="339" t="str">
        <x:v>On load and submit</x:v>
      </x:c>
      <x:c r="I618" s="339" t="str">
        <x:v>Yes</x:v>
      </x:c>
    </x:row>
    <x:row r="619">
      <x:c r="A619" s="339" t="str">
        <x:v>VAL-00618</x:v>
      </x:c>
      <x:c r="B619" s="339" t="str">
        <x:v>SCR-266</x:v>
      </x:c>
      <x:c r="C619" s="339" t="str">
        <x:v>Reports &amp; Analytics</x:v>
      </x:c>
      <x:c r="D619" s="339" t="str">
        <x:v>Student Strength Report</x:v>
      </x:c>
      <x:c r="E619" s="339" t="str">
        <x:v>Required/effective references</x:v>
      </x:c>
      <x:c r="F619" s="339" t="str">
        <x:v>Selected master/reference values must exist, be active and effective for the transaction date.</x:v>
      </x:c>
      <x:c r="G619" s="339" t="str">
        <x:v>One or more selected values are no longer valid. Refresh and try again.</x:v>
      </x:c>
      <x:c r="H619" s="339" t="str">
        <x:v>On submit</x:v>
      </x:c>
      <x:c r="I619" s="339" t="str">
        <x:v>Yes</x:v>
      </x:c>
    </x:row>
    <x:row r="620">
      <x:c r="A620" s="339" t="str">
        <x:v>VAL-00619</x:v>
      </x:c>
      <x:c r="B620" s="339" t="str">
        <x:v>SCR-267</x:v>
      </x:c>
      <x:c r="C620" s="339" t="str">
        <x:v>Reports &amp; Analytics</x:v>
      </x:c>
      <x:c r="D620" s="339" t="str">
        <x:v>Student Demographics</x:v>
      </x:c>
      <x:c r="E620" s="339" t="str">
        <x:v>Authorization &amp; scope</x:v>
      </x:c>
      <x:c r="F620" s="339" t="str">
        <x:v>User must have permission for the screen/action and the target record must be inside tenant/school/branch/class scope.</x:v>
      </x:c>
      <x:c r="G620" s="339" t="str">
        <x:v>You do not have permission to perform this action.</x:v>
      </x:c>
      <x:c r="H620" s="339" t="str">
        <x:v>On load and submit</x:v>
      </x:c>
      <x:c r="I620" s="339" t="str">
        <x:v>Yes</x:v>
      </x:c>
    </x:row>
    <x:row r="621">
      <x:c r="A621" s="339" t="str">
        <x:v>VAL-00620</x:v>
      </x:c>
      <x:c r="B621" s="339" t="str">
        <x:v>SCR-267</x:v>
      </x:c>
      <x:c r="C621" s="339" t="str">
        <x:v>Reports &amp; Analytics</x:v>
      </x:c>
      <x:c r="D621" s="339" t="str">
        <x:v>Student Demographics</x:v>
      </x:c>
      <x:c r="E621" s="339" t="str">
        <x:v>Required/effective references</x:v>
      </x:c>
      <x:c r="F621" s="339" t="str">
        <x:v>Selected master/reference values must exist, be active and effective for the transaction date.</x:v>
      </x:c>
      <x:c r="G621" s="339" t="str">
        <x:v>One or more selected values are no longer valid. Refresh and try again.</x:v>
      </x:c>
      <x:c r="H621" s="339" t="str">
        <x:v>On submit</x:v>
      </x:c>
      <x:c r="I621" s="339" t="str">
        <x:v>Yes</x:v>
      </x:c>
    </x:row>
    <x:row r="622">
      <x:c r="A622" s="339" t="str">
        <x:v>VAL-00621</x:v>
      </x:c>
      <x:c r="B622" s="339" t="str">
        <x:v>SCR-268</x:v>
      </x:c>
      <x:c r="C622" s="339" t="str">
        <x:v>Reports &amp; Analytics</x:v>
      </x:c>
      <x:c r="D622" s="339" t="str">
        <x:v>Attendance Analytics</x:v>
      </x:c>
      <x:c r="E622" s="339" t="str">
        <x:v>Authorization &amp; scope</x:v>
      </x:c>
      <x:c r="F622" s="339" t="str">
        <x:v>User must have permission for the screen/action and the target record must be inside tenant/school/branch/class scope.</x:v>
      </x:c>
      <x:c r="G622" s="339" t="str">
        <x:v>You do not have permission to perform this action.</x:v>
      </x:c>
      <x:c r="H622" s="339" t="str">
        <x:v>On load and submit</x:v>
      </x:c>
      <x:c r="I622" s="339" t="str">
        <x:v>Yes</x:v>
      </x:c>
    </x:row>
    <x:row r="623">
      <x:c r="A623" s="339" t="str">
        <x:v>VAL-00622</x:v>
      </x:c>
      <x:c r="B623" s="339" t="str">
        <x:v>SCR-268</x:v>
      </x:c>
      <x:c r="C623" s="339" t="str">
        <x:v>Reports &amp; Analytics</x:v>
      </x:c>
      <x:c r="D623" s="339" t="str">
        <x:v>Attendance Analytics</x:v>
      </x:c>
      <x:c r="E623" s="339" t="str">
        <x:v>Required/effective references</x:v>
      </x:c>
      <x:c r="F623" s="339" t="str">
        <x:v>Selected master/reference values must exist, be active and effective for the transaction date.</x:v>
      </x:c>
      <x:c r="G623" s="339" t="str">
        <x:v>One or more selected values are no longer valid. Refresh and try again.</x:v>
      </x:c>
      <x:c r="H623" s="339" t="str">
        <x:v>On submit</x:v>
      </x:c>
      <x:c r="I623" s="339" t="str">
        <x:v>Yes</x:v>
      </x:c>
    </x:row>
    <x:row r="624">
      <x:c r="A624" s="339" t="str">
        <x:v>VAL-00623</x:v>
      </x:c>
      <x:c r="B624" s="339" t="str">
        <x:v>SCR-269</x:v>
      </x:c>
      <x:c r="C624" s="339" t="str">
        <x:v>Reports &amp; Analytics</x:v>
      </x:c>
      <x:c r="D624" s="339" t="str">
        <x:v>Chronic Absenteeism Report</x:v>
      </x:c>
      <x:c r="E624" s="339" t="str">
        <x:v>Authorization &amp; scope</x:v>
      </x:c>
      <x:c r="F624" s="339" t="str">
        <x:v>User must have permission for the screen/action and the target record must be inside tenant/school/branch/class scope.</x:v>
      </x:c>
      <x:c r="G624" s="339" t="str">
        <x:v>You do not have permission to perform this action.</x:v>
      </x:c>
      <x:c r="H624" s="339" t="str">
        <x:v>On load and submit</x:v>
      </x:c>
      <x:c r="I624" s="339" t="str">
        <x:v>Yes</x:v>
      </x:c>
    </x:row>
    <x:row r="625">
      <x:c r="A625" s="339" t="str">
        <x:v>VAL-00624</x:v>
      </x:c>
      <x:c r="B625" s="339" t="str">
        <x:v>SCR-269</x:v>
      </x:c>
      <x:c r="C625" s="339" t="str">
        <x:v>Reports &amp; Analytics</x:v>
      </x:c>
      <x:c r="D625" s="339" t="str">
        <x:v>Chronic Absenteeism Report</x:v>
      </x:c>
      <x:c r="E625" s="339" t="str">
        <x:v>Required/effective references</x:v>
      </x:c>
      <x:c r="F625" s="339" t="str">
        <x:v>Selected master/reference values must exist, be active and effective for the transaction date.</x:v>
      </x:c>
      <x:c r="G625" s="339" t="str">
        <x:v>One or more selected values are no longer valid. Refresh and try again.</x:v>
      </x:c>
      <x:c r="H625" s="339" t="str">
        <x:v>On submit</x:v>
      </x:c>
      <x:c r="I625" s="339" t="str">
        <x:v>Yes</x:v>
      </x:c>
    </x:row>
    <x:row r="626">
      <x:c r="A626" s="339" t="str">
        <x:v>VAL-00625</x:v>
      </x:c>
      <x:c r="B626" s="339" t="str">
        <x:v>SCR-270</x:v>
      </x:c>
      <x:c r="C626" s="339" t="str">
        <x:v>Reports &amp; Analytics</x:v>
      </x:c>
      <x:c r="D626" s="339" t="str">
        <x:v>Academic Performance</x:v>
      </x:c>
      <x:c r="E626" s="339" t="str">
        <x:v>Authorization &amp; scope</x:v>
      </x:c>
      <x:c r="F626" s="339" t="str">
        <x:v>User must have permission for the screen/action and the target record must be inside tenant/school/branch/class scope.</x:v>
      </x:c>
      <x:c r="G626" s="339" t="str">
        <x:v>You do not have permission to perform this action.</x:v>
      </x:c>
      <x:c r="H626" s="339" t="str">
        <x:v>On load and submit</x:v>
      </x:c>
      <x:c r="I626" s="339" t="str">
        <x:v>Yes</x:v>
      </x:c>
    </x:row>
    <x:row r="627">
      <x:c r="A627" s="339" t="str">
        <x:v>VAL-00626</x:v>
      </x:c>
      <x:c r="B627" s="339" t="str">
        <x:v>SCR-270</x:v>
      </x:c>
      <x:c r="C627" s="339" t="str">
        <x:v>Reports &amp; Analytics</x:v>
      </x:c>
      <x:c r="D627" s="339" t="str">
        <x:v>Academic Performance</x:v>
      </x:c>
      <x:c r="E627" s="339" t="str">
        <x:v>Required/effective references</x:v>
      </x:c>
      <x:c r="F627" s="339" t="str">
        <x:v>Selected master/reference values must exist, be active and effective for the transaction date.</x:v>
      </x:c>
      <x:c r="G627" s="339" t="str">
        <x:v>One or more selected values are no longer valid. Refresh and try again.</x:v>
      </x:c>
      <x:c r="H627" s="339" t="str">
        <x:v>On submit</x:v>
      </x:c>
      <x:c r="I627" s="339" t="str">
        <x:v>Yes</x:v>
      </x:c>
    </x:row>
    <x:row r="628">
      <x:c r="A628" s="339" t="str">
        <x:v>VAL-00627</x:v>
      </x:c>
      <x:c r="B628" s="339" t="str">
        <x:v>SCR-271</x:v>
      </x:c>
      <x:c r="C628" s="339" t="str">
        <x:v>Reports &amp; Analytics</x:v>
      </x:c>
      <x:c r="D628" s="339" t="str">
        <x:v>Subject Performance</x:v>
      </x:c>
      <x:c r="E628" s="339" t="str">
        <x:v>Authorization &amp; scope</x:v>
      </x:c>
      <x:c r="F628" s="339" t="str">
        <x:v>User must have permission for the screen/action and the target record must be inside tenant/school/branch/class scope.</x:v>
      </x:c>
      <x:c r="G628" s="339" t="str">
        <x:v>You do not have permission to perform this action.</x:v>
      </x:c>
      <x:c r="H628" s="339" t="str">
        <x:v>On load and submit</x:v>
      </x:c>
      <x:c r="I628" s="339" t="str">
        <x:v>Yes</x:v>
      </x:c>
    </x:row>
    <x:row r="629">
      <x:c r="A629" s="339" t="str">
        <x:v>VAL-00628</x:v>
      </x:c>
      <x:c r="B629" s="339" t="str">
        <x:v>SCR-271</x:v>
      </x:c>
      <x:c r="C629" s="339" t="str">
        <x:v>Reports &amp; Analytics</x:v>
      </x:c>
      <x:c r="D629" s="339" t="str">
        <x:v>Subject Performance</x:v>
      </x:c>
      <x:c r="E629" s="339" t="str">
        <x:v>Required/effective references</x:v>
      </x:c>
      <x:c r="F629" s="339" t="str">
        <x:v>Selected master/reference values must exist, be active and effective for the transaction date.</x:v>
      </x:c>
      <x:c r="G629" s="339" t="str">
        <x:v>One or more selected values are no longer valid. Refresh and try again.</x:v>
      </x:c>
      <x:c r="H629" s="339" t="str">
        <x:v>On submit</x:v>
      </x:c>
      <x:c r="I629" s="339" t="str">
        <x:v>Yes</x:v>
      </x:c>
    </x:row>
    <x:row r="630">
      <x:c r="A630" s="339" t="str">
        <x:v>VAL-00629</x:v>
      </x:c>
      <x:c r="B630" s="339" t="str">
        <x:v>SCR-272</x:v>
      </x:c>
      <x:c r="C630" s="339" t="str">
        <x:v>Reports &amp; Analytics</x:v>
      </x:c>
      <x:c r="D630" s="339" t="str">
        <x:v>Exam Result Analysis</x:v>
      </x:c>
      <x:c r="E630" s="339" t="str">
        <x:v>Authorization &amp; scope</x:v>
      </x:c>
      <x:c r="F630" s="339" t="str">
        <x:v>User must have permission for the screen/action and the target record must be inside tenant/school/branch/class scope.</x:v>
      </x:c>
      <x:c r="G630" s="339" t="str">
        <x:v>You do not have permission to perform this action.</x:v>
      </x:c>
      <x:c r="H630" s="339" t="str">
        <x:v>On load and submit</x:v>
      </x:c>
      <x:c r="I630" s="339" t="str">
        <x:v>Yes</x:v>
      </x:c>
    </x:row>
    <x:row r="631">
      <x:c r="A631" s="339" t="str">
        <x:v>VAL-00630</x:v>
      </x:c>
      <x:c r="B631" s="339" t="str">
        <x:v>SCR-272</x:v>
      </x:c>
      <x:c r="C631" s="339" t="str">
        <x:v>Reports &amp; Analytics</x:v>
      </x:c>
      <x:c r="D631" s="339" t="str">
        <x:v>Exam Result Analysis</x:v>
      </x:c>
      <x:c r="E631" s="339" t="str">
        <x:v>Required/effective references</x:v>
      </x:c>
      <x:c r="F631" s="339" t="str">
        <x:v>Selected master/reference values must exist, be active and effective for the transaction date.</x:v>
      </x:c>
      <x:c r="G631" s="339" t="str">
        <x:v>One or more selected values are no longer valid. Refresh and try again.</x:v>
      </x:c>
      <x:c r="H631" s="339" t="str">
        <x:v>On submit</x:v>
      </x:c>
      <x:c r="I631" s="339" t="str">
        <x:v>Yes</x:v>
      </x:c>
    </x:row>
    <x:row r="632">
      <x:c r="A632" s="339" t="str">
        <x:v>VAL-00631</x:v>
      </x:c>
      <x:c r="B632" s="339" t="str">
        <x:v>SCR-273</x:v>
      </x:c>
      <x:c r="C632" s="339" t="str">
        <x:v>Reports &amp; Analytics</x:v>
      </x:c>
      <x:c r="D632" s="339" t="str">
        <x:v>Fee Collection Report</x:v>
      </x:c>
      <x:c r="E632" s="339" t="str">
        <x:v>Authorization &amp; scope</x:v>
      </x:c>
      <x:c r="F632" s="339" t="str">
        <x:v>User must have permission for the screen/action and the target record must be inside tenant/school/branch/class scope.</x:v>
      </x:c>
      <x:c r="G632" s="339" t="str">
        <x:v>You do not have permission to perform this action.</x:v>
      </x:c>
      <x:c r="H632" s="339" t="str">
        <x:v>On load and submit</x:v>
      </x:c>
      <x:c r="I632" s="339" t="str">
        <x:v>Yes</x:v>
      </x:c>
    </x:row>
    <x:row r="633">
      <x:c r="A633" s="339" t="str">
        <x:v>VAL-00632</x:v>
      </x:c>
      <x:c r="B633" s="339" t="str">
        <x:v>SCR-273</x:v>
      </x:c>
      <x:c r="C633" s="339" t="str">
        <x:v>Reports &amp; Analytics</x:v>
      </x:c>
      <x:c r="D633" s="339" t="str">
        <x:v>Fee Collection Report</x:v>
      </x:c>
      <x:c r="E633" s="339" t="str">
        <x:v>Required/effective references</x:v>
      </x:c>
      <x:c r="F633" s="339" t="str">
        <x:v>Selected master/reference values must exist, be active and effective for the transaction date.</x:v>
      </x:c>
      <x:c r="G633" s="339" t="str">
        <x:v>One or more selected values are no longer valid. Refresh and try again.</x:v>
      </x:c>
      <x:c r="H633" s="339" t="str">
        <x:v>On submit</x:v>
      </x:c>
      <x:c r="I633" s="339" t="str">
        <x:v>Yes</x:v>
      </x:c>
    </x:row>
    <x:row r="634">
      <x:c r="A634" s="339" t="str">
        <x:v>VAL-00633</x:v>
      </x:c>
      <x:c r="B634" s="339" t="str">
        <x:v>SCR-274</x:v>
      </x:c>
      <x:c r="C634" s="339" t="str">
        <x:v>Reports &amp; Analytics</x:v>
      </x:c>
      <x:c r="D634" s="339" t="str">
        <x:v>Outstanding Dues Report</x:v>
      </x:c>
      <x:c r="E634" s="339" t="str">
        <x:v>Authorization &amp; scope</x:v>
      </x:c>
      <x:c r="F634" s="339" t="str">
        <x:v>User must have permission for the screen/action and the target record must be inside tenant/school/branch/class scope.</x:v>
      </x:c>
      <x:c r="G634" s="339" t="str">
        <x:v>You do not have permission to perform this action.</x:v>
      </x:c>
      <x:c r="H634" s="339" t="str">
        <x:v>On load and submit</x:v>
      </x:c>
      <x:c r="I634" s="339" t="str">
        <x:v>Yes</x:v>
      </x:c>
    </x:row>
    <x:row r="635">
      <x:c r="A635" s="339" t="str">
        <x:v>VAL-00634</x:v>
      </x:c>
      <x:c r="B635" s="339" t="str">
        <x:v>SCR-274</x:v>
      </x:c>
      <x:c r="C635" s="339" t="str">
        <x:v>Reports &amp; Analytics</x:v>
      </x:c>
      <x:c r="D635" s="339" t="str">
        <x:v>Outstanding Dues Report</x:v>
      </x:c>
      <x:c r="E635" s="339" t="str">
        <x:v>Required/effective references</x:v>
      </x:c>
      <x:c r="F635" s="339" t="str">
        <x:v>Selected master/reference values must exist, be active and effective for the transaction date.</x:v>
      </x:c>
      <x:c r="G635" s="339" t="str">
        <x:v>One or more selected values are no longer valid. Refresh and try again.</x:v>
      </x:c>
      <x:c r="H635" s="339" t="str">
        <x:v>On submit</x:v>
      </x:c>
      <x:c r="I635" s="339" t="str">
        <x:v>Yes</x:v>
      </x:c>
    </x:row>
    <x:row r="636">
      <x:c r="A636" s="339" t="str">
        <x:v>VAL-00635</x:v>
      </x:c>
      <x:c r="B636" s="339" t="str">
        <x:v>SCR-275</x:v>
      </x:c>
      <x:c r="C636" s="339" t="str">
        <x:v>Reports &amp; Analytics</x:v>
      </x:c>
      <x:c r="D636" s="339" t="str">
        <x:v>Finance Summary</x:v>
      </x:c>
      <x:c r="E636" s="339" t="str">
        <x:v>Authorization &amp; scope</x:v>
      </x:c>
      <x:c r="F636" s="339" t="str">
        <x:v>User must have permission for the screen/action and the target record must be inside tenant/school/branch/class scope.</x:v>
      </x:c>
      <x:c r="G636" s="339" t="str">
        <x:v>You do not have permission to perform this action.</x:v>
      </x:c>
      <x:c r="H636" s="339" t="str">
        <x:v>On load and submit</x:v>
      </x:c>
      <x:c r="I636" s="339" t="str">
        <x:v>Yes</x:v>
      </x:c>
    </x:row>
    <x:row r="637">
      <x:c r="A637" s="339" t="str">
        <x:v>VAL-00636</x:v>
      </x:c>
      <x:c r="B637" s="339" t="str">
        <x:v>SCR-275</x:v>
      </x:c>
      <x:c r="C637" s="339" t="str">
        <x:v>Reports &amp; Analytics</x:v>
      </x:c>
      <x:c r="D637" s="339" t="str">
        <x:v>Finance Summary</x:v>
      </x:c>
      <x:c r="E637" s="339" t="str">
        <x:v>Required/effective references</x:v>
      </x:c>
      <x:c r="F637" s="339" t="str">
        <x:v>Selected master/reference values must exist, be active and effective for the transaction date.</x:v>
      </x:c>
      <x:c r="G637" s="339" t="str">
        <x:v>One or more selected values are no longer valid. Refresh and try again.</x:v>
      </x:c>
      <x:c r="H637" s="339" t="str">
        <x:v>On submit</x:v>
      </x:c>
      <x:c r="I637" s="339" t="str">
        <x:v>Yes</x:v>
      </x:c>
    </x:row>
    <x:row r="638">
      <x:c r="A638" s="339" t="str">
        <x:v>VAL-00637</x:v>
      </x:c>
      <x:c r="B638" s="339" t="str">
        <x:v>SCR-276</x:v>
      </x:c>
      <x:c r="C638" s="339" t="str">
        <x:v>Reports &amp; Analytics</x:v>
      </x:c>
      <x:c r="D638" s="339" t="str">
        <x:v>Staff Attendance Report</x:v>
      </x:c>
      <x:c r="E638" s="339" t="str">
        <x:v>Authorization &amp; scope</x:v>
      </x:c>
      <x:c r="F638" s="339" t="str">
        <x:v>User must have permission for the screen/action and the target record must be inside tenant/school/branch/class scope.</x:v>
      </x:c>
      <x:c r="G638" s="339" t="str">
        <x:v>You do not have permission to perform this action.</x:v>
      </x:c>
      <x:c r="H638" s="339" t="str">
        <x:v>On load and submit</x:v>
      </x:c>
      <x:c r="I638" s="339" t="str">
        <x:v>Yes</x:v>
      </x:c>
    </x:row>
    <x:row r="639">
      <x:c r="A639" s="339" t="str">
        <x:v>VAL-00638</x:v>
      </x:c>
      <x:c r="B639" s="339" t="str">
        <x:v>SCR-276</x:v>
      </x:c>
      <x:c r="C639" s="339" t="str">
        <x:v>Reports &amp; Analytics</x:v>
      </x:c>
      <x:c r="D639" s="339" t="str">
        <x:v>Staff Attendance Report</x:v>
      </x:c>
      <x:c r="E639" s="339" t="str">
        <x:v>Required/effective references</x:v>
      </x:c>
      <x:c r="F639" s="339" t="str">
        <x:v>Selected master/reference values must exist, be active and effective for the transaction date.</x:v>
      </x:c>
      <x:c r="G639" s="339" t="str">
        <x:v>One or more selected values are no longer valid. Refresh and try again.</x:v>
      </x:c>
      <x:c r="H639" s="339" t="str">
        <x:v>On submit</x:v>
      </x:c>
      <x:c r="I639" s="339" t="str">
        <x:v>Yes</x:v>
      </x:c>
    </x:row>
    <x:row r="640">
      <x:c r="A640" s="339" t="str">
        <x:v>VAL-00639</x:v>
      </x:c>
      <x:c r="B640" s="339" t="str">
        <x:v>SCR-277</x:v>
      </x:c>
      <x:c r="C640" s="339" t="str">
        <x:v>Reports &amp; Analytics</x:v>
      </x:c>
      <x:c r="D640" s="339" t="str">
        <x:v>Payroll Summary</x:v>
      </x:c>
      <x:c r="E640" s="339" t="str">
        <x:v>Authorization &amp; scope</x:v>
      </x:c>
      <x:c r="F640" s="339" t="str">
        <x:v>User must have permission for the screen/action and the target record must be inside tenant/school/branch/class scope.</x:v>
      </x:c>
      <x:c r="G640" s="339" t="str">
        <x:v>You do not have permission to perform this action.</x:v>
      </x:c>
      <x:c r="H640" s="339" t="str">
        <x:v>On load and submit</x:v>
      </x:c>
      <x:c r="I640" s="339" t="str">
        <x:v>Yes</x:v>
      </x:c>
    </x:row>
    <x:row r="641">
      <x:c r="A641" s="339" t="str">
        <x:v>VAL-00640</x:v>
      </x:c>
      <x:c r="B641" s="339" t="str">
        <x:v>SCR-277</x:v>
      </x:c>
      <x:c r="C641" s="339" t="str">
        <x:v>Reports &amp; Analytics</x:v>
      </x:c>
      <x:c r="D641" s="339" t="str">
        <x:v>Payroll Summary</x:v>
      </x:c>
      <x:c r="E641" s="339" t="str">
        <x:v>Required/effective references</x:v>
      </x:c>
      <x:c r="F641" s="339" t="str">
        <x:v>Selected master/reference values must exist, be active and effective for the transaction date.</x:v>
      </x:c>
      <x:c r="G641" s="339" t="str">
        <x:v>One or more selected values are no longer valid. Refresh and try again.</x:v>
      </x:c>
      <x:c r="H641" s="339" t="str">
        <x:v>On submit</x:v>
      </x:c>
      <x:c r="I641" s="339" t="str">
        <x:v>Yes</x:v>
      </x:c>
    </x:row>
    <x:row r="642">
      <x:c r="A642" s="339" t="str">
        <x:v>VAL-00641</x:v>
      </x:c>
      <x:c r="B642" s="339" t="str">
        <x:v>SCR-278</x:v>
      </x:c>
      <x:c r="C642" s="339" t="str">
        <x:v>Reports &amp; Analytics</x:v>
      </x:c>
      <x:c r="D642" s="339" t="str">
        <x:v>Teacher Performance</x:v>
      </x:c>
      <x:c r="E642" s="339" t="str">
        <x:v>Authorization &amp; scope</x:v>
      </x:c>
      <x:c r="F642" s="339" t="str">
        <x:v>User must have permission for the screen/action and the target record must be inside tenant/school/branch/class scope.</x:v>
      </x:c>
      <x:c r="G642" s="339" t="str">
        <x:v>You do not have permission to perform this action.</x:v>
      </x:c>
      <x:c r="H642" s="339" t="str">
        <x:v>On load and submit</x:v>
      </x:c>
      <x:c r="I642" s="339" t="str">
        <x:v>Yes</x:v>
      </x:c>
    </x:row>
    <x:row r="643">
      <x:c r="A643" s="339" t="str">
        <x:v>VAL-00642</x:v>
      </x:c>
      <x:c r="B643" s="339" t="str">
        <x:v>SCR-278</x:v>
      </x:c>
      <x:c r="C643" s="339" t="str">
        <x:v>Reports &amp; Analytics</x:v>
      </x:c>
      <x:c r="D643" s="339" t="str">
        <x:v>Teacher Performance</x:v>
      </x:c>
      <x:c r="E643" s="339" t="str">
        <x:v>Required/effective references</x:v>
      </x:c>
      <x:c r="F643" s="339" t="str">
        <x:v>Selected master/reference values must exist, be active and effective for the transaction date.</x:v>
      </x:c>
      <x:c r="G643" s="339" t="str">
        <x:v>One or more selected values are no longer valid. Refresh and try again.</x:v>
      </x:c>
      <x:c r="H643" s="339" t="str">
        <x:v>On submit</x:v>
      </x:c>
      <x:c r="I643" s="339" t="str">
        <x:v>Yes</x:v>
      </x:c>
    </x:row>
    <x:row r="644">
      <x:c r="A644" s="339" t="str">
        <x:v>VAL-00643</x:v>
      </x:c>
      <x:c r="B644" s="339" t="str">
        <x:v>SCR-279</x:v>
      </x:c>
      <x:c r="C644" s="339" t="str">
        <x:v>Reports &amp; Analytics</x:v>
      </x:c>
      <x:c r="D644" s="339" t="str">
        <x:v>Transport Utilization</x:v>
      </x:c>
      <x:c r="E644" s="339" t="str">
        <x:v>Authorization &amp; scope</x:v>
      </x:c>
      <x:c r="F644" s="339" t="str">
        <x:v>User must have permission for the screen/action and the target record must be inside tenant/school/branch/class scope.</x:v>
      </x:c>
      <x:c r="G644" s="339" t="str">
        <x:v>You do not have permission to perform this action.</x:v>
      </x:c>
      <x:c r="H644" s="339" t="str">
        <x:v>On load and submit</x:v>
      </x:c>
      <x:c r="I644" s="339" t="str">
        <x:v>Yes</x:v>
      </x:c>
    </x:row>
    <x:row r="645">
      <x:c r="A645" s="339" t="str">
        <x:v>VAL-00644</x:v>
      </x:c>
      <x:c r="B645" s="339" t="str">
        <x:v>SCR-279</x:v>
      </x:c>
      <x:c r="C645" s="339" t="str">
        <x:v>Reports &amp; Analytics</x:v>
      </x:c>
      <x:c r="D645" s="339" t="str">
        <x:v>Transport Utilization</x:v>
      </x:c>
      <x:c r="E645" s="339" t="str">
        <x:v>Required/effective references</x:v>
      </x:c>
      <x:c r="F645" s="339" t="str">
        <x:v>Selected master/reference values must exist, be active and effective for the transaction date.</x:v>
      </x:c>
      <x:c r="G645" s="339" t="str">
        <x:v>One or more selected values are no longer valid. Refresh and try again.</x:v>
      </x:c>
      <x:c r="H645" s="339" t="str">
        <x:v>On submit</x:v>
      </x:c>
      <x:c r="I645" s="339" t="str">
        <x:v>Yes</x:v>
      </x:c>
    </x:row>
    <x:row r="646">
      <x:c r="A646" s="339" t="str">
        <x:v>VAL-00645</x:v>
      </x:c>
      <x:c r="B646" s="339" t="str">
        <x:v>SCR-280</x:v>
      </x:c>
      <x:c r="C646" s="339" t="str">
        <x:v>Reports &amp; Analytics</x:v>
      </x:c>
      <x:c r="D646" s="339" t="str">
        <x:v>Library Usage</x:v>
      </x:c>
      <x:c r="E646" s="339" t="str">
        <x:v>Authorization &amp; scope</x:v>
      </x:c>
      <x:c r="F646" s="339" t="str">
        <x:v>User must have permission for the screen/action and the target record must be inside tenant/school/branch/class scope.</x:v>
      </x:c>
      <x:c r="G646" s="339" t="str">
        <x:v>You do not have permission to perform this action.</x:v>
      </x:c>
      <x:c r="H646" s="339" t="str">
        <x:v>On load and submit</x:v>
      </x:c>
      <x:c r="I646" s="339" t="str">
        <x:v>Yes</x:v>
      </x:c>
    </x:row>
    <x:row r="647">
      <x:c r="A647" s="339" t="str">
        <x:v>VAL-00646</x:v>
      </x:c>
      <x:c r="B647" s="339" t="str">
        <x:v>SCR-280</x:v>
      </x:c>
      <x:c r="C647" s="339" t="str">
        <x:v>Reports &amp; Analytics</x:v>
      </x:c>
      <x:c r="D647" s="339" t="str">
        <x:v>Library Usage</x:v>
      </x:c>
      <x:c r="E647" s="339" t="str">
        <x:v>Required/effective references</x:v>
      </x:c>
      <x:c r="F647" s="339" t="str">
        <x:v>Selected master/reference values must exist, be active and effective for the transaction date.</x:v>
      </x:c>
      <x:c r="G647" s="339" t="str">
        <x:v>One or more selected values are no longer valid. Refresh and try again.</x:v>
      </x:c>
      <x:c r="H647" s="339" t="str">
        <x:v>On submit</x:v>
      </x:c>
      <x:c r="I647" s="339" t="str">
        <x:v>Yes</x:v>
      </x:c>
    </x:row>
    <x:row r="648">
      <x:c r="A648" s="339" t="str">
        <x:v>VAL-00647</x:v>
      </x:c>
      <x:c r="B648" s="339" t="str">
        <x:v>SCR-281</x:v>
      </x:c>
      <x:c r="C648" s="339" t="str">
        <x:v>Reports &amp; Analytics</x:v>
      </x:c>
      <x:c r="D648" s="339" t="str">
        <x:v>Inventory &amp; Asset Report</x:v>
      </x:c>
      <x:c r="E648" s="339" t="str">
        <x:v>Authorization &amp; scope</x:v>
      </x:c>
      <x:c r="F648" s="339" t="str">
        <x:v>User must have permission for the screen/action and the target record must be inside tenant/school/branch/class scope.</x:v>
      </x:c>
      <x:c r="G648" s="339" t="str">
        <x:v>You do not have permission to perform this action.</x:v>
      </x:c>
      <x:c r="H648" s="339" t="str">
        <x:v>On load and submit</x:v>
      </x:c>
      <x:c r="I648" s="339" t="str">
        <x:v>Yes</x:v>
      </x:c>
    </x:row>
    <x:row r="649">
      <x:c r="A649" s="339" t="str">
        <x:v>VAL-00648</x:v>
      </x:c>
      <x:c r="B649" s="339" t="str">
        <x:v>SCR-281</x:v>
      </x:c>
      <x:c r="C649" s="339" t="str">
        <x:v>Reports &amp; Analytics</x:v>
      </x:c>
      <x:c r="D649" s="339" t="str">
        <x:v>Inventory &amp; Asset Report</x:v>
      </x:c>
      <x:c r="E649" s="339" t="str">
        <x:v>Required/effective references</x:v>
      </x:c>
      <x:c r="F649" s="339" t="str">
        <x:v>Selected master/reference values must exist, be active and effective for the transaction date.</x:v>
      </x:c>
      <x:c r="G649" s="339" t="str">
        <x:v>One or more selected values are no longer valid. Refresh and try again.</x:v>
      </x:c>
      <x:c r="H649" s="339" t="str">
        <x:v>On submit</x:v>
      </x:c>
      <x:c r="I649" s="339" t="str">
        <x:v>Yes</x:v>
      </x:c>
    </x:row>
    <x:row r="650">
      <x:c r="A650" s="339" t="str">
        <x:v>VAL-00649</x:v>
      </x:c>
      <x:c r="B650" s="339" t="str">
        <x:v>SCR-282</x:v>
      </x:c>
      <x:c r="C650" s="339" t="str">
        <x:v>Reports &amp; Analytics</x:v>
      </x:c>
      <x:c r="D650" s="339" t="str">
        <x:v>Communication / Notification Report</x:v>
      </x:c>
      <x:c r="E650" s="339" t="str">
        <x:v>Authorization &amp; scope</x:v>
      </x:c>
      <x:c r="F650" s="339" t="str">
        <x:v>User must have permission for the screen/action and the target record must be inside tenant/school/branch/class scope.</x:v>
      </x:c>
      <x:c r="G650" s="339" t="str">
        <x:v>You do not have permission to perform this action.</x:v>
      </x:c>
      <x:c r="H650" s="339" t="str">
        <x:v>On load and submit</x:v>
      </x:c>
      <x:c r="I650" s="339" t="str">
        <x:v>Yes</x:v>
      </x:c>
    </x:row>
    <x:row r="651">
      <x:c r="A651" s="339" t="str">
        <x:v>VAL-00650</x:v>
      </x:c>
      <x:c r="B651" s="339" t="str">
        <x:v>SCR-282</x:v>
      </x:c>
      <x:c r="C651" s="339" t="str">
        <x:v>Reports &amp; Analytics</x:v>
      </x:c>
      <x:c r="D651" s="339" t="str">
        <x:v>Communication / Notification Report</x:v>
      </x:c>
      <x:c r="E651" s="339" t="str">
        <x:v>Required/effective references</x:v>
      </x:c>
      <x:c r="F651" s="339" t="str">
        <x:v>Selected master/reference values must exist, be active and effective for the transaction date.</x:v>
      </x:c>
      <x:c r="G651" s="339" t="str">
        <x:v>One or more selected values are no longer valid. Refresh and try again.</x:v>
      </x:c>
      <x:c r="H651" s="339" t="str">
        <x:v>On submit</x:v>
      </x:c>
      <x:c r="I651" s="339" t="str">
        <x:v>Yes</x:v>
      </x:c>
    </x:row>
    <x:row r="652">
      <x:c r="A652" s="339" t="str">
        <x:v>VAL-00651</x:v>
      </x:c>
      <x:c r="B652" s="339" t="str">
        <x:v>SCR-283</x:v>
      </x:c>
      <x:c r="C652" s="339" t="str">
        <x:v>Reports &amp; Analytics</x:v>
      </x:c>
      <x:c r="D652" s="339" t="str">
        <x:v>Custom Report Builder</x:v>
      </x:c>
      <x:c r="E652" s="339" t="str">
        <x:v>Authorization &amp; scope</x:v>
      </x:c>
      <x:c r="F652" s="339" t="str">
        <x:v>User must have permission for the screen/action and the target record must be inside tenant/school/branch/class scope.</x:v>
      </x:c>
      <x:c r="G652" s="339" t="str">
        <x:v>You do not have permission to perform this action.</x:v>
      </x:c>
      <x:c r="H652" s="339" t="str">
        <x:v>On load and submit</x:v>
      </x:c>
      <x:c r="I652" s="339" t="str">
        <x:v>Yes</x:v>
      </x:c>
    </x:row>
    <x:row r="653">
      <x:c r="A653" s="339" t="str">
        <x:v>VAL-00652</x:v>
      </x:c>
      <x:c r="B653" s="339" t="str">
        <x:v>SCR-283</x:v>
      </x:c>
      <x:c r="C653" s="339" t="str">
        <x:v>Reports &amp; Analytics</x:v>
      </x:c>
      <x:c r="D653" s="339" t="str">
        <x:v>Custom Report Builder</x:v>
      </x:c>
      <x:c r="E653" s="339" t="str">
        <x:v>Required/effective references</x:v>
      </x:c>
      <x:c r="F653" s="339" t="str">
        <x:v>Selected master/reference values must exist, be active and effective for the transaction date.</x:v>
      </x:c>
      <x:c r="G653" s="339" t="str">
        <x:v>One or more selected values are no longer valid. Refresh and try again.</x:v>
      </x:c>
      <x:c r="H653" s="339" t="str">
        <x:v>On submit</x:v>
      </x:c>
      <x:c r="I653" s="339" t="str">
        <x:v>Yes</x:v>
      </x:c>
    </x:row>
    <x:row r="654">
      <x:c r="A654" s="339" t="str">
        <x:v>VAL-00653</x:v>
      </x:c>
      <x:c r="B654" s="339" t="str">
        <x:v>SCR-284</x:v>
      </x:c>
      <x:c r="C654" s="339" t="str">
        <x:v>Settings / Roles / Permissions / Audit</x:v>
      </x:c>
      <x:c r="D654" s="339" t="str">
        <x:v>User Management</x:v>
      </x:c>
      <x:c r="E654" s="339" t="str">
        <x:v>Authorization &amp; scope</x:v>
      </x:c>
      <x:c r="F654" s="339" t="str">
        <x:v>User must have permission for the screen/action and the target record must be inside tenant/school/branch/class scope.</x:v>
      </x:c>
      <x:c r="G654" s="339" t="str">
        <x:v>You do not have permission to perform this action.</x:v>
      </x:c>
      <x:c r="H654" s="339" t="str">
        <x:v>On load and submit</x:v>
      </x:c>
      <x:c r="I654" s="339" t="str">
        <x:v>Yes</x:v>
      </x:c>
    </x:row>
    <x:row r="655">
      <x:c r="A655" s="339" t="str">
        <x:v>VAL-00654</x:v>
      </x:c>
      <x:c r="B655" s="339" t="str">
        <x:v>SCR-284</x:v>
      </x:c>
      <x:c r="C655" s="339" t="str">
        <x:v>Settings / Roles / Permissions / Audit</x:v>
      </x:c>
      <x:c r="D655" s="339" t="str">
        <x:v>User Management</x:v>
      </x:c>
      <x:c r="E655" s="339" t="str">
        <x:v>Required/effective references</x:v>
      </x:c>
      <x:c r="F655" s="339" t="str">
        <x:v>Selected master/reference values must exist, be active and effective for the transaction date.</x:v>
      </x:c>
      <x:c r="G655" s="339" t="str">
        <x:v>One or more selected values are no longer valid. Refresh and try again.</x:v>
      </x:c>
      <x:c r="H655" s="339" t="str">
        <x:v>On submit</x:v>
      </x:c>
      <x:c r="I655" s="339" t="str">
        <x:v>Yes</x:v>
      </x:c>
    </x:row>
    <x:row r="656">
      <x:c r="A656" s="339" t="str">
        <x:v>VAL-00655</x:v>
      </x:c>
      <x:c r="B656" s="339" t="str">
        <x:v>SCR-285</x:v>
      </x:c>
      <x:c r="C656" s="339" t="str">
        <x:v>Settings / Roles / Permissions / Audit</x:v>
      </x:c>
      <x:c r="D656" s="339" t="str">
        <x:v>Roles</x:v>
      </x:c>
      <x:c r="E656" s="339" t="str">
        <x:v>Authorization &amp; scope</x:v>
      </x:c>
      <x:c r="F656" s="339" t="str">
        <x:v>User must have permission for the screen/action and the target record must be inside tenant/school/branch/class scope.</x:v>
      </x:c>
      <x:c r="G656" s="339" t="str">
        <x:v>You do not have permission to perform this action.</x:v>
      </x:c>
      <x:c r="H656" s="339" t="str">
        <x:v>On load and submit</x:v>
      </x:c>
      <x:c r="I656" s="339" t="str">
        <x:v>Yes</x:v>
      </x:c>
    </x:row>
    <x:row r="657">
      <x:c r="A657" s="339" t="str">
        <x:v>VAL-00656</x:v>
      </x:c>
      <x:c r="B657" s="339" t="str">
        <x:v>SCR-285</x:v>
      </x:c>
      <x:c r="C657" s="339" t="str">
        <x:v>Settings / Roles / Permissions / Audit</x:v>
      </x:c>
      <x:c r="D657" s="339" t="str">
        <x:v>Roles</x:v>
      </x:c>
      <x:c r="E657" s="339" t="str">
        <x:v>Required/effective references</x:v>
      </x:c>
      <x:c r="F657" s="339" t="str">
        <x:v>Selected master/reference values must exist, be active and effective for the transaction date.</x:v>
      </x:c>
      <x:c r="G657" s="339" t="str">
        <x:v>One or more selected values are no longer valid. Refresh and try again.</x:v>
      </x:c>
      <x:c r="H657" s="339" t="str">
        <x:v>On submit</x:v>
      </x:c>
      <x:c r="I657" s="339" t="str">
        <x:v>Yes</x:v>
      </x:c>
    </x:row>
    <x:row r="658">
      <x:c r="A658" s="339" t="str">
        <x:v>VAL-00657</x:v>
      </x:c>
      <x:c r="B658" s="339" t="str">
        <x:v>SCR-286</x:v>
      </x:c>
      <x:c r="C658" s="339" t="str">
        <x:v>Settings / Roles / Permissions / Audit</x:v>
      </x:c>
      <x:c r="D658" s="339" t="str">
        <x:v>Permissions</x:v>
      </x:c>
      <x:c r="E658" s="339" t="str">
        <x:v>Authorization &amp; scope</x:v>
      </x:c>
      <x:c r="F658" s="339" t="str">
        <x:v>User must have permission for the screen/action and the target record must be inside tenant/school/branch/class scope.</x:v>
      </x:c>
      <x:c r="G658" s="339" t="str">
        <x:v>You do not have permission to perform this action.</x:v>
      </x:c>
      <x:c r="H658" s="339" t="str">
        <x:v>On load and submit</x:v>
      </x:c>
      <x:c r="I658" s="339" t="str">
        <x:v>Yes</x:v>
      </x:c>
    </x:row>
    <x:row r="659">
      <x:c r="A659" s="339" t="str">
        <x:v>VAL-00658</x:v>
      </x:c>
      <x:c r="B659" s="339" t="str">
        <x:v>SCR-286</x:v>
      </x:c>
      <x:c r="C659" s="339" t="str">
        <x:v>Settings / Roles / Permissions / Audit</x:v>
      </x:c>
      <x:c r="D659" s="339" t="str">
        <x:v>Permissions</x:v>
      </x:c>
      <x:c r="E659" s="339" t="str">
        <x:v>Required/effective references</x:v>
      </x:c>
      <x:c r="F659" s="339" t="str">
        <x:v>Selected master/reference values must exist, be active and effective for the transaction date.</x:v>
      </x:c>
      <x:c r="G659" s="339" t="str">
        <x:v>One or more selected values are no longer valid. Refresh and try again.</x:v>
      </x:c>
      <x:c r="H659" s="339" t="str">
        <x:v>On submit</x:v>
      </x:c>
      <x:c r="I659" s="339" t="str">
        <x:v>Yes</x:v>
      </x:c>
    </x:row>
    <x:row r="660">
      <x:c r="A660" s="339" t="str">
        <x:v>VAL-00659</x:v>
      </x:c>
      <x:c r="B660" s="339" t="str">
        <x:v>SCR-287</x:v>
      </x:c>
      <x:c r="C660" s="339" t="str">
        <x:v>Settings / Roles / Permissions / Audit</x:v>
      </x:c>
      <x:c r="D660" s="339" t="str">
        <x:v>Role Permission Matrix</x:v>
      </x:c>
      <x:c r="E660" s="339" t="str">
        <x:v>Authorization &amp; scope</x:v>
      </x:c>
      <x:c r="F660" s="339" t="str">
        <x:v>User must have permission for the screen/action and the target record must be inside tenant/school/branch/class scope.</x:v>
      </x:c>
      <x:c r="G660" s="339" t="str">
        <x:v>You do not have permission to perform this action.</x:v>
      </x:c>
      <x:c r="H660" s="339" t="str">
        <x:v>On load and submit</x:v>
      </x:c>
      <x:c r="I660" s="339" t="str">
        <x:v>Yes</x:v>
      </x:c>
    </x:row>
    <x:row r="661">
      <x:c r="A661" s="339" t="str">
        <x:v>VAL-00660</x:v>
      </x:c>
      <x:c r="B661" s="339" t="str">
        <x:v>SCR-287</x:v>
      </x:c>
      <x:c r="C661" s="339" t="str">
        <x:v>Settings / Roles / Permissions / Audit</x:v>
      </x:c>
      <x:c r="D661" s="339" t="str">
        <x:v>Role Permission Matrix</x:v>
      </x:c>
      <x:c r="E661" s="339" t="str">
        <x:v>Required/effective references</x:v>
      </x:c>
      <x:c r="F661" s="339" t="str">
        <x:v>Selected master/reference values must exist, be active and effective for the transaction date.</x:v>
      </x:c>
      <x:c r="G661" s="339" t="str">
        <x:v>One or more selected values are no longer valid. Refresh and try again.</x:v>
      </x:c>
      <x:c r="H661" s="339" t="str">
        <x:v>On submit</x:v>
      </x:c>
      <x:c r="I661" s="339" t="str">
        <x:v>Yes</x:v>
      </x:c>
    </x:row>
    <x:row r="662">
      <x:c r="A662" s="339" t="str">
        <x:v>VAL-00661</x:v>
      </x:c>
      <x:c r="B662" s="339" t="str">
        <x:v>SCR-288</x:v>
      </x:c>
      <x:c r="C662" s="339" t="str">
        <x:v>Settings / Roles / Permissions / Audit</x:v>
      </x:c>
      <x:c r="D662" s="339" t="str">
        <x:v>User Role Assignment</x:v>
      </x:c>
      <x:c r="E662" s="339" t="str">
        <x:v>Authorization &amp; scope</x:v>
      </x:c>
      <x:c r="F662" s="339" t="str">
        <x:v>User must have permission for the screen/action and the target record must be inside tenant/school/branch/class scope.</x:v>
      </x:c>
      <x:c r="G662" s="339" t="str">
        <x:v>You do not have permission to perform this action.</x:v>
      </x:c>
      <x:c r="H662" s="339" t="str">
        <x:v>On load and submit</x:v>
      </x:c>
      <x:c r="I662" s="339" t="str">
        <x:v>Yes</x:v>
      </x:c>
    </x:row>
    <x:row r="663">
      <x:c r="A663" s="339" t="str">
        <x:v>VAL-00662</x:v>
      </x:c>
      <x:c r="B663" s="339" t="str">
        <x:v>SCR-288</x:v>
      </x:c>
      <x:c r="C663" s="339" t="str">
        <x:v>Settings / Roles / Permissions / Audit</x:v>
      </x:c>
      <x:c r="D663" s="339" t="str">
        <x:v>User Role Assignment</x:v>
      </x:c>
      <x:c r="E663" s="339" t="str">
        <x:v>Required/effective references</x:v>
      </x:c>
      <x:c r="F663" s="339" t="str">
        <x:v>Selected master/reference values must exist, be active and effective for the transaction date.</x:v>
      </x:c>
      <x:c r="G663" s="339" t="str">
        <x:v>One or more selected values are no longer valid. Refresh and try again.</x:v>
      </x:c>
      <x:c r="H663" s="339" t="str">
        <x:v>On submit</x:v>
      </x:c>
      <x:c r="I663" s="339" t="str">
        <x:v>Yes</x:v>
      </x:c>
    </x:row>
    <x:row r="664">
      <x:c r="A664" s="339" t="str">
        <x:v>VAL-00663</x:v>
      </x:c>
      <x:c r="B664" s="339" t="str">
        <x:v>SCR-289</x:v>
      </x:c>
      <x:c r="C664" s="339" t="str">
        <x:v>Settings / Roles / Permissions / Audit</x:v>
      </x:c>
      <x:c r="D664" s="339" t="str">
        <x:v>School Settings</x:v>
      </x:c>
      <x:c r="E664" s="339" t="str">
        <x:v>Authorization &amp; scope</x:v>
      </x:c>
      <x:c r="F664" s="339" t="str">
        <x:v>User must have permission for the screen/action and the target record must be inside tenant/school/branch/class scope.</x:v>
      </x:c>
      <x:c r="G664" s="339" t="str">
        <x:v>You do not have permission to perform this action.</x:v>
      </x:c>
      <x:c r="H664" s="339" t="str">
        <x:v>On load and submit</x:v>
      </x:c>
      <x:c r="I664" s="339" t="str">
        <x:v>Yes</x:v>
      </x:c>
    </x:row>
    <x:row r="665">
      <x:c r="A665" s="339" t="str">
        <x:v>VAL-00664</x:v>
      </x:c>
      <x:c r="B665" s="339" t="str">
        <x:v>SCR-289</x:v>
      </x:c>
      <x:c r="C665" s="339" t="str">
        <x:v>Settings / Roles / Permissions / Audit</x:v>
      </x:c>
      <x:c r="D665" s="339" t="str">
        <x:v>School Settings</x:v>
      </x:c>
      <x:c r="E665" s="339" t="str">
        <x:v>Required/effective references</x:v>
      </x:c>
      <x:c r="F665" s="339" t="str">
        <x:v>Selected master/reference values must exist, be active and effective for the transaction date.</x:v>
      </x:c>
      <x:c r="G665" s="339" t="str">
        <x:v>One or more selected values are no longer valid. Refresh and try again.</x:v>
      </x:c>
      <x:c r="H665" s="339" t="str">
        <x:v>On submit</x:v>
      </x:c>
      <x:c r="I665" s="339" t="str">
        <x:v>Yes</x:v>
      </x:c>
    </x:row>
    <x:row r="666">
      <x:c r="A666" s="339" t="str">
        <x:v>VAL-00665</x:v>
      </x:c>
      <x:c r="B666" s="339" t="str">
        <x:v>SCR-290</x:v>
      </x:c>
      <x:c r="C666" s="339" t="str">
        <x:v>Settings / Roles / Permissions / Audit</x:v>
      </x:c>
      <x:c r="D666" s="339" t="str">
        <x:v>Academic Settings</x:v>
      </x:c>
      <x:c r="E666" s="339" t="str">
        <x:v>Authorization &amp; scope</x:v>
      </x:c>
      <x:c r="F666" s="339" t="str">
        <x:v>User must have permission for the screen/action and the target record must be inside tenant/school/branch/class scope.</x:v>
      </x:c>
      <x:c r="G666" s="339" t="str">
        <x:v>You do not have permission to perform this action.</x:v>
      </x:c>
      <x:c r="H666" s="339" t="str">
        <x:v>On load and submit</x:v>
      </x:c>
      <x:c r="I666" s="339" t="str">
        <x:v>Yes</x:v>
      </x:c>
    </x:row>
    <x:row r="667">
      <x:c r="A667" s="339" t="str">
        <x:v>VAL-00666</x:v>
      </x:c>
      <x:c r="B667" s="339" t="str">
        <x:v>SCR-290</x:v>
      </x:c>
      <x:c r="C667" s="339" t="str">
        <x:v>Settings / Roles / Permissions / Audit</x:v>
      </x:c>
      <x:c r="D667" s="339" t="str">
        <x:v>Academic Settings</x:v>
      </x:c>
      <x:c r="E667" s="339" t="str">
        <x:v>Required/effective references</x:v>
      </x:c>
      <x:c r="F667" s="339" t="str">
        <x:v>Selected master/reference values must exist, be active and effective for the transaction date.</x:v>
      </x:c>
      <x:c r="G667" s="339" t="str">
        <x:v>One or more selected values are no longer valid. Refresh and try again.</x:v>
      </x:c>
      <x:c r="H667" s="339" t="str">
        <x:v>On submit</x:v>
      </x:c>
      <x:c r="I667" s="339" t="str">
        <x:v>Yes</x:v>
      </x:c>
    </x:row>
    <x:row r="668">
      <x:c r="A668" s="339" t="str">
        <x:v>VAL-00667</x:v>
      </x:c>
      <x:c r="B668" s="339" t="str">
        <x:v>SCR-291</x:v>
      </x:c>
      <x:c r="C668" s="339" t="str">
        <x:v>Settings / Roles / Permissions / Audit</x:v>
      </x:c>
      <x:c r="D668" s="339" t="str">
        <x:v>Notification Settings</x:v>
      </x:c>
      <x:c r="E668" s="339" t="str">
        <x:v>Authorization &amp; scope</x:v>
      </x:c>
      <x:c r="F668" s="339" t="str">
        <x:v>User must have permission for the screen/action and the target record must be inside tenant/school/branch/class scope.</x:v>
      </x:c>
      <x:c r="G668" s="339" t="str">
        <x:v>You do not have permission to perform this action.</x:v>
      </x:c>
      <x:c r="H668" s="339" t="str">
        <x:v>On load and submit</x:v>
      </x:c>
      <x:c r="I668" s="339" t="str">
        <x:v>Yes</x:v>
      </x:c>
    </x:row>
    <x:row r="669">
      <x:c r="A669" s="339" t="str">
        <x:v>VAL-00668</x:v>
      </x:c>
      <x:c r="B669" s="339" t="str">
        <x:v>SCR-291</x:v>
      </x:c>
      <x:c r="C669" s="339" t="str">
        <x:v>Settings / Roles / Permissions / Audit</x:v>
      </x:c>
      <x:c r="D669" s="339" t="str">
        <x:v>Notification Settings</x:v>
      </x:c>
      <x:c r="E669" s="339" t="str">
        <x:v>Required/effective references</x:v>
      </x:c>
      <x:c r="F669" s="339" t="str">
        <x:v>Selected master/reference values must exist, be active and effective for the transaction date.</x:v>
      </x:c>
      <x:c r="G669" s="339" t="str">
        <x:v>One or more selected values are no longer valid. Refresh and try again.</x:v>
      </x:c>
      <x:c r="H669" s="339" t="str">
        <x:v>On submit</x:v>
      </x:c>
      <x:c r="I669" s="339" t="str">
        <x:v>Yes</x:v>
      </x:c>
    </x:row>
    <x:row r="670">
      <x:c r="A670" s="339" t="str">
        <x:v>VAL-00669</x:v>
      </x:c>
      <x:c r="B670" s="339" t="str">
        <x:v>SCR-292</x:v>
      </x:c>
      <x:c r="C670" s="339" t="str">
        <x:v>Settings / Roles / Permissions / Audit</x:v>
      </x:c>
      <x:c r="D670" s="339" t="str">
        <x:v>Integration / API Settings</x:v>
      </x:c>
      <x:c r="E670" s="339" t="str">
        <x:v>Authorization &amp; scope</x:v>
      </x:c>
      <x:c r="F670" s="339" t="str">
        <x:v>User must have permission for the screen/action and the target record must be inside tenant/school/branch/class scope.</x:v>
      </x:c>
      <x:c r="G670" s="339" t="str">
        <x:v>You do not have permission to perform this action.</x:v>
      </x:c>
      <x:c r="H670" s="339" t="str">
        <x:v>On load and submit</x:v>
      </x:c>
      <x:c r="I670" s="339" t="str">
        <x:v>Yes</x:v>
      </x:c>
    </x:row>
    <x:row r="671">
      <x:c r="A671" s="339" t="str">
        <x:v>VAL-00670</x:v>
      </x:c>
      <x:c r="B671" s="339" t="str">
        <x:v>SCR-292</x:v>
      </x:c>
      <x:c r="C671" s="339" t="str">
        <x:v>Settings / Roles / Permissions / Audit</x:v>
      </x:c>
      <x:c r="D671" s="339" t="str">
        <x:v>Integration / API Settings</x:v>
      </x:c>
      <x:c r="E671" s="339" t="str">
        <x:v>Required/effective references</x:v>
      </x:c>
      <x:c r="F671" s="339" t="str">
        <x:v>Selected master/reference values must exist, be active and effective for the transaction date.</x:v>
      </x:c>
      <x:c r="G671" s="339" t="str">
        <x:v>One or more selected values are no longer valid. Refresh and try again.</x:v>
      </x:c>
      <x:c r="H671" s="339" t="str">
        <x:v>On submit</x:v>
      </x:c>
      <x:c r="I671" s="339" t="str">
        <x:v>Yes</x:v>
      </x:c>
    </x:row>
    <x:row r="672">
      <x:c r="A672" s="339" t="str">
        <x:v>VAL-00671</x:v>
      </x:c>
      <x:c r="B672" s="339" t="str">
        <x:v>SCR-293</x:v>
      </x:c>
      <x:c r="C672" s="339" t="str">
        <x:v>Settings / Roles / Permissions / Audit</x:v>
      </x:c>
      <x:c r="D672" s="339" t="str">
        <x:v>Security &amp; Password Policy</x:v>
      </x:c>
      <x:c r="E672" s="339" t="str">
        <x:v>Authorization &amp; scope</x:v>
      </x:c>
      <x:c r="F672" s="339" t="str">
        <x:v>User must have permission for the screen/action and the target record must be inside tenant/school/branch/class scope.</x:v>
      </x:c>
      <x:c r="G672" s="339" t="str">
        <x:v>You do not have permission to perform this action.</x:v>
      </x:c>
      <x:c r="H672" s="339" t="str">
        <x:v>On load and submit</x:v>
      </x:c>
      <x:c r="I672" s="339" t="str">
        <x:v>Yes</x:v>
      </x:c>
    </x:row>
    <x:row r="673">
      <x:c r="A673" s="339" t="str">
        <x:v>VAL-00672</x:v>
      </x:c>
      <x:c r="B673" s="339" t="str">
        <x:v>SCR-293</x:v>
      </x:c>
      <x:c r="C673" s="339" t="str">
        <x:v>Settings / Roles / Permissions / Audit</x:v>
      </x:c>
      <x:c r="D673" s="339" t="str">
        <x:v>Security &amp; Password Policy</x:v>
      </x:c>
      <x:c r="E673" s="339" t="str">
        <x:v>Required/effective references</x:v>
      </x:c>
      <x:c r="F673" s="339" t="str">
        <x:v>Selected master/reference values must exist, be active and effective for the transaction date.</x:v>
      </x:c>
      <x:c r="G673" s="339" t="str">
        <x:v>One or more selected values are no longer valid. Refresh and try again.</x:v>
      </x:c>
      <x:c r="H673" s="339" t="str">
        <x:v>On submit</x:v>
      </x:c>
      <x:c r="I673" s="339" t="str">
        <x:v>Yes</x:v>
      </x:c>
    </x:row>
    <x:row r="674">
      <x:c r="A674" s="339" t="str">
        <x:v>VAL-00673</x:v>
      </x:c>
      <x:c r="B674" s="339" t="str">
        <x:v>SCR-294</x:v>
      </x:c>
      <x:c r="C674" s="339" t="str">
        <x:v>Settings / Roles / Permissions / Audit</x:v>
      </x:c>
      <x:c r="D674" s="339" t="str">
        <x:v>Audit Logs</x:v>
      </x:c>
      <x:c r="E674" s="339" t="str">
        <x:v>Authorization &amp; scope</x:v>
      </x:c>
      <x:c r="F674" s="339" t="str">
        <x:v>User must have permission for the screen/action and the target record must be inside tenant/school/branch/class scope.</x:v>
      </x:c>
      <x:c r="G674" s="339" t="str">
        <x:v>You do not have permission to perform this action.</x:v>
      </x:c>
      <x:c r="H674" s="339" t="str">
        <x:v>On load and submit</x:v>
      </x:c>
      <x:c r="I674" s="339" t="str">
        <x:v>Yes</x:v>
      </x:c>
    </x:row>
    <x:row r="675">
      <x:c r="A675" s="339" t="str">
        <x:v>VAL-00674</x:v>
      </x:c>
      <x:c r="B675" s="339" t="str">
        <x:v>SCR-294</x:v>
      </x:c>
      <x:c r="C675" s="339" t="str">
        <x:v>Settings / Roles / Permissions / Audit</x:v>
      </x:c>
      <x:c r="D675" s="339" t="str">
        <x:v>Audit Logs</x:v>
      </x:c>
      <x:c r="E675" s="339" t="str">
        <x:v>Required/effective references</x:v>
      </x:c>
      <x:c r="F675" s="339" t="str">
        <x:v>Selected master/reference values must exist, be active and effective for the transaction date.</x:v>
      </x:c>
      <x:c r="G675" s="339" t="str">
        <x:v>One or more selected values are no longer valid. Refresh and try again.</x:v>
      </x:c>
      <x:c r="H675" s="339" t="str">
        <x:v>On submit</x:v>
      </x:c>
      <x:c r="I675" s="339" t="str">
        <x:v>Yes</x:v>
      </x:c>
    </x:row>
    <x:row r="676">
      <x:c r="A676" s="339" t="str">
        <x:v>VAL-00675</x:v>
      </x:c>
      <x:c r="B676" s="339" t="str">
        <x:v>SCR-295</x:v>
      </x:c>
      <x:c r="C676" s="339" t="str">
        <x:v>Settings / Roles / Permissions / Audit</x:v>
      </x:c>
      <x:c r="D676" s="339" t="str">
        <x:v>Data Import / Export / Backup</x:v>
      </x:c>
      <x:c r="E676" s="339" t="str">
        <x:v>Authorization &amp; scope</x:v>
      </x:c>
      <x:c r="F676" s="339" t="str">
        <x:v>User must have permission for the screen/action and the target record must be inside tenant/school/branch/class scope.</x:v>
      </x:c>
      <x:c r="G676" s="339" t="str">
        <x:v>You do not have permission to perform this action.</x:v>
      </x:c>
      <x:c r="H676" s="339" t="str">
        <x:v>On load and submit</x:v>
      </x:c>
      <x:c r="I676" s="339" t="str">
        <x:v>Yes</x:v>
      </x:c>
    </x:row>
    <x:row r="677">
      <x:c r="A677" s="340" t="str">
        <x:v>VAL-00676</x:v>
      </x:c>
      <x:c r="B677" s="340" t="str">
        <x:v>SCR-295</x:v>
      </x:c>
      <x:c r="C677" s="340" t="str">
        <x:v>Settings / Roles / Permissions / Audit</x:v>
      </x:c>
      <x:c r="D677" s="340" t="str">
        <x:v>Data Import / Export / Backup</x:v>
      </x:c>
      <x:c r="E677" s="340" t="str">
        <x:v>Required/effective references</x:v>
      </x:c>
      <x:c r="F677" s="340" t="str">
        <x:v>Selected master/reference values must exist, be active and effective for the transaction date.</x:v>
      </x:c>
      <x:c r="G677" s="340" t="str">
        <x:v>One or more selected values are no longer valid. Refresh and try again.</x:v>
      </x:c>
      <x:c r="H677" s="340" t="str">
        <x:v>On submit</x:v>
      </x:c>
      <x:c r="I677" s="340" t="str">
        <x:v>Yes</x:v>
      </x:c>
    </x:row>
  </x:sheetData>
  <x:pageMargins left="0.7" right="0.7" top="0.75" bottom="0.75" header="0.3" footer="0.3"/>
  <x:tableParts count="1">
    <x:tablePart xmlns:r="http://schemas.openxmlformats.org/officeDocument/2006/relationships" r:id="Ra1dae87a676a48b9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1" hidden="0" customWidth="1"/>
    <x:col min="3" max="3" width="28" hidden="0" customWidth="1"/>
    <x:col min="4" max="4" width="28" hidden="0" customWidth="1"/>
    <x:col min="5" max="5" width="36" hidden="0" customWidth="1"/>
    <x:col min="6" max="6" width="24" hidden="0" customWidth="1"/>
    <x:col min="7" max="7" width="12" hidden="0" customWidth="1"/>
    <x:col min="8" max="8" width="14" hidden="0" customWidth="1"/>
    <x:col min="9" max="9" width="14" hidden="0" customWidth="1"/>
    <x:col min="10" max="10" width="24" hidden="0" customWidth="1"/>
    <x:col min="11" max="11" width="18" hidden="0" customWidth="1"/>
    <x:col min="12" max="12" width="16" hidden="0" customWidth="1"/>
    <x:col min="13" max="13" width="56" hidden="0" customWidth="1"/>
    <x:col min="14" max="14" width="54" hidden="0" customWidth="1"/>
  </x:cols>
  <x:sheetData>
    <x:row r="1" ht="30" customHeight="1">
      <x:c r="A1" s="338" t="str">
        <x:v>Access ID</x:v>
      </x:c>
      <x:c r="B1" s="338" t="str">
        <x:v>Screen ID</x:v>
      </x:c>
      <x:c r="C1" s="338" t="str">
        <x:v>Module</x:v>
      </x:c>
      <x:c r="D1" s="338" t="str">
        <x:v>Screen Name</x:v>
      </x:c>
      <x:c r="E1" s="338" t="str">
        <x:v>Primary Roles</x:v>
      </x:c>
      <x:c r="F1" s="338" t="str">
        <x:v>Portal</x:v>
      </x:c>
      <x:c r="G1" s="338" t="str">
        <x:v>View</x:v>
      </x:c>
      <x:c r="H1" s="338" t="str">
        <x:v>Create</x:v>
      </x:c>
      <x:c r="I1" s="338" t="str">
        <x:v>Edit</x:v>
      </x:c>
      <x:c r="J1" s="338" t="str">
        <x:v>Delete</x:v>
      </x:c>
      <x:c r="K1" s="338" t="str">
        <x:v>Approve</x:v>
      </x:c>
      <x:c r="L1" s="338" t="str">
        <x:v>Export</x:v>
      </x:c>
      <x:c r="M1" s="338" t="str">
        <x:v>Data Scope</x:v>
      </x:c>
      <x:c r="N1" s="338" t="str">
        <x:v>Sensitive Data Notes</x:v>
      </x:c>
    </x:row>
    <x:row r="2">
      <x:c r="A2" s="339" t="str">
        <x:v>RB-001</x:v>
      </x:c>
      <x:c r="B2" s="339" t="str">
        <x:v>SCR-001</x:v>
      </x:c>
      <x:c r="C2" s="339" t="str">
        <x:v>Public Website &amp; Authentication</x:v>
      </x:c>
      <x:c r="D2" s="339" t="str">
        <x:v>Landing / Home</x:v>
      </x:c>
      <x:c r="E2" s="339" t="str">
        <x:v>All Users</x:v>
      </x:c>
      <x:c r="F2" s="339" t="str">
        <x:v>Shared / Public</x:v>
      </x:c>
      <x:c r="G2" s="339" t="str">
        <x:v>Yes</x:v>
      </x:c>
      <x:c r="H2" s="339" t="str">
        <x:v>Yes</x:v>
      </x:c>
      <x:c r="I2" s="339" t="str">
        <x:v>Yes</x:v>
      </x:c>
      <x:c r="J2" s="339" t="str">
        <x:v>Restricted; prefer inactivate/reverse</x:v>
      </x:c>
      <x:c r="K2" s="339" t="str">
        <x:v>Role/state based</x:v>
      </x:c>
      <x:c r="L2" s="339" t="str">
        <x:v>No / if configured</x:v>
      </x:c>
      <x:c r="M2" s="339" t="str">
        <x:v>Tenant → organization → school → branch → class/section/student/own-record scope as applicable.</x:v>
      </x:c>
      <x:c r="N2" s="339" t="str">
        <x:v>Mask health, counselling, compensation, identity and other sensitive fields unless explicitly required by role.</x:v>
      </x:c>
    </x:row>
    <x:row r="3">
      <x:c r="A3" s="339" t="str">
        <x:v>RB-002</x:v>
      </x:c>
      <x:c r="B3" s="339" t="str">
        <x:v>SCR-002</x:v>
      </x:c>
      <x:c r="C3" s="339" t="str">
        <x:v>Public Website &amp; Authentication</x:v>
      </x:c>
      <x:c r="D3" s="339" t="str">
        <x:v>Workspace / Role Selection</x:v>
      </x:c>
      <x:c r="E3" s="339" t="str">
        <x:v>All Users</x:v>
      </x:c>
      <x:c r="F3" s="339" t="str">
        <x:v>Shared / Public</x:v>
      </x:c>
      <x:c r="G3" s="339" t="str">
        <x:v>Yes</x:v>
      </x:c>
      <x:c r="H3" s="339" t="str">
        <x:v>Yes</x:v>
      </x:c>
      <x:c r="I3" s="339" t="str">
        <x:v>Yes</x:v>
      </x:c>
      <x:c r="J3" s="339" t="str">
        <x:v>Restricted; prefer inactivate/reverse</x:v>
      </x:c>
      <x:c r="K3" s="339" t="str">
        <x:v>Role/state based</x:v>
      </x:c>
      <x:c r="L3" s="339" t="str">
        <x:v>No / if configured</x:v>
      </x:c>
      <x:c r="M3" s="339" t="str">
        <x:v>Tenant → organization → school → branch → class/section/student/own-record scope as applicable.</x:v>
      </x:c>
      <x:c r="N3" s="339" t="str">
        <x:v>Mask health, counselling, compensation, identity and other sensitive fields unless explicitly required by role.</x:v>
      </x:c>
    </x:row>
    <x:row r="4">
      <x:c r="A4" s="339" t="str">
        <x:v>RB-003</x:v>
      </x:c>
      <x:c r="B4" s="339" t="str">
        <x:v>SCR-003</x:v>
      </x:c>
      <x:c r="C4" s="339" t="str">
        <x:v>Public Website &amp; Authentication</x:v>
      </x:c>
      <x:c r="D4" s="339" t="str">
        <x:v>Sign In</x:v>
      </x:c>
      <x:c r="E4" s="339" t="str">
        <x:v>All Users</x:v>
      </x:c>
      <x:c r="F4" s="339" t="str">
        <x:v>Shared / Public</x:v>
      </x:c>
      <x:c r="G4" s="339" t="str">
        <x:v>Yes</x:v>
      </x:c>
      <x:c r="H4" s="339" t="str">
        <x:v>Yes</x:v>
      </x:c>
      <x:c r="I4" s="339" t="str">
        <x:v>Yes</x:v>
      </x:c>
      <x:c r="J4" s="339" t="str">
        <x:v>Restricted; prefer inactivate/reverse</x:v>
      </x:c>
      <x:c r="K4" s="339" t="str">
        <x:v>Role/state based</x:v>
      </x:c>
      <x:c r="L4" s="339" t="str">
        <x:v>No / if configured</x:v>
      </x:c>
      <x:c r="M4" s="339" t="str">
        <x:v>Tenant → organization → school → branch → class/section/student/own-record scope as applicable.</x:v>
      </x:c>
      <x:c r="N4" s="339" t="str">
        <x:v>Mask health, counselling, compensation, identity and other sensitive fields unless explicitly required by role.</x:v>
      </x:c>
    </x:row>
    <x:row r="5">
      <x:c r="A5" s="339" t="str">
        <x:v>RB-004</x:v>
      </x:c>
      <x:c r="B5" s="339" t="str">
        <x:v>SCR-004</x:v>
      </x:c>
      <x:c r="C5" s="339" t="str">
        <x:v>Public Website &amp; Authentication</x:v>
      </x:c>
      <x:c r="D5" s="339" t="str">
        <x:v>Forgot Password</x:v>
      </x:c>
      <x:c r="E5" s="339" t="str">
        <x:v>All Users</x:v>
      </x:c>
      <x:c r="F5" s="339" t="str">
        <x:v>Shared / Public</x:v>
      </x:c>
      <x:c r="G5" s="339" t="str">
        <x:v>Yes</x:v>
      </x:c>
      <x:c r="H5" s="339" t="str">
        <x:v>Yes</x:v>
      </x:c>
      <x:c r="I5" s="339" t="str">
        <x:v>Yes</x:v>
      </x:c>
      <x:c r="J5" s="339" t="str">
        <x:v>Restricted; prefer inactivate/reverse</x:v>
      </x:c>
      <x:c r="K5" s="339" t="str">
        <x:v>Role/state based</x:v>
      </x:c>
      <x:c r="L5" s="339" t="str">
        <x:v>No / if configured</x:v>
      </x:c>
      <x:c r="M5" s="339" t="str">
        <x:v>Tenant → organization → school → branch → class/section/student/own-record scope as applicable.</x:v>
      </x:c>
      <x:c r="N5" s="339" t="str">
        <x:v>Mask health, counselling, compensation, identity and other sensitive fields unless explicitly required by role.</x:v>
      </x:c>
    </x:row>
    <x:row r="6">
      <x:c r="A6" s="339" t="str">
        <x:v>RB-005</x:v>
      </x:c>
      <x:c r="B6" s="339" t="str">
        <x:v>SCR-005</x:v>
      </x:c>
      <x:c r="C6" s="339" t="str">
        <x:v>Public Website &amp; Authentication</x:v>
      </x:c>
      <x:c r="D6" s="339" t="str">
        <x:v>Reset Password</x:v>
      </x:c>
      <x:c r="E6" s="339" t="str">
        <x:v>All Users</x:v>
      </x:c>
      <x:c r="F6" s="339" t="str">
        <x:v>Shared / Public</x:v>
      </x:c>
      <x:c r="G6" s="339" t="str">
        <x:v>Yes</x:v>
      </x:c>
      <x:c r="H6" s="339" t="str">
        <x:v>Yes</x:v>
      </x:c>
      <x:c r="I6" s="339" t="str">
        <x:v>Yes</x:v>
      </x:c>
      <x:c r="J6" s="339" t="str">
        <x:v>Restricted; prefer inactivate/reverse</x:v>
      </x:c>
      <x:c r="K6" s="339" t="str">
        <x:v>Role/state based</x:v>
      </x:c>
      <x:c r="L6" s="339" t="str">
        <x:v>No / if configured</x:v>
      </x:c>
      <x:c r="M6" s="339" t="str">
        <x:v>Tenant → organization → school → branch → class/section/student/own-record scope as applicable.</x:v>
      </x:c>
      <x:c r="N6" s="339" t="str">
        <x:v>Mask health, counselling, compensation, identity and other sensitive fields unless explicitly required by role.</x:v>
      </x:c>
    </x:row>
    <x:row r="7">
      <x:c r="A7" s="339" t="str">
        <x:v>RB-006</x:v>
      </x:c>
      <x:c r="B7" s="339" t="str">
        <x:v>SCR-006</x:v>
      </x:c>
      <x:c r="C7" s="339" t="str">
        <x:v>Public Website &amp; Authentication</x:v>
      </x:c>
      <x:c r="D7" s="339" t="str">
        <x:v>OTP / Two-Factor Verification</x:v>
      </x:c>
      <x:c r="E7" s="339" t="str">
        <x:v>All Users</x:v>
      </x:c>
      <x:c r="F7" s="339" t="str">
        <x:v>Shared / Public</x:v>
      </x:c>
      <x:c r="G7" s="339" t="str">
        <x:v>Yes</x:v>
      </x:c>
      <x:c r="H7" s="339" t="str">
        <x:v>Yes</x:v>
      </x:c>
      <x:c r="I7" s="339" t="str">
        <x:v>Yes</x:v>
      </x:c>
      <x:c r="J7" s="339" t="str">
        <x:v>Restricted; prefer inactivate/reverse</x:v>
      </x:c>
      <x:c r="K7" s="339" t="str">
        <x:v>Role/state based</x:v>
      </x:c>
      <x:c r="L7" s="339" t="str">
        <x:v>No / if configured</x:v>
      </x:c>
      <x:c r="M7" s="339" t="str">
        <x:v>Tenant → organization → school → branch → class/section/student/own-record scope as applicable.</x:v>
      </x:c>
      <x:c r="N7" s="339" t="str">
        <x:v>Mask health, counselling, compensation, identity and other sensitive fields unless explicitly required by role.</x:v>
      </x:c>
    </x:row>
    <x:row r="8">
      <x:c r="A8" s="339" t="str">
        <x:v>RB-007</x:v>
      </x:c>
      <x:c r="B8" s="339" t="str">
        <x:v>SCR-007</x:v>
      </x:c>
      <x:c r="C8" s="339" t="str">
        <x:v>Public Website &amp; Authentication</x:v>
      </x:c>
      <x:c r="D8" s="339" t="str">
        <x:v>First Login / Change Password</x:v>
      </x:c>
      <x:c r="E8" s="339" t="str">
        <x:v>All Users</x:v>
      </x:c>
      <x:c r="F8" s="339" t="str">
        <x:v>Shared / Public</x:v>
      </x:c>
      <x:c r="G8" s="339" t="str">
        <x:v>Yes</x:v>
      </x:c>
      <x:c r="H8" s="339" t="str">
        <x:v>Yes</x:v>
      </x:c>
      <x:c r="I8" s="339" t="str">
        <x:v>Yes</x:v>
      </x:c>
      <x:c r="J8" s="339" t="str">
        <x:v>Restricted; prefer inactivate/reverse</x:v>
      </x:c>
      <x:c r="K8" s="339" t="str">
        <x:v>Role/state based</x:v>
      </x:c>
      <x:c r="L8" s="339" t="str">
        <x:v>No / if configured</x:v>
      </x:c>
      <x:c r="M8" s="339" t="str">
        <x:v>Tenant → organization → school → branch → class/section/student/own-record scope as applicable.</x:v>
      </x:c>
      <x:c r="N8" s="339" t="str">
        <x:v>Mask health, counselling, compensation, identity and other sensitive fields unless explicitly required by role.</x:v>
      </x:c>
    </x:row>
    <x:row r="9">
      <x:c r="A9" s="339" t="str">
        <x:v>RB-008</x:v>
      </x:c>
      <x:c r="B9" s="339" t="str">
        <x:v>SCR-008</x:v>
      </x:c>
      <x:c r="C9" s="339" t="str">
        <x:v>Public Website &amp; Authentication</x:v>
      </x:c>
      <x:c r="D9" s="339" t="str">
        <x:v>Access Denied / Session Expired</x:v>
      </x:c>
      <x:c r="E9" s="339" t="str">
        <x:v>All Users</x:v>
      </x:c>
      <x:c r="F9" s="339" t="str">
        <x:v>Shared / Public</x:v>
      </x:c>
      <x:c r="G9" s="339" t="str">
        <x:v>Yes</x:v>
      </x:c>
      <x:c r="H9" s="339" t="str">
        <x:v>Yes</x:v>
      </x:c>
      <x:c r="I9" s="339" t="str">
        <x:v>Yes</x:v>
      </x:c>
      <x:c r="J9" s="339" t="str">
        <x:v>Restricted; prefer inactivate/reverse</x:v>
      </x:c>
      <x:c r="K9" s="339" t="str">
        <x:v>Role/state based</x:v>
      </x:c>
      <x:c r="L9" s="339" t="str">
        <x:v>No / if configured</x:v>
      </x:c>
      <x:c r="M9" s="339" t="str">
        <x:v>Tenant → organization → school → branch → class/section/student/own-record scope as applicable.</x:v>
      </x:c>
      <x:c r="N9" s="339" t="str">
        <x:v>Mask health, counselling, compensation, identity and other sensitive fields unless explicitly required by role.</x:v>
      </x:c>
    </x:row>
    <x:row r="10">
      <x:c r="A10" s="339" t="str">
        <x:v>RB-009</x:v>
      </x:c>
      <x:c r="B10" s="339" t="str">
        <x:v>SCR-009</x:v>
      </x:c>
      <x:c r="C10" s="339" t="str">
        <x:v>Super Admin / SaaS Administration</x:v>
      </x:c>
      <x:c r="D10" s="339" t="str">
        <x:v>Platform Dashboard</x:v>
      </x:c>
      <x:c r="E10" s="339" t="str">
        <x:v>Super Admin</x:v>
      </x:c>
      <x:c r="F10" s="339" t="str">
        <x:v>Super Admin Portal</x:v>
      </x:c>
      <x:c r="G10" s="339" t="str">
        <x:v>Yes</x:v>
      </x:c>
      <x:c r="H10" s="339" t="str">
        <x:v>As permitted</x:v>
      </x:c>
      <x:c r="I10" s="339" t="str">
        <x:v>As permitted</x:v>
      </x:c>
      <x:c r="J10" s="339" t="str">
        <x:v>Restricted; prefer inactivate/reverse</x:v>
      </x:c>
      <x:c r="K10" s="339" t="str">
        <x:v>No / if configured</x:v>
      </x:c>
      <x:c r="L10" s="339" t="str">
        <x:v>Role-based</x:v>
      </x:c>
      <x:c r="M10" s="339" t="str">
        <x:v>Tenant → organization → school → branch → class/section/student/own-record scope as applicable.</x:v>
      </x:c>
      <x:c r="N10" s="339" t="str">
        <x:v>Mask health, counselling, compensation, identity and other sensitive fields unless explicitly required by role.</x:v>
      </x:c>
    </x:row>
    <x:row r="11">
      <x:c r="A11" s="339" t="str">
        <x:v>RB-010</x:v>
      </x:c>
      <x:c r="B11" s="339" t="str">
        <x:v>SCR-010</x:v>
      </x:c>
      <x:c r="C11" s="339" t="str">
        <x:v>Super Admin / SaaS Administration</x:v>
      </x:c>
      <x:c r="D11" s="339" t="str">
        <x:v>Organizations List</x:v>
      </x:c>
      <x:c r="E11" s="339" t="str">
        <x:v>Super Admin</x:v>
      </x:c>
      <x:c r="F11" s="339" t="str">
        <x:v>Super Admin Portal</x:v>
      </x:c>
      <x:c r="G11" s="339" t="str">
        <x:v>Yes</x:v>
      </x:c>
      <x:c r="H11" s="339" t="str">
        <x:v>As permitted</x:v>
      </x:c>
      <x:c r="I11" s="339" t="str">
        <x:v>As permitted</x:v>
      </x:c>
      <x:c r="J11" s="339" t="str">
        <x:v>Restricted; prefer inactivate/reverse</x:v>
      </x:c>
      <x:c r="K11" s="339" t="str">
        <x:v>No / if configured</x:v>
      </x:c>
      <x:c r="L11" s="339" t="str">
        <x:v>Role-based</x:v>
      </x:c>
      <x:c r="M11" s="339" t="str">
        <x:v>Tenant → organization → school → branch → class/section/student/own-record scope as applicable.</x:v>
      </x:c>
      <x:c r="N11" s="339" t="str">
        <x:v>Mask health, counselling, compensation, identity and other sensitive fields unless explicitly required by role.</x:v>
      </x:c>
    </x:row>
    <x:row r="12">
      <x:c r="A12" s="339" t="str">
        <x:v>RB-011</x:v>
      </x:c>
      <x:c r="B12" s="339" t="str">
        <x:v>SCR-011</x:v>
      </x:c>
      <x:c r="C12" s="339" t="str">
        <x:v>Super Admin / SaaS Administration</x:v>
      </x:c>
      <x:c r="D12" s="339" t="str">
        <x:v>Add Organization</x:v>
      </x:c>
      <x:c r="E12" s="339" t="str">
        <x:v>Super Admin</x:v>
      </x:c>
      <x:c r="F12" s="339" t="str">
        <x:v>Super Admin Portal</x:v>
      </x:c>
      <x:c r="G12" s="339" t="str">
        <x:v>Yes</x:v>
      </x:c>
      <x:c r="H12" s="339" t="str">
        <x:v>Yes</x:v>
      </x:c>
      <x:c r="I12" s="339" t="str">
        <x:v>As permitted</x:v>
      </x:c>
      <x:c r="J12" s="339" t="str">
        <x:v>Restricted; prefer inactivate/reverse</x:v>
      </x:c>
      <x:c r="K12" s="339" t="str">
        <x:v>No / if configured</x:v>
      </x:c>
      <x:c r="L12" s="339" t="str">
        <x:v>No / if configured</x:v>
      </x:c>
      <x:c r="M12" s="339" t="str">
        <x:v>Tenant → organization → school → branch → class/section/student/own-record scope as applicable.</x:v>
      </x:c>
      <x:c r="N12" s="339" t="str">
        <x:v>Mask health, counselling, compensation, identity and other sensitive fields unless explicitly required by role.</x:v>
      </x:c>
    </x:row>
    <x:row r="13">
      <x:c r="A13" s="339" t="str">
        <x:v>RB-012</x:v>
      </x:c>
      <x:c r="B13" s="339" t="str">
        <x:v>SCR-012</x:v>
      </x:c>
      <x:c r="C13" s="339" t="str">
        <x:v>Super Admin / SaaS Administration</x:v>
      </x:c>
      <x:c r="D13" s="339" t="str">
        <x:v>Organization Details</x:v>
      </x:c>
      <x:c r="E13" s="339" t="str">
        <x:v>Super Admin</x:v>
      </x:c>
      <x:c r="F13" s="339" t="str">
        <x:v>Super Admin Portal</x:v>
      </x:c>
      <x:c r="G13" s="339" t="str">
        <x:v>Yes</x:v>
      </x:c>
      <x:c r="H13" s="339" t="str">
        <x:v>As permitted</x:v>
      </x:c>
      <x:c r="I13" s="339" t="str">
        <x:v>Yes</x:v>
      </x:c>
      <x:c r="J13" s="339" t="str">
        <x:v>Restricted; prefer inactivate/reverse</x:v>
      </x:c>
      <x:c r="K13" s="339" t="str">
        <x:v>No / if configured</x:v>
      </x:c>
      <x:c r="L13" s="339" t="str">
        <x:v>Role-based</x:v>
      </x:c>
      <x:c r="M13" s="339" t="str">
        <x:v>Tenant → organization → school → branch → class/section/student/own-record scope as applicable.</x:v>
      </x:c>
      <x:c r="N13" s="339" t="str">
        <x:v>Mask health, counselling, compensation, identity and other sensitive fields unless explicitly required by role.</x:v>
      </x:c>
    </x:row>
    <x:row r="14">
      <x:c r="A14" s="339" t="str">
        <x:v>RB-013</x:v>
      </x:c>
      <x:c r="B14" s="339" t="str">
        <x:v>SCR-013</x:v>
      </x:c>
      <x:c r="C14" s="339" t="str">
        <x:v>Super Admin / SaaS Administration</x:v>
      </x:c>
      <x:c r="D14" s="339" t="str">
        <x:v>Subscription Plans</x:v>
      </x:c>
      <x:c r="E14" s="339" t="str">
        <x:v>Super Admin</x:v>
      </x:c>
      <x:c r="F14" s="339" t="str">
        <x:v>Super Admin Portal</x:v>
      </x:c>
      <x:c r="G14" s="339" t="str">
        <x:v>Yes</x:v>
      </x:c>
      <x:c r="H14" s="339" t="str">
        <x:v>Yes</x:v>
      </x:c>
      <x:c r="I14" s="339" t="str">
        <x:v>Yes</x:v>
      </x:c>
      <x:c r="J14" s="339" t="str">
        <x:v>Restricted; prefer inactivate/reverse</x:v>
      </x:c>
      <x:c r="K14" s="339" t="str">
        <x:v>Role/state based</x:v>
      </x:c>
      <x:c r="L14" s="339" t="str">
        <x:v>No / if configured</x:v>
      </x:c>
      <x:c r="M14" s="339" t="str">
        <x:v>Tenant → organization → school → branch → class/section/student/own-record scope as applicable.</x:v>
      </x:c>
      <x:c r="N14" s="339" t="str">
        <x:v>Mask health, counselling, compensation, identity and other sensitive fields unless explicitly required by role.</x:v>
      </x:c>
    </x:row>
    <x:row r="15">
      <x:c r="A15" s="339" t="str">
        <x:v>RB-014</x:v>
      </x:c>
      <x:c r="B15" s="339" t="str">
        <x:v>SCR-014</x:v>
      </x:c>
      <x:c r="C15" s="339" t="str">
        <x:v>Super Admin / SaaS Administration</x:v>
      </x:c>
      <x:c r="D15" s="339" t="str">
        <x:v>Subscriptions &amp; Billing</x:v>
      </x:c>
      <x:c r="E15" s="339" t="str">
        <x:v>Super Admin</x:v>
      </x:c>
      <x:c r="F15" s="339" t="str">
        <x:v>Super Admin Portal</x:v>
      </x:c>
      <x:c r="G15" s="339" t="str">
        <x:v>Yes</x:v>
      </x:c>
      <x:c r="H15" s="339" t="str">
        <x:v>Yes</x:v>
      </x:c>
      <x:c r="I15" s="339" t="str">
        <x:v>Yes</x:v>
      </x:c>
      <x:c r="J15" s="339" t="str">
        <x:v>Restricted; prefer inactivate/reverse</x:v>
      </x:c>
      <x:c r="K15" s="339" t="str">
        <x:v>Role/state based</x:v>
      </x:c>
      <x:c r="L15" s="339" t="str">
        <x:v>No / if configured</x:v>
      </x:c>
      <x:c r="M15" s="339" t="str">
        <x:v>Tenant → organization → school → branch → class/section/student/own-record scope as applicable.</x:v>
      </x:c>
      <x:c r="N15" s="339" t="str">
        <x:v>Mask health, counselling, compensation, identity and other sensitive fields unless explicitly required by role.</x:v>
      </x:c>
    </x:row>
    <x:row r="16">
      <x:c r="A16" s="339" t="str">
        <x:v>RB-015</x:v>
      </x:c>
      <x:c r="B16" s="339" t="str">
        <x:v>SCR-015</x:v>
      </x:c>
      <x:c r="C16" s="339" t="str">
        <x:v>Super Admin / SaaS Administration</x:v>
      </x:c>
      <x:c r="D16" s="339" t="str">
        <x:v>Tenant Usage &amp; Limits</x:v>
      </x:c>
      <x:c r="E16" s="339" t="str">
        <x:v>Super Admin</x:v>
      </x:c>
      <x:c r="F16" s="339" t="str">
        <x:v>Super Admin Portal</x:v>
      </x:c>
      <x:c r="G16" s="339" t="str">
        <x:v>Yes</x:v>
      </x:c>
      <x:c r="H16" s="339" t="str">
        <x:v>As permitted</x:v>
      </x:c>
      <x:c r="I16" s="339" t="str">
        <x:v>As permitted</x:v>
      </x:c>
      <x:c r="J16" s="339" t="str">
        <x:v>Restricted; prefer inactivate/reverse</x:v>
      </x:c>
      <x:c r="K16" s="339" t="str">
        <x:v>No / if configured</x:v>
      </x:c>
      <x:c r="L16" s="339" t="str">
        <x:v>Role-based</x:v>
      </x:c>
      <x:c r="M16" s="339" t="str">
        <x:v>Tenant → organization → school → branch → class/section/student/own-record scope as applicable.</x:v>
      </x:c>
      <x:c r="N16" s="339" t="str">
        <x:v>Mask health, counselling, compensation, identity and other sensitive fields unless explicitly required by role.</x:v>
      </x:c>
    </x:row>
    <x:row r="17">
      <x:c r="A17" s="339" t="str">
        <x:v>RB-016</x:v>
      </x:c>
      <x:c r="B17" s="339" t="str">
        <x:v>SCR-016</x:v>
      </x:c>
      <x:c r="C17" s="339" t="str">
        <x:v>Super Admin / SaaS Administration</x:v>
      </x:c>
      <x:c r="D17" s="339" t="str">
        <x:v>Platform Users</x:v>
      </x:c>
      <x:c r="E17" s="339" t="str">
        <x:v>Super Admin</x:v>
      </x:c>
      <x:c r="F17" s="339" t="str">
        <x:v>Super Admin Portal</x:v>
      </x:c>
      <x:c r="G17" s="339" t="str">
        <x:v>Yes</x:v>
      </x:c>
      <x:c r="H17" s="339" t="str">
        <x:v>Yes</x:v>
      </x:c>
      <x:c r="I17" s="339" t="str">
        <x:v>Yes</x:v>
      </x:c>
      <x:c r="J17" s="339" t="str">
        <x:v>Restricted; prefer inactivate/reverse</x:v>
      </x:c>
      <x:c r="K17" s="339" t="str">
        <x:v>Role/state based</x:v>
      </x:c>
      <x:c r="L17" s="339" t="str">
        <x:v>No / if configured</x:v>
      </x:c>
      <x:c r="M17" s="339" t="str">
        <x:v>Tenant → organization → school → branch → class/section/student/own-record scope as applicable.</x:v>
      </x:c>
      <x:c r="N17" s="339" t="str">
        <x:v>Mask health, counselling, compensation, identity and other sensitive fields unless explicitly required by role.</x:v>
      </x:c>
    </x:row>
    <x:row r="18">
      <x:c r="A18" s="339" t="str">
        <x:v>RB-017</x:v>
      </x:c>
      <x:c r="B18" s="339" t="str">
        <x:v>SCR-017</x:v>
      </x:c>
      <x:c r="C18" s="339" t="str">
        <x:v>Super Admin / SaaS Administration</x:v>
      </x:c>
      <x:c r="D18" s="339" t="str">
        <x:v>Support Tickets</x:v>
      </x:c>
      <x:c r="E18" s="339" t="str">
        <x:v>Super Admin</x:v>
      </x:c>
      <x:c r="F18" s="339" t="str">
        <x:v>Super Admin Portal</x:v>
      </x:c>
      <x:c r="G18" s="339" t="str">
        <x:v>Yes</x:v>
      </x:c>
      <x:c r="H18" s="339" t="str">
        <x:v>Yes</x:v>
      </x:c>
      <x:c r="I18" s="339" t="str">
        <x:v>Yes</x:v>
      </x:c>
      <x:c r="J18" s="339" t="str">
        <x:v>Restricted; prefer inactivate/reverse</x:v>
      </x:c>
      <x:c r="K18" s="339" t="str">
        <x:v>Role/state based</x:v>
      </x:c>
      <x:c r="L18" s="339" t="str">
        <x:v>No / if configured</x:v>
      </x:c>
      <x:c r="M18" s="339" t="str">
        <x:v>Tenant → organization → school → branch → class/section/student/own-record scope as applicable.</x:v>
      </x:c>
      <x:c r="N18" s="339" t="str">
        <x:v>Mask health, counselling, compensation, identity and other sensitive fields unless explicitly required by role.</x:v>
      </x:c>
    </x:row>
    <x:row r="19">
      <x:c r="A19" s="339" t="str">
        <x:v>RB-018</x:v>
      </x:c>
      <x:c r="B19" s="339" t="str">
        <x:v>SCR-018</x:v>
      </x:c>
      <x:c r="C19" s="339" t="str">
        <x:v>Super Admin / SaaS Administration</x:v>
      </x:c>
      <x:c r="D19" s="339" t="str">
        <x:v>System Health &amp; Service Status</x:v>
      </x:c>
      <x:c r="E19" s="339" t="str">
        <x:v>Super Admin</x:v>
      </x:c>
      <x:c r="F19" s="339" t="str">
        <x:v>Super Admin Portal</x:v>
      </x:c>
      <x:c r="G19" s="339" t="str">
        <x:v>Yes</x:v>
      </x:c>
      <x:c r="H19" s="339" t="str">
        <x:v>Yes</x:v>
      </x:c>
      <x:c r="I19" s="339" t="str">
        <x:v>Yes</x:v>
      </x:c>
      <x:c r="J19" s="339" t="str">
        <x:v>Restricted; prefer inactivate/reverse</x:v>
      </x:c>
      <x:c r="K19" s="339" t="str">
        <x:v>Role/state based</x:v>
      </x:c>
      <x:c r="L19" s="339" t="str">
        <x:v>No / if configured</x:v>
      </x:c>
      <x:c r="M19" s="339" t="str">
        <x:v>Tenant → organization → school → branch → class/section/student/own-record scope as applicable.</x:v>
      </x:c>
      <x:c r="N19" s="339" t="str">
        <x:v>Mask health, counselling, compensation, identity and other sensitive fields unless explicitly required by role.</x:v>
      </x:c>
    </x:row>
    <x:row r="20">
      <x:c r="A20" s="339" t="str">
        <x:v>RB-019</x:v>
      </x:c>
      <x:c r="B20" s="339" t="str">
        <x:v>SCR-019</x:v>
      </x:c>
      <x:c r="C20" s="339" t="str">
        <x:v>Super Admin / SaaS Administration</x:v>
      </x:c>
      <x:c r="D20" s="339" t="str">
        <x:v>Global Announcements</x:v>
      </x:c>
      <x:c r="E20" s="339" t="str">
        <x:v>Super Admin</x:v>
      </x:c>
      <x:c r="F20" s="339" t="str">
        <x:v>Super Admin Portal</x:v>
      </x:c>
      <x:c r="G20" s="339" t="str">
        <x:v>Yes</x:v>
      </x:c>
      <x:c r="H20" s="339" t="str">
        <x:v>As permitted</x:v>
      </x:c>
      <x:c r="I20" s="339" t="str">
        <x:v>As permitted</x:v>
      </x:c>
      <x:c r="J20" s="339" t="str">
        <x:v>Restricted; prefer inactivate/reverse</x:v>
      </x:c>
      <x:c r="K20" s="339" t="str">
        <x:v>No / if configured</x:v>
      </x:c>
      <x:c r="L20" s="339" t="str">
        <x:v>Role-based</x:v>
      </x:c>
      <x:c r="M20" s="339" t="str">
        <x:v>Tenant → organization → school → branch → class/section/student/own-record scope as applicable.</x:v>
      </x:c>
      <x:c r="N20" s="339" t="str">
        <x:v>Mask health, counselling, compensation, identity and other sensitive fields unless explicitly required by role.</x:v>
      </x:c>
    </x:row>
    <x:row r="21">
      <x:c r="A21" s="339" t="str">
        <x:v>RB-020</x:v>
      </x:c>
      <x:c r="B21" s="339" t="str">
        <x:v>SCR-020</x:v>
      </x:c>
      <x:c r="C21" s="339" t="str">
        <x:v>Super Admin / SaaS Administration</x:v>
      </x:c>
      <x:c r="D21" s="339" t="str">
        <x:v>Platform Settings</x:v>
      </x:c>
      <x:c r="E21" s="339" t="str">
        <x:v>Super Admin</x:v>
      </x:c>
      <x:c r="F21" s="339" t="str">
        <x:v>Super Admin Portal</x:v>
      </x:c>
      <x:c r="G21" s="339" t="str">
        <x:v>Yes</x:v>
      </x:c>
      <x:c r="H21" s="339" t="str">
        <x:v>Yes</x:v>
      </x:c>
      <x:c r="I21" s="339" t="str">
        <x:v>Yes</x:v>
      </x:c>
      <x:c r="J21" s="339" t="str">
        <x:v>Restricted; prefer inactivate/reverse</x:v>
      </x:c>
      <x:c r="K21" s="339" t="str">
        <x:v>No / if configured</x:v>
      </x:c>
      <x:c r="L21" s="339" t="str">
        <x:v>No / if configured</x:v>
      </x:c>
      <x:c r="M21" s="339" t="str">
        <x:v>Tenant → organization → school → branch → class/section/student/own-record scope as applicable.</x:v>
      </x:c>
      <x:c r="N21" s="339" t="str">
        <x:v>Mask health, counselling, compensation, identity and other sensitive fields unless explicitly required by role.</x:v>
      </x:c>
    </x:row>
    <x:row r="22">
      <x:c r="A22" s="339" t="str">
        <x:v>RB-021</x:v>
      </x:c>
      <x:c r="B22" s="339" t="str">
        <x:v>SCR-021</x:v>
      </x:c>
      <x:c r="C22" s="339" t="str">
        <x:v>Organization / School / Branch Setup</x:v>
      </x:c>
      <x:c r="D22" s="339" t="str">
        <x:v>Organization Profile</x:v>
      </x:c>
      <x:c r="E22" s="339" t="str">
        <x:v>Super Admin, Organization Admin, School Admin</x:v>
      </x:c>
      <x:c r="F22" s="339" t="str">
        <x:v>School Admin / Shared</x:v>
      </x:c>
      <x:c r="G22" s="339" t="str">
        <x:v>Yes</x:v>
      </x:c>
      <x:c r="H22" s="339" t="str">
        <x:v>As permitted</x:v>
      </x:c>
      <x:c r="I22" s="339" t="str">
        <x:v>Yes</x:v>
      </x:c>
      <x:c r="J22" s="339" t="str">
        <x:v>Restricted; prefer inactivate/reverse</x:v>
      </x:c>
      <x:c r="K22" s="339" t="str">
        <x:v>No / if configured</x:v>
      </x:c>
      <x:c r="L22" s="339" t="str">
        <x:v>Role-based</x:v>
      </x:c>
      <x:c r="M22" s="339" t="str">
        <x:v>Tenant → organization → school → branch → class/section/student/own-record scope as applicable.</x:v>
      </x:c>
      <x:c r="N22" s="339" t="str">
        <x:v>Mask health, counselling, compensation, identity and other sensitive fields unless explicitly required by role.</x:v>
      </x:c>
    </x:row>
    <x:row r="23">
      <x:c r="A23" s="339" t="str">
        <x:v>RB-022</x:v>
      </x:c>
      <x:c r="B23" s="339" t="str">
        <x:v>SCR-022</x:v>
      </x:c>
      <x:c r="C23" s="339" t="str">
        <x:v>Organization / School / Branch Setup</x:v>
      </x:c>
      <x:c r="D23" s="339" t="str">
        <x:v>Schools List</x:v>
      </x:c>
      <x:c r="E23" s="339" t="str">
        <x:v>Super Admin, Organization Admin, School Admin</x:v>
      </x:c>
      <x:c r="F23" s="339" t="str">
        <x:v>School Admin / Shared</x:v>
      </x:c>
      <x:c r="G23" s="339" t="str">
        <x:v>Yes</x:v>
      </x:c>
      <x:c r="H23" s="339" t="str">
        <x:v>As permitted</x:v>
      </x:c>
      <x:c r="I23" s="339" t="str">
        <x:v>As permitted</x:v>
      </x:c>
      <x:c r="J23" s="339" t="str">
        <x:v>Restricted; prefer inactivate/reverse</x:v>
      </x:c>
      <x:c r="K23" s="339" t="str">
        <x:v>No / if configured</x:v>
      </x:c>
      <x:c r="L23" s="339" t="str">
        <x:v>Role-based</x:v>
      </x:c>
      <x:c r="M23" s="339" t="str">
        <x:v>Tenant → organization → school → branch → class/section/student/own-record scope as applicable.</x:v>
      </x:c>
      <x:c r="N23" s="339" t="str">
        <x:v>Mask health, counselling, compensation, identity and other sensitive fields unless explicitly required by role.</x:v>
      </x:c>
    </x:row>
    <x:row r="24">
      <x:c r="A24" s="339" t="str">
        <x:v>RB-023</x:v>
      </x:c>
      <x:c r="B24" s="339" t="str">
        <x:v>SCR-023</x:v>
      </x:c>
      <x:c r="C24" s="339" t="str">
        <x:v>Organization / School / Branch Setup</x:v>
      </x:c>
      <x:c r="D24" s="339" t="str">
        <x:v>Add School</x:v>
      </x:c>
      <x:c r="E24" s="339" t="str">
        <x:v>Super Admin, Organization Admin, School Admin</x:v>
      </x:c>
      <x:c r="F24" s="339" t="str">
        <x:v>School Admin / Shared</x:v>
      </x:c>
      <x:c r="G24" s="339" t="str">
        <x:v>Yes</x:v>
      </x:c>
      <x:c r="H24" s="339" t="str">
        <x:v>Yes</x:v>
      </x:c>
      <x:c r="I24" s="339" t="str">
        <x:v>As permitted</x:v>
      </x:c>
      <x:c r="J24" s="339" t="str">
        <x:v>Restricted; prefer inactivate/reverse</x:v>
      </x:c>
      <x:c r="K24" s="339" t="str">
        <x:v>No / if configured</x:v>
      </x:c>
      <x:c r="L24" s="339" t="str">
        <x:v>No / if configured</x:v>
      </x:c>
      <x:c r="M24" s="339" t="str">
        <x:v>Tenant → organization → school → branch → class/section/student/own-record scope as applicable.</x:v>
      </x:c>
      <x:c r="N24" s="339" t="str">
        <x:v>Mask health, counselling, compensation, identity and other sensitive fields unless explicitly required by role.</x:v>
      </x:c>
    </x:row>
    <x:row r="25">
      <x:c r="A25" s="339" t="str">
        <x:v>RB-024</x:v>
      </x:c>
      <x:c r="B25" s="339" t="str">
        <x:v>SCR-024</x:v>
      </x:c>
      <x:c r="C25" s="339" t="str">
        <x:v>Organization / School / Branch Setup</x:v>
      </x:c>
      <x:c r="D25" s="339" t="str">
        <x:v>School Details</x:v>
      </x:c>
      <x:c r="E25" s="339" t="str">
        <x:v>Super Admin, Organization Admin, School Admin</x:v>
      </x:c>
      <x:c r="F25" s="339" t="str">
        <x:v>School Admin / Shared</x:v>
      </x:c>
      <x:c r="G25" s="339" t="str">
        <x:v>Yes</x:v>
      </x:c>
      <x:c r="H25" s="339" t="str">
        <x:v>As permitted</x:v>
      </x:c>
      <x:c r="I25" s="339" t="str">
        <x:v>Yes</x:v>
      </x:c>
      <x:c r="J25" s="339" t="str">
        <x:v>Restricted; prefer inactivate/reverse</x:v>
      </x:c>
      <x:c r="K25" s="339" t="str">
        <x:v>No / if configured</x:v>
      </x:c>
      <x:c r="L25" s="339" t="str">
        <x:v>Role-based</x:v>
      </x:c>
      <x:c r="M25" s="339" t="str">
        <x:v>Tenant → organization → school → branch → class/section/student/own-record scope as applicable.</x:v>
      </x:c>
      <x:c r="N25" s="339" t="str">
        <x:v>Mask health, counselling, compensation, identity and other sensitive fields unless explicitly required by role.</x:v>
      </x:c>
    </x:row>
    <x:row r="26">
      <x:c r="A26" s="339" t="str">
        <x:v>RB-025</x:v>
      </x:c>
      <x:c r="B26" s="339" t="str">
        <x:v>SCR-025</x:v>
      </x:c>
      <x:c r="C26" s="339" t="str">
        <x:v>Organization / School / Branch Setup</x:v>
      </x:c>
      <x:c r="D26" s="339" t="str">
        <x:v>Branches List</x:v>
      </x:c>
      <x:c r="E26" s="339" t="str">
        <x:v>Super Admin, Organization Admin, School Admin</x:v>
      </x:c>
      <x:c r="F26" s="339" t="str">
        <x:v>School Admin / Shared</x:v>
      </x:c>
      <x:c r="G26" s="339" t="str">
        <x:v>Yes</x:v>
      </x:c>
      <x:c r="H26" s="339" t="str">
        <x:v>As permitted</x:v>
      </x:c>
      <x:c r="I26" s="339" t="str">
        <x:v>As permitted</x:v>
      </x:c>
      <x:c r="J26" s="339" t="str">
        <x:v>Restricted; prefer inactivate/reverse</x:v>
      </x:c>
      <x:c r="K26" s="339" t="str">
        <x:v>No / if configured</x:v>
      </x:c>
      <x:c r="L26" s="339" t="str">
        <x:v>Role-based</x:v>
      </x:c>
      <x:c r="M26" s="339" t="str">
        <x:v>Tenant → organization → school → branch → class/section/student/own-record scope as applicable.</x:v>
      </x:c>
      <x:c r="N26" s="339" t="str">
        <x:v>Mask health, counselling, compensation, identity and other sensitive fields unless explicitly required by role.</x:v>
      </x:c>
    </x:row>
    <x:row r="27">
      <x:c r="A27" s="339" t="str">
        <x:v>RB-026</x:v>
      </x:c>
      <x:c r="B27" s="339" t="str">
        <x:v>SCR-026</x:v>
      </x:c>
      <x:c r="C27" s="339" t="str">
        <x:v>Organization / School / Branch Setup</x:v>
      </x:c>
      <x:c r="D27" s="339" t="str">
        <x:v>Add Branch</x:v>
      </x:c>
      <x:c r="E27" s="339" t="str">
        <x:v>Super Admin, Organization Admin, School Admin</x:v>
      </x:c>
      <x:c r="F27" s="339" t="str">
        <x:v>School Admin / Shared</x:v>
      </x:c>
      <x:c r="G27" s="339" t="str">
        <x:v>Yes</x:v>
      </x:c>
      <x:c r="H27" s="339" t="str">
        <x:v>Yes</x:v>
      </x:c>
      <x:c r="I27" s="339" t="str">
        <x:v>As permitted</x:v>
      </x:c>
      <x:c r="J27" s="339" t="str">
        <x:v>Restricted; prefer inactivate/reverse</x:v>
      </x:c>
      <x:c r="K27" s="339" t="str">
        <x:v>No / if configured</x:v>
      </x:c>
      <x:c r="L27" s="339" t="str">
        <x:v>No / if configured</x:v>
      </x:c>
      <x:c r="M27" s="339" t="str">
        <x:v>Tenant → organization → school → branch → class/section/student/own-record scope as applicable.</x:v>
      </x:c>
      <x:c r="N27" s="339" t="str">
        <x:v>Mask health, counselling, compensation, identity and other sensitive fields unless explicitly required by role.</x:v>
      </x:c>
    </x:row>
    <x:row r="28">
      <x:c r="A28" s="339" t="str">
        <x:v>RB-027</x:v>
      </x:c>
      <x:c r="B28" s="339" t="str">
        <x:v>SCR-027</x:v>
      </x:c>
      <x:c r="C28" s="339" t="str">
        <x:v>Organization / School / Branch Setup</x:v>
      </x:c>
      <x:c r="D28" s="339" t="str">
        <x:v>Branch Details</x:v>
      </x:c>
      <x:c r="E28" s="339" t="str">
        <x:v>Super Admin, Organization Admin, School Admin</x:v>
      </x:c>
      <x:c r="F28" s="339" t="str">
        <x:v>School Admin / Shared</x:v>
      </x:c>
      <x:c r="G28" s="339" t="str">
        <x:v>Yes</x:v>
      </x:c>
      <x:c r="H28" s="339" t="str">
        <x:v>As permitted</x:v>
      </x:c>
      <x:c r="I28" s="339" t="str">
        <x:v>Yes</x:v>
      </x:c>
      <x:c r="J28" s="339" t="str">
        <x:v>Restricted; prefer inactivate/reverse</x:v>
      </x:c>
      <x:c r="K28" s="339" t="str">
        <x:v>No / if configured</x:v>
      </x:c>
      <x:c r="L28" s="339" t="str">
        <x:v>Role-based</x:v>
      </x:c>
      <x:c r="M28" s="339" t="str">
        <x:v>Tenant → organization → school → branch → class/section/student/own-record scope as applicable.</x:v>
      </x:c>
      <x:c r="N28" s="339" t="str">
        <x:v>Mask health, counselling, compensation, identity and other sensitive fields unless explicitly required by role.</x:v>
      </x:c>
    </x:row>
    <x:row r="29">
      <x:c r="A29" s="339" t="str">
        <x:v>RB-028</x:v>
      </x:c>
      <x:c r="B29" s="339" t="str">
        <x:v>SCR-028</x:v>
      </x:c>
      <x:c r="C29" s="339" t="str">
        <x:v>Organization / School / Branch Setup</x:v>
      </x:c>
      <x:c r="D29" s="339" t="str">
        <x:v>Academic Year Setup</x:v>
      </x:c>
      <x:c r="E29" s="339" t="str">
        <x:v>Super Admin, Organization Admin, School Admin</x:v>
      </x:c>
      <x:c r="F29" s="339" t="str">
        <x:v>School Admin / Shared</x:v>
      </x:c>
      <x:c r="G29" s="339" t="str">
        <x:v>Yes</x:v>
      </x:c>
      <x:c r="H29" s="339" t="str">
        <x:v>Yes</x:v>
      </x:c>
      <x:c r="I29" s="339" t="str">
        <x:v>As permitted</x:v>
      </x:c>
      <x:c r="J29" s="339" t="str">
        <x:v>Restricted; prefer inactivate/reverse</x:v>
      </x:c>
      <x:c r="K29" s="339" t="str">
        <x:v>No / if configured</x:v>
      </x:c>
      <x:c r="L29" s="339" t="str">
        <x:v>No / if configured</x:v>
      </x:c>
      <x:c r="M29" s="339" t="str">
        <x:v>Tenant → organization → school → branch → class/section/student/own-record scope as applicable.</x:v>
      </x:c>
      <x:c r="N29" s="339" t="str">
        <x:v>Mask health, counselling, compensation, identity and other sensitive fields unless explicitly required by role.</x:v>
      </x:c>
    </x:row>
    <x:row r="30">
      <x:c r="A30" s="339" t="str">
        <x:v>RB-029</x:v>
      </x:c>
      <x:c r="B30" s="339" t="str">
        <x:v>SCR-029</x:v>
      </x:c>
      <x:c r="C30" s="339" t="str">
        <x:v>Organization / School / Branch Setup</x:v>
      </x:c>
      <x:c r="D30" s="339" t="str">
        <x:v>Grade / Class Setup</x:v>
      </x:c>
      <x:c r="E30" s="339" t="str">
        <x:v>Super Admin, Organization Admin, School Admin</x:v>
      </x:c>
      <x:c r="F30" s="339" t="str">
        <x:v>School Admin / Shared</x:v>
      </x:c>
      <x:c r="G30" s="339" t="str">
        <x:v>Yes</x:v>
      </x:c>
      <x:c r="H30" s="339" t="str">
        <x:v>Yes</x:v>
      </x:c>
      <x:c r="I30" s="339" t="str">
        <x:v>As permitted</x:v>
      </x:c>
      <x:c r="J30" s="339" t="str">
        <x:v>Restricted; prefer inactivate/reverse</x:v>
      </x:c>
      <x:c r="K30" s="339" t="str">
        <x:v>No / if configured</x:v>
      </x:c>
      <x:c r="L30" s="339" t="str">
        <x:v>No / if configured</x:v>
      </x:c>
      <x:c r="M30" s="339" t="str">
        <x:v>Tenant → organization → school → branch → class/section/student/own-record scope as applicable.</x:v>
      </x:c>
      <x:c r="N30" s="339" t="str">
        <x:v>Mask health, counselling, compensation, identity and other sensitive fields unless explicitly required by role.</x:v>
      </x:c>
    </x:row>
    <x:row r="31">
      <x:c r="A31" s="339" t="str">
        <x:v>RB-030</x:v>
      </x:c>
      <x:c r="B31" s="339" t="str">
        <x:v>SCR-030</x:v>
      </x:c>
      <x:c r="C31" s="339" t="str">
        <x:v>Organization / School / Branch Setup</x:v>
      </x:c>
      <x:c r="D31" s="339" t="str">
        <x:v>Section Setup</x:v>
      </x:c>
      <x:c r="E31" s="339" t="str">
        <x:v>Super Admin, Organization Admin, School Admin</x:v>
      </x:c>
      <x:c r="F31" s="339" t="str">
        <x:v>School Admin / Shared</x:v>
      </x:c>
      <x:c r="G31" s="339" t="str">
        <x:v>Yes</x:v>
      </x:c>
      <x:c r="H31" s="339" t="str">
        <x:v>Yes</x:v>
      </x:c>
      <x:c r="I31" s="339" t="str">
        <x:v>As permitted</x:v>
      </x:c>
      <x:c r="J31" s="339" t="str">
        <x:v>Restricted; prefer inactivate/reverse</x:v>
      </x:c>
      <x:c r="K31" s="339" t="str">
        <x:v>No / if configured</x:v>
      </x:c>
      <x:c r="L31" s="339" t="str">
        <x:v>No / if configured</x:v>
      </x:c>
      <x:c r="M31" s="339" t="str">
        <x:v>Tenant → organization → school → branch → class/section/student/own-record scope as applicable.</x:v>
      </x:c>
      <x:c r="N31" s="339" t="str">
        <x:v>Mask health, counselling, compensation, identity and other sensitive fields unless explicitly required by role.</x:v>
      </x:c>
    </x:row>
    <x:row r="32">
      <x:c r="A32" s="339" t="str">
        <x:v>RB-031</x:v>
      </x:c>
      <x:c r="B32" s="339" t="str">
        <x:v>SCR-031</x:v>
      </x:c>
      <x:c r="C32" s="339" t="str">
        <x:v>Organization / School / Branch Setup</x:v>
      </x:c>
      <x:c r="D32" s="339" t="str">
        <x:v>Department Setup</x:v>
      </x:c>
      <x:c r="E32" s="339" t="str">
        <x:v>Super Admin, Organization Admin, School Admin</x:v>
      </x:c>
      <x:c r="F32" s="339" t="str">
        <x:v>School Admin / Shared</x:v>
      </x:c>
      <x:c r="G32" s="339" t="str">
        <x:v>Yes</x:v>
      </x:c>
      <x:c r="H32" s="339" t="str">
        <x:v>Yes</x:v>
      </x:c>
      <x:c r="I32" s="339" t="str">
        <x:v>As permitted</x:v>
      </x:c>
      <x:c r="J32" s="339" t="str">
        <x:v>Restricted; prefer inactivate/reverse</x:v>
      </x:c>
      <x:c r="K32" s="339" t="str">
        <x:v>No / if configured</x:v>
      </x:c>
      <x:c r="L32" s="339" t="str">
        <x:v>No / if configured</x:v>
      </x:c>
      <x:c r="M32" s="339" t="str">
        <x:v>Tenant → organization → school → branch → class/section/student/own-record scope as applicable.</x:v>
      </x:c>
      <x:c r="N32" s="339" t="str">
        <x:v>Mask health, counselling, compensation, identity and other sensitive fields unless explicitly required by role.</x:v>
      </x:c>
    </x:row>
    <x:row r="33">
      <x:c r="A33" s="339" t="str">
        <x:v>RB-032</x:v>
      </x:c>
      <x:c r="B33" s="339" t="str">
        <x:v>SCR-032</x:v>
      </x:c>
      <x:c r="C33" s="339" t="str">
        <x:v>Organization / School / Branch Setup</x:v>
      </x:c>
      <x:c r="D33" s="339" t="str">
        <x:v>School Branding &amp; Profile</x:v>
      </x:c>
      <x:c r="E33" s="339" t="str">
        <x:v>Super Admin, Organization Admin, School Admin</x:v>
      </x:c>
      <x:c r="F33" s="339" t="str">
        <x:v>School Admin / Shared</x:v>
      </x:c>
      <x:c r="G33" s="339" t="str">
        <x:v>Yes</x:v>
      </x:c>
      <x:c r="H33" s="339" t="str">
        <x:v>As permitted</x:v>
      </x:c>
      <x:c r="I33" s="339" t="str">
        <x:v>Yes</x:v>
      </x:c>
      <x:c r="J33" s="339" t="str">
        <x:v>Restricted; prefer inactivate/reverse</x:v>
      </x:c>
      <x:c r="K33" s="339" t="str">
        <x:v>No / if configured</x:v>
      </x:c>
      <x:c r="L33" s="339" t="str">
        <x:v>Role-based</x:v>
      </x:c>
      <x:c r="M33" s="339" t="str">
        <x:v>Tenant → organization → school → branch → class/section/student/own-record scope as applicable.</x:v>
      </x:c>
      <x:c r="N33" s="339" t="str">
        <x:v>Mask health, counselling, compensation, identity and other sensitive fields unless explicitly required by role.</x:v>
      </x:c>
    </x:row>
    <x:row r="34">
      <x:c r="A34" s="339" t="str">
        <x:v>RB-033</x:v>
      </x:c>
      <x:c r="B34" s="339" t="str">
        <x:v>SCR-033</x:v>
      </x:c>
      <x:c r="C34" s="339" t="str">
        <x:v>Role Dashboards</x:v>
      </x:c>
      <x:c r="D34" s="339" t="str">
        <x:v>School Admin Dashboard</x:v>
      </x:c>
      <x:c r="E34" s="339" t="str">
        <x:v>School Admin</x:v>
      </x:c>
      <x:c r="F34" s="339" t="str">
        <x:v>School Admin Portal</x:v>
      </x:c>
      <x:c r="G34" s="339" t="str">
        <x:v>Yes</x:v>
      </x:c>
      <x:c r="H34" s="339" t="str">
        <x:v>As permitted</x:v>
      </x:c>
      <x:c r="I34" s="339" t="str">
        <x:v>As permitted</x:v>
      </x:c>
      <x:c r="J34" s="339" t="str">
        <x:v>No</x:v>
      </x:c>
      <x:c r="K34" s="339" t="str">
        <x:v>No / if configured</x:v>
      </x:c>
      <x:c r="L34" s="339" t="str">
        <x:v>Role-based</x:v>
      </x:c>
      <x:c r="M34" s="339" t="str">
        <x:v>Tenant → organization → school → branch → class/section/student/own-record scope as applicable.</x:v>
      </x:c>
      <x:c r="N34" s="339" t="str">
        <x:v>Mask health, counselling, compensation, identity and other sensitive fields unless explicitly required by role.</x:v>
      </x:c>
    </x:row>
    <x:row r="35">
      <x:c r="A35" s="339" t="str">
        <x:v>RB-034</x:v>
      </x:c>
      <x:c r="B35" s="339" t="str">
        <x:v>SCR-034</x:v>
      </x:c>
      <x:c r="C35" s="339" t="str">
        <x:v>Role Dashboards</x:v>
      </x:c>
      <x:c r="D35" s="339" t="str">
        <x:v>Principal Dashboard</x:v>
      </x:c>
      <x:c r="E35" s="339" t="str">
        <x:v>Principal</x:v>
      </x:c>
      <x:c r="F35" s="339" t="str">
        <x:v>Principal Portal</x:v>
      </x:c>
      <x:c r="G35" s="339" t="str">
        <x:v>Yes</x:v>
      </x:c>
      <x:c r="H35" s="339" t="str">
        <x:v>As permitted</x:v>
      </x:c>
      <x:c r="I35" s="339" t="str">
        <x:v>As permitted</x:v>
      </x:c>
      <x:c r="J35" s="339" t="str">
        <x:v>No</x:v>
      </x:c>
      <x:c r="K35" s="339" t="str">
        <x:v>No / if configured</x:v>
      </x:c>
      <x:c r="L35" s="339" t="str">
        <x:v>Role-based</x:v>
      </x:c>
      <x:c r="M35" s="339" t="str">
        <x:v>Tenant → organization → school → branch → class/section/student/own-record scope as applicable.</x:v>
      </x:c>
      <x:c r="N35" s="339" t="str">
        <x:v>Mask health, counselling, compensation, identity and other sensitive fields unless explicitly required by role.</x:v>
      </x:c>
    </x:row>
    <x:row r="36">
      <x:c r="A36" s="339" t="str">
        <x:v>RB-035</x:v>
      </x:c>
      <x:c r="B36" s="339" t="str">
        <x:v>SCR-035</x:v>
      </x:c>
      <x:c r="C36" s="339" t="str">
        <x:v>Role Dashboards</x:v>
      </x:c>
      <x:c r="D36" s="339" t="str">
        <x:v>Teacher Dashboard</x:v>
      </x:c>
      <x:c r="E36" s="339" t="str">
        <x:v>Teacher</x:v>
      </x:c>
      <x:c r="F36" s="339" t="str">
        <x:v>Teacher Portal</x:v>
      </x:c>
      <x:c r="G36" s="339" t="str">
        <x:v>Yes</x:v>
      </x:c>
      <x:c r="H36" s="339" t="str">
        <x:v>As permitted</x:v>
      </x:c>
      <x:c r="I36" s="339" t="str">
        <x:v>As permitted</x:v>
      </x:c>
      <x:c r="J36" s="339" t="str">
        <x:v>No</x:v>
      </x:c>
      <x:c r="K36" s="339" t="str">
        <x:v>No / if configured</x:v>
      </x:c>
      <x:c r="L36" s="339" t="str">
        <x:v>Role-based</x:v>
      </x:c>
      <x:c r="M36" s="339" t="str">
        <x:v>Tenant → organization → school → branch → class/section/student/own-record scope as applicable.</x:v>
      </x:c>
      <x:c r="N36" s="339" t="str">
        <x:v>Mask health, counselling, compensation, identity and other sensitive fields unless explicitly required by role.</x:v>
      </x:c>
    </x:row>
    <x:row r="37">
      <x:c r="A37" s="339" t="str">
        <x:v>RB-036</x:v>
      </x:c>
      <x:c r="B37" s="339" t="str">
        <x:v>SCR-036</x:v>
      </x:c>
      <x:c r="C37" s="339" t="str">
        <x:v>Role Dashboards</x:v>
      </x:c>
      <x:c r="D37" s="339" t="str">
        <x:v>Student Dashboard</x:v>
      </x:c>
      <x:c r="E37" s="339" t="str">
        <x:v>Student</x:v>
      </x:c>
      <x:c r="F37" s="339" t="str">
        <x:v>Student Portal</x:v>
      </x:c>
      <x:c r="G37" s="339" t="str">
        <x:v>Yes</x:v>
      </x:c>
      <x:c r="H37" s="339" t="str">
        <x:v>As permitted</x:v>
      </x:c>
      <x:c r="I37" s="339" t="str">
        <x:v>As permitted</x:v>
      </x:c>
      <x:c r="J37" s="339" t="str">
        <x:v>No</x:v>
      </x:c>
      <x:c r="K37" s="339" t="str">
        <x:v>No / if configured</x:v>
      </x:c>
      <x:c r="L37" s="339" t="str">
        <x:v>Role-based</x:v>
      </x:c>
      <x:c r="M37" s="339" t="str">
        <x:v>Tenant → organization → school → branch → class/section/student/own-record scope as applicable.</x:v>
      </x:c>
      <x:c r="N37" s="339" t="str">
        <x:v>Mask health, counselling, compensation, identity and other sensitive fields unless explicitly required by role.</x:v>
      </x:c>
    </x:row>
    <x:row r="38">
      <x:c r="A38" s="339" t="str">
        <x:v>RB-037</x:v>
      </x:c>
      <x:c r="B38" s="339" t="str">
        <x:v>SCR-037</x:v>
      </x:c>
      <x:c r="C38" s="339" t="str">
        <x:v>Role Dashboards</x:v>
      </x:c>
      <x:c r="D38" s="339" t="str">
        <x:v>Parent Dashboard</x:v>
      </x:c>
      <x:c r="E38" s="339" t="str">
        <x:v>Parent</x:v>
      </x:c>
      <x:c r="F38" s="339" t="str">
        <x:v>Parent Portal</x:v>
      </x:c>
      <x:c r="G38" s="339" t="str">
        <x:v>Yes</x:v>
      </x:c>
      <x:c r="H38" s="339" t="str">
        <x:v>As permitted</x:v>
      </x:c>
      <x:c r="I38" s="339" t="str">
        <x:v>As permitted</x:v>
      </x:c>
      <x:c r="J38" s="339" t="str">
        <x:v>No</x:v>
      </x:c>
      <x:c r="K38" s="339" t="str">
        <x:v>No / if configured</x:v>
      </x:c>
      <x:c r="L38" s="339" t="str">
        <x:v>Role-based</x:v>
      </x:c>
      <x:c r="M38" s="339" t="str">
        <x:v>Tenant → organization → school → branch → class/section/student/own-record scope as applicable.</x:v>
      </x:c>
      <x:c r="N38" s="339" t="str">
        <x:v>Mask health, counselling, compensation, identity and other sensitive fields unless explicitly required by role.</x:v>
      </x:c>
    </x:row>
    <x:row r="39">
      <x:c r="A39" s="339" t="str">
        <x:v>RB-038</x:v>
      </x:c>
      <x:c r="B39" s="339" t="str">
        <x:v>SCR-038</x:v>
      </x:c>
      <x:c r="C39" s="339" t="str">
        <x:v>Role Dashboards</x:v>
      </x:c>
      <x:c r="D39" s="339" t="str">
        <x:v>Accountant Dashboard</x:v>
      </x:c>
      <x:c r="E39" s="339" t="str">
        <x:v>Accountant</x:v>
      </x:c>
      <x:c r="F39" s="339" t="str">
        <x:v>Accountant Portal</x:v>
      </x:c>
      <x:c r="G39" s="339" t="str">
        <x:v>Yes</x:v>
      </x:c>
      <x:c r="H39" s="339" t="str">
        <x:v>As permitted</x:v>
      </x:c>
      <x:c r="I39" s="339" t="str">
        <x:v>As permitted</x:v>
      </x:c>
      <x:c r="J39" s="339" t="str">
        <x:v>No</x:v>
      </x:c>
      <x:c r="K39" s="339" t="str">
        <x:v>No / if configured</x:v>
      </x:c>
      <x:c r="L39" s="339" t="str">
        <x:v>Role-based</x:v>
      </x:c>
      <x:c r="M39" s="339" t="str">
        <x:v>Tenant → organization → school → branch → class/section/student/own-record scope as applicable.</x:v>
      </x:c>
      <x:c r="N39" s="339" t="str">
        <x:v>Mask health, counselling, compensation, identity and other sensitive fields unless explicitly required by role.</x:v>
      </x:c>
    </x:row>
    <x:row r="40">
      <x:c r="A40" s="339" t="str">
        <x:v>RB-039</x:v>
      </x:c>
      <x:c r="B40" s="339" t="str">
        <x:v>SCR-039</x:v>
      </x:c>
      <x:c r="C40" s="339" t="str">
        <x:v>Role Dashboards</x:v>
      </x:c>
      <x:c r="D40" s="339" t="str">
        <x:v>HR Dashboard</x:v>
      </x:c>
      <x:c r="E40" s="339" t="str">
        <x:v>HR</x:v>
      </x:c>
      <x:c r="F40" s="339" t="str">
        <x:v>HR Portal</x:v>
      </x:c>
      <x:c r="G40" s="339" t="str">
        <x:v>Yes</x:v>
      </x:c>
      <x:c r="H40" s="339" t="str">
        <x:v>As permitted</x:v>
      </x:c>
      <x:c r="I40" s="339" t="str">
        <x:v>As permitted</x:v>
      </x:c>
      <x:c r="J40" s="339" t="str">
        <x:v>No</x:v>
      </x:c>
      <x:c r="K40" s="339" t="str">
        <x:v>No / if configured</x:v>
      </x:c>
      <x:c r="L40" s="339" t="str">
        <x:v>Role-based</x:v>
      </x:c>
      <x:c r="M40" s="339" t="str">
        <x:v>Tenant → organization → school → branch → class/section/student/own-record scope as applicable.</x:v>
      </x:c>
      <x:c r="N40" s="339" t="str">
        <x:v>Mask health, counselling, compensation, identity and other sensitive fields unless explicitly required by role.</x:v>
      </x:c>
    </x:row>
    <x:row r="41">
      <x:c r="A41" s="339" t="str">
        <x:v>RB-040</x:v>
      </x:c>
      <x:c r="B41" s="339" t="str">
        <x:v>SCR-040</x:v>
      </x:c>
      <x:c r="C41" s="339" t="str">
        <x:v>Role Dashboards</x:v>
      </x:c>
      <x:c r="D41" s="339" t="str">
        <x:v>Admission Officer Dashboard</x:v>
      </x:c>
      <x:c r="E41" s="339" t="str">
        <x:v>Admission Officer</x:v>
      </x:c>
      <x:c r="F41" s="339" t="str">
        <x:v>Admission Officer Portal</x:v>
      </x:c>
      <x:c r="G41" s="339" t="str">
        <x:v>Yes</x:v>
      </x:c>
      <x:c r="H41" s="339" t="str">
        <x:v>As permitted</x:v>
      </x:c>
      <x:c r="I41" s="339" t="str">
        <x:v>As permitted</x:v>
      </x:c>
      <x:c r="J41" s="339" t="str">
        <x:v>No</x:v>
      </x:c>
      <x:c r="K41" s="339" t="str">
        <x:v>No / if configured</x:v>
      </x:c>
      <x:c r="L41" s="339" t="str">
        <x:v>Role-based</x:v>
      </x:c>
      <x:c r="M41" s="339" t="str">
        <x:v>Tenant → organization → school → branch → class/section/student/own-record scope as applicable.</x:v>
      </x:c>
      <x:c r="N41" s="339" t="str">
        <x:v>Mask health, counselling, compensation, identity and other sensitive fields unless explicitly required by role.</x:v>
      </x:c>
    </x:row>
    <x:row r="42">
      <x:c r="A42" s="339" t="str">
        <x:v>RB-041</x:v>
      </x:c>
      <x:c r="B42" s="339" t="str">
        <x:v>SCR-041</x:v>
      </x:c>
      <x:c r="C42" s="339" t="str">
        <x:v>Role Dashboards</x:v>
      </x:c>
      <x:c r="D42" s="339" t="str">
        <x:v>Transport Manager Dashboard</x:v>
      </x:c>
      <x:c r="E42" s="339" t="str">
        <x:v>Transport Manager</x:v>
      </x:c>
      <x:c r="F42" s="339" t="str">
        <x:v>Transport Manager Portal</x:v>
      </x:c>
      <x:c r="G42" s="339" t="str">
        <x:v>Yes</x:v>
      </x:c>
      <x:c r="H42" s="339" t="str">
        <x:v>As permitted</x:v>
      </x:c>
      <x:c r="I42" s="339" t="str">
        <x:v>As permitted</x:v>
      </x:c>
      <x:c r="J42" s="339" t="str">
        <x:v>No</x:v>
      </x:c>
      <x:c r="K42" s="339" t="str">
        <x:v>No / if configured</x:v>
      </x:c>
      <x:c r="L42" s="339" t="str">
        <x:v>Role-based</x:v>
      </x:c>
      <x:c r="M42" s="339" t="str">
        <x:v>Tenant → organization → school → branch → class/section/student/own-record scope as applicable.</x:v>
      </x:c>
      <x:c r="N42" s="339" t="str">
        <x:v>Mask health, counselling, compensation, identity and other sensitive fields unless explicitly required by role.</x:v>
      </x:c>
    </x:row>
    <x:row r="43">
      <x:c r="A43" s="339" t="str">
        <x:v>RB-042</x:v>
      </x:c>
      <x:c r="B43" s="339" t="str">
        <x:v>SCR-042</x:v>
      </x:c>
      <x:c r="C43" s="339" t="str">
        <x:v>Role Dashboards</x:v>
      </x:c>
      <x:c r="D43" s="339" t="str">
        <x:v>Librarian Dashboard</x:v>
      </x:c>
      <x:c r="E43" s="339" t="str">
        <x:v>Librarian</x:v>
      </x:c>
      <x:c r="F43" s="339" t="str">
        <x:v>Librarian Portal</x:v>
      </x:c>
      <x:c r="G43" s="339" t="str">
        <x:v>Yes</x:v>
      </x:c>
      <x:c r="H43" s="339" t="str">
        <x:v>As permitted</x:v>
      </x:c>
      <x:c r="I43" s="339" t="str">
        <x:v>As permitted</x:v>
      </x:c>
      <x:c r="J43" s="339" t="str">
        <x:v>No</x:v>
      </x:c>
      <x:c r="K43" s="339" t="str">
        <x:v>No / if configured</x:v>
      </x:c>
      <x:c r="L43" s="339" t="str">
        <x:v>Role-based</x:v>
      </x:c>
      <x:c r="M43" s="339" t="str">
        <x:v>Tenant → organization → school → branch → class/section/student/own-record scope as applicable.</x:v>
      </x:c>
      <x:c r="N43" s="339" t="str">
        <x:v>Mask health, counselling, compensation, identity and other sensitive fields unless explicitly required by role.</x:v>
      </x:c>
    </x:row>
    <x:row r="44">
      <x:c r="A44" s="339" t="str">
        <x:v>RB-043</x:v>
      </x:c>
      <x:c r="B44" s="339" t="str">
        <x:v>SCR-043</x:v>
      </x:c>
      <x:c r="C44" s="339" t="str">
        <x:v>Admissions &amp; Enquiries</x:v>
      </x:c>
      <x:c r="D44" s="339" t="str">
        <x:v>Admission / Enquiry Dashboard</x:v>
      </x:c>
      <x:c r="E44" s="339" t="str">
        <x:v>Admission Officer, Receptionist, School Admin, Principal</x:v>
      </x:c>
      <x:c r="F44" s="339" t="str">
        <x:v>School Admin / Shared</x:v>
      </x:c>
      <x:c r="G44" s="339" t="str">
        <x:v>Yes</x:v>
      </x:c>
      <x:c r="H44" s="339" t="str">
        <x:v>As permitted</x:v>
      </x:c>
      <x:c r="I44" s="339" t="str">
        <x:v>As permitted</x:v>
      </x:c>
      <x:c r="J44" s="339" t="str">
        <x:v>Restricted; prefer inactivate/reverse</x:v>
      </x:c>
      <x:c r="K44" s="339" t="str">
        <x:v>No / if configured</x:v>
      </x:c>
      <x:c r="L44" s="339" t="str">
        <x:v>Role-based</x:v>
      </x:c>
      <x:c r="M44" s="339" t="str">
        <x:v>Tenant → organization → school → branch → class/section/student/own-record scope as applicable.</x:v>
      </x:c>
      <x:c r="N44" s="339" t="str">
        <x:v>Mask health, counselling, compensation, identity and other sensitive fields unless explicitly required by role.</x:v>
      </x:c>
    </x:row>
    <x:row r="45">
      <x:c r="A45" s="339" t="str">
        <x:v>RB-044</x:v>
      </x:c>
      <x:c r="B45" s="339" t="str">
        <x:v>SCR-044</x:v>
      </x:c>
      <x:c r="C45" s="339" t="str">
        <x:v>Admissions &amp; Enquiries</x:v>
      </x:c>
      <x:c r="D45" s="339" t="str">
        <x:v>Enquiry List</x:v>
      </x:c>
      <x:c r="E45" s="339" t="str">
        <x:v>Admission Officer, Receptionist, School Admin, Principal</x:v>
      </x:c>
      <x:c r="F45" s="339" t="str">
        <x:v>School Admin / Shared</x:v>
      </x:c>
      <x:c r="G45" s="339" t="str">
        <x:v>Yes</x:v>
      </x:c>
      <x:c r="H45" s="339" t="str">
        <x:v>As permitted</x:v>
      </x:c>
      <x:c r="I45" s="339" t="str">
        <x:v>As permitted</x:v>
      </x:c>
      <x:c r="J45" s="339" t="str">
        <x:v>Restricted; prefer inactivate/reverse</x:v>
      </x:c>
      <x:c r="K45" s="339" t="str">
        <x:v>No / if configured</x:v>
      </x:c>
      <x:c r="L45" s="339" t="str">
        <x:v>Role-based</x:v>
      </x:c>
      <x:c r="M45" s="339" t="str">
        <x:v>Tenant → organization → school → branch → class/section/student/own-record scope as applicable.</x:v>
      </x:c>
      <x:c r="N45" s="339" t="str">
        <x:v>Mask health, counselling, compensation, identity and other sensitive fields unless explicitly required by role.</x:v>
      </x:c>
    </x:row>
    <x:row r="46">
      <x:c r="A46" s="339" t="str">
        <x:v>RB-045</x:v>
      </x:c>
      <x:c r="B46" s="339" t="str">
        <x:v>SCR-045</x:v>
      </x:c>
      <x:c r="C46" s="339" t="str">
        <x:v>Admissions &amp; Enquiries</x:v>
      </x:c>
      <x:c r="D46" s="339" t="str">
        <x:v>Add Enquiry</x:v>
      </x:c>
      <x:c r="E46" s="339" t="str">
        <x:v>Admission Officer, Receptionist, School Admin, Principal</x:v>
      </x:c>
      <x:c r="F46" s="339" t="str">
        <x:v>School Admin / Shared</x:v>
      </x:c>
      <x:c r="G46" s="339" t="str">
        <x:v>Yes</x:v>
      </x:c>
      <x:c r="H46" s="339" t="str">
        <x:v>Yes</x:v>
      </x:c>
      <x:c r="I46" s="339" t="str">
        <x:v>As permitted</x:v>
      </x:c>
      <x:c r="J46" s="339" t="str">
        <x:v>Restricted; prefer inactivate/reverse</x:v>
      </x:c>
      <x:c r="K46" s="339" t="str">
        <x:v>No / if configured</x:v>
      </x:c>
      <x:c r="L46" s="339" t="str">
        <x:v>No / if configured</x:v>
      </x:c>
      <x:c r="M46" s="339" t="str">
        <x:v>Tenant → organization → school → branch → class/section/student/own-record scope as applicable.</x:v>
      </x:c>
      <x:c r="N46" s="339" t="str">
        <x:v>Mask health, counselling, compensation, identity and other sensitive fields unless explicitly required by role.</x:v>
      </x:c>
    </x:row>
    <x:row r="47">
      <x:c r="A47" s="339" t="str">
        <x:v>RB-046</x:v>
      </x:c>
      <x:c r="B47" s="339" t="str">
        <x:v>SCR-046</x:v>
      </x:c>
      <x:c r="C47" s="339" t="str">
        <x:v>Admissions &amp; Enquiries</x:v>
      </x:c>
      <x:c r="D47" s="339" t="str">
        <x:v>Enquiry Details</x:v>
      </x:c>
      <x:c r="E47" s="339" t="str">
        <x:v>Admission Officer, Receptionist, School Admin, Principal</x:v>
      </x:c>
      <x:c r="F47" s="339" t="str">
        <x:v>School Admin / Shared</x:v>
      </x:c>
      <x:c r="G47" s="339" t="str">
        <x:v>Yes</x:v>
      </x:c>
      <x:c r="H47" s="339" t="str">
        <x:v>As permitted</x:v>
      </x:c>
      <x:c r="I47" s="339" t="str">
        <x:v>Yes</x:v>
      </x:c>
      <x:c r="J47" s="339" t="str">
        <x:v>Restricted; prefer inactivate/reverse</x:v>
      </x:c>
      <x:c r="K47" s="339" t="str">
        <x:v>No / if configured</x:v>
      </x:c>
      <x:c r="L47" s="339" t="str">
        <x:v>Role-based</x:v>
      </x:c>
      <x:c r="M47" s="339" t="str">
        <x:v>Tenant → organization → school → branch → class/section/student/own-record scope as applicable.</x:v>
      </x:c>
      <x:c r="N47" s="339" t="str">
        <x:v>Mask health, counselling, compensation, identity and other sensitive fields unless explicitly required by role.</x:v>
      </x:c>
    </x:row>
    <x:row r="48">
      <x:c r="A48" s="339" t="str">
        <x:v>RB-047</x:v>
      </x:c>
      <x:c r="B48" s="339" t="str">
        <x:v>SCR-047</x:v>
      </x:c>
      <x:c r="C48" s="339" t="str">
        <x:v>Admissions &amp; Enquiries</x:v>
      </x:c>
      <x:c r="D48" s="339" t="str">
        <x:v>Follow-up Calendar</x:v>
      </x:c>
      <x:c r="E48" s="339" t="str">
        <x:v>Admission Officer, Receptionist, School Admin, Principal</x:v>
      </x:c>
      <x:c r="F48" s="339" t="str">
        <x:v>School Admin / Shared</x:v>
      </x:c>
      <x:c r="G48" s="339" t="str">
        <x:v>Yes</x:v>
      </x:c>
      <x:c r="H48" s="339" t="str">
        <x:v>Yes</x:v>
      </x:c>
      <x:c r="I48" s="339" t="str">
        <x:v>Yes</x:v>
      </x:c>
      <x:c r="J48" s="339" t="str">
        <x:v>Restricted; prefer inactivate/reverse</x:v>
      </x:c>
      <x:c r="K48" s="339" t="str">
        <x:v>No / if configured</x:v>
      </x:c>
      <x:c r="L48" s="339" t="str">
        <x:v>No / if configured</x:v>
      </x:c>
      <x:c r="M48" s="339" t="str">
        <x:v>Tenant → organization → school → branch → class/section/student/own-record scope as applicable.</x:v>
      </x:c>
      <x:c r="N48" s="339" t="str">
        <x:v>Mask health, counselling, compensation, identity and other sensitive fields unless explicitly required by role.</x:v>
      </x:c>
    </x:row>
    <x:row r="49">
      <x:c r="A49" s="339" t="str">
        <x:v>RB-048</x:v>
      </x:c>
      <x:c r="B49" s="339" t="str">
        <x:v>SCR-048</x:v>
      </x:c>
      <x:c r="C49" s="339" t="str">
        <x:v>Admissions &amp; Enquiries</x:v>
      </x:c>
      <x:c r="D49" s="339" t="str">
        <x:v>Admission Applications</x:v>
      </x:c>
      <x:c r="E49" s="339" t="str">
        <x:v>Admission Officer, Receptionist, School Admin, Principal</x:v>
      </x:c>
      <x:c r="F49" s="339" t="str">
        <x:v>School Admin / Shared</x:v>
      </x:c>
      <x:c r="G49" s="339" t="str">
        <x:v>Yes</x:v>
      </x:c>
      <x:c r="H49" s="339" t="str">
        <x:v>As permitted</x:v>
      </x:c>
      <x:c r="I49" s="339" t="str">
        <x:v>As permitted</x:v>
      </x:c>
      <x:c r="J49" s="339" t="str">
        <x:v>Restricted; prefer inactivate/reverse</x:v>
      </x:c>
      <x:c r="K49" s="339" t="str">
        <x:v>No / if configured</x:v>
      </x:c>
      <x:c r="L49" s="339" t="str">
        <x:v>Role-based</x:v>
      </x:c>
      <x:c r="M49" s="339" t="str">
        <x:v>Tenant → organization → school → branch → class/section/student/own-record scope as applicable.</x:v>
      </x:c>
      <x:c r="N49" s="339" t="str">
        <x:v>Mask health, counselling, compensation, identity and other sensitive fields unless explicitly required by role.</x:v>
      </x:c>
    </x:row>
    <x:row r="50">
      <x:c r="A50" s="339" t="str">
        <x:v>RB-049</x:v>
      </x:c>
      <x:c r="B50" s="339" t="str">
        <x:v>SCR-049</x:v>
      </x:c>
      <x:c r="C50" s="339" t="str">
        <x:v>Admissions &amp; Enquiries</x:v>
      </x:c>
      <x:c r="D50" s="339" t="str">
        <x:v>New Admission Application</x:v>
      </x:c>
      <x:c r="E50" s="339" t="str">
        <x:v>Admission Officer, Receptionist, School Admin, Principal</x:v>
      </x:c>
      <x:c r="F50" s="339" t="str">
        <x:v>School Admin / Shared</x:v>
      </x:c>
      <x:c r="G50" s="339" t="str">
        <x:v>Yes</x:v>
      </x:c>
      <x:c r="H50" s="339" t="str">
        <x:v>Yes</x:v>
      </x:c>
      <x:c r="I50" s="339" t="str">
        <x:v>As permitted</x:v>
      </x:c>
      <x:c r="J50" s="339" t="str">
        <x:v>Restricted; prefer inactivate/reverse</x:v>
      </x:c>
      <x:c r="K50" s="339" t="str">
        <x:v>No / if configured</x:v>
      </x:c>
      <x:c r="L50" s="339" t="str">
        <x:v>No / if configured</x:v>
      </x:c>
      <x:c r="M50" s="339" t="str">
        <x:v>Tenant → organization → school → branch → class/section/student/own-record scope as applicable.</x:v>
      </x:c>
      <x:c r="N50" s="339" t="str">
        <x:v>Mask health, counselling, compensation, identity and other sensitive fields unless explicitly required by role.</x:v>
      </x:c>
    </x:row>
    <x:row r="51">
      <x:c r="A51" s="339" t="str">
        <x:v>RB-050</x:v>
      </x:c>
      <x:c r="B51" s="339" t="str">
        <x:v>SCR-050</x:v>
      </x:c>
      <x:c r="C51" s="339" t="str">
        <x:v>Admissions &amp; Enquiries</x:v>
      </x:c>
      <x:c r="D51" s="339" t="str">
        <x:v>Application Details</x:v>
      </x:c>
      <x:c r="E51" s="339" t="str">
        <x:v>Admission Officer, Receptionist, School Admin, Principal</x:v>
      </x:c>
      <x:c r="F51" s="339" t="str">
        <x:v>School Admin / Shared</x:v>
      </x:c>
      <x:c r="G51" s="339" t="str">
        <x:v>Yes</x:v>
      </x:c>
      <x:c r="H51" s="339" t="str">
        <x:v>As permitted</x:v>
      </x:c>
      <x:c r="I51" s="339" t="str">
        <x:v>Yes</x:v>
      </x:c>
      <x:c r="J51" s="339" t="str">
        <x:v>Restricted; prefer inactivate/reverse</x:v>
      </x:c>
      <x:c r="K51" s="339" t="str">
        <x:v>No / if configured</x:v>
      </x:c>
      <x:c r="L51" s="339" t="str">
        <x:v>Role-based</x:v>
      </x:c>
      <x:c r="M51" s="339" t="str">
        <x:v>Tenant → organization → school → branch → class/section/student/own-record scope as applicable.</x:v>
      </x:c>
      <x:c r="N51" s="339" t="str">
        <x:v>Mask health, counselling, compensation, identity and other sensitive fields unless explicitly required by role.</x:v>
      </x:c>
    </x:row>
    <x:row r="52">
      <x:c r="A52" s="339" t="str">
        <x:v>RB-051</x:v>
      </x:c>
      <x:c r="B52" s="339" t="str">
        <x:v>SCR-051</x:v>
      </x:c>
      <x:c r="C52" s="339" t="str">
        <x:v>Admissions &amp; Enquiries</x:v>
      </x:c>
      <x:c r="D52" s="339" t="str">
        <x:v>Document Verification</x:v>
      </x:c>
      <x:c r="E52" s="339" t="str">
        <x:v>Admission Officer, Receptionist, School Admin, Principal</x:v>
      </x:c>
      <x:c r="F52" s="339" t="str">
        <x:v>School Admin / Shared</x:v>
      </x:c>
      <x:c r="G52" s="339" t="str">
        <x:v>Yes</x:v>
      </x:c>
      <x:c r="H52" s="339" t="str">
        <x:v>Yes</x:v>
      </x:c>
      <x:c r="I52" s="339" t="str">
        <x:v>Yes</x:v>
      </x:c>
      <x:c r="J52" s="339" t="str">
        <x:v>Restricted; prefer inactivate/reverse</x:v>
      </x:c>
      <x:c r="K52" s="339" t="str">
        <x:v>Role/state based</x:v>
      </x:c>
      <x:c r="L52" s="339" t="str">
        <x:v>No / if configured</x:v>
      </x:c>
      <x:c r="M52" s="339" t="str">
        <x:v>Tenant → organization → school → branch → class/section/student/own-record scope as applicable.</x:v>
      </x:c>
      <x:c r="N52" s="339" t="str">
        <x:v>Mask health, counselling, compensation, identity and other sensitive fields unless explicitly required by role.</x:v>
      </x:c>
    </x:row>
    <x:row r="53">
      <x:c r="A53" s="339" t="str">
        <x:v>RB-052</x:v>
      </x:c>
      <x:c r="B53" s="339" t="str">
        <x:v>SCR-052</x:v>
      </x:c>
      <x:c r="C53" s="339" t="str">
        <x:v>Admissions &amp; Enquiries</x:v>
      </x:c>
      <x:c r="D53" s="339" t="str">
        <x:v>Entrance Assessment</x:v>
      </x:c>
      <x:c r="E53" s="339" t="str">
        <x:v>Admission Officer, Receptionist, School Admin, Principal</x:v>
      </x:c>
      <x:c r="F53" s="339" t="str">
        <x:v>School Admin / Shared</x:v>
      </x:c>
      <x:c r="G53" s="339" t="str">
        <x:v>Yes</x:v>
      </x:c>
      <x:c r="H53" s="339" t="str">
        <x:v>Yes</x:v>
      </x:c>
      <x:c r="I53" s="339" t="str">
        <x:v>Yes</x:v>
      </x:c>
      <x:c r="J53" s="339" t="str">
        <x:v>Restricted; prefer inactivate/reverse</x:v>
      </x:c>
      <x:c r="K53" s="339" t="str">
        <x:v>Role/state based</x:v>
      </x:c>
      <x:c r="L53" s="339" t="str">
        <x:v>No / if configured</x:v>
      </x:c>
      <x:c r="M53" s="339" t="str">
        <x:v>Tenant → organization → school → branch → class/section/student/own-record scope as applicable.</x:v>
      </x:c>
      <x:c r="N53" s="339" t="str">
        <x:v>Mask health, counselling, compensation, identity and other sensitive fields unless explicitly required by role.</x:v>
      </x:c>
    </x:row>
    <x:row r="54">
      <x:c r="A54" s="339" t="str">
        <x:v>RB-053</x:v>
      </x:c>
      <x:c r="B54" s="339" t="str">
        <x:v>SCR-053</x:v>
      </x:c>
      <x:c r="C54" s="339" t="str">
        <x:v>Admissions &amp; Enquiries</x:v>
      </x:c>
      <x:c r="D54" s="339" t="str">
        <x:v>Admission Approval</x:v>
      </x:c>
      <x:c r="E54" s="339" t="str">
        <x:v>Admission Officer, Receptionist, School Admin, Principal</x:v>
      </x:c>
      <x:c r="F54" s="339" t="str">
        <x:v>School Admin / Shared</x:v>
      </x:c>
      <x:c r="G54" s="339" t="str">
        <x:v>Yes</x:v>
      </x:c>
      <x:c r="H54" s="339" t="str">
        <x:v>Yes</x:v>
      </x:c>
      <x:c r="I54" s="339" t="str">
        <x:v>Yes</x:v>
      </x:c>
      <x:c r="J54" s="339" t="str">
        <x:v>Restricted; prefer inactivate/reverse</x:v>
      </x:c>
      <x:c r="K54" s="339" t="str">
        <x:v>Role/state based</x:v>
      </x:c>
      <x:c r="L54" s="339" t="str">
        <x:v>No / if configured</x:v>
      </x:c>
      <x:c r="M54" s="339" t="str">
        <x:v>Tenant → organization → school → branch → class/section/student/own-record scope as applicable.</x:v>
      </x:c>
      <x:c r="N54" s="339" t="str">
        <x:v>Mask health, counselling, compensation, identity and other sensitive fields unless explicitly required by role.</x:v>
      </x:c>
    </x:row>
    <x:row r="55">
      <x:c r="A55" s="339" t="str">
        <x:v>RB-054</x:v>
      </x:c>
      <x:c r="B55" s="339" t="str">
        <x:v>SCR-054</x:v>
      </x:c>
      <x:c r="C55" s="339" t="str">
        <x:v>Admissions &amp; Enquiries</x:v>
      </x:c>
      <x:c r="D55" s="339" t="str">
        <x:v>Admission Confirmation &amp; Student Creation</x:v>
      </x:c>
      <x:c r="E55" s="339" t="str">
        <x:v>Admission Officer, Receptionist, School Admin, Principal</x:v>
      </x:c>
      <x:c r="F55" s="339" t="str">
        <x:v>School Admin / Shared</x:v>
      </x:c>
      <x:c r="G55" s="339" t="str">
        <x:v>Yes</x:v>
      </x:c>
      <x:c r="H55" s="339" t="str">
        <x:v>Yes</x:v>
      </x:c>
      <x:c r="I55" s="339" t="str">
        <x:v>Yes</x:v>
      </x:c>
      <x:c r="J55" s="339" t="str">
        <x:v>Restricted; prefer inactivate/reverse</x:v>
      </x:c>
      <x:c r="K55" s="339" t="str">
        <x:v>Role/state based</x:v>
      </x:c>
      <x:c r="L55" s="339" t="str">
        <x:v>No / if configured</x:v>
      </x:c>
      <x:c r="M55" s="339" t="str">
        <x:v>Tenant → organization → school → branch → class/section/student/own-record scope as applicable.</x:v>
      </x:c>
      <x:c r="N55" s="339" t="str">
        <x:v>Mask health, counselling, compensation, identity and other sensitive fields unless explicitly required by role.</x:v>
      </x:c>
    </x:row>
    <x:row r="56">
      <x:c r="A56" s="339" t="str">
        <x:v>RB-055</x:v>
      </x:c>
      <x:c r="B56" s="339" t="str">
        <x:v>SCR-055</x:v>
      </x:c>
      <x:c r="C56" s="339" t="str">
        <x:v>Students</x:v>
      </x:c>
      <x:c r="D56" s="339" t="str">
        <x:v>Student Directory</x:v>
      </x:c>
      <x:c r="E56" s="339" t="str">
        <x:v>School Admin, Principal, Class Teacher, Teacher</x:v>
      </x:c>
      <x:c r="F56" s="339" t="str">
        <x:v>School Admin / Shared</x:v>
      </x:c>
      <x:c r="G56" s="339" t="str">
        <x:v>Yes</x:v>
      </x:c>
      <x:c r="H56" s="339" t="str">
        <x:v>As permitted</x:v>
      </x:c>
      <x:c r="I56" s="339" t="str">
        <x:v>As permitted</x:v>
      </x:c>
      <x:c r="J56" s="339" t="str">
        <x:v>Restricted; prefer inactivate/reverse</x:v>
      </x:c>
      <x:c r="K56" s="339" t="str">
        <x:v>No / if configured</x:v>
      </x:c>
      <x:c r="L56" s="339" t="str">
        <x:v>Role-based</x:v>
      </x:c>
      <x:c r="M56" s="339" t="str">
        <x:v>Tenant → organization → school → branch → class/section/student/own-record scope as applicable.</x:v>
      </x:c>
      <x:c r="N56" s="339" t="str">
        <x:v>Mask health, counselling, compensation, identity and other sensitive fields unless explicitly required by role.</x:v>
      </x:c>
    </x:row>
    <x:row r="57">
      <x:c r="A57" s="339" t="str">
        <x:v>RB-056</x:v>
      </x:c>
      <x:c r="B57" s="339" t="str">
        <x:v>SCR-056</x:v>
      </x:c>
      <x:c r="C57" s="339" t="str">
        <x:v>Students</x:v>
      </x:c>
      <x:c r="D57" s="339" t="str">
        <x:v>Add Student</x:v>
      </x:c>
      <x:c r="E57" s="339" t="str">
        <x:v>School Admin, Principal, Class Teacher, Teacher</x:v>
      </x:c>
      <x:c r="F57" s="339" t="str">
        <x:v>School Admin / Shared</x:v>
      </x:c>
      <x:c r="G57" s="339" t="str">
        <x:v>Yes</x:v>
      </x:c>
      <x:c r="H57" s="339" t="str">
        <x:v>Yes</x:v>
      </x:c>
      <x:c r="I57" s="339" t="str">
        <x:v>As permitted</x:v>
      </x:c>
      <x:c r="J57" s="339" t="str">
        <x:v>Restricted; prefer inactivate/reverse</x:v>
      </x:c>
      <x:c r="K57" s="339" t="str">
        <x:v>No / if configured</x:v>
      </x:c>
      <x:c r="L57" s="339" t="str">
        <x:v>No / if configured</x:v>
      </x:c>
      <x:c r="M57" s="339" t="str">
        <x:v>Tenant → organization → school → branch → class/section/student/own-record scope as applicable.</x:v>
      </x:c>
      <x:c r="N57" s="339" t="str">
        <x:v>Mask health, counselling, compensation, identity and other sensitive fields unless explicitly required by role.</x:v>
      </x:c>
    </x:row>
    <x:row r="58">
      <x:c r="A58" s="339" t="str">
        <x:v>RB-057</x:v>
      </x:c>
      <x:c r="B58" s="339" t="str">
        <x:v>SCR-057</x:v>
      </x:c>
      <x:c r="C58" s="339" t="str">
        <x:v>Students</x:v>
      </x:c>
      <x:c r="D58" s="339" t="str">
        <x:v>Student Profile Overview</x:v>
      </x:c>
      <x:c r="E58" s="339" t="str">
        <x:v>School Admin, Principal, Class Teacher, Teacher</x:v>
      </x:c>
      <x:c r="F58" s="339" t="str">
        <x:v>School Admin / Shared</x:v>
      </x:c>
      <x:c r="G58" s="339" t="str">
        <x:v>Yes</x:v>
      </x:c>
      <x:c r="H58" s="339" t="str">
        <x:v>As permitted</x:v>
      </x:c>
      <x:c r="I58" s="339" t="str">
        <x:v>Yes</x:v>
      </x:c>
      <x:c r="J58" s="339" t="str">
        <x:v>Restricted; prefer inactivate/reverse</x:v>
      </x:c>
      <x:c r="K58" s="339" t="str">
        <x:v>No / if configured</x:v>
      </x:c>
      <x:c r="L58" s="339" t="str">
        <x:v>Role-based</x:v>
      </x:c>
      <x:c r="M58" s="339" t="str">
        <x:v>Tenant → organization → school → branch → class/section/student/own-record scope as applicable.</x:v>
      </x:c>
      <x:c r="N58" s="339" t="str">
        <x:v>Mask health, counselling, compensation, identity and other sensitive fields unless explicitly required by role.</x:v>
      </x:c>
    </x:row>
    <x:row r="59">
      <x:c r="A59" s="339" t="str">
        <x:v>RB-058</x:v>
      </x:c>
      <x:c r="B59" s="339" t="str">
        <x:v>SCR-058</x:v>
      </x:c>
      <x:c r="C59" s="339" t="str">
        <x:v>Students</x:v>
      </x:c>
      <x:c r="D59" s="339" t="str">
        <x:v>Edit Student</x:v>
      </x:c>
      <x:c r="E59" s="339" t="str">
        <x:v>School Admin, Principal, Class Teacher, Teacher</x:v>
      </x:c>
      <x:c r="F59" s="339" t="str">
        <x:v>School Admin / Shared</x:v>
      </x:c>
      <x:c r="G59" s="339" t="str">
        <x:v>Yes</x:v>
      </x:c>
      <x:c r="H59" s="339" t="str">
        <x:v>Yes</x:v>
      </x:c>
      <x:c r="I59" s="339" t="str">
        <x:v>Yes</x:v>
      </x:c>
      <x:c r="J59" s="339" t="str">
        <x:v>Restricted; prefer inactivate/reverse</x:v>
      </x:c>
      <x:c r="K59" s="339" t="str">
        <x:v>Role/state based</x:v>
      </x:c>
      <x:c r="L59" s="339" t="str">
        <x:v>No / if configured</x:v>
      </x:c>
      <x:c r="M59" s="339" t="str">
        <x:v>Tenant → organization → school → branch → class/section/student/own-record scope as applicable.</x:v>
      </x:c>
      <x:c r="N59" s="339" t="str">
        <x:v>Mask health, counselling, compensation, identity and other sensitive fields unless explicitly required by role.</x:v>
      </x:c>
    </x:row>
    <x:row r="60">
      <x:c r="A60" s="339" t="str">
        <x:v>RB-059</x:v>
      </x:c>
      <x:c r="B60" s="339" t="str">
        <x:v>SCR-059</x:v>
      </x:c>
      <x:c r="C60" s="339" t="str">
        <x:v>Students</x:v>
      </x:c>
      <x:c r="D60" s="339" t="str">
        <x:v>Student Academic Details</x:v>
      </x:c>
      <x:c r="E60" s="339" t="str">
        <x:v>School Admin, Principal, Class Teacher, Teacher</x:v>
      </x:c>
      <x:c r="F60" s="339" t="str">
        <x:v>School Admin / Shared</x:v>
      </x:c>
      <x:c r="G60" s="339" t="str">
        <x:v>Yes</x:v>
      </x:c>
      <x:c r="H60" s="339" t="str">
        <x:v>As permitted</x:v>
      </x:c>
      <x:c r="I60" s="339" t="str">
        <x:v>Yes</x:v>
      </x:c>
      <x:c r="J60" s="339" t="str">
        <x:v>Restricted; prefer inactivate/reverse</x:v>
      </x:c>
      <x:c r="K60" s="339" t="str">
        <x:v>No / if configured</x:v>
      </x:c>
      <x:c r="L60" s="339" t="str">
        <x:v>Role-based</x:v>
      </x:c>
      <x:c r="M60" s="339" t="str">
        <x:v>Tenant → organization → school → branch → class/section/student/own-record scope as applicable.</x:v>
      </x:c>
      <x:c r="N60" s="339" t="str">
        <x:v>Mask health, counselling, compensation, identity and other sensitive fields unless explicitly required by role.</x:v>
      </x:c>
    </x:row>
    <x:row r="61">
      <x:c r="A61" s="339" t="str">
        <x:v>RB-060</x:v>
      </x:c>
      <x:c r="B61" s="339" t="str">
        <x:v>SCR-060</x:v>
      </x:c>
      <x:c r="C61" s="339" t="str">
        <x:v>Students</x:v>
      </x:c>
      <x:c r="D61" s="339" t="str">
        <x:v>Student Attendance History</x:v>
      </x:c>
      <x:c r="E61" s="339" t="str">
        <x:v>School Admin, Principal, Class Teacher, Teacher</x:v>
      </x:c>
      <x:c r="F61" s="339" t="str">
        <x:v>School Admin / Shared</x:v>
      </x:c>
      <x:c r="G61" s="339" t="str">
        <x:v>Yes</x:v>
      </x:c>
      <x:c r="H61" s="339" t="str">
        <x:v>As permitted</x:v>
      </x:c>
      <x:c r="I61" s="339" t="str">
        <x:v>Yes</x:v>
      </x:c>
      <x:c r="J61" s="339" t="str">
        <x:v>Restricted; prefer inactivate/reverse</x:v>
      </x:c>
      <x:c r="K61" s="339" t="str">
        <x:v>No / if configured</x:v>
      </x:c>
      <x:c r="L61" s="339" t="str">
        <x:v>Role-based</x:v>
      </x:c>
      <x:c r="M61" s="339" t="str">
        <x:v>Tenant → organization → school → branch → class/section/student/own-record scope as applicable.</x:v>
      </x:c>
      <x:c r="N61" s="339" t="str">
        <x:v>Mask health, counselling, compensation, identity and other sensitive fields unless explicitly required by role.</x:v>
      </x:c>
    </x:row>
    <x:row r="62">
      <x:c r="A62" s="339" t="str">
        <x:v>RB-061</x:v>
      </x:c>
      <x:c r="B62" s="339" t="str">
        <x:v>SCR-061</x:v>
      </x:c>
      <x:c r="C62" s="339" t="str">
        <x:v>Students</x:v>
      </x:c>
      <x:c r="D62" s="339" t="str">
        <x:v>Student Examination &amp; Results</x:v>
      </x:c>
      <x:c r="E62" s="339" t="str">
        <x:v>School Admin, Principal, Class Teacher, Teacher</x:v>
      </x:c>
      <x:c r="F62" s="339" t="str">
        <x:v>School Admin / Shared</x:v>
      </x:c>
      <x:c r="G62" s="339" t="str">
        <x:v>Yes</x:v>
      </x:c>
      <x:c r="H62" s="339" t="str">
        <x:v>Yes</x:v>
      </x:c>
      <x:c r="I62" s="339" t="str">
        <x:v>Yes</x:v>
      </x:c>
      <x:c r="J62" s="339" t="str">
        <x:v>Restricted; prefer inactivate/reverse</x:v>
      </x:c>
      <x:c r="K62" s="339" t="str">
        <x:v>No / if configured</x:v>
      </x:c>
      <x:c r="L62" s="339" t="str">
        <x:v>Role-based</x:v>
      </x:c>
      <x:c r="M62" s="339" t="str">
        <x:v>Tenant → organization → school → branch → class/section/student/own-record scope as applicable.</x:v>
      </x:c>
      <x:c r="N62" s="339" t="str">
        <x:v>Mask health, counselling, compensation, identity and other sensitive fields unless explicitly required by role.</x:v>
      </x:c>
    </x:row>
    <x:row r="63">
      <x:c r="A63" s="339" t="str">
        <x:v>RB-062</x:v>
      </x:c>
      <x:c r="B63" s="339" t="str">
        <x:v>SCR-062</x:v>
      </x:c>
      <x:c r="C63" s="339" t="str">
        <x:v>Students</x:v>
      </x:c>
      <x:c r="D63" s="339" t="str">
        <x:v>Student Fees &amp; Ledger</x:v>
      </x:c>
      <x:c r="E63" s="339" t="str">
        <x:v>School Admin, Principal, Class Teacher, Teacher</x:v>
      </x:c>
      <x:c r="F63" s="339" t="str">
        <x:v>School Admin / Shared</x:v>
      </x:c>
      <x:c r="G63" s="339" t="str">
        <x:v>Yes</x:v>
      </x:c>
      <x:c r="H63" s="339" t="str">
        <x:v>As permitted</x:v>
      </x:c>
      <x:c r="I63" s="339" t="str">
        <x:v>Yes</x:v>
      </x:c>
      <x:c r="J63" s="339" t="str">
        <x:v>Restricted; prefer inactivate/reverse</x:v>
      </x:c>
      <x:c r="K63" s="339" t="str">
        <x:v>No / if configured</x:v>
      </x:c>
      <x:c r="L63" s="339" t="str">
        <x:v>Role-based</x:v>
      </x:c>
      <x:c r="M63" s="339" t="str">
        <x:v>Tenant → organization → school → branch → class/section/student/own-record scope as applicable.</x:v>
      </x:c>
      <x:c r="N63" s="339" t="str">
        <x:v>Mask health, counselling, compensation, identity and other sensitive fields unless explicitly required by role.</x:v>
      </x:c>
    </x:row>
    <x:row r="64">
      <x:c r="A64" s="339" t="str">
        <x:v>RB-063</x:v>
      </x:c>
      <x:c r="B64" s="339" t="str">
        <x:v>SCR-063</x:v>
      </x:c>
      <x:c r="C64" s="339" t="str">
        <x:v>Students</x:v>
      </x:c>
      <x:c r="D64" s="339" t="str">
        <x:v>Student Documents</x:v>
      </x:c>
      <x:c r="E64" s="339" t="str">
        <x:v>School Admin, Principal, Class Teacher, Teacher</x:v>
      </x:c>
      <x:c r="F64" s="339" t="str">
        <x:v>School Admin / Shared</x:v>
      </x:c>
      <x:c r="G64" s="339" t="str">
        <x:v>Yes</x:v>
      </x:c>
      <x:c r="H64" s="339" t="str">
        <x:v>Yes</x:v>
      </x:c>
      <x:c r="I64" s="339" t="str">
        <x:v>Yes</x:v>
      </x:c>
      <x:c r="J64" s="339" t="str">
        <x:v>Restricted; prefer inactivate/reverse</x:v>
      </x:c>
      <x:c r="K64" s="339" t="str">
        <x:v>Role/state based</x:v>
      </x:c>
      <x:c r="L64" s="339" t="str">
        <x:v>No / if configured</x:v>
      </x:c>
      <x:c r="M64" s="339" t="str">
        <x:v>Tenant → organization → school → branch → class/section/student/own-record scope as applicable.</x:v>
      </x:c>
      <x:c r="N64" s="339" t="str">
        <x:v>Mask health, counselling, compensation, identity and other sensitive fields unless explicitly required by role.</x:v>
      </x:c>
    </x:row>
    <x:row r="65">
      <x:c r="A65" s="339" t="str">
        <x:v>RB-064</x:v>
      </x:c>
      <x:c r="B65" s="339" t="str">
        <x:v>SCR-064</x:v>
      </x:c>
      <x:c r="C65" s="339" t="str">
        <x:v>Students</x:v>
      </x:c>
      <x:c r="D65" s="339" t="str">
        <x:v>Student Behaviour &amp; Discipline</x:v>
      </x:c>
      <x:c r="E65" s="339" t="str">
        <x:v>School Admin, Principal, Class Teacher, Teacher</x:v>
      </x:c>
      <x:c r="F65" s="339" t="str">
        <x:v>School Admin / Shared</x:v>
      </x:c>
      <x:c r="G65" s="339" t="str">
        <x:v>Yes</x:v>
      </x:c>
      <x:c r="H65" s="339" t="str">
        <x:v>Yes</x:v>
      </x:c>
      <x:c r="I65" s="339" t="str">
        <x:v>Yes</x:v>
      </x:c>
      <x:c r="J65" s="339" t="str">
        <x:v>Restricted; prefer inactivate/reverse</x:v>
      </x:c>
      <x:c r="K65" s="339" t="str">
        <x:v>Role/state based</x:v>
      </x:c>
      <x:c r="L65" s="339" t="str">
        <x:v>No / if configured</x:v>
      </x:c>
      <x:c r="M65" s="339" t="str">
        <x:v>Tenant → organization → school → branch → class/section/student/own-record scope as applicable.</x:v>
      </x:c>
      <x:c r="N65" s="339" t="str">
        <x:v>Mask health, counselling, compensation, identity and other sensitive fields unless explicitly required by role.</x:v>
      </x:c>
    </x:row>
    <x:row r="66">
      <x:c r="A66" s="339" t="str">
        <x:v>RB-065</x:v>
      </x:c>
      <x:c r="B66" s="339" t="str">
        <x:v>SCR-065</x:v>
      </x:c>
      <x:c r="C66" s="339" t="str">
        <x:v>Students</x:v>
      </x:c>
      <x:c r="D66" s="339" t="str">
        <x:v>Student Health</x:v>
      </x:c>
      <x:c r="E66" s="339" t="str">
        <x:v>School Admin, Principal, Class Teacher, Teacher</x:v>
      </x:c>
      <x:c r="F66" s="339" t="str">
        <x:v>School Admin / Shared</x:v>
      </x:c>
      <x:c r="G66" s="339" t="str">
        <x:v>Yes</x:v>
      </x:c>
      <x:c r="H66" s="339" t="str">
        <x:v>Yes</x:v>
      </x:c>
      <x:c r="I66" s="339" t="str">
        <x:v>Yes</x:v>
      </x:c>
      <x:c r="J66" s="339" t="str">
        <x:v>Restricted; prefer inactivate/reverse</x:v>
      </x:c>
      <x:c r="K66" s="339" t="str">
        <x:v>Role/state based</x:v>
      </x:c>
      <x:c r="L66" s="339" t="str">
        <x:v>No / if configured</x:v>
      </x:c>
      <x:c r="M66" s="339" t="str">
        <x:v>Tenant → organization → school → branch → class/section/student/own-record scope as applicable.</x:v>
      </x:c>
      <x:c r="N66" s="339" t="str">
        <x:v>Mask health, counselling, compensation, identity and other sensitive fields unless explicitly required by role.</x:v>
      </x:c>
    </x:row>
    <x:row r="67">
      <x:c r="A67" s="339" t="str">
        <x:v>RB-066</x:v>
      </x:c>
      <x:c r="B67" s="339" t="str">
        <x:v>SCR-066</x:v>
      </x:c>
      <x:c r="C67" s="339" t="str">
        <x:v>Students</x:v>
      </x:c>
      <x:c r="D67" s="339" t="str">
        <x:v>Student Transport</x:v>
      </x:c>
      <x:c r="E67" s="339" t="str">
        <x:v>School Admin, Principal, Class Teacher, Teacher</x:v>
      </x:c>
      <x:c r="F67" s="339" t="str">
        <x:v>School Admin / Shared</x:v>
      </x:c>
      <x:c r="G67" s="339" t="str">
        <x:v>Yes</x:v>
      </x:c>
      <x:c r="H67" s="339" t="str">
        <x:v>Yes</x:v>
      </x:c>
      <x:c r="I67" s="339" t="str">
        <x:v>Yes</x:v>
      </x:c>
      <x:c r="J67" s="339" t="str">
        <x:v>Restricted; prefer inactivate/reverse</x:v>
      </x:c>
      <x:c r="K67" s="339" t="str">
        <x:v>Role/state based</x:v>
      </x:c>
      <x:c r="L67" s="339" t="str">
        <x:v>No / if configured</x:v>
      </x:c>
      <x:c r="M67" s="339" t="str">
        <x:v>Tenant → organization → school → branch → class/section/student/own-record scope as applicable.</x:v>
      </x:c>
      <x:c r="N67" s="339" t="str">
        <x:v>Mask health, counselling, compensation, identity and other sensitive fields unless explicitly required by role.</x:v>
      </x:c>
    </x:row>
    <x:row r="68">
      <x:c r="A68" s="339" t="str">
        <x:v>RB-067</x:v>
      </x:c>
      <x:c r="B68" s="339" t="str">
        <x:v>SCR-067</x:v>
      </x:c>
      <x:c r="C68" s="339" t="str">
        <x:v>Students</x:v>
      </x:c>
      <x:c r="D68" s="339" t="str">
        <x:v>Student Library</x:v>
      </x:c>
      <x:c r="E68" s="339" t="str">
        <x:v>School Admin, Principal, Class Teacher, Teacher</x:v>
      </x:c>
      <x:c r="F68" s="339" t="str">
        <x:v>School Admin / Shared</x:v>
      </x:c>
      <x:c r="G68" s="339" t="str">
        <x:v>Yes</x:v>
      </x:c>
      <x:c r="H68" s="339" t="str">
        <x:v>Yes</x:v>
      </x:c>
      <x:c r="I68" s="339" t="str">
        <x:v>Yes</x:v>
      </x:c>
      <x:c r="J68" s="339" t="str">
        <x:v>Restricted; prefer inactivate/reverse</x:v>
      </x:c>
      <x:c r="K68" s="339" t="str">
        <x:v>Role/state based</x:v>
      </x:c>
      <x:c r="L68" s="339" t="str">
        <x:v>No / if configured</x:v>
      </x:c>
      <x:c r="M68" s="339" t="str">
        <x:v>Tenant → organization → school → branch → class/section/student/own-record scope as applicable.</x:v>
      </x:c>
      <x:c r="N68" s="339" t="str">
        <x:v>Mask health, counselling, compensation, identity and other sensitive fields unless explicitly required by role.</x:v>
      </x:c>
    </x:row>
    <x:row r="69">
      <x:c r="A69" s="339" t="str">
        <x:v>RB-068</x:v>
      </x:c>
      <x:c r="B69" s="339" t="str">
        <x:v>SCR-068</x:v>
      </x:c>
      <x:c r="C69" s="339" t="str">
        <x:v>Students</x:v>
      </x:c>
      <x:c r="D69" s="339" t="str">
        <x:v>Siblings &amp; Family</x:v>
      </x:c>
      <x:c r="E69" s="339" t="str">
        <x:v>School Admin, Principal, Class Teacher, Teacher</x:v>
      </x:c>
      <x:c r="F69" s="339" t="str">
        <x:v>School Admin / Shared</x:v>
      </x:c>
      <x:c r="G69" s="339" t="str">
        <x:v>Yes</x:v>
      </x:c>
      <x:c r="H69" s="339" t="str">
        <x:v>Yes</x:v>
      </x:c>
      <x:c r="I69" s="339" t="str">
        <x:v>Yes</x:v>
      </x:c>
      <x:c r="J69" s="339" t="str">
        <x:v>Restricted; prefer inactivate/reverse</x:v>
      </x:c>
      <x:c r="K69" s="339" t="str">
        <x:v>Role/state based</x:v>
      </x:c>
      <x:c r="L69" s="339" t="str">
        <x:v>No / if configured</x:v>
      </x:c>
      <x:c r="M69" s="339" t="str">
        <x:v>Tenant → organization → school → branch → class/section/student/own-record scope as applicable.</x:v>
      </x:c>
      <x:c r="N69" s="339" t="str">
        <x:v>Mask health, counselling, compensation, identity and other sensitive fields unless explicitly required by role.</x:v>
      </x:c>
    </x:row>
    <x:row r="70">
      <x:c r="A70" s="339" t="str">
        <x:v>RB-069</x:v>
      </x:c>
      <x:c r="B70" s="339" t="str">
        <x:v>SCR-069</x:v>
      </x:c>
      <x:c r="C70" s="339" t="str">
        <x:v>Students</x:v>
      </x:c>
      <x:c r="D70" s="339" t="str">
        <x:v>Promotion / Transfer</x:v>
      </x:c>
      <x:c r="E70" s="339" t="str">
        <x:v>School Admin, Principal, Class Teacher, Teacher</x:v>
      </x:c>
      <x:c r="F70" s="339" t="str">
        <x:v>School Admin / Shared</x:v>
      </x:c>
      <x:c r="G70" s="339" t="str">
        <x:v>Yes</x:v>
      </x:c>
      <x:c r="H70" s="339" t="str">
        <x:v>Yes</x:v>
      </x:c>
      <x:c r="I70" s="339" t="str">
        <x:v>Yes</x:v>
      </x:c>
      <x:c r="J70" s="339" t="str">
        <x:v>Restricted; prefer inactivate/reverse</x:v>
      </x:c>
      <x:c r="K70" s="339" t="str">
        <x:v>Role/state based</x:v>
      </x:c>
      <x:c r="L70" s="339" t="str">
        <x:v>No / if configured</x:v>
      </x:c>
      <x:c r="M70" s="339" t="str">
        <x:v>Tenant → organization → school → branch → class/section/student/own-record scope as applicable.</x:v>
      </x:c>
      <x:c r="N70" s="339" t="str">
        <x:v>Mask health, counselling, compensation, identity and other sensitive fields unless explicitly required by role.</x:v>
      </x:c>
    </x:row>
    <x:row r="71">
      <x:c r="A71" s="339" t="str">
        <x:v>RB-070</x:v>
      </x:c>
      <x:c r="B71" s="339" t="str">
        <x:v>SCR-070</x:v>
      </x:c>
      <x:c r="C71" s="339" t="str">
        <x:v>Students</x:v>
      </x:c>
      <x:c r="D71" s="339" t="str">
        <x:v>Student Exit / Alumni Conversion</x:v>
      </x:c>
      <x:c r="E71" s="339" t="str">
        <x:v>School Admin, Principal, Class Teacher, Teacher</x:v>
      </x:c>
      <x:c r="F71" s="339" t="str">
        <x:v>School Admin / Shared</x:v>
      </x:c>
      <x:c r="G71" s="339" t="str">
        <x:v>Yes</x:v>
      </x:c>
      <x:c r="H71" s="339" t="str">
        <x:v>Yes</x:v>
      </x:c>
      <x:c r="I71" s="339" t="str">
        <x:v>Yes</x:v>
      </x:c>
      <x:c r="J71" s="339" t="str">
        <x:v>Restricted; prefer inactivate/reverse</x:v>
      </x:c>
      <x:c r="K71" s="339" t="str">
        <x:v>Role/state based</x:v>
      </x:c>
      <x:c r="L71" s="339" t="str">
        <x:v>No / if configured</x:v>
      </x:c>
      <x:c r="M71" s="339" t="str">
        <x:v>Tenant → organization → school → branch → class/section/student/own-record scope as applicable.</x:v>
      </x:c>
      <x:c r="N71" s="339" t="str">
        <x:v>Mask health, counselling, compensation, identity and other sensitive fields unless explicitly required by role.</x:v>
      </x:c>
    </x:row>
    <x:row r="72">
      <x:c r="A72" s="339" t="str">
        <x:v>RB-071</x:v>
      </x:c>
      <x:c r="B72" s="339" t="str">
        <x:v>SCR-071</x:v>
      </x:c>
      <x:c r="C72" s="339" t="str">
        <x:v>Parents &amp; Guardians</x:v>
      </x:c>
      <x:c r="D72" s="339" t="str">
        <x:v>Parent / Guardian Directory</x:v>
      </x:c>
      <x:c r="E72" s="339" t="str">
        <x:v>School Admin, Parent, Class Teacher</x:v>
      </x:c>
      <x:c r="F72" s="339" t="str">
        <x:v>School Admin / Shared</x:v>
      </x:c>
      <x:c r="G72" s="339" t="str">
        <x:v>Yes</x:v>
      </x:c>
      <x:c r="H72" s="339" t="str">
        <x:v>As permitted</x:v>
      </x:c>
      <x:c r="I72" s="339" t="str">
        <x:v>As permitted</x:v>
      </x:c>
      <x:c r="J72" s="339" t="str">
        <x:v>Restricted; prefer inactivate/reverse</x:v>
      </x:c>
      <x:c r="K72" s="339" t="str">
        <x:v>No / if configured</x:v>
      </x:c>
      <x:c r="L72" s="339" t="str">
        <x:v>Role-based</x:v>
      </x:c>
      <x:c r="M72" s="339" t="str">
        <x:v>Tenant → organization → school → branch → class/section/student/own-record scope as applicable.</x:v>
      </x:c>
      <x:c r="N72" s="339" t="str">
        <x:v>Mask health, counselling, compensation, identity and other sensitive fields unless explicitly required by role.</x:v>
      </x:c>
    </x:row>
    <x:row r="73">
      <x:c r="A73" s="339" t="str">
        <x:v>RB-072</x:v>
      </x:c>
      <x:c r="B73" s="339" t="str">
        <x:v>SCR-072</x:v>
      </x:c>
      <x:c r="C73" s="339" t="str">
        <x:v>Parents &amp; Guardians</x:v>
      </x:c>
      <x:c r="D73" s="339" t="str">
        <x:v>Add Parent / Guardian</x:v>
      </x:c>
      <x:c r="E73" s="339" t="str">
        <x:v>School Admin, Parent, Class Teacher</x:v>
      </x:c>
      <x:c r="F73" s="339" t="str">
        <x:v>School Admin / Shared</x:v>
      </x:c>
      <x:c r="G73" s="339" t="str">
        <x:v>Yes</x:v>
      </x:c>
      <x:c r="H73" s="339" t="str">
        <x:v>Yes</x:v>
      </x:c>
      <x:c r="I73" s="339" t="str">
        <x:v>As permitted</x:v>
      </x:c>
      <x:c r="J73" s="339" t="str">
        <x:v>Restricted; prefer inactivate/reverse</x:v>
      </x:c>
      <x:c r="K73" s="339" t="str">
        <x:v>No / if configured</x:v>
      </x:c>
      <x:c r="L73" s="339" t="str">
        <x:v>No / if configured</x:v>
      </x:c>
      <x:c r="M73" s="339" t="str">
        <x:v>Tenant → organization → school → branch → class/section/student/own-record scope as applicable.</x:v>
      </x:c>
      <x:c r="N73" s="339" t="str">
        <x:v>Mask health, counselling, compensation, identity and other sensitive fields unless explicitly required by role.</x:v>
      </x:c>
    </x:row>
    <x:row r="74">
      <x:c r="A74" s="339" t="str">
        <x:v>RB-073</x:v>
      </x:c>
      <x:c r="B74" s="339" t="str">
        <x:v>SCR-073</x:v>
      </x:c>
      <x:c r="C74" s="339" t="str">
        <x:v>Parents &amp; Guardians</x:v>
      </x:c>
      <x:c r="D74" s="339" t="str">
        <x:v>Parent Profile</x:v>
      </x:c>
      <x:c r="E74" s="339" t="str">
        <x:v>School Admin, Parent, Class Teacher</x:v>
      </x:c>
      <x:c r="F74" s="339" t="str">
        <x:v>School Admin / Shared</x:v>
      </x:c>
      <x:c r="G74" s="339" t="str">
        <x:v>Yes</x:v>
      </x:c>
      <x:c r="H74" s="339" t="str">
        <x:v>As permitted</x:v>
      </x:c>
      <x:c r="I74" s="339" t="str">
        <x:v>Yes</x:v>
      </x:c>
      <x:c r="J74" s="339" t="str">
        <x:v>Restricted; prefer inactivate/reverse</x:v>
      </x:c>
      <x:c r="K74" s="339" t="str">
        <x:v>No / if configured</x:v>
      </x:c>
      <x:c r="L74" s="339" t="str">
        <x:v>Role-based</x:v>
      </x:c>
      <x:c r="M74" s="339" t="str">
        <x:v>Tenant → organization → school → branch → class/section/student/own-record scope as applicable.</x:v>
      </x:c>
      <x:c r="N74" s="339" t="str">
        <x:v>Mask health, counselling, compensation, identity and other sensitive fields unless explicitly required by role.</x:v>
      </x:c>
    </x:row>
    <x:row r="75">
      <x:c r="A75" s="339" t="str">
        <x:v>RB-074</x:v>
      </x:c>
      <x:c r="B75" s="339" t="str">
        <x:v>SCR-074</x:v>
      </x:c>
      <x:c r="C75" s="339" t="str">
        <x:v>Parents &amp; Guardians</x:v>
      </x:c>
      <x:c r="D75" s="339" t="str">
        <x:v>Link Children</x:v>
      </x:c>
      <x:c r="E75" s="339" t="str">
        <x:v>School Admin, Parent, Class Teacher</x:v>
      </x:c>
      <x:c r="F75" s="339" t="str">
        <x:v>School Admin / Shared</x:v>
      </x:c>
      <x:c r="G75" s="339" t="str">
        <x:v>Yes</x:v>
      </x:c>
      <x:c r="H75" s="339" t="str">
        <x:v>Yes</x:v>
      </x:c>
      <x:c r="I75" s="339" t="str">
        <x:v>Yes</x:v>
      </x:c>
      <x:c r="J75" s="339" t="str">
        <x:v>Restricted; prefer inactivate/reverse</x:v>
      </x:c>
      <x:c r="K75" s="339" t="str">
        <x:v>Role/state based</x:v>
      </x:c>
      <x:c r="L75" s="339" t="str">
        <x:v>No / if configured</x:v>
      </x:c>
      <x:c r="M75" s="339" t="str">
        <x:v>Tenant → organization → school → branch → class/section/student/own-record scope as applicable.</x:v>
      </x:c>
      <x:c r="N75" s="339" t="str">
        <x:v>Mask health, counselling, compensation, identity and other sensitive fields unless explicitly required by role.</x:v>
      </x:c>
    </x:row>
    <x:row r="76">
      <x:c r="A76" s="339" t="str">
        <x:v>RB-075</x:v>
      </x:c>
      <x:c r="B76" s="339" t="str">
        <x:v>SCR-075</x:v>
      </x:c>
      <x:c r="C76" s="339" t="str">
        <x:v>Parents &amp; Guardians</x:v>
      </x:c>
      <x:c r="D76" s="339" t="str">
        <x:v>Communication Preferences</x:v>
      </x:c>
      <x:c r="E76" s="339" t="str">
        <x:v>School Admin, Parent, Class Teacher</x:v>
      </x:c>
      <x:c r="F76" s="339" t="str">
        <x:v>School Admin / Shared</x:v>
      </x:c>
      <x:c r="G76" s="339" t="str">
        <x:v>Yes</x:v>
      </x:c>
      <x:c r="H76" s="339" t="str">
        <x:v>Yes</x:v>
      </x:c>
      <x:c r="I76" s="339" t="str">
        <x:v>Yes</x:v>
      </x:c>
      <x:c r="J76" s="339" t="str">
        <x:v>Restricted; prefer inactivate/reverse</x:v>
      </x:c>
      <x:c r="K76" s="339" t="str">
        <x:v>No / if configured</x:v>
      </x:c>
      <x:c r="L76" s="339" t="str">
        <x:v>No / if configured</x:v>
      </x:c>
      <x:c r="M76" s="339" t="str">
        <x:v>Tenant → organization → school → branch → class/section/student/own-record scope as applicable.</x:v>
      </x:c>
      <x:c r="N76" s="339" t="str">
        <x:v>Mask health, counselling, compensation, identity and other sensitive fields unless explicitly required by role.</x:v>
      </x:c>
    </x:row>
    <x:row r="77">
      <x:c r="A77" s="339" t="str">
        <x:v>RB-076</x:v>
      </x:c>
      <x:c r="B77" s="339" t="str">
        <x:v>SCR-076</x:v>
      </x:c>
      <x:c r="C77" s="339" t="str">
        <x:v>Parents &amp; Guardians</x:v>
      </x:c>
      <x:c r="D77" s="339" t="str">
        <x:v>Parent Login Access</x:v>
      </x:c>
      <x:c r="E77" s="339" t="str">
        <x:v>School Admin, Parent, Class Teacher</x:v>
      </x:c>
      <x:c r="F77" s="339" t="str">
        <x:v>School Admin / Shared</x:v>
      </x:c>
      <x:c r="G77" s="339" t="str">
        <x:v>Yes</x:v>
      </x:c>
      <x:c r="H77" s="339" t="str">
        <x:v>Yes</x:v>
      </x:c>
      <x:c r="I77" s="339" t="str">
        <x:v>Yes</x:v>
      </x:c>
      <x:c r="J77" s="339" t="str">
        <x:v>Restricted; prefer inactivate/reverse</x:v>
      </x:c>
      <x:c r="K77" s="339" t="str">
        <x:v>Role/state based</x:v>
      </x:c>
      <x:c r="L77" s="339" t="str">
        <x:v>No / if configured</x:v>
      </x:c>
      <x:c r="M77" s="339" t="str">
        <x:v>Tenant → organization → school → branch → class/section/student/own-record scope as applicable.</x:v>
      </x:c>
      <x:c r="N77" s="339" t="str">
        <x:v>Mask health, counselling, compensation, identity and other sensitive fields unless explicitly required by role.</x:v>
      </x:c>
    </x:row>
    <x:row r="78">
      <x:c r="A78" s="339" t="str">
        <x:v>RB-077</x:v>
      </x:c>
      <x:c r="B78" s="339" t="str">
        <x:v>SCR-077</x:v>
      </x:c>
      <x:c r="C78" s="339" t="str">
        <x:v>Parents &amp; Guardians</x:v>
      </x:c>
      <x:c r="D78" s="339" t="str">
        <x:v>Parent-Teacher Interactions</x:v>
      </x:c>
      <x:c r="E78" s="339" t="str">
        <x:v>School Admin, Parent, Class Teacher</x:v>
      </x:c>
      <x:c r="F78" s="339" t="str">
        <x:v>School Admin / Shared</x:v>
      </x:c>
      <x:c r="G78" s="339" t="str">
        <x:v>Yes</x:v>
      </x:c>
      <x:c r="H78" s="339" t="str">
        <x:v>Yes</x:v>
      </x:c>
      <x:c r="I78" s="339" t="str">
        <x:v>Yes</x:v>
      </x:c>
      <x:c r="J78" s="339" t="str">
        <x:v>Restricted; prefer inactivate/reverse</x:v>
      </x:c>
      <x:c r="K78" s="339" t="str">
        <x:v>Role/state based</x:v>
      </x:c>
      <x:c r="L78" s="339" t="str">
        <x:v>No / if configured</x:v>
      </x:c>
      <x:c r="M78" s="339" t="str">
        <x:v>Tenant → organization → school → branch → class/section/student/own-record scope as applicable.</x:v>
      </x:c>
      <x:c r="N78" s="339" t="str">
        <x:v>Mask health, counselling, compensation, identity and other sensitive fields unless explicitly required by role.</x:v>
      </x:c>
    </x:row>
    <x:row r="79">
      <x:c r="A79" s="339" t="str">
        <x:v>RB-078</x:v>
      </x:c>
      <x:c r="B79" s="339" t="str">
        <x:v>SCR-078</x:v>
      </x:c>
      <x:c r="C79" s="339" t="str">
        <x:v>Parents &amp; Guardians</x:v>
      </x:c>
      <x:c r="D79" s="339" t="str">
        <x:v>Parent Payments &amp; Receipts</x:v>
      </x:c>
      <x:c r="E79" s="339" t="str">
        <x:v>School Admin, Parent, Class Teacher</x:v>
      </x:c>
      <x:c r="F79" s="339" t="str">
        <x:v>School Admin / Shared</x:v>
      </x:c>
      <x:c r="G79" s="339" t="str">
        <x:v>Yes</x:v>
      </x:c>
      <x:c r="H79" s="339" t="str">
        <x:v>As permitted</x:v>
      </x:c>
      <x:c r="I79" s="339" t="str">
        <x:v>Yes</x:v>
      </x:c>
      <x:c r="J79" s="339" t="str">
        <x:v>Restricted; prefer inactivate/reverse</x:v>
      </x:c>
      <x:c r="K79" s="339" t="str">
        <x:v>No / if configured</x:v>
      </x:c>
      <x:c r="L79" s="339" t="str">
        <x:v>Role-based</x:v>
      </x:c>
      <x:c r="M79" s="339" t="str">
        <x:v>Tenant → organization → school → branch → class/section/student/own-record scope as applicable.</x:v>
      </x:c>
      <x:c r="N79" s="339" t="str">
        <x:v>Mask health, counselling, compensation, identity and other sensitive fields unless explicitly required by role.</x:v>
      </x:c>
    </x:row>
    <x:row r="80">
      <x:c r="A80" s="339" t="str">
        <x:v>RB-079</x:v>
      </x:c>
      <x:c r="B80" s="339" t="str">
        <x:v>SCR-079</x:v>
      </x:c>
      <x:c r="C80" s="339" t="str">
        <x:v>Parents &amp; Guardians</x:v>
      </x:c>
      <x:c r="D80" s="339" t="str">
        <x:v>Parent Activity History</x:v>
      </x:c>
      <x:c r="E80" s="339" t="str">
        <x:v>School Admin, Parent, Class Teacher</x:v>
      </x:c>
      <x:c r="F80" s="339" t="str">
        <x:v>School Admin / Shared</x:v>
      </x:c>
      <x:c r="G80" s="339" t="str">
        <x:v>Yes</x:v>
      </x:c>
      <x:c r="H80" s="339" t="str">
        <x:v>As permitted</x:v>
      </x:c>
      <x:c r="I80" s="339" t="str">
        <x:v>Yes</x:v>
      </x:c>
      <x:c r="J80" s="339" t="str">
        <x:v>Restricted; prefer inactivate/reverse</x:v>
      </x:c>
      <x:c r="K80" s="339" t="str">
        <x:v>No / if configured</x:v>
      </x:c>
      <x:c r="L80" s="339" t="str">
        <x:v>Role-based</x:v>
      </x:c>
      <x:c r="M80" s="339" t="str">
        <x:v>Tenant → organization → school → branch → class/section/student/own-record scope as applicable.</x:v>
      </x:c>
      <x:c r="N80" s="339" t="str">
        <x:v>Mask health, counselling, compensation, identity and other sensitive fields unless explicitly required by role.</x:v>
      </x:c>
    </x:row>
    <x:row r="81">
      <x:c r="A81" s="339" t="str">
        <x:v>RB-080</x:v>
      </x:c>
      <x:c r="B81" s="339" t="str">
        <x:v>SCR-080</x:v>
      </x:c>
      <x:c r="C81" s="339" t="str">
        <x:v>Teachers &amp; Staff</x:v>
      </x:c>
      <x:c r="D81" s="339" t="str">
        <x:v>Staff Directory</x:v>
      </x:c>
      <x:c r="E81" s="339" t="str">
        <x:v>School Admin, Principal, HR, Teacher</x:v>
      </x:c>
      <x:c r="F81" s="339" t="str">
        <x:v>School Admin / Shared</x:v>
      </x:c>
      <x:c r="G81" s="339" t="str">
        <x:v>Yes</x:v>
      </x:c>
      <x:c r="H81" s="339" t="str">
        <x:v>As permitted</x:v>
      </x:c>
      <x:c r="I81" s="339" t="str">
        <x:v>As permitted</x:v>
      </x:c>
      <x:c r="J81" s="339" t="str">
        <x:v>Restricted; prefer inactivate/reverse</x:v>
      </x:c>
      <x:c r="K81" s="339" t="str">
        <x:v>No / if configured</x:v>
      </x:c>
      <x:c r="L81" s="339" t="str">
        <x:v>Role-based</x:v>
      </x:c>
      <x:c r="M81" s="339" t="str">
        <x:v>Tenant → organization → school → branch → class/section/student/own-record scope as applicable.</x:v>
      </x:c>
      <x:c r="N81" s="339" t="str">
        <x:v>Mask health, counselling, compensation, identity and other sensitive fields unless explicitly required by role.</x:v>
      </x:c>
    </x:row>
    <x:row r="82">
      <x:c r="A82" s="339" t="str">
        <x:v>RB-081</x:v>
      </x:c>
      <x:c r="B82" s="339" t="str">
        <x:v>SCR-081</x:v>
      </x:c>
      <x:c r="C82" s="339" t="str">
        <x:v>Teachers &amp; Staff</x:v>
      </x:c>
      <x:c r="D82" s="339" t="str">
        <x:v>Add Staff</x:v>
      </x:c>
      <x:c r="E82" s="339" t="str">
        <x:v>School Admin, Principal, HR, Teacher</x:v>
      </x:c>
      <x:c r="F82" s="339" t="str">
        <x:v>School Admin / Shared</x:v>
      </x:c>
      <x:c r="G82" s="339" t="str">
        <x:v>Yes</x:v>
      </x:c>
      <x:c r="H82" s="339" t="str">
        <x:v>Yes</x:v>
      </x:c>
      <x:c r="I82" s="339" t="str">
        <x:v>As permitted</x:v>
      </x:c>
      <x:c r="J82" s="339" t="str">
        <x:v>Restricted; prefer inactivate/reverse</x:v>
      </x:c>
      <x:c r="K82" s="339" t="str">
        <x:v>No / if configured</x:v>
      </x:c>
      <x:c r="L82" s="339" t="str">
        <x:v>No / if configured</x:v>
      </x:c>
      <x:c r="M82" s="339" t="str">
        <x:v>Tenant → organization → school → branch → class/section/student/own-record scope as applicable.</x:v>
      </x:c>
      <x:c r="N82" s="339" t="str">
        <x:v>Mask health, counselling, compensation, identity and other sensitive fields unless explicitly required by role.</x:v>
      </x:c>
    </x:row>
    <x:row r="83">
      <x:c r="A83" s="339" t="str">
        <x:v>RB-082</x:v>
      </x:c>
      <x:c r="B83" s="339" t="str">
        <x:v>SCR-082</x:v>
      </x:c>
      <x:c r="C83" s="339" t="str">
        <x:v>Teachers &amp; Staff</x:v>
      </x:c>
      <x:c r="D83" s="339" t="str">
        <x:v>Staff Profile</x:v>
      </x:c>
      <x:c r="E83" s="339" t="str">
        <x:v>School Admin, Principal, HR, Teacher</x:v>
      </x:c>
      <x:c r="F83" s="339" t="str">
        <x:v>School Admin / Shared</x:v>
      </x:c>
      <x:c r="G83" s="339" t="str">
        <x:v>Yes</x:v>
      </x:c>
      <x:c r="H83" s="339" t="str">
        <x:v>As permitted</x:v>
      </x:c>
      <x:c r="I83" s="339" t="str">
        <x:v>Yes</x:v>
      </x:c>
      <x:c r="J83" s="339" t="str">
        <x:v>Restricted; prefer inactivate/reverse</x:v>
      </x:c>
      <x:c r="K83" s="339" t="str">
        <x:v>No / if configured</x:v>
      </x:c>
      <x:c r="L83" s="339" t="str">
        <x:v>Role-based</x:v>
      </x:c>
      <x:c r="M83" s="339" t="str">
        <x:v>Tenant → organization → school → branch → class/section/student/own-record scope as applicable.</x:v>
      </x:c>
      <x:c r="N83" s="339" t="str">
        <x:v>Mask health, counselling, compensation, identity and other sensitive fields unless explicitly required by role.</x:v>
      </x:c>
    </x:row>
    <x:row r="84">
      <x:c r="A84" s="339" t="str">
        <x:v>RB-083</x:v>
      </x:c>
      <x:c r="B84" s="339" t="str">
        <x:v>SCR-083</x:v>
      </x:c>
      <x:c r="C84" s="339" t="str">
        <x:v>Teachers &amp; Staff</x:v>
      </x:c>
      <x:c r="D84" s="339" t="str">
        <x:v>Edit Staff</x:v>
      </x:c>
      <x:c r="E84" s="339" t="str">
        <x:v>School Admin, Principal, HR, Teacher</x:v>
      </x:c>
      <x:c r="F84" s="339" t="str">
        <x:v>School Admin / Shared</x:v>
      </x:c>
      <x:c r="G84" s="339" t="str">
        <x:v>Yes</x:v>
      </x:c>
      <x:c r="H84" s="339" t="str">
        <x:v>Yes</x:v>
      </x:c>
      <x:c r="I84" s="339" t="str">
        <x:v>Yes</x:v>
      </x:c>
      <x:c r="J84" s="339" t="str">
        <x:v>Restricted; prefer inactivate/reverse</x:v>
      </x:c>
      <x:c r="K84" s="339" t="str">
        <x:v>Role/state based</x:v>
      </x:c>
      <x:c r="L84" s="339" t="str">
        <x:v>No / if configured</x:v>
      </x:c>
      <x:c r="M84" s="339" t="str">
        <x:v>Tenant → organization → school → branch → class/section/student/own-record scope as applicable.</x:v>
      </x:c>
      <x:c r="N84" s="339" t="str">
        <x:v>Mask health, counselling, compensation, identity and other sensitive fields unless explicitly required by role.</x:v>
      </x:c>
    </x:row>
    <x:row r="85">
      <x:c r="A85" s="339" t="str">
        <x:v>RB-084</x:v>
      </x:c>
      <x:c r="B85" s="339" t="str">
        <x:v>SCR-084</x:v>
      </x:c>
      <x:c r="C85" s="339" t="str">
        <x:v>Teachers &amp; Staff</x:v>
      </x:c>
      <x:c r="D85" s="339" t="str">
        <x:v>Teacher Allocation</x:v>
      </x:c>
      <x:c r="E85" s="339" t="str">
        <x:v>School Admin, Principal, HR, Teacher</x:v>
      </x:c>
      <x:c r="F85" s="339" t="str">
        <x:v>School Admin / Shared</x:v>
      </x:c>
      <x:c r="G85" s="339" t="str">
        <x:v>Yes</x:v>
      </x:c>
      <x:c r="H85" s="339" t="str">
        <x:v>Yes</x:v>
      </x:c>
      <x:c r="I85" s="339" t="str">
        <x:v>Yes</x:v>
      </x:c>
      <x:c r="J85" s="339" t="str">
        <x:v>Restricted; prefer inactivate/reverse</x:v>
      </x:c>
      <x:c r="K85" s="339" t="str">
        <x:v>Role/state based</x:v>
      </x:c>
      <x:c r="L85" s="339" t="str">
        <x:v>No / if configured</x:v>
      </x:c>
      <x:c r="M85" s="339" t="str">
        <x:v>Tenant → organization → school → branch → class/section/student/own-record scope as applicable.</x:v>
      </x:c>
      <x:c r="N85" s="339" t="str">
        <x:v>Mask health, counselling, compensation, identity and other sensitive fields unless explicitly required by role.</x:v>
      </x:c>
    </x:row>
    <x:row r="86">
      <x:c r="A86" s="339" t="str">
        <x:v>RB-085</x:v>
      </x:c>
      <x:c r="B86" s="339" t="str">
        <x:v>SCR-085</x:v>
      </x:c>
      <x:c r="C86" s="339" t="str">
        <x:v>Teachers &amp; Staff</x:v>
      </x:c>
      <x:c r="D86" s="339" t="str">
        <x:v>Subject &amp; Class Assignment</x:v>
      </x:c>
      <x:c r="E86" s="339" t="str">
        <x:v>School Admin, Principal, HR, Teacher</x:v>
      </x:c>
      <x:c r="F86" s="339" t="str">
        <x:v>School Admin / Shared</x:v>
      </x:c>
      <x:c r="G86" s="339" t="str">
        <x:v>Yes</x:v>
      </x:c>
      <x:c r="H86" s="339" t="str">
        <x:v>Yes</x:v>
      </x:c>
      <x:c r="I86" s="339" t="str">
        <x:v>Yes</x:v>
      </x:c>
      <x:c r="J86" s="339" t="str">
        <x:v>Restricted; prefer inactivate/reverse</x:v>
      </x:c>
      <x:c r="K86" s="339" t="str">
        <x:v>Role/state based</x:v>
      </x:c>
      <x:c r="L86" s="339" t="str">
        <x:v>No / if configured</x:v>
      </x:c>
      <x:c r="M86" s="339" t="str">
        <x:v>Tenant → organization → school → branch → class/section/student/own-record scope as applicable.</x:v>
      </x:c>
      <x:c r="N86" s="339" t="str">
        <x:v>Mask health, counselling, compensation, identity and other sensitive fields unless explicitly required by role.</x:v>
      </x:c>
    </x:row>
    <x:row r="87">
      <x:c r="A87" s="339" t="str">
        <x:v>RB-086</x:v>
      </x:c>
      <x:c r="B87" s="339" t="str">
        <x:v>SCR-086</x:v>
      </x:c>
      <x:c r="C87" s="339" t="str">
        <x:v>Teachers &amp; Staff</x:v>
      </x:c>
      <x:c r="D87" s="339" t="str">
        <x:v>Teacher Workload</x:v>
      </x:c>
      <x:c r="E87" s="339" t="str">
        <x:v>School Admin, Principal, HR, Teacher</x:v>
      </x:c>
      <x:c r="F87" s="339" t="str">
        <x:v>School Admin / Shared</x:v>
      </x:c>
      <x:c r="G87" s="339" t="str">
        <x:v>Yes</x:v>
      </x:c>
      <x:c r="H87" s="339" t="str">
        <x:v>Yes</x:v>
      </x:c>
      <x:c r="I87" s="339" t="str">
        <x:v>Yes</x:v>
      </x:c>
      <x:c r="J87" s="339" t="str">
        <x:v>Restricted; prefer inactivate/reverse</x:v>
      </x:c>
      <x:c r="K87" s="339" t="str">
        <x:v>Role/state based</x:v>
      </x:c>
      <x:c r="L87" s="339" t="str">
        <x:v>No / if configured</x:v>
      </x:c>
      <x:c r="M87" s="339" t="str">
        <x:v>Tenant → organization → school → branch → class/section/student/own-record scope as applicable.</x:v>
      </x:c>
      <x:c r="N87" s="339" t="str">
        <x:v>Mask health, counselling, compensation, identity and other sensitive fields unless explicitly required by role.</x:v>
      </x:c>
    </x:row>
    <x:row r="88">
      <x:c r="A88" s="339" t="str">
        <x:v>RB-087</x:v>
      </x:c>
      <x:c r="B88" s="339" t="str">
        <x:v>SCR-087</x:v>
      </x:c>
      <x:c r="C88" s="339" t="str">
        <x:v>Teachers &amp; Staff</x:v>
      </x:c>
      <x:c r="D88" s="339" t="str">
        <x:v>Qualifications &amp; Documents</x:v>
      </x:c>
      <x:c r="E88" s="339" t="str">
        <x:v>School Admin, Principal, HR, Teacher</x:v>
      </x:c>
      <x:c r="F88" s="339" t="str">
        <x:v>School Admin / Shared</x:v>
      </x:c>
      <x:c r="G88" s="339" t="str">
        <x:v>Yes</x:v>
      </x:c>
      <x:c r="H88" s="339" t="str">
        <x:v>Yes</x:v>
      </x:c>
      <x:c r="I88" s="339" t="str">
        <x:v>Yes</x:v>
      </x:c>
      <x:c r="J88" s="339" t="str">
        <x:v>Restricted; prefer inactivate/reverse</x:v>
      </x:c>
      <x:c r="K88" s="339" t="str">
        <x:v>Role/state based</x:v>
      </x:c>
      <x:c r="L88" s="339" t="str">
        <x:v>No / if configured</x:v>
      </x:c>
      <x:c r="M88" s="339" t="str">
        <x:v>Tenant → organization → school → branch → class/section/student/own-record scope as applicable.</x:v>
      </x:c>
      <x:c r="N88" s="339" t="str">
        <x:v>Mask health, counselling, compensation, identity and other sensitive fields unless explicitly required by role.</x:v>
      </x:c>
    </x:row>
    <x:row r="89">
      <x:c r="A89" s="339" t="str">
        <x:v>RB-088</x:v>
      </x:c>
      <x:c r="B89" s="339" t="str">
        <x:v>SCR-088</x:v>
      </x:c>
      <x:c r="C89" s="339" t="str">
        <x:v>Teachers &amp; Staff</x:v>
      </x:c>
      <x:c r="D89" s="339" t="str">
        <x:v>Staff Attendance Summary</x:v>
      </x:c>
      <x:c r="E89" s="339" t="str">
        <x:v>School Admin, Principal, HR, Teacher</x:v>
      </x:c>
      <x:c r="F89" s="339" t="str">
        <x:v>School Admin / Shared</x:v>
      </x:c>
      <x:c r="G89" s="339" t="str">
        <x:v>Yes</x:v>
      </x:c>
      <x:c r="H89" s="339" t="str">
        <x:v>As permitted</x:v>
      </x:c>
      <x:c r="I89" s="339" t="str">
        <x:v>As permitted</x:v>
      </x:c>
      <x:c r="J89" s="339" t="str">
        <x:v>Restricted; prefer inactivate/reverse</x:v>
      </x:c>
      <x:c r="K89" s="339" t="str">
        <x:v>No / if configured</x:v>
      </x:c>
      <x:c r="L89" s="339" t="str">
        <x:v>Role-based</x:v>
      </x:c>
      <x:c r="M89" s="339" t="str">
        <x:v>Tenant → organization → school → branch → class/section/student/own-record scope as applicable.</x:v>
      </x:c>
      <x:c r="N89" s="339" t="str">
        <x:v>Mask health, counselling, compensation, identity and other sensitive fields unless explicitly required by role.</x:v>
      </x:c>
    </x:row>
    <x:row r="90">
      <x:c r="A90" s="339" t="str">
        <x:v>RB-089</x:v>
      </x:c>
      <x:c r="B90" s="339" t="str">
        <x:v>SCR-089</x:v>
      </x:c>
      <x:c r="C90" s="339" t="str">
        <x:v>Teachers &amp; Staff</x:v>
      </x:c>
      <x:c r="D90" s="339" t="str">
        <x:v>Staff Leave Summary</x:v>
      </x:c>
      <x:c r="E90" s="339" t="str">
        <x:v>School Admin, Principal, HR, Teacher</x:v>
      </x:c>
      <x:c r="F90" s="339" t="str">
        <x:v>School Admin / Shared</x:v>
      </x:c>
      <x:c r="G90" s="339" t="str">
        <x:v>Yes</x:v>
      </x:c>
      <x:c r="H90" s="339" t="str">
        <x:v>As permitted</x:v>
      </x:c>
      <x:c r="I90" s="339" t="str">
        <x:v>As permitted</x:v>
      </x:c>
      <x:c r="J90" s="339" t="str">
        <x:v>Restricted; prefer inactivate/reverse</x:v>
      </x:c>
      <x:c r="K90" s="339" t="str">
        <x:v>Role/state based</x:v>
      </x:c>
      <x:c r="L90" s="339" t="str">
        <x:v>Role-based</x:v>
      </x:c>
      <x:c r="M90" s="339" t="str">
        <x:v>Tenant → organization → school → branch → class/section/student/own-record scope as applicable.</x:v>
      </x:c>
      <x:c r="N90" s="339" t="str">
        <x:v>Mask health, counselling, compensation, identity and other sensitive fields unless explicitly required by role.</x:v>
      </x:c>
    </x:row>
    <x:row r="91">
      <x:c r="A91" s="339" t="str">
        <x:v>RB-090</x:v>
      </x:c>
      <x:c r="B91" s="339" t="str">
        <x:v>SCR-090</x:v>
      </x:c>
      <x:c r="C91" s="339" t="str">
        <x:v>Teachers &amp; Staff</x:v>
      </x:c>
      <x:c r="D91" s="339" t="str">
        <x:v>Performance &amp; Classroom Observation</x:v>
      </x:c>
      <x:c r="E91" s="339" t="str">
        <x:v>School Admin, Principal, HR, Teacher</x:v>
      </x:c>
      <x:c r="F91" s="339" t="str">
        <x:v>School Admin / Shared</x:v>
      </x:c>
      <x:c r="G91" s="339" t="str">
        <x:v>Yes</x:v>
      </x:c>
      <x:c r="H91" s="339" t="str">
        <x:v>Yes</x:v>
      </x:c>
      <x:c r="I91" s="339" t="str">
        <x:v>Yes</x:v>
      </x:c>
      <x:c r="J91" s="339" t="str">
        <x:v>Restricted; prefer inactivate/reverse</x:v>
      </x:c>
      <x:c r="K91" s="339" t="str">
        <x:v>Role/state based</x:v>
      </x:c>
      <x:c r="L91" s="339" t="str">
        <x:v>No / if configured</x:v>
      </x:c>
      <x:c r="M91" s="339" t="str">
        <x:v>Tenant → organization → school → branch → class/section/student/own-record scope as applicable.</x:v>
      </x:c>
      <x:c r="N91" s="339" t="str">
        <x:v>Mask health, counselling, compensation, identity and other sensitive fields unless explicitly required by role.</x:v>
      </x:c>
    </x:row>
    <x:row r="92">
      <x:c r="A92" s="339" t="str">
        <x:v>RB-091</x:v>
      </x:c>
      <x:c r="B92" s="339" t="str">
        <x:v>SCR-091</x:v>
      </x:c>
      <x:c r="C92" s="339" t="str">
        <x:v>Teachers &amp; Staff</x:v>
      </x:c>
      <x:c r="D92" s="339" t="str">
        <x:v>Exit / Offboarding</x:v>
      </x:c>
      <x:c r="E92" s="339" t="str">
        <x:v>School Admin, Principal, HR, Teacher</x:v>
      </x:c>
      <x:c r="F92" s="339" t="str">
        <x:v>School Admin / Shared</x:v>
      </x:c>
      <x:c r="G92" s="339" t="str">
        <x:v>Yes</x:v>
      </x:c>
      <x:c r="H92" s="339" t="str">
        <x:v>Yes</x:v>
      </x:c>
      <x:c r="I92" s="339" t="str">
        <x:v>Yes</x:v>
      </x:c>
      <x:c r="J92" s="339" t="str">
        <x:v>Restricted; prefer inactivate/reverse</x:v>
      </x:c>
      <x:c r="K92" s="339" t="str">
        <x:v>Role/state based</x:v>
      </x:c>
      <x:c r="L92" s="339" t="str">
        <x:v>No / if configured</x:v>
      </x:c>
      <x:c r="M92" s="339" t="str">
        <x:v>Tenant → organization → school → branch → class/section/student/own-record scope as applicable.</x:v>
      </x:c>
      <x:c r="N92" s="339" t="str">
        <x:v>Mask health, counselling, compensation, identity and other sensitive fields unless explicitly required by role.</x:v>
      </x:c>
    </x:row>
    <x:row r="93">
      <x:c r="A93" s="339" t="str">
        <x:v>RB-092</x:v>
      </x:c>
      <x:c r="B93" s="339" t="str">
        <x:v>SCR-092</x:v>
      </x:c>
      <x:c r="C93" s="339" t="str">
        <x:v>Academics &amp; Curriculum</x:v>
      </x:c>
      <x:c r="D93" s="339" t="str">
        <x:v>Academic Years</x:v>
      </x:c>
      <x:c r="E93" s="339" t="str">
        <x:v>Academic Coordinator, Principal, School Admin, Teacher</x:v>
      </x:c>
      <x:c r="F93" s="339" t="str">
        <x:v>School Admin / Shared</x:v>
      </x:c>
      <x:c r="G93" s="339" t="str">
        <x:v>Yes</x:v>
      </x:c>
      <x:c r="H93" s="339" t="str">
        <x:v>Yes</x:v>
      </x:c>
      <x:c r="I93" s="339" t="str">
        <x:v>Yes</x:v>
      </x:c>
      <x:c r="J93" s="339" t="str">
        <x:v>Restricted; prefer inactivate/reverse</x:v>
      </x:c>
      <x:c r="K93" s="339" t="str">
        <x:v>No / if configured</x:v>
      </x:c>
      <x:c r="L93" s="339" t="str">
        <x:v>No / if configured</x:v>
      </x:c>
      <x:c r="M93" s="339" t="str">
        <x:v>Tenant → organization → school → branch → class/section/student/own-record scope as applicable.</x:v>
      </x:c>
      <x:c r="N93" s="339" t="str">
        <x:v>Mask health, counselling, compensation, identity and other sensitive fields unless explicitly required by role.</x:v>
      </x:c>
    </x:row>
    <x:row r="94">
      <x:c r="A94" s="339" t="str">
        <x:v>RB-093</x:v>
      </x:c>
      <x:c r="B94" s="339" t="str">
        <x:v>SCR-093</x:v>
      </x:c>
      <x:c r="C94" s="339" t="str">
        <x:v>Academics &amp; Curriculum</x:v>
      </x:c>
      <x:c r="D94" s="339" t="str">
        <x:v>Terms / Semesters</x:v>
      </x:c>
      <x:c r="E94" s="339" t="str">
        <x:v>Academic Coordinator, Principal, School Admin, Teacher</x:v>
      </x:c>
      <x:c r="F94" s="339" t="str">
        <x:v>School Admin / Shared</x:v>
      </x:c>
      <x:c r="G94" s="339" t="str">
        <x:v>Yes</x:v>
      </x:c>
      <x:c r="H94" s="339" t="str">
        <x:v>Yes</x:v>
      </x:c>
      <x:c r="I94" s="339" t="str">
        <x:v>Yes</x:v>
      </x:c>
      <x:c r="J94" s="339" t="str">
        <x:v>Restricted; prefer inactivate/reverse</x:v>
      </x:c>
      <x:c r="K94" s="339" t="str">
        <x:v>Role/state based</x:v>
      </x:c>
      <x:c r="L94" s="339" t="str">
        <x:v>No / if configured</x:v>
      </x:c>
      <x:c r="M94" s="339" t="str">
        <x:v>Tenant → organization → school → branch → class/section/student/own-record scope as applicable.</x:v>
      </x:c>
      <x:c r="N94" s="339" t="str">
        <x:v>Mask health, counselling, compensation, identity and other sensitive fields unless explicitly required by role.</x:v>
      </x:c>
    </x:row>
    <x:row r="95">
      <x:c r="A95" s="339" t="str">
        <x:v>RB-094</x:v>
      </x:c>
      <x:c r="B95" s="339" t="str">
        <x:v>SCR-094</x:v>
      </x:c>
      <x:c r="C95" s="339" t="str">
        <x:v>Academics &amp; Curriculum</x:v>
      </x:c>
      <x:c r="D95" s="339" t="str">
        <x:v>Grades / Classes</x:v>
      </x:c>
      <x:c r="E95" s="339" t="str">
        <x:v>Academic Coordinator, Principal, School Admin, Teacher</x:v>
      </x:c>
      <x:c r="F95" s="339" t="str">
        <x:v>School Admin / Shared</x:v>
      </x:c>
      <x:c r="G95" s="339" t="str">
        <x:v>Yes</x:v>
      </x:c>
      <x:c r="H95" s="339" t="str">
        <x:v>Yes</x:v>
      </x:c>
      <x:c r="I95" s="339" t="str">
        <x:v>Yes</x:v>
      </x:c>
      <x:c r="J95" s="339" t="str">
        <x:v>Restricted; prefer inactivate/reverse</x:v>
      </x:c>
      <x:c r="K95" s="339" t="str">
        <x:v>Role/state based</x:v>
      </x:c>
      <x:c r="L95" s="339" t="str">
        <x:v>No / if configured</x:v>
      </x:c>
      <x:c r="M95" s="339" t="str">
        <x:v>Tenant → organization → school → branch → class/section/student/own-record scope as applicable.</x:v>
      </x:c>
      <x:c r="N95" s="339" t="str">
        <x:v>Mask health, counselling, compensation, identity and other sensitive fields unless explicitly required by role.</x:v>
      </x:c>
    </x:row>
    <x:row r="96">
      <x:c r="A96" s="339" t="str">
        <x:v>RB-095</x:v>
      </x:c>
      <x:c r="B96" s="339" t="str">
        <x:v>SCR-095</x:v>
      </x:c>
      <x:c r="C96" s="339" t="str">
        <x:v>Academics &amp; Curriculum</x:v>
      </x:c>
      <x:c r="D96" s="339" t="str">
        <x:v>Sections</x:v>
      </x:c>
      <x:c r="E96" s="339" t="str">
        <x:v>Academic Coordinator, Principal, School Admin, Teacher</x:v>
      </x:c>
      <x:c r="F96" s="339" t="str">
        <x:v>School Admin / Shared</x:v>
      </x:c>
      <x:c r="G96" s="339" t="str">
        <x:v>Yes</x:v>
      </x:c>
      <x:c r="H96" s="339" t="str">
        <x:v>As permitted</x:v>
      </x:c>
      <x:c r="I96" s="339" t="str">
        <x:v>As permitted</x:v>
      </x:c>
      <x:c r="J96" s="339" t="str">
        <x:v>Restricted; prefer inactivate/reverse</x:v>
      </x:c>
      <x:c r="K96" s="339" t="str">
        <x:v>No / if configured</x:v>
      </x:c>
      <x:c r="L96" s="339" t="str">
        <x:v>Role-based</x:v>
      </x:c>
      <x:c r="M96" s="339" t="str">
        <x:v>Tenant → organization → school → branch → class/section/student/own-record scope as applicable.</x:v>
      </x:c>
      <x:c r="N96" s="339" t="str">
        <x:v>Mask health, counselling, compensation, identity and other sensitive fields unless explicitly required by role.</x:v>
      </x:c>
    </x:row>
    <x:row r="97">
      <x:c r="A97" s="339" t="str">
        <x:v>RB-096</x:v>
      </x:c>
      <x:c r="B97" s="339" t="str">
        <x:v>SCR-096</x:v>
      </x:c>
      <x:c r="C97" s="339" t="str">
        <x:v>Academics &amp; Curriculum</x:v>
      </x:c>
      <x:c r="D97" s="339" t="str">
        <x:v>Subjects</x:v>
      </x:c>
      <x:c r="E97" s="339" t="str">
        <x:v>Academic Coordinator, Principal, School Admin, Teacher</x:v>
      </x:c>
      <x:c r="F97" s="339" t="str">
        <x:v>School Admin / Shared</x:v>
      </x:c>
      <x:c r="G97" s="339" t="str">
        <x:v>Yes</x:v>
      </x:c>
      <x:c r="H97" s="339" t="str">
        <x:v>As permitted</x:v>
      </x:c>
      <x:c r="I97" s="339" t="str">
        <x:v>As permitted</x:v>
      </x:c>
      <x:c r="J97" s="339" t="str">
        <x:v>Restricted; prefer inactivate/reverse</x:v>
      </x:c>
      <x:c r="K97" s="339" t="str">
        <x:v>No / if configured</x:v>
      </x:c>
      <x:c r="L97" s="339" t="str">
        <x:v>Role-based</x:v>
      </x:c>
      <x:c r="M97" s="339" t="str">
        <x:v>Tenant → organization → school → branch → class/section/student/own-record scope as applicable.</x:v>
      </x:c>
      <x:c r="N97" s="339" t="str">
        <x:v>Mask health, counselling, compensation, identity and other sensitive fields unless explicitly required by role.</x:v>
      </x:c>
    </x:row>
    <x:row r="98">
      <x:c r="A98" s="339" t="str">
        <x:v>RB-097</x:v>
      </x:c>
      <x:c r="B98" s="339" t="str">
        <x:v>SCR-097</x:v>
      </x:c>
      <x:c r="C98" s="339" t="str">
        <x:v>Academics &amp; Curriculum</x:v>
      </x:c>
      <x:c r="D98" s="339" t="str">
        <x:v>Subject Groups</x:v>
      </x:c>
      <x:c r="E98" s="339" t="str">
        <x:v>Academic Coordinator, Principal, School Admin, Teacher</x:v>
      </x:c>
      <x:c r="F98" s="339" t="str">
        <x:v>School Admin / Shared</x:v>
      </x:c>
      <x:c r="G98" s="339" t="str">
        <x:v>Yes</x:v>
      </x:c>
      <x:c r="H98" s="339" t="str">
        <x:v>Yes</x:v>
      </x:c>
      <x:c r="I98" s="339" t="str">
        <x:v>Yes</x:v>
      </x:c>
      <x:c r="J98" s="339" t="str">
        <x:v>Restricted; prefer inactivate/reverse</x:v>
      </x:c>
      <x:c r="K98" s="339" t="str">
        <x:v>Role/state based</x:v>
      </x:c>
      <x:c r="L98" s="339" t="str">
        <x:v>No / if configured</x:v>
      </x:c>
      <x:c r="M98" s="339" t="str">
        <x:v>Tenant → organization → school → branch → class/section/student/own-record scope as applicable.</x:v>
      </x:c>
      <x:c r="N98" s="339" t="str">
        <x:v>Mask health, counselling, compensation, identity and other sensitive fields unless explicitly required by role.</x:v>
      </x:c>
    </x:row>
    <x:row r="99">
      <x:c r="A99" s="339" t="str">
        <x:v>RB-098</x:v>
      </x:c>
      <x:c r="B99" s="339" t="str">
        <x:v>SCR-098</x:v>
      </x:c>
      <x:c r="C99" s="339" t="str">
        <x:v>Academics &amp; Curriculum</x:v>
      </x:c>
      <x:c r="D99" s="339" t="str">
        <x:v>Curriculum</x:v>
      </x:c>
      <x:c r="E99" s="339" t="str">
        <x:v>Academic Coordinator, Principal, School Admin, Teacher</x:v>
      </x:c>
      <x:c r="F99" s="339" t="str">
        <x:v>School Admin / Shared</x:v>
      </x:c>
      <x:c r="G99" s="339" t="str">
        <x:v>Yes</x:v>
      </x:c>
      <x:c r="H99" s="339" t="str">
        <x:v>Yes</x:v>
      </x:c>
      <x:c r="I99" s="339" t="str">
        <x:v>Yes</x:v>
      </x:c>
      <x:c r="J99" s="339" t="str">
        <x:v>Restricted; prefer inactivate/reverse</x:v>
      </x:c>
      <x:c r="K99" s="339" t="str">
        <x:v>Role/state based</x:v>
      </x:c>
      <x:c r="L99" s="339" t="str">
        <x:v>No / if configured</x:v>
      </x:c>
      <x:c r="M99" s="339" t="str">
        <x:v>Tenant → organization → school → branch → class/section/student/own-record scope as applicable.</x:v>
      </x:c>
      <x:c r="N99" s="339" t="str">
        <x:v>Mask health, counselling, compensation, identity and other sensitive fields unless explicitly required by role.</x:v>
      </x:c>
    </x:row>
    <x:row r="100">
      <x:c r="A100" s="339" t="str">
        <x:v>RB-099</x:v>
      </x:c>
      <x:c r="B100" s="339" t="str">
        <x:v>SCR-099</x:v>
      </x:c>
      <x:c r="C100" s="339" t="str">
        <x:v>Academics &amp; Curriculum</x:v>
      </x:c>
      <x:c r="D100" s="339" t="str">
        <x:v>Curriculum Details</x:v>
      </x:c>
      <x:c r="E100" s="339" t="str">
        <x:v>Academic Coordinator, Principal, School Admin, Teacher</x:v>
      </x:c>
      <x:c r="F100" s="339" t="str">
        <x:v>School Admin / Shared</x:v>
      </x:c>
      <x:c r="G100" s="339" t="str">
        <x:v>Yes</x:v>
      </x:c>
      <x:c r="H100" s="339" t="str">
        <x:v>As permitted</x:v>
      </x:c>
      <x:c r="I100" s="339" t="str">
        <x:v>Yes</x:v>
      </x:c>
      <x:c r="J100" s="339" t="str">
        <x:v>Restricted; prefer inactivate/reverse</x:v>
      </x:c>
      <x:c r="K100" s="339" t="str">
        <x:v>No / if configured</x:v>
      </x:c>
      <x:c r="L100" s="339" t="str">
        <x:v>Role-based</x:v>
      </x:c>
      <x:c r="M100" s="339" t="str">
        <x:v>Tenant → organization → school → branch → class/section/student/own-record scope as applicable.</x:v>
      </x:c>
      <x:c r="N100" s="339" t="str">
        <x:v>Mask health, counselling, compensation, identity and other sensitive fields unless explicitly required by role.</x:v>
      </x:c>
    </x:row>
    <x:row r="101">
      <x:c r="A101" s="339" t="str">
        <x:v>RB-100</x:v>
      </x:c>
      <x:c r="B101" s="339" t="str">
        <x:v>SCR-100</x:v>
      </x:c>
      <x:c r="C101" s="339" t="str">
        <x:v>Academics &amp; Curriculum</x:v>
      </x:c>
      <x:c r="D101" s="339" t="str">
        <x:v>Units / Chapters / Topics</x:v>
      </x:c>
      <x:c r="E101" s="339" t="str">
        <x:v>Academic Coordinator, Principal, School Admin, Teacher</x:v>
      </x:c>
      <x:c r="F101" s="339" t="str">
        <x:v>School Admin / Shared</x:v>
      </x:c>
      <x:c r="G101" s="339" t="str">
        <x:v>Yes</x:v>
      </x:c>
      <x:c r="H101" s="339" t="str">
        <x:v>Yes</x:v>
      </x:c>
      <x:c r="I101" s="339" t="str">
        <x:v>Yes</x:v>
      </x:c>
      <x:c r="J101" s="339" t="str">
        <x:v>Restricted; prefer inactivate/reverse</x:v>
      </x:c>
      <x:c r="K101" s="339" t="str">
        <x:v>Role/state based</x:v>
      </x:c>
      <x:c r="L101" s="339" t="str">
        <x:v>No / if configured</x:v>
      </x:c>
      <x:c r="M101" s="339" t="str">
        <x:v>Tenant → organization → school → branch → class/section/student/own-record scope as applicable.</x:v>
      </x:c>
      <x:c r="N101" s="339" t="str">
        <x:v>Mask health, counselling, compensation, identity and other sensitive fields unless explicitly required by role.</x:v>
      </x:c>
    </x:row>
    <x:row r="102">
      <x:c r="A102" s="339" t="str">
        <x:v>RB-101</x:v>
      </x:c>
      <x:c r="B102" s="339" t="str">
        <x:v>SCR-101</x:v>
      </x:c>
      <x:c r="C102" s="339" t="str">
        <x:v>Academics &amp; Curriculum</x:v>
      </x:c>
      <x:c r="D102" s="339" t="str">
        <x:v>Learning Outcomes</x:v>
      </x:c>
      <x:c r="E102" s="339" t="str">
        <x:v>Academic Coordinator, Principal, School Admin, Teacher</x:v>
      </x:c>
      <x:c r="F102" s="339" t="str">
        <x:v>School Admin / Shared</x:v>
      </x:c>
      <x:c r="G102" s="339" t="str">
        <x:v>Yes</x:v>
      </x:c>
      <x:c r="H102" s="339" t="str">
        <x:v>Yes</x:v>
      </x:c>
      <x:c r="I102" s="339" t="str">
        <x:v>Yes</x:v>
      </x:c>
      <x:c r="J102" s="339" t="str">
        <x:v>Restricted; prefer inactivate/reverse</x:v>
      </x:c>
      <x:c r="K102" s="339" t="str">
        <x:v>Role/state based</x:v>
      </x:c>
      <x:c r="L102" s="339" t="str">
        <x:v>No / if configured</x:v>
      </x:c>
      <x:c r="M102" s="339" t="str">
        <x:v>Tenant → organization → school → branch → class/section/student/own-record scope as applicable.</x:v>
      </x:c>
      <x:c r="N102" s="339" t="str">
        <x:v>Mask health, counselling, compensation, identity and other sensitive fields unless explicitly required by role.</x:v>
      </x:c>
    </x:row>
    <x:row r="103">
      <x:c r="A103" s="339" t="str">
        <x:v>RB-102</x:v>
      </x:c>
      <x:c r="B103" s="339" t="str">
        <x:v>SCR-102</x:v>
      </x:c>
      <x:c r="C103" s="339" t="str">
        <x:v>Academics &amp; Curriculum</x:v>
      </x:c>
      <x:c r="D103" s="339" t="str">
        <x:v>Lesson Plans</x:v>
      </x:c>
      <x:c r="E103" s="339" t="str">
        <x:v>Academic Coordinator, Principal, School Admin, Teacher</x:v>
      </x:c>
      <x:c r="F103" s="339" t="str">
        <x:v>School Admin / Shared</x:v>
      </x:c>
      <x:c r="G103" s="339" t="str">
        <x:v>Yes</x:v>
      </x:c>
      <x:c r="H103" s="339" t="str">
        <x:v>Yes</x:v>
      </x:c>
      <x:c r="I103" s="339" t="str">
        <x:v>Yes</x:v>
      </x:c>
      <x:c r="J103" s="339" t="str">
        <x:v>Restricted; prefer inactivate/reverse</x:v>
      </x:c>
      <x:c r="K103" s="339" t="str">
        <x:v>Role/state based</x:v>
      </x:c>
      <x:c r="L103" s="339" t="str">
        <x:v>No / if configured</x:v>
      </x:c>
      <x:c r="M103" s="339" t="str">
        <x:v>Tenant → organization → school → branch → class/section/student/own-record scope as applicable.</x:v>
      </x:c>
      <x:c r="N103" s="339" t="str">
        <x:v>Mask health, counselling, compensation, identity and other sensitive fields unless explicitly required by role.</x:v>
      </x:c>
    </x:row>
    <x:row r="104">
      <x:c r="A104" s="339" t="str">
        <x:v>RB-103</x:v>
      </x:c>
      <x:c r="B104" s="339" t="str">
        <x:v>SCR-103</x:v>
      </x:c>
      <x:c r="C104" s="339" t="str">
        <x:v>Academics &amp; Curriculum</x:v>
      </x:c>
      <x:c r="D104" s="339" t="str">
        <x:v>Create / Edit Lesson Plan</x:v>
      </x:c>
      <x:c r="E104" s="339" t="str">
        <x:v>Academic Coordinator, Principal, School Admin, Teacher</x:v>
      </x:c>
      <x:c r="F104" s="339" t="str">
        <x:v>School Admin / Shared</x:v>
      </x:c>
      <x:c r="G104" s="339" t="str">
        <x:v>Yes</x:v>
      </x:c>
      <x:c r="H104" s="339" t="str">
        <x:v>Yes</x:v>
      </x:c>
      <x:c r="I104" s="339" t="str">
        <x:v>As permitted</x:v>
      </x:c>
      <x:c r="J104" s="339" t="str">
        <x:v>Restricted; prefer inactivate/reverse</x:v>
      </x:c>
      <x:c r="K104" s="339" t="str">
        <x:v>No / if configured</x:v>
      </x:c>
      <x:c r="L104" s="339" t="str">
        <x:v>No / if configured</x:v>
      </x:c>
      <x:c r="M104" s="339" t="str">
        <x:v>Tenant → organization → school → branch → class/section/student/own-record scope as applicable.</x:v>
      </x:c>
      <x:c r="N104" s="339" t="str">
        <x:v>Mask health, counselling, compensation, identity and other sensitive fields unless explicitly required by role.</x:v>
      </x:c>
    </x:row>
    <x:row r="105">
      <x:c r="A105" s="339" t="str">
        <x:v>RB-104</x:v>
      </x:c>
      <x:c r="B105" s="339" t="str">
        <x:v>SCR-104</x:v>
      </x:c>
      <x:c r="C105" s="339" t="str">
        <x:v>Academics &amp; Curriculum</x:v>
      </x:c>
      <x:c r="D105" s="339" t="str">
        <x:v>Lesson Plan Review &amp; Approval</x:v>
      </x:c>
      <x:c r="E105" s="339" t="str">
        <x:v>Academic Coordinator, Principal, School Admin, Teacher</x:v>
      </x:c>
      <x:c r="F105" s="339" t="str">
        <x:v>School Admin / Shared</x:v>
      </x:c>
      <x:c r="G105" s="339" t="str">
        <x:v>Yes</x:v>
      </x:c>
      <x:c r="H105" s="339" t="str">
        <x:v>Yes</x:v>
      </x:c>
      <x:c r="I105" s="339" t="str">
        <x:v>Yes</x:v>
      </x:c>
      <x:c r="J105" s="339" t="str">
        <x:v>Restricted; prefer inactivate/reverse</x:v>
      </x:c>
      <x:c r="K105" s="339" t="str">
        <x:v>Role/state based</x:v>
      </x:c>
      <x:c r="L105" s="339" t="str">
        <x:v>No / if configured</x:v>
      </x:c>
      <x:c r="M105" s="339" t="str">
        <x:v>Tenant → organization → school → branch → class/section/student/own-record scope as applicable.</x:v>
      </x:c>
      <x:c r="N105" s="339" t="str">
        <x:v>Mask health, counselling, compensation, identity and other sensitive fields unless explicitly required by role.</x:v>
      </x:c>
    </x:row>
    <x:row r="106">
      <x:c r="A106" s="339" t="str">
        <x:v>RB-105</x:v>
      </x:c>
      <x:c r="B106" s="339" t="str">
        <x:v>SCR-105</x:v>
      </x:c>
      <x:c r="C106" s="339" t="str">
        <x:v>Academics &amp; Curriculum</x:v>
      </x:c>
      <x:c r="D106" s="339" t="str">
        <x:v>Syllabus Progress</x:v>
      </x:c>
      <x:c r="E106" s="339" t="str">
        <x:v>Academic Coordinator, Principal, School Admin, Teacher</x:v>
      </x:c>
      <x:c r="F106" s="339" t="str">
        <x:v>School Admin / Shared</x:v>
      </x:c>
      <x:c r="G106" s="339" t="str">
        <x:v>Yes</x:v>
      </x:c>
      <x:c r="H106" s="339" t="str">
        <x:v>Yes</x:v>
      </x:c>
      <x:c r="I106" s="339" t="str">
        <x:v>Yes</x:v>
      </x:c>
      <x:c r="J106" s="339" t="str">
        <x:v>Restricted; prefer inactivate/reverse</x:v>
      </x:c>
      <x:c r="K106" s="339" t="str">
        <x:v>Role/state based</x:v>
      </x:c>
      <x:c r="L106" s="339" t="str">
        <x:v>No / if configured</x:v>
      </x:c>
      <x:c r="M106" s="339" t="str">
        <x:v>Tenant → organization → school → branch → class/section/student/own-record scope as applicable.</x:v>
      </x:c>
      <x:c r="N106" s="339" t="str">
        <x:v>Mask health, counselling, compensation, identity and other sensitive fields unless explicitly required by role.</x:v>
      </x:c>
    </x:row>
    <x:row r="107">
      <x:c r="A107" s="339" t="str">
        <x:v>RB-106</x:v>
      </x:c>
      <x:c r="B107" s="339" t="str">
        <x:v>SCR-106</x:v>
      </x:c>
      <x:c r="C107" s="339" t="str">
        <x:v>Academics &amp; Curriculum</x:v>
      </x:c>
      <x:c r="D107" s="339" t="str">
        <x:v>Teaching Resources</x:v>
      </x:c>
      <x:c r="E107" s="339" t="str">
        <x:v>Academic Coordinator, Principal, School Admin, Teacher</x:v>
      </x:c>
      <x:c r="F107" s="339" t="str">
        <x:v>School Admin / Shared</x:v>
      </x:c>
      <x:c r="G107" s="339" t="str">
        <x:v>Yes</x:v>
      </x:c>
      <x:c r="H107" s="339" t="str">
        <x:v>Yes</x:v>
      </x:c>
      <x:c r="I107" s="339" t="str">
        <x:v>Yes</x:v>
      </x:c>
      <x:c r="J107" s="339" t="str">
        <x:v>Restricted; prefer inactivate/reverse</x:v>
      </x:c>
      <x:c r="K107" s="339" t="str">
        <x:v>Role/state based</x:v>
      </x:c>
      <x:c r="L107" s="339" t="str">
        <x:v>No / if configured</x:v>
      </x:c>
      <x:c r="M107" s="339" t="str">
        <x:v>Tenant → organization → school → branch → class/section/student/own-record scope as applicable.</x:v>
      </x:c>
      <x:c r="N107" s="339" t="str">
        <x:v>Mask health, counselling, compensation, identity and other sensitive fields unless explicitly required by role.</x:v>
      </x:c>
    </x:row>
    <x:row r="108">
      <x:c r="A108" s="339" t="str">
        <x:v>RB-107</x:v>
      </x:c>
      <x:c r="B108" s="339" t="str">
        <x:v>SCR-107</x:v>
      </x:c>
      <x:c r="C108" s="339" t="str">
        <x:v>Academics &amp; Curriculum</x:v>
      </x:c>
      <x:c r="D108" s="339" t="str">
        <x:v>Classroom / Room Management</x:v>
      </x:c>
      <x:c r="E108" s="339" t="str">
        <x:v>Academic Coordinator, Principal, School Admin, Teacher</x:v>
      </x:c>
      <x:c r="F108" s="339" t="str">
        <x:v>School Admin / Shared</x:v>
      </x:c>
      <x:c r="G108" s="339" t="str">
        <x:v>Yes</x:v>
      </x:c>
      <x:c r="H108" s="339" t="str">
        <x:v>Yes</x:v>
      </x:c>
      <x:c r="I108" s="339" t="str">
        <x:v>Yes</x:v>
      </x:c>
      <x:c r="J108" s="339" t="str">
        <x:v>Restricted; prefer inactivate/reverse</x:v>
      </x:c>
      <x:c r="K108" s="339" t="str">
        <x:v>Role/state based</x:v>
      </x:c>
      <x:c r="L108" s="339" t="str">
        <x:v>No / if configured</x:v>
      </x:c>
      <x:c r="M108" s="339" t="str">
        <x:v>Tenant → organization → school → branch → class/section/student/own-record scope as applicable.</x:v>
      </x:c>
      <x:c r="N108" s="339" t="str">
        <x:v>Mask health, counselling, compensation, identity and other sensitive fields unless explicitly required by role.</x:v>
      </x:c>
    </x:row>
    <x:row r="109">
      <x:c r="A109" s="339" t="str">
        <x:v>RB-108</x:v>
      </x:c>
      <x:c r="B109" s="339" t="str">
        <x:v>SCR-108</x:v>
      </x:c>
      <x:c r="C109" s="339" t="str">
        <x:v>Academics &amp; Curriculum</x:v>
      </x:c>
      <x:c r="D109" s="339" t="str">
        <x:v>Academic Calendar</x:v>
      </x:c>
      <x:c r="E109" s="339" t="str">
        <x:v>Academic Coordinator, Principal, School Admin, Teacher</x:v>
      </x:c>
      <x:c r="F109" s="339" t="str">
        <x:v>School Admin / Shared</x:v>
      </x:c>
      <x:c r="G109" s="339" t="str">
        <x:v>Yes</x:v>
      </x:c>
      <x:c r="H109" s="339" t="str">
        <x:v>Yes</x:v>
      </x:c>
      <x:c r="I109" s="339" t="str">
        <x:v>Yes</x:v>
      </x:c>
      <x:c r="J109" s="339" t="str">
        <x:v>Restricted; prefer inactivate/reverse</x:v>
      </x:c>
      <x:c r="K109" s="339" t="str">
        <x:v>No / if configured</x:v>
      </x:c>
      <x:c r="L109" s="339" t="str">
        <x:v>No / if configured</x:v>
      </x:c>
      <x:c r="M109" s="339" t="str">
        <x:v>Tenant → organization → school → branch → class/section/student/own-record scope as applicable.</x:v>
      </x:c>
      <x:c r="N109" s="339" t="str">
        <x:v>Mask health, counselling, compensation, identity and other sensitive fields unless explicitly required by role.</x:v>
      </x:c>
    </x:row>
    <x:row r="110">
      <x:c r="A110" s="339" t="str">
        <x:v>RB-109</x:v>
      </x:c>
      <x:c r="B110" s="339" t="str">
        <x:v>SCR-109</x:v>
      </x:c>
      <x:c r="C110" s="339" t="str">
        <x:v>Academics &amp; Curriculum</x:v>
      </x:c>
      <x:c r="D110" s="339" t="str">
        <x:v>Co-Curricular Activities</x:v>
      </x:c>
      <x:c r="E110" s="339" t="str">
        <x:v>Academic Coordinator, Principal, School Admin, Teacher</x:v>
      </x:c>
      <x:c r="F110" s="339" t="str">
        <x:v>School Admin / Shared</x:v>
      </x:c>
      <x:c r="G110" s="339" t="str">
        <x:v>Yes</x:v>
      </x:c>
      <x:c r="H110" s="339" t="str">
        <x:v>Yes</x:v>
      </x:c>
      <x:c r="I110" s="339" t="str">
        <x:v>Yes</x:v>
      </x:c>
      <x:c r="J110" s="339" t="str">
        <x:v>Restricted; prefer inactivate/reverse</x:v>
      </x:c>
      <x:c r="K110" s="339" t="str">
        <x:v>Role/state based</x:v>
      </x:c>
      <x:c r="L110" s="339" t="str">
        <x:v>No / if configured</x:v>
      </x:c>
      <x:c r="M110" s="339" t="str">
        <x:v>Tenant → organization → school → branch → class/section/student/own-record scope as applicable.</x:v>
      </x:c>
      <x:c r="N110" s="339" t="str">
        <x:v>Mask health, counselling, compensation, identity and other sensitive fields unless explicitly required by role.</x:v>
      </x:c>
    </x:row>
    <x:row r="111">
      <x:c r="A111" s="339" t="str">
        <x:v>RB-110</x:v>
      </x:c>
      <x:c r="B111" s="339" t="str">
        <x:v>SCR-110</x:v>
      </x:c>
      <x:c r="C111" s="339" t="str">
        <x:v>Student Attendance</x:v>
      </x:c>
      <x:c r="D111" s="339" t="str">
        <x:v>Daily Class Attendance</x:v>
      </x:c>
      <x:c r="E111" s="339" t="str">
        <x:v>Teacher, Class Teacher, School Admin</x:v>
      </x:c>
      <x:c r="F111" s="339" t="str">
        <x:v>School Admin / Shared</x:v>
      </x:c>
      <x:c r="G111" s="339" t="str">
        <x:v>Yes</x:v>
      </x:c>
      <x:c r="H111" s="339" t="str">
        <x:v>Yes</x:v>
      </x:c>
      <x:c r="I111" s="339" t="str">
        <x:v>Yes</x:v>
      </x:c>
      <x:c r="J111" s="339" t="str">
        <x:v>Restricted; prefer inactivate/reverse</x:v>
      </x:c>
      <x:c r="K111" s="339" t="str">
        <x:v>Role/state based</x:v>
      </x:c>
      <x:c r="L111" s="339" t="str">
        <x:v>No / if configured</x:v>
      </x:c>
      <x:c r="M111" s="339" t="str">
        <x:v>Tenant → organization → school → branch → class/section/student/own-record scope as applicable.</x:v>
      </x:c>
      <x:c r="N111" s="339" t="str">
        <x:v>Mask health, counselling, compensation, identity and other sensitive fields unless explicitly required by role.</x:v>
      </x:c>
    </x:row>
    <x:row r="112">
      <x:c r="A112" s="339" t="str">
        <x:v>RB-111</x:v>
      </x:c>
      <x:c r="B112" s="339" t="str">
        <x:v>SCR-111</x:v>
      </x:c>
      <x:c r="C112" s="339" t="str">
        <x:v>Student Attendance</x:v>
      </x:c>
      <x:c r="D112" s="339" t="str">
        <x:v>Period / Subject Attendance</x:v>
      </x:c>
      <x:c r="E112" s="339" t="str">
        <x:v>Teacher, Class Teacher, School Admin</x:v>
      </x:c>
      <x:c r="F112" s="339" t="str">
        <x:v>School Admin / Shared</x:v>
      </x:c>
      <x:c r="G112" s="339" t="str">
        <x:v>Yes</x:v>
      </x:c>
      <x:c r="H112" s="339" t="str">
        <x:v>Yes</x:v>
      </x:c>
      <x:c r="I112" s="339" t="str">
        <x:v>Yes</x:v>
      </x:c>
      <x:c r="J112" s="339" t="str">
        <x:v>Restricted; prefer inactivate/reverse</x:v>
      </x:c>
      <x:c r="K112" s="339" t="str">
        <x:v>Role/state based</x:v>
      </x:c>
      <x:c r="L112" s="339" t="str">
        <x:v>No / if configured</x:v>
      </x:c>
      <x:c r="M112" s="339" t="str">
        <x:v>Tenant → organization → school → branch → class/section/student/own-record scope as applicable.</x:v>
      </x:c>
      <x:c r="N112" s="339" t="str">
        <x:v>Mask health, counselling, compensation, identity and other sensitive fields unless explicitly required by role.</x:v>
      </x:c>
    </x:row>
    <x:row r="113">
      <x:c r="A113" s="339" t="str">
        <x:v>RB-112</x:v>
      </x:c>
      <x:c r="B113" s="339" t="str">
        <x:v>SCR-112</x:v>
      </x:c>
      <x:c r="C113" s="339" t="str">
        <x:v>Student Attendance</x:v>
      </x:c>
      <x:c r="D113" s="339" t="str">
        <x:v>Student Attendance Register</x:v>
      </x:c>
      <x:c r="E113" s="339" t="str">
        <x:v>Teacher, Class Teacher, School Admin</x:v>
      </x:c>
      <x:c r="F113" s="339" t="str">
        <x:v>School Admin / Shared</x:v>
      </x:c>
      <x:c r="G113" s="339" t="str">
        <x:v>Yes</x:v>
      </x:c>
      <x:c r="H113" s="339" t="str">
        <x:v>As permitted</x:v>
      </x:c>
      <x:c r="I113" s="339" t="str">
        <x:v>Yes</x:v>
      </x:c>
      <x:c r="J113" s="339" t="str">
        <x:v>Restricted; prefer inactivate/reverse</x:v>
      </x:c>
      <x:c r="K113" s="339" t="str">
        <x:v>No / if configured</x:v>
      </x:c>
      <x:c r="L113" s="339" t="str">
        <x:v>Role-based</x:v>
      </x:c>
      <x:c r="M113" s="339" t="str">
        <x:v>Tenant → organization → school → branch → class/section/student/own-record scope as applicable.</x:v>
      </x:c>
      <x:c r="N113" s="339" t="str">
        <x:v>Mask health, counselling, compensation, identity and other sensitive fields unless explicitly required by role.</x:v>
      </x:c>
    </x:row>
    <x:row r="114">
      <x:c r="A114" s="339" t="str">
        <x:v>RB-113</x:v>
      </x:c>
      <x:c r="B114" s="339" t="str">
        <x:v>SCR-113</x:v>
      </x:c>
      <x:c r="C114" s="339" t="str">
        <x:v>Student Attendance</x:v>
      </x:c>
      <x:c r="D114" s="339" t="str">
        <x:v>Attendance Correction</x:v>
      </x:c>
      <x:c r="E114" s="339" t="str">
        <x:v>Class Teacher, School Admin, Principal</x:v>
      </x:c>
      <x:c r="F114" s="339" t="str">
        <x:v>School Admin / Shared</x:v>
      </x:c>
      <x:c r="G114" s="339" t="str">
        <x:v>Yes</x:v>
      </x:c>
      <x:c r="H114" s="339" t="str">
        <x:v>Yes</x:v>
      </x:c>
      <x:c r="I114" s="339" t="str">
        <x:v>Yes</x:v>
      </x:c>
      <x:c r="J114" s="339" t="str">
        <x:v>Restricted; prefer inactivate/reverse</x:v>
      </x:c>
      <x:c r="K114" s="339" t="str">
        <x:v>Role/state based</x:v>
      </x:c>
      <x:c r="L114" s="339" t="str">
        <x:v>No / if configured</x:v>
      </x:c>
      <x:c r="M114" s="339" t="str">
        <x:v>Tenant → organization → school → branch → class/section/student/own-record scope as applicable.</x:v>
      </x:c>
      <x:c r="N114" s="339" t="str">
        <x:v>Mask health, counselling, compensation, identity and other sensitive fields unless explicitly required by role.</x:v>
      </x:c>
    </x:row>
    <x:row r="115">
      <x:c r="A115" s="339" t="str">
        <x:v>RB-114</x:v>
      </x:c>
      <x:c r="B115" s="339" t="str">
        <x:v>SCR-114</x:v>
      </x:c>
      <x:c r="C115" s="339" t="str">
        <x:v>Student Attendance</x:v>
      </x:c>
      <x:c r="D115" s="339" t="str">
        <x:v>Student Leave Requests</x:v>
      </x:c>
      <x:c r="E115" s="339" t="str">
        <x:v>Teacher, Class Teacher, School Admin</x:v>
      </x:c>
      <x:c r="F115" s="339" t="str">
        <x:v>School Admin / Shared</x:v>
      </x:c>
      <x:c r="G115" s="339" t="str">
        <x:v>Yes</x:v>
      </x:c>
      <x:c r="H115" s="339" t="str">
        <x:v>Yes</x:v>
      </x:c>
      <x:c r="I115" s="339" t="str">
        <x:v>Yes</x:v>
      </x:c>
      <x:c r="J115" s="339" t="str">
        <x:v>Restricted; prefer inactivate/reverse</x:v>
      </x:c>
      <x:c r="K115" s="339" t="str">
        <x:v>Role/state based</x:v>
      </x:c>
      <x:c r="L115" s="339" t="str">
        <x:v>No / if configured</x:v>
      </x:c>
      <x:c r="M115" s="339" t="str">
        <x:v>Tenant → organization → school → branch → class/section/student/own-record scope as applicable.</x:v>
      </x:c>
      <x:c r="N115" s="339" t="str">
        <x:v>Mask health, counselling, compensation, identity and other sensitive fields unless explicitly required by role.</x:v>
      </x:c>
    </x:row>
    <x:row r="116">
      <x:c r="A116" s="339" t="str">
        <x:v>RB-115</x:v>
      </x:c>
      <x:c r="B116" s="339" t="str">
        <x:v>SCR-115</x:v>
      </x:c>
      <x:c r="C116" s="339" t="str">
        <x:v>Student Attendance</x:v>
      </x:c>
      <x:c r="D116" s="339" t="str">
        <x:v>Student Leave Approval</x:v>
      </x:c>
      <x:c r="E116" s="339" t="str">
        <x:v>Class Teacher, School Admin, Principal</x:v>
      </x:c>
      <x:c r="F116" s="339" t="str">
        <x:v>School Admin / Shared</x:v>
      </x:c>
      <x:c r="G116" s="339" t="str">
        <x:v>Yes</x:v>
      </x:c>
      <x:c r="H116" s="339" t="str">
        <x:v>Yes</x:v>
      </x:c>
      <x:c r="I116" s="339" t="str">
        <x:v>Yes</x:v>
      </x:c>
      <x:c r="J116" s="339" t="str">
        <x:v>Restricted; prefer inactivate/reverse</x:v>
      </x:c>
      <x:c r="K116" s="339" t="str">
        <x:v>Role/state based</x:v>
      </x:c>
      <x:c r="L116" s="339" t="str">
        <x:v>No / if configured</x:v>
      </x:c>
      <x:c r="M116" s="339" t="str">
        <x:v>Tenant → organization → school → branch → class/section/student/own-record scope as applicable.</x:v>
      </x:c>
      <x:c r="N116" s="339" t="str">
        <x:v>Mask health, counselling, compensation, identity and other sensitive fields unless explicitly required by role.</x:v>
      </x:c>
    </x:row>
    <x:row r="117">
      <x:c r="A117" s="339" t="str">
        <x:v>RB-116</x:v>
      </x:c>
      <x:c r="B117" s="339" t="str">
        <x:v>SCR-116</x:v>
      </x:c>
      <x:c r="C117" s="339" t="str">
        <x:v>Student Attendance</x:v>
      </x:c>
      <x:c r="D117" s="339" t="str">
        <x:v>Late Entry / Early Exit</x:v>
      </x:c>
      <x:c r="E117" s="339" t="str">
        <x:v>Teacher, Class Teacher, School Admin</x:v>
      </x:c>
      <x:c r="F117" s="339" t="str">
        <x:v>School Admin / Shared</x:v>
      </x:c>
      <x:c r="G117" s="339" t="str">
        <x:v>Yes</x:v>
      </x:c>
      <x:c r="H117" s="339" t="str">
        <x:v>Yes</x:v>
      </x:c>
      <x:c r="I117" s="339" t="str">
        <x:v>Yes</x:v>
      </x:c>
      <x:c r="J117" s="339" t="str">
        <x:v>Restricted; prefer inactivate/reverse</x:v>
      </x:c>
      <x:c r="K117" s="339" t="str">
        <x:v>Role/state based</x:v>
      </x:c>
      <x:c r="L117" s="339" t="str">
        <x:v>No / if configured</x:v>
      </x:c>
      <x:c r="M117" s="339" t="str">
        <x:v>Tenant → organization → school → branch → class/section/student/own-record scope as applicable.</x:v>
      </x:c>
      <x:c r="N117" s="339" t="str">
        <x:v>Mask health, counselling, compensation, identity and other sensitive fields unless explicitly required by role.</x:v>
      </x:c>
    </x:row>
    <x:row r="118">
      <x:c r="A118" s="339" t="str">
        <x:v>RB-117</x:v>
      </x:c>
      <x:c r="B118" s="339" t="str">
        <x:v>SCR-117</x:v>
      </x:c>
      <x:c r="C118" s="339" t="str">
        <x:v>Student Attendance</x:v>
      </x:c>
      <x:c r="D118" s="339" t="str">
        <x:v>Monthly Attendance Summary</x:v>
      </x:c>
      <x:c r="E118" s="339" t="str">
        <x:v>School Admin, Principal, Class Teacher</x:v>
      </x:c>
      <x:c r="F118" s="339" t="str">
        <x:v>School Admin / Shared</x:v>
      </x:c>
      <x:c r="G118" s="339" t="str">
        <x:v>Yes</x:v>
      </x:c>
      <x:c r="H118" s="339" t="str">
        <x:v>As permitted</x:v>
      </x:c>
      <x:c r="I118" s="339" t="str">
        <x:v>As permitted</x:v>
      </x:c>
      <x:c r="J118" s="339" t="str">
        <x:v>Restricted; prefer inactivate/reverse</x:v>
      </x:c>
      <x:c r="K118" s="339" t="str">
        <x:v>No / if configured</x:v>
      </x:c>
      <x:c r="L118" s="339" t="str">
        <x:v>Role-based</x:v>
      </x:c>
      <x:c r="M118" s="339" t="str">
        <x:v>Tenant → organization → school → branch → class/section/student/own-record scope as applicable.</x:v>
      </x:c>
      <x:c r="N118" s="339" t="str">
        <x:v>Mask health, counselling, compensation, identity and other sensitive fields unless explicitly required by role.</x:v>
      </x:c>
    </x:row>
    <x:row r="119">
      <x:c r="A119" s="339" t="str">
        <x:v>RB-118</x:v>
      </x:c>
      <x:c r="B119" s="339" t="str">
        <x:v>SCR-118</x:v>
      </x:c>
      <x:c r="C119" s="339" t="str">
        <x:v>Student Attendance</x:v>
      </x:c>
      <x:c r="D119" s="339" t="str">
        <x:v>Chronic Absence Alerts</x:v>
      </x:c>
      <x:c r="E119" s="339" t="str">
        <x:v>School Admin, Principal, Class Teacher</x:v>
      </x:c>
      <x:c r="F119" s="339" t="str">
        <x:v>School Admin / Shared</x:v>
      </x:c>
      <x:c r="G119" s="339" t="str">
        <x:v>Yes</x:v>
      </x:c>
      <x:c r="H119" s="339" t="str">
        <x:v>Yes</x:v>
      </x:c>
      <x:c r="I119" s="339" t="str">
        <x:v>Yes</x:v>
      </x:c>
      <x:c r="J119" s="339" t="str">
        <x:v>Restricted; prefer inactivate/reverse</x:v>
      </x:c>
      <x:c r="K119" s="339" t="str">
        <x:v>Role/state based</x:v>
      </x:c>
      <x:c r="L119" s="339" t="str">
        <x:v>No / if configured</x:v>
      </x:c>
      <x:c r="M119" s="339" t="str">
        <x:v>Tenant → organization → school → branch → class/section/student/own-record scope as applicable.</x:v>
      </x:c>
      <x:c r="N119" s="339" t="str">
        <x:v>Mask health, counselling, compensation, identity and other sensitive fields unless explicitly required by role.</x:v>
      </x:c>
    </x:row>
    <x:row r="120">
      <x:c r="A120" s="339" t="str">
        <x:v>RB-119</x:v>
      </x:c>
      <x:c r="B120" s="339" t="str">
        <x:v>SCR-119</x:v>
      </x:c>
      <x:c r="C120" s="339" t="str">
        <x:v>Student Attendance</x:v>
      </x:c>
      <x:c r="D120" s="339" t="str">
        <x:v>Attendance Reports</x:v>
      </x:c>
      <x:c r="E120" s="339" t="str">
        <x:v>School Admin, Principal, Class Teacher</x:v>
      </x:c>
      <x:c r="F120" s="339" t="str">
        <x:v>School Admin / Shared</x:v>
      </x:c>
      <x:c r="G120" s="339" t="str">
        <x:v>Yes</x:v>
      </x:c>
      <x:c r="H120" s="339" t="str">
        <x:v>As permitted</x:v>
      </x:c>
      <x:c r="I120" s="339" t="str">
        <x:v>As permitted</x:v>
      </x:c>
      <x:c r="J120" s="339" t="str">
        <x:v>Restricted; prefer inactivate/reverse</x:v>
      </x:c>
      <x:c r="K120" s="339" t="str">
        <x:v>No / if configured</x:v>
      </x:c>
      <x:c r="L120" s="339" t="str">
        <x:v>Role-based</x:v>
      </x:c>
      <x:c r="M120" s="339" t="str">
        <x:v>Tenant → organization → school → branch → class/section/student/own-record scope as applicable.</x:v>
      </x:c>
      <x:c r="N120" s="339" t="str">
        <x:v>Mask health, counselling, compensation, identity and other sensitive fields unless explicitly required by role.</x:v>
      </x:c>
    </x:row>
    <x:row r="121">
      <x:c r="A121" s="339" t="str">
        <x:v>RB-120</x:v>
      </x:c>
      <x:c r="B121" s="339" t="str">
        <x:v>SCR-120</x:v>
      </x:c>
      <x:c r="C121" s="339" t="str">
        <x:v>Timetable &amp; Substitution</x:v>
      </x:c>
      <x:c r="D121" s="339" t="str">
        <x:v>Timetable Dashboard</x:v>
      </x:c>
      <x:c r="E121" s="339" t="str">
        <x:v>Academic Coordinator, School Admin, Principal, Teacher, Student</x:v>
      </x:c>
      <x:c r="F121" s="339" t="str">
        <x:v>School Admin / Shared</x:v>
      </x:c>
      <x:c r="G121" s="339" t="str">
        <x:v>Yes</x:v>
      </x:c>
      <x:c r="H121" s="339" t="str">
        <x:v>As permitted</x:v>
      </x:c>
      <x:c r="I121" s="339" t="str">
        <x:v>As permitted</x:v>
      </x:c>
      <x:c r="J121" s="339" t="str">
        <x:v>Restricted; prefer inactivate/reverse</x:v>
      </x:c>
      <x:c r="K121" s="339" t="str">
        <x:v>No / if configured</x:v>
      </x:c>
      <x:c r="L121" s="339" t="str">
        <x:v>Role-based</x:v>
      </x:c>
      <x:c r="M121" s="339" t="str">
        <x:v>Tenant → organization → school → branch → class/section/student/own-record scope as applicable.</x:v>
      </x:c>
      <x:c r="N121" s="339" t="str">
        <x:v>Mask health, counselling, compensation, identity and other sensitive fields unless explicitly required by role.</x:v>
      </x:c>
    </x:row>
    <x:row r="122">
      <x:c r="A122" s="339" t="str">
        <x:v>RB-121</x:v>
      </x:c>
      <x:c r="B122" s="339" t="str">
        <x:v>SCR-121</x:v>
      </x:c>
      <x:c r="C122" s="339" t="str">
        <x:v>Timetable &amp; Substitution</x:v>
      </x:c>
      <x:c r="D122" s="339" t="str">
        <x:v>Timetable Setup</x:v>
      </x:c>
      <x:c r="E122" s="339" t="str">
        <x:v>Academic Coordinator, School Admin, Principal, Teacher, Student</x:v>
      </x:c>
      <x:c r="F122" s="339" t="str">
        <x:v>School Admin / Shared</x:v>
      </x:c>
      <x:c r="G122" s="339" t="str">
        <x:v>Yes</x:v>
      </x:c>
      <x:c r="H122" s="339" t="str">
        <x:v>Yes</x:v>
      </x:c>
      <x:c r="I122" s="339" t="str">
        <x:v>As permitted</x:v>
      </x:c>
      <x:c r="J122" s="339" t="str">
        <x:v>Restricted; prefer inactivate/reverse</x:v>
      </x:c>
      <x:c r="K122" s="339" t="str">
        <x:v>No / if configured</x:v>
      </x:c>
      <x:c r="L122" s="339" t="str">
        <x:v>No / if configured</x:v>
      </x:c>
      <x:c r="M122" s="339" t="str">
        <x:v>Tenant → organization → school → branch → class/section/student/own-record scope as applicable.</x:v>
      </x:c>
      <x:c r="N122" s="339" t="str">
        <x:v>Mask health, counselling, compensation, identity and other sensitive fields unless explicitly required by role.</x:v>
      </x:c>
    </x:row>
    <x:row r="123">
      <x:c r="A123" s="339" t="str">
        <x:v>RB-122</x:v>
      </x:c>
      <x:c r="B123" s="339" t="str">
        <x:v>SCR-122</x:v>
      </x:c>
      <x:c r="C123" s="339" t="str">
        <x:v>Timetable &amp; Substitution</x:v>
      </x:c>
      <x:c r="D123" s="339" t="str">
        <x:v>Period Setup</x:v>
      </x:c>
      <x:c r="E123" s="339" t="str">
        <x:v>Academic Coordinator, School Admin, Principal, Teacher, Student</x:v>
      </x:c>
      <x:c r="F123" s="339" t="str">
        <x:v>School Admin / Shared</x:v>
      </x:c>
      <x:c r="G123" s="339" t="str">
        <x:v>Yes</x:v>
      </x:c>
      <x:c r="H123" s="339" t="str">
        <x:v>Yes</x:v>
      </x:c>
      <x:c r="I123" s="339" t="str">
        <x:v>As permitted</x:v>
      </x:c>
      <x:c r="J123" s="339" t="str">
        <x:v>Restricted; prefer inactivate/reverse</x:v>
      </x:c>
      <x:c r="K123" s="339" t="str">
        <x:v>No / if configured</x:v>
      </x:c>
      <x:c r="L123" s="339" t="str">
        <x:v>No / if configured</x:v>
      </x:c>
      <x:c r="M123" s="339" t="str">
        <x:v>Tenant → organization → school → branch → class/section/student/own-record scope as applicable.</x:v>
      </x:c>
      <x:c r="N123" s="339" t="str">
        <x:v>Mask health, counselling, compensation, identity and other sensitive fields unless explicitly required by role.</x:v>
      </x:c>
    </x:row>
    <x:row r="124">
      <x:c r="A124" s="339" t="str">
        <x:v>RB-123</x:v>
      </x:c>
      <x:c r="B124" s="339" t="str">
        <x:v>SCR-123</x:v>
      </x:c>
      <x:c r="C124" s="339" t="str">
        <x:v>Timetable &amp; Substitution</x:v>
      </x:c>
      <x:c r="D124" s="339" t="str">
        <x:v>Teacher Availability</x:v>
      </x:c>
      <x:c r="E124" s="339" t="str">
        <x:v>Academic Coordinator, School Admin, Principal, Teacher, Student</x:v>
      </x:c>
      <x:c r="F124" s="339" t="str">
        <x:v>School Admin / Shared</x:v>
      </x:c>
      <x:c r="G124" s="339" t="str">
        <x:v>Yes</x:v>
      </x:c>
      <x:c r="H124" s="339" t="str">
        <x:v>Yes</x:v>
      </x:c>
      <x:c r="I124" s="339" t="str">
        <x:v>Yes</x:v>
      </x:c>
      <x:c r="J124" s="339" t="str">
        <x:v>Restricted; prefer inactivate/reverse</x:v>
      </x:c>
      <x:c r="K124" s="339" t="str">
        <x:v>Role/state based</x:v>
      </x:c>
      <x:c r="L124" s="339" t="str">
        <x:v>No / if configured</x:v>
      </x:c>
      <x:c r="M124" s="339" t="str">
        <x:v>Tenant → organization → school → branch → class/section/student/own-record scope as applicable.</x:v>
      </x:c>
      <x:c r="N124" s="339" t="str">
        <x:v>Mask health, counselling, compensation, identity and other sensitive fields unless explicitly required by role.</x:v>
      </x:c>
    </x:row>
    <x:row r="125">
      <x:c r="A125" s="339" t="str">
        <x:v>RB-124</x:v>
      </x:c>
      <x:c r="B125" s="339" t="str">
        <x:v>SCR-124</x:v>
      </x:c>
      <x:c r="C125" s="339" t="str">
        <x:v>Timetable &amp; Substitution</x:v>
      </x:c>
      <x:c r="D125" s="339" t="str">
        <x:v>Generate Timetable</x:v>
      </x:c>
      <x:c r="E125" s="339" t="str">
        <x:v>Academic Coordinator, School Admin, Principal, Teacher, Student</x:v>
      </x:c>
      <x:c r="F125" s="339" t="str">
        <x:v>School Admin / Shared</x:v>
      </x:c>
      <x:c r="G125" s="339" t="str">
        <x:v>Yes</x:v>
      </x:c>
      <x:c r="H125" s="339" t="str">
        <x:v>Yes</x:v>
      </x:c>
      <x:c r="I125" s="339" t="str">
        <x:v>Yes</x:v>
      </x:c>
      <x:c r="J125" s="339" t="str">
        <x:v>Restricted; prefer inactivate/reverse</x:v>
      </x:c>
      <x:c r="K125" s="339" t="str">
        <x:v>No / if configured</x:v>
      </x:c>
      <x:c r="L125" s="339" t="str">
        <x:v>No / if configured</x:v>
      </x:c>
      <x:c r="M125" s="339" t="str">
        <x:v>Tenant → organization → school → branch → class/section/student/own-record scope as applicable.</x:v>
      </x:c>
      <x:c r="N125" s="339" t="str">
        <x:v>Mask health, counselling, compensation, identity and other sensitive fields unless explicitly required by role.</x:v>
      </x:c>
    </x:row>
    <x:row r="126">
      <x:c r="A126" s="339" t="str">
        <x:v>RB-125</x:v>
      </x:c>
      <x:c r="B126" s="339" t="str">
        <x:v>SCR-125</x:v>
      </x:c>
      <x:c r="C126" s="339" t="str">
        <x:v>Timetable &amp; Substitution</x:v>
      </x:c>
      <x:c r="D126" s="339" t="str">
        <x:v>Class Timetable</x:v>
      </x:c>
      <x:c r="E126" s="339" t="str">
        <x:v>Academic Coordinator, School Admin, Principal, Teacher, Student</x:v>
      </x:c>
      <x:c r="F126" s="339" t="str">
        <x:v>School Admin / Shared</x:v>
      </x:c>
      <x:c r="G126" s="339" t="str">
        <x:v>Yes</x:v>
      </x:c>
      <x:c r="H126" s="339" t="str">
        <x:v>Yes</x:v>
      </x:c>
      <x:c r="I126" s="339" t="str">
        <x:v>Yes</x:v>
      </x:c>
      <x:c r="J126" s="339" t="str">
        <x:v>Restricted; prefer inactivate/reverse</x:v>
      </x:c>
      <x:c r="K126" s="339" t="str">
        <x:v>No / if configured</x:v>
      </x:c>
      <x:c r="L126" s="339" t="str">
        <x:v>No / if configured</x:v>
      </x:c>
      <x:c r="M126" s="339" t="str">
        <x:v>Tenant → organization → school → branch → class/section/student/own-record scope as applicable.</x:v>
      </x:c>
      <x:c r="N126" s="339" t="str">
        <x:v>Mask health, counselling, compensation, identity and other sensitive fields unless explicitly required by role.</x:v>
      </x:c>
    </x:row>
    <x:row r="127">
      <x:c r="A127" s="339" t="str">
        <x:v>RB-126</x:v>
      </x:c>
      <x:c r="B127" s="339" t="str">
        <x:v>SCR-126</x:v>
      </x:c>
      <x:c r="C127" s="339" t="str">
        <x:v>Timetable &amp; Substitution</x:v>
      </x:c>
      <x:c r="D127" s="339" t="str">
        <x:v>Teacher Timetable</x:v>
      </x:c>
      <x:c r="E127" s="339" t="str">
        <x:v>Academic Coordinator, School Admin, Principal, Teacher, Student</x:v>
      </x:c>
      <x:c r="F127" s="339" t="str">
        <x:v>School Admin / Shared</x:v>
      </x:c>
      <x:c r="G127" s="339" t="str">
        <x:v>Yes</x:v>
      </x:c>
      <x:c r="H127" s="339" t="str">
        <x:v>Yes</x:v>
      </x:c>
      <x:c r="I127" s="339" t="str">
        <x:v>Yes</x:v>
      </x:c>
      <x:c r="J127" s="339" t="str">
        <x:v>Restricted; prefer inactivate/reverse</x:v>
      </x:c>
      <x:c r="K127" s="339" t="str">
        <x:v>No / if configured</x:v>
      </x:c>
      <x:c r="L127" s="339" t="str">
        <x:v>No / if configured</x:v>
      </x:c>
      <x:c r="M127" s="339" t="str">
        <x:v>Tenant → organization → school → branch → class/section/student/own-record scope as applicable.</x:v>
      </x:c>
      <x:c r="N127" s="339" t="str">
        <x:v>Mask health, counselling, compensation, identity and other sensitive fields unless explicitly required by role.</x:v>
      </x:c>
    </x:row>
    <x:row r="128">
      <x:c r="A128" s="339" t="str">
        <x:v>RB-127</x:v>
      </x:c>
      <x:c r="B128" s="339" t="str">
        <x:v>SCR-127</x:v>
      </x:c>
      <x:c r="C128" s="339" t="str">
        <x:v>Timetable &amp; Substitution</x:v>
      </x:c>
      <x:c r="D128" s="339" t="str">
        <x:v>Substitution / Replacement</x:v>
      </x:c>
      <x:c r="E128" s="339" t="str">
        <x:v>Academic Coordinator, School Admin, Principal, Teacher, Student</x:v>
      </x:c>
      <x:c r="F128" s="339" t="str">
        <x:v>School Admin / Shared</x:v>
      </x:c>
      <x:c r="G128" s="339" t="str">
        <x:v>Yes</x:v>
      </x:c>
      <x:c r="H128" s="339" t="str">
        <x:v>Yes</x:v>
      </x:c>
      <x:c r="I128" s="339" t="str">
        <x:v>Yes</x:v>
      </x:c>
      <x:c r="J128" s="339" t="str">
        <x:v>Restricted; prefer inactivate/reverse</x:v>
      </x:c>
      <x:c r="K128" s="339" t="str">
        <x:v>Role/state based</x:v>
      </x:c>
      <x:c r="L128" s="339" t="str">
        <x:v>No / if configured</x:v>
      </x:c>
      <x:c r="M128" s="339" t="str">
        <x:v>Tenant → organization → school → branch → class/section/student/own-record scope as applicable.</x:v>
      </x:c>
      <x:c r="N128" s="339" t="str">
        <x:v>Mask health, counselling, compensation, identity and other sensitive fields unless explicitly required by role.</x:v>
      </x:c>
    </x:row>
    <x:row r="129">
      <x:c r="A129" s="339" t="str">
        <x:v>RB-128</x:v>
      </x:c>
      <x:c r="B129" s="339" t="str">
        <x:v>SCR-128</x:v>
      </x:c>
      <x:c r="C129" s="339" t="str">
        <x:v>Homework &amp; Assignments</x:v>
      </x:c>
      <x:c r="D129" s="339" t="str">
        <x:v>Homework List</x:v>
      </x:c>
      <x:c r="E129" s="339" t="str">
        <x:v>Teacher, School Admin</x:v>
      </x:c>
      <x:c r="F129" s="339" t="str">
        <x:v>School Admin / Shared</x:v>
      </x:c>
      <x:c r="G129" s="339" t="str">
        <x:v>Yes</x:v>
      </x:c>
      <x:c r="H129" s="339" t="str">
        <x:v>As permitted</x:v>
      </x:c>
      <x:c r="I129" s="339" t="str">
        <x:v>As permitted</x:v>
      </x:c>
      <x:c r="J129" s="339" t="str">
        <x:v>Restricted; prefer inactivate/reverse</x:v>
      </x:c>
      <x:c r="K129" s="339" t="str">
        <x:v>No / if configured</x:v>
      </x:c>
      <x:c r="L129" s="339" t="str">
        <x:v>Role-based</x:v>
      </x:c>
      <x:c r="M129" s="339" t="str">
        <x:v>Tenant → organization → school → branch → class/section/student/own-record scope as applicable.</x:v>
      </x:c>
      <x:c r="N129" s="339" t="str">
        <x:v>Mask health, counselling, compensation, identity and other sensitive fields unless explicitly required by role.</x:v>
      </x:c>
    </x:row>
    <x:row r="130">
      <x:c r="A130" s="339" t="str">
        <x:v>RB-129</x:v>
      </x:c>
      <x:c r="B130" s="339" t="str">
        <x:v>SCR-129</x:v>
      </x:c>
      <x:c r="C130" s="339" t="str">
        <x:v>Homework &amp; Assignments</x:v>
      </x:c>
      <x:c r="D130" s="339" t="str">
        <x:v>Create Homework</x:v>
      </x:c>
      <x:c r="E130" s="339" t="str">
        <x:v>Teacher, School Admin</x:v>
      </x:c>
      <x:c r="F130" s="339" t="str">
        <x:v>School Admin / Shared</x:v>
      </x:c>
      <x:c r="G130" s="339" t="str">
        <x:v>Yes</x:v>
      </x:c>
      <x:c r="H130" s="339" t="str">
        <x:v>Yes</x:v>
      </x:c>
      <x:c r="I130" s="339" t="str">
        <x:v>As permitted</x:v>
      </x:c>
      <x:c r="J130" s="339" t="str">
        <x:v>Restricted; prefer inactivate/reverse</x:v>
      </x:c>
      <x:c r="K130" s="339" t="str">
        <x:v>No / if configured</x:v>
      </x:c>
      <x:c r="L130" s="339" t="str">
        <x:v>No / if configured</x:v>
      </x:c>
      <x:c r="M130" s="339" t="str">
        <x:v>Tenant → organization → school → branch → class/section/student/own-record scope as applicable.</x:v>
      </x:c>
      <x:c r="N130" s="339" t="str">
        <x:v>Mask health, counselling, compensation, identity and other sensitive fields unless explicitly required by role.</x:v>
      </x:c>
    </x:row>
    <x:row r="131">
      <x:c r="A131" s="339" t="str">
        <x:v>RB-130</x:v>
      </x:c>
      <x:c r="B131" s="339" t="str">
        <x:v>SCR-130</x:v>
      </x:c>
      <x:c r="C131" s="339" t="str">
        <x:v>Homework &amp; Assignments</x:v>
      </x:c>
      <x:c r="D131" s="339" t="str">
        <x:v>Homework Details</x:v>
      </x:c>
      <x:c r="E131" s="339" t="str">
        <x:v>Teacher, School Admin</x:v>
      </x:c>
      <x:c r="F131" s="339" t="str">
        <x:v>School Admin / Shared</x:v>
      </x:c>
      <x:c r="G131" s="339" t="str">
        <x:v>Yes</x:v>
      </x:c>
      <x:c r="H131" s="339" t="str">
        <x:v>As permitted</x:v>
      </x:c>
      <x:c r="I131" s="339" t="str">
        <x:v>Yes</x:v>
      </x:c>
      <x:c r="J131" s="339" t="str">
        <x:v>Restricted; prefer inactivate/reverse</x:v>
      </x:c>
      <x:c r="K131" s="339" t="str">
        <x:v>No / if configured</x:v>
      </x:c>
      <x:c r="L131" s="339" t="str">
        <x:v>Role-based</x:v>
      </x:c>
      <x:c r="M131" s="339" t="str">
        <x:v>Tenant → organization → school → branch → class/section/student/own-record scope as applicable.</x:v>
      </x:c>
      <x:c r="N131" s="339" t="str">
        <x:v>Mask health, counselling, compensation, identity and other sensitive fields unless explicitly required by role.</x:v>
      </x:c>
    </x:row>
    <x:row r="132">
      <x:c r="A132" s="339" t="str">
        <x:v>RB-131</x:v>
      </x:c>
      <x:c r="B132" s="339" t="str">
        <x:v>SCR-131</x:v>
      </x:c>
      <x:c r="C132" s="339" t="str">
        <x:v>Homework &amp; Assignments</x:v>
      </x:c>
      <x:c r="D132" s="339" t="str">
        <x:v>Student Homework View</x:v>
      </x:c>
      <x:c r="E132" s="339" t="str">
        <x:v>Student, Teacher, Parent</x:v>
      </x:c>
      <x:c r="F132" s="339" t="str">
        <x:v>Teacher Portal</x:v>
      </x:c>
      <x:c r="G132" s="339" t="str">
        <x:v>Yes</x:v>
      </x:c>
      <x:c r="H132" s="339" t="str">
        <x:v>Yes</x:v>
      </x:c>
      <x:c r="I132" s="339" t="str">
        <x:v>Yes</x:v>
      </x:c>
      <x:c r="J132" s="339" t="str">
        <x:v>Restricted; prefer inactivate/reverse</x:v>
      </x:c>
      <x:c r="K132" s="339" t="str">
        <x:v>Role/state based</x:v>
      </x:c>
      <x:c r="L132" s="339" t="str">
        <x:v>No / if configured</x:v>
      </x:c>
      <x:c r="M132" s="339" t="str">
        <x:v>Tenant → organization → school → branch → class/section/student/own-record scope as applicable.</x:v>
      </x:c>
      <x:c r="N132" s="339" t="str">
        <x:v>Mask health, counselling, compensation, identity and other sensitive fields unless explicitly required by role.</x:v>
      </x:c>
    </x:row>
    <x:row r="133">
      <x:c r="A133" s="339" t="str">
        <x:v>RB-132</x:v>
      </x:c>
      <x:c r="B133" s="339" t="str">
        <x:v>SCR-132</x:v>
      </x:c>
      <x:c r="C133" s="339" t="str">
        <x:v>Homework &amp; Assignments</x:v>
      </x:c>
      <x:c r="D133" s="339" t="str">
        <x:v>Homework Submission</x:v>
      </x:c>
      <x:c r="E133" s="339" t="str">
        <x:v>Student, Teacher, Parent</x:v>
      </x:c>
      <x:c r="F133" s="339" t="str">
        <x:v>Teacher Portal</x:v>
      </x:c>
      <x:c r="G133" s="339" t="str">
        <x:v>Yes</x:v>
      </x:c>
      <x:c r="H133" s="339" t="str">
        <x:v>Yes</x:v>
      </x:c>
      <x:c r="I133" s="339" t="str">
        <x:v>Yes</x:v>
      </x:c>
      <x:c r="J133" s="339" t="str">
        <x:v>Restricted; prefer inactivate/reverse</x:v>
      </x:c>
      <x:c r="K133" s="339" t="str">
        <x:v>Role/state based</x:v>
      </x:c>
      <x:c r="L133" s="339" t="str">
        <x:v>No / if configured</x:v>
      </x:c>
      <x:c r="M133" s="339" t="str">
        <x:v>Tenant → organization → school → branch → class/section/student/own-record scope as applicable.</x:v>
      </x:c>
      <x:c r="N133" s="339" t="str">
        <x:v>Mask health, counselling, compensation, identity and other sensitive fields unless explicitly required by role.</x:v>
      </x:c>
    </x:row>
    <x:row r="134">
      <x:c r="A134" s="339" t="str">
        <x:v>RB-133</x:v>
      </x:c>
      <x:c r="B134" s="339" t="str">
        <x:v>SCR-133</x:v>
      </x:c>
      <x:c r="C134" s="339" t="str">
        <x:v>Homework &amp; Assignments</x:v>
      </x:c>
      <x:c r="D134" s="339" t="str">
        <x:v>Homework Evaluation</x:v>
      </x:c>
      <x:c r="E134" s="339" t="str">
        <x:v>Teacher</x:v>
      </x:c>
      <x:c r="F134" s="339" t="str">
        <x:v>Teacher Portal</x:v>
      </x:c>
      <x:c r="G134" s="339" t="str">
        <x:v>Yes</x:v>
      </x:c>
      <x:c r="H134" s="339" t="str">
        <x:v>Yes</x:v>
      </x:c>
      <x:c r="I134" s="339" t="str">
        <x:v>Yes</x:v>
      </x:c>
      <x:c r="J134" s="339" t="str">
        <x:v>Restricted; prefer inactivate/reverse</x:v>
      </x:c>
      <x:c r="K134" s="339" t="str">
        <x:v>Role/state based</x:v>
      </x:c>
      <x:c r="L134" s="339" t="str">
        <x:v>No / if configured</x:v>
      </x:c>
      <x:c r="M134" s="339" t="str">
        <x:v>Tenant → organization → school → branch → class/section/student/own-record scope as applicable.</x:v>
      </x:c>
      <x:c r="N134" s="339" t="str">
        <x:v>Mask health, counselling, compensation, identity and other sensitive fields unless explicitly required by role.</x:v>
      </x:c>
    </x:row>
    <x:row r="135">
      <x:c r="A135" s="339" t="str">
        <x:v>RB-134</x:v>
      </x:c>
      <x:c r="B135" s="339" t="str">
        <x:v>SCR-134</x:v>
      </x:c>
      <x:c r="C135" s="339" t="str">
        <x:v>Homework &amp; Assignments</x:v>
      </x:c>
      <x:c r="D135" s="339" t="str">
        <x:v>Assignment List</x:v>
      </x:c>
      <x:c r="E135" s="339" t="str">
        <x:v>Teacher, School Admin</x:v>
      </x:c>
      <x:c r="F135" s="339" t="str">
        <x:v>School Admin / Shared</x:v>
      </x:c>
      <x:c r="G135" s="339" t="str">
        <x:v>Yes</x:v>
      </x:c>
      <x:c r="H135" s="339" t="str">
        <x:v>As permitted</x:v>
      </x:c>
      <x:c r="I135" s="339" t="str">
        <x:v>As permitted</x:v>
      </x:c>
      <x:c r="J135" s="339" t="str">
        <x:v>Restricted; prefer inactivate/reverse</x:v>
      </x:c>
      <x:c r="K135" s="339" t="str">
        <x:v>No / if configured</x:v>
      </x:c>
      <x:c r="L135" s="339" t="str">
        <x:v>Role-based</x:v>
      </x:c>
      <x:c r="M135" s="339" t="str">
        <x:v>Tenant → organization → school → branch → class/section/student/own-record scope as applicable.</x:v>
      </x:c>
      <x:c r="N135" s="339" t="str">
        <x:v>Mask health, counselling, compensation, identity and other sensitive fields unless explicitly required by role.</x:v>
      </x:c>
    </x:row>
    <x:row r="136">
      <x:c r="A136" s="339" t="str">
        <x:v>RB-135</x:v>
      </x:c>
      <x:c r="B136" s="339" t="str">
        <x:v>SCR-135</x:v>
      </x:c>
      <x:c r="C136" s="339" t="str">
        <x:v>Homework &amp; Assignments</x:v>
      </x:c>
      <x:c r="D136" s="339" t="str">
        <x:v>Create Assignment</x:v>
      </x:c>
      <x:c r="E136" s="339" t="str">
        <x:v>Teacher, School Admin</x:v>
      </x:c>
      <x:c r="F136" s="339" t="str">
        <x:v>School Admin / Shared</x:v>
      </x:c>
      <x:c r="G136" s="339" t="str">
        <x:v>Yes</x:v>
      </x:c>
      <x:c r="H136" s="339" t="str">
        <x:v>Yes</x:v>
      </x:c>
      <x:c r="I136" s="339" t="str">
        <x:v>As permitted</x:v>
      </x:c>
      <x:c r="J136" s="339" t="str">
        <x:v>Restricted; prefer inactivate/reverse</x:v>
      </x:c>
      <x:c r="K136" s="339" t="str">
        <x:v>No / if configured</x:v>
      </x:c>
      <x:c r="L136" s="339" t="str">
        <x:v>No / if configured</x:v>
      </x:c>
      <x:c r="M136" s="339" t="str">
        <x:v>Tenant → organization → school → branch → class/section/student/own-record scope as applicable.</x:v>
      </x:c>
      <x:c r="N136" s="339" t="str">
        <x:v>Mask health, counselling, compensation, identity and other sensitive fields unless explicitly required by role.</x:v>
      </x:c>
    </x:row>
    <x:row r="137">
      <x:c r="A137" s="339" t="str">
        <x:v>RB-136</x:v>
      </x:c>
      <x:c r="B137" s="339" t="str">
        <x:v>SCR-136</x:v>
      </x:c>
      <x:c r="C137" s="339" t="str">
        <x:v>Homework &amp; Assignments</x:v>
      </x:c>
      <x:c r="D137" s="339" t="str">
        <x:v>Assignment Submissions</x:v>
      </x:c>
      <x:c r="E137" s="339" t="str">
        <x:v>Student, Teacher, Parent</x:v>
      </x:c>
      <x:c r="F137" s="339" t="str">
        <x:v>Teacher Portal</x:v>
      </x:c>
      <x:c r="G137" s="339" t="str">
        <x:v>Yes</x:v>
      </x:c>
      <x:c r="H137" s="339" t="str">
        <x:v>Yes</x:v>
      </x:c>
      <x:c r="I137" s="339" t="str">
        <x:v>Yes</x:v>
      </x:c>
      <x:c r="J137" s="339" t="str">
        <x:v>Restricted; prefer inactivate/reverse</x:v>
      </x:c>
      <x:c r="K137" s="339" t="str">
        <x:v>Role/state based</x:v>
      </x:c>
      <x:c r="L137" s="339" t="str">
        <x:v>No / if configured</x:v>
      </x:c>
      <x:c r="M137" s="339" t="str">
        <x:v>Tenant → organization → school → branch → class/section/student/own-record scope as applicable.</x:v>
      </x:c>
      <x:c r="N137" s="339" t="str">
        <x:v>Mask health, counselling, compensation, identity and other sensitive fields unless explicitly required by role.</x:v>
      </x:c>
    </x:row>
    <x:row r="138">
      <x:c r="A138" s="339" t="str">
        <x:v>RB-137</x:v>
      </x:c>
      <x:c r="B138" s="339" t="str">
        <x:v>SCR-137</x:v>
      </x:c>
      <x:c r="C138" s="339" t="str">
        <x:v>Homework &amp; Assignments</x:v>
      </x:c>
      <x:c r="D138" s="339" t="str">
        <x:v>Assignment Evaluation</x:v>
      </x:c>
      <x:c r="E138" s="339" t="str">
        <x:v>Teacher</x:v>
      </x:c>
      <x:c r="F138" s="339" t="str">
        <x:v>Teacher Portal</x:v>
      </x:c>
      <x:c r="G138" s="339" t="str">
        <x:v>Yes</x:v>
      </x:c>
      <x:c r="H138" s="339" t="str">
        <x:v>Yes</x:v>
      </x:c>
      <x:c r="I138" s="339" t="str">
        <x:v>Yes</x:v>
      </x:c>
      <x:c r="J138" s="339" t="str">
        <x:v>Restricted; prefer inactivate/reverse</x:v>
      </x:c>
      <x:c r="K138" s="339" t="str">
        <x:v>Role/state based</x:v>
      </x:c>
      <x:c r="L138" s="339" t="str">
        <x:v>No / if configured</x:v>
      </x:c>
      <x:c r="M138" s="339" t="str">
        <x:v>Tenant → organization → school → branch → class/section/student/own-record scope as applicable.</x:v>
      </x:c>
      <x:c r="N138" s="339" t="str">
        <x:v>Mask health, counselling, compensation, identity and other sensitive fields unless explicitly required by role.</x:v>
      </x:c>
    </x:row>
    <x:row r="139">
      <x:c r="A139" s="339" t="str">
        <x:v>RB-138</x:v>
      </x:c>
      <x:c r="B139" s="339" t="str">
        <x:v>SCR-138</x:v>
      </x:c>
      <x:c r="C139" s="339" t="str">
        <x:v>Examinations / Marks / Results</x:v>
      </x:c>
      <x:c r="D139" s="339" t="str">
        <x:v>Exam Dashboard</x:v>
      </x:c>
      <x:c r="E139" s="339" t="str">
        <x:v>Exam Coordinator, Teacher, School Admin, Principal, Student, Parent</x:v>
      </x:c>
      <x:c r="F139" s="339" t="str">
        <x:v>School Admin / Shared</x:v>
      </x:c>
      <x:c r="G139" s="339" t="str">
        <x:v>Yes</x:v>
      </x:c>
      <x:c r="H139" s="339" t="str">
        <x:v>As permitted</x:v>
      </x:c>
      <x:c r="I139" s="339" t="str">
        <x:v>As permitted</x:v>
      </x:c>
      <x:c r="J139" s="339" t="str">
        <x:v>Restricted; prefer inactivate/reverse</x:v>
      </x:c>
      <x:c r="K139" s="339" t="str">
        <x:v>No / if configured</x:v>
      </x:c>
      <x:c r="L139" s="339" t="str">
        <x:v>Role-based</x:v>
      </x:c>
      <x:c r="M139" s="339" t="str">
        <x:v>Tenant → organization → school → branch → class/section/student/own-record scope as applicable.</x:v>
      </x:c>
      <x:c r="N139" s="339" t="str">
        <x:v>Mask health, counselling, compensation, identity and other sensitive fields unless explicitly required by role.</x:v>
      </x:c>
    </x:row>
    <x:row r="140">
      <x:c r="A140" s="339" t="str">
        <x:v>RB-139</x:v>
      </x:c>
      <x:c r="B140" s="339" t="str">
        <x:v>SCR-139</x:v>
      </x:c>
      <x:c r="C140" s="339" t="str">
        <x:v>Examinations / Marks / Results</x:v>
      </x:c>
      <x:c r="D140" s="339" t="str">
        <x:v>Exam Types</x:v>
      </x:c>
      <x:c r="E140" s="339" t="str">
        <x:v>Exam Coordinator, Teacher, School Admin, Principal, Student, Parent</x:v>
      </x:c>
      <x:c r="F140" s="339" t="str">
        <x:v>School Admin / Shared</x:v>
      </x:c>
      <x:c r="G140" s="339" t="str">
        <x:v>Yes</x:v>
      </x:c>
      <x:c r="H140" s="339" t="str">
        <x:v>Yes</x:v>
      </x:c>
      <x:c r="I140" s="339" t="str">
        <x:v>Yes</x:v>
      </x:c>
      <x:c r="J140" s="339" t="str">
        <x:v>Restricted; prefer inactivate/reverse</x:v>
      </x:c>
      <x:c r="K140" s="339" t="str">
        <x:v>Role/state based</x:v>
      </x:c>
      <x:c r="L140" s="339" t="str">
        <x:v>No / if configured</x:v>
      </x:c>
      <x:c r="M140" s="339" t="str">
        <x:v>Tenant → organization → school → branch → class/section/student/own-record scope as applicable.</x:v>
      </x:c>
      <x:c r="N140" s="339" t="str">
        <x:v>Mask health, counselling, compensation, identity and other sensitive fields unless explicitly required by role.</x:v>
      </x:c>
    </x:row>
    <x:row r="141">
      <x:c r="A141" s="339" t="str">
        <x:v>RB-140</x:v>
      </x:c>
      <x:c r="B141" s="339" t="str">
        <x:v>SCR-140</x:v>
      </x:c>
      <x:c r="C141" s="339" t="str">
        <x:v>Examinations / Marks / Results</x:v>
      </x:c>
      <x:c r="D141" s="339" t="str">
        <x:v>Exam Setup</x:v>
      </x:c>
      <x:c r="E141" s="339" t="str">
        <x:v>Exam Coordinator, Teacher, School Admin, Principal, Student, Parent</x:v>
      </x:c>
      <x:c r="F141" s="339" t="str">
        <x:v>School Admin / Shared</x:v>
      </x:c>
      <x:c r="G141" s="339" t="str">
        <x:v>Yes</x:v>
      </x:c>
      <x:c r="H141" s="339" t="str">
        <x:v>Yes</x:v>
      </x:c>
      <x:c r="I141" s="339" t="str">
        <x:v>As permitted</x:v>
      </x:c>
      <x:c r="J141" s="339" t="str">
        <x:v>Restricted; prefer inactivate/reverse</x:v>
      </x:c>
      <x:c r="K141" s="339" t="str">
        <x:v>No / if configured</x:v>
      </x:c>
      <x:c r="L141" s="339" t="str">
        <x:v>No / if configured</x:v>
      </x:c>
      <x:c r="M141" s="339" t="str">
        <x:v>Tenant → organization → school → branch → class/section/student/own-record scope as applicable.</x:v>
      </x:c>
      <x:c r="N141" s="339" t="str">
        <x:v>Mask health, counselling, compensation, identity and other sensitive fields unless explicitly required by role.</x:v>
      </x:c>
    </x:row>
    <x:row r="142">
      <x:c r="A142" s="339" t="str">
        <x:v>RB-141</x:v>
      </x:c>
      <x:c r="B142" s="339" t="str">
        <x:v>SCR-141</x:v>
      </x:c>
      <x:c r="C142" s="339" t="str">
        <x:v>Examinations / Marks / Results</x:v>
      </x:c>
      <x:c r="D142" s="339" t="str">
        <x:v>Exam Schedule</x:v>
      </x:c>
      <x:c r="E142" s="339" t="str">
        <x:v>Exam Coordinator, Teacher, School Admin, Principal, Student, Parent</x:v>
      </x:c>
      <x:c r="F142" s="339" t="str">
        <x:v>School Admin / Shared</x:v>
      </x:c>
      <x:c r="G142" s="339" t="str">
        <x:v>Yes</x:v>
      </x:c>
      <x:c r="H142" s="339" t="str">
        <x:v>Yes</x:v>
      </x:c>
      <x:c r="I142" s="339" t="str">
        <x:v>Yes</x:v>
      </x:c>
      <x:c r="J142" s="339" t="str">
        <x:v>Restricted; prefer inactivate/reverse</x:v>
      </x:c>
      <x:c r="K142" s="339" t="str">
        <x:v>No / if configured</x:v>
      </x:c>
      <x:c r="L142" s="339" t="str">
        <x:v>No / if configured</x:v>
      </x:c>
      <x:c r="M142" s="339" t="str">
        <x:v>Tenant → organization → school → branch → class/section/student/own-record scope as applicable.</x:v>
      </x:c>
      <x:c r="N142" s="339" t="str">
        <x:v>Mask health, counselling, compensation, identity and other sensitive fields unless explicitly required by role.</x:v>
      </x:c>
    </x:row>
    <x:row r="143">
      <x:c r="A143" s="339" t="str">
        <x:v>RB-142</x:v>
      </x:c>
      <x:c r="B143" s="339" t="str">
        <x:v>SCR-142</x:v>
      </x:c>
      <x:c r="C143" s="339" t="str">
        <x:v>Examinations / Marks / Results</x:v>
      </x:c>
      <x:c r="D143" s="339" t="str">
        <x:v>Hall / Room Allocation</x:v>
      </x:c>
      <x:c r="E143" s="339" t="str">
        <x:v>Exam Coordinator, Teacher, School Admin, Principal, Student, Parent</x:v>
      </x:c>
      <x:c r="F143" s="339" t="str">
        <x:v>School Admin / Shared</x:v>
      </x:c>
      <x:c r="G143" s="339" t="str">
        <x:v>Yes</x:v>
      </x:c>
      <x:c r="H143" s="339" t="str">
        <x:v>Yes</x:v>
      </x:c>
      <x:c r="I143" s="339" t="str">
        <x:v>Yes</x:v>
      </x:c>
      <x:c r="J143" s="339" t="str">
        <x:v>Restricted; prefer inactivate/reverse</x:v>
      </x:c>
      <x:c r="K143" s="339" t="str">
        <x:v>Role/state based</x:v>
      </x:c>
      <x:c r="L143" s="339" t="str">
        <x:v>No / if configured</x:v>
      </x:c>
      <x:c r="M143" s="339" t="str">
        <x:v>Tenant → organization → school → branch → class/section/student/own-record scope as applicable.</x:v>
      </x:c>
      <x:c r="N143" s="339" t="str">
        <x:v>Mask health, counselling, compensation, identity and other sensitive fields unless explicitly required by role.</x:v>
      </x:c>
    </x:row>
    <x:row r="144">
      <x:c r="A144" s="339" t="str">
        <x:v>RB-143</x:v>
      </x:c>
      <x:c r="B144" s="339" t="str">
        <x:v>SCR-143</x:v>
      </x:c>
      <x:c r="C144" s="339" t="str">
        <x:v>Examinations / Marks / Results</x:v>
      </x:c>
      <x:c r="D144" s="339" t="str">
        <x:v>Invigilation Assignment</x:v>
      </x:c>
      <x:c r="E144" s="339" t="str">
        <x:v>Exam Coordinator, Teacher, School Admin, Principal, Student, Parent</x:v>
      </x:c>
      <x:c r="F144" s="339" t="str">
        <x:v>School Admin / Shared</x:v>
      </x:c>
      <x:c r="G144" s="339" t="str">
        <x:v>Yes</x:v>
      </x:c>
      <x:c r="H144" s="339" t="str">
        <x:v>Yes</x:v>
      </x:c>
      <x:c r="I144" s="339" t="str">
        <x:v>Yes</x:v>
      </x:c>
      <x:c r="J144" s="339" t="str">
        <x:v>Restricted; prefer inactivate/reverse</x:v>
      </x:c>
      <x:c r="K144" s="339" t="str">
        <x:v>Role/state based</x:v>
      </x:c>
      <x:c r="L144" s="339" t="str">
        <x:v>No / if configured</x:v>
      </x:c>
      <x:c r="M144" s="339" t="str">
        <x:v>Tenant → organization → school → branch → class/section/student/own-record scope as applicable.</x:v>
      </x:c>
      <x:c r="N144" s="339" t="str">
        <x:v>Mask health, counselling, compensation, identity and other sensitive fields unless explicitly required by role.</x:v>
      </x:c>
    </x:row>
    <x:row r="145">
      <x:c r="A145" s="339" t="str">
        <x:v>RB-144</x:v>
      </x:c>
      <x:c r="B145" s="339" t="str">
        <x:v>SCR-144</x:v>
      </x:c>
      <x:c r="C145" s="339" t="str">
        <x:v>Examinations / Marks / Results</x:v>
      </x:c>
      <x:c r="D145" s="339" t="str">
        <x:v>Admit Card</x:v>
      </x:c>
      <x:c r="E145" s="339" t="str">
        <x:v>Exam Coordinator, Teacher, School Admin, Principal, Student, Parent</x:v>
      </x:c>
      <x:c r="F145" s="339" t="str">
        <x:v>School Admin / Shared</x:v>
      </x:c>
      <x:c r="G145" s="339" t="str">
        <x:v>Yes</x:v>
      </x:c>
      <x:c r="H145" s="339" t="str">
        <x:v>Yes</x:v>
      </x:c>
      <x:c r="I145" s="339" t="str">
        <x:v>Yes</x:v>
      </x:c>
      <x:c r="J145" s="339" t="str">
        <x:v>Restricted; prefer inactivate/reverse</x:v>
      </x:c>
      <x:c r="K145" s="339" t="str">
        <x:v>Role/state based</x:v>
      </x:c>
      <x:c r="L145" s="339" t="str">
        <x:v>No / if configured</x:v>
      </x:c>
      <x:c r="M145" s="339" t="str">
        <x:v>Tenant → organization → school → branch → class/section/student/own-record scope as applicable.</x:v>
      </x:c>
      <x:c r="N145" s="339" t="str">
        <x:v>Mask health, counselling, compensation, identity and other sensitive fields unless explicitly required by role.</x:v>
      </x:c>
    </x:row>
    <x:row r="146">
      <x:c r="A146" s="339" t="str">
        <x:v>RB-145</x:v>
      </x:c>
      <x:c r="B146" s="339" t="str">
        <x:v>SCR-145</x:v>
      </x:c>
      <x:c r="C146" s="339" t="str">
        <x:v>Examinations / Marks / Results</x:v>
      </x:c>
      <x:c r="D146" s="339" t="str">
        <x:v>Marks Entry</x:v>
      </x:c>
      <x:c r="E146" s="339" t="str">
        <x:v>Teacher, Exam Coordinator, School Admin</x:v>
      </x:c>
      <x:c r="F146" s="339" t="str">
        <x:v>School Admin / Shared</x:v>
      </x:c>
      <x:c r="G146" s="339" t="str">
        <x:v>Yes</x:v>
      </x:c>
      <x:c r="H146" s="339" t="str">
        <x:v>Yes</x:v>
      </x:c>
      <x:c r="I146" s="339" t="str">
        <x:v>Yes</x:v>
      </x:c>
      <x:c r="J146" s="339" t="str">
        <x:v>Restricted; prefer inactivate/reverse</x:v>
      </x:c>
      <x:c r="K146" s="339" t="str">
        <x:v>No / if configured</x:v>
      </x:c>
      <x:c r="L146" s="339" t="str">
        <x:v>No / if configured</x:v>
      </x:c>
      <x:c r="M146" s="339" t="str">
        <x:v>Tenant → organization → school → branch → class/section/student/own-record scope as applicable.</x:v>
      </x:c>
      <x:c r="N146" s="339" t="str">
        <x:v>Mask health, counselling, compensation, identity and other sensitive fields unless explicitly required by role.</x:v>
      </x:c>
    </x:row>
    <x:row r="147">
      <x:c r="A147" s="339" t="str">
        <x:v>RB-146</x:v>
      </x:c>
      <x:c r="B147" s="339" t="str">
        <x:v>SCR-146</x:v>
      </x:c>
      <x:c r="C147" s="339" t="str">
        <x:v>Examinations / Marks / Results</x:v>
      </x:c>
      <x:c r="D147" s="339" t="str">
        <x:v>Practical / Internal Marks</x:v>
      </x:c>
      <x:c r="E147" s="339" t="str">
        <x:v>Teacher, Exam Coordinator, School Admin</x:v>
      </x:c>
      <x:c r="F147" s="339" t="str">
        <x:v>School Admin / Shared</x:v>
      </x:c>
      <x:c r="G147" s="339" t="str">
        <x:v>Yes</x:v>
      </x:c>
      <x:c r="H147" s="339" t="str">
        <x:v>Yes</x:v>
      </x:c>
      <x:c r="I147" s="339" t="str">
        <x:v>Yes</x:v>
      </x:c>
      <x:c r="J147" s="339" t="str">
        <x:v>Restricted; prefer inactivate/reverse</x:v>
      </x:c>
      <x:c r="K147" s="339" t="str">
        <x:v>Role/state based</x:v>
      </x:c>
      <x:c r="L147" s="339" t="str">
        <x:v>No / if configured</x:v>
      </x:c>
      <x:c r="M147" s="339" t="str">
        <x:v>Tenant → organization → school → branch → class/section/student/own-record scope as applicable.</x:v>
      </x:c>
      <x:c r="N147" s="339" t="str">
        <x:v>Mask health, counselling, compensation, identity and other sensitive fields unless explicitly required by role.</x:v>
      </x:c>
    </x:row>
    <x:row r="148">
      <x:c r="A148" s="339" t="str">
        <x:v>RB-147</x:v>
      </x:c>
      <x:c r="B148" s="339" t="str">
        <x:v>SCR-147</x:v>
      </x:c>
      <x:c r="C148" s="339" t="str">
        <x:v>Examinations / Marks / Results</x:v>
      </x:c>
      <x:c r="D148" s="339" t="str">
        <x:v>Bulk Marks Import</x:v>
      </x:c>
      <x:c r="E148" s="339" t="str">
        <x:v>Teacher, Exam Coordinator, School Admin</x:v>
      </x:c>
      <x:c r="F148" s="339" t="str">
        <x:v>School Admin / Shared</x:v>
      </x:c>
      <x:c r="G148" s="339" t="str">
        <x:v>Yes</x:v>
      </x:c>
      <x:c r="H148" s="339" t="str">
        <x:v>Yes</x:v>
      </x:c>
      <x:c r="I148" s="339" t="str">
        <x:v>Yes</x:v>
      </x:c>
      <x:c r="J148" s="339" t="str">
        <x:v>Restricted; prefer inactivate/reverse</x:v>
      </x:c>
      <x:c r="K148" s="339" t="str">
        <x:v>Role/state based</x:v>
      </x:c>
      <x:c r="L148" s="339" t="str">
        <x:v>No / if configured</x:v>
      </x:c>
      <x:c r="M148" s="339" t="str">
        <x:v>Tenant → organization → school → branch → class/section/student/own-record scope as applicable.</x:v>
      </x:c>
      <x:c r="N148" s="339" t="str">
        <x:v>Mask health, counselling, compensation, identity and other sensitive fields unless explicitly required by role.</x:v>
      </x:c>
    </x:row>
    <x:row r="149">
      <x:c r="A149" s="339" t="str">
        <x:v>RB-148</x:v>
      </x:c>
      <x:c r="B149" s="339" t="str">
        <x:v>SCR-148</x:v>
      </x:c>
      <x:c r="C149" s="339" t="str">
        <x:v>Examinations / Marks / Results</x:v>
      </x:c>
      <x:c r="D149" s="339" t="str">
        <x:v>Marks Verification</x:v>
      </x:c>
      <x:c r="E149" s="339" t="str">
        <x:v>Teacher, Exam Coordinator, School Admin</x:v>
      </x:c>
      <x:c r="F149" s="339" t="str">
        <x:v>School Admin / Shared</x:v>
      </x:c>
      <x:c r="G149" s="339" t="str">
        <x:v>Yes</x:v>
      </x:c>
      <x:c r="H149" s="339" t="str">
        <x:v>Yes</x:v>
      </x:c>
      <x:c r="I149" s="339" t="str">
        <x:v>Yes</x:v>
      </x:c>
      <x:c r="J149" s="339" t="str">
        <x:v>Restricted; prefer inactivate/reverse</x:v>
      </x:c>
      <x:c r="K149" s="339" t="str">
        <x:v>Role/state based</x:v>
      </x:c>
      <x:c r="L149" s="339" t="str">
        <x:v>No / if configured</x:v>
      </x:c>
      <x:c r="M149" s="339" t="str">
        <x:v>Tenant → organization → school → branch → class/section/student/own-record scope as applicable.</x:v>
      </x:c>
      <x:c r="N149" s="339" t="str">
        <x:v>Mask health, counselling, compensation, identity and other sensitive fields unless explicitly required by role.</x:v>
      </x:c>
    </x:row>
    <x:row r="150">
      <x:c r="A150" s="339" t="str">
        <x:v>RB-149</x:v>
      </x:c>
      <x:c r="B150" s="339" t="str">
        <x:v>SCR-149</x:v>
      </x:c>
      <x:c r="C150" s="339" t="str">
        <x:v>Examinations / Marks / Results</x:v>
      </x:c>
      <x:c r="D150" s="339" t="str">
        <x:v>Grade / Grading Setup</x:v>
      </x:c>
      <x:c r="E150" s="339" t="str">
        <x:v>Exam Coordinator, Teacher, School Admin, Principal, Student, Parent</x:v>
      </x:c>
      <x:c r="F150" s="339" t="str">
        <x:v>School Admin / Shared</x:v>
      </x:c>
      <x:c r="G150" s="339" t="str">
        <x:v>Yes</x:v>
      </x:c>
      <x:c r="H150" s="339" t="str">
        <x:v>Yes</x:v>
      </x:c>
      <x:c r="I150" s="339" t="str">
        <x:v>As permitted</x:v>
      </x:c>
      <x:c r="J150" s="339" t="str">
        <x:v>Restricted; prefer inactivate/reverse</x:v>
      </x:c>
      <x:c r="K150" s="339" t="str">
        <x:v>No / if configured</x:v>
      </x:c>
      <x:c r="L150" s="339" t="str">
        <x:v>No / if configured</x:v>
      </x:c>
      <x:c r="M150" s="339" t="str">
        <x:v>Tenant → organization → school → branch → class/section/student/own-record scope as applicable.</x:v>
      </x:c>
      <x:c r="N150" s="339" t="str">
        <x:v>Mask health, counselling, compensation, identity and other sensitive fields unless explicitly required by role.</x:v>
      </x:c>
    </x:row>
    <x:row r="151">
      <x:c r="A151" s="339" t="str">
        <x:v>RB-150</x:v>
      </x:c>
      <x:c r="B151" s="339" t="str">
        <x:v>SCR-150</x:v>
      </x:c>
      <x:c r="C151" s="339" t="str">
        <x:v>Examinations / Marks / Results</x:v>
      </x:c>
      <x:c r="D151" s="339" t="str">
        <x:v>Publish Results</x:v>
      </x:c>
      <x:c r="E151" s="339" t="str">
        <x:v>Principal, Exam Coordinator, School Admin</x:v>
      </x:c>
      <x:c r="F151" s="339" t="str">
        <x:v>School Admin / Shared</x:v>
      </x:c>
      <x:c r="G151" s="339" t="str">
        <x:v>Yes</x:v>
      </x:c>
      <x:c r="H151" s="339" t="str">
        <x:v>As permitted</x:v>
      </x:c>
      <x:c r="I151" s="339" t="str">
        <x:v>Yes</x:v>
      </x:c>
      <x:c r="J151" s="339" t="str">
        <x:v>Restricted; prefer inactivate/reverse</x:v>
      </x:c>
      <x:c r="K151" s="339" t="str">
        <x:v>Role/state based</x:v>
      </x:c>
      <x:c r="L151" s="339" t="str">
        <x:v>Role-based</x:v>
      </x:c>
      <x:c r="M151" s="339" t="str">
        <x:v>Tenant → organization → school → branch → class/section/student/own-record scope as applicable.</x:v>
      </x:c>
      <x:c r="N151" s="339" t="str">
        <x:v>Mask health, counselling, compensation, identity and other sensitive fields unless explicitly required by role.</x:v>
      </x:c>
    </x:row>
    <x:row r="152">
      <x:c r="A152" s="339" t="str">
        <x:v>RB-151</x:v>
      </x:c>
      <x:c r="B152" s="339" t="str">
        <x:v>SCR-151</x:v>
      </x:c>
      <x:c r="C152" s="339" t="str">
        <x:v>Examinations / Marks / Results</x:v>
      </x:c>
      <x:c r="D152" s="339" t="str">
        <x:v>Student Result</x:v>
      </x:c>
      <x:c r="E152" s="339" t="str">
        <x:v>Student, Parent, Teacher, School Admin, Principal</x:v>
      </x:c>
      <x:c r="F152" s="339" t="str">
        <x:v>School Admin / Shared</x:v>
      </x:c>
      <x:c r="G152" s="339" t="str">
        <x:v>Yes</x:v>
      </x:c>
      <x:c r="H152" s="339" t="str">
        <x:v>Yes</x:v>
      </x:c>
      <x:c r="I152" s="339" t="str">
        <x:v>Yes</x:v>
      </x:c>
      <x:c r="J152" s="339" t="str">
        <x:v>Restricted; prefer inactivate/reverse</x:v>
      </x:c>
      <x:c r="K152" s="339" t="str">
        <x:v>No / if configured</x:v>
      </x:c>
      <x:c r="L152" s="339" t="str">
        <x:v>Role-based</x:v>
      </x:c>
      <x:c r="M152" s="339" t="str">
        <x:v>Tenant → organization → school → branch → class/section/student/own-record scope as applicable.</x:v>
      </x:c>
      <x:c r="N152" s="339" t="str">
        <x:v>Mask health, counselling, compensation, identity and other sensitive fields unless explicitly required by role.</x:v>
      </x:c>
    </x:row>
    <x:row r="153">
      <x:c r="A153" s="339" t="str">
        <x:v>RB-152</x:v>
      </x:c>
      <x:c r="B153" s="339" t="str">
        <x:v>SCR-152</x:v>
      </x:c>
      <x:c r="C153" s="339" t="str">
        <x:v>Examinations / Marks / Results</x:v>
      </x:c>
      <x:c r="D153" s="339" t="str">
        <x:v>Report Card</x:v>
      </x:c>
      <x:c r="E153" s="339" t="str">
        <x:v>Student, Parent, Teacher, School Admin, Principal</x:v>
      </x:c>
      <x:c r="F153" s="339" t="str">
        <x:v>School Admin / Shared</x:v>
      </x:c>
      <x:c r="G153" s="339" t="str">
        <x:v>Yes</x:v>
      </x:c>
      <x:c r="H153" s="339" t="str">
        <x:v>As permitted</x:v>
      </x:c>
      <x:c r="I153" s="339" t="str">
        <x:v>Yes</x:v>
      </x:c>
      <x:c r="J153" s="339" t="str">
        <x:v>Restricted; prefer inactivate/reverse</x:v>
      </x:c>
      <x:c r="K153" s="339" t="str">
        <x:v>No / if configured</x:v>
      </x:c>
      <x:c r="L153" s="339" t="str">
        <x:v>Role-based</x:v>
      </x:c>
      <x:c r="M153" s="339" t="str">
        <x:v>Tenant → organization → school → branch → class/section/student/own-record scope as applicable.</x:v>
      </x:c>
      <x:c r="N153" s="339" t="str">
        <x:v>Mask health, counselling, compensation, identity and other sensitive fields unless explicitly required by role.</x:v>
      </x:c>
    </x:row>
    <x:row r="154">
      <x:c r="A154" s="339" t="str">
        <x:v>RB-153</x:v>
      </x:c>
      <x:c r="B154" s="339" t="str">
        <x:v>SCR-153</x:v>
      </x:c>
      <x:c r="C154" s="339" t="str">
        <x:v>Examinations / Marks / Results</x:v>
      </x:c>
      <x:c r="D154" s="339" t="str">
        <x:v>Promotion Decision</x:v>
      </x:c>
      <x:c r="E154" s="339" t="str">
        <x:v>Principal, Exam Coordinator, School Admin</x:v>
      </x:c>
      <x:c r="F154" s="339" t="str">
        <x:v>School Admin / Shared</x:v>
      </x:c>
      <x:c r="G154" s="339" t="str">
        <x:v>Yes</x:v>
      </x:c>
      <x:c r="H154" s="339" t="str">
        <x:v>Yes</x:v>
      </x:c>
      <x:c r="I154" s="339" t="str">
        <x:v>Yes</x:v>
      </x:c>
      <x:c r="J154" s="339" t="str">
        <x:v>Restricted; prefer inactivate/reverse</x:v>
      </x:c>
      <x:c r="K154" s="339" t="str">
        <x:v>Role/state based</x:v>
      </x:c>
      <x:c r="L154" s="339" t="str">
        <x:v>No / if configured</x:v>
      </x:c>
      <x:c r="M154" s="339" t="str">
        <x:v>Tenant → organization → school → branch → class/section/student/own-record scope as applicable.</x:v>
      </x:c>
      <x:c r="N154" s="339" t="str">
        <x:v>Mask health, counselling, compensation, identity and other sensitive fields unless explicitly required by role.</x:v>
      </x:c>
    </x:row>
    <x:row r="155">
      <x:c r="A155" s="339" t="str">
        <x:v>RB-154</x:v>
      </x:c>
      <x:c r="B155" s="339" t="str">
        <x:v>SCR-154</x:v>
      </x:c>
      <x:c r="C155" s="339" t="str">
        <x:v>Fees &amp; Finance</x:v>
      </x:c>
      <x:c r="D155" s="339" t="str">
        <x:v>Fee Dashboard</x:v>
      </x:c>
      <x:c r="E155" s="339" t="str">
        <x:v>Accountant, School Admin</x:v>
      </x:c>
      <x:c r="F155" s="339" t="str">
        <x:v>School Admin / Shared</x:v>
      </x:c>
      <x:c r="G155" s="339" t="str">
        <x:v>Yes</x:v>
      </x:c>
      <x:c r="H155" s="339" t="str">
        <x:v>As permitted</x:v>
      </x:c>
      <x:c r="I155" s="339" t="str">
        <x:v>As permitted</x:v>
      </x:c>
      <x:c r="J155" s="339" t="str">
        <x:v>Restricted; prefer inactivate/reverse</x:v>
      </x:c>
      <x:c r="K155" s="339" t="str">
        <x:v>No / if configured</x:v>
      </x:c>
      <x:c r="L155" s="339" t="str">
        <x:v>Role-based</x:v>
      </x:c>
      <x:c r="M155" s="339" t="str">
        <x:v>Tenant → organization → school → branch → class/section/student/own-record scope as applicable.</x:v>
      </x:c>
      <x:c r="N155" s="339" t="str">
        <x:v>Mask health, counselling, compensation, identity and other sensitive fields unless explicitly required by role.</x:v>
      </x:c>
    </x:row>
    <x:row r="156">
      <x:c r="A156" s="339" t="str">
        <x:v>RB-155</x:v>
      </x:c>
      <x:c r="B156" s="339" t="str">
        <x:v>SCR-155</x:v>
      </x:c>
      <x:c r="C156" s="339" t="str">
        <x:v>Fees &amp; Finance</x:v>
      </x:c>
      <x:c r="D156" s="339" t="str">
        <x:v>Fee Structure</x:v>
      </x:c>
      <x:c r="E156" s="339" t="str">
        <x:v>Accountant, School Admin</x:v>
      </x:c>
      <x:c r="F156" s="339" t="str">
        <x:v>School Admin / Shared</x:v>
      </x:c>
      <x:c r="G156" s="339" t="str">
        <x:v>Yes</x:v>
      </x:c>
      <x:c r="H156" s="339" t="str">
        <x:v>Yes</x:v>
      </x:c>
      <x:c r="I156" s="339" t="str">
        <x:v>Yes</x:v>
      </x:c>
      <x:c r="J156" s="339" t="str">
        <x:v>Restricted; prefer inactivate/reverse</x:v>
      </x:c>
      <x:c r="K156" s="339" t="str">
        <x:v>Role/state based</x:v>
      </x:c>
      <x:c r="L156" s="339" t="str">
        <x:v>No / if configured</x:v>
      </x:c>
      <x:c r="M156" s="339" t="str">
        <x:v>Tenant → organization → school → branch → class/section/student/own-record scope as applicable.</x:v>
      </x:c>
      <x:c r="N156" s="339" t="str">
        <x:v>Mask health, counselling, compensation, identity and other sensitive fields unless explicitly required by role.</x:v>
      </x:c>
    </x:row>
    <x:row r="157">
      <x:c r="A157" s="339" t="str">
        <x:v>RB-156</x:v>
      </x:c>
      <x:c r="B157" s="339" t="str">
        <x:v>SCR-156</x:v>
      </x:c>
      <x:c r="C157" s="339" t="str">
        <x:v>Fees &amp; Finance</x:v>
      </x:c>
      <x:c r="D157" s="339" t="str">
        <x:v>Create / Edit Fee Structure</x:v>
      </x:c>
      <x:c r="E157" s="339" t="str">
        <x:v>Accountant, School Admin</x:v>
      </x:c>
      <x:c r="F157" s="339" t="str">
        <x:v>School Admin / Shared</x:v>
      </x:c>
      <x:c r="G157" s="339" t="str">
        <x:v>Yes</x:v>
      </x:c>
      <x:c r="H157" s="339" t="str">
        <x:v>Yes</x:v>
      </x:c>
      <x:c r="I157" s="339" t="str">
        <x:v>As permitted</x:v>
      </x:c>
      <x:c r="J157" s="339" t="str">
        <x:v>Restricted; prefer inactivate/reverse</x:v>
      </x:c>
      <x:c r="K157" s="339" t="str">
        <x:v>No / if configured</x:v>
      </x:c>
      <x:c r="L157" s="339" t="str">
        <x:v>No / if configured</x:v>
      </x:c>
      <x:c r="M157" s="339" t="str">
        <x:v>Tenant → organization → school → branch → class/section/student/own-record scope as applicable.</x:v>
      </x:c>
      <x:c r="N157" s="339" t="str">
        <x:v>Mask health, counselling, compensation, identity and other sensitive fields unless explicitly required by role.</x:v>
      </x:c>
    </x:row>
    <x:row r="158">
      <x:c r="A158" s="339" t="str">
        <x:v>RB-157</x:v>
      </x:c>
      <x:c r="B158" s="339" t="str">
        <x:v>SCR-157</x:v>
      </x:c>
      <x:c r="C158" s="339" t="str">
        <x:v>Fees &amp; Finance</x:v>
      </x:c>
      <x:c r="D158" s="339" t="str">
        <x:v>Student Fee Assignment</x:v>
      </x:c>
      <x:c r="E158" s="339" t="str">
        <x:v>Accountant, School Admin</x:v>
      </x:c>
      <x:c r="F158" s="339" t="str">
        <x:v>School Admin / Shared</x:v>
      </x:c>
      <x:c r="G158" s="339" t="str">
        <x:v>Yes</x:v>
      </x:c>
      <x:c r="H158" s="339" t="str">
        <x:v>Yes</x:v>
      </x:c>
      <x:c r="I158" s="339" t="str">
        <x:v>Yes</x:v>
      </x:c>
      <x:c r="J158" s="339" t="str">
        <x:v>Restricted; prefer inactivate/reverse</x:v>
      </x:c>
      <x:c r="K158" s="339" t="str">
        <x:v>Role/state based</x:v>
      </x:c>
      <x:c r="L158" s="339" t="str">
        <x:v>No / if configured</x:v>
      </x:c>
      <x:c r="M158" s="339" t="str">
        <x:v>Tenant → organization → school → branch → class/section/student/own-record scope as applicable.</x:v>
      </x:c>
      <x:c r="N158" s="339" t="str">
        <x:v>Mask health, counselling, compensation, identity and other sensitive fields unless explicitly required by role.</x:v>
      </x:c>
    </x:row>
    <x:row r="159">
      <x:c r="A159" s="339" t="str">
        <x:v>RB-158</x:v>
      </x:c>
      <x:c r="B159" s="339" t="str">
        <x:v>SCR-158</x:v>
      </x:c>
      <x:c r="C159" s="339" t="str">
        <x:v>Fees &amp; Finance</x:v>
      </x:c>
      <x:c r="D159" s="339" t="str">
        <x:v>Fee Collection</x:v>
      </x:c>
      <x:c r="E159" s="339" t="str">
        <x:v>Accountant, School Admin, Parent</x:v>
      </x:c>
      <x:c r="F159" s="339" t="str">
        <x:v>School Admin / Shared</x:v>
      </x:c>
      <x:c r="G159" s="339" t="str">
        <x:v>Yes</x:v>
      </x:c>
      <x:c r="H159" s="339" t="str">
        <x:v>Yes</x:v>
      </x:c>
      <x:c r="I159" s="339" t="str">
        <x:v>As permitted</x:v>
      </x:c>
      <x:c r="J159" s="339" t="str">
        <x:v>Restricted; prefer inactivate/reverse</x:v>
      </x:c>
      <x:c r="K159" s="339" t="str">
        <x:v>No / if configured</x:v>
      </x:c>
      <x:c r="L159" s="339" t="str">
        <x:v>No / if configured</x:v>
      </x:c>
      <x:c r="M159" s="339" t="str">
        <x:v>Tenant → organization → school → branch → class/section/student/own-record scope as applicable.</x:v>
      </x:c>
      <x:c r="N159" s="339" t="str">
        <x:v>Mask health, counselling, compensation, identity and other sensitive fields unless explicitly required by role.</x:v>
      </x:c>
    </x:row>
    <x:row r="160">
      <x:c r="A160" s="339" t="str">
        <x:v>RB-159</x:v>
      </x:c>
      <x:c r="B160" s="339" t="str">
        <x:v>SCR-159</x:v>
      </x:c>
      <x:c r="C160" s="339" t="str">
        <x:v>Fees &amp; Finance</x:v>
      </x:c>
      <x:c r="D160" s="339" t="str">
        <x:v>Online Payment</x:v>
      </x:c>
      <x:c r="E160" s="339" t="str">
        <x:v>Parent, Accountant, School Admin</x:v>
      </x:c>
      <x:c r="F160" s="339" t="str">
        <x:v>School Admin / Shared</x:v>
      </x:c>
      <x:c r="G160" s="339" t="str">
        <x:v>Yes</x:v>
      </x:c>
      <x:c r="H160" s="339" t="str">
        <x:v>Yes</x:v>
      </x:c>
      <x:c r="I160" s="339" t="str">
        <x:v>Yes</x:v>
      </x:c>
      <x:c r="J160" s="339" t="str">
        <x:v>Restricted; prefer inactivate/reverse</x:v>
      </x:c>
      <x:c r="K160" s="339" t="str">
        <x:v>Role/state based</x:v>
      </x:c>
      <x:c r="L160" s="339" t="str">
        <x:v>No / if configured</x:v>
      </x:c>
      <x:c r="M160" s="339" t="str">
        <x:v>Tenant → organization → school → branch → class/section/student/own-record scope as applicable.</x:v>
      </x:c>
      <x:c r="N160" s="339" t="str">
        <x:v>Mask health, counselling, compensation, identity and other sensitive fields unless explicitly required by role.</x:v>
      </x:c>
    </x:row>
    <x:row r="161">
      <x:c r="A161" s="339" t="str">
        <x:v>RB-160</x:v>
      </x:c>
      <x:c r="B161" s="339" t="str">
        <x:v>SCR-160</x:v>
      </x:c>
      <x:c r="C161" s="339" t="str">
        <x:v>Fees &amp; Finance</x:v>
      </x:c>
      <x:c r="D161" s="339" t="str">
        <x:v>Payment Receipt</x:v>
      </x:c>
      <x:c r="E161" s="339" t="str">
        <x:v>Parent, Accountant, School Admin</x:v>
      </x:c>
      <x:c r="F161" s="339" t="str">
        <x:v>School Admin / Shared</x:v>
      </x:c>
      <x:c r="G161" s="339" t="str">
        <x:v>Yes</x:v>
      </x:c>
      <x:c r="H161" s="339" t="str">
        <x:v>As permitted</x:v>
      </x:c>
      <x:c r="I161" s="339" t="str">
        <x:v>Yes</x:v>
      </x:c>
      <x:c r="J161" s="339" t="str">
        <x:v>Restricted; prefer inactivate/reverse</x:v>
      </x:c>
      <x:c r="K161" s="339" t="str">
        <x:v>No / if configured</x:v>
      </x:c>
      <x:c r="L161" s="339" t="str">
        <x:v>Role-based</x:v>
      </x:c>
      <x:c r="M161" s="339" t="str">
        <x:v>Tenant → organization → school → branch → class/section/student/own-record scope as applicable.</x:v>
      </x:c>
      <x:c r="N161" s="339" t="str">
        <x:v>Mask health, counselling, compensation, identity and other sensitive fields unless explicitly required by role.</x:v>
      </x:c>
    </x:row>
    <x:row r="162">
      <x:c r="A162" s="339" t="str">
        <x:v>RB-161</x:v>
      </x:c>
      <x:c r="B162" s="339" t="str">
        <x:v>SCR-161</x:v>
      </x:c>
      <x:c r="C162" s="339" t="str">
        <x:v>Fees &amp; Finance</x:v>
      </x:c>
      <x:c r="D162" s="339" t="str">
        <x:v>Student Ledger</x:v>
      </x:c>
      <x:c r="E162" s="339" t="str">
        <x:v>Accountant, School Admin, Parent</x:v>
      </x:c>
      <x:c r="F162" s="339" t="str">
        <x:v>School Admin / Shared</x:v>
      </x:c>
      <x:c r="G162" s="339" t="str">
        <x:v>Yes</x:v>
      </x:c>
      <x:c r="H162" s="339" t="str">
        <x:v>As permitted</x:v>
      </x:c>
      <x:c r="I162" s="339" t="str">
        <x:v>Yes</x:v>
      </x:c>
      <x:c r="J162" s="339" t="str">
        <x:v>Restricted; prefer inactivate/reverse</x:v>
      </x:c>
      <x:c r="K162" s="339" t="str">
        <x:v>No / if configured</x:v>
      </x:c>
      <x:c r="L162" s="339" t="str">
        <x:v>Role-based</x:v>
      </x:c>
      <x:c r="M162" s="339" t="str">
        <x:v>Tenant → organization → school → branch → class/section/student/own-record scope as applicable.</x:v>
      </x:c>
      <x:c r="N162" s="339" t="str">
        <x:v>Mask health, counselling, compensation, identity and other sensitive fields unless explicitly required by role.</x:v>
      </x:c>
    </x:row>
    <x:row r="163">
      <x:c r="A163" s="339" t="str">
        <x:v>RB-162</x:v>
      </x:c>
      <x:c r="B163" s="339" t="str">
        <x:v>SCR-162</x:v>
      </x:c>
      <x:c r="C163" s="339" t="str">
        <x:v>Fees &amp; Finance</x:v>
      </x:c>
      <x:c r="D163" s="339" t="str">
        <x:v>Outstanding Dues</x:v>
      </x:c>
      <x:c r="E163" s="339" t="str">
        <x:v>Accountant, School Admin, Parent</x:v>
      </x:c>
      <x:c r="F163" s="339" t="str">
        <x:v>School Admin / Shared</x:v>
      </x:c>
      <x:c r="G163" s="339" t="str">
        <x:v>Yes</x:v>
      </x:c>
      <x:c r="H163" s="339" t="str">
        <x:v>Yes</x:v>
      </x:c>
      <x:c r="I163" s="339" t="str">
        <x:v>Yes</x:v>
      </x:c>
      <x:c r="J163" s="339" t="str">
        <x:v>Restricted; prefer inactivate/reverse</x:v>
      </x:c>
      <x:c r="K163" s="339" t="str">
        <x:v>Role/state based</x:v>
      </x:c>
      <x:c r="L163" s="339" t="str">
        <x:v>No / if configured</x:v>
      </x:c>
      <x:c r="M163" s="339" t="str">
        <x:v>Tenant → organization → school → branch → class/section/student/own-record scope as applicable.</x:v>
      </x:c>
      <x:c r="N163" s="339" t="str">
        <x:v>Mask health, counselling, compensation, identity and other sensitive fields unless explicitly required by role.</x:v>
      </x:c>
    </x:row>
    <x:row r="164">
      <x:c r="A164" s="339" t="str">
        <x:v>RB-163</x:v>
      </x:c>
      <x:c r="B164" s="339" t="str">
        <x:v>SCR-163</x:v>
      </x:c>
      <x:c r="C164" s="339" t="str">
        <x:v>Fees &amp; Finance</x:v>
      </x:c>
      <x:c r="D164" s="339" t="str">
        <x:v>Concession / Scholarship</x:v>
      </x:c>
      <x:c r="E164" s="339" t="str">
        <x:v>Accountant, School Admin</x:v>
      </x:c>
      <x:c r="F164" s="339" t="str">
        <x:v>School Admin / Shared</x:v>
      </x:c>
      <x:c r="G164" s="339" t="str">
        <x:v>Yes</x:v>
      </x:c>
      <x:c r="H164" s="339" t="str">
        <x:v>Yes</x:v>
      </x:c>
      <x:c r="I164" s="339" t="str">
        <x:v>Yes</x:v>
      </x:c>
      <x:c r="J164" s="339" t="str">
        <x:v>Restricted; prefer inactivate/reverse</x:v>
      </x:c>
      <x:c r="K164" s="339" t="str">
        <x:v>Role/state based</x:v>
      </x:c>
      <x:c r="L164" s="339" t="str">
        <x:v>No / if configured</x:v>
      </x:c>
      <x:c r="M164" s="339" t="str">
        <x:v>Tenant → organization → school → branch → class/section/student/own-record scope as applicable.</x:v>
      </x:c>
      <x:c r="N164" s="339" t="str">
        <x:v>Mask health, counselling, compensation, identity and other sensitive fields unless explicitly required by role.</x:v>
      </x:c>
    </x:row>
    <x:row r="165">
      <x:c r="A165" s="339" t="str">
        <x:v>RB-164</x:v>
      </x:c>
      <x:c r="B165" s="339" t="str">
        <x:v>SCR-164</x:v>
      </x:c>
      <x:c r="C165" s="339" t="str">
        <x:v>Fees &amp; Finance</x:v>
      </x:c>
      <x:c r="D165" s="339" t="str">
        <x:v>Fine Rules</x:v>
      </x:c>
      <x:c r="E165" s="339" t="str">
        <x:v>Accountant, School Admin</x:v>
      </x:c>
      <x:c r="F165" s="339" t="str">
        <x:v>School Admin / Shared</x:v>
      </x:c>
      <x:c r="G165" s="339" t="str">
        <x:v>Yes</x:v>
      </x:c>
      <x:c r="H165" s="339" t="str">
        <x:v>Yes</x:v>
      </x:c>
      <x:c r="I165" s="339" t="str">
        <x:v>Yes</x:v>
      </x:c>
      <x:c r="J165" s="339" t="str">
        <x:v>Restricted; prefer inactivate/reverse</x:v>
      </x:c>
      <x:c r="K165" s="339" t="str">
        <x:v>Role/state based</x:v>
      </x:c>
      <x:c r="L165" s="339" t="str">
        <x:v>No / if configured</x:v>
      </x:c>
      <x:c r="M165" s="339" t="str">
        <x:v>Tenant → organization → school → branch → class/section/student/own-record scope as applicable.</x:v>
      </x:c>
      <x:c r="N165" s="339" t="str">
        <x:v>Mask health, counselling, compensation, identity and other sensitive fields unless explicitly required by role.</x:v>
      </x:c>
    </x:row>
    <x:row r="166">
      <x:c r="A166" s="339" t="str">
        <x:v>RB-165</x:v>
      </x:c>
      <x:c r="B166" s="339" t="str">
        <x:v>SCR-165</x:v>
      </x:c>
      <x:c r="C166" s="339" t="str">
        <x:v>Fees &amp; Finance</x:v>
      </x:c>
      <x:c r="D166" s="339" t="str">
        <x:v>Refunds</x:v>
      </x:c>
      <x:c r="E166" s="339" t="str">
        <x:v>Accountant, School Admin</x:v>
      </x:c>
      <x:c r="F166" s="339" t="str">
        <x:v>School Admin / Shared</x:v>
      </x:c>
      <x:c r="G166" s="339" t="str">
        <x:v>Yes</x:v>
      </x:c>
      <x:c r="H166" s="339" t="str">
        <x:v>Yes</x:v>
      </x:c>
      <x:c r="I166" s="339" t="str">
        <x:v>Yes</x:v>
      </x:c>
      <x:c r="J166" s="339" t="str">
        <x:v>Restricted; prefer inactivate/reverse</x:v>
      </x:c>
      <x:c r="K166" s="339" t="str">
        <x:v>Role/state based</x:v>
      </x:c>
      <x:c r="L166" s="339" t="str">
        <x:v>No / if configured</x:v>
      </x:c>
      <x:c r="M166" s="339" t="str">
        <x:v>Tenant → organization → school → branch → class/section/student/own-record scope as applicable.</x:v>
      </x:c>
      <x:c r="N166" s="339" t="str">
        <x:v>Mask health, counselling, compensation, identity and other sensitive fields unless explicitly required by role.</x:v>
      </x:c>
    </x:row>
    <x:row r="167">
      <x:c r="A167" s="339" t="str">
        <x:v>RB-166</x:v>
      </x:c>
      <x:c r="B167" s="339" t="str">
        <x:v>SCR-166</x:v>
      </x:c>
      <x:c r="C167" s="339" t="str">
        <x:v>Fees &amp; Finance</x:v>
      </x:c>
      <x:c r="D167" s="339" t="str">
        <x:v>Income</x:v>
      </x:c>
      <x:c r="E167" s="339" t="str">
        <x:v>Accountant, School Admin</x:v>
      </x:c>
      <x:c r="F167" s="339" t="str">
        <x:v>School Admin / Shared</x:v>
      </x:c>
      <x:c r="G167" s="339" t="str">
        <x:v>Yes</x:v>
      </x:c>
      <x:c r="H167" s="339" t="str">
        <x:v>Yes</x:v>
      </x:c>
      <x:c r="I167" s="339" t="str">
        <x:v>Yes</x:v>
      </x:c>
      <x:c r="J167" s="339" t="str">
        <x:v>Restricted; prefer inactivate/reverse</x:v>
      </x:c>
      <x:c r="K167" s="339" t="str">
        <x:v>Role/state based</x:v>
      </x:c>
      <x:c r="L167" s="339" t="str">
        <x:v>No / if configured</x:v>
      </x:c>
      <x:c r="M167" s="339" t="str">
        <x:v>Tenant → organization → school → branch → class/section/student/own-record scope as applicable.</x:v>
      </x:c>
      <x:c r="N167" s="339" t="str">
        <x:v>Mask health, counselling, compensation, identity and other sensitive fields unless explicitly required by role.</x:v>
      </x:c>
    </x:row>
    <x:row r="168">
      <x:c r="A168" s="339" t="str">
        <x:v>RB-167</x:v>
      </x:c>
      <x:c r="B168" s="339" t="str">
        <x:v>SCR-167</x:v>
      </x:c>
      <x:c r="C168" s="339" t="str">
        <x:v>Fees &amp; Finance</x:v>
      </x:c>
      <x:c r="D168" s="339" t="str">
        <x:v>Expenses</x:v>
      </x:c>
      <x:c r="E168" s="339" t="str">
        <x:v>Accountant, School Admin</x:v>
      </x:c>
      <x:c r="F168" s="339" t="str">
        <x:v>School Admin / Shared</x:v>
      </x:c>
      <x:c r="G168" s="339" t="str">
        <x:v>Yes</x:v>
      </x:c>
      <x:c r="H168" s="339" t="str">
        <x:v>Yes</x:v>
      </x:c>
      <x:c r="I168" s="339" t="str">
        <x:v>Yes</x:v>
      </x:c>
      <x:c r="J168" s="339" t="str">
        <x:v>Restricted; prefer inactivate/reverse</x:v>
      </x:c>
      <x:c r="K168" s="339" t="str">
        <x:v>Role/state based</x:v>
      </x:c>
      <x:c r="L168" s="339" t="str">
        <x:v>No / if configured</x:v>
      </x:c>
      <x:c r="M168" s="339" t="str">
        <x:v>Tenant → organization → school → branch → class/section/student/own-record scope as applicable.</x:v>
      </x:c>
      <x:c r="N168" s="339" t="str">
        <x:v>Mask health, counselling, compensation, identity and other sensitive fields unless explicitly required by role.</x:v>
      </x:c>
    </x:row>
    <x:row r="169">
      <x:c r="A169" s="339" t="str">
        <x:v>RB-168</x:v>
      </x:c>
      <x:c r="B169" s="339" t="str">
        <x:v>SCR-168</x:v>
      </x:c>
      <x:c r="C169" s="339" t="str">
        <x:v>Fees &amp; Finance</x:v>
      </x:c>
      <x:c r="D169" s="339" t="str">
        <x:v>Vendor Management</x:v>
      </x:c>
      <x:c r="E169" s="339" t="str">
        <x:v>Accountant, School Admin</x:v>
      </x:c>
      <x:c r="F169" s="339" t="str">
        <x:v>School Admin / Shared</x:v>
      </x:c>
      <x:c r="G169" s="339" t="str">
        <x:v>Yes</x:v>
      </x:c>
      <x:c r="H169" s="339" t="str">
        <x:v>Yes</x:v>
      </x:c>
      <x:c r="I169" s="339" t="str">
        <x:v>Yes</x:v>
      </x:c>
      <x:c r="J169" s="339" t="str">
        <x:v>Restricted; prefer inactivate/reverse</x:v>
      </x:c>
      <x:c r="K169" s="339" t="str">
        <x:v>Role/state based</x:v>
      </x:c>
      <x:c r="L169" s="339" t="str">
        <x:v>No / if configured</x:v>
      </x:c>
      <x:c r="M169" s="339" t="str">
        <x:v>Tenant → organization → school → branch → class/section/student/own-record scope as applicable.</x:v>
      </x:c>
      <x:c r="N169" s="339" t="str">
        <x:v>Mask health, counselling, compensation, identity and other sensitive fields unless explicitly required by role.</x:v>
      </x:c>
    </x:row>
    <x:row r="170">
      <x:c r="A170" s="339" t="str">
        <x:v>RB-169</x:v>
      </x:c>
      <x:c r="B170" s="339" t="str">
        <x:v>SCR-169</x:v>
      </x:c>
      <x:c r="C170" s="339" t="str">
        <x:v>Fees &amp; Finance</x:v>
      </x:c>
      <x:c r="D170" s="339" t="str">
        <x:v>Purchase / Payment</x:v>
      </x:c>
      <x:c r="E170" s="339" t="str">
        <x:v>Accountant, School Admin</x:v>
      </x:c>
      <x:c r="F170" s="339" t="str">
        <x:v>School Admin / Shared</x:v>
      </x:c>
      <x:c r="G170" s="339" t="str">
        <x:v>Yes</x:v>
      </x:c>
      <x:c r="H170" s="339" t="str">
        <x:v>Yes</x:v>
      </x:c>
      <x:c r="I170" s="339" t="str">
        <x:v>Yes</x:v>
      </x:c>
      <x:c r="J170" s="339" t="str">
        <x:v>Restricted; prefer inactivate/reverse</x:v>
      </x:c>
      <x:c r="K170" s="339" t="str">
        <x:v>Role/state based</x:v>
      </x:c>
      <x:c r="L170" s="339" t="str">
        <x:v>No / if configured</x:v>
      </x:c>
      <x:c r="M170" s="339" t="str">
        <x:v>Tenant → organization → school → branch → class/section/student/own-record scope as applicable.</x:v>
      </x:c>
      <x:c r="N170" s="339" t="str">
        <x:v>Mask health, counselling, compensation, identity and other sensitive fields unless explicitly required by role.</x:v>
      </x:c>
    </x:row>
    <x:row r="171">
      <x:c r="A171" s="339" t="str">
        <x:v>RB-170</x:v>
      </x:c>
      <x:c r="B171" s="339" t="str">
        <x:v>SCR-170</x:v>
      </x:c>
      <x:c r="C171" s="339" t="str">
        <x:v>Fees &amp; Finance</x:v>
      </x:c>
      <x:c r="D171" s="339" t="str">
        <x:v>Cash &amp; Bank Book</x:v>
      </x:c>
      <x:c r="E171" s="339" t="str">
        <x:v>Accountant, School Admin</x:v>
      </x:c>
      <x:c r="F171" s="339" t="str">
        <x:v>School Admin / Shared</x:v>
      </x:c>
      <x:c r="G171" s="339" t="str">
        <x:v>Yes</x:v>
      </x:c>
      <x:c r="H171" s="339" t="str">
        <x:v>Yes</x:v>
      </x:c>
      <x:c r="I171" s="339" t="str">
        <x:v>Yes</x:v>
      </x:c>
      <x:c r="J171" s="339" t="str">
        <x:v>Restricted; prefer inactivate/reverse</x:v>
      </x:c>
      <x:c r="K171" s="339" t="str">
        <x:v>Role/state based</x:v>
      </x:c>
      <x:c r="L171" s="339" t="str">
        <x:v>No / if configured</x:v>
      </x:c>
      <x:c r="M171" s="339" t="str">
        <x:v>Tenant → organization → school → branch → class/section/student/own-record scope as applicable.</x:v>
      </x:c>
      <x:c r="N171" s="339" t="str">
        <x:v>Mask health, counselling, compensation, identity and other sensitive fields unless explicitly required by role.</x:v>
      </x:c>
    </x:row>
    <x:row r="172">
      <x:c r="A172" s="339" t="str">
        <x:v>RB-171</x:v>
      </x:c>
      <x:c r="B172" s="339" t="str">
        <x:v>SCR-171</x:v>
      </x:c>
      <x:c r="C172" s="339" t="str">
        <x:v>Fees &amp; Finance</x:v>
      </x:c>
      <x:c r="D172" s="339" t="str">
        <x:v>Finance Reports</x:v>
      </x:c>
      <x:c r="E172" s="339" t="str">
        <x:v>Accountant, School Admin</x:v>
      </x:c>
      <x:c r="F172" s="339" t="str">
        <x:v>School Admin / Shared</x:v>
      </x:c>
      <x:c r="G172" s="339" t="str">
        <x:v>Yes</x:v>
      </x:c>
      <x:c r="H172" s="339" t="str">
        <x:v>As permitted</x:v>
      </x:c>
      <x:c r="I172" s="339" t="str">
        <x:v>As permitted</x:v>
      </x:c>
      <x:c r="J172" s="339" t="str">
        <x:v>Restricted; prefer inactivate/reverse</x:v>
      </x:c>
      <x:c r="K172" s="339" t="str">
        <x:v>No / if configured</x:v>
      </x:c>
      <x:c r="L172" s="339" t="str">
        <x:v>Role-based</x:v>
      </x:c>
      <x:c r="M172" s="339" t="str">
        <x:v>Tenant → organization → school → branch → class/section/student/own-record scope as applicable.</x:v>
      </x:c>
      <x:c r="N172" s="339" t="str">
        <x:v>Mask health, counselling, compensation, identity and other sensitive fields unless explicitly required by role.</x:v>
      </x:c>
    </x:row>
    <x:row r="173">
      <x:c r="A173" s="339" t="str">
        <x:v>RB-172</x:v>
      </x:c>
      <x:c r="B173" s="339" t="str">
        <x:v>SCR-172</x:v>
      </x:c>
      <x:c r="C173" s="339" t="str">
        <x:v>HR / Leave / Payroll</x:v>
      </x:c>
      <x:c r="D173" s="339" t="str">
        <x:v>Recruitment Requisitions</x:v>
      </x:c>
      <x:c r="E173" s="339" t="str">
        <x:v>HR, School Admin, Principal, Employee</x:v>
      </x:c>
      <x:c r="F173" s="339" t="str">
        <x:v>School Admin / Shared</x:v>
      </x:c>
      <x:c r="G173" s="339" t="str">
        <x:v>Yes</x:v>
      </x:c>
      <x:c r="H173" s="339" t="str">
        <x:v>Yes</x:v>
      </x:c>
      <x:c r="I173" s="339" t="str">
        <x:v>Yes</x:v>
      </x:c>
      <x:c r="J173" s="339" t="str">
        <x:v>Restricted; prefer inactivate/reverse</x:v>
      </x:c>
      <x:c r="K173" s="339" t="str">
        <x:v>Role/state based</x:v>
      </x:c>
      <x:c r="L173" s="339" t="str">
        <x:v>No / if configured</x:v>
      </x:c>
      <x:c r="M173" s="339" t="str">
        <x:v>Tenant → organization → school → branch → class/section/student/own-record scope as applicable.</x:v>
      </x:c>
      <x:c r="N173" s="339" t="str">
        <x:v>Mask health, counselling, compensation, identity and other sensitive fields unless explicitly required by role.</x:v>
      </x:c>
    </x:row>
    <x:row r="174">
      <x:c r="A174" s="339" t="str">
        <x:v>RB-173</x:v>
      </x:c>
      <x:c r="B174" s="339" t="str">
        <x:v>SCR-173</x:v>
      </x:c>
      <x:c r="C174" s="339" t="str">
        <x:v>HR / Leave / Payroll</x:v>
      </x:c>
      <x:c r="D174" s="339" t="str">
        <x:v>Job Openings</x:v>
      </x:c>
      <x:c r="E174" s="339" t="str">
        <x:v>HR, School Admin, Principal, Employee</x:v>
      </x:c>
      <x:c r="F174" s="339" t="str">
        <x:v>School Admin / Shared</x:v>
      </x:c>
      <x:c r="G174" s="339" t="str">
        <x:v>Yes</x:v>
      </x:c>
      <x:c r="H174" s="339" t="str">
        <x:v>As permitted</x:v>
      </x:c>
      <x:c r="I174" s="339" t="str">
        <x:v>As permitted</x:v>
      </x:c>
      <x:c r="J174" s="339" t="str">
        <x:v>Restricted; prefer inactivate/reverse</x:v>
      </x:c>
      <x:c r="K174" s="339" t="str">
        <x:v>No / if configured</x:v>
      </x:c>
      <x:c r="L174" s="339" t="str">
        <x:v>Role-based</x:v>
      </x:c>
      <x:c r="M174" s="339" t="str">
        <x:v>Tenant → organization → school → branch → class/section/student/own-record scope as applicable.</x:v>
      </x:c>
      <x:c r="N174" s="339" t="str">
        <x:v>Mask health, counselling, compensation, identity and other sensitive fields unless explicitly required by role.</x:v>
      </x:c>
    </x:row>
    <x:row r="175">
      <x:c r="A175" s="339" t="str">
        <x:v>RB-174</x:v>
      </x:c>
      <x:c r="B175" s="339" t="str">
        <x:v>SCR-174</x:v>
      </x:c>
      <x:c r="C175" s="339" t="str">
        <x:v>HR / Leave / Payroll</x:v>
      </x:c>
      <x:c r="D175" s="339" t="str">
        <x:v>Candidate Applications</x:v>
      </x:c>
      <x:c r="E175" s="339" t="str">
        <x:v>HR, School Admin, Principal, Employee</x:v>
      </x:c>
      <x:c r="F175" s="339" t="str">
        <x:v>School Admin / Shared</x:v>
      </x:c>
      <x:c r="G175" s="339" t="str">
        <x:v>Yes</x:v>
      </x:c>
      <x:c r="H175" s="339" t="str">
        <x:v>As permitted</x:v>
      </x:c>
      <x:c r="I175" s="339" t="str">
        <x:v>As permitted</x:v>
      </x:c>
      <x:c r="J175" s="339" t="str">
        <x:v>Restricted; prefer inactivate/reverse</x:v>
      </x:c>
      <x:c r="K175" s="339" t="str">
        <x:v>No / if configured</x:v>
      </x:c>
      <x:c r="L175" s="339" t="str">
        <x:v>Role-based</x:v>
      </x:c>
      <x:c r="M175" s="339" t="str">
        <x:v>Tenant → organization → school → branch → class/section/student/own-record scope as applicable.</x:v>
      </x:c>
      <x:c r="N175" s="339" t="str">
        <x:v>Mask health, counselling, compensation, identity and other sensitive fields unless explicitly required by role.</x:v>
      </x:c>
    </x:row>
    <x:row r="176">
      <x:c r="A176" s="339" t="str">
        <x:v>RB-175</x:v>
      </x:c>
      <x:c r="B176" s="339" t="str">
        <x:v>SCR-175</x:v>
      </x:c>
      <x:c r="C176" s="339" t="str">
        <x:v>HR / Leave / Payroll</x:v>
      </x:c>
      <x:c r="D176" s="339" t="str">
        <x:v>Candidate Details</x:v>
      </x:c>
      <x:c r="E176" s="339" t="str">
        <x:v>HR, School Admin, Principal, Employee</x:v>
      </x:c>
      <x:c r="F176" s="339" t="str">
        <x:v>School Admin / Shared</x:v>
      </x:c>
      <x:c r="G176" s="339" t="str">
        <x:v>Yes</x:v>
      </x:c>
      <x:c r="H176" s="339" t="str">
        <x:v>As permitted</x:v>
      </x:c>
      <x:c r="I176" s="339" t="str">
        <x:v>Yes</x:v>
      </x:c>
      <x:c r="J176" s="339" t="str">
        <x:v>Restricted; prefer inactivate/reverse</x:v>
      </x:c>
      <x:c r="K176" s="339" t="str">
        <x:v>No / if configured</x:v>
      </x:c>
      <x:c r="L176" s="339" t="str">
        <x:v>Role-based</x:v>
      </x:c>
      <x:c r="M176" s="339" t="str">
        <x:v>Tenant → organization → school → branch → class/section/student/own-record scope as applicable.</x:v>
      </x:c>
      <x:c r="N176" s="339" t="str">
        <x:v>Mask health, counselling, compensation, identity and other sensitive fields unless explicitly required by role.</x:v>
      </x:c>
    </x:row>
    <x:row r="177">
      <x:c r="A177" s="339" t="str">
        <x:v>RB-176</x:v>
      </x:c>
      <x:c r="B177" s="339" t="str">
        <x:v>SCR-176</x:v>
      </x:c>
      <x:c r="C177" s="339" t="str">
        <x:v>HR / Leave / Payroll</x:v>
      </x:c>
      <x:c r="D177" s="339" t="str">
        <x:v>Interview Schedule</x:v>
      </x:c>
      <x:c r="E177" s="339" t="str">
        <x:v>HR, School Admin, Principal, Employee</x:v>
      </x:c>
      <x:c r="F177" s="339" t="str">
        <x:v>School Admin / Shared</x:v>
      </x:c>
      <x:c r="G177" s="339" t="str">
        <x:v>Yes</x:v>
      </x:c>
      <x:c r="H177" s="339" t="str">
        <x:v>Yes</x:v>
      </x:c>
      <x:c r="I177" s="339" t="str">
        <x:v>Yes</x:v>
      </x:c>
      <x:c r="J177" s="339" t="str">
        <x:v>Restricted; prefer inactivate/reverse</x:v>
      </x:c>
      <x:c r="K177" s="339" t="str">
        <x:v>No / if configured</x:v>
      </x:c>
      <x:c r="L177" s="339" t="str">
        <x:v>No / if configured</x:v>
      </x:c>
      <x:c r="M177" s="339" t="str">
        <x:v>Tenant → organization → school → branch → class/section/student/own-record scope as applicable.</x:v>
      </x:c>
      <x:c r="N177" s="339" t="str">
        <x:v>Mask health, counselling, compensation, identity and other sensitive fields unless explicitly required by role.</x:v>
      </x:c>
    </x:row>
    <x:row r="178">
      <x:c r="A178" s="339" t="str">
        <x:v>RB-177</x:v>
      </x:c>
      <x:c r="B178" s="339" t="str">
        <x:v>SCR-177</x:v>
      </x:c>
      <x:c r="C178" s="339" t="str">
        <x:v>HR / Leave / Payroll</x:v>
      </x:c>
      <x:c r="D178" s="339" t="str">
        <x:v>Offer &amp; Appointment</x:v>
      </x:c>
      <x:c r="E178" s="339" t="str">
        <x:v>HR, School Admin, Principal, Employee</x:v>
      </x:c>
      <x:c r="F178" s="339" t="str">
        <x:v>School Admin / Shared</x:v>
      </x:c>
      <x:c r="G178" s="339" t="str">
        <x:v>Yes</x:v>
      </x:c>
      <x:c r="H178" s="339" t="str">
        <x:v>Yes</x:v>
      </x:c>
      <x:c r="I178" s="339" t="str">
        <x:v>Yes</x:v>
      </x:c>
      <x:c r="J178" s="339" t="str">
        <x:v>Restricted; prefer inactivate/reverse</x:v>
      </x:c>
      <x:c r="K178" s="339" t="str">
        <x:v>Role/state based</x:v>
      </x:c>
      <x:c r="L178" s="339" t="str">
        <x:v>No / if configured</x:v>
      </x:c>
      <x:c r="M178" s="339" t="str">
        <x:v>Tenant → organization → school → branch → class/section/student/own-record scope as applicable.</x:v>
      </x:c>
      <x:c r="N178" s="339" t="str">
        <x:v>Mask health, counselling, compensation, identity and other sensitive fields unless explicitly required by role.</x:v>
      </x:c>
    </x:row>
    <x:row r="179">
      <x:c r="A179" s="339" t="str">
        <x:v>RB-178</x:v>
      </x:c>
      <x:c r="B179" s="339" t="str">
        <x:v>SCR-178</x:v>
      </x:c>
      <x:c r="C179" s="339" t="str">
        <x:v>HR / Leave / Payroll</x:v>
      </x:c>
      <x:c r="D179" s="339" t="str">
        <x:v>Employee Onboarding Checklist</x:v>
      </x:c>
      <x:c r="E179" s="339" t="str">
        <x:v>HR, School Admin, Principal, Employee</x:v>
      </x:c>
      <x:c r="F179" s="339" t="str">
        <x:v>School Admin / Shared</x:v>
      </x:c>
      <x:c r="G179" s="339" t="str">
        <x:v>Yes</x:v>
      </x:c>
      <x:c r="H179" s="339" t="str">
        <x:v>As permitted</x:v>
      </x:c>
      <x:c r="I179" s="339" t="str">
        <x:v>As permitted</x:v>
      </x:c>
      <x:c r="J179" s="339" t="str">
        <x:v>Restricted; prefer inactivate/reverse</x:v>
      </x:c>
      <x:c r="K179" s="339" t="str">
        <x:v>No / if configured</x:v>
      </x:c>
      <x:c r="L179" s="339" t="str">
        <x:v>Role-based</x:v>
      </x:c>
      <x:c r="M179" s="339" t="str">
        <x:v>Tenant → organization → school → branch → class/section/student/own-record scope as applicable.</x:v>
      </x:c>
      <x:c r="N179" s="339" t="str">
        <x:v>Mask health, counselling, compensation, identity and other sensitive fields unless explicitly required by role.</x:v>
      </x:c>
    </x:row>
    <x:row r="180">
      <x:c r="A180" s="339" t="str">
        <x:v>RB-179</x:v>
      </x:c>
      <x:c r="B180" s="339" t="str">
        <x:v>SCR-179</x:v>
      </x:c>
      <x:c r="C180" s="339" t="str">
        <x:v>HR / Leave / Payroll</x:v>
      </x:c>
      <x:c r="D180" s="339" t="str">
        <x:v>Staff Attendance Management</x:v>
      </x:c>
      <x:c r="E180" s="339" t="str">
        <x:v>HR, School Admin, Principal, Employee</x:v>
      </x:c>
      <x:c r="F180" s="339" t="str">
        <x:v>School Admin / Shared</x:v>
      </x:c>
      <x:c r="G180" s="339" t="str">
        <x:v>Yes</x:v>
      </x:c>
      <x:c r="H180" s="339" t="str">
        <x:v>Yes</x:v>
      </x:c>
      <x:c r="I180" s="339" t="str">
        <x:v>Yes</x:v>
      </x:c>
      <x:c r="J180" s="339" t="str">
        <x:v>Restricted; prefer inactivate/reverse</x:v>
      </x:c>
      <x:c r="K180" s="339" t="str">
        <x:v>Role/state based</x:v>
      </x:c>
      <x:c r="L180" s="339" t="str">
        <x:v>No / if configured</x:v>
      </x:c>
      <x:c r="M180" s="339" t="str">
        <x:v>Tenant → organization → school → branch → class/section/student/own-record scope as applicable.</x:v>
      </x:c>
      <x:c r="N180" s="339" t="str">
        <x:v>Mask health, counselling, compensation, identity and other sensitive fields unless explicitly required by role.</x:v>
      </x:c>
    </x:row>
    <x:row r="181">
      <x:c r="A181" s="339" t="str">
        <x:v>RB-180</x:v>
      </x:c>
      <x:c r="B181" s="339" t="str">
        <x:v>SCR-180</x:v>
      </x:c>
      <x:c r="C181" s="339" t="str">
        <x:v>HR / Leave / Payroll</x:v>
      </x:c>
      <x:c r="D181" s="339" t="str">
        <x:v>Leave Policies</x:v>
      </x:c>
      <x:c r="E181" s="339" t="str">
        <x:v>HR, School Admin, Principal, Employee</x:v>
      </x:c>
      <x:c r="F181" s="339" t="str">
        <x:v>School Admin / Shared</x:v>
      </x:c>
      <x:c r="G181" s="339" t="str">
        <x:v>Yes</x:v>
      </x:c>
      <x:c r="H181" s="339" t="str">
        <x:v>Yes</x:v>
      </x:c>
      <x:c r="I181" s="339" t="str">
        <x:v>Yes</x:v>
      </x:c>
      <x:c r="J181" s="339" t="str">
        <x:v>Restricted; prefer inactivate/reverse</x:v>
      </x:c>
      <x:c r="K181" s="339" t="str">
        <x:v>Role/state based</x:v>
      </x:c>
      <x:c r="L181" s="339" t="str">
        <x:v>No / if configured</x:v>
      </x:c>
      <x:c r="M181" s="339" t="str">
        <x:v>Tenant → organization → school → branch → class/section/student/own-record scope as applicable.</x:v>
      </x:c>
      <x:c r="N181" s="339" t="str">
        <x:v>Mask health, counselling, compensation, identity and other sensitive fields unless explicitly required by role.</x:v>
      </x:c>
    </x:row>
    <x:row r="182">
      <x:c r="A182" s="339" t="str">
        <x:v>RB-181</x:v>
      </x:c>
      <x:c r="B182" s="339" t="str">
        <x:v>SCR-181</x:v>
      </x:c>
      <x:c r="C182" s="339" t="str">
        <x:v>HR / Leave / Payroll</x:v>
      </x:c>
      <x:c r="D182" s="339" t="str">
        <x:v>Staff Leave Requests</x:v>
      </x:c>
      <x:c r="E182" s="339" t="str">
        <x:v>HR, School Admin, Principal, Employee</x:v>
      </x:c>
      <x:c r="F182" s="339" t="str">
        <x:v>School Admin / Shared</x:v>
      </x:c>
      <x:c r="G182" s="339" t="str">
        <x:v>Yes</x:v>
      </x:c>
      <x:c r="H182" s="339" t="str">
        <x:v>Yes</x:v>
      </x:c>
      <x:c r="I182" s="339" t="str">
        <x:v>Yes</x:v>
      </x:c>
      <x:c r="J182" s="339" t="str">
        <x:v>Restricted; prefer inactivate/reverse</x:v>
      </x:c>
      <x:c r="K182" s="339" t="str">
        <x:v>Role/state based</x:v>
      </x:c>
      <x:c r="L182" s="339" t="str">
        <x:v>No / if configured</x:v>
      </x:c>
      <x:c r="M182" s="339" t="str">
        <x:v>Tenant → organization → school → branch → class/section/student/own-record scope as applicable.</x:v>
      </x:c>
      <x:c r="N182" s="339" t="str">
        <x:v>Mask health, counselling, compensation, identity and other sensitive fields unless explicitly required by role.</x:v>
      </x:c>
    </x:row>
    <x:row r="183">
      <x:c r="A183" s="339" t="str">
        <x:v>RB-182</x:v>
      </x:c>
      <x:c r="B183" s="339" t="str">
        <x:v>SCR-182</x:v>
      </x:c>
      <x:c r="C183" s="339" t="str">
        <x:v>HR / Leave / Payroll</x:v>
      </x:c>
      <x:c r="D183" s="339" t="str">
        <x:v>Leave Approval</x:v>
      </x:c>
      <x:c r="E183" s="339" t="str">
        <x:v>HR, School Admin, Principal, Employee</x:v>
      </x:c>
      <x:c r="F183" s="339" t="str">
        <x:v>School Admin / Shared</x:v>
      </x:c>
      <x:c r="G183" s="339" t="str">
        <x:v>Yes</x:v>
      </x:c>
      <x:c r="H183" s="339" t="str">
        <x:v>Yes</x:v>
      </x:c>
      <x:c r="I183" s="339" t="str">
        <x:v>Yes</x:v>
      </x:c>
      <x:c r="J183" s="339" t="str">
        <x:v>Restricted; prefer inactivate/reverse</x:v>
      </x:c>
      <x:c r="K183" s="339" t="str">
        <x:v>Role/state based</x:v>
      </x:c>
      <x:c r="L183" s="339" t="str">
        <x:v>No / if configured</x:v>
      </x:c>
      <x:c r="M183" s="339" t="str">
        <x:v>Tenant → organization → school → branch → class/section/student/own-record scope as applicable.</x:v>
      </x:c>
      <x:c r="N183" s="339" t="str">
        <x:v>Mask health, counselling, compensation, identity and other sensitive fields unless explicitly required by role.</x:v>
      </x:c>
    </x:row>
    <x:row r="184">
      <x:c r="A184" s="339" t="str">
        <x:v>RB-183</x:v>
      </x:c>
      <x:c r="B184" s="339" t="str">
        <x:v>SCR-183</x:v>
      </x:c>
      <x:c r="C184" s="339" t="str">
        <x:v>HR / Leave / Payroll</x:v>
      </x:c>
      <x:c r="D184" s="339" t="str">
        <x:v>Payroll Setup</x:v>
      </x:c>
      <x:c r="E184" s="339" t="str">
        <x:v>HR, School Admin, Principal, Employee</x:v>
      </x:c>
      <x:c r="F184" s="339" t="str">
        <x:v>School Admin / Shared</x:v>
      </x:c>
      <x:c r="G184" s="339" t="str">
        <x:v>Yes</x:v>
      </x:c>
      <x:c r="H184" s="339" t="str">
        <x:v>Yes</x:v>
      </x:c>
      <x:c r="I184" s="339" t="str">
        <x:v>As permitted</x:v>
      </x:c>
      <x:c r="J184" s="339" t="str">
        <x:v>Restricted; prefer inactivate/reverse</x:v>
      </x:c>
      <x:c r="K184" s="339" t="str">
        <x:v>No / if configured</x:v>
      </x:c>
      <x:c r="L184" s="339" t="str">
        <x:v>No / if configured</x:v>
      </x:c>
      <x:c r="M184" s="339" t="str">
        <x:v>Tenant → organization → school → branch → class/section/student/own-record scope as applicable.</x:v>
      </x:c>
      <x:c r="N184" s="339" t="str">
        <x:v>Mask health, counselling, compensation, identity and other sensitive fields unless explicitly required by role.</x:v>
      </x:c>
    </x:row>
    <x:row r="185">
      <x:c r="A185" s="339" t="str">
        <x:v>RB-184</x:v>
      </x:c>
      <x:c r="B185" s="339" t="str">
        <x:v>SCR-184</x:v>
      </x:c>
      <x:c r="C185" s="339" t="str">
        <x:v>HR / Leave / Payroll</x:v>
      </x:c>
      <x:c r="D185" s="339" t="str">
        <x:v>Payroll Processing</x:v>
      </x:c>
      <x:c r="E185" s="339" t="str">
        <x:v>HR, School Admin, Principal, Employee</x:v>
      </x:c>
      <x:c r="F185" s="339" t="str">
        <x:v>School Admin / Shared</x:v>
      </x:c>
      <x:c r="G185" s="339" t="str">
        <x:v>Yes</x:v>
      </x:c>
      <x:c r="H185" s="339" t="str">
        <x:v>Yes</x:v>
      </x:c>
      <x:c r="I185" s="339" t="str">
        <x:v>As permitted</x:v>
      </x:c>
      <x:c r="J185" s="339" t="str">
        <x:v>Restricted; prefer inactivate/reverse</x:v>
      </x:c>
      <x:c r="K185" s="339" t="str">
        <x:v>No / if configured</x:v>
      </x:c>
      <x:c r="L185" s="339" t="str">
        <x:v>No / if configured</x:v>
      </x:c>
      <x:c r="M185" s="339" t="str">
        <x:v>Tenant → organization → school → branch → class/section/student/own-record scope as applicable.</x:v>
      </x:c>
      <x:c r="N185" s="339" t="str">
        <x:v>Mask health, counselling, compensation, identity and other sensitive fields unless explicitly required by role.</x:v>
      </x:c>
    </x:row>
    <x:row r="186">
      <x:c r="A186" s="339" t="str">
        <x:v>RB-185</x:v>
      </x:c>
      <x:c r="B186" s="339" t="str">
        <x:v>SCR-185</x:v>
      </x:c>
      <x:c r="C186" s="339" t="str">
        <x:v>HR / Leave / Payroll</x:v>
      </x:c>
      <x:c r="D186" s="339" t="str">
        <x:v>Payslip &amp; Payroll History</x:v>
      </x:c>
      <x:c r="E186" s="339" t="str">
        <x:v>HR, School Admin, Principal, Employee</x:v>
      </x:c>
      <x:c r="F186" s="339" t="str">
        <x:v>School Admin / Shared</x:v>
      </x:c>
      <x:c r="G186" s="339" t="str">
        <x:v>Yes</x:v>
      </x:c>
      <x:c r="H186" s="339" t="str">
        <x:v>As permitted</x:v>
      </x:c>
      <x:c r="I186" s="339" t="str">
        <x:v>Yes</x:v>
      </x:c>
      <x:c r="J186" s="339" t="str">
        <x:v>Restricted; prefer inactivate/reverse</x:v>
      </x:c>
      <x:c r="K186" s="339" t="str">
        <x:v>No / if configured</x:v>
      </x:c>
      <x:c r="L186" s="339" t="str">
        <x:v>Role-based</x:v>
      </x:c>
      <x:c r="M186" s="339" t="str">
        <x:v>Tenant → organization → school → branch → class/section/student/own-record scope as applicable.</x:v>
      </x:c>
      <x:c r="N186" s="339" t="str">
        <x:v>Mask health, counselling, compensation, identity and other sensitive fields unless explicitly required by role.</x:v>
      </x:c>
    </x:row>
    <x:row r="187">
      <x:c r="A187" s="339" t="str">
        <x:v>RB-186</x:v>
      </x:c>
      <x:c r="B187" s="339" t="str">
        <x:v>SCR-186</x:v>
      </x:c>
      <x:c r="C187" s="339" t="str">
        <x:v>Transport / Bus / GPS</x:v>
      </x:c>
      <x:c r="D187" s="339" t="str">
        <x:v>Vehicles</x:v>
      </x:c>
      <x:c r="E187" s="339" t="str">
        <x:v>Transport Manager, School Admin</x:v>
      </x:c>
      <x:c r="F187" s="339" t="str">
        <x:v>Operations Portal</x:v>
      </x:c>
      <x:c r="G187" s="339" t="str">
        <x:v>Yes</x:v>
      </x:c>
      <x:c r="H187" s="339" t="str">
        <x:v>As permitted</x:v>
      </x:c>
      <x:c r="I187" s="339" t="str">
        <x:v>As permitted</x:v>
      </x:c>
      <x:c r="J187" s="339" t="str">
        <x:v>Restricted; prefer inactivate/reverse</x:v>
      </x:c>
      <x:c r="K187" s="339" t="str">
        <x:v>No / if configured</x:v>
      </x:c>
      <x:c r="L187" s="339" t="str">
        <x:v>Role-based</x:v>
      </x:c>
      <x:c r="M187" s="339" t="str">
        <x:v>Tenant → organization → school → branch → class/section/student/own-record scope as applicable.</x:v>
      </x:c>
      <x:c r="N187" s="339" t="str">
        <x:v>Mask health, counselling, compensation, identity and other sensitive fields unless explicitly required by role.</x:v>
      </x:c>
    </x:row>
    <x:row r="188">
      <x:c r="A188" s="339" t="str">
        <x:v>RB-187</x:v>
      </x:c>
      <x:c r="B188" s="339" t="str">
        <x:v>SCR-187</x:v>
      </x:c>
      <x:c r="C188" s="339" t="str">
        <x:v>Transport / Bus / GPS</x:v>
      </x:c>
      <x:c r="D188" s="339" t="str">
        <x:v>Add / Edit Vehicle</x:v>
      </x:c>
      <x:c r="E188" s="339" t="str">
        <x:v>Transport Manager, School Admin</x:v>
      </x:c>
      <x:c r="F188" s="339" t="str">
        <x:v>Operations Portal</x:v>
      </x:c>
      <x:c r="G188" s="339" t="str">
        <x:v>Yes</x:v>
      </x:c>
      <x:c r="H188" s="339" t="str">
        <x:v>Yes</x:v>
      </x:c>
      <x:c r="I188" s="339" t="str">
        <x:v>As permitted</x:v>
      </x:c>
      <x:c r="J188" s="339" t="str">
        <x:v>Restricted; prefer inactivate/reverse</x:v>
      </x:c>
      <x:c r="K188" s="339" t="str">
        <x:v>No / if configured</x:v>
      </x:c>
      <x:c r="L188" s="339" t="str">
        <x:v>No / if configured</x:v>
      </x:c>
      <x:c r="M188" s="339" t="str">
        <x:v>Tenant → organization → school → branch → class/section/student/own-record scope as applicable.</x:v>
      </x:c>
      <x:c r="N188" s="339" t="str">
        <x:v>Mask health, counselling, compensation, identity and other sensitive fields unless explicitly required by role.</x:v>
      </x:c>
    </x:row>
    <x:row r="189">
      <x:c r="A189" s="339" t="str">
        <x:v>RB-188</x:v>
      </x:c>
      <x:c r="B189" s="339" t="str">
        <x:v>SCR-188</x:v>
      </x:c>
      <x:c r="C189" s="339" t="str">
        <x:v>Transport / Bus / GPS</x:v>
      </x:c>
      <x:c r="D189" s="339" t="str">
        <x:v>Vehicle Details</x:v>
      </x:c>
      <x:c r="E189" s="339" t="str">
        <x:v>Transport Manager, School Admin</x:v>
      </x:c>
      <x:c r="F189" s="339" t="str">
        <x:v>Operations Portal</x:v>
      </x:c>
      <x:c r="G189" s="339" t="str">
        <x:v>Yes</x:v>
      </x:c>
      <x:c r="H189" s="339" t="str">
        <x:v>As permitted</x:v>
      </x:c>
      <x:c r="I189" s="339" t="str">
        <x:v>Yes</x:v>
      </x:c>
      <x:c r="J189" s="339" t="str">
        <x:v>Restricted; prefer inactivate/reverse</x:v>
      </x:c>
      <x:c r="K189" s="339" t="str">
        <x:v>No / if configured</x:v>
      </x:c>
      <x:c r="L189" s="339" t="str">
        <x:v>Role-based</x:v>
      </x:c>
      <x:c r="M189" s="339" t="str">
        <x:v>Tenant → organization → school → branch → class/section/student/own-record scope as applicable.</x:v>
      </x:c>
      <x:c r="N189" s="339" t="str">
        <x:v>Mask health, counselling, compensation, identity and other sensitive fields unless explicitly required by role.</x:v>
      </x:c>
    </x:row>
    <x:row r="190">
      <x:c r="A190" s="339" t="str">
        <x:v>RB-189</x:v>
      </x:c>
      <x:c r="B190" s="339" t="str">
        <x:v>SCR-189</x:v>
      </x:c>
      <x:c r="C190" s="339" t="str">
        <x:v>Transport / Bus / GPS</x:v>
      </x:c>
      <x:c r="D190" s="339" t="str">
        <x:v>Routes</x:v>
      </x:c>
      <x:c r="E190" s="339" t="str">
        <x:v>Transport Manager, School Admin</x:v>
      </x:c>
      <x:c r="F190" s="339" t="str">
        <x:v>Operations Portal</x:v>
      </x:c>
      <x:c r="G190" s="339" t="str">
        <x:v>Yes</x:v>
      </x:c>
      <x:c r="H190" s="339" t="str">
        <x:v>As permitted</x:v>
      </x:c>
      <x:c r="I190" s="339" t="str">
        <x:v>As permitted</x:v>
      </x:c>
      <x:c r="J190" s="339" t="str">
        <x:v>Restricted; prefer inactivate/reverse</x:v>
      </x:c>
      <x:c r="K190" s="339" t="str">
        <x:v>No / if configured</x:v>
      </x:c>
      <x:c r="L190" s="339" t="str">
        <x:v>Role-based</x:v>
      </x:c>
      <x:c r="M190" s="339" t="str">
        <x:v>Tenant → organization → school → branch → class/section/student/own-record scope as applicable.</x:v>
      </x:c>
      <x:c r="N190" s="339" t="str">
        <x:v>Mask health, counselling, compensation, identity and other sensitive fields unless explicitly required by role.</x:v>
      </x:c>
    </x:row>
    <x:row r="191">
      <x:c r="A191" s="339" t="str">
        <x:v>RB-190</x:v>
      </x:c>
      <x:c r="B191" s="339" t="str">
        <x:v>SCR-190</x:v>
      </x:c>
      <x:c r="C191" s="339" t="str">
        <x:v>Transport / Bus / GPS</x:v>
      </x:c>
      <x:c r="D191" s="339" t="str">
        <x:v>Create / Edit Route</x:v>
      </x:c>
      <x:c r="E191" s="339" t="str">
        <x:v>Transport Manager, School Admin</x:v>
      </x:c>
      <x:c r="F191" s="339" t="str">
        <x:v>Operations Portal</x:v>
      </x:c>
      <x:c r="G191" s="339" t="str">
        <x:v>Yes</x:v>
      </x:c>
      <x:c r="H191" s="339" t="str">
        <x:v>Yes</x:v>
      </x:c>
      <x:c r="I191" s="339" t="str">
        <x:v>As permitted</x:v>
      </x:c>
      <x:c r="J191" s="339" t="str">
        <x:v>Restricted; prefer inactivate/reverse</x:v>
      </x:c>
      <x:c r="K191" s="339" t="str">
        <x:v>No / if configured</x:v>
      </x:c>
      <x:c r="L191" s="339" t="str">
        <x:v>No / if configured</x:v>
      </x:c>
      <x:c r="M191" s="339" t="str">
        <x:v>Tenant → organization → school → branch → class/section/student/own-record scope as applicable.</x:v>
      </x:c>
      <x:c r="N191" s="339" t="str">
        <x:v>Mask health, counselling, compensation, identity and other sensitive fields unless explicitly required by role.</x:v>
      </x:c>
    </x:row>
    <x:row r="192">
      <x:c r="A192" s="339" t="str">
        <x:v>RB-191</x:v>
      </x:c>
      <x:c r="B192" s="339" t="str">
        <x:v>SCR-191</x:v>
      </x:c>
      <x:c r="C192" s="339" t="str">
        <x:v>Transport / Bus / GPS</x:v>
      </x:c>
      <x:c r="D192" s="339" t="str">
        <x:v>Stops</x:v>
      </x:c>
      <x:c r="E192" s="339" t="str">
        <x:v>Transport Manager, School Admin</x:v>
      </x:c>
      <x:c r="F192" s="339" t="str">
        <x:v>Operations Portal</x:v>
      </x:c>
      <x:c r="G192" s="339" t="str">
        <x:v>Yes</x:v>
      </x:c>
      <x:c r="H192" s="339" t="str">
        <x:v>Yes</x:v>
      </x:c>
      <x:c r="I192" s="339" t="str">
        <x:v>Yes</x:v>
      </x:c>
      <x:c r="J192" s="339" t="str">
        <x:v>Restricted; prefer inactivate/reverse</x:v>
      </x:c>
      <x:c r="K192" s="339" t="str">
        <x:v>Role/state based</x:v>
      </x:c>
      <x:c r="L192" s="339" t="str">
        <x:v>No / if configured</x:v>
      </x:c>
      <x:c r="M192" s="339" t="str">
        <x:v>Tenant → organization → school → branch → class/section/student/own-record scope as applicable.</x:v>
      </x:c>
      <x:c r="N192" s="339" t="str">
        <x:v>Mask health, counselling, compensation, identity and other sensitive fields unless explicitly required by role.</x:v>
      </x:c>
    </x:row>
    <x:row r="193">
      <x:c r="A193" s="339" t="str">
        <x:v>RB-192</x:v>
      </x:c>
      <x:c r="B193" s="339" t="str">
        <x:v>SCR-192</x:v>
      </x:c>
      <x:c r="C193" s="339" t="str">
        <x:v>Transport / Bus / GPS</x:v>
      </x:c>
      <x:c r="D193" s="339" t="str">
        <x:v>Drivers &amp; Conductors</x:v>
      </x:c>
      <x:c r="E193" s="339" t="str">
        <x:v>Transport Manager, School Admin</x:v>
      </x:c>
      <x:c r="F193" s="339" t="str">
        <x:v>Operations Portal</x:v>
      </x:c>
      <x:c r="G193" s="339" t="str">
        <x:v>Yes</x:v>
      </x:c>
      <x:c r="H193" s="339" t="str">
        <x:v>Yes</x:v>
      </x:c>
      <x:c r="I193" s="339" t="str">
        <x:v>Yes</x:v>
      </x:c>
      <x:c r="J193" s="339" t="str">
        <x:v>Restricted; prefer inactivate/reverse</x:v>
      </x:c>
      <x:c r="K193" s="339" t="str">
        <x:v>Role/state based</x:v>
      </x:c>
      <x:c r="L193" s="339" t="str">
        <x:v>No / if configured</x:v>
      </x:c>
      <x:c r="M193" s="339" t="str">
        <x:v>Tenant → organization → school → branch → class/section/student/own-record scope as applicable.</x:v>
      </x:c>
      <x:c r="N193" s="339" t="str">
        <x:v>Mask health, counselling, compensation, identity and other sensitive fields unless explicitly required by role.</x:v>
      </x:c>
    </x:row>
    <x:row r="194">
      <x:c r="A194" s="339" t="str">
        <x:v>RB-193</x:v>
      </x:c>
      <x:c r="B194" s="339" t="str">
        <x:v>SCR-193</x:v>
      </x:c>
      <x:c r="C194" s="339" t="str">
        <x:v>Transport / Bus / GPS</x:v>
      </x:c>
      <x:c r="D194" s="339" t="str">
        <x:v>Student Route Assignment</x:v>
      </x:c>
      <x:c r="E194" s="339" t="str">
        <x:v>Transport Manager, School Admin, Parent</x:v>
      </x:c>
      <x:c r="F194" s="339" t="str">
        <x:v>Operations Portal</x:v>
      </x:c>
      <x:c r="G194" s="339" t="str">
        <x:v>Yes</x:v>
      </x:c>
      <x:c r="H194" s="339" t="str">
        <x:v>Yes</x:v>
      </x:c>
      <x:c r="I194" s="339" t="str">
        <x:v>Yes</x:v>
      </x:c>
      <x:c r="J194" s="339" t="str">
        <x:v>Restricted; prefer inactivate/reverse</x:v>
      </x:c>
      <x:c r="K194" s="339" t="str">
        <x:v>Role/state based</x:v>
      </x:c>
      <x:c r="L194" s="339" t="str">
        <x:v>No / if configured</x:v>
      </x:c>
      <x:c r="M194" s="339" t="str">
        <x:v>Tenant → organization → school → branch → class/section/student/own-record scope as applicable.</x:v>
      </x:c>
      <x:c r="N194" s="339" t="str">
        <x:v>Mask health, counselling, compensation, identity and other sensitive fields unless explicitly required by role.</x:v>
      </x:c>
    </x:row>
    <x:row r="195">
      <x:c r="A195" s="339" t="str">
        <x:v>RB-194</x:v>
      </x:c>
      <x:c r="B195" s="339" t="str">
        <x:v>SCR-194</x:v>
      </x:c>
      <x:c r="C195" s="339" t="str">
        <x:v>Transport / Bus / GPS</x:v>
      </x:c>
      <x:c r="D195" s="339" t="str">
        <x:v>Trip Sheet</x:v>
      </x:c>
      <x:c r="E195" s="339" t="str">
        <x:v>Transport Manager, School Admin</x:v>
      </x:c>
      <x:c r="F195" s="339" t="str">
        <x:v>Operations Portal</x:v>
      </x:c>
      <x:c r="G195" s="339" t="str">
        <x:v>Yes</x:v>
      </x:c>
      <x:c r="H195" s="339" t="str">
        <x:v>Yes</x:v>
      </x:c>
      <x:c r="I195" s="339" t="str">
        <x:v>Yes</x:v>
      </x:c>
      <x:c r="J195" s="339" t="str">
        <x:v>Restricted; prefer inactivate/reverse</x:v>
      </x:c>
      <x:c r="K195" s="339" t="str">
        <x:v>Role/state based</x:v>
      </x:c>
      <x:c r="L195" s="339" t="str">
        <x:v>No / if configured</x:v>
      </x:c>
      <x:c r="M195" s="339" t="str">
        <x:v>Tenant → organization → school → branch → class/section/student/own-record scope as applicable.</x:v>
      </x:c>
      <x:c r="N195" s="339" t="str">
        <x:v>Mask health, counselling, compensation, identity and other sensitive fields unless explicitly required by role.</x:v>
      </x:c>
    </x:row>
    <x:row r="196">
      <x:c r="A196" s="339" t="str">
        <x:v>RB-195</x:v>
      </x:c>
      <x:c r="B196" s="339" t="str">
        <x:v>SCR-195</x:v>
      </x:c>
      <x:c r="C196" s="339" t="str">
        <x:v>Transport / Bus / GPS</x:v>
      </x:c>
      <x:c r="D196" s="339" t="str">
        <x:v>Live GPS Tracking</x:v>
      </x:c>
      <x:c r="E196" s="339" t="str">
        <x:v>Transport Manager, Driver / Conductor, Parent, School Admin</x:v>
      </x:c>
      <x:c r="F196" s="339" t="str">
        <x:v>Operations Portal</x:v>
      </x:c>
      <x:c r="G196" s="339" t="str">
        <x:v>Yes</x:v>
      </x:c>
      <x:c r="H196" s="339" t="str">
        <x:v>Yes</x:v>
      </x:c>
      <x:c r="I196" s="339" t="str">
        <x:v>Yes</x:v>
      </x:c>
      <x:c r="J196" s="339" t="str">
        <x:v>Restricted; prefer inactivate/reverse</x:v>
      </x:c>
      <x:c r="K196" s="339" t="str">
        <x:v>Role/state based</x:v>
      </x:c>
      <x:c r="L196" s="339" t="str">
        <x:v>No / if configured</x:v>
      </x:c>
      <x:c r="M196" s="339" t="str">
        <x:v>Tenant → organization → school → branch → class/section/student/own-record scope as applicable.</x:v>
      </x:c>
      <x:c r="N196" s="339" t="str">
        <x:v>Mask health, counselling, compensation, identity and other sensitive fields unless explicitly required by role.</x:v>
      </x:c>
    </x:row>
    <x:row r="197">
      <x:c r="A197" s="339" t="str">
        <x:v>RB-196</x:v>
      </x:c>
      <x:c r="B197" s="339" t="str">
        <x:v>SCR-196</x:v>
      </x:c>
      <x:c r="C197" s="339" t="str">
        <x:v>Transport / Bus / GPS</x:v>
      </x:c>
      <x:c r="D197" s="339" t="str">
        <x:v>Boarding / Drop Attendance</x:v>
      </x:c>
      <x:c r="E197" s="339" t="str">
        <x:v>Transport Manager, Driver / Conductor, Parent, School Admin</x:v>
      </x:c>
      <x:c r="F197" s="339" t="str">
        <x:v>Operations Portal</x:v>
      </x:c>
      <x:c r="G197" s="339" t="str">
        <x:v>Yes</x:v>
      </x:c>
      <x:c r="H197" s="339" t="str">
        <x:v>Yes</x:v>
      </x:c>
      <x:c r="I197" s="339" t="str">
        <x:v>Yes</x:v>
      </x:c>
      <x:c r="J197" s="339" t="str">
        <x:v>Restricted; prefer inactivate/reverse</x:v>
      </x:c>
      <x:c r="K197" s="339" t="str">
        <x:v>Role/state based</x:v>
      </x:c>
      <x:c r="L197" s="339" t="str">
        <x:v>No / if configured</x:v>
      </x:c>
      <x:c r="M197" s="339" t="str">
        <x:v>Tenant → organization → school → branch → class/section/student/own-record scope as applicable.</x:v>
      </x:c>
      <x:c r="N197" s="339" t="str">
        <x:v>Mask health, counselling, compensation, identity and other sensitive fields unless explicitly required by role.</x:v>
      </x:c>
    </x:row>
    <x:row r="198">
      <x:c r="A198" s="339" t="str">
        <x:v>RB-197</x:v>
      </x:c>
      <x:c r="B198" s="339" t="str">
        <x:v>SCR-197</x:v>
      </x:c>
      <x:c r="C198" s="339" t="str">
        <x:v>Transport / Bus / GPS</x:v>
      </x:c>
      <x:c r="D198" s="339" t="str">
        <x:v>Vehicle Maintenance &amp; Fuel</x:v>
      </x:c>
      <x:c r="E198" s="339" t="str">
        <x:v>Transport Manager, School Admin</x:v>
      </x:c>
      <x:c r="F198" s="339" t="str">
        <x:v>Operations Portal</x:v>
      </x:c>
      <x:c r="G198" s="339" t="str">
        <x:v>Yes</x:v>
      </x:c>
      <x:c r="H198" s="339" t="str">
        <x:v>Yes</x:v>
      </x:c>
      <x:c r="I198" s="339" t="str">
        <x:v>Yes</x:v>
      </x:c>
      <x:c r="J198" s="339" t="str">
        <x:v>Restricted; prefer inactivate/reverse</x:v>
      </x:c>
      <x:c r="K198" s="339" t="str">
        <x:v>Role/state based</x:v>
      </x:c>
      <x:c r="L198" s="339" t="str">
        <x:v>No / if configured</x:v>
      </x:c>
      <x:c r="M198" s="339" t="str">
        <x:v>Tenant → organization → school → branch → class/section/student/own-record scope as applicable.</x:v>
      </x:c>
      <x:c r="N198" s="339" t="str">
        <x:v>Mask health, counselling, compensation, identity and other sensitive fields unless explicitly required by role.</x:v>
      </x:c>
    </x:row>
    <x:row r="199">
      <x:c r="A199" s="339" t="str">
        <x:v>RB-198</x:v>
      </x:c>
      <x:c r="B199" s="339" t="str">
        <x:v>SCR-198</x:v>
      </x:c>
      <x:c r="C199" s="339" t="str">
        <x:v>Library</x:v>
      </x:c>
      <x:c r="D199" s="339" t="str">
        <x:v>Library Catalogue</x:v>
      </x:c>
      <x:c r="E199" s="339" t="str">
        <x:v>Librarian, Student, Teacher, School Admin</x:v>
      </x:c>
      <x:c r="F199" s="339" t="str">
        <x:v>Operations Portal</x:v>
      </x:c>
      <x:c r="G199" s="339" t="str">
        <x:v>Yes</x:v>
      </x:c>
      <x:c r="H199" s="339" t="str">
        <x:v>As permitted</x:v>
      </x:c>
      <x:c r="I199" s="339" t="str">
        <x:v>As permitted</x:v>
      </x:c>
      <x:c r="J199" s="339" t="str">
        <x:v>Restricted; prefer inactivate/reverse</x:v>
      </x:c>
      <x:c r="K199" s="339" t="str">
        <x:v>No / if configured</x:v>
      </x:c>
      <x:c r="L199" s="339" t="str">
        <x:v>Role-based</x:v>
      </x:c>
      <x:c r="M199" s="339" t="str">
        <x:v>Tenant → organization → school → branch → class/section/student/own-record scope as applicable.</x:v>
      </x:c>
      <x:c r="N199" s="339" t="str">
        <x:v>Mask health, counselling, compensation, identity and other sensitive fields unless explicitly required by role.</x:v>
      </x:c>
    </x:row>
    <x:row r="200">
      <x:c r="A200" s="339" t="str">
        <x:v>RB-199</x:v>
      </x:c>
      <x:c r="B200" s="339" t="str">
        <x:v>SCR-199</x:v>
      </x:c>
      <x:c r="C200" s="339" t="str">
        <x:v>Library</x:v>
      </x:c>
      <x:c r="D200" s="339" t="str">
        <x:v>Add / Edit Book</x:v>
      </x:c>
      <x:c r="E200" s="339" t="str">
        <x:v>Librarian, School Admin, Teacher, Student</x:v>
      </x:c>
      <x:c r="F200" s="339" t="str">
        <x:v>Operations Portal</x:v>
      </x:c>
      <x:c r="G200" s="339" t="str">
        <x:v>Yes</x:v>
      </x:c>
      <x:c r="H200" s="339" t="str">
        <x:v>Yes</x:v>
      </x:c>
      <x:c r="I200" s="339" t="str">
        <x:v>As permitted</x:v>
      </x:c>
      <x:c r="J200" s="339" t="str">
        <x:v>Restricted; prefer inactivate/reverse</x:v>
      </x:c>
      <x:c r="K200" s="339" t="str">
        <x:v>No / if configured</x:v>
      </x:c>
      <x:c r="L200" s="339" t="str">
        <x:v>No / if configured</x:v>
      </x:c>
      <x:c r="M200" s="339" t="str">
        <x:v>Tenant → organization → school → branch → class/section/student/own-record scope as applicable.</x:v>
      </x:c>
      <x:c r="N200" s="339" t="str">
        <x:v>Mask health, counselling, compensation, identity and other sensitive fields unless explicitly required by role.</x:v>
      </x:c>
    </x:row>
    <x:row r="201">
      <x:c r="A201" s="339" t="str">
        <x:v>RB-200</x:v>
      </x:c>
      <x:c r="B201" s="339" t="str">
        <x:v>SCR-200</x:v>
      </x:c>
      <x:c r="C201" s="339" t="str">
        <x:v>Library</x:v>
      </x:c>
      <x:c r="D201" s="339" t="str">
        <x:v>Book Details &amp; Copies</x:v>
      </x:c>
      <x:c r="E201" s="339" t="str">
        <x:v>Librarian, School Admin, Teacher, Student</x:v>
      </x:c>
      <x:c r="F201" s="339" t="str">
        <x:v>Operations Portal</x:v>
      </x:c>
      <x:c r="G201" s="339" t="str">
        <x:v>Yes</x:v>
      </x:c>
      <x:c r="H201" s="339" t="str">
        <x:v>As permitted</x:v>
      </x:c>
      <x:c r="I201" s="339" t="str">
        <x:v>Yes</x:v>
      </x:c>
      <x:c r="J201" s="339" t="str">
        <x:v>Restricted; prefer inactivate/reverse</x:v>
      </x:c>
      <x:c r="K201" s="339" t="str">
        <x:v>No / if configured</x:v>
      </x:c>
      <x:c r="L201" s="339" t="str">
        <x:v>Role-based</x:v>
      </x:c>
      <x:c r="M201" s="339" t="str">
        <x:v>Tenant → organization → school → branch → class/section/student/own-record scope as applicable.</x:v>
      </x:c>
      <x:c r="N201" s="339" t="str">
        <x:v>Mask health, counselling, compensation, identity and other sensitive fields unless explicitly required by role.</x:v>
      </x:c>
    </x:row>
    <x:row r="202">
      <x:c r="A202" s="339" t="str">
        <x:v>RB-201</x:v>
      </x:c>
      <x:c r="B202" s="339" t="str">
        <x:v>SCR-201</x:v>
      </x:c>
      <x:c r="C202" s="339" t="str">
        <x:v>Library</x:v>
      </x:c>
      <x:c r="D202" s="339" t="str">
        <x:v>Library Members</x:v>
      </x:c>
      <x:c r="E202" s="339" t="str">
        <x:v>Librarian, School Admin, Teacher, Student</x:v>
      </x:c>
      <x:c r="F202" s="339" t="str">
        <x:v>Operations Portal</x:v>
      </x:c>
      <x:c r="G202" s="339" t="str">
        <x:v>Yes</x:v>
      </x:c>
      <x:c r="H202" s="339" t="str">
        <x:v>As permitted</x:v>
      </x:c>
      <x:c r="I202" s="339" t="str">
        <x:v>As permitted</x:v>
      </x:c>
      <x:c r="J202" s="339" t="str">
        <x:v>Restricted; prefer inactivate/reverse</x:v>
      </x:c>
      <x:c r="K202" s="339" t="str">
        <x:v>No / if configured</x:v>
      </x:c>
      <x:c r="L202" s="339" t="str">
        <x:v>Role-based</x:v>
      </x:c>
      <x:c r="M202" s="339" t="str">
        <x:v>Tenant → organization → school → branch → class/section/student/own-record scope as applicable.</x:v>
      </x:c>
      <x:c r="N202" s="339" t="str">
        <x:v>Mask health, counselling, compensation, identity and other sensitive fields unless explicitly required by role.</x:v>
      </x:c>
    </x:row>
    <x:row r="203">
      <x:c r="A203" s="339" t="str">
        <x:v>RB-202</x:v>
      </x:c>
      <x:c r="B203" s="339" t="str">
        <x:v>SCR-202</x:v>
      </x:c>
      <x:c r="C203" s="339" t="str">
        <x:v>Library</x:v>
      </x:c>
      <x:c r="D203" s="339" t="str">
        <x:v>Issue Book</x:v>
      </x:c>
      <x:c r="E203" s="339" t="str">
        <x:v>Librarian, Student, Teacher</x:v>
      </x:c>
      <x:c r="F203" s="339" t="str">
        <x:v>Teacher Portal</x:v>
      </x:c>
      <x:c r="G203" s="339" t="str">
        <x:v>Yes</x:v>
      </x:c>
      <x:c r="H203" s="339" t="str">
        <x:v>Yes</x:v>
      </x:c>
      <x:c r="I203" s="339" t="str">
        <x:v>Yes</x:v>
      </x:c>
      <x:c r="J203" s="339" t="str">
        <x:v>Restricted; prefer inactivate/reverse</x:v>
      </x:c>
      <x:c r="K203" s="339" t="str">
        <x:v>Role/state based</x:v>
      </x:c>
      <x:c r="L203" s="339" t="str">
        <x:v>No / if configured</x:v>
      </x:c>
      <x:c r="M203" s="339" t="str">
        <x:v>Tenant → organization → school → branch → class/section/student/own-record scope as applicable.</x:v>
      </x:c>
      <x:c r="N203" s="339" t="str">
        <x:v>Mask health, counselling, compensation, identity and other sensitive fields unless explicitly required by role.</x:v>
      </x:c>
    </x:row>
    <x:row r="204">
      <x:c r="A204" s="339" t="str">
        <x:v>RB-203</x:v>
      </x:c>
      <x:c r="B204" s="339" t="str">
        <x:v>SCR-203</x:v>
      </x:c>
      <x:c r="C204" s="339" t="str">
        <x:v>Library</x:v>
      </x:c>
      <x:c r="D204" s="339" t="str">
        <x:v>Return Book</x:v>
      </x:c>
      <x:c r="E204" s="339" t="str">
        <x:v>Librarian, Student, Teacher</x:v>
      </x:c>
      <x:c r="F204" s="339" t="str">
        <x:v>Teacher Portal</x:v>
      </x:c>
      <x:c r="G204" s="339" t="str">
        <x:v>Yes</x:v>
      </x:c>
      <x:c r="H204" s="339" t="str">
        <x:v>Yes</x:v>
      </x:c>
      <x:c r="I204" s="339" t="str">
        <x:v>Yes</x:v>
      </x:c>
      <x:c r="J204" s="339" t="str">
        <x:v>Restricted; prefer inactivate/reverse</x:v>
      </x:c>
      <x:c r="K204" s="339" t="str">
        <x:v>Role/state based</x:v>
      </x:c>
      <x:c r="L204" s="339" t="str">
        <x:v>No / if configured</x:v>
      </x:c>
      <x:c r="M204" s="339" t="str">
        <x:v>Tenant → organization → school → branch → class/section/student/own-record scope as applicable.</x:v>
      </x:c>
      <x:c r="N204" s="339" t="str">
        <x:v>Mask health, counselling, compensation, identity and other sensitive fields unless explicitly required by role.</x:v>
      </x:c>
    </x:row>
    <x:row r="205">
      <x:c r="A205" s="339" t="str">
        <x:v>RB-204</x:v>
      </x:c>
      <x:c r="B205" s="339" t="str">
        <x:v>SCR-204</x:v>
      </x:c>
      <x:c r="C205" s="339" t="str">
        <x:v>Library</x:v>
      </x:c>
      <x:c r="D205" s="339" t="str">
        <x:v>Renew / Reserve Book</x:v>
      </x:c>
      <x:c r="E205" s="339" t="str">
        <x:v>Librarian, Student, Teacher</x:v>
      </x:c>
      <x:c r="F205" s="339" t="str">
        <x:v>Teacher Portal</x:v>
      </x:c>
      <x:c r="G205" s="339" t="str">
        <x:v>Yes</x:v>
      </x:c>
      <x:c r="H205" s="339" t="str">
        <x:v>Yes</x:v>
      </x:c>
      <x:c r="I205" s="339" t="str">
        <x:v>As permitted</x:v>
      </x:c>
      <x:c r="J205" s="339" t="str">
        <x:v>Restricted; prefer inactivate/reverse</x:v>
      </x:c>
      <x:c r="K205" s="339" t="str">
        <x:v>No / if configured</x:v>
      </x:c>
      <x:c r="L205" s="339" t="str">
        <x:v>No / if configured</x:v>
      </x:c>
      <x:c r="M205" s="339" t="str">
        <x:v>Tenant → organization → school → branch → class/section/student/own-record scope as applicable.</x:v>
      </x:c>
      <x:c r="N205" s="339" t="str">
        <x:v>Mask health, counselling, compensation, identity and other sensitive fields unless explicitly required by role.</x:v>
      </x:c>
    </x:row>
    <x:row r="206">
      <x:c r="A206" s="339" t="str">
        <x:v>RB-205</x:v>
      </x:c>
      <x:c r="B206" s="339" t="str">
        <x:v>SCR-205</x:v>
      </x:c>
      <x:c r="C206" s="339" t="str">
        <x:v>Library</x:v>
      </x:c>
      <x:c r="D206" s="339" t="str">
        <x:v>Fine / Lost / Damaged Book</x:v>
      </x:c>
      <x:c r="E206" s="339" t="str">
        <x:v>Librarian, Student, Teacher</x:v>
      </x:c>
      <x:c r="F206" s="339" t="str">
        <x:v>Teacher Portal</x:v>
      </x:c>
      <x:c r="G206" s="339" t="str">
        <x:v>Yes</x:v>
      </x:c>
      <x:c r="H206" s="339" t="str">
        <x:v>Yes</x:v>
      </x:c>
      <x:c r="I206" s="339" t="str">
        <x:v>Yes</x:v>
      </x:c>
      <x:c r="J206" s="339" t="str">
        <x:v>Restricted; prefer inactivate/reverse</x:v>
      </x:c>
      <x:c r="K206" s="339" t="str">
        <x:v>Role/state based</x:v>
      </x:c>
      <x:c r="L206" s="339" t="str">
        <x:v>No / if configured</x:v>
      </x:c>
      <x:c r="M206" s="339" t="str">
        <x:v>Tenant → organization → school → branch → class/section/student/own-record scope as applicable.</x:v>
      </x:c>
      <x:c r="N206" s="339" t="str">
        <x:v>Mask health, counselling, compensation, identity and other sensitive fields unless explicitly required by role.</x:v>
      </x:c>
    </x:row>
    <x:row r="207">
      <x:c r="A207" s="339" t="str">
        <x:v>RB-206</x:v>
      </x:c>
      <x:c r="B207" s="339" t="str">
        <x:v>SCR-206</x:v>
      </x:c>
      <x:c r="C207" s="339" t="str">
        <x:v>Library</x:v>
      </x:c>
      <x:c r="D207" s="339" t="str">
        <x:v>Digital Library</x:v>
      </x:c>
      <x:c r="E207" s="339" t="str">
        <x:v>Librarian, Student, Teacher, School Admin</x:v>
      </x:c>
      <x:c r="F207" s="339" t="str">
        <x:v>Operations Portal</x:v>
      </x:c>
      <x:c r="G207" s="339" t="str">
        <x:v>Yes</x:v>
      </x:c>
      <x:c r="H207" s="339" t="str">
        <x:v>Yes</x:v>
      </x:c>
      <x:c r="I207" s="339" t="str">
        <x:v>Yes</x:v>
      </x:c>
      <x:c r="J207" s="339" t="str">
        <x:v>Restricted; prefer inactivate/reverse</x:v>
      </x:c>
      <x:c r="K207" s="339" t="str">
        <x:v>Role/state based</x:v>
      </x:c>
      <x:c r="L207" s="339" t="str">
        <x:v>No / if configured</x:v>
      </x:c>
      <x:c r="M207" s="339" t="str">
        <x:v>Tenant → organization → school → branch → class/section/student/own-record scope as applicable.</x:v>
      </x:c>
      <x:c r="N207" s="339" t="str">
        <x:v>Mask health, counselling, compensation, identity and other sensitive fields unless explicitly required by role.</x:v>
      </x:c>
    </x:row>
    <x:row r="208">
      <x:c r="A208" s="339" t="str">
        <x:v>RB-207</x:v>
      </x:c>
      <x:c r="B208" s="339" t="str">
        <x:v>SCR-207</x:v>
      </x:c>
      <x:c r="C208" s="339" t="str">
        <x:v>Library</x:v>
      </x:c>
      <x:c r="D208" s="339" t="str">
        <x:v>Library Reports</x:v>
      </x:c>
      <x:c r="E208" s="339" t="str">
        <x:v>Librarian, School Admin, Teacher, Student</x:v>
      </x:c>
      <x:c r="F208" s="339" t="str">
        <x:v>Operations Portal</x:v>
      </x:c>
      <x:c r="G208" s="339" t="str">
        <x:v>Yes</x:v>
      </x:c>
      <x:c r="H208" s="339" t="str">
        <x:v>As permitted</x:v>
      </x:c>
      <x:c r="I208" s="339" t="str">
        <x:v>As permitted</x:v>
      </x:c>
      <x:c r="J208" s="339" t="str">
        <x:v>Restricted; prefer inactivate/reverse</x:v>
      </x:c>
      <x:c r="K208" s="339" t="str">
        <x:v>No / if configured</x:v>
      </x:c>
      <x:c r="L208" s="339" t="str">
        <x:v>Role-based</x:v>
      </x:c>
      <x:c r="M208" s="339" t="str">
        <x:v>Tenant → organization → school → branch → class/section/student/own-record scope as applicable.</x:v>
      </x:c>
      <x:c r="N208" s="339" t="str">
        <x:v>Mask health, counselling, compensation, identity and other sensitive fields unless explicitly required by role.</x:v>
      </x:c>
    </x:row>
    <x:row r="209">
      <x:c r="A209" s="339" t="str">
        <x:v>RB-208</x:v>
      </x:c>
      <x:c r="B209" s="339" t="str">
        <x:v>SCR-208</x:v>
      </x:c>
      <x:c r="C209" s="339" t="str">
        <x:v>Hostel</x:v>
      </x:c>
      <x:c r="D209" s="339" t="str">
        <x:v>Hostels / Buildings</x:v>
      </x:c>
      <x:c r="E209" s="339" t="str">
        <x:v>Hostel Warden, School Admin, Parent, Student</x:v>
      </x:c>
      <x:c r="F209" s="339" t="str">
        <x:v>Operations Portal</x:v>
      </x:c>
      <x:c r="G209" s="339" t="str">
        <x:v>Yes</x:v>
      </x:c>
      <x:c r="H209" s="339" t="str">
        <x:v>Yes</x:v>
      </x:c>
      <x:c r="I209" s="339" t="str">
        <x:v>Yes</x:v>
      </x:c>
      <x:c r="J209" s="339" t="str">
        <x:v>Restricted; prefer inactivate/reverse</x:v>
      </x:c>
      <x:c r="K209" s="339" t="str">
        <x:v>Role/state based</x:v>
      </x:c>
      <x:c r="L209" s="339" t="str">
        <x:v>No / if configured</x:v>
      </x:c>
      <x:c r="M209" s="339" t="str">
        <x:v>Tenant → organization → school → branch → class/section/student/own-record scope as applicable.</x:v>
      </x:c>
      <x:c r="N209" s="339" t="str">
        <x:v>Mask health, counselling, compensation, identity and other sensitive fields unless explicitly required by role.</x:v>
      </x:c>
    </x:row>
    <x:row r="210">
      <x:c r="A210" s="339" t="str">
        <x:v>RB-209</x:v>
      </x:c>
      <x:c r="B210" s="339" t="str">
        <x:v>SCR-209</x:v>
      </x:c>
      <x:c r="C210" s="339" t="str">
        <x:v>Hostel</x:v>
      </x:c>
      <x:c r="D210" s="339" t="str">
        <x:v>Rooms &amp; Beds</x:v>
      </x:c>
      <x:c r="E210" s="339" t="str">
        <x:v>Hostel Warden, School Admin, Parent, Student</x:v>
      </x:c>
      <x:c r="F210" s="339" t="str">
        <x:v>Operations Portal</x:v>
      </x:c>
      <x:c r="G210" s="339" t="str">
        <x:v>Yes</x:v>
      </x:c>
      <x:c r="H210" s="339" t="str">
        <x:v>Yes</x:v>
      </x:c>
      <x:c r="I210" s="339" t="str">
        <x:v>Yes</x:v>
      </x:c>
      <x:c r="J210" s="339" t="str">
        <x:v>Restricted; prefer inactivate/reverse</x:v>
      </x:c>
      <x:c r="K210" s="339" t="str">
        <x:v>Role/state based</x:v>
      </x:c>
      <x:c r="L210" s="339" t="str">
        <x:v>No / if configured</x:v>
      </x:c>
      <x:c r="M210" s="339" t="str">
        <x:v>Tenant → organization → school → branch → class/section/student/own-record scope as applicable.</x:v>
      </x:c>
      <x:c r="N210" s="339" t="str">
        <x:v>Mask health, counselling, compensation, identity and other sensitive fields unless explicitly required by role.</x:v>
      </x:c>
    </x:row>
    <x:row r="211">
      <x:c r="A211" s="339" t="str">
        <x:v>RB-210</x:v>
      </x:c>
      <x:c r="B211" s="339" t="str">
        <x:v>SCR-210</x:v>
      </x:c>
      <x:c r="C211" s="339" t="str">
        <x:v>Hostel</x:v>
      </x:c>
      <x:c r="D211" s="339" t="str">
        <x:v>Student Hostel Allocation</x:v>
      </x:c>
      <x:c r="E211" s="339" t="str">
        <x:v>Hostel Warden, School Admin, Parent, Student</x:v>
      </x:c>
      <x:c r="F211" s="339" t="str">
        <x:v>Operations Portal</x:v>
      </x:c>
      <x:c r="G211" s="339" t="str">
        <x:v>Yes</x:v>
      </x:c>
      <x:c r="H211" s="339" t="str">
        <x:v>Yes</x:v>
      </x:c>
      <x:c r="I211" s="339" t="str">
        <x:v>Yes</x:v>
      </x:c>
      <x:c r="J211" s="339" t="str">
        <x:v>Restricted; prefer inactivate/reverse</x:v>
      </x:c>
      <x:c r="K211" s="339" t="str">
        <x:v>Role/state based</x:v>
      </x:c>
      <x:c r="L211" s="339" t="str">
        <x:v>No / if configured</x:v>
      </x:c>
      <x:c r="M211" s="339" t="str">
        <x:v>Tenant → organization → school → branch → class/section/student/own-record scope as applicable.</x:v>
      </x:c>
      <x:c r="N211" s="339" t="str">
        <x:v>Mask health, counselling, compensation, identity and other sensitive fields unless explicitly required by role.</x:v>
      </x:c>
    </x:row>
    <x:row r="212">
      <x:c r="A212" s="339" t="str">
        <x:v>RB-211</x:v>
      </x:c>
      <x:c r="B212" s="339" t="str">
        <x:v>SCR-211</x:v>
      </x:c>
      <x:c r="C212" s="339" t="str">
        <x:v>Hostel</x:v>
      </x:c>
      <x:c r="D212" s="339" t="str">
        <x:v>Warden Management</x:v>
      </x:c>
      <x:c r="E212" s="339" t="str">
        <x:v>Hostel Warden, School Admin, Parent, Student</x:v>
      </x:c>
      <x:c r="F212" s="339" t="str">
        <x:v>Operations Portal</x:v>
      </x:c>
      <x:c r="G212" s="339" t="str">
        <x:v>Yes</x:v>
      </x:c>
      <x:c r="H212" s="339" t="str">
        <x:v>Yes</x:v>
      </x:c>
      <x:c r="I212" s="339" t="str">
        <x:v>Yes</x:v>
      </x:c>
      <x:c r="J212" s="339" t="str">
        <x:v>Restricted; prefer inactivate/reverse</x:v>
      </x:c>
      <x:c r="K212" s="339" t="str">
        <x:v>Role/state based</x:v>
      </x:c>
      <x:c r="L212" s="339" t="str">
        <x:v>No / if configured</x:v>
      </x:c>
      <x:c r="M212" s="339" t="str">
        <x:v>Tenant → organization → school → branch → class/section/student/own-record scope as applicable.</x:v>
      </x:c>
      <x:c r="N212" s="339" t="str">
        <x:v>Mask health, counselling, compensation, identity and other sensitive fields unless explicitly required by role.</x:v>
      </x:c>
    </x:row>
    <x:row r="213">
      <x:c r="A213" s="339" t="str">
        <x:v>RB-212</x:v>
      </x:c>
      <x:c r="B213" s="339" t="str">
        <x:v>SCR-212</x:v>
      </x:c>
      <x:c r="C213" s="339" t="str">
        <x:v>Hostel</x:v>
      </x:c>
      <x:c r="D213" s="339" t="str">
        <x:v>Hostel Attendance</x:v>
      </x:c>
      <x:c r="E213" s="339" t="str">
        <x:v>Hostel Warden, School Admin, Parent, Student</x:v>
      </x:c>
      <x:c r="F213" s="339" t="str">
        <x:v>Operations Portal</x:v>
      </x:c>
      <x:c r="G213" s="339" t="str">
        <x:v>Yes</x:v>
      </x:c>
      <x:c r="H213" s="339" t="str">
        <x:v>Yes</x:v>
      </x:c>
      <x:c r="I213" s="339" t="str">
        <x:v>Yes</x:v>
      </x:c>
      <x:c r="J213" s="339" t="str">
        <x:v>Restricted; prefer inactivate/reverse</x:v>
      </x:c>
      <x:c r="K213" s="339" t="str">
        <x:v>Role/state based</x:v>
      </x:c>
      <x:c r="L213" s="339" t="str">
        <x:v>No / if configured</x:v>
      </x:c>
      <x:c r="M213" s="339" t="str">
        <x:v>Tenant → organization → school → branch → class/section/student/own-record scope as applicable.</x:v>
      </x:c>
      <x:c r="N213" s="339" t="str">
        <x:v>Mask health, counselling, compensation, identity and other sensitive fields unless explicitly required by role.</x:v>
      </x:c>
    </x:row>
    <x:row r="214">
      <x:c r="A214" s="339" t="str">
        <x:v>RB-213</x:v>
      </x:c>
      <x:c r="B214" s="339" t="str">
        <x:v>SCR-213</x:v>
      </x:c>
      <x:c r="C214" s="339" t="str">
        <x:v>Hostel</x:v>
      </x:c>
      <x:c r="D214" s="339" t="str">
        <x:v>Leave / Outing</x:v>
      </x:c>
      <x:c r="E214" s="339" t="str">
        <x:v>Hostel Warden, School Admin, Parent, Student</x:v>
      </x:c>
      <x:c r="F214" s="339" t="str">
        <x:v>Operations Portal</x:v>
      </x:c>
      <x:c r="G214" s="339" t="str">
        <x:v>Yes</x:v>
      </x:c>
      <x:c r="H214" s="339" t="str">
        <x:v>Yes</x:v>
      </x:c>
      <x:c r="I214" s="339" t="str">
        <x:v>Yes</x:v>
      </x:c>
      <x:c r="J214" s="339" t="str">
        <x:v>Restricted; prefer inactivate/reverse</x:v>
      </x:c>
      <x:c r="K214" s="339" t="str">
        <x:v>Role/state based</x:v>
      </x:c>
      <x:c r="L214" s="339" t="str">
        <x:v>No / if configured</x:v>
      </x:c>
      <x:c r="M214" s="339" t="str">
        <x:v>Tenant → organization → school → branch → class/section/student/own-record scope as applicable.</x:v>
      </x:c>
      <x:c r="N214" s="339" t="str">
        <x:v>Mask health, counselling, compensation, identity and other sensitive fields unless explicitly required by role.</x:v>
      </x:c>
    </x:row>
    <x:row r="215">
      <x:c r="A215" s="339" t="str">
        <x:v>RB-214</x:v>
      </x:c>
      <x:c r="B215" s="339" t="str">
        <x:v>SCR-214</x:v>
      </x:c>
      <x:c r="C215" s="339" t="str">
        <x:v>Hostel</x:v>
      </x:c>
      <x:c r="D215" s="339" t="str">
        <x:v>Mess / Meal Schedule</x:v>
      </x:c>
      <x:c r="E215" s="339" t="str">
        <x:v>Hostel Warden, School Admin, Parent, Student</x:v>
      </x:c>
      <x:c r="F215" s="339" t="str">
        <x:v>Operations Portal</x:v>
      </x:c>
      <x:c r="G215" s="339" t="str">
        <x:v>Yes</x:v>
      </x:c>
      <x:c r="H215" s="339" t="str">
        <x:v>Yes</x:v>
      </x:c>
      <x:c r="I215" s="339" t="str">
        <x:v>Yes</x:v>
      </x:c>
      <x:c r="J215" s="339" t="str">
        <x:v>Restricted; prefer inactivate/reverse</x:v>
      </x:c>
      <x:c r="K215" s="339" t="str">
        <x:v>No / if configured</x:v>
      </x:c>
      <x:c r="L215" s="339" t="str">
        <x:v>No / if configured</x:v>
      </x:c>
      <x:c r="M215" s="339" t="str">
        <x:v>Tenant → organization → school → branch → class/section/student/own-record scope as applicable.</x:v>
      </x:c>
      <x:c r="N215" s="339" t="str">
        <x:v>Mask health, counselling, compensation, identity and other sensitive fields unless explicitly required by role.</x:v>
      </x:c>
    </x:row>
    <x:row r="216">
      <x:c r="A216" s="339" t="str">
        <x:v>RB-215</x:v>
      </x:c>
      <x:c r="B216" s="339" t="str">
        <x:v>SCR-215</x:v>
      </x:c>
      <x:c r="C216" s="339" t="str">
        <x:v>Hostel</x:v>
      </x:c>
      <x:c r="D216" s="339" t="str">
        <x:v>Hostel Complaints &amp; Fees</x:v>
      </x:c>
      <x:c r="E216" s="339" t="str">
        <x:v>Hostel Warden, School Admin, Parent, Student</x:v>
      </x:c>
      <x:c r="F216" s="339" t="str">
        <x:v>Operations Portal</x:v>
      </x:c>
      <x:c r="G216" s="339" t="str">
        <x:v>Yes</x:v>
      </x:c>
      <x:c r="H216" s="339" t="str">
        <x:v>Yes</x:v>
      </x:c>
      <x:c r="I216" s="339" t="str">
        <x:v>Yes</x:v>
      </x:c>
      <x:c r="J216" s="339" t="str">
        <x:v>Restricted; prefer inactivate/reverse</x:v>
      </x:c>
      <x:c r="K216" s="339" t="str">
        <x:v>Role/state based</x:v>
      </x:c>
      <x:c r="L216" s="339" t="str">
        <x:v>No / if configured</x:v>
      </x:c>
      <x:c r="M216" s="339" t="str">
        <x:v>Tenant → organization → school → branch → class/section/student/own-record scope as applicable.</x:v>
      </x:c>
      <x:c r="N216" s="339" t="str">
        <x:v>Mask health, counselling, compensation, identity and other sensitive fields unless explicitly required by role.</x:v>
      </x:c>
    </x:row>
    <x:row r="217">
      <x:c r="A217" s="339" t="str">
        <x:v>RB-216</x:v>
      </x:c>
      <x:c r="B217" s="339" t="str">
        <x:v>SCR-216</x:v>
      </x:c>
      <x:c r="C217" s="339" t="str">
        <x:v>Health / Counselling / Discipline</x:v>
      </x:c>
      <x:c r="D217" s="339" t="str">
        <x:v>Health Dashboard</x:v>
      </x:c>
      <x:c r="E217" s="339" t="str">
        <x:v>Nurse / Medical Officer, Counsellor, School Admin, Principal, Parent</x:v>
      </x:c>
      <x:c r="F217" s="339" t="str">
        <x:v>Operations Portal</x:v>
      </x:c>
      <x:c r="G217" s="339" t="str">
        <x:v>Yes</x:v>
      </x:c>
      <x:c r="H217" s="339" t="str">
        <x:v>As permitted</x:v>
      </x:c>
      <x:c r="I217" s="339" t="str">
        <x:v>As permitted</x:v>
      </x:c>
      <x:c r="J217" s="339" t="str">
        <x:v>Restricted; prefer inactivate/reverse</x:v>
      </x:c>
      <x:c r="K217" s="339" t="str">
        <x:v>No / if configured</x:v>
      </x:c>
      <x:c r="L217" s="339" t="str">
        <x:v>Role-based</x:v>
      </x:c>
      <x:c r="M217" s="339" t="str">
        <x:v>Tenant → organization → school → branch → class/section/student/own-record scope as applicable.</x:v>
      </x:c>
      <x:c r="N217" s="339" t="str">
        <x:v>Mask health, counselling, compensation, identity and other sensitive fields unless explicitly required by role.</x:v>
      </x:c>
    </x:row>
    <x:row r="218">
      <x:c r="A218" s="339" t="str">
        <x:v>RB-217</x:v>
      </x:c>
      <x:c r="B218" s="339" t="str">
        <x:v>SCR-217</x:v>
      </x:c>
      <x:c r="C218" s="339" t="str">
        <x:v>Health / Counselling / Discipline</x:v>
      </x:c>
      <x:c r="D218" s="339" t="str">
        <x:v>Student Medical Profile</x:v>
      </x:c>
      <x:c r="E218" s="339" t="str">
        <x:v>Nurse / Medical Officer, Counsellor, School Admin, Principal, Parent</x:v>
      </x:c>
      <x:c r="F218" s="339" t="str">
        <x:v>Operations Portal</x:v>
      </x:c>
      <x:c r="G218" s="339" t="str">
        <x:v>Yes</x:v>
      </x:c>
      <x:c r="H218" s="339" t="str">
        <x:v>As permitted</x:v>
      </x:c>
      <x:c r="I218" s="339" t="str">
        <x:v>Yes</x:v>
      </x:c>
      <x:c r="J218" s="339" t="str">
        <x:v>Restricted; prefer inactivate/reverse</x:v>
      </x:c>
      <x:c r="K218" s="339" t="str">
        <x:v>No / if configured</x:v>
      </x:c>
      <x:c r="L218" s="339" t="str">
        <x:v>Role-based</x:v>
      </x:c>
      <x:c r="M218" s="339" t="str">
        <x:v>Tenant → organization → school → branch → class/section/student/own-record scope as applicable.</x:v>
      </x:c>
      <x:c r="N218" s="339" t="str">
        <x:v>Mask health, counselling, compensation, identity and other sensitive fields unless explicitly required by role.</x:v>
      </x:c>
    </x:row>
    <x:row r="219">
      <x:c r="A219" s="339" t="str">
        <x:v>RB-218</x:v>
      </x:c>
      <x:c r="B219" s="339" t="str">
        <x:v>SCR-218</x:v>
      </x:c>
      <x:c r="C219" s="339" t="str">
        <x:v>Health / Counselling / Discipline</x:v>
      </x:c>
      <x:c r="D219" s="339" t="str">
        <x:v>Clinic Visit</x:v>
      </x:c>
      <x:c r="E219" s="339" t="str">
        <x:v>Nurse / Medical Officer, Counsellor, School Admin, Principal, Parent</x:v>
      </x:c>
      <x:c r="F219" s="339" t="str">
        <x:v>Operations Portal</x:v>
      </x:c>
      <x:c r="G219" s="339" t="str">
        <x:v>Yes</x:v>
      </x:c>
      <x:c r="H219" s="339" t="str">
        <x:v>Yes</x:v>
      </x:c>
      <x:c r="I219" s="339" t="str">
        <x:v>Yes</x:v>
      </x:c>
      <x:c r="J219" s="339" t="str">
        <x:v>Restricted; prefer inactivate/reverse</x:v>
      </x:c>
      <x:c r="K219" s="339" t="str">
        <x:v>Role/state based</x:v>
      </x:c>
      <x:c r="L219" s="339" t="str">
        <x:v>No / if configured</x:v>
      </x:c>
      <x:c r="M219" s="339" t="str">
        <x:v>Tenant → organization → school → branch → class/section/student/own-record scope as applicable.</x:v>
      </x:c>
      <x:c r="N219" s="339" t="str">
        <x:v>Mask health, counselling, compensation, identity and other sensitive fields unless explicitly required by role.</x:v>
      </x:c>
    </x:row>
    <x:row r="220">
      <x:c r="A220" s="339" t="str">
        <x:v>RB-219</x:v>
      </x:c>
      <x:c r="B220" s="339" t="str">
        <x:v>SCR-219</x:v>
      </x:c>
      <x:c r="C220" s="339" t="str">
        <x:v>Health / Counselling / Discipline</x:v>
      </x:c>
      <x:c r="D220" s="339" t="str">
        <x:v>Medication / First Aid</x:v>
      </x:c>
      <x:c r="E220" s="339" t="str">
        <x:v>Nurse / Medical Officer, Counsellor, School Admin, Principal, Parent</x:v>
      </x:c>
      <x:c r="F220" s="339" t="str">
        <x:v>Operations Portal</x:v>
      </x:c>
      <x:c r="G220" s="339" t="str">
        <x:v>Yes</x:v>
      </x:c>
      <x:c r="H220" s="339" t="str">
        <x:v>Yes</x:v>
      </x:c>
      <x:c r="I220" s="339" t="str">
        <x:v>Yes</x:v>
      </x:c>
      <x:c r="J220" s="339" t="str">
        <x:v>Restricted; prefer inactivate/reverse</x:v>
      </x:c>
      <x:c r="K220" s="339" t="str">
        <x:v>Role/state based</x:v>
      </x:c>
      <x:c r="L220" s="339" t="str">
        <x:v>No / if configured</x:v>
      </x:c>
      <x:c r="M220" s="339" t="str">
        <x:v>Tenant → organization → school → branch → class/section/student/own-record scope as applicable.</x:v>
      </x:c>
      <x:c r="N220" s="339" t="str">
        <x:v>Mask health, counselling, compensation, identity and other sensitive fields unless explicitly required by role.</x:v>
      </x:c>
    </x:row>
    <x:row r="221">
      <x:c r="A221" s="339" t="str">
        <x:v>RB-220</x:v>
      </x:c>
      <x:c r="B221" s="339" t="str">
        <x:v>SCR-220</x:v>
      </x:c>
      <x:c r="C221" s="339" t="str">
        <x:v>Health / Counselling / Discipline</x:v>
      </x:c>
      <x:c r="D221" s="339" t="str">
        <x:v>Immunization / Allergy</x:v>
      </x:c>
      <x:c r="E221" s="339" t="str">
        <x:v>Nurse / Medical Officer, Counsellor, School Admin, Principal, Parent</x:v>
      </x:c>
      <x:c r="F221" s="339" t="str">
        <x:v>Operations Portal</x:v>
      </x:c>
      <x:c r="G221" s="339" t="str">
        <x:v>Yes</x:v>
      </x:c>
      <x:c r="H221" s="339" t="str">
        <x:v>Yes</x:v>
      </x:c>
      <x:c r="I221" s="339" t="str">
        <x:v>Yes</x:v>
      </x:c>
      <x:c r="J221" s="339" t="str">
        <x:v>Restricted; prefer inactivate/reverse</x:v>
      </x:c>
      <x:c r="K221" s="339" t="str">
        <x:v>Role/state based</x:v>
      </x:c>
      <x:c r="L221" s="339" t="str">
        <x:v>No / if configured</x:v>
      </x:c>
      <x:c r="M221" s="339" t="str">
        <x:v>Tenant → organization → school → branch → class/section/student/own-record scope as applicable.</x:v>
      </x:c>
      <x:c r="N221" s="339" t="str">
        <x:v>Mask health, counselling, compensation, identity and other sensitive fields unless explicitly required by role.</x:v>
      </x:c>
    </x:row>
    <x:row r="222">
      <x:c r="A222" s="339" t="str">
        <x:v>RB-221</x:v>
      </x:c>
      <x:c r="B222" s="339" t="str">
        <x:v>SCR-221</x:v>
      </x:c>
      <x:c r="C222" s="339" t="str">
        <x:v>Health / Counselling / Discipline</x:v>
      </x:c>
      <x:c r="D222" s="339" t="str">
        <x:v>Counselling Appointments</x:v>
      </x:c>
      <x:c r="E222" s="339" t="str">
        <x:v>Nurse / Medical Officer, Counsellor, School Admin, Principal, Parent</x:v>
      </x:c>
      <x:c r="F222" s="339" t="str">
        <x:v>Operations Portal</x:v>
      </x:c>
      <x:c r="G222" s="339" t="str">
        <x:v>Yes</x:v>
      </x:c>
      <x:c r="H222" s="339" t="str">
        <x:v>Yes</x:v>
      </x:c>
      <x:c r="I222" s="339" t="str">
        <x:v>Yes</x:v>
      </x:c>
      <x:c r="J222" s="339" t="str">
        <x:v>Restricted; prefer inactivate/reverse</x:v>
      </x:c>
      <x:c r="K222" s="339" t="str">
        <x:v>Role/state based</x:v>
      </x:c>
      <x:c r="L222" s="339" t="str">
        <x:v>No / if configured</x:v>
      </x:c>
      <x:c r="M222" s="339" t="str">
        <x:v>Tenant → organization → school → branch → class/section/student/own-record scope as applicable.</x:v>
      </x:c>
      <x:c r="N222" s="339" t="str">
        <x:v>Mask health, counselling, compensation, identity and other sensitive fields unless explicitly required by role.</x:v>
      </x:c>
    </x:row>
    <x:row r="223">
      <x:c r="A223" s="339" t="str">
        <x:v>RB-222</x:v>
      </x:c>
      <x:c r="B223" s="339" t="str">
        <x:v>SCR-222</x:v>
      </x:c>
      <x:c r="C223" s="339" t="str">
        <x:v>Health / Counselling / Discipline</x:v>
      </x:c>
      <x:c r="D223" s="339" t="str">
        <x:v>Counselling Case Notes</x:v>
      </x:c>
      <x:c r="E223" s="339" t="str">
        <x:v>Nurse / Medical Officer, Counsellor, School Admin, Principal, Parent</x:v>
      </x:c>
      <x:c r="F223" s="339" t="str">
        <x:v>Operations Portal</x:v>
      </x:c>
      <x:c r="G223" s="339" t="str">
        <x:v>Yes</x:v>
      </x:c>
      <x:c r="H223" s="339" t="str">
        <x:v>Yes</x:v>
      </x:c>
      <x:c r="I223" s="339" t="str">
        <x:v>Yes</x:v>
      </x:c>
      <x:c r="J223" s="339" t="str">
        <x:v>Restricted; prefer inactivate/reverse</x:v>
      </x:c>
      <x:c r="K223" s="339" t="str">
        <x:v>Role/state based</x:v>
      </x:c>
      <x:c r="L223" s="339" t="str">
        <x:v>No / if configured</x:v>
      </x:c>
      <x:c r="M223" s="339" t="str">
        <x:v>Tenant → organization → school → branch → class/section/student/own-record scope as applicable.</x:v>
      </x:c>
      <x:c r="N223" s="339" t="str">
        <x:v>Mask health, counselling, compensation, identity and other sensitive fields unless explicitly required by role.</x:v>
      </x:c>
    </x:row>
    <x:row r="224">
      <x:c r="A224" s="339" t="str">
        <x:v>RB-223</x:v>
      </x:c>
      <x:c r="B224" s="339" t="str">
        <x:v>SCR-223</x:v>
      </x:c>
      <x:c r="C224" s="339" t="str">
        <x:v>Health / Counselling / Discipline</x:v>
      </x:c>
      <x:c r="D224" s="339" t="str">
        <x:v>Behaviour / Discipline Incidents</x:v>
      </x:c>
      <x:c r="E224" s="339" t="str">
        <x:v>Nurse / Medical Officer, Counsellor, School Admin, Principal, Parent</x:v>
      </x:c>
      <x:c r="F224" s="339" t="str">
        <x:v>Operations Portal</x:v>
      </x:c>
      <x:c r="G224" s="339" t="str">
        <x:v>Yes</x:v>
      </x:c>
      <x:c r="H224" s="339" t="str">
        <x:v>Yes</x:v>
      </x:c>
      <x:c r="I224" s="339" t="str">
        <x:v>Yes</x:v>
      </x:c>
      <x:c r="J224" s="339" t="str">
        <x:v>Restricted; prefer inactivate/reverse</x:v>
      </x:c>
      <x:c r="K224" s="339" t="str">
        <x:v>No / if configured</x:v>
      </x:c>
      <x:c r="L224" s="339" t="str">
        <x:v>Role-based</x:v>
      </x:c>
      <x:c r="M224" s="339" t="str">
        <x:v>Tenant → organization → school → branch → class/section/student/own-record scope as applicable.</x:v>
      </x:c>
      <x:c r="N224" s="339" t="str">
        <x:v>Mask health, counselling, compensation, identity and other sensitive fields unless explicitly required by role.</x:v>
      </x:c>
    </x:row>
    <x:row r="225">
      <x:c r="A225" s="339" t="str">
        <x:v>RB-224</x:v>
      </x:c>
      <x:c r="B225" s="339" t="str">
        <x:v>SCR-224</x:v>
      </x:c>
      <x:c r="C225" s="339" t="str">
        <x:v>Health / Counselling / Discipline</x:v>
      </x:c>
      <x:c r="D225" s="339" t="str">
        <x:v>Incident Action &amp; Follow-up</x:v>
      </x:c>
      <x:c r="E225" s="339" t="str">
        <x:v>Nurse / Medical Officer, Counsellor, School Admin, Principal, Parent</x:v>
      </x:c>
      <x:c r="F225" s="339" t="str">
        <x:v>Operations Portal</x:v>
      </x:c>
      <x:c r="G225" s="339" t="str">
        <x:v>Yes</x:v>
      </x:c>
      <x:c r="H225" s="339" t="str">
        <x:v>Yes</x:v>
      </x:c>
      <x:c r="I225" s="339" t="str">
        <x:v>Yes</x:v>
      </x:c>
      <x:c r="J225" s="339" t="str">
        <x:v>Restricted; prefer inactivate/reverse</x:v>
      </x:c>
      <x:c r="K225" s="339" t="str">
        <x:v>Role/state based</x:v>
      </x:c>
      <x:c r="L225" s="339" t="str">
        <x:v>No / if configured</x:v>
      </x:c>
      <x:c r="M225" s="339" t="str">
        <x:v>Tenant → organization → school → branch → class/section/student/own-record scope as applicable.</x:v>
      </x:c>
      <x:c r="N225" s="339" t="str">
        <x:v>Mask health, counselling, compensation, identity and other sensitive fields unless explicitly required by role.</x:v>
      </x:c>
    </x:row>
    <x:row r="226">
      <x:c r="A226" s="339" t="str">
        <x:v>RB-225</x:v>
      </x:c>
      <x:c r="B226" s="339" t="str">
        <x:v>SCR-225</x:v>
      </x:c>
      <x:c r="C226" s="339" t="str">
        <x:v>Health / Counselling / Discipline</x:v>
      </x:c>
      <x:c r="D226" s="339" t="str">
        <x:v>Emergency Contacts &amp; Escalation</x:v>
      </x:c>
      <x:c r="E226" s="339" t="str">
        <x:v>Nurse / Medical Officer, Counsellor, School Admin, Principal, Parent</x:v>
      </x:c>
      <x:c r="F226" s="339" t="str">
        <x:v>Operations Portal</x:v>
      </x:c>
      <x:c r="G226" s="339" t="str">
        <x:v>Yes</x:v>
      </x:c>
      <x:c r="H226" s="339" t="str">
        <x:v>Yes</x:v>
      </x:c>
      <x:c r="I226" s="339" t="str">
        <x:v>Yes</x:v>
      </x:c>
      <x:c r="J226" s="339" t="str">
        <x:v>Restricted; prefer inactivate/reverse</x:v>
      </x:c>
      <x:c r="K226" s="339" t="str">
        <x:v>Role/state based</x:v>
      </x:c>
      <x:c r="L226" s="339" t="str">
        <x:v>No / if configured</x:v>
      </x:c>
      <x:c r="M226" s="339" t="str">
        <x:v>Tenant → organization → school → branch → class/section/student/own-record scope as applicable.</x:v>
      </x:c>
      <x:c r="N226" s="339" t="str">
        <x:v>Mask health, counselling, compensation, identity and other sensitive fields unless explicitly required by role.</x:v>
      </x:c>
    </x:row>
    <x:row r="227">
      <x:c r="A227" s="339" t="str">
        <x:v>RB-226</x:v>
      </x:c>
      <x:c r="B227" s="339" t="str">
        <x:v>SCR-226</x:v>
      </x:c>
      <x:c r="C227" s="339" t="str">
        <x:v>Visitor / Gate / Security</x:v>
      </x:c>
      <x:c r="D227" s="339" t="str">
        <x:v>Visitor Dashboard</x:v>
      </x:c>
      <x:c r="E227" s="339" t="str">
        <x:v>Security, Receptionist, School Admin, Principal</x:v>
      </x:c>
      <x:c r="F227" s="339" t="str">
        <x:v>Operations Portal</x:v>
      </x:c>
      <x:c r="G227" s="339" t="str">
        <x:v>Yes</x:v>
      </x:c>
      <x:c r="H227" s="339" t="str">
        <x:v>As permitted</x:v>
      </x:c>
      <x:c r="I227" s="339" t="str">
        <x:v>As permitted</x:v>
      </x:c>
      <x:c r="J227" s="339" t="str">
        <x:v>Restricted; prefer inactivate/reverse</x:v>
      </x:c>
      <x:c r="K227" s="339" t="str">
        <x:v>No / if configured</x:v>
      </x:c>
      <x:c r="L227" s="339" t="str">
        <x:v>Role-based</x:v>
      </x:c>
      <x:c r="M227" s="339" t="str">
        <x:v>Tenant → organization → school → branch → class/section/student/own-record scope as applicable.</x:v>
      </x:c>
      <x:c r="N227" s="339" t="str">
        <x:v>Mask health, counselling, compensation, identity and other sensitive fields unless explicitly required by role.</x:v>
      </x:c>
    </x:row>
    <x:row r="228">
      <x:c r="A228" s="339" t="str">
        <x:v>RB-227</x:v>
      </x:c>
      <x:c r="B228" s="339" t="str">
        <x:v>SCR-227</x:v>
      </x:c>
      <x:c r="C228" s="339" t="str">
        <x:v>Visitor / Gate / Security</x:v>
      </x:c>
      <x:c r="D228" s="339" t="str">
        <x:v>Visitor Check-in</x:v>
      </x:c>
      <x:c r="E228" s="339" t="str">
        <x:v>Security, Receptionist, School Admin, Principal</x:v>
      </x:c>
      <x:c r="F228" s="339" t="str">
        <x:v>Operations Portal</x:v>
      </x:c>
      <x:c r="G228" s="339" t="str">
        <x:v>Yes</x:v>
      </x:c>
      <x:c r="H228" s="339" t="str">
        <x:v>Yes</x:v>
      </x:c>
      <x:c r="I228" s="339" t="str">
        <x:v>As permitted</x:v>
      </x:c>
      <x:c r="J228" s="339" t="str">
        <x:v>Restricted; prefer inactivate/reverse</x:v>
      </x:c>
      <x:c r="K228" s="339" t="str">
        <x:v>No / if configured</x:v>
      </x:c>
      <x:c r="L228" s="339" t="str">
        <x:v>No / if configured</x:v>
      </x:c>
      <x:c r="M228" s="339" t="str">
        <x:v>Tenant → organization → school → branch → class/section/student/own-record scope as applicable.</x:v>
      </x:c>
      <x:c r="N228" s="339" t="str">
        <x:v>Mask health, counselling, compensation, identity and other sensitive fields unless explicitly required by role.</x:v>
      </x:c>
    </x:row>
    <x:row r="229">
      <x:c r="A229" s="339" t="str">
        <x:v>RB-228</x:v>
      </x:c>
      <x:c r="B229" s="339" t="str">
        <x:v>SCR-228</x:v>
      </x:c>
      <x:c r="C229" s="339" t="str">
        <x:v>Visitor / Gate / Security</x:v>
      </x:c>
      <x:c r="D229" s="339" t="str">
        <x:v>Visitor Approval</x:v>
      </x:c>
      <x:c r="E229" s="339" t="str">
        <x:v>Security, Receptionist, School Admin, Principal</x:v>
      </x:c>
      <x:c r="F229" s="339" t="str">
        <x:v>Operations Portal</x:v>
      </x:c>
      <x:c r="G229" s="339" t="str">
        <x:v>Yes</x:v>
      </x:c>
      <x:c r="H229" s="339" t="str">
        <x:v>Yes</x:v>
      </x:c>
      <x:c r="I229" s="339" t="str">
        <x:v>Yes</x:v>
      </x:c>
      <x:c r="J229" s="339" t="str">
        <x:v>Restricted; prefer inactivate/reverse</x:v>
      </x:c>
      <x:c r="K229" s="339" t="str">
        <x:v>Role/state based</x:v>
      </x:c>
      <x:c r="L229" s="339" t="str">
        <x:v>No / if configured</x:v>
      </x:c>
      <x:c r="M229" s="339" t="str">
        <x:v>Tenant → organization → school → branch → class/section/student/own-record scope as applicable.</x:v>
      </x:c>
      <x:c r="N229" s="339" t="str">
        <x:v>Mask health, counselling, compensation, identity and other sensitive fields unless explicitly required by role.</x:v>
      </x:c>
    </x:row>
    <x:row r="230">
      <x:c r="A230" s="339" t="str">
        <x:v>RB-229</x:v>
      </x:c>
      <x:c r="B230" s="339" t="str">
        <x:v>SCR-229</x:v>
      </x:c>
      <x:c r="C230" s="339" t="str">
        <x:v>Visitor / Gate / Security</x:v>
      </x:c>
      <x:c r="D230" s="339" t="str">
        <x:v>Visitor Pass</x:v>
      </x:c>
      <x:c r="E230" s="339" t="str">
        <x:v>Security, Receptionist, School Admin, Principal</x:v>
      </x:c>
      <x:c r="F230" s="339" t="str">
        <x:v>Operations Portal</x:v>
      </x:c>
      <x:c r="G230" s="339" t="str">
        <x:v>Yes</x:v>
      </x:c>
      <x:c r="H230" s="339" t="str">
        <x:v>Yes</x:v>
      </x:c>
      <x:c r="I230" s="339" t="str">
        <x:v>Yes</x:v>
      </x:c>
      <x:c r="J230" s="339" t="str">
        <x:v>Restricted; prefer inactivate/reverse</x:v>
      </x:c>
      <x:c r="K230" s="339" t="str">
        <x:v>Role/state based</x:v>
      </x:c>
      <x:c r="L230" s="339" t="str">
        <x:v>No / if configured</x:v>
      </x:c>
      <x:c r="M230" s="339" t="str">
        <x:v>Tenant → organization → school → branch → class/section/student/own-record scope as applicable.</x:v>
      </x:c>
      <x:c r="N230" s="339" t="str">
        <x:v>Mask health, counselling, compensation, identity and other sensitive fields unless explicitly required by role.</x:v>
      </x:c>
    </x:row>
    <x:row r="231">
      <x:c r="A231" s="339" t="str">
        <x:v>RB-230</x:v>
      </x:c>
      <x:c r="B231" s="339" t="str">
        <x:v>SCR-230</x:v>
      </x:c>
      <x:c r="C231" s="339" t="str">
        <x:v>Visitor / Gate / Security</x:v>
      </x:c>
      <x:c r="D231" s="339" t="str">
        <x:v>Visitor Check-out</x:v>
      </x:c>
      <x:c r="E231" s="339" t="str">
        <x:v>Security, Receptionist, School Admin, Principal</x:v>
      </x:c>
      <x:c r="F231" s="339" t="str">
        <x:v>Operations Portal</x:v>
      </x:c>
      <x:c r="G231" s="339" t="str">
        <x:v>Yes</x:v>
      </x:c>
      <x:c r="H231" s="339" t="str">
        <x:v>Yes</x:v>
      </x:c>
      <x:c r="I231" s="339" t="str">
        <x:v>Yes</x:v>
      </x:c>
      <x:c r="J231" s="339" t="str">
        <x:v>Restricted; prefer inactivate/reverse</x:v>
      </x:c>
      <x:c r="K231" s="339" t="str">
        <x:v>Role/state based</x:v>
      </x:c>
      <x:c r="L231" s="339" t="str">
        <x:v>No / if configured</x:v>
      </x:c>
      <x:c r="M231" s="339" t="str">
        <x:v>Tenant → organization → school → branch → class/section/student/own-record scope as applicable.</x:v>
      </x:c>
      <x:c r="N231" s="339" t="str">
        <x:v>Mask health, counselling, compensation, identity and other sensitive fields unless explicitly required by role.</x:v>
      </x:c>
    </x:row>
    <x:row r="232">
      <x:c r="A232" s="339" t="str">
        <x:v>RB-231</x:v>
      </x:c>
      <x:c r="B232" s="339" t="str">
        <x:v>SCR-231</x:v>
      </x:c>
      <x:c r="C232" s="339" t="str">
        <x:v>Visitor / Gate / Security</x:v>
      </x:c>
      <x:c r="D232" s="339" t="str">
        <x:v>Student Early Pickup / Gate Pass</x:v>
      </x:c>
      <x:c r="E232" s="339" t="str">
        <x:v>Security, Receptionist, School Admin, Principal</x:v>
      </x:c>
      <x:c r="F232" s="339" t="str">
        <x:v>Operations Portal</x:v>
      </x:c>
      <x:c r="G232" s="339" t="str">
        <x:v>Yes</x:v>
      </x:c>
      <x:c r="H232" s="339" t="str">
        <x:v>Yes</x:v>
      </x:c>
      <x:c r="I232" s="339" t="str">
        <x:v>Yes</x:v>
      </x:c>
      <x:c r="J232" s="339" t="str">
        <x:v>Restricted; prefer inactivate/reverse</x:v>
      </x:c>
      <x:c r="K232" s="339" t="str">
        <x:v>Role/state based</x:v>
      </x:c>
      <x:c r="L232" s="339" t="str">
        <x:v>No / if configured</x:v>
      </x:c>
      <x:c r="M232" s="339" t="str">
        <x:v>Tenant → organization → school → branch → class/section/student/own-record scope as applicable.</x:v>
      </x:c>
      <x:c r="N232" s="339" t="str">
        <x:v>Mask health, counselling, compensation, identity and other sensitive fields unless explicitly required by role.</x:v>
      </x:c>
    </x:row>
    <x:row r="233">
      <x:c r="A233" s="339" t="str">
        <x:v>RB-232</x:v>
      </x:c>
      <x:c r="B233" s="339" t="str">
        <x:v>SCR-232</x:v>
      </x:c>
      <x:c r="C233" s="339" t="str">
        <x:v>Visitor / Gate / Security</x:v>
      </x:c>
      <x:c r="D233" s="339" t="str">
        <x:v>Staff &amp; Vehicle Gate Log</x:v>
      </x:c>
      <x:c r="E233" s="339" t="str">
        <x:v>Security, Receptionist, School Admin, Principal</x:v>
      </x:c>
      <x:c r="F233" s="339" t="str">
        <x:v>Operations Portal</x:v>
      </x:c>
      <x:c r="G233" s="339" t="str">
        <x:v>Yes</x:v>
      </x:c>
      <x:c r="H233" s="339" t="str">
        <x:v>Yes</x:v>
      </x:c>
      <x:c r="I233" s="339" t="str">
        <x:v>Yes</x:v>
      </x:c>
      <x:c r="J233" s="339" t="str">
        <x:v>Restricted; prefer inactivate/reverse</x:v>
      </x:c>
      <x:c r="K233" s="339" t="str">
        <x:v>Role/state based</x:v>
      </x:c>
      <x:c r="L233" s="339" t="str">
        <x:v>No / if configured</x:v>
      </x:c>
      <x:c r="M233" s="339" t="str">
        <x:v>Tenant → organization → school → branch → class/section/student/own-record scope as applicable.</x:v>
      </x:c>
      <x:c r="N233" s="339" t="str">
        <x:v>Mask health, counselling, compensation, identity and other sensitive fields unless explicitly required by role.</x:v>
      </x:c>
    </x:row>
    <x:row r="234">
      <x:c r="A234" s="339" t="str">
        <x:v>RB-233</x:v>
      </x:c>
      <x:c r="B234" s="339" t="str">
        <x:v>SCR-233</x:v>
      </x:c>
      <x:c r="C234" s="339" t="str">
        <x:v>Visitor / Gate / Security</x:v>
      </x:c>
      <x:c r="D234" s="339" t="str">
        <x:v>Security Incident Log</x:v>
      </x:c>
      <x:c r="E234" s="339" t="str">
        <x:v>Security, Receptionist, School Admin, Principal</x:v>
      </x:c>
      <x:c r="F234" s="339" t="str">
        <x:v>Operations Portal</x:v>
      </x:c>
      <x:c r="G234" s="339" t="str">
        <x:v>Yes</x:v>
      </x:c>
      <x:c r="H234" s="339" t="str">
        <x:v>Yes</x:v>
      </x:c>
      <x:c r="I234" s="339" t="str">
        <x:v>Yes</x:v>
      </x:c>
      <x:c r="J234" s="339" t="str">
        <x:v>Restricted; prefer inactivate/reverse</x:v>
      </x:c>
      <x:c r="K234" s="339" t="str">
        <x:v>Role/state based</x:v>
      </x:c>
      <x:c r="L234" s="339" t="str">
        <x:v>No / if configured</x:v>
      </x:c>
      <x:c r="M234" s="339" t="str">
        <x:v>Tenant → organization → school → branch → class/section/student/own-record scope as applicable.</x:v>
      </x:c>
      <x:c r="N234" s="339" t="str">
        <x:v>Mask health, counselling, compensation, identity and other sensitive fields unless explicitly required by role.</x:v>
      </x:c>
    </x:row>
    <x:row r="235">
      <x:c r="A235" s="339" t="str">
        <x:v>RB-234</x:v>
      </x:c>
      <x:c r="B235" s="339" t="str">
        <x:v>SCR-234</x:v>
      </x:c>
      <x:c r="C235" s="339" t="str">
        <x:v>Inventory / Assets / Labs</x:v>
      </x:c>
      <x:c r="D235" s="339" t="str">
        <x:v>Inventory Dashboard</x:v>
      </x:c>
      <x:c r="E235" s="339" t="str">
        <x:v>Store Manager, Lab Assistant, School Admin, Accountant</x:v>
      </x:c>
      <x:c r="F235" s="339" t="str">
        <x:v>Operations Portal</x:v>
      </x:c>
      <x:c r="G235" s="339" t="str">
        <x:v>Yes</x:v>
      </x:c>
      <x:c r="H235" s="339" t="str">
        <x:v>As permitted</x:v>
      </x:c>
      <x:c r="I235" s="339" t="str">
        <x:v>As permitted</x:v>
      </x:c>
      <x:c r="J235" s="339" t="str">
        <x:v>Restricted; prefer inactivate/reverse</x:v>
      </x:c>
      <x:c r="K235" s="339" t="str">
        <x:v>No / if configured</x:v>
      </x:c>
      <x:c r="L235" s="339" t="str">
        <x:v>Role-based</x:v>
      </x:c>
      <x:c r="M235" s="339" t="str">
        <x:v>Tenant → organization → school → branch → class/section/student/own-record scope as applicable.</x:v>
      </x:c>
      <x:c r="N235" s="339" t="str">
        <x:v>Mask health, counselling, compensation, identity and other sensitive fields unless explicitly required by role.</x:v>
      </x:c>
    </x:row>
    <x:row r="236">
      <x:c r="A236" s="339" t="str">
        <x:v>RB-235</x:v>
      </x:c>
      <x:c r="B236" s="339" t="str">
        <x:v>SCR-235</x:v>
      </x:c>
      <x:c r="C236" s="339" t="str">
        <x:v>Inventory / Assets / Labs</x:v>
      </x:c>
      <x:c r="D236" s="339" t="str">
        <x:v>Item Catalogue</x:v>
      </x:c>
      <x:c r="E236" s="339" t="str">
        <x:v>Store Manager, Lab Assistant, School Admin, Accountant</x:v>
      </x:c>
      <x:c r="F236" s="339" t="str">
        <x:v>Operations Portal</x:v>
      </x:c>
      <x:c r="G236" s="339" t="str">
        <x:v>Yes</x:v>
      </x:c>
      <x:c r="H236" s="339" t="str">
        <x:v>As permitted</x:v>
      </x:c>
      <x:c r="I236" s="339" t="str">
        <x:v>As permitted</x:v>
      </x:c>
      <x:c r="J236" s="339" t="str">
        <x:v>Restricted; prefer inactivate/reverse</x:v>
      </x:c>
      <x:c r="K236" s="339" t="str">
        <x:v>No / if configured</x:v>
      </x:c>
      <x:c r="L236" s="339" t="str">
        <x:v>Role-based</x:v>
      </x:c>
      <x:c r="M236" s="339" t="str">
        <x:v>Tenant → organization → school → branch → class/section/student/own-record scope as applicable.</x:v>
      </x:c>
      <x:c r="N236" s="339" t="str">
        <x:v>Mask health, counselling, compensation, identity and other sensitive fields unless explicitly required by role.</x:v>
      </x:c>
    </x:row>
    <x:row r="237">
      <x:c r="A237" s="339" t="str">
        <x:v>RB-236</x:v>
      </x:c>
      <x:c r="B237" s="339" t="str">
        <x:v>SCR-236</x:v>
      </x:c>
      <x:c r="C237" s="339" t="str">
        <x:v>Inventory / Assets / Labs</x:v>
      </x:c>
      <x:c r="D237" s="339" t="str">
        <x:v>Stock In / Purchase Receipt</x:v>
      </x:c>
      <x:c r="E237" s="339" t="str">
        <x:v>Store Manager, Lab Assistant, School Admin, Accountant</x:v>
      </x:c>
      <x:c r="F237" s="339" t="str">
        <x:v>Operations Portal</x:v>
      </x:c>
      <x:c r="G237" s="339" t="str">
        <x:v>Yes</x:v>
      </x:c>
      <x:c r="H237" s="339" t="str">
        <x:v>Yes</x:v>
      </x:c>
      <x:c r="I237" s="339" t="str">
        <x:v>Yes</x:v>
      </x:c>
      <x:c r="J237" s="339" t="str">
        <x:v>Restricted; prefer inactivate/reverse</x:v>
      </x:c>
      <x:c r="K237" s="339" t="str">
        <x:v>No / if configured</x:v>
      </x:c>
      <x:c r="L237" s="339" t="str">
        <x:v>Role-based</x:v>
      </x:c>
      <x:c r="M237" s="339" t="str">
        <x:v>Tenant → organization → school → branch → class/section/student/own-record scope as applicable.</x:v>
      </x:c>
      <x:c r="N237" s="339" t="str">
        <x:v>Mask health, counselling, compensation, identity and other sensitive fields unless explicitly required by role.</x:v>
      </x:c>
    </x:row>
    <x:row r="238">
      <x:c r="A238" s="339" t="str">
        <x:v>RB-237</x:v>
      </x:c>
      <x:c r="B238" s="339" t="str">
        <x:v>SCR-237</x:v>
      </x:c>
      <x:c r="C238" s="339" t="str">
        <x:v>Inventory / Assets / Labs</x:v>
      </x:c>
      <x:c r="D238" s="339" t="str">
        <x:v>Stock Issue / Return</x:v>
      </x:c>
      <x:c r="E238" s="339" t="str">
        <x:v>Store Manager, Lab Assistant, School Admin, Accountant</x:v>
      </x:c>
      <x:c r="F238" s="339" t="str">
        <x:v>Operations Portal</x:v>
      </x:c>
      <x:c r="G238" s="339" t="str">
        <x:v>Yes</x:v>
      </x:c>
      <x:c r="H238" s="339" t="str">
        <x:v>Yes</x:v>
      </x:c>
      <x:c r="I238" s="339" t="str">
        <x:v>Yes</x:v>
      </x:c>
      <x:c r="J238" s="339" t="str">
        <x:v>Restricted; prefer inactivate/reverse</x:v>
      </x:c>
      <x:c r="K238" s="339" t="str">
        <x:v>Role/state based</x:v>
      </x:c>
      <x:c r="L238" s="339" t="str">
        <x:v>No / if configured</x:v>
      </x:c>
      <x:c r="M238" s="339" t="str">
        <x:v>Tenant → organization → school → branch → class/section/student/own-record scope as applicable.</x:v>
      </x:c>
      <x:c r="N238" s="339" t="str">
        <x:v>Mask health, counselling, compensation, identity and other sensitive fields unless explicitly required by role.</x:v>
      </x:c>
    </x:row>
    <x:row r="239">
      <x:c r="A239" s="339" t="str">
        <x:v>RB-238</x:v>
      </x:c>
      <x:c r="B239" s="339" t="str">
        <x:v>SCR-238</x:v>
      </x:c>
      <x:c r="C239" s="339" t="str">
        <x:v>Inventory / Assets / Labs</x:v>
      </x:c>
      <x:c r="D239" s="339" t="str">
        <x:v>Supplier Management</x:v>
      </x:c>
      <x:c r="E239" s="339" t="str">
        <x:v>Store Manager, Lab Assistant, School Admin, Accountant</x:v>
      </x:c>
      <x:c r="F239" s="339" t="str">
        <x:v>Operations Portal</x:v>
      </x:c>
      <x:c r="G239" s="339" t="str">
        <x:v>Yes</x:v>
      </x:c>
      <x:c r="H239" s="339" t="str">
        <x:v>Yes</x:v>
      </x:c>
      <x:c r="I239" s="339" t="str">
        <x:v>Yes</x:v>
      </x:c>
      <x:c r="J239" s="339" t="str">
        <x:v>Restricted; prefer inactivate/reverse</x:v>
      </x:c>
      <x:c r="K239" s="339" t="str">
        <x:v>Role/state based</x:v>
      </x:c>
      <x:c r="L239" s="339" t="str">
        <x:v>No / if configured</x:v>
      </x:c>
      <x:c r="M239" s="339" t="str">
        <x:v>Tenant → organization → school → branch → class/section/student/own-record scope as applicable.</x:v>
      </x:c>
      <x:c r="N239" s="339" t="str">
        <x:v>Mask health, counselling, compensation, identity and other sensitive fields unless explicitly required by role.</x:v>
      </x:c>
    </x:row>
    <x:row r="240">
      <x:c r="A240" s="339" t="str">
        <x:v>RB-239</x:v>
      </x:c>
      <x:c r="B240" s="339" t="str">
        <x:v>SCR-239</x:v>
      </x:c>
      <x:c r="C240" s="339" t="str">
        <x:v>Inventory / Assets / Labs</x:v>
      </x:c>
      <x:c r="D240" s="339" t="str">
        <x:v>Asset Register</x:v>
      </x:c>
      <x:c r="E240" s="339" t="str">
        <x:v>Store Manager, Lab Assistant, School Admin, Accountant</x:v>
      </x:c>
      <x:c r="F240" s="339" t="str">
        <x:v>Operations Portal</x:v>
      </x:c>
      <x:c r="G240" s="339" t="str">
        <x:v>Yes</x:v>
      </x:c>
      <x:c r="H240" s="339" t="str">
        <x:v>As permitted</x:v>
      </x:c>
      <x:c r="I240" s="339" t="str">
        <x:v>Yes</x:v>
      </x:c>
      <x:c r="J240" s="339" t="str">
        <x:v>Restricted; prefer inactivate/reverse</x:v>
      </x:c>
      <x:c r="K240" s="339" t="str">
        <x:v>No / if configured</x:v>
      </x:c>
      <x:c r="L240" s="339" t="str">
        <x:v>Role-based</x:v>
      </x:c>
      <x:c r="M240" s="339" t="str">
        <x:v>Tenant → organization → school → branch → class/section/student/own-record scope as applicable.</x:v>
      </x:c>
      <x:c r="N240" s="339" t="str">
        <x:v>Mask health, counselling, compensation, identity and other sensitive fields unless explicitly required by role.</x:v>
      </x:c>
    </x:row>
    <x:row r="241">
      <x:c r="A241" s="339" t="str">
        <x:v>RB-240</x:v>
      </x:c>
      <x:c r="B241" s="339" t="str">
        <x:v>SCR-240</x:v>
      </x:c>
      <x:c r="C241" s="339" t="str">
        <x:v>Inventory / Assets / Labs</x:v>
      </x:c>
      <x:c r="D241" s="339" t="str">
        <x:v>Asset Assignment / Transfer</x:v>
      </x:c>
      <x:c r="E241" s="339" t="str">
        <x:v>Store Manager, Lab Assistant, School Admin, Accountant</x:v>
      </x:c>
      <x:c r="F241" s="339" t="str">
        <x:v>Operations Portal</x:v>
      </x:c>
      <x:c r="G241" s="339" t="str">
        <x:v>Yes</x:v>
      </x:c>
      <x:c r="H241" s="339" t="str">
        <x:v>Yes</x:v>
      </x:c>
      <x:c r="I241" s="339" t="str">
        <x:v>Yes</x:v>
      </x:c>
      <x:c r="J241" s="339" t="str">
        <x:v>Restricted; prefer inactivate/reverse</x:v>
      </x:c>
      <x:c r="K241" s="339" t="str">
        <x:v>Role/state based</x:v>
      </x:c>
      <x:c r="L241" s="339" t="str">
        <x:v>No / if configured</x:v>
      </x:c>
      <x:c r="M241" s="339" t="str">
        <x:v>Tenant → organization → school → branch → class/section/student/own-record scope as applicable.</x:v>
      </x:c>
      <x:c r="N241" s="339" t="str">
        <x:v>Mask health, counselling, compensation, identity and other sensitive fields unless explicitly required by role.</x:v>
      </x:c>
    </x:row>
    <x:row r="242">
      <x:c r="A242" s="339" t="str">
        <x:v>RB-241</x:v>
      </x:c>
      <x:c r="B242" s="339" t="str">
        <x:v>SCR-241</x:v>
      </x:c>
      <x:c r="C242" s="339" t="str">
        <x:v>Inventory / Assets / Labs</x:v>
      </x:c>
      <x:c r="D242" s="339" t="str">
        <x:v>Asset Maintenance</x:v>
      </x:c>
      <x:c r="E242" s="339" t="str">
        <x:v>Store Manager, Lab Assistant, School Admin, Accountant</x:v>
      </x:c>
      <x:c r="F242" s="339" t="str">
        <x:v>Operations Portal</x:v>
      </x:c>
      <x:c r="G242" s="339" t="str">
        <x:v>Yes</x:v>
      </x:c>
      <x:c r="H242" s="339" t="str">
        <x:v>Yes</x:v>
      </x:c>
      <x:c r="I242" s="339" t="str">
        <x:v>Yes</x:v>
      </x:c>
      <x:c r="J242" s="339" t="str">
        <x:v>Restricted; prefer inactivate/reverse</x:v>
      </x:c>
      <x:c r="K242" s="339" t="str">
        <x:v>Role/state based</x:v>
      </x:c>
      <x:c r="L242" s="339" t="str">
        <x:v>No / if configured</x:v>
      </x:c>
      <x:c r="M242" s="339" t="str">
        <x:v>Tenant → organization → school → branch → class/section/student/own-record scope as applicable.</x:v>
      </x:c>
      <x:c r="N242" s="339" t="str">
        <x:v>Mask health, counselling, compensation, identity and other sensitive fields unless explicitly required by role.</x:v>
      </x:c>
    </x:row>
    <x:row r="243">
      <x:c r="A243" s="339" t="str">
        <x:v>RB-242</x:v>
      </x:c>
      <x:c r="B243" s="339" t="str">
        <x:v>SCR-242</x:v>
      </x:c>
      <x:c r="C243" s="339" t="str">
        <x:v>Inventory / Assets / Labs</x:v>
      </x:c>
      <x:c r="D243" s="339" t="str">
        <x:v>Lab Register</x:v>
      </x:c>
      <x:c r="E243" s="339" t="str">
        <x:v>Store Manager, Lab Assistant, School Admin, Accountant</x:v>
      </x:c>
      <x:c r="F243" s="339" t="str">
        <x:v>Operations Portal</x:v>
      </x:c>
      <x:c r="G243" s="339" t="str">
        <x:v>Yes</x:v>
      </x:c>
      <x:c r="H243" s="339" t="str">
        <x:v>As permitted</x:v>
      </x:c>
      <x:c r="I243" s="339" t="str">
        <x:v>Yes</x:v>
      </x:c>
      <x:c r="J243" s="339" t="str">
        <x:v>Restricted; prefer inactivate/reverse</x:v>
      </x:c>
      <x:c r="K243" s="339" t="str">
        <x:v>No / if configured</x:v>
      </x:c>
      <x:c r="L243" s="339" t="str">
        <x:v>Role-based</x:v>
      </x:c>
      <x:c r="M243" s="339" t="str">
        <x:v>Tenant → organization → school → branch → class/section/student/own-record scope as applicable.</x:v>
      </x:c>
      <x:c r="N243" s="339" t="str">
        <x:v>Mask health, counselling, compensation, identity and other sensitive fields unless explicitly required by role.</x:v>
      </x:c>
    </x:row>
    <x:row r="244">
      <x:c r="A244" s="339" t="str">
        <x:v>RB-243</x:v>
      </x:c>
      <x:c r="B244" s="339" t="str">
        <x:v>SCR-243</x:v>
      </x:c>
      <x:c r="C244" s="339" t="str">
        <x:v>Inventory / Assets / Labs</x:v>
      </x:c>
      <x:c r="D244" s="339" t="str">
        <x:v>Lab Equipment &amp; Consumables</x:v>
      </x:c>
      <x:c r="E244" s="339" t="str">
        <x:v>Store Manager, Lab Assistant, School Admin, Accountant</x:v>
      </x:c>
      <x:c r="F244" s="339" t="str">
        <x:v>Operations Portal</x:v>
      </x:c>
      <x:c r="G244" s="339" t="str">
        <x:v>Yes</x:v>
      </x:c>
      <x:c r="H244" s="339" t="str">
        <x:v>Yes</x:v>
      </x:c>
      <x:c r="I244" s="339" t="str">
        <x:v>Yes</x:v>
      </x:c>
      <x:c r="J244" s="339" t="str">
        <x:v>Restricted; prefer inactivate/reverse</x:v>
      </x:c>
      <x:c r="K244" s="339" t="str">
        <x:v>Role/state based</x:v>
      </x:c>
      <x:c r="L244" s="339" t="str">
        <x:v>No / if configured</x:v>
      </x:c>
      <x:c r="M244" s="339" t="str">
        <x:v>Tenant → organization → school → branch → class/section/student/own-record scope as applicable.</x:v>
      </x:c>
      <x:c r="N244" s="339" t="str">
        <x:v>Mask health, counselling, compensation, identity and other sensitive fields unless explicitly required by role.</x:v>
      </x:c>
    </x:row>
    <x:row r="245">
      <x:c r="A245" s="339" t="str">
        <x:v>RB-244</x:v>
      </x:c>
      <x:c r="B245" s="339" t="str">
        <x:v>SCR-244</x:v>
      </x:c>
      <x:c r="C245" s="339" t="str">
        <x:v>Inventory / Assets / Labs</x:v>
      </x:c>
      <x:c r="D245" s="339" t="str">
        <x:v>Practical / Lab Booking</x:v>
      </x:c>
      <x:c r="E245" s="339" t="str">
        <x:v>Store Manager, Lab Assistant, School Admin, Accountant</x:v>
      </x:c>
      <x:c r="F245" s="339" t="str">
        <x:v>Operations Portal</x:v>
      </x:c>
      <x:c r="G245" s="339" t="str">
        <x:v>Yes</x:v>
      </x:c>
      <x:c r="H245" s="339" t="str">
        <x:v>Yes</x:v>
      </x:c>
      <x:c r="I245" s="339" t="str">
        <x:v>Yes</x:v>
      </x:c>
      <x:c r="J245" s="339" t="str">
        <x:v>Restricted; prefer inactivate/reverse</x:v>
      </x:c>
      <x:c r="K245" s="339" t="str">
        <x:v>Role/state based</x:v>
      </x:c>
      <x:c r="L245" s="339" t="str">
        <x:v>No / if configured</x:v>
      </x:c>
      <x:c r="M245" s="339" t="str">
        <x:v>Tenant → organization → school → branch → class/section/student/own-record scope as applicable.</x:v>
      </x:c>
      <x:c r="N245" s="339" t="str">
        <x:v>Mask health, counselling, compensation, identity and other sensitive fields unless explicitly required by role.</x:v>
      </x:c>
    </x:row>
    <x:row r="246">
      <x:c r="A246" s="339" t="str">
        <x:v>RB-245</x:v>
      </x:c>
      <x:c r="B246" s="339" t="str">
        <x:v>SCR-245</x:v>
      </x:c>
      <x:c r="C246" s="339" t="str">
        <x:v>Inventory / Assets / Labs</x:v>
      </x:c>
      <x:c r="D246" s="339" t="str">
        <x:v>Stock &amp; Asset Reports</x:v>
      </x:c>
      <x:c r="E246" s="339" t="str">
        <x:v>Store Manager, Lab Assistant, School Admin, Accountant</x:v>
      </x:c>
      <x:c r="F246" s="339" t="str">
        <x:v>Operations Portal</x:v>
      </x:c>
      <x:c r="G246" s="339" t="str">
        <x:v>Yes</x:v>
      </x:c>
      <x:c r="H246" s="339" t="str">
        <x:v>As permitted</x:v>
      </x:c>
      <x:c r="I246" s="339" t="str">
        <x:v>As permitted</x:v>
      </x:c>
      <x:c r="J246" s="339" t="str">
        <x:v>Restricted; prefer inactivate/reverse</x:v>
      </x:c>
      <x:c r="K246" s="339" t="str">
        <x:v>No / if configured</x:v>
      </x:c>
      <x:c r="L246" s="339" t="str">
        <x:v>Role-based</x:v>
      </x:c>
      <x:c r="M246" s="339" t="str">
        <x:v>Tenant → organization → school → branch → class/section/student/own-record scope as applicable.</x:v>
      </x:c>
      <x:c r="N246" s="339" t="str">
        <x:v>Mask health, counselling, compensation, identity and other sensitive fields unless explicitly required by role.</x:v>
      </x:c>
    </x:row>
    <x:row r="247">
      <x:c r="A247" s="339" t="str">
        <x:v>RB-246</x:v>
      </x:c>
      <x:c r="B247" s="339" t="str">
        <x:v>SCR-246</x:v>
      </x:c>
      <x:c r="C247" s="339" t="str">
        <x:v>Events / PTM / Communication</x:v>
      </x:c>
      <x:c r="D247" s="339" t="str">
        <x:v>Events Calendar</x:v>
      </x:c>
      <x:c r="E247" s="339" t="str">
        <x:v>School Admin, Principal, Teacher, Parent, Student</x:v>
      </x:c>
      <x:c r="F247" s="339" t="str">
        <x:v>School Admin / Shared</x:v>
      </x:c>
      <x:c r="G247" s="339" t="str">
        <x:v>Yes</x:v>
      </x:c>
      <x:c r="H247" s="339" t="str">
        <x:v>Yes</x:v>
      </x:c>
      <x:c r="I247" s="339" t="str">
        <x:v>Yes</x:v>
      </x:c>
      <x:c r="J247" s="339" t="str">
        <x:v>Restricted; prefer inactivate/reverse</x:v>
      </x:c>
      <x:c r="K247" s="339" t="str">
        <x:v>No / if configured</x:v>
      </x:c>
      <x:c r="L247" s="339" t="str">
        <x:v>No / if configured</x:v>
      </x:c>
      <x:c r="M247" s="339" t="str">
        <x:v>Tenant → organization → school → branch → class/section/student/own-record scope as applicable.</x:v>
      </x:c>
      <x:c r="N247" s="339" t="str">
        <x:v>Mask health, counselling, compensation, identity and other sensitive fields unless explicitly required by role.</x:v>
      </x:c>
    </x:row>
    <x:row r="248">
      <x:c r="A248" s="339" t="str">
        <x:v>RB-247</x:v>
      </x:c>
      <x:c r="B248" s="339" t="str">
        <x:v>SCR-247</x:v>
      </x:c>
      <x:c r="C248" s="339" t="str">
        <x:v>Events / PTM / Communication</x:v>
      </x:c>
      <x:c r="D248" s="339" t="str">
        <x:v>Create / Edit Event</x:v>
      </x:c>
      <x:c r="E248" s="339" t="str">
        <x:v>School Admin, Principal, Teacher, Parent, Student</x:v>
      </x:c>
      <x:c r="F248" s="339" t="str">
        <x:v>School Admin / Shared</x:v>
      </x:c>
      <x:c r="G248" s="339" t="str">
        <x:v>Yes</x:v>
      </x:c>
      <x:c r="H248" s="339" t="str">
        <x:v>Yes</x:v>
      </x:c>
      <x:c r="I248" s="339" t="str">
        <x:v>As permitted</x:v>
      </x:c>
      <x:c r="J248" s="339" t="str">
        <x:v>Restricted; prefer inactivate/reverse</x:v>
      </x:c>
      <x:c r="K248" s="339" t="str">
        <x:v>No / if configured</x:v>
      </x:c>
      <x:c r="L248" s="339" t="str">
        <x:v>No / if configured</x:v>
      </x:c>
      <x:c r="M248" s="339" t="str">
        <x:v>Tenant → organization → school → branch → class/section/student/own-record scope as applicable.</x:v>
      </x:c>
      <x:c r="N248" s="339" t="str">
        <x:v>Mask health, counselling, compensation, identity and other sensitive fields unless explicitly required by role.</x:v>
      </x:c>
    </x:row>
    <x:row r="249">
      <x:c r="A249" s="339" t="str">
        <x:v>RB-248</x:v>
      </x:c>
      <x:c r="B249" s="339" t="str">
        <x:v>SCR-248</x:v>
      </x:c>
      <x:c r="C249" s="339" t="str">
        <x:v>Events / PTM / Communication</x:v>
      </x:c>
      <x:c r="D249" s="339" t="str">
        <x:v>Event Details &amp; Participants</x:v>
      </x:c>
      <x:c r="E249" s="339" t="str">
        <x:v>School Admin, Principal, Teacher, Parent, Student</x:v>
      </x:c>
      <x:c r="F249" s="339" t="str">
        <x:v>School Admin / Shared</x:v>
      </x:c>
      <x:c r="G249" s="339" t="str">
        <x:v>Yes</x:v>
      </x:c>
      <x:c r="H249" s="339" t="str">
        <x:v>As permitted</x:v>
      </x:c>
      <x:c r="I249" s="339" t="str">
        <x:v>Yes</x:v>
      </x:c>
      <x:c r="J249" s="339" t="str">
        <x:v>Restricted; prefer inactivate/reverse</x:v>
      </x:c>
      <x:c r="K249" s="339" t="str">
        <x:v>No / if configured</x:v>
      </x:c>
      <x:c r="L249" s="339" t="str">
        <x:v>Role-based</x:v>
      </x:c>
      <x:c r="M249" s="339" t="str">
        <x:v>Tenant → organization → school → branch → class/section/student/own-record scope as applicable.</x:v>
      </x:c>
      <x:c r="N249" s="339" t="str">
        <x:v>Mask health, counselling, compensation, identity and other sensitive fields unless explicitly required by role.</x:v>
      </x:c>
    </x:row>
    <x:row r="250">
      <x:c r="A250" s="339" t="str">
        <x:v>RB-249</x:v>
      </x:c>
      <x:c r="B250" s="339" t="str">
        <x:v>SCR-249</x:v>
      </x:c>
      <x:c r="C250" s="339" t="str">
        <x:v>Events / PTM / Communication</x:v>
      </x:c>
      <x:c r="D250" s="339" t="str">
        <x:v>Field Trip &amp; Parent Consent</x:v>
      </x:c>
      <x:c r="E250" s="339" t="str">
        <x:v>School Admin, Principal, Teacher, Parent, Student</x:v>
      </x:c>
      <x:c r="F250" s="339" t="str">
        <x:v>School Admin / Shared</x:v>
      </x:c>
      <x:c r="G250" s="339" t="str">
        <x:v>Yes</x:v>
      </x:c>
      <x:c r="H250" s="339" t="str">
        <x:v>Yes</x:v>
      </x:c>
      <x:c r="I250" s="339" t="str">
        <x:v>Yes</x:v>
      </x:c>
      <x:c r="J250" s="339" t="str">
        <x:v>Restricted; prefer inactivate/reverse</x:v>
      </x:c>
      <x:c r="K250" s="339" t="str">
        <x:v>Role/state based</x:v>
      </x:c>
      <x:c r="L250" s="339" t="str">
        <x:v>No / if configured</x:v>
      </x:c>
      <x:c r="M250" s="339" t="str">
        <x:v>Tenant → organization → school → branch → class/section/student/own-record scope as applicable.</x:v>
      </x:c>
      <x:c r="N250" s="339" t="str">
        <x:v>Mask health, counselling, compensation, identity and other sensitive fields unless explicitly required by role.</x:v>
      </x:c>
    </x:row>
    <x:row r="251">
      <x:c r="A251" s="339" t="str">
        <x:v>RB-250</x:v>
      </x:c>
      <x:c r="B251" s="339" t="str">
        <x:v>SCR-250</x:v>
      </x:c>
      <x:c r="C251" s="339" t="str">
        <x:v>Events / PTM / Communication</x:v>
      </x:c>
      <x:c r="D251" s="339" t="str">
        <x:v>PTM Setup</x:v>
      </x:c>
      <x:c r="E251" s="339" t="str">
        <x:v>Teacher, Parent, School Admin</x:v>
      </x:c>
      <x:c r="F251" s="339" t="str">
        <x:v>School Admin / Shared</x:v>
      </x:c>
      <x:c r="G251" s="339" t="str">
        <x:v>Yes</x:v>
      </x:c>
      <x:c r="H251" s="339" t="str">
        <x:v>Yes</x:v>
      </x:c>
      <x:c r="I251" s="339" t="str">
        <x:v>As permitted</x:v>
      </x:c>
      <x:c r="J251" s="339" t="str">
        <x:v>Restricted; prefer inactivate/reverse</x:v>
      </x:c>
      <x:c r="K251" s="339" t="str">
        <x:v>No / if configured</x:v>
      </x:c>
      <x:c r="L251" s="339" t="str">
        <x:v>No / if configured</x:v>
      </x:c>
      <x:c r="M251" s="339" t="str">
        <x:v>Tenant → organization → school → branch → class/section/student/own-record scope as applicable.</x:v>
      </x:c>
      <x:c r="N251" s="339" t="str">
        <x:v>Mask health, counselling, compensation, identity and other sensitive fields unless explicitly required by role.</x:v>
      </x:c>
    </x:row>
    <x:row r="252">
      <x:c r="A252" s="339" t="str">
        <x:v>RB-251</x:v>
      </x:c>
      <x:c r="B252" s="339" t="str">
        <x:v>SCR-251</x:v>
      </x:c>
      <x:c r="C252" s="339" t="str">
        <x:v>Events / PTM / Communication</x:v>
      </x:c>
      <x:c r="D252" s="339" t="str">
        <x:v>PTM Slot Booking</x:v>
      </x:c>
      <x:c r="E252" s="339" t="str">
        <x:v>Teacher, Parent, School Admin</x:v>
      </x:c>
      <x:c r="F252" s="339" t="str">
        <x:v>School Admin / Shared</x:v>
      </x:c>
      <x:c r="G252" s="339" t="str">
        <x:v>Yes</x:v>
      </x:c>
      <x:c r="H252" s="339" t="str">
        <x:v>Yes</x:v>
      </x:c>
      <x:c r="I252" s="339" t="str">
        <x:v>Yes</x:v>
      </x:c>
      <x:c r="J252" s="339" t="str">
        <x:v>Restricted; prefer inactivate/reverse</x:v>
      </x:c>
      <x:c r="K252" s="339" t="str">
        <x:v>Role/state based</x:v>
      </x:c>
      <x:c r="L252" s="339" t="str">
        <x:v>No / if configured</x:v>
      </x:c>
      <x:c r="M252" s="339" t="str">
        <x:v>Tenant → organization → school → branch → class/section/student/own-record scope as applicable.</x:v>
      </x:c>
      <x:c r="N252" s="339" t="str">
        <x:v>Mask health, counselling, compensation, identity and other sensitive fields unless explicitly required by role.</x:v>
      </x:c>
    </x:row>
    <x:row r="253">
      <x:c r="A253" s="339" t="str">
        <x:v>RB-252</x:v>
      </x:c>
      <x:c r="B253" s="339" t="str">
        <x:v>SCR-252</x:v>
      </x:c>
      <x:c r="C253" s="339" t="str">
        <x:v>Events / PTM / Communication</x:v>
      </x:c>
      <x:c r="D253" s="339" t="str">
        <x:v>Announcements</x:v>
      </x:c>
      <x:c r="E253" s="339" t="str">
        <x:v>School Admin, Teacher, Parent, Student</x:v>
      </x:c>
      <x:c r="F253" s="339" t="str">
        <x:v>School Admin / Shared</x:v>
      </x:c>
      <x:c r="G253" s="339" t="str">
        <x:v>Yes</x:v>
      </x:c>
      <x:c r="H253" s="339" t="str">
        <x:v>As permitted</x:v>
      </x:c>
      <x:c r="I253" s="339" t="str">
        <x:v>As permitted</x:v>
      </x:c>
      <x:c r="J253" s="339" t="str">
        <x:v>Restricted; prefer inactivate/reverse</x:v>
      </x:c>
      <x:c r="K253" s="339" t="str">
        <x:v>No / if configured</x:v>
      </x:c>
      <x:c r="L253" s="339" t="str">
        <x:v>Role-based</x:v>
      </x:c>
      <x:c r="M253" s="339" t="str">
        <x:v>Tenant → organization → school → branch → class/section/student/own-record scope as applicable.</x:v>
      </x:c>
      <x:c r="N253" s="339" t="str">
        <x:v>Mask health, counselling, compensation, identity and other sensitive fields unless explicitly required by role.</x:v>
      </x:c>
    </x:row>
    <x:row r="254">
      <x:c r="A254" s="339" t="str">
        <x:v>RB-253</x:v>
      </x:c>
      <x:c r="B254" s="339" t="str">
        <x:v>SCR-253</x:v>
      </x:c>
      <x:c r="C254" s="339" t="str">
        <x:v>Events / PTM / Communication</x:v>
      </x:c>
      <x:c r="D254" s="339" t="str">
        <x:v>Messaging / Inbox</x:v>
      </x:c>
      <x:c r="E254" s="339" t="str">
        <x:v>School Admin, Teacher, Parent, Student</x:v>
      </x:c>
      <x:c r="F254" s="339" t="str">
        <x:v>School Admin / Shared</x:v>
      </x:c>
      <x:c r="G254" s="339" t="str">
        <x:v>Yes</x:v>
      </x:c>
      <x:c r="H254" s="339" t="str">
        <x:v>Yes</x:v>
      </x:c>
      <x:c r="I254" s="339" t="str">
        <x:v>Yes</x:v>
      </x:c>
      <x:c r="J254" s="339" t="str">
        <x:v>Restricted; prefer inactivate/reverse</x:v>
      </x:c>
      <x:c r="K254" s="339" t="str">
        <x:v>Role/state based</x:v>
      </x:c>
      <x:c r="L254" s="339" t="str">
        <x:v>No / if configured</x:v>
      </x:c>
      <x:c r="M254" s="339" t="str">
        <x:v>Tenant → organization → school → branch → class/section/student/own-record scope as applicable.</x:v>
      </x:c>
      <x:c r="N254" s="339" t="str">
        <x:v>Mask health, counselling, compensation, identity and other sensitive fields unless explicitly required by role.</x:v>
      </x:c>
    </x:row>
    <x:row r="255">
      <x:c r="A255" s="339" t="str">
        <x:v>RB-254</x:v>
      </x:c>
      <x:c r="B255" s="339" t="str">
        <x:v>SCR-254</x:v>
      </x:c>
      <x:c r="C255" s="339" t="str">
        <x:v>Events / PTM / Communication</x:v>
      </x:c>
      <x:c r="D255" s="339" t="str">
        <x:v>Notification Campaigns</x:v>
      </x:c>
      <x:c r="E255" s="339" t="str">
        <x:v>School Admin, Teacher, Parent, Student</x:v>
      </x:c>
      <x:c r="F255" s="339" t="str">
        <x:v>School Admin / Shared</x:v>
      </x:c>
      <x:c r="G255" s="339" t="str">
        <x:v>Yes</x:v>
      </x:c>
      <x:c r="H255" s="339" t="str">
        <x:v>Yes</x:v>
      </x:c>
      <x:c r="I255" s="339" t="str">
        <x:v>Yes</x:v>
      </x:c>
      <x:c r="J255" s="339" t="str">
        <x:v>Restricted; prefer inactivate/reverse</x:v>
      </x:c>
      <x:c r="K255" s="339" t="str">
        <x:v>Role/state based</x:v>
      </x:c>
      <x:c r="L255" s="339" t="str">
        <x:v>No / if configured</x:v>
      </x:c>
      <x:c r="M255" s="339" t="str">
        <x:v>Tenant → organization → school → branch → class/section/student/own-record scope as applicable.</x:v>
      </x:c>
      <x:c r="N255" s="339" t="str">
        <x:v>Mask health, counselling, compensation, identity and other sensitive fields unless explicitly required by role.</x:v>
      </x:c>
    </x:row>
    <x:row r="256">
      <x:c r="A256" s="339" t="str">
        <x:v>RB-255</x:v>
      </x:c>
      <x:c r="B256" s="339" t="str">
        <x:v>SCR-255</x:v>
      </x:c>
      <x:c r="C256" s="339" t="str">
        <x:v>Events / PTM / Communication</x:v>
      </x:c>
      <x:c r="D256" s="339" t="str">
        <x:v>Communication History</x:v>
      </x:c>
      <x:c r="E256" s="339" t="str">
        <x:v>School Admin, Principal, Teacher, Parent, Student</x:v>
      </x:c>
      <x:c r="F256" s="339" t="str">
        <x:v>School Admin / Shared</x:v>
      </x:c>
      <x:c r="G256" s="339" t="str">
        <x:v>Yes</x:v>
      </x:c>
      <x:c r="H256" s="339" t="str">
        <x:v>As permitted</x:v>
      </x:c>
      <x:c r="I256" s="339" t="str">
        <x:v>Yes</x:v>
      </x:c>
      <x:c r="J256" s="339" t="str">
        <x:v>Restricted; prefer inactivate/reverse</x:v>
      </x:c>
      <x:c r="K256" s="339" t="str">
        <x:v>No / if configured</x:v>
      </x:c>
      <x:c r="L256" s="339" t="str">
        <x:v>Role-based</x:v>
      </x:c>
      <x:c r="M256" s="339" t="str">
        <x:v>Tenant → organization → school → branch → class/section/student/own-record scope as applicable.</x:v>
      </x:c>
      <x:c r="N256" s="339" t="str">
        <x:v>Mask health, counselling, compensation, identity and other sensitive fields unless explicitly required by role.</x:v>
      </x:c>
    </x:row>
    <x:row r="257">
      <x:c r="A257" s="339" t="str">
        <x:v>RB-256</x:v>
      </x:c>
      <x:c r="B257" s="339" t="str">
        <x:v>SCR-256</x:v>
      </x:c>
      <x:c r="C257" s="339" t="str">
        <x:v>Documents &amp; Certificates</x:v>
      </x:c>
      <x:c r="D257" s="339" t="str">
        <x:v>Document Repository</x:v>
      </x:c>
      <x:c r="E257" s="339" t="str">
        <x:v>School Admin, Admission Officer, HR, Student, Parent</x:v>
      </x:c>
      <x:c r="F257" s="339" t="str">
        <x:v>School Admin / Shared</x:v>
      </x:c>
      <x:c r="G257" s="339" t="str">
        <x:v>Yes</x:v>
      </x:c>
      <x:c r="H257" s="339" t="str">
        <x:v>Yes</x:v>
      </x:c>
      <x:c r="I257" s="339" t="str">
        <x:v>Yes</x:v>
      </x:c>
      <x:c r="J257" s="339" t="str">
        <x:v>Restricted; prefer inactivate/reverse</x:v>
      </x:c>
      <x:c r="K257" s="339" t="str">
        <x:v>Role/state based</x:v>
      </x:c>
      <x:c r="L257" s="339" t="str">
        <x:v>No / if configured</x:v>
      </x:c>
      <x:c r="M257" s="339" t="str">
        <x:v>Tenant → organization → school → branch → class/section/student/own-record scope as applicable.</x:v>
      </x:c>
      <x:c r="N257" s="339" t="str">
        <x:v>Mask health, counselling, compensation, identity and other sensitive fields unless explicitly required by role.</x:v>
      </x:c>
    </x:row>
    <x:row r="258">
      <x:c r="A258" s="339" t="str">
        <x:v>RB-257</x:v>
      </x:c>
      <x:c r="B258" s="339" t="str">
        <x:v>SCR-257</x:v>
      </x:c>
      <x:c r="C258" s="339" t="str">
        <x:v>Documents &amp; Certificates</x:v>
      </x:c>
      <x:c r="D258" s="339" t="str">
        <x:v>Student Documents</x:v>
      </x:c>
      <x:c r="E258" s="339" t="str">
        <x:v>School Admin, Student, Parent, Admission Officer</x:v>
      </x:c>
      <x:c r="F258" s="339" t="str">
        <x:v>School Admin / Shared</x:v>
      </x:c>
      <x:c r="G258" s="339" t="str">
        <x:v>Yes</x:v>
      </x:c>
      <x:c r="H258" s="339" t="str">
        <x:v>Yes</x:v>
      </x:c>
      <x:c r="I258" s="339" t="str">
        <x:v>Yes</x:v>
      </x:c>
      <x:c r="J258" s="339" t="str">
        <x:v>Restricted; prefer inactivate/reverse</x:v>
      </x:c>
      <x:c r="K258" s="339" t="str">
        <x:v>Role/state based</x:v>
      </x:c>
      <x:c r="L258" s="339" t="str">
        <x:v>No / if configured</x:v>
      </x:c>
      <x:c r="M258" s="339" t="str">
        <x:v>Tenant → organization → school → branch → class/section/student/own-record scope as applicable.</x:v>
      </x:c>
      <x:c r="N258" s="339" t="str">
        <x:v>Mask health, counselling, compensation, identity and other sensitive fields unless explicitly required by role.</x:v>
      </x:c>
    </x:row>
    <x:row r="259">
      <x:c r="A259" s="339" t="str">
        <x:v>RB-258</x:v>
      </x:c>
      <x:c r="B259" s="339" t="str">
        <x:v>SCR-258</x:v>
      </x:c>
      <x:c r="C259" s="339" t="str">
        <x:v>Documents &amp; Certificates</x:v>
      </x:c>
      <x:c r="D259" s="339" t="str">
        <x:v>Staff Documents</x:v>
      </x:c>
      <x:c r="E259" s="339" t="str">
        <x:v>HR, School Admin, Employee</x:v>
      </x:c>
      <x:c r="F259" s="339" t="str">
        <x:v>School Admin / Shared</x:v>
      </x:c>
      <x:c r="G259" s="339" t="str">
        <x:v>Yes</x:v>
      </x:c>
      <x:c r="H259" s="339" t="str">
        <x:v>Yes</x:v>
      </x:c>
      <x:c r="I259" s="339" t="str">
        <x:v>Yes</x:v>
      </x:c>
      <x:c r="J259" s="339" t="str">
        <x:v>Restricted; prefer inactivate/reverse</x:v>
      </x:c>
      <x:c r="K259" s="339" t="str">
        <x:v>Role/state based</x:v>
      </x:c>
      <x:c r="L259" s="339" t="str">
        <x:v>No / if configured</x:v>
      </x:c>
      <x:c r="M259" s="339" t="str">
        <x:v>Tenant → organization → school → branch → class/section/student/own-record scope as applicable.</x:v>
      </x:c>
      <x:c r="N259" s="339" t="str">
        <x:v>Mask health, counselling, compensation, identity and other sensitive fields unless explicitly required by role.</x:v>
      </x:c>
    </x:row>
    <x:row r="260">
      <x:c r="A260" s="339" t="str">
        <x:v>RB-259</x:v>
      </x:c>
      <x:c r="B260" s="339" t="str">
        <x:v>SCR-259</x:v>
      </x:c>
      <x:c r="C260" s="339" t="str">
        <x:v>Documents &amp; Certificates</x:v>
      </x:c>
      <x:c r="D260" s="339" t="str">
        <x:v>Upload &amp; Verification</x:v>
      </x:c>
      <x:c r="E260" s="339" t="str">
        <x:v>School Admin, Admission Officer, HR, Student, Parent</x:v>
      </x:c>
      <x:c r="F260" s="339" t="str">
        <x:v>School Admin / Shared</x:v>
      </x:c>
      <x:c r="G260" s="339" t="str">
        <x:v>Yes</x:v>
      </x:c>
      <x:c r="H260" s="339" t="str">
        <x:v>Yes</x:v>
      </x:c>
      <x:c r="I260" s="339" t="str">
        <x:v>Yes</x:v>
      </x:c>
      <x:c r="J260" s="339" t="str">
        <x:v>Restricted; prefer inactivate/reverse</x:v>
      </x:c>
      <x:c r="K260" s="339" t="str">
        <x:v>Role/state based</x:v>
      </x:c>
      <x:c r="L260" s="339" t="str">
        <x:v>No / if configured</x:v>
      </x:c>
      <x:c r="M260" s="339" t="str">
        <x:v>Tenant → organization → school → branch → class/section/student/own-record scope as applicable.</x:v>
      </x:c>
      <x:c r="N260" s="339" t="str">
        <x:v>Mask health, counselling, compensation, identity and other sensitive fields unless explicitly required by role.</x:v>
      </x:c>
    </x:row>
    <x:row r="261">
      <x:c r="A261" s="339" t="str">
        <x:v>RB-260</x:v>
      </x:c>
      <x:c r="B261" s="339" t="str">
        <x:v>SCR-260</x:v>
      </x:c>
      <x:c r="C261" s="339" t="str">
        <x:v>Documents &amp; Certificates</x:v>
      </x:c>
      <x:c r="D261" s="339" t="str">
        <x:v>Certificate Templates</x:v>
      </x:c>
      <x:c r="E261" s="339" t="str">
        <x:v>School Admin, Admission Officer, HR, Student, Parent</x:v>
      </x:c>
      <x:c r="F261" s="339" t="str">
        <x:v>School Admin / Shared</x:v>
      </x:c>
      <x:c r="G261" s="339" t="str">
        <x:v>Yes</x:v>
      </x:c>
      <x:c r="H261" s="339" t="str">
        <x:v>Yes</x:v>
      </x:c>
      <x:c r="I261" s="339" t="str">
        <x:v>Yes</x:v>
      </x:c>
      <x:c r="J261" s="339" t="str">
        <x:v>Restricted; prefer inactivate/reverse</x:v>
      </x:c>
      <x:c r="K261" s="339" t="str">
        <x:v>No / if configured</x:v>
      </x:c>
      <x:c r="L261" s="339" t="str">
        <x:v>No / if configured</x:v>
      </x:c>
      <x:c r="M261" s="339" t="str">
        <x:v>Tenant → organization → school → branch → class/section/student/own-record scope as applicable.</x:v>
      </x:c>
      <x:c r="N261" s="339" t="str">
        <x:v>Mask health, counselling, compensation, identity and other sensitive fields unless explicitly required by role.</x:v>
      </x:c>
    </x:row>
    <x:row r="262">
      <x:c r="A262" s="339" t="str">
        <x:v>RB-261</x:v>
      </x:c>
      <x:c r="B262" s="339" t="str">
        <x:v>SCR-261</x:v>
      </x:c>
      <x:c r="C262" s="339" t="str">
        <x:v>Documents &amp; Certificates</x:v>
      </x:c>
      <x:c r="D262" s="339" t="str">
        <x:v>Generate Certificate</x:v>
      </x:c>
      <x:c r="E262" s="339" t="str">
        <x:v>School Admin, Admission Officer, HR, Student, Parent</x:v>
      </x:c>
      <x:c r="F262" s="339" t="str">
        <x:v>School Admin / Shared</x:v>
      </x:c>
      <x:c r="G262" s="339" t="str">
        <x:v>Yes</x:v>
      </x:c>
      <x:c r="H262" s="339" t="str">
        <x:v>Yes</x:v>
      </x:c>
      <x:c r="I262" s="339" t="str">
        <x:v>Yes</x:v>
      </x:c>
      <x:c r="J262" s="339" t="str">
        <x:v>Restricted; prefer inactivate/reverse</x:v>
      </x:c>
      <x:c r="K262" s="339" t="str">
        <x:v>No / if configured</x:v>
      </x:c>
      <x:c r="L262" s="339" t="str">
        <x:v>No / if configured</x:v>
      </x:c>
      <x:c r="M262" s="339" t="str">
        <x:v>Tenant → organization → school → branch → class/section/student/own-record scope as applicable.</x:v>
      </x:c>
      <x:c r="N262" s="339" t="str">
        <x:v>Mask health, counselling, compensation, identity and other sensitive fields unless explicitly required by role.</x:v>
      </x:c>
    </x:row>
    <x:row r="263">
      <x:c r="A263" s="339" t="str">
        <x:v>RB-262</x:v>
      </x:c>
      <x:c r="B263" s="339" t="str">
        <x:v>SCR-262</x:v>
      </x:c>
      <x:c r="C263" s="339" t="str">
        <x:v>Documents &amp; Certificates</x:v>
      </x:c>
      <x:c r="D263" s="339" t="str">
        <x:v>Transfer Certificate</x:v>
      </x:c>
      <x:c r="E263" s="339" t="str">
        <x:v>School Admin, Student, Parent, Admission Officer</x:v>
      </x:c>
      <x:c r="F263" s="339" t="str">
        <x:v>School Admin / Shared</x:v>
      </x:c>
      <x:c r="G263" s="339" t="str">
        <x:v>Yes</x:v>
      </x:c>
      <x:c r="H263" s="339" t="str">
        <x:v>Yes</x:v>
      </x:c>
      <x:c r="I263" s="339" t="str">
        <x:v>Yes</x:v>
      </x:c>
      <x:c r="J263" s="339" t="str">
        <x:v>Restricted; prefer inactivate/reverse</x:v>
      </x:c>
      <x:c r="K263" s="339" t="str">
        <x:v>Role/state based</x:v>
      </x:c>
      <x:c r="L263" s="339" t="str">
        <x:v>No / if configured</x:v>
      </x:c>
      <x:c r="M263" s="339" t="str">
        <x:v>Tenant → organization → school → branch → class/section/student/own-record scope as applicable.</x:v>
      </x:c>
      <x:c r="N263" s="339" t="str">
        <x:v>Mask health, counselling, compensation, identity and other sensitive fields unless explicitly required by role.</x:v>
      </x:c>
    </x:row>
    <x:row r="264">
      <x:c r="A264" s="339" t="str">
        <x:v>RB-263</x:v>
      </x:c>
      <x:c r="B264" s="339" t="str">
        <x:v>SCR-263</x:v>
      </x:c>
      <x:c r="C264" s="339" t="str">
        <x:v>Documents &amp; Certificates</x:v>
      </x:c>
      <x:c r="D264" s="339" t="str">
        <x:v>Certificate Register</x:v>
      </x:c>
      <x:c r="E264" s="339" t="str">
        <x:v>School Admin, Admission Officer, HR, Student, Parent</x:v>
      </x:c>
      <x:c r="F264" s="339" t="str">
        <x:v>School Admin / Shared</x:v>
      </x:c>
      <x:c r="G264" s="339" t="str">
        <x:v>Yes</x:v>
      </x:c>
      <x:c r="H264" s="339" t="str">
        <x:v>As permitted</x:v>
      </x:c>
      <x:c r="I264" s="339" t="str">
        <x:v>Yes</x:v>
      </x:c>
      <x:c r="J264" s="339" t="str">
        <x:v>Restricted; prefer inactivate/reverse</x:v>
      </x:c>
      <x:c r="K264" s="339" t="str">
        <x:v>No / if configured</x:v>
      </x:c>
      <x:c r="L264" s="339" t="str">
        <x:v>Role-based</x:v>
      </x:c>
      <x:c r="M264" s="339" t="str">
        <x:v>Tenant → organization → school → branch → class/section/student/own-record scope as applicable.</x:v>
      </x:c>
      <x:c r="N264" s="339" t="str">
        <x:v>Mask health, counselling, compensation, identity and other sensitive fields unless explicitly required by role.</x:v>
      </x:c>
    </x:row>
    <x:row r="265">
      <x:c r="A265" s="339" t="str">
        <x:v>RB-264</x:v>
      </x:c>
      <x:c r="B265" s="339" t="str">
        <x:v>SCR-264</x:v>
      </x:c>
      <x:c r="C265" s="339" t="str">
        <x:v>Reports &amp; Analytics</x:v>
      </x:c>
      <x:c r="D265" s="339" t="str">
        <x:v>Executive Analytics Dashboard</x:v>
      </x:c>
      <x:c r="E265" s="339" t="str">
        <x:v>School Admin, Principal, Owner / Director, Department Heads</x:v>
      </x:c>
      <x:c r="F265" s="339" t="str">
        <x:v>School Admin / Shared</x:v>
      </x:c>
      <x:c r="G265" s="339" t="str">
        <x:v>Yes</x:v>
      </x:c>
      <x:c r="H265" s="339" t="str">
        <x:v>As permitted</x:v>
      </x:c>
      <x:c r="I265" s="339" t="str">
        <x:v>As permitted</x:v>
      </x:c>
      <x:c r="J265" s="339" t="str">
        <x:v>No</x:v>
      </x:c>
      <x:c r="K265" s="339" t="str">
        <x:v>No / if configured</x:v>
      </x:c>
      <x:c r="L265" s="339" t="str">
        <x:v>Role-based</x:v>
      </x:c>
      <x:c r="M265" s="339" t="str">
        <x:v>Tenant → organization → school → branch → class/section/student/own-record scope as applicable.</x:v>
      </x:c>
      <x:c r="N265" s="339" t="str">
        <x:v>Mask health, counselling, compensation, identity and other sensitive fields unless explicitly required by role.</x:v>
      </x:c>
    </x:row>
    <x:row r="266">
      <x:c r="A266" s="339" t="str">
        <x:v>RB-265</x:v>
      </x:c>
      <x:c r="B266" s="339" t="str">
        <x:v>SCR-265</x:v>
      </x:c>
      <x:c r="C266" s="339" t="str">
        <x:v>Reports &amp; Analytics</x:v>
      </x:c>
      <x:c r="D266" s="339" t="str">
        <x:v>Admission Reports</x:v>
      </x:c>
      <x:c r="E266" s="339" t="str">
        <x:v>School Admin, Principal, Owner / Director, Department Heads</x:v>
      </x:c>
      <x:c r="F266" s="339" t="str">
        <x:v>School Admin / Shared</x:v>
      </x:c>
      <x:c r="G266" s="339" t="str">
        <x:v>Yes</x:v>
      </x:c>
      <x:c r="H266" s="339" t="str">
        <x:v>As permitted</x:v>
      </x:c>
      <x:c r="I266" s="339" t="str">
        <x:v>As permitted</x:v>
      </x:c>
      <x:c r="J266" s="339" t="str">
        <x:v>No</x:v>
      </x:c>
      <x:c r="K266" s="339" t="str">
        <x:v>No / if configured</x:v>
      </x:c>
      <x:c r="L266" s="339" t="str">
        <x:v>Role-based</x:v>
      </x:c>
      <x:c r="M266" s="339" t="str">
        <x:v>Tenant → organization → school → branch → class/section/student/own-record scope as applicable.</x:v>
      </x:c>
      <x:c r="N266" s="339" t="str">
        <x:v>Mask health, counselling, compensation, identity and other sensitive fields unless explicitly required by role.</x:v>
      </x:c>
    </x:row>
    <x:row r="267">
      <x:c r="A267" s="339" t="str">
        <x:v>RB-266</x:v>
      </x:c>
      <x:c r="B267" s="339" t="str">
        <x:v>SCR-266</x:v>
      </x:c>
      <x:c r="C267" s="339" t="str">
        <x:v>Reports &amp; Analytics</x:v>
      </x:c>
      <x:c r="D267" s="339" t="str">
        <x:v>Student Strength Report</x:v>
      </x:c>
      <x:c r="E267" s="339" t="str">
        <x:v>School Admin, Principal, Owner / Director, Department Heads</x:v>
      </x:c>
      <x:c r="F267" s="339" t="str">
        <x:v>School Admin / Shared</x:v>
      </x:c>
      <x:c r="G267" s="339" t="str">
        <x:v>Yes</x:v>
      </x:c>
      <x:c r="H267" s="339" t="str">
        <x:v>As permitted</x:v>
      </x:c>
      <x:c r="I267" s="339" t="str">
        <x:v>As permitted</x:v>
      </x:c>
      <x:c r="J267" s="339" t="str">
        <x:v>No</x:v>
      </x:c>
      <x:c r="K267" s="339" t="str">
        <x:v>No / if configured</x:v>
      </x:c>
      <x:c r="L267" s="339" t="str">
        <x:v>Role-based</x:v>
      </x:c>
      <x:c r="M267" s="339" t="str">
        <x:v>Tenant → organization → school → branch → class/section/student/own-record scope as applicable.</x:v>
      </x:c>
      <x:c r="N267" s="339" t="str">
        <x:v>Mask health, counselling, compensation, identity and other sensitive fields unless explicitly required by role.</x:v>
      </x:c>
    </x:row>
    <x:row r="268">
      <x:c r="A268" s="339" t="str">
        <x:v>RB-267</x:v>
      </x:c>
      <x:c r="B268" s="339" t="str">
        <x:v>SCR-267</x:v>
      </x:c>
      <x:c r="C268" s="339" t="str">
        <x:v>Reports &amp; Analytics</x:v>
      </x:c>
      <x:c r="D268" s="339" t="str">
        <x:v>Student Demographics</x:v>
      </x:c>
      <x:c r="E268" s="339" t="str">
        <x:v>School Admin, Principal, Owner / Director, Department Heads</x:v>
      </x:c>
      <x:c r="F268" s="339" t="str">
        <x:v>School Admin / Shared</x:v>
      </x:c>
      <x:c r="G268" s="339" t="str">
        <x:v>Yes</x:v>
      </x:c>
      <x:c r="H268" s="339" t="str">
        <x:v>Yes</x:v>
      </x:c>
      <x:c r="I268" s="339" t="str">
        <x:v>Yes</x:v>
      </x:c>
      <x:c r="J268" s="339" t="str">
        <x:v>No</x:v>
      </x:c>
      <x:c r="K268" s="339" t="str">
        <x:v>Role/state based</x:v>
      </x:c>
      <x:c r="L268" s="339" t="str">
        <x:v>No / if configured</x:v>
      </x:c>
      <x:c r="M268" s="339" t="str">
        <x:v>Tenant → organization → school → branch → class/section/student/own-record scope as applicable.</x:v>
      </x:c>
      <x:c r="N268" s="339" t="str">
        <x:v>Mask health, counselling, compensation, identity and other sensitive fields unless explicitly required by role.</x:v>
      </x:c>
    </x:row>
    <x:row r="269">
      <x:c r="A269" s="339" t="str">
        <x:v>RB-268</x:v>
      </x:c>
      <x:c r="B269" s="339" t="str">
        <x:v>SCR-268</x:v>
      </x:c>
      <x:c r="C269" s="339" t="str">
        <x:v>Reports &amp; Analytics</x:v>
      </x:c>
      <x:c r="D269" s="339" t="str">
        <x:v>Attendance Analytics</x:v>
      </x:c>
      <x:c r="E269" s="339" t="str">
        <x:v>School Admin, Principal, Owner / Director, Department Heads</x:v>
      </x:c>
      <x:c r="F269" s="339" t="str">
        <x:v>School Admin / Shared</x:v>
      </x:c>
      <x:c r="G269" s="339" t="str">
        <x:v>Yes</x:v>
      </x:c>
      <x:c r="H269" s="339" t="str">
        <x:v>As permitted</x:v>
      </x:c>
      <x:c r="I269" s="339" t="str">
        <x:v>As permitted</x:v>
      </x:c>
      <x:c r="J269" s="339" t="str">
        <x:v>No</x:v>
      </x:c>
      <x:c r="K269" s="339" t="str">
        <x:v>No / if configured</x:v>
      </x:c>
      <x:c r="L269" s="339" t="str">
        <x:v>Role-based</x:v>
      </x:c>
      <x:c r="M269" s="339" t="str">
        <x:v>Tenant → organization → school → branch → class/section/student/own-record scope as applicable.</x:v>
      </x:c>
      <x:c r="N269" s="339" t="str">
        <x:v>Mask health, counselling, compensation, identity and other sensitive fields unless explicitly required by role.</x:v>
      </x:c>
    </x:row>
    <x:row r="270">
      <x:c r="A270" s="339" t="str">
        <x:v>RB-269</x:v>
      </x:c>
      <x:c r="B270" s="339" t="str">
        <x:v>SCR-269</x:v>
      </x:c>
      <x:c r="C270" s="339" t="str">
        <x:v>Reports &amp; Analytics</x:v>
      </x:c>
      <x:c r="D270" s="339" t="str">
        <x:v>Chronic Absenteeism Report</x:v>
      </x:c>
      <x:c r="E270" s="339" t="str">
        <x:v>School Admin, Principal, Owner / Director, Department Heads</x:v>
      </x:c>
      <x:c r="F270" s="339" t="str">
        <x:v>School Admin / Shared</x:v>
      </x:c>
      <x:c r="G270" s="339" t="str">
        <x:v>Yes</x:v>
      </x:c>
      <x:c r="H270" s="339" t="str">
        <x:v>As permitted</x:v>
      </x:c>
      <x:c r="I270" s="339" t="str">
        <x:v>As permitted</x:v>
      </x:c>
      <x:c r="J270" s="339" t="str">
        <x:v>No</x:v>
      </x:c>
      <x:c r="K270" s="339" t="str">
        <x:v>No / if configured</x:v>
      </x:c>
      <x:c r="L270" s="339" t="str">
        <x:v>Role-based</x:v>
      </x:c>
      <x:c r="M270" s="339" t="str">
        <x:v>Tenant → organization → school → branch → class/section/student/own-record scope as applicable.</x:v>
      </x:c>
      <x:c r="N270" s="339" t="str">
        <x:v>Mask health, counselling, compensation, identity and other sensitive fields unless explicitly required by role.</x:v>
      </x:c>
    </x:row>
    <x:row r="271">
      <x:c r="A271" s="339" t="str">
        <x:v>RB-270</x:v>
      </x:c>
      <x:c r="B271" s="339" t="str">
        <x:v>SCR-270</x:v>
      </x:c>
      <x:c r="C271" s="339" t="str">
        <x:v>Reports &amp; Analytics</x:v>
      </x:c>
      <x:c r="D271" s="339" t="str">
        <x:v>Academic Performance</x:v>
      </x:c>
      <x:c r="E271" s="339" t="str">
        <x:v>School Admin, Principal, Owner / Director, Department Heads</x:v>
      </x:c>
      <x:c r="F271" s="339" t="str">
        <x:v>School Admin / Shared</x:v>
      </x:c>
      <x:c r="G271" s="339" t="str">
        <x:v>Yes</x:v>
      </x:c>
      <x:c r="H271" s="339" t="str">
        <x:v>Yes</x:v>
      </x:c>
      <x:c r="I271" s="339" t="str">
        <x:v>Yes</x:v>
      </x:c>
      <x:c r="J271" s="339" t="str">
        <x:v>No</x:v>
      </x:c>
      <x:c r="K271" s="339" t="str">
        <x:v>Role/state based</x:v>
      </x:c>
      <x:c r="L271" s="339" t="str">
        <x:v>No / if configured</x:v>
      </x:c>
      <x:c r="M271" s="339" t="str">
        <x:v>Tenant → organization → school → branch → class/section/student/own-record scope as applicable.</x:v>
      </x:c>
      <x:c r="N271" s="339" t="str">
        <x:v>Mask health, counselling, compensation, identity and other sensitive fields unless explicitly required by role.</x:v>
      </x:c>
    </x:row>
    <x:row r="272">
      <x:c r="A272" s="339" t="str">
        <x:v>RB-271</x:v>
      </x:c>
      <x:c r="B272" s="339" t="str">
        <x:v>SCR-271</x:v>
      </x:c>
      <x:c r="C272" s="339" t="str">
        <x:v>Reports &amp; Analytics</x:v>
      </x:c>
      <x:c r="D272" s="339" t="str">
        <x:v>Subject Performance</x:v>
      </x:c>
      <x:c r="E272" s="339" t="str">
        <x:v>School Admin, Principal, Owner / Director, Department Heads</x:v>
      </x:c>
      <x:c r="F272" s="339" t="str">
        <x:v>School Admin / Shared</x:v>
      </x:c>
      <x:c r="G272" s="339" t="str">
        <x:v>Yes</x:v>
      </x:c>
      <x:c r="H272" s="339" t="str">
        <x:v>Yes</x:v>
      </x:c>
      <x:c r="I272" s="339" t="str">
        <x:v>Yes</x:v>
      </x:c>
      <x:c r="J272" s="339" t="str">
        <x:v>No</x:v>
      </x:c>
      <x:c r="K272" s="339" t="str">
        <x:v>Role/state based</x:v>
      </x:c>
      <x:c r="L272" s="339" t="str">
        <x:v>No / if configured</x:v>
      </x:c>
      <x:c r="M272" s="339" t="str">
        <x:v>Tenant → organization → school → branch → class/section/student/own-record scope as applicable.</x:v>
      </x:c>
      <x:c r="N272" s="339" t="str">
        <x:v>Mask health, counselling, compensation, identity and other sensitive fields unless explicitly required by role.</x:v>
      </x:c>
    </x:row>
    <x:row r="273">
      <x:c r="A273" s="339" t="str">
        <x:v>RB-272</x:v>
      </x:c>
      <x:c r="B273" s="339" t="str">
        <x:v>SCR-272</x:v>
      </x:c>
      <x:c r="C273" s="339" t="str">
        <x:v>Reports &amp; Analytics</x:v>
      </x:c>
      <x:c r="D273" s="339" t="str">
        <x:v>Exam Result Analysis</x:v>
      </x:c>
      <x:c r="E273" s="339" t="str">
        <x:v>School Admin, Principal, Owner / Director, Department Heads</x:v>
      </x:c>
      <x:c r="F273" s="339" t="str">
        <x:v>School Admin / Shared</x:v>
      </x:c>
      <x:c r="G273" s="339" t="str">
        <x:v>Yes</x:v>
      </x:c>
      <x:c r="H273" s="339" t="str">
        <x:v>Yes</x:v>
      </x:c>
      <x:c r="I273" s="339" t="str">
        <x:v>Yes</x:v>
      </x:c>
      <x:c r="J273" s="339" t="str">
        <x:v>No</x:v>
      </x:c>
      <x:c r="K273" s="339" t="str">
        <x:v>No / if configured</x:v>
      </x:c>
      <x:c r="L273" s="339" t="str">
        <x:v>Role-based</x:v>
      </x:c>
      <x:c r="M273" s="339" t="str">
        <x:v>Tenant → organization → school → branch → class/section/student/own-record scope as applicable.</x:v>
      </x:c>
      <x:c r="N273" s="339" t="str">
        <x:v>Mask health, counselling, compensation, identity and other sensitive fields unless explicitly required by role.</x:v>
      </x:c>
    </x:row>
    <x:row r="274">
      <x:c r="A274" s="339" t="str">
        <x:v>RB-273</x:v>
      </x:c>
      <x:c r="B274" s="339" t="str">
        <x:v>SCR-273</x:v>
      </x:c>
      <x:c r="C274" s="339" t="str">
        <x:v>Reports &amp; Analytics</x:v>
      </x:c>
      <x:c r="D274" s="339" t="str">
        <x:v>Fee Collection Report</x:v>
      </x:c>
      <x:c r="E274" s="339" t="str">
        <x:v>School Admin, Principal, Owner / Director, Department Heads</x:v>
      </x:c>
      <x:c r="F274" s="339" t="str">
        <x:v>School Admin / Shared</x:v>
      </x:c>
      <x:c r="G274" s="339" t="str">
        <x:v>Yes</x:v>
      </x:c>
      <x:c r="H274" s="339" t="str">
        <x:v>Yes</x:v>
      </x:c>
      <x:c r="I274" s="339" t="str">
        <x:v>As permitted</x:v>
      </x:c>
      <x:c r="J274" s="339" t="str">
        <x:v>No</x:v>
      </x:c>
      <x:c r="K274" s="339" t="str">
        <x:v>No / if configured</x:v>
      </x:c>
      <x:c r="L274" s="339" t="str">
        <x:v>No / if configured</x:v>
      </x:c>
      <x:c r="M274" s="339" t="str">
        <x:v>Tenant → organization → school → branch → class/section/student/own-record scope as applicable.</x:v>
      </x:c>
      <x:c r="N274" s="339" t="str">
        <x:v>Mask health, counselling, compensation, identity and other sensitive fields unless explicitly required by role.</x:v>
      </x:c>
    </x:row>
    <x:row r="275">
      <x:c r="A275" s="339" t="str">
        <x:v>RB-274</x:v>
      </x:c>
      <x:c r="B275" s="339" t="str">
        <x:v>SCR-274</x:v>
      </x:c>
      <x:c r="C275" s="339" t="str">
        <x:v>Reports &amp; Analytics</x:v>
      </x:c>
      <x:c r="D275" s="339" t="str">
        <x:v>Outstanding Dues Report</x:v>
      </x:c>
      <x:c r="E275" s="339" t="str">
        <x:v>School Admin, Principal, Owner / Director, Department Heads</x:v>
      </x:c>
      <x:c r="F275" s="339" t="str">
        <x:v>School Admin / Shared</x:v>
      </x:c>
      <x:c r="G275" s="339" t="str">
        <x:v>Yes</x:v>
      </x:c>
      <x:c r="H275" s="339" t="str">
        <x:v>As permitted</x:v>
      </x:c>
      <x:c r="I275" s="339" t="str">
        <x:v>As permitted</x:v>
      </x:c>
      <x:c r="J275" s="339" t="str">
        <x:v>No</x:v>
      </x:c>
      <x:c r="K275" s="339" t="str">
        <x:v>No / if configured</x:v>
      </x:c>
      <x:c r="L275" s="339" t="str">
        <x:v>Role-based</x:v>
      </x:c>
      <x:c r="M275" s="339" t="str">
        <x:v>Tenant → organization → school → branch → class/section/student/own-record scope as applicable.</x:v>
      </x:c>
      <x:c r="N275" s="339" t="str">
        <x:v>Mask health, counselling, compensation, identity and other sensitive fields unless explicitly required by role.</x:v>
      </x:c>
    </x:row>
    <x:row r="276">
      <x:c r="A276" s="339" t="str">
        <x:v>RB-275</x:v>
      </x:c>
      <x:c r="B276" s="339" t="str">
        <x:v>SCR-275</x:v>
      </x:c>
      <x:c r="C276" s="339" t="str">
        <x:v>Reports &amp; Analytics</x:v>
      </x:c>
      <x:c r="D276" s="339" t="str">
        <x:v>Finance Summary</x:v>
      </x:c>
      <x:c r="E276" s="339" t="str">
        <x:v>School Admin, Principal, Owner / Director, Department Heads</x:v>
      </x:c>
      <x:c r="F276" s="339" t="str">
        <x:v>School Admin / Shared</x:v>
      </x:c>
      <x:c r="G276" s="339" t="str">
        <x:v>Yes</x:v>
      </x:c>
      <x:c r="H276" s="339" t="str">
        <x:v>As permitted</x:v>
      </x:c>
      <x:c r="I276" s="339" t="str">
        <x:v>As permitted</x:v>
      </x:c>
      <x:c r="J276" s="339" t="str">
        <x:v>No</x:v>
      </x:c>
      <x:c r="K276" s="339" t="str">
        <x:v>No / if configured</x:v>
      </x:c>
      <x:c r="L276" s="339" t="str">
        <x:v>Role-based</x:v>
      </x:c>
      <x:c r="M276" s="339" t="str">
        <x:v>Tenant → organization → school → branch → class/section/student/own-record scope as applicable.</x:v>
      </x:c>
      <x:c r="N276" s="339" t="str">
        <x:v>Mask health, counselling, compensation, identity and other sensitive fields unless explicitly required by role.</x:v>
      </x:c>
    </x:row>
    <x:row r="277">
      <x:c r="A277" s="339" t="str">
        <x:v>RB-276</x:v>
      </x:c>
      <x:c r="B277" s="339" t="str">
        <x:v>SCR-276</x:v>
      </x:c>
      <x:c r="C277" s="339" t="str">
        <x:v>Reports &amp; Analytics</x:v>
      </x:c>
      <x:c r="D277" s="339" t="str">
        <x:v>Staff Attendance Report</x:v>
      </x:c>
      <x:c r="E277" s="339" t="str">
        <x:v>School Admin, Principal, Owner / Director, Department Heads</x:v>
      </x:c>
      <x:c r="F277" s="339" t="str">
        <x:v>School Admin / Shared</x:v>
      </x:c>
      <x:c r="G277" s="339" t="str">
        <x:v>Yes</x:v>
      </x:c>
      <x:c r="H277" s="339" t="str">
        <x:v>As permitted</x:v>
      </x:c>
      <x:c r="I277" s="339" t="str">
        <x:v>As permitted</x:v>
      </x:c>
      <x:c r="J277" s="339" t="str">
        <x:v>No</x:v>
      </x:c>
      <x:c r="K277" s="339" t="str">
        <x:v>No / if configured</x:v>
      </x:c>
      <x:c r="L277" s="339" t="str">
        <x:v>Role-based</x:v>
      </x:c>
      <x:c r="M277" s="339" t="str">
        <x:v>Tenant → organization → school → branch → class/section/student/own-record scope as applicable.</x:v>
      </x:c>
      <x:c r="N277" s="339" t="str">
        <x:v>Mask health, counselling, compensation, identity and other sensitive fields unless explicitly required by role.</x:v>
      </x:c>
    </x:row>
    <x:row r="278">
      <x:c r="A278" s="339" t="str">
        <x:v>RB-277</x:v>
      </x:c>
      <x:c r="B278" s="339" t="str">
        <x:v>SCR-277</x:v>
      </x:c>
      <x:c r="C278" s="339" t="str">
        <x:v>Reports &amp; Analytics</x:v>
      </x:c>
      <x:c r="D278" s="339" t="str">
        <x:v>Payroll Summary</x:v>
      </x:c>
      <x:c r="E278" s="339" t="str">
        <x:v>School Admin, Principal, Owner / Director, Department Heads</x:v>
      </x:c>
      <x:c r="F278" s="339" t="str">
        <x:v>School Admin / Shared</x:v>
      </x:c>
      <x:c r="G278" s="339" t="str">
        <x:v>Yes</x:v>
      </x:c>
      <x:c r="H278" s="339" t="str">
        <x:v>As permitted</x:v>
      </x:c>
      <x:c r="I278" s="339" t="str">
        <x:v>As permitted</x:v>
      </x:c>
      <x:c r="J278" s="339" t="str">
        <x:v>No</x:v>
      </x:c>
      <x:c r="K278" s="339" t="str">
        <x:v>No / if configured</x:v>
      </x:c>
      <x:c r="L278" s="339" t="str">
        <x:v>Role-based</x:v>
      </x:c>
      <x:c r="M278" s="339" t="str">
        <x:v>Tenant → organization → school → branch → class/section/student/own-record scope as applicable.</x:v>
      </x:c>
      <x:c r="N278" s="339" t="str">
        <x:v>Mask health, counselling, compensation, identity and other sensitive fields unless explicitly required by role.</x:v>
      </x:c>
    </x:row>
    <x:row r="279">
      <x:c r="A279" s="339" t="str">
        <x:v>RB-278</x:v>
      </x:c>
      <x:c r="B279" s="339" t="str">
        <x:v>SCR-278</x:v>
      </x:c>
      <x:c r="C279" s="339" t="str">
        <x:v>Reports &amp; Analytics</x:v>
      </x:c>
      <x:c r="D279" s="339" t="str">
        <x:v>Teacher Performance</x:v>
      </x:c>
      <x:c r="E279" s="339" t="str">
        <x:v>School Admin, Principal, Owner / Director, Department Heads</x:v>
      </x:c>
      <x:c r="F279" s="339" t="str">
        <x:v>School Admin / Shared</x:v>
      </x:c>
      <x:c r="G279" s="339" t="str">
        <x:v>Yes</x:v>
      </x:c>
      <x:c r="H279" s="339" t="str">
        <x:v>Yes</x:v>
      </x:c>
      <x:c r="I279" s="339" t="str">
        <x:v>Yes</x:v>
      </x:c>
      <x:c r="J279" s="339" t="str">
        <x:v>No</x:v>
      </x:c>
      <x:c r="K279" s="339" t="str">
        <x:v>Role/state based</x:v>
      </x:c>
      <x:c r="L279" s="339" t="str">
        <x:v>No / if configured</x:v>
      </x:c>
      <x:c r="M279" s="339" t="str">
        <x:v>Tenant → organization → school → branch → class/section/student/own-record scope as applicable.</x:v>
      </x:c>
      <x:c r="N279" s="339" t="str">
        <x:v>Mask health, counselling, compensation, identity and other sensitive fields unless explicitly required by role.</x:v>
      </x:c>
    </x:row>
    <x:row r="280">
      <x:c r="A280" s="339" t="str">
        <x:v>RB-279</x:v>
      </x:c>
      <x:c r="B280" s="339" t="str">
        <x:v>SCR-279</x:v>
      </x:c>
      <x:c r="C280" s="339" t="str">
        <x:v>Reports &amp; Analytics</x:v>
      </x:c>
      <x:c r="D280" s="339" t="str">
        <x:v>Transport Utilization</x:v>
      </x:c>
      <x:c r="E280" s="339" t="str">
        <x:v>School Admin, Principal, Owner / Director, Department Heads</x:v>
      </x:c>
      <x:c r="F280" s="339" t="str">
        <x:v>School Admin / Shared</x:v>
      </x:c>
      <x:c r="G280" s="339" t="str">
        <x:v>Yes</x:v>
      </x:c>
      <x:c r="H280" s="339" t="str">
        <x:v>As permitted</x:v>
      </x:c>
      <x:c r="I280" s="339" t="str">
        <x:v>As permitted</x:v>
      </x:c>
      <x:c r="J280" s="339" t="str">
        <x:v>No</x:v>
      </x:c>
      <x:c r="K280" s="339" t="str">
        <x:v>No / if configured</x:v>
      </x:c>
      <x:c r="L280" s="339" t="str">
        <x:v>Role-based</x:v>
      </x:c>
      <x:c r="M280" s="339" t="str">
        <x:v>Tenant → organization → school → branch → class/section/student/own-record scope as applicable.</x:v>
      </x:c>
      <x:c r="N280" s="339" t="str">
        <x:v>Mask health, counselling, compensation, identity and other sensitive fields unless explicitly required by role.</x:v>
      </x:c>
    </x:row>
    <x:row r="281">
      <x:c r="A281" s="339" t="str">
        <x:v>RB-280</x:v>
      </x:c>
      <x:c r="B281" s="339" t="str">
        <x:v>SCR-280</x:v>
      </x:c>
      <x:c r="C281" s="339" t="str">
        <x:v>Reports &amp; Analytics</x:v>
      </x:c>
      <x:c r="D281" s="339" t="str">
        <x:v>Library Usage</x:v>
      </x:c>
      <x:c r="E281" s="339" t="str">
        <x:v>School Admin, Principal, Owner / Director, Department Heads</x:v>
      </x:c>
      <x:c r="F281" s="339" t="str">
        <x:v>School Admin / Shared</x:v>
      </x:c>
      <x:c r="G281" s="339" t="str">
        <x:v>Yes</x:v>
      </x:c>
      <x:c r="H281" s="339" t="str">
        <x:v>As permitted</x:v>
      </x:c>
      <x:c r="I281" s="339" t="str">
        <x:v>As permitted</x:v>
      </x:c>
      <x:c r="J281" s="339" t="str">
        <x:v>No</x:v>
      </x:c>
      <x:c r="K281" s="339" t="str">
        <x:v>No / if configured</x:v>
      </x:c>
      <x:c r="L281" s="339" t="str">
        <x:v>Role-based</x:v>
      </x:c>
      <x:c r="M281" s="339" t="str">
        <x:v>Tenant → organization → school → branch → class/section/student/own-record scope as applicable.</x:v>
      </x:c>
      <x:c r="N281" s="339" t="str">
        <x:v>Mask health, counselling, compensation, identity and other sensitive fields unless explicitly required by role.</x:v>
      </x:c>
    </x:row>
    <x:row r="282">
      <x:c r="A282" s="339" t="str">
        <x:v>RB-281</x:v>
      </x:c>
      <x:c r="B282" s="339" t="str">
        <x:v>SCR-281</x:v>
      </x:c>
      <x:c r="C282" s="339" t="str">
        <x:v>Reports &amp; Analytics</x:v>
      </x:c>
      <x:c r="D282" s="339" t="str">
        <x:v>Inventory &amp; Asset Report</x:v>
      </x:c>
      <x:c r="E282" s="339" t="str">
        <x:v>School Admin, Principal, Owner / Director, Department Heads</x:v>
      </x:c>
      <x:c r="F282" s="339" t="str">
        <x:v>School Admin / Shared</x:v>
      </x:c>
      <x:c r="G282" s="339" t="str">
        <x:v>Yes</x:v>
      </x:c>
      <x:c r="H282" s="339" t="str">
        <x:v>As permitted</x:v>
      </x:c>
      <x:c r="I282" s="339" t="str">
        <x:v>As permitted</x:v>
      </x:c>
      <x:c r="J282" s="339" t="str">
        <x:v>No</x:v>
      </x:c>
      <x:c r="K282" s="339" t="str">
        <x:v>No / if configured</x:v>
      </x:c>
      <x:c r="L282" s="339" t="str">
        <x:v>Role-based</x:v>
      </x:c>
      <x:c r="M282" s="339" t="str">
        <x:v>Tenant → organization → school → branch → class/section/student/own-record scope as applicable.</x:v>
      </x:c>
      <x:c r="N282" s="339" t="str">
        <x:v>Mask health, counselling, compensation, identity and other sensitive fields unless explicitly required by role.</x:v>
      </x:c>
    </x:row>
    <x:row r="283">
      <x:c r="A283" s="339" t="str">
        <x:v>RB-282</x:v>
      </x:c>
      <x:c r="B283" s="339" t="str">
        <x:v>SCR-282</x:v>
      </x:c>
      <x:c r="C283" s="339" t="str">
        <x:v>Reports &amp; Analytics</x:v>
      </x:c>
      <x:c r="D283" s="339" t="str">
        <x:v>Communication / Notification Report</x:v>
      </x:c>
      <x:c r="E283" s="339" t="str">
        <x:v>School Admin, Principal, Owner / Director, Department Heads</x:v>
      </x:c>
      <x:c r="F283" s="339" t="str">
        <x:v>School Admin / Shared</x:v>
      </x:c>
      <x:c r="G283" s="339" t="str">
        <x:v>Yes</x:v>
      </x:c>
      <x:c r="H283" s="339" t="str">
        <x:v>As permitted</x:v>
      </x:c>
      <x:c r="I283" s="339" t="str">
        <x:v>As permitted</x:v>
      </x:c>
      <x:c r="J283" s="339" t="str">
        <x:v>No</x:v>
      </x:c>
      <x:c r="K283" s="339" t="str">
        <x:v>No / if configured</x:v>
      </x:c>
      <x:c r="L283" s="339" t="str">
        <x:v>Role-based</x:v>
      </x:c>
      <x:c r="M283" s="339" t="str">
        <x:v>Tenant → organization → school → branch → class/section/student/own-record scope as applicable.</x:v>
      </x:c>
      <x:c r="N283" s="339" t="str">
        <x:v>Mask health, counselling, compensation, identity and other sensitive fields unless explicitly required by role.</x:v>
      </x:c>
    </x:row>
    <x:row r="284">
      <x:c r="A284" s="339" t="str">
        <x:v>RB-283</x:v>
      </x:c>
      <x:c r="B284" s="339" t="str">
        <x:v>SCR-283</x:v>
      </x:c>
      <x:c r="C284" s="339" t="str">
        <x:v>Reports &amp; Analytics</x:v>
      </x:c>
      <x:c r="D284" s="339" t="str">
        <x:v>Custom Report Builder</x:v>
      </x:c>
      <x:c r="E284" s="339" t="str">
        <x:v>School Admin, Principal, Owner / Director, Department Heads</x:v>
      </x:c>
      <x:c r="F284" s="339" t="str">
        <x:v>School Admin / Shared</x:v>
      </x:c>
      <x:c r="G284" s="339" t="str">
        <x:v>Yes</x:v>
      </x:c>
      <x:c r="H284" s="339" t="str">
        <x:v>As permitted</x:v>
      </x:c>
      <x:c r="I284" s="339" t="str">
        <x:v>As permitted</x:v>
      </x:c>
      <x:c r="J284" s="339" t="str">
        <x:v>No</x:v>
      </x:c>
      <x:c r="K284" s="339" t="str">
        <x:v>No / if configured</x:v>
      </x:c>
      <x:c r="L284" s="339" t="str">
        <x:v>Role-based</x:v>
      </x:c>
      <x:c r="M284" s="339" t="str">
        <x:v>Tenant → organization → school → branch → class/section/student/own-record scope as applicable.</x:v>
      </x:c>
      <x:c r="N284" s="339" t="str">
        <x:v>Mask health, counselling, compensation, identity and other sensitive fields unless explicitly required by role.</x:v>
      </x:c>
    </x:row>
    <x:row r="285">
      <x:c r="A285" s="339" t="str">
        <x:v>RB-284</x:v>
      </x:c>
      <x:c r="B285" s="339" t="str">
        <x:v>SCR-284</x:v>
      </x:c>
      <x:c r="C285" s="339" t="str">
        <x:v>Settings / Roles / Permissions / Audit</x:v>
      </x:c>
      <x:c r="D285" s="339" t="str">
        <x:v>User Management</x:v>
      </x:c>
      <x:c r="E285" s="339" t="str">
        <x:v>IT Admin, School Admin, Super Admin</x:v>
      </x:c>
      <x:c r="F285" s="339" t="str">
        <x:v>School Admin / Shared</x:v>
      </x:c>
      <x:c r="G285" s="339" t="str">
        <x:v>Yes</x:v>
      </x:c>
      <x:c r="H285" s="339" t="str">
        <x:v>Yes</x:v>
      </x:c>
      <x:c r="I285" s="339" t="str">
        <x:v>Yes</x:v>
      </x:c>
      <x:c r="J285" s="339" t="str">
        <x:v>Restricted; prefer inactivate/reverse</x:v>
      </x:c>
      <x:c r="K285" s="339" t="str">
        <x:v>Role/state based</x:v>
      </x:c>
      <x:c r="L285" s="339" t="str">
        <x:v>No / if configured</x:v>
      </x:c>
      <x:c r="M285" s="339" t="str">
        <x:v>Tenant → organization → school → branch → class/section/student/own-record scope as applicable.</x:v>
      </x:c>
      <x:c r="N285" s="339" t="str">
        <x:v>Mask health, counselling, compensation, identity and other sensitive fields unless explicitly required by role.</x:v>
      </x:c>
    </x:row>
    <x:row r="286">
      <x:c r="A286" s="339" t="str">
        <x:v>RB-285</x:v>
      </x:c>
      <x:c r="B286" s="339" t="str">
        <x:v>SCR-285</x:v>
      </x:c>
      <x:c r="C286" s="339" t="str">
        <x:v>Settings / Roles / Permissions / Audit</x:v>
      </x:c>
      <x:c r="D286" s="339" t="str">
        <x:v>Roles</x:v>
      </x:c>
      <x:c r="E286" s="339" t="str">
        <x:v>IT Admin, School Admin, Super Admin</x:v>
      </x:c>
      <x:c r="F286" s="339" t="str">
        <x:v>School Admin / Shared</x:v>
      </x:c>
      <x:c r="G286" s="339" t="str">
        <x:v>Yes</x:v>
      </x:c>
      <x:c r="H286" s="339" t="str">
        <x:v>Yes</x:v>
      </x:c>
      <x:c r="I286" s="339" t="str">
        <x:v>Yes</x:v>
      </x:c>
      <x:c r="J286" s="339" t="str">
        <x:v>Restricted; prefer inactivate/reverse</x:v>
      </x:c>
      <x:c r="K286" s="339" t="str">
        <x:v>No / if configured</x:v>
      </x:c>
      <x:c r="L286" s="339" t="str">
        <x:v>No / if configured</x:v>
      </x:c>
      <x:c r="M286" s="339" t="str">
        <x:v>Tenant → organization → school → branch → class/section/student/own-record scope as applicable.</x:v>
      </x:c>
      <x:c r="N286" s="339" t="str">
        <x:v>Mask health, counselling, compensation, identity and other sensitive fields unless explicitly required by role.</x:v>
      </x:c>
    </x:row>
    <x:row r="287">
      <x:c r="A287" s="339" t="str">
        <x:v>RB-286</x:v>
      </x:c>
      <x:c r="B287" s="339" t="str">
        <x:v>SCR-286</x:v>
      </x:c>
      <x:c r="C287" s="339" t="str">
        <x:v>Settings / Roles / Permissions / Audit</x:v>
      </x:c>
      <x:c r="D287" s="339" t="str">
        <x:v>Permissions</x:v>
      </x:c>
      <x:c r="E287" s="339" t="str">
        <x:v>IT Admin, School Admin, Super Admin</x:v>
      </x:c>
      <x:c r="F287" s="339" t="str">
        <x:v>School Admin / Shared</x:v>
      </x:c>
      <x:c r="G287" s="339" t="str">
        <x:v>Yes</x:v>
      </x:c>
      <x:c r="H287" s="339" t="str">
        <x:v>Yes</x:v>
      </x:c>
      <x:c r="I287" s="339" t="str">
        <x:v>Yes</x:v>
      </x:c>
      <x:c r="J287" s="339" t="str">
        <x:v>Restricted; prefer inactivate/reverse</x:v>
      </x:c>
      <x:c r="K287" s="339" t="str">
        <x:v>No / if configured</x:v>
      </x:c>
      <x:c r="L287" s="339" t="str">
        <x:v>No / if configured</x:v>
      </x:c>
      <x:c r="M287" s="339" t="str">
        <x:v>Tenant → organization → school → branch → class/section/student/own-record scope as applicable.</x:v>
      </x:c>
      <x:c r="N287" s="339" t="str">
        <x:v>Mask health, counselling, compensation, identity and other sensitive fields unless explicitly required by role.</x:v>
      </x:c>
    </x:row>
    <x:row r="288">
      <x:c r="A288" s="339" t="str">
        <x:v>RB-287</x:v>
      </x:c>
      <x:c r="B288" s="339" t="str">
        <x:v>SCR-287</x:v>
      </x:c>
      <x:c r="C288" s="339" t="str">
        <x:v>Settings / Roles / Permissions / Audit</x:v>
      </x:c>
      <x:c r="D288" s="339" t="str">
        <x:v>Role Permission Matrix</x:v>
      </x:c>
      <x:c r="E288" s="339" t="str">
        <x:v>IT Admin, School Admin, Super Admin</x:v>
      </x:c>
      <x:c r="F288" s="339" t="str">
        <x:v>School Admin / Shared</x:v>
      </x:c>
      <x:c r="G288" s="339" t="str">
        <x:v>Yes</x:v>
      </x:c>
      <x:c r="H288" s="339" t="str">
        <x:v>Yes</x:v>
      </x:c>
      <x:c r="I288" s="339" t="str">
        <x:v>Yes</x:v>
      </x:c>
      <x:c r="J288" s="339" t="str">
        <x:v>Restricted; prefer inactivate/reverse</x:v>
      </x:c>
      <x:c r="K288" s="339" t="str">
        <x:v>Role/state based</x:v>
      </x:c>
      <x:c r="L288" s="339" t="str">
        <x:v>No / if configured</x:v>
      </x:c>
      <x:c r="M288" s="339" t="str">
        <x:v>Tenant → organization → school → branch → class/section/student/own-record scope as applicable.</x:v>
      </x:c>
      <x:c r="N288" s="339" t="str">
        <x:v>Mask health, counselling, compensation, identity and other sensitive fields unless explicitly required by role.</x:v>
      </x:c>
    </x:row>
    <x:row r="289">
      <x:c r="A289" s="339" t="str">
        <x:v>RB-288</x:v>
      </x:c>
      <x:c r="B289" s="339" t="str">
        <x:v>SCR-288</x:v>
      </x:c>
      <x:c r="C289" s="339" t="str">
        <x:v>Settings / Roles / Permissions / Audit</x:v>
      </x:c>
      <x:c r="D289" s="339" t="str">
        <x:v>User Role Assignment</x:v>
      </x:c>
      <x:c r="E289" s="339" t="str">
        <x:v>IT Admin, School Admin, Super Admin</x:v>
      </x:c>
      <x:c r="F289" s="339" t="str">
        <x:v>School Admin / Shared</x:v>
      </x:c>
      <x:c r="G289" s="339" t="str">
        <x:v>Yes</x:v>
      </x:c>
      <x:c r="H289" s="339" t="str">
        <x:v>Yes</x:v>
      </x:c>
      <x:c r="I289" s="339" t="str">
        <x:v>Yes</x:v>
      </x:c>
      <x:c r="J289" s="339" t="str">
        <x:v>Restricted; prefer inactivate/reverse</x:v>
      </x:c>
      <x:c r="K289" s="339" t="str">
        <x:v>Role/state based</x:v>
      </x:c>
      <x:c r="L289" s="339" t="str">
        <x:v>No / if configured</x:v>
      </x:c>
      <x:c r="M289" s="339" t="str">
        <x:v>Tenant → organization → school → branch → class/section/student/own-record scope as applicable.</x:v>
      </x:c>
      <x:c r="N289" s="339" t="str">
        <x:v>Mask health, counselling, compensation, identity and other sensitive fields unless explicitly required by role.</x:v>
      </x:c>
    </x:row>
    <x:row r="290">
      <x:c r="A290" s="339" t="str">
        <x:v>RB-289</x:v>
      </x:c>
      <x:c r="B290" s="339" t="str">
        <x:v>SCR-289</x:v>
      </x:c>
      <x:c r="C290" s="339" t="str">
        <x:v>Settings / Roles / Permissions / Audit</x:v>
      </x:c>
      <x:c r="D290" s="339" t="str">
        <x:v>School Settings</x:v>
      </x:c>
      <x:c r="E290" s="339" t="str">
        <x:v>IT Admin, School Admin, Super Admin</x:v>
      </x:c>
      <x:c r="F290" s="339" t="str">
        <x:v>School Admin / Shared</x:v>
      </x:c>
      <x:c r="G290" s="339" t="str">
        <x:v>Yes</x:v>
      </x:c>
      <x:c r="H290" s="339" t="str">
        <x:v>Yes</x:v>
      </x:c>
      <x:c r="I290" s="339" t="str">
        <x:v>Yes</x:v>
      </x:c>
      <x:c r="J290" s="339" t="str">
        <x:v>Restricted; prefer inactivate/reverse</x:v>
      </x:c>
      <x:c r="K290" s="339" t="str">
        <x:v>No / if configured</x:v>
      </x:c>
      <x:c r="L290" s="339" t="str">
        <x:v>No / if configured</x:v>
      </x:c>
      <x:c r="M290" s="339" t="str">
        <x:v>Tenant → organization → school → branch → class/section/student/own-record scope as applicable.</x:v>
      </x:c>
      <x:c r="N290" s="339" t="str">
        <x:v>Mask health, counselling, compensation, identity and other sensitive fields unless explicitly required by role.</x:v>
      </x:c>
    </x:row>
    <x:row r="291">
      <x:c r="A291" s="339" t="str">
        <x:v>RB-290</x:v>
      </x:c>
      <x:c r="B291" s="339" t="str">
        <x:v>SCR-290</x:v>
      </x:c>
      <x:c r="C291" s="339" t="str">
        <x:v>Settings / Roles / Permissions / Audit</x:v>
      </x:c>
      <x:c r="D291" s="339" t="str">
        <x:v>Academic Settings</x:v>
      </x:c>
      <x:c r="E291" s="339" t="str">
        <x:v>IT Admin, School Admin, Super Admin</x:v>
      </x:c>
      <x:c r="F291" s="339" t="str">
        <x:v>School Admin / Shared</x:v>
      </x:c>
      <x:c r="G291" s="339" t="str">
        <x:v>Yes</x:v>
      </x:c>
      <x:c r="H291" s="339" t="str">
        <x:v>Yes</x:v>
      </x:c>
      <x:c r="I291" s="339" t="str">
        <x:v>Yes</x:v>
      </x:c>
      <x:c r="J291" s="339" t="str">
        <x:v>Restricted; prefer inactivate/reverse</x:v>
      </x:c>
      <x:c r="K291" s="339" t="str">
        <x:v>No / if configured</x:v>
      </x:c>
      <x:c r="L291" s="339" t="str">
        <x:v>No / if configured</x:v>
      </x:c>
      <x:c r="M291" s="339" t="str">
        <x:v>Tenant → organization → school → branch → class/section/student/own-record scope as applicable.</x:v>
      </x:c>
      <x:c r="N291" s="339" t="str">
        <x:v>Mask health, counselling, compensation, identity and other sensitive fields unless explicitly required by role.</x:v>
      </x:c>
    </x:row>
    <x:row r="292">
      <x:c r="A292" s="339" t="str">
        <x:v>RB-291</x:v>
      </x:c>
      <x:c r="B292" s="339" t="str">
        <x:v>SCR-291</x:v>
      </x:c>
      <x:c r="C292" s="339" t="str">
        <x:v>Settings / Roles / Permissions / Audit</x:v>
      </x:c>
      <x:c r="D292" s="339" t="str">
        <x:v>Notification Settings</x:v>
      </x:c>
      <x:c r="E292" s="339" t="str">
        <x:v>IT Admin, School Admin, Super Admin</x:v>
      </x:c>
      <x:c r="F292" s="339" t="str">
        <x:v>School Admin / Shared</x:v>
      </x:c>
      <x:c r="G292" s="339" t="str">
        <x:v>Yes</x:v>
      </x:c>
      <x:c r="H292" s="339" t="str">
        <x:v>Yes</x:v>
      </x:c>
      <x:c r="I292" s="339" t="str">
        <x:v>Yes</x:v>
      </x:c>
      <x:c r="J292" s="339" t="str">
        <x:v>Restricted; prefer inactivate/reverse</x:v>
      </x:c>
      <x:c r="K292" s="339" t="str">
        <x:v>No / if configured</x:v>
      </x:c>
      <x:c r="L292" s="339" t="str">
        <x:v>No / if configured</x:v>
      </x:c>
      <x:c r="M292" s="339" t="str">
        <x:v>Tenant → organization → school → branch → class/section/student/own-record scope as applicable.</x:v>
      </x:c>
      <x:c r="N292" s="339" t="str">
        <x:v>Mask health, counselling, compensation, identity and other sensitive fields unless explicitly required by role.</x:v>
      </x:c>
    </x:row>
    <x:row r="293">
      <x:c r="A293" s="339" t="str">
        <x:v>RB-292</x:v>
      </x:c>
      <x:c r="B293" s="339" t="str">
        <x:v>SCR-292</x:v>
      </x:c>
      <x:c r="C293" s="339" t="str">
        <x:v>Settings / Roles / Permissions / Audit</x:v>
      </x:c>
      <x:c r="D293" s="339" t="str">
        <x:v>Integration / API Settings</x:v>
      </x:c>
      <x:c r="E293" s="339" t="str">
        <x:v>IT Admin, School Admin, Super Admin</x:v>
      </x:c>
      <x:c r="F293" s="339" t="str">
        <x:v>School Admin / Shared</x:v>
      </x:c>
      <x:c r="G293" s="339" t="str">
        <x:v>Yes</x:v>
      </x:c>
      <x:c r="H293" s="339" t="str">
        <x:v>Yes</x:v>
      </x:c>
      <x:c r="I293" s="339" t="str">
        <x:v>Yes</x:v>
      </x:c>
      <x:c r="J293" s="339" t="str">
        <x:v>Restricted; prefer inactivate/reverse</x:v>
      </x:c>
      <x:c r="K293" s="339" t="str">
        <x:v>No / if configured</x:v>
      </x:c>
      <x:c r="L293" s="339" t="str">
        <x:v>No / if configured</x:v>
      </x:c>
      <x:c r="M293" s="339" t="str">
        <x:v>Tenant → organization → school → branch → class/section/student/own-record scope as applicable.</x:v>
      </x:c>
      <x:c r="N293" s="339" t="str">
        <x:v>Mask health, counselling, compensation, identity and other sensitive fields unless explicitly required by role.</x:v>
      </x:c>
    </x:row>
    <x:row r="294">
      <x:c r="A294" s="339" t="str">
        <x:v>RB-293</x:v>
      </x:c>
      <x:c r="B294" s="339" t="str">
        <x:v>SCR-293</x:v>
      </x:c>
      <x:c r="C294" s="339" t="str">
        <x:v>Settings / Roles / Permissions / Audit</x:v>
      </x:c>
      <x:c r="D294" s="339" t="str">
        <x:v>Security &amp; Password Policy</x:v>
      </x:c>
      <x:c r="E294" s="339" t="str">
        <x:v>IT Admin, School Admin, Super Admin</x:v>
      </x:c>
      <x:c r="F294" s="339" t="str">
        <x:v>School Admin / Shared</x:v>
      </x:c>
      <x:c r="G294" s="339" t="str">
        <x:v>Yes</x:v>
      </x:c>
      <x:c r="H294" s="339" t="str">
        <x:v>Yes</x:v>
      </x:c>
      <x:c r="I294" s="339" t="str">
        <x:v>Yes</x:v>
      </x:c>
      <x:c r="J294" s="339" t="str">
        <x:v>Restricted; prefer inactivate/reverse</x:v>
      </x:c>
      <x:c r="K294" s="339" t="str">
        <x:v>No / if configured</x:v>
      </x:c>
      <x:c r="L294" s="339" t="str">
        <x:v>No / if configured</x:v>
      </x:c>
      <x:c r="M294" s="339" t="str">
        <x:v>Tenant → organization → school → branch → class/section/student/own-record scope as applicable.</x:v>
      </x:c>
      <x:c r="N294" s="339" t="str">
        <x:v>Mask health, counselling, compensation, identity and other sensitive fields unless explicitly required by role.</x:v>
      </x:c>
    </x:row>
    <x:row r="295">
      <x:c r="A295" s="339" t="str">
        <x:v>RB-294</x:v>
      </x:c>
      <x:c r="B295" s="339" t="str">
        <x:v>SCR-294</x:v>
      </x:c>
      <x:c r="C295" s="339" t="str">
        <x:v>Settings / Roles / Permissions / Audit</x:v>
      </x:c>
      <x:c r="D295" s="339" t="str">
        <x:v>Audit Logs</x:v>
      </x:c>
      <x:c r="E295" s="339" t="str">
        <x:v>IT Admin, School Admin, Super Admin</x:v>
      </x:c>
      <x:c r="F295" s="339" t="str">
        <x:v>School Admin / Shared</x:v>
      </x:c>
      <x:c r="G295" s="339" t="str">
        <x:v>Yes</x:v>
      </x:c>
      <x:c r="H295" s="339" t="str">
        <x:v>Yes</x:v>
      </x:c>
      <x:c r="I295" s="339" t="str">
        <x:v>Yes</x:v>
      </x:c>
      <x:c r="J295" s="339" t="str">
        <x:v>Restricted; prefer inactivate/reverse</x:v>
      </x:c>
      <x:c r="K295" s="339" t="str">
        <x:v>Role/state based</x:v>
      </x:c>
      <x:c r="L295" s="339" t="str">
        <x:v>No / if configured</x:v>
      </x:c>
      <x:c r="M295" s="339" t="str">
        <x:v>Tenant → organization → school → branch → class/section/student/own-record scope as applicable.</x:v>
      </x:c>
      <x:c r="N295" s="339" t="str">
        <x:v>Mask health, counselling, compensation, identity and other sensitive fields unless explicitly required by role.</x:v>
      </x:c>
    </x:row>
    <x:row r="296">
      <x:c r="A296" s="340" t="str">
        <x:v>RB-295</x:v>
      </x:c>
      <x:c r="B296" s="340" t="str">
        <x:v>SCR-295</x:v>
      </x:c>
      <x:c r="C296" s="340" t="str">
        <x:v>Settings / Roles / Permissions / Audit</x:v>
      </x:c>
      <x:c r="D296" s="340" t="str">
        <x:v>Data Import / Export / Backup</x:v>
      </x:c>
      <x:c r="E296" s="340" t="str">
        <x:v>IT Admin, School Admin, Super Admin</x:v>
      </x:c>
      <x:c r="F296" s="340" t="str">
        <x:v>School Admin / Shared</x:v>
      </x:c>
      <x:c r="G296" s="340" t="str">
        <x:v>Yes</x:v>
      </x:c>
      <x:c r="H296" s="340" t="str">
        <x:v>Yes</x:v>
      </x:c>
      <x:c r="I296" s="340" t="str">
        <x:v>Yes</x:v>
      </x:c>
      <x:c r="J296" s="340" t="str">
        <x:v>Restricted; prefer inactivate/reverse</x:v>
      </x:c>
      <x:c r="K296" s="340" t="str">
        <x:v>Role/state based</x:v>
      </x:c>
      <x:c r="L296" s="340" t="str">
        <x:v>No / if configured</x:v>
      </x:c>
      <x:c r="M296" s="340" t="str">
        <x:v>Tenant → organization → school → branch → class/section/student/own-record scope as applicable.</x:v>
      </x:c>
      <x:c r="N296" s="340" t="str">
        <x:v>Mask health, counselling, compensation, identity and other sensitive fields unless explicitly required by role.</x:v>
      </x:c>
    </x:row>
  </x:sheetData>
  <x:pageMargins left="0.7" right="0.7" top="0.75" bottom="0.75" header="0.3" footer="0.3"/>
  <x:tableParts count="1">
    <x:tablePart xmlns:r="http://schemas.openxmlformats.org/officeDocument/2006/relationships" r:id="R685845f0819d4912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1" hidden="0" customWidth="1"/>
    <x:col min="3" max="3" width="28" hidden="0" customWidth="1"/>
    <x:col min="4" max="4" width="28" hidden="0" customWidth="1"/>
    <x:col min="5" max="5" width="48" hidden="0" customWidth="1"/>
    <x:col min="6" max="6" width="32" hidden="0" customWidth="1"/>
    <x:col min="7" max="7" width="24" hidden="0" customWidth="1"/>
    <x:col min="8" max="8" width="52" hidden="0" customWidth="1"/>
    <x:col min="9" max="9" width="42" hidden="0" customWidth="1"/>
    <x:col min="10" max="10" width="48" hidden="0" customWidth="1"/>
    <x:col min="11" max="11" width="44" hidden="0" customWidth="1"/>
  </x:cols>
  <x:sheetData>
    <x:row r="1" ht="30" customHeight="1">
      <x:c r="A1" s="338" t="str">
        <x:v>Notification ID</x:v>
      </x:c>
      <x:c r="B1" s="338" t="str">
        <x:v>Screen ID</x:v>
      </x:c>
      <x:c r="C1" s="338" t="str">
        <x:v>Module</x:v>
      </x:c>
      <x:c r="D1" s="338" t="str">
        <x:v>Screen Name</x:v>
      </x:c>
      <x:c r="E1" s="338" t="str">
        <x:v>Trigger</x:v>
      </x:c>
      <x:c r="F1" s="338" t="str">
        <x:v>Recipients</x:v>
      </x:c>
      <x:c r="G1" s="338" t="str">
        <x:v>Channels</x:v>
      </x:c>
      <x:c r="H1" s="338" t="str">
        <x:v>Template / Event</x:v>
      </x:c>
      <x:c r="I1" s="338" t="str">
        <x:v>Timing</x:v>
      </x:c>
      <x:c r="J1" s="338" t="str">
        <x:v>Retry / Fallback</x:v>
      </x:c>
      <x:c r="K1" s="338" t="str">
        <x:v>Preference / Opt-out Rules</x:v>
      </x:c>
    </x:row>
    <x:row r="2">
      <x:c r="A2" s="339" t="str">
        <x:v>NTF-0001</x:v>
      </x:c>
      <x:c r="B2" s="339" t="str">
        <x:v>SCR-004</x:v>
      </x:c>
      <x:c r="C2" s="339" t="str">
        <x:v>Public Website &amp; Authentication</x:v>
      </x:c>
      <x:c r="D2" s="339" t="str">
        <x:v>Forgot Password</x:v>
      </x:c>
      <x:c r="E2" s="339" t="str">
        <x:v>OTP/password recovery/security confirmation</x:v>
      </x:c>
      <x:c r="F2" s="339" t="str">
        <x:v>User</x:v>
      </x:c>
      <x:c r="G2" s="339" t="str">
        <x:v>Email/SMS</x:v>
      </x:c>
      <x:c r="H2" s="339" t="str">
        <x:v>Forgot Password: status/action notification using school-approved template and localized variables.</x:v>
      </x:c>
      <x:c r="I2" s="339" t="str">
        <x:v>Immediate for transaction confirmations/critical alerts; scheduled reminders use configured cadence and school timezone.</x:v>
      </x:c>
      <x:c r="J2" s="339" t="str">
        <x:v>Retry transient provider failures with capped backoff; record final delivery status; critical alerts may use configured fallback channel.</x:v>
      </x:c>
      <x:c r="K2" s="339" t="str">
        <x:v>Honor legal/mandatory messages; otherwise respect channel preferences/opt-out where applicable.</x:v>
      </x:c>
    </x:row>
    <x:row r="3">
      <x:c r="A3" s="339" t="str">
        <x:v>NTF-0002</x:v>
      </x:c>
      <x:c r="B3" s="339" t="str">
        <x:v>SCR-005</x:v>
      </x:c>
      <x:c r="C3" s="339" t="str">
        <x:v>Public Website &amp; Authentication</x:v>
      </x:c>
      <x:c r="D3" s="339" t="str">
        <x:v>Reset Password</x:v>
      </x:c>
      <x:c r="E3" s="339" t="str">
        <x:v>OTP/password recovery/security confirmation</x:v>
      </x:c>
      <x:c r="F3" s="339" t="str">
        <x:v>User</x:v>
      </x:c>
      <x:c r="G3" s="339" t="str">
        <x:v>Email/SMS</x:v>
      </x:c>
      <x:c r="H3" s="339" t="str">
        <x:v>Reset Password: status/action notification using school-approved template and localized variables.</x:v>
      </x:c>
      <x:c r="I3" s="339" t="str">
        <x:v>Immediate for transaction confirmations/critical alerts; scheduled reminders use configured cadence and school timezone.</x:v>
      </x:c>
      <x:c r="J3" s="339" t="str">
        <x:v>Retry transient provider failures with capped backoff; record final delivery status; critical alerts may use configured fallback channel.</x:v>
      </x:c>
      <x:c r="K3" s="339" t="str">
        <x:v>Honor legal/mandatory messages; otherwise respect channel preferences/opt-out where applicable.</x:v>
      </x:c>
    </x:row>
    <x:row r="4">
      <x:c r="A4" s="339" t="str">
        <x:v>NTF-0003</x:v>
      </x:c>
      <x:c r="B4" s="339" t="str">
        <x:v>SCR-006</x:v>
      </x:c>
      <x:c r="C4" s="339" t="str">
        <x:v>Public Website &amp; Authentication</x:v>
      </x:c>
      <x:c r="D4" s="339" t="str">
        <x:v>OTP / Two-Factor Verification</x:v>
      </x:c>
      <x:c r="E4" s="339" t="str">
        <x:v>OTP/password recovery/security confirmation</x:v>
      </x:c>
      <x:c r="F4" s="339" t="str">
        <x:v>User</x:v>
      </x:c>
      <x:c r="G4" s="339" t="str">
        <x:v>Email/SMS</x:v>
      </x:c>
      <x:c r="H4" s="339" t="str">
        <x:v>OTP / Two-Factor Verification: status/action notification using school-approved template and localized variables.</x:v>
      </x:c>
      <x:c r="I4" s="339" t="str">
        <x:v>Immediate for transaction confirmations/critical alerts; scheduled reminders use configured cadence and school timezone.</x:v>
      </x:c>
      <x:c r="J4" s="339" t="str">
        <x:v>Retry transient provider failures with capped backoff; record final delivery status; critical alerts may use configured fallback channel.</x:v>
      </x:c>
      <x:c r="K4" s="339" t="str">
        <x:v>Honor legal/mandatory messages; otherwise respect channel preferences/opt-out where applicable.</x:v>
      </x:c>
    </x:row>
    <x:row r="5">
      <x:c r="A5" s="339" t="str">
        <x:v>NTF-0004</x:v>
      </x:c>
      <x:c r="B5" s="339" t="str">
        <x:v>SCR-007</x:v>
      </x:c>
      <x:c r="C5" s="339" t="str">
        <x:v>Public Website &amp; Authentication</x:v>
      </x:c>
      <x:c r="D5" s="339" t="str">
        <x:v>First Login / Change Password</x:v>
      </x:c>
      <x:c r="E5" s="339" t="str">
        <x:v>OTP/password recovery/security confirmation</x:v>
      </x:c>
      <x:c r="F5" s="339" t="str">
        <x:v>User</x:v>
      </x:c>
      <x:c r="G5" s="339" t="str">
        <x:v>Email/SMS</x:v>
      </x:c>
      <x:c r="H5" s="339" t="str">
        <x:v>First Login / Change Password: status/action notification using school-approved template and localized variables.</x:v>
      </x:c>
      <x:c r="I5" s="339" t="str">
        <x:v>Immediate for transaction confirmations/critical alerts; scheduled reminders use configured cadence and school timezone.</x:v>
      </x:c>
      <x:c r="J5" s="339" t="str">
        <x:v>Retry transient provider failures with capped backoff; record final delivery status; critical alerts may use configured fallback channel.</x:v>
      </x:c>
      <x:c r="K5" s="339" t="str">
        <x:v>Honor legal/mandatory messages; otherwise respect channel preferences/opt-out where applicable.</x:v>
      </x:c>
    </x:row>
    <x:row r="6">
      <x:c r="A6" s="339" t="str">
        <x:v>NTF-0005</x:v>
      </x:c>
      <x:c r="B6" s="339" t="str">
        <x:v>SCR-048</x:v>
      </x:c>
      <x:c r="C6" s="339" t="str">
        <x:v>Admissions &amp; Enquiries</x:v>
      </x:c>
      <x:c r="D6" s="339" t="str">
        <x:v>Admission Applications</x:v>
      </x:c>
      <x:c r="E6" s="339" t="str">
        <x:v>Application status, missing document, assessment or admission decision</x:v>
      </x:c>
      <x:c r="F6" s="339" t="str">
        <x:v>Applicant/Guardian, Admission team</x:v>
      </x:c>
      <x:c r="G6" s="339" t="str">
        <x:v>Email/SMS/WhatsApp/Push</x:v>
      </x:c>
      <x:c r="H6" s="339" t="str">
        <x:v>Admission Applications: status/action notification using school-approved template and localized variables.</x:v>
      </x:c>
      <x:c r="I6" s="339" t="str">
        <x:v>Immediate for transaction confirmations/critical alerts; scheduled reminders use configured cadence and school timezone.</x:v>
      </x:c>
      <x:c r="J6" s="339" t="str">
        <x:v>Retry transient provider failures with capped backoff; record final delivery status; critical alerts may use configured fallback channel.</x:v>
      </x:c>
      <x:c r="K6" s="339" t="str">
        <x:v>Honor legal/mandatory messages; otherwise respect channel preferences/opt-out where applicable.</x:v>
      </x:c>
    </x:row>
    <x:row r="7">
      <x:c r="A7" s="339" t="str">
        <x:v>NTF-0006</x:v>
      </x:c>
      <x:c r="B7" s="339" t="str">
        <x:v>SCR-049</x:v>
      </x:c>
      <x:c r="C7" s="339" t="str">
        <x:v>Admissions &amp; Enquiries</x:v>
      </x:c>
      <x:c r="D7" s="339" t="str">
        <x:v>New Admission Application</x:v>
      </x:c>
      <x:c r="E7" s="339" t="str">
        <x:v>Application status, missing document, assessment or admission decision</x:v>
      </x:c>
      <x:c r="F7" s="339" t="str">
        <x:v>Applicant/Guardian, Admission team</x:v>
      </x:c>
      <x:c r="G7" s="339" t="str">
        <x:v>Email/SMS/WhatsApp/Push</x:v>
      </x:c>
      <x:c r="H7" s="339" t="str">
        <x:v>New Admission Application: status/action notification using school-approved template and localized variables.</x:v>
      </x:c>
      <x:c r="I7" s="339" t="str">
        <x:v>Immediate for transaction confirmations/critical alerts; scheduled reminders use configured cadence and school timezone.</x:v>
      </x:c>
      <x:c r="J7" s="339" t="str">
        <x:v>Retry transient provider failures with capped backoff; record final delivery status; critical alerts may use configured fallback channel.</x:v>
      </x:c>
      <x:c r="K7" s="339" t="str">
        <x:v>Honor legal/mandatory messages; otherwise respect channel preferences/opt-out where applicable.</x:v>
      </x:c>
    </x:row>
    <x:row r="8">
      <x:c r="A8" s="339" t="str">
        <x:v>NTF-0007</x:v>
      </x:c>
      <x:c r="B8" s="339" t="str">
        <x:v>SCR-050</x:v>
      </x:c>
      <x:c r="C8" s="339" t="str">
        <x:v>Admissions &amp; Enquiries</x:v>
      </x:c>
      <x:c r="D8" s="339" t="str">
        <x:v>Application Details</x:v>
      </x:c>
      <x:c r="E8" s="339" t="str">
        <x:v>Application status, missing document, assessment or admission decision</x:v>
      </x:c>
      <x:c r="F8" s="339" t="str">
        <x:v>Applicant/Guardian, Admission team</x:v>
      </x:c>
      <x:c r="G8" s="339" t="str">
        <x:v>Email/SMS/WhatsApp/Push</x:v>
      </x:c>
      <x:c r="H8" s="339" t="str">
        <x:v>Application Details: status/action notification using school-approved template and localized variables.</x:v>
      </x:c>
      <x:c r="I8" s="339" t="str">
        <x:v>Immediate for transaction confirmations/critical alerts; scheduled reminders use configured cadence and school timezone.</x:v>
      </x:c>
      <x:c r="J8" s="339" t="str">
        <x:v>Retry transient provider failures with capped backoff; record final delivery status; critical alerts may use configured fallback channel.</x:v>
      </x:c>
      <x:c r="K8" s="339" t="str">
        <x:v>Honor legal/mandatory messages; otherwise respect channel preferences/opt-out where applicable.</x:v>
      </x:c>
    </x:row>
    <x:row r="9">
      <x:c r="A9" s="339" t="str">
        <x:v>NTF-0008</x:v>
      </x:c>
      <x:c r="B9" s="339" t="str">
        <x:v>SCR-051</x:v>
      </x:c>
      <x:c r="C9" s="339" t="str">
        <x:v>Admissions &amp; Enquiries</x:v>
      </x:c>
      <x:c r="D9" s="339" t="str">
        <x:v>Document Verification</x:v>
      </x:c>
      <x:c r="E9" s="339" t="str">
        <x:v>Application status, missing document, assessment or admission decision</x:v>
      </x:c>
      <x:c r="F9" s="339" t="str">
        <x:v>Applicant/Guardian, Admission team</x:v>
      </x:c>
      <x:c r="G9" s="339" t="str">
        <x:v>Email/SMS/WhatsApp/Push</x:v>
      </x:c>
      <x:c r="H9" s="339" t="str">
        <x:v>Document Verification: status/action notification using school-approved template and localized variables.</x:v>
      </x:c>
      <x:c r="I9" s="339" t="str">
        <x:v>Immediate for transaction confirmations/critical alerts; scheduled reminders use configured cadence and school timezone.</x:v>
      </x:c>
      <x:c r="J9" s="339" t="str">
        <x:v>Retry transient provider failures with capped backoff; record final delivery status; critical alerts may use configured fallback channel.</x:v>
      </x:c>
      <x:c r="K9" s="339" t="str">
        <x:v>Honor legal/mandatory messages; otherwise respect channel preferences/opt-out where applicable.</x:v>
      </x:c>
    </x:row>
    <x:row r="10">
      <x:c r="A10" s="339" t="str">
        <x:v>NTF-0009</x:v>
      </x:c>
      <x:c r="B10" s="339" t="str">
        <x:v>SCR-052</x:v>
      </x:c>
      <x:c r="C10" s="339" t="str">
        <x:v>Admissions &amp; Enquiries</x:v>
      </x:c>
      <x:c r="D10" s="339" t="str">
        <x:v>Entrance Assessment</x:v>
      </x:c>
      <x:c r="E10" s="339" t="str">
        <x:v>Application status, missing document, assessment or admission decision</x:v>
      </x:c>
      <x:c r="F10" s="339" t="str">
        <x:v>Applicant/Guardian, Admission team</x:v>
      </x:c>
      <x:c r="G10" s="339" t="str">
        <x:v>Email/SMS/WhatsApp/Push</x:v>
      </x:c>
      <x:c r="H10" s="339" t="str">
        <x:v>Entrance Assessment: status/action notification using school-approved template and localized variables.</x:v>
      </x:c>
      <x:c r="I10" s="339" t="str">
        <x:v>Immediate for transaction confirmations/critical alerts; scheduled reminders use configured cadence and school timezone.</x:v>
      </x:c>
      <x:c r="J10" s="339" t="str">
        <x:v>Retry transient provider failures with capped backoff; record final delivery status; critical alerts may use configured fallback channel.</x:v>
      </x:c>
      <x:c r="K10" s="339" t="str">
        <x:v>Honor legal/mandatory messages; otherwise respect channel preferences/opt-out where applicable.</x:v>
      </x:c>
    </x:row>
    <x:row r="11">
      <x:c r="A11" s="339" t="str">
        <x:v>NTF-0010</x:v>
      </x:c>
      <x:c r="B11" s="339" t="str">
        <x:v>SCR-053</x:v>
      </x:c>
      <x:c r="C11" s="339" t="str">
        <x:v>Admissions &amp; Enquiries</x:v>
      </x:c>
      <x:c r="D11" s="339" t="str">
        <x:v>Admission Approval</x:v>
      </x:c>
      <x:c r="E11" s="339" t="str">
        <x:v>Application status, missing document, assessment or admission decision</x:v>
      </x:c>
      <x:c r="F11" s="339" t="str">
        <x:v>Applicant/Guardian, Admission team</x:v>
      </x:c>
      <x:c r="G11" s="339" t="str">
        <x:v>Email/SMS/WhatsApp/Push</x:v>
      </x:c>
      <x:c r="H11" s="339" t="str">
        <x:v>Admission Approval: status/action notification using school-approved template and localized variables.</x:v>
      </x:c>
      <x:c r="I11" s="339" t="str">
        <x:v>Immediate for transaction confirmations/critical alerts; scheduled reminders use configured cadence and school timezone.</x:v>
      </x:c>
      <x:c r="J11" s="339" t="str">
        <x:v>Retry transient provider failures with capped backoff; record final delivery status; critical alerts may use configured fallback channel.</x:v>
      </x:c>
      <x:c r="K11" s="339" t="str">
        <x:v>Honor legal/mandatory messages; otherwise respect channel preferences/opt-out where applicable.</x:v>
      </x:c>
    </x:row>
    <x:row r="12">
      <x:c r="A12" s="339" t="str">
        <x:v>NTF-0011</x:v>
      </x:c>
      <x:c r="B12" s="339" t="str">
        <x:v>SCR-054</x:v>
      </x:c>
      <x:c r="C12" s="339" t="str">
        <x:v>Admissions &amp; Enquiries</x:v>
      </x:c>
      <x:c r="D12" s="339" t="str">
        <x:v>Admission Confirmation &amp; Student Creation</x:v>
      </x:c>
      <x:c r="E12" s="339" t="str">
        <x:v>Application status, missing document, assessment or admission decision</x:v>
      </x:c>
      <x:c r="F12" s="339" t="str">
        <x:v>Applicant/Guardian, Admission team</x:v>
      </x:c>
      <x:c r="G12" s="339" t="str">
        <x:v>Email/SMS/WhatsApp/Push</x:v>
      </x:c>
      <x:c r="H12" s="339" t="str">
        <x:v>Admission Confirmation &amp; Student Creation: status/action notification using school-approved template and localized variables.</x:v>
      </x:c>
      <x:c r="I12" s="339" t="str">
        <x:v>Immediate for transaction confirmations/critical alerts; scheduled reminders use configured cadence and school timezone.</x:v>
      </x:c>
      <x:c r="J12" s="339" t="str">
        <x:v>Retry transient provider failures with capped backoff; record final delivery status; critical alerts may use configured fallback channel.</x:v>
      </x:c>
      <x:c r="K12" s="339" t="str">
        <x:v>Honor legal/mandatory messages; otherwise respect channel preferences/opt-out where applicable.</x:v>
      </x:c>
    </x:row>
    <x:row r="13">
      <x:c r="A13" s="339" t="str">
        <x:v>NTF-0012</x:v>
      </x:c>
      <x:c r="B13" s="339" t="str">
        <x:v>SCR-110</x:v>
      </x:c>
      <x:c r="C13" s="339" t="str">
        <x:v>Student Attendance</x:v>
      </x:c>
      <x:c r="D13" s="339" t="str">
        <x:v>Daily Class Attendance</x:v>
      </x:c>
      <x:c r="E13" s="339" t="str">
        <x:v>Absent/late/leave decision or attendance correction</x:v>
      </x:c>
      <x:c r="F13" s="339" t="str">
        <x:v>Parent/Guardian, Class teacher</x:v>
      </x:c>
      <x:c r="G13" s="339" t="str">
        <x:v>Push/SMS/WhatsApp</x:v>
      </x:c>
      <x:c r="H13" s="339" t="str">
        <x:v>Daily Class Attendance: status/action notification using school-approved template and localized variables.</x:v>
      </x:c>
      <x:c r="I13" s="339" t="str">
        <x:v>Immediate for transaction confirmations/critical alerts; scheduled reminders use configured cadence and school timezone.</x:v>
      </x:c>
      <x:c r="J13" s="339" t="str">
        <x:v>Retry transient provider failures with capped backoff; record final delivery status; critical alerts may use configured fallback channel.</x:v>
      </x:c>
      <x:c r="K13" s="339" t="str">
        <x:v>Honor legal/mandatory messages; otherwise respect channel preferences/opt-out where applicable.</x:v>
      </x:c>
    </x:row>
    <x:row r="14">
      <x:c r="A14" s="339" t="str">
        <x:v>NTF-0013</x:v>
      </x:c>
      <x:c r="B14" s="339" t="str">
        <x:v>SCR-111</x:v>
      </x:c>
      <x:c r="C14" s="339" t="str">
        <x:v>Student Attendance</x:v>
      </x:c>
      <x:c r="D14" s="339" t="str">
        <x:v>Period / Subject Attendance</x:v>
      </x:c>
      <x:c r="E14" s="339" t="str">
        <x:v>Absent/late/leave decision or attendance correction</x:v>
      </x:c>
      <x:c r="F14" s="339" t="str">
        <x:v>Parent/Guardian, Class teacher</x:v>
      </x:c>
      <x:c r="G14" s="339" t="str">
        <x:v>Push/SMS/WhatsApp</x:v>
      </x:c>
      <x:c r="H14" s="339" t="str">
        <x:v>Period / Subject Attendance: status/action notification using school-approved template and localized variables.</x:v>
      </x:c>
      <x:c r="I14" s="339" t="str">
        <x:v>Immediate for transaction confirmations/critical alerts; scheduled reminders use configured cadence and school timezone.</x:v>
      </x:c>
      <x:c r="J14" s="339" t="str">
        <x:v>Retry transient provider failures with capped backoff; record final delivery status; critical alerts may use configured fallback channel.</x:v>
      </x:c>
      <x:c r="K14" s="339" t="str">
        <x:v>Honor legal/mandatory messages; otherwise respect channel preferences/opt-out where applicable.</x:v>
      </x:c>
    </x:row>
    <x:row r="15">
      <x:c r="A15" s="339" t="str">
        <x:v>NTF-0014</x:v>
      </x:c>
      <x:c r="B15" s="339" t="str">
        <x:v>SCR-112</x:v>
      </x:c>
      <x:c r="C15" s="339" t="str">
        <x:v>Student Attendance</x:v>
      </x:c>
      <x:c r="D15" s="339" t="str">
        <x:v>Student Attendance Register</x:v>
      </x:c>
      <x:c r="E15" s="339" t="str">
        <x:v>Absent/late/leave decision or attendance correction</x:v>
      </x:c>
      <x:c r="F15" s="339" t="str">
        <x:v>Parent/Guardian, Class teacher</x:v>
      </x:c>
      <x:c r="G15" s="339" t="str">
        <x:v>Push/SMS/WhatsApp</x:v>
      </x:c>
      <x:c r="H15" s="339" t="str">
        <x:v>Student Attendance Register: status/action notification using school-approved template and localized variables.</x:v>
      </x:c>
      <x:c r="I15" s="339" t="str">
        <x:v>Immediate for transaction confirmations/critical alerts; scheduled reminders use configured cadence and school timezone.</x:v>
      </x:c>
      <x:c r="J15" s="339" t="str">
        <x:v>Retry transient provider failures with capped backoff; record final delivery status; critical alerts may use configured fallback channel.</x:v>
      </x:c>
      <x:c r="K15" s="339" t="str">
        <x:v>Honor legal/mandatory messages; otherwise respect channel preferences/opt-out where applicable.</x:v>
      </x:c>
    </x:row>
    <x:row r="16">
      <x:c r="A16" s="339" t="str">
        <x:v>NTF-0015</x:v>
      </x:c>
      <x:c r="B16" s="339" t="str">
        <x:v>SCR-113</x:v>
      </x:c>
      <x:c r="C16" s="339" t="str">
        <x:v>Student Attendance</x:v>
      </x:c>
      <x:c r="D16" s="339" t="str">
        <x:v>Attendance Correction</x:v>
      </x:c>
      <x:c r="E16" s="339" t="str">
        <x:v>Absent/late/leave decision or attendance correction</x:v>
      </x:c>
      <x:c r="F16" s="339" t="str">
        <x:v>Parent/Guardian, Class teacher</x:v>
      </x:c>
      <x:c r="G16" s="339" t="str">
        <x:v>Push/SMS/WhatsApp</x:v>
      </x:c>
      <x:c r="H16" s="339" t="str">
        <x:v>Attendance Correction: status/action notification using school-approved template and localized variables.</x:v>
      </x:c>
      <x:c r="I16" s="339" t="str">
        <x:v>Immediate for transaction confirmations/critical alerts; scheduled reminders use configured cadence and school timezone.</x:v>
      </x:c>
      <x:c r="J16" s="339" t="str">
        <x:v>Retry transient provider failures with capped backoff; record final delivery status; critical alerts may use configured fallback channel.</x:v>
      </x:c>
      <x:c r="K16" s="339" t="str">
        <x:v>Honor legal/mandatory messages; otherwise respect channel preferences/opt-out where applicable.</x:v>
      </x:c>
    </x:row>
    <x:row r="17">
      <x:c r="A17" s="339" t="str">
        <x:v>NTF-0016</x:v>
      </x:c>
      <x:c r="B17" s="339" t="str">
        <x:v>SCR-114</x:v>
      </x:c>
      <x:c r="C17" s="339" t="str">
        <x:v>Student Attendance</x:v>
      </x:c>
      <x:c r="D17" s="339" t="str">
        <x:v>Student Leave Requests</x:v>
      </x:c>
      <x:c r="E17" s="339" t="str">
        <x:v>Absent/late/leave decision or attendance correction</x:v>
      </x:c>
      <x:c r="F17" s="339" t="str">
        <x:v>Parent/Guardian, Class teacher</x:v>
      </x:c>
      <x:c r="G17" s="339" t="str">
        <x:v>Push/SMS/WhatsApp</x:v>
      </x:c>
      <x:c r="H17" s="339" t="str">
        <x:v>Student Leave Requests: status/action notification using school-approved template and localized variables.</x:v>
      </x:c>
      <x:c r="I17" s="339" t="str">
        <x:v>Immediate for transaction confirmations/critical alerts; scheduled reminders use configured cadence and school timezone.</x:v>
      </x:c>
      <x:c r="J17" s="339" t="str">
        <x:v>Retry transient provider failures with capped backoff; record final delivery status; critical alerts may use configured fallback channel.</x:v>
      </x:c>
      <x:c r="K17" s="339" t="str">
        <x:v>Honor legal/mandatory messages; otherwise respect channel preferences/opt-out where applicable.</x:v>
      </x:c>
    </x:row>
    <x:row r="18">
      <x:c r="A18" s="339" t="str">
        <x:v>NTF-0017</x:v>
      </x:c>
      <x:c r="B18" s="339" t="str">
        <x:v>SCR-115</x:v>
      </x:c>
      <x:c r="C18" s="339" t="str">
        <x:v>Student Attendance</x:v>
      </x:c>
      <x:c r="D18" s="339" t="str">
        <x:v>Student Leave Approval</x:v>
      </x:c>
      <x:c r="E18" s="339" t="str">
        <x:v>Absent/late/leave decision or attendance correction</x:v>
      </x:c>
      <x:c r="F18" s="339" t="str">
        <x:v>Parent/Guardian, Class teacher</x:v>
      </x:c>
      <x:c r="G18" s="339" t="str">
        <x:v>Push/SMS/WhatsApp</x:v>
      </x:c>
      <x:c r="H18" s="339" t="str">
        <x:v>Student Leave Approval: status/action notification using school-approved template and localized variables.</x:v>
      </x:c>
      <x:c r="I18" s="339" t="str">
        <x:v>Immediate for transaction confirmations/critical alerts; scheduled reminders use configured cadence and school timezone.</x:v>
      </x:c>
      <x:c r="J18" s="339" t="str">
        <x:v>Retry transient provider failures with capped backoff; record final delivery status; critical alerts may use configured fallback channel.</x:v>
      </x:c>
      <x:c r="K18" s="339" t="str">
        <x:v>Honor legal/mandatory messages; otherwise respect channel preferences/opt-out where applicable.</x:v>
      </x:c>
    </x:row>
    <x:row r="19">
      <x:c r="A19" s="339" t="str">
        <x:v>NTF-0018</x:v>
      </x:c>
      <x:c r="B19" s="339" t="str">
        <x:v>SCR-116</x:v>
      </x:c>
      <x:c r="C19" s="339" t="str">
        <x:v>Student Attendance</x:v>
      </x:c>
      <x:c r="D19" s="339" t="str">
        <x:v>Late Entry / Early Exit</x:v>
      </x:c>
      <x:c r="E19" s="339" t="str">
        <x:v>Absent/late/leave decision or attendance correction</x:v>
      </x:c>
      <x:c r="F19" s="339" t="str">
        <x:v>Parent/Guardian, Class teacher</x:v>
      </x:c>
      <x:c r="G19" s="339" t="str">
        <x:v>Push/SMS/WhatsApp</x:v>
      </x:c>
      <x:c r="H19" s="339" t="str">
        <x:v>Late Entry / Early Exit: status/action notification using school-approved template and localized variables.</x:v>
      </x:c>
      <x:c r="I19" s="339" t="str">
        <x:v>Immediate for transaction confirmations/critical alerts; scheduled reminders use configured cadence and school timezone.</x:v>
      </x:c>
      <x:c r="J19" s="339" t="str">
        <x:v>Retry transient provider failures with capped backoff; record final delivery status; critical alerts may use configured fallback channel.</x:v>
      </x:c>
      <x:c r="K19" s="339" t="str">
        <x:v>Honor legal/mandatory messages; otherwise respect channel preferences/opt-out where applicable.</x:v>
      </x:c>
    </x:row>
    <x:row r="20">
      <x:c r="A20" s="339" t="str">
        <x:v>NTF-0019</x:v>
      </x:c>
      <x:c r="B20" s="339" t="str">
        <x:v>SCR-117</x:v>
      </x:c>
      <x:c r="C20" s="339" t="str">
        <x:v>Student Attendance</x:v>
      </x:c>
      <x:c r="D20" s="339" t="str">
        <x:v>Monthly Attendance Summary</x:v>
      </x:c>
      <x:c r="E20" s="339" t="str">
        <x:v>Absent/late/leave decision or attendance correction</x:v>
      </x:c>
      <x:c r="F20" s="339" t="str">
        <x:v>Parent/Guardian, Class teacher</x:v>
      </x:c>
      <x:c r="G20" s="339" t="str">
        <x:v>Push/SMS/WhatsApp</x:v>
      </x:c>
      <x:c r="H20" s="339" t="str">
        <x:v>Monthly Attendance Summary: status/action notification using school-approved template and localized variables.</x:v>
      </x:c>
      <x:c r="I20" s="339" t="str">
        <x:v>Immediate for transaction confirmations/critical alerts; scheduled reminders use configured cadence and school timezone.</x:v>
      </x:c>
      <x:c r="J20" s="339" t="str">
        <x:v>Retry transient provider failures with capped backoff; record final delivery status; critical alerts may use configured fallback channel.</x:v>
      </x:c>
      <x:c r="K20" s="339" t="str">
        <x:v>Honor legal/mandatory messages; otherwise respect channel preferences/opt-out where applicable.</x:v>
      </x:c>
    </x:row>
    <x:row r="21">
      <x:c r="A21" s="339" t="str">
        <x:v>NTF-0020</x:v>
      </x:c>
      <x:c r="B21" s="339" t="str">
        <x:v>SCR-119</x:v>
      </x:c>
      <x:c r="C21" s="339" t="str">
        <x:v>Student Attendance</x:v>
      </x:c>
      <x:c r="D21" s="339" t="str">
        <x:v>Attendance Reports</x:v>
      </x:c>
      <x:c r="E21" s="339" t="str">
        <x:v>Absent/late/leave decision or attendance correction</x:v>
      </x:c>
      <x:c r="F21" s="339" t="str">
        <x:v>Parent/Guardian, Class teacher</x:v>
      </x:c>
      <x:c r="G21" s="339" t="str">
        <x:v>Push/SMS/WhatsApp</x:v>
      </x:c>
      <x:c r="H21" s="339" t="str">
        <x:v>Attendance Reports: status/action notification using school-approved template and localized variables.</x:v>
      </x:c>
      <x:c r="I21" s="339" t="str">
        <x:v>Immediate for transaction confirmations/critical alerts; scheduled reminders use configured cadence and school timezone.</x:v>
      </x:c>
      <x:c r="J21" s="339" t="str">
        <x:v>Retry transient provider failures with capped backoff; record final delivery status; critical alerts may use configured fallback channel.</x:v>
      </x:c>
      <x:c r="K21" s="339" t="str">
        <x:v>Honor legal/mandatory messages; otherwise respect channel preferences/opt-out where applicable.</x:v>
      </x:c>
    </x:row>
    <x:row r="22">
      <x:c r="A22" s="339" t="str">
        <x:v>NTF-0021</x:v>
      </x:c>
      <x:c r="B22" s="339" t="str">
        <x:v>SCR-128</x:v>
      </x:c>
      <x:c r="C22" s="339" t="str">
        <x:v>Homework &amp; Assignments</x:v>
      </x:c>
      <x:c r="D22" s="339" t="str">
        <x:v>Homework List</x:v>
      </x:c>
      <x:c r="E22" s="339" t="str">
        <x:v>Work published, due reminder, submission/evaluation</x:v>
      </x:c>
      <x:c r="F22" s="339" t="str">
        <x:v>Student, Parent (as configured)</x:v>
      </x:c>
      <x:c r="G22" s="339" t="str">
        <x:v>Push/In-app/Email</x:v>
      </x:c>
      <x:c r="H22" s="339" t="str">
        <x:v>Homework List: status/action notification using school-approved template and localized variables.</x:v>
      </x:c>
      <x:c r="I22" s="339" t="str">
        <x:v>Immediate for transaction confirmations/critical alerts; scheduled reminders use configured cadence and school timezone.</x:v>
      </x:c>
      <x:c r="J22" s="339" t="str">
        <x:v>Retry transient provider failures with capped backoff; record final delivery status; critical alerts may use configured fallback channel.</x:v>
      </x:c>
      <x:c r="K22" s="339" t="str">
        <x:v>Honor legal/mandatory messages; otherwise respect channel preferences/opt-out where applicable.</x:v>
      </x:c>
    </x:row>
    <x:row r="23">
      <x:c r="A23" s="339" t="str">
        <x:v>NTF-0022</x:v>
      </x:c>
      <x:c r="B23" s="339" t="str">
        <x:v>SCR-129</x:v>
      </x:c>
      <x:c r="C23" s="339" t="str">
        <x:v>Homework &amp; Assignments</x:v>
      </x:c>
      <x:c r="D23" s="339" t="str">
        <x:v>Create Homework</x:v>
      </x:c>
      <x:c r="E23" s="339" t="str">
        <x:v>Work published, due reminder, submission/evaluation</x:v>
      </x:c>
      <x:c r="F23" s="339" t="str">
        <x:v>Student, Parent (as configured)</x:v>
      </x:c>
      <x:c r="G23" s="339" t="str">
        <x:v>Push/In-app/Email</x:v>
      </x:c>
      <x:c r="H23" s="339" t="str">
        <x:v>Create Homework: status/action notification using school-approved template and localized variables.</x:v>
      </x:c>
      <x:c r="I23" s="339" t="str">
        <x:v>Immediate for transaction confirmations/critical alerts; scheduled reminders use configured cadence and school timezone.</x:v>
      </x:c>
      <x:c r="J23" s="339" t="str">
        <x:v>Retry transient provider failures with capped backoff; record final delivery status; critical alerts may use configured fallback channel.</x:v>
      </x:c>
      <x:c r="K23" s="339" t="str">
        <x:v>Honor legal/mandatory messages; otherwise respect channel preferences/opt-out where applicable.</x:v>
      </x:c>
    </x:row>
    <x:row r="24">
      <x:c r="A24" s="339" t="str">
        <x:v>NTF-0023</x:v>
      </x:c>
      <x:c r="B24" s="339" t="str">
        <x:v>SCR-130</x:v>
      </x:c>
      <x:c r="C24" s="339" t="str">
        <x:v>Homework &amp; Assignments</x:v>
      </x:c>
      <x:c r="D24" s="339" t="str">
        <x:v>Homework Details</x:v>
      </x:c>
      <x:c r="E24" s="339" t="str">
        <x:v>Work published, due reminder, submission/evaluation</x:v>
      </x:c>
      <x:c r="F24" s="339" t="str">
        <x:v>Student, Parent (as configured)</x:v>
      </x:c>
      <x:c r="G24" s="339" t="str">
        <x:v>Push/In-app/Email</x:v>
      </x:c>
      <x:c r="H24" s="339" t="str">
        <x:v>Homework Details: status/action notification using school-approved template and localized variables.</x:v>
      </x:c>
      <x:c r="I24" s="339" t="str">
        <x:v>Immediate for transaction confirmations/critical alerts; scheduled reminders use configured cadence and school timezone.</x:v>
      </x:c>
      <x:c r="J24" s="339" t="str">
        <x:v>Retry transient provider failures with capped backoff; record final delivery status; critical alerts may use configured fallback channel.</x:v>
      </x:c>
      <x:c r="K24" s="339" t="str">
        <x:v>Honor legal/mandatory messages; otherwise respect channel preferences/opt-out where applicable.</x:v>
      </x:c>
    </x:row>
    <x:row r="25">
      <x:c r="A25" s="339" t="str">
        <x:v>NTF-0024</x:v>
      </x:c>
      <x:c r="B25" s="339" t="str">
        <x:v>SCR-131</x:v>
      </x:c>
      <x:c r="C25" s="339" t="str">
        <x:v>Homework &amp; Assignments</x:v>
      </x:c>
      <x:c r="D25" s="339" t="str">
        <x:v>Student Homework View</x:v>
      </x:c>
      <x:c r="E25" s="339" t="str">
        <x:v>Work published, due reminder, submission/evaluation</x:v>
      </x:c>
      <x:c r="F25" s="339" t="str">
        <x:v>Student, Parent (as configured)</x:v>
      </x:c>
      <x:c r="G25" s="339" t="str">
        <x:v>Push/In-app/Email</x:v>
      </x:c>
      <x:c r="H25" s="339" t="str">
        <x:v>Student Homework View: status/action notification using school-approved template and localized variables.</x:v>
      </x:c>
      <x:c r="I25" s="339" t="str">
        <x:v>Immediate for transaction confirmations/critical alerts; scheduled reminders use configured cadence and school timezone.</x:v>
      </x:c>
      <x:c r="J25" s="339" t="str">
        <x:v>Retry transient provider failures with capped backoff; record final delivery status; critical alerts may use configured fallback channel.</x:v>
      </x:c>
      <x:c r="K25" s="339" t="str">
        <x:v>Honor legal/mandatory messages; otherwise respect channel preferences/opt-out where applicable.</x:v>
      </x:c>
    </x:row>
    <x:row r="26">
      <x:c r="A26" s="339" t="str">
        <x:v>NTF-0025</x:v>
      </x:c>
      <x:c r="B26" s="339" t="str">
        <x:v>SCR-132</x:v>
      </x:c>
      <x:c r="C26" s="339" t="str">
        <x:v>Homework &amp; Assignments</x:v>
      </x:c>
      <x:c r="D26" s="339" t="str">
        <x:v>Homework Submission</x:v>
      </x:c>
      <x:c r="E26" s="339" t="str">
        <x:v>Work published, due reminder, submission/evaluation</x:v>
      </x:c>
      <x:c r="F26" s="339" t="str">
        <x:v>Student, Parent (as configured)</x:v>
      </x:c>
      <x:c r="G26" s="339" t="str">
        <x:v>Push/In-app/Email</x:v>
      </x:c>
      <x:c r="H26" s="339" t="str">
        <x:v>Homework Submission: status/action notification using school-approved template and localized variables.</x:v>
      </x:c>
      <x:c r="I26" s="339" t="str">
        <x:v>Immediate for transaction confirmations/critical alerts; scheduled reminders use configured cadence and school timezone.</x:v>
      </x:c>
      <x:c r="J26" s="339" t="str">
        <x:v>Retry transient provider failures with capped backoff; record final delivery status; critical alerts may use configured fallback channel.</x:v>
      </x:c>
      <x:c r="K26" s="339" t="str">
        <x:v>Honor legal/mandatory messages; otherwise respect channel preferences/opt-out where applicable.</x:v>
      </x:c>
    </x:row>
    <x:row r="27">
      <x:c r="A27" s="339" t="str">
        <x:v>NTF-0026</x:v>
      </x:c>
      <x:c r="B27" s="339" t="str">
        <x:v>SCR-133</x:v>
      </x:c>
      <x:c r="C27" s="339" t="str">
        <x:v>Homework &amp; Assignments</x:v>
      </x:c>
      <x:c r="D27" s="339" t="str">
        <x:v>Homework Evaluation</x:v>
      </x:c>
      <x:c r="E27" s="339" t="str">
        <x:v>Work published, due reminder, submission/evaluation</x:v>
      </x:c>
      <x:c r="F27" s="339" t="str">
        <x:v>Student, Parent (as configured)</x:v>
      </x:c>
      <x:c r="G27" s="339" t="str">
        <x:v>Push/In-app/Email</x:v>
      </x:c>
      <x:c r="H27" s="339" t="str">
        <x:v>Homework Evaluation: status/action notification using school-approved template and localized variables.</x:v>
      </x:c>
      <x:c r="I27" s="339" t="str">
        <x:v>Immediate for transaction confirmations/critical alerts; scheduled reminders use configured cadence and school timezone.</x:v>
      </x:c>
      <x:c r="J27" s="339" t="str">
        <x:v>Retry transient provider failures with capped backoff; record final delivery status; critical alerts may use configured fallback channel.</x:v>
      </x:c>
      <x:c r="K27" s="339" t="str">
        <x:v>Honor legal/mandatory messages; otherwise respect channel preferences/opt-out where applicable.</x:v>
      </x:c>
    </x:row>
    <x:row r="28">
      <x:c r="A28" s="339" t="str">
        <x:v>NTF-0027</x:v>
      </x:c>
      <x:c r="B28" s="339" t="str">
        <x:v>SCR-134</x:v>
      </x:c>
      <x:c r="C28" s="339" t="str">
        <x:v>Homework &amp; Assignments</x:v>
      </x:c>
      <x:c r="D28" s="339" t="str">
        <x:v>Assignment List</x:v>
      </x:c>
      <x:c r="E28" s="339" t="str">
        <x:v>Work published, due reminder, submission/evaluation</x:v>
      </x:c>
      <x:c r="F28" s="339" t="str">
        <x:v>Student, Parent (as configured)</x:v>
      </x:c>
      <x:c r="G28" s="339" t="str">
        <x:v>Push/In-app/Email</x:v>
      </x:c>
      <x:c r="H28" s="339" t="str">
        <x:v>Assignment List: status/action notification using school-approved template and localized variables.</x:v>
      </x:c>
      <x:c r="I28" s="339" t="str">
        <x:v>Immediate for transaction confirmations/critical alerts; scheduled reminders use configured cadence and school timezone.</x:v>
      </x:c>
      <x:c r="J28" s="339" t="str">
        <x:v>Retry transient provider failures with capped backoff; record final delivery status; critical alerts may use configured fallback channel.</x:v>
      </x:c>
      <x:c r="K28" s="339" t="str">
        <x:v>Honor legal/mandatory messages; otherwise respect channel preferences/opt-out where applicable.</x:v>
      </x:c>
    </x:row>
    <x:row r="29">
      <x:c r="A29" s="339" t="str">
        <x:v>NTF-0028</x:v>
      </x:c>
      <x:c r="B29" s="339" t="str">
        <x:v>SCR-135</x:v>
      </x:c>
      <x:c r="C29" s="339" t="str">
        <x:v>Homework &amp; Assignments</x:v>
      </x:c>
      <x:c r="D29" s="339" t="str">
        <x:v>Create Assignment</x:v>
      </x:c>
      <x:c r="E29" s="339" t="str">
        <x:v>Work published, due reminder, submission/evaluation</x:v>
      </x:c>
      <x:c r="F29" s="339" t="str">
        <x:v>Student, Parent (as configured)</x:v>
      </x:c>
      <x:c r="G29" s="339" t="str">
        <x:v>Push/In-app/Email</x:v>
      </x:c>
      <x:c r="H29" s="339" t="str">
        <x:v>Create Assignment: status/action notification using school-approved template and localized variables.</x:v>
      </x:c>
      <x:c r="I29" s="339" t="str">
        <x:v>Immediate for transaction confirmations/critical alerts; scheduled reminders use configured cadence and school timezone.</x:v>
      </x:c>
      <x:c r="J29" s="339" t="str">
        <x:v>Retry transient provider failures with capped backoff; record final delivery status; critical alerts may use configured fallback channel.</x:v>
      </x:c>
      <x:c r="K29" s="339" t="str">
        <x:v>Honor legal/mandatory messages; otherwise respect channel preferences/opt-out where applicable.</x:v>
      </x:c>
    </x:row>
    <x:row r="30">
      <x:c r="A30" s="339" t="str">
        <x:v>NTF-0029</x:v>
      </x:c>
      <x:c r="B30" s="339" t="str">
        <x:v>SCR-136</x:v>
      </x:c>
      <x:c r="C30" s="339" t="str">
        <x:v>Homework &amp; Assignments</x:v>
      </x:c>
      <x:c r="D30" s="339" t="str">
        <x:v>Assignment Submissions</x:v>
      </x:c>
      <x:c r="E30" s="339" t="str">
        <x:v>Work published, due reminder, submission/evaluation</x:v>
      </x:c>
      <x:c r="F30" s="339" t="str">
        <x:v>Student, Parent (as configured)</x:v>
      </x:c>
      <x:c r="G30" s="339" t="str">
        <x:v>Push/In-app/Email</x:v>
      </x:c>
      <x:c r="H30" s="339" t="str">
        <x:v>Assignment Submissions: status/action notification using school-approved template and localized variables.</x:v>
      </x:c>
      <x:c r="I30" s="339" t="str">
        <x:v>Immediate for transaction confirmations/critical alerts; scheduled reminders use configured cadence and school timezone.</x:v>
      </x:c>
      <x:c r="J30" s="339" t="str">
        <x:v>Retry transient provider failures with capped backoff; record final delivery status; critical alerts may use configured fallback channel.</x:v>
      </x:c>
      <x:c r="K30" s="339" t="str">
        <x:v>Honor legal/mandatory messages; otherwise respect channel preferences/opt-out where applicable.</x:v>
      </x:c>
    </x:row>
    <x:row r="31">
      <x:c r="A31" s="339" t="str">
        <x:v>NTF-0030</x:v>
      </x:c>
      <x:c r="B31" s="339" t="str">
        <x:v>SCR-137</x:v>
      </x:c>
      <x:c r="C31" s="339" t="str">
        <x:v>Homework &amp; Assignments</x:v>
      </x:c>
      <x:c r="D31" s="339" t="str">
        <x:v>Assignment Evaluation</x:v>
      </x:c>
      <x:c r="E31" s="339" t="str">
        <x:v>Work published, due reminder, submission/evaluation</x:v>
      </x:c>
      <x:c r="F31" s="339" t="str">
        <x:v>Student, Parent (as configured)</x:v>
      </x:c>
      <x:c r="G31" s="339" t="str">
        <x:v>Push/In-app/Email</x:v>
      </x:c>
      <x:c r="H31" s="339" t="str">
        <x:v>Assignment Evaluation: status/action notification using school-approved template and localized variables.</x:v>
      </x:c>
      <x:c r="I31" s="339" t="str">
        <x:v>Immediate for transaction confirmations/critical alerts; scheduled reminders use configured cadence and school timezone.</x:v>
      </x:c>
      <x:c r="J31" s="339" t="str">
        <x:v>Retry transient provider failures with capped backoff; record final delivery status; critical alerts may use configured fallback channel.</x:v>
      </x:c>
      <x:c r="K31" s="339" t="str">
        <x:v>Honor legal/mandatory messages; otherwise respect channel preferences/opt-out where applicable.</x:v>
      </x:c>
    </x:row>
    <x:row r="32">
      <x:c r="A32" s="339" t="str">
        <x:v>NTF-0031</x:v>
      </x:c>
      <x:c r="B32" s="339" t="str">
        <x:v>SCR-141</x:v>
      </x:c>
      <x:c r="C32" s="339" t="str">
        <x:v>Examinations / Marks / Results</x:v>
      </x:c>
      <x:c r="D32" s="339" t="str">
        <x:v>Exam Schedule</x:v>
      </x:c>
      <x:c r="E32" s="339" t="str">
        <x:v>Exam schedule/admit card/result publication</x:v>
      </x:c>
      <x:c r="F32" s="339" t="str">
        <x:v>Student, Parent, Teacher</x:v>
      </x:c>
      <x:c r="G32" s="339" t="str">
        <x:v>Push/In-app/Email</x:v>
      </x:c>
      <x:c r="H32" s="339" t="str">
        <x:v>Exam Schedule: status/action notification using school-approved template and localized variables.</x:v>
      </x:c>
      <x:c r="I32" s="339" t="str">
        <x:v>Immediate for transaction confirmations/critical alerts; scheduled reminders use configured cadence and school timezone.</x:v>
      </x:c>
      <x:c r="J32" s="339" t="str">
        <x:v>Retry transient provider failures with capped backoff; record final delivery status; critical alerts may use configured fallback channel.</x:v>
      </x:c>
      <x:c r="K32" s="339" t="str">
        <x:v>Honor legal/mandatory messages; otherwise respect channel preferences/opt-out where applicable.</x:v>
      </x:c>
    </x:row>
    <x:row r="33">
      <x:c r="A33" s="339" t="str">
        <x:v>NTF-0032</x:v>
      </x:c>
      <x:c r="B33" s="339" t="str">
        <x:v>SCR-144</x:v>
      </x:c>
      <x:c r="C33" s="339" t="str">
        <x:v>Examinations / Marks / Results</x:v>
      </x:c>
      <x:c r="D33" s="339" t="str">
        <x:v>Admit Card</x:v>
      </x:c>
      <x:c r="E33" s="339" t="str">
        <x:v>Exam schedule/admit card/result publication</x:v>
      </x:c>
      <x:c r="F33" s="339" t="str">
        <x:v>Student, Parent, Teacher</x:v>
      </x:c>
      <x:c r="G33" s="339" t="str">
        <x:v>Push/In-app/Email</x:v>
      </x:c>
      <x:c r="H33" s="339" t="str">
        <x:v>Admit Card: status/action notification using school-approved template and localized variables.</x:v>
      </x:c>
      <x:c r="I33" s="339" t="str">
        <x:v>Immediate for transaction confirmations/critical alerts; scheduled reminders use configured cadence and school timezone.</x:v>
      </x:c>
      <x:c r="J33" s="339" t="str">
        <x:v>Retry transient provider failures with capped backoff; record final delivery status; critical alerts may use configured fallback channel.</x:v>
      </x:c>
      <x:c r="K33" s="339" t="str">
        <x:v>Honor legal/mandatory messages; otherwise respect channel preferences/opt-out where applicable.</x:v>
      </x:c>
    </x:row>
    <x:row r="34">
      <x:c r="A34" s="339" t="str">
        <x:v>NTF-0033</x:v>
      </x:c>
      <x:c r="B34" s="339" t="str">
        <x:v>SCR-150</x:v>
      </x:c>
      <x:c r="C34" s="339" t="str">
        <x:v>Examinations / Marks / Results</x:v>
      </x:c>
      <x:c r="D34" s="339" t="str">
        <x:v>Publish Results</x:v>
      </x:c>
      <x:c r="E34" s="339" t="str">
        <x:v>Exam schedule/admit card/result publication</x:v>
      </x:c>
      <x:c r="F34" s="339" t="str">
        <x:v>Student, Parent, Teacher</x:v>
      </x:c>
      <x:c r="G34" s="339" t="str">
        <x:v>Push/In-app/Email</x:v>
      </x:c>
      <x:c r="H34" s="339" t="str">
        <x:v>Publish Results: status/action notification using school-approved template and localized variables.</x:v>
      </x:c>
      <x:c r="I34" s="339" t="str">
        <x:v>Immediate for transaction confirmations/critical alerts; scheduled reminders use configured cadence and school timezone.</x:v>
      </x:c>
      <x:c r="J34" s="339" t="str">
        <x:v>Retry transient provider failures with capped backoff; record final delivery status; critical alerts may use configured fallback channel.</x:v>
      </x:c>
      <x:c r="K34" s="339" t="str">
        <x:v>Honor legal/mandatory messages; otherwise respect channel preferences/opt-out where applicable.</x:v>
      </x:c>
    </x:row>
    <x:row r="35">
      <x:c r="A35" s="339" t="str">
        <x:v>NTF-0034</x:v>
      </x:c>
      <x:c r="B35" s="339" t="str">
        <x:v>SCR-151</x:v>
      </x:c>
      <x:c r="C35" s="339" t="str">
        <x:v>Examinations / Marks / Results</x:v>
      </x:c>
      <x:c r="D35" s="339" t="str">
        <x:v>Student Result</x:v>
      </x:c>
      <x:c r="E35" s="339" t="str">
        <x:v>Exam schedule/admit card/result publication</x:v>
      </x:c>
      <x:c r="F35" s="339" t="str">
        <x:v>Student, Parent, Teacher</x:v>
      </x:c>
      <x:c r="G35" s="339" t="str">
        <x:v>Push/In-app/Email</x:v>
      </x:c>
      <x:c r="H35" s="339" t="str">
        <x:v>Student Result: status/action notification using school-approved template and localized variables.</x:v>
      </x:c>
      <x:c r="I35" s="339" t="str">
        <x:v>Immediate for transaction confirmations/critical alerts; scheduled reminders use configured cadence and school timezone.</x:v>
      </x:c>
      <x:c r="J35" s="339" t="str">
        <x:v>Retry transient provider failures with capped backoff; record final delivery status; critical alerts may use configured fallback channel.</x:v>
      </x:c>
      <x:c r="K35" s="339" t="str">
        <x:v>Honor legal/mandatory messages; otherwise respect channel preferences/opt-out where applicable.</x:v>
      </x:c>
    </x:row>
    <x:row r="36">
      <x:c r="A36" s="339" t="str">
        <x:v>NTF-0035</x:v>
      </x:c>
      <x:c r="B36" s="339" t="str">
        <x:v>SCR-152</x:v>
      </x:c>
      <x:c r="C36" s="339" t="str">
        <x:v>Examinations / Marks / Results</x:v>
      </x:c>
      <x:c r="D36" s="339" t="str">
        <x:v>Report Card</x:v>
      </x:c>
      <x:c r="E36" s="339" t="str">
        <x:v>Exam schedule/admit card/result publication</x:v>
      </x:c>
      <x:c r="F36" s="339" t="str">
        <x:v>Student, Parent, Teacher</x:v>
      </x:c>
      <x:c r="G36" s="339" t="str">
        <x:v>Push/In-app/Email</x:v>
      </x:c>
      <x:c r="H36" s="339" t="str">
        <x:v>Report Card: status/action notification using school-approved template and localized variables.</x:v>
      </x:c>
      <x:c r="I36" s="339" t="str">
        <x:v>Immediate for transaction confirmations/critical alerts; scheduled reminders use configured cadence and school timezone.</x:v>
      </x:c>
      <x:c r="J36" s="339" t="str">
        <x:v>Retry transient provider failures with capped backoff; record final delivery status; critical alerts may use configured fallback channel.</x:v>
      </x:c>
      <x:c r="K36" s="339" t="str">
        <x:v>Honor legal/mandatory messages; otherwise respect channel preferences/opt-out where applicable.</x:v>
      </x:c>
    </x:row>
    <x:row r="37">
      <x:c r="A37" s="339" t="str">
        <x:v>NTF-0036</x:v>
      </x:c>
      <x:c r="B37" s="339" t="str">
        <x:v>SCR-158</x:v>
      </x:c>
      <x:c r="C37" s="339" t="str">
        <x:v>Fees &amp; Finance</x:v>
      </x:c>
      <x:c r="D37" s="339" t="str">
        <x:v>Fee Collection</x:v>
      </x:c>
      <x:c r="E37" s="339" t="str">
        <x:v>Payment receipt, due/overdue reminder, refund/failure</x:v>
      </x:c>
      <x:c r="F37" s="339" t="str">
        <x:v>Parent/Guardian, Accountant</x:v>
      </x:c>
      <x:c r="G37" s="339" t="str">
        <x:v>SMS/Email/WhatsApp/Push</x:v>
      </x:c>
      <x:c r="H37" s="339" t="str">
        <x:v>Fee Collection: status/action notification using school-approved template and localized variables.</x:v>
      </x:c>
      <x:c r="I37" s="339" t="str">
        <x:v>Immediate for transaction confirmations/critical alerts; scheduled reminders use configured cadence and school timezone.</x:v>
      </x:c>
      <x:c r="J37" s="339" t="str">
        <x:v>Retry transient provider failures with capped backoff; record final delivery status; critical alerts may use configured fallback channel.</x:v>
      </x:c>
      <x:c r="K37" s="339" t="str">
        <x:v>Honor legal/mandatory messages; otherwise respect channel preferences/opt-out where applicable.</x:v>
      </x:c>
    </x:row>
    <x:row r="38">
      <x:c r="A38" s="339" t="str">
        <x:v>NTF-0037</x:v>
      </x:c>
      <x:c r="B38" s="339" t="str">
        <x:v>SCR-159</x:v>
      </x:c>
      <x:c r="C38" s="339" t="str">
        <x:v>Fees &amp; Finance</x:v>
      </x:c>
      <x:c r="D38" s="339" t="str">
        <x:v>Online Payment</x:v>
      </x:c>
      <x:c r="E38" s="339" t="str">
        <x:v>Payment receipt, due/overdue reminder, refund/failure</x:v>
      </x:c>
      <x:c r="F38" s="339" t="str">
        <x:v>Parent/Guardian, Accountant</x:v>
      </x:c>
      <x:c r="G38" s="339" t="str">
        <x:v>SMS/Email/WhatsApp/Push</x:v>
      </x:c>
      <x:c r="H38" s="339" t="str">
        <x:v>Online Payment: status/action notification using school-approved template and localized variables.</x:v>
      </x:c>
      <x:c r="I38" s="339" t="str">
        <x:v>Immediate for transaction confirmations/critical alerts; scheduled reminders use configured cadence and school timezone.</x:v>
      </x:c>
      <x:c r="J38" s="339" t="str">
        <x:v>Retry transient provider failures with capped backoff; record final delivery status; critical alerts may use configured fallback channel.</x:v>
      </x:c>
      <x:c r="K38" s="339" t="str">
        <x:v>Honor legal/mandatory messages; otherwise respect channel preferences/opt-out where applicable.</x:v>
      </x:c>
    </x:row>
    <x:row r="39">
      <x:c r="A39" s="339" t="str">
        <x:v>NTF-0038</x:v>
      </x:c>
      <x:c r="B39" s="339" t="str">
        <x:v>SCR-160</x:v>
      </x:c>
      <x:c r="C39" s="339" t="str">
        <x:v>Fees &amp; Finance</x:v>
      </x:c>
      <x:c r="D39" s="339" t="str">
        <x:v>Payment Receipt</x:v>
      </x:c>
      <x:c r="E39" s="339" t="str">
        <x:v>Payment receipt, due/overdue reminder, refund/failure</x:v>
      </x:c>
      <x:c r="F39" s="339" t="str">
        <x:v>Parent/Guardian, Accountant</x:v>
      </x:c>
      <x:c r="G39" s="339" t="str">
        <x:v>SMS/Email/WhatsApp/Push</x:v>
      </x:c>
      <x:c r="H39" s="339" t="str">
        <x:v>Payment Receipt: status/action notification using school-approved template and localized variables.</x:v>
      </x:c>
      <x:c r="I39" s="339" t="str">
        <x:v>Immediate for transaction confirmations/critical alerts; scheduled reminders use configured cadence and school timezone.</x:v>
      </x:c>
      <x:c r="J39" s="339" t="str">
        <x:v>Retry transient provider failures with capped backoff; record final delivery status; critical alerts may use configured fallback channel.</x:v>
      </x:c>
      <x:c r="K39" s="339" t="str">
        <x:v>Honor legal/mandatory messages; otherwise respect channel preferences/opt-out where applicable.</x:v>
      </x:c>
    </x:row>
    <x:row r="40">
      <x:c r="A40" s="339" t="str">
        <x:v>NTF-0039</x:v>
      </x:c>
      <x:c r="B40" s="339" t="str">
        <x:v>SCR-162</x:v>
      </x:c>
      <x:c r="C40" s="339" t="str">
        <x:v>Fees &amp; Finance</x:v>
      </x:c>
      <x:c r="D40" s="339" t="str">
        <x:v>Outstanding Dues</x:v>
      </x:c>
      <x:c r="E40" s="339" t="str">
        <x:v>Payment receipt, due/overdue reminder, refund/failure</x:v>
      </x:c>
      <x:c r="F40" s="339" t="str">
        <x:v>Parent/Guardian, Accountant</x:v>
      </x:c>
      <x:c r="G40" s="339" t="str">
        <x:v>SMS/Email/WhatsApp/Push</x:v>
      </x:c>
      <x:c r="H40" s="339" t="str">
        <x:v>Outstanding Dues: status/action notification using school-approved template and localized variables.</x:v>
      </x:c>
      <x:c r="I40" s="339" t="str">
        <x:v>Immediate for transaction confirmations/critical alerts; scheduled reminders use configured cadence and school timezone.</x:v>
      </x:c>
      <x:c r="J40" s="339" t="str">
        <x:v>Retry transient provider failures with capped backoff; record final delivery status; critical alerts may use configured fallback channel.</x:v>
      </x:c>
      <x:c r="K40" s="339" t="str">
        <x:v>Honor legal/mandatory messages; otherwise respect channel preferences/opt-out where applicable.</x:v>
      </x:c>
    </x:row>
    <x:row r="41">
      <x:c r="A41" s="339" t="str">
        <x:v>NTF-0040</x:v>
      </x:c>
      <x:c r="B41" s="339" t="str">
        <x:v>SCR-164</x:v>
      </x:c>
      <x:c r="C41" s="339" t="str">
        <x:v>Fees &amp; Finance</x:v>
      </x:c>
      <x:c r="D41" s="339" t="str">
        <x:v>Fine Rules</x:v>
      </x:c>
      <x:c r="E41" s="339" t="str">
        <x:v>Payment receipt, due/overdue reminder, refund/failure</x:v>
      </x:c>
      <x:c r="F41" s="339" t="str">
        <x:v>Parent/Guardian, Accountant</x:v>
      </x:c>
      <x:c r="G41" s="339" t="str">
        <x:v>SMS/Email/WhatsApp/Push</x:v>
      </x:c>
      <x:c r="H41" s="339" t="str">
        <x:v>Fine Rules: status/action notification using school-approved template and localized variables.</x:v>
      </x:c>
      <x:c r="I41" s="339" t="str">
        <x:v>Immediate for transaction confirmations/critical alerts; scheduled reminders use configured cadence and school timezone.</x:v>
      </x:c>
      <x:c r="J41" s="339" t="str">
        <x:v>Retry transient provider failures with capped backoff; record final delivery status; critical alerts may use configured fallback channel.</x:v>
      </x:c>
      <x:c r="K41" s="339" t="str">
        <x:v>Honor legal/mandatory messages; otherwise respect channel preferences/opt-out where applicable.</x:v>
      </x:c>
    </x:row>
    <x:row r="42">
      <x:c r="A42" s="339" t="str">
        <x:v>NTF-0041</x:v>
      </x:c>
      <x:c r="B42" s="339" t="str">
        <x:v>SCR-165</x:v>
      </x:c>
      <x:c r="C42" s="339" t="str">
        <x:v>Fees &amp; Finance</x:v>
      </x:c>
      <x:c r="D42" s="339" t="str">
        <x:v>Refunds</x:v>
      </x:c>
      <x:c r="E42" s="339" t="str">
        <x:v>Payment receipt, due/overdue reminder, refund/failure</x:v>
      </x:c>
      <x:c r="F42" s="339" t="str">
        <x:v>Parent/Guardian, Accountant</x:v>
      </x:c>
      <x:c r="G42" s="339" t="str">
        <x:v>SMS/Email/WhatsApp/Push</x:v>
      </x:c>
      <x:c r="H42" s="339" t="str">
        <x:v>Refunds: status/action notification using school-approved template and localized variables.</x:v>
      </x:c>
      <x:c r="I42" s="339" t="str">
        <x:v>Immediate for transaction confirmations/critical alerts; scheduled reminders use configured cadence and school timezone.</x:v>
      </x:c>
      <x:c r="J42" s="339" t="str">
        <x:v>Retry transient provider failures with capped backoff; record final delivery status; critical alerts may use configured fallback channel.</x:v>
      </x:c>
      <x:c r="K42" s="339" t="str">
        <x:v>Honor legal/mandatory messages; otherwise respect channel preferences/opt-out where applicable.</x:v>
      </x:c>
    </x:row>
    <x:row r="43">
      <x:c r="A43" s="339" t="str">
        <x:v>NTF-0042</x:v>
      </x:c>
      <x:c r="B43" s="339" t="str">
        <x:v>SCR-169</x:v>
      </x:c>
      <x:c r="C43" s="339" t="str">
        <x:v>Fees &amp; Finance</x:v>
      </x:c>
      <x:c r="D43" s="339" t="str">
        <x:v>Purchase / Payment</x:v>
      </x:c>
      <x:c r="E43" s="339" t="str">
        <x:v>Payment receipt, due/overdue reminder, refund/failure</x:v>
      </x:c>
      <x:c r="F43" s="339" t="str">
        <x:v>Parent/Guardian, Accountant</x:v>
      </x:c>
      <x:c r="G43" s="339" t="str">
        <x:v>SMS/Email/WhatsApp/Push</x:v>
      </x:c>
      <x:c r="H43" s="339" t="str">
        <x:v>Purchase / Payment: status/action notification using school-approved template and localized variables.</x:v>
      </x:c>
      <x:c r="I43" s="339" t="str">
        <x:v>Immediate for transaction confirmations/critical alerts; scheduled reminders use configured cadence and school timezone.</x:v>
      </x:c>
      <x:c r="J43" s="339" t="str">
        <x:v>Retry transient provider failures with capped backoff; record final delivery status; critical alerts may use configured fallback channel.</x:v>
      </x:c>
      <x:c r="K43" s="339" t="str">
        <x:v>Honor legal/mandatory messages; otherwise respect channel preferences/opt-out where applicable.</x:v>
      </x:c>
    </x:row>
    <x:row r="44">
      <x:c r="A44" s="339" t="str">
        <x:v>NTF-0043</x:v>
      </x:c>
      <x:c r="B44" s="339" t="str">
        <x:v>SCR-177</x:v>
      </x:c>
      <x:c r="C44" s="339" t="str">
        <x:v>HR / Leave / Payroll</x:v>
      </x:c>
      <x:c r="D44" s="339" t="str">
        <x:v>Offer &amp; Appointment</x:v>
      </x:c>
      <x:c r="E44" s="339" t="str">
        <x:v>Request/decision, payroll posting, payslip availability</x:v>
      </x:c>
      <x:c r="F44" s="339" t="str">
        <x:v>Employee, Approver/HR</x:v>
      </x:c>
      <x:c r="G44" s="339" t="str">
        <x:v>Email/In-app/Push</x:v>
      </x:c>
      <x:c r="H44" s="339" t="str">
        <x:v>Offer &amp; Appointment: status/action notification using school-approved template and localized variables.</x:v>
      </x:c>
      <x:c r="I44" s="339" t="str">
        <x:v>Immediate for transaction confirmations/critical alerts; scheduled reminders use configured cadence and school timezone.</x:v>
      </x:c>
      <x:c r="J44" s="339" t="str">
        <x:v>Retry transient provider failures with capped backoff; record final delivery status; critical alerts may use configured fallback channel.</x:v>
      </x:c>
      <x:c r="K44" s="339" t="str">
        <x:v>Honor legal/mandatory messages; otherwise respect channel preferences/opt-out where applicable.</x:v>
      </x:c>
    </x:row>
    <x:row r="45">
      <x:c r="A45" s="339" t="str">
        <x:v>NTF-0044</x:v>
      </x:c>
      <x:c r="B45" s="339" t="str">
        <x:v>SCR-180</x:v>
      </x:c>
      <x:c r="C45" s="339" t="str">
        <x:v>HR / Leave / Payroll</x:v>
      </x:c>
      <x:c r="D45" s="339" t="str">
        <x:v>Leave Policies</x:v>
      </x:c>
      <x:c r="E45" s="339" t="str">
        <x:v>Request/decision, payroll posting, payslip availability</x:v>
      </x:c>
      <x:c r="F45" s="339" t="str">
        <x:v>Employee, Approver/HR</x:v>
      </x:c>
      <x:c r="G45" s="339" t="str">
        <x:v>Email/In-app/Push</x:v>
      </x:c>
      <x:c r="H45" s="339" t="str">
        <x:v>Leave Policies: status/action notification using school-approved template and localized variables.</x:v>
      </x:c>
      <x:c r="I45" s="339" t="str">
        <x:v>Immediate for transaction confirmations/critical alerts; scheduled reminders use configured cadence and school timezone.</x:v>
      </x:c>
      <x:c r="J45" s="339" t="str">
        <x:v>Retry transient provider failures with capped backoff; record final delivery status; critical alerts may use configured fallback channel.</x:v>
      </x:c>
      <x:c r="K45" s="339" t="str">
        <x:v>Honor legal/mandatory messages; otherwise respect channel preferences/opt-out where applicable.</x:v>
      </x:c>
    </x:row>
    <x:row r="46">
      <x:c r="A46" s="339" t="str">
        <x:v>NTF-0045</x:v>
      </x:c>
      <x:c r="B46" s="339" t="str">
        <x:v>SCR-181</x:v>
      </x:c>
      <x:c r="C46" s="339" t="str">
        <x:v>HR / Leave / Payroll</x:v>
      </x:c>
      <x:c r="D46" s="339" t="str">
        <x:v>Staff Leave Requests</x:v>
      </x:c>
      <x:c r="E46" s="339" t="str">
        <x:v>Request/decision, payroll posting, payslip availability</x:v>
      </x:c>
      <x:c r="F46" s="339" t="str">
        <x:v>Employee, Approver/HR</x:v>
      </x:c>
      <x:c r="G46" s="339" t="str">
        <x:v>Email/In-app/Push</x:v>
      </x:c>
      <x:c r="H46" s="339" t="str">
        <x:v>Staff Leave Requests: status/action notification using school-approved template and localized variables.</x:v>
      </x:c>
      <x:c r="I46" s="339" t="str">
        <x:v>Immediate for transaction confirmations/critical alerts; scheduled reminders use configured cadence and school timezone.</x:v>
      </x:c>
      <x:c r="J46" s="339" t="str">
        <x:v>Retry transient provider failures with capped backoff; record final delivery status; critical alerts may use configured fallback channel.</x:v>
      </x:c>
      <x:c r="K46" s="339" t="str">
        <x:v>Honor legal/mandatory messages; otherwise respect channel preferences/opt-out where applicable.</x:v>
      </x:c>
    </x:row>
    <x:row r="47">
      <x:c r="A47" s="339" t="str">
        <x:v>NTF-0046</x:v>
      </x:c>
      <x:c r="B47" s="339" t="str">
        <x:v>SCR-182</x:v>
      </x:c>
      <x:c r="C47" s="339" t="str">
        <x:v>HR / Leave / Payroll</x:v>
      </x:c>
      <x:c r="D47" s="339" t="str">
        <x:v>Leave Approval</x:v>
      </x:c>
      <x:c r="E47" s="339" t="str">
        <x:v>Request/decision, payroll posting, payslip availability</x:v>
      </x:c>
      <x:c r="F47" s="339" t="str">
        <x:v>Employee, Approver/HR</x:v>
      </x:c>
      <x:c r="G47" s="339" t="str">
        <x:v>Email/In-app/Push</x:v>
      </x:c>
      <x:c r="H47" s="339" t="str">
        <x:v>Leave Approval: status/action notification using school-approved template and localized variables.</x:v>
      </x:c>
      <x:c r="I47" s="339" t="str">
        <x:v>Immediate for transaction confirmations/critical alerts; scheduled reminders use configured cadence and school timezone.</x:v>
      </x:c>
      <x:c r="J47" s="339" t="str">
        <x:v>Retry transient provider failures with capped backoff; record final delivery status; critical alerts may use configured fallback channel.</x:v>
      </x:c>
      <x:c r="K47" s="339" t="str">
        <x:v>Honor legal/mandatory messages; otherwise respect channel preferences/opt-out where applicable.</x:v>
      </x:c>
    </x:row>
    <x:row r="48">
      <x:c r="A48" s="339" t="str">
        <x:v>NTF-0047</x:v>
      </x:c>
      <x:c r="B48" s="339" t="str">
        <x:v>SCR-183</x:v>
      </x:c>
      <x:c r="C48" s="339" t="str">
        <x:v>HR / Leave / Payroll</x:v>
      </x:c>
      <x:c r="D48" s="339" t="str">
        <x:v>Payroll Setup</x:v>
      </x:c>
      <x:c r="E48" s="339" t="str">
        <x:v>Request/decision, payroll posting, payslip availability</x:v>
      </x:c>
      <x:c r="F48" s="339" t="str">
        <x:v>Employee, Approver/HR</x:v>
      </x:c>
      <x:c r="G48" s="339" t="str">
        <x:v>Email/In-app/Push</x:v>
      </x:c>
      <x:c r="H48" s="339" t="str">
        <x:v>Payroll Setup: status/action notification using school-approved template and localized variables.</x:v>
      </x:c>
      <x:c r="I48" s="339" t="str">
        <x:v>Immediate for transaction confirmations/critical alerts; scheduled reminders use configured cadence and school timezone.</x:v>
      </x:c>
      <x:c r="J48" s="339" t="str">
        <x:v>Retry transient provider failures with capped backoff; record final delivery status; critical alerts may use configured fallback channel.</x:v>
      </x:c>
      <x:c r="K48" s="339" t="str">
        <x:v>Honor legal/mandatory messages; otherwise respect channel preferences/opt-out where applicable.</x:v>
      </x:c>
    </x:row>
    <x:row r="49">
      <x:c r="A49" s="339" t="str">
        <x:v>NTF-0048</x:v>
      </x:c>
      <x:c r="B49" s="339" t="str">
        <x:v>SCR-184</x:v>
      </x:c>
      <x:c r="C49" s="339" t="str">
        <x:v>HR / Leave / Payroll</x:v>
      </x:c>
      <x:c r="D49" s="339" t="str">
        <x:v>Payroll Processing</x:v>
      </x:c>
      <x:c r="E49" s="339" t="str">
        <x:v>Request/decision, payroll posting, payslip availability</x:v>
      </x:c>
      <x:c r="F49" s="339" t="str">
        <x:v>Employee, Approver/HR</x:v>
      </x:c>
      <x:c r="G49" s="339" t="str">
        <x:v>Email/In-app/Push</x:v>
      </x:c>
      <x:c r="H49" s="339" t="str">
        <x:v>Payroll Processing: status/action notification using school-approved template and localized variables.</x:v>
      </x:c>
      <x:c r="I49" s="339" t="str">
        <x:v>Immediate for transaction confirmations/critical alerts; scheduled reminders use configured cadence and school timezone.</x:v>
      </x:c>
      <x:c r="J49" s="339" t="str">
        <x:v>Retry transient provider failures with capped backoff; record final delivery status; critical alerts may use configured fallback channel.</x:v>
      </x:c>
      <x:c r="K49" s="339" t="str">
        <x:v>Honor legal/mandatory messages; otherwise respect channel preferences/opt-out where applicable.</x:v>
      </x:c>
    </x:row>
    <x:row r="50">
      <x:c r="A50" s="339" t="str">
        <x:v>NTF-0049</x:v>
      </x:c>
      <x:c r="B50" s="339" t="str">
        <x:v>SCR-185</x:v>
      </x:c>
      <x:c r="C50" s="339" t="str">
        <x:v>HR / Leave / Payroll</x:v>
      </x:c>
      <x:c r="D50" s="339" t="str">
        <x:v>Payslip &amp; Payroll History</x:v>
      </x:c>
      <x:c r="E50" s="339" t="str">
        <x:v>Request/decision, payroll posting, payslip availability</x:v>
      </x:c>
      <x:c r="F50" s="339" t="str">
        <x:v>Employee, Approver/HR</x:v>
      </x:c>
      <x:c r="G50" s="339" t="str">
        <x:v>Email/In-app/Push</x:v>
      </x:c>
      <x:c r="H50" s="339" t="str">
        <x:v>Payslip &amp; Payroll History: status/action notification using school-approved template and localized variables.</x:v>
      </x:c>
      <x:c r="I50" s="339" t="str">
        <x:v>Immediate for transaction confirmations/critical alerts; scheduled reminders use configured cadence and school timezone.</x:v>
      </x:c>
      <x:c r="J50" s="339" t="str">
        <x:v>Retry transient provider failures with capped backoff; record final delivery status; critical alerts may use configured fallback channel.</x:v>
      </x:c>
      <x:c r="K50" s="339" t="str">
        <x:v>Honor legal/mandatory messages; otherwise respect channel preferences/opt-out where applicable.</x:v>
      </x:c>
    </x:row>
    <x:row r="51">
      <x:c r="A51" s="339" t="str">
        <x:v>NTF-0050</x:v>
      </x:c>
      <x:c r="B51" s="339" t="str">
        <x:v>SCR-189</x:v>
      </x:c>
      <x:c r="C51" s="339" t="str">
        <x:v>Transport / Bus / GPS</x:v>
      </x:c>
      <x:c r="D51" s="339" t="str">
        <x:v>Routes</x:v>
      </x:c>
      <x:c r="E51" s="339" t="str">
        <x:v>Route change, trip started, approaching stop, boarded/dropped</x:v>
      </x:c>
      <x:c r="F51" s="339" t="str">
        <x:v>Parent/Student, Transport team</x:v>
      </x:c>
      <x:c r="G51" s="339" t="str">
        <x:v>Push/SMS</x:v>
      </x:c>
      <x:c r="H51" s="339" t="str">
        <x:v>Routes: status/action notification using school-approved template and localized variables.</x:v>
      </x:c>
      <x:c r="I51" s="339" t="str">
        <x:v>Immediate for transaction confirmations/critical alerts; scheduled reminders use configured cadence and school timezone.</x:v>
      </x:c>
      <x:c r="J51" s="339" t="str">
        <x:v>Retry transient provider failures with capped backoff; record final delivery status; critical alerts may use configured fallback channel.</x:v>
      </x:c>
      <x:c r="K51" s="339" t="str">
        <x:v>Honor legal/mandatory messages; otherwise respect channel preferences/opt-out where applicable.</x:v>
      </x:c>
    </x:row>
    <x:row r="52">
      <x:c r="A52" s="339" t="str">
        <x:v>NTF-0051</x:v>
      </x:c>
      <x:c r="B52" s="339" t="str">
        <x:v>SCR-190</x:v>
      </x:c>
      <x:c r="C52" s="339" t="str">
        <x:v>Transport / Bus / GPS</x:v>
      </x:c>
      <x:c r="D52" s="339" t="str">
        <x:v>Create / Edit Route</x:v>
      </x:c>
      <x:c r="E52" s="339" t="str">
        <x:v>Route change, trip started, approaching stop, boarded/dropped</x:v>
      </x:c>
      <x:c r="F52" s="339" t="str">
        <x:v>Parent/Student, Transport team</x:v>
      </x:c>
      <x:c r="G52" s="339" t="str">
        <x:v>Push/SMS</x:v>
      </x:c>
      <x:c r="H52" s="339" t="str">
        <x:v>Create / Edit Route: status/action notification using school-approved template and localized variables.</x:v>
      </x:c>
      <x:c r="I52" s="339" t="str">
        <x:v>Immediate for transaction confirmations/critical alerts; scheduled reminders use configured cadence and school timezone.</x:v>
      </x:c>
      <x:c r="J52" s="339" t="str">
        <x:v>Retry transient provider failures with capped backoff; record final delivery status; critical alerts may use configured fallback channel.</x:v>
      </x:c>
      <x:c r="K52" s="339" t="str">
        <x:v>Honor legal/mandatory messages; otherwise respect channel preferences/opt-out where applicable.</x:v>
      </x:c>
    </x:row>
    <x:row r="53">
      <x:c r="A53" s="339" t="str">
        <x:v>NTF-0052</x:v>
      </x:c>
      <x:c r="B53" s="339" t="str">
        <x:v>SCR-193</x:v>
      </x:c>
      <x:c r="C53" s="339" t="str">
        <x:v>Transport / Bus / GPS</x:v>
      </x:c>
      <x:c r="D53" s="339" t="str">
        <x:v>Student Route Assignment</x:v>
      </x:c>
      <x:c r="E53" s="339" t="str">
        <x:v>Route change, trip started, approaching stop, boarded/dropped</x:v>
      </x:c>
      <x:c r="F53" s="339" t="str">
        <x:v>Parent/Student, Transport team</x:v>
      </x:c>
      <x:c r="G53" s="339" t="str">
        <x:v>Push/SMS</x:v>
      </x:c>
      <x:c r="H53" s="339" t="str">
        <x:v>Student Route Assignment: status/action notification using school-approved template and localized variables.</x:v>
      </x:c>
      <x:c r="I53" s="339" t="str">
        <x:v>Immediate for transaction confirmations/critical alerts; scheduled reminders use configured cadence and school timezone.</x:v>
      </x:c>
      <x:c r="J53" s="339" t="str">
        <x:v>Retry transient provider failures with capped backoff; record final delivery status; critical alerts may use configured fallback channel.</x:v>
      </x:c>
      <x:c r="K53" s="339" t="str">
        <x:v>Honor legal/mandatory messages; otherwise respect channel preferences/opt-out where applicable.</x:v>
      </x:c>
    </x:row>
    <x:row r="54">
      <x:c r="A54" s="339" t="str">
        <x:v>NTF-0053</x:v>
      </x:c>
      <x:c r="B54" s="339" t="str">
        <x:v>SCR-194</x:v>
      </x:c>
      <x:c r="C54" s="339" t="str">
        <x:v>Transport / Bus / GPS</x:v>
      </x:c>
      <x:c r="D54" s="339" t="str">
        <x:v>Trip Sheet</x:v>
      </x:c>
      <x:c r="E54" s="339" t="str">
        <x:v>Route change, trip started, approaching stop, boarded/dropped</x:v>
      </x:c>
      <x:c r="F54" s="339" t="str">
        <x:v>Parent/Student, Transport team</x:v>
      </x:c>
      <x:c r="G54" s="339" t="str">
        <x:v>Push/SMS</x:v>
      </x:c>
      <x:c r="H54" s="339" t="str">
        <x:v>Trip Sheet: status/action notification using school-approved template and localized variables.</x:v>
      </x:c>
      <x:c r="I54" s="339" t="str">
        <x:v>Immediate for transaction confirmations/critical alerts; scheduled reminders use configured cadence and school timezone.</x:v>
      </x:c>
      <x:c r="J54" s="339" t="str">
        <x:v>Retry transient provider failures with capped backoff; record final delivery status; critical alerts may use configured fallback channel.</x:v>
      </x:c>
      <x:c r="K54" s="339" t="str">
        <x:v>Honor legal/mandatory messages; otherwise respect channel preferences/opt-out where applicable.</x:v>
      </x:c>
    </x:row>
    <x:row r="55">
      <x:c r="A55" s="339" t="str">
        <x:v>NTF-0054</x:v>
      </x:c>
      <x:c r="B55" s="339" t="str">
        <x:v>SCR-195</x:v>
      </x:c>
      <x:c r="C55" s="339" t="str">
        <x:v>Transport / Bus / GPS</x:v>
      </x:c>
      <x:c r="D55" s="339" t="str">
        <x:v>Live GPS Tracking</x:v>
      </x:c>
      <x:c r="E55" s="339" t="str">
        <x:v>Route change, trip started, approaching stop, boarded/dropped</x:v>
      </x:c>
      <x:c r="F55" s="339" t="str">
        <x:v>Parent/Student, Transport team</x:v>
      </x:c>
      <x:c r="G55" s="339" t="str">
        <x:v>Push/SMS</x:v>
      </x:c>
      <x:c r="H55" s="339" t="str">
        <x:v>Live GPS Tracking: status/action notification using school-approved template and localized variables.</x:v>
      </x:c>
      <x:c r="I55" s="339" t="str">
        <x:v>Immediate for transaction confirmations/critical alerts; scheduled reminders use configured cadence and school timezone.</x:v>
      </x:c>
      <x:c r="J55" s="339" t="str">
        <x:v>Retry transient provider failures with capped backoff; record final delivery status; critical alerts may use configured fallback channel.</x:v>
      </x:c>
      <x:c r="K55" s="339" t="str">
        <x:v>Honor legal/mandatory messages; otherwise respect channel preferences/opt-out where applicable.</x:v>
      </x:c>
    </x:row>
    <x:row r="56">
      <x:c r="A56" s="339" t="str">
        <x:v>NTF-0055</x:v>
      </x:c>
      <x:c r="B56" s="339" t="str">
        <x:v>SCR-196</x:v>
      </x:c>
      <x:c r="C56" s="339" t="str">
        <x:v>Transport / Bus / GPS</x:v>
      </x:c>
      <x:c r="D56" s="339" t="str">
        <x:v>Boarding / Drop Attendance</x:v>
      </x:c>
      <x:c r="E56" s="339" t="str">
        <x:v>Route change, trip started, approaching stop, boarded/dropped</x:v>
      </x:c>
      <x:c r="F56" s="339" t="str">
        <x:v>Parent/Student, Transport team</x:v>
      </x:c>
      <x:c r="G56" s="339" t="str">
        <x:v>Push/SMS</x:v>
      </x:c>
      <x:c r="H56" s="339" t="str">
        <x:v>Boarding / Drop Attendance: status/action notification using school-approved template and localized variables.</x:v>
      </x:c>
      <x:c r="I56" s="339" t="str">
        <x:v>Immediate for transaction confirmations/critical alerts; scheduled reminders use configured cadence and school timezone.</x:v>
      </x:c>
      <x:c r="J56" s="339" t="str">
        <x:v>Retry transient provider failures with capped backoff; record final delivery status; critical alerts may use configured fallback channel.</x:v>
      </x:c>
      <x:c r="K56" s="339" t="str">
        <x:v>Honor legal/mandatory messages; otherwise respect channel preferences/opt-out where applicable.</x:v>
      </x:c>
    </x:row>
    <x:row r="57">
      <x:c r="A57" s="339" t="str">
        <x:v>NTF-0056</x:v>
      </x:c>
      <x:c r="B57" s="339" t="str">
        <x:v>SCR-202</x:v>
      </x:c>
      <x:c r="C57" s="339" t="str">
        <x:v>Library</x:v>
      </x:c>
      <x:c r="D57" s="339" t="str">
        <x:v>Issue Book</x:v>
      </x:c>
      <x:c r="E57" s="339" t="str">
        <x:v>Issue/return confirmation, due/overdue reminder, reservation</x:v>
      </x:c>
      <x:c r="F57" s="339" t="str">
        <x:v>Borrower</x:v>
      </x:c>
      <x:c r="G57" s="339" t="str">
        <x:v>Email/Push/In-app</x:v>
      </x:c>
      <x:c r="H57" s="339" t="str">
        <x:v>Issue Book: status/action notification using school-approved template and localized variables.</x:v>
      </x:c>
      <x:c r="I57" s="339" t="str">
        <x:v>Immediate for transaction confirmations/critical alerts; scheduled reminders use configured cadence and school timezone.</x:v>
      </x:c>
      <x:c r="J57" s="339" t="str">
        <x:v>Retry transient provider failures with capped backoff; record final delivery status; critical alerts may use configured fallback channel.</x:v>
      </x:c>
      <x:c r="K57" s="339" t="str">
        <x:v>Honor legal/mandatory messages; otherwise respect channel preferences/opt-out where applicable.</x:v>
      </x:c>
    </x:row>
    <x:row r="58">
      <x:c r="A58" s="339" t="str">
        <x:v>NTF-0057</x:v>
      </x:c>
      <x:c r="B58" s="339" t="str">
        <x:v>SCR-203</x:v>
      </x:c>
      <x:c r="C58" s="339" t="str">
        <x:v>Library</x:v>
      </x:c>
      <x:c r="D58" s="339" t="str">
        <x:v>Return Book</x:v>
      </x:c>
      <x:c r="E58" s="339" t="str">
        <x:v>Issue/return confirmation, due/overdue reminder, reservation</x:v>
      </x:c>
      <x:c r="F58" s="339" t="str">
        <x:v>Borrower</x:v>
      </x:c>
      <x:c r="G58" s="339" t="str">
        <x:v>Email/Push/In-app</x:v>
      </x:c>
      <x:c r="H58" s="339" t="str">
        <x:v>Return Book: status/action notification using school-approved template and localized variables.</x:v>
      </x:c>
      <x:c r="I58" s="339" t="str">
        <x:v>Immediate for transaction confirmations/critical alerts; scheduled reminders use configured cadence and school timezone.</x:v>
      </x:c>
      <x:c r="J58" s="339" t="str">
        <x:v>Retry transient provider failures with capped backoff; record final delivery status; critical alerts may use configured fallback channel.</x:v>
      </x:c>
      <x:c r="K58" s="339" t="str">
        <x:v>Honor legal/mandatory messages; otherwise respect channel preferences/opt-out where applicable.</x:v>
      </x:c>
    </x:row>
    <x:row r="59">
      <x:c r="A59" s="339" t="str">
        <x:v>NTF-0058</x:v>
      </x:c>
      <x:c r="B59" s="339" t="str">
        <x:v>SCR-204</x:v>
      </x:c>
      <x:c r="C59" s="339" t="str">
        <x:v>Library</x:v>
      </x:c>
      <x:c r="D59" s="339" t="str">
        <x:v>Renew / Reserve Book</x:v>
      </x:c>
      <x:c r="E59" s="339" t="str">
        <x:v>Issue/return confirmation, due/overdue reminder, reservation</x:v>
      </x:c>
      <x:c r="F59" s="339" t="str">
        <x:v>Borrower</x:v>
      </x:c>
      <x:c r="G59" s="339" t="str">
        <x:v>Email/Push/In-app</x:v>
      </x:c>
      <x:c r="H59" s="339" t="str">
        <x:v>Renew / Reserve Book: status/action notification using school-approved template and localized variables.</x:v>
      </x:c>
      <x:c r="I59" s="339" t="str">
        <x:v>Immediate for transaction confirmations/critical alerts; scheduled reminders use configured cadence and school timezone.</x:v>
      </x:c>
      <x:c r="J59" s="339" t="str">
        <x:v>Retry transient provider failures with capped backoff; record final delivery status; critical alerts may use configured fallback channel.</x:v>
      </x:c>
      <x:c r="K59" s="339" t="str">
        <x:v>Honor legal/mandatory messages; otherwise respect channel preferences/opt-out where applicable.</x:v>
      </x:c>
    </x:row>
    <x:row r="60">
      <x:c r="A60" s="339" t="str">
        <x:v>NTF-0059</x:v>
      </x:c>
      <x:c r="B60" s="339" t="str">
        <x:v>SCR-205</x:v>
      </x:c>
      <x:c r="C60" s="339" t="str">
        <x:v>Library</x:v>
      </x:c>
      <x:c r="D60" s="339" t="str">
        <x:v>Fine / Lost / Damaged Book</x:v>
      </x:c>
      <x:c r="E60" s="339" t="str">
        <x:v>Issue/return confirmation, due/overdue reminder, reservation</x:v>
      </x:c>
      <x:c r="F60" s="339" t="str">
        <x:v>Borrower</x:v>
      </x:c>
      <x:c r="G60" s="339" t="str">
        <x:v>Email/Push/In-app</x:v>
      </x:c>
      <x:c r="H60" s="339" t="str">
        <x:v>Fine / Lost / Damaged Book: status/action notification using school-approved template and localized variables.</x:v>
      </x:c>
      <x:c r="I60" s="339" t="str">
        <x:v>Immediate for transaction confirmations/critical alerts; scheduled reminders use configured cadence and school timezone.</x:v>
      </x:c>
      <x:c r="J60" s="339" t="str">
        <x:v>Retry transient provider failures with capped backoff; record final delivery status; critical alerts may use configured fallback channel.</x:v>
      </x:c>
      <x:c r="K60" s="339" t="str">
        <x:v>Honor legal/mandatory messages; otherwise respect channel preferences/opt-out where applicable.</x:v>
      </x:c>
    </x:row>
    <x:row r="61">
      <x:c r="A61" s="339" t="str">
        <x:v>NTF-0060</x:v>
      </x:c>
      <x:c r="B61" s="339" t="str">
        <x:v>SCR-210</x:v>
      </x:c>
      <x:c r="C61" s="339" t="str">
        <x:v>Hostel</x:v>
      </x:c>
      <x:c r="D61" s="339" t="str">
        <x:v>Student Hostel Allocation</x:v>
      </x:c>
      <x:c r="E61" s="339" t="str">
        <x:v>Allocation, outing approval, late return, complaint update</x:v>
      </x:c>
      <x:c r="F61" s="339" t="str">
        <x:v>Parent/Student, Warden</x:v>
      </x:c>
      <x:c r="G61" s="339" t="str">
        <x:v>Push/SMS/In-app</x:v>
      </x:c>
      <x:c r="H61" s="339" t="str">
        <x:v>Student Hostel Allocation: status/action notification using school-approved template and localized variables.</x:v>
      </x:c>
      <x:c r="I61" s="339" t="str">
        <x:v>Immediate for transaction confirmations/critical alerts; scheduled reminders use configured cadence and school timezone.</x:v>
      </x:c>
      <x:c r="J61" s="339" t="str">
        <x:v>Retry transient provider failures with capped backoff; record final delivery status; critical alerts may use configured fallback channel.</x:v>
      </x:c>
      <x:c r="K61" s="339" t="str">
        <x:v>Honor legal/mandatory messages; otherwise respect channel preferences/opt-out where applicable.</x:v>
      </x:c>
    </x:row>
    <x:row r="62">
      <x:c r="A62" s="339" t="str">
        <x:v>NTF-0061</x:v>
      </x:c>
      <x:c r="B62" s="339" t="str">
        <x:v>SCR-213</x:v>
      </x:c>
      <x:c r="C62" s="339" t="str">
        <x:v>Hostel</x:v>
      </x:c>
      <x:c r="D62" s="339" t="str">
        <x:v>Leave / Outing</x:v>
      </x:c>
      <x:c r="E62" s="339" t="str">
        <x:v>Allocation, outing approval, late return, complaint update</x:v>
      </x:c>
      <x:c r="F62" s="339" t="str">
        <x:v>Parent/Student, Warden</x:v>
      </x:c>
      <x:c r="G62" s="339" t="str">
        <x:v>Push/SMS/In-app</x:v>
      </x:c>
      <x:c r="H62" s="339" t="str">
        <x:v>Leave / Outing: status/action notification using school-approved template and localized variables.</x:v>
      </x:c>
      <x:c r="I62" s="339" t="str">
        <x:v>Immediate for transaction confirmations/critical alerts; scheduled reminders use configured cadence and school timezone.</x:v>
      </x:c>
      <x:c r="J62" s="339" t="str">
        <x:v>Retry transient provider failures with capped backoff; record final delivery status; critical alerts may use configured fallback channel.</x:v>
      </x:c>
      <x:c r="K62" s="339" t="str">
        <x:v>Honor legal/mandatory messages; otherwise respect channel preferences/opt-out where applicable.</x:v>
      </x:c>
    </x:row>
    <x:row r="63">
      <x:c r="A63" s="339" t="str">
        <x:v>NTF-0062</x:v>
      </x:c>
      <x:c r="B63" s="339" t="str">
        <x:v>SCR-215</x:v>
      </x:c>
      <x:c r="C63" s="339" t="str">
        <x:v>Hostel</x:v>
      </x:c>
      <x:c r="D63" s="339" t="str">
        <x:v>Hostel Complaints &amp; Fees</x:v>
      </x:c>
      <x:c r="E63" s="339" t="str">
        <x:v>Allocation, outing approval, late return, complaint update</x:v>
      </x:c>
      <x:c r="F63" s="339" t="str">
        <x:v>Parent/Student, Warden</x:v>
      </x:c>
      <x:c r="G63" s="339" t="str">
        <x:v>Push/SMS/In-app</x:v>
      </x:c>
      <x:c r="H63" s="339" t="str">
        <x:v>Hostel Complaints &amp; Fees: status/action notification using school-approved template and localized variables.</x:v>
      </x:c>
      <x:c r="I63" s="339" t="str">
        <x:v>Immediate for transaction confirmations/critical alerts; scheduled reminders use configured cadence and school timezone.</x:v>
      </x:c>
      <x:c r="J63" s="339" t="str">
        <x:v>Retry transient provider failures with capped backoff; record final delivery status; critical alerts may use configured fallback channel.</x:v>
      </x:c>
      <x:c r="K63" s="339" t="str">
        <x:v>Honor legal/mandatory messages; otherwise respect channel preferences/opt-out where applicable.</x:v>
      </x:c>
    </x:row>
    <x:row r="64">
      <x:c r="A64" s="339" t="str">
        <x:v>NTF-0063</x:v>
      </x:c>
      <x:c r="B64" s="339" t="str">
        <x:v>SCR-218</x:v>
      </x:c>
      <x:c r="C64" s="339" t="str">
        <x:v>Health / Counselling / Discipline</x:v>
      </x:c>
      <x:c r="D64" s="339" t="str">
        <x:v>Clinic Visit</x:v>
      </x:c>
      <x:c r="E64" s="339" t="str">
        <x:v>Emergency, medical visit or discipline action according to privacy policy</x:v>
      </x:c>
      <x:c r="F64" s="339" t="str">
        <x:v>Authorized guardian/leadership</x:v>
      </x:c>
      <x:c r="G64" s="339" t="str">
        <x:v>SMS/Call/Push/In-app</x:v>
      </x:c>
      <x:c r="H64" s="339" t="str">
        <x:v>Clinic Visit: status/action notification using school-approved template and localized variables.</x:v>
      </x:c>
      <x:c r="I64" s="339" t="str">
        <x:v>Immediate for transaction confirmations/critical alerts; scheduled reminders use configured cadence and school timezone.</x:v>
      </x:c>
      <x:c r="J64" s="339" t="str">
        <x:v>Retry transient provider failures with capped backoff; record final delivery status; critical alerts may use configured fallback channel.</x:v>
      </x:c>
      <x:c r="K64" s="339" t="str">
        <x:v>Honor legal/mandatory messages; otherwise respect channel preferences/opt-out where applicable.</x:v>
      </x:c>
    </x:row>
    <x:row r="65">
      <x:c r="A65" s="339" t="str">
        <x:v>NTF-0064</x:v>
      </x:c>
      <x:c r="B65" s="339" t="str">
        <x:v>SCR-219</x:v>
      </x:c>
      <x:c r="C65" s="339" t="str">
        <x:v>Health / Counselling / Discipline</x:v>
      </x:c>
      <x:c r="D65" s="339" t="str">
        <x:v>Medication / First Aid</x:v>
      </x:c>
      <x:c r="E65" s="339" t="str">
        <x:v>Emergency, medical visit or discipline action according to privacy policy</x:v>
      </x:c>
      <x:c r="F65" s="339" t="str">
        <x:v>Authorized guardian/leadership</x:v>
      </x:c>
      <x:c r="G65" s="339" t="str">
        <x:v>SMS/Call/Push/In-app</x:v>
      </x:c>
      <x:c r="H65" s="339" t="str">
        <x:v>Medication / First Aid: status/action notification using school-approved template and localized variables.</x:v>
      </x:c>
      <x:c r="I65" s="339" t="str">
        <x:v>Immediate for transaction confirmations/critical alerts; scheduled reminders use configured cadence and school timezone.</x:v>
      </x:c>
      <x:c r="J65" s="339" t="str">
        <x:v>Retry transient provider failures with capped backoff; record final delivery status; critical alerts may use configured fallback channel.</x:v>
      </x:c>
      <x:c r="K65" s="339" t="str">
        <x:v>Honor legal/mandatory messages; otherwise respect channel preferences/opt-out where applicable.</x:v>
      </x:c>
    </x:row>
    <x:row r="66">
      <x:c r="A66" s="339" t="str">
        <x:v>NTF-0065</x:v>
      </x:c>
      <x:c r="B66" s="339" t="str">
        <x:v>SCR-223</x:v>
      </x:c>
      <x:c r="C66" s="339" t="str">
        <x:v>Health / Counselling / Discipline</x:v>
      </x:c>
      <x:c r="D66" s="339" t="str">
        <x:v>Behaviour / Discipline Incidents</x:v>
      </x:c>
      <x:c r="E66" s="339" t="str">
        <x:v>Emergency, medical visit or discipline action according to privacy policy</x:v>
      </x:c>
      <x:c r="F66" s="339" t="str">
        <x:v>Authorized guardian/leadership</x:v>
      </x:c>
      <x:c r="G66" s="339" t="str">
        <x:v>SMS/Call/Push/In-app</x:v>
      </x:c>
      <x:c r="H66" s="339" t="str">
        <x:v>Behaviour / Discipline Incidents: status/action notification using school-approved template and localized variables.</x:v>
      </x:c>
      <x:c r="I66" s="339" t="str">
        <x:v>Immediate for transaction confirmations/critical alerts; scheduled reminders use configured cadence and school timezone.</x:v>
      </x:c>
      <x:c r="J66" s="339" t="str">
        <x:v>Retry transient provider failures with capped backoff; record final delivery status; critical alerts may use configured fallback channel.</x:v>
      </x:c>
      <x:c r="K66" s="339" t="str">
        <x:v>Honor legal/mandatory messages; otherwise respect channel preferences/opt-out where applicable.</x:v>
      </x:c>
    </x:row>
    <x:row r="67">
      <x:c r="A67" s="339" t="str">
        <x:v>NTF-0066</x:v>
      </x:c>
      <x:c r="B67" s="339" t="str">
        <x:v>SCR-224</x:v>
      </x:c>
      <x:c r="C67" s="339" t="str">
        <x:v>Health / Counselling / Discipline</x:v>
      </x:c>
      <x:c r="D67" s="339" t="str">
        <x:v>Incident Action &amp; Follow-up</x:v>
      </x:c>
      <x:c r="E67" s="339" t="str">
        <x:v>Emergency, medical visit or discipline action according to privacy policy</x:v>
      </x:c>
      <x:c r="F67" s="339" t="str">
        <x:v>Authorized guardian/leadership</x:v>
      </x:c>
      <x:c r="G67" s="339" t="str">
        <x:v>SMS/Call/Push/In-app</x:v>
      </x:c>
      <x:c r="H67" s="339" t="str">
        <x:v>Incident Action &amp; Follow-up: status/action notification using school-approved template and localized variables.</x:v>
      </x:c>
      <x:c r="I67" s="339" t="str">
        <x:v>Immediate for transaction confirmations/critical alerts; scheduled reminders use configured cadence and school timezone.</x:v>
      </x:c>
      <x:c r="J67" s="339" t="str">
        <x:v>Retry transient provider failures with capped backoff; record final delivery status; critical alerts may use configured fallback channel.</x:v>
      </x:c>
      <x:c r="K67" s="339" t="str">
        <x:v>Honor legal/mandatory messages; otherwise respect channel preferences/opt-out where applicable.</x:v>
      </x:c>
    </x:row>
    <x:row r="68">
      <x:c r="A68" s="339" t="str">
        <x:v>NTF-0067</x:v>
      </x:c>
      <x:c r="B68" s="339" t="str">
        <x:v>SCR-225</x:v>
      </x:c>
      <x:c r="C68" s="339" t="str">
        <x:v>Health / Counselling / Discipline</x:v>
      </x:c>
      <x:c r="D68" s="339" t="str">
        <x:v>Emergency Contacts &amp; Escalation</x:v>
      </x:c>
      <x:c r="E68" s="339" t="str">
        <x:v>Emergency, medical visit or discipline action according to privacy policy</x:v>
      </x:c>
      <x:c r="F68" s="339" t="str">
        <x:v>Authorized guardian/leadership</x:v>
      </x:c>
      <x:c r="G68" s="339" t="str">
        <x:v>SMS/Call/Push/In-app</x:v>
      </x:c>
      <x:c r="H68" s="339" t="str">
        <x:v>Emergency Contacts &amp; Escalation: status/action notification using school-approved template and localized variables.</x:v>
      </x:c>
      <x:c r="I68" s="339" t="str">
        <x:v>Immediate for transaction confirmations/critical alerts; scheduled reminders use configured cadence and school timezone.</x:v>
      </x:c>
      <x:c r="J68" s="339" t="str">
        <x:v>Retry transient provider failures with capped backoff; record final delivery status; critical alerts may use configured fallback channel.</x:v>
      </x:c>
      <x:c r="K68" s="339" t="str">
        <x:v>Honor legal/mandatory messages; otherwise respect channel preferences/opt-out where applicable.</x:v>
      </x:c>
    </x:row>
    <x:row r="69">
      <x:c r="A69" s="339" t="str">
        <x:v>NTF-0068</x:v>
      </x:c>
      <x:c r="B69" s="339" t="str">
        <x:v>SCR-226</x:v>
      </x:c>
      <x:c r="C69" s="339" t="str">
        <x:v>Visitor / Gate / Security</x:v>
      </x:c>
      <x:c r="D69" s="339" t="str">
        <x:v>Visitor Dashboard</x:v>
      </x:c>
      <x:c r="E69" s="339" t="str">
        <x:v>Visitor approval, check-in/out, student pickup</x:v>
      </x:c>
      <x:c r="F69" s="339" t="str">
        <x:v>Host/Security/Guardian as applicable</x:v>
      </x:c>
      <x:c r="G69" s="339" t="str">
        <x:v>Push/SMS/In-app</x:v>
      </x:c>
      <x:c r="H69" s="339" t="str">
        <x:v>Visitor Dashboard: status/action notification using school-approved template and localized variables.</x:v>
      </x:c>
      <x:c r="I69" s="339" t="str">
        <x:v>Immediate for transaction confirmations/critical alerts; scheduled reminders use configured cadence and school timezone.</x:v>
      </x:c>
      <x:c r="J69" s="339" t="str">
        <x:v>Retry transient provider failures with capped backoff; record final delivery status; critical alerts may use configured fallback channel.</x:v>
      </x:c>
      <x:c r="K69" s="339" t="str">
        <x:v>Honor legal/mandatory messages; otherwise respect channel preferences/opt-out where applicable.</x:v>
      </x:c>
    </x:row>
    <x:row r="70">
      <x:c r="A70" s="339" t="str">
        <x:v>NTF-0069</x:v>
      </x:c>
      <x:c r="B70" s="339" t="str">
        <x:v>SCR-227</x:v>
      </x:c>
      <x:c r="C70" s="339" t="str">
        <x:v>Visitor / Gate / Security</x:v>
      </x:c>
      <x:c r="D70" s="339" t="str">
        <x:v>Visitor Check-in</x:v>
      </x:c>
      <x:c r="E70" s="339" t="str">
        <x:v>Visitor approval, check-in/out, student pickup</x:v>
      </x:c>
      <x:c r="F70" s="339" t="str">
        <x:v>Host/Security/Guardian as applicable</x:v>
      </x:c>
      <x:c r="G70" s="339" t="str">
        <x:v>Push/SMS/In-app</x:v>
      </x:c>
      <x:c r="H70" s="339" t="str">
        <x:v>Visitor Check-in: status/action notification using school-approved template and localized variables.</x:v>
      </x:c>
      <x:c r="I70" s="339" t="str">
        <x:v>Immediate for transaction confirmations/critical alerts; scheduled reminders use configured cadence and school timezone.</x:v>
      </x:c>
      <x:c r="J70" s="339" t="str">
        <x:v>Retry transient provider failures with capped backoff; record final delivery status; critical alerts may use configured fallback channel.</x:v>
      </x:c>
      <x:c r="K70" s="339" t="str">
        <x:v>Honor legal/mandatory messages; otherwise respect channel preferences/opt-out where applicable.</x:v>
      </x:c>
    </x:row>
    <x:row r="71">
      <x:c r="A71" s="339" t="str">
        <x:v>NTF-0070</x:v>
      </x:c>
      <x:c r="B71" s="339" t="str">
        <x:v>SCR-228</x:v>
      </x:c>
      <x:c r="C71" s="339" t="str">
        <x:v>Visitor / Gate / Security</x:v>
      </x:c>
      <x:c r="D71" s="339" t="str">
        <x:v>Visitor Approval</x:v>
      </x:c>
      <x:c r="E71" s="339" t="str">
        <x:v>Visitor approval, check-in/out, student pickup</x:v>
      </x:c>
      <x:c r="F71" s="339" t="str">
        <x:v>Host/Security/Guardian as applicable</x:v>
      </x:c>
      <x:c r="G71" s="339" t="str">
        <x:v>Push/SMS/In-app</x:v>
      </x:c>
      <x:c r="H71" s="339" t="str">
        <x:v>Visitor Approval: status/action notification using school-approved template and localized variables.</x:v>
      </x:c>
      <x:c r="I71" s="339" t="str">
        <x:v>Immediate for transaction confirmations/critical alerts; scheduled reminders use configured cadence and school timezone.</x:v>
      </x:c>
      <x:c r="J71" s="339" t="str">
        <x:v>Retry transient provider failures with capped backoff; record final delivery status; critical alerts may use configured fallback channel.</x:v>
      </x:c>
      <x:c r="K71" s="339" t="str">
        <x:v>Honor legal/mandatory messages; otherwise respect channel preferences/opt-out where applicable.</x:v>
      </x:c>
    </x:row>
    <x:row r="72">
      <x:c r="A72" s="339" t="str">
        <x:v>NTF-0071</x:v>
      </x:c>
      <x:c r="B72" s="339" t="str">
        <x:v>SCR-229</x:v>
      </x:c>
      <x:c r="C72" s="339" t="str">
        <x:v>Visitor / Gate / Security</x:v>
      </x:c>
      <x:c r="D72" s="339" t="str">
        <x:v>Visitor Pass</x:v>
      </x:c>
      <x:c r="E72" s="339" t="str">
        <x:v>Visitor approval, check-in/out, student pickup</x:v>
      </x:c>
      <x:c r="F72" s="339" t="str">
        <x:v>Host/Security/Guardian as applicable</x:v>
      </x:c>
      <x:c r="G72" s="339" t="str">
        <x:v>Push/SMS/In-app</x:v>
      </x:c>
      <x:c r="H72" s="339" t="str">
        <x:v>Visitor Pass: status/action notification using school-approved template and localized variables.</x:v>
      </x:c>
      <x:c r="I72" s="339" t="str">
        <x:v>Immediate for transaction confirmations/critical alerts; scheduled reminders use configured cadence and school timezone.</x:v>
      </x:c>
      <x:c r="J72" s="339" t="str">
        <x:v>Retry transient provider failures with capped backoff; record final delivery status; critical alerts may use configured fallback channel.</x:v>
      </x:c>
      <x:c r="K72" s="339" t="str">
        <x:v>Honor legal/mandatory messages; otherwise respect channel preferences/opt-out where applicable.</x:v>
      </x:c>
    </x:row>
    <x:row r="73">
      <x:c r="A73" s="339" t="str">
        <x:v>NTF-0072</x:v>
      </x:c>
      <x:c r="B73" s="339" t="str">
        <x:v>SCR-230</x:v>
      </x:c>
      <x:c r="C73" s="339" t="str">
        <x:v>Visitor / Gate / Security</x:v>
      </x:c>
      <x:c r="D73" s="339" t="str">
        <x:v>Visitor Check-out</x:v>
      </x:c>
      <x:c r="E73" s="339" t="str">
        <x:v>Visitor approval, check-in/out, student pickup</x:v>
      </x:c>
      <x:c r="F73" s="339" t="str">
        <x:v>Host/Security/Guardian as applicable</x:v>
      </x:c>
      <x:c r="G73" s="339" t="str">
        <x:v>Push/SMS/In-app</x:v>
      </x:c>
      <x:c r="H73" s="339" t="str">
        <x:v>Visitor Check-out: status/action notification using school-approved template and localized variables.</x:v>
      </x:c>
      <x:c r="I73" s="339" t="str">
        <x:v>Immediate for transaction confirmations/critical alerts; scheduled reminders use configured cadence and school timezone.</x:v>
      </x:c>
      <x:c r="J73" s="339" t="str">
        <x:v>Retry transient provider failures with capped backoff; record final delivery status; critical alerts may use configured fallback channel.</x:v>
      </x:c>
      <x:c r="K73" s="339" t="str">
        <x:v>Honor legal/mandatory messages; otherwise respect channel preferences/opt-out where applicable.</x:v>
      </x:c>
    </x:row>
    <x:row r="74">
      <x:c r="A74" s="339" t="str">
        <x:v>NTF-0073</x:v>
      </x:c>
      <x:c r="B74" s="339" t="str">
        <x:v>SCR-231</x:v>
      </x:c>
      <x:c r="C74" s="339" t="str">
        <x:v>Visitor / Gate / Security</x:v>
      </x:c>
      <x:c r="D74" s="339" t="str">
        <x:v>Student Early Pickup / Gate Pass</x:v>
      </x:c>
      <x:c r="E74" s="339" t="str">
        <x:v>Visitor approval, check-in/out, student pickup</x:v>
      </x:c>
      <x:c r="F74" s="339" t="str">
        <x:v>Host/Security/Guardian as applicable</x:v>
      </x:c>
      <x:c r="G74" s="339" t="str">
        <x:v>Push/SMS/In-app</x:v>
      </x:c>
      <x:c r="H74" s="339" t="str">
        <x:v>Student Early Pickup / Gate Pass: status/action notification using school-approved template and localized variables.</x:v>
      </x:c>
      <x:c r="I74" s="339" t="str">
        <x:v>Immediate for transaction confirmations/critical alerts; scheduled reminders use configured cadence and school timezone.</x:v>
      </x:c>
      <x:c r="J74" s="339" t="str">
        <x:v>Retry transient provider failures with capped backoff; record final delivery status; critical alerts may use configured fallback channel.</x:v>
      </x:c>
      <x:c r="K74" s="339" t="str">
        <x:v>Honor legal/mandatory messages; otherwise respect channel preferences/opt-out where applicable.</x:v>
      </x:c>
    </x:row>
    <x:row r="75">
      <x:c r="A75" s="339" t="str">
        <x:v>NTF-0074</x:v>
      </x:c>
      <x:c r="B75" s="339" t="str">
        <x:v>SCR-232</x:v>
      </x:c>
      <x:c r="C75" s="339" t="str">
        <x:v>Visitor / Gate / Security</x:v>
      </x:c>
      <x:c r="D75" s="339" t="str">
        <x:v>Staff &amp; Vehicle Gate Log</x:v>
      </x:c>
      <x:c r="E75" s="339" t="str">
        <x:v>Visitor approval, check-in/out, student pickup</x:v>
      </x:c>
      <x:c r="F75" s="339" t="str">
        <x:v>Host/Security/Guardian as applicable</x:v>
      </x:c>
      <x:c r="G75" s="339" t="str">
        <x:v>Push/SMS/In-app</x:v>
      </x:c>
      <x:c r="H75" s="339" t="str">
        <x:v>Staff &amp; Vehicle Gate Log: status/action notification using school-approved template and localized variables.</x:v>
      </x:c>
      <x:c r="I75" s="339" t="str">
        <x:v>Immediate for transaction confirmations/critical alerts; scheduled reminders use configured cadence and school timezone.</x:v>
      </x:c>
      <x:c r="J75" s="339" t="str">
        <x:v>Retry transient provider failures with capped backoff; record final delivery status; critical alerts may use configured fallback channel.</x:v>
      </x:c>
      <x:c r="K75" s="339" t="str">
        <x:v>Honor legal/mandatory messages; otherwise respect channel preferences/opt-out where applicable.</x:v>
      </x:c>
    </x:row>
    <x:row r="76">
      <x:c r="A76" s="339" t="str">
        <x:v>NTF-0075</x:v>
      </x:c>
      <x:c r="B76" s="339" t="str">
        <x:v>SCR-233</x:v>
      </x:c>
      <x:c r="C76" s="339" t="str">
        <x:v>Visitor / Gate / Security</x:v>
      </x:c>
      <x:c r="D76" s="339" t="str">
        <x:v>Security Incident Log</x:v>
      </x:c>
      <x:c r="E76" s="339" t="str">
        <x:v>Visitor approval, check-in/out, student pickup</x:v>
      </x:c>
      <x:c r="F76" s="339" t="str">
        <x:v>Host/Security/Guardian as applicable</x:v>
      </x:c>
      <x:c r="G76" s="339" t="str">
        <x:v>Push/SMS/In-app</x:v>
      </x:c>
      <x:c r="H76" s="339" t="str">
        <x:v>Security Incident Log: status/action notification using school-approved template and localized variables.</x:v>
      </x:c>
      <x:c r="I76" s="339" t="str">
        <x:v>Immediate for transaction confirmations/critical alerts; scheduled reminders use configured cadence and school timezone.</x:v>
      </x:c>
      <x:c r="J76" s="339" t="str">
        <x:v>Retry transient provider failures with capped backoff; record final delivery status; critical alerts may use configured fallback channel.</x:v>
      </x:c>
      <x:c r="K76" s="339" t="str">
        <x:v>Honor legal/mandatory messages; otherwise respect channel preferences/opt-out where applicable.</x:v>
      </x:c>
    </x:row>
    <x:row r="77">
      <x:c r="A77" s="339" t="str">
        <x:v>NTF-0076</x:v>
      </x:c>
      <x:c r="B77" s="339" t="str">
        <x:v>SCR-246</x:v>
      </x:c>
      <x:c r="C77" s="339" t="str">
        <x:v>Events / PTM / Communication</x:v>
      </x:c>
      <x:c r="D77" s="339" t="str">
        <x:v>Events Calendar</x:v>
      </x:c>
      <x:c r="E77" s="339" t="str">
        <x:v>Event/PTM/announcement/message delivery</x:v>
      </x:c>
      <x:c r="F77" s="339" t="str">
        <x:v>Target audience</x:v>
      </x:c>
      <x:c r="G77" s="339" t="str">
        <x:v>Email/SMS/WhatsApp/Push/In-app</x:v>
      </x:c>
      <x:c r="H77" s="339" t="str">
        <x:v>Events Calendar: status/action notification using school-approved template and localized variables.</x:v>
      </x:c>
      <x:c r="I77" s="339" t="str">
        <x:v>Immediate for transaction confirmations/critical alerts; scheduled reminders use configured cadence and school timezone.</x:v>
      </x:c>
      <x:c r="J77" s="339" t="str">
        <x:v>Retry transient provider failures with capped backoff; record final delivery status; critical alerts may use configured fallback channel.</x:v>
      </x:c>
      <x:c r="K77" s="339" t="str">
        <x:v>Honor legal/mandatory messages; otherwise respect channel preferences/opt-out where applicable.</x:v>
      </x:c>
    </x:row>
    <x:row r="78">
      <x:c r="A78" s="339" t="str">
        <x:v>NTF-0077</x:v>
      </x:c>
      <x:c r="B78" s="339" t="str">
        <x:v>SCR-247</x:v>
      </x:c>
      <x:c r="C78" s="339" t="str">
        <x:v>Events / PTM / Communication</x:v>
      </x:c>
      <x:c r="D78" s="339" t="str">
        <x:v>Create / Edit Event</x:v>
      </x:c>
      <x:c r="E78" s="339" t="str">
        <x:v>Event/PTM/announcement/message delivery</x:v>
      </x:c>
      <x:c r="F78" s="339" t="str">
        <x:v>Target audience</x:v>
      </x:c>
      <x:c r="G78" s="339" t="str">
        <x:v>Email/SMS/WhatsApp/Push/In-app</x:v>
      </x:c>
      <x:c r="H78" s="339" t="str">
        <x:v>Create / Edit Event: status/action notification using school-approved template and localized variables.</x:v>
      </x:c>
      <x:c r="I78" s="339" t="str">
        <x:v>Immediate for transaction confirmations/critical alerts; scheduled reminders use configured cadence and school timezone.</x:v>
      </x:c>
      <x:c r="J78" s="339" t="str">
        <x:v>Retry transient provider failures with capped backoff; record final delivery status; critical alerts may use configured fallback channel.</x:v>
      </x:c>
      <x:c r="K78" s="339" t="str">
        <x:v>Honor legal/mandatory messages; otherwise respect channel preferences/opt-out where applicable.</x:v>
      </x:c>
    </x:row>
    <x:row r="79">
      <x:c r="A79" s="339" t="str">
        <x:v>NTF-0078</x:v>
      </x:c>
      <x:c r="B79" s="339" t="str">
        <x:v>SCR-248</x:v>
      </x:c>
      <x:c r="C79" s="339" t="str">
        <x:v>Events / PTM / Communication</x:v>
      </x:c>
      <x:c r="D79" s="339" t="str">
        <x:v>Event Details &amp; Participants</x:v>
      </x:c>
      <x:c r="E79" s="339" t="str">
        <x:v>Event/PTM/announcement/message delivery</x:v>
      </x:c>
      <x:c r="F79" s="339" t="str">
        <x:v>Target audience</x:v>
      </x:c>
      <x:c r="G79" s="339" t="str">
        <x:v>Email/SMS/WhatsApp/Push/In-app</x:v>
      </x:c>
      <x:c r="H79" s="339" t="str">
        <x:v>Event Details &amp; Participants: status/action notification using school-approved template and localized variables.</x:v>
      </x:c>
      <x:c r="I79" s="339" t="str">
        <x:v>Immediate for transaction confirmations/critical alerts; scheduled reminders use configured cadence and school timezone.</x:v>
      </x:c>
      <x:c r="J79" s="339" t="str">
        <x:v>Retry transient provider failures with capped backoff; record final delivery status; critical alerts may use configured fallback channel.</x:v>
      </x:c>
      <x:c r="K79" s="339" t="str">
        <x:v>Honor legal/mandatory messages; otherwise respect channel preferences/opt-out where applicable.</x:v>
      </x:c>
    </x:row>
    <x:row r="80">
      <x:c r="A80" s="339" t="str">
        <x:v>NTF-0079</x:v>
      </x:c>
      <x:c r="B80" s="339" t="str">
        <x:v>SCR-249</x:v>
      </x:c>
      <x:c r="C80" s="339" t="str">
        <x:v>Events / PTM / Communication</x:v>
      </x:c>
      <x:c r="D80" s="339" t="str">
        <x:v>Field Trip &amp; Parent Consent</x:v>
      </x:c>
      <x:c r="E80" s="339" t="str">
        <x:v>Event/PTM/announcement/message delivery</x:v>
      </x:c>
      <x:c r="F80" s="339" t="str">
        <x:v>Target audience</x:v>
      </x:c>
      <x:c r="G80" s="339" t="str">
        <x:v>Email/SMS/WhatsApp/Push/In-app</x:v>
      </x:c>
      <x:c r="H80" s="339" t="str">
        <x:v>Field Trip &amp; Parent Consent: status/action notification using school-approved template and localized variables.</x:v>
      </x:c>
      <x:c r="I80" s="339" t="str">
        <x:v>Immediate for transaction confirmations/critical alerts; scheduled reminders use configured cadence and school timezone.</x:v>
      </x:c>
      <x:c r="J80" s="339" t="str">
        <x:v>Retry transient provider failures with capped backoff; record final delivery status; critical alerts may use configured fallback channel.</x:v>
      </x:c>
      <x:c r="K80" s="339" t="str">
        <x:v>Honor legal/mandatory messages; otherwise respect channel preferences/opt-out where applicable.</x:v>
      </x:c>
    </x:row>
    <x:row r="81">
      <x:c r="A81" s="339" t="str">
        <x:v>NTF-0080</x:v>
      </x:c>
      <x:c r="B81" s="339" t="str">
        <x:v>SCR-250</x:v>
      </x:c>
      <x:c r="C81" s="339" t="str">
        <x:v>Events / PTM / Communication</x:v>
      </x:c>
      <x:c r="D81" s="339" t="str">
        <x:v>PTM Setup</x:v>
      </x:c>
      <x:c r="E81" s="339" t="str">
        <x:v>Event/PTM/announcement/message delivery</x:v>
      </x:c>
      <x:c r="F81" s="339" t="str">
        <x:v>Target audience</x:v>
      </x:c>
      <x:c r="G81" s="339" t="str">
        <x:v>Email/SMS/WhatsApp/Push/In-app</x:v>
      </x:c>
      <x:c r="H81" s="339" t="str">
        <x:v>PTM Setup: status/action notification using school-approved template and localized variables.</x:v>
      </x:c>
      <x:c r="I81" s="339" t="str">
        <x:v>Immediate for transaction confirmations/critical alerts; scheduled reminders use configured cadence and school timezone.</x:v>
      </x:c>
      <x:c r="J81" s="339" t="str">
        <x:v>Retry transient provider failures with capped backoff; record final delivery status; critical alerts may use configured fallback channel.</x:v>
      </x:c>
      <x:c r="K81" s="339" t="str">
        <x:v>Honor legal/mandatory messages; otherwise respect channel preferences/opt-out where applicable.</x:v>
      </x:c>
    </x:row>
    <x:row r="82">
      <x:c r="A82" s="339" t="str">
        <x:v>NTF-0081</x:v>
      </x:c>
      <x:c r="B82" s="339" t="str">
        <x:v>SCR-251</x:v>
      </x:c>
      <x:c r="C82" s="339" t="str">
        <x:v>Events / PTM / Communication</x:v>
      </x:c>
      <x:c r="D82" s="339" t="str">
        <x:v>PTM Slot Booking</x:v>
      </x:c>
      <x:c r="E82" s="339" t="str">
        <x:v>Event/PTM/announcement/message delivery</x:v>
      </x:c>
      <x:c r="F82" s="339" t="str">
        <x:v>Target audience</x:v>
      </x:c>
      <x:c r="G82" s="339" t="str">
        <x:v>Email/SMS/WhatsApp/Push/In-app</x:v>
      </x:c>
      <x:c r="H82" s="339" t="str">
        <x:v>PTM Slot Booking: status/action notification using school-approved template and localized variables.</x:v>
      </x:c>
      <x:c r="I82" s="339" t="str">
        <x:v>Immediate for transaction confirmations/critical alerts; scheduled reminders use configured cadence and school timezone.</x:v>
      </x:c>
      <x:c r="J82" s="339" t="str">
        <x:v>Retry transient provider failures with capped backoff; record final delivery status; critical alerts may use configured fallback channel.</x:v>
      </x:c>
      <x:c r="K82" s="339" t="str">
        <x:v>Honor legal/mandatory messages; otherwise respect channel preferences/opt-out where applicable.</x:v>
      </x:c>
    </x:row>
    <x:row r="83">
      <x:c r="A83" s="339" t="str">
        <x:v>NTF-0082</x:v>
      </x:c>
      <x:c r="B83" s="339" t="str">
        <x:v>SCR-252</x:v>
      </x:c>
      <x:c r="C83" s="339" t="str">
        <x:v>Events / PTM / Communication</x:v>
      </x:c>
      <x:c r="D83" s="339" t="str">
        <x:v>Announcements</x:v>
      </x:c>
      <x:c r="E83" s="339" t="str">
        <x:v>Event/PTM/announcement/message delivery</x:v>
      </x:c>
      <x:c r="F83" s="339" t="str">
        <x:v>Target audience</x:v>
      </x:c>
      <x:c r="G83" s="339" t="str">
        <x:v>Email/SMS/WhatsApp/Push/In-app</x:v>
      </x:c>
      <x:c r="H83" s="339" t="str">
        <x:v>Announcements: status/action notification using school-approved template and localized variables.</x:v>
      </x:c>
      <x:c r="I83" s="339" t="str">
        <x:v>Immediate for transaction confirmations/critical alerts; scheduled reminders use configured cadence and school timezone.</x:v>
      </x:c>
      <x:c r="J83" s="339" t="str">
        <x:v>Retry transient provider failures with capped backoff; record final delivery status; critical alerts may use configured fallback channel.</x:v>
      </x:c>
      <x:c r="K83" s="339" t="str">
        <x:v>Honor legal/mandatory messages; otherwise respect channel preferences/opt-out where applicable.</x:v>
      </x:c>
    </x:row>
    <x:row r="84">
      <x:c r="A84" s="339" t="str">
        <x:v>NTF-0083</x:v>
      </x:c>
      <x:c r="B84" s="339" t="str">
        <x:v>SCR-253</x:v>
      </x:c>
      <x:c r="C84" s="339" t="str">
        <x:v>Events / PTM / Communication</x:v>
      </x:c>
      <x:c r="D84" s="339" t="str">
        <x:v>Messaging / Inbox</x:v>
      </x:c>
      <x:c r="E84" s="339" t="str">
        <x:v>Event/PTM/announcement/message delivery</x:v>
      </x:c>
      <x:c r="F84" s="339" t="str">
        <x:v>Target audience</x:v>
      </x:c>
      <x:c r="G84" s="339" t="str">
        <x:v>Email/SMS/WhatsApp/Push/In-app</x:v>
      </x:c>
      <x:c r="H84" s="339" t="str">
        <x:v>Messaging / Inbox: status/action notification using school-approved template and localized variables.</x:v>
      </x:c>
      <x:c r="I84" s="339" t="str">
        <x:v>Immediate for transaction confirmations/critical alerts; scheduled reminders use configured cadence and school timezone.</x:v>
      </x:c>
      <x:c r="J84" s="339" t="str">
        <x:v>Retry transient provider failures with capped backoff; record final delivery status; critical alerts may use configured fallback channel.</x:v>
      </x:c>
      <x:c r="K84" s="339" t="str">
        <x:v>Honor legal/mandatory messages; otherwise respect channel preferences/opt-out where applicable.</x:v>
      </x:c>
    </x:row>
    <x:row r="85">
      <x:c r="A85" s="339" t="str">
        <x:v>NTF-0084</x:v>
      </x:c>
      <x:c r="B85" s="339" t="str">
        <x:v>SCR-254</x:v>
      </x:c>
      <x:c r="C85" s="339" t="str">
        <x:v>Events / PTM / Communication</x:v>
      </x:c>
      <x:c r="D85" s="339" t="str">
        <x:v>Notification Campaigns</x:v>
      </x:c>
      <x:c r="E85" s="339" t="str">
        <x:v>Event/PTM/announcement/message delivery</x:v>
      </x:c>
      <x:c r="F85" s="339" t="str">
        <x:v>Target audience</x:v>
      </x:c>
      <x:c r="G85" s="339" t="str">
        <x:v>Email/SMS/WhatsApp/Push/In-app</x:v>
      </x:c>
      <x:c r="H85" s="339" t="str">
        <x:v>Notification Campaigns: status/action notification using school-approved template and localized variables.</x:v>
      </x:c>
      <x:c r="I85" s="339" t="str">
        <x:v>Immediate for transaction confirmations/critical alerts; scheduled reminders use configured cadence and school timezone.</x:v>
      </x:c>
      <x:c r="J85" s="339" t="str">
        <x:v>Retry transient provider failures with capped backoff; record final delivery status; critical alerts may use configured fallback channel.</x:v>
      </x:c>
      <x:c r="K85" s="339" t="str">
        <x:v>Honor legal/mandatory messages; otherwise respect channel preferences/opt-out where applicable.</x:v>
      </x:c>
    </x:row>
    <x:row r="86">
      <x:c r="A86" s="339" t="str">
        <x:v>NTF-0085</x:v>
      </x:c>
      <x:c r="B86" s="339" t="str">
        <x:v>SCR-255</x:v>
      </x:c>
      <x:c r="C86" s="339" t="str">
        <x:v>Events / PTM / Communication</x:v>
      </x:c>
      <x:c r="D86" s="339" t="str">
        <x:v>Communication History</x:v>
      </x:c>
      <x:c r="E86" s="339" t="str">
        <x:v>Event/PTM/announcement/message delivery</x:v>
      </x:c>
      <x:c r="F86" s="339" t="str">
        <x:v>Target audience</x:v>
      </x:c>
      <x:c r="G86" s="339" t="str">
        <x:v>Email/SMS/WhatsApp/Push/In-app</x:v>
      </x:c>
      <x:c r="H86" s="339" t="str">
        <x:v>Communication History: status/action notification using school-approved template and localized variables.</x:v>
      </x:c>
      <x:c r="I86" s="339" t="str">
        <x:v>Immediate for transaction confirmations/critical alerts; scheduled reminders use configured cadence and school timezone.</x:v>
      </x:c>
      <x:c r="J86" s="339" t="str">
        <x:v>Retry transient provider failures with capped backoff; record final delivery status; critical alerts may use configured fallback channel.</x:v>
      </x:c>
      <x:c r="K86" s="339" t="str">
        <x:v>Honor legal/mandatory messages; otherwise respect channel preferences/opt-out where applicable.</x:v>
      </x:c>
    </x:row>
    <x:row r="87">
      <x:c r="A87" s="339" t="str">
        <x:v>NTF-0086</x:v>
      </x:c>
      <x:c r="B87" s="339" t="str">
        <x:v>SCR-259</x:v>
      </x:c>
      <x:c r="C87" s="339" t="str">
        <x:v>Documents &amp; Certificates</x:v>
      </x:c>
      <x:c r="D87" s="339" t="str">
        <x:v>Upload &amp; Verification</x:v>
      </x:c>
      <x:c r="E87" s="339" t="str">
        <x:v>Verification result, certificate ready, rejection/expiry</x:v>
      </x:c>
      <x:c r="F87" s="339" t="str">
        <x:v>Document owner/requester, Admin</x:v>
      </x:c>
      <x:c r="G87" s="339" t="str">
        <x:v>Email/In-app/Push</x:v>
      </x:c>
      <x:c r="H87" s="339" t="str">
        <x:v>Upload &amp; Verification: status/action notification using school-approved template and localized variables.</x:v>
      </x:c>
      <x:c r="I87" s="339" t="str">
        <x:v>Immediate for transaction confirmations/critical alerts; scheduled reminders use configured cadence and school timezone.</x:v>
      </x:c>
      <x:c r="J87" s="339" t="str">
        <x:v>Retry transient provider failures with capped backoff; record final delivery status; critical alerts may use configured fallback channel.</x:v>
      </x:c>
      <x:c r="K87" s="339" t="str">
        <x:v>Honor legal/mandatory messages; otherwise respect channel preferences/opt-out where applicable.</x:v>
      </x:c>
    </x:row>
    <x:row r="88">
      <x:c r="A88" s="339" t="str">
        <x:v>NTF-0087</x:v>
      </x:c>
      <x:c r="B88" s="339" t="str">
        <x:v>SCR-260</x:v>
      </x:c>
      <x:c r="C88" s="339" t="str">
        <x:v>Documents &amp; Certificates</x:v>
      </x:c>
      <x:c r="D88" s="339" t="str">
        <x:v>Certificate Templates</x:v>
      </x:c>
      <x:c r="E88" s="339" t="str">
        <x:v>Verification result, certificate ready, rejection/expiry</x:v>
      </x:c>
      <x:c r="F88" s="339" t="str">
        <x:v>Document owner/requester, Admin</x:v>
      </x:c>
      <x:c r="G88" s="339" t="str">
        <x:v>Email/In-app/Push</x:v>
      </x:c>
      <x:c r="H88" s="339" t="str">
        <x:v>Certificate Templates: status/action notification using school-approved template and localized variables.</x:v>
      </x:c>
      <x:c r="I88" s="339" t="str">
        <x:v>Immediate for transaction confirmations/critical alerts; scheduled reminders use configured cadence and school timezone.</x:v>
      </x:c>
      <x:c r="J88" s="339" t="str">
        <x:v>Retry transient provider failures with capped backoff; record final delivery status; critical alerts may use configured fallback channel.</x:v>
      </x:c>
      <x:c r="K88" s="339" t="str">
        <x:v>Honor legal/mandatory messages; otherwise respect channel preferences/opt-out where applicable.</x:v>
      </x:c>
    </x:row>
    <x:row r="89">
      <x:c r="A89" s="339" t="str">
        <x:v>NTF-0088</x:v>
      </x:c>
      <x:c r="B89" s="339" t="str">
        <x:v>SCR-261</x:v>
      </x:c>
      <x:c r="C89" s="339" t="str">
        <x:v>Documents &amp; Certificates</x:v>
      </x:c>
      <x:c r="D89" s="339" t="str">
        <x:v>Generate Certificate</x:v>
      </x:c>
      <x:c r="E89" s="339" t="str">
        <x:v>Verification result, certificate ready, rejection/expiry</x:v>
      </x:c>
      <x:c r="F89" s="339" t="str">
        <x:v>Document owner/requester, Admin</x:v>
      </x:c>
      <x:c r="G89" s="339" t="str">
        <x:v>Email/In-app/Push</x:v>
      </x:c>
      <x:c r="H89" s="339" t="str">
        <x:v>Generate Certificate: status/action notification using school-approved template and localized variables.</x:v>
      </x:c>
      <x:c r="I89" s="339" t="str">
        <x:v>Immediate for transaction confirmations/critical alerts; scheduled reminders use configured cadence and school timezone.</x:v>
      </x:c>
      <x:c r="J89" s="339" t="str">
        <x:v>Retry transient provider failures with capped backoff; record final delivery status; critical alerts may use configured fallback channel.</x:v>
      </x:c>
      <x:c r="K89" s="339" t="str">
        <x:v>Honor legal/mandatory messages; otherwise respect channel preferences/opt-out where applicable.</x:v>
      </x:c>
    </x:row>
    <x:row r="90">
      <x:c r="A90" s="339" t="str">
        <x:v>NTF-0089</x:v>
      </x:c>
      <x:c r="B90" s="339" t="str">
        <x:v>SCR-262</x:v>
      </x:c>
      <x:c r="C90" s="339" t="str">
        <x:v>Documents &amp; Certificates</x:v>
      </x:c>
      <x:c r="D90" s="339" t="str">
        <x:v>Transfer Certificate</x:v>
      </x:c>
      <x:c r="E90" s="339" t="str">
        <x:v>Verification result, certificate ready, rejection/expiry</x:v>
      </x:c>
      <x:c r="F90" s="339" t="str">
        <x:v>Document owner/requester, Admin</x:v>
      </x:c>
      <x:c r="G90" s="339" t="str">
        <x:v>Email/In-app/Push</x:v>
      </x:c>
      <x:c r="H90" s="339" t="str">
        <x:v>Transfer Certificate: status/action notification using school-approved template and localized variables.</x:v>
      </x:c>
      <x:c r="I90" s="339" t="str">
        <x:v>Immediate for transaction confirmations/critical alerts; scheduled reminders use configured cadence and school timezone.</x:v>
      </x:c>
      <x:c r="J90" s="339" t="str">
        <x:v>Retry transient provider failures with capped backoff; record final delivery status; critical alerts may use configured fallback channel.</x:v>
      </x:c>
      <x:c r="K90" s="339" t="str">
        <x:v>Honor legal/mandatory messages; otherwise respect channel preferences/opt-out where applicable.</x:v>
      </x:c>
    </x:row>
    <x:row r="91">
      <x:c r="A91" s="339" t="str">
        <x:v>NTF-0090</x:v>
      </x:c>
      <x:c r="B91" s="339" t="str">
        <x:v>SCR-263</x:v>
      </x:c>
      <x:c r="C91" s="339" t="str">
        <x:v>Documents &amp; Certificates</x:v>
      </x:c>
      <x:c r="D91" s="339" t="str">
        <x:v>Certificate Register</x:v>
      </x:c>
      <x:c r="E91" s="339" t="str">
        <x:v>Verification result, certificate ready, rejection/expiry</x:v>
      </x:c>
      <x:c r="F91" s="339" t="str">
        <x:v>Document owner/requester, Admin</x:v>
      </x:c>
      <x:c r="G91" s="339" t="str">
        <x:v>Email/In-app/Push</x:v>
      </x:c>
      <x:c r="H91" s="339" t="str">
        <x:v>Certificate Register: status/action notification using school-approved template and localized variables.</x:v>
      </x:c>
      <x:c r="I91" s="339" t="str">
        <x:v>Immediate for transaction confirmations/critical alerts; scheduled reminders use configured cadence and school timezone.</x:v>
      </x:c>
      <x:c r="J91" s="339" t="str">
        <x:v>Retry transient provider failures with capped backoff; record final delivery status; critical alerts may use configured fallback channel.</x:v>
      </x:c>
      <x:c r="K91" s="339" t="str">
        <x:v>Honor legal/mandatory messages; otherwise respect channel preferences/opt-out where applicable.</x:v>
      </x:c>
    </x:row>
    <x:row r="92">
      <x:c r="A92" s="339" t="str">
        <x:v>NTF-0091</x:v>
      </x:c>
      <x:c r="B92" s="339" t="str">
        <x:v>SCR-284</x:v>
      </x:c>
      <x:c r="C92" s="339" t="str">
        <x:v>Settings / Roles / Permissions / Audit</x:v>
      </x:c>
      <x:c r="D92" s="339" t="str">
        <x:v>User Management</x:v>
      </x:c>
      <x:c r="E92" s="339" t="str">
        <x:v>Security-sensitive account or permission change</x:v>
      </x:c>
      <x:c r="F92" s="339" t="str">
        <x:v>Affected user, IT/Security admin</x:v>
      </x:c>
      <x:c r="G92" s="339" t="str">
        <x:v>Email/In-app</x:v>
      </x:c>
      <x:c r="H92" s="339" t="str">
        <x:v>User Management: status/action notification using school-approved template and localized variables.</x:v>
      </x:c>
      <x:c r="I92" s="339" t="str">
        <x:v>Immediate for transaction confirmations/critical alerts; scheduled reminders use configured cadence and school timezone.</x:v>
      </x:c>
      <x:c r="J92" s="339" t="str">
        <x:v>Retry transient provider failures with capped backoff; record final delivery status; critical alerts may use configured fallback channel.</x:v>
      </x:c>
      <x:c r="K92" s="339" t="str">
        <x:v>Honor legal/mandatory messages; otherwise respect channel preferences/opt-out where applicable.</x:v>
      </x:c>
    </x:row>
    <x:row r="93">
      <x:c r="A93" s="339" t="str">
        <x:v>NTF-0092</x:v>
      </x:c>
      <x:c r="B93" s="339" t="str">
        <x:v>SCR-285</x:v>
      </x:c>
      <x:c r="C93" s="339" t="str">
        <x:v>Settings / Roles / Permissions / Audit</x:v>
      </x:c>
      <x:c r="D93" s="339" t="str">
        <x:v>Roles</x:v>
      </x:c>
      <x:c r="E93" s="339" t="str">
        <x:v>Security-sensitive account or permission change</x:v>
      </x:c>
      <x:c r="F93" s="339" t="str">
        <x:v>Affected user, IT/Security admin</x:v>
      </x:c>
      <x:c r="G93" s="339" t="str">
        <x:v>Email/In-app</x:v>
      </x:c>
      <x:c r="H93" s="339" t="str">
        <x:v>Roles: status/action notification using school-approved template and localized variables.</x:v>
      </x:c>
      <x:c r="I93" s="339" t="str">
        <x:v>Immediate for transaction confirmations/critical alerts; scheduled reminders use configured cadence and school timezone.</x:v>
      </x:c>
      <x:c r="J93" s="339" t="str">
        <x:v>Retry transient provider failures with capped backoff; record final delivery status; critical alerts may use configured fallback channel.</x:v>
      </x:c>
      <x:c r="K93" s="339" t="str">
        <x:v>Honor legal/mandatory messages; otherwise respect channel preferences/opt-out where applicable.</x:v>
      </x:c>
    </x:row>
    <x:row r="94">
      <x:c r="A94" s="339" t="str">
        <x:v>NTF-0093</x:v>
      </x:c>
      <x:c r="B94" s="339" t="str">
        <x:v>SCR-286</x:v>
      </x:c>
      <x:c r="C94" s="339" t="str">
        <x:v>Settings / Roles / Permissions / Audit</x:v>
      </x:c>
      <x:c r="D94" s="339" t="str">
        <x:v>Permissions</x:v>
      </x:c>
      <x:c r="E94" s="339" t="str">
        <x:v>Security-sensitive account or permission change</x:v>
      </x:c>
      <x:c r="F94" s="339" t="str">
        <x:v>Affected user, IT/Security admin</x:v>
      </x:c>
      <x:c r="G94" s="339" t="str">
        <x:v>Email/In-app</x:v>
      </x:c>
      <x:c r="H94" s="339" t="str">
        <x:v>Permissions: status/action notification using school-approved template and localized variables.</x:v>
      </x:c>
      <x:c r="I94" s="339" t="str">
        <x:v>Immediate for transaction confirmations/critical alerts; scheduled reminders use configured cadence and school timezone.</x:v>
      </x:c>
      <x:c r="J94" s="339" t="str">
        <x:v>Retry transient provider failures with capped backoff; record final delivery status; critical alerts may use configured fallback channel.</x:v>
      </x:c>
      <x:c r="K94" s="339" t="str">
        <x:v>Honor legal/mandatory messages; otherwise respect channel preferences/opt-out where applicable.</x:v>
      </x:c>
    </x:row>
    <x:row r="95">
      <x:c r="A95" s="339" t="str">
        <x:v>NTF-0094</x:v>
      </x:c>
      <x:c r="B95" s="339" t="str">
        <x:v>SCR-287</x:v>
      </x:c>
      <x:c r="C95" s="339" t="str">
        <x:v>Settings / Roles / Permissions / Audit</x:v>
      </x:c>
      <x:c r="D95" s="339" t="str">
        <x:v>Role Permission Matrix</x:v>
      </x:c>
      <x:c r="E95" s="339" t="str">
        <x:v>Security-sensitive account or permission change</x:v>
      </x:c>
      <x:c r="F95" s="339" t="str">
        <x:v>Affected user, IT/Security admin</x:v>
      </x:c>
      <x:c r="G95" s="339" t="str">
        <x:v>Email/In-app</x:v>
      </x:c>
      <x:c r="H95" s="339" t="str">
        <x:v>Role Permission Matrix: status/action notification using school-approved template and localized variables.</x:v>
      </x:c>
      <x:c r="I95" s="339" t="str">
        <x:v>Immediate for transaction confirmations/critical alerts; scheduled reminders use configured cadence and school timezone.</x:v>
      </x:c>
      <x:c r="J95" s="339" t="str">
        <x:v>Retry transient provider failures with capped backoff; record final delivery status; critical alerts may use configured fallback channel.</x:v>
      </x:c>
      <x:c r="K95" s="339" t="str">
        <x:v>Honor legal/mandatory messages; otherwise respect channel preferences/opt-out where applicable.</x:v>
      </x:c>
    </x:row>
    <x:row r="96">
      <x:c r="A96" s="339" t="str">
        <x:v>NTF-0095</x:v>
      </x:c>
      <x:c r="B96" s="339" t="str">
        <x:v>SCR-288</x:v>
      </x:c>
      <x:c r="C96" s="339" t="str">
        <x:v>Settings / Roles / Permissions / Audit</x:v>
      </x:c>
      <x:c r="D96" s="339" t="str">
        <x:v>User Role Assignment</x:v>
      </x:c>
      <x:c r="E96" s="339" t="str">
        <x:v>Security-sensitive account or permission change</x:v>
      </x:c>
      <x:c r="F96" s="339" t="str">
        <x:v>Affected user, IT/Security admin</x:v>
      </x:c>
      <x:c r="G96" s="339" t="str">
        <x:v>Email/In-app</x:v>
      </x:c>
      <x:c r="H96" s="339" t="str">
        <x:v>User Role Assignment: status/action notification using school-approved template and localized variables.</x:v>
      </x:c>
      <x:c r="I96" s="339" t="str">
        <x:v>Immediate for transaction confirmations/critical alerts; scheduled reminders use configured cadence and school timezone.</x:v>
      </x:c>
      <x:c r="J96" s="339" t="str">
        <x:v>Retry transient provider failures with capped backoff; record final delivery status; critical alerts may use configured fallback channel.</x:v>
      </x:c>
      <x:c r="K96" s="339" t="str">
        <x:v>Honor legal/mandatory messages; otherwise respect channel preferences/opt-out where applicable.</x:v>
      </x:c>
    </x:row>
    <x:row r="97">
      <x:c r="A97" s="340" t="str">
        <x:v>NTF-0096</x:v>
      </x:c>
      <x:c r="B97" s="340" t="str">
        <x:v>SCR-293</x:v>
      </x:c>
      <x:c r="C97" s="340" t="str">
        <x:v>Settings / Roles / Permissions / Audit</x:v>
      </x:c>
      <x:c r="D97" s="340" t="str">
        <x:v>Security &amp; Password Policy</x:v>
      </x:c>
      <x:c r="E97" s="340" t="str">
        <x:v>Security-sensitive account or permission change</x:v>
      </x:c>
      <x:c r="F97" s="340" t="str">
        <x:v>Affected user, IT/Security admin</x:v>
      </x:c>
      <x:c r="G97" s="340" t="str">
        <x:v>Email/In-app</x:v>
      </x:c>
      <x:c r="H97" s="340" t="str">
        <x:v>Security &amp; Password Policy: status/action notification using school-approved template and localized variables.</x:v>
      </x:c>
      <x:c r="I97" s="340" t="str">
        <x:v>Immediate for transaction confirmations/critical alerts; scheduled reminders use configured cadence and school timezone.</x:v>
      </x:c>
      <x:c r="J97" s="340" t="str">
        <x:v>Retry transient provider failures with capped backoff; record final delivery status; critical alerts may use configured fallback channel.</x:v>
      </x:c>
      <x:c r="K97" s="340" t="str">
        <x:v>Honor legal/mandatory messages; otherwise respect channel preferences/opt-out where applicable.</x:v>
      </x:c>
    </x:row>
  </x:sheetData>
  <x:pageMargins left="0.7" right="0.7" top="0.75" bottom="0.75" header="0.3" footer="0.3"/>
  <x:tableParts count="1">
    <x:tablePart xmlns:r="http://schemas.openxmlformats.org/officeDocument/2006/relationships" r:id="R564df01fa7424e77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11" hidden="0" customWidth="1"/>
    <x:col min="4" max="4" width="30" hidden="0" customWidth="1"/>
    <x:col min="5" max="5" width="62" hidden="0" customWidth="1"/>
    <x:col min="6" max="6" width="20" hidden="0" customWidth="1"/>
    <x:col min="7" max="7" width="54" hidden="0" customWidth="1"/>
    <x:col min="8" max="8" width="34" hidden="0" customWidth="1"/>
    <x:col min="9" max="9" width="44" hidden="0" customWidth="1"/>
  </x:cols>
  <x:sheetData>
    <x:row r="1" ht="30" customHeight="1">
      <x:c r="A1" s="338" t="str">
        <x:v>Calc ID</x:v>
      </x:c>
      <x:c r="B1" s="338" t="str">
        <x:v>Module</x:v>
      </x:c>
      <x:c r="C1" s="338" t="str">
        <x:v>Screen ID</x:v>
      </x:c>
      <x:c r="D1" s="338" t="str">
        <x:v>Metric / Calculation</x:v>
      </x:c>
      <x:c r="E1" s="338" t="str">
        <x:v>Formula / Logic</x:v>
      </x:c>
      <x:c r="F1" s="338" t="str">
        <x:v>Rounding</x:v>
      </x:c>
      <x:c r="G1" s="338" t="str">
        <x:v>Edge Cases</x:v>
      </x:c>
      <x:c r="H1" s="338" t="str">
        <x:v>Recalculation Trigger</x:v>
      </x:c>
      <x:c r="I1" s="338" t="str">
        <x:v>Notes</x:v>
      </x:c>
    </x:row>
    <x:row r="2">
      <x:c r="A2" s="339" t="str">
        <x:v>CALC-001</x:v>
      </x:c>
      <x:c r="B2" s="339" t="str">
        <x:v>Admissions &amp; Enquiries</x:v>
      </x:c>
      <x:c r="C2" s="339" t="str"/>
      <x:c r="D2" s="339" t="str">
        <x:v>Admission Conversion %</x:v>
      </x:c>
      <x:c r="E2" s="339" t="str">
        <x:v>Admitted ÷ eligible enquiries × 100</x:v>
      </x:c>
      <x:c r="F2" s="339" t="str">
        <x:v>2 decimals</x:v>
      </x:c>
      <x:c r="G2" s="339" t="str">
        <x:v>Exclude test/duplicate/cancelled leads per reporting policy</x:v>
      </x:c>
      <x:c r="H2" s="339" t="str">
        <x:v>On enquiry/admission status change</x:v>
      </x:c>
      <x:c r="I2" s="339" t="str">
        <x:v>Source-module business logic is authoritative.</x:v>
      </x:c>
    </x:row>
    <x:row r="3">
      <x:c r="A3" s="339" t="str">
        <x:v>CALC-002</x:v>
      </x:c>
      <x:c r="B3" s="339" t="str">
        <x:v>Students</x:v>
      </x:c>
      <x:c r="C3" s="339" t="str"/>
      <x:c r="D3" s="339" t="str">
        <x:v>Active Student Strength</x:v>
      </x:c>
      <x:c r="E3" s="339" t="str">
        <x:v>Count of students in active enrollment state for selected academic scope</x:v>
      </x:c>
      <x:c r="F3" s="339" t="str">
        <x:v>Integer</x:v>
      </x:c>
      <x:c r="G3" s="339" t="str">
        <x:v>Do not count transferred/graduated outside selected effective date</x:v>
      </x:c>
      <x:c r="H3" s="339" t="str">
        <x:v>On enrollment/status/academic assignment change</x:v>
      </x:c>
      <x:c r="I3" s="339" t="str">
        <x:v>Source-module business logic is authoritative.</x:v>
      </x:c>
    </x:row>
    <x:row r="4">
      <x:c r="A4" s="339" t="str">
        <x:v>CALC-003</x:v>
      </x:c>
      <x:c r="B4" s="339" t="str">
        <x:v>Academics &amp; Curriculum</x:v>
      </x:c>
      <x:c r="C4" s="339" t="str"/>
      <x:c r="D4" s="339" t="str">
        <x:v>Syllabus Completion %</x:v>
      </x:c>
      <x:c r="E4" s="339" t="str">
        <x:v>Completed approved topics ÷ planned active topics × 100</x:v>
      </x:c>
      <x:c r="F4" s="339" t="str">
        <x:v>1 decimal</x:v>
      </x:c>
      <x:c r="G4" s="339" t="str">
        <x:v>No planned topics returns N/A rather than fabricated 0/100</x:v>
      </x:c>
      <x:c r="H4" s="339" t="str">
        <x:v>On topic/lesson completion or curriculum revision</x:v>
      </x:c>
      <x:c r="I4" s="339" t="str">
        <x:v>Source-module business logic is authoritative.</x:v>
      </x:c>
    </x:row>
    <x:row r="5">
      <x:c r="A5" s="339" t="str">
        <x:v>CALC-004</x:v>
      </x:c>
      <x:c r="B5" s="339" t="str">
        <x:v>Student Attendance</x:v>
      </x:c>
      <x:c r="C5" s="339" t="str"/>
      <x:c r="D5" s="339" t="str">
        <x:v>Attendance %</x:v>
      </x:c>
      <x:c r="E5" s="339" t="str">
        <x:v>Weighted eligible attendance units ÷ eligible working sessions × 100</x:v>
      </x:c>
      <x:c r="F5" s="339" t="str">
        <x:v>2 decimals</x:v>
      </x:c>
      <x:c r="G5" s="339" t="str">
        <x:v>Policy defines Leave/Late/Half-day weights and excluded days</x:v>
      </x:c>
      <x:c r="H5" s="339" t="str">
        <x:v>On attendance finalization/correction/calendar change</x:v>
      </x:c>
      <x:c r="I5" s="339" t="str">
        <x:v>Source-module business logic is authoritative.</x:v>
      </x:c>
    </x:row>
    <x:row r="6">
      <x:c r="A6" s="339" t="str">
        <x:v>CALC-005</x:v>
      </x:c>
      <x:c r="B6" s="339" t="str">
        <x:v>Examinations / Marks / Results</x:v>
      </x:c>
      <x:c r="C6" s="339" t="str"/>
      <x:c r="D6" s="339" t="str">
        <x:v>Subject Percentage</x:v>
      </x:c>
      <x:c r="E6" s="339" t="str">
        <x:v>Earned applicable marks ÷ applicable maximum marks × 100</x:v>
      </x:c>
      <x:c r="F6" s="339" t="str">
        <x:v>2 decimals</x:v>
      </x:c>
      <x:c r="G6" s="339" t="str">
        <x:v>Absent/exempt components follow configured grading policy</x:v>
      </x:c>
      <x:c r="H6" s="339" t="str">
        <x:v>On marks save/verification</x:v>
      </x:c>
      <x:c r="I6" s="339" t="str">
        <x:v>Source-module business logic is authoritative.</x:v>
      </x:c>
    </x:row>
    <x:row r="7">
      <x:c r="A7" s="339" t="str">
        <x:v>CALC-006</x:v>
      </x:c>
      <x:c r="B7" s="339" t="str">
        <x:v>Examinations / Marks / Results</x:v>
      </x:c>
      <x:c r="C7" s="339" t="str"/>
      <x:c r="D7" s="339" t="str">
        <x:v>Weighted Overall Score</x:v>
      </x:c>
      <x:c r="E7" s="339" t="str">
        <x:v>Σ(component percentage × configured weight) across applicable components</x:v>
      </x:c>
      <x:c r="F7" s="339" t="str">
        <x:v>2 decimals</x:v>
      </x:c>
      <x:c r="G7" s="339" t="str">
        <x:v>Weights must total configured target; missing components block or follow explicit policy</x:v>
      </x:c>
      <x:c r="H7" s="339" t="str">
        <x:v>On result calculation/publication</x:v>
      </x:c>
      <x:c r="I7" s="339" t="str">
        <x:v>Source-module business logic is authoritative.</x:v>
      </x:c>
    </x:row>
    <x:row r="8">
      <x:c r="A8" s="339" t="str">
        <x:v>CALC-007</x:v>
      </x:c>
      <x:c r="B8" s="339" t="str">
        <x:v>Fees &amp; Finance</x:v>
      </x:c>
      <x:c r="C8" s="339" t="str"/>
      <x:c r="D8" s="339" t="str">
        <x:v>Outstanding Balance</x:v>
      </x:c>
      <x:c r="E8" s="339" t="str">
        <x:v>Posted charges + fines - discounts/waivers/credits - settled payments ± reversals</x:v>
      </x:c>
      <x:c r="F8" s="339" t="str">
        <x:v>Currency precision</x:v>
      </x:c>
      <x:c r="G8" s="339" t="str">
        <x:v>Pending/failed payments do not reduce settled balance</x:v>
      </x:c>
      <x:c r="H8" s="339" t="str">
        <x:v>On any financial posting/reversal</x:v>
      </x:c>
      <x:c r="I8" s="339" t="str">
        <x:v>Source-module business logic is authoritative.</x:v>
      </x:c>
    </x:row>
    <x:row r="9">
      <x:c r="A9" s="339" t="str">
        <x:v>CALC-008</x:v>
      </x:c>
      <x:c r="B9" s="339" t="str">
        <x:v>Fees &amp; Finance</x:v>
      </x:c>
      <x:c r="C9" s="339" t="str"/>
      <x:c r="D9" s="339" t="str">
        <x:v>Collection Rate</x:v>
      </x:c>
      <x:c r="E9" s="339" t="str">
        <x:v>Settled collections ÷ due/posted collectible amount × 100</x:v>
      </x:c>
      <x:c r="F9" s="339" t="str">
        <x:v>2 decimals</x:v>
      </x:c>
      <x:c r="G9" s="339" t="str">
        <x:v>Use consistent date basis and exclude reversed transactions</x:v>
      </x:c>
      <x:c r="H9" s="339" t="str">
        <x:v>On payment/reversal/due change</x:v>
      </x:c>
      <x:c r="I9" s="339" t="str">
        <x:v>Source-module business logic is authoritative.</x:v>
      </x:c>
    </x:row>
    <x:row r="10">
      <x:c r="A10" s="339" t="str">
        <x:v>CALC-009</x:v>
      </x:c>
      <x:c r="B10" s="339" t="str">
        <x:v>HR / Leave / Payroll</x:v>
      </x:c>
      <x:c r="C10" s="339" t="str"/>
      <x:c r="D10" s="339" t="str">
        <x:v>Leave Balance</x:v>
      </x:c>
      <x:c r="E10" s="339" t="str">
        <x:v>Opening + accrued + credited - approved consumed ± adjustments</x:v>
      </x:c>
      <x:c r="F10" s="339" t="str">
        <x:v>2 decimals/days</x:v>
      </x:c>
      <x:c r="G10" s="339" t="str">
        <x:v>Negative balance only if policy allows</x:v>
      </x:c>
      <x:c r="H10" s="339" t="str">
        <x:v>On approval/accrual/adjustment</x:v>
      </x:c>
      <x:c r="I10" s="339" t="str">
        <x:v>Source-module business logic is authoritative.</x:v>
      </x:c>
    </x:row>
    <x:row r="11">
      <x:c r="A11" s="339" t="str">
        <x:v>CALC-010</x:v>
      </x:c>
      <x:c r="B11" s="339" t="str">
        <x:v>HR / Leave / Payroll</x:v>
      </x:c>
      <x:c r="C11" s="339" t="str"/>
      <x:c r="D11" s="339" t="str">
        <x:v>Net Pay</x:v>
      </x:c>
      <x:c r="E11" s="339" t="str">
        <x:v>Eligible earnings + reimbursements - statutory deductions - voluntary deductions - loss of pay ± adjustments</x:v>
      </x:c>
      <x:c r="F11" s="339" t="str">
        <x:v>Currency precision</x:v>
      </x:c>
      <x:c r="G11" s="339" t="str">
        <x:v>Finalization blocked if mandatory components unresolved</x:v>
      </x:c>
      <x:c r="H11" s="339" t="str">
        <x:v>On payroll calculation/adjustment</x:v>
      </x:c>
      <x:c r="I11" s="339" t="str">
        <x:v>Source-module business logic is authoritative.</x:v>
      </x:c>
    </x:row>
    <x:row r="12">
      <x:c r="A12" s="339" t="str">
        <x:v>CALC-011</x:v>
      </x:c>
      <x:c r="B12" s="339" t="str">
        <x:v>Transport / Bus / GPS</x:v>
      </x:c>
      <x:c r="C12" s="339" t="str"/>
      <x:c r="D12" s="339" t="str">
        <x:v>Vehicle Occupancy %</x:v>
      </x:c>
      <x:c r="E12" s="339" t="str">
        <x:v>Active assigned riders ÷ usable vehicle capacity × 100</x:v>
      </x:c>
      <x:c r="F12" s="339" t="str">
        <x:v>1 decimal</x:v>
      </x:c>
      <x:c r="G12" s="339" t="str">
        <x:v>Capacity excludes unavailable seats/vehicle inactive periods</x:v>
      </x:c>
      <x:c r="H12" s="339" t="str">
        <x:v>On route/student/vehicle assignment</x:v>
      </x:c>
      <x:c r="I12" s="339" t="str">
        <x:v>Source-module business logic is authoritative.</x:v>
      </x:c>
    </x:row>
    <x:row r="13">
      <x:c r="A13" s="339" t="str">
        <x:v>CALC-012</x:v>
      </x:c>
      <x:c r="B13" s="339" t="str">
        <x:v>Library</x:v>
      </x:c>
      <x:c r="C13" s="339" t="str"/>
      <x:c r="D13" s="339" t="str">
        <x:v>Overdue Fine</x:v>
      </x:c>
      <x:c r="E13" s="339" t="str">
        <x:v>max(0, overdue days - grace days) × rate, capped by policy</x:v>
      </x:c>
      <x:c r="F13" s="339" t="str">
        <x:v>Currency precision</x:v>
      </x:c>
      <x:c r="G13" s="339" t="str">
        <x:v>Waivers/holidays/policy exceptions apply explicitly</x:v>
      </x:c>
      <x:c r="H13" s="339" t="str">
        <x:v>Daily/return/renewal</x:v>
      </x:c>
      <x:c r="I13" s="339" t="str">
        <x:v>Source-module business logic is authoritative.</x:v>
      </x:c>
    </x:row>
    <x:row r="14">
      <x:c r="A14" s="339" t="str">
        <x:v>CALC-013</x:v>
      </x:c>
      <x:c r="B14" s="339" t="str">
        <x:v>Hostel</x:v>
      </x:c>
      <x:c r="C14" s="339" t="str"/>
      <x:c r="D14" s="339" t="str">
        <x:v>Hostel Occupancy %</x:v>
      </x:c>
      <x:c r="E14" s="339" t="str">
        <x:v>Active occupied beds ÷ active usable beds × 100</x:v>
      </x:c>
      <x:c r="F14" s="339" t="str">
        <x:v>1 decimal</x:v>
      </x:c>
      <x:c r="G14" s="339" t="str">
        <x:v>Beds in maintenance excluded from denominator</x:v>
      </x:c>
      <x:c r="H14" s="339" t="str">
        <x:v>On allocation/transfer/vacate/bed status</x:v>
      </x:c>
      <x:c r="I14" s="339" t="str">
        <x:v>Source-module business logic is authoritative.</x:v>
      </x:c>
    </x:row>
    <x:row r="15">
      <x:c r="A15" s="339" t="str">
        <x:v>CALC-014</x:v>
      </x:c>
      <x:c r="B15" s="339" t="str">
        <x:v>Inventory / Assets / Labs</x:v>
      </x:c>
      <x:c r="C15" s="339" t="str"/>
      <x:c r="D15" s="339" t="str">
        <x:v>Available Stock</x:v>
      </x:c>
      <x:c r="E15" s="339" t="str">
        <x:v>Opening + receipts + returns + positive adjustments - issues - consumption - write-offs - negative adjustments</x:v>
      </x:c>
      <x:c r="F15" s="339" t="str">
        <x:v>Configured UOM precision</x:v>
      </x:c>
      <x:c r="G15" s="339" t="str">
        <x:v>Serialized assets counted individually</x:v>
      </x:c>
      <x:c r="H15" s="339" t="str">
        <x:v>On stock transaction</x:v>
      </x:c>
      <x:c r="I15" s="339" t="str">
        <x:v>Source-module business logic is authoritative.</x:v>
      </x:c>
    </x:row>
    <x:row r="16">
      <x:c r="A16" s="340" t="str">
        <x:v>CALC-015</x:v>
      </x:c>
      <x:c r="B16" s="340" t="str">
        <x:v>Reports &amp; Analytics</x:v>
      </x:c>
      <x:c r="C16" s="340" t="str"/>
      <x:c r="D16" s="340" t="str">
        <x:v>Metric Reconciliation</x:v>
      </x:c>
      <x:c r="E16" s="340" t="str">
        <x:v>Dashboard/report metric uses same formula and authorized source rows as source module</x:v>
      </x:c>
      <x:c r="F16" s="340" t="str">
        <x:v>As source metric</x:v>
      </x:c>
      <x:c r="G16" s="340" t="str">
        <x:v>Never substitute missing source with zero unless metric definition says so</x:v>
      </x:c>
      <x:c r="H16" s="340" t="str">
        <x:v>On report/dashboard generation</x:v>
      </x:c>
      <x:c r="I16" s="340" t="str">
        <x:v>Source-module business logic is authoritative.</x:v>
      </x:c>
    </x:row>
  </x:sheetData>
  <x:pageMargins left="0.7" right="0.7" top="0.75" bottom="0.75" header="0.3" footer="0.3"/>
  <x:tableParts count="1">
    <x:tablePart xmlns:r="http://schemas.openxmlformats.org/officeDocument/2006/relationships" r:id="Rabf13035f65e4e13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1" hidden="0" customWidth="1"/>
    <x:col min="3" max="3" width="28" hidden="0" customWidth="1"/>
    <x:col min="4" max="4" width="28" hidden="0" customWidth="1"/>
    <x:col min="5" max="5" width="44" hidden="0" customWidth="1"/>
    <x:col min="6" max="6" width="62" hidden="0" customWidth="1"/>
    <x:col min="7" max="7" width="50" hidden="0" customWidth="1"/>
    <x:col min="8" max="8" width="50" hidden="0" customWidth="1"/>
    <x:col min="9" max="9" width="46" hidden="0" customWidth="1"/>
  </x:cols>
  <x:sheetData>
    <x:row r="1" ht="30" customHeight="1">
      <x:c r="A1" s="338" t="str">
        <x:v>Exception ID</x:v>
      </x:c>
      <x:c r="B1" s="338" t="str">
        <x:v>Screen ID</x:v>
      </x:c>
      <x:c r="C1" s="338" t="str">
        <x:v>Module</x:v>
      </x:c>
      <x:c r="D1" s="338" t="str">
        <x:v>Screen Name</x:v>
      </x:c>
      <x:c r="E1" s="338" t="str">
        <x:v>Scenario / Edge Case</x:v>
      </x:c>
      <x:c r="F1" s="338" t="str">
        <x:v>Expected System Behavior</x:v>
      </x:c>
      <x:c r="G1" s="338" t="str">
        <x:v>User Message</x:v>
      </x:c>
      <x:c r="H1" s="338" t="str">
        <x:v>Recovery / Retry</x:v>
      </x:c>
      <x:c r="I1" s="338" t="str">
        <x:v>Audit / Monitoring</x:v>
      </x:c>
    </x:row>
    <x:row r="2">
      <x:c r="A2" s="339" t="str">
        <x:v>EXC-00001</x:v>
      </x:c>
      <x:c r="B2" s="339" t="str">
        <x:v>SCR-001</x:v>
      </x:c>
      <x:c r="C2" s="339" t="str">
        <x:v>Public Website &amp; Authentication</x:v>
      </x:c>
      <x:c r="D2" s="339" t="str">
        <x:v>Landing / Home</x:v>
      </x:c>
      <x:c r="E2" s="339" t="str">
        <x:v>Unauthorized or out-of-scope record</x:v>
      </x:c>
      <x:c r="F2" s="339" t="str">
        <x:v>Deny access/action; do not reveal existence beyond safe messaging.</x:v>
      </x:c>
      <x:c r="G2" s="339" t="str">
        <x:v>You do not have access to this record.</x:v>
      </x:c>
      <x:c r="H2" s="339" t="str">
        <x:v>Re-authenticate or contact an administrator if access is expected.</x:v>
      </x:c>
      <x:c r="I2" s="339" t="str">
        <x:v>Log security-relevant denial where appropriate.</x:v>
      </x:c>
    </x:row>
    <x:row r="3">
      <x:c r="A3" s="339" t="str">
        <x:v>EXC-00002</x:v>
      </x:c>
      <x:c r="B3" s="339" t="str">
        <x:v>SCR-001</x:v>
      </x:c>
      <x:c r="C3" s="339" t="str">
        <x:v>Public Website &amp; Authentication</x:v>
      </x:c>
      <x:c r="D3" s="339" t="str">
        <x:v>Landing / Home</x:v>
      </x:c>
      <x:c r="E3" s="339" t="str">
        <x:v>Stale/concurrent data</x:v>
      </x:c>
      <x:c r="F3" s="339" t="str">
        <x:v>Detect version/state mismatch before destructive update; require refresh/review.</x:v>
      </x:c>
      <x:c r="G3" s="339" t="str">
        <x:v>This record changed since you opened it. Refresh before saving.</x:v>
      </x:c>
      <x:c r="H3" s="339" t="str">
        <x:v>Reload the latest data and reapply the intended change.</x:v>
      </x:c>
      <x:c r="I3" s="339" t="str">
        <x:v>Record conflict if it affected a high-risk workflow.</x:v>
      </x:c>
    </x:row>
    <x:row r="4">
      <x:c r="A4" s="339" t="str">
        <x:v>EXC-00003</x:v>
      </x:c>
      <x:c r="B4" s="339" t="str">
        <x:v>SCR-001</x:v>
      </x:c>
      <x:c r="C4" s="339" t="str">
        <x:v>Public Website &amp; Authentication</x:v>
      </x:c>
      <x:c r="D4" s="339" t="str">
        <x:v>Landing / Home</x:v>
      </x:c>
      <x:c r="E4" s="339" t="str">
        <x:v>Downstream dependency failure</x:v>
      </x:c>
      <x:c r="F4" s="339" t="str">
        <x:v>Rollback or keep a recoverable pending state; never claim success for an incomplete critical transaction.</x:v>
      </x:c>
      <x:c r="G4" s="339" t="str">
        <x:v>The action could not be completed. No final change was applied.</x:v>
      </x:c>
      <x:c r="H4" s="339" t="str">
        <x:v>Retry safely or route to manual resolution queue.</x:v>
      </x:c>
      <x:c r="I4" s="339" t="str">
        <x:v>Capture correlation/error ID and failed step.</x:v>
      </x:c>
    </x:row>
    <x:row r="5">
      <x:c r="A5" s="339" t="str">
        <x:v>EXC-00004</x:v>
      </x:c>
      <x:c r="B5" s="339" t="str">
        <x:v>SCR-002</x:v>
      </x:c>
      <x:c r="C5" s="339" t="str">
        <x:v>Public Website &amp; Authentication</x:v>
      </x:c>
      <x:c r="D5" s="339" t="str">
        <x:v>Workspace / Role Selection</x:v>
      </x:c>
      <x:c r="E5" s="339" t="str">
        <x:v>Unauthorized or out-of-scope record</x:v>
      </x:c>
      <x:c r="F5" s="339" t="str">
        <x:v>Deny access/action; do not reveal existence beyond safe messaging.</x:v>
      </x:c>
      <x:c r="G5" s="339" t="str">
        <x:v>You do not have access to this record.</x:v>
      </x:c>
      <x:c r="H5" s="339" t="str">
        <x:v>Re-authenticate or contact an administrator if access is expected.</x:v>
      </x:c>
      <x:c r="I5" s="339" t="str">
        <x:v>Log security-relevant denial where appropriate.</x:v>
      </x:c>
    </x:row>
    <x:row r="6">
      <x:c r="A6" s="339" t="str">
        <x:v>EXC-00005</x:v>
      </x:c>
      <x:c r="B6" s="339" t="str">
        <x:v>SCR-002</x:v>
      </x:c>
      <x:c r="C6" s="339" t="str">
        <x:v>Public Website &amp; Authentication</x:v>
      </x:c>
      <x:c r="D6" s="339" t="str">
        <x:v>Workspace / Role Selection</x:v>
      </x:c>
      <x:c r="E6" s="339" t="str">
        <x:v>Stale/concurrent data</x:v>
      </x:c>
      <x:c r="F6" s="339" t="str">
        <x:v>Detect version/state mismatch before destructive update; require refresh/review.</x:v>
      </x:c>
      <x:c r="G6" s="339" t="str">
        <x:v>This record changed since you opened it. Refresh before saving.</x:v>
      </x:c>
      <x:c r="H6" s="339" t="str">
        <x:v>Reload the latest data and reapply the intended change.</x:v>
      </x:c>
      <x:c r="I6" s="339" t="str">
        <x:v>Record conflict if it affected a high-risk workflow.</x:v>
      </x:c>
    </x:row>
    <x:row r="7">
      <x:c r="A7" s="339" t="str">
        <x:v>EXC-00006</x:v>
      </x:c>
      <x:c r="B7" s="339" t="str">
        <x:v>SCR-002</x:v>
      </x:c>
      <x:c r="C7" s="339" t="str">
        <x:v>Public Website &amp; Authentication</x:v>
      </x:c>
      <x:c r="D7" s="339" t="str">
        <x:v>Workspace / Role Selection</x:v>
      </x:c>
      <x:c r="E7" s="339" t="str">
        <x:v>Downstream dependency failure</x:v>
      </x:c>
      <x:c r="F7" s="339" t="str">
        <x:v>Rollback or keep a recoverable pending state; never claim success for an incomplete critical transaction.</x:v>
      </x:c>
      <x:c r="G7" s="339" t="str">
        <x:v>The action could not be completed. No final change was applied.</x:v>
      </x:c>
      <x:c r="H7" s="339" t="str">
        <x:v>Retry safely or route to manual resolution queue.</x:v>
      </x:c>
      <x:c r="I7" s="339" t="str">
        <x:v>Capture correlation/error ID and failed step.</x:v>
      </x:c>
    </x:row>
    <x:row r="8">
      <x:c r="A8" s="339" t="str">
        <x:v>EXC-00007</x:v>
      </x:c>
      <x:c r="B8" s="339" t="str">
        <x:v>SCR-003</x:v>
      </x:c>
      <x:c r="C8" s="339" t="str">
        <x:v>Public Website &amp; Authentication</x:v>
      </x:c>
      <x:c r="D8" s="339" t="str">
        <x:v>Sign In</x:v>
      </x:c>
      <x:c r="E8" s="339" t="str">
        <x:v>Unauthorized or out-of-scope record</x:v>
      </x:c>
      <x:c r="F8" s="339" t="str">
        <x:v>Deny access/action; do not reveal existence beyond safe messaging.</x:v>
      </x:c>
      <x:c r="G8" s="339" t="str">
        <x:v>You do not have access to this record.</x:v>
      </x:c>
      <x:c r="H8" s="339" t="str">
        <x:v>Re-authenticate or contact an administrator if access is expected.</x:v>
      </x:c>
      <x:c r="I8" s="339" t="str">
        <x:v>Log security-relevant denial where appropriate.</x:v>
      </x:c>
    </x:row>
    <x:row r="9">
      <x:c r="A9" s="339" t="str">
        <x:v>EXC-00008</x:v>
      </x:c>
      <x:c r="B9" s="339" t="str">
        <x:v>SCR-003</x:v>
      </x:c>
      <x:c r="C9" s="339" t="str">
        <x:v>Public Website &amp; Authentication</x:v>
      </x:c>
      <x:c r="D9" s="339" t="str">
        <x:v>Sign In</x:v>
      </x:c>
      <x:c r="E9" s="339" t="str">
        <x:v>Stale/concurrent data</x:v>
      </x:c>
      <x:c r="F9" s="339" t="str">
        <x:v>Detect version/state mismatch before destructive update; require refresh/review.</x:v>
      </x:c>
      <x:c r="G9" s="339" t="str">
        <x:v>This record changed since you opened it. Refresh before saving.</x:v>
      </x:c>
      <x:c r="H9" s="339" t="str">
        <x:v>Reload the latest data and reapply the intended change.</x:v>
      </x:c>
      <x:c r="I9" s="339" t="str">
        <x:v>Record conflict if it affected a high-risk workflow.</x:v>
      </x:c>
    </x:row>
    <x:row r="10">
      <x:c r="A10" s="339" t="str">
        <x:v>EXC-00009</x:v>
      </x:c>
      <x:c r="B10" s="339" t="str">
        <x:v>SCR-003</x:v>
      </x:c>
      <x:c r="C10" s="339" t="str">
        <x:v>Public Website &amp; Authentication</x:v>
      </x:c>
      <x:c r="D10" s="339" t="str">
        <x:v>Sign In</x:v>
      </x:c>
      <x:c r="E10" s="339" t="str">
        <x:v>Downstream dependency failure</x:v>
      </x:c>
      <x:c r="F10" s="339" t="str">
        <x:v>Rollback or keep a recoverable pending state; never claim success for an incomplete critical transaction.</x:v>
      </x:c>
      <x:c r="G10" s="339" t="str">
        <x:v>The action could not be completed. No final change was applied.</x:v>
      </x:c>
      <x:c r="H10" s="339" t="str">
        <x:v>Retry safely or route to manual resolution queue.</x:v>
      </x:c>
      <x:c r="I10" s="339" t="str">
        <x:v>Capture correlation/error ID and failed step.</x:v>
      </x:c>
    </x:row>
    <x:row r="11">
      <x:c r="A11" s="339" t="str">
        <x:v>EXC-00010</x:v>
      </x:c>
      <x:c r="B11" s="339" t="str">
        <x:v>SCR-004</x:v>
      </x:c>
      <x:c r="C11" s="339" t="str">
        <x:v>Public Website &amp; Authentication</x:v>
      </x:c>
      <x:c r="D11" s="339" t="str">
        <x:v>Forgot Password</x:v>
      </x:c>
      <x:c r="E11" s="339" t="str">
        <x:v>Unauthorized or out-of-scope record</x:v>
      </x:c>
      <x:c r="F11" s="339" t="str">
        <x:v>Deny access/action; do not reveal existence beyond safe messaging.</x:v>
      </x:c>
      <x:c r="G11" s="339" t="str">
        <x:v>You do not have access to this record.</x:v>
      </x:c>
      <x:c r="H11" s="339" t="str">
        <x:v>Re-authenticate or contact an administrator if access is expected.</x:v>
      </x:c>
      <x:c r="I11" s="339" t="str">
        <x:v>Log security-relevant denial where appropriate.</x:v>
      </x:c>
    </x:row>
    <x:row r="12">
      <x:c r="A12" s="339" t="str">
        <x:v>EXC-00011</x:v>
      </x:c>
      <x:c r="B12" s="339" t="str">
        <x:v>SCR-004</x:v>
      </x:c>
      <x:c r="C12" s="339" t="str">
        <x:v>Public Website &amp; Authentication</x:v>
      </x:c>
      <x:c r="D12" s="339" t="str">
        <x:v>Forgot Password</x:v>
      </x:c>
      <x:c r="E12" s="339" t="str">
        <x:v>Stale/concurrent data</x:v>
      </x:c>
      <x:c r="F12" s="339" t="str">
        <x:v>Detect version/state mismatch before destructive update; require refresh/review.</x:v>
      </x:c>
      <x:c r="G12" s="339" t="str">
        <x:v>This record changed since you opened it. Refresh before saving.</x:v>
      </x:c>
      <x:c r="H12" s="339" t="str">
        <x:v>Reload the latest data and reapply the intended change.</x:v>
      </x:c>
      <x:c r="I12" s="339" t="str">
        <x:v>Record conflict if it affected a high-risk workflow.</x:v>
      </x:c>
    </x:row>
    <x:row r="13">
      <x:c r="A13" s="339" t="str">
        <x:v>EXC-00012</x:v>
      </x:c>
      <x:c r="B13" s="339" t="str">
        <x:v>SCR-004</x:v>
      </x:c>
      <x:c r="C13" s="339" t="str">
        <x:v>Public Website &amp; Authentication</x:v>
      </x:c>
      <x:c r="D13" s="339" t="str">
        <x:v>Forgot Password</x:v>
      </x:c>
      <x:c r="E13" s="339" t="str">
        <x:v>Downstream dependency failure</x:v>
      </x:c>
      <x:c r="F13" s="339" t="str">
        <x:v>Rollback or keep a recoverable pending state; never claim success for an incomplete critical transaction.</x:v>
      </x:c>
      <x:c r="G13" s="339" t="str">
        <x:v>The action could not be completed. No final change was applied.</x:v>
      </x:c>
      <x:c r="H13" s="339" t="str">
        <x:v>Retry safely or route to manual resolution queue.</x:v>
      </x:c>
      <x:c r="I13" s="339" t="str">
        <x:v>Capture correlation/error ID and failed step.</x:v>
      </x:c>
    </x:row>
    <x:row r="14">
      <x:c r="A14" s="339" t="str">
        <x:v>EXC-00013</x:v>
      </x:c>
      <x:c r="B14" s="339" t="str">
        <x:v>SCR-005</x:v>
      </x:c>
      <x:c r="C14" s="339" t="str">
        <x:v>Public Website &amp; Authentication</x:v>
      </x:c>
      <x:c r="D14" s="339" t="str">
        <x:v>Reset Password</x:v>
      </x:c>
      <x:c r="E14" s="339" t="str">
        <x:v>Unauthorized or out-of-scope record</x:v>
      </x:c>
      <x:c r="F14" s="339" t="str">
        <x:v>Deny access/action; do not reveal existence beyond safe messaging.</x:v>
      </x:c>
      <x:c r="G14" s="339" t="str">
        <x:v>You do not have access to this record.</x:v>
      </x:c>
      <x:c r="H14" s="339" t="str">
        <x:v>Re-authenticate or contact an administrator if access is expected.</x:v>
      </x:c>
      <x:c r="I14" s="339" t="str">
        <x:v>Log security-relevant denial where appropriate.</x:v>
      </x:c>
    </x:row>
    <x:row r="15">
      <x:c r="A15" s="339" t="str">
        <x:v>EXC-00014</x:v>
      </x:c>
      <x:c r="B15" s="339" t="str">
        <x:v>SCR-005</x:v>
      </x:c>
      <x:c r="C15" s="339" t="str">
        <x:v>Public Website &amp; Authentication</x:v>
      </x:c>
      <x:c r="D15" s="339" t="str">
        <x:v>Reset Password</x:v>
      </x:c>
      <x:c r="E15" s="339" t="str">
        <x:v>Stale/concurrent data</x:v>
      </x:c>
      <x:c r="F15" s="339" t="str">
        <x:v>Detect version/state mismatch before destructive update; require refresh/review.</x:v>
      </x:c>
      <x:c r="G15" s="339" t="str">
        <x:v>This record changed since you opened it. Refresh before saving.</x:v>
      </x:c>
      <x:c r="H15" s="339" t="str">
        <x:v>Reload the latest data and reapply the intended change.</x:v>
      </x:c>
      <x:c r="I15" s="339" t="str">
        <x:v>Record conflict if it affected a high-risk workflow.</x:v>
      </x:c>
    </x:row>
    <x:row r="16">
      <x:c r="A16" s="339" t="str">
        <x:v>EXC-00015</x:v>
      </x:c>
      <x:c r="B16" s="339" t="str">
        <x:v>SCR-005</x:v>
      </x:c>
      <x:c r="C16" s="339" t="str">
        <x:v>Public Website &amp; Authentication</x:v>
      </x:c>
      <x:c r="D16" s="339" t="str">
        <x:v>Reset Password</x:v>
      </x:c>
      <x:c r="E16" s="339" t="str">
        <x:v>Downstream dependency failure</x:v>
      </x:c>
      <x:c r="F16" s="339" t="str">
        <x:v>Rollback or keep a recoverable pending state; never claim success for an incomplete critical transaction.</x:v>
      </x:c>
      <x:c r="G16" s="339" t="str">
        <x:v>The action could not be completed. No final change was applied.</x:v>
      </x:c>
      <x:c r="H16" s="339" t="str">
        <x:v>Retry safely or route to manual resolution queue.</x:v>
      </x:c>
      <x:c r="I16" s="339" t="str">
        <x:v>Capture correlation/error ID and failed step.</x:v>
      </x:c>
    </x:row>
    <x:row r="17">
      <x:c r="A17" s="339" t="str">
        <x:v>EXC-00016</x:v>
      </x:c>
      <x:c r="B17" s="339" t="str">
        <x:v>SCR-006</x:v>
      </x:c>
      <x:c r="C17" s="339" t="str">
        <x:v>Public Website &amp; Authentication</x:v>
      </x:c>
      <x:c r="D17" s="339" t="str">
        <x:v>OTP / Two-Factor Verification</x:v>
      </x:c>
      <x:c r="E17" s="339" t="str">
        <x:v>Unauthorized or out-of-scope record</x:v>
      </x:c>
      <x:c r="F17" s="339" t="str">
        <x:v>Deny access/action; do not reveal existence beyond safe messaging.</x:v>
      </x:c>
      <x:c r="G17" s="339" t="str">
        <x:v>You do not have access to this record.</x:v>
      </x:c>
      <x:c r="H17" s="339" t="str">
        <x:v>Re-authenticate or contact an administrator if access is expected.</x:v>
      </x:c>
      <x:c r="I17" s="339" t="str">
        <x:v>Log security-relevant denial where appropriate.</x:v>
      </x:c>
    </x:row>
    <x:row r="18">
      <x:c r="A18" s="339" t="str">
        <x:v>EXC-00017</x:v>
      </x:c>
      <x:c r="B18" s="339" t="str">
        <x:v>SCR-006</x:v>
      </x:c>
      <x:c r="C18" s="339" t="str">
        <x:v>Public Website &amp; Authentication</x:v>
      </x:c>
      <x:c r="D18" s="339" t="str">
        <x:v>OTP / Two-Factor Verification</x:v>
      </x:c>
      <x:c r="E18" s="339" t="str">
        <x:v>Stale/concurrent data</x:v>
      </x:c>
      <x:c r="F18" s="339" t="str">
        <x:v>Detect version/state mismatch before destructive update; require refresh/review.</x:v>
      </x:c>
      <x:c r="G18" s="339" t="str">
        <x:v>This record changed since you opened it. Refresh before saving.</x:v>
      </x:c>
      <x:c r="H18" s="339" t="str">
        <x:v>Reload the latest data and reapply the intended change.</x:v>
      </x:c>
      <x:c r="I18" s="339" t="str">
        <x:v>Record conflict if it affected a high-risk workflow.</x:v>
      </x:c>
    </x:row>
    <x:row r="19">
      <x:c r="A19" s="339" t="str">
        <x:v>EXC-00018</x:v>
      </x:c>
      <x:c r="B19" s="339" t="str">
        <x:v>SCR-006</x:v>
      </x:c>
      <x:c r="C19" s="339" t="str">
        <x:v>Public Website &amp; Authentication</x:v>
      </x:c>
      <x:c r="D19" s="339" t="str">
        <x:v>OTP / Two-Factor Verification</x:v>
      </x:c>
      <x:c r="E19" s="339" t="str">
        <x:v>Downstream dependency failure</x:v>
      </x:c>
      <x:c r="F19" s="339" t="str">
        <x:v>Rollback or keep a recoverable pending state; never claim success for an incomplete critical transaction.</x:v>
      </x:c>
      <x:c r="G19" s="339" t="str">
        <x:v>The action could not be completed. No final change was applied.</x:v>
      </x:c>
      <x:c r="H19" s="339" t="str">
        <x:v>Retry safely or route to manual resolution queue.</x:v>
      </x:c>
      <x:c r="I19" s="339" t="str">
        <x:v>Capture correlation/error ID and failed step.</x:v>
      </x:c>
    </x:row>
    <x:row r="20">
      <x:c r="A20" s="339" t="str">
        <x:v>EXC-00019</x:v>
      </x:c>
      <x:c r="B20" s="339" t="str">
        <x:v>SCR-007</x:v>
      </x:c>
      <x:c r="C20" s="339" t="str">
        <x:v>Public Website &amp; Authentication</x:v>
      </x:c>
      <x:c r="D20" s="339" t="str">
        <x:v>First Login / Change Password</x:v>
      </x:c>
      <x:c r="E20" s="339" t="str">
        <x:v>Unauthorized or out-of-scope record</x:v>
      </x:c>
      <x:c r="F20" s="339" t="str">
        <x:v>Deny access/action; do not reveal existence beyond safe messaging.</x:v>
      </x:c>
      <x:c r="G20" s="339" t="str">
        <x:v>You do not have access to this record.</x:v>
      </x:c>
      <x:c r="H20" s="339" t="str">
        <x:v>Re-authenticate or contact an administrator if access is expected.</x:v>
      </x:c>
      <x:c r="I20" s="339" t="str">
        <x:v>Log security-relevant denial where appropriate.</x:v>
      </x:c>
    </x:row>
    <x:row r="21">
      <x:c r="A21" s="339" t="str">
        <x:v>EXC-00020</x:v>
      </x:c>
      <x:c r="B21" s="339" t="str">
        <x:v>SCR-007</x:v>
      </x:c>
      <x:c r="C21" s="339" t="str">
        <x:v>Public Website &amp; Authentication</x:v>
      </x:c>
      <x:c r="D21" s="339" t="str">
        <x:v>First Login / Change Password</x:v>
      </x:c>
      <x:c r="E21" s="339" t="str">
        <x:v>Stale/concurrent data</x:v>
      </x:c>
      <x:c r="F21" s="339" t="str">
        <x:v>Detect version/state mismatch before destructive update; require refresh/review.</x:v>
      </x:c>
      <x:c r="G21" s="339" t="str">
        <x:v>This record changed since you opened it. Refresh before saving.</x:v>
      </x:c>
      <x:c r="H21" s="339" t="str">
        <x:v>Reload the latest data and reapply the intended change.</x:v>
      </x:c>
      <x:c r="I21" s="339" t="str">
        <x:v>Record conflict if it affected a high-risk workflow.</x:v>
      </x:c>
    </x:row>
    <x:row r="22">
      <x:c r="A22" s="339" t="str">
        <x:v>EXC-00021</x:v>
      </x:c>
      <x:c r="B22" s="339" t="str">
        <x:v>SCR-007</x:v>
      </x:c>
      <x:c r="C22" s="339" t="str">
        <x:v>Public Website &amp; Authentication</x:v>
      </x:c>
      <x:c r="D22" s="339" t="str">
        <x:v>First Login / Change Password</x:v>
      </x:c>
      <x:c r="E22" s="339" t="str">
        <x:v>Downstream dependency failure</x:v>
      </x:c>
      <x:c r="F22" s="339" t="str">
        <x:v>Rollback or keep a recoverable pending state; never claim success for an incomplete critical transaction.</x:v>
      </x:c>
      <x:c r="G22" s="339" t="str">
        <x:v>The action could not be completed. No final change was applied.</x:v>
      </x:c>
      <x:c r="H22" s="339" t="str">
        <x:v>Retry safely or route to manual resolution queue.</x:v>
      </x:c>
      <x:c r="I22" s="339" t="str">
        <x:v>Capture correlation/error ID and failed step.</x:v>
      </x:c>
    </x:row>
    <x:row r="23">
      <x:c r="A23" s="339" t="str">
        <x:v>EXC-00022</x:v>
      </x:c>
      <x:c r="B23" s="339" t="str">
        <x:v>SCR-008</x:v>
      </x:c>
      <x:c r="C23" s="339" t="str">
        <x:v>Public Website &amp; Authentication</x:v>
      </x:c>
      <x:c r="D23" s="339" t="str">
        <x:v>Access Denied / Session Expired</x:v>
      </x:c>
      <x:c r="E23" s="339" t="str">
        <x:v>Unauthorized or out-of-scope record</x:v>
      </x:c>
      <x:c r="F23" s="339" t="str">
        <x:v>Deny access/action; do not reveal existence beyond safe messaging.</x:v>
      </x:c>
      <x:c r="G23" s="339" t="str">
        <x:v>You do not have access to this record.</x:v>
      </x:c>
      <x:c r="H23" s="339" t="str">
        <x:v>Re-authenticate or contact an administrator if access is expected.</x:v>
      </x:c>
      <x:c r="I23" s="339" t="str">
        <x:v>Log security-relevant denial where appropriate.</x:v>
      </x:c>
    </x:row>
    <x:row r="24">
      <x:c r="A24" s="339" t="str">
        <x:v>EXC-00023</x:v>
      </x:c>
      <x:c r="B24" s="339" t="str">
        <x:v>SCR-008</x:v>
      </x:c>
      <x:c r="C24" s="339" t="str">
        <x:v>Public Website &amp; Authentication</x:v>
      </x:c>
      <x:c r="D24" s="339" t="str">
        <x:v>Access Denied / Session Expired</x:v>
      </x:c>
      <x:c r="E24" s="339" t="str">
        <x:v>Stale/concurrent data</x:v>
      </x:c>
      <x:c r="F24" s="339" t="str">
        <x:v>Detect version/state mismatch before destructive update; require refresh/review.</x:v>
      </x:c>
      <x:c r="G24" s="339" t="str">
        <x:v>This record changed since you opened it. Refresh before saving.</x:v>
      </x:c>
      <x:c r="H24" s="339" t="str">
        <x:v>Reload the latest data and reapply the intended change.</x:v>
      </x:c>
      <x:c r="I24" s="339" t="str">
        <x:v>Record conflict if it affected a high-risk workflow.</x:v>
      </x:c>
    </x:row>
    <x:row r="25">
      <x:c r="A25" s="339" t="str">
        <x:v>EXC-00024</x:v>
      </x:c>
      <x:c r="B25" s="339" t="str">
        <x:v>SCR-008</x:v>
      </x:c>
      <x:c r="C25" s="339" t="str">
        <x:v>Public Website &amp; Authentication</x:v>
      </x:c>
      <x:c r="D25" s="339" t="str">
        <x:v>Access Denied / Session Expired</x:v>
      </x:c>
      <x:c r="E25" s="339" t="str">
        <x:v>Downstream dependency failure</x:v>
      </x:c>
      <x:c r="F25" s="339" t="str">
        <x:v>Rollback or keep a recoverable pending state; never claim success for an incomplete critical transaction.</x:v>
      </x:c>
      <x:c r="G25" s="339" t="str">
        <x:v>The action could not be completed. No final change was applied.</x:v>
      </x:c>
      <x:c r="H25" s="339" t="str">
        <x:v>Retry safely or route to manual resolution queue.</x:v>
      </x:c>
      <x:c r="I25" s="339" t="str">
        <x:v>Capture correlation/error ID and failed step.</x:v>
      </x:c>
    </x:row>
    <x:row r="26">
      <x:c r="A26" s="339" t="str">
        <x:v>EXC-00025</x:v>
      </x:c>
      <x:c r="B26" s="339" t="str">
        <x:v>SCR-009</x:v>
      </x:c>
      <x:c r="C26" s="339" t="str">
        <x:v>Super Admin / SaaS Administration</x:v>
      </x:c>
      <x:c r="D26" s="339" t="str">
        <x:v>Platform Dashboard</x:v>
      </x:c>
      <x:c r="E26" s="339" t="str">
        <x:v>Unauthorized or out-of-scope record</x:v>
      </x:c>
      <x:c r="F26" s="339" t="str">
        <x:v>Deny access/action; do not reveal existence beyond safe messaging.</x:v>
      </x:c>
      <x:c r="G26" s="339" t="str">
        <x:v>You do not have access to this record.</x:v>
      </x:c>
      <x:c r="H26" s="339" t="str">
        <x:v>Re-authenticate or contact an administrator if access is expected.</x:v>
      </x:c>
      <x:c r="I26" s="339" t="str">
        <x:v>Log security-relevant denial where appropriate.</x:v>
      </x:c>
    </x:row>
    <x:row r="27">
      <x:c r="A27" s="339" t="str">
        <x:v>EXC-00026</x:v>
      </x:c>
      <x:c r="B27" s="339" t="str">
        <x:v>SCR-009</x:v>
      </x:c>
      <x:c r="C27" s="339" t="str">
        <x:v>Super Admin / SaaS Administration</x:v>
      </x:c>
      <x:c r="D27" s="339" t="str">
        <x:v>Platform Dashboard</x:v>
      </x:c>
      <x:c r="E27" s="339" t="str">
        <x:v>Stale/concurrent data</x:v>
      </x:c>
      <x:c r="F27" s="339" t="str">
        <x:v>Detect version/state mismatch before destructive update; require refresh/review.</x:v>
      </x:c>
      <x:c r="G27" s="339" t="str">
        <x:v>This record changed since you opened it. Refresh before saving.</x:v>
      </x:c>
      <x:c r="H27" s="339" t="str">
        <x:v>Reload the latest data and reapply the intended change.</x:v>
      </x:c>
      <x:c r="I27" s="339" t="str">
        <x:v>Record conflict if it affected a high-risk workflow.</x:v>
      </x:c>
    </x:row>
    <x:row r="28">
      <x:c r="A28" s="339" t="str">
        <x:v>EXC-00027</x:v>
      </x:c>
      <x:c r="B28" s="339" t="str">
        <x:v>SCR-010</x:v>
      </x:c>
      <x:c r="C28" s="339" t="str">
        <x:v>Super Admin / SaaS Administration</x:v>
      </x:c>
      <x:c r="D28" s="339" t="str">
        <x:v>Organizations List</x:v>
      </x:c>
      <x:c r="E28" s="339" t="str">
        <x:v>Unauthorized or out-of-scope record</x:v>
      </x:c>
      <x:c r="F28" s="339" t="str">
        <x:v>Deny access/action; do not reveal existence beyond safe messaging.</x:v>
      </x:c>
      <x:c r="G28" s="339" t="str">
        <x:v>You do not have access to this record.</x:v>
      </x:c>
      <x:c r="H28" s="339" t="str">
        <x:v>Re-authenticate or contact an administrator if access is expected.</x:v>
      </x:c>
      <x:c r="I28" s="339" t="str">
        <x:v>Log security-relevant denial where appropriate.</x:v>
      </x:c>
    </x:row>
    <x:row r="29">
      <x:c r="A29" s="339" t="str">
        <x:v>EXC-00028</x:v>
      </x:c>
      <x:c r="B29" s="339" t="str">
        <x:v>SCR-010</x:v>
      </x:c>
      <x:c r="C29" s="339" t="str">
        <x:v>Super Admin / SaaS Administration</x:v>
      </x:c>
      <x:c r="D29" s="339" t="str">
        <x:v>Organizations List</x:v>
      </x:c>
      <x:c r="E29" s="339" t="str">
        <x:v>Stale/concurrent data</x:v>
      </x:c>
      <x:c r="F29" s="339" t="str">
        <x:v>Detect version/state mismatch before destructive update; require refresh/review.</x:v>
      </x:c>
      <x:c r="G29" s="339" t="str">
        <x:v>This record changed since you opened it. Refresh before saving.</x:v>
      </x:c>
      <x:c r="H29" s="339" t="str">
        <x:v>Reload the latest data and reapply the intended change.</x:v>
      </x:c>
      <x:c r="I29" s="339" t="str">
        <x:v>Record conflict if it affected a high-risk workflow.</x:v>
      </x:c>
    </x:row>
    <x:row r="30">
      <x:c r="A30" s="339" t="str">
        <x:v>EXC-00029</x:v>
      </x:c>
      <x:c r="B30" s="339" t="str">
        <x:v>SCR-011</x:v>
      </x:c>
      <x:c r="C30" s="339" t="str">
        <x:v>Super Admin / SaaS Administration</x:v>
      </x:c>
      <x:c r="D30" s="339" t="str">
        <x:v>Add Organization</x:v>
      </x:c>
      <x:c r="E30" s="339" t="str">
        <x:v>Unauthorized or out-of-scope record</x:v>
      </x:c>
      <x:c r="F30" s="339" t="str">
        <x:v>Deny access/action; do not reveal existence beyond safe messaging.</x:v>
      </x:c>
      <x:c r="G30" s="339" t="str">
        <x:v>You do not have access to this record.</x:v>
      </x:c>
      <x:c r="H30" s="339" t="str">
        <x:v>Re-authenticate or contact an administrator if access is expected.</x:v>
      </x:c>
      <x:c r="I30" s="339" t="str">
        <x:v>Log security-relevant denial where appropriate.</x:v>
      </x:c>
    </x:row>
    <x:row r="31">
      <x:c r="A31" s="339" t="str">
        <x:v>EXC-00030</x:v>
      </x:c>
      <x:c r="B31" s="339" t="str">
        <x:v>SCR-011</x:v>
      </x:c>
      <x:c r="C31" s="339" t="str">
        <x:v>Super Admin / SaaS Administration</x:v>
      </x:c>
      <x:c r="D31" s="339" t="str">
        <x:v>Add Organization</x:v>
      </x:c>
      <x:c r="E31" s="339" t="str">
        <x:v>Stale/concurrent data</x:v>
      </x:c>
      <x:c r="F31" s="339" t="str">
        <x:v>Detect version/state mismatch before destructive update; require refresh/review.</x:v>
      </x:c>
      <x:c r="G31" s="339" t="str">
        <x:v>This record changed since you opened it. Refresh before saving.</x:v>
      </x:c>
      <x:c r="H31" s="339" t="str">
        <x:v>Reload the latest data and reapply the intended change.</x:v>
      </x:c>
      <x:c r="I31" s="339" t="str">
        <x:v>Record conflict if it affected a high-risk workflow.</x:v>
      </x:c>
    </x:row>
    <x:row r="32">
      <x:c r="A32" s="339" t="str">
        <x:v>EXC-00031</x:v>
      </x:c>
      <x:c r="B32" s="339" t="str">
        <x:v>SCR-011</x:v>
      </x:c>
      <x:c r="C32" s="339" t="str">
        <x:v>Super Admin / SaaS Administration</x:v>
      </x:c>
      <x:c r="D32" s="339" t="str">
        <x:v>Add Organization</x:v>
      </x:c>
      <x:c r="E32" s="339" t="str">
        <x:v>Downstream dependency failure</x:v>
      </x:c>
      <x:c r="F32" s="339" t="str">
        <x:v>Rollback or keep a recoverable pending state; never claim success for an incomplete critical transaction.</x:v>
      </x:c>
      <x:c r="G32" s="339" t="str">
        <x:v>The action could not be completed. No final change was applied.</x:v>
      </x:c>
      <x:c r="H32" s="339" t="str">
        <x:v>Retry safely or route to manual resolution queue.</x:v>
      </x:c>
      <x:c r="I32" s="339" t="str">
        <x:v>Capture correlation/error ID and failed step.</x:v>
      </x:c>
    </x:row>
    <x:row r="33">
      <x:c r="A33" s="339" t="str">
        <x:v>EXC-00032</x:v>
      </x:c>
      <x:c r="B33" s="339" t="str">
        <x:v>SCR-012</x:v>
      </x:c>
      <x:c r="C33" s="339" t="str">
        <x:v>Super Admin / SaaS Administration</x:v>
      </x:c>
      <x:c r="D33" s="339" t="str">
        <x:v>Organization Details</x:v>
      </x:c>
      <x:c r="E33" s="339" t="str">
        <x:v>Unauthorized or out-of-scope record</x:v>
      </x:c>
      <x:c r="F33" s="339" t="str">
        <x:v>Deny access/action; do not reveal existence beyond safe messaging.</x:v>
      </x:c>
      <x:c r="G33" s="339" t="str">
        <x:v>You do not have access to this record.</x:v>
      </x:c>
      <x:c r="H33" s="339" t="str">
        <x:v>Re-authenticate or contact an administrator if access is expected.</x:v>
      </x:c>
      <x:c r="I33" s="339" t="str">
        <x:v>Log security-relevant denial where appropriate.</x:v>
      </x:c>
    </x:row>
    <x:row r="34">
      <x:c r="A34" s="339" t="str">
        <x:v>EXC-00033</x:v>
      </x:c>
      <x:c r="B34" s="339" t="str">
        <x:v>SCR-012</x:v>
      </x:c>
      <x:c r="C34" s="339" t="str">
        <x:v>Super Admin / SaaS Administration</x:v>
      </x:c>
      <x:c r="D34" s="339" t="str">
        <x:v>Organization Details</x:v>
      </x:c>
      <x:c r="E34" s="339" t="str">
        <x:v>Stale/concurrent data</x:v>
      </x:c>
      <x:c r="F34" s="339" t="str">
        <x:v>Detect version/state mismatch before destructive update; require refresh/review.</x:v>
      </x:c>
      <x:c r="G34" s="339" t="str">
        <x:v>This record changed since you opened it. Refresh before saving.</x:v>
      </x:c>
      <x:c r="H34" s="339" t="str">
        <x:v>Reload the latest data and reapply the intended change.</x:v>
      </x:c>
      <x:c r="I34" s="339" t="str">
        <x:v>Record conflict if it affected a high-risk workflow.</x:v>
      </x:c>
    </x:row>
    <x:row r="35">
      <x:c r="A35" s="339" t="str">
        <x:v>EXC-00034</x:v>
      </x:c>
      <x:c r="B35" s="339" t="str">
        <x:v>SCR-013</x:v>
      </x:c>
      <x:c r="C35" s="339" t="str">
        <x:v>Super Admin / SaaS Administration</x:v>
      </x:c>
      <x:c r="D35" s="339" t="str">
        <x:v>Subscription Plans</x:v>
      </x:c>
      <x:c r="E35" s="339" t="str">
        <x:v>Unauthorized or out-of-scope record</x:v>
      </x:c>
      <x:c r="F35" s="339" t="str">
        <x:v>Deny access/action; do not reveal existence beyond safe messaging.</x:v>
      </x:c>
      <x:c r="G35" s="339" t="str">
        <x:v>You do not have access to this record.</x:v>
      </x:c>
      <x:c r="H35" s="339" t="str">
        <x:v>Re-authenticate or contact an administrator if access is expected.</x:v>
      </x:c>
      <x:c r="I35" s="339" t="str">
        <x:v>Log security-relevant denial where appropriate.</x:v>
      </x:c>
    </x:row>
    <x:row r="36">
      <x:c r="A36" s="339" t="str">
        <x:v>EXC-00035</x:v>
      </x:c>
      <x:c r="B36" s="339" t="str">
        <x:v>SCR-013</x:v>
      </x:c>
      <x:c r="C36" s="339" t="str">
        <x:v>Super Admin / SaaS Administration</x:v>
      </x:c>
      <x:c r="D36" s="339" t="str">
        <x:v>Subscription Plans</x:v>
      </x:c>
      <x:c r="E36" s="339" t="str">
        <x:v>Stale/concurrent data</x:v>
      </x:c>
      <x:c r="F36" s="339" t="str">
        <x:v>Detect version/state mismatch before destructive update; require refresh/review.</x:v>
      </x:c>
      <x:c r="G36" s="339" t="str">
        <x:v>This record changed since you opened it. Refresh before saving.</x:v>
      </x:c>
      <x:c r="H36" s="339" t="str">
        <x:v>Reload the latest data and reapply the intended change.</x:v>
      </x:c>
      <x:c r="I36" s="339" t="str">
        <x:v>Record conflict if it affected a high-risk workflow.</x:v>
      </x:c>
    </x:row>
    <x:row r="37">
      <x:c r="A37" s="339" t="str">
        <x:v>EXC-00036</x:v>
      </x:c>
      <x:c r="B37" s="339" t="str">
        <x:v>SCR-013</x:v>
      </x:c>
      <x:c r="C37" s="339" t="str">
        <x:v>Super Admin / SaaS Administration</x:v>
      </x:c>
      <x:c r="D37" s="339" t="str">
        <x:v>Subscription Plans</x:v>
      </x:c>
      <x:c r="E37" s="339" t="str">
        <x:v>Downstream dependency failure</x:v>
      </x:c>
      <x:c r="F37" s="339" t="str">
        <x:v>Rollback or keep a recoverable pending state; never claim success for an incomplete critical transaction.</x:v>
      </x:c>
      <x:c r="G37" s="339" t="str">
        <x:v>The action could not be completed. No final change was applied.</x:v>
      </x:c>
      <x:c r="H37" s="339" t="str">
        <x:v>Retry safely or route to manual resolution queue.</x:v>
      </x:c>
      <x:c r="I37" s="339" t="str">
        <x:v>Capture correlation/error ID and failed step.</x:v>
      </x:c>
    </x:row>
    <x:row r="38">
      <x:c r="A38" s="339" t="str">
        <x:v>EXC-00037</x:v>
      </x:c>
      <x:c r="B38" s="339" t="str">
        <x:v>SCR-014</x:v>
      </x:c>
      <x:c r="C38" s="339" t="str">
        <x:v>Super Admin / SaaS Administration</x:v>
      </x:c>
      <x:c r="D38" s="339" t="str">
        <x:v>Subscriptions &amp; Billing</x:v>
      </x:c>
      <x:c r="E38" s="339" t="str">
        <x:v>Unauthorized or out-of-scope record</x:v>
      </x:c>
      <x:c r="F38" s="339" t="str">
        <x:v>Deny access/action; do not reveal existence beyond safe messaging.</x:v>
      </x:c>
      <x:c r="G38" s="339" t="str">
        <x:v>You do not have access to this record.</x:v>
      </x:c>
      <x:c r="H38" s="339" t="str">
        <x:v>Re-authenticate or contact an administrator if access is expected.</x:v>
      </x:c>
      <x:c r="I38" s="339" t="str">
        <x:v>Log security-relevant denial where appropriate.</x:v>
      </x:c>
    </x:row>
    <x:row r="39">
      <x:c r="A39" s="339" t="str">
        <x:v>EXC-00038</x:v>
      </x:c>
      <x:c r="B39" s="339" t="str">
        <x:v>SCR-014</x:v>
      </x:c>
      <x:c r="C39" s="339" t="str">
        <x:v>Super Admin / SaaS Administration</x:v>
      </x:c>
      <x:c r="D39" s="339" t="str">
        <x:v>Subscriptions &amp; Billing</x:v>
      </x:c>
      <x:c r="E39" s="339" t="str">
        <x:v>Stale/concurrent data</x:v>
      </x:c>
      <x:c r="F39" s="339" t="str">
        <x:v>Detect version/state mismatch before destructive update; require refresh/review.</x:v>
      </x:c>
      <x:c r="G39" s="339" t="str">
        <x:v>This record changed since you opened it. Refresh before saving.</x:v>
      </x:c>
      <x:c r="H39" s="339" t="str">
        <x:v>Reload the latest data and reapply the intended change.</x:v>
      </x:c>
      <x:c r="I39" s="339" t="str">
        <x:v>Record conflict if it affected a high-risk workflow.</x:v>
      </x:c>
    </x:row>
    <x:row r="40">
      <x:c r="A40" s="339" t="str">
        <x:v>EXC-00039</x:v>
      </x:c>
      <x:c r="B40" s="339" t="str">
        <x:v>SCR-014</x:v>
      </x:c>
      <x:c r="C40" s="339" t="str">
        <x:v>Super Admin / SaaS Administration</x:v>
      </x:c>
      <x:c r="D40" s="339" t="str">
        <x:v>Subscriptions &amp; Billing</x:v>
      </x:c>
      <x:c r="E40" s="339" t="str">
        <x:v>Downstream dependency failure</x:v>
      </x:c>
      <x:c r="F40" s="339" t="str">
        <x:v>Rollback or keep a recoverable pending state; never claim success for an incomplete critical transaction.</x:v>
      </x:c>
      <x:c r="G40" s="339" t="str">
        <x:v>The action could not be completed. No final change was applied.</x:v>
      </x:c>
      <x:c r="H40" s="339" t="str">
        <x:v>Retry safely or route to manual resolution queue.</x:v>
      </x:c>
      <x:c r="I40" s="339" t="str">
        <x:v>Capture correlation/error ID and failed step.</x:v>
      </x:c>
    </x:row>
    <x:row r="41">
      <x:c r="A41" s="339" t="str">
        <x:v>EXC-00040</x:v>
      </x:c>
      <x:c r="B41" s="339" t="str">
        <x:v>SCR-015</x:v>
      </x:c>
      <x:c r="C41" s="339" t="str">
        <x:v>Super Admin / SaaS Administration</x:v>
      </x:c>
      <x:c r="D41" s="339" t="str">
        <x:v>Tenant Usage &amp; Limits</x:v>
      </x:c>
      <x:c r="E41" s="339" t="str">
        <x:v>Unauthorized or out-of-scope record</x:v>
      </x:c>
      <x:c r="F41" s="339" t="str">
        <x:v>Deny access/action; do not reveal existence beyond safe messaging.</x:v>
      </x:c>
      <x:c r="G41" s="339" t="str">
        <x:v>You do not have access to this record.</x:v>
      </x:c>
      <x:c r="H41" s="339" t="str">
        <x:v>Re-authenticate or contact an administrator if access is expected.</x:v>
      </x:c>
      <x:c r="I41" s="339" t="str">
        <x:v>Log security-relevant denial where appropriate.</x:v>
      </x:c>
    </x:row>
    <x:row r="42">
      <x:c r="A42" s="339" t="str">
        <x:v>EXC-00041</x:v>
      </x:c>
      <x:c r="B42" s="339" t="str">
        <x:v>SCR-015</x:v>
      </x:c>
      <x:c r="C42" s="339" t="str">
        <x:v>Super Admin / SaaS Administration</x:v>
      </x:c>
      <x:c r="D42" s="339" t="str">
        <x:v>Tenant Usage &amp; Limits</x:v>
      </x:c>
      <x:c r="E42" s="339" t="str">
        <x:v>Stale/concurrent data</x:v>
      </x:c>
      <x:c r="F42" s="339" t="str">
        <x:v>Detect version/state mismatch before destructive update; require refresh/review.</x:v>
      </x:c>
      <x:c r="G42" s="339" t="str">
        <x:v>This record changed since you opened it. Refresh before saving.</x:v>
      </x:c>
      <x:c r="H42" s="339" t="str">
        <x:v>Reload the latest data and reapply the intended change.</x:v>
      </x:c>
      <x:c r="I42" s="339" t="str">
        <x:v>Record conflict if it affected a high-risk workflow.</x:v>
      </x:c>
    </x:row>
    <x:row r="43">
      <x:c r="A43" s="339" t="str">
        <x:v>EXC-00042</x:v>
      </x:c>
      <x:c r="B43" s="339" t="str">
        <x:v>SCR-016</x:v>
      </x:c>
      <x:c r="C43" s="339" t="str">
        <x:v>Super Admin / SaaS Administration</x:v>
      </x:c>
      <x:c r="D43" s="339" t="str">
        <x:v>Platform Users</x:v>
      </x:c>
      <x:c r="E43" s="339" t="str">
        <x:v>Unauthorized or out-of-scope record</x:v>
      </x:c>
      <x:c r="F43" s="339" t="str">
        <x:v>Deny access/action; do not reveal existence beyond safe messaging.</x:v>
      </x:c>
      <x:c r="G43" s="339" t="str">
        <x:v>You do not have access to this record.</x:v>
      </x:c>
      <x:c r="H43" s="339" t="str">
        <x:v>Re-authenticate or contact an administrator if access is expected.</x:v>
      </x:c>
      <x:c r="I43" s="339" t="str">
        <x:v>Log security-relevant denial where appropriate.</x:v>
      </x:c>
    </x:row>
    <x:row r="44">
      <x:c r="A44" s="339" t="str">
        <x:v>EXC-00043</x:v>
      </x:c>
      <x:c r="B44" s="339" t="str">
        <x:v>SCR-016</x:v>
      </x:c>
      <x:c r="C44" s="339" t="str">
        <x:v>Super Admin / SaaS Administration</x:v>
      </x:c>
      <x:c r="D44" s="339" t="str">
        <x:v>Platform Users</x:v>
      </x:c>
      <x:c r="E44" s="339" t="str">
        <x:v>Stale/concurrent data</x:v>
      </x:c>
      <x:c r="F44" s="339" t="str">
        <x:v>Detect version/state mismatch before destructive update; require refresh/review.</x:v>
      </x:c>
      <x:c r="G44" s="339" t="str">
        <x:v>This record changed since you opened it. Refresh before saving.</x:v>
      </x:c>
      <x:c r="H44" s="339" t="str">
        <x:v>Reload the latest data and reapply the intended change.</x:v>
      </x:c>
      <x:c r="I44" s="339" t="str">
        <x:v>Record conflict if it affected a high-risk workflow.</x:v>
      </x:c>
    </x:row>
    <x:row r="45">
      <x:c r="A45" s="339" t="str">
        <x:v>EXC-00044</x:v>
      </x:c>
      <x:c r="B45" s="339" t="str">
        <x:v>SCR-016</x:v>
      </x:c>
      <x:c r="C45" s="339" t="str">
        <x:v>Super Admin / SaaS Administration</x:v>
      </x:c>
      <x:c r="D45" s="339" t="str">
        <x:v>Platform Users</x:v>
      </x:c>
      <x:c r="E45" s="339" t="str">
        <x:v>Downstream dependency failure</x:v>
      </x:c>
      <x:c r="F45" s="339" t="str">
        <x:v>Rollback or keep a recoverable pending state; never claim success for an incomplete critical transaction.</x:v>
      </x:c>
      <x:c r="G45" s="339" t="str">
        <x:v>The action could not be completed. No final change was applied.</x:v>
      </x:c>
      <x:c r="H45" s="339" t="str">
        <x:v>Retry safely or route to manual resolution queue.</x:v>
      </x:c>
      <x:c r="I45" s="339" t="str">
        <x:v>Capture correlation/error ID and failed step.</x:v>
      </x:c>
    </x:row>
    <x:row r="46">
      <x:c r="A46" s="339" t="str">
        <x:v>EXC-00045</x:v>
      </x:c>
      <x:c r="B46" s="339" t="str">
        <x:v>SCR-017</x:v>
      </x:c>
      <x:c r="C46" s="339" t="str">
        <x:v>Super Admin / SaaS Administration</x:v>
      </x:c>
      <x:c r="D46" s="339" t="str">
        <x:v>Support Tickets</x:v>
      </x:c>
      <x:c r="E46" s="339" t="str">
        <x:v>Unauthorized or out-of-scope record</x:v>
      </x:c>
      <x:c r="F46" s="339" t="str">
        <x:v>Deny access/action; do not reveal existence beyond safe messaging.</x:v>
      </x:c>
      <x:c r="G46" s="339" t="str">
        <x:v>You do not have access to this record.</x:v>
      </x:c>
      <x:c r="H46" s="339" t="str">
        <x:v>Re-authenticate or contact an administrator if access is expected.</x:v>
      </x:c>
      <x:c r="I46" s="339" t="str">
        <x:v>Log security-relevant denial where appropriate.</x:v>
      </x:c>
    </x:row>
    <x:row r="47">
      <x:c r="A47" s="339" t="str">
        <x:v>EXC-00046</x:v>
      </x:c>
      <x:c r="B47" s="339" t="str">
        <x:v>SCR-017</x:v>
      </x:c>
      <x:c r="C47" s="339" t="str">
        <x:v>Super Admin / SaaS Administration</x:v>
      </x:c>
      <x:c r="D47" s="339" t="str">
        <x:v>Support Tickets</x:v>
      </x:c>
      <x:c r="E47" s="339" t="str">
        <x:v>Stale/concurrent data</x:v>
      </x:c>
      <x:c r="F47" s="339" t="str">
        <x:v>Detect version/state mismatch before destructive update; require refresh/review.</x:v>
      </x:c>
      <x:c r="G47" s="339" t="str">
        <x:v>This record changed since you opened it. Refresh before saving.</x:v>
      </x:c>
      <x:c r="H47" s="339" t="str">
        <x:v>Reload the latest data and reapply the intended change.</x:v>
      </x:c>
      <x:c r="I47" s="339" t="str">
        <x:v>Record conflict if it affected a high-risk workflow.</x:v>
      </x:c>
    </x:row>
    <x:row r="48">
      <x:c r="A48" s="339" t="str">
        <x:v>EXC-00047</x:v>
      </x:c>
      <x:c r="B48" s="339" t="str">
        <x:v>SCR-017</x:v>
      </x:c>
      <x:c r="C48" s="339" t="str">
        <x:v>Super Admin / SaaS Administration</x:v>
      </x:c>
      <x:c r="D48" s="339" t="str">
        <x:v>Support Tickets</x:v>
      </x:c>
      <x:c r="E48" s="339" t="str">
        <x:v>Downstream dependency failure</x:v>
      </x:c>
      <x:c r="F48" s="339" t="str">
        <x:v>Rollback or keep a recoverable pending state; never claim success for an incomplete critical transaction.</x:v>
      </x:c>
      <x:c r="G48" s="339" t="str">
        <x:v>The action could not be completed. No final change was applied.</x:v>
      </x:c>
      <x:c r="H48" s="339" t="str">
        <x:v>Retry safely or route to manual resolution queue.</x:v>
      </x:c>
      <x:c r="I48" s="339" t="str">
        <x:v>Capture correlation/error ID and failed step.</x:v>
      </x:c>
    </x:row>
    <x:row r="49">
      <x:c r="A49" s="339" t="str">
        <x:v>EXC-00048</x:v>
      </x:c>
      <x:c r="B49" s="339" t="str">
        <x:v>SCR-018</x:v>
      </x:c>
      <x:c r="C49" s="339" t="str">
        <x:v>Super Admin / SaaS Administration</x:v>
      </x:c>
      <x:c r="D49" s="339" t="str">
        <x:v>System Health &amp; Service Status</x:v>
      </x:c>
      <x:c r="E49" s="339" t="str">
        <x:v>Unauthorized or out-of-scope record</x:v>
      </x:c>
      <x:c r="F49" s="339" t="str">
        <x:v>Deny access/action; do not reveal existence beyond safe messaging.</x:v>
      </x:c>
      <x:c r="G49" s="339" t="str">
        <x:v>You do not have access to this record.</x:v>
      </x:c>
      <x:c r="H49" s="339" t="str">
        <x:v>Re-authenticate or contact an administrator if access is expected.</x:v>
      </x:c>
      <x:c r="I49" s="339" t="str">
        <x:v>Log security-relevant denial where appropriate.</x:v>
      </x:c>
    </x:row>
    <x:row r="50">
      <x:c r="A50" s="339" t="str">
        <x:v>EXC-00049</x:v>
      </x:c>
      <x:c r="B50" s="339" t="str">
        <x:v>SCR-018</x:v>
      </x:c>
      <x:c r="C50" s="339" t="str">
        <x:v>Super Admin / SaaS Administration</x:v>
      </x:c>
      <x:c r="D50" s="339" t="str">
        <x:v>System Health &amp; Service Status</x:v>
      </x:c>
      <x:c r="E50" s="339" t="str">
        <x:v>Stale/concurrent data</x:v>
      </x:c>
      <x:c r="F50" s="339" t="str">
        <x:v>Detect version/state mismatch before destructive update; require refresh/review.</x:v>
      </x:c>
      <x:c r="G50" s="339" t="str">
        <x:v>This record changed since you opened it. Refresh before saving.</x:v>
      </x:c>
      <x:c r="H50" s="339" t="str">
        <x:v>Reload the latest data and reapply the intended change.</x:v>
      </x:c>
      <x:c r="I50" s="339" t="str">
        <x:v>Record conflict if it affected a high-risk workflow.</x:v>
      </x:c>
    </x:row>
    <x:row r="51">
      <x:c r="A51" s="339" t="str">
        <x:v>EXC-00050</x:v>
      </x:c>
      <x:c r="B51" s="339" t="str">
        <x:v>SCR-018</x:v>
      </x:c>
      <x:c r="C51" s="339" t="str">
        <x:v>Super Admin / SaaS Administration</x:v>
      </x:c>
      <x:c r="D51" s="339" t="str">
        <x:v>System Health &amp; Service Status</x:v>
      </x:c>
      <x:c r="E51" s="339" t="str">
        <x:v>Downstream dependency failure</x:v>
      </x:c>
      <x:c r="F51" s="339" t="str">
        <x:v>Rollback or keep a recoverable pending state; never claim success for an incomplete critical transaction.</x:v>
      </x:c>
      <x:c r="G51" s="339" t="str">
        <x:v>The action could not be completed. No final change was applied.</x:v>
      </x:c>
      <x:c r="H51" s="339" t="str">
        <x:v>Retry safely or route to manual resolution queue.</x:v>
      </x:c>
      <x:c r="I51" s="339" t="str">
        <x:v>Capture correlation/error ID and failed step.</x:v>
      </x:c>
    </x:row>
    <x:row r="52">
      <x:c r="A52" s="339" t="str">
        <x:v>EXC-00051</x:v>
      </x:c>
      <x:c r="B52" s="339" t="str">
        <x:v>SCR-019</x:v>
      </x:c>
      <x:c r="C52" s="339" t="str">
        <x:v>Super Admin / SaaS Administration</x:v>
      </x:c>
      <x:c r="D52" s="339" t="str">
        <x:v>Global Announcements</x:v>
      </x:c>
      <x:c r="E52" s="339" t="str">
        <x:v>Unauthorized or out-of-scope record</x:v>
      </x:c>
      <x:c r="F52" s="339" t="str">
        <x:v>Deny access/action; do not reveal existence beyond safe messaging.</x:v>
      </x:c>
      <x:c r="G52" s="339" t="str">
        <x:v>You do not have access to this record.</x:v>
      </x:c>
      <x:c r="H52" s="339" t="str">
        <x:v>Re-authenticate or contact an administrator if access is expected.</x:v>
      </x:c>
      <x:c r="I52" s="339" t="str">
        <x:v>Log security-relevant denial where appropriate.</x:v>
      </x:c>
    </x:row>
    <x:row r="53">
      <x:c r="A53" s="339" t="str">
        <x:v>EXC-00052</x:v>
      </x:c>
      <x:c r="B53" s="339" t="str">
        <x:v>SCR-019</x:v>
      </x:c>
      <x:c r="C53" s="339" t="str">
        <x:v>Super Admin / SaaS Administration</x:v>
      </x:c>
      <x:c r="D53" s="339" t="str">
        <x:v>Global Announcements</x:v>
      </x:c>
      <x:c r="E53" s="339" t="str">
        <x:v>Stale/concurrent data</x:v>
      </x:c>
      <x:c r="F53" s="339" t="str">
        <x:v>Detect version/state mismatch before destructive update; require refresh/review.</x:v>
      </x:c>
      <x:c r="G53" s="339" t="str">
        <x:v>This record changed since you opened it. Refresh before saving.</x:v>
      </x:c>
      <x:c r="H53" s="339" t="str">
        <x:v>Reload the latest data and reapply the intended change.</x:v>
      </x:c>
      <x:c r="I53" s="339" t="str">
        <x:v>Record conflict if it affected a high-risk workflow.</x:v>
      </x:c>
    </x:row>
    <x:row r="54">
      <x:c r="A54" s="339" t="str">
        <x:v>EXC-00053</x:v>
      </x:c>
      <x:c r="B54" s="339" t="str">
        <x:v>SCR-020</x:v>
      </x:c>
      <x:c r="C54" s="339" t="str">
        <x:v>Super Admin / SaaS Administration</x:v>
      </x:c>
      <x:c r="D54" s="339" t="str">
        <x:v>Platform Settings</x:v>
      </x:c>
      <x:c r="E54" s="339" t="str">
        <x:v>Unauthorized or out-of-scope record</x:v>
      </x:c>
      <x:c r="F54" s="339" t="str">
        <x:v>Deny access/action; do not reveal existence beyond safe messaging.</x:v>
      </x:c>
      <x:c r="G54" s="339" t="str">
        <x:v>You do not have access to this record.</x:v>
      </x:c>
      <x:c r="H54" s="339" t="str">
        <x:v>Re-authenticate or contact an administrator if access is expected.</x:v>
      </x:c>
      <x:c r="I54" s="339" t="str">
        <x:v>Log security-relevant denial where appropriate.</x:v>
      </x:c>
    </x:row>
    <x:row r="55">
      <x:c r="A55" s="339" t="str">
        <x:v>EXC-00054</x:v>
      </x:c>
      <x:c r="B55" s="339" t="str">
        <x:v>SCR-020</x:v>
      </x:c>
      <x:c r="C55" s="339" t="str">
        <x:v>Super Admin / SaaS Administration</x:v>
      </x:c>
      <x:c r="D55" s="339" t="str">
        <x:v>Platform Settings</x:v>
      </x:c>
      <x:c r="E55" s="339" t="str">
        <x:v>Stale/concurrent data</x:v>
      </x:c>
      <x:c r="F55" s="339" t="str">
        <x:v>Detect version/state mismatch before destructive update; require refresh/review.</x:v>
      </x:c>
      <x:c r="G55" s="339" t="str">
        <x:v>This record changed since you opened it. Refresh before saving.</x:v>
      </x:c>
      <x:c r="H55" s="339" t="str">
        <x:v>Reload the latest data and reapply the intended change.</x:v>
      </x:c>
      <x:c r="I55" s="339" t="str">
        <x:v>Record conflict if it affected a high-risk workflow.</x:v>
      </x:c>
    </x:row>
    <x:row r="56">
      <x:c r="A56" s="339" t="str">
        <x:v>EXC-00055</x:v>
      </x:c>
      <x:c r="B56" s="339" t="str">
        <x:v>SCR-021</x:v>
      </x:c>
      <x:c r="C56" s="339" t="str">
        <x:v>Organization / School / Branch Setup</x:v>
      </x:c>
      <x:c r="D56" s="339" t="str">
        <x:v>Organization Profile</x:v>
      </x:c>
      <x:c r="E56" s="339" t="str">
        <x:v>Unauthorized or out-of-scope record</x:v>
      </x:c>
      <x:c r="F56" s="339" t="str">
        <x:v>Deny access/action; do not reveal existence beyond safe messaging.</x:v>
      </x:c>
      <x:c r="G56" s="339" t="str">
        <x:v>You do not have access to this record.</x:v>
      </x:c>
      <x:c r="H56" s="339" t="str">
        <x:v>Re-authenticate or contact an administrator if access is expected.</x:v>
      </x:c>
      <x:c r="I56" s="339" t="str">
        <x:v>Log security-relevant denial where appropriate.</x:v>
      </x:c>
    </x:row>
    <x:row r="57">
      <x:c r="A57" s="339" t="str">
        <x:v>EXC-00056</x:v>
      </x:c>
      <x:c r="B57" s="339" t="str">
        <x:v>SCR-021</x:v>
      </x:c>
      <x:c r="C57" s="339" t="str">
        <x:v>Organization / School / Branch Setup</x:v>
      </x:c>
      <x:c r="D57" s="339" t="str">
        <x:v>Organization Profile</x:v>
      </x:c>
      <x:c r="E57" s="339" t="str">
        <x:v>Stale/concurrent data</x:v>
      </x:c>
      <x:c r="F57" s="339" t="str">
        <x:v>Detect version/state mismatch before destructive update; require refresh/review.</x:v>
      </x:c>
      <x:c r="G57" s="339" t="str">
        <x:v>This record changed since you opened it. Refresh before saving.</x:v>
      </x:c>
      <x:c r="H57" s="339" t="str">
        <x:v>Reload the latest data and reapply the intended change.</x:v>
      </x:c>
      <x:c r="I57" s="339" t="str">
        <x:v>Record conflict if it affected a high-risk workflow.</x:v>
      </x:c>
    </x:row>
    <x:row r="58">
      <x:c r="A58" s="339" t="str">
        <x:v>EXC-00057</x:v>
      </x:c>
      <x:c r="B58" s="339" t="str">
        <x:v>SCR-022</x:v>
      </x:c>
      <x:c r="C58" s="339" t="str">
        <x:v>Organization / School / Branch Setup</x:v>
      </x:c>
      <x:c r="D58" s="339" t="str">
        <x:v>Schools List</x:v>
      </x:c>
      <x:c r="E58" s="339" t="str">
        <x:v>Unauthorized or out-of-scope record</x:v>
      </x:c>
      <x:c r="F58" s="339" t="str">
        <x:v>Deny access/action; do not reveal existence beyond safe messaging.</x:v>
      </x:c>
      <x:c r="G58" s="339" t="str">
        <x:v>You do not have access to this record.</x:v>
      </x:c>
      <x:c r="H58" s="339" t="str">
        <x:v>Re-authenticate or contact an administrator if access is expected.</x:v>
      </x:c>
      <x:c r="I58" s="339" t="str">
        <x:v>Log security-relevant denial where appropriate.</x:v>
      </x:c>
    </x:row>
    <x:row r="59">
      <x:c r="A59" s="339" t="str">
        <x:v>EXC-00058</x:v>
      </x:c>
      <x:c r="B59" s="339" t="str">
        <x:v>SCR-022</x:v>
      </x:c>
      <x:c r="C59" s="339" t="str">
        <x:v>Organization / School / Branch Setup</x:v>
      </x:c>
      <x:c r="D59" s="339" t="str">
        <x:v>Schools List</x:v>
      </x:c>
      <x:c r="E59" s="339" t="str">
        <x:v>Stale/concurrent data</x:v>
      </x:c>
      <x:c r="F59" s="339" t="str">
        <x:v>Detect version/state mismatch before destructive update; require refresh/review.</x:v>
      </x:c>
      <x:c r="G59" s="339" t="str">
        <x:v>This record changed since you opened it. Refresh before saving.</x:v>
      </x:c>
      <x:c r="H59" s="339" t="str">
        <x:v>Reload the latest data and reapply the intended change.</x:v>
      </x:c>
      <x:c r="I59" s="339" t="str">
        <x:v>Record conflict if it affected a high-risk workflow.</x:v>
      </x:c>
    </x:row>
    <x:row r="60">
      <x:c r="A60" s="339" t="str">
        <x:v>EXC-00059</x:v>
      </x:c>
      <x:c r="B60" s="339" t="str">
        <x:v>SCR-023</x:v>
      </x:c>
      <x:c r="C60" s="339" t="str">
        <x:v>Organization / School / Branch Setup</x:v>
      </x:c>
      <x:c r="D60" s="339" t="str">
        <x:v>Add School</x:v>
      </x:c>
      <x:c r="E60" s="339" t="str">
        <x:v>Unauthorized or out-of-scope record</x:v>
      </x:c>
      <x:c r="F60" s="339" t="str">
        <x:v>Deny access/action; do not reveal existence beyond safe messaging.</x:v>
      </x:c>
      <x:c r="G60" s="339" t="str">
        <x:v>You do not have access to this record.</x:v>
      </x:c>
      <x:c r="H60" s="339" t="str">
        <x:v>Re-authenticate or contact an administrator if access is expected.</x:v>
      </x:c>
      <x:c r="I60" s="339" t="str">
        <x:v>Log security-relevant denial where appropriate.</x:v>
      </x:c>
    </x:row>
    <x:row r="61">
      <x:c r="A61" s="339" t="str">
        <x:v>EXC-00060</x:v>
      </x:c>
      <x:c r="B61" s="339" t="str">
        <x:v>SCR-023</x:v>
      </x:c>
      <x:c r="C61" s="339" t="str">
        <x:v>Organization / School / Branch Setup</x:v>
      </x:c>
      <x:c r="D61" s="339" t="str">
        <x:v>Add School</x:v>
      </x:c>
      <x:c r="E61" s="339" t="str">
        <x:v>Stale/concurrent data</x:v>
      </x:c>
      <x:c r="F61" s="339" t="str">
        <x:v>Detect version/state mismatch before destructive update; require refresh/review.</x:v>
      </x:c>
      <x:c r="G61" s="339" t="str">
        <x:v>This record changed since you opened it. Refresh before saving.</x:v>
      </x:c>
      <x:c r="H61" s="339" t="str">
        <x:v>Reload the latest data and reapply the intended change.</x:v>
      </x:c>
      <x:c r="I61" s="339" t="str">
        <x:v>Record conflict if it affected a high-risk workflow.</x:v>
      </x:c>
    </x:row>
    <x:row r="62">
      <x:c r="A62" s="339" t="str">
        <x:v>EXC-00061</x:v>
      </x:c>
      <x:c r="B62" s="339" t="str">
        <x:v>SCR-023</x:v>
      </x:c>
      <x:c r="C62" s="339" t="str">
        <x:v>Organization / School / Branch Setup</x:v>
      </x:c>
      <x:c r="D62" s="339" t="str">
        <x:v>Add School</x:v>
      </x:c>
      <x:c r="E62" s="339" t="str">
        <x:v>Downstream dependency failure</x:v>
      </x:c>
      <x:c r="F62" s="339" t="str">
        <x:v>Rollback or keep a recoverable pending state; never claim success for an incomplete critical transaction.</x:v>
      </x:c>
      <x:c r="G62" s="339" t="str">
        <x:v>The action could not be completed. No final change was applied.</x:v>
      </x:c>
      <x:c r="H62" s="339" t="str">
        <x:v>Retry safely or route to manual resolution queue.</x:v>
      </x:c>
      <x:c r="I62" s="339" t="str">
        <x:v>Capture correlation/error ID and failed step.</x:v>
      </x:c>
    </x:row>
    <x:row r="63">
      <x:c r="A63" s="339" t="str">
        <x:v>EXC-00062</x:v>
      </x:c>
      <x:c r="B63" s="339" t="str">
        <x:v>SCR-024</x:v>
      </x:c>
      <x:c r="C63" s="339" t="str">
        <x:v>Organization / School / Branch Setup</x:v>
      </x:c>
      <x:c r="D63" s="339" t="str">
        <x:v>School Details</x:v>
      </x:c>
      <x:c r="E63" s="339" t="str">
        <x:v>Unauthorized or out-of-scope record</x:v>
      </x:c>
      <x:c r="F63" s="339" t="str">
        <x:v>Deny access/action; do not reveal existence beyond safe messaging.</x:v>
      </x:c>
      <x:c r="G63" s="339" t="str">
        <x:v>You do not have access to this record.</x:v>
      </x:c>
      <x:c r="H63" s="339" t="str">
        <x:v>Re-authenticate or contact an administrator if access is expected.</x:v>
      </x:c>
      <x:c r="I63" s="339" t="str">
        <x:v>Log security-relevant denial where appropriate.</x:v>
      </x:c>
    </x:row>
    <x:row r="64">
      <x:c r="A64" s="339" t="str">
        <x:v>EXC-00063</x:v>
      </x:c>
      <x:c r="B64" s="339" t="str">
        <x:v>SCR-024</x:v>
      </x:c>
      <x:c r="C64" s="339" t="str">
        <x:v>Organization / School / Branch Setup</x:v>
      </x:c>
      <x:c r="D64" s="339" t="str">
        <x:v>School Details</x:v>
      </x:c>
      <x:c r="E64" s="339" t="str">
        <x:v>Stale/concurrent data</x:v>
      </x:c>
      <x:c r="F64" s="339" t="str">
        <x:v>Detect version/state mismatch before destructive update; require refresh/review.</x:v>
      </x:c>
      <x:c r="G64" s="339" t="str">
        <x:v>This record changed since you opened it. Refresh before saving.</x:v>
      </x:c>
      <x:c r="H64" s="339" t="str">
        <x:v>Reload the latest data and reapply the intended change.</x:v>
      </x:c>
      <x:c r="I64" s="339" t="str">
        <x:v>Record conflict if it affected a high-risk workflow.</x:v>
      </x:c>
    </x:row>
    <x:row r="65">
      <x:c r="A65" s="339" t="str">
        <x:v>EXC-00064</x:v>
      </x:c>
      <x:c r="B65" s="339" t="str">
        <x:v>SCR-025</x:v>
      </x:c>
      <x:c r="C65" s="339" t="str">
        <x:v>Organization / School / Branch Setup</x:v>
      </x:c>
      <x:c r="D65" s="339" t="str">
        <x:v>Branches List</x:v>
      </x:c>
      <x:c r="E65" s="339" t="str">
        <x:v>Unauthorized or out-of-scope record</x:v>
      </x:c>
      <x:c r="F65" s="339" t="str">
        <x:v>Deny access/action; do not reveal existence beyond safe messaging.</x:v>
      </x:c>
      <x:c r="G65" s="339" t="str">
        <x:v>You do not have access to this record.</x:v>
      </x:c>
      <x:c r="H65" s="339" t="str">
        <x:v>Re-authenticate or contact an administrator if access is expected.</x:v>
      </x:c>
      <x:c r="I65" s="339" t="str">
        <x:v>Log security-relevant denial where appropriate.</x:v>
      </x:c>
    </x:row>
    <x:row r="66">
      <x:c r="A66" s="339" t="str">
        <x:v>EXC-00065</x:v>
      </x:c>
      <x:c r="B66" s="339" t="str">
        <x:v>SCR-025</x:v>
      </x:c>
      <x:c r="C66" s="339" t="str">
        <x:v>Organization / School / Branch Setup</x:v>
      </x:c>
      <x:c r="D66" s="339" t="str">
        <x:v>Branches List</x:v>
      </x:c>
      <x:c r="E66" s="339" t="str">
        <x:v>Stale/concurrent data</x:v>
      </x:c>
      <x:c r="F66" s="339" t="str">
        <x:v>Detect version/state mismatch before destructive update; require refresh/review.</x:v>
      </x:c>
      <x:c r="G66" s="339" t="str">
        <x:v>This record changed since you opened it. Refresh before saving.</x:v>
      </x:c>
      <x:c r="H66" s="339" t="str">
        <x:v>Reload the latest data and reapply the intended change.</x:v>
      </x:c>
      <x:c r="I66" s="339" t="str">
        <x:v>Record conflict if it affected a high-risk workflow.</x:v>
      </x:c>
    </x:row>
    <x:row r="67">
      <x:c r="A67" s="339" t="str">
        <x:v>EXC-00066</x:v>
      </x:c>
      <x:c r="B67" s="339" t="str">
        <x:v>SCR-026</x:v>
      </x:c>
      <x:c r="C67" s="339" t="str">
        <x:v>Organization / School / Branch Setup</x:v>
      </x:c>
      <x:c r="D67" s="339" t="str">
        <x:v>Add Branch</x:v>
      </x:c>
      <x:c r="E67" s="339" t="str">
        <x:v>Unauthorized or out-of-scope record</x:v>
      </x:c>
      <x:c r="F67" s="339" t="str">
        <x:v>Deny access/action; do not reveal existence beyond safe messaging.</x:v>
      </x:c>
      <x:c r="G67" s="339" t="str">
        <x:v>You do not have access to this record.</x:v>
      </x:c>
      <x:c r="H67" s="339" t="str">
        <x:v>Re-authenticate or contact an administrator if access is expected.</x:v>
      </x:c>
      <x:c r="I67" s="339" t="str">
        <x:v>Log security-relevant denial where appropriate.</x:v>
      </x:c>
    </x:row>
    <x:row r="68">
      <x:c r="A68" s="339" t="str">
        <x:v>EXC-00067</x:v>
      </x:c>
      <x:c r="B68" s="339" t="str">
        <x:v>SCR-026</x:v>
      </x:c>
      <x:c r="C68" s="339" t="str">
        <x:v>Organization / School / Branch Setup</x:v>
      </x:c>
      <x:c r="D68" s="339" t="str">
        <x:v>Add Branch</x:v>
      </x:c>
      <x:c r="E68" s="339" t="str">
        <x:v>Stale/concurrent data</x:v>
      </x:c>
      <x:c r="F68" s="339" t="str">
        <x:v>Detect version/state mismatch before destructive update; require refresh/review.</x:v>
      </x:c>
      <x:c r="G68" s="339" t="str">
        <x:v>This record changed since you opened it. Refresh before saving.</x:v>
      </x:c>
      <x:c r="H68" s="339" t="str">
        <x:v>Reload the latest data and reapply the intended change.</x:v>
      </x:c>
      <x:c r="I68" s="339" t="str">
        <x:v>Record conflict if it affected a high-risk workflow.</x:v>
      </x:c>
    </x:row>
    <x:row r="69">
      <x:c r="A69" s="339" t="str">
        <x:v>EXC-00068</x:v>
      </x:c>
      <x:c r="B69" s="339" t="str">
        <x:v>SCR-026</x:v>
      </x:c>
      <x:c r="C69" s="339" t="str">
        <x:v>Organization / School / Branch Setup</x:v>
      </x:c>
      <x:c r="D69" s="339" t="str">
        <x:v>Add Branch</x:v>
      </x:c>
      <x:c r="E69" s="339" t="str">
        <x:v>Downstream dependency failure</x:v>
      </x:c>
      <x:c r="F69" s="339" t="str">
        <x:v>Rollback or keep a recoverable pending state; never claim success for an incomplete critical transaction.</x:v>
      </x:c>
      <x:c r="G69" s="339" t="str">
        <x:v>The action could not be completed. No final change was applied.</x:v>
      </x:c>
      <x:c r="H69" s="339" t="str">
        <x:v>Retry safely or route to manual resolution queue.</x:v>
      </x:c>
      <x:c r="I69" s="339" t="str">
        <x:v>Capture correlation/error ID and failed step.</x:v>
      </x:c>
    </x:row>
    <x:row r="70">
      <x:c r="A70" s="339" t="str">
        <x:v>EXC-00069</x:v>
      </x:c>
      <x:c r="B70" s="339" t="str">
        <x:v>SCR-027</x:v>
      </x:c>
      <x:c r="C70" s="339" t="str">
        <x:v>Organization / School / Branch Setup</x:v>
      </x:c>
      <x:c r="D70" s="339" t="str">
        <x:v>Branch Details</x:v>
      </x:c>
      <x:c r="E70" s="339" t="str">
        <x:v>Unauthorized or out-of-scope record</x:v>
      </x:c>
      <x:c r="F70" s="339" t="str">
        <x:v>Deny access/action; do not reveal existence beyond safe messaging.</x:v>
      </x:c>
      <x:c r="G70" s="339" t="str">
        <x:v>You do not have access to this record.</x:v>
      </x:c>
      <x:c r="H70" s="339" t="str">
        <x:v>Re-authenticate or contact an administrator if access is expected.</x:v>
      </x:c>
      <x:c r="I70" s="339" t="str">
        <x:v>Log security-relevant denial where appropriate.</x:v>
      </x:c>
    </x:row>
    <x:row r="71">
      <x:c r="A71" s="339" t="str">
        <x:v>EXC-00070</x:v>
      </x:c>
      <x:c r="B71" s="339" t="str">
        <x:v>SCR-027</x:v>
      </x:c>
      <x:c r="C71" s="339" t="str">
        <x:v>Organization / School / Branch Setup</x:v>
      </x:c>
      <x:c r="D71" s="339" t="str">
        <x:v>Branch Details</x:v>
      </x:c>
      <x:c r="E71" s="339" t="str">
        <x:v>Stale/concurrent data</x:v>
      </x:c>
      <x:c r="F71" s="339" t="str">
        <x:v>Detect version/state mismatch before destructive update; require refresh/review.</x:v>
      </x:c>
      <x:c r="G71" s="339" t="str">
        <x:v>This record changed since you opened it. Refresh before saving.</x:v>
      </x:c>
      <x:c r="H71" s="339" t="str">
        <x:v>Reload the latest data and reapply the intended change.</x:v>
      </x:c>
      <x:c r="I71" s="339" t="str">
        <x:v>Record conflict if it affected a high-risk workflow.</x:v>
      </x:c>
    </x:row>
    <x:row r="72">
      <x:c r="A72" s="339" t="str">
        <x:v>EXC-00071</x:v>
      </x:c>
      <x:c r="B72" s="339" t="str">
        <x:v>SCR-028</x:v>
      </x:c>
      <x:c r="C72" s="339" t="str">
        <x:v>Organization / School / Branch Setup</x:v>
      </x:c>
      <x:c r="D72" s="339" t="str">
        <x:v>Academic Year Setup</x:v>
      </x:c>
      <x:c r="E72" s="339" t="str">
        <x:v>Unauthorized or out-of-scope record</x:v>
      </x:c>
      <x:c r="F72" s="339" t="str">
        <x:v>Deny access/action; do not reveal existence beyond safe messaging.</x:v>
      </x:c>
      <x:c r="G72" s="339" t="str">
        <x:v>You do not have access to this record.</x:v>
      </x:c>
      <x:c r="H72" s="339" t="str">
        <x:v>Re-authenticate or contact an administrator if access is expected.</x:v>
      </x:c>
      <x:c r="I72" s="339" t="str">
        <x:v>Log security-relevant denial where appropriate.</x:v>
      </x:c>
    </x:row>
    <x:row r="73">
      <x:c r="A73" s="339" t="str">
        <x:v>EXC-00072</x:v>
      </x:c>
      <x:c r="B73" s="339" t="str">
        <x:v>SCR-028</x:v>
      </x:c>
      <x:c r="C73" s="339" t="str">
        <x:v>Organization / School / Branch Setup</x:v>
      </x:c>
      <x:c r="D73" s="339" t="str">
        <x:v>Academic Year Setup</x:v>
      </x:c>
      <x:c r="E73" s="339" t="str">
        <x:v>Stale/concurrent data</x:v>
      </x:c>
      <x:c r="F73" s="339" t="str">
        <x:v>Detect version/state mismatch before destructive update; require refresh/review.</x:v>
      </x:c>
      <x:c r="G73" s="339" t="str">
        <x:v>This record changed since you opened it. Refresh before saving.</x:v>
      </x:c>
      <x:c r="H73" s="339" t="str">
        <x:v>Reload the latest data and reapply the intended change.</x:v>
      </x:c>
      <x:c r="I73" s="339" t="str">
        <x:v>Record conflict if it affected a high-risk workflow.</x:v>
      </x:c>
    </x:row>
    <x:row r="74">
      <x:c r="A74" s="339" t="str">
        <x:v>EXC-00073</x:v>
      </x:c>
      <x:c r="B74" s="339" t="str">
        <x:v>SCR-028</x:v>
      </x:c>
      <x:c r="C74" s="339" t="str">
        <x:v>Organization / School / Branch Setup</x:v>
      </x:c>
      <x:c r="D74" s="339" t="str">
        <x:v>Academic Year Setup</x:v>
      </x:c>
      <x:c r="E74" s="339" t="str">
        <x:v>Downstream dependency failure</x:v>
      </x:c>
      <x:c r="F74" s="339" t="str">
        <x:v>Rollback or keep a recoverable pending state; never claim success for an incomplete critical transaction.</x:v>
      </x:c>
      <x:c r="G74" s="339" t="str">
        <x:v>The action could not be completed. No final change was applied.</x:v>
      </x:c>
      <x:c r="H74" s="339" t="str">
        <x:v>Retry safely or route to manual resolution queue.</x:v>
      </x:c>
      <x:c r="I74" s="339" t="str">
        <x:v>Capture correlation/error ID and failed step.</x:v>
      </x:c>
    </x:row>
    <x:row r="75">
      <x:c r="A75" s="339" t="str">
        <x:v>EXC-00074</x:v>
      </x:c>
      <x:c r="B75" s="339" t="str">
        <x:v>SCR-029</x:v>
      </x:c>
      <x:c r="C75" s="339" t="str">
        <x:v>Organization / School / Branch Setup</x:v>
      </x:c>
      <x:c r="D75" s="339" t="str">
        <x:v>Grade / Class Setup</x:v>
      </x:c>
      <x:c r="E75" s="339" t="str">
        <x:v>Unauthorized or out-of-scope record</x:v>
      </x:c>
      <x:c r="F75" s="339" t="str">
        <x:v>Deny access/action; do not reveal existence beyond safe messaging.</x:v>
      </x:c>
      <x:c r="G75" s="339" t="str">
        <x:v>You do not have access to this record.</x:v>
      </x:c>
      <x:c r="H75" s="339" t="str">
        <x:v>Re-authenticate or contact an administrator if access is expected.</x:v>
      </x:c>
      <x:c r="I75" s="339" t="str">
        <x:v>Log security-relevant denial where appropriate.</x:v>
      </x:c>
    </x:row>
    <x:row r="76">
      <x:c r="A76" s="339" t="str">
        <x:v>EXC-00075</x:v>
      </x:c>
      <x:c r="B76" s="339" t="str">
        <x:v>SCR-029</x:v>
      </x:c>
      <x:c r="C76" s="339" t="str">
        <x:v>Organization / School / Branch Setup</x:v>
      </x:c>
      <x:c r="D76" s="339" t="str">
        <x:v>Grade / Class Setup</x:v>
      </x:c>
      <x:c r="E76" s="339" t="str">
        <x:v>Stale/concurrent data</x:v>
      </x:c>
      <x:c r="F76" s="339" t="str">
        <x:v>Detect version/state mismatch before destructive update; require refresh/review.</x:v>
      </x:c>
      <x:c r="G76" s="339" t="str">
        <x:v>This record changed since you opened it. Refresh before saving.</x:v>
      </x:c>
      <x:c r="H76" s="339" t="str">
        <x:v>Reload the latest data and reapply the intended change.</x:v>
      </x:c>
      <x:c r="I76" s="339" t="str">
        <x:v>Record conflict if it affected a high-risk workflow.</x:v>
      </x:c>
    </x:row>
    <x:row r="77">
      <x:c r="A77" s="339" t="str">
        <x:v>EXC-00076</x:v>
      </x:c>
      <x:c r="B77" s="339" t="str">
        <x:v>SCR-029</x:v>
      </x:c>
      <x:c r="C77" s="339" t="str">
        <x:v>Organization / School / Branch Setup</x:v>
      </x:c>
      <x:c r="D77" s="339" t="str">
        <x:v>Grade / Class Setup</x:v>
      </x:c>
      <x:c r="E77" s="339" t="str">
        <x:v>Downstream dependency failure</x:v>
      </x:c>
      <x:c r="F77" s="339" t="str">
        <x:v>Rollback or keep a recoverable pending state; never claim success for an incomplete critical transaction.</x:v>
      </x:c>
      <x:c r="G77" s="339" t="str">
        <x:v>The action could not be completed. No final change was applied.</x:v>
      </x:c>
      <x:c r="H77" s="339" t="str">
        <x:v>Retry safely or route to manual resolution queue.</x:v>
      </x:c>
      <x:c r="I77" s="339" t="str">
        <x:v>Capture correlation/error ID and failed step.</x:v>
      </x:c>
    </x:row>
    <x:row r="78">
      <x:c r="A78" s="339" t="str">
        <x:v>EXC-00077</x:v>
      </x:c>
      <x:c r="B78" s="339" t="str">
        <x:v>SCR-030</x:v>
      </x:c>
      <x:c r="C78" s="339" t="str">
        <x:v>Organization / School / Branch Setup</x:v>
      </x:c>
      <x:c r="D78" s="339" t="str">
        <x:v>Section Setup</x:v>
      </x:c>
      <x:c r="E78" s="339" t="str">
        <x:v>Unauthorized or out-of-scope record</x:v>
      </x:c>
      <x:c r="F78" s="339" t="str">
        <x:v>Deny access/action; do not reveal existence beyond safe messaging.</x:v>
      </x:c>
      <x:c r="G78" s="339" t="str">
        <x:v>You do not have access to this record.</x:v>
      </x:c>
      <x:c r="H78" s="339" t="str">
        <x:v>Re-authenticate or contact an administrator if access is expected.</x:v>
      </x:c>
      <x:c r="I78" s="339" t="str">
        <x:v>Log security-relevant denial where appropriate.</x:v>
      </x:c>
    </x:row>
    <x:row r="79">
      <x:c r="A79" s="339" t="str">
        <x:v>EXC-00078</x:v>
      </x:c>
      <x:c r="B79" s="339" t="str">
        <x:v>SCR-030</x:v>
      </x:c>
      <x:c r="C79" s="339" t="str">
        <x:v>Organization / School / Branch Setup</x:v>
      </x:c>
      <x:c r="D79" s="339" t="str">
        <x:v>Section Setup</x:v>
      </x:c>
      <x:c r="E79" s="339" t="str">
        <x:v>Stale/concurrent data</x:v>
      </x:c>
      <x:c r="F79" s="339" t="str">
        <x:v>Detect version/state mismatch before destructive update; require refresh/review.</x:v>
      </x:c>
      <x:c r="G79" s="339" t="str">
        <x:v>This record changed since you opened it. Refresh before saving.</x:v>
      </x:c>
      <x:c r="H79" s="339" t="str">
        <x:v>Reload the latest data and reapply the intended change.</x:v>
      </x:c>
      <x:c r="I79" s="339" t="str">
        <x:v>Record conflict if it affected a high-risk workflow.</x:v>
      </x:c>
    </x:row>
    <x:row r="80">
      <x:c r="A80" s="339" t="str">
        <x:v>EXC-00079</x:v>
      </x:c>
      <x:c r="B80" s="339" t="str">
        <x:v>SCR-030</x:v>
      </x:c>
      <x:c r="C80" s="339" t="str">
        <x:v>Organization / School / Branch Setup</x:v>
      </x:c>
      <x:c r="D80" s="339" t="str">
        <x:v>Section Setup</x:v>
      </x:c>
      <x:c r="E80" s="339" t="str">
        <x:v>Downstream dependency failure</x:v>
      </x:c>
      <x:c r="F80" s="339" t="str">
        <x:v>Rollback or keep a recoverable pending state; never claim success for an incomplete critical transaction.</x:v>
      </x:c>
      <x:c r="G80" s="339" t="str">
        <x:v>The action could not be completed. No final change was applied.</x:v>
      </x:c>
      <x:c r="H80" s="339" t="str">
        <x:v>Retry safely or route to manual resolution queue.</x:v>
      </x:c>
      <x:c r="I80" s="339" t="str">
        <x:v>Capture correlation/error ID and failed step.</x:v>
      </x:c>
    </x:row>
    <x:row r="81">
      <x:c r="A81" s="339" t="str">
        <x:v>EXC-00080</x:v>
      </x:c>
      <x:c r="B81" s="339" t="str">
        <x:v>SCR-031</x:v>
      </x:c>
      <x:c r="C81" s="339" t="str">
        <x:v>Organization / School / Branch Setup</x:v>
      </x:c>
      <x:c r="D81" s="339" t="str">
        <x:v>Department Setup</x:v>
      </x:c>
      <x:c r="E81" s="339" t="str">
        <x:v>Unauthorized or out-of-scope record</x:v>
      </x:c>
      <x:c r="F81" s="339" t="str">
        <x:v>Deny access/action; do not reveal existence beyond safe messaging.</x:v>
      </x:c>
      <x:c r="G81" s="339" t="str">
        <x:v>You do not have access to this record.</x:v>
      </x:c>
      <x:c r="H81" s="339" t="str">
        <x:v>Re-authenticate or contact an administrator if access is expected.</x:v>
      </x:c>
      <x:c r="I81" s="339" t="str">
        <x:v>Log security-relevant denial where appropriate.</x:v>
      </x:c>
    </x:row>
    <x:row r="82">
      <x:c r="A82" s="339" t="str">
        <x:v>EXC-00081</x:v>
      </x:c>
      <x:c r="B82" s="339" t="str">
        <x:v>SCR-031</x:v>
      </x:c>
      <x:c r="C82" s="339" t="str">
        <x:v>Organization / School / Branch Setup</x:v>
      </x:c>
      <x:c r="D82" s="339" t="str">
        <x:v>Department Setup</x:v>
      </x:c>
      <x:c r="E82" s="339" t="str">
        <x:v>Stale/concurrent data</x:v>
      </x:c>
      <x:c r="F82" s="339" t="str">
        <x:v>Detect version/state mismatch before destructive update; require refresh/review.</x:v>
      </x:c>
      <x:c r="G82" s="339" t="str">
        <x:v>This record changed since you opened it. Refresh before saving.</x:v>
      </x:c>
      <x:c r="H82" s="339" t="str">
        <x:v>Reload the latest data and reapply the intended change.</x:v>
      </x:c>
      <x:c r="I82" s="339" t="str">
        <x:v>Record conflict if it affected a high-risk workflow.</x:v>
      </x:c>
    </x:row>
    <x:row r="83">
      <x:c r="A83" s="339" t="str">
        <x:v>EXC-00082</x:v>
      </x:c>
      <x:c r="B83" s="339" t="str">
        <x:v>SCR-031</x:v>
      </x:c>
      <x:c r="C83" s="339" t="str">
        <x:v>Organization / School / Branch Setup</x:v>
      </x:c>
      <x:c r="D83" s="339" t="str">
        <x:v>Department Setup</x:v>
      </x:c>
      <x:c r="E83" s="339" t="str">
        <x:v>Downstream dependency failure</x:v>
      </x:c>
      <x:c r="F83" s="339" t="str">
        <x:v>Rollback or keep a recoverable pending state; never claim success for an incomplete critical transaction.</x:v>
      </x:c>
      <x:c r="G83" s="339" t="str">
        <x:v>The action could not be completed. No final change was applied.</x:v>
      </x:c>
      <x:c r="H83" s="339" t="str">
        <x:v>Retry safely or route to manual resolution queue.</x:v>
      </x:c>
      <x:c r="I83" s="339" t="str">
        <x:v>Capture correlation/error ID and failed step.</x:v>
      </x:c>
    </x:row>
    <x:row r="84">
      <x:c r="A84" s="339" t="str">
        <x:v>EXC-00083</x:v>
      </x:c>
      <x:c r="B84" s="339" t="str">
        <x:v>SCR-032</x:v>
      </x:c>
      <x:c r="C84" s="339" t="str">
        <x:v>Organization / School / Branch Setup</x:v>
      </x:c>
      <x:c r="D84" s="339" t="str">
        <x:v>School Branding &amp; Profile</x:v>
      </x:c>
      <x:c r="E84" s="339" t="str">
        <x:v>Unauthorized or out-of-scope record</x:v>
      </x:c>
      <x:c r="F84" s="339" t="str">
        <x:v>Deny access/action; do not reveal existence beyond safe messaging.</x:v>
      </x:c>
      <x:c r="G84" s="339" t="str">
        <x:v>You do not have access to this record.</x:v>
      </x:c>
      <x:c r="H84" s="339" t="str">
        <x:v>Re-authenticate or contact an administrator if access is expected.</x:v>
      </x:c>
      <x:c r="I84" s="339" t="str">
        <x:v>Log security-relevant denial where appropriate.</x:v>
      </x:c>
    </x:row>
    <x:row r="85">
      <x:c r="A85" s="339" t="str">
        <x:v>EXC-00084</x:v>
      </x:c>
      <x:c r="B85" s="339" t="str">
        <x:v>SCR-032</x:v>
      </x:c>
      <x:c r="C85" s="339" t="str">
        <x:v>Organization / School / Branch Setup</x:v>
      </x:c>
      <x:c r="D85" s="339" t="str">
        <x:v>School Branding &amp; Profile</x:v>
      </x:c>
      <x:c r="E85" s="339" t="str">
        <x:v>Stale/concurrent data</x:v>
      </x:c>
      <x:c r="F85" s="339" t="str">
        <x:v>Detect version/state mismatch before destructive update; require refresh/review.</x:v>
      </x:c>
      <x:c r="G85" s="339" t="str">
        <x:v>This record changed since you opened it. Refresh before saving.</x:v>
      </x:c>
      <x:c r="H85" s="339" t="str">
        <x:v>Reload the latest data and reapply the intended change.</x:v>
      </x:c>
      <x:c r="I85" s="339" t="str">
        <x:v>Record conflict if it affected a high-risk workflow.</x:v>
      </x:c>
    </x:row>
    <x:row r="86">
      <x:c r="A86" s="339" t="str">
        <x:v>EXC-00085</x:v>
      </x:c>
      <x:c r="B86" s="339" t="str">
        <x:v>SCR-033</x:v>
      </x:c>
      <x:c r="C86" s="339" t="str">
        <x:v>Role Dashboards</x:v>
      </x:c>
      <x:c r="D86" s="339" t="str">
        <x:v>School Admin Dashboard</x:v>
      </x:c>
      <x:c r="E86" s="339" t="str">
        <x:v>Unauthorized or out-of-scope record</x:v>
      </x:c>
      <x:c r="F86" s="339" t="str">
        <x:v>Deny access/action; do not reveal existence beyond safe messaging.</x:v>
      </x:c>
      <x:c r="G86" s="339" t="str">
        <x:v>You do not have access to this record.</x:v>
      </x:c>
      <x:c r="H86" s="339" t="str">
        <x:v>Re-authenticate or contact an administrator if access is expected.</x:v>
      </x:c>
      <x:c r="I86" s="339" t="str">
        <x:v>Log security-relevant denial where appropriate.</x:v>
      </x:c>
    </x:row>
    <x:row r="87">
      <x:c r="A87" s="339" t="str">
        <x:v>EXC-00086</x:v>
      </x:c>
      <x:c r="B87" s="339" t="str">
        <x:v>SCR-033</x:v>
      </x:c>
      <x:c r="C87" s="339" t="str">
        <x:v>Role Dashboards</x:v>
      </x:c>
      <x:c r="D87" s="339" t="str">
        <x:v>School Admin Dashboard</x:v>
      </x:c>
      <x:c r="E87" s="339" t="str">
        <x:v>Stale/concurrent data</x:v>
      </x:c>
      <x:c r="F87" s="339" t="str">
        <x:v>Detect version/state mismatch before destructive update; require refresh/review.</x:v>
      </x:c>
      <x:c r="G87" s="339" t="str">
        <x:v>This record changed since you opened it. Refresh before saving.</x:v>
      </x:c>
      <x:c r="H87" s="339" t="str">
        <x:v>Reload the latest data and reapply the intended change.</x:v>
      </x:c>
      <x:c r="I87" s="339" t="str">
        <x:v>Record conflict if it affected a high-risk workflow.</x:v>
      </x:c>
    </x:row>
    <x:row r="88">
      <x:c r="A88" s="339" t="str">
        <x:v>EXC-00087</x:v>
      </x:c>
      <x:c r="B88" s="339" t="str">
        <x:v>SCR-034</x:v>
      </x:c>
      <x:c r="C88" s="339" t="str">
        <x:v>Role Dashboards</x:v>
      </x:c>
      <x:c r="D88" s="339" t="str">
        <x:v>Principal Dashboard</x:v>
      </x:c>
      <x:c r="E88" s="339" t="str">
        <x:v>Unauthorized or out-of-scope record</x:v>
      </x:c>
      <x:c r="F88" s="339" t="str">
        <x:v>Deny access/action; do not reveal existence beyond safe messaging.</x:v>
      </x:c>
      <x:c r="G88" s="339" t="str">
        <x:v>You do not have access to this record.</x:v>
      </x:c>
      <x:c r="H88" s="339" t="str">
        <x:v>Re-authenticate or contact an administrator if access is expected.</x:v>
      </x:c>
      <x:c r="I88" s="339" t="str">
        <x:v>Log security-relevant denial where appropriate.</x:v>
      </x:c>
    </x:row>
    <x:row r="89">
      <x:c r="A89" s="339" t="str">
        <x:v>EXC-00088</x:v>
      </x:c>
      <x:c r="B89" s="339" t="str">
        <x:v>SCR-034</x:v>
      </x:c>
      <x:c r="C89" s="339" t="str">
        <x:v>Role Dashboards</x:v>
      </x:c>
      <x:c r="D89" s="339" t="str">
        <x:v>Principal Dashboard</x:v>
      </x:c>
      <x:c r="E89" s="339" t="str">
        <x:v>Stale/concurrent data</x:v>
      </x:c>
      <x:c r="F89" s="339" t="str">
        <x:v>Detect version/state mismatch before destructive update; require refresh/review.</x:v>
      </x:c>
      <x:c r="G89" s="339" t="str">
        <x:v>This record changed since you opened it. Refresh before saving.</x:v>
      </x:c>
      <x:c r="H89" s="339" t="str">
        <x:v>Reload the latest data and reapply the intended change.</x:v>
      </x:c>
      <x:c r="I89" s="339" t="str">
        <x:v>Record conflict if it affected a high-risk workflow.</x:v>
      </x:c>
    </x:row>
    <x:row r="90">
      <x:c r="A90" s="339" t="str">
        <x:v>EXC-00089</x:v>
      </x:c>
      <x:c r="B90" s="339" t="str">
        <x:v>SCR-035</x:v>
      </x:c>
      <x:c r="C90" s="339" t="str">
        <x:v>Role Dashboards</x:v>
      </x:c>
      <x:c r="D90" s="339" t="str">
        <x:v>Teacher Dashboard</x:v>
      </x:c>
      <x:c r="E90" s="339" t="str">
        <x:v>Unauthorized or out-of-scope record</x:v>
      </x:c>
      <x:c r="F90" s="339" t="str">
        <x:v>Deny access/action; do not reveal existence beyond safe messaging.</x:v>
      </x:c>
      <x:c r="G90" s="339" t="str">
        <x:v>You do not have access to this record.</x:v>
      </x:c>
      <x:c r="H90" s="339" t="str">
        <x:v>Re-authenticate or contact an administrator if access is expected.</x:v>
      </x:c>
      <x:c r="I90" s="339" t="str">
        <x:v>Log security-relevant denial where appropriate.</x:v>
      </x:c>
    </x:row>
    <x:row r="91">
      <x:c r="A91" s="339" t="str">
        <x:v>EXC-00090</x:v>
      </x:c>
      <x:c r="B91" s="339" t="str">
        <x:v>SCR-035</x:v>
      </x:c>
      <x:c r="C91" s="339" t="str">
        <x:v>Role Dashboards</x:v>
      </x:c>
      <x:c r="D91" s="339" t="str">
        <x:v>Teacher Dashboard</x:v>
      </x:c>
      <x:c r="E91" s="339" t="str">
        <x:v>Stale/concurrent data</x:v>
      </x:c>
      <x:c r="F91" s="339" t="str">
        <x:v>Detect version/state mismatch before destructive update; require refresh/review.</x:v>
      </x:c>
      <x:c r="G91" s="339" t="str">
        <x:v>This record changed since you opened it. Refresh before saving.</x:v>
      </x:c>
      <x:c r="H91" s="339" t="str">
        <x:v>Reload the latest data and reapply the intended change.</x:v>
      </x:c>
      <x:c r="I91" s="339" t="str">
        <x:v>Record conflict if it affected a high-risk workflow.</x:v>
      </x:c>
    </x:row>
    <x:row r="92">
      <x:c r="A92" s="339" t="str">
        <x:v>EXC-00091</x:v>
      </x:c>
      <x:c r="B92" s="339" t="str">
        <x:v>SCR-036</x:v>
      </x:c>
      <x:c r="C92" s="339" t="str">
        <x:v>Role Dashboards</x:v>
      </x:c>
      <x:c r="D92" s="339" t="str">
        <x:v>Student Dashboard</x:v>
      </x:c>
      <x:c r="E92" s="339" t="str">
        <x:v>Unauthorized or out-of-scope record</x:v>
      </x:c>
      <x:c r="F92" s="339" t="str">
        <x:v>Deny access/action; do not reveal existence beyond safe messaging.</x:v>
      </x:c>
      <x:c r="G92" s="339" t="str">
        <x:v>You do not have access to this record.</x:v>
      </x:c>
      <x:c r="H92" s="339" t="str">
        <x:v>Re-authenticate or contact an administrator if access is expected.</x:v>
      </x:c>
      <x:c r="I92" s="339" t="str">
        <x:v>Log security-relevant denial where appropriate.</x:v>
      </x:c>
    </x:row>
    <x:row r="93">
      <x:c r="A93" s="339" t="str">
        <x:v>EXC-00092</x:v>
      </x:c>
      <x:c r="B93" s="339" t="str">
        <x:v>SCR-036</x:v>
      </x:c>
      <x:c r="C93" s="339" t="str">
        <x:v>Role Dashboards</x:v>
      </x:c>
      <x:c r="D93" s="339" t="str">
        <x:v>Student Dashboard</x:v>
      </x:c>
      <x:c r="E93" s="339" t="str">
        <x:v>Stale/concurrent data</x:v>
      </x:c>
      <x:c r="F93" s="339" t="str">
        <x:v>Detect version/state mismatch before destructive update; require refresh/review.</x:v>
      </x:c>
      <x:c r="G93" s="339" t="str">
        <x:v>This record changed since you opened it. Refresh before saving.</x:v>
      </x:c>
      <x:c r="H93" s="339" t="str">
        <x:v>Reload the latest data and reapply the intended change.</x:v>
      </x:c>
      <x:c r="I93" s="339" t="str">
        <x:v>Record conflict if it affected a high-risk workflow.</x:v>
      </x:c>
    </x:row>
    <x:row r="94">
      <x:c r="A94" s="339" t="str">
        <x:v>EXC-00093</x:v>
      </x:c>
      <x:c r="B94" s="339" t="str">
        <x:v>SCR-037</x:v>
      </x:c>
      <x:c r="C94" s="339" t="str">
        <x:v>Role Dashboards</x:v>
      </x:c>
      <x:c r="D94" s="339" t="str">
        <x:v>Parent Dashboard</x:v>
      </x:c>
      <x:c r="E94" s="339" t="str">
        <x:v>Unauthorized or out-of-scope record</x:v>
      </x:c>
      <x:c r="F94" s="339" t="str">
        <x:v>Deny access/action; do not reveal existence beyond safe messaging.</x:v>
      </x:c>
      <x:c r="G94" s="339" t="str">
        <x:v>You do not have access to this record.</x:v>
      </x:c>
      <x:c r="H94" s="339" t="str">
        <x:v>Re-authenticate or contact an administrator if access is expected.</x:v>
      </x:c>
      <x:c r="I94" s="339" t="str">
        <x:v>Log security-relevant denial where appropriate.</x:v>
      </x:c>
    </x:row>
    <x:row r="95">
      <x:c r="A95" s="339" t="str">
        <x:v>EXC-00094</x:v>
      </x:c>
      <x:c r="B95" s="339" t="str">
        <x:v>SCR-037</x:v>
      </x:c>
      <x:c r="C95" s="339" t="str">
        <x:v>Role Dashboards</x:v>
      </x:c>
      <x:c r="D95" s="339" t="str">
        <x:v>Parent Dashboard</x:v>
      </x:c>
      <x:c r="E95" s="339" t="str">
        <x:v>Stale/concurrent data</x:v>
      </x:c>
      <x:c r="F95" s="339" t="str">
        <x:v>Detect version/state mismatch before destructive update; require refresh/review.</x:v>
      </x:c>
      <x:c r="G95" s="339" t="str">
        <x:v>This record changed since you opened it. Refresh before saving.</x:v>
      </x:c>
      <x:c r="H95" s="339" t="str">
        <x:v>Reload the latest data and reapply the intended change.</x:v>
      </x:c>
      <x:c r="I95" s="339" t="str">
        <x:v>Record conflict if it affected a high-risk workflow.</x:v>
      </x:c>
    </x:row>
    <x:row r="96">
      <x:c r="A96" s="339" t="str">
        <x:v>EXC-00095</x:v>
      </x:c>
      <x:c r="B96" s="339" t="str">
        <x:v>SCR-038</x:v>
      </x:c>
      <x:c r="C96" s="339" t="str">
        <x:v>Role Dashboards</x:v>
      </x:c>
      <x:c r="D96" s="339" t="str">
        <x:v>Accountant Dashboard</x:v>
      </x:c>
      <x:c r="E96" s="339" t="str">
        <x:v>Unauthorized or out-of-scope record</x:v>
      </x:c>
      <x:c r="F96" s="339" t="str">
        <x:v>Deny access/action; do not reveal existence beyond safe messaging.</x:v>
      </x:c>
      <x:c r="G96" s="339" t="str">
        <x:v>You do not have access to this record.</x:v>
      </x:c>
      <x:c r="H96" s="339" t="str">
        <x:v>Re-authenticate or contact an administrator if access is expected.</x:v>
      </x:c>
      <x:c r="I96" s="339" t="str">
        <x:v>Log security-relevant denial where appropriate.</x:v>
      </x:c>
    </x:row>
    <x:row r="97">
      <x:c r="A97" s="339" t="str">
        <x:v>EXC-00096</x:v>
      </x:c>
      <x:c r="B97" s="339" t="str">
        <x:v>SCR-038</x:v>
      </x:c>
      <x:c r="C97" s="339" t="str">
        <x:v>Role Dashboards</x:v>
      </x:c>
      <x:c r="D97" s="339" t="str">
        <x:v>Accountant Dashboard</x:v>
      </x:c>
      <x:c r="E97" s="339" t="str">
        <x:v>Stale/concurrent data</x:v>
      </x:c>
      <x:c r="F97" s="339" t="str">
        <x:v>Detect version/state mismatch before destructive update; require refresh/review.</x:v>
      </x:c>
      <x:c r="G97" s="339" t="str">
        <x:v>This record changed since you opened it. Refresh before saving.</x:v>
      </x:c>
      <x:c r="H97" s="339" t="str">
        <x:v>Reload the latest data and reapply the intended change.</x:v>
      </x:c>
      <x:c r="I97" s="339" t="str">
        <x:v>Record conflict if it affected a high-risk workflow.</x:v>
      </x:c>
    </x:row>
    <x:row r="98">
      <x:c r="A98" s="339" t="str">
        <x:v>EXC-00097</x:v>
      </x:c>
      <x:c r="B98" s="339" t="str">
        <x:v>SCR-039</x:v>
      </x:c>
      <x:c r="C98" s="339" t="str">
        <x:v>Role Dashboards</x:v>
      </x:c>
      <x:c r="D98" s="339" t="str">
        <x:v>HR Dashboard</x:v>
      </x:c>
      <x:c r="E98" s="339" t="str">
        <x:v>Unauthorized or out-of-scope record</x:v>
      </x:c>
      <x:c r="F98" s="339" t="str">
        <x:v>Deny access/action; do not reveal existence beyond safe messaging.</x:v>
      </x:c>
      <x:c r="G98" s="339" t="str">
        <x:v>You do not have access to this record.</x:v>
      </x:c>
      <x:c r="H98" s="339" t="str">
        <x:v>Re-authenticate or contact an administrator if access is expected.</x:v>
      </x:c>
      <x:c r="I98" s="339" t="str">
        <x:v>Log security-relevant denial where appropriate.</x:v>
      </x:c>
    </x:row>
    <x:row r="99">
      <x:c r="A99" s="339" t="str">
        <x:v>EXC-00098</x:v>
      </x:c>
      <x:c r="B99" s="339" t="str">
        <x:v>SCR-039</x:v>
      </x:c>
      <x:c r="C99" s="339" t="str">
        <x:v>Role Dashboards</x:v>
      </x:c>
      <x:c r="D99" s="339" t="str">
        <x:v>HR Dashboard</x:v>
      </x:c>
      <x:c r="E99" s="339" t="str">
        <x:v>Stale/concurrent data</x:v>
      </x:c>
      <x:c r="F99" s="339" t="str">
        <x:v>Detect version/state mismatch before destructive update; require refresh/review.</x:v>
      </x:c>
      <x:c r="G99" s="339" t="str">
        <x:v>This record changed since you opened it. Refresh before saving.</x:v>
      </x:c>
      <x:c r="H99" s="339" t="str">
        <x:v>Reload the latest data and reapply the intended change.</x:v>
      </x:c>
      <x:c r="I99" s="339" t="str">
        <x:v>Record conflict if it affected a high-risk workflow.</x:v>
      </x:c>
    </x:row>
    <x:row r="100">
      <x:c r="A100" s="339" t="str">
        <x:v>EXC-00099</x:v>
      </x:c>
      <x:c r="B100" s="339" t="str">
        <x:v>SCR-040</x:v>
      </x:c>
      <x:c r="C100" s="339" t="str">
        <x:v>Role Dashboards</x:v>
      </x:c>
      <x:c r="D100" s="339" t="str">
        <x:v>Admission Officer Dashboard</x:v>
      </x:c>
      <x:c r="E100" s="339" t="str">
        <x:v>Unauthorized or out-of-scope record</x:v>
      </x:c>
      <x:c r="F100" s="339" t="str">
        <x:v>Deny access/action; do not reveal existence beyond safe messaging.</x:v>
      </x:c>
      <x:c r="G100" s="339" t="str">
        <x:v>You do not have access to this record.</x:v>
      </x:c>
      <x:c r="H100" s="339" t="str">
        <x:v>Re-authenticate or contact an administrator if access is expected.</x:v>
      </x:c>
      <x:c r="I100" s="339" t="str">
        <x:v>Log security-relevant denial where appropriate.</x:v>
      </x:c>
    </x:row>
    <x:row r="101">
      <x:c r="A101" s="339" t="str">
        <x:v>EXC-00100</x:v>
      </x:c>
      <x:c r="B101" s="339" t="str">
        <x:v>SCR-040</x:v>
      </x:c>
      <x:c r="C101" s="339" t="str">
        <x:v>Role Dashboards</x:v>
      </x:c>
      <x:c r="D101" s="339" t="str">
        <x:v>Admission Officer Dashboard</x:v>
      </x:c>
      <x:c r="E101" s="339" t="str">
        <x:v>Stale/concurrent data</x:v>
      </x:c>
      <x:c r="F101" s="339" t="str">
        <x:v>Detect version/state mismatch before destructive update; require refresh/review.</x:v>
      </x:c>
      <x:c r="G101" s="339" t="str">
        <x:v>This record changed since you opened it. Refresh before saving.</x:v>
      </x:c>
      <x:c r="H101" s="339" t="str">
        <x:v>Reload the latest data and reapply the intended change.</x:v>
      </x:c>
      <x:c r="I101" s="339" t="str">
        <x:v>Record conflict if it affected a high-risk workflow.</x:v>
      </x:c>
    </x:row>
    <x:row r="102">
      <x:c r="A102" s="339" t="str">
        <x:v>EXC-00101</x:v>
      </x:c>
      <x:c r="B102" s="339" t="str">
        <x:v>SCR-041</x:v>
      </x:c>
      <x:c r="C102" s="339" t="str">
        <x:v>Role Dashboards</x:v>
      </x:c>
      <x:c r="D102" s="339" t="str">
        <x:v>Transport Manager Dashboard</x:v>
      </x:c>
      <x:c r="E102" s="339" t="str">
        <x:v>Unauthorized or out-of-scope record</x:v>
      </x:c>
      <x:c r="F102" s="339" t="str">
        <x:v>Deny access/action; do not reveal existence beyond safe messaging.</x:v>
      </x:c>
      <x:c r="G102" s="339" t="str">
        <x:v>You do not have access to this record.</x:v>
      </x:c>
      <x:c r="H102" s="339" t="str">
        <x:v>Re-authenticate or contact an administrator if access is expected.</x:v>
      </x:c>
      <x:c r="I102" s="339" t="str">
        <x:v>Log security-relevant denial where appropriate.</x:v>
      </x:c>
    </x:row>
    <x:row r="103">
      <x:c r="A103" s="339" t="str">
        <x:v>EXC-00102</x:v>
      </x:c>
      <x:c r="B103" s="339" t="str">
        <x:v>SCR-041</x:v>
      </x:c>
      <x:c r="C103" s="339" t="str">
        <x:v>Role Dashboards</x:v>
      </x:c>
      <x:c r="D103" s="339" t="str">
        <x:v>Transport Manager Dashboard</x:v>
      </x:c>
      <x:c r="E103" s="339" t="str">
        <x:v>Stale/concurrent data</x:v>
      </x:c>
      <x:c r="F103" s="339" t="str">
        <x:v>Detect version/state mismatch before destructive update; require refresh/review.</x:v>
      </x:c>
      <x:c r="G103" s="339" t="str">
        <x:v>This record changed since you opened it. Refresh before saving.</x:v>
      </x:c>
      <x:c r="H103" s="339" t="str">
        <x:v>Reload the latest data and reapply the intended change.</x:v>
      </x:c>
      <x:c r="I103" s="339" t="str">
        <x:v>Record conflict if it affected a high-risk workflow.</x:v>
      </x:c>
    </x:row>
    <x:row r="104">
      <x:c r="A104" s="339" t="str">
        <x:v>EXC-00103</x:v>
      </x:c>
      <x:c r="B104" s="339" t="str">
        <x:v>SCR-042</x:v>
      </x:c>
      <x:c r="C104" s="339" t="str">
        <x:v>Role Dashboards</x:v>
      </x:c>
      <x:c r="D104" s="339" t="str">
        <x:v>Librarian Dashboard</x:v>
      </x:c>
      <x:c r="E104" s="339" t="str">
        <x:v>Unauthorized or out-of-scope record</x:v>
      </x:c>
      <x:c r="F104" s="339" t="str">
        <x:v>Deny access/action; do not reveal existence beyond safe messaging.</x:v>
      </x:c>
      <x:c r="G104" s="339" t="str">
        <x:v>You do not have access to this record.</x:v>
      </x:c>
      <x:c r="H104" s="339" t="str">
        <x:v>Re-authenticate or contact an administrator if access is expected.</x:v>
      </x:c>
      <x:c r="I104" s="339" t="str">
        <x:v>Log security-relevant denial where appropriate.</x:v>
      </x:c>
    </x:row>
    <x:row r="105">
      <x:c r="A105" s="339" t="str">
        <x:v>EXC-00104</x:v>
      </x:c>
      <x:c r="B105" s="339" t="str">
        <x:v>SCR-042</x:v>
      </x:c>
      <x:c r="C105" s="339" t="str">
        <x:v>Role Dashboards</x:v>
      </x:c>
      <x:c r="D105" s="339" t="str">
        <x:v>Librarian Dashboard</x:v>
      </x:c>
      <x:c r="E105" s="339" t="str">
        <x:v>Stale/concurrent data</x:v>
      </x:c>
      <x:c r="F105" s="339" t="str">
        <x:v>Detect version/state mismatch before destructive update; require refresh/review.</x:v>
      </x:c>
      <x:c r="G105" s="339" t="str">
        <x:v>This record changed since you opened it. Refresh before saving.</x:v>
      </x:c>
      <x:c r="H105" s="339" t="str">
        <x:v>Reload the latest data and reapply the intended change.</x:v>
      </x:c>
      <x:c r="I105" s="339" t="str">
        <x:v>Record conflict if it affected a high-risk workflow.</x:v>
      </x:c>
    </x:row>
    <x:row r="106">
      <x:c r="A106" s="339" t="str">
        <x:v>EXC-00105</x:v>
      </x:c>
      <x:c r="B106" s="339" t="str">
        <x:v>SCR-043</x:v>
      </x:c>
      <x:c r="C106" s="339" t="str">
        <x:v>Admissions &amp; Enquiries</x:v>
      </x:c>
      <x:c r="D106" s="339" t="str">
        <x:v>Admission / Enquiry Dashboard</x:v>
      </x:c>
      <x:c r="E106" s="339" t="str">
        <x:v>Unauthorized or out-of-scope record</x:v>
      </x:c>
      <x:c r="F106" s="339" t="str">
        <x:v>Deny access/action; do not reveal existence beyond safe messaging.</x:v>
      </x:c>
      <x:c r="G106" s="339" t="str">
        <x:v>You do not have access to this record.</x:v>
      </x:c>
      <x:c r="H106" s="339" t="str">
        <x:v>Re-authenticate or contact an administrator if access is expected.</x:v>
      </x:c>
      <x:c r="I106" s="339" t="str">
        <x:v>Log security-relevant denial where appropriate.</x:v>
      </x:c>
    </x:row>
    <x:row r="107">
      <x:c r="A107" s="339" t="str">
        <x:v>EXC-00106</x:v>
      </x:c>
      <x:c r="B107" s="339" t="str">
        <x:v>SCR-043</x:v>
      </x:c>
      <x:c r="C107" s="339" t="str">
        <x:v>Admissions &amp; Enquiries</x:v>
      </x:c>
      <x:c r="D107" s="339" t="str">
        <x:v>Admission / Enquiry Dashboard</x:v>
      </x:c>
      <x:c r="E107" s="339" t="str">
        <x:v>Stale/concurrent data</x:v>
      </x:c>
      <x:c r="F107" s="339" t="str">
        <x:v>Detect version/state mismatch before destructive update; require refresh/review.</x:v>
      </x:c>
      <x:c r="G107" s="339" t="str">
        <x:v>This record changed since you opened it. Refresh before saving.</x:v>
      </x:c>
      <x:c r="H107" s="339" t="str">
        <x:v>Reload the latest data and reapply the intended change.</x:v>
      </x:c>
      <x:c r="I107" s="339" t="str">
        <x:v>Record conflict if it affected a high-risk workflow.</x:v>
      </x:c>
    </x:row>
    <x:row r="108">
      <x:c r="A108" s="339" t="str">
        <x:v>EXC-00107</x:v>
      </x:c>
      <x:c r="B108" s="339" t="str">
        <x:v>SCR-044</x:v>
      </x:c>
      <x:c r="C108" s="339" t="str">
        <x:v>Admissions &amp; Enquiries</x:v>
      </x:c>
      <x:c r="D108" s="339" t="str">
        <x:v>Enquiry List</x:v>
      </x:c>
      <x:c r="E108" s="339" t="str">
        <x:v>Unauthorized or out-of-scope record</x:v>
      </x:c>
      <x:c r="F108" s="339" t="str">
        <x:v>Deny access/action; do not reveal existence beyond safe messaging.</x:v>
      </x:c>
      <x:c r="G108" s="339" t="str">
        <x:v>You do not have access to this record.</x:v>
      </x:c>
      <x:c r="H108" s="339" t="str">
        <x:v>Re-authenticate or contact an administrator if access is expected.</x:v>
      </x:c>
      <x:c r="I108" s="339" t="str">
        <x:v>Log security-relevant denial where appropriate.</x:v>
      </x:c>
    </x:row>
    <x:row r="109">
      <x:c r="A109" s="339" t="str">
        <x:v>EXC-00108</x:v>
      </x:c>
      <x:c r="B109" s="339" t="str">
        <x:v>SCR-044</x:v>
      </x:c>
      <x:c r="C109" s="339" t="str">
        <x:v>Admissions &amp; Enquiries</x:v>
      </x:c>
      <x:c r="D109" s="339" t="str">
        <x:v>Enquiry List</x:v>
      </x:c>
      <x:c r="E109" s="339" t="str">
        <x:v>Stale/concurrent data</x:v>
      </x:c>
      <x:c r="F109" s="339" t="str">
        <x:v>Detect version/state mismatch before destructive update; require refresh/review.</x:v>
      </x:c>
      <x:c r="G109" s="339" t="str">
        <x:v>This record changed since you opened it. Refresh before saving.</x:v>
      </x:c>
      <x:c r="H109" s="339" t="str">
        <x:v>Reload the latest data and reapply the intended change.</x:v>
      </x:c>
      <x:c r="I109" s="339" t="str">
        <x:v>Record conflict if it affected a high-risk workflow.</x:v>
      </x:c>
    </x:row>
    <x:row r="110">
      <x:c r="A110" s="339" t="str">
        <x:v>EXC-00109</x:v>
      </x:c>
      <x:c r="B110" s="339" t="str">
        <x:v>SCR-045</x:v>
      </x:c>
      <x:c r="C110" s="339" t="str">
        <x:v>Admissions &amp; Enquiries</x:v>
      </x:c>
      <x:c r="D110" s="339" t="str">
        <x:v>Add Enquiry</x:v>
      </x:c>
      <x:c r="E110" s="339" t="str">
        <x:v>Unauthorized or out-of-scope record</x:v>
      </x:c>
      <x:c r="F110" s="339" t="str">
        <x:v>Deny access/action; do not reveal existence beyond safe messaging.</x:v>
      </x:c>
      <x:c r="G110" s="339" t="str">
        <x:v>You do not have access to this record.</x:v>
      </x:c>
      <x:c r="H110" s="339" t="str">
        <x:v>Re-authenticate or contact an administrator if access is expected.</x:v>
      </x:c>
      <x:c r="I110" s="339" t="str">
        <x:v>Log security-relevant denial where appropriate.</x:v>
      </x:c>
    </x:row>
    <x:row r="111">
      <x:c r="A111" s="339" t="str">
        <x:v>EXC-00110</x:v>
      </x:c>
      <x:c r="B111" s="339" t="str">
        <x:v>SCR-045</x:v>
      </x:c>
      <x:c r="C111" s="339" t="str">
        <x:v>Admissions &amp; Enquiries</x:v>
      </x:c>
      <x:c r="D111" s="339" t="str">
        <x:v>Add Enquiry</x:v>
      </x:c>
      <x:c r="E111" s="339" t="str">
        <x:v>Stale/concurrent data</x:v>
      </x:c>
      <x:c r="F111" s="339" t="str">
        <x:v>Detect version/state mismatch before destructive update; require refresh/review.</x:v>
      </x:c>
      <x:c r="G111" s="339" t="str">
        <x:v>This record changed since you opened it. Refresh before saving.</x:v>
      </x:c>
      <x:c r="H111" s="339" t="str">
        <x:v>Reload the latest data and reapply the intended change.</x:v>
      </x:c>
      <x:c r="I111" s="339" t="str">
        <x:v>Record conflict if it affected a high-risk workflow.</x:v>
      </x:c>
    </x:row>
    <x:row r="112">
      <x:c r="A112" s="339" t="str">
        <x:v>EXC-00111</x:v>
      </x:c>
      <x:c r="B112" s="339" t="str">
        <x:v>SCR-045</x:v>
      </x:c>
      <x:c r="C112" s="339" t="str">
        <x:v>Admissions &amp; Enquiries</x:v>
      </x:c>
      <x:c r="D112" s="339" t="str">
        <x:v>Add Enquiry</x:v>
      </x:c>
      <x:c r="E112" s="339" t="str">
        <x:v>Downstream dependency failure</x:v>
      </x:c>
      <x:c r="F112" s="339" t="str">
        <x:v>Rollback or keep a recoverable pending state; never claim success for an incomplete critical transaction.</x:v>
      </x:c>
      <x:c r="G112" s="339" t="str">
        <x:v>The action could not be completed. No final change was applied.</x:v>
      </x:c>
      <x:c r="H112" s="339" t="str">
        <x:v>Retry safely or route to manual resolution queue.</x:v>
      </x:c>
      <x:c r="I112" s="339" t="str">
        <x:v>Capture correlation/error ID and failed step.</x:v>
      </x:c>
    </x:row>
    <x:row r="113">
      <x:c r="A113" s="339" t="str">
        <x:v>EXC-00112</x:v>
      </x:c>
      <x:c r="B113" s="339" t="str">
        <x:v>SCR-046</x:v>
      </x:c>
      <x:c r="C113" s="339" t="str">
        <x:v>Admissions &amp; Enquiries</x:v>
      </x:c>
      <x:c r="D113" s="339" t="str">
        <x:v>Enquiry Details</x:v>
      </x:c>
      <x:c r="E113" s="339" t="str">
        <x:v>Unauthorized or out-of-scope record</x:v>
      </x:c>
      <x:c r="F113" s="339" t="str">
        <x:v>Deny access/action; do not reveal existence beyond safe messaging.</x:v>
      </x:c>
      <x:c r="G113" s="339" t="str">
        <x:v>You do not have access to this record.</x:v>
      </x:c>
      <x:c r="H113" s="339" t="str">
        <x:v>Re-authenticate or contact an administrator if access is expected.</x:v>
      </x:c>
      <x:c r="I113" s="339" t="str">
        <x:v>Log security-relevant denial where appropriate.</x:v>
      </x:c>
    </x:row>
    <x:row r="114">
      <x:c r="A114" s="339" t="str">
        <x:v>EXC-00113</x:v>
      </x:c>
      <x:c r="B114" s="339" t="str">
        <x:v>SCR-046</x:v>
      </x:c>
      <x:c r="C114" s="339" t="str">
        <x:v>Admissions &amp; Enquiries</x:v>
      </x:c>
      <x:c r="D114" s="339" t="str">
        <x:v>Enquiry Details</x:v>
      </x:c>
      <x:c r="E114" s="339" t="str">
        <x:v>Stale/concurrent data</x:v>
      </x:c>
      <x:c r="F114" s="339" t="str">
        <x:v>Detect version/state mismatch before destructive update; require refresh/review.</x:v>
      </x:c>
      <x:c r="G114" s="339" t="str">
        <x:v>This record changed since you opened it. Refresh before saving.</x:v>
      </x:c>
      <x:c r="H114" s="339" t="str">
        <x:v>Reload the latest data and reapply the intended change.</x:v>
      </x:c>
      <x:c r="I114" s="339" t="str">
        <x:v>Record conflict if it affected a high-risk workflow.</x:v>
      </x:c>
    </x:row>
    <x:row r="115">
      <x:c r="A115" s="339" t="str">
        <x:v>EXC-00114</x:v>
      </x:c>
      <x:c r="B115" s="339" t="str">
        <x:v>SCR-047</x:v>
      </x:c>
      <x:c r="C115" s="339" t="str">
        <x:v>Admissions &amp; Enquiries</x:v>
      </x:c>
      <x:c r="D115" s="339" t="str">
        <x:v>Follow-up Calendar</x:v>
      </x:c>
      <x:c r="E115" s="339" t="str">
        <x:v>Unauthorized or out-of-scope record</x:v>
      </x:c>
      <x:c r="F115" s="339" t="str">
        <x:v>Deny access/action; do not reveal existence beyond safe messaging.</x:v>
      </x:c>
      <x:c r="G115" s="339" t="str">
        <x:v>You do not have access to this record.</x:v>
      </x:c>
      <x:c r="H115" s="339" t="str">
        <x:v>Re-authenticate or contact an administrator if access is expected.</x:v>
      </x:c>
      <x:c r="I115" s="339" t="str">
        <x:v>Log security-relevant denial where appropriate.</x:v>
      </x:c>
    </x:row>
    <x:row r="116">
      <x:c r="A116" s="339" t="str">
        <x:v>EXC-00115</x:v>
      </x:c>
      <x:c r="B116" s="339" t="str">
        <x:v>SCR-047</x:v>
      </x:c>
      <x:c r="C116" s="339" t="str">
        <x:v>Admissions &amp; Enquiries</x:v>
      </x:c>
      <x:c r="D116" s="339" t="str">
        <x:v>Follow-up Calendar</x:v>
      </x:c>
      <x:c r="E116" s="339" t="str">
        <x:v>Stale/concurrent data</x:v>
      </x:c>
      <x:c r="F116" s="339" t="str">
        <x:v>Detect version/state mismatch before destructive update; require refresh/review.</x:v>
      </x:c>
      <x:c r="G116" s="339" t="str">
        <x:v>This record changed since you opened it. Refresh before saving.</x:v>
      </x:c>
      <x:c r="H116" s="339" t="str">
        <x:v>Reload the latest data and reapply the intended change.</x:v>
      </x:c>
      <x:c r="I116" s="339" t="str">
        <x:v>Record conflict if it affected a high-risk workflow.</x:v>
      </x:c>
    </x:row>
    <x:row r="117">
      <x:c r="A117" s="339" t="str">
        <x:v>EXC-00116</x:v>
      </x:c>
      <x:c r="B117" s="339" t="str">
        <x:v>SCR-048</x:v>
      </x:c>
      <x:c r="C117" s="339" t="str">
        <x:v>Admissions &amp; Enquiries</x:v>
      </x:c>
      <x:c r="D117" s="339" t="str">
        <x:v>Admission Applications</x:v>
      </x:c>
      <x:c r="E117" s="339" t="str">
        <x:v>Unauthorized or out-of-scope record</x:v>
      </x:c>
      <x:c r="F117" s="339" t="str">
        <x:v>Deny access/action; do not reveal existence beyond safe messaging.</x:v>
      </x:c>
      <x:c r="G117" s="339" t="str">
        <x:v>You do not have access to this record.</x:v>
      </x:c>
      <x:c r="H117" s="339" t="str">
        <x:v>Re-authenticate or contact an administrator if access is expected.</x:v>
      </x:c>
      <x:c r="I117" s="339" t="str">
        <x:v>Log security-relevant denial where appropriate.</x:v>
      </x:c>
    </x:row>
    <x:row r="118">
      <x:c r="A118" s="339" t="str">
        <x:v>EXC-00117</x:v>
      </x:c>
      <x:c r="B118" s="339" t="str">
        <x:v>SCR-048</x:v>
      </x:c>
      <x:c r="C118" s="339" t="str">
        <x:v>Admissions &amp; Enquiries</x:v>
      </x:c>
      <x:c r="D118" s="339" t="str">
        <x:v>Admission Applications</x:v>
      </x:c>
      <x:c r="E118" s="339" t="str">
        <x:v>Stale/concurrent data</x:v>
      </x:c>
      <x:c r="F118" s="339" t="str">
        <x:v>Detect version/state mismatch before destructive update; require refresh/review.</x:v>
      </x:c>
      <x:c r="G118" s="339" t="str">
        <x:v>This record changed since you opened it. Refresh before saving.</x:v>
      </x:c>
      <x:c r="H118" s="339" t="str">
        <x:v>Reload the latest data and reapply the intended change.</x:v>
      </x:c>
      <x:c r="I118" s="339" t="str">
        <x:v>Record conflict if it affected a high-risk workflow.</x:v>
      </x:c>
    </x:row>
    <x:row r="119">
      <x:c r="A119" s="339" t="str">
        <x:v>EXC-00118</x:v>
      </x:c>
      <x:c r="B119" s="339" t="str">
        <x:v>SCR-049</x:v>
      </x:c>
      <x:c r="C119" s="339" t="str">
        <x:v>Admissions &amp; Enquiries</x:v>
      </x:c>
      <x:c r="D119" s="339" t="str">
        <x:v>New Admission Application</x:v>
      </x:c>
      <x:c r="E119" s="339" t="str">
        <x:v>Unauthorized or out-of-scope record</x:v>
      </x:c>
      <x:c r="F119" s="339" t="str">
        <x:v>Deny access/action; do not reveal existence beyond safe messaging.</x:v>
      </x:c>
      <x:c r="G119" s="339" t="str">
        <x:v>You do not have access to this record.</x:v>
      </x:c>
      <x:c r="H119" s="339" t="str">
        <x:v>Re-authenticate or contact an administrator if access is expected.</x:v>
      </x:c>
      <x:c r="I119" s="339" t="str">
        <x:v>Log security-relevant denial where appropriate.</x:v>
      </x:c>
    </x:row>
    <x:row r="120">
      <x:c r="A120" s="339" t="str">
        <x:v>EXC-00119</x:v>
      </x:c>
      <x:c r="B120" s="339" t="str">
        <x:v>SCR-049</x:v>
      </x:c>
      <x:c r="C120" s="339" t="str">
        <x:v>Admissions &amp; Enquiries</x:v>
      </x:c>
      <x:c r="D120" s="339" t="str">
        <x:v>New Admission Application</x:v>
      </x:c>
      <x:c r="E120" s="339" t="str">
        <x:v>Stale/concurrent data</x:v>
      </x:c>
      <x:c r="F120" s="339" t="str">
        <x:v>Detect version/state mismatch before destructive update; require refresh/review.</x:v>
      </x:c>
      <x:c r="G120" s="339" t="str">
        <x:v>This record changed since you opened it. Refresh before saving.</x:v>
      </x:c>
      <x:c r="H120" s="339" t="str">
        <x:v>Reload the latest data and reapply the intended change.</x:v>
      </x:c>
      <x:c r="I120" s="339" t="str">
        <x:v>Record conflict if it affected a high-risk workflow.</x:v>
      </x:c>
    </x:row>
    <x:row r="121">
      <x:c r="A121" s="339" t="str">
        <x:v>EXC-00120</x:v>
      </x:c>
      <x:c r="B121" s="339" t="str">
        <x:v>SCR-049</x:v>
      </x:c>
      <x:c r="C121" s="339" t="str">
        <x:v>Admissions &amp; Enquiries</x:v>
      </x:c>
      <x:c r="D121" s="339" t="str">
        <x:v>New Admission Application</x:v>
      </x:c>
      <x:c r="E121" s="339" t="str">
        <x:v>Downstream dependency failure</x:v>
      </x:c>
      <x:c r="F121" s="339" t="str">
        <x:v>Rollback or keep a recoverable pending state; never claim success for an incomplete critical transaction.</x:v>
      </x:c>
      <x:c r="G121" s="339" t="str">
        <x:v>The action could not be completed. No final change was applied.</x:v>
      </x:c>
      <x:c r="H121" s="339" t="str">
        <x:v>Retry safely or route to manual resolution queue.</x:v>
      </x:c>
      <x:c r="I121" s="339" t="str">
        <x:v>Capture correlation/error ID and failed step.</x:v>
      </x:c>
    </x:row>
    <x:row r="122">
      <x:c r="A122" s="339" t="str">
        <x:v>EXC-00121</x:v>
      </x:c>
      <x:c r="B122" s="339" t="str">
        <x:v>SCR-050</x:v>
      </x:c>
      <x:c r="C122" s="339" t="str">
        <x:v>Admissions &amp; Enquiries</x:v>
      </x:c>
      <x:c r="D122" s="339" t="str">
        <x:v>Application Details</x:v>
      </x:c>
      <x:c r="E122" s="339" t="str">
        <x:v>Unauthorized or out-of-scope record</x:v>
      </x:c>
      <x:c r="F122" s="339" t="str">
        <x:v>Deny access/action; do not reveal existence beyond safe messaging.</x:v>
      </x:c>
      <x:c r="G122" s="339" t="str">
        <x:v>You do not have access to this record.</x:v>
      </x:c>
      <x:c r="H122" s="339" t="str">
        <x:v>Re-authenticate or contact an administrator if access is expected.</x:v>
      </x:c>
      <x:c r="I122" s="339" t="str">
        <x:v>Log security-relevant denial where appropriate.</x:v>
      </x:c>
    </x:row>
    <x:row r="123">
      <x:c r="A123" s="339" t="str">
        <x:v>EXC-00122</x:v>
      </x:c>
      <x:c r="B123" s="339" t="str">
        <x:v>SCR-050</x:v>
      </x:c>
      <x:c r="C123" s="339" t="str">
        <x:v>Admissions &amp; Enquiries</x:v>
      </x:c>
      <x:c r="D123" s="339" t="str">
        <x:v>Application Details</x:v>
      </x:c>
      <x:c r="E123" s="339" t="str">
        <x:v>Stale/concurrent data</x:v>
      </x:c>
      <x:c r="F123" s="339" t="str">
        <x:v>Detect version/state mismatch before destructive update; require refresh/review.</x:v>
      </x:c>
      <x:c r="G123" s="339" t="str">
        <x:v>This record changed since you opened it. Refresh before saving.</x:v>
      </x:c>
      <x:c r="H123" s="339" t="str">
        <x:v>Reload the latest data and reapply the intended change.</x:v>
      </x:c>
      <x:c r="I123" s="339" t="str">
        <x:v>Record conflict if it affected a high-risk workflow.</x:v>
      </x:c>
    </x:row>
    <x:row r="124">
      <x:c r="A124" s="339" t="str">
        <x:v>EXC-00123</x:v>
      </x:c>
      <x:c r="B124" s="339" t="str">
        <x:v>SCR-051</x:v>
      </x:c>
      <x:c r="C124" s="339" t="str">
        <x:v>Admissions &amp; Enquiries</x:v>
      </x:c>
      <x:c r="D124" s="339" t="str">
        <x:v>Document Verification</x:v>
      </x:c>
      <x:c r="E124" s="339" t="str">
        <x:v>Unauthorized or out-of-scope record</x:v>
      </x:c>
      <x:c r="F124" s="339" t="str">
        <x:v>Deny access/action; do not reveal existence beyond safe messaging.</x:v>
      </x:c>
      <x:c r="G124" s="339" t="str">
        <x:v>You do not have access to this record.</x:v>
      </x:c>
      <x:c r="H124" s="339" t="str">
        <x:v>Re-authenticate or contact an administrator if access is expected.</x:v>
      </x:c>
      <x:c r="I124" s="339" t="str">
        <x:v>Log security-relevant denial where appropriate.</x:v>
      </x:c>
    </x:row>
    <x:row r="125">
      <x:c r="A125" s="339" t="str">
        <x:v>EXC-00124</x:v>
      </x:c>
      <x:c r="B125" s="339" t="str">
        <x:v>SCR-051</x:v>
      </x:c>
      <x:c r="C125" s="339" t="str">
        <x:v>Admissions &amp; Enquiries</x:v>
      </x:c>
      <x:c r="D125" s="339" t="str">
        <x:v>Document Verification</x:v>
      </x:c>
      <x:c r="E125" s="339" t="str">
        <x:v>Stale/concurrent data</x:v>
      </x:c>
      <x:c r="F125" s="339" t="str">
        <x:v>Detect version/state mismatch before destructive update; require refresh/review.</x:v>
      </x:c>
      <x:c r="G125" s="339" t="str">
        <x:v>This record changed since you opened it. Refresh before saving.</x:v>
      </x:c>
      <x:c r="H125" s="339" t="str">
        <x:v>Reload the latest data and reapply the intended change.</x:v>
      </x:c>
      <x:c r="I125" s="339" t="str">
        <x:v>Record conflict if it affected a high-risk workflow.</x:v>
      </x:c>
    </x:row>
    <x:row r="126">
      <x:c r="A126" s="339" t="str">
        <x:v>EXC-00125</x:v>
      </x:c>
      <x:c r="B126" s="339" t="str">
        <x:v>SCR-051</x:v>
      </x:c>
      <x:c r="C126" s="339" t="str">
        <x:v>Admissions &amp; Enquiries</x:v>
      </x:c>
      <x:c r="D126" s="339" t="str">
        <x:v>Document Verification</x:v>
      </x:c>
      <x:c r="E126" s="339" t="str">
        <x:v>Downstream dependency failure</x:v>
      </x:c>
      <x:c r="F126" s="339" t="str">
        <x:v>Rollback or keep a recoverable pending state; never claim success for an incomplete critical transaction.</x:v>
      </x:c>
      <x:c r="G126" s="339" t="str">
        <x:v>The action could not be completed. No final change was applied.</x:v>
      </x:c>
      <x:c r="H126" s="339" t="str">
        <x:v>Retry safely or route to manual resolution queue.</x:v>
      </x:c>
      <x:c r="I126" s="339" t="str">
        <x:v>Capture correlation/error ID and failed step.</x:v>
      </x:c>
    </x:row>
    <x:row r="127">
      <x:c r="A127" s="339" t="str">
        <x:v>EXC-00126</x:v>
      </x:c>
      <x:c r="B127" s="339" t="str">
        <x:v>SCR-052</x:v>
      </x:c>
      <x:c r="C127" s="339" t="str">
        <x:v>Admissions &amp; Enquiries</x:v>
      </x:c>
      <x:c r="D127" s="339" t="str">
        <x:v>Entrance Assessment</x:v>
      </x:c>
      <x:c r="E127" s="339" t="str">
        <x:v>Unauthorized or out-of-scope record</x:v>
      </x:c>
      <x:c r="F127" s="339" t="str">
        <x:v>Deny access/action; do not reveal existence beyond safe messaging.</x:v>
      </x:c>
      <x:c r="G127" s="339" t="str">
        <x:v>You do not have access to this record.</x:v>
      </x:c>
      <x:c r="H127" s="339" t="str">
        <x:v>Re-authenticate or contact an administrator if access is expected.</x:v>
      </x:c>
      <x:c r="I127" s="339" t="str">
        <x:v>Log security-relevant denial where appropriate.</x:v>
      </x:c>
    </x:row>
    <x:row r="128">
      <x:c r="A128" s="339" t="str">
        <x:v>EXC-00127</x:v>
      </x:c>
      <x:c r="B128" s="339" t="str">
        <x:v>SCR-052</x:v>
      </x:c>
      <x:c r="C128" s="339" t="str">
        <x:v>Admissions &amp; Enquiries</x:v>
      </x:c>
      <x:c r="D128" s="339" t="str">
        <x:v>Entrance Assessment</x:v>
      </x:c>
      <x:c r="E128" s="339" t="str">
        <x:v>Stale/concurrent data</x:v>
      </x:c>
      <x:c r="F128" s="339" t="str">
        <x:v>Detect version/state mismatch before destructive update; require refresh/review.</x:v>
      </x:c>
      <x:c r="G128" s="339" t="str">
        <x:v>This record changed since you opened it. Refresh before saving.</x:v>
      </x:c>
      <x:c r="H128" s="339" t="str">
        <x:v>Reload the latest data and reapply the intended change.</x:v>
      </x:c>
      <x:c r="I128" s="339" t="str">
        <x:v>Record conflict if it affected a high-risk workflow.</x:v>
      </x:c>
    </x:row>
    <x:row r="129">
      <x:c r="A129" s="339" t="str">
        <x:v>EXC-00128</x:v>
      </x:c>
      <x:c r="B129" s="339" t="str">
        <x:v>SCR-052</x:v>
      </x:c>
      <x:c r="C129" s="339" t="str">
        <x:v>Admissions &amp; Enquiries</x:v>
      </x:c>
      <x:c r="D129" s="339" t="str">
        <x:v>Entrance Assessment</x:v>
      </x:c>
      <x:c r="E129" s="339" t="str">
        <x:v>Downstream dependency failure</x:v>
      </x:c>
      <x:c r="F129" s="339" t="str">
        <x:v>Rollback or keep a recoverable pending state; never claim success for an incomplete critical transaction.</x:v>
      </x:c>
      <x:c r="G129" s="339" t="str">
        <x:v>The action could not be completed. No final change was applied.</x:v>
      </x:c>
      <x:c r="H129" s="339" t="str">
        <x:v>Retry safely or route to manual resolution queue.</x:v>
      </x:c>
      <x:c r="I129" s="339" t="str">
        <x:v>Capture correlation/error ID and failed step.</x:v>
      </x:c>
    </x:row>
    <x:row r="130">
      <x:c r="A130" s="339" t="str">
        <x:v>EXC-00129</x:v>
      </x:c>
      <x:c r="B130" s="339" t="str">
        <x:v>SCR-053</x:v>
      </x:c>
      <x:c r="C130" s="339" t="str">
        <x:v>Admissions &amp; Enquiries</x:v>
      </x:c>
      <x:c r="D130" s="339" t="str">
        <x:v>Admission Approval</x:v>
      </x:c>
      <x:c r="E130" s="339" t="str">
        <x:v>Unauthorized or out-of-scope record</x:v>
      </x:c>
      <x:c r="F130" s="339" t="str">
        <x:v>Deny access/action; do not reveal existence beyond safe messaging.</x:v>
      </x:c>
      <x:c r="G130" s="339" t="str">
        <x:v>You do not have access to this record.</x:v>
      </x:c>
      <x:c r="H130" s="339" t="str">
        <x:v>Re-authenticate or contact an administrator if access is expected.</x:v>
      </x:c>
      <x:c r="I130" s="339" t="str">
        <x:v>Log security-relevant denial where appropriate.</x:v>
      </x:c>
    </x:row>
    <x:row r="131">
      <x:c r="A131" s="339" t="str">
        <x:v>EXC-00130</x:v>
      </x:c>
      <x:c r="B131" s="339" t="str">
        <x:v>SCR-053</x:v>
      </x:c>
      <x:c r="C131" s="339" t="str">
        <x:v>Admissions &amp; Enquiries</x:v>
      </x:c>
      <x:c r="D131" s="339" t="str">
        <x:v>Admission Approval</x:v>
      </x:c>
      <x:c r="E131" s="339" t="str">
        <x:v>Stale/concurrent data</x:v>
      </x:c>
      <x:c r="F131" s="339" t="str">
        <x:v>Detect version/state mismatch before destructive update; require refresh/review.</x:v>
      </x:c>
      <x:c r="G131" s="339" t="str">
        <x:v>This record changed since you opened it. Refresh before saving.</x:v>
      </x:c>
      <x:c r="H131" s="339" t="str">
        <x:v>Reload the latest data and reapply the intended change.</x:v>
      </x:c>
      <x:c r="I131" s="339" t="str">
        <x:v>Record conflict if it affected a high-risk workflow.</x:v>
      </x:c>
    </x:row>
    <x:row r="132">
      <x:c r="A132" s="339" t="str">
        <x:v>EXC-00131</x:v>
      </x:c>
      <x:c r="B132" s="339" t="str">
        <x:v>SCR-053</x:v>
      </x:c>
      <x:c r="C132" s="339" t="str">
        <x:v>Admissions &amp; Enquiries</x:v>
      </x:c>
      <x:c r="D132" s="339" t="str">
        <x:v>Admission Approval</x:v>
      </x:c>
      <x:c r="E132" s="339" t="str">
        <x:v>Downstream dependency failure</x:v>
      </x:c>
      <x:c r="F132" s="339" t="str">
        <x:v>Rollback or keep a recoverable pending state; never claim success for an incomplete critical transaction.</x:v>
      </x:c>
      <x:c r="G132" s="339" t="str">
        <x:v>The action could not be completed. No final change was applied.</x:v>
      </x:c>
      <x:c r="H132" s="339" t="str">
        <x:v>Retry safely or route to manual resolution queue.</x:v>
      </x:c>
      <x:c r="I132" s="339" t="str">
        <x:v>Capture correlation/error ID and failed step.</x:v>
      </x:c>
    </x:row>
    <x:row r="133">
      <x:c r="A133" s="339" t="str">
        <x:v>EXC-00132</x:v>
      </x:c>
      <x:c r="B133" s="339" t="str">
        <x:v>SCR-054</x:v>
      </x:c>
      <x:c r="C133" s="339" t="str">
        <x:v>Admissions &amp; Enquiries</x:v>
      </x:c>
      <x:c r="D133" s="339" t="str">
        <x:v>Admission Confirmation &amp; Student Creation</x:v>
      </x:c>
      <x:c r="E133" s="339" t="str">
        <x:v>Unauthorized or out-of-scope record</x:v>
      </x:c>
      <x:c r="F133" s="339" t="str">
        <x:v>Deny access/action; do not reveal existence beyond safe messaging.</x:v>
      </x:c>
      <x:c r="G133" s="339" t="str">
        <x:v>You do not have access to this record.</x:v>
      </x:c>
      <x:c r="H133" s="339" t="str">
        <x:v>Re-authenticate or contact an administrator if access is expected.</x:v>
      </x:c>
      <x:c r="I133" s="339" t="str">
        <x:v>Log security-relevant denial where appropriate.</x:v>
      </x:c>
    </x:row>
    <x:row r="134">
      <x:c r="A134" s="339" t="str">
        <x:v>EXC-00133</x:v>
      </x:c>
      <x:c r="B134" s="339" t="str">
        <x:v>SCR-054</x:v>
      </x:c>
      <x:c r="C134" s="339" t="str">
        <x:v>Admissions &amp; Enquiries</x:v>
      </x:c>
      <x:c r="D134" s="339" t="str">
        <x:v>Admission Confirmation &amp; Student Creation</x:v>
      </x:c>
      <x:c r="E134" s="339" t="str">
        <x:v>Stale/concurrent data</x:v>
      </x:c>
      <x:c r="F134" s="339" t="str">
        <x:v>Detect version/state mismatch before destructive update; require refresh/review.</x:v>
      </x:c>
      <x:c r="G134" s="339" t="str">
        <x:v>This record changed since you opened it. Refresh before saving.</x:v>
      </x:c>
      <x:c r="H134" s="339" t="str">
        <x:v>Reload the latest data and reapply the intended change.</x:v>
      </x:c>
      <x:c r="I134" s="339" t="str">
        <x:v>Record conflict if it affected a high-risk workflow.</x:v>
      </x:c>
    </x:row>
    <x:row r="135">
      <x:c r="A135" s="339" t="str">
        <x:v>EXC-00134</x:v>
      </x:c>
      <x:c r="B135" s="339" t="str">
        <x:v>SCR-054</x:v>
      </x:c>
      <x:c r="C135" s="339" t="str">
        <x:v>Admissions &amp; Enquiries</x:v>
      </x:c>
      <x:c r="D135" s="339" t="str">
        <x:v>Admission Confirmation &amp; Student Creation</x:v>
      </x:c>
      <x:c r="E135" s="339" t="str">
        <x:v>Downstream dependency failure</x:v>
      </x:c>
      <x:c r="F135" s="339" t="str">
        <x:v>Rollback or keep a recoverable pending state; never claim success for an incomplete critical transaction.</x:v>
      </x:c>
      <x:c r="G135" s="339" t="str">
        <x:v>The action could not be completed. No final change was applied.</x:v>
      </x:c>
      <x:c r="H135" s="339" t="str">
        <x:v>Retry safely or route to manual resolution queue.</x:v>
      </x:c>
      <x:c r="I135" s="339" t="str">
        <x:v>Capture correlation/error ID and failed step.</x:v>
      </x:c>
    </x:row>
    <x:row r="136">
      <x:c r="A136" s="339" t="str">
        <x:v>EXC-00135</x:v>
      </x:c>
      <x:c r="B136" s="339" t="str">
        <x:v>SCR-055</x:v>
      </x:c>
      <x:c r="C136" s="339" t="str">
        <x:v>Students</x:v>
      </x:c>
      <x:c r="D136" s="339" t="str">
        <x:v>Student Directory</x:v>
      </x:c>
      <x:c r="E136" s="339" t="str">
        <x:v>Unauthorized or out-of-scope record</x:v>
      </x:c>
      <x:c r="F136" s="339" t="str">
        <x:v>Deny access/action; do not reveal existence beyond safe messaging.</x:v>
      </x:c>
      <x:c r="G136" s="339" t="str">
        <x:v>You do not have access to this record.</x:v>
      </x:c>
      <x:c r="H136" s="339" t="str">
        <x:v>Re-authenticate or contact an administrator if access is expected.</x:v>
      </x:c>
      <x:c r="I136" s="339" t="str">
        <x:v>Log security-relevant denial where appropriate.</x:v>
      </x:c>
    </x:row>
    <x:row r="137">
      <x:c r="A137" s="339" t="str">
        <x:v>EXC-00136</x:v>
      </x:c>
      <x:c r="B137" s="339" t="str">
        <x:v>SCR-055</x:v>
      </x:c>
      <x:c r="C137" s="339" t="str">
        <x:v>Students</x:v>
      </x:c>
      <x:c r="D137" s="339" t="str">
        <x:v>Student Directory</x:v>
      </x:c>
      <x:c r="E137" s="339" t="str">
        <x:v>Stale/concurrent data</x:v>
      </x:c>
      <x:c r="F137" s="339" t="str">
        <x:v>Detect version/state mismatch before destructive update; require refresh/review.</x:v>
      </x:c>
      <x:c r="G137" s="339" t="str">
        <x:v>This record changed since you opened it. Refresh before saving.</x:v>
      </x:c>
      <x:c r="H137" s="339" t="str">
        <x:v>Reload the latest data and reapply the intended change.</x:v>
      </x:c>
      <x:c r="I137" s="339" t="str">
        <x:v>Record conflict if it affected a high-risk workflow.</x:v>
      </x:c>
    </x:row>
    <x:row r="138">
      <x:c r="A138" s="339" t="str">
        <x:v>EXC-00137</x:v>
      </x:c>
      <x:c r="B138" s="339" t="str">
        <x:v>SCR-056</x:v>
      </x:c>
      <x:c r="C138" s="339" t="str">
        <x:v>Students</x:v>
      </x:c>
      <x:c r="D138" s="339" t="str">
        <x:v>Add Student</x:v>
      </x:c>
      <x:c r="E138" s="339" t="str">
        <x:v>Unauthorized or out-of-scope record</x:v>
      </x:c>
      <x:c r="F138" s="339" t="str">
        <x:v>Deny access/action; do not reveal existence beyond safe messaging.</x:v>
      </x:c>
      <x:c r="G138" s="339" t="str">
        <x:v>You do not have access to this record.</x:v>
      </x:c>
      <x:c r="H138" s="339" t="str">
        <x:v>Re-authenticate or contact an administrator if access is expected.</x:v>
      </x:c>
      <x:c r="I138" s="339" t="str">
        <x:v>Log security-relevant denial where appropriate.</x:v>
      </x:c>
    </x:row>
    <x:row r="139">
      <x:c r="A139" s="339" t="str">
        <x:v>EXC-00138</x:v>
      </x:c>
      <x:c r="B139" s="339" t="str">
        <x:v>SCR-056</x:v>
      </x:c>
      <x:c r="C139" s="339" t="str">
        <x:v>Students</x:v>
      </x:c>
      <x:c r="D139" s="339" t="str">
        <x:v>Add Student</x:v>
      </x:c>
      <x:c r="E139" s="339" t="str">
        <x:v>Stale/concurrent data</x:v>
      </x:c>
      <x:c r="F139" s="339" t="str">
        <x:v>Detect version/state mismatch before destructive update; require refresh/review.</x:v>
      </x:c>
      <x:c r="G139" s="339" t="str">
        <x:v>This record changed since you opened it. Refresh before saving.</x:v>
      </x:c>
      <x:c r="H139" s="339" t="str">
        <x:v>Reload the latest data and reapply the intended change.</x:v>
      </x:c>
      <x:c r="I139" s="339" t="str">
        <x:v>Record conflict if it affected a high-risk workflow.</x:v>
      </x:c>
    </x:row>
    <x:row r="140">
      <x:c r="A140" s="339" t="str">
        <x:v>EXC-00139</x:v>
      </x:c>
      <x:c r="B140" s="339" t="str">
        <x:v>SCR-056</x:v>
      </x:c>
      <x:c r="C140" s="339" t="str">
        <x:v>Students</x:v>
      </x:c>
      <x:c r="D140" s="339" t="str">
        <x:v>Add Student</x:v>
      </x:c>
      <x:c r="E140" s="339" t="str">
        <x:v>Downstream dependency failure</x:v>
      </x:c>
      <x:c r="F140" s="339" t="str">
        <x:v>Rollback or keep a recoverable pending state; never claim success for an incomplete critical transaction.</x:v>
      </x:c>
      <x:c r="G140" s="339" t="str">
        <x:v>The action could not be completed. No final change was applied.</x:v>
      </x:c>
      <x:c r="H140" s="339" t="str">
        <x:v>Retry safely or route to manual resolution queue.</x:v>
      </x:c>
      <x:c r="I140" s="339" t="str">
        <x:v>Capture correlation/error ID and failed step.</x:v>
      </x:c>
    </x:row>
    <x:row r="141">
      <x:c r="A141" s="339" t="str">
        <x:v>EXC-00140</x:v>
      </x:c>
      <x:c r="B141" s="339" t="str">
        <x:v>SCR-057</x:v>
      </x:c>
      <x:c r="C141" s="339" t="str">
        <x:v>Students</x:v>
      </x:c>
      <x:c r="D141" s="339" t="str">
        <x:v>Student Profile Overview</x:v>
      </x:c>
      <x:c r="E141" s="339" t="str">
        <x:v>Unauthorized or out-of-scope record</x:v>
      </x:c>
      <x:c r="F141" s="339" t="str">
        <x:v>Deny access/action; do not reveal existence beyond safe messaging.</x:v>
      </x:c>
      <x:c r="G141" s="339" t="str">
        <x:v>You do not have access to this record.</x:v>
      </x:c>
      <x:c r="H141" s="339" t="str">
        <x:v>Re-authenticate or contact an administrator if access is expected.</x:v>
      </x:c>
      <x:c r="I141" s="339" t="str">
        <x:v>Log security-relevant denial where appropriate.</x:v>
      </x:c>
    </x:row>
    <x:row r="142">
      <x:c r="A142" s="339" t="str">
        <x:v>EXC-00141</x:v>
      </x:c>
      <x:c r="B142" s="339" t="str">
        <x:v>SCR-057</x:v>
      </x:c>
      <x:c r="C142" s="339" t="str">
        <x:v>Students</x:v>
      </x:c>
      <x:c r="D142" s="339" t="str">
        <x:v>Student Profile Overview</x:v>
      </x:c>
      <x:c r="E142" s="339" t="str">
        <x:v>Stale/concurrent data</x:v>
      </x:c>
      <x:c r="F142" s="339" t="str">
        <x:v>Detect version/state mismatch before destructive update; require refresh/review.</x:v>
      </x:c>
      <x:c r="G142" s="339" t="str">
        <x:v>This record changed since you opened it. Refresh before saving.</x:v>
      </x:c>
      <x:c r="H142" s="339" t="str">
        <x:v>Reload the latest data and reapply the intended change.</x:v>
      </x:c>
      <x:c r="I142" s="339" t="str">
        <x:v>Record conflict if it affected a high-risk workflow.</x:v>
      </x:c>
    </x:row>
    <x:row r="143">
      <x:c r="A143" s="339" t="str">
        <x:v>EXC-00142</x:v>
      </x:c>
      <x:c r="B143" s="339" t="str">
        <x:v>SCR-058</x:v>
      </x:c>
      <x:c r="C143" s="339" t="str">
        <x:v>Students</x:v>
      </x:c>
      <x:c r="D143" s="339" t="str">
        <x:v>Edit Student</x:v>
      </x:c>
      <x:c r="E143" s="339" t="str">
        <x:v>Unauthorized or out-of-scope record</x:v>
      </x:c>
      <x:c r="F143" s="339" t="str">
        <x:v>Deny access/action; do not reveal existence beyond safe messaging.</x:v>
      </x:c>
      <x:c r="G143" s="339" t="str">
        <x:v>You do not have access to this record.</x:v>
      </x:c>
      <x:c r="H143" s="339" t="str">
        <x:v>Re-authenticate or contact an administrator if access is expected.</x:v>
      </x:c>
      <x:c r="I143" s="339" t="str">
        <x:v>Log security-relevant denial where appropriate.</x:v>
      </x:c>
    </x:row>
    <x:row r="144">
      <x:c r="A144" s="339" t="str">
        <x:v>EXC-00143</x:v>
      </x:c>
      <x:c r="B144" s="339" t="str">
        <x:v>SCR-058</x:v>
      </x:c>
      <x:c r="C144" s="339" t="str">
        <x:v>Students</x:v>
      </x:c>
      <x:c r="D144" s="339" t="str">
        <x:v>Edit Student</x:v>
      </x:c>
      <x:c r="E144" s="339" t="str">
        <x:v>Stale/concurrent data</x:v>
      </x:c>
      <x:c r="F144" s="339" t="str">
        <x:v>Detect version/state mismatch before destructive update; require refresh/review.</x:v>
      </x:c>
      <x:c r="G144" s="339" t="str">
        <x:v>This record changed since you opened it. Refresh before saving.</x:v>
      </x:c>
      <x:c r="H144" s="339" t="str">
        <x:v>Reload the latest data and reapply the intended change.</x:v>
      </x:c>
      <x:c r="I144" s="339" t="str">
        <x:v>Record conflict if it affected a high-risk workflow.</x:v>
      </x:c>
    </x:row>
    <x:row r="145">
      <x:c r="A145" s="339" t="str">
        <x:v>EXC-00144</x:v>
      </x:c>
      <x:c r="B145" s="339" t="str">
        <x:v>SCR-058</x:v>
      </x:c>
      <x:c r="C145" s="339" t="str">
        <x:v>Students</x:v>
      </x:c>
      <x:c r="D145" s="339" t="str">
        <x:v>Edit Student</x:v>
      </x:c>
      <x:c r="E145" s="339" t="str">
        <x:v>Downstream dependency failure</x:v>
      </x:c>
      <x:c r="F145" s="339" t="str">
        <x:v>Rollback or keep a recoverable pending state; never claim success for an incomplete critical transaction.</x:v>
      </x:c>
      <x:c r="G145" s="339" t="str">
        <x:v>The action could not be completed. No final change was applied.</x:v>
      </x:c>
      <x:c r="H145" s="339" t="str">
        <x:v>Retry safely or route to manual resolution queue.</x:v>
      </x:c>
      <x:c r="I145" s="339" t="str">
        <x:v>Capture correlation/error ID and failed step.</x:v>
      </x:c>
    </x:row>
    <x:row r="146">
      <x:c r="A146" s="339" t="str">
        <x:v>EXC-00145</x:v>
      </x:c>
      <x:c r="B146" s="339" t="str">
        <x:v>SCR-059</x:v>
      </x:c>
      <x:c r="C146" s="339" t="str">
        <x:v>Students</x:v>
      </x:c>
      <x:c r="D146" s="339" t="str">
        <x:v>Student Academic Details</x:v>
      </x:c>
      <x:c r="E146" s="339" t="str">
        <x:v>Unauthorized or out-of-scope record</x:v>
      </x:c>
      <x:c r="F146" s="339" t="str">
        <x:v>Deny access/action; do not reveal existence beyond safe messaging.</x:v>
      </x:c>
      <x:c r="G146" s="339" t="str">
        <x:v>You do not have access to this record.</x:v>
      </x:c>
      <x:c r="H146" s="339" t="str">
        <x:v>Re-authenticate or contact an administrator if access is expected.</x:v>
      </x:c>
      <x:c r="I146" s="339" t="str">
        <x:v>Log security-relevant denial where appropriate.</x:v>
      </x:c>
    </x:row>
    <x:row r="147">
      <x:c r="A147" s="339" t="str">
        <x:v>EXC-00146</x:v>
      </x:c>
      <x:c r="B147" s="339" t="str">
        <x:v>SCR-059</x:v>
      </x:c>
      <x:c r="C147" s="339" t="str">
        <x:v>Students</x:v>
      </x:c>
      <x:c r="D147" s="339" t="str">
        <x:v>Student Academic Details</x:v>
      </x:c>
      <x:c r="E147" s="339" t="str">
        <x:v>Stale/concurrent data</x:v>
      </x:c>
      <x:c r="F147" s="339" t="str">
        <x:v>Detect version/state mismatch before destructive update; require refresh/review.</x:v>
      </x:c>
      <x:c r="G147" s="339" t="str">
        <x:v>This record changed since you opened it. Refresh before saving.</x:v>
      </x:c>
      <x:c r="H147" s="339" t="str">
        <x:v>Reload the latest data and reapply the intended change.</x:v>
      </x:c>
      <x:c r="I147" s="339" t="str">
        <x:v>Record conflict if it affected a high-risk workflow.</x:v>
      </x:c>
    </x:row>
    <x:row r="148">
      <x:c r="A148" s="339" t="str">
        <x:v>EXC-00147</x:v>
      </x:c>
      <x:c r="B148" s="339" t="str">
        <x:v>SCR-060</x:v>
      </x:c>
      <x:c r="C148" s="339" t="str">
        <x:v>Students</x:v>
      </x:c>
      <x:c r="D148" s="339" t="str">
        <x:v>Student Attendance History</x:v>
      </x:c>
      <x:c r="E148" s="339" t="str">
        <x:v>Unauthorized or out-of-scope record</x:v>
      </x:c>
      <x:c r="F148" s="339" t="str">
        <x:v>Deny access/action; do not reveal existence beyond safe messaging.</x:v>
      </x:c>
      <x:c r="G148" s="339" t="str">
        <x:v>You do not have access to this record.</x:v>
      </x:c>
      <x:c r="H148" s="339" t="str">
        <x:v>Re-authenticate or contact an administrator if access is expected.</x:v>
      </x:c>
      <x:c r="I148" s="339" t="str">
        <x:v>Log security-relevant denial where appropriate.</x:v>
      </x:c>
    </x:row>
    <x:row r="149">
      <x:c r="A149" s="339" t="str">
        <x:v>EXC-00148</x:v>
      </x:c>
      <x:c r="B149" s="339" t="str">
        <x:v>SCR-060</x:v>
      </x:c>
      <x:c r="C149" s="339" t="str">
        <x:v>Students</x:v>
      </x:c>
      <x:c r="D149" s="339" t="str">
        <x:v>Student Attendance History</x:v>
      </x:c>
      <x:c r="E149" s="339" t="str">
        <x:v>Stale/concurrent data</x:v>
      </x:c>
      <x:c r="F149" s="339" t="str">
        <x:v>Detect version/state mismatch before destructive update; require refresh/review.</x:v>
      </x:c>
      <x:c r="G149" s="339" t="str">
        <x:v>This record changed since you opened it. Refresh before saving.</x:v>
      </x:c>
      <x:c r="H149" s="339" t="str">
        <x:v>Reload the latest data and reapply the intended change.</x:v>
      </x:c>
      <x:c r="I149" s="339" t="str">
        <x:v>Record conflict if it affected a high-risk workflow.</x:v>
      </x:c>
    </x:row>
    <x:row r="150">
      <x:c r="A150" s="339" t="str">
        <x:v>EXC-00149</x:v>
      </x:c>
      <x:c r="B150" s="339" t="str">
        <x:v>SCR-061</x:v>
      </x:c>
      <x:c r="C150" s="339" t="str">
        <x:v>Students</x:v>
      </x:c>
      <x:c r="D150" s="339" t="str">
        <x:v>Student Examination &amp; Results</x:v>
      </x:c>
      <x:c r="E150" s="339" t="str">
        <x:v>Unauthorized or out-of-scope record</x:v>
      </x:c>
      <x:c r="F150" s="339" t="str">
        <x:v>Deny access/action; do not reveal existence beyond safe messaging.</x:v>
      </x:c>
      <x:c r="G150" s="339" t="str">
        <x:v>You do not have access to this record.</x:v>
      </x:c>
      <x:c r="H150" s="339" t="str">
        <x:v>Re-authenticate or contact an administrator if access is expected.</x:v>
      </x:c>
      <x:c r="I150" s="339" t="str">
        <x:v>Log security-relevant denial where appropriate.</x:v>
      </x:c>
    </x:row>
    <x:row r="151">
      <x:c r="A151" s="339" t="str">
        <x:v>EXC-00150</x:v>
      </x:c>
      <x:c r="B151" s="339" t="str">
        <x:v>SCR-061</x:v>
      </x:c>
      <x:c r="C151" s="339" t="str">
        <x:v>Students</x:v>
      </x:c>
      <x:c r="D151" s="339" t="str">
        <x:v>Student Examination &amp; Results</x:v>
      </x:c>
      <x:c r="E151" s="339" t="str">
        <x:v>Stale/concurrent data</x:v>
      </x:c>
      <x:c r="F151" s="339" t="str">
        <x:v>Detect version/state mismatch before destructive update; require refresh/review.</x:v>
      </x:c>
      <x:c r="G151" s="339" t="str">
        <x:v>This record changed since you opened it. Refresh before saving.</x:v>
      </x:c>
      <x:c r="H151" s="339" t="str">
        <x:v>Reload the latest data and reapply the intended change.</x:v>
      </x:c>
      <x:c r="I151" s="339" t="str">
        <x:v>Record conflict if it affected a high-risk workflow.</x:v>
      </x:c>
    </x:row>
    <x:row r="152">
      <x:c r="A152" s="339" t="str">
        <x:v>EXC-00151</x:v>
      </x:c>
      <x:c r="B152" s="339" t="str">
        <x:v>SCR-062</x:v>
      </x:c>
      <x:c r="C152" s="339" t="str">
        <x:v>Students</x:v>
      </x:c>
      <x:c r="D152" s="339" t="str">
        <x:v>Student Fees &amp; Ledger</x:v>
      </x:c>
      <x:c r="E152" s="339" t="str">
        <x:v>Unauthorized or out-of-scope record</x:v>
      </x:c>
      <x:c r="F152" s="339" t="str">
        <x:v>Deny access/action; do not reveal existence beyond safe messaging.</x:v>
      </x:c>
      <x:c r="G152" s="339" t="str">
        <x:v>You do not have access to this record.</x:v>
      </x:c>
      <x:c r="H152" s="339" t="str">
        <x:v>Re-authenticate or contact an administrator if access is expected.</x:v>
      </x:c>
      <x:c r="I152" s="339" t="str">
        <x:v>Log security-relevant denial where appropriate.</x:v>
      </x:c>
    </x:row>
    <x:row r="153">
      <x:c r="A153" s="339" t="str">
        <x:v>EXC-00152</x:v>
      </x:c>
      <x:c r="B153" s="339" t="str">
        <x:v>SCR-062</x:v>
      </x:c>
      <x:c r="C153" s="339" t="str">
        <x:v>Students</x:v>
      </x:c>
      <x:c r="D153" s="339" t="str">
        <x:v>Student Fees &amp; Ledger</x:v>
      </x:c>
      <x:c r="E153" s="339" t="str">
        <x:v>Stale/concurrent data</x:v>
      </x:c>
      <x:c r="F153" s="339" t="str">
        <x:v>Detect version/state mismatch before destructive update; require refresh/review.</x:v>
      </x:c>
      <x:c r="G153" s="339" t="str">
        <x:v>This record changed since you opened it. Refresh before saving.</x:v>
      </x:c>
      <x:c r="H153" s="339" t="str">
        <x:v>Reload the latest data and reapply the intended change.</x:v>
      </x:c>
      <x:c r="I153" s="339" t="str">
        <x:v>Record conflict if it affected a high-risk workflow.</x:v>
      </x:c>
    </x:row>
    <x:row r="154">
      <x:c r="A154" s="339" t="str">
        <x:v>EXC-00153</x:v>
      </x:c>
      <x:c r="B154" s="339" t="str">
        <x:v>SCR-063</x:v>
      </x:c>
      <x:c r="C154" s="339" t="str">
        <x:v>Students</x:v>
      </x:c>
      <x:c r="D154" s="339" t="str">
        <x:v>Student Documents</x:v>
      </x:c>
      <x:c r="E154" s="339" t="str">
        <x:v>Unauthorized or out-of-scope record</x:v>
      </x:c>
      <x:c r="F154" s="339" t="str">
        <x:v>Deny access/action; do not reveal existence beyond safe messaging.</x:v>
      </x:c>
      <x:c r="G154" s="339" t="str">
        <x:v>You do not have access to this record.</x:v>
      </x:c>
      <x:c r="H154" s="339" t="str">
        <x:v>Re-authenticate or contact an administrator if access is expected.</x:v>
      </x:c>
      <x:c r="I154" s="339" t="str">
        <x:v>Log security-relevant denial where appropriate.</x:v>
      </x:c>
    </x:row>
    <x:row r="155">
      <x:c r="A155" s="339" t="str">
        <x:v>EXC-00154</x:v>
      </x:c>
      <x:c r="B155" s="339" t="str">
        <x:v>SCR-063</x:v>
      </x:c>
      <x:c r="C155" s="339" t="str">
        <x:v>Students</x:v>
      </x:c>
      <x:c r="D155" s="339" t="str">
        <x:v>Student Documents</x:v>
      </x:c>
      <x:c r="E155" s="339" t="str">
        <x:v>Stale/concurrent data</x:v>
      </x:c>
      <x:c r="F155" s="339" t="str">
        <x:v>Detect version/state mismatch before destructive update; require refresh/review.</x:v>
      </x:c>
      <x:c r="G155" s="339" t="str">
        <x:v>This record changed since you opened it. Refresh before saving.</x:v>
      </x:c>
      <x:c r="H155" s="339" t="str">
        <x:v>Reload the latest data and reapply the intended change.</x:v>
      </x:c>
      <x:c r="I155" s="339" t="str">
        <x:v>Record conflict if it affected a high-risk workflow.</x:v>
      </x:c>
    </x:row>
    <x:row r="156">
      <x:c r="A156" s="339" t="str">
        <x:v>EXC-00155</x:v>
      </x:c>
      <x:c r="B156" s="339" t="str">
        <x:v>SCR-063</x:v>
      </x:c>
      <x:c r="C156" s="339" t="str">
        <x:v>Students</x:v>
      </x:c>
      <x:c r="D156" s="339" t="str">
        <x:v>Student Documents</x:v>
      </x:c>
      <x:c r="E156" s="339" t="str">
        <x:v>Downstream dependency failure</x:v>
      </x:c>
      <x:c r="F156" s="339" t="str">
        <x:v>Rollback or keep a recoverable pending state; never claim success for an incomplete critical transaction.</x:v>
      </x:c>
      <x:c r="G156" s="339" t="str">
        <x:v>The action could not be completed. No final change was applied.</x:v>
      </x:c>
      <x:c r="H156" s="339" t="str">
        <x:v>Retry safely or route to manual resolution queue.</x:v>
      </x:c>
      <x:c r="I156" s="339" t="str">
        <x:v>Capture correlation/error ID and failed step.</x:v>
      </x:c>
    </x:row>
    <x:row r="157">
      <x:c r="A157" s="339" t="str">
        <x:v>EXC-00156</x:v>
      </x:c>
      <x:c r="B157" s="339" t="str">
        <x:v>SCR-064</x:v>
      </x:c>
      <x:c r="C157" s="339" t="str">
        <x:v>Students</x:v>
      </x:c>
      <x:c r="D157" s="339" t="str">
        <x:v>Student Behaviour &amp; Discipline</x:v>
      </x:c>
      <x:c r="E157" s="339" t="str">
        <x:v>Unauthorized or out-of-scope record</x:v>
      </x:c>
      <x:c r="F157" s="339" t="str">
        <x:v>Deny access/action; do not reveal existence beyond safe messaging.</x:v>
      </x:c>
      <x:c r="G157" s="339" t="str">
        <x:v>You do not have access to this record.</x:v>
      </x:c>
      <x:c r="H157" s="339" t="str">
        <x:v>Re-authenticate or contact an administrator if access is expected.</x:v>
      </x:c>
      <x:c r="I157" s="339" t="str">
        <x:v>Log security-relevant denial where appropriate.</x:v>
      </x:c>
    </x:row>
    <x:row r="158">
      <x:c r="A158" s="339" t="str">
        <x:v>EXC-00157</x:v>
      </x:c>
      <x:c r="B158" s="339" t="str">
        <x:v>SCR-064</x:v>
      </x:c>
      <x:c r="C158" s="339" t="str">
        <x:v>Students</x:v>
      </x:c>
      <x:c r="D158" s="339" t="str">
        <x:v>Student Behaviour &amp; Discipline</x:v>
      </x:c>
      <x:c r="E158" s="339" t="str">
        <x:v>Stale/concurrent data</x:v>
      </x:c>
      <x:c r="F158" s="339" t="str">
        <x:v>Detect version/state mismatch before destructive update; require refresh/review.</x:v>
      </x:c>
      <x:c r="G158" s="339" t="str">
        <x:v>This record changed since you opened it. Refresh before saving.</x:v>
      </x:c>
      <x:c r="H158" s="339" t="str">
        <x:v>Reload the latest data and reapply the intended change.</x:v>
      </x:c>
      <x:c r="I158" s="339" t="str">
        <x:v>Record conflict if it affected a high-risk workflow.</x:v>
      </x:c>
    </x:row>
    <x:row r="159">
      <x:c r="A159" s="339" t="str">
        <x:v>EXC-00158</x:v>
      </x:c>
      <x:c r="B159" s="339" t="str">
        <x:v>SCR-064</x:v>
      </x:c>
      <x:c r="C159" s="339" t="str">
        <x:v>Students</x:v>
      </x:c>
      <x:c r="D159" s="339" t="str">
        <x:v>Student Behaviour &amp; Discipline</x:v>
      </x:c>
      <x:c r="E159" s="339" t="str">
        <x:v>Downstream dependency failure</x:v>
      </x:c>
      <x:c r="F159" s="339" t="str">
        <x:v>Rollback or keep a recoverable pending state; never claim success for an incomplete critical transaction.</x:v>
      </x:c>
      <x:c r="G159" s="339" t="str">
        <x:v>The action could not be completed. No final change was applied.</x:v>
      </x:c>
      <x:c r="H159" s="339" t="str">
        <x:v>Retry safely or route to manual resolution queue.</x:v>
      </x:c>
      <x:c r="I159" s="339" t="str">
        <x:v>Capture correlation/error ID and failed step.</x:v>
      </x:c>
    </x:row>
    <x:row r="160">
      <x:c r="A160" s="339" t="str">
        <x:v>EXC-00159</x:v>
      </x:c>
      <x:c r="B160" s="339" t="str">
        <x:v>SCR-065</x:v>
      </x:c>
      <x:c r="C160" s="339" t="str">
        <x:v>Students</x:v>
      </x:c>
      <x:c r="D160" s="339" t="str">
        <x:v>Student Health</x:v>
      </x:c>
      <x:c r="E160" s="339" t="str">
        <x:v>Unauthorized or out-of-scope record</x:v>
      </x:c>
      <x:c r="F160" s="339" t="str">
        <x:v>Deny access/action; do not reveal existence beyond safe messaging.</x:v>
      </x:c>
      <x:c r="G160" s="339" t="str">
        <x:v>You do not have access to this record.</x:v>
      </x:c>
      <x:c r="H160" s="339" t="str">
        <x:v>Re-authenticate or contact an administrator if access is expected.</x:v>
      </x:c>
      <x:c r="I160" s="339" t="str">
        <x:v>Log security-relevant denial where appropriate.</x:v>
      </x:c>
    </x:row>
    <x:row r="161">
      <x:c r="A161" s="339" t="str">
        <x:v>EXC-00160</x:v>
      </x:c>
      <x:c r="B161" s="339" t="str">
        <x:v>SCR-065</x:v>
      </x:c>
      <x:c r="C161" s="339" t="str">
        <x:v>Students</x:v>
      </x:c>
      <x:c r="D161" s="339" t="str">
        <x:v>Student Health</x:v>
      </x:c>
      <x:c r="E161" s="339" t="str">
        <x:v>Stale/concurrent data</x:v>
      </x:c>
      <x:c r="F161" s="339" t="str">
        <x:v>Detect version/state mismatch before destructive update; require refresh/review.</x:v>
      </x:c>
      <x:c r="G161" s="339" t="str">
        <x:v>This record changed since you opened it. Refresh before saving.</x:v>
      </x:c>
      <x:c r="H161" s="339" t="str">
        <x:v>Reload the latest data and reapply the intended change.</x:v>
      </x:c>
      <x:c r="I161" s="339" t="str">
        <x:v>Record conflict if it affected a high-risk workflow.</x:v>
      </x:c>
    </x:row>
    <x:row r="162">
      <x:c r="A162" s="339" t="str">
        <x:v>EXC-00161</x:v>
      </x:c>
      <x:c r="B162" s="339" t="str">
        <x:v>SCR-065</x:v>
      </x:c>
      <x:c r="C162" s="339" t="str">
        <x:v>Students</x:v>
      </x:c>
      <x:c r="D162" s="339" t="str">
        <x:v>Student Health</x:v>
      </x:c>
      <x:c r="E162" s="339" t="str">
        <x:v>Downstream dependency failure</x:v>
      </x:c>
      <x:c r="F162" s="339" t="str">
        <x:v>Rollback or keep a recoverable pending state; never claim success for an incomplete critical transaction.</x:v>
      </x:c>
      <x:c r="G162" s="339" t="str">
        <x:v>The action could not be completed. No final change was applied.</x:v>
      </x:c>
      <x:c r="H162" s="339" t="str">
        <x:v>Retry safely or route to manual resolution queue.</x:v>
      </x:c>
      <x:c r="I162" s="339" t="str">
        <x:v>Capture correlation/error ID and failed step.</x:v>
      </x:c>
    </x:row>
    <x:row r="163">
      <x:c r="A163" s="339" t="str">
        <x:v>EXC-00162</x:v>
      </x:c>
      <x:c r="B163" s="339" t="str">
        <x:v>SCR-066</x:v>
      </x:c>
      <x:c r="C163" s="339" t="str">
        <x:v>Students</x:v>
      </x:c>
      <x:c r="D163" s="339" t="str">
        <x:v>Student Transport</x:v>
      </x:c>
      <x:c r="E163" s="339" t="str">
        <x:v>Unauthorized or out-of-scope record</x:v>
      </x:c>
      <x:c r="F163" s="339" t="str">
        <x:v>Deny access/action; do not reveal existence beyond safe messaging.</x:v>
      </x:c>
      <x:c r="G163" s="339" t="str">
        <x:v>You do not have access to this record.</x:v>
      </x:c>
      <x:c r="H163" s="339" t="str">
        <x:v>Re-authenticate or contact an administrator if access is expected.</x:v>
      </x:c>
      <x:c r="I163" s="339" t="str">
        <x:v>Log security-relevant denial where appropriate.</x:v>
      </x:c>
    </x:row>
    <x:row r="164">
      <x:c r="A164" s="339" t="str">
        <x:v>EXC-00163</x:v>
      </x:c>
      <x:c r="B164" s="339" t="str">
        <x:v>SCR-066</x:v>
      </x:c>
      <x:c r="C164" s="339" t="str">
        <x:v>Students</x:v>
      </x:c>
      <x:c r="D164" s="339" t="str">
        <x:v>Student Transport</x:v>
      </x:c>
      <x:c r="E164" s="339" t="str">
        <x:v>Stale/concurrent data</x:v>
      </x:c>
      <x:c r="F164" s="339" t="str">
        <x:v>Detect version/state mismatch before destructive update; require refresh/review.</x:v>
      </x:c>
      <x:c r="G164" s="339" t="str">
        <x:v>This record changed since you opened it. Refresh before saving.</x:v>
      </x:c>
      <x:c r="H164" s="339" t="str">
        <x:v>Reload the latest data and reapply the intended change.</x:v>
      </x:c>
      <x:c r="I164" s="339" t="str">
        <x:v>Record conflict if it affected a high-risk workflow.</x:v>
      </x:c>
    </x:row>
    <x:row r="165">
      <x:c r="A165" s="339" t="str">
        <x:v>EXC-00164</x:v>
      </x:c>
      <x:c r="B165" s="339" t="str">
        <x:v>SCR-066</x:v>
      </x:c>
      <x:c r="C165" s="339" t="str">
        <x:v>Students</x:v>
      </x:c>
      <x:c r="D165" s="339" t="str">
        <x:v>Student Transport</x:v>
      </x:c>
      <x:c r="E165" s="339" t="str">
        <x:v>Downstream dependency failure</x:v>
      </x:c>
      <x:c r="F165" s="339" t="str">
        <x:v>Rollback or keep a recoverable pending state; never claim success for an incomplete critical transaction.</x:v>
      </x:c>
      <x:c r="G165" s="339" t="str">
        <x:v>The action could not be completed. No final change was applied.</x:v>
      </x:c>
      <x:c r="H165" s="339" t="str">
        <x:v>Retry safely or route to manual resolution queue.</x:v>
      </x:c>
      <x:c r="I165" s="339" t="str">
        <x:v>Capture correlation/error ID and failed step.</x:v>
      </x:c>
    </x:row>
    <x:row r="166">
      <x:c r="A166" s="339" t="str">
        <x:v>EXC-00165</x:v>
      </x:c>
      <x:c r="B166" s="339" t="str">
        <x:v>SCR-067</x:v>
      </x:c>
      <x:c r="C166" s="339" t="str">
        <x:v>Students</x:v>
      </x:c>
      <x:c r="D166" s="339" t="str">
        <x:v>Student Library</x:v>
      </x:c>
      <x:c r="E166" s="339" t="str">
        <x:v>Unauthorized or out-of-scope record</x:v>
      </x:c>
      <x:c r="F166" s="339" t="str">
        <x:v>Deny access/action; do not reveal existence beyond safe messaging.</x:v>
      </x:c>
      <x:c r="G166" s="339" t="str">
        <x:v>You do not have access to this record.</x:v>
      </x:c>
      <x:c r="H166" s="339" t="str">
        <x:v>Re-authenticate or contact an administrator if access is expected.</x:v>
      </x:c>
      <x:c r="I166" s="339" t="str">
        <x:v>Log security-relevant denial where appropriate.</x:v>
      </x:c>
    </x:row>
    <x:row r="167">
      <x:c r="A167" s="339" t="str">
        <x:v>EXC-00166</x:v>
      </x:c>
      <x:c r="B167" s="339" t="str">
        <x:v>SCR-067</x:v>
      </x:c>
      <x:c r="C167" s="339" t="str">
        <x:v>Students</x:v>
      </x:c>
      <x:c r="D167" s="339" t="str">
        <x:v>Student Library</x:v>
      </x:c>
      <x:c r="E167" s="339" t="str">
        <x:v>Stale/concurrent data</x:v>
      </x:c>
      <x:c r="F167" s="339" t="str">
        <x:v>Detect version/state mismatch before destructive update; require refresh/review.</x:v>
      </x:c>
      <x:c r="G167" s="339" t="str">
        <x:v>This record changed since you opened it. Refresh before saving.</x:v>
      </x:c>
      <x:c r="H167" s="339" t="str">
        <x:v>Reload the latest data and reapply the intended change.</x:v>
      </x:c>
      <x:c r="I167" s="339" t="str">
        <x:v>Record conflict if it affected a high-risk workflow.</x:v>
      </x:c>
    </x:row>
    <x:row r="168">
      <x:c r="A168" s="339" t="str">
        <x:v>EXC-00167</x:v>
      </x:c>
      <x:c r="B168" s="339" t="str">
        <x:v>SCR-067</x:v>
      </x:c>
      <x:c r="C168" s="339" t="str">
        <x:v>Students</x:v>
      </x:c>
      <x:c r="D168" s="339" t="str">
        <x:v>Student Library</x:v>
      </x:c>
      <x:c r="E168" s="339" t="str">
        <x:v>Downstream dependency failure</x:v>
      </x:c>
      <x:c r="F168" s="339" t="str">
        <x:v>Rollback or keep a recoverable pending state; never claim success for an incomplete critical transaction.</x:v>
      </x:c>
      <x:c r="G168" s="339" t="str">
        <x:v>The action could not be completed. No final change was applied.</x:v>
      </x:c>
      <x:c r="H168" s="339" t="str">
        <x:v>Retry safely or route to manual resolution queue.</x:v>
      </x:c>
      <x:c r="I168" s="339" t="str">
        <x:v>Capture correlation/error ID and failed step.</x:v>
      </x:c>
    </x:row>
    <x:row r="169">
      <x:c r="A169" s="339" t="str">
        <x:v>EXC-00168</x:v>
      </x:c>
      <x:c r="B169" s="339" t="str">
        <x:v>SCR-068</x:v>
      </x:c>
      <x:c r="C169" s="339" t="str">
        <x:v>Students</x:v>
      </x:c>
      <x:c r="D169" s="339" t="str">
        <x:v>Siblings &amp; Family</x:v>
      </x:c>
      <x:c r="E169" s="339" t="str">
        <x:v>Unauthorized or out-of-scope record</x:v>
      </x:c>
      <x:c r="F169" s="339" t="str">
        <x:v>Deny access/action; do not reveal existence beyond safe messaging.</x:v>
      </x:c>
      <x:c r="G169" s="339" t="str">
        <x:v>You do not have access to this record.</x:v>
      </x:c>
      <x:c r="H169" s="339" t="str">
        <x:v>Re-authenticate or contact an administrator if access is expected.</x:v>
      </x:c>
      <x:c r="I169" s="339" t="str">
        <x:v>Log security-relevant denial where appropriate.</x:v>
      </x:c>
    </x:row>
    <x:row r="170">
      <x:c r="A170" s="339" t="str">
        <x:v>EXC-00169</x:v>
      </x:c>
      <x:c r="B170" s="339" t="str">
        <x:v>SCR-068</x:v>
      </x:c>
      <x:c r="C170" s="339" t="str">
        <x:v>Students</x:v>
      </x:c>
      <x:c r="D170" s="339" t="str">
        <x:v>Siblings &amp; Family</x:v>
      </x:c>
      <x:c r="E170" s="339" t="str">
        <x:v>Stale/concurrent data</x:v>
      </x:c>
      <x:c r="F170" s="339" t="str">
        <x:v>Detect version/state mismatch before destructive update; require refresh/review.</x:v>
      </x:c>
      <x:c r="G170" s="339" t="str">
        <x:v>This record changed since you opened it. Refresh before saving.</x:v>
      </x:c>
      <x:c r="H170" s="339" t="str">
        <x:v>Reload the latest data and reapply the intended change.</x:v>
      </x:c>
      <x:c r="I170" s="339" t="str">
        <x:v>Record conflict if it affected a high-risk workflow.</x:v>
      </x:c>
    </x:row>
    <x:row r="171">
      <x:c r="A171" s="339" t="str">
        <x:v>EXC-00170</x:v>
      </x:c>
      <x:c r="B171" s="339" t="str">
        <x:v>SCR-068</x:v>
      </x:c>
      <x:c r="C171" s="339" t="str">
        <x:v>Students</x:v>
      </x:c>
      <x:c r="D171" s="339" t="str">
        <x:v>Siblings &amp; Family</x:v>
      </x:c>
      <x:c r="E171" s="339" t="str">
        <x:v>Downstream dependency failure</x:v>
      </x:c>
      <x:c r="F171" s="339" t="str">
        <x:v>Rollback or keep a recoverable pending state; never claim success for an incomplete critical transaction.</x:v>
      </x:c>
      <x:c r="G171" s="339" t="str">
        <x:v>The action could not be completed. No final change was applied.</x:v>
      </x:c>
      <x:c r="H171" s="339" t="str">
        <x:v>Retry safely or route to manual resolution queue.</x:v>
      </x:c>
      <x:c r="I171" s="339" t="str">
        <x:v>Capture correlation/error ID and failed step.</x:v>
      </x:c>
    </x:row>
    <x:row r="172">
      <x:c r="A172" s="339" t="str">
        <x:v>EXC-00171</x:v>
      </x:c>
      <x:c r="B172" s="339" t="str">
        <x:v>SCR-069</x:v>
      </x:c>
      <x:c r="C172" s="339" t="str">
        <x:v>Students</x:v>
      </x:c>
      <x:c r="D172" s="339" t="str">
        <x:v>Promotion / Transfer</x:v>
      </x:c>
      <x:c r="E172" s="339" t="str">
        <x:v>Unauthorized or out-of-scope record</x:v>
      </x:c>
      <x:c r="F172" s="339" t="str">
        <x:v>Deny access/action; do not reveal existence beyond safe messaging.</x:v>
      </x:c>
      <x:c r="G172" s="339" t="str">
        <x:v>You do not have access to this record.</x:v>
      </x:c>
      <x:c r="H172" s="339" t="str">
        <x:v>Re-authenticate or contact an administrator if access is expected.</x:v>
      </x:c>
      <x:c r="I172" s="339" t="str">
        <x:v>Log security-relevant denial where appropriate.</x:v>
      </x:c>
    </x:row>
    <x:row r="173">
      <x:c r="A173" s="339" t="str">
        <x:v>EXC-00172</x:v>
      </x:c>
      <x:c r="B173" s="339" t="str">
        <x:v>SCR-069</x:v>
      </x:c>
      <x:c r="C173" s="339" t="str">
        <x:v>Students</x:v>
      </x:c>
      <x:c r="D173" s="339" t="str">
        <x:v>Promotion / Transfer</x:v>
      </x:c>
      <x:c r="E173" s="339" t="str">
        <x:v>Stale/concurrent data</x:v>
      </x:c>
      <x:c r="F173" s="339" t="str">
        <x:v>Detect version/state mismatch before destructive update; require refresh/review.</x:v>
      </x:c>
      <x:c r="G173" s="339" t="str">
        <x:v>This record changed since you opened it. Refresh before saving.</x:v>
      </x:c>
      <x:c r="H173" s="339" t="str">
        <x:v>Reload the latest data and reapply the intended change.</x:v>
      </x:c>
      <x:c r="I173" s="339" t="str">
        <x:v>Record conflict if it affected a high-risk workflow.</x:v>
      </x:c>
    </x:row>
    <x:row r="174">
      <x:c r="A174" s="339" t="str">
        <x:v>EXC-00173</x:v>
      </x:c>
      <x:c r="B174" s="339" t="str">
        <x:v>SCR-069</x:v>
      </x:c>
      <x:c r="C174" s="339" t="str">
        <x:v>Students</x:v>
      </x:c>
      <x:c r="D174" s="339" t="str">
        <x:v>Promotion / Transfer</x:v>
      </x:c>
      <x:c r="E174" s="339" t="str">
        <x:v>Downstream dependency failure</x:v>
      </x:c>
      <x:c r="F174" s="339" t="str">
        <x:v>Rollback or keep a recoverable pending state; never claim success for an incomplete critical transaction.</x:v>
      </x:c>
      <x:c r="G174" s="339" t="str">
        <x:v>The action could not be completed. No final change was applied.</x:v>
      </x:c>
      <x:c r="H174" s="339" t="str">
        <x:v>Retry safely or route to manual resolution queue.</x:v>
      </x:c>
      <x:c r="I174" s="339" t="str">
        <x:v>Capture correlation/error ID and failed step.</x:v>
      </x:c>
    </x:row>
    <x:row r="175">
      <x:c r="A175" s="339" t="str">
        <x:v>EXC-00174</x:v>
      </x:c>
      <x:c r="B175" s="339" t="str">
        <x:v>SCR-070</x:v>
      </x:c>
      <x:c r="C175" s="339" t="str">
        <x:v>Students</x:v>
      </x:c>
      <x:c r="D175" s="339" t="str">
        <x:v>Student Exit / Alumni Conversion</x:v>
      </x:c>
      <x:c r="E175" s="339" t="str">
        <x:v>Unauthorized or out-of-scope record</x:v>
      </x:c>
      <x:c r="F175" s="339" t="str">
        <x:v>Deny access/action; do not reveal existence beyond safe messaging.</x:v>
      </x:c>
      <x:c r="G175" s="339" t="str">
        <x:v>You do not have access to this record.</x:v>
      </x:c>
      <x:c r="H175" s="339" t="str">
        <x:v>Re-authenticate or contact an administrator if access is expected.</x:v>
      </x:c>
      <x:c r="I175" s="339" t="str">
        <x:v>Log security-relevant denial where appropriate.</x:v>
      </x:c>
    </x:row>
    <x:row r="176">
      <x:c r="A176" s="339" t="str">
        <x:v>EXC-00175</x:v>
      </x:c>
      <x:c r="B176" s="339" t="str">
        <x:v>SCR-070</x:v>
      </x:c>
      <x:c r="C176" s="339" t="str">
        <x:v>Students</x:v>
      </x:c>
      <x:c r="D176" s="339" t="str">
        <x:v>Student Exit / Alumni Conversion</x:v>
      </x:c>
      <x:c r="E176" s="339" t="str">
        <x:v>Stale/concurrent data</x:v>
      </x:c>
      <x:c r="F176" s="339" t="str">
        <x:v>Detect version/state mismatch before destructive update; require refresh/review.</x:v>
      </x:c>
      <x:c r="G176" s="339" t="str">
        <x:v>This record changed since you opened it. Refresh before saving.</x:v>
      </x:c>
      <x:c r="H176" s="339" t="str">
        <x:v>Reload the latest data and reapply the intended change.</x:v>
      </x:c>
      <x:c r="I176" s="339" t="str">
        <x:v>Record conflict if it affected a high-risk workflow.</x:v>
      </x:c>
    </x:row>
    <x:row r="177">
      <x:c r="A177" s="339" t="str">
        <x:v>EXC-00176</x:v>
      </x:c>
      <x:c r="B177" s="339" t="str">
        <x:v>SCR-070</x:v>
      </x:c>
      <x:c r="C177" s="339" t="str">
        <x:v>Students</x:v>
      </x:c>
      <x:c r="D177" s="339" t="str">
        <x:v>Student Exit / Alumni Conversion</x:v>
      </x:c>
      <x:c r="E177" s="339" t="str">
        <x:v>Downstream dependency failure</x:v>
      </x:c>
      <x:c r="F177" s="339" t="str">
        <x:v>Rollback or keep a recoverable pending state; never claim success for an incomplete critical transaction.</x:v>
      </x:c>
      <x:c r="G177" s="339" t="str">
        <x:v>The action could not be completed. No final change was applied.</x:v>
      </x:c>
      <x:c r="H177" s="339" t="str">
        <x:v>Retry safely or route to manual resolution queue.</x:v>
      </x:c>
      <x:c r="I177" s="339" t="str">
        <x:v>Capture correlation/error ID and failed step.</x:v>
      </x:c>
    </x:row>
    <x:row r="178">
      <x:c r="A178" s="339" t="str">
        <x:v>EXC-00177</x:v>
      </x:c>
      <x:c r="B178" s="339" t="str">
        <x:v>SCR-071</x:v>
      </x:c>
      <x:c r="C178" s="339" t="str">
        <x:v>Parents &amp; Guardians</x:v>
      </x:c>
      <x:c r="D178" s="339" t="str">
        <x:v>Parent / Guardian Directory</x:v>
      </x:c>
      <x:c r="E178" s="339" t="str">
        <x:v>Unauthorized or out-of-scope record</x:v>
      </x:c>
      <x:c r="F178" s="339" t="str">
        <x:v>Deny access/action; do not reveal existence beyond safe messaging.</x:v>
      </x:c>
      <x:c r="G178" s="339" t="str">
        <x:v>You do not have access to this record.</x:v>
      </x:c>
      <x:c r="H178" s="339" t="str">
        <x:v>Re-authenticate or contact an administrator if access is expected.</x:v>
      </x:c>
      <x:c r="I178" s="339" t="str">
        <x:v>Log security-relevant denial where appropriate.</x:v>
      </x:c>
    </x:row>
    <x:row r="179">
      <x:c r="A179" s="339" t="str">
        <x:v>EXC-00178</x:v>
      </x:c>
      <x:c r="B179" s="339" t="str">
        <x:v>SCR-071</x:v>
      </x:c>
      <x:c r="C179" s="339" t="str">
        <x:v>Parents &amp; Guardians</x:v>
      </x:c>
      <x:c r="D179" s="339" t="str">
        <x:v>Parent / Guardian Directory</x:v>
      </x:c>
      <x:c r="E179" s="339" t="str">
        <x:v>Stale/concurrent data</x:v>
      </x:c>
      <x:c r="F179" s="339" t="str">
        <x:v>Detect version/state mismatch before destructive update; require refresh/review.</x:v>
      </x:c>
      <x:c r="G179" s="339" t="str">
        <x:v>This record changed since you opened it. Refresh before saving.</x:v>
      </x:c>
      <x:c r="H179" s="339" t="str">
        <x:v>Reload the latest data and reapply the intended change.</x:v>
      </x:c>
      <x:c r="I179" s="339" t="str">
        <x:v>Record conflict if it affected a high-risk workflow.</x:v>
      </x:c>
    </x:row>
    <x:row r="180">
      <x:c r="A180" s="339" t="str">
        <x:v>EXC-00179</x:v>
      </x:c>
      <x:c r="B180" s="339" t="str">
        <x:v>SCR-072</x:v>
      </x:c>
      <x:c r="C180" s="339" t="str">
        <x:v>Parents &amp; Guardians</x:v>
      </x:c>
      <x:c r="D180" s="339" t="str">
        <x:v>Add Parent / Guardian</x:v>
      </x:c>
      <x:c r="E180" s="339" t="str">
        <x:v>Unauthorized or out-of-scope record</x:v>
      </x:c>
      <x:c r="F180" s="339" t="str">
        <x:v>Deny access/action; do not reveal existence beyond safe messaging.</x:v>
      </x:c>
      <x:c r="G180" s="339" t="str">
        <x:v>You do not have access to this record.</x:v>
      </x:c>
      <x:c r="H180" s="339" t="str">
        <x:v>Re-authenticate or contact an administrator if access is expected.</x:v>
      </x:c>
      <x:c r="I180" s="339" t="str">
        <x:v>Log security-relevant denial where appropriate.</x:v>
      </x:c>
    </x:row>
    <x:row r="181">
      <x:c r="A181" s="339" t="str">
        <x:v>EXC-00180</x:v>
      </x:c>
      <x:c r="B181" s="339" t="str">
        <x:v>SCR-072</x:v>
      </x:c>
      <x:c r="C181" s="339" t="str">
        <x:v>Parents &amp; Guardians</x:v>
      </x:c>
      <x:c r="D181" s="339" t="str">
        <x:v>Add Parent / Guardian</x:v>
      </x:c>
      <x:c r="E181" s="339" t="str">
        <x:v>Stale/concurrent data</x:v>
      </x:c>
      <x:c r="F181" s="339" t="str">
        <x:v>Detect version/state mismatch before destructive update; require refresh/review.</x:v>
      </x:c>
      <x:c r="G181" s="339" t="str">
        <x:v>This record changed since you opened it. Refresh before saving.</x:v>
      </x:c>
      <x:c r="H181" s="339" t="str">
        <x:v>Reload the latest data and reapply the intended change.</x:v>
      </x:c>
      <x:c r="I181" s="339" t="str">
        <x:v>Record conflict if it affected a high-risk workflow.</x:v>
      </x:c>
    </x:row>
    <x:row r="182">
      <x:c r="A182" s="339" t="str">
        <x:v>EXC-00181</x:v>
      </x:c>
      <x:c r="B182" s="339" t="str">
        <x:v>SCR-072</x:v>
      </x:c>
      <x:c r="C182" s="339" t="str">
        <x:v>Parents &amp; Guardians</x:v>
      </x:c>
      <x:c r="D182" s="339" t="str">
        <x:v>Add Parent / Guardian</x:v>
      </x:c>
      <x:c r="E182" s="339" t="str">
        <x:v>Downstream dependency failure</x:v>
      </x:c>
      <x:c r="F182" s="339" t="str">
        <x:v>Rollback or keep a recoverable pending state; never claim success for an incomplete critical transaction.</x:v>
      </x:c>
      <x:c r="G182" s="339" t="str">
        <x:v>The action could not be completed. No final change was applied.</x:v>
      </x:c>
      <x:c r="H182" s="339" t="str">
        <x:v>Retry safely or route to manual resolution queue.</x:v>
      </x:c>
      <x:c r="I182" s="339" t="str">
        <x:v>Capture correlation/error ID and failed step.</x:v>
      </x:c>
    </x:row>
    <x:row r="183">
      <x:c r="A183" s="339" t="str">
        <x:v>EXC-00182</x:v>
      </x:c>
      <x:c r="B183" s="339" t="str">
        <x:v>SCR-073</x:v>
      </x:c>
      <x:c r="C183" s="339" t="str">
        <x:v>Parents &amp; Guardians</x:v>
      </x:c>
      <x:c r="D183" s="339" t="str">
        <x:v>Parent Profile</x:v>
      </x:c>
      <x:c r="E183" s="339" t="str">
        <x:v>Unauthorized or out-of-scope record</x:v>
      </x:c>
      <x:c r="F183" s="339" t="str">
        <x:v>Deny access/action; do not reveal existence beyond safe messaging.</x:v>
      </x:c>
      <x:c r="G183" s="339" t="str">
        <x:v>You do not have access to this record.</x:v>
      </x:c>
      <x:c r="H183" s="339" t="str">
        <x:v>Re-authenticate or contact an administrator if access is expected.</x:v>
      </x:c>
      <x:c r="I183" s="339" t="str">
        <x:v>Log security-relevant denial where appropriate.</x:v>
      </x:c>
    </x:row>
    <x:row r="184">
      <x:c r="A184" s="339" t="str">
        <x:v>EXC-00183</x:v>
      </x:c>
      <x:c r="B184" s="339" t="str">
        <x:v>SCR-073</x:v>
      </x:c>
      <x:c r="C184" s="339" t="str">
        <x:v>Parents &amp; Guardians</x:v>
      </x:c>
      <x:c r="D184" s="339" t="str">
        <x:v>Parent Profile</x:v>
      </x:c>
      <x:c r="E184" s="339" t="str">
        <x:v>Stale/concurrent data</x:v>
      </x:c>
      <x:c r="F184" s="339" t="str">
        <x:v>Detect version/state mismatch before destructive update; require refresh/review.</x:v>
      </x:c>
      <x:c r="G184" s="339" t="str">
        <x:v>This record changed since you opened it. Refresh before saving.</x:v>
      </x:c>
      <x:c r="H184" s="339" t="str">
        <x:v>Reload the latest data and reapply the intended change.</x:v>
      </x:c>
      <x:c r="I184" s="339" t="str">
        <x:v>Record conflict if it affected a high-risk workflow.</x:v>
      </x:c>
    </x:row>
    <x:row r="185">
      <x:c r="A185" s="339" t="str">
        <x:v>EXC-00184</x:v>
      </x:c>
      <x:c r="B185" s="339" t="str">
        <x:v>SCR-074</x:v>
      </x:c>
      <x:c r="C185" s="339" t="str">
        <x:v>Parents &amp; Guardians</x:v>
      </x:c>
      <x:c r="D185" s="339" t="str">
        <x:v>Link Children</x:v>
      </x:c>
      <x:c r="E185" s="339" t="str">
        <x:v>Unauthorized or out-of-scope record</x:v>
      </x:c>
      <x:c r="F185" s="339" t="str">
        <x:v>Deny access/action; do not reveal existence beyond safe messaging.</x:v>
      </x:c>
      <x:c r="G185" s="339" t="str">
        <x:v>You do not have access to this record.</x:v>
      </x:c>
      <x:c r="H185" s="339" t="str">
        <x:v>Re-authenticate or contact an administrator if access is expected.</x:v>
      </x:c>
      <x:c r="I185" s="339" t="str">
        <x:v>Log security-relevant denial where appropriate.</x:v>
      </x:c>
    </x:row>
    <x:row r="186">
      <x:c r="A186" s="339" t="str">
        <x:v>EXC-00185</x:v>
      </x:c>
      <x:c r="B186" s="339" t="str">
        <x:v>SCR-074</x:v>
      </x:c>
      <x:c r="C186" s="339" t="str">
        <x:v>Parents &amp; Guardians</x:v>
      </x:c>
      <x:c r="D186" s="339" t="str">
        <x:v>Link Children</x:v>
      </x:c>
      <x:c r="E186" s="339" t="str">
        <x:v>Stale/concurrent data</x:v>
      </x:c>
      <x:c r="F186" s="339" t="str">
        <x:v>Detect version/state mismatch before destructive update; require refresh/review.</x:v>
      </x:c>
      <x:c r="G186" s="339" t="str">
        <x:v>This record changed since you opened it. Refresh before saving.</x:v>
      </x:c>
      <x:c r="H186" s="339" t="str">
        <x:v>Reload the latest data and reapply the intended change.</x:v>
      </x:c>
      <x:c r="I186" s="339" t="str">
        <x:v>Record conflict if it affected a high-risk workflow.</x:v>
      </x:c>
    </x:row>
    <x:row r="187">
      <x:c r="A187" s="339" t="str">
        <x:v>EXC-00186</x:v>
      </x:c>
      <x:c r="B187" s="339" t="str">
        <x:v>SCR-074</x:v>
      </x:c>
      <x:c r="C187" s="339" t="str">
        <x:v>Parents &amp; Guardians</x:v>
      </x:c>
      <x:c r="D187" s="339" t="str">
        <x:v>Link Children</x:v>
      </x:c>
      <x:c r="E187" s="339" t="str">
        <x:v>Downstream dependency failure</x:v>
      </x:c>
      <x:c r="F187" s="339" t="str">
        <x:v>Rollback or keep a recoverable pending state; never claim success for an incomplete critical transaction.</x:v>
      </x:c>
      <x:c r="G187" s="339" t="str">
        <x:v>The action could not be completed. No final change was applied.</x:v>
      </x:c>
      <x:c r="H187" s="339" t="str">
        <x:v>Retry safely or route to manual resolution queue.</x:v>
      </x:c>
      <x:c r="I187" s="339" t="str">
        <x:v>Capture correlation/error ID and failed step.</x:v>
      </x:c>
    </x:row>
    <x:row r="188">
      <x:c r="A188" s="339" t="str">
        <x:v>EXC-00187</x:v>
      </x:c>
      <x:c r="B188" s="339" t="str">
        <x:v>SCR-075</x:v>
      </x:c>
      <x:c r="C188" s="339" t="str">
        <x:v>Parents &amp; Guardians</x:v>
      </x:c>
      <x:c r="D188" s="339" t="str">
        <x:v>Communication Preferences</x:v>
      </x:c>
      <x:c r="E188" s="339" t="str">
        <x:v>Unauthorized or out-of-scope record</x:v>
      </x:c>
      <x:c r="F188" s="339" t="str">
        <x:v>Deny access/action; do not reveal existence beyond safe messaging.</x:v>
      </x:c>
      <x:c r="G188" s="339" t="str">
        <x:v>You do not have access to this record.</x:v>
      </x:c>
      <x:c r="H188" s="339" t="str">
        <x:v>Re-authenticate or contact an administrator if access is expected.</x:v>
      </x:c>
      <x:c r="I188" s="339" t="str">
        <x:v>Log security-relevant denial where appropriate.</x:v>
      </x:c>
    </x:row>
    <x:row r="189">
      <x:c r="A189" s="339" t="str">
        <x:v>EXC-00188</x:v>
      </x:c>
      <x:c r="B189" s="339" t="str">
        <x:v>SCR-075</x:v>
      </x:c>
      <x:c r="C189" s="339" t="str">
        <x:v>Parents &amp; Guardians</x:v>
      </x:c>
      <x:c r="D189" s="339" t="str">
        <x:v>Communication Preferences</x:v>
      </x:c>
      <x:c r="E189" s="339" t="str">
        <x:v>Stale/concurrent data</x:v>
      </x:c>
      <x:c r="F189" s="339" t="str">
        <x:v>Detect version/state mismatch before destructive update; require refresh/review.</x:v>
      </x:c>
      <x:c r="G189" s="339" t="str">
        <x:v>This record changed since you opened it. Refresh before saving.</x:v>
      </x:c>
      <x:c r="H189" s="339" t="str">
        <x:v>Reload the latest data and reapply the intended change.</x:v>
      </x:c>
      <x:c r="I189" s="339" t="str">
        <x:v>Record conflict if it affected a high-risk workflow.</x:v>
      </x:c>
    </x:row>
    <x:row r="190">
      <x:c r="A190" s="339" t="str">
        <x:v>EXC-00189</x:v>
      </x:c>
      <x:c r="B190" s="339" t="str">
        <x:v>SCR-076</x:v>
      </x:c>
      <x:c r="C190" s="339" t="str">
        <x:v>Parents &amp; Guardians</x:v>
      </x:c>
      <x:c r="D190" s="339" t="str">
        <x:v>Parent Login Access</x:v>
      </x:c>
      <x:c r="E190" s="339" t="str">
        <x:v>Unauthorized or out-of-scope record</x:v>
      </x:c>
      <x:c r="F190" s="339" t="str">
        <x:v>Deny access/action; do not reveal existence beyond safe messaging.</x:v>
      </x:c>
      <x:c r="G190" s="339" t="str">
        <x:v>You do not have access to this record.</x:v>
      </x:c>
      <x:c r="H190" s="339" t="str">
        <x:v>Re-authenticate or contact an administrator if access is expected.</x:v>
      </x:c>
      <x:c r="I190" s="339" t="str">
        <x:v>Log security-relevant denial where appropriate.</x:v>
      </x:c>
    </x:row>
    <x:row r="191">
      <x:c r="A191" s="339" t="str">
        <x:v>EXC-00190</x:v>
      </x:c>
      <x:c r="B191" s="339" t="str">
        <x:v>SCR-076</x:v>
      </x:c>
      <x:c r="C191" s="339" t="str">
        <x:v>Parents &amp; Guardians</x:v>
      </x:c>
      <x:c r="D191" s="339" t="str">
        <x:v>Parent Login Access</x:v>
      </x:c>
      <x:c r="E191" s="339" t="str">
        <x:v>Stale/concurrent data</x:v>
      </x:c>
      <x:c r="F191" s="339" t="str">
        <x:v>Detect version/state mismatch before destructive update; require refresh/review.</x:v>
      </x:c>
      <x:c r="G191" s="339" t="str">
        <x:v>This record changed since you opened it. Refresh before saving.</x:v>
      </x:c>
      <x:c r="H191" s="339" t="str">
        <x:v>Reload the latest data and reapply the intended change.</x:v>
      </x:c>
      <x:c r="I191" s="339" t="str">
        <x:v>Record conflict if it affected a high-risk workflow.</x:v>
      </x:c>
    </x:row>
    <x:row r="192">
      <x:c r="A192" s="339" t="str">
        <x:v>EXC-00191</x:v>
      </x:c>
      <x:c r="B192" s="339" t="str">
        <x:v>SCR-076</x:v>
      </x:c>
      <x:c r="C192" s="339" t="str">
        <x:v>Parents &amp; Guardians</x:v>
      </x:c>
      <x:c r="D192" s="339" t="str">
        <x:v>Parent Login Access</x:v>
      </x:c>
      <x:c r="E192" s="339" t="str">
        <x:v>Downstream dependency failure</x:v>
      </x:c>
      <x:c r="F192" s="339" t="str">
        <x:v>Rollback or keep a recoverable pending state; never claim success for an incomplete critical transaction.</x:v>
      </x:c>
      <x:c r="G192" s="339" t="str">
        <x:v>The action could not be completed. No final change was applied.</x:v>
      </x:c>
      <x:c r="H192" s="339" t="str">
        <x:v>Retry safely or route to manual resolution queue.</x:v>
      </x:c>
      <x:c r="I192" s="339" t="str">
        <x:v>Capture correlation/error ID and failed step.</x:v>
      </x:c>
    </x:row>
    <x:row r="193">
      <x:c r="A193" s="339" t="str">
        <x:v>EXC-00192</x:v>
      </x:c>
      <x:c r="B193" s="339" t="str">
        <x:v>SCR-077</x:v>
      </x:c>
      <x:c r="C193" s="339" t="str">
        <x:v>Parents &amp; Guardians</x:v>
      </x:c>
      <x:c r="D193" s="339" t="str">
        <x:v>Parent-Teacher Interactions</x:v>
      </x:c>
      <x:c r="E193" s="339" t="str">
        <x:v>Unauthorized or out-of-scope record</x:v>
      </x:c>
      <x:c r="F193" s="339" t="str">
        <x:v>Deny access/action; do not reveal existence beyond safe messaging.</x:v>
      </x:c>
      <x:c r="G193" s="339" t="str">
        <x:v>You do not have access to this record.</x:v>
      </x:c>
      <x:c r="H193" s="339" t="str">
        <x:v>Re-authenticate or contact an administrator if access is expected.</x:v>
      </x:c>
      <x:c r="I193" s="339" t="str">
        <x:v>Log security-relevant denial where appropriate.</x:v>
      </x:c>
    </x:row>
    <x:row r="194">
      <x:c r="A194" s="339" t="str">
        <x:v>EXC-00193</x:v>
      </x:c>
      <x:c r="B194" s="339" t="str">
        <x:v>SCR-077</x:v>
      </x:c>
      <x:c r="C194" s="339" t="str">
        <x:v>Parents &amp; Guardians</x:v>
      </x:c>
      <x:c r="D194" s="339" t="str">
        <x:v>Parent-Teacher Interactions</x:v>
      </x:c>
      <x:c r="E194" s="339" t="str">
        <x:v>Stale/concurrent data</x:v>
      </x:c>
      <x:c r="F194" s="339" t="str">
        <x:v>Detect version/state mismatch before destructive update; require refresh/review.</x:v>
      </x:c>
      <x:c r="G194" s="339" t="str">
        <x:v>This record changed since you opened it. Refresh before saving.</x:v>
      </x:c>
      <x:c r="H194" s="339" t="str">
        <x:v>Reload the latest data and reapply the intended change.</x:v>
      </x:c>
      <x:c r="I194" s="339" t="str">
        <x:v>Record conflict if it affected a high-risk workflow.</x:v>
      </x:c>
    </x:row>
    <x:row r="195">
      <x:c r="A195" s="339" t="str">
        <x:v>EXC-00194</x:v>
      </x:c>
      <x:c r="B195" s="339" t="str">
        <x:v>SCR-077</x:v>
      </x:c>
      <x:c r="C195" s="339" t="str">
        <x:v>Parents &amp; Guardians</x:v>
      </x:c>
      <x:c r="D195" s="339" t="str">
        <x:v>Parent-Teacher Interactions</x:v>
      </x:c>
      <x:c r="E195" s="339" t="str">
        <x:v>Downstream dependency failure</x:v>
      </x:c>
      <x:c r="F195" s="339" t="str">
        <x:v>Rollback or keep a recoverable pending state; never claim success for an incomplete critical transaction.</x:v>
      </x:c>
      <x:c r="G195" s="339" t="str">
        <x:v>The action could not be completed. No final change was applied.</x:v>
      </x:c>
      <x:c r="H195" s="339" t="str">
        <x:v>Retry safely or route to manual resolution queue.</x:v>
      </x:c>
      <x:c r="I195" s="339" t="str">
        <x:v>Capture correlation/error ID and failed step.</x:v>
      </x:c>
    </x:row>
    <x:row r="196">
      <x:c r="A196" s="339" t="str">
        <x:v>EXC-00195</x:v>
      </x:c>
      <x:c r="B196" s="339" t="str">
        <x:v>SCR-078</x:v>
      </x:c>
      <x:c r="C196" s="339" t="str">
        <x:v>Parents &amp; Guardians</x:v>
      </x:c>
      <x:c r="D196" s="339" t="str">
        <x:v>Parent Payments &amp; Receipts</x:v>
      </x:c>
      <x:c r="E196" s="339" t="str">
        <x:v>Unauthorized or out-of-scope record</x:v>
      </x:c>
      <x:c r="F196" s="339" t="str">
        <x:v>Deny access/action; do not reveal existence beyond safe messaging.</x:v>
      </x:c>
      <x:c r="G196" s="339" t="str">
        <x:v>You do not have access to this record.</x:v>
      </x:c>
      <x:c r="H196" s="339" t="str">
        <x:v>Re-authenticate or contact an administrator if access is expected.</x:v>
      </x:c>
      <x:c r="I196" s="339" t="str">
        <x:v>Log security-relevant denial where appropriate.</x:v>
      </x:c>
    </x:row>
    <x:row r="197">
      <x:c r="A197" s="339" t="str">
        <x:v>EXC-00196</x:v>
      </x:c>
      <x:c r="B197" s="339" t="str">
        <x:v>SCR-078</x:v>
      </x:c>
      <x:c r="C197" s="339" t="str">
        <x:v>Parents &amp; Guardians</x:v>
      </x:c>
      <x:c r="D197" s="339" t="str">
        <x:v>Parent Payments &amp; Receipts</x:v>
      </x:c>
      <x:c r="E197" s="339" t="str">
        <x:v>Stale/concurrent data</x:v>
      </x:c>
      <x:c r="F197" s="339" t="str">
        <x:v>Detect version/state mismatch before destructive update; require refresh/review.</x:v>
      </x:c>
      <x:c r="G197" s="339" t="str">
        <x:v>This record changed since you opened it. Refresh before saving.</x:v>
      </x:c>
      <x:c r="H197" s="339" t="str">
        <x:v>Reload the latest data and reapply the intended change.</x:v>
      </x:c>
      <x:c r="I197" s="339" t="str">
        <x:v>Record conflict if it affected a high-risk workflow.</x:v>
      </x:c>
    </x:row>
    <x:row r="198">
      <x:c r="A198" s="339" t="str">
        <x:v>EXC-00197</x:v>
      </x:c>
      <x:c r="B198" s="339" t="str">
        <x:v>SCR-079</x:v>
      </x:c>
      <x:c r="C198" s="339" t="str">
        <x:v>Parents &amp; Guardians</x:v>
      </x:c>
      <x:c r="D198" s="339" t="str">
        <x:v>Parent Activity History</x:v>
      </x:c>
      <x:c r="E198" s="339" t="str">
        <x:v>Unauthorized or out-of-scope record</x:v>
      </x:c>
      <x:c r="F198" s="339" t="str">
        <x:v>Deny access/action; do not reveal existence beyond safe messaging.</x:v>
      </x:c>
      <x:c r="G198" s="339" t="str">
        <x:v>You do not have access to this record.</x:v>
      </x:c>
      <x:c r="H198" s="339" t="str">
        <x:v>Re-authenticate or contact an administrator if access is expected.</x:v>
      </x:c>
      <x:c r="I198" s="339" t="str">
        <x:v>Log security-relevant denial where appropriate.</x:v>
      </x:c>
    </x:row>
    <x:row r="199">
      <x:c r="A199" s="339" t="str">
        <x:v>EXC-00198</x:v>
      </x:c>
      <x:c r="B199" s="339" t="str">
        <x:v>SCR-079</x:v>
      </x:c>
      <x:c r="C199" s="339" t="str">
        <x:v>Parents &amp; Guardians</x:v>
      </x:c>
      <x:c r="D199" s="339" t="str">
        <x:v>Parent Activity History</x:v>
      </x:c>
      <x:c r="E199" s="339" t="str">
        <x:v>Stale/concurrent data</x:v>
      </x:c>
      <x:c r="F199" s="339" t="str">
        <x:v>Detect version/state mismatch before destructive update; require refresh/review.</x:v>
      </x:c>
      <x:c r="G199" s="339" t="str">
        <x:v>This record changed since you opened it. Refresh before saving.</x:v>
      </x:c>
      <x:c r="H199" s="339" t="str">
        <x:v>Reload the latest data and reapply the intended change.</x:v>
      </x:c>
      <x:c r="I199" s="339" t="str">
        <x:v>Record conflict if it affected a high-risk workflow.</x:v>
      </x:c>
    </x:row>
    <x:row r="200">
      <x:c r="A200" s="339" t="str">
        <x:v>EXC-00199</x:v>
      </x:c>
      <x:c r="B200" s="339" t="str">
        <x:v>SCR-080</x:v>
      </x:c>
      <x:c r="C200" s="339" t="str">
        <x:v>Teachers &amp; Staff</x:v>
      </x:c>
      <x:c r="D200" s="339" t="str">
        <x:v>Staff Directory</x:v>
      </x:c>
      <x:c r="E200" s="339" t="str">
        <x:v>Unauthorized or out-of-scope record</x:v>
      </x:c>
      <x:c r="F200" s="339" t="str">
        <x:v>Deny access/action; do not reveal existence beyond safe messaging.</x:v>
      </x:c>
      <x:c r="G200" s="339" t="str">
        <x:v>You do not have access to this record.</x:v>
      </x:c>
      <x:c r="H200" s="339" t="str">
        <x:v>Re-authenticate or contact an administrator if access is expected.</x:v>
      </x:c>
      <x:c r="I200" s="339" t="str">
        <x:v>Log security-relevant denial where appropriate.</x:v>
      </x:c>
    </x:row>
    <x:row r="201">
      <x:c r="A201" s="339" t="str">
        <x:v>EXC-00200</x:v>
      </x:c>
      <x:c r="B201" s="339" t="str">
        <x:v>SCR-080</x:v>
      </x:c>
      <x:c r="C201" s="339" t="str">
        <x:v>Teachers &amp; Staff</x:v>
      </x:c>
      <x:c r="D201" s="339" t="str">
        <x:v>Staff Directory</x:v>
      </x:c>
      <x:c r="E201" s="339" t="str">
        <x:v>Stale/concurrent data</x:v>
      </x:c>
      <x:c r="F201" s="339" t="str">
        <x:v>Detect version/state mismatch before destructive update; require refresh/review.</x:v>
      </x:c>
      <x:c r="G201" s="339" t="str">
        <x:v>This record changed since you opened it. Refresh before saving.</x:v>
      </x:c>
      <x:c r="H201" s="339" t="str">
        <x:v>Reload the latest data and reapply the intended change.</x:v>
      </x:c>
      <x:c r="I201" s="339" t="str">
        <x:v>Record conflict if it affected a high-risk workflow.</x:v>
      </x:c>
    </x:row>
    <x:row r="202">
      <x:c r="A202" s="339" t="str">
        <x:v>EXC-00201</x:v>
      </x:c>
      <x:c r="B202" s="339" t="str">
        <x:v>SCR-081</x:v>
      </x:c>
      <x:c r="C202" s="339" t="str">
        <x:v>Teachers &amp; Staff</x:v>
      </x:c>
      <x:c r="D202" s="339" t="str">
        <x:v>Add Staff</x:v>
      </x:c>
      <x:c r="E202" s="339" t="str">
        <x:v>Unauthorized or out-of-scope record</x:v>
      </x:c>
      <x:c r="F202" s="339" t="str">
        <x:v>Deny access/action; do not reveal existence beyond safe messaging.</x:v>
      </x:c>
      <x:c r="G202" s="339" t="str">
        <x:v>You do not have access to this record.</x:v>
      </x:c>
      <x:c r="H202" s="339" t="str">
        <x:v>Re-authenticate or contact an administrator if access is expected.</x:v>
      </x:c>
      <x:c r="I202" s="339" t="str">
        <x:v>Log security-relevant denial where appropriate.</x:v>
      </x:c>
    </x:row>
    <x:row r="203">
      <x:c r="A203" s="339" t="str">
        <x:v>EXC-00202</x:v>
      </x:c>
      <x:c r="B203" s="339" t="str">
        <x:v>SCR-081</x:v>
      </x:c>
      <x:c r="C203" s="339" t="str">
        <x:v>Teachers &amp; Staff</x:v>
      </x:c>
      <x:c r="D203" s="339" t="str">
        <x:v>Add Staff</x:v>
      </x:c>
      <x:c r="E203" s="339" t="str">
        <x:v>Stale/concurrent data</x:v>
      </x:c>
      <x:c r="F203" s="339" t="str">
        <x:v>Detect version/state mismatch before destructive update; require refresh/review.</x:v>
      </x:c>
      <x:c r="G203" s="339" t="str">
        <x:v>This record changed since you opened it. Refresh before saving.</x:v>
      </x:c>
      <x:c r="H203" s="339" t="str">
        <x:v>Reload the latest data and reapply the intended change.</x:v>
      </x:c>
      <x:c r="I203" s="339" t="str">
        <x:v>Record conflict if it affected a high-risk workflow.</x:v>
      </x:c>
    </x:row>
    <x:row r="204">
      <x:c r="A204" s="339" t="str">
        <x:v>EXC-00203</x:v>
      </x:c>
      <x:c r="B204" s="339" t="str">
        <x:v>SCR-081</x:v>
      </x:c>
      <x:c r="C204" s="339" t="str">
        <x:v>Teachers &amp; Staff</x:v>
      </x:c>
      <x:c r="D204" s="339" t="str">
        <x:v>Add Staff</x:v>
      </x:c>
      <x:c r="E204" s="339" t="str">
        <x:v>Downstream dependency failure</x:v>
      </x:c>
      <x:c r="F204" s="339" t="str">
        <x:v>Rollback or keep a recoverable pending state; never claim success for an incomplete critical transaction.</x:v>
      </x:c>
      <x:c r="G204" s="339" t="str">
        <x:v>The action could not be completed. No final change was applied.</x:v>
      </x:c>
      <x:c r="H204" s="339" t="str">
        <x:v>Retry safely or route to manual resolution queue.</x:v>
      </x:c>
      <x:c r="I204" s="339" t="str">
        <x:v>Capture correlation/error ID and failed step.</x:v>
      </x:c>
    </x:row>
    <x:row r="205">
      <x:c r="A205" s="339" t="str">
        <x:v>EXC-00204</x:v>
      </x:c>
      <x:c r="B205" s="339" t="str">
        <x:v>SCR-082</x:v>
      </x:c>
      <x:c r="C205" s="339" t="str">
        <x:v>Teachers &amp; Staff</x:v>
      </x:c>
      <x:c r="D205" s="339" t="str">
        <x:v>Staff Profile</x:v>
      </x:c>
      <x:c r="E205" s="339" t="str">
        <x:v>Unauthorized or out-of-scope record</x:v>
      </x:c>
      <x:c r="F205" s="339" t="str">
        <x:v>Deny access/action; do not reveal existence beyond safe messaging.</x:v>
      </x:c>
      <x:c r="G205" s="339" t="str">
        <x:v>You do not have access to this record.</x:v>
      </x:c>
      <x:c r="H205" s="339" t="str">
        <x:v>Re-authenticate or contact an administrator if access is expected.</x:v>
      </x:c>
      <x:c r="I205" s="339" t="str">
        <x:v>Log security-relevant denial where appropriate.</x:v>
      </x:c>
    </x:row>
    <x:row r="206">
      <x:c r="A206" s="339" t="str">
        <x:v>EXC-00205</x:v>
      </x:c>
      <x:c r="B206" s="339" t="str">
        <x:v>SCR-082</x:v>
      </x:c>
      <x:c r="C206" s="339" t="str">
        <x:v>Teachers &amp; Staff</x:v>
      </x:c>
      <x:c r="D206" s="339" t="str">
        <x:v>Staff Profile</x:v>
      </x:c>
      <x:c r="E206" s="339" t="str">
        <x:v>Stale/concurrent data</x:v>
      </x:c>
      <x:c r="F206" s="339" t="str">
        <x:v>Detect version/state mismatch before destructive update; require refresh/review.</x:v>
      </x:c>
      <x:c r="G206" s="339" t="str">
        <x:v>This record changed since you opened it. Refresh before saving.</x:v>
      </x:c>
      <x:c r="H206" s="339" t="str">
        <x:v>Reload the latest data and reapply the intended change.</x:v>
      </x:c>
      <x:c r="I206" s="339" t="str">
        <x:v>Record conflict if it affected a high-risk workflow.</x:v>
      </x:c>
    </x:row>
    <x:row r="207">
      <x:c r="A207" s="339" t="str">
        <x:v>EXC-00206</x:v>
      </x:c>
      <x:c r="B207" s="339" t="str">
        <x:v>SCR-083</x:v>
      </x:c>
      <x:c r="C207" s="339" t="str">
        <x:v>Teachers &amp; Staff</x:v>
      </x:c>
      <x:c r="D207" s="339" t="str">
        <x:v>Edit Staff</x:v>
      </x:c>
      <x:c r="E207" s="339" t="str">
        <x:v>Unauthorized or out-of-scope record</x:v>
      </x:c>
      <x:c r="F207" s="339" t="str">
        <x:v>Deny access/action; do not reveal existence beyond safe messaging.</x:v>
      </x:c>
      <x:c r="G207" s="339" t="str">
        <x:v>You do not have access to this record.</x:v>
      </x:c>
      <x:c r="H207" s="339" t="str">
        <x:v>Re-authenticate or contact an administrator if access is expected.</x:v>
      </x:c>
      <x:c r="I207" s="339" t="str">
        <x:v>Log security-relevant denial where appropriate.</x:v>
      </x:c>
    </x:row>
    <x:row r="208">
      <x:c r="A208" s="339" t="str">
        <x:v>EXC-00207</x:v>
      </x:c>
      <x:c r="B208" s="339" t="str">
        <x:v>SCR-083</x:v>
      </x:c>
      <x:c r="C208" s="339" t="str">
        <x:v>Teachers &amp; Staff</x:v>
      </x:c>
      <x:c r="D208" s="339" t="str">
        <x:v>Edit Staff</x:v>
      </x:c>
      <x:c r="E208" s="339" t="str">
        <x:v>Stale/concurrent data</x:v>
      </x:c>
      <x:c r="F208" s="339" t="str">
        <x:v>Detect version/state mismatch before destructive update; require refresh/review.</x:v>
      </x:c>
      <x:c r="G208" s="339" t="str">
        <x:v>This record changed since you opened it. Refresh before saving.</x:v>
      </x:c>
      <x:c r="H208" s="339" t="str">
        <x:v>Reload the latest data and reapply the intended change.</x:v>
      </x:c>
      <x:c r="I208" s="339" t="str">
        <x:v>Record conflict if it affected a high-risk workflow.</x:v>
      </x:c>
    </x:row>
    <x:row r="209">
      <x:c r="A209" s="339" t="str">
        <x:v>EXC-00208</x:v>
      </x:c>
      <x:c r="B209" s="339" t="str">
        <x:v>SCR-083</x:v>
      </x:c>
      <x:c r="C209" s="339" t="str">
        <x:v>Teachers &amp; Staff</x:v>
      </x:c>
      <x:c r="D209" s="339" t="str">
        <x:v>Edit Staff</x:v>
      </x:c>
      <x:c r="E209" s="339" t="str">
        <x:v>Downstream dependency failure</x:v>
      </x:c>
      <x:c r="F209" s="339" t="str">
        <x:v>Rollback or keep a recoverable pending state; never claim success for an incomplete critical transaction.</x:v>
      </x:c>
      <x:c r="G209" s="339" t="str">
        <x:v>The action could not be completed. No final change was applied.</x:v>
      </x:c>
      <x:c r="H209" s="339" t="str">
        <x:v>Retry safely or route to manual resolution queue.</x:v>
      </x:c>
      <x:c r="I209" s="339" t="str">
        <x:v>Capture correlation/error ID and failed step.</x:v>
      </x:c>
    </x:row>
    <x:row r="210">
      <x:c r="A210" s="339" t="str">
        <x:v>EXC-00209</x:v>
      </x:c>
      <x:c r="B210" s="339" t="str">
        <x:v>SCR-084</x:v>
      </x:c>
      <x:c r="C210" s="339" t="str">
        <x:v>Teachers &amp; Staff</x:v>
      </x:c>
      <x:c r="D210" s="339" t="str">
        <x:v>Teacher Allocation</x:v>
      </x:c>
      <x:c r="E210" s="339" t="str">
        <x:v>Unauthorized or out-of-scope record</x:v>
      </x:c>
      <x:c r="F210" s="339" t="str">
        <x:v>Deny access/action; do not reveal existence beyond safe messaging.</x:v>
      </x:c>
      <x:c r="G210" s="339" t="str">
        <x:v>You do not have access to this record.</x:v>
      </x:c>
      <x:c r="H210" s="339" t="str">
        <x:v>Re-authenticate or contact an administrator if access is expected.</x:v>
      </x:c>
      <x:c r="I210" s="339" t="str">
        <x:v>Log security-relevant denial where appropriate.</x:v>
      </x:c>
    </x:row>
    <x:row r="211">
      <x:c r="A211" s="339" t="str">
        <x:v>EXC-00210</x:v>
      </x:c>
      <x:c r="B211" s="339" t="str">
        <x:v>SCR-084</x:v>
      </x:c>
      <x:c r="C211" s="339" t="str">
        <x:v>Teachers &amp; Staff</x:v>
      </x:c>
      <x:c r="D211" s="339" t="str">
        <x:v>Teacher Allocation</x:v>
      </x:c>
      <x:c r="E211" s="339" t="str">
        <x:v>Stale/concurrent data</x:v>
      </x:c>
      <x:c r="F211" s="339" t="str">
        <x:v>Detect version/state mismatch before destructive update; require refresh/review.</x:v>
      </x:c>
      <x:c r="G211" s="339" t="str">
        <x:v>This record changed since you opened it. Refresh before saving.</x:v>
      </x:c>
      <x:c r="H211" s="339" t="str">
        <x:v>Reload the latest data and reapply the intended change.</x:v>
      </x:c>
      <x:c r="I211" s="339" t="str">
        <x:v>Record conflict if it affected a high-risk workflow.</x:v>
      </x:c>
    </x:row>
    <x:row r="212">
      <x:c r="A212" s="339" t="str">
        <x:v>EXC-00211</x:v>
      </x:c>
      <x:c r="B212" s="339" t="str">
        <x:v>SCR-084</x:v>
      </x:c>
      <x:c r="C212" s="339" t="str">
        <x:v>Teachers &amp; Staff</x:v>
      </x:c>
      <x:c r="D212" s="339" t="str">
        <x:v>Teacher Allocation</x:v>
      </x:c>
      <x:c r="E212" s="339" t="str">
        <x:v>Downstream dependency failure</x:v>
      </x:c>
      <x:c r="F212" s="339" t="str">
        <x:v>Rollback or keep a recoverable pending state; never claim success for an incomplete critical transaction.</x:v>
      </x:c>
      <x:c r="G212" s="339" t="str">
        <x:v>The action could not be completed. No final change was applied.</x:v>
      </x:c>
      <x:c r="H212" s="339" t="str">
        <x:v>Retry safely or route to manual resolution queue.</x:v>
      </x:c>
      <x:c r="I212" s="339" t="str">
        <x:v>Capture correlation/error ID and failed step.</x:v>
      </x:c>
    </x:row>
    <x:row r="213">
      <x:c r="A213" s="339" t="str">
        <x:v>EXC-00212</x:v>
      </x:c>
      <x:c r="B213" s="339" t="str">
        <x:v>SCR-085</x:v>
      </x:c>
      <x:c r="C213" s="339" t="str">
        <x:v>Teachers &amp; Staff</x:v>
      </x:c>
      <x:c r="D213" s="339" t="str">
        <x:v>Subject &amp; Class Assignment</x:v>
      </x:c>
      <x:c r="E213" s="339" t="str">
        <x:v>Unauthorized or out-of-scope record</x:v>
      </x:c>
      <x:c r="F213" s="339" t="str">
        <x:v>Deny access/action; do not reveal existence beyond safe messaging.</x:v>
      </x:c>
      <x:c r="G213" s="339" t="str">
        <x:v>You do not have access to this record.</x:v>
      </x:c>
      <x:c r="H213" s="339" t="str">
        <x:v>Re-authenticate or contact an administrator if access is expected.</x:v>
      </x:c>
      <x:c r="I213" s="339" t="str">
        <x:v>Log security-relevant denial where appropriate.</x:v>
      </x:c>
    </x:row>
    <x:row r="214">
      <x:c r="A214" s="339" t="str">
        <x:v>EXC-00213</x:v>
      </x:c>
      <x:c r="B214" s="339" t="str">
        <x:v>SCR-085</x:v>
      </x:c>
      <x:c r="C214" s="339" t="str">
        <x:v>Teachers &amp; Staff</x:v>
      </x:c>
      <x:c r="D214" s="339" t="str">
        <x:v>Subject &amp; Class Assignment</x:v>
      </x:c>
      <x:c r="E214" s="339" t="str">
        <x:v>Stale/concurrent data</x:v>
      </x:c>
      <x:c r="F214" s="339" t="str">
        <x:v>Detect version/state mismatch before destructive update; require refresh/review.</x:v>
      </x:c>
      <x:c r="G214" s="339" t="str">
        <x:v>This record changed since you opened it. Refresh before saving.</x:v>
      </x:c>
      <x:c r="H214" s="339" t="str">
        <x:v>Reload the latest data and reapply the intended change.</x:v>
      </x:c>
      <x:c r="I214" s="339" t="str">
        <x:v>Record conflict if it affected a high-risk workflow.</x:v>
      </x:c>
    </x:row>
    <x:row r="215">
      <x:c r="A215" s="339" t="str">
        <x:v>EXC-00214</x:v>
      </x:c>
      <x:c r="B215" s="339" t="str">
        <x:v>SCR-085</x:v>
      </x:c>
      <x:c r="C215" s="339" t="str">
        <x:v>Teachers &amp; Staff</x:v>
      </x:c>
      <x:c r="D215" s="339" t="str">
        <x:v>Subject &amp; Class Assignment</x:v>
      </x:c>
      <x:c r="E215" s="339" t="str">
        <x:v>Downstream dependency failure</x:v>
      </x:c>
      <x:c r="F215" s="339" t="str">
        <x:v>Rollback or keep a recoverable pending state; never claim success for an incomplete critical transaction.</x:v>
      </x:c>
      <x:c r="G215" s="339" t="str">
        <x:v>The action could not be completed. No final change was applied.</x:v>
      </x:c>
      <x:c r="H215" s="339" t="str">
        <x:v>Retry safely or route to manual resolution queue.</x:v>
      </x:c>
      <x:c r="I215" s="339" t="str">
        <x:v>Capture correlation/error ID and failed step.</x:v>
      </x:c>
    </x:row>
    <x:row r="216">
      <x:c r="A216" s="339" t="str">
        <x:v>EXC-00215</x:v>
      </x:c>
      <x:c r="B216" s="339" t="str">
        <x:v>SCR-086</x:v>
      </x:c>
      <x:c r="C216" s="339" t="str">
        <x:v>Teachers &amp; Staff</x:v>
      </x:c>
      <x:c r="D216" s="339" t="str">
        <x:v>Teacher Workload</x:v>
      </x:c>
      <x:c r="E216" s="339" t="str">
        <x:v>Unauthorized or out-of-scope record</x:v>
      </x:c>
      <x:c r="F216" s="339" t="str">
        <x:v>Deny access/action; do not reveal existence beyond safe messaging.</x:v>
      </x:c>
      <x:c r="G216" s="339" t="str">
        <x:v>You do not have access to this record.</x:v>
      </x:c>
      <x:c r="H216" s="339" t="str">
        <x:v>Re-authenticate or contact an administrator if access is expected.</x:v>
      </x:c>
      <x:c r="I216" s="339" t="str">
        <x:v>Log security-relevant denial where appropriate.</x:v>
      </x:c>
    </x:row>
    <x:row r="217">
      <x:c r="A217" s="339" t="str">
        <x:v>EXC-00216</x:v>
      </x:c>
      <x:c r="B217" s="339" t="str">
        <x:v>SCR-086</x:v>
      </x:c>
      <x:c r="C217" s="339" t="str">
        <x:v>Teachers &amp; Staff</x:v>
      </x:c>
      <x:c r="D217" s="339" t="str">
        <x:v>Teacher Workload</x:v>
      </x:c>
      <x:c r="E217" s="339" t="str">
        <x:v>Stale/concurrent data</x:v>
      </x:c>
      <x:c r="F217" s="339" t="str">
        <x:v>Detect version/state mismatch before destructive update; require refresh/review.</x:v>
      </x:c>
      <x:c r="G217" s="339" t="str">
        <x:v>This record changed since you opened it. Refresh before saving.</x:v>
      </x:c>
      <x:c r="H217" s="339" t="str">
        <x:v>Reload the latest data and reapply the intended change.</x:v>
      </x:c>
      <x:c r="I217" s="339" t="str">
        <x:v>Record conflict if it affected a high-risk workflow.</x:v>
      </x:c>
    </x:row>
    <x:row r="218">
      <x:c r="A218" s="339" t="str">
        <x:v>EXC-00217</x:v>
      </x:c>
      <x:c r="B218" s="339" t="str">
        <x:v>SCR-086</x:v>
      </x:c>
      <x:c r="C218" s="339" t="str">
        <x:v>Teachers &amp; Staff</x:v>
      </x:c>
      <x:c r="D218" s="339" t="str">
        <x:v>Teacher Workload</x:v>
      </x:c>
      <x:c r="E218" s="339" t="str">
        <x:v>Downstream dependency failure</x:v>
      </x:c>
      <x:c r="F218" s="339" t="str">
        <x:v>Rollback or keep a recoverable pending state; never claim success for an incomplete critical transaction.</x:v>
      </x:c>
      <x:c r="G218" s="339" t="str">
        <x:v>The action could not be completed. No final change was applied.</x:v>
      </x:c>
      <x:c r="H218" s="339" t="str">
        <x:v>Retry safely or route to manual resolution queue.</x:v>
      </x:c>
      <x:c r="I218" s="339" t="str">
        <x:v>Capture correlation/error ID and failed step.</x:v>
      </x:c>
    </x:row>
    <x:row r="219">
      <x:c r="A219" s="339" t="str">
        <x:v>EXC-00218</x:v>
      </x:c>
      <x:c r="B219" s="339" t="str">
        <x:v>SCR-087</x:v>
      </x:c>
      <x:c r="C219" s="339" t="str">
        <x:v>Teachers &amp; Staff</x:v>
      </x:c>
      <x:c r="D219" s="339" t="str">
        <x:v>Qualifications &amp; Documents</x:v>
      </x:c>
      <x:c r="E219" s="339" t="str">
        <x:v>Unauthorized or out-of-scope record</x:v>
      </x:c>
      <x:c r="F219" s="339" t="str">
        <x:v>Deny access/action; do not reveal existence beyond safe messaging.</x:v>
      </x:c>
      <x:c r="G219" s="339" t="str">
        <x:v>You do not have access to this record.</x:v>
      </x:c>
      <x:c r="H219" s="339" t="str">
        <x:v>Re-authenticate or contact an administrator if access is expected.</x:v>
      </x:c>
      <x:c r="I219" s="339" t="str">
        <x:v>Log security-relevant denial where appropriate.</x:v>
      </x:c>
    </x:row>
    <x:row r="220">
      <x:c r="A220" s="339" t="str">
        <x:v>EXC-00219</x:v>
      </x:c>
      <x:c r="B220" s="339" t="str">
        <x:v>SCR-087</x:v>
      </x:c>
      <x:c r="C220" s="339" t="str">
        <x:v>Teachers &amp; Staff</x:v>
      </x:c>
      <x:c r="D220" s="339" t="str">
        <x:v>Qualifications &amp; Documents</x:v>
      </x:c>
      <x:c r="E220" s="339" t="str">
        <x:v>Stale/concurrent data</x:v>
      </x:c>
      <x:c r="F220" s="339" t="str">
        <x:v>Detect version/state mismatch before destructive update; require refresh/review.</x:v>
      </x:c>
      <x:c r="G220" s="339" t="str">
        <x:v>This record changed since you opened it. Refresh before saving.</x:v>
      </x:c>
      <x:c r="H220" s="339" t="str">
        <x:v>Reload the latest data and reapply the intended change.</x:v>
      </x:c>
      <x:c r="I220" s="339" t="str">
        <x:v>Record conflict if it affected a high-risk workflow.</x:v>
      </x:c>
    </x:row>
    <x:row r="221">
      <x:c r="A221" s="339" t="str">
        <x:v>EXC-00220</x:v>
      </x:c>
      <x:c r="B221" s="339" t="str">
        <x:v>SCR-087</x:v>
      </x:c>
      <x:c r="C221" s="339" t="str">
        <x:v>Teachers &amp; Staff</x:v>
      </x:c>
      <x:c r="D221" s="339" t="str">
        <x:v>Qualifications &amp; Documents</x:v>
      </x:c>
      <x:c r="E221" s="339" t="str">
        <x:v>Downstream dependency failure</x:v>
      </x:c>
      <x:c r="F221" s="339" t="str">
        <x:v>Rollback or keep a recoverable pending state; never claim success for an incomplete critical transaction.</x:v>
      </x:c>
      <x:c r="G221" s="339" t="str">
        <x:v>The action could not be completed. No final change was applied.</x:v>
      </x:c>
      <x:c r="H221" s="339" t="str">
        <x:v>Retry safely or route to manual resolution queue.</x:v>
      </x:c>
      <x:c r="I221" s="339" t="str">
        <x:v>Capture correlation/error ID and failed step.</x:v>
      </x:c>
    </x:row>
    <x:row r="222">
      <x:c r="A222" s="339" t="str">
        <x:v>EXC-00221</x:v>
      </x:c>
      <x:c r="B222" s="339" t="str">
        <x:v>SCR-088</x:v>
      </x:c>
      <x:c r="C222" s="339" t="str">
        <x:v>Teachers &amp; Staff</x:v>
      </x:c>
      <x:c r="D222" s="339" t="str">
        <x:v>Staff Attendance Summary</x:v>
      </x:c>
      <x:c r="E222" s="339" t="str">
        <x:v>Unauthorized or out-of-scope record</x:v>
      </x:c>
      <x:c r="F222" s="339" t="str">
        <x:v>Deny access/action; do not reveal existence beyond safe messaging.</x:v>
      </x:c>
      <x:c r="G222" s="339" t="str">
        <x:v>You do not have access to this record.</x:v>
      </x:c>
      <x:c r="H222" s="339" t="str">
        <x:v>Re-authenticate or contact an administrator if access is expected.</x:v>
      </x:c>
      <x:c r="I222" s="339" t="str">
        <x:v>Log security-relevant denial where appropriate.</x:v>
      </x:c>
    </x:row>
    <x:row r="223">
      <x:c r="A223" s="339" t="str">
        <x:v>EXC-00222</x:v>
      </x:c>
      <x:c r="B223" s="339" t="str">
        <x:v>SCR-088</x:v>
      </x:c>
      <x:c r="C223" s="339" t="str">
        <x:v>Teachers &amp; Staff</x:v>
      </x:c>
      <x:c r="D223" s="339" t="str">
        <x:v>Staff Attendance Summary</x:v>
      </x:c>
      <x:c r="E223" s="339" t="str">
        <x:v>Stale/concurrent data</x:v>
      </x:c>
      <x:c r="F223" s="339" t="str">
        <x:v>Detect version/state mismatch before destructive update; require refresh/review.</x:v>
      </x:c>
      <x:c r="G223" s="339" t="str">
        <x:v>This record changed since you opened it. Refresh before saving.</x:v>
      </x:c>
      <x:c r="H223" s="339" t="str">
        <x:v>Reload the latest data and reapply the intended change.</x:v>
      </x:c>
      <x:c r="I223" s="339" t="str">
        <x:v>Record conflict if it affected a high-risk workflow.</x:v>
      </x:c>
    </x:row>
    <x:row r="224">
      <x:c r="A224" s="339" t="str">
        <x:v>EXC-00223</x:v>
      </x:c>
      <x:c r="B224" s="339" t="str">
        <x:v>SCR-089</x:v>
      </x:c>
      <x:c r="C224" s="339" t="str">
        <x:v>Teachers &amp; Staff</x:v>
      </x:c>
      <x:c r="D224" s="339" t="str">
        <x:v>Staff Leave Summary</x:v>
      </x:c>
      <x:c r="E224" s="339" t="str">
        <x:v>Unauthorized or out-of-scope record</x:v>
      </x:c>
      <x:c r="F224" s="339" t="str">
        <x:v>Deny access/action; do not reveal existence beyond safe messaging.</x:v>
      </x:c>
      <x:c r="G224" s="339" t="str">
        <x:v>You do not have access to this record.</x:v>
      </x:c>
      <x:c r="H224" s="339" t="str">
        <x:v>Re-authenticate or contact an administrator if access is expected.</x:v>
      </x:c>
      <x:c r="I224" s="339" t="str">
        <x:v>Log security-relevant denial where appropriate.</x:v>
      </x:c>
    </x:row>
    <x:row r="225">
      <x:c r="A225" s="339" t="str">
        <x:v>EXC-00224</x:v>
      </x:c>
      <x:c r="B225" s="339" t="str">
        <x:v>SCR-089</x:v>
      </x:c>
      <x:c r="C225" s="339" t="str">
        <x:v>Teachers &amp; Staff</x:v>
      </x:c>
      <x:c r="D225" s="339" t="str">
        <x:v>Staff Leave Summary</x:v>
      </x:c>
      <x:c r="E225" s="339" t="str">
        <x:v>Stale/concurrent data</x:v>
      </x:c>
      <x:c r="F225" s="339" t="str">
        <x:v>Detect version/state mismatch before destructive update; require refresh/review.</x:v>
      </x:c>
      <x:c r="G225" s="339" t="str">
        <x:v>This record changed since you opened it. Refresh before saving.</x:v>
      </x:c>
      <x:c r="H225" s="339" t="str">
        <x:v>Reload the latest data and reapply the intended change.</x:v>
      </x:c>
      <x:c r="I225" s="339" t="str">
        <x:v>Record conflict if it affected a high-risk workflow.</x:v>
      </x:c>
    </x:row>
    <x:row r="226">
      <x:c r="A226" s="339" t="str">
        <x:v>EXC-00225</x:v>
      </x:c>
      <x:c r="B226" s="339" t="str">
        <x:v>SCR-090</x:v>
      </x:c>
      <x:c r="C226" s="339" t="str">
        <x:v>Teachers &amp; Staff</x:v>
      </x:c>
      <x:c r="D226" s="339" t="str">
        <x:v>Performance &amp; Classroom Observation</x:v>
      </x:c>
      <x:c r="E226" s="339" t="str">
        <x:v>Unauthorized or out-of-scope record</x:v>
      </x:c>
      <x:c r="F226" s="339" t="str">
        <x:v>Deny access/action; do not reveal existence beyond safe messaging.</x:v>
      </x:c>
      <x:c r="G226" s="339" t="str">
        <x:v>You do not have access to this record.</x:v>
      </x:c>
      <x:c r="H226" s="339" t="str">
        <x:v>Re-authenticate or contact an administrator if access is expected.</x:v>
      </x:c>
      <x:c r="I226" s="339" t="str">
        <x:v>Log security-relevant denial where appropriate.</x:v>
      </x:c>
    </x:row>
    <x:row r="227">
      <x:c r="A227" s="339" t="str">
        <x:v>EXC-00226</x:v>
      </x:c>
      <x:c r="B227" s="339" t="str">
        <x:v>SCR-090</x:v>
      </x:c>
      <x:c r="C227" s="339" t="str">
        <x:v>Teachers &amp; Staff</x:v>
      </x:c>
      <x:c r="D227" s="339" t="str">
        <x:v>Performance &amp; Classroom Observation</x:v>
      </x:c>
      <x:c r="E227" s="339" t="str">
        <x:v>Stale/concurrent data</x:v>
      </x:c>
      <x:c r="F227" s="339" t="str">
        <x:v>Detect version/state mismatch before destructive update; require refresh/review.</x:v>
      </x:c>
      <x:c r="G227" s="339" t="str">
        <x:v>This record changed since you opened it. Refresh before saving.</x:v>
      </x:c>
      <x:c r="H227" s="339" t="str">
        <x:v>Reload the latest data and reapply the intended change.</x:v>
      </x:c>
      <x:c r="I227" s="339" t="str">
        <x:v>Record conflict if it affected a high-risk workflow.</x:v>
      </x:c>
    </x:row>
    <x:row r="228">
      <x:c r="A228" s="339" t="str">
        <x:v>EXC-00227</x:v>
      </x:c>
      <x:c r="B228" s="339" t="str">
        <x:v>SCR-090</x:v>
      </x:c>
      <x:c r="C228" s="339" t="str">
        <x:v>Teachers &amp; Staff</x:v>
      </x:c>
      <x:c r="D228" s="339" t="str">
        <x:v>Performance &amp; Classroom Observation</x:v>
      </x:c>
      <x:c r="E228" s="339" t="str">
        <x:v>Downstream dependency failure</x:v>
      </x:c>
      <x:c r="F228" s="339" t="str">
        <x:v>Rollback or keep a recoverable pending state; never claim success for an incomplete critical transaction.</x:v>
      </x:c>
      <x:c r="G228" s="339" t="str">
        <x:v>The action could not be completed. No final change was applied.</x:v>
      </x:c>
      <x:c r="H228" s="339" t="str">
        <x:v>Retry safely or route to manual resolution queue.</x:v>
      </x:c>
      <x:c r="I228" s="339" t="str">
        <x:v>Capture correlation/error ID and failed step.</x:v>
      </x:c>
    </x:row>
    <x:row r="229">
      <x:c r="A229" s="339" t="str">
        <x:v>EXC-00228</x:v>
      </x:c>
      <x:c r="B229" s="339" t="str">
        <x:v>SCR-091</x:v>
      </x:c>
      <x:c r="C229" s="339" t="str">
        <x:v>Teachers &amp; Staff</x:v>
      </x:c>
      <x:c r="D229" s="339" t="str">
        <x:v>Exit / Offboarding</x:v>
      </x:c>
      <x:c r="E229" s="339" t="str">
        <x:v>Unauthorized or out-of-scope record</x:v>
      </x:c>
      <x:c r="F229" s="339" t="str">
        <x:v>Deny access/action; do not reveal existence beyond safe messaging.</x:v>
      </x:c>
      <x:c r="G229" s="339" t="str">
        <x:v>You do not have access to this record.</x:v>
      </x:c>
      <x:c r="H229" s="339" t="str">
        <x:v>Re-authenticate or contact an administrator if access is expected.</x:v>
      </x:c>
      <x:c r="I229" s="339" t="str">
        <x:v>Log security-relevant denial where appropriate.</x:v>
      </x:c>
    </x:row>
    <x:row r="230">
      <x:c r="A230" s="339" t="str">
        <x:v>EXC-00229</x:v>
      </x:c>
      <x:c r="B230" s="339" t="str">
        <x:v>SCR-091</x:v>
      </x:c>
      <x:c r="C230" s="339" t="str">
        <x:v>Teachers &amp; Staff</x:v>
      </x:c>
      <x:c r="D230" s="339" t="str">
        <x:v>Exit / Offboarding</x:v>
      </x:c>
      <x:c r="E230" s="339" t="str">
        <x:v>Stale/concurrent data</x:v>
      </x:c>
      <x:c r="F230" s="339" t="str">
        <x:v>Detect version/state mismatch before destructive update; require refresh/review.</x:v>
      </x:c>
      <x:c r="G230" s="339" t="str">
        <x:v>This record changed since you opened it. Refresh before saving.</x:v>
      </x:c>
      <x:c r="H230" s="339" t="str">
        <x:v>Reload the latest data and reapply the intended change.</x:v>
      </x:c>
      <x:c r="I230" s="339" t="str">
        <x:v>Record conflict if it affected a high-risk workflow.</x:v>
      </x:c>
    </x:row>
    <x:row r="231">
      <x:c r="A231" s="339" t="str">
        <x:v>EXC-00230</x:v>
      </x:c>
      <x:c r="B231" s="339" t="str">
        <x:v>SCR-091</x:v>
      </x:c>
      <x:c r="C231" s="339" t="str">
        <x:v>Teachers &amp; Staff</x:v>
      </x:c>
      <x:c r="D231" s="339" t="str">
        <x:v>Exit / Offboarding</x:v>
      </x:c>
      <x:c r="E231" s="339" t="str">
        <x:v>Downstream dependency failure</x:v>
      </x:c>
      <x:c r="F231" s="339" t="str">
        <x:v>Rollback or keep a recoverable pending state; never claim success for an incomplete critical transaction.</x:v>
      </x:c>
      <x:c r="G231" s="339" t="str">
        <x:v>The action could not be completed. No final change was applied.</x:v>
      </x:c>
      <x:c r="H231" s="339" t="str">
        <x:v>Retry safely or route to manual resolution queue.</x:v>
      </x:c>
      <x:c r="I231" s="339" t="str">
        <x:v>Capture correlation/error ID and failed step.</x:v>
      </x:c>
    </x:row>
    <x:row r="232">
      <x:c r="A232" s="339" t="str">
        <x:v>EXC-00231</x:v>
      </x:c>
      <x:c r="B232" s="339" t="str">
        <x:v>SCR-092</x:v>
      </x:c>
      <x:c r="C232" s="339" t="str">
        <x:v>Academics &amp; Curriculum</x:v>
      </x:c>
      <x:c r="D232" s="339" t="str">
        <x:v>Academic Years</x:v>
      </x:c>
      <x:c r="E232" s="339" t="str">
        <x:v>Unauthorized or out-of-scope record</x:v>
      </x:c>
      <x:c r="F232" s="339" t="str">
        <x:v>Deny access/action; do not reveal existence beyond safe messaging.</x:v>
      </x:c>
      <x:c r="G232" s="339" t="str">
        <x:v>You do not have access to this record.</x:v>
      </x:c>
      <x:c r="H232" s="339" t="str">
        <x:v>Re-authenticate or contact an administrator if access is expected.</x:v>
      </x:c>
      <x:c r="I232" s="339" t="str">
        <x:v>Log security-relevant denial where appropriate.</x:v>
      </x:c>
    </x:row>
    <x:row r="233">
      <x:c r="A233" s="339" t="str">
        <x:v>EXC-00232</x:v>
      </x:c>
      <x:c r="B233" s="339" t="str">
        <x:v>SCR-092</x:v>
      </x:c>
      <x:c r="C233" s="339" t="str">
        <x:v>Academics &amp; Curriculum</x:v>
      </x:c>
      <x:c r="D233" s="339" t="str">
        <x:v>Academic Years</x:v>
      </x:c>
      <x:c r="E233" s="339" t="str">
        <x:v>Stale/concurrent data</x:v>
      </x:c>
      <x:c r="F233" s="339" t="str">
        <x:v>Detect version/state mismatch before destructive update; require refresh/review.</x:v>
      </x:c>
      <x:c r="G233" s="339" t="str">
        <x:v>This record changed since you opened it. Refresh before saving.</x:v>
      </x:c>
      <x:c r="H233" s="339" t="str">
        <x:v>Reload the latest data and reapply the intended change.</x:v>
      </x:c>
      <x:c r="I233" s="339" t="str">
        <x:v>Record conflict if it affected a high-risk workflow.</x:v>
      </x:c>
    </x:row>
    <x:row r="234">
      <x:c r="A234" s="339" t="str">
        <x:v>EXC-00233</x:v>
      </x:c>
      <x:c r="B234" s="339" t="str">
        <x:v>SCR-093</x:v>
      </x:c>
      <x:c r="C234" s="339" t="str">
        <x:v>Academics &amp; Curriculum</x:v>
      </x:c>
      <x:c r="D234" s="339" t="str">
        <x:v>Terms / Semesters</x:v>
      </x:c>
      <x:c r="E234" s="339" t="str">
        <x:v>Unauthorized or out-of-scope record</x:v>
      </x:c>
      <x:c r="F234" s="339" t="str">
        <x:v>Deny access/action; do not reveal existence beyond safe messaging.</x:v>
      </x:c>
      <x:c r="G234" s="339" t="str">
        <x:v>You do not have access to this record.</x:v>
      </x:c>
      <x:c r="H234" s="339" t="str">
        <x:v>Re-authenticate or contact an administrator if access is expected.</x:v>
      </x:c>
      <x:c r="I234" s="339" t="str">
        <x:v>Log security-relevant denial where appropriate.</x:v>
      </x:c>
    </x:row>
    <x:row r="235">
      <x:c r="A235" s="339" t="str">
        <x:v>EXC-00234</x:v>
      </x:c>
      <x:c r="B235" s="339" t="str">
        <x:v>SCR-093</x:v>
      </x:c>
      <x:c r="C235" s="339" t="str">
        <x:v>Academics &amp; Curriculum</x:v>
      </x:c>
      <x:c r="D235" s="339" t="str">
        <x:v>Terms / Semesters</x:v>
      </x:c>
      <x:c r="E235" s="339" t="str">
        <x:v>Stale/concurrent data</x:v>
      </x:c>
      <x:c r="F235" s="339" t="str">
        <x:v>Detect version/state mismatch before destructive update; require refresh/review.</x:v>
      </x:c>
      <x:c r="G235" s="339" t="str">
        <x:v>This record changed since you opened it. Refresh before saving.</x:v>
      </x:c>
      <x:c r="H235" s="339" t="str">
        <x:v>Reload the latest data and reapply the intended change.</x:v>
      </x:c>
      <x:c r="I235" s="339" t="str">
        <x:v>Record conflict if it affected a high-risk workflow.</x:v>
      </x:c>
    </x:row>
    <x:row r="236">
      <x:c r="A236" s="339" t="str">
        <x:v>EXC-00235</x:v>
      </x:c>
      <x:c r="B236" s="339" t="str">
        <x:v>SCR-093</x:v>
      </x:c>
      <x:c r="C236" s="339" t="str">
        <x:v>Academics &amp; Curriculum</x:v>
      </x:c>
      <x:c r="D236" s="339" t="str">
        <x:v>Terms / Semesters</x:v>
      </x:c>
      <x:c r="E236" s="339" t="str">
        <x:v>Downstream dependency failure</x:v>
      </x:c>
      <x:c r="F236" s="339" t="str">
        <x:v>Rollback or keep a recoverable pending state; never claim success for an incomplete critical transaction.</x:v>
      </x:c>
      <x:c r="G236" s="339" t="str">
        <x:v>The action could not be completed. No final change was applied.</x:v>
      </x:c>
      <x:c r="H236" s="339" t="str">
        <x:v>Retry safely or route to manual resolution queue.</x:v>
      </x:c>
      <x:c r="I236" s="339" t="str">
        <x:v>Capture correlation/error ID and failed step.</x:v>
      </x:c>
    </x:row>
    <x:row r="237">
      <x:c r="A237" s="339" t="str">
        <x:v>EXC-00236</x:v>
      </x:c>
      <x:c r="B237" s="339" t="str">
        <x:v>SCR-094</x:v>
      </x:c>
      <x:c r="C237" s="339" t="str">
        <x:v>Academics &amp; Curriculum</x:v>
      </x:c>
      <x:c r="D237" s="339" t="str">
        <x:v>Grades / Classes</x:v>
      </x:c>
      <x:c r="E237" s="339" t="str">
        <x:v>Unauthorized or out-of-scope record</x:v>
      </x:c>
      <x:c r="F237" s="339" t="str">
        <x:v>Deny access/action; do not reveal existence beyond safe messaging.</x:v>
      </x:c>
      <x:c r="G237" s="339" t="str">
        <x:v>You do not have access to this record.</x:v>
      </x:c>
      <x:c r="H237" s="339" t="str">
        <x:v>Re-authenticate or contact an administrator if access is expected.</x:v>
      </x:c>
      <x:c r="I237" s="339" t="str">
        <x:v>Log security-relevant denial where appropriate.</x:v>
      </x:c>
    </x:row>
    <x:row r="238">
      <x:c r="A238" s="339" t="str">
        <x:v>EXC-00237</x:v>
      </x:c>
      <x:c r="B238" s="339" t="str">
        <x:v>SCR-094</x:v>
      </x:c>
      <x:c r="C238" s="339" t="str">
        <x:v>Academics &amp; Curriculum</x:v>
      </x:c>
      <x:c r="D238" s="339" t="str">
        <x:v>Grades / Classes</x:v>
      </x:c>
      <x:c r="E238" s="339" t="str">
        <x:v>Stale/concurrent data</x:v>
      </x:c>
      <x:c r="F238" s="339" t="str">
        <x:v>Detect version/state mismatch before destructive update; require refresh/review.</x:v>
      </x:c>
      <x:c r="G238" s="339" t="str">
        <x:v>This record changed since you opened it. Refresh before saving.</x:v>
      </x:c>
      <x:c r="H238" s="339" t="str">
        <x:v>Reload the latest data and reapply the intended change.</x:v>
      </x:c>
      <x:c r="I238" s="339" t="str">
        <x:v>Record conflict if it affected a high-risk workflow.</x:v>
      </x:c>
    </x:row>
    <x:row r="239">
      <x:c r="A239" s="339" t="str">
        <x:v>EXC-00238</x:v>
      </x:c>
      <x:c r="B239" s="339" t="str">
        <x:v>SCR-094</x:v>
      </x:c>
      <x:c r="C239" s="339" t="str">
        <x:v>Academics &amp; Curriculum</x:v>
      </x:c>
      <x:c r="D239" s="339" t="str">
        <x:v>Grades / Classes</x:v>
      </x:c>
      <x:c r="E239" s="339" t="str">
        <x:v>Downstream dependency failure</x:v>
      </x:c>
      <x:c r="F239" s="339" t="str">
        <x:v>Rollback or keep a recoverable pending state; never claim success for an incomplete critical transaction.</x:v>
      </x:c>
      <x:c r="G239" s="339" t="str">
        <x:v>The action could not be completed. No final change was applied.</x:v>
      </x:c>
      <x:c r="H239" s="339" t="str">
        <x:v>Retry safely or route to manual resolution queue.</x:v>
      </x:c>
      <x:c r="I239" s="339" t="str">
        <x:v>Capture correlation/error ID and failed step.</x:v>
      </x:c>
    </x:row>
    <x:row r="240">
      <x:c r="A240" s="339" t="str">
        <x:v>EXC-00239</x:v>
      </x:c>
      <x:c r="B240" s="339" t="str">
        <x:v>SCR-095</x:v>
      </x:c>
      <x:c r="C240" s="339" t="str">
        <x:v>Academics &amp; Curriculum</x:v>
      </x:c>
      <x:c r="D240" s="339" t="str">
        <x:v>Sections</x:v>
      </x:c>
      <x:c r="E240" s="339" t="str">
        <x:v>Unauthorized or out-of-scope record</x:v>
      </x:c>
      <x:c r="F240" s="339" t="str">
        <x:v>Deny access/action; do not reveal existence beyond safe messaging.</x:v>
      </x:c>
      <x:c r="G240" s="339" t="str">
        <x:v>You do not have access to this record.</x:v>
      </x:c>
      <x:c r="H240" s="339" t="str">
        <x:v>Re-authenticate or contact an administrator if access is expected.</x:v>
      </x:c>
      <x:c r="I240" s="339" t="str">
        <x:v>Log security-relevant denial where appropriate.</x:v>
      </x:c>
    </x:row>
    <x:row r="241">
      <x:c r="A241" s="339" t="str">
        <x:v>EXC-00240</x:v>
      </x:c>
      <x:c r="B241" s="339" t="str">
        <x:v>SCR-095</x:v>
      </x:c>
      <x:c r="C241" s="339" t="str">
        <x:v>Academics &amp; Curriculum</x:v>
      </x:c>
      <x:c r="D241" s="339" t="str">
        <x:v>Sections</x:v>
      </x:c>
      <x:c r="E241" s="339" t="str">
        <x:v>Stale/concurrent data</x:v>
      </x:c>
      <x:c r="F241" s="339" t="str">
        <x:v>Detect version/state mismatch before destructive update; require refresh/review.</x:v>
      </x:c>
      <x:c r="G241" s="339" t="str">
        <x:v>This record changed since you opened it. Refresh before saving.</x:v>
      </x:c>
      <x:c r="H241" s="339" t="str">
        <x:v>Reload the latest data and reapply the intended change.</x:v>
      </x:c>
      <x:c r="I241" s="339" t="str">
        <x:v>Record conflict if it affected a high-risk workflow.</x:v>
      </x:c>
    </x:row>
    <x:row r="242">
      <x:c r="A242" s="339" t="str">
        <x:v>EXC-00241</x:v>
      </x:c>
      <x:c r="B242" s="339" t="str">
        <x:v>SCR-096</x:v>
      </x:c>
      <x:c r="C242" s="339" t="str">
        <x:v>Academics &amp; Curriculum</x:v>
      </x:c>
      <x:c r="D242" s="339" t="str">
        <x:v>Subjects</x:v>
      </x:c>
      <x:c r="E242" s="339" t="str">
        <x:v>Unauthorized or out-of-scope record</x:v>
      </x:c>
      <x:c r="F242" s="339" t="str">
        <x:v>Deny access/action; do not reveal existence beyond safe messaging.</x:v>
      </x:c>
      <x:c r="G242" s="339" t="str">
        <x:v>You do not have access to this record.</x:v>
      </x:c>
      <x:c r="H242" s="339" t="str">
        <x:v>Re-authenticate or contact an administrator if access is expected.</x:v>
      </x:c>
      <x:c r="I242" s="339" t="str">
        <x:v>Log security-relevant denial where appropriate.</x:v>
      </x:c>
    </x:row>
    <x:row r="243">
      <x:c r="A243" s="339" t="str">
        <x:v>EXC-00242</x:v>
      </x:c>
      <x:c r="B243" s="339" t="str">
        <x:v>SCR-096</x:v>
      </x:c>
      <x:c r="C243" s="339" t="str">
        <x:v>Academics &amp; Curriculum</x:v>
      </x:c>
      <x:c r="D243" s="339" t="str">
        <x:v>Subjects</x:v>
      </x:c>
      <x:c r="E243" s="339" t="str">
        <x:v>Stale/concurrent data</x:v>
      </x:c>
      <x:c r="F243" s="339" t="str">
        <x:v>Detect version/state mismatch before destructive update; require refresh/review.</x:v>
      </x:c>
      <x:c r="G243" s="339" t="str">
        <x:v>This record changed since you opened it. Refresh before saving.</x:v>
      </x:c>
      <x:c r="H243" s="339" t="str">
        <x:v>Reload the latest data and reapply the intended change.</x:v>
      </x:c>
      <x:c r="I243" s="339" t="str">
        <x:v>Record conflict if it affected a high-risk workflow.</x:v>
      </x:c>
    </x:row>
    <x:row r="244">
      <x:c r="A244" s="339" t="str">
        <x:v>EXC-00243</x:v>
      </x:c>
      <x:c r="B244" s="339" t="str">
        <x:v>SCR-097</x:v>
      </x:c>
      <x:c r="C244" s="339" t="str">
        <x:v>Academics &amp; Curriculum</x:v>
      </x:c>
      <x:c r="D244" s="339" t="str">
        <x:v>Subject Groups</x:v>
      </x:c>
      <x:c r="E244" s="339" t="str">
        <x:v>Unauthorized or out-of-scope record</x:v>
      </x:c>
      <x:c r="F244" s="339" t="str">
        <x:v>Deny access/action; do not reveal existence beyond safe messaging.</x:v>
      </x:c>
      <x:c r="G244" s="339" t="str">
        <x:v>You do not have access to this record.</x:v>
      </x:c>
      <x:c r="H244" s="339" t="str">
        <x:v>Re-authenticate or contact an administrator if access is expected.</x:v>
      </x:c>
      <x:c r="I244" s="339" t="str">
        <x:v>Log security-relevant denial where appropriate.</x:v>
      </x:c>
    </x:row>
    <x:row r="245">
      <x:c r="A245" s="339" t="str">
        <x:v>EXC-00244</x:v>
      </x:c>
      <x:c r="B245" s="339" t="str">
        <x:v>SCR-097</x:v>
      </x:c>
      <x:c r="C245" s="339" t="str">
        <x:v>Academics &amp; Curriculum</x:v>
      </x:c>
      <x:c r="D245" s="339" t="str">
        <x:v>Subject Groups</x:v>
      </x:c>
      <x:c r="E245" s="339" t="str">
        <x:v>Stale/concurrent data</x:v>
      </x:c>
      <x:c r="F245" s="339" t="str">
        <x:v>Detect version/state mismatch before destructive update; require refresh/review.</x:v>
      </x:c>
      <x:c r="G245" s="339" t="str">
        <x:v>This record changed since you opened it. Refresh before saving.</x:v>
      </x:c>
      <x:c r="H245" s="339" t="str">
        <x:v>Reload the latest data and reapply the intended change.</x:v>
      </x:c>
      <x:c r="I245" s="339" t="str">
        <x:v>Record conflict if it affected a high-risk workflow.</x:v>
      </x:c>
    </x:row>
    <x:row r="246">
      <x:c r="A246" s="339" t="str">
        <x:v>EXC-00245</x:v>
      </x:c>
      <x:c r="B246" s="339" t="str">
        <x:v>SCR-097</x:v>
      </x:c>
      <x:c r="C246" s="339" t="str">
        <x:v>Academics &amp; Curriculum</x:v>
      </x:c>
      <x:c r="D246" s="339" t="str">
        <x:v>Subject Groups</x:v>
      </x:c>
      <x:c r="E246" s="339" t="str">
        <x:v>Downstream dependency failure</x:v>
      </x:c>
      <x:c r="F246" s="339" t="str">
        <x:v>Rollback or keep a recoverable pending state; never claim success for an incomplete critical transaction.</x:v>
      </x:c>
      <x:c r="G246" s="339" t="str">
        <x:v>The action could not be completed. No final change was applied.</x:v>
      </x:c>
      <x:c r="H246" s="339" t="str">
        <x:v>Retry safely or route to manual resolution queue.</x:v>
      </x:c>
      <x:c r="I246" s="339" t="str">
        <x:v>Capture correlation/error ID and failed step.</x:v>
      </x:c>
    </x:row>
    <x:row r="247">
      <x:c r="A247" s="339" t="str">
        <x:v>EXC-00246</x:v>
      </x:c>
      <x:c r="B247" s="339" t="str">
        <x:v>SCR-098</x:v>
      </x:c>
      <x:c r="C247" s="339" t="str">
        <x:v>Academics &amp; Curriculum</x:v>
      </x:c>
      <x:c r="D247" s="339" t="str">
        <x:v>Curriculum</x:v>
      </x:c>
      <x:c r="E247" s="339" t="str">
        <x:v>Unauthorized or out-of-scope record</x:v>
      </x:c>
      <x:c r="F247" s="339" t="str">
        <x:v>Deny access/action; do not reveal existence beyond safe messaging.</x:v>
      </x:c>
      <x:c r="G247" s="339" t="str">
        <x:v>You do not have access to this record.</x:v>
      </x:c>
      <x:c r="H247" s="339" t="str">
        <x:v>Re-authenticate or contact an administrator if access is expected.</x:v>
      </x:c>
      <x:c r="I247" s="339" t="str">
        <x:v>Log security-relevant denial where appropriate.</x:v>
      </x:c>
    </x:row>
    <x:row r="248">
      <x:c r="A248" s="339" t="str">
        <x:v>EXC-00247</x:v>
      </x:c>
      <x:c r="B248" s="339" t="str">
        <x:v>SCR-098</x:v>
      </x:c>
      <x:c r="C248" s="339" t="str">
        <x:v>Academics &amp; Curriculum</x:v>
      </x:c>
      <x:c r="D248" s="339" t="str">
        <x:v>Curriculum</x:v>
      </x:c>
      <x:c r="E248" s="339" t="str">
        <x:v>Stale/concurrent data</x:v>
      </x:c>
      <x:c r="F248" s="339" t="str">
        <x:v>Detect version/state mismatch before destructive update; require refresh/review.</x:v>
      </x:c>
      <x:c r="G248" s="339" t="str">
        <x:v>This record changed since you opened it. Refresh before saving.</x:v>
      </x:c>
      <x:c r="H248" s="339" t="str">
        <x:v>Reload the latest data and reapply the intended change.</x:v>
      </x:c>
      <x:c r="I248" s="339" t="str">
        <x:v>Record conflict if it affected a high-risk workflow.</x:v>
      </x:c>
    </x:row>
    <x:row r="249">
      <x:c r="A249" s="339" t="str">
        <x:v>EXC-00248</x:v>
      </x:c>
      <x:c r="B249" s="339" t="str">
        <x:v>SCR-098</x:v>
      </x:c>
      <x:c r="C249" s="339" t="str">
        <x:v>Academics &amp; Curriculum</x:v>
      </x:c>
      <x:c r="D249" s="339" t="str">
        <x:v>Curriculum</x:v>
      </x:c>
      <x:c r="E249" s="339" t="str">
        <x:v>Downstream dependency failure</x:v>
      </x:c>
      <x:c r="F249" s="339" t="str">
        <x:v>Rollback or keep a recoverable pending state; never claim success for an incomplete critical transaction.</x:v>
      </x:c>
      <x:c r="G249" s="339" t="str">
        <x:v>The action could not be completed. No final change was applied.</x:v>
      </x:c>
      <x:c r="H249" s="339" t="str">
        <x:v>Retry safely or route to manual resolution queue.</x:v>
      </x:c>
      <x:c r="I249" s="339" t="str">
        <x:v>Capture correlation/error ID and failed step.</x:v>
      </x:c>
    </x:row>
    <x:row r="250">
      <x:c r="A250" s="339" t="str">
        <x:v>EXC-00249</x:v>
      </x:c>
      <x:c r="B250" s="339" t="str">
        <x:v>SCR-099</x:v>
      </x:c>
      <x:c r="C250" s="339" t="str">
        <x:v>Academics &amp; Curriculum</x:v>
      </x:c>
      <x:c r="D250" s="339" t="str">
        <x:v>Curriculum Details</x:v>
      </x:c>
      <x:c r="E250" s="339" t="str">
        <x:v>Unauthorized or out-of-scope record</x:v>
      </x:c>
      <x:c r="F250" s="339" t="str">
        <x:v>Deny access/action; do not reveal existence beyond safe messaging.</x:v>
      </x:c>
      <x:c r="G250" s="339" t="str">
        <x:v>You do not have access to this record.</x:v>
      </x:c>
      <x:c r="H250" s="339" t="str">
        <x:v>Re-authenticate or contact an administrator if access is expected.</x:v>
      </x:c>
      <x:c r="I250" s="339" t="str">
        <x:v>Log security-relevant denial where appropriate.</x:v>
      </x:c>
    </x:row>
    <x:row r="251">
      <x:c r="A251" s="339" t="str">
        <x:v>EXC-00250</x:v>
      </x:c>
      <x:c r="B251" s="339" t="str">
        <x:v>SCR-099</x:v>
      </x:c>
      <x:c r="C251" s="339" t="str">
        <x:v>Academics &amp; Curriculum</x:v>
      </x:c>
      <x:c r="D251" s="339" t="str">
        <x:v>Curriculum Details</x:v>
      </x:c>
      <x:c r="E251" s="339" t="str">
        <x:v>Stale/concurrent data</x:v>
      </x:c>
      <x:c r="F251" s="339" t="str">
        <x:v>Detect version/state mismatch before destructive update; require refresh/review.</x:v>
      </x:c>
      <x:c r="G251" s="339" t="str">
        <x:v>This record changed since you opened it. Refresh before saving.</x:v>
      </x:c>
      <x:c r="H251" s="339" t="str">
        <x:v>Reload the latest data and reapply the intended change.</x:v>
      </x:c>
      <x:c r="I251" s="339" t="str">
        <x:v>Record conflict if it affected a high-risk workflow.</x:v>
      </x:c>
    </x:row>
    <x:row r="252">
      <x:c r="A252" s="339" t="str">
        <x:v>EXC-00251</x:v>
      </x:c>
      <x:c r="B252" s="339" t="str">
        <x:v>SCR-100</x:v>
      </x:c>
      <x:c r="C252" s="339" t="str">
        <x:v>Academics &amp; Curriculum</x:v>
      </x:c>
      <x:c r="D252" s="339" t="str">
        <x:v>Units / Chapters / Topics</x:v>
      </x:c>
      <x:c r="E252" s="339" t="str">
        <x:v>Unauthorized or out-of-scope record</x:v>
      </x:c>
      <x:c r="F252" s="339" t="str">
        <x:v>Deny access/action; do not reveal existence beyond safe messaging.</x:v>
      </x:c>
      <x:c r="G252" s="339" t="str">
        <x:v>You do not have access to this record.</x:v>
      </x:c>
      <x:c r="H252" s="339" t="str">
        <x:v>Re-authenticate or contact an administrator if access is expected.</x:v>
      </x:c>
      <x:c r="I252" s="339" t="str">
        <x:v>Log security-relevant denial where appropriate.</x:v>
      </x:c>
    </x:row>
    <x:row r="253">
      <x:c r="A253" s="339" t="str">
        <x:v>EXC-00252</x:v>
      </x:c>
      <x:c r="B253" s="339" t="str">
        <x:v>SCR-100</x:v>
      </x:c>
      <x:c r="C253" s="339" t="str">
        <x:v>Academics &amp; Curriculum</x:v>
      </x:c>
      <x:c r="D253" s="339" t="str">
        <x:v>Units / Chapters / Topics</x:v>
      </x:c>
      <x:c r="E253" s="339" t="str">
        <x:v>Stale/concurrent data</x:v>
      </x:c>
      <x:c r="F253" s="339" t="str">
        <x:v>Detect version/state mismatch before destructive update; require refresh/review.</x:v>
      </x:c>
      <x:c r="G253" s="339" t="str">
        <x:v>This record changed since you opened it. Refresh before saving.</x:v>
      </x:c>
      <x:c r="H253" s="339" t="str">
        <x:v>Reload the latest data and reapply the intended change.</x:v>
      </x:c>
      <x:c r="I253" s="339" t="str">
        <x:v>Record conflict if it affected a high-risk workflow.</x:v>
      </x:c>
    </x:row>
    <x:row r="254">
      <x:c r="A254" s="339" t="str">
        <x:v>EXC-00253</x:v>
      </x:c>
      <x:c r="B254" s="339" t="str">
        <x:v>SCR-100</x:v>
      </x:c>
      <x:c r="C254" s="339" t="str">
        <x:v>Academics &amp; Curriculum</x:v>
      </x:c>
      <x:c r="D254" s="339" t="str">
        <x:v>Units / Chapters / Topics</x:v>
      </x:c>
      <x:c r="E254" s="339" t="str">
        <x:v>Downstream dependency failure</x:v>
      </x:c>
      <x:c r="F254" s="339" t="str">
        <x:v>Rollback or keep a recoverable pending state; never claim success for an incomplete critical transaction.</x:v>
      </x:c>
      <x:c r="G254" s="339" t="str">
        <x:v>The action could not be completed. No final change was applied.</x:v>
      </x:c>
      <x:c r="H254" s="339" t="str">
        <x:v>Retry safely or route to manual resolution queue.</x:v>
      </x:c>
      <x:c r="I254" s="339" t="str">
        <x:v>Capture correlation/error ID and failed step.</x:v>
      </x:c>
    </x:row>
    <x:row r="255">
      <x:c r="A255" s="339" t="str">
        <x:v>EXC-00254</x:v>
      </x:c>
      <x:c r="B255" s="339" t="str">
        <x:v>SCR-101</x:v>
      </x:c>
      <x:c r="C255" s="339" t="str">
        <x:v>Academics &amp; Curriculum</x:v>
      </x:c>
      <x:c r="D255" s="339" t="str">
        <x:v>Learning Outcomes</x:v>
      </x:c>
      <x:c r="E255" s="339" t="str">
        <x:v>Unauthorized or out-of-scope record</x:v>
      </x:c>
      <x:c r="F255" s="339" t="str">
        <x:v>Deny access/action; do not reveal existence beyond safe messaging.</x:v>
      </x:c>
      <x:c r="G255" s="339" t="str">
        <x:v>You do not have access to this record.</x:v>
      </x:c>
      <x:c r="H255" s="339" t="str">
        <x:v>Re-authenticate or contact an administrator if access is expected.</x:v>
      </x:c>
      <x:c r="I255" s="339" t="str">
        <x:v>Log security-relevant denial where appropriate.</x:v>
      </x:c>
    </x:row>
    <x:row r="256">
      <x:c r="A256" s="339" t="str">
        <x:v>EXC-00255</x:v>
      </x:c>
      <x:c r="B256" s="339" t="str">
        <x:v>SCR-101</x:v>
      </x:c>
      <x:c r="C256" s="339" t="str">
        <x:v>Academics &amp; Curriculum</x:v>
      </x:c>
      <x:c r="D256" s="339" t="str">
        <x:v>Learning Outcomes</x:v>
      </x:c>
      <x:c r="E256" s="339" t="str">
        <x:v>Stale/concurrent data</x:v>
      </x:c>
      <x:c r="F256" s="339" t="str">
        <x:v>Detect version/state mismatch before destructive update; require refresh/review.</x:v>
      </x:c>
      <x:c r="G256" s="339" t="str">
        <x:v>This record changed since you opened it. Refresh before saving.</x:v>
      </x:c>
      <x:c r="H256" s="339" t="str">
        <x:v>Reload the latest data and reapply the intended change.</x:v>
      </x:c>
      <x:c r="I256" s="339" t="str">
        <x:v>Record conflict if it affected a high-risk workflow.</x:v>
      </x:c>
    </x:row>
    <x:row r="257">
      <x:c r="A257" s="339" t="str">
        <x:v>EXC-00256</x:v>
      </x:c>
      <x:c r="B257" s="339" t="str">
        <x:v>SCR-101</x:v>
      </x:c>
      <x:c r="C257" s="339" t="str">
        <x:v>Academics &amp; Curriculum</x:v>
      </x:c>
      <x:c r="D257" s="339" t="str">
        <x:v>Learning Outcomes</x:v>
      </x:c>
      <x:c r="E257" s="339" t="str">
        <x:v>Downstream dependency failure</x:v>
      </x:c>
      <x:c r="F257" s="339" t="str">
        <x:v>Rollback or keep a recoverable pending state; never claim success for an incomplete critical transaction.</x:v>
      </x:c>
      <x:c r="G257" s="339" t="str">
        <x:v>The action could not be completed. No final change was applied.</x:v>
      </x:c>
      <x:c r="H257" s="339" t="str">
        <x:v>Retry safely or route to manual resolution queue.</x:v>
      </x:c>
      <x:c r="I257" s="339" t="str">
        <x:v>Capture correlation/error ID and failed step.</x:v>
      </x:c>
    </x:row>
    <x:row r="258">
      <x:c r="A258" s="339" t="str">
        <x:v>EXC-00257</x:v>
      </x:c>
      <x:c r="B258" s="339" t="str">
        <x:v>SCR-102</x:v>
      </x:c>
      <x:c r="C258" s="339" t="str">
        <x:v>Academics &amp; Curriculum</x:v>
      </x:c>
      <x:c r="D258" s="339" t="str">
        <x:v>Lesson Plans</x:v>
      </x:c>
      <x:c r="E258" s="339" t="str">
        <x:v>Unauthorized or out-of-scope record</x:v>
      </x:c>
      <x:c r="F258" s="339" t="str">
        <x:v>Deny access/action; do not reveal existence beyond safe messaging.</x:v>
      </x:c>
      <x:c r="G258" s="339" t="str">
        <x:v>You do not have access to this record.</x:v>
      </x:c>
      <x:c r="H258" s="339" t="str">
        <x:v>Re-authenticate or contact an administrator if access is expected.</x:v>
      </x:c>
      <x:c r="I258" s="339" t="str">
        <x:v>Log security-relevant denial where appropriate.</x:v>
      </x:c>
    </x:row>
    <x:row r="259">
      <x:c r="A259" s="339" t="str">
        <x:v>EXC-00258</x:v>
      </x:c>
      <x:c r="B259" s="339" t="str">
        <x:v>SCR-102</x:v>
      </x:c>
      <x:c r="C259" s="339" t="str">
        <x:v>Academics &amp; Curriculum</x:v>
      </x:c>
      <x:c r="D259" s="339" t="str">
        <x:v>Lesson Plans</x:v>
      </x:c>
      <x:c r="E259" s="339" t="str">
        <x:v>Stale/concurrent data</x:v>
      </x:c>
      <x:c r="F259" s="339" t="str">
        <x:v>Detect version/state mismatch before destructive update; require refresh/review.</x:v>
      </x:c>
      <x:c r="G259" s="339" t="str">
        <x:v>This record changed since you opened it. Refresh before saving.</x:v>
      </x:c>
      <x:c r="H259" s="339" t="str">
        <x:v>Reload the latest data and reapply the intended change.</x:v>
      </x:c>
      <x:c r="I259" s="339" t="str">
        <x:v>Record conflict if it affected a high-risk workflow.</x:v>
      </x:c>
    </x:row>
    <x:row r="260">
      <x:c r="A260" s="339" t="str">
        <x:v>EXC-00259</x:v>
      </x:c>
      <x:c r="B260" s="339" t="str">
        <x:v>SCR-102</x:v>
      </x:c>
      <x:c r="C260" s="339" t="str">
        <x:v>Academics &amp; Curriculum</x:v>
      </x:c>
      <x:c r="D260" s="339" t="str">
        <x:v>Lesson Plans</x:v>
      </x:c>
      <x:c r="E260" s="339" t="str">
        <x:v>Downstream dependency failure</x:v>
      </x:c>
      <x:c r="F260" s="339" t="str">
        <x:v>Rollback or keep a recoverable pending state; never claim success for an incomplete critical transaction.</x:v>
      </x:c>
      <x:c r="G260" s="339" t="str">
        <x:v>The action could not be completed. No final change was applied.</x:v>
      </x:c>
      <x:c r="H260" s="339" t="str">
        <x:v>Retry safely or route to manual resolution queue.</x:v>
      </x:c>
      <x:c r="I260" s="339" t="str">
        <x:v>Capture correlation/error ID and failed step.</x:v>
      </x:c>
    </x:row>
    <x:row r="261">
      <x:c r="A261" s="339" t="str">
        <x:v>EXC-00260</x:v>
      </x:c>
      <x:c r="B261" s="339" t="str">
        <x:v>SCR-103</x:v>
      </x:c>
      <x:c r="C261" s="339" t="str">
        <x:v>Academics &amp; Curriculum</x:v>
      </x:c>
      <x:c r="D261" s="339" t="str">
        <x:v>Create / Edit Lesson Plan</x:v>
      </x:c>
      <x:c r="E261" s="339" t="str">
        <x:v>Unauthorized or out-of-scope record</x:v>
      </x:c>
      <x:c r="F261" s="339" t="str">
        <x:v>Deny access/action; do not reveal existence beyond safe messaging.</x:v>
      </x:c>
      <x:c r="G261" s="339" t="str">
        <x:v>You do not have access to this record.</x:v>
      </x:c>
      <x:c r="H261" s="339" t="str">
        <x:v>Re-authenticate or contact an administrator if access is expected.</x:v>
      </x:c>
      <x:c r="I261" s="339" t="str">
        <x:v>Log security-relevant denial where appropriate.</x:v>
      </x:c>
    </x:row>
    <x:row r="262">
      <x:c r="A262" s="339" t="str">
        <x:v>EXC-00261</x:v>
      </x:c>
      <x:c r="B262" s="339" t="str">
        <x:v>SCR-103</x:v>
      </x:c>
      <x:c r="C262" s="339" t="str">
        <x:v>Academics &amp; Curriculum</x:v>
      </x:c>
      <x:c r="D262" s="339" t="str">
        <x:v>Create / Edit Lesson Plan</x:v>
      </x:c>
      <x:c r="E262" s="339" t="str">
        <x:v>Stale/concurrent data</x:v>
      </x:c>
      <x:c r="F262" s="339" t="str">
        <x:v>Detect version/state mismatch before destructive update; require refresh/review.</x:v>
      </x:c>
      <x:c r="G262" s="339" t="str">
        <x:v>This record changed since you opened it. Refresh before saving.</x:v>
      </x:c>
      <x:c r="H262" s="339" t="str">
        <x:v>Reload the latest data and reapply the intended change.</x:v>
      </x:c>
      <x:c r="I262" s="339" t="str">
        <x:v>Record conflict if it affected a high-risk workflow.</x:v>
      </x:c>
    </x:row>
    <x:row r="263">
      <x:c r="A263" s="339" t="str">
        <x:v>EXC-00262</x:v>
      </x:c>
      <x:c r="B263" s="339" t="str">
        <x:v>SCR-103</x:v>
      </x:c>
      <x:c r="C263" s="339" t="str">
        <x:v>Academics &amp; Curriculum</x:v>
      </x:c>
      <x:c r="D263" s="339" t="str">
        <x:v>Create / Edit Lesson Plan</x:v>
      </x:c>
      <x:c r="E263" s="339" t="str">
        <x:v>Downstream dependency failure</x:v>
      </x:c>
      <x:c r="F263" s="339" t="str">
        <x:v>Rollback or keep a recoverable pending state; never claim success for an incomplete critical transaction.</x:v>
      </x:c>
      <x:c r="G263" s="339" t="str">
        <x:v>The action could not be completed. No final change was applied.</x:v>
      </x:c>
      <x:c r="H263" s="339" t="str">
        <x:v>Retry safely or route to manual resolution queue.</x:v>
      </x:c>
      <x:c r="I263" s="339" t="str">
        <x:v>Capture correlation/error ID and failed step.</x:v>
      </x:c>
    </x:row>
    <x:row r="264">
      <x:c r="A264" s="339" t="str">
        <x:v>EXC-00263</x:v>
      </x:c>
      <x:c r="B264" s="339" t="str">
        <x:v>SCR-104</x:v>
      </x:c>
      <x:c r="C264" s="339" t="str">
        <x:v>Academics &amp; Curriculum</x:v>
      </x:c>
      <x:c r="D264" s="339" t="str">
        <x:v>Lesson Plan Review &amp; Approval</x:v>
      </x:c>
      <x:c r="E264" s="339" t="str">
        <x:v>Unauthorized or out-of-scope record</x:v>
      </x:c>
      <x:c r="F264" s="339" t="str">
        <x:v>Deny access/action; do not reveal existence beyond safe messaging.</x:v>
      </x:c>
      <x:c r="G264" s="339" t="str">
        <x:v>You do not have access to this record.</x:v>
      </x:c>
      <x:c r="H264" s="339" t="str">
        <x:v>Re-authenticate or contact an administrator if access is expected.</x:v>
      </x:c>
      <x:c r="I264" s="339" t="str">
        <x:v>Log security-relevant denial where appropriate.</x:v>
      </x:c>
    </x:row>
    <x:row r="265">
      <x:c r="A265" s="339" t="str">
        <x:v>EXC-00264</x:v>
      </x:c>
      <x:c r="B265" s="339" t="str">
        <x:v>SCR-104</x:v>
      </x:c>
      <x:c r="C265" s="339" t="str">
        <x:v>Academics &amp; Curriculum</x:v>
      </x:c>
      <x:c r="D265" s="339" t="str">
        <x:v>Lesson Plan Review &amp; Approval</x:v>
      </x:c>
      <x:c r="E265" s="339" t="str">
        <x:v>Stale/concurrent data</x:v>
      </x:c>
      <x:c r="F265" s="339" t="str">
        <x:v>Detect version/state mismatch before destructive update; require refresh/review.</x:v>
      </x:c>
      <x:c r="G265" s="339" t="str">
        <x:v>This record changed since you opened it. Refresh before saving.</x:v>
      </x:c>
      <x:c r="H265" s="339" t="str">
        <x:v>Reload the latest data and reapply the intended change.</x:v>
      </x:c>
      <x:c r="I265" s="339" t="str">
        <x:v>Record conflict if it affected a high-risk workflow.</x:v>
      </x:c>
    </x:row>
    <x:row r="266">
      <x:c r="A266" s="339" t="str">
        <x:v>EXC-00265</x:v>
      </x:c>
      <x:c r="B266" s="339" t="str">
        <x:v>SCR-104</x:v>
      </x:c>
      <x:c r="C266" s="339" t="str">
        <x:v>Academics &amp; Curriculum</x:v>
      </x:c>
      <x:c r="D266" s="339" t="str">
        <x:v>Lesson Plan Review &amp; Approval</x:v>
      </x:c>
      <x:c r="E266" s="339" t="str">
        <x:v>Downstream dependency failure</x:v>
      </x:c>
      <x:c r="F266" s="339" t="str">
        <x:v>Rollback or keep a recoverable pending state; never claim success for an incomplete critical transaction.</x:v>
      </x:c>
      <x:c r="G266" s="339" t="str">
        <x:v>The action could not be completed. No final change was applied.</x:v>
      </x:c>
      <x:c r="H266" s="339" t="str">
        <x:v>Retry safely or route to manual resolution queue.</x:v>
      </x:c>
      <x:c r="I266" s="339" t="str">
        <x:v>Capture correlation/error ID and failed step.</x:v>
      </x:c>
    </x:row>
    <x:row r="267">
      <x:c r="A267" s="339" t="str">
        <x:v>EXC-00266</x:v>
      </x:c>
      <x:c r="B267" s="339" t="str">
        <x:v>SCR-105</x:v>
      </x:c>
      <x:c r="C267" s="339" t="str">
        <x:v>Academics &amp; Curriculum</x:v>
      </x:c>
      <x:c r="D267" s="339" t="str">
        <x:v>Syllabus Progress</x:v>
      </x:c>
      <x:c r="E267" s="339" t="str">
        <x:v>Unauthorized or out-of-scope record</x:v>
      </x:c>
      <x:c r="F267" s="339" t="str">
        <x:v>Deny access/action; do not reveal existence beyond safe messaging.</x:v>
      </x:c>
      <x:c r="G267" s="339" t="str">
        <x:v>You do not have access to this record.</x:v>
      </x:c>
      <x:c r="H267" s="339" t="str">
        <x:v>Re-authenticate or contact an administrator if access is expected.</x:v>
      </x:c>
      <x:c r="I267" s="339" t="str">
        <x:v>Log security-relevant denial where appropriate.</x:v>
      </x:c>
    </x:row>
    <x:row r="268">
      <x:c r="A268" s="339" t="str">
        <x:v>EXC-00267</x:v>
      </x:c>
      <x:c r="B268" s="339" t="str">
        <x:v>SCR-105</x:v>
      </x:c>
      <x:c r="C268" s="339" t="str">
        <x:v>Academics &amp; Curriculum</x:v>
      </x:c>
      <x:c r="D268" s="339" t="str">
        <x:v>Syllabus Progress</x:v>
      </x:c>
      <x:c r="E268" s="339" t="str">
        <x:v>Stale/concurrent data</x:v>
      </x:c>
      <x:c r="F268" s="339" t="str">
        <x:v>Detect version/state mismatch before destructive update; require refresh/review.</x:v>
      </x:c>
      <x:c r="G268" s="339" t="str">
        <x:v>This record changed since you opened it. Refresh before saving.</x:v>
      </x:c>
      <x:c r="H268" s="339" t="str">
        <x:v>Reload the latest data and reapply the intended change.</x:v>
      </x:c>
      <x:c r="I268" s="339" t="str">
        <x:v>Record conflict if it affected a high-risk workflow.</x:v>
      </x:c>
    </x:row>
    <x:row r="269">
      <x:c r="A269" s="339" t="str">
        <x:v>EXC-00268</x:v>
      </x:c>
      <x:c r="B269" s="339" t="str">
        <x:v>SCR-105</x:v>
      </x:c>
      <x:c r="C269" s="339" t="str">
        <x:v>Academics &amp; Curriculum</x:v>
      </x:c>
      <x:c r="D269" s="339" t="str">
        <x:v>Syllabus Progress</x:v>
      </x:c>
      <x:c r="E269" s="339" t="str">
        <x:v>Downstream dependency failure</x:v>
      </x:c>
      <x:c r="F269" s="339" t="str">
        <x:v>Rollback or keep a recoverable pending state; never claim success for an incomplete critical transaction.</x:v>
      </x:c>
      <x:c r="G269" s="339" t="str">
        <x:v>The action could not be completed. No final change was applied.</x:v>
      </x:c>
      <x:c r="H269" s="339" t="str">
        <x:v>Retry safely or route to manual resolution queue.</x:v>
      </x:c>
      <x:c r="I269" s="339" t="str">
        <x:v>Capture correlation/error ID and failed step.</x:v>
      </x:c>
    </x:row>
    <x:row r="270">
      <x:c r="A270" s="339" t="str">
        <x:v>EXC-00269</x:v>
      </x:c>
      <x:c r="B270" s="339" t="str">
        <x:v>SCR-106</x:v>
      </x:c>
      <x:c r="C270" s="339" t="str">
        <x:v>Academics &amp; Curriculum</x:v>
      </x:c>
      <x:c r="D270" s="339" t="str">
        <x:v>Teaching Resources</x:v>
      </x:c>
      <x:c r="E270" s="339" t="str">
        <x:v>Unauthorized or out-of-scope record</x:v>
      </x:c>
      <x:c r="F270" s="339" t="str">
        <x:v>Deny access/action; do not reveal existence beyond safe messaging.</x:v>
      </x:c>
      <x:c r="G270" s="339" t="str">
        <x:v>You do not have access to this record.</x:v>
      </x:c>
      <x:c r="H270" s="339" t="str">
        <x:v>Re-authenticate or contact an administrator if access is expected.</x:v>
      </x:c>
      <x:c r="I270" s="339" t="str">
        <x:v>Log security-relevant denial where appropriate.</x:v>
      </x:c>
    </x:row>
    <x:row r="271">
      <x:c r="A271" s="339" t="str">
        <x:v>EXC-00270</x:v>
      </x:c>
      <x:c r="B271" s="339" t="str">
        <x:v>SCR-106</x:v>
      </x:c>
      <x:c r="C271" s="339" t="str">
        <x:v>Academics &amp; Curriculum</x:v>
      </x:c>
      <x:c r="D271" s="339" t="str">
        <x:v>Teaching Resources</x:v>
      </x:c>
      <x:c r="E271" s="339" t="str">
        <x:v>Stale/concurrent data</x:v>
      </x:c>
      <x:c r="F271" s="339" t="str">
        <x:v>Detect version/state mismatch before destructive update; require refresh/review.</x:v>
      </x:c>
      <x:c r="G271" s="339" t="str">
        <x:v>This record changed since you opened it. Refresh before saving.</x:v>
      </x:c>
      <x:c r="H271" s="339" t="str">
        <x:v>Reload the latest data and reapply the intended change.</x:v>
      </x:c>
      <x:c r="I271" s="339" t="str">
        <x:v>Record conflict if it affected a high-risk workflow.</x:v>
      </x:c>
    </x:row>
    <x:row r="272">
      <x:c r="A272" s="339" t="str">
        <x:v>EXC-00271</x:v>
      </x:c>
      <x:c r="B272" s="339" t="str">
        <x:v>SCR-106</x:v>
      </x:c>
      <x:c r="C272" s="339" t="str">
        <x:v>Academics &amp; Curriculum</x:v>
      </x:c>
      <x:c r="D272" s="339" t="str">
        <x:v>Teaching Resources</x:v>
      </x:c>
      <x:c r="E272" s="339" t="str">
        <x:v>Downstream dependency failure</x:v>
      </x:c>
      <x:c r="F272" s="339" t="str">
        <x:v>Rollback or keep a recoverable pending state; never claim success for an incomplete critical transaction.</x:v>
      </x:c>
      <x:c r="G272" s="339" t="str">
        <x:v>The action could not be completed. No final change was applied.</x:v>
      </x:c>
      <x:c r="H272" s="339" t="str">
        <x:v>Retry safely or route to manual resolution queue.</x:v>
      </x:c>
      <x:c r="I272" s="339" t="str">
        <x:v>Capture correlation/error ID and failed step.</x:v>
      </x:c>
    </x:row>
    <x:row r="273">
      <x:c r="A273" s="339" t="str">
        <x:v>EXC-00272</x:v>
      </x:c>
      <x:c r="B273" s="339" t="str">
        <x:v>SCR-107</x:v>
      </x:c>
      <x:c r="C273" s="339" t="str">
        <x:v>Academics &amp; Curriculum</x:v>
      </x:c>
      <x:c r="D273" s="339" t="str">
        <x:v>Classroom / Room Management</x:v>
      </x:c>
      <x:c r="E273" s="339" t="str">
        <x:v>Unauthorized or out-of-scope record</x:v>
      </x:c>
      <x:c r="F273" s="339" t="str">
        <x:v>Deny access/action; do not reveal existence beyond safe messaging.</x:v>
      </x:c>
      <x:c r="G273" s="339" t="str">
        <x:v>You do not have access to this record.</x:v>
      </x:c>
      <x:c r="H273" s="339" t="str">
        <x:v>Re-authenticate or contact an administrator if access is expected.</x:v>
      </x:c>
      <x:c r="I273" s="339" t="str">
        <x:v>Log security-relevant denial where appropriate.</x:v>
      </x:c>
    </x:row>
    <x:row r="274">
      <x:c r="A274" s="339" t="str">
        <x:v>EXC-00273</x:v>
      </x:c>
      <x:c r="B274" s="339" t="str">
        <x:v>SCR-107</x:v>
      </x:c>
      <x:c r="C274" s="339" t="str">
        <x:v>Academics &amp; Curriculum</x:v>
      </x:c>
      <x:c r="D274" s="339" t="str">
        <x:v>Classroom / Room Management</x:v>
      </x:c>
      <x:c r="E274" s="339" t="str">
        <x:v>Stale/concurrent data</x:v>
      </x:c>
      <x:c r="F274" s="339" t="str">
        <x:v>Detect version/state mismatch before destructive update; require refresh/review.</x:v>
      </x:c>
      <x:c r="G274" s="339" t="str">
        <x:v>This record changed since you opened it. Refresh before saving.</x:v>
      </x:c>
      <x:c r="H274" s="339" t="str">
        <x:v>Reload the latest data and reapply the intended change.</x:v>
      </x:c>
      <x:c r="I274" s="339" t="str">
        <x:v>Record conflict if it affected a high-risk workflow.</x:v>
      </x:c>
    </x:row>
    <x:row r="275">
      <x:c r="A275" s="339" t="str">
        <x:v>EXC-00274</x:v>
      </x:c>
      <x:c r="B275" s="339" t="str">
        <x:v>SCR-107</x:v>
      </x:c>
      <x:c r="C275" s="339" t="str">
        <x:v>Academics &amp; Curriculum</x:v>
      </x:c>
      <x:c r="D275" s="339" t="str">
        <x:v>Classroom / Room Management</x:v>
      </x:c>
      <x:c r="E275" s="339" t="str">
        <x:v>Downstream dependency failure</x:v>
      </x:c>
      <x:c r="F275" s="339" t="str">
        <x:v>Rollback or keep a recoverable pending state; never claim success for an incomplete critical transaction.</x:v>
      </x:c>
      <x:c r="G275" s="339" t="str">
        <x:v>The action could not be completed. No final change was applied.</x:v>
      </x:c>
      <x:c r="H275" s="339" t="str">
        <x:v>Retry safely or route to manual resolution queue.</x:v>
      </x:c>
      <x:c r="I275" s="339" t="str">
        <x:v>Capture correlation/error ID and failed step.</x:v>
      </x:c>
    </x:row>
    <x:row r="276">
      <x:c r="A276" s="339" t="str">
        <x:v>EXC-00275</x:v>
      </x:c>
      <x:c r="B276" s="339" t="str">
        <x:v>SCR-108</x:v>
      </x:c>
      <x:c r="C276" s="339" t="str">
        <x:v>Academics &amp; Curriculum</x:v>
      </x:c>
      <x:c r="D276" s="339" t="str">
        <x:v>Academic Calendar</x:v>
      </x:c>
      <x:c r="E276" s="339" t="str">
        <x:v>Unauthorized or out-of-scope record</x:v>
      </x:c>
      <x:c r="F276" s="339" t="str">
        <x:v>Deny access/action; do not reveal existence beyond safe messaging.</x:v>
      </x:c>
      <x:c r="G276" s="339" t="str">
        <x:v>You do not have access to this record.</x:v>
      </x:c>
      <x:c r="H276" s="339" t="str">
        <x:v>Re-authenticate or contact an administrator if access is expected.</x:v>
      </x:c>
      <x:c r="I276" s="339" t="str">
        <x:v>Log security-relevant denial where appropriate.</x:v>
      </x:c>
    </x:row>
    <x:row r="277">
      <x:c r="A277" s="339" t="str">
        <x:v>EXC-00276</x:v>
      </x:c>
      <x:c r="B277" s="339" t="str">
        <x:v>SCR-108</x:v>
      </x:c>
      <x:c r="C277" s="339" t="str">
        <x:v>Academics &amp; Curriculum</x:v>
      </x:c>
      <x:c r="D277" s="339" t="str">
        <x:v>Academic Calendar</x:v>
      </x:c>
      <x:c r="E277" s="339" t="str">
        <x:v>Stale/concurrent data</x:v>
      </x:c>
      <x:c r="F277" s="339" t="str">
        <x:v>Detect version/state mismatch before destructive update; require refresh/review.</x:v>
      </x:c>
      <x:c r="G277" s="339" t="str">
        <x:v>This record changed since you opened it. Refresh before saving.</x:v>
      </x:c>
      <x:c r="H277" s="339" t="str">
        <x:v>Reload the latest data and reapply the intended change.</x:v>
      </x:c>
      <x:c r="I277" s="339" t="str">
        <x:v>Record conflict if it affected a high-risk workflow.</x:v>
      </x:c>
    </x:row>
    <x:row r="278">
      <x:c r="A278" s="339" t="str">
        <x:v>EXC-00277</x:v>
      </x:c>
      <x:c r="B278" s="339" t="str">
        <x:v>SCR-109</x:v>
      </x:c>
      <x:c r="C278" s="339" t="str">
        <x:v>Academics &amp; Curriculum</x:v>
      </x:c>
      <x:c r="D278" s="339" t="str">
        <x:v>Co-Curricular Activities</x:v>
      </x:c>
      <x:c r="E278" s="339" t="str">
        <x:v>Unauthorized or out-of-scope record</x:v>
      </x:c>
      <x:c r="F278" s="339" t="str">
        <x:v>Deny access/action; do not reveal existence beyond safe messaging.</x:v>
      </x:c>
      <x:c r="G278" s="339" t="str">
        <x:v>You do not have access to this record.</x:v>
      </x:c>
      <x:c r="H278" s="339" t="str">
        <x:v>Re-authenticate or contact an administrator if access is expected.</x:v>
      </x:c>
      <x:c r="I278" s="339" t="str">
        <x:v>Log security-relevant denial where appropriate.</x:v>
      </x:c>
    </x:row>
    <x:row r="279">
      <x:c r="A279" s="339" t="str">
        <x:v>EXC-00278</x:v>
      </x:c>
      <x:c r="B279" s="339" t="str">
        <x:v>SCR-109</x:v>
      </x:c>
      <x:c r="C279" s="339" t="str">
        <x:v>Academics &amp; Curriculum</x:v>
      </x:c>
      <x:c r="D279" s="339" t="str">
        <x:v>Co-Curricular Activities</x:v>
      </x:c>
      <x:c r="E279" s="339" t="str">
        <x:v>Stale/concurrent data</x:v>
      </x:c>
      <x:c r="F279" s="339" t="str">
        <x:v>Detect version/state mismatch before destructive update; require refresh/review.</x:v>
      </x:c>
      <x:c r="G279" s="339" t="str">
        <x:v>This record changed since you opened it. Refresh before saving.</x:v>
      </x:c>
      <x:c r="H279" s="339" t="str">
        <x:v>Reload the latest data and reapply the intended change.</x:v>
      </x:c>
      <x:c r="I279" s="339" t="str">
        <x:v>Record conflict if it affected a high-risk workflow.</x:v>
      </x:c>
    </x:row>
    <x:row r="280">
      <x:c r="A280" s="339" t="str">
        <x:v>EXC-00279</x:v>
      </x:c>
      <x:c r="B280" s="339" t="str">
        <x:v>SCR-109</x:v>
      </x:c>
      <x:c r="C280" s="339" t="str">
        <x:v>Academics &amp; Curriculum</x:v>
      </x:c>
      <x:c r="D280" s="339" t="str">
        <x:v>Co-Curricular Activities</x:v>
      </x:c>
      <x:c r="E280" s="339" t="str">
        <x:v>Downstream dependency failure</x:v>
      </x:c>
      <x:c r="F280" s="339" t="str">
        <x:v>Rollback or keep a recoverable pending state; never claim success for an incomplete critical transaction.</x:v>
      </x:c>
      <x:c r="G280" s="339" t="str">
        <x:v>The action could not be completed. No final change was applied.</x:v>
      </x:c>
      <x:c r="H280" s="339" t="str">
        <x:v>Retry safely or route to manual resolution queue.</x:v>
      </x:c>
      <x:c r="I280" s="339" t="str">
        <x:v>Capture correlation/error ID and failed step.</x:v>
      </x:c>
    </x:row>
    <x:row r="281">
      <x:c r="A281" s="339" t="str">
        <x:v>EXC-00280</x:v>
      </x:c>
      <x:c r="B281" s="339" t="str">
        <x:v>SCR-110</x:v>
      </x:c>
      <x:c r="C281" s="339" t="str">
        <x:v>Student Attendance</x:v>
      </x:c>
      <x:c r="D281" s="339" t="str">
        <x:v>Daily Class Attendance</x:v>
      </x:c>
      <x:c r="E281" s="339" t="str">
        <x:v>Unauthorized or out-of-scope record</x:v>
      </x:c>
      <x:c r="F281" s="339" t="str">
        <x:v>Deny access/action; do not reveal existence beyond safe messaging.</x:v>
      </x:c>
      <x:c r="G281" s="339" t="str">
        <x:v>You do not have access to this record.</x:v>
      </x:c>
      <x:c r="H281" s="339" t="str">
        <x:v>Re-authenticate or contact an administrator if access is expected.</x:v>
      </x:c>
      <x:c r="I281" s="339" t="str">
        <x:v>Log security-relevant denial where appropriate.</x:v>
      </x:c>
    </x:row>
    <x:row r="282">
      <x:c r="A282" s="339" t="str">
        <x:v>EXC-00281</x:v>
      </x:c>
      <x:c r="B282" s="339" t="str">
        <x:v>SCR-110</x:v>
      </x:c>
      <x:c r="C282" s="339" t="str">
        <x:v>Student Attendance</x:v>
      </x:c>
      <x:c r="D282" s="339" t="str">
        <x:v>Daily Class Attendance</x:v>
      </x:c>
      <x:c r="E282" s="339" t="str">
        <x:v>Stale/concurrent data</x:v>
      </x:c>
      <x:c r="F282" s="339" t="str">
        <x:v>Detect version/state mismatch before destructive update; require refresh/review.</x:v>
      </x:c>
      <x:c r="G282" s="339" t="str">
        <x:v>This record changed since you opened it. Refresh before saving.</x:v>
      </x:c>
      <x:c r="H282" s="339" t="str">
        <x:v>Reload the latest data and reapply the intended change.</x:v>
      </x:c>
      <x:c r="I282" s="339" t="str">
        <x:v>Record conflict if it affected a high-risk workflow.</x:v>
      </x:c>
    </x:row>
    <x:row r="283">
      <x:c r="A283" s="339" t="str">
        <x:v>EXC-00282</x:v>
      </x:c>
      <x:c r="B283" s="339" t="str">
        <x:v>SCR-110</x:v>
      </x:c>
      <x:c r="C283" s="339" t="str">
        <x:v>Student Attendance</x:v>
      </x:c>
      <x:c r="D283" s="339" t="str">
        <x:v>Daily Class Attendance</x:v>
      </x:c>
      <x:c r="E283" s="339" t="str">
        <x:v>Downstream dependency failure</x:v>
      </x:c>
      <x:c r="F283" s="339" t="str">
        <x:v>Rollback or keep a recoverable pending state; never claim success for an incomplete critical transaction.</x:v>
      </x:c>
      <x:c r="G283" s="339" t="str">
        <x:v>The action could not be completed. No final change was applied.</x:v>
      </x:c>
      <x:c r="H283" s="339" t="str">
        <x:v>Retry safely or route to manual resolution queue.</x:v>
      </x:c>
      <x:c r="I283" s="339" t="str">
        <x:v>Capture correlation/error ID and failed step.</x:v>
      </x:c>
    </x:row>
    <x:row r="284">
      <x:c r="A284" s="339" t="str">
        <x:v>EXC-00283</x:v>
      </x:c>
      <x:c r="B284" s="339" t="str">
        <x:v>SCR-111</x:v>
      </x:c>
      <x:c r="C284" s="339" t="str">
        <x:v>Student Attendance</x:v>
      </x:c>
      <x:c r="D284" s="339" t="str">
        <x:v>Period / Subject Attendance</x:v>
      </x:c>
      <x:c r="E284" s="339" t="str">
        <x:v>Unauthorized or out-of-scope record</x:v>
      </x:c>
      <x:c r="F284" s="339" t="str">
        <x:v>Deny access/action; do not reveal existence beyond safe messaging.</x:v>
      </x:c>
      <x:c r="G284" s="339" t="str">
        <x:v>You do not have access to this record.</x:v>
      </x:c>
      <x:c r="H284" s="339" t="str">
        <x:v>Re-authenticate or contact an administrator if access is expected.</x:v>
      </x:c>
      <x:c r="I284" s="339" t="str">
        <x:v>Log security-relevant denial where appropriate.</x:v>
      </x:c>
    </x:row>
    <x:row r="285">
      <x:c r="A285" s="339" t="str">
        <x:v>EXC-00284</x:v>
      </x:c>
      <x:c r="B285" s="339" t="str">
        <x:v>SCR-111</x:v>
      </x:c>
      <x:c r="C285" s="339" t="str">
        <x:v>Student Attendance</x:v>
      </x:c>
      <x:c r="D285" s="339" t="str">
        <x:v>Period / Subject Attendance</x:v>
      </x:c>
      <x:c r="E285" s="339" t="str">
        <x:v>Stale/concurrent data</x:v>
      </x:c>
      <x:c r="F285" s="339" t="str">
        <x:v>Detect version/state mismatch before destructive update; require refresh/review.</x:v>
      </x:c>
      <x:c r="G285" s="339" t="str">
        <x:v>This record changed since you opened it. Refresh before saving.</x:v>
      </x:c>
      <x:c r="H285" s="339" t="str">
        <x:v>Reload the latest data and reapply the intended change.</x:v>
      </x:c>
      <x:c r="I285" s="339" t="str">
        <x:v>Record conflict if it affected a high-risk workflow.</x:v>
      </x:c>
    </x:row>
    <x:row r="286">
      <x:c r="A286" s="339" t="str">
        <x:v>EXC-00285</x:v>
      </x:c>
      <x:c r="B286" s="339" t="str">
        <x:v>SCR-111</x:v>
      </x:c>
      <x:c r="C286" s="339" t="str">
        <x:v>Student Attendance</x:v>
      </x:c>
      <x:c r="D286" s="339" t="str">
        <x:v>Period / Subject Attendance</x:v>
      </x:c>
      <x:c r="E286" s="339" t="str">
        <x:v>Downstream dependency failure</x:v>
      </x:c>
      <x:c r="F286" s="339" t="str">
        <x:v>Rollback or keep a recoverable pending state; never claim success for an incomplete critical transaction.</x:v>
      </x:c>
      <x:c r="G286" s="339" t="str">
        <x:v>The action could not be completed. No final change was applied.</x:v>
      </x:c>
      <x:c r="H286" s="339" t="str">
        <x:v>Retry safely or route to manual resolution queue.</x:v>
      </x:c>
      <x:c r="I286" s="339" t="str">
        <x:v>Capture correlation/error ID and failed step.</x:v>
      </x:c>
    </x:row>
    <x:row r="287">
      <x:c r="A287" s="339" t="str">
        <x:v>EXC-00286</x:v>
      </x:c>
      <x:c r="B287" s="339" t="str">
        <x:v>SCR-112</x:v>
      </x:c>
      <x:c r="C287" s="339" t="str">
        <x:v>Student Attendance</x:v>
      </x:c>
      <x:c r="D287" s="339" t="str">
        <x:v>Student Attendance Register</x:v>
      </x:c>
      <x:c r="E287" s="339" t="str">
        <x:v>Unauthorized or out-of-scope record</x:v>
      </x:c>
      <x:c r="F287" s="339" t="str">
        <x:v>Deny access/action; do not reveal existence beyond safe messaging.</x:v>
      </x:c>
      <x:c r="G287" s="339" t="str">
        <x:v>You do not have access to this record.</x:v>
      </x:c>
      <x:c r="H287" s="339" t="str">
        <x:v>Re-authenticate or contact an administrator if access is expected.</x:v>
      </x:c>
      <x:c r="I287" s="339" t="str">
        <x:v>Log security-relevant denial where appropriate.</x:v>
      </x:c>
    </x:row>
    <x:row r="288">
      <x:c r="A288" s="339" t="str">
        <x:v>EXC-00287</x:v>
      </x:c>
      <x:c r="B288" s="339" t="str">
        <x:v>SCR-112</x:v>
      </x:c>
      <x:c r="C288" s="339" t="str">
        <x:v>Student Attendance</x:v>
      </x:c>
      <x:c r="D288" s="339" t="str">
        <x:v>Student Attendance Register</x:v>
      </x:c>
      <x:c r="E288" s="339" t="str">
        <x:v>Stale/concurrent data</x:v>
      </x:c>
      <x:c r="F288" s="339" t="str">
        <x:v>Detect version/state mismatch before destructive update; require refresh/review.</x:v>
      </x:c>
      <x:c r="G288" s="339" t="str">
        <x:v>This record changed since you opened it. Refresh before saving.</x:v>
      </x:c>
      <x:c r="H288" s="339" t="str">
        <x:v>Reload the latest data and reapply the intended change.</x:v>
      </x:c>
      <x:c r="I288" s="339" t="str">
        <x:v>Record conflict if it affected a high-risk workflow.</x:v>
      </x:c>
    </x:row>
    <x:row r="289">
      <x:c r="A289" s="339" t="str">
        <x:v>EXC-00288</x:v>
      </x:c>
      <x:c r="B289" s="339" t="str">
        <x:v>SCR-112</x:v>
      </x:c>
      <x:c r="C289" s="339" t="str">
        <x:v>Student Attendance</x:v>
      </x:c>
      <x:c r="D289" s="339" t="str">
        <x:v>Student Attendance Register</x:v>
      </x:c>
      <x:c r="E289" s="339" t="str">
        <x:v>Attendance submitted after lock</x:v>
      </x:c>
      <x:c r="F289" s="339" t="str">
        <x:v>Block direct edit; route through correction/approval workflow.</x:v>
      </x:c>
      <x:c r="G289" s="339" t="str">
        <x:v>Attendance is locked. Submit a correction request.</x:v>
      </x:c>
      <x:c r="H289" s="339" t="str">
        <x:v>Authorized approver reviews the correction.</x:v>
      </x:c>
      <x:c r="I289" s="339" t="str">
        <x:v>Record original and corrected values.</x:v>
      </x:c>
    </x:row>
    <x:row r="290">
      <x:c r="A290" s="339" t="str">
        <x:v>EXC-00289</x:v>
      </x:c>
      <x:c r="B290" s="339" t="str">
        <x:v>SCR-113</x:v>
      </x:c>
      <x:c r="C290" s="339" t="str">
        <x:v>Student Attendance</x:v>
      </x:c>
      <x:c r="D290" s="339" t="str">
        <x:v>Attendance Correction</x:v>
      </x:c>
      <x:c r="E290" s="339" t="str">
        <x:v>Unauthorized or out-of-scope record</x:v>
      </x:c>
      <x:c r="F290" s="339" t="str">
        <x:v>Deny access/action; do not reveal existence beyond safe messaging.</x:v>
      </x:c>
      <x:c r="G290" s="339" t="str">
        <x:v>You do not have access to this record.</x:v>
      </x:c>
      <x:c r="H290" s="339" t="str">
        <x:v>Re-authenticate or contact an administrator if access is expected.</x:v>
      </x:c>
      <x:c r="I290" s="339" t="str">
        <x:v>Log security-relevant denial where appropriate.</x:v>
      </x:c>
    </x:row>
    <x:row r="291">
      <x:c r="A291" s="339" t="str">
        <x:v>EXC-00290</x:v>
      </x:c>
      <x:c r="B291" s="339" t="str">
        <x:v>SCR-113</x:v>
      </x:c>
      <x:c r="C291" s="339" t="str">
        <x:v>Student Attendance</x:v>
      </x:c>
      <x:c r="D291" s="339" t="str">
        <x:v>Attendance Correction</x:v>
      </x:c>
      <x:c r="E291" s="339" t="str">
        <x:v>Stale/concurrent data</x:v>
      </x:c>
      <x:c r="F291" s="339" t="str">
        <x:v>Detect version/state mismatch before destructive update; require refresh/review.</x:v>
      </x:c>
      <x:c r="G291" s="339" t="str">
        <x:v>This record changed since you opened it. Refresh before saving.</x:v>
      </x:c>
      <x:c r="H291" s="339" t="str">
        <x:v>Reload the latest data and reapply the intended change.</x:v>
      </x:c>
      <x:c r="I291" s="339" t="str">
        <x:v>Record conflict if it affected a high-risk workflow.</x:v>
      </x:c>
    </x:row>
    <x:row r="292">
      <x:c r="A292" s="339" t="str">
        <x:v>EXC-00291</x:v>
      </x:c>
      <x:c r="B292" s="339" t="str">
        <x:v>SCR-113</x:v>
      </x:c>
      <x:c r="C292" s="339" t="str">
        <x:v>Student Attendance</x:v>
      </x:c>
      <x:c r="D292" s="339" t="str">
        <x:v>Attendance Correction</x:v>
      </x:c>
      <x:c r="E292" s="339" t="str">
        <x:v>Downstream dependency failure</x:v>
      </x:c>
      <x:c r="F292" s="339" t="str">
        <x:v>Rollback or keep a recoverable pending state; never claim success for an incomplete critical transaction.</x:v>
      </x:c>
      <x:c r="G292" s="339" t="str">
        <x:v>The action could not be completed. No final change was applied.</x:v>
      </x:c>
      <x:c r="H292" s="339" t="str">
        <x:v>Retry safely or route to manual resolution queue.</x:v>
      </x:c>
      <x:c r="I292" s="339" t="str">
        <x:v>Capture correlation/error ID and failed step.</x:v>
      </x:c>
    </x:row>
    <x:row r="293">
      <x:c r="A293" s="339" t="str">
        <x:v>EXC-00292</x:v>
      </x:c>
      <x:c r="B293" s="339" t="str">
        <x:v>SCR-114</x:v>
      </x:c>
      <x:c r="C293" s="339" t="str">
        <x:v>Student Attendance</x:v>
      </x:c>
      <x:c r="D293" s="339" t="str">
        <x:v>Student Leave Requests</x:v>
      </x:c>
      <x:c r="E293" s="339" t="str">
        <x:v>Unauthorized or out-of-scope record</x:v>
      </x:c>
      <x:c r="F293" s="339" t="str">
        <x:v>Deny access/action; do not reveal existence beyond safe messaging.</x:v>
      </x:c>
      <x:c r="G293" s="339" t="str">
        <x:v>You do not have access to this record.</x:v>
      </x:c>
      <x:c r="H293" s="339" t="str">
        <x:v>Re-authenticate or contact an administrator if access is expected.</x:v>
      </x:c>
      <x:c r="I293" s="339" t="str">
        <x:v>Log security-relevant denial where appropriate.</x:v>
      </x:c>
    </x:row>
    <x:row r="294">
      <x:c r="A294" s="339" t="str">
        <x:v>EXC-00293</x:v>
      </x:c>
      <x:c r="B294" s="339" t="str">
        <x:v>SCR-114</x:v>
      </x:c>
      <x:c r="C294" s="339" t="str">
        <x:v>Student Attendance</x:v>
      </x:c>
      <x:c r="D294" s="339" t="str">
        <x:v>Student Leave Requests</x:v>
      </x:c>
      <x:c r="E294" s="339" t="str">
        <x:v>Stale/concurrent data</x:v>
      </x:c>
      <x:c r="F294" s="339" t="str">
        <x:v>Detect version/state mismatch before destructive update; require refresh/review.</x:v>
      </x:c>
      <x:c r="G294" s="339" t="str">
        <x:v>This record changed since you opened it. Refresh before saving.</x:v>
      </x:c>
      <x:c r="H294" s="339" t="str">
        <x:v>Reload the latest data and reapply the intended change.</x:v>
      </x:c>
      <x:c r="I294" s="339" t="str">
        <x:v>Record conflict if it affected a high-risk workflow.</x:v>
      </x:c>
    </x:row>
    <x:row r="295">
      <x:c r="A295" s="339" t="str">
        <x:v>EXC-00294</x:v>
      </x:c>
      <x:c r="B295" s="339" t="str">
        <x:v>SCR-114</x:v>
      </x:c>
      <x:c r="C295" s="339" t="str">
        <x:v>Student Attendance</x:v>
      </x:c>
      <x:c r="D295" s="339" t="str">
        <x:v>Student Leave Requests</x:v>
      </x:c>
      <x:c r="E295" s="339" t="str">
        <x:v>Downstream dependency failure</x:v>
      </x:c>
      <x:c r="F295" s="339" t="str">
        <x:v>Rollback or keep a recoverable pending state; never claim success for an incomplete critical transaction.</x:v>
      </x:c>
      <x:c r="G295" s="339" t="str">
        <x:v>The action could not be completed. No final change was applied.</x:v>
      </x:c>
      <x:c r="H295" s="339" t="str">
        <x:v>Retry safely or route to manual resolution queue.</x:v>
      </x:c>
      <x:c r="I295" s="339" t="str">
        <x:v>Capture correlation/error ID and failed step.</x:v>
      </x:c>
    </x:row>
    <x:row r="296">
      <x:c r="A296" s="339" t="str">
        <x:v>EXC-00295</x:v>
      </x:c>
      <x:c r="B296" s="339" t="str">
        <x:v>SCR-115</x:v>
      </x:c>
      <x:c r="C296" s="339" t="str">
        <x:v>Student Attendance</x:v>
      </x:c>
      <x:c r="D296" s="339" t="str">
        <x:v>Student Leave Approval</x:v>
      </x:c>
      <x:c r="E296" s="339" t="str">
        <x:v>Unauthorized or out-of-scope record</x:v>
      </x:c>
      <x:c r="F296" s="339" t="str">
        <x:v>Deny access/action; do not reveal existence beyond safe messaging.</x:v>
      </x:c>
      <x:c r="G296" s="339" t="str">
        <x:v>You do not have access to this record.</x:v>
      </x:c>
      <x:c r="H296" s="339" t="str">
        <x:v>Re-authenticate or contact an administrator if access is expected.</x:v>
      </x:c>
      <x:c r="I296" s="339" t="str">
        <x:v>Log security-relevant denial where appropriate.</x:v>
      </x:c>
    </x:row>
    <x:row r="297">
      <x:c r="A297" s="339" t="str">
        <x:v>EXC-00296</x:v>
      </x:c>
      <x:c r="B297" s="339" t="str">
        <x:v>SCR-115</x:v>
      </x:c>
      <x:c r="C297" s="339" t="str">
        <x:v>Student Attendance</x:v>
      </x:c>
      <x:c r="D297" s="339" t="str">
        <x:v>Student Leave Approval</x:v>
      </x:c>
      <x:c r="E297" s="339" t="str">
        <x:v>Stale/concurrent data</x:v>
      </x:c>
      <x:c r="F297" s="339" t="str">
        <x:v>Detect version/state mismatch before destructive update; require refresh/review.</x:v>
      </x:c>
      <x:c r="G297" s="339" t="str">
        <x:v>This record changed since you opened it. Refresh before saving.</x:v>
      </x:c>
      <x:c r="H297" s="339" t="str">
        <x:v>Reload the latest data and reapply the intended change.</x:v>
      </x:c>
      <x:c r="I297" s="339" t="str">
        <x:v>Record conflict if it affected a high-risk workflow.</x:v>
      </x:c>
    </x:row>
    <x:row r="298">
      <x:c r="A298" s="339" t="str">
        <x:v>EXC-00297</x:v>
      </x:c>
      <x:c r="B298" s="339" t="str">
        <x:v>SCR-115</x:v>
      </x:c>
      <x:c r="C298" s="339" t="str">
        <x:v>Student Attendance</x:v>
      </x:c>
      <x:c r="D298" s="339" t="str">
        <x:v>Student Leave Approval</x:v>
      </x:c>
      <x:c r="E298" s="339" t="str">
        <x:v>Downstream dependency failure</x:v>
      </x:c>
      <x:c r="F298" s="339" t="str">
        <x:v>Rollback or keep a recoverable pending state; never claim success for an incomplete critical transaction.</x:v>
      </x:c>
      <x:c r="G298" s="339" t="str">
        <x:v>The action could not be completed. No final change was applied.</x:v>
      </x:c>
      <x:c r="H298" s="339" t="str">
        <x:v>Retry safely or route to manual resolution queue.</x:v>
      </x:c>
      <x:c r="I298" s="339" t="str">
        <x:v>Capture correlation/error ID and failed step.</x:v>
      </x:c>
    </x:row>
    <x:row r="299">
      <x:c r="A299" s="339" t="str">
        <x:v>EXC-00298</x:v>
      </x:c>
      <x:c r="B299" s="339" t="str">
        <x:v>SCR-116</x:v>
      </x:c>
      <x:c r="C299" s="339" t="str">
        <x:v>Student Attendance</x:v>
      </x:c>
      <x:c r="D299" s="339" t="str">
        <x:v>Late Entry / Early Exit</x:v>
      </x:c>
      <x:c r="E299" s="339" t="str">
        <x:v>Unauthorized or out-of-scope record</x:v>
      </x:c>
      <x:c r="F299" s="339" t="str">
        <x:v>Deny access/action; do not reveal existence beyond safe messaging.</x:v>
      </x:c>
      <x:c r="G299" s="339" t="str">
        <x:v>You do not have access to this record.</x:v>
      </x:c>
      <x:c r="H299" s="339" t="str">
        <x:v>Re-authenticate or contact an administrator if access is expected.</x:v>
      </x:c>
      <x:c r="I299" s="339" t="str">
        <x:v>Log security-relevant denial where appropriate.</x:v>
      </x:c>
    </x:row>
    <x:row r="300">
      <x:c r="A300" s="339" t="str">
        <x:v>EXC-00299</x:v>
      </x:c>
      <x:c r="B300" s="339" t="str">
        <x:v>SCR-116</x:v>
      </x:c>
      <x:c r="C300" s="339" t="str">
        <x:v>Student Attendance</x:v>
      </x:c>
      <x:c r="D300" s="339" t="str">
        <x:v>Late Entry / Early Exit</x:v>
      </x:c>
      <x:c r="E300" s="339" t="str">
        <x:v>Stale/concurrent data</x:v>
      </x:c>
      <x:c r="F300" s="339" t="str">
        <x:v>Detect version/state mismatch before destructive update; require refresh/review.</x:v>
      </x:c>
      <x:c r="G300" s="339" t="str">
        <x:v>This record changed since you opened it. Refresh before saving.</x:v>
      </x:c>
      <x:c r="H300" s="339" t="str">
        <x:v>Reload the latest data and reapply the intended change.</x:v>
      </x:c>
      <x:c r="I300" s="339" t="str">
        <x:v>Record conflict if it affected a high-risk workflow.</x:v>
      </x:c>
    </x:row>
    <x:row r="301">
      <x:c r="A301" s="339" t="str">
        <x:v>EXC-00300</x:v>
      </x:c>
      <x:c r="B301" s="339" t="str">
        <x:v>SCR-116</x:v>
      </x:c>
      <x:c r="C301" s="339" t="str">
        <x:v>Student Attendance</x:v>
      </x:c>
      <x:c r="D301" s="339" t="str">
        <x:v>Late Entry / Early Exit</x:v>
      </x:c>
      <x:c r="E301" s="339" t="str">
        <x:v>Downstream dependency failure</x:v>
      </x:c>
      <x:c r="F301" s="339" t="str">
        <x:v>Rollback or keep a recoverable pending state; never claim success for an incomplete critical transaction.</x:v>
      </x:c>
      <x:c r="G301" s="339" t="str">
        <x:v>The action could not be completed. No final change was applied.</x:v>
      </x:c>
      <x:c r="H301" s="339" t="str">
        <x:v>Retry safely or route to manual resolution queue.</x:v>
      </x:c>
      <x:c r="I301" s="339" t="str">
        <x:v>Capture correlation/error ID and failed step.</x:v>
      </x:c>
    </x:row>
    <x:row r="302">
      <x:c r="A302" s="339" t="str">
        <x:v>EXC-00301</x:v>
      </x:c>
      <x:c r="B302" s="339" t="str">
        <x:v>SCR-117</x:v>
      </x:c>
      <x:c r="C302" s="339" t="str">
        <x:v>Student Attendance</x:v>
      </x:c>
      <x:c r="D302" s="339" t="str">
        <x:v>Monthly Attendance Summary</x:v>
      </x:c>
      <x:c r="E302" s="339" t="str">
        <x:v>Unauthorized or out-of-scope record</x:v>
      </x:c>
      <x:c r="F302" s="339" t="str">
        <x:v>Deny access/action; do not reveal existence beyond safe messaging.</x:v>
      </x:c>
      <x:c r="G302" s="339" t="str">
        <x:v>You do not have access to this record.</x:v>
      </x:c>
      <x:c r="H302" s="339" t="str">
        <x:v>Re-authenticate or contact an administrator if access is expected.</x:v>
      </x:c>
      <x:c r="I302" s="339" t="str">
        <x:v>Log security-relevant denial where appropriate.</x:v>
      </x:c>
    </x:row>
    <x:row r="303">
      <x:c r="A303" s="339" t="str">
        <x:v>EXC-00302</x:v>
      </x:c>
      <x:c r="B303" s="339" t="str">
        <x:v>SCR-117</x:v>
      </x:c>
      <x:c r="C303" s="339" t="str">
        <x:v>Student Attendance</x:v>
      </x:c>
      <x:c r="D303" s="339" t="str">
        <x:v>Monthly Attendance Summary</x:v>
      </x:c>
      <x:c r="E303" s="339" t="str">
        <x:v>Stale/concurrent data</x:v>
      </x:c>
      <x:c r="F303" s="339" t="str">
        <x:v>Detect version/state mismatch before destructive update; require refresh/review.</x:v>
      </x:c>
      <x:c r="G303" s="339" t="str">
        <x:v>This record changed since you opened it. Refresh before saving.</x:v>
      </x:c>
      <x:c r="H303" s="339" t="str">
        <x:v>Reload the latest data and reapply the intended change.</x:v>
      </x:c>
      <x:c r="I303" s="339" t="str">
        <x:v>Record conflict if it affected a high-risk workflow.</x:v>
      </x:c>
    </x:row>
    <x:row r="304">
      <x:c r="A304" s="339" t="str">
        <x:v>EXC-00303</x:v>
      </x:c>
      <x:c r="B304" s="339" t="str">
        <x:v>SCR-117</x:v>
      </x:c>
      <x:c r="C304" s="339" t="str">
        <x:v>Student Attendance</x:v>
      </x:c>
      <x:c r="D304" s="339" t="str">
        <x:v>Monthly Attendance Summary</x:v>
      </x:c>
      <x:c r="E304" s="339" t="str">
        <x:v>Attendance submitted after lock</x:v>
      </x:c>
      <x:c r="F304" s="339" t="str">
        <x:v>Block direct edit; route through correction/approval workflow.</x:v>
      </x:c>
      <x:c r="G304" s="339" t="str">
        <x:v>Attendance is locked. Submit a correction request.</x:v>
      </x:c>
      <x:c r="H304" s="339" t="str">
        <x:v>Authorized approver reviews the correction.</x:v>
      </x:c>
      <x:c r="I304" s="339" t="str">
        <x:v>Record original and corrected values.</x:v>
      </x:c>
    </x:row>
    <x:row r="305">
      <x:c r="A305" s="339" t="str">
        <x:v>EXC-00304</x:v>
      </x:c>
      <x:c r="B305" s="339" t="str">
        <x:v>SCR-118</x:v>
      </x:c>
      <x:c r="C305" s="339" t="str">
        <x:v>Student Attendance</x:v>
      </x:c>
      <x:c r="D305" s="339" t="str">
        <x:v>Chronic Absence Alerts</x:v>
      </x:c>
      <x:c r="E305" s="339" t="str">
        <x:v>Unauthorized or out-of-scope record</x:v>
      </x:c>
      <x:c r="F305" s="339" t="str">
        <x:v>Deny access/action; do not reveal existence beyond safe messaging.</x:v>
      </x:c>
      <x:c r="G305" s="339" t="str">
        <x:v>You do not have access to this record.</x:v>
      </x:c>
      <x:c r="H305" s="339" t="str">
        <x:v>Re-authenticate or contact an administrator if access is expected.</x:v>
      </x:c>
      <x:c r="I305" s="339" t="str">
        <x:v>Log security-relevant denial where appropriate.</x:v>
      </x:c>
    </x:row>
    <x:row r="306">
      <x:c r="A306" s="339" t="str">
        <x:v>EXC-00305</x:v>
      </x:c>
      <x:c r="B306" s="339" t="str">
        <x:v>SCR-118</x:v>
      </x:c>
      <x:c r="C306" s="339" t="str">
        <x:v>Student Attendance</x:v>
      </x:c>
      <x:c r="D306" s="339" t="str">
        <x:v>Chronic Absence Alerts</x:v>
      </x:c>
      <x:c r="E306" s="339" t="str">
        <x:v>Stale/concurrent data</x:v>
      </x:c>
      <x:c r="F306" s="339" t="str">
        <x:v>Detect version/state mismatch before destructive update; require refresh/review.</x:v>
      </x:c>
      <x:c r="G306" s="339" t="str">
        <x:v>This record changed since you opened it. Refresh before saving.</x:v>
      </x:c>
      <x:c r="H306" s="339" t="str">
        <x:v>Reload the latest data and reapply the intended change.</x:v>
      </x:c>
      <x:c r="I306" s="339" t="str">
        <x:v>Record conflict if it affected a high-risk workflow.</x:v>
      </x:c>
    </x:row>
    <x:row r="307">
      <x:c r="A307" s="339" t="str">
        <x:v>EXC-00306</x:v>
      </x:c>
      <x:c r="B307" s="339" t="str">
        <x:v>SCR-118</x:v>
      </x:c>
      <x:c r="C307" s="339" t="str">
        <x:v>Student Attendance</x:v>
      </x:c>
      <x:c r="D307" s="339" t="str">
        <x:v>Chronic Absence Alerts</x:v>
      </x:c>
      <x:c r="E307" s="339" t="str">
        <x:v>Downstream dependency failure</x:v>
      </x:c>
      <x:c r="F307" s="339" t="str">
        <x:v>Rollback or keep a recoverable pending state; never claim success for an incomplete critical transaction.</x:v>
      </x:c>
      <x:c r="G307" s="339" t="str">
        <x:v>The action could not be completed. No final change was applied.</x:v>
      </x:c>
      <x:c r="H307" s="339" t="str">
        <x:v>Retry safely or route to manual resolution queue.</x:v>
      </x:c>
      <x:c r="I307" s="339" t="str">
        <x:v>Capture correlation/error ID and failed step.</x:v>
      </x:c>
    </x:row>
    <x:row r="308">
      <x:c r="A308" s="339" t="str">
        <x:v>EXC-00307</x:v>
      </x:c>
      <x:c r="B308" s="339" t="str">
        <x:v>SCR-119</x:v>
      </x:c>
      <x:c r="C308" s="339" t="str">
        <x:v>Student Attendance</x:v>
      </x:c>
      <x:c r="D308" s="339" t="str">
        <x:v>Attendance Reports</x:v>
      </x:c>
      <x:c r="E308" s="339" t="str">
        <x:v>Unauthorized or out-of-scope record</x:v>
      </x:c>
      <x:c r="F308" s="339" t="str">
        <x:v>Deny access/action; do not reveal existence beyond safe messaging.</x:v>
      </x:c>
      <x:c r="G308" s="339" t="str">
        <x:v>You do not have access to this record.</x:v>
      </x:c>
      <x:c r="H308" s="339" t="str">
        <x:v>Re-authenticate or contact an administrator if access is expected.</x:v>
      </x:c>
      <x:c r="I308" s="339" t="str">
        <x:v>Log security-relevant denial where appropriate.</x:v>
      </x:c>
    </x:row>
    <x:row r="309">
      <x:c r="A309" s="339" t="str">
        <x:v>EXC-00308</x:v>
      </x:c>
      <x:c r="B309" s="339" t="str">
        <x:v>SCR-119</x:v>
      </x:c>
      <x:c r="C309" s="339" t="str">
        <x:v>Student Attendance</x:v>
      </x:c>
      <x:c r="D309" s="339" t="str">
        <x:v>Attendance Reports</x:v>
      </x:c>
      <x:c r="E309" s="339" t="str">
        <x:v>Stale/concurrent data</x:v>
      </x:c>
      <x:c r="F309" s="339" t="str">
        <x:v>Detect version/state mismatch before destructive update; require refresh/review.</x:v>
      </x:c>
      <x:c r="G309" s="339" t="str">
        <x:v>This record changed since you opened it. Refresh before saving.</x:v>
      </x:c>
      <x:c r="H309" s="339" t="str">
        <x:v>Reload the latest data and reapply the intended change.</x:v>
      </x:c>
      <x:c r="I309" s="339" t="str">
        <x:v>Record conflict if it affected a high-risk workflow.</x:v>
      </x:c>
    </x:row>
    <x:row r="310">
      <x:c r="A310" s="339" t="str">
        <x:v>EXC-00309</x:v>
      </x:c>
      <x:c r="B310" s="339" t="str">
        <x:v>SCR-119</x:v>
      </x:c>
      <x:c r="C310" s="339" t="str">
        <x:v>Student Attendance</x:v>
      </x:c>
      <x:c r="D310" s="339" t="str">
        <x:v>Attendance Reports</x:v>
      </x:c>
      <x:c r="E310" s="339" t="str">
        <x:v>Attendance submitted after lock</x:v>
      </x:c>
      <x:c r="F310" s="339" t="str">
        <x:v>Block direct edit; route through correction/approval workflow.</x:v>
      </x:c>
      <x:c r="G310" s="339" t="str">
        <x:v>Attendance is locked. Submit a correction request.</x:v>
      </x:c>
      <x:c r="H310" s="339" t="str">
        <x:v>Authorized approver reviews the correction.</x:v>
      </x:c>
      <x:c r="I310" s="339" t="str">
        <x:v>Record original and corrected values.</x:v>
      </x:c>
    </x:row>
    <x:row r="311">
      <x:c r="A311" s="339" t="str">
        <x:v>EXC-00310</x:v>
      </x:c>
      <x:c r="B311" s="339" t="str">
        <x:v>SCR-120</x:v>
      </x:c>
      <x:c r="C311" s="339" t="str">
        <x:v>Timetable &amp; Substitution</x:v>
      </x:c>
      <x:c r="D311" s="339" t="str">
        <x:v>Timetable Dashboard</x:v>
      </x:c>
      <x:c r="E311" s="339" t="str">
        <x:v>Unauthorized or out-of-scope record</x:v>
      </x:c>
      <x:c r="F311" s="339" t="str">
        <x:v>Deny access/action; do not reveal existence beyond safe messaging.</x:v>
      </x:c>
      <x:c r="G311" s="339" t="str">
        <x:v>You do not have access to this record.</x:v>
      </x:c>
      <x:c r="H311" s="339" t="str">
        <x:v>Re-authenticate or contact an administrator if access is expected.</x:v>
      </x:c>
      <x:c r="I311" s="339" t="str">
        <x:v>Log security-relevant denial where appropriate.</x:v>
      </x:c>
    </x:row>
    <x:row r="312">
      <x:c r="A312" s="339" t="str">
        <x:v>EXC-00311</x:v>
      </x:c>
      <x:c r="B312" s="339" t="str">
        <x:v>SCR-120</x:v>
      </x:c>
      <x:c r="C312" s="339" t="str">
        <x:v>Timetable &amp; Substitution</x:v>
      </x:c>
      <x:c r="D312" s="339" t="str">
        <x:v>Timetable Dashboard</x:v>
      </x:c>
      <x:c r="E312" s="339" t="str">
        <x:v>Stale/concurrent data</x:v>
      </x:c>
      <x:c r="F312" s="339" t="str">
        <x:v>Detect version/state mismatch before destructive update; require refresh/review.</x:v>
      </x:c>
      <x:c r="G312" s="339" t="str">
        <x:v>This record changed since you opened it. Refresh before saving.</x:v>
      </x:c>
      <x:c r="H312" s="339" t="str">
        <x:v>Reload the latest data and reapply the intended change.</x:v>
      </x:c>
      <x:c r="I312" s="339" t="str">
        <x:v>Record conflict if it affected a high-risk workflow.</x:v>
      </x:c>
    </x:row>
    <x:row r="313">
      <x:c r="A313" s="339" t="str">
        <x:v>EXC-00312</x:v>
      </x:c>
      <x:c r="B313" s="339" t="str">
        <x:v>SCR-121</x:v>
      </x:c>
      <x:c r="C313" s="339" t="str">
        <x:v>Timetable &amp; Substitution</x:v>
      </x:c>
      <x:c r="D313" s="339" t="str">
        <x:v>Timetable Setup</x:v>
      </x:c>
      <x:c r="E313" s="339" t="str">
        <x:v>Unauthorized or out-of-scope record</x:v>
      </x:c>
      <x:c r="F313" s="339" t="str">
        <x:v>Deny access/action; do not reveal existence beyond safe messaging.</x:v>
      </x:c>
      <x:c r="G313" s="339" t="str">
        <x:v>You do not have access to this record.</x:v>
      </x:c>
      <x:c r="H313" s="339" t="str">
        <x:v>Re-authenticate or contact an administrator if access is expected.</x:v>
      </x:c>
      <x:c r="I313" s="339" t="str">
        <x:v>Log security-relevant denial where appropriate.</x:v>
      </x:c>
    </x:row>
    <x:row r="314">
      <x:c r="A314" s="339" t="str">
        <x:v>EXC-00313</x:v>
      </x:c>
      <x:c r="B314" s="339" t="str">
        <x:v>SCR-121</x:v>
      </x:c>
      <x:c r="C314" s="339" t="str">
        <x:v>Timetable &amp; Substitution</x:v>
      </x:c>
      <x:c r="D314" s="339" t="str">
        <x:v>Timetable Setup</x:v>
      </x:c>
      <x:c r="E314" s="339" t="str">
        <x:v>Stale/concurrent data</x:v>
      </x:c>
      <x:c r="F314" s="339" t="str">
        <x:v>Detect version/state mismatch before destructive update; require refresh/review.</x:v>
      </x:c>
      <x:c r="G314" s="339" t="str">
        <x:v>This record changed since you opened it. Refresh before saving.</x:v>
      </x:c>
      <x:c r="H314" s="339" t="str">
        <x:v>Reload the latest data and reapply the intended change.</x:v>
      </x:c>
      <x:c r="I314" s="339" t="str">
        <x:v>Record conflict if it affected a high-risk workflow.</x:v>
      </x:c>
    </x:row>
    <x:row r="315">
      <x:c r="A315" s="339" t="str">
        <x:v>EXC-00314</x:v>
      </x:c>
      <x:c r="B315" s="339" t="str">
        <x:v>SCR-121</x:v>
      </x:c>
      <x:c r="C315" s="339" t="str">
        <x:v>Timetable &amp; Substitution</x:v>
      </x:c>
      <x:c r="D315" s="339" t="str">
        <x:v>Timetable Setup</x:v>
      </x:c>
      <x:c r="E315" s="339" t="str">
        <x:v>Downstream dependency failure</x:v>
      </x:c>
      <x:c r="F315" s="339" t="str">
        <x:v>Rollback or keep a recoverable pending state; never claim success for an incomplete critical transaction.</x:v>
      </x:c>
      <x:c r="G315" s="339" t="str">
        <x:v>The action could not be completed. No final change was applied.</x:v>
      </x:c>
      <x:c r="H315" s="339" t="str">
        <x:v>Retry safely or route to manual resolution queue.</x:v>
      </x:c>
      <x:c r="I315" s="339" t="str">
        <x:v>Capture correlation/error ID and failed step.</x:v>
      </x:c>
    </x:row>
    <x:row r="316">
      <x:c r="A316" s="339" t="str">
        <x:v>EXC-00315</x:v>
      </x:c>
      <x:c r="B316" s="339" t="str">
        <x:v>SCR-122</x:v>
      </x:c>
      <x:c r="C316" s="339" t="str">
        <x:v>Timetable &amp; Substitution</x:v>
      </x:c>
      <x:c r="D316" s="339" t="str">
        <x:v>Period Setup</x:v>
      </x:c>
      <x:c r="E316" s="339" t="str">
        <x:v>Unauthorized or out-of-scope record</x:v>
      </x:c>
      <x:c r="F316" s="339" t="str">
        <x:v>Deny access/action; do not reveal existence beyond safe messaging.</x:v>
      </x:c>
      <x:c r="G316" s="339" t="str">
        <x:v>You do not have access to this record.</x:v>
      </x:c>
      <x:c r="H316" s="339" t="str">
        <x:v>Re-authenticate or contact an administrator if access is expected.</x:v>
      </x:c>
      <x:c r="I316" s="339" t="str">
        <x:v>Log security-relevant denial where appropriate.</x:v>
      </x:c>
    </x:row>
    <x:row r="317">
      <x:c r="A317" s="339" t="str">
        <x:v>EXC-00316</x:v>
      </x:c>
      <x:c r="B317" s="339" t="str">
        <x:v>SCR-122</x:v>
      </x:c>
      <x:c r="C317" s="339" t="str">
        <x:v>Timetable &amp; Substitution</x:v>
      </x:c>
      <x:c r="D317" s="339" t="str">
        <x:v>Period Setup</x:v>
      </x:c>
      <x:c r="E317" s="339" t="str">
        <x:v>Stale/concurrent data</x:v>
      </x:c>
      <x:c r="F317" s="339" t="str">
        <x:v>Detect version/state mismatch before destructive update; require refresh/review.</x:v>
      </x:c>
      <x:c r="G317" s="339" t="str">
        <x:v>This record changed since you opened it. Refresh before saving.</x:v>
      </x:c>
      <x:c r="H317" s="339" t="str">
        <x:v>Reload the latest data and reapply the intended change.</x:v>
      </x:c>
      <x:c r="I317" s="339" t="str">
        <x:v>Record conflict if it affected a high-risk workflow.</x:v>
      </x:c>
    </x:row>
    <x:row r="318">
      <x:c r="A318" s="339" t="str">
        <x:v>EXC-00317</x:v>
      </x:c>
      <x:c r="B318" s="339" t="str">
        <x:v>SCR-122</x:v>
      </x:c>
      <x:c r="C318" s="339" t="str">
        <x:v>Timetable &amp; Substitution</x:v>
      </x:c>
      <x:c r="D318" s="339" t="str">
        <x:v>Period Setup</x:v>
      </x:c>
      <x:c r="E318" s="339" t="str">
        <x:v>Downstream dependency failure</x:v>
      </x:c>
      <x:c r="F318" s="339" t="str">
        <x:v>Rollback or keep a recoverable pending state; never claim success for an incomplete critical transaction.</x:v>
      </x:c>
      <x:c r="G318" s="339" t="str">
        <x:v>The action could not be completed. No final change was applied.</x:v>
      </x:c>
      <x:c r="H318" s="339" t="str">
        <x:v>Retry safely or route to manual resolution queue.</x:v>
      </x:c>
      <x:c r="I318" s="339" t="str">
        <x:v>Capture correlation/error ID and failed step.</x:v>
      </x:c>
    </x:row>
    <x:row r="319">
      <x:c r="A319" s="339" t="str">
        <x:v>EXC-00318</x:v>
      </x:c>
      <x:c r="B319" s="339" t="str">
        <x:v>SCR-123</x:v>
      </x:c>
      <x:c r="C319" s="339" t="str">
        <x:v>Timetable &amp; Substitution</x:v>
      </x:c>
      <x:c r="D319" s="339" t="str">
        <x:v>Teacher Availability</x:v>
      </x:c>
      <x:c r="E319" s="339" t="str">
        <x:v>Unauthorized or out-of-scope record</x:v>
      </x:c>
      <x:c r="F319" s="339" t="str">
        <x:v>Deny access/action; do not reveal existence beyond safe messaging.</x:v>
      </x:c>
      <x:c r="G319" s="339" t="str">
        <x:v>You do not have access to this record.</x:v>
      </x:c>
      <x:c r="H319" s="339" t="str">
        <x:v>Re-authenticate or contact an administrator if access is expected.</x:v>
      </x:c>
      <x:c r="I319" s="339" t="str">
        <x:v>Log security-relevant denial where appropriate.</x:v>
      </x:c>
    </x:row>
    <x:row r="320">
      <x:c r="A320" s="339" t="str">
        <x:v>EXC-00319</x:v>
      </x:c>
      <x:c r="B320" s="339" t="str">
        <x:v>SCR-123</x:v>
      </x:c>
      <x:c r="C320" s="339" t="str">
        <x:v>Timetable &amp; Substitution</x:v>
      </x:c>
      <x:c r="D320" s="339" t="str">
        <x:v>Teacher Availability</x:v>
      </x:c>
      <x:c r="E320" s="339" t="str">
        <x:v>Stale/concurrent data</x:v>
      </x:c>
      <x:c r="F320" s="339" t="str">
        <x:v>Detect version/state mismatch before destructive update; require refresh/review.</x:v>
      </x:c>
      <x:c r="G320" s="339" t="str">
        <x:v>This record changed since you opened it. Refresh before saving.</x:v>
      </x:c>
      <x:c r="H320" s="339" t="str">
        <x:v>Reload the latest data and reapply the intended change.</x:v>
      </x:c>
      <x:c r="I320" s="339" t="str">
        <x:v>Record conflict if it affected a high-risk workflow.</x:v>
      </x:c>
    </x:row>
    <x:row r="321">
      <x:c r="A321" s="339" t="str">
        <x:v>EXC-00320</x:v>
      </x:c>
      <x:c r="B321" s="339" t="str">
        <x:v>SCR-123</x:v>
      </x:c>
      <x:c r="C321" s="339" t="str">
        <x:v>Timetable &amp; Substitution</x:v>
      </x:c>
      <x:c r="D321" s="339" t="str">
        <x:v>Teacher Availability</x:v>
      </x:c>
      <x:c r="E321" s="339" t="str">
        <x:v>Downstream dependency failure</x:v>
      </x:c>
      <x:c r="F321" s="339" t="str">
        <x:v>Rollback or keep a recoverable pending state; never claim success for an incomplete critical transaction.</x:v>
      </x:c>
      <x:c r="G321" s="339" t="str">
        <x:v>The action could not be completed. No final change was applied.</x:v>
      </x:c>
      <x:c r="H321" s="339" t="str">
        <x:v>Retry safely or route to manual resolution queue.</x:v>
      </x:c>
      <x:c r="I321" s="339" t="str">
        <x:v>Capture correlation/error ID and failed step.</x:v>
      </x:c>
    </x:row>
    <x:row r="322">
      <x:c r="A322" s="339" t="str">
        <x:v>EXC-00321</x:v>
      </x:c>
      <x:c r="B322" s="339" t="str">
        <x:v>SCR-124</x:v>
      </x:c>
      <x:c r="C322" s="339" t="str">
        <x:v>Timetable &amp; Substitution</x:v>
      </x:c>
      <x:c r="D322" s="339" t="str">
        <x:v>Generate Timetable</x:v>
      </x:c>
      <x:c r="E322" s="339" t="str">
        <x:v>Unauthorized or out-of-scope record</x:v>
      </x:c>
      <x:c r="F322" s="339" t="str">
        <x:v>Deny access/action; do not reveal existence beyond safe messaging.</x:v>
      </x:c>
      <x:c r="G322" s="339" t="str">
        <x:v>You do not have access to this record.</x:v>
      </x:c>
      <x:c r="H322" s="339" t="str">
        <x:v>Re-authenticate or contact an administrator if access is expected.</x:v>
      </x:c>
      <x:c r="I322" s="339" t="str">
        <x:v>Log security-relevant denial where appropriate.</x:v>
      </x:c>
    </x:row>
    <x:row r="323">
      <x:c r="A323" s="339" t="str">
        <x:v>EXC-00322</x:v>
      </x:c>
      <x:c r="B323" s="339" t="str">
        <x:v>SCR-124</x:v>
      </x:c>
      <x:c r="C323" s="339" t="str">
        <x:v>Timetable &amp; Substitution</x:v>
      </x:c>
      <x:c r="D323" s="339" t="str">
        <x:v>Generate Timetable</x:v>
      </x:c>
      <x:c r="E323" s="339" t="str">
        <x:v>Stale/concurrent data</x:v>
      </x:c>
      <x:c r="F323" s="339" t="str">
        <x:v>Detect version/state mismatch before destructive update; require refresh/review.</x:v>
      </x:c>
      <x:c r="G323" s="339" t="str">
        <x:v>This record changed since you opened it. Refresh before saving.</x:v>
      </x:c>
      <x:c r="H323" s="339" t="str">
        <x:v>Reload the latest data and reapply the intended change.</x:v>
      </x:c>
      <x:c r="I323" s="339" t="str">
        <x:v>Record conflict if it affected a high-risk workflow.</x:v>
      </x:c>
    </x:row>
    <x:row r="324">
      <x:c r="A324" s="339" t="str">
        <x:v>EXC-00323</x:v>
      </x:c>
      <x:c r="B324" s="339" t="str">
        <x:v>SCR-125</x:v>
      </x:c>
      <x:c r="C324" s="339" t="str">
        <x:v>Timetable &amp; Substitution</x:v>
      </x:c>
      <x:c r="D324" s="339" t="str">
        <x:v>Class Timetable</x:v>
      </x:c>
      <x:c r="E324" s="339" t="str">
        <x:v>Unauthorized or out-of-scope record</x:v>
      </x:c>
      <x:c r="F324" s="339" t="str">
        <x:v>Deny access/action; do not reveal existence beyond safe messaging.</x:v>
      </x:c>
      <x:c r="G324" s="339" t="str">
        <x:v>You do not have access to this record.</x:v>
      </x:c>
      <x:c r="H324" s="339" t="str">
        <x:v>Re-authenticate or contact an administrator if access is expected.</x:v>
      </x:c>
      <x:c r="I324" s="339" t="str">
        <x:v>Log security-relevant denial where appropriate.</x:v>
      </x:c>
    </x:row>
    <x:row r="325">
      <x:c r="A325" s="339" t="str">
        <x:v>EXC-00324</x:v>
      </x:c>
      <x:c r="B325" s="339" t="str">
        <x:v>SCR-125</x:v>
      </x:c>
      <x:c r="C325" s="339" t="str">
        <x:v>Timetable &amp; Substitution</x:v>
      </x:c>
      <x:c r="D325" s="339" t="str">
        <x:v>Class Timetable</x:v>
      </x:c>
      <x:c r="E325" s="339" t="str">
        <x:v>Stale/concurrent data</x:v>
      </x:c>
      <x:c r="F325" s="339" t="str">
        <x:v>Detect version/state mismatch before destructive update; require refresh/review.</x:v>
      </x:c>
      <x:c r="G325" s="339" t="str">
        <x:v>This record changed since you opened it. Refresh before saving.</x:v>
      </x:c>
      <x:c r="H325" s="339" t="str">
        <x:v>Reload the latest data and reapply the intended change.</x:v>
      </x:c>
      <x:c r="I325" s="339" t="str">
        <x:v>Record conflict if it affected a high-risk workflow.</x:v>
      </x:c>
    </x:row>
    <x:row r="326">
      <x:c r="A326" s="339" t="str">
        <x:v>EXC-00325</x:v>
      </x:c>
      <x:c r="B326" s="339" t="str">
        <x:v>SCR-126</x:v>
      </x:c>
      <x:c r="C326" s="339" t="str">
        <x:v>Timetable &amp; Substitution</x:v>
      </x:c>
      <x:c r="D326" s="339" t="str">
        <x:v>Teacher Timetable</x:v>
      </x:c>
      <x:c r="E326" s="339" t="str">
        <x:v>Unauthorized or out-of-scope record</x:v>
      </x:c>
      <x:c r="F326" s="339" t="str">
        <x:v>Deny access/action; do not reveal existence beyond safe messaging.</x:v>
      </x:c>
      <x:c r="G326" s="339" t="str">
        <x:v>You do not have access to this record.</x:v>
      </x:c>
      <x:c r="H326" s="339" t="str">
        <x:v>Re-authenticate or contact an administrator if access is expected.</x:v>
      </x:c>
      <x:c r="I326" s="339" t="str">
        <x:v>Log security-relevant denial where appropriate.</x:v>
      </x:c>
    </x:row>
    <x:row r="327">
      <x:c r="A327" s="339" t="str">
        <x:v>EXC-00326</x:v>
      </x:c>
      <x:c r="B327" s="339" t="str">
        <x:v>SCR-126</x:v>
      </x:c>
      <x:c r="C327" s="339" t="str">
        <x:v>Timetable &amp; Substitution</x:v>
      </x:c>
      <x:c r="D327" s="339" t="str">
        <x:v>Teacher Timetable</x:v>
      </x:c>
      <x:c r="E327" s="339" t="str">
        <x:v>Stale/concurrent data</x:v>
      </x:c>
      <x:c r="F327" s="339" t="str">
        <x:v>Detect version/state mismatch before destructive update; require refresh/review.</x:v>
      </x:c>
      <x:c r="G327" s="339" t="str">
        <x:v>This record changed since you opened it. Refresh before saving.</x:v>
      </x:c>
      <x:c r="H327" s="339" t="str">
        <x:v>Reload the latest data and reapply the intended change.</x:v>
      </x:c>
      <x:c r="I327" s="339" t="str">
        <x:v>Record conflict if it affected a high-risk workflow.</x:v>
      </x:c>
    </x:row>
    <x:row r="328">
      <x:c r="A328" s="339" t="str">
        <x:v>EXC-00327</x:v>
      </x:c>
      <x:c r="B328" s="339" t="str">
        <x:v>SCR-127</x:v>
      </x:c>
      <x:c r="C328" s="339" t="str">
        <x:v>Timetable &amp; Substitution</x:v>
      </x:c>
      <x:c r="D328" s="339" t="str">
        <x:v>Substitution / Replacement</x:v>
      </x:c>
      <x:c r="E328" s="339" t="str">
        <x:v>Unauthorized or out-of-scope record</x:v>
      </x:c>
      <x:c r="F328" s="339" t="str">
        <x:v>Deny access/action; do not reveal existence beyond safe messaging.</x:v>
      </x:c>
      <x:c r="G328" s="339" t="str">
        <x:v>You do not have access to this record.</x:v>
      </x:c>
      <x:c r="H328" s="339" t="str">
        <x:v>Re-authenticate or contact an administrator if access is expected.</x:v>
      </x:c>
      <x:c r="I328" s="339" t="str">
        <x:v>Log security-relevant denial where appropriate.</x:v>
      </x:c>
    </x:row>
    <x:row r="329">
      <x:c r="A329" s="339" t="str">
        <x:v>EXC-00328</x:v>
      </x:c>
      <x:c r="B329" s="339" t="str">
        <x:v>SCR-127</x:v>
      </x:c>
      <x:c r="C329" s="339" t="str">
        <x:v>Timetable &amp; Substitution</x:v>
      </x:c>
      <x:c r="D329" s="339" t="str">
        <x:v>Substitution / Replacement</x:v>
      </x:c>
      <x:c r="E329" s="339" t="str">
        <x:v>Stale/concurrent data</x:v>
      </x:c>
      <x:c r="F329" s="339" t="str">
        <x:v>Detect version/state mismatch before destructive update; require refresh/review.</x:v>
      </x:c>
      <x:c r="G329" s="339" t="str">
        <x:v>This record changed since you opened it. Refresh before saving.</x:v>
      </x:c>
      <x:c r="H329" s="339" t="str">
        <x:v>Reload the latest data and reapply the intended change.</x:v>
      </x:c>
      <x:c r="I329" s="339" t="str">
        <x:v>Record conflict if it affected a high-risk workflow.</x:v>
      </x:c>
    </x:row>
    <x:row r="330">
      <x:c r="A330" s="339" t="str">
        <x:v>EXC-00329</x:v>
      </x:c>
      <x:c r="B330" s="339" t="str">
        <x:v>SCR-127</x:v>
      </x:c>
      <x:c r="C330" s="339" t="str">
        <x:v>Timetable &amp; Substitution</x:v>
      </x:c>
      <x:c r="D330" s="339" t="str">
        <x:v>Substitution / Replacement</x:v>
      </x:c>
      <x:c r="E330" s="339" t="str">
        <x:v>Downstream dependency failure</x:v>
      </x:c>
      <x:c r="F330" s="339" t="str">
        <x:v>Rollback or keep a recoverable pending state; never claim success for an incomplete critical transaction.</x:v>
      </x:c>
      <x:c r="G330" s="339" t="str">
        <x:v>The action could not be completed. No final change was applied.</x:v>
      </x:c>
      <x:c r="H330" s="339" t="str">
        <x:v>Retry safely or route to manual resolution queue.</x:v>
      </x:c>
      <x:c r="I330" s="339" t="str">
        <x:v>Capture correlation/error ID and failed step.</x:v>
      </x:c>
    </x:row>
    <x:row r="331">
      <x:c r="A331" s="339" t="str">
        <x:v>EXC-00330</x:v>
      </x:c>
      <x:c r="B331" s="339" t="str">
        <x:v>SCR-128</x:v>
      </x:c>
      <x:c r="C331" s="339" t="str">
        <x:v>Homework &amp; Assignments</x:v>
      </x:c>
      <x:c r="D331" s="339" t="str">
        <x:v>Homework List</x:v>
      </x:c>
      <x:c r="E331" s="339" t="str">
        <x:v>Unauthorized or out-of-scope record</x:v>
      </x:c>
      <x:c r="F331" s="339" t="str">
        <x:v>Deny access/action; do not reveal existence beyond safe messaging.</x:v>
      </x:c>
      <x:c r="G331" s="339" t="str">
        <x:v>You do not have access to this record.</x:v>
      </x:c>
      <x:c r="H331" s="339" t="str">
        <x:v>Re-authenticate or contact an administrator if access is expected.</x:v>
      </x:c>
      <x:c r="I331" s="339" t="str">
        <x:v>Log security-relevant denial where appropriate.</x:v>
      </x:c>
    </x:row>
    <x:row r="332">
      <x:c r="A332" s="339" t="str">
        <x:v>EXC-00331</x:v>
      </x:c>
      <x:c r="B332" s="339" t="str">
        <x:v>SCR-128</x:v>
      </x:c>
      <x:c r="C332" s="339" t="str">
        <x:v>Homework &amp; Assignments</x:v>
      </x:c>
      <x:c r="D332" s="339" t="str">
        <x:v>Homework List</x:v>
      </x:c>
      <x:c r="E332" s="339" t="str">
        <x:v>Stale/concurrent data</x:v>
      </x:c>
      <x:c r="F332" s="339" t="str">
        <x:v>Detect version/state mismatch before destructive update; require refresh/review.</x:v>
      </x:c>
      <x:c r="G332" s="339" t="str">
        <x:v>This record changed since you opened it. Refresh before saving.</x:v>
      </x:c>
      <x:c r="H332" s="339" t="str">
        <x:v>Reload the latest data and reapply the intended change.</x:v>
      </x:c>
      <x:c r="I332" s="339" t="str">
        <x:v>Record conflict if it affected a high-risk workflow.</x:v>
      </x:c>
    </x:row>
    <x:row r="333">
      <x:c r="A333" s="339" t="str">
        <x:v>EXC-00332</x:v>
      </x:c>
      <x:c r="B333" s="339" t="str">
        <x:v>SCR-129</x:v>
      </x:c>
      <x:c r="C333" s="339" t="str">
        <x:v>Homework &amp; Assignments</x:v>
      </x:c>
      <x:c r="D333" s="339" t="str">
        <x:v>Create Homework</x:v>
      </x:c>
      <x:c r="E333" s="339" t="str">
        <x:v>Unauthorized or out-of-scope record</x:v>
      </x:c>
      <x:c r="F333" s="339" t="str">
        <x:v>Deny access/action; do not reveal existence beyond safe messaging.</x:v>
      </x:c>
      <x:c r="G333" s="339" t="str">
        <x:v>You do not have access to this record.</x:v>
      </x:c>
      <x:c r="H333" s="339" t="str">
        <x:v>Re-authenticate or contact an administrator if access is expected.</x:v>
      </x:c>
      <x:c r="I333" s="339" t="str">
        <x:v>Log security-relevant denial where appropriate.</x:v>
      </x:c>
    </x:row>
    <x:row r="334">
      <x:c r="A334" s="339" t="str">
        <x:v>EXC-00333</x:v>
      </x:c>
      <x:c r="B334" s="339" t="str">
        <x:v>SCR-129</x:v>
      </x:c>
      <x:c r="C334" s="339" t="str">
        <x:v>Homework &amp; Assignments</x:v>
      </x:c>
      <x:c r="D334" s="339" t="str">
        <x:v>Create Homework</x:v>
      </x:c>
      <x:c r="E334" s="339" t="str">
        <x:v>Stale/concurrent data</x:v>
      </x:c>
      <x:c r="F334" s="339" t="str">
        <x:v>Detect version/state mismatch before destructive update; require refresh/review.</x:v>
      </x:c>
      <x:c r="G334" s="339" t="str">
        <x:v>This record changed since you opened it. Refresh before saving.</x:v>
      </x:c>
      <x:c r="H334" s="339" t="str">
        <x:v>Reload the latest data and reapply the intended change.</x:v>
      </x:c>
      <x:c r="I334" s="339" t="str">
        <x:v>Record conflict if it affected a high-risk workflow.</x:v>
      </x:c>
    </x:row>
    <x:row r="335">
      <x:c r="A335" s="339" t="str">
        <x:v>EXC-00334</x:v>
      </x:c>
      <x:c r="B335" s="339" t="str">
        <x:v>SCR-129</x:v>
      </x:c>
      <x:c r="C335" s="339" t="str">
        <x:v>Homework &amp; Assignments</x:v>
      </x:c>
      <x:c r="D335" s="339" t="str">
        <x:v>Create Homework</x:v>
      </x:c>
      <x:c r="E335" s="339" t="str">
        <x:v>Downstream dependency failure</x:v>
      </x:c>
      <x:c r="F335" s="339" t="str">
        <x:v>Rollback or keep a recoverable pending state; never claim success for an incomplete critical transaction.</x:v>
      </x:c>
      <x:c r="G335" s="339" t="str">
        <x:v>The action could not be completed. No final change was applied.</x:v>
      </x:c>
      <x:c r="H335" s="339" t="str">
        <x:v>Retry safely or route to manual resolution queue.</x:v>
      </x:c>
      <x:c r="I335" s="339" t="str">
        <x:v>Capture correlation/error ID and failed step.</x:v>
      </x:c>
    </x:row>
    <x:row r="336">
      <x:c r="A336" s="339" t="str">
        <x:v>EXC-00335</x:v>
      </x:c>
      <x:c r="B336" s="339" t="str">
        <x:v>SCR-130</x:v>
      </x:c>
      <x:c r="C336" s="339" t="str">
        <x:v>Homework &amp; Assignments</x:v>
      </x:c>
      <x:c r="D336" s="339" t="str">
        <x:v>Homework Details</x:v>
      </x:c>
      <x:c r="E336" s="339" t="str">
        <x:v>Unauthorized or out-of-scope record</x:v>
      </x:c>
      <x:c r="F336" s="339" t="str">
        <x:v>Deny access/action; do not reveal existence beyond safe messaging.</x:v>
      </x:c>
      <x:c r="G336" s="339" t="str">
        <x:v>You do not have access to this record.</x:v>
      </x:c>
      <x:c r="H336" s="339" t="str">
        <x:v>Re-authenticate or contact an administrator if access is expected.</x:v>
      </x:c>
      <x:c r="I336" s="339" t="str">
        <x:v>Log security-relevant denial where appropriate.</x:v>
      </x:c>
    </x:row>
    <x:row r="337">
      <x:c r="A337" s="339" t="str">
        <x:v>EXC-00336</x:v>
      </x:c>
      <x:c r="B337" s="339" t="str">
        <x:v>SCR-130</x:v>
      </x:c>
      <x:c r="C337" s="339" t="str">
        <x:v>Homework &amp; Assignments</x:v>
      </x:c>
      <x:c r="D337" s="339" t="str">
        <x:v>Homework Details</x:v>
      </x:c>
      <x:c r="E337" s="339" t="str">
        <x:v>Stale/concurrent data</x:v>
      </x:c>
      <x:c r="F337" s="339" t="str">
        <x:v>Detect version/state mismatch before destructive update; require refresh/review.</x:v>
      </x:c>
      <x:c r="G337" s="339" t="str">
        <x:v>This record changed since you opened it. Refresh before saving.</x:v>
      </x:c>
      <x:c r="H337" s="339" t="str">
        <x:v>Reload the latest data and reapply the intended change.</x:v>
      </x:c>
      <x:c r="I337" s="339" t="str">
        <x:v>Record conflict if it affected a high-risk workflow.</x:v>
      </x:c>
    </x:row>
    <x:row r="338">
      <x:c r="A338" s="339" t="str">
        <x:v>EXC-00337</x:v>
      </x:c>
      <x:c r="B338" s="339" t="str">
        <x:v>SCR-131</x:v>
      </x:c>
      <x:c r="C338" s="339" t="str">
        <x:v>Homework &amp; Assignments</x:v>
      </x:c>
      <x:c r="D338" s="339" t="str">
        <x:v>Student Homework View</x:v>
      </x:c>
      <x:c r="E338" s="339" t="str">
        <x:v>Unauthorized or out-of-scope record</x:v>
      </x:c>
      <x:c r="F338" s="339" t="str">
        <x:v>Deny access/action; do not reveal existence beyond safe messaging.</x:v>
      </x:c>
      <x:c r="G338" s="339" t="str">
        <x:v>You do not have access to this record.</x:v>
      </x:c>
      <x:c r="H338" s="339" t="str">
        <x:v>Re-authenticate or contact an administrator if access is expected.</x:v>
      </x:c>
      <x:c r="I338" s="339" t="str">
        <x:v>Log security-relevant denial where appropriate.</x:v>
      </x:c>
    </x:row>
    <x:row r="339">
      <x:c r="A339" s="339" t="str">
        <x:v>EXC-00338</x:v>
      </x:c>
      <x:c r="B339" s="339" t="str">
        <x:v>SCR-131</x:v>
      </x:c>
      <x:c r="C339" s="339" t="str">
        <x:v>Homework &amp; Assignments</x:v>
      </x:c>
      <x:c r="D339" s="339" t="str">
        <x:v>Student Homework View</x:v>
      </x:c>
      <x:c r="E339" s="339" t="str">
        <x:v>Stale/concurrent data</x:v>
      </x:c>
      <x:c r="F339" s="339" t="str">
        <x:v>Detect version/state mismatch before destructive update; require refresh/review.</x:v>
      </x:c>
      <x:c r="G339" s="339" t="str">
        <x:v>This record changed since you opened it. Refresh before saving.</x:v>
      </x:c>
      <x:c r="H339" s="339" t="str">
        <x:v>Reload the latest data and reapply the intended change.</x:v>
      </x:c>
      <x:c r="I339" s="339" t="str">
        <x:v>Record conflict if it affected a high-risk workflow.</x:v>
      </x:c>
    </x:row>
    <x:row r="340">
      <x:c r="A340" s="339" t="str">
        <x:v>EXC-00339</x:v>
      </x:c>
      <x:c r="B340" s="339" t="str">
        <x:v>SCR-131</x:v>
      </x:c>
      <x:c r="C340" s="339" t="str">
        <x:v>Homework &amp; Assignments</x:v>
      </x:c>
      <x:c r="D340" s="339" t="str">
        <x:v>Student Homework View</x:v>
      </x:c>
      <x:c r="E340" s="339" t="str">
        <x:v>Downstream dependency failure</x:v>
      </x:c>
      <x:c r="F340" s="339" t="str">
        <x:v>Rollback or keep a recoverable pending state; never claim success for an incomplete critical transaction.</x:v>
      </x:c>
      <x:c r="G340" s="339" t="str">
        <x:v>The action could not be completed. No final change was applied.</x:v>
      </x:c>
      <x:c r="H340" s="339" t="str">
        <x:v>Retry safely or route to manual resolution queue.</x:v>
      </x:c>
      <x:c r="I340" s="339" t="str">
        <x:v>Capture correlation/error ID and failed step.</x:v>
      </x:c>
    </x:row>
    <x:row r="341">
      <x:c r="A341" s="339" t="str">
        <x:v>EXC-00340</x:v>
      </x:c>
      <x:c r="B341" s="339" t="str">
        <x:v>SCR-132</x:v>
      </x:c>
      <x:c r="C341" s="339" t="str">
        <x:v>Homework &amp; Assignments</x:v>
      </x:c>
      <x:c r="D341" s="339" t="str">
        <x:v>Homework Submission</x:v>
      </x:c>
      <x:c r="E341" s="339" t="str">
        <x:v>Unauthorized or out-of-scope record</x:v>
      </x:c>
      <x:c r="F341" s="339" t="str">
        <x:v>Deny access/action; do not reveal existence beyond safe messaging.</x:v>
      </x:c>
      <x:c r="G341" s="339" t="str">
        <x:v>You do not have access to this record.</x:v>
      </x:c>
      <x:c r="H341" s="339" t="str">
        <x:v>Re-authenticate or contact an administrator if access is expected.</x:v>
      </x:c>
      <x:c r="I341" s="339" t="str">
        <x:v>Log security-relevant denial where appropriate.</x:v>
      </x:c>
    </x:row>
    <x:row r="342">
      <x:c r="A342" s="339" t="str">
        <x:v>EXC-00341</x:v>
      </x:c>
      <x:c r="B342" s="339" t="str">
        <x:v>SCR-132</x:v>
      </x:c>
      <x:c r="C342" s="339" t="str">
        <x:v>Homework &amp; Assignments</x:v>
      </x:c>
      <x:c r="D342" s="339" t="str">
        <x:v>Homework Submission</x:v>
      </x:c>
      <x:c r="E342" s="339" t="str">
        <x:v>Stale/concurrent data</x:v>
      </x:c>
      <x:c r="F342" s="339" t="str">
        <x:v>Detect version/state mismatch before destructive update; require refresh/review.</x:v>
      </x:c>
      <x:c r="G342" s="339" t="str">
        <x:v>This record changed since you opened it. Refresh before saving.</x:v>
      </x:c>
      <x:c r="H342" s="339" t="str">
        <x:v>Reload the latest data and reapply the intended change.</x:v>
      </x:c>
      <x:c r="I342" s="339" t="str">
        <x:v>Record conflict if it affected a high-risk workflow.</x:v>
      </x:c>
    </x:row>
    <x:row r="343">
      <x:c r="A343" s="339" t="str">
        <x:v>EXC-00342</x:v>
      </x:c>
      <x:c r="B343" s="339" t="str">
        <x:v>SCR-132</x:v>
      </x:c>
      <x:c r="C343" s="339" t="str">
        <x:v>Homework &amp; Assignments</x:v>
      </x:c>
      <x:c r="D343" s="339" t="str">
        <x:v>Homework Submission</x:v>
      </x:c>
      <x:c r="E343" s="339" t="str">
        <x:v>Downstream dependency failure</x:v>
      </x:c>
      <x:c r="F343" s="339" t="str">
        <x:v>Rollback or keep a recoverable pending state; never claim success for an incomplete critical transaction.</x:v>
      </x:c>
      <x:c r="G343" s="339" t="str">
        <x:v>The action could not be completed. No final change was applied.</x:v>
      </x:c>
      <x:c r="H343" s="339" t="str">
        <x:v>Retry safely or route to manual resolution queue.</x:v>
      </x:c>
      <x:c r="I343" s="339" t="str">
        <x:v>Capture correlation/error ID and failed step.</x:v>
      </x:c>
    </x:row>
    <x:row r="344">
      <x:c r="A344" s="339" t="str">
        <x:v>EXC-00343</x:v>
      </x:c>
      <x:c r="B344" s="339" t="str">
        <x:v>SCR-133</x:v>
      </x:c>
      <x:c r="C344" s="339" t="str">
        <x:v>Homework &amp; Assignments</x:v>
      </x:c>
      <x:c r="D344" s="339" t="str">
        <x:v>Homework Evaluation</x:v>
      </x:c>
      <x:c r="E344" s="339" t="str">
        <x:v>Unauthorized or out-of-scope record</x:v>
      </x:c>
      <x:c r="F344" s="339" t="str">
        <x:v>Deny access/action; do not reveal existence beyond safe messaging.</x:v>
      </x:c>
      <x:c r="G344" s="339" t="str">
        <x:v>You do not have access to this record.</x:v>
      </x:c>
      <x:c r="H344" s="339" t="str">
        <x:v>Re-authenticate or contact an administrator if access is expected.</x:v>
      </x:c>
      <x:c r="I344" s="339" t="str">
        <x:v>Log security-relevant denial where appropriate.</x:v>
      </x:c>
    </x:row>
    <x:row r="345">
      <x:c r="A345" s="339" t="str">
        <x:v>EXC-00344</x:v>
      </x:c>
      <x:c r="B345" s="339" t="str">
        <x:v>SCR-133</x:v>
      </x:c>
      <x:c r="C345" s="339" t="str">
        <x:v>Homework &amp; Assignments</x:v>
      </x:c>
      <x:c r="D345" s="339" t="str">
        <x:v>Homework Evaluation</x:v>
      </x:c>
      <x:c r="E345" s="339" t="str">
        <x:v>Stale/concurrent data</x:v>
      </x:c>
      <x:c r="F345" s="339" t="str">
        <x:v>Detect version/state mismatch before destructive update; require refresh/review.</x:v>
      </x:c>
      <x:c r="G345" s="339" t="str">
        <x:v>This record changed since you opened it. Refresh before saving.</x:v>
      </x:c>
      <x:c r="H345" s="339" t="str">
        <x:v>Reload the latest data and reapply the intended change.</x:v>
      </x:c>
      <x:c r="I345" s="339" t="str">
        <x:v>Record conflict if it affected a high-risk workflow.</x:v>
      </x:c>
    </x:row>
    <x:row r="346">
      <x:c r="A346" s="339" t="str">
        <x:v>EXC-00345</x:v>
      </x:c>
      <x:c r="B346" s="339" t="str">
        <x:v>SCR-133</x:v>
      </x:c>
      <x:c r="C346" s="339" t="str">
        <x:v>Homework &amp; Assignments</x:v>
      </x:c>
      <x:c r="D346" s="339" t="str">
        <x:v>Homework Evaluation</x:v>
      </x:c>
      <x:c r="E346" s="339" t="str">
        <x:v>Downstream dependency failure</x:v>
      </x:c>
      <x:c r="F346" s="339" t="str">
        <x:v>Rollback or keep a recoverable pending state; never claim success for an incomplete critical transaction.</x:v>
      </x:c>
      <x:c r="G346" s="339" t="str">
        <x:v>The action could not be completed. No final change was applied.</x:v>
      </x:c>
      <x:c r="H346" s="339" t="str">
        <x:v>Retry safely or route to manual resolution queue.</x:v>
      </x:c>
      <x:c r="I346" s="339" t="str">
        <x:v>Capture correlation/error ID and failed step.</x:v>
      </x:c>
    </x:row>
    <x:row r="347">
      <x:c r="A347" s="339" t="str">
        <x:v>EXC-00346</x:v>
      </x:c>
      <x:c r="B347" s="339" t="str">
        <x:v>SCR-134</x:v>
      </x:c>
      <x:c r="C347" s="339" t="str">
        <x:v>Homework &amp; Assignments</x:v>
      </x:c>
      <x:c r="D347" s="339" t="str">
        <x:v>Assignment List</x:v>
      </x:c>
      <x:c r="E347" s="339" t="str">
        <x:v>Unauthorized or out-of-scope record</x:v>
      </x:c>
      <x:c r="F347" s="339" t="str">
        <x:v>Deny access/action; do not reveal existence beyond safe messaging.</x:v>
      </x:c>
      <x:c r="G347" s="339" t="str">
        <x:v>You do not have access to this record.</x:v>
      </x:c>
      <x:c r="H347" s="339" t="str">
        <x:v>Re-authenticate or contact an administrator if access is expected.</x:v>
      </x:c>
      <x:c r="I347" s="339" t="str">
        <x:v>Log security-relevant denial where appropriate.</x:v>
      </x:c>
    </x:row>
    <x:row r="348">
      <x:c r="A348" s="339" t="str">
        <x:v>EXC-00347</x:v>
      </x:c>
      <x:c r="B348" s="339" t="str">
        <x:v>SCR-134</x:v>
      </x:c>
      <x:c r="C348" s="339" t="str">
        <x:v>Homework &amp; Assignments</x:v>
      </x:c>
      <x:c r="D348" s="339" t="str">
        <x:v>Assignment List</x:v>
      </x:c>
      <x:c r="E348" s="339" t="str">
        <x:v>Stale/concurrent data</x:v>
      </x:c>
      <x:c r="F348" s="339" t="str">
        <x:v>Detect version/state mismatch before destructive update; require refresh/review.</x:v>
      </x:c>
      <x:c r="G348" s="339" t="str">
        <x:v>This record changed since you opened it. Refresh before saving.</x:v>
      </x:c>
      <x:c r="H348" s="339" t="str">
        <x:v>Reload the latest data and reapply the intended change.</x:v>
      </x:c>
      <x:c r="I348" s="339" t="str">
        <x:v>Record conflict if it affected a high-risk workflow.</x:v>
      </x:c>
    </x:row>
    <x:row r="349">
      <x:c r="A349" s="339" t="str">
        <x:v>EXC-00348</x:v>
      </x:c>
      <x:c r="B349" s="339" t="str">
        <x:v>SCR-135</x:v>
      </x:c>
      <x:c r="C349" s="339" t="str">
        <x:v>Homework &amp; Assignments</x:v>
      </x:c>
      <x:c r="D349" s="339" t="str">
        <x:v>Create Assignment</x:v>
      </x:c>
      <x:c r="E349" s="339" t="str">
        <x:v>Unauthorized or out-of-scope record</x:v>
      </x:c>
      <x:c r="F349" s="339" t="str">
        <x:v>Deny access/action; do not reveal existence beyond safe messaging.</x:v>
      </x:c>
      <x:c r="G349" s="339" t="str">
        <x:v>You do not have access to this record.</x:v>
      </x:c>
      <x:c r="H349" s="339" t="str">
        <x:v>Re-authenticate or contact an administrator if access is expected.</x:v>
      </x:c>
      <x:c r="I349" s="339" t="str">
        <x:v>Log security-relevant denial where appropriate.</x:v>
      </x:c>
    </x:row>
    <x:row r="350">
      <x:c r="A350" s="339" t="str">
        <x:v>EXC-00349</x:v>
      </x:c>
      <x:c r="B350" s="339" t="str">
        <x:v>SCR-135</x:v>
      </x:c>
      <x:c r="C350" s="339" t="str">
        <x:v>Homework &amp; Assignments</x:v>
      </x:c>
      <x:c r="D350" s="339" t="str">
        <x:v>Create Assignment</x:v>
      </x:c>
      <x:c r="E350" s="339" t="str">
        <x:v>Stale/concurrent data</x:v>
      </x:c>
      <x:c r="F350" s="339" t="str">
        <x:v>Detect version/state mismatch before destructive update; require refresh/review.</x:v>
      </x:c>
      <x:c r="G350" s="339" t="str">
        <x:v>This record changed since you opened it. Refresh before saving.</x:v>
      </x:c>
      <x:c r="H350" s="339" t="str">
        <x:v>Reload the latest data and reapply the intended change.</x:v>
      </x:c>
      <x:c r="I350" s="339" t="str">
        <x:v>Record conflict if it affected a high-risk workflow.</x:v>
      </x:c>
    </x:row>
    <x:row r="351">
      <x:c r="A351" s="339" t="str">
        <x:v>EXC-00350</x:v>
      </x:c>
      <x:c r="B351" s="339" t="str">
        <x:v>SCR-135</x:v>
      </x:c>
      <x:c r="C351" s="339" t="str">
        <x:v>Homework &amp; Assignments</x:v>
      </x:c>
      <x:c r="D351" s="339" t="str">
        <x:v>Create Assignment</x:v>
      </x:c>
      <x:c r="E351" s="339" t="str">
        <x:v>Downstream dependency failure</x:v>
      </x:c>
      <x:c r="F351" s="339" t="str">
        <x:v>Rollback or keep a recoverable pending state; never claim success for an incomplete critical transaction.</x:v>
      </x:c>
      <x:c r="G351" s="339" t="str">
        <x:v>The action could not be completed. No final change was applied.</x:v>
      </x:c>
      <x:c r="H351" s="339" t="str">
        <x:v>Retry safely or route to manual resolution queue.</x:v>
      </x:c>
      <x:c r="I351" s="339" t="str">
        <x:v>Capture correlation/error ID and failed step.</x:v>
      </x:c>
    </x:row>
    <x:row r="352">
      <x:c r="A352" s="339" t="str">
        <x:v>EXC-00351</x:v>
      </x:c>
      <x:c r="B352" s="339" t="str">
        <x:v>SCR-136</x:v>
      </x:c>
      <x:c r="C352" s="339" t="str">
        <x:v>Homework &amp; Assignments</x:v>
      </x:c>
      <x:c r="D352" s="339" t="str">
        <x:v>Assignment Submissions</x:v>
      </x:c>
      <x:c r="E352" s="339" t="str">
        <x:v>Unauthorized or out-of-scope record</x:v>
      </x:c>
      <x:c r="F352" s="339" t="str">
        <x:v>Deny access/action; do not reveal existence beyond safe messaging.</x:v>
      </x:c>
      <x:c r="G352" s="339" t="str">
        <x:v>You do not have access to this record.</x:v>
      </x:c>
      <x:c r="H352" s="339" t="str">
        <x:v>Re-authenticate or contact an administrator if access is expected.</x:v>
      </x:c>
      <x:c r="I352" s="339" t="str">
        <x:v>Log security-relevant denial where appropriate.</x:v>
      </x:c>
    </x:row>
    <x:row r="353">
      <x:c r="A353" s="339" t="str">
        <x:v>EXC-00352</x:v>
      </x:c>
      <x:c r="B353" s="339" t="str">
        <x:v>SCR-136</x:v>
      </x:c>
      <x:c r="C353" s="339" t="str">
        <x:v>Homework &amp; Assignments</x:v>
      </x:c>
      <x:c r="D353" s="339" t="str">
        <x:v>Assignment Submissions</x:v>
      </x:c>
      <x:c r="E353" s="339" t="str">
        <x:v>Stale/concurrent data</x:v>
      </x:c>
      <x:c r="F353" s="339" t="str">
        <x:v>Detect version/state mismatch before destructive update; require refresh/review.</x:v>
      </x:c>
      <x:c r="G353" s="339" t="str">
        <x:v>This record changed since you opened it. Refresh before saving.</x:v>
      </x:c>
      <x:c r="H353" s="339" t="str">
        <x:v>Reload the latest data and reapply the intended change.</x:v>
      </x:c>
      <x:c r="I353" s="339" t="str">
        <x:v>Record conflict if it affected a high-risk workflow.</x:v>
      </x:c>
    </x:row>
    <x:row r="354">
      <x:c r="A354" s="339" t="str">
        <x:v>EXC-00353</x:v>
      </x:c>
      <x:c r="B354" s="339" t="str">
        <x:v>SCR-136</x:v>
      </x:c>
      <x:c r="C354" s="339" t="str">
        <x:v>Homework &amp; Assignments</x:v>
      </x:c>
      <x:c r="D354" s="339" t="str">
        <x:v>Assignment Submissions</x:v>
      </x:c>
      <x:c r="E354" s="339" t="str">
        <x:v>Downstream dependency failure</x:v>
      </x:c>
      <x:c r="F354" s="339" t="str">
        <x:v>Rollback or keep a recoverable pending state; never claim success for an incomplete critical transaction.</x:v>
      </x:c>
      <x:c r="G354" s="339" t="str">
        <x:v>The action could not be completed. No final change was applied.</x:v>
      </x:c>
      <x:c r="H354" s="339" t="str">
        <x:v>Retry safely or route to manual resolution queue.</x:v>
      </x:c>
      <x:c r="I354" s="339" t="str">
        <x:v>Capture correlation/error ID and failed step.</x:v>
      </x:c>
    </x:row>
    <x:row r="355">
      <x:c r="A355" s="339" t="str">
        <x:v>EXC-00354</x:v>
      </x:c>
      <x:c r="B355" s="339" t="str">
        <x:v>SCR-137</x:v>
      </x:c>
      <x:c r="C355" s="339" t="str">
        <x:v>Homework &amp; Assignments</x:v>
      </x:c>
      <x:c r="D355" s="339" t="str">
        <x:v>Assignment Evaluation</x:v>
      </x:c>
      <x:c r="E355" s="339" t="str">
        <x:v>Unauthorized or out-of-scope record</x:v>
      </x:c>
      <x:c r="F355" s="339" t="str">
        <x:v>Deny access/action; do not reveal existence beyond safe messaging.</x:v>
      </x:c>
      <x:c r="G355" s="339" t="str">
        <x:v>You do not have access to this record.</x:v>
      </x:c>
      <x:c r="H355" s="339" t="str">
        <x:v>Re-authenticate or contact an administrator if access is expected.</x:v>
      </x:c>
      <x:c r="I355" s="339" t="str">
        <x:v>Log security-relevant denial where appropriate.</x:v>
      </x:c>
    </x:row>
    <x:row r="356">
      <x:c r="A356" s="339" t="str">
        <x:v>EXC-00355</x:v>
      </x:c>
      <x:c r="B356" s="339" t="str">
        <x:v>SCR-137</x:v>
      </x:c>
      <x:c r="C356" s="339" t="str">
        <x:v>Homework &amp; Assignments</x:v>
      </x:c>
      <x:c r="D356" s="339" t="str">
        <x:v>Assignment Evaluation</x:v>
      </x:c>
      <x:c r="E356" s="339" t="str">
        <x:v>Stale/concurrent data</x:v>
      </x:c>
      <x:c r="F356" s="339" t="str">
        <x:v>Detect version/state mismatch before destructive update; require refresh/review.</x:v>
      </x:c>
      <x:c r="G356" s="339" t="str">
        <x:v>This record changed since you opened it. Refresh before saving.</x:v>
      </x:c>
      <x:c r="H356" s="339" t="str">
        <x:v>Reload the latest data and reapply the intended change.</x:v>
      </x:c>
      <x:c r="I356" s="339" t="str">
        <x:v>Record conflict if it affected a high-risk workflow.</x:v>
      </x:c>
    </x:row>
    <x:row r="357">
      <x:c r="A357" s="339" t="str">
        <x:v>EXC-00356</x:v>
      </x:c>
      <x:c r="B357" s="339" t="str">
        <x:v>SCR-137</x:v>
      </x:c>
      <x:c r="C357" s="339" t="str">
        <x:v>Homework &amp; Assignments</x:v>
      </x:c>
      <x:c r="D357" s="339" t="str">
        <x:v>Assignment Evaluation</x:v>
      </x:c>
      <x:c r="E357" s="339" t="str">
        <x:v>Downstream dependency failure</x:v>
      </x:c>
      <x:c r="F357" s="339" t="str">
        <x:v>Rollback or keep a recoverable pending state; never claim success for an incomplete critical transaction.</x:v>
      </x:c>
      <x:c r="G357" s="339" t="str">
        <x:v>The action could not be completed. No final change was applied.</x:v>
      </x:c>
      <x:c r="H357" s="339" t="str">
        <x:v>Retry safely or route to manual resolution queue.</x:v>
      </x:c>
      <x:c r="I357" s="339" t="str">
        <x:v>Capture correlation/error ID and failed step.</x:v>
      </x:c>
    </x:row>
    <x:row r="358">
      <x:c r="A358" s="339" t="str">
        <x:v>EXC-00357</x:v>
      </x:c>
      <x:c r="B358" s="339" t="str">
        <x:v>SCR-138</x:v>
      </x:c>
      <x:c r="C358" s="339" t="str">
        <x:v>Examinations / Marks / Results</x:v>
      </x:c>
      <x:c r="D358" s="339" t="str">
        <x:v>Exam Dashboard</x:v>
      </x:c>
      <x:c r="E358" s="339" t="str">
        <x:v>Unauthorized or out-of-scope record</x:v>
      </x:c>
      <x:c r="F358" s="339" t="str">
        <x:v>Deny access/action; do not reveal existence beyond safe messaging.</x:v>
      </x:c>
      <x:c r="G358" s="339" t="str">
        <x:v>You do not have access to this record.</x:v>
      </x:c>
      <x:c r="H358" s="339" t="str">
        <x:v>Re-authenticate or contact an administrator if access is expected.</x:v>
      </x:c>
      <x:c r="I358" s="339" t="str">
        <x:v>Log security-relevant denial where appropriate.</x:v>
      </x:c>
    </x:row>
    <x:row r="359">
      <x:c r="A359" s="339" t="str">
        <x:v>EXC-00358</x:v>
      </x:c>
      <x:c r="B359" s="339" t="str">
        <x:v>SCR-138</x:v>
      </x:c>
      <x:c r="C359" s="339" t="str">
        <x:v>Examinations / Marks / Results</x:v>
      </x:c>
      <x:c r="D359" s="339" t="str">
        <x:v>Exam Dashboard</x:v>
      </x:c>
      <x:c r="E359" s="339" t="str">
        <x:v>Stale/concurrent data</x:v>
      </x:c>
      <x:c r="F359" s="339" t="str">
        <x:v>Detect version/state mismatch before destructive update; require refresh/review.</x:v>
      </x:c>
      <x:c r="G359" s="339" t="str">
        <x:v>This record changed since you opened it. Refresh before saving.</x:v>
      </x:c>
      <x:c r="H359" s="339" t="str">
        <x:v>Reload the latest data and reapply the intended change.</x:v>
      </x:c>
      <x:c r="I359" s="339" t="str">
        <x:v>Record conflict if it affected a high-risk workflow.</x:v>
      </x:c>
    </x:row>
    <x:row r="360">
      <x:c r="A360" s="339" t="str">
        <x:v>EXC-00359</x:v>
      </x:c>
      <x:c r="B360" s="339" t="str">
        <x:v>SCR-138</x:v>
      </x:c>
      <x:c r="C360" s="339" t="str">
        <x:v>Examinations / Marks / Results</x:v>
      </x:c>
      <x:c r="D360" s="339" t="str">
        <x:v>Exam Dashboard</x:v>
      </x:c>
      <x:c r="E360" s="339" t="str">
        <x:v>Result already published</x:v>
      </x:c>
      <x:c r="F360" s="339" t="str">
        <x:v>Block normal edit; require controlled revision with reason and reapproval.</x:v>
      </x:c>
      <x:c r="G360" s="339" t="str">
        <x:v>Published results require a revision request.</x:v>
      </x:c>
      <x:c r="H360" s="339" t="str">
        <x:v>Authorized revision workflow.</x:v>
      </x:c>
      <x:c r="I360" s="339" t="str">
        <x:v>Retain old and revised result versions.</x:v>
      </x:c>
    </x:row>
    <x:row r="361">
      <x:c r="A361" s="339" t="str">
        <x:v>EXC-00360</x:v>
      </x:c>
      <x:c r="B361" s="339" t="str">
        <x:v>SCR-139</x:v>
      </x:c>
      <x:c r="C361" s="339" t="str">
        <x:v>Examinations / Marks / Results</x:v>
      </x:c>
      <x:c r="D361" s="339" t="str">
        <x:v>Exam Types</x:v>
      </x:c>
      <x:c r="E361" s="339" t="str">
        <x:v>Unauthorized or out-of-scope record</x:v>
      </x:c>
      <x:c r="F361" s="339" t="str">
        <x:v>Deny access/action; do not reveal existence beyond safe messaging.</x:v>
      </x:c>
      <x:c r="G361" s="339" t="str">
        <x:v>You do not have access to this record.</x:v>
      </x:c>
      <x:c r="H361" s="339" t="str">
        <x:v>Re-authenticate or contact an administrator if access is expected.</x:v>
      </x:c>
      <x:c r="I361" s="339" t="str">
        <x:v>Log security-relevant denial where appropriate.</x:v>
      </x:c>
    </x:row>
    <x:row r="362">
      <x:c r="A362" s="339" t="str">
        <x:v>EXC-00361</x:v>
      </x:c>
      <x:c r="B362" s="339" t="str">
        <x:v>SCR-139</x:v>
      </x:c>
      <x:c r="C362" s="339" t="str">
        <x:v>Examinations / Marks / Results</x:v>
      </x:c>
      <x:c r="D362" s="339" t="str">
        <x:v>Exam Types</x:v>
      </x:c>
      <x:c r="E362" s="339" t="str">
        <x:v>Stale/concurrent data</x:v>
      </x:c>
      <x:c r="F362" s="339" t="str">
        <x:v>Detect version/state mismatch before destructive update; require refresh/review.</x:v>
      </x:c>
      <x:c r="G362" s="339" t="str">
        <x:v>This record changed since you opened it. Refresh before saving.</x:v>
      </x:c>
      <x:c r="H362" s="339" t="str">
        <x:v>Reload the latest data and reapply the intended change.</x:v>
      </x:c>
      <x:c r="I362" s="339" t="str">
        <x:v>Record conflict if it affected a high-risk workflow.</x:v>
      </x:c>
    </x:row>
    <x:row r="363">
      <x:c r="A363" s="339" t="str">
        <x:v>EXC-00362</x:v>
      </x:c>
      <x:c r="B363" s="339" t="str">
        <x:v>SCR-139</x:v>
      </x:c>
      <x:c r="C363" s="339" t="str">
        <x:v>Examinations / Marks / Results</x:v>
      </x:c>
      <x:c r="D363" s="339" t="str">
        <x:v>Exam Types</x:v>
      </x:c>
      <x:c r="E363" s="339" t="str">
        <x:v>Downstream dependency failure</x:v>
      </x:c>
      <x:c r="F363" s="339" t="str">
        <x:v>Rollback or keep a recoverable pending state; never claim success for an incomplete critical transaction.</x:v>
      </x:c>
      <x:c r="G363" s="339" t="str">
        <x:v>The action could not be completed. No final change was applied.</x:v>
      </x:c>
      <x:c r="H363" s="339" t="str">
        <x:v>Retry safely or route to manual resolution queue.</x:v>
      </x:c>
      <x:c r="I363" s="339" t="str">
        <x:v>Capture correlation/error ID and failed step.</x:v>
      </x:c>
    </x:row>
    <x:row r="364">
      <x:c r="A364" s="339" t="str">
        <x:v>EXC-00363</x:v>
      </x:c>
      <x:c r="B364" s="339" t="str">
        <x:v>SCR-140</x:v>
      </x:c>
      <x:c r="C364" s="339" t="str">
        <x:v>Examinations / Marks / Results</x:v>
      </x:c>
      <x:c r="D364" s="339" t="str">
        <x:v>Exam Setup</x:v>
      </x:c>
      <x:c r="E364" s="339" t="str">
        <x:v>Unauthorized or out-of-scope record</x:v>
      </x:c>
      <x:c r="F364" s="339" t="str">
        <x:v>Deny access/action; do not reveal existence beyond safe messaging.</x:v>
      </x:c>
      <x:c r="G364" s="339" t="str">
        <x:v>You do not have access to this record.</x:v>
      </x:c>
      <x:c r="H364" s="339" t="str">
        <x:v>Re-authenticate or contact an administrator if access is expected.</x:v>
      </x:c>
      <x:c r="I364" s="339" t="str">
        <x:v>Log security-relevant denial where appropriate.</x:v>
      </x:c>
    </x:row>
    <x:row r="365">
      <x:c r="A365" s="339" t="str">
        <x:v>EXC-00364</x:v>
      </x:c>
      <x:c r="B365" s="339" t="str">
        <x:v>SCR-140</x:v>
      </x:c>
      <x:c r="C365" s="339" t="str">
        <x:v>Examinations / Marks / Results</x:v>
      </x:c>
      <x:c r="D365" s="339" t="str">
        <x:v>Exam Setup</x:v>
      </x:c>
      <x:c r="E365" s="339" t="str">
        <x:v>Stale/concurrent data</x:v>
      </x:c>
      <x:c r="F365" s="339" t="str">
        <x:v>Detect version/state mismatch before destructive update; require refresh/review.</x:v>
      </x:c>
      <x:c r="G365" s="339" t="str">
        <x:v>This record changed since you opened it. Refresh before saving.</x:v>
      </x:c>
      <x:c r="H365" s="339" t="str">
        <x:v>Reload the latest data and reapply the intended change.</x:v>
      </x:c>
      <x:c r="I365" s="339" t="str">
        <x:v>Record conflict if it affected a high-risk workflow.</x:v>
      </x:c>
    </x:row>
    <x:row r="366">
      <x:c r="A366" s="339" t="str">
        <x:v>EXC-00365</x:v>
      </x:c>
      <x:c r="B366" s="339" t="str">
        <x:v>SCR-140</x:v>
      </x:c>
      <x:c r="C366" s="339" t="str">
        <x:v>Examinations / Marks / Results</x:v>
      </x:c>
      <x:c r="D366" s="339" t="str">
        <x:v>Exam Setup</x:v>
      </x:c>
      <x:c r="E366" s="339" t="str">
        <x:v>Downstream dependency failure</x:v>
      </x:c>
      <x:c r="F366" s="339" t="str">
        <x:v>Rollback or keep a recoverable pending state; never claim success for an incomplete critical transaction.</x:v>
      </x:c>
      <x:c r="G366" s="339" t="str">
        <x:v>The action could not be completed. No final change was applied.</x:v>
      </x:c>
      <x:c r="H366" s="339" t="str">
        <x:v>Retry safely or route to manual resolution queue.</x:v>
      </x:c>
      <x:c r="I366" s="339" t="str">
        <x:v>Capture correlation/error ID and failed step.</x:v>
      </x:c>
    </x:row>
    <x:row r="367">
      <x:c r="A367" s="339" t="str">
        <x:v>EXC-00366</x:v>
      </x:c>
      <x:c r="B367" s="339" t="str">
        <x:v>SCR-141</x:v>
      </x:c>
      <x:c r="C367" s="339" t="str">
        <x:v>Examinations / Marks / Results</x:v>
      </x:c>
      <x:c r="D367" s="339" t="str">
        <x:v>Exam Schedule</x:v>
      </x:c>
      <x:c r="E367" s="339" t="str">
        <x:v>Unauthorized or out-of-scope record</x:v>
      </x:c>
      <x:c r="F367" s="339" t="str">
        <x:v>Deny access/action; do not reveal existence beyond safe messaging.</x:v>
      </x:c>
      <x:c r="G367" s="339" t="str">
        <x:v>You do not have access to this record.</x:v>
      </x:c>
      <x:c r="H367" s="339" t="str">
        <x:v>Re-authenticate or contact an administrator if access is expected.</x:v>
      </x:c>
      <x:c r="I367" s="339" t="str">
        <x:v>Log security-relevant denial where appropriate.</x:v>
      </x:c>
    </x:row>
    <x:row r="368">
      <x:c r="A368" s="339" t="str">
        <x:v>EXC-00367</x:v>
      </x:c>
      <x:c r="B368" s="339" t="str">
        <x:v>SCR-141</x:v>
      </x:c>
      <x:c r="C368" s="339" t="str">
        <x:v>Examinations / Marks / Results</x:v>
      </x:c>
      <x:c r="D368" s="339" t="str">
        <x:v>Exam Schedule</x:v>
      </x:c>
      <x:c r="E368" s="339" t="str">
        <x:v>Stale/concurrent data</x:v>
      </x:c>
      <x:c r="F368" s="339" t="str">
        <x:v>Detect version/state mismatch before destructive update; require refresh/review.</x:v>
      </x:c>
      <x:c r="G368" s="339" t="str">
        <x:v>This record changed since you opened it. Refresh before saving.</x:v>
      </x:c>
      <x:c r="H368" s="339" t="str">
        <x:v>Reload the latest data and reapply the intended change.</x:v>
      </x:c>
      <x:c r="I368" s="339" t="str">
        <x:v>Record conflict if it affected a high-risk workflow.</x:v>
      </x:c>
    </x:row>
    <x:row r="369">
      <x:c r="A369" s="339" t="str">
        <x:v>EXC-00368</x:v>
      </x:c>
      <x:c r="B369" s="339" t="str">
        <x:v>SCR-141</x:v>
      </x:c>
      <x:c r="C369" s="339" t="str">
        <x:v>Examinations / Marks / Results</x:v>
      </x:c>
      <x:c r="D369" s="339" t="str">
        <x:v>Exam Schedule</x:v>
      </x:c>
      <x:c r="E369" s="339" t="str">
        <x:v>Result already published</x:v>
      </x:c>
      <x:c r="F369" s="339" t="str">
        <x:v>Block normal edit; require controlled revision with reason and reapproval.</x:v>
      </x:c>
      <x:c r="G369" s="339" t="str">
        <x:v>Published results require a revision request.</x:v>
      </x:c>
      <x:c r="H369" s="339" t="str">
        <x:v>Authorized revision workflow.</x:v>
      </x:c>
      <x:c r="I369" s="339" t="str">
        <x:v>Retain old and revised result versions.</x:v>
      </x:c>
    </x:row>
    <x:row r="370">
      <x:c r="A370" s="339" t="str">
        <x:v>EXC-00369</x:v>
      </x:c>
      <x:c r="B370" s="339" t="str">
        <x:v>SCR-142</x:v>
      </x:c>
      <x:c r="C370" s="339" t="str">
        <x:v>Examinations / Marks / Results</x:v>
      </x:c>
      <x:c r="D370" s="339" t="str">
        <x:v>Hall / Room Allocation</x:v>
      </x:c>
      <x:c r="E370" s="339" t="str">
        <x:v>Unauthorized or out-of-scope record</x:v>
      </x:c>
      <x:c r="F370" s="339" t="str">
        <x:v>Deny access/action; do not reveal existence beyond safe messaging.</x:v>
      </x:c>
      <x:c r="G370" s="339" t="str">
        <x:v>You do not have access to this record.</x:v>
      </x:c>
      <x:c r="H370" s="339" t="str">
        <x:v>Re-authenticate or contact an administrator if access is expected.</x:v>
      </x:c>
      <x:c r="I370" s="339" t="str">
        <x:v>Log security-relevant denial where appropriate.</x:v>
      </x:c>
    </x:row>
    <x:row r="371">
      <x:c r="A371" s="339" t="str">
        <x:v>EXC-00370</x:v>
      </x:c>
      <x:c r="B371" s="339" t="str">
        <x:v>SCR-142</x:v>
      </x:c>
      <x:c r="C371" s="339" t="str">
        <x:v>Examinations / Marks / Results</x:v>
      </x:c>
      <x:c r="D371" s="339" t="str">
        <x:v>Hall / Room Allocation</x:v>
      </x:c>
      <x:c r="E371" s="339" t="str">
        <x:v>Stale/concurrent data</x:v>
      </x:c>
      <x:c r="F371" s="339" t="str">
        <x:v>Detect version/state mismatch before destructive update; require refresh/review.</x:v>
      </x:c>
      <x:c r="G371" s="339" t="str">
        <x:v>This record changed since you opened it. Refresh before saving.</x:v>
      </x:c>
      <x:c r="H371" s="339" t="str">
        <x:v>Reload the latest data and reapply the intended change.</x:v>
      </x:c>
      <x:c r="I371" s="339" t="str">
        <x:v>Record conflict if it affected a high-risk workflow.</x:v>
      </x:c>
    </x:row>
    <x:row r="372">
      <x:c r="A372" s="339" t="str">
        <x:v>EXC-00371</x:v>
      </x:c>
      <x:c r="B372" s="339" t="str">
        <x:v>SCR-142</x:v>
      </x:c>
      <x:c r="C372" s="339" t="str">
        <x:v>Examinations / Marks / Results</x:v>
      </x:c>
      <x:c r="D372" s="339" t="str">
        <x:v>Hall / Room Allocation</x:v>
      </x:c>
      <x:c r="E372" s="339" t="str">
        <x:v>Downstream dependency failure</x:v>
      </x:c>
      <x:c r="F372" s="339" t="str">
        <x:v>Rollback or keep a recoverable pending state; never claim success for an incomplete critical transaction.</x:v>
      </x:c>
      <x:c r="G372" s="339" t="str">
        <x:v>The action could not be completed. No final change was applied.</x:v>
      </x:c>
      <x:c r="H372" s="339" t="str">
        <x:v>Retry safely or route to manual resolution queue.</x:v>
      </x:c>
      <x:c r="I372" s="339" t="str">
        <x:v>Capture correlation/error ID and failed step.</x:v>
      </x:c>
    </x:row>
    <x:row r="373">
      <x:c r="A373" s="339" t="str">
        <x:v>EXC-00372</x:v>
      </x:c>
      <x:c r="B373" s="339" t="str">
        <x:v>SCR-143</x:v>
      </x:c>
      <x:c r="C373" s="339" t="str">
        <x:v>Examinations / Marks / Results</x:v>
      </x:c>
      <x:c r="D373" s="339" t="str">
        <x:v>Invigilation Assignment</x:v>
      </x:c>
      <x:c r="E373" s="339" t="str">
        <x:v>Unauthorized or out-of-scope record</x:v>
      </x:c>
      <x:c r="F373" s="339" t="str">
        <x:v>Deny access/action; do not reveal existence beyond safe messaging.</x:v>
      </x:c>
      <x:c r="G373" s="339" t="str">
        <x:v>You do not have access to this record.</x:v>
      </x:c>
      <x:c r="H373" s="339" t="str">
        <x:v>Re-authenticate or contact an administrator if access is expected.</x:v>
      </x:c>
      <x:c r="I373" s="339" t="str">
        <x:v>Log security-relevant denial where appropriate.</x:v>
      </x:c>
    </x:row>
    <x:row r="374">
      <x:c r="A374" s="339" t="str">
        <x:v>EXC-00373</x:v>
      </x:c>
      <x:c r="B374" s="339" t="str">
        <x:v>SCR-143</x:v>
      </x:c>
      <x:c r="C374" s="339" t="str">
        <x:v>Examinations / Marks / Results</x:v>
      </x:c>
      <x:c r="D374" s="339" t="str">
        <x:v>Invigilation Assignment</x:v>
      </x:c>
      <x:c r="E374" s="339" t="str">
        <x:v>Stale/concurrent data</x:v>
      </x:c>
      <x:c r="F374" s="339" t="str">
        <x:v>Detect version/state mismatch before destructive update; require refresh/review.</x:v>
      </x:c>
      <x:c r="G374" s="339" t="str">
        <x:v>This record changed since you opened it. Refresh before saving.</x:v>
      </x:c>
      <x:c r="H374" s="339" t="str">
        <x:v>Reload the latest data and reapply the intended change.</x:v>
      </x:c>
      <x:c r="I374" s="339" t="str">
        <x:v>Record conflict if it affected a high-risk workflow.</x:v>
      </x:c>
    </x:row>
    <x:row r="375">
      <x:c r="A375" s="339" t="str">
        <x:v>EXC-00374</x:v>
      </x:c>
      <x:c r="B375" s="339" t="str">
        <x:v>SCR-143</x:v>
      </x:c>
      <x:c r="C375" s="339" t="str">
        <x:v>Examinations / Marks / Results</x:v>
      </x:c>
      <x:c r="D375" s="339" t="str">
        <x:v>Invigilation Assignment</x:v>
      </x:c>
      <x:c r="E375" s="339" t="str">
        <x:v>Downstream dependency failure</x:v>
      </x:c>
      <x:c r="F375" s="339" t="str">
        <x:v>Rollback or keep a recoverable pending state; never claim success for an incomplete critical transaction.</x:v>
      </x:c>
      <x:c r="G375" s="339" t="str">
        <x:v>The action could not be completed. No final change was applied.</x:v>
      </x:c>
      <x:c r="H375" s="339" t="str">
        <x:v>Retry safely or route to manual resolution queue.</x:v>
      </x:c>
      <x:c r="I375" s="339" t="str">
        <x:v>Capture correlation/error ID and failed step.</x:v>
      </x:c>
    </x:row>
    <x:row r="376">
      <x:c r="A376" s="339" t="str">
        <x:v>EXC-00375</x:v>
      </x:c>
      <x:c r="B376" s="339" t="str">
        <x:v>SCR-144</x:v>
      </x:c>
      <x:c r="C376" s="339" t="str">
        <x:v>Examinations / Marks / Results</x:v>
      </x:c>
      <x:c r="D376" s="339" t="str">
        <x:v>Admit Card</x:v>
      </x:c>
      <x:c r="E376" s="339" t="str">
        <x:v>Unauthorized or out-of-scope record</x:v>
      </x:c>
      <x:c r="F376" s="339" t="str">
        <x:v>Deny access/action; do not reveal existence beyond safe messaging.</x:v>
      </x:c>
      <x:c r="G376" s="339" t="str">
        <x:v>You do not have access to this record.</x:v>
      </x:c>
      <x:c r="H376" s="339" t="str">
        <x:v>Re-authenticate or contact an administrator if access is expected.</x:v>
      </x:c>
      <x:c r="I376" s="339" t="str">
        <x:v>Log security-relevant denial where appropriate.</x:v>
      </x:c>
    </x:row>
    <x:row r="377">
      <x:c r="A377" s="339" t="str">
        <x:v>EXC-00376</x:v>
      </x:c>
      <x:c r="B377" s="339" t="str">
        <x:v>SCR-144</x:v>
      </x:c>
      <x:c r="C377" s="339" t="str">
        <x:v>Examinations / Marks / Results</x:v>
      </x:c>
      <x:c r="D377" s="339" t="str">
        <x:v>Admit Card</x:v>
      </x:c>
      <x:c r="E377" s="339" t="str">
        <x:v>Stale/concurrent data</x:v>
      </x:c>
      <x:c r="F377" s="339" t="str">
        <x:v>Detect version/state mismatch before destructive update; require refresh/review.</x:v>
      </x:c>
      <x:c r="G377" s="339" t="str">
        <x:v>This record changed since you opened it. Refresh before saving.</x:v>
      </x:c>
      <x:c r="H377" s="339" t="str">
        <x:v>Reload the latest data and reapply the intended change.</x:v>
      </x:c>
      <x:c r="I377" s="339" t="str">
        <x:v>Record conflict if it affected a high-risk workflow.</x:v>
      </x:c>
    </x:row>
    <x:row r="378">
      <x:c r="A378" s="339" t="str">
        <x:v>EXC-00377</x:v>
      </x:c>
      <x:c r="B378" s="339" t="str">
        <x:v>SCR-144</x:v>
      </x:c>
      <x:c r="C378" s="339" t="str">
        <x:v>Examinations / Marks / Results</x:v>
      </x:c>
      <x:c r="D378" s="339" t="str">
        <x:v>Admit Card</x:v>
      </x:c>
      <x:c r="E378" s="339" t="str">
        <x:v>Downstream dependency failure</x:v>
      </x:c>
      <x:c r="F378" s="339" t="str">
        <x:v>Rollback or keep a recoverable pending state; never claim success for an incomplete critical transaction.</x:v>
      </x:c>
      <x:c r="G378" s="339" t="str">
        <x:v>The action could not be completed. No final change was applied.</x:v>
      </x:c>
      <x:c r="H378" s="339" t="str">
        <x:v>Retry safely or route to manual resolution queue.</x:v>
      </x:c>
      <x:c r="I378" s="339" t="str">
        <x:v>Capture correlation/error ID and failed step.</x:v>
      </x:c>
    </x:row>
    <x:row r="379">
      <x:c r="A379" s="339" t="str">
        <x:v>EXC-00378</x:v>
      </x:c>
      <x:c r="B379" s="339" t="str">
        <x:v>SCR-145</x:v>
      </x:c>
      <x:c r="C379" s="339" t="str">
        <x:v>Examinations / Marks / Results</x:v>
      </x:c>
      <x:c r="D379" s="339" t="str">
        <x:v>Marks Entry</x:v>
      </x:c>
      <x:c r="E379" s="339" t="str">
        <x:v>Unauthorized or out-of-scope record</x:v>
      </x:c>
      <x:c r="F379" s="339" t="str">
        <x:v>Deny access/action; do not reveal existence beyond safe messaging.</x:v>
      </x:c>
      <x:c r="G379" s="339" t="str">
        <x:v>You do not have access to this record.</x:v>
      </x:c>
      <x:c r="H379" s="339" t="str">
        <x:v>Re-authenticate or contact an administrator if access is expected.</x:v>
      </x:c>
      <x:c r="I379" s="339" t="str">
        <x:v>Log security-relevant denial where appropriate.</x:v>
      </x:c>
    </x:row>
    <x:row r="380">
      <x:c r="A380" s="339" t="str">
        <x:v>EXC-00379</x:v>
      </x:c>
      <x:c r="B380" s="339" t="str">
        <x:v>SCR-145</x:v>
      </x:c>
      <x:c r="C380" s="339" t="str">
        <x:v>Examinations / Marks / Results</x:v>
      </x:c>
      <x:c r="D380" s="339" t="str">
        <x:v>Marks Entry</x:v>
      </x:c>
      <x:c r="E380" s="339" t="str">
        <x:v>Stale/concurrent data</x:v>
      </x:c>
      <x:c r="F380" s="339" t="str">
        <x:v>Detect version/state mismatch before destructive update; require refresh/review.</x:v>
      </x:c>
      <x:c r="G380" s="339" t="str">
        <x:v>This record changed since you opened it. Refresh before saving.</x:v>
      </x:c>
      <x:c r="H380" s="339" t="str">
        <x:v>Reload the latest data and reapply the intended change.</x:v>
      </x:c>
      <x:c r="I380" s="339" t="str">
        <x:v>Record conflict if it affected a high-risk workflow.</x:v>
      </x:c>
    </x:row>
    <x:row r="381">
      <x:c r="A381" s="339" t="str">
        <x:v>EXC-00380</x:v>
      </x:c>
      <x:c r="B381" s="339" t="str">
        <x:v>SCR-145</x:v>
      </x:c>
      <x:c r="C381" s="339" t="str">
        <x:v>Examinations / Marks / Results</x:v>
      </x:c>
      <x:c r="D381" s="339" t="str">
        <x:v>Marks Entry</x:v>
      </x:c>
      <x:c r="E381" s="339" t="str">
        <x:v>Downstream dependency failure</x:v>
      </x:c>
      <x:c r="F381" s="339" t="str">
        <x:v>Rollback or keep a recoverable pending state; never claim success for an incomplete critical transaction.</x:v>
      </x:c>
      <x:c r="G381" s="339" t="str">
        <x:v>The action could not be completed. No final change was applied.</x:v>
      </x:c>
      <x:c r="H381" s="339" t="str">
        <x:v>Retry safely or route to manual resolution queue.</x:v>
      </x:c>
      <x:c r="I381" s="339" t="str">
        <x:v>Capture correlation/error ID and failed step.</x:v>
      </x:c>
    </x:row>
    <x:row r="382">
      <x:c r="A382" s="339" t="str">
        <x:v>EXC-00381</x:v>
      </x:c>
      <x:c r="B382" s="339" t="str">
        <x:v>SCR-146</x:v>
      </x:c>
      <x:c r="C382" s="339" t="str">
        <x:v>Examinations / Marks / Results</x:v>
      </x:c>
      <x:c r="D382" s="339" t="str">
        <x:v>Practical / Internal Marks</x:v>
      </x:c>
      <x:c r="E382" s="339" t="str">
        <x:v>Unauthorized or out-of-scope record</x:v>
      </x:c>
      <x:c r="F382" s="339" t="str">
        <x:v>Deny access/action; do not reveal existence beyond safe messaging.</x:v>
      </x:c>
      <x:c r="G382" s="339" t="str">
        <x:v>You do not have access to this record.</x:v>
      </x:c>
      <x:c r="H382" s="339" t="str">
        <x:v>Re-authenticate or contact an administrator if access is expected.</x:v>
      </x:c>
      <x:c r="I382" s="339" t="str">
        <x:v>Log security-relevant denial where appropriate.</x:v>
      </x:c>
    </x:row>
    <x:row r="383">
      <x:c r="A383" s="339" t="str">
        <x:v>EXC-00382</x:v>
      </x:c>
      <x:c r="B383" s="339" t="str">
        <x:v>SCR-146</x:v>
      </x:c>
      <x:c r="C383" s="339" t="str">
        <x:v>Examinations / Marks / Results</x:v>
      </x:c>
      <x:c r="D383" s="339" t="str">
        <x:v>Practical / Internal Marks</x:v>
      </x:c>
      <x:c r="E383" s="339" t="str">
        <x:v>Stale/concurrent data</x:v>
      </x:c>
      <x:c r="F383" s="339" t="str">
        <x:v>Detect version/state mismatch before destructive update; require refresh/review.</x:v>
      </x:c>
      <x:c r="G383" s="339" t="str">
        <x:v>This record changed since you opened it. Refresh before saving.</x:v>
      </x:c>
      <x:c r="H383" s="339" t="str">
        <x:v>Reload the latest data and reapply the intended change.</x:v>
      </x:c>
      <x:c r="I383" s="339" t="str">
        <x:v>Record conflict if it affected a high-risk workflow.</x:v>
      </x:c>
    </x:row>
    <x:row r="384">
      <x:c r="A384" s="339" t="str">
        <x:v>EXC-00383</x:v>
      </x:c>
      <x:c r="B384" s="339" t="str">
        <x:v>SCR-146</x:v>
      </x:c>
      <x:c r="C384" s="339" t="str">
        <x:v>Examinations / Marks / Results</x:v>
      </x:c>
      <x:c r="D384" s="339" t="str">
        <x:v>Practical / Internal Marks</x:v>
      </x:c>
      <x:c r="E384" s="339" t="str">
        <x:v>Downstream dependency failure</x:v>
      </x:c>
      <x:c r="F384" s="339" t="str">
        <x:v>Rollback or keep a recoverable pending state; never claim success for an incomplete critical transaction.</x:v>
      </x:c>
      <x:c r="G384" s="339" t="str">
        <x:v>The action could not be completed. No final change was applied.</x:v>
      </x:c>
      <x:c r="H384" s="339" t="str">
        <x:v>Retry safely or route to manual resolution queue.</x:v>
      </x:c>
      <x:c r="I384" s="339" t="str">
        <x:v>Capture correlation/error ID and failed step.</x:v>
      </x:c>
    </x:row>
    <x:row r="385">
      <x:c r="A385" s="339" t="str">
        <x:v>EXC-00384</x:v>
      </x:c>
      <x:c r="B385" s="339" t="str">
        <x:v>SCR-147</x:v>
      </x:c>
      <x:c r="C385" s="339" t="str">
        <x:v>Examinations / Marks / Results</x:v>
      </x:c>
      <x:c r="D385" s="339" t="str">
        <x:v>Bulk Marks Import</x:v>
      </x:c>
      <x:c r="E385" s="339" t="str">
        <x:v>Unauthorized or out-of-scope record</x:v>
      </x:c>
      <x:c r="F385" s="339" t="str">
        <x:v>Deny access/action; do not reveal existence beyond safe messaging.</x:v>
      </x:c>
      <x:c r="G385" s="339" t="str">
        <x:v>You do not have access to this record.</x:v>
      </x:c>
      <x:c r="H385" s="339" t="str">
        <x:v>Re-authenticate or contact an administrator if access is expected.</x:v>
      </x:c>
      <x:c r="I385" s="339" t="str">
        <x:v>Log security-relevant denial where appropriate.</x:v>
      </x:c>
    </x:row>
    <x:row r="386">
      <x:c r="A386" s="339" t="str">
        <x:v>EXC-00385</x:v>
      </x:c>
      <x:c r="B386" s="339" t="str">
        <x:v>SCR-147</x:v>
      </x:c>
      <x:c r="C386" s="339" t="str">
        <x:v>Examinations / Marks / Results</x:v>
      </x:c>
      <x:c r="D386" s="339" t="str">
        <x:v>Bulk Marks Import</x:v>
      </x:c>
      <x:c r="E386" s="339" t="str">
        <x:v>Stale/concurrent data</x:v>
      </x:c>
      <x:c r="F386" s="339" t="str">
        <x:v>Detect version/state mismatch before destructive update; require refresh/review.</x:v>
      </x:c>
      <x:c r="G386" s="339" t="str">
        <x:v>This record changed since you opened it. Refresh before saving.</x:v>
      </x:c>
      <x:c r="H386" s="339" t="str">
        <x:v>Reload the latest data and reapply the intended change.</x:v>
      </x:c>
      <x:c r="I386" s="339" t="str">
        <x:v>Record conflict if it affected a high-risk workflow.</x:v>
      </x:c>
    </x:row>
    <x:row r="387">
      <x:c r="A387" s="339" t="str">
        <x:v>EXC-00386</x:v>
      </x:c>
      <x:c r="B387" s="339" t="str">
        <x:v>SCR-147</x:v>
      </x:c>
      <x:c r="C387" s="339" t="str">
        <x:v>Examinations / Marks / Results</x:v>
      </x:c>
      <x:c r="D387" s="339" t="str">
        <x:v>Bulk Marks Import</x:v>
      </x:c>
      <x:c r="E387" s="339" t="str">
        <x:v>Downstream dependency failure</x:v>
      </x:c>
      <x:c r="F387" s="339" t="str">
        <x:v>Rollback or keep a recoverable pending state; never claim success for an incomplete critical transaction.</x:v>
      </x:c>
      <x:c r="G387" s="339" t="str">
        <x:v>The action could not be completed. No final change was applied.</x:v>
      </x:c>
      <x:c r="H387" s="339" t="str">
        <x:v>Retry safely or route to manual resolution queue.</x:v>
      </x:c>
      <x:c r="I387" s="339" t="str">
        <x:v>Capture correlation/error ID and failed step.</x:v>
      </x:c>
    </x:row>
    <x:row r="388">
      <x:c r="A388" s="339" t="str">
        <x:v>EXC-00387</x:v>
      </x:c>
      <x:c r="B388" s="339" t="str">
        <x:v>SCR-148</x:v>
      </x:c>
      <x:c r="C388" s="339" t="str">
        <x:v>Examinations / Marks / Results</x:v>
      </x:c>
      <x:c r="D388" s="339" t="str">
        <x:v>Marks Verification</x:v>
      </x:c>
      <x:c r="E388" s="339" t="str">
        <x:v>Unauthorized or out-of-scope record</x:v>
      </x:c>
      <x:c r="F388" s="339" t="str">
        <x:v>Deny access/action; do not reveal existence beyond safe messaging.</x:v>
      </x:c>
      <x:c r="G388" s="339" t="str">
        <x:v>You do not have access to this record.</x:v>
      </x:c>
      <x:c r="H388" s="339" t="str">
        <x:v>Re-authenticate or contact an administrator if access is expected.</x:v>
      </x:c>
      <x:c r="I388" s="339" t="str">
        <x:v>Log security-relevant denial where appropriate.</x:v>
      </x:c>
    </x:row>
    <x:row r="389">
      <x:c r="A389" s="339" t="str">
        <x:v>EXC-00388</x:v>
      </x:c>
      <x:c r="B389" s="339" t="str">
        <x:v>SCR-148</x:v>
      </x:c>
      <x:c r="C389" s="339" t="str">
        <x:v>Examinations / Marks / Results</x:v>
      </x:c>
      <x:c r="D389" s="339" t="str">
        <x:v>Marks Verification</x:v>
      </x:c>
      <x:c r="E389" s="339" t="str">
        <x:v>Stale/concurrent data</x:v>
      </x:c>
      <x:c r="F389" s="339" t="str">
        <x:v>Detect version/state mismatch before destructive update; require refresh/review.</x:v>
      </x:c>
      <x:c r="G389" s="339" t="str">
        <x:v>This record changed since you opened it. Refresh before saving.</x:v>
      </x:c>
      <x:c r="H389" s="339" t="str">
        <x:v>Reload the latest data and reapply the intended change.</x:v>
      </x:c>
      <x:c r="I389" s="339" t="str">
        <x:v>Record conflict if it affected a high-risk workflow.</x:v>
      </x:c>
    </x:row>
    <x:row r="390">
      <x:c r="A390" s="339" t="str">
        <x:v>EXC-00389</x:v>
      </x:c>
      <x:c r="B390" s="339" t="str">
        <x:v>SCR-148</x:v>
      </x:c>
      <x:c r="C390" s="339" t="str">
        <x:v>Examinations / Marks / Results</x:v>
      </x:c>
      <x:c r="D390" s="339" t="str">
        <x:v>Marks Verification</x:v>
      </x:c>
      <x:c r="E390" s="339" t="str">
        <x:v>Downstream dependency failure</x:v>
      </x:c>
      <x:c r="F390" s="339" t="str">
        <x:v>Rollback or keep a recoverable pending state; never claim success for an incomplete critical transaction.</x:v>
      </x:c>
      <x:c r="G390" s="339" t="str">
        <x:v>The action could not be completed. No final change was applied.</x:v>
      </x:c>
      <x:c r="H390" s="339" t="str">
        <x:v>Retry safely or route to manual resolution queue.</x:v>
      </x:c>
      <x:c r="I390" s="339" t="str">
        <x:v>Capture correlation/error ID and failed step.</x:v>
      </x:c>
    </x:row>
    <x:row r="391">
      <x:c r="A391" s="339" t="str">
        <x:v>EXC-00390</x:v>
      </x:c>
      <x:c r="B391" s="339" t="str">
        <x:v>SCR-149</x:v>
      </x:c>
      <x:c r="C391" s="339" t="str">
        <x:v>Examinations / Marks / Results</x:v>
      </x:c>
      <x:c r="D391" s="339" t="str">
        <x:v>Grade / Grading Setup</x:v>
      </x:c>
      <x:c r="E391" s="339" t="str">
        <x:v>Unauthorized or out-of-scope record</x:v>
      </x:c>
      <x:c r="F391" s="339" t="str">
        <x:v>Deny access/action; do not reveal existence beyond safe messaging.</x:v>
      </x:c>
      <x:c r="G391" s="339" t="str">
        <x:v>You do not have access to this record.</x:v>
      </x:c>
      <x:c r="H391" s="339" t="str">
        <x:v>Re-authenticate or contact an administrator if access is expected.</x:v>
      </x:c>
      <x:c r="I391" s="339" t="str">
        <x:v>Log security-relevant denial where appropriate.</x:v>
      </x:c>
    </x:row>
    <x:row r="392">
      <x:c r="A392" s="339" t="str">
        <x:v>EXC-00391</x:v>
      </x:c>
      <x:c r="B392" s="339" t="str">
        <x:v>SCR-149</x:v>
      </x:c>
      <x:c r="C392" s="339" t="str">
        <x:v>Examinations / Marks / Results</x:v>
      </x:c>
      <x:c r="D392" s="339" t="str">
        <x:v>Grade / Grading Setup</x:v>
      </x:c>
      <x:c r="E392" s="339" t="str">
        <x:v>Stale/concurrent data</x:v>
      </x:c>
      <x:c r="F392" s="339" t="str">
        <x:v>Detect version/state mismatch before destructive update; require refresh/review.</x:v>
      </x:c>
      <x:c r="G392" s="339" t="str">
        <x:v>This record changed since you opened it. Refresh before saving.</x:v>
      </x:c>
      <x:c r="H392" s="339" t="str">
        <x:v>Reload the latest data and reapply the intended change.</x:v>
      </x:c>
      <x:c r="I392" s="339" t="str">
        <x:v>Record conflict if it affected a high-risk workflow.</x:v>
      </x:c>
    </x:row>
    <x:row r="393">
      <x:c r="A393" s="339" t="str">
        <x:v>EXC-00392</x:v>
      </x:c>
      <x:c r="B393" s="339" t="str">
        <x:v>SCR-149</x:v>
      </x:c>
      <x:c r="C393" s="339" t="str">
        <x:v>Examinations / Marks / Results</x:v>
      </x:c>
      <x:c r="D393" s="339" t="str">
        <x:v>Grade / Grading Setup</x:v>
      </x:c>
      <x:c r="E393" s="339" t="str">
        <x:v>Downstream dependency failure</x:v>
      </x:c>
      <x:c r="F393" s="339" t="str">
        <x:v>Rollback or keep a recoverable pending state; never claim success for an incomplete critical transaction.</x:v>
      </x:c>
      <x:c r="G393" s="339" t="str">
        <x:v>The action could not be completed. No final change was applied.</x:v>
      </x:c>
      <x:c r="H393" s="339" t="str">
        <x:v>Retry safely or route to manual resolution queue.</x:v>
      </x:c>
      <x:c r="I393" s="339" t="str">
        <x:v>Capture correlation/error ID and failed step.</x:v>
      </x:c>
    </x:row>
    <x:row r="394">
      <x:c r="A394" s="339" t="str">
        <x:v>EXC-00393</x:v>
      </x:c>
      <x:c r="B394" s="339" t="str">
        <x:v>SCR-150</x:v>
      </x:c>
      <x:c r="C394" s="339" t="str">
        <x:v>Examinations / Marks / Results</x:v>
      </x:c>
      <x:c r="D394" s="339" t="str">
        <x:v>Publish Results</x:v>
      </x:c>
      <x:c r="E394" s="339" t="str">
        <x:v>Unauthorized or out-of-scope record</x:v>
      </x:c>
      <x:c r="F394" s="339" t="str">
        <x:v>Deny access/action; do not reveal existence beyond safe messaging.</x:v>
      </x:c>
      <x:c r="G394" s="339" t="str">
        <x:v>You do not have access to this record.</x:v>
      </x:c>
      <x:c r="H394" s="339" t="str">
        <x:v>Re-authenticate or contact an administrator if access is expected.</x:v>
      </x:c>
      <x:c r="I394" s="339" t="str">
        <x:v>Log security-relevant denial where appropriate.</x:v>
      </x:c>
    </x:row>
    <x:row r="395">
      <x:c r="A395" s="339" t="str">
        <x:v>EXC-00394</x:v>
      </x:c>
      <x:c r="B395" s="339" t="str">
        <x:v>SCR-150</x:v>
      </x:c>
      <x:c r="C395" s="339" t="str">
        <x:v>Examinations / Marks / Results</x:v>
      </x:c>
      <x:c r="D395" s="339" t="str">
        <x:v>Publish Results</x:v>
      </x:c>
      <x:c r="E395" s="339" t="str">
        <x:v>Stale/concurrent data</x:v>
      </x:c>
      <x:c r="F395" s="339" t="str">
        <x:v>Detect version/state mismatch before destructive update; require refresh/review.</x:v>
      </x:c>
      <x:c r="G395" s="339" t="str">
        <x:v>This record changed since you opened it. Refresh before saving.</x:v>
      </x:c>
      <x:c r="H395" s="339" t="str">
        <x:v>Reload the latest data and reapply the intended change.</x:v>
      </x:c>
      <x:c r="I395" s="339" t="str">
        <x:v>Record conflict if it affected a high-risk workflow.</x:v>
      </x:c>
    </x:row>
    <x:row r="396">
      <x:c r="A396" s="339" t="str">
        <x:v>EXC-00395</x:v>
      </x:c>
      <x:c r="B396" s="339" t="str">
        <x:v>SCR-150</x:v>
      </x:c>
      <x:c r="C396" s="339" t="str">
        <x:v>Examinations / Marks / Results</x:v>
      </x:c>
      <x:c r="D396" s="339" t="str">
        <x:v>Publish Results</x:v>
      </x:c>
      <x:c r="E396" s="339" t="str">
        <x:v>Result already published</x:v>
      </x:c>
      <x:c r="F396" s="339" t="str">
        <x:v>Block normal edit; require controlled revision with reason and reapproval.</x:v>
      </x:c>
      <x:c r="G396" s="339" t="str">
        <x:v>Published results require a revision request.</x:v>
      </x:c>
      <x:c r="H396" s="339" t="str">
        <x:v>Authorized revision workflow.</x:v>
      </x:c>
      <x:c r="I396" s="339" t="str">
        <x:v>Retain old and revised result versions.</x:v>
      </x:c>
    </x:row>
    <x:row r="397">
      <x:c r="A397" s="339" t="str">
        <x:v>EXC-00396</x:v>
      </x:c>
      <x:c r="B397" s="339" t="str">
        <x:v>SCR-151</x:v>
      </x:c>
      <x:c r="C397" s="339" t="str">
        <x:v>Examinations / Marks / Results</x:v>
      </x:c>
      <x:c r="D397" s="339" t="str">
        <x:v>Student Result</x:v>
      </x:c>
      <x:c r="E397" s="339" t="str">
        <x:v>Unauthorized or out-of-scope record</x:v>
      </x:c>
      <x:c r="F397" s="339" t="str">
        <x:v>Deny access/action; do not reveal existence beyond safe messaging.</x:v>
      </x:c>
      <x:c r="G397" s="339" t="str">
        <x:v>You do not have access to this record.</x:v>
      </x:c>
      <x:c r="H397" s="339" t="str">
        <x:v>Re-authenticate or contact an administrator if access is expected.</x:v>
      </x:c>
      <x:c r="I397" s="339" t="str">
        <x:v>Log security-relevant denial where appropriate.</x:v>
      </x:c>
    </x:row>
    <x:row r="398">
      <x:c r="A398" s="339" t="str">
        <x:v>EXC-00397</x:v>
      </x:c>
      <x:c r="B398" s="339" t="str">
        <x:v>SCR-151</x:v>
      </x:c>
      <x:c r="C398" s="339" t="str">
        <x:v>Examinations / Marks / Results</x:v>
      </x:c>
      <x:c r="D398" s="339" t="str">
        <x:v>Student Result</x:v>
      </x:c>
      <x:c r="E398" s="339" t="str">
        <x:v>Stale/concurrent data</x:v>
      </x:c>
      <x:c r="F398" s="339" t="str">
        <x:v>Detect version/state mismatch before destructive update; require refresh/review.</x:v>
      </x:c>
      <x:c r="G398" s="339" t="str">
        <x:v>This record changed since you opened it. Refresh before saving.</x:v>
      </x:c>
      <x:c r="H398" s="339" t="str">
        <x:v>Reload the latest data and reapply the intended change.</x:v>
      </x:c>
      <x:c r="I398" s="339" t="str">
        <x:v>Record conflict if it affected a high-risk workflow.</x:v>
      </x:c>
    </x:row>
    <x:row r="399">
      <x:c r="A399" s="339" t="str">
        <x:v>EXC-00398</x:v>
      </x:c>
      <x:c r="B399" s="339" t="str">
        <x:v>SCR-151</x:v>
      </x:c>
      <x:c r="C399" s="339" t="str">
        <x:v>Examinations / Marks / Results</x:v>
      </x:c>
      <x:c r="D399" s="339" t="str">
        <x:v>Student Result</x:v>
      </x:c>
      <x:c r="E399" s="339" t="str">
        <x:v>Result already published</x:v>
      </x:c>
      <x:c r="F399" s="339" t="str">
        <x:v>Block normal edit; require controlled revision with reason and reapproval.</x:v>
      </x:c>
      <x:c r="G399" s="339" t="str">
        <x:v>Published results require a revision request.</x:v>
      </x:c>
      <x:c r="H399" s="339" t="str">
        <x:v>Authorized revision workflow.</x:v>
      </x:c>
      <x:c r="I399" s="339" t="str">
        <x:v>Retain old and revised result versions.</x:v>
      </x:c>
    </x:row>
    <x:row r="400">
      <x:c r="A400" s="339" t="str">
        <x:v>EXC-00399</x:v>
      </x:c>
      <x:c r="B400" s="339" t="str">
        <x:v>SCR-152</x:v>
      </x:c>
      <x:c r="C400" s="339" t="str">
        <x:v>Examinations / Marks / Results</x:v>
      </x:c>
      <x:c r="D400" s="339" t="str">
        <x:v>Report Card</x:v>
      </x:c>
      <x:c r="E400" s="339" t="str">
        <x:v>Unauthorized or out-of-scope record</x:v>
      </x:c>
      <x:c r="F400" s="339" t="str">
        <x:v>Deny access/action; do not reveal existence beyond safe messaging.</x:v>
      </x:c>
      <x:c r="G400" s="339" t="str">
        <x:v>You do not have access to this record.</x:v>
      </x:c>
      <x:c r="H400" s="339" t="str">
        <x:v>Re-authenticate or contact an administrator if access is expected.</x:v>
      </x:c>
      <x:c r="I400" s="339" t="str">
        <x:v>Log security-relevant denial where appropriate.</x:v>
      </x:c>
    </x:row>
    <x:row r="401">
      <x:c r="A401" s="339" t="str">
        <x:v>EXC-00400</x:v>
      </x:c>
      <x:c r="B401" s="339" t="str">
        <x:v>SCR-152</x:v>
      </x:c>
      <x:c r="C401" s="339" t="str">
        <x:v>Examinations / Marks / Results</x:v>
      </x:c>
      <x:c r="D401" s="339" t="str">
        <x:v>Report Card</x:v>
      </x:c>
      <x:c r="E401" s="339" t="str">
        <x:v>Stale/concurrent data</x:v>
      </x:c>
      <x:c r="F401" s="339" t="str">
        <x:v>Detect version/state mismatch before destructive update; require refresh/review.</x:v>
      </x:c>
      <x:c r="G401" s="339" t="str">
        <x:v>This record changed since you opened it. Refresh before saving.</x:v>
      </x:c>
      <x:c r="H401" s="339" t="str">
        <x:v>Reload the latest data and reapply the intended change.</x:v>
      </x:c>
      <x:c r="I401" s="339" t="str">
        <x:v>Record conflict if it affected a high-risk workflow.</x:v>
      </x:c>
    </x:row>
    <x:row r="402">
      <x:c r="A402" s="339" t="str">
        <x:v>EXC-00401</x:v>
      </x:c>
      <x:c r="B402" s="339" t="str">
        <x:v>SCR-152</x:v>
      </x:c>
      <x:c r="C402" s="339" t="str">
        <x:v>Examinations / Marks / Results</x:v>
      </x:c>
      <x:c r="D402" s="339" t="str">
        <x:v>Report Card</x:v>
      </x:c>
      <x:c r="E402" s="339" t="str">
        <x:v>Result already published</x:v>
      </x:c>
      <x:c r="F402" s="339" t="str">
        <x:v>Block normal edit; require controlled revision with reason and reapproval.</x:v>
      </x:c>
      <x:c r="G402" s="339" t="str">
        <x:v>Published results require a revision request.</x:v>
      </x:c>
      <x:c r="H402" s="339" t="str">
        <x:v>Authorized revision workflow.</x:v>
      </x:c>
      <x:c r="I402" s="339" t="str">
        <x:v>Retain old and revised result versions.</x:v>
      </x:c>
    </x:row>
    <x:row r="403">
      <x:c r="A403" s="339" t="str">
        <x:v>EXC-00402</x:v>
      </x:c>
      <x:c r="B403" s="339" t="str">
        <x:v>SCR-153</x:v>
      </x:c>
      <x:c r="C403" s="339" t="str">
        <x:v>Examinations / Marks / Results</x:v>
      </x:c>
      <x:c r="D403" s="339" t="str">
        <x:v>Promotion Decision</x:v>
      </x:c>
      <x:c r="E403" s="339" t="str">
        <x:v>Unauthorized or out-of-scope record</x:v>
      </x:c>
      <x:c r="F403" s="339" t="str">
        <x:v>Deny access/action; do not reveal existence beyond safe messaging.</x:v>
      </x:c>
      <x:c r="G403" s="339" t="str">
        <x:v>You do not have access to this record.</x:v>
      </x:c>
      <x:c r="H403" s="339" t="str">
        <x:v>Re-authenticate or contact an administrator if access is expected.</x:v>
      </x:c>
      <x:c r="I403" s="339" t="str">
        <x:v>Log security-relevant denial where appropriate.</x:v>
      </x:c>
    </x:row>
    <x:row r="404">
      <x:c r="A404" s="339" t="str">
        <x:v>EXC-00403</x:v>
      </x:c>
      <x:c r="B404" s="339" t="str">
        <x:v>SCR-153</x:v>
      </x:c>
      <x:c r="C404" s="339" t="str">
        <x:v>Examinations / Marks / Results</x:v>
      </x:c>
      <x:c r="D404" s="339" t="str">
        <x:v>Promotion Decision</x:v>
      </x:c>
      <x:c r="E404" s="339" t="str">
        <x:v>Stale/concurrent data</x:v>
      </x:c>
      <x:c r="F404" s="339" t="str">
        <x:v>Detect version/state mismatch before destructive update; require refresh/review.</x:v>
      </x:c>
      <x:c r="G404" s="339" t="str">
        <x:v>This record changed since you opened it. Refresh before saving.</x:v>
      </x:c>
      <x:c r="H404" s="339" t="str">
        <x:v>Reload the latest data and reapply the intended change.</x:v>
      </x:c>
      <x:c r="I404" s="339" t="str">
        <x:v>Record conflict if it affected a high-risk workflow.</x:v>
      </x:c>
    </x:row>
    <x:row r="405">
      <x:c r="A405" s="339" t="str">
        <x:v>EXC-00404</x:v>
      </x:c>
      <x:c r="B405" s="339" t="str">
        <x:v>SCR-153</x:v>
      </x:c>
      <x:c r="C405" s="339" t="str">
        <x:v>Examinations / Marks / Results</x:v>
      </x:c>
      <x:c r="D405" s="339" t="str">
        <x:v>Promotion Decision</x:v>
      </x:c>
      <x:c r="E405" s="339" t="str">
        <x:v>Downstream dependency failure</x:v>
      </x:c>
      <x:c r="F405" s="339" t="str">
        <x:v>Rollback or keep a recoverable pending state; never claim success for an incomplete critical transaction.</x:v>
      </x:c>
      <x:c r="G405" s="339" t="str">
        <x:v>The action could not be completed. No final change was applied.</x:v>
      </x:c>
      <x:c r="H405" s="339" t="str">
        <x:v>Retry safely or route to manual resolution queue.</x:v>
      </x:c>
      <x:c r="I405" s="339" t="str">
        <x:v>Capture correlation/error ID and failed step.</x:v>
      </x:c>
    </x:row>
    <x:row r="406">
      <x:c r="A406" s="339" t="str">
        <x:v>EXC-00405</x:v>
      </x:c>
      <x:c r="B406" s="339" t="str">
        <x:v>SCR-154</x:v>
      </x:c>
      <x:c r="C406" s="339" t="str">
        <x:v>Fees &amp; Finance</x:v>
      </x:c>
      <x:c r="D406" s="339" t="str">
        <x:v>Fee Dashboard</x:v>
      </x:c>
      <x:c r="E406" s="339" t="str">
        <x:v>Unauthorized or out-of-scope record</x:v>
      </x:c>
      <x:c r="F406" s="339" t="str">
        <x:v>Deny access/action; do not reveal existence beyond safe messaging.</x:v>
      </x:c>
      <x:c r="G406" s="339" t="str">
        <x:v>You do not have access to this record.</x:v>
      </x:c>
      <x:c r="H406" s="339" t="str">
        <x:v>Re-authenticate or contact an administrator if access is expected.</x:v>
      </x:c>
      <x:c r="I406" s="339" t="str">
        <x:v>Log security-relevant denial where appropriate.</x:v>
      </x:c>
    </x:row>
    <x:row r="407">
      <x:c r="A407" s="339" t="str">
        <x:v>EXC-00406</x:v>
      </x:c>
      <x:c r="B407" s="339" t="str">
        <x:v>SCR-154</x:v>
      </x:c>
      <x:c r="C407" s="339" t="str">
        <x:v>Fees &amp; Finance</x:v>
      </x:c>
      <x:c r="D407" s="339" t="str">
        <x:v>Fee Dashboard</x:v>
      </x:c>
      <x:c r="E407" s="339" t="str">
        <x:v>Stale/concurrent data</x:v>
      </x:c>
      <x:c r="F407" s="339" t="str">
        <x:v>Detect version/state mismatch before destructive update; require refresh/review.</x:v>
      </x:c>
      <x:c r="G407" s="339" t="str">
        <x:v>This record changed since you opened it. Refresh before saving.</x:v>
      </x:c>
      <x:c r="H407" s="339" t="str">
        <x:v>Reload the latest data and reapply the intended change.</x:v>
      </x:c>
      <x:c r="I407" s="339" t="str">
        <x:v>Record conflict if it affected a high-risk workflow.</x:v>
      </x:c>
    </x:row>
    <x:row r="408">
      <x:c r="A408" s="339" t="str">
        <x:v>EXC-00407</x:v>
      </x:c>
      <x:c r="B408" s="339" t="str">
        <x:v>SCR-154</x:v>
      </x:c>
      <x:c r="C408" s="339" t="str">
        <x:v>Fees &amp; Finance</x:v>
      </x:c>
      <x:c r="D408" s="339" t="str">
        <x:v>Fee Dashboard</x:v>
      </x:c>
      <x:c r="E408" s="339" t="str">
        <x:v>Payment gateway uncertainty</x:v>
      </x:c>
      <x:c r="F408" s="339" t="str">
        <x:v>Do not create a second charge; mark payment Pending/Unknown and reconcile by provider reference.</x:v>
      </x:c>
      <x:c r="G408" s="339" t="str">
        <x:v>Payment confirmation is pending. Please do not pay again yet.</x:v>
      </x:c>
      <x:c r="H408" s="339" t="str">
        <x:v>Poll/webhook/reconciliation job resolves final state.</x:v>
      </x:c>
      <x:c r="I408" s="339" t="str">
        <x:v>Store provider reference and reconciliation events.</x:v>
      </x:c>
    </x:row>
    <x:row r="409">
      <x:c r="A409" s="339" t="str">
        <x:v>EXC-00408</x:v>
      </x:c>
      <x:c r="B409" s="339" t="str">
        <x:v>SCR-155</x:v>
      </x:c>
      <x:c r="C409" s="339" t="str">
        <x:v>Fees &amp; Finance</x:v>
      </x:c>
      <x:c r="D409" s="339" t="str">
        <x:v>Fee Structure</x:v>
      </x:c>
      <x:c r="E409" s="339" t="str">
        <x:v>Unauthorized or out-of-scope record</x:v>
      </x:c>
      <x:c r="F409" s="339" t="str">
        <x:v>Deny access/action; do not reveal existence beyond safe messaging.</x:v>
      </x:c>
      <x:c r="G409" s="339" t="str">
        <x:v>You do not have access to this record.</x:v>
      </x:c>
      <x:c r="H409" s="339" t="str">
        <x:v>Re-authenticate or contact an administrator if access is expected.</x:v>
      </x:c>
      <x:c r="I409" s="339" t="str">
        <x:v>Log security-relevant denial where appropriate.</x:v>
      </x:c>
    </x:row>
    <x:row r="410">
      <x:c r="A410" s="339" t="str">
        <x:v>EXC-00409</x:v>
      </x:c>
      <x:c r="B410" s="339" t="str">
        <x:v>SCR-155</x:v>
      </x:c>
      <x:c r="C410" s="339" t="str">
        <x:v>Fees &amp; Finance</x:v>
      </x:c>
      <x:c r="D410" s="339" t="str">
        <x:v>Fee Structure</x:v>
      </x:c>
      <x:c r="E410" s="339" t="str">
        <x:v>Stale/concurrent data</x:v>
      </x:c>
      <x:c r="F410" s="339" t="str">
        <x:v>Detect version/state mismatch before destructive update; require refresh/review.</x:v>
      </x:c>
      <x:c r="G410" s="339" t="str">
        <x:v>This record changed since you opened it. Refresh before saving.</x:v>
      </x:c>
      <x:c r="H410" s="339" t="str">
        <x:v>Reload the latest data and reapply the intended change.</x:v>
      </x:c>
      <x:c r="I410" s="339" t="str">
        <x:v>Record conflict if it affected a high-risk workflow.</x:v>
      </x:c>
    </x:row>
    <x:row r="411">
      <x:c r="A411" s="339" t="str">
        <x:v>EXC-00410</x:v>
      </x:c>
      <x:c r="B411" s="339" t="str">
        <x:v>SCR-155</x:v>
      </x:c>
      <x:c r="C411" s="339" t="str">
        <x:v>Fees &amp; Finance</x:v>
      </x:c>
      <x:c r="D411" s="339" t="str">
        <x:v>Fee Structure</x:v>
      </x:c>
      <x:c r="E411" s="339" t="str">
        <x:v>Downstream dependency failure</x:v>
      </x:c>
      <x:c r="F411" s="339" t="str">
        <x:v>Rollback or keep a recoverable pending state; never claim success for an incomplete critical transaction.</x:v>
      </x:c>
      <x:c r="G411" s="339" t="str">
        <x:v>The action could not be completed. No final change was applied.</x:v>
      </x:c>
      <x:c r="H411" s="339" t="str">
        <x:v>Retry safely or route to manual resolution queue.</x:v>
      </x:c>
      <x:c r="I411" s="339" t="str">
        <x:v>Capture correlation/error ID and failed step.</x:v>
      </x:c>
    </x:row>
    <x:row r="412">
      <x:c r="A412" s="339" t="str">
        <x:v>EXC-00411</x:v>
      </x:c>
      <x:c r="B412" s="339" t="str">
        <x:v>SCR-156</x:v>
      </x:c>
      <x:c r="C412" s="339" t="str">
        <x:v>Fees &amp; Finance</x:v>
      </x:c>
      <x:c r="D412" s="339" t="str">
        <x:v>Create / Edit Fee Structure</x:v>
      </x:c>
      <x:c r="E412" s="339" t="str">
        <x:v>Unauthorized or out-of-scope record</x:v>
      </x:c>
      <x:c r="F412" s="339" t="str">
        <x:v>Deny access/action; do not reveal existence beyond safe messaging.</x:v>
      </x:c>
      <x:c r="G412" s="339" t="str">
        <x:v>You do not have access to this record.</x:v>
      </x:c>
      <x:c r="H412" s="339" t="str">
        <x:v>Re-authenticate or contact an administrator if access is expected.</x:v>
      </x:c>
      <x:c r="I412" s="339" t="str">
        <x:v>Log security-relevant denial where appropriate.</x:v>
      </x:c>
    </x:row>
    <x:row r="413">
      <x:c r="A413" s="339" t="str">
        <x:v>EXC-00412</x:v>
      </x:c>
      <x:c r="B413" s="339" t="str">
        <x:v>SCR-156</x:v>
      </x:c>
      <x:c r="C413" s="339" t="str">
        <x:v>Fees &amp; Finance</x:v>
      </x:c>
      <x:c r="D413" s="339" t="str">
        <x:v>Create / Edit Fee Structure</x:v>
      </x:c>
      <x:c r="E413" s="339" t="str">
        <x:v>Stale/concurrent data</x:v>
      </x:c>
      <x:c r="F413" s="339" t="str">
        <x:v>Detect version/state mismatch before destructive update; require refresh/review.</x:v>
      </x:c>
      <x:c r="G413" s="339" t="str">
        <x:v>This record changed since you opened it. Refresh before saving.</x:v>
      </x:c>
      <x:c r="H413" s="339" t="str">
        <x:v>Reload the latest data and reapply the intended change.</x:v>
      </x:c>
      <x:c r="I413" s="339" t="str">
        <x:v>Record conflict if it affected a high-risk workflow.</x:v>
      </x:c>
    </x:row>
    <x:row r="414">
      <x:c r="A414" s="339" t="str">
        <x:v>EXC-00413</x:v>
      </x:c>
      <x:c r="B414" s="339" t="str">
        <x:v>SCR-156</x:v>
      </x:c>
      <x:c r="C414" s="339" t="str">
        <x:v>Fees &amp; Finance</x:v>
      </x:c>
      <x:c r="D414" s="339" t="str">
        <x:v>Create / Edit Fee Structure</x:v>
      </x:c>
      <x:c r="E414" s="339" t="str">
        <x:v>Downstream dependency failure</x:v>
      </x:c>
      <x:c r="F414" s="339" t="str">
        <x:v>Rollback or keep a recoverable pending state; never claim success for an incomplete critical transaction.</x:v>
      </x:c>
      <x:c r="G414" s="339" t="str">
        <x:v>The action could not be completed. No final change was applied.</x:v>
      </x:c>
      <x:c r="H414" s="339" t="str">
        <x:v>Retry safely or route to manual resolution queue.</x:v>
      </x:c>
      <x:c r="I414" s="339" t="str">
        <x:v>Capture correlation/error ID and failed step.</x:v>
      </x:c>
    </x:row>
    <x:row r="415">
      <x:c r="A415" s="339" t="str">
        <x:v>EXC-00414</x:v>
      </x:c>
      <x:c r="B415" s="339" t="str">
        <x:v>SCR-157</x:v>
      </x:c>
      <x:c r="C415" s="339" t="str">
        <x:v>Fees &amp; Finance</x:v>
      </x:c>
      <x:c r="D415" s="339" t="str">
        <x:v>Student Fee Assignment</x:v>
      </x:c>
      <x:c r="E415" s="339" t="str">
        <x:v>Unauthorized or out-of-scope record</x:v>
      </x:c>
      <x:c r="F415" s="339" t="str">
        <x:v>Deny access/action; do not reveal existence beyond safe messaging.</x:v>
      </x:c>
      <x:c r="G415" s="339" t="str">
        <x:v>You do not have access to this record.</x:v>
      </x:c>
      <x:c r="H415" s="339" t="str">
        <x:v>Re-authenticate or contact an administrator if access is expected.</x:v>
      </x:c>
      <x:c r="I415" s="339" t="str">
        <x:v>Log security-relevant denial where appropriate.</x:v>
      </x:c>
    </x:row>
    <x:row r="416">
      <x:c r="A416" s="339" t="str">
        <x:v>EXC-00415</x:v>
      </x:c>
      <x:c r="B416" s="339" t="str">
        <x:v>SCR-157</x:v>
      </x:c>
      <x:c r="C416" s="339" t="str">
        <x:v>Fees &amp; Finance</x:v>
      </x:c>
      <x:c r="D416" s="339" t="str">
        <x:v>Student Fee Assignment</x:v>
      </x:c>
      <x:c r="E416" s="339" t="str">
        <x:v>Stale/concurrent data</x:v>
      </x:c>
      <x:c r="F416" s="339" t="str">
        <x:v>Detect version/state mismatch before destructive update; require refresh/review.</x:v>
      </x:c>
      <x:c r="G416" s="339" t="str">
        <x:v>This record changed since you opened it. Refresh before saving.</x:v>
      </x:c>
      <x:c r="H416" s="339" t="str">
        <x:v>Reload the latest data and reapply the intended change.</x:v>
      </x:c>
      <x:c r="I416" s="339" t="str">
        <x:v>Record conflict if it affected a high-risk workflow.</x:v>
      </x:c>
    </x:row>
    <x:row r="417">
      <x:c r="A417" s="339" t="str">
        <x:v>EXC-00416</x:v>
      </x:c>
      <x:c r="B417" s="339" t="str">
        <x:v>SCR-157</x:v>
      </x:c>
      <x:c r="C417" s="339" t="str">
        <x:v>Fees &amp; Finance</x:v>
      </x:c>
      <x:c r="D417" s="339" t="str">
        <x:v>Student Fee Assignment</x:v>
      </x:c>
      <x:c r="E417" s="339" t="str">
        <x:v>Downstream dependency failure</x:v>
      </x:c>
      <x:c r="F417" s="339" t="str">
        <x:v>Rollback or keep a recoverable pending state; never claim success for an incomplete critical transaction.</x:v>
      </x:c>
      <x:c r="G417" s="339" t="str">
        <x:v>The action could not be completed. No final change was applied.</x:v>
      </x:c>
      <x:c r="H417" s="339" t="str">
        <x:v>Retry safely or route to manual resolution queue.</x:v>
      </x:c>
      <x:c r="I417" s="339" t="str">
        <x:v>Capture correlation/error ID and failed step.</x:v>
      </x:c>
    </x:row>
    <x:row r="418">
      <x:c r="A418" s="339" t="str">
        <x:v>EXC-00417</x:v>
      </x:c>
      <x:c r="B418" s="339" t="str">
        <x:v>SCR-158</x:v>
      </x:c>
      <x:c r="C418" s="339" t="str">
        <x:v>Fees &amp; Finance</x:v>
      </x:c>
      <x:c r="D418" s="339" t="str">
        <x:v>Fee Collection</x:v>
      </x:c>
      <x:c r="E418" s="339" t="str">
        <x:v>Unauthorized or out-of-scope record</x:v>
      </x:c>
      <x:c r="F418" s="339" t="str">
        <x:v>Deny access/action; do not reveal existence beyond safe messaging.</x:v>
      </x:c>
      <x:c r="G418" s="339" t="str">
        <x:v>You do not have access to this record.</x:v>
      </x:c>
      <x:c r="H418" s="339" t="str">
        <x:v>Re-authenticate or contact an administrator if access is expected.</x:v>
      </x:c>
      <x:c r="I418" s="339" t="str">
        <x:v>Log security-relevant denial where appropriate.</x:v>
      </x:c>
    </x:row>
    <x:row r="419">
      <x:c r="A419" s="339" t="str">
        <x:v>EXC-00418</x:v>
      </x:c>
      <x:c r="B419" s="339" t="str">
        <x:v>SCR-158</x:v>
      </x:c>
      <x:c r="C419" s="339" t="str">
        <x:v>Fees &amp; Finance</x:v>
      </x:c>
      <x:c r="D419" s="339" t="str">
        <x:v>Fee Collection</x:v>
      </x:c>
      <x:c r="E419" s="339" t="str">
        <x:v>Stale/concurrent data</x:v>
      </x:c>
      <x:c r="F419" s="339" t="str">
        <x:v>Detect version/state mismatch before destructive update; require refresh/review.</x:v>
      </x:c>
      <x:c r="G419" s="339" t="str">
        <x:v>This record changed since you opened it. Refresh before saving.</x:v>
      </x:c>
      <x:c r="H419" s="339" t="str">
        <x:v>Reload the latest data and reapply the intended change.</x:v>
      </x:c>
      <x:c r="I419" s="339" t="str">
        <x:v>Record conflict if it affected a high-risk workflow.</x:v>
      </x:c>
    </x:row>
    <x:row r="420">
      <x:c r="A420" s="339" t="str">
        <x:v>EXC-00419</x:v>
      </x:c>
      <x:c r="B420" s="339" t="str">
        <x:v>SCR-158</x:v>
      </x:c>
      <x:c r="C420" s="339" t="str">
        <x:v>Fees &amp; Finance</x:v>
      </x:c>
      <x:c r="D420" s="339" t="str">
        <x:v>Fee Collection</x:v>
      </x:c>
      <x:c r="E420" s="339" t="str">
        <x:v>Downstream dependency failure</x:v>
      </x:c>
      <x:c r="F420" s="339" t="str">
        <x:v>Rollback or keep a recoverable pending state; never claim success for an incomplete critical transaction.</x:v>
      </x:c>
      <x:c r="G420" s="339" t="str">
        <x:v>The action could not be completed. No final change was applied.</x:v>
      </x:c>
      <x:c r="H420" s="339" t="str">
        <x:v>Retry safely or route to manual resolution queue.</x:v>
      </x:c>
      <x:c r="I420" s="339" t="str">
        <x:v>Capture correlation/error ID and failed step.</x:v>
      </x:c>
    </x:row>
    <x:row r="421">
      <x:c r="A421" s="339" t="str">
        <x:v>EXC-00420</x:v>
      </x:c>
      <x:c r="B421" s="339" t="str">
        <x:v>SCR-159</x:v>
      </x:c>
      <x:c r="C421" s="339" t="str">
        <x:v>Fees &amp; Finance</x:v>
      </x:c>
      <x:c r="D421" s="339" t="str">
        <x:v>Online Payment</x:v>
      </x:c>
      <x:c r="E421" s="339" t="str">
        <x:v>Unauthorized or out-of-scope record</x:v>
      </x:c>
      <x:c r="F421" s="339" t="str">
        <x:v>Deny access/action; do not reveal existence beyond safe messaging.</x:v>
      </x:c>
      <x:c r="G421" s="339" t="str">
        <x:v>You do not have access to this record.</x:v>
      </x:c>
      <x:c r="H421" s="339" t="str">
        <x:v>Re-authenticate or contact an administrator if access is expected.</x:v>
      </x:c>
      <x:c r="I421" s="339" t="str">
        <x:v>Log security-relevant denial where appropriate.</x:v>
      </x:c>
    </x:row>
    <x:row r="422">
      <x:c r="A422" s="339" t="str">
        <x:v>EXC-00421</x:v>
      </x:c>
      <x:c r="B422" s="339" t="str">
        <x:v>SCR-159</x:v>
      </x:c>
      <x:c r="C422" s="339" t="str">
        <x:v>Fees &amp; Finance</x:v>
      </x:c>
      <x:c r="D422" s="339" t="str">
        <x:v>Online Payment</x:v>
      </x:c>
      <x:c r="E422" s="339" t="str">
        <x:v>Stale/concurrent data</x:v>
      </x:c>
      <x:c r="F422" s="339" t="str">
        <x:v>Detect version/state mismatch before destructive update; require refresh/review.</x:v>
      </x:c>
      <x:c r="G422" s="339" t="str">
        <x:v>This record changed since you opened it. Refresh before saving.</x:v>
      </x:c>
      <x:c r="H422" s="339" t="str">
        <x:v>Reload the latest data and reapply the intended change.</x:v>
      </x:c>
      <x:c r="I422" s="339" t="str">
        <x:v>Record conflict if it affected a high-risk workflow.</x:v>
      </x:c>
    </x:row>
    <x:row r="423">
      <x:c r="A423" s="339" t="str">
        <x:v>EXC-00422</x:v>
      </x:c>
      <x:c r="B423" s="339" t="str">
        <x:v>SCR-159</x:v>
      </x:c>
      <x:c r="C423" s="339" t="str">
        <x:v>Fees &amp; Finance</x:v>
      </x:c>
      <x:c r="D423" s="339" t="str">
        <x:v>Online Payment</x:v>
      </x:c>
      <x:c r="E423" s="339" t="str">
        <x:v>Downstream dependency failure</x:v>
      </x:c>
      <x:c r="F423" s="339" t="str">
        <x:v>Rollback or keep a recoverable pending state; never claim success for an incomplete critical transaction.</x:v>
      </x:c>
      <x:c r="G423" s="339" t="str">
        <x:v>The action could not be completed. No final change was applied.</x:v>
      </x:c>
      <x:c r="H423" s="339" t="str">
        <x:v>Retry safely or route to manual resolution queue.</x:v>
      </x:c>
      <x:c r="I423" s="339" t="str">
        <x:v>Capture correlation/error ID and failed step.</x:v>
      </x:c>
    </x:row>
    <x:row r="424">
      <x:c r="A424" s="339" t="str">
        <x:v>EXC-00423</x:v>
      </x:c>
      <x:c r="B424" s="339" t="str">
        <x:v>SCR-160</x:v>
      </x:c>
      <x:c r="C424" s="339" t="str">
        <x:v>Fees &amp; Finance</x:v>
      </x:c>
      <x:c r="D424" s="339" t="str">
        <x:v>Payment Receipt</x:v>
      </x:c>
      <x:c r="E424" s="339" t="str">
        <x:v>Unauthorized or out-of-scope record</x:v>
      </x:c>
      <x:c r="F424" s="339" t="str">
        <x:v>Deny access/action; do not reveal existence beyond safe messaging.</x:v>
      </x:c>
      <x:c r="G424" s="339" t="str">
        <x:v>You do not have access to this record.</x:v>
      </x:c>
      <x:c r="H424" s="339" t="str">
        <x:v>Re-authenticate or contact an administrator if access is expected.</x:v>
      </x:c>
      <x:c r="I424" s="339" t="str">
        <x:v>Log security-relevant denial where appropriate.</x:v>
      </x:c>
    </x:row>
    <x:row r="425">
      <x:c r="A425" s="339" t="str">
        <x:v>EXC-00424</x:v>
      </x:c>
      <x:c r="B425" s="339" t="str">
        <x:v>SCR-160</x:v>
      </x:c>
      <x:c r="C425" s="339" t="str">
        <x:v>Fees &amp; Finance</x:v>
      </x:c>
      <x:c r="D425" s="339" t="str">
        <x:v>Payment Receipt</x:v>
      </x:c>
      <x:c r="E425" s="339" t="str">
        <x:v>Stale/concurrent data</x:v>
      </x:c>
      <x:c r="F425" s="339" t="str">
        <x:v>Detect version/state mismatch before destructive update; require refresh/review.</x:v>
      </x:c>
      <x:c r="G425" s="339" t="str">
        <x:v>This record changed since you opened it. Refresh before saving.</x:v>
      </x:c>
      <x:c r="H425" s="339" t="str">
        <x:v>Reload the latest data and reapply the intended change.</x:v>
      </x:c>
      <x:c r="I425" s="339" t="str">
        <x:v>Record conflict if it affected a high-risk workflow.</x:v>
      </x:c>
    </x:row>
    <x:row r="426">
      <x:c r="A426" s="339" t="str">
        <x:v>EXC-00425</x:v>
      </x:c>
      <x:c r="B426" s="339" t="str">
        <x:v>SCR-160</x:v>
      </x:c>
      <x:c r="C426" s="339" t="str">
        <x:v>Fees &amp; Finance</x:v>
      </x:c>
      <x:c r="D426" s="339" t="str">
        <x:v>Payment Receipt</x:v>
      </x:c>
      <x:c r="E426" s="339" t="str">
        <x:v>Payment gateway uncertainty</x:v>
      </x:c>
      <x:c r="F426" s="339" t="str">
        <x:v>Do not create a second charge; mark payment Pending/Unknown and reconcile by provider reference.</x:v>
      </x:c>
      <x:c r="G426" s="339" t="str">
        <x:v>Payment confirmation is pending. Please do not pay again yet.</x:v>
      </x:c>
      <x:c r="H426" s="339" t="str">
        <x:v>Poll/webhook/reconciliation job resolves final state.</x:v>
      </x:c>
      <x:c r="I426" s="339" t="str">
        <x:v>Store provider reference and reconciliation events.</x:v>
      </x:c>
    </x:row>
    <x:row r="427">
      <x:c r="A427" s="339" t="str">
        <x:v>EXC-00426</x:v>
      </x:c>
      <x:c r="B427" s="339" t="str">
        <x:v>SCR-161</x:v>
      </x:c>
      <x:c r="C427" s="339" t="str">
        <x:v>Fees &amp; Finance</x:v>
      </x:c>
      <x:c r="D427" s="339" t="str">
        <x:v>Student Ledger</x:v>
      </x:c>
      <x:c r="E427" s="339" t="str">
        <x:v>Unauthorized or out-of-scope record</x:v>
      </x:c>
      <x:c r="F427" s="339" t="str">
        <x:v>Deny access/action; do not reveal existence beyond safe messaging.</x:v>
      </x:c>
      <x:c r="G427" s="339" t="str">
        <x:v>You do not have access to this record.</x:v>
      </x:c>
      <x:c r="H427" s="339" t="str">
        <x:v>Re-authenticate or contact an administrator if access is expected.</x:v>
      </x:c>
      <x:c r="I427" s="339" t="str">
        <x:v>Log security-relevant denial where appropriate.</x:v>
      </x:c>
    </x:row>
    <x:row r="428">
      <x:c r="A428" s="339" t="str">
        <x:v>EXC-00427</x:v>
      </x:c>
      <x:c r="B428" s="339" t="str">
        <x:v>SCR-161</x:v>
      </x:c>
      <x:c r="C428" s="339" t="str">
        <x:v>Fees &amp; Finance</x:v>
      </x:c>
      <x:c r="D428" s="339" t="str">
        <x:v>Student Ledger</x:v>
      </x:c>
      <x:c r="E428" s="339" t="str">
        <x:v>Stale/concurrent data</x:v>
      </x:c>
      <x:c r="F428" s="339" t="str">
        <x:v>Detect version/state mismatch before destructive update; require refresh/review.</x:v>
      </x:c>
      <x:c r="G428" s="339" t="str">
        <x:v>This record changed since you opened it. Refresh before saving.</x:v>
      </x:c>
      <x:c r="H428" s="339" t="str">
        <x:v>Reload the latest data and reapply the intended change.</x:v>
      </x:c>
      <x:c r="I428" s="339" t="str">
        <x:v>Record conflict if it affected a high-risk workflow.</x:v>
      </x:c>
    </x:row>
    <x:row r="429">
      <x:c r="A429" s="339" t="str">
        <x:v>EXC-00428</x:v>
      </x:c>
      <x:c r="B429" s="339" t="str">
        <x:v>SCR-161</x:v>
      </x:c>
      <x:c r="C429" s="339" t="str">
        <x:v>Fees &amp; Finance</x:v>
      </x:c>
      <x:c r="D429" s="339" t="str">
        <x:v>Student Ledger</x:v>
      </x:c>
      <x:c r="E429" s="339" t="str">
        <x:v>Payment gateway uncertainty</x:v>
      </x:c>
      <x:c r="F429" s="339" t="str">
        <x:v>Do not create a second charge; mark payment Pending/Unknown and reconcile by provider reference.</x:v>
      </x:c>
      <x:c r="G429" s="339" t="str">
        <x:v>Payment confirmation is pending. Please do not pay again yet.</x:v>
      </x:c>
      <x:c r="H429" s="339" t="str">
        <x:v>Poll/webhook/reconciliation job resolves final state.</x:v>
      </x:c>
      <x:c r="I429" s="339" t="str">
        <x:v>Store provider reference and reconciliation events.</x:v>
      </x:c>
    </x:row>
    <x:row r="430">
      <x:c r="A430" s="339" t="str">
        <x:v>EXC-00429</x:v>
      </x:c>
      <x:c r="B430" s="339" t="str">
        <x:v>SCR-162</x:v>
      </x:c>
      <x:c r="C430" s="339" t="str">
        <x:v>Fees &amp; Finance</x:v>
      </x:c>
      <x:c r="D430" s="339" t="str">
        <x:v>Outstanding Dues</x:v>
      </x:c>
      <x:c r="E430" s="339" t="str">
        <x:v>Unauthorized or out-of-scope record</x:v>
      </x:c>
      <x:c r="F430" s="339" t="str">
        <x:v>Deny access/action; do not reveal existence beyond safe messaging.</x:v>
      </x:c>
      <x:c r="G430" s="339" t="str">
        <x:v>You do not have access to this record.</x:v>
      </x:c>
      <x:c r="H430" s="339" t="str">
        <x:v>Re-authenticate or contact an administrator if access is expected.</x:v>
      </x:c>
      <x:c r="I430" s="339" t="str">
        <x:v>Log security-relevant denial where appropriate.</x:v>
      </x:c>
    </x:row>
    <x:row r="431">
      <x:c r="A431" s="339" t="str">
        <x:v>EXC-00430</x:v>
      </x:c>
      <x:c r="B431" s="339" t="str">
        <x:v>SCR-162</x:v>
      </x:c>
      <x:c r="C431" s="339" t="str">
        <x:v>Fees &amp; Finance</x:v>
      </x:c>
      <x:c r="D431" s="339" t="str">
        <x:v>Outstanding Dues</x:v>
      </x:c>
      <x:c r="E431" s="339" t="str">
        <x:v>Stale/concurrent data</x:v>
      </x:c>
      <x:c r="F431" s="339" t="str">
        <x:v>Detect version/state mismatch before destructive update; require refresh/review.</x:v>
      </x:c>
      <x:c r="G431" s="339" t="str">
        <x:v>This record changed since you opened it. Refresh before saving.</x:v>
      </x:c>
      <x:c r="H431" s="339" t="str">
        <x:v>Reload the latest data and reapply the intended change.</x:v>
      </x:c>
      <x:c r="I431" s="339" t="str">
        <x:v>Record conflict if it affected a high-risk workflow.</x:v>
      </x:c>
    </x:row>
    <x:row r="432">
      <x:c r="A432" s="339" t="str">
        <x:v>EXC-00431</x:v>
      </x:c>
      <x:c r="B432" s="339" t="str">
        <x:v>SCR-162</x:v>
      </x:c>
      <x:c r="C432" s="339" t="str">
        <x:v>Fees &amp; Finance</x:v>
      </x:c>
      <x:c r="D432" s="339" t="str">
        <x:v>Outstanding Dues</x:v>
      </x:c>
      <x:c r="E432" s="339" t="str">
        <x:v>Downstream dependency failure</x:v>
      </x:c>
      <x:c r="F432" s="339" t="str">
        <x:v>Rollback or keep a recoverable pending state; never claim success for an incomplete critical transaction.</x:v>
      </x:c>
      <x:c r="G432" s="339" t="str">
        <x:v>The action could not be completed. No final change was applied.</x:v>
      </x:c>
      <x:c r="H432" s="339" t="str">
        <x:v>Retry safely or route to manual resolution queue.</x:v>
      </x:c>
      <x:c r="I432" s="339" t="str">
        <x:v>Capture correlation/error ID and failed step.</x:v>
      </x:c>
    </x:row>
    <x:row r="433">
      <x:c r="A433" s="339" t="str">
        <x:v>EXC-00432</x:v>
      </x:c>
      <x:c r="B433" s="339" t="str">
        <x:v>SCR-163</x:v>
      </x:c>
      <x:c r="C433" s="339" t="str">
        <x:v>Fees &amp; Finance</x:v>
      </x:c>
      <x:c r="D433" s="339" t="str">
        <x:v>Concession / Scholarship</x:v>
      </x:c>
      <x:c r="E433" s="339" t="str">
        <x:v>Unauthorized or out-of-scope record</x:v>
      </x:c>
      <x:c r="F433" s="339" t="str">
        <x:v>Deny access/action; do not reveal existence beyond safe messaging.</x:v>
      </x:c>
      <x:c r="G433" s="339" t="str">
        <x:v>You do not have access to this record.</x:v>
      </x:c>
      <x:c r="H433" s="339" t="str">
        <x:v>Re-authenticate or contact an administrator if access is expected.</x:v>
      </x:c>
      <x:c r="I433" s="339" t="str">
        <x:v>Log security-relevant denial where appropriate.</x:v>
      </x:c>
    </x:row>
    <x:row r="434">
      <x:c r="A434" s="339" t="str">
        <x:v>EXC-00433</x:v>
      </x:c>
      <x:c r="B434" s="339" t="str">
        <x:v>SCR-163</x:v>
      </x:c>
      <x:c r="C434" s="339" t="str">
        <x:v>Fees &amp; Finance</x:v>
      </x:c>
      <x:c r="D434" s="339" t="str">
        <x:v>Concession / Scholarship</x:v>
      </x:c>
      <x:c r="E434" s="339" t="str">
        <x:v>Stale/concurrent data</x:v>
      </x:c>
      <x:c r="F434" s="339" t="str">
        <x:v>Detect version/state mismatch before destructive update; require refresh/review.</x:v>
      </x:c>
      <x:c r="G434" s="339" t="str">
        <x:v>This record changed since you opened it. Refresh before saving.</x:v>
      </x:c>
      <x:c r="H434" s="339" t="str">
        <x:v>Reload the latest data and reapply the intended change.</x:v>
      </x:c>
      <x:c r="I434" s="339" t="str">
        <x:v>Record conflict if it affected a high-risk workflow.</x:v>
      </x:c>
    </x:row>
    <x:row r="435">
      <x:c r="A435" s="339" t="str">
        <x:v>EXC-00434</x:v>
      </x:c>
      <x:c r="B435" s="339" t="str">
        <x:v>SCR-163</x:v>
      </x:c>
      <x:c r="C435" s="339" t="str">
        <x:v>Fees &amp; Finance</x:v>
      </x:c>
      <x:c r="D435" s="339" t="str">
        <x:v>Concession / Scholarship</x:v>
      </x:c>
      <x:c r="E435" s="339" t="str">
        <x:v>Downstream dependency failure</x:v>
      </x:c>
      <x:c r="F435" s="339" t="str">
        <x:v>Rollback or keep a recoverable pending state; never claim success for an incomplete critical transaction.</x:v>
      </x:c>
      <x:c r="G435" s="339" t="str">
        <x:v>The action could not be completed. No final change was applied.</x:v>
      </x:c>
      <x:c r="H435" s="339" t="str">
        <x:v>Retry safely or route to manual resolution queue.</x:v>
      </x:c>
      <x:c r="I435" s="339" t="str">
        <x:v>Capture correlation/error ID and failed step.</x:v>
      </x:c>
    </x:row>
    <x:row r="436">
      <x:c r="A436" s="339" t="str">
        <x:v>EXC-00435</x:v>
      </x:c>
      <x:c r="B436" s="339" t="str">
        <x:v>SCR-164</x:v>
      </x:c>
      <x:c r="C436" s="339" t="str">
        <x:v>Fees &amp; Finance</x:v>
      </x:c>
      <x:c r="D436" s="339" t="str">
        <x:v>Fine Rules</x:v>
      </x:c>
      <x:c r="E436" s="339" t="str">
        <x:v>Unauthorized or out-of-scope record</x:v>
      </x:c>
      <x:c r="F436" s="339" t="str">
        <x:v>Deny access/action; do not reveal existence beyond safe messaging.</x:v>
      </x:c>
      <x:c r="G436" s="339" t="str">
        <x:v>You do not have access to this record.</x:v>
      </x:c>
      <x:c r="H436" s="339" t="str">
        <x:v>Re-authenticate or contact an administrator if access is expected.</x:v>
      </x:c>
      <x:c r="I436" s="339" t="str">
        <x:v>Log security-relevant denial where appropriate.</x:v>
      </x:c>
    </x:row>
    <x:row r="437">
      <x:c r="A437" s="339" t="str">
        <x:v>EXC-00436</x:v>
      </x:c>
      <x:c r="B437" s="339" t="str">
        <x:v>SCR-164</x:v>
      </x:c>
      <x:c r="C437" s="339" t="str">
        <x:v>Fees &amp; Finance</x:v>
      </x:c>
      <x:c r="D437" s="339" t="str">
        <x:v>Fine Rules</x:v>
      </x:c>
      <x:c r="E437" s="339" t="str">
        <x:v>Stale/concurrent data</x:v>
      </x:c>
      <x:c r="F437" s="339" t="str">
        <x:v>Detect version/state mismatch before destructive update; require refresh/review.</x:v>
      </x:c>
      <x:c r="G437" s="339" t="str">
        <x:v>This record changed since you opened it. Refresh before saving.</x:v>
      </x:c>
      <x:c r="H437" s="339" t="str">
        <x:v>Reload the latest data and reapply the intended change.</x:v>
      </x:c>
      <x:c r="I437" s="339" t="str">
        <x:v>Record conflict if it affected a high-risk workflow.</x:v>
      </x:c>
    </x:row>
    <x:row r="438">
      <x:c r="A438" s="339" t="str">
        <x:v>EXC-00437</x:v>
      </x:c>
      <x:c r="B438" s="339" t="str">
        <x:v>SCR-164</x:v>
      </x:c>
      <x:c r="C438" s="339" t="str">
        <x:v>Fees &amp; Finance</x:v>
      </x:c>
      <x:c r="D438" s="339" t="str">
        <x:v>Fine Rules</x:v>
      </x:c>
      <x:c r="E438" s="339" t="str">
        <x:v>Downstream dependency failure</x:v>
      </x:c>
      <x:c r="F438" s="339" t="str">
        <x:v>Rollback or keep a recoverable pending state; never claim success for an incomplete critical transaction.</x:v>
      </x:c>
      <x:c r="G438" s="339" t="str">
        <x:v>The action could not be completed. No final change was applied.</x:v>
      </x:c>
      <x:c r="H438" s="339" t="str">
        <x:v>Retry safely or route to manual resolution queue.</x:v>
      </x:c>
      <x:c r="I438" s="339" t="str">
        <x:v>Capture correlation/error ID and failed step.</x:v>
      </x:c>
    </x:row>
    <x:row r="439">
      <x:c r="A439" s="339" t="str">
        <x:v>EXC-00438</x:v>
      </x:c>
      <x:c r="B439" s="339" t="str">
        <x:v>SCR-165</x:v>
      </x:c>
      <x:c r="C439" s="339" t="str">
        <x:v>Fees &amp; Finance</x:v>
      </x:c>
      <x:c r="D439" s="339" t="str">
        <x:v>Refunds</x:v>
      </x:c>
      <x:c r="E439" s="339" t="str">
        <x:v>Unauthorized or out-of-scope record</x:v>
      </x:c>
      <x:c r="F439" s="339" t="str">
        <x:v>Deny access/action; do not reveal existence beyond safe messaging.</x:v>
      </x:c>
      <x:c r="G439" s="339" t="str">
        <x:v>You do not have access to this record.</x:v>
      </x:c>
      <x:c r="H439" s="339" t="str">
        <x:v>Re-authenticate or contact an administrator if access is expected.</x:v>
      </x:c>
      <x:c r="I439" s="339" t="str">
        <x:v>Log security-relevant denial where appropriate.</x:v>
      </x:c>
    </x:row>
    <x:row r="440">
      <x:c r="A440" s="339" t="str">
        <x:v>EXC-00439</x:v>
      </x:c>
      <x:c r="B440" s="339" t="str">
        <x:v>SCR-165</x:v>
      </x:c>
      <x:c r="C440" s="339" t="str">
        <x:v>Fees &amp; Finance</x:v>
      </x:c>
      <x:c r="D440" s="339" t="str">
        <x:v>Refunds</x:v>
      </x:c>
      <x:c r="E440" s="339" t="str">
        <x:v>Stale/concurrent data</x:v>
      </x:c>
      <x:c r="F440" s="339" t="str">
        <x:v>Detect version/state mismatch before destructive update; require refresh/review.</x:v>
      </x:c>
      <x:c r="G440" s="339" t="str">
        <x:v>This record changed since you opened it. Refresh before saving.</x:v>
      </x:c>
      <x:c r="H440" s="339" t="str">
        <x:v>Reload the latest data and reapply the intended change.</x:v>
      </x:c>
      <x:c r="I440" s="339" t="str">
        <x:v>Record conflict if it affected a high-risk workflow.</x:v>
      </x:c>
    </x:row>
    <x:row r="441">
      <x:c r="A441" s="339" t="str">
        <x:v>EXC-00440</x:v>
      </x:c>
      <x:c r="B441" s="339" t="str">
        <x:v>SCR-165</x:v>
      </x:c>
      <x:c r="C441" s="339" t="str">
        <x:v>Fees &amp; Finance</x:v>
      </x:c>
      <x:c r="D441" s="339" t="str">
        <x:v>Refunds</x:v>
      </x:c>
      <x:c r="E441" s="339" t="str">
        <x:v>Downstream dependency failure</x:v>
      </x:c>
      <x:c r="F441" s="339" t="str">
        <x:v>Rollback or keep a recoverable pending state; never claim success for an incomplete critical transaction.</x:v>
      </x:c>
      <x:c r="G441" s="339" t="str">
        <x:v>The action could not be completed. No final change was applied.</x:v>
      </x:c>
      <x:c r="H441" s="339" t="str">
        <x:v>Retry safely or route to manual resolution queue.</x:v>
      </x:c>
      <x:c r="I441" s="339" t="str">
        <x:v>Capture correlation/error ID and failed step.</x:v>
      </x:c>
    </x:row>
    <x:row r="442">
      <x:c r="A442" s="339" t="str">
        <x:v>EXC-00441</x:v>
      </x:c>
      <x:c r="B442" s="339" t="str">
        <x:v>SCR-166</x:v>
      </x:c>
      <x:c r="C442" s="339" t="str">
        <x:v>Fees &amp; Finance</x:v>
      </x:c>
      <x:c r="D442" s="339" t="str">
        <x:v>Income</x:v>
      </x:c>
      <x:c r="E442" s="339" t="str">
        <x:v>Unauthorized or out-of-scope record</x:v>
      </x:c>
      <x:c r="F442" s="339" t="str">
        <x:v>Deny access/action; do not reveal existence beyond safe messaging.</x:v>
      </x:c>
      <x:c r="G442" s="339" t="str">
        <x:v>You do not have access to this record.</x:v>
      </x:c>
      <x:c r="H442" s="339" t="str">
        <x:v>Re-authenticate or contact an administrator if access is expected.</x:v>
      </x:c>
      <x:c r="I442" s="339" t="str">
        <x:v>Log security-relevant denial where appropriate.</x:v>
      </x:c>
    </x:row>
    <x:row r="443">
      <x:c r="A443" s="339" t="str">
        <x:v>EXC-00442</x:v>
      </x:c>
      <x:c r="B443" s="339" t="str">
        <x:v>SCR-166</x:v>
      </x:c>
      <x:c r="C443" s="339" t="str">
        <x:v>Fees &amp; Finance</x:v>
      </x:c>
      <x:c r="D443" s="339" t="str">
        <x:v>Income</x:v>
      </x:c>
      <x:c r="E443" s="339" t="str">
        <x:v>Stale/concurrent data</x:v>
      </x:c>
      <x:c r="F443" s="339" t="str">
        <x:v>Detect version/state mismatch before destructive update; require refresh/review.</x:v>
      </x:c>
      <x:c r="G443" s="339" t="str">
        <x:v>This record changed since you opened it. Refresh before saving.</x:v>
      </x:c>
      <x:c r="H443" s="339" t="str">
        <x:v>Reload the latest data and reapply the intended change.</x:v>
      </x:c>
      <x:c r="I443" s="339" t="str">
        <x:v>Record conflict if it affected a high-risk workflow.</x:v>
      </x:c>
    </x:row>
    <x:row r="444">
      <x:c r="A444" s="339" t="str">
        <x:v>EXC-00443</x:v>
      </x:c>
      <x:c r="B444" s="339" t="str">
        <x:v>SCR-166</x:v>
      </x:c>
      <x:c r="C444" s="339" t="str">
        <x:v>Fees &amp; Finance</x:v>
      </x:c>
      <x:c r="D444" s="339" t="str">
        <x:v>Income</x:v>
      </x:c>
      <x:c r="E444" s="339" t="str">
        <x:v>Downstream dependency failure</x:v>
      </x:c>
      <x:c r="F444" s="339" t="str">
        <x:v>Rollback or keep a recoverable pending state; never claim success for an incomplete critical transaction.</x:v>
      </x:c>
      <x:c r="G444" s="339" t="str">
        <x:v>The action could not be completed. No final change was applied.</x:v>
      </x:c>
      <x:c r="H444" s="339" t="str">
        <x:v>Retry safely or route to manual resolution queue.</x:v>
      </x:c>
      <x:c r="I444" s="339" t="str">
        <x:v>Capture correlation/error ID and failed step.</x:v>
      </x:c>
    </x:row>
    <x:row r="445">
      <x:c r="A445" s="339" t="str">
        <x:v>EXC-00444</x:v>
      </x:c>
      <x:c r="B445" s="339" t="str">
        <x:v>SCR-167</x:v>
      </x:c>
      <x:c r="C445" s="339" t="str">
        <x:v>Fees &amp; Finance</x:v>
      </x:c>
      <x:c r="D445" s="339" t="str">
        <x:v>Expenses</x:v>
      </x:c>
      <x:c r="E445" s="339" t="str">
        <x:v>Unauthorized or out-of-scope record</x:v>
      </x:c>
      <x:c r="F445" s="339" t="str">
        <x:v>Deny access/action; do not reveal existence beyond safe messaging.</x:v>
      </x:c>
      <x:c r="G445" s="339" t="str">
        <x:v>You do not have access to this record.</x:v>
      </x:c>
      <x:c r="H445" s="339" t="str">
        <x:v>Re-authenticate or contact an administrator if access is expected.</x:v>
      </x:c>
      <x:c r="I445" s="339" t="str">
        <x:v>Log security-relevant denial where appropriate.</x:v>
      </x:c>
    </x:row>
    <x:row r="446">
      <x:c r="A446" s="339" t="str">
        <x:v>EXC-00445</x:v>
      </x:c>
      <x:c r="B446" s="339" t="str">
        <x:v>SCR-167</x:v>
      </x:c>
      <x:c r="C446" s="339" t="str">
        <x:v>Fees &amp; Finance</x:v>
      </x:c>
      <x:c r="D446" s="339" t="str">
        <x:v>Expenses</x:v>
      </x:c>
      <x:c r="E446" s="339" t="str">
        <x:v>Stale/concurrent data</x:v>
      </x:c>
      <x:c r="F446" s="339" t="str">
        <x:v>Detect version/state mismatch before destructive update; require refresh/review.</x:v>
      </x:c>
      <x:c r="G446" s="339" t="str">
        <x:v>This record changed since you opened it. Refresh before saving.</x:v>
      </x:c>
      <x:c r="H446" s="339" t="str">
        <x:v>Reload the latest data and reapply the intended change.</x:v>
      </x:c>
      <x:c r="I446" s="339" t="str">
        <x:v>Record conflict if it affected a high-risk workflow.</x:v>
      </x:c>
    </x:row>
    <x:row r="447">
      <x:c r="A447" s="339" t="str">
        <x:v>EXC-00446</x:v>
      </x:c>
      <x:c r="B447" s="339" t="str">
        <x:v>SCR-167</x:v>
      </x:c>
      <x:c r="C447" s="339" t="str">
        <x:v>Fees &amp; Finance</x:v>
      </x:c>
      <x:c r="D447" s="339" t="str">
        <x:v>Expenses</x:v>
      </x:c>
      <x:c r="E447" s="339" t="str">
        <x:v>Downstream dependency failure</x:v>
      </x:c>
      <x:c r="F447" s="339" t="str">
        <x:v>Rollback or keep a recoverable pending state; never claim success for an incomplete critical transaction.</x:v>
      </x:c>
      <x:c r="G447" s="339" t="str">
        <x:v>The action could not be completed. No final change was applied.</x:v>
      </x:c>
      <x:c r="H447" s="339" t="str">
        <x:v>Retry safely or route to manual resolution queue.</x:v>
      </x:c>
      <x:c r="I447" s="339" t="str">
        <x:v>Capture correlation/error ID and failed step.</x:v>
      </x:c>
    </x:row>
    <x:row r="448">
      <x:c r="A448" s="339" t="str">
        <x:v>EXC-00447</x:v>
      </x:c>
      <x:c r="B448" s="339" t="str">
        <x:v>SCR-168</x:v>
      </x:c>
      <x:c r="C448" s="339" t="str">
        <x:v>Fees &amp; Finance</x:v>
      </x:c>
      <x:c r="D448" s="339" t="str">
        <x:v>Vendor Management</x:v>
      </x:c>
      <x:c r="E448" s="339" t="str">
        <x:v>Unauthorized or out-of-scope record</x:v>
      </x:c>
      <x:c r="F448" s="339" t="str">
        <x:v>Deny access/action; do not reveal existence beyond safe messaging.</x:v>
      </x:c>
      <x:c r="G448" s="339" t="str">
        <x:v>You do not have access to this record.</x:v>
      </x:c>
      <x:c r="H448" s="339" t="str">
        <x:v>Re-authenticate or contact an administrator if access is expected.</x:v>
      </x:c>
      <x:c r="I448" s="339" t="str">
        <x:v>Log security-relevant denial where appropriate.</x:v>
      </x:c>
    </x:row>
    <x:row r="449">
      <x:c r="A449" s="339" t="str">
        <x:v>EXC-00448</x:v>
      </x:c>
      <x:c r="B449" s="339" t="str">
        <x:v>SCR-168</x:v>
      </x:c>
      <x:c r="C449" s="339" t="str">
        <x:v>Fees &amp; Finance</x:v>
      </x:c>
      <x:c r="D449" s="339" t="str">
        <x:v>Vendor Management</x:v>
      </x:c>
      <x:c r="E449" s="339" t="str">
        <x:v>Stale/concurrent data</x:v>
      </x:c>
      <x:c r="F449" s="339" t="str">
        <x:v>Detect version/state mismatch before destructive update; require refresh/review.</x:v>
      </x:c>
      <x:c r="G449" s="339" t="str">
        <x:v>This record changed since you opened it. Refresh before saving.</x:v>
      </x:c>
      <x:c r="H449" s="339" t="str">
        <x:v>Reload the latest data and reapply the intended change.</x:v>
      </x:c>
      <x:c r="I449" s="339" t="str">
        <x:v>Record conflict if it affected a high-risk workflow.</x:v>
      </x:c>
    </x:row>
    <x:row r="450">
      <x:c r="A450" s="339" t="str">
        <x:v>EXC-00449</x:v>
      </x:c>
      <x:c r="B450" s="339" t="str">
        <x:v>SCR-168</x:v>
      </x:c>
      <x:c r="C450" s="339" t="str">
        <x:v>Fees &amp; Finance</x:v>
      </x:c>
      <x:c r="D450" s="339" t="str">
        <x:v>Vendor Management</x:v>
      </x:c>
      <x:c r="E450" s="339" t="str">
        <x:v>Downstream dependency failure</x:v>
      </x:c>
      <x:c r="F450" s="339" t="str">
        <x:v>Rollback or keep a recoverable pending state; never claim success for an incomplete critical transaction.</x:v>
      </x:c>
      <x:c r="G450" s="339" t="str">
        <x:v>The action could not be completed. No final change was applied.</x:v>
      </x:c>
      <x:c r="H450" s="339" t="str">
        <x:v>Retry safely or route to manual resolution queue.</x:v>
      </x:c>
      <x:c r="I450" s="339" t="str">
        <x:v>Capture correlation/error ID and failed step.</x:v>
      </x:c>
    </x:row>
    <x:row r="451">
      <x:c r="A451" s="339" t="str">
        <x:v>EXC-00450</x:v>
      </x:c>
      <x:c r="B451" s="339" t="str">
        <x:v>SCR-169</x:v>
      </x:c>
      <x:c r="C451" s="339" t="str">
        <x:v>Fees &amp; Finance</x:v>
      </x:c>
      <x:c r="D451" s="339" t="str">
        <x:v>Purchase / Payment</x:v>
      </x:c>
      <x:c r="E451" s="339" t="str">
        <x:v>Unauthorized or out-of-scope record</x:v>
      </x:c>
      <x:c r="F451" s="339" t="str">
        <x:v>Deny access/action; do not reveal existence beyond safe messaging.</x:v>
      </x:c>
      <x:c r="G451" s="339" t="str">
        <x:v>You do not have access to this record.</x:v>
      </x:c>
      <x:c r="H451" s="339" t="str">
        <x:v>Re-authenticate or contact an administrator if access is expected.</x:v>
      </x:c>
      <x:c r="I451" s="339" t="str">
        <x:v>Log security-relevant denial where appropriate.</x:v>
      </x:c>
    </x:row>
    <x:row r="452">
      <x:c r="A452" s="339" t="str">
        <x:v>EXC-00451</x:v>
      </x:c>
      <x:c r="B452" s="339" t="str">
        <x:v>SCR-169</x:v>
      </x:c>
      <x:c r="C452" s="339" t="str">
        <x:v>Fees &amp; Finance</x:v>
      </x:c>
      <x:c r="D452" s="339" t="str">
        <x:v>Purchase / Payment</x:v>
      </x:c>
      <x:c r="E452" s="339" t="str">
        <x:v>Stale/concurrent data</x:v>
      </x:c>
      <x:c r="F452" s="339" t="str">
        <x:v>Detect version/state mismatch before destructive update; require refresh/review.</x:v>
      </x:c>
      <x:c r="G452" s="339" t="str">
        <x:v>This record changed since you opened it. Refresh before saving.</x:v>
      </x:c>
      <x:c r="H452" s="339" t="str">
        <x:v>Reload the latest data and reapply the intended change.</x:v>
      </x:c>
      <x:c r="I452" s="339" t="str">
        <x:v>Record conflict if it affected a high-risk workflow.</x:v>
      </x:c>
    </x:row>
    <x:row r="453">
      <x:c r="A453" s="339" t="str">
        <x:v>EXC-00452</x:v>
      </x:c>
      <x:c r="B453" s="339" t="str">
        <x:v>SCR-169</x:v>
      </x:c>
      <x:c r="C453" s="339" t="str">
        <x:v>Fees &amp; Finance</x:v>
      </x:c>
      <x:c r="D453" s="339" t="str">
        <x:v>Purchase / Payment</x:v>
      </x:c>
      <x:c r="E453" s="339" t="str">
        <x:v>Downstream dependency failure</x:v>
      </x:c>
      <x:c r="F453" s="339" t="str">
        <x:v>Rollback or keep a recoverable pending state; never claim success for an incomplete critical transaction.</x:v>
      </x:c>
      <x:c r="G453" s="339" t="str">
        <x:v>The action could not be completed. No final change was applied.</x:v>
      </x:c>
      <x:c r="H453" s="339" t="str">
        <x:v>Retry safely or route to manual resolution queue.</x:v>
      </x:c>
      <x:c r="I453" s="339" t="str">
        <x:v>Capture correlation/error ID and failed step.</x:v>
      </x:c>
    </x:row>
    <x:row r="454">
      <x:c r="A454" s="339" t="str">
        <x:v>EXC-00453</x:v>
      </x:c>
      <x:c r="B454" s="339" t="str">
        <x:v>SCR-170</x:v>
      </x:c>
      <x:c r="C454" s="339" t="str">
        <x:v>Fees &amp; Finance</x:v>
      </x:c>
      <x:c r="D454" s="339" t="str">
        <x:v>Cash &amp; Bank Book</x:v>
      </x:c>
      <x:c r="E454" s="339" t="str">
        <x:v>Unauthorized or out-of-scope record</x:v>
      </x:c>
      <x:c r="F454" s="339" t="str">
        <x:v>Deny access/action; do not reveal existence beyond safe messaging.</x:v>
      </x:c>
      <x:c r="G454" s="339" t="str">
        <x:v>You do not have access to this record.</x:v>
      </x:c>
      <x:c r="H454" s="339" t="str">
        <x:v>Re-authenticate or contact an administrator if access is expected.</x:v>
      </x:c>
      <x:c r="I454" s="339" t="str">
        <x:v>Log security-relevant denial where appropriate.</x:v>
      </x:c>
    </x:row>
    <x:row r="455">
      <x:c r="A455" s="339" t="str">
        <x:v>EXC-00454</x:v>
      </x:c>
      <x:c r="B455" s="339" t="str">
        <x:v>SCR-170</x:v>
      </x:c>
      <x:c r="C455" s="339" t="str">
        <x:v>Fees &amp; Finance</x:v>
      </x:c>
      <x:c r="D455" s="339" t="str">
        <x:v>Cash &amp; Bank Book</x:v>
      </x:c>
      <x:c r="E455" s="339" t="str">
        <x:v>Stale/concurrent data</x:v>
      </x:c>
      <x:c r="F455" s="339" t="str">
        <x:v>Detect version/state mismatch before destructive update; require refresh/review.</x:v>
      </x:c>
      <x:c r="G455" s="339" t="str">
        <x:v>This record changed since you opened it. Refresh before saving.</x:v>
      </x:c>
      <x:c r="H455" s="339" t="str">
        <x:v>Reload the latest data and reapply the intended change.</x:v>
      </x:c>
      <x:c r="I455" s="339" t="str">
        <x:v>Record conflict if it affected a high-risk workflow.</x:v>
      </x:c>
    </x:row>
    <x:row r="456">
      <x:c r="A456" s="339" t="str">
        <x:v>EXC-00455</x:v>
      </x:c>
      <x:c r="B456" s="339" t="str">
        <x:v>SCR-170</x:v>
      </x:c>
      <x:c r="C456" s="339" t="str">
        <x:v>Fees &amp; Finance</x:v>
      </x:c>
      <x:c r="D456" s="339" t="str">
        <x:v>Cash &amp; Bank Book</x:v>
      </x:c>
      <x:c r="E456" s="339" t="str">
        <x:v>Downstream dependency failure</x:v>
      </x:c>
      <x:c r="F456" s="339" t="str">
        <x:v>Rollback or keep a recoverable pending state; never claim success for an incomplete critical transaction.</x:v>
      </x:c>
      <x:c r="G456" s="339" t="str">
        <x:v>The action could not be completed. No final change was applied.</x:v>
      </x:c>
      <x:c r="H456" s="339" t="str">
        <x:v>Retry safely or route to manual resolution queue.</x:v>
      </x:c>
      <x:c r="I456" s="339" t="str">
        <x:v>Capture correlation/error ID and failed step.</x:v>
      </x:c>
    </x:row>
    <x:row r="457">
      <x:c r="A457" s="339" t="str">
        <x:v>EXC-00456</x:v>
      </x:c>
      <x:c r="B457" s="339" t="str">
        <x:v>SCR-171</x:v>
      </x:c>
      <x:c r="C457" s="339" t="str">
        <x:v>Fees &amp; Finance</x:v>
      </x:c>
      <x:c r="D457" s="339" t="str">
        <x:v>Finance Reports</x:v>
      </x:c>
      <x:c r="E457" s="339" t="str">
        <x:v>Unauthorized or out-of-scope record</x:v>
      </x:c>
      <x:c r="F457" s="339" t="str">
        <x:v>Deny access/action; do not reveal existence beyond safe messaging.</x:v>
      </x:c>
      <x:c r="G457" s="339" t="str">
        <x:v>You do not have access to this record.</x:v>
      </x:c>
      <x:c r="H457" s="339" t="str">
        <x:v>Re-authenticate or contact an administrator if access is expected.</x:v>
      </x:c>
      <x:c r="I457" s="339" t="str">
        <x:v>Log security-relevant denial where appropriate.</x:v>
      </x:c>
    </x:row>
    <x:row r="458">
      <x:c r="A458" s="339" t="str">
        <x:v>EXC-00457</x:v>
      </x:c>
      <x:c r="B458" s="339" t="str">
        <x:v>SCR-171</x:v>
      </x:c>
      <x:c r="C458" s="339" t="str">
        <x:v>Fees &amp; Finance</x:v>
      </x:c>
      <x:c r="D458" s="339" t="str">
        <x:v>Finance Reports</x:v>
      </x:c>
      <x:c r="E458" s="339" t="str">
        <x:v>Stale/concurrent data</x:v>
      </x:c>
      <x:c r="F458" s="339" t="str">
        <x:v>Detect version/state mismatch before destructive update; require refresh/review.</x:v>
      </x:c>
      <x:c r="G458" s="339" t="str">
        <x:v>This record changed since you opened it. Refresh before saving.</x:v>
      </x:c>
      <x:c r="H458" s="339" t="str">
        <x:v>Reload the latest data and reapply the intended change.</x:v>
      </x:c>
      <x:c r="I458" s="339" t="str">
        <x:v>Record conflict if it affected a high-risk workflow.</x:v>
      </x:c>
    </x:row>
    <x:row r="459">
      <x:c r="A459" s="339" t="str">
        <x:v>EXC-00458</x:v>
      </x:c>
      <x:c r="B459" s="339" t="str">
        <x:v>SCR-171</x:v>
      </x:c>
      <x:c r="C459" s="339" t="str">
        <x:v>Fees &amp; Finance</x:v>
      </x:c>
      <x:c r="D459" s="339" t="str">
        <x:v>Finance Reports</x:v>
      </x:c>
      <x:c r="E459" s="339" t="str">
        <x:v>Payment gateway uncertainty</x:v>
      </x:c>
      <x:c r="F459" s="339" t="str">
        <x:v>Do not create a second charge; mark payment Pending/Unknown and reconcile by provider reference.</x:v>
      </x:c>
      <x:c r="G459" s="339" t="str">
        <x:v>Payment confirmation is pending. Please do not pay again yet.</x:v>
      </x:c>
      <x:c r="H459" s="339" t="str">
        <x:v>Poll/webhook/reconciliation job resolves final state.</x:v>
      </x:c>
      <x:c r="I459" s="339" t="str">
        <x:v>Store provider reference and reconciliation events.</x:v>
      </x:c>
    </x:row>
    <x:row r="460">
      <x:c r="A460" s="339" t="str">
        <x:v>EXC-00459</x:v>
      </x:c>
      <x:c r="B460" s="339" t="str">
        <x:v>SCR-172</x:v>
      </x:c>
      <x:c r="C460" s="339" t="str">
        <x:v>HR / Leave / Payroll</x:v>
      </x:c>
      <x:c r="D460" s="339" t="str">
        <x:v>Recruitment Requisitions</x:v>
      </x:c>
      <x:c r="E460" s="339" t="str">
        <x:v>Unauthorized or out-of-scope record</x:v>
      </x:c>
      <x:c r="F460" s="339" t="str">
        <x:v>Deny access/action; do not reveal existence beyond safe messaging.</x:v>
      </x:c>
      <x:c r="G460" s="339" t="str">
        <x:v>You do not have access to this record.</x:v>
      </x:c>
      <x:c r="H460" s="339" t="str">
        <x:v>Re-authenticate or contact an administrator if access is expected.</x:v>
      </x:c>
      <x:c r="I460" s="339" t="str">
        <x:v>Log security-relevant denial where appropriate.</x:v>
      </x:c>
    </x:row>
    <x:row r="461">
      <x:c r="A461" s="339" t="str">
        <x:v>EXC-00460</x:v>
      </x:c>
      <x:c r="B461" s="339" t="str">
        <x:v>SCR-172</x:v>
      </x:c>
      <x:c r="C461" s="339" t="str">
        <x:v>HR / Leave / Payroll</x:v>
      </x:c>
      <x:c r="D461" s="339" t="str">
        <x:v>Recruitment Requisitions</x:v>
      </x:c>
      <x:c r="E461" s="339" t="str">
        <x:v>Stale/concurrent data</x:v>
      </x:c>
      <x:c r="F461" s="339" t="str">
        <x:v>Detect version/state mismatch before destructive update; require refresh/review.</x:v>
      </x:c>
      <x:c r="G461" s="339" t="str">
        <x:v>This record changed since you opened it. Refresh before saving.</x:v>
      </x:c>
      <x:c r="H461" s="339" t="str">
        <x:v>Reload the latest data and reapply the intended change.</x:v>
      </x:c>
      <x:c r="I461" s="339" t="str">
        <x:v>Record conflict if it affected a high-risk workflow.</x:v>
      </x:c>
    </x:row>
    <x:row r="462">
      <x:c r="A462" s="339" t="str">
        <x:v>EXC-00461</x:v>
      </x:c>
      <x:c r="B462" s="339" t="str">
        <x:v>SCR-172</x:v>
      </x:c>
      <x:c r="C462" s="339" t="str">
        <x:v>HR / Leave / Payroll</x:v>
      </x:c>
      <x:c r="D462" s="339" t="str">
        <x:v>Recruitment Requisitions</x:v>
      </x:c>
      <x:c r="E462" s="339" t="str">
        <x:v>Downstream dependency failure</x:v>
      </x:c>
      <x:c r="F462" s="339" t="str">
        <x:v>Rollback or keep a recoverable pending state; never claim success for an incomplete critical transaction.</x:v>
      </x:c>
      <x:c r="G462" s="339" t="str">
        <x:v>The action could not be completed. No final change was applied.</x:v>
      </x:c>
      <x:c r="H462" s="339" t="str">
        <x:v>Retry safely or route to manual resolution queue.</x:v>
      </x:c>
      <x:c r="I462" s="339" t="str">
        <x:v>Capture correlation/error ID and failed step.</x:v>
      </x:c>
    </x:row>
    <x:row r="463">
      <x:c r="A463" s="339" t="str">
        <x:v>EXC-00462</x:v>
      </x:c>
      <x:c r="B463" s="339" t="str">
        <x:v>SCR-173</x:v>
      </x:c>
      <x:c r="C463" s="339" t="str">
        <x:v>HR / Leave / Payroll</x:v>
      </x:c>
      <x:c r="D463" s="339" t="str">
        <x:v>Job Openings</x:v>
      </x:c>
      <x:c r="E463" s="339" t="str">
        <x:v>Unauthorized or out-of-scope record</x:v>
      </x:c>
      <x:c r="F463" s="339" t="str">
        <x:v>Deny access/action; do not reveal existence beyond safe messaging.</x:v>
      </x:c>
      <x:c r="G463" s="339" t="str">
        <x:v>You do not have access to this record.</x:v>
      </x:c>
      <x:c r="H463" s="339" t="str">
        <x:v>Re-authenticate or contact an administrator if access is expected.</x:v>
      </x:c>
      <x:c r="I463" s="339" t="str">
        <x:v>Log security-relevant denial where appropriate.</x:v>
      </x:c>
    </x:row>
    <x:row r="464">
      <x:c r="A464" s="339" t="str">
        <x:v>EXC-00463</x:v>
      </x:c>
      <x:c r="B464" s="339" t="str">
        <x:v>SCR-173</x:v>
      </x:c>
      <x:c r="C464" s="339" t="str">
        <x:v>HR / Leave / Payroll</x:v>
      </x:c>
      <x:c r="D464" s="339" t="str">
        <x:v>Job Openings</x:v>
      </x:c>
      <x:c r="E464" s="339" t="str">
        <x:v>Stale/concurrent data</x:v>
      </x:c>
      <x:c r="F464" s="339" t="str">
        <x:v>Detect version/state mismatch before destructive update; require refresh/review.</x:v>
      </x:c>
      <x:c r="G464" s="339" t="str">
        <x:v>This record changed since you opened it. Refresh before saving.</x:v>
      </x:c>
      <x:c r="H464" s="339" t="str">
        <x:v>Reload the latest data and reapply the intended change.</x:v>
      </x:c>
      <x:c r="I464" s="339" t="str">
        <x:v>Record conflict if it affected a high-risk workflow.</x:v>
      </x:c>
    </x:row>
    <x:row r="465">
      <x:c r="A465" s="339" t="str">
        <x:v>EXC-00464</x:v>
      </x:c>
      <x:c r="B465" s="339" t="str">
        <x:v>SCR-174</x:v>
      </x:c>
      <x:c r="C465" s="339" t="str">
        <x:v>HR / Leave / Payroll</x:v>
      </x:c>
      <x:c r="D465" s="339" t="str">
        <x:v>Candidate Applications</x:v>
      </x:c>
      <x:c r="E465" s="339" t="str">
        <x:v>Unauthorized or out-of-scope record</x:v>
      </x:c>
      <x:c r="F465" s="339" t="str">
        <x:v>Deny access/action; do not reveal existence beyond safe messaging.</x:v>
      </x:c>
      <x:c r="G465" s="339" t="str">
        <x:v>You do not have access to this record.</x:v>
      </x:c>
      <x:c r="H465" s="339" t="str">
        <x:v>Re-authenticate or contact an administrator if access is expected.</x:v>
      </x:c>
      <x:c r="I465" s="339" t="str">
        <x:v>Log security-relevant denial where appropriate.</x:v>
      </x:c>
    </x:row>
    <x:row r="466">
      <x:c r="A466" s="339" t="str">
        <x:v>EXC-00465</x:v>
      </x:c>
      <x:c r="B466" s="339" t="str">
        <x:v>SCR-174</x:v>
      </x:c>
      <x:c r="C466" s="339" t="str">
        <x:v>HR / Leave / Payroll</x:v>
      </x:c>
      <x:c r="D466" s="339" t="str">
        <x:v>Candidate Applications</x:v>
      </x:c>
      <x:c r="E466" s="339" t="str">
        <x:v>Stale/concurrent data</x:v>
      </x:c>
      <x:c r="F466" s="339" t="str">
        <x:v>Detect version/state mismatch before destructive update; require refresh/review.</x:v>
      </x:c>
      <x:c r="G466" s="339" t="str">
        <x:v>This record changed since you opened it. Refresh before saving.</x:v>
      </x:c>
      <x:c r="H466" s="339" t="str">
        <x:v>Reload the latest data and reapply the intended change.</x:v>
      </x:c>
      <x:c r="I466" s="339" t="str">
        <x:v>Record conflict if it affected a high-risk workflow.</x:v>
      </x:c>
    </x:row>
    <x:row r="467">
      <x:c r="A467" s="339" t="str">
        <x:v>EXC-00466</x:v>
      </x:c>
      <x:c r="B467" s="339" t="str">
        <x:v>SCR-175</x:v>
      </x:c>
      <x:c r="C467" s="339" t="str">
        <x:v>HR / Leave / Payroll</x:v>
      </x:c>
      <x:c r="D467" s="339" t="str">
        <x:v>Candidate Details</x:v>
      </x:c>
      <x:c r="E467" s="339" t="str">
        <x:v>Unauthorized or out-of-scope record</x:v>
      </x:c>
      <x:c r="F467" s="339" t="str">
        <x:v>Deny access/action; do not reveal existence beyond safe messaging.</x:v>
      </x:c>
      <x:c r="G467" s="339" t="str">
        <x:v>You do not have access to this record.</x:v>
      </x:c>
      <x:c r="H467" s="339" t="str">
        <x:v>Re-authenticate or contact an administrator if access is expected.</x:v>
      </x:c>
      <x:c r="I467" s="339" t="str">
        <x:v>Log security-relevant denial where appropriate.</x:v>
      </x:c>
    </x:row>
    <x:row r="468">
      <x:c r="A468" s="339" t="str">
        <x:v>EXC-00467</x:v>
      </x:c>
      <x:c r="B468" s="339" t="str">
        <x:v>SCR-175</x:v>
      </x:c>
      <x:c r="C468" s="339" t="str">
        <x:v>HR / Leave / Payroll</x:v>
      </x:c>
      <x:c r="D468" s="339" t="str">
        <x:v>Candidate Details</x:v>
      </x:c>
      <x:c r="E468" s="339" t="str">
        <x:v>Stale/concurrent data</x:v>
      </x:c>
      <x:c r="F468" s="339" t="str">
        <x:v>Detect version/state mismatch before destructive update; require refresh/review.</x:v>
      </x:c>
      <x:c r="G468" s="339" t="str">
        <x:v>This record changed since you opened it. Refresh before saving.</x:v>
      </x:c>
      <x:c r="H468" s="339" t="str">
        <x:v>Reload the latest data and reapply the intended change.</x:v>
      </x:c>
      <x:c r="I468" s="339" t="str">
        <x:v>Record conflict if it affected a high-risk workflow.</x:v>
      </x:c>
    </x:row>
    <x:row r="469">
      <x:c r="A469" s="339" t="str">
        <x:v>EXC-00468</x:v>
      </x:c>
      <x:c r="B469" s="339" t="str">
        <x:v>SCR-176</x:v>
      </x:c>
      <x:c r="C469" s="339" t="str">
        <x:v>HR / Leave / Payroll</x:v>
      </x:c>
      <x:c r="D469" s="339" t="str">
        <x:v>Interview Schedule</x:v>
      </x:c>
      <x:c r="E469" s="339" t="str">
        <x:v>Unauthorized or out-of-scope record</x:v>
      </x:c>
      <x:c r="F469" s="339" t="str">
        <x:v>Deny access/action; do not reveal existence beyond safe messaging.</x:v>
      </x:c>
      <x:c r="G469" s="339" t="str">
        <x:v>You do not have access to this record.</x:v>
      </x:c>
      <x:c r="H469" s="339" t="str">
        <x:v>Re-authenticate or contact an administrator if access is expected.</x:v>
      </x:c>
      <x:c r="I469" s="339" t="str">
        <x:v>Log security-relevant denial where appropriate.</x:v>
      </x:c>
    </x:row>
    <x:row r="470">
      <x:c r="A470" s="339" t="str">
        <x:v>EXC-00469</x:v>
      </x:c>
      <x:c r="B470" s="339" t="str">
        <x:v>SCR-176</x:v>
      </x:c>
      <x:c r="C470" s="339" t="str">
        <x:v>HR / Leave / Payroll</x:v>
      </x:c>
      <x:c r="D470" s="339" t="str">
        <x:v>Interview Schedule</x:v>
      </x:c>
      <x:c r="E470" s="339" t="str">
        <x:v>Stale/concurrent data</x:v>
      </x:c>
      <x:c r="F470" s="339" t="str">
        <x:v>Detect version/state mismatch before destructive update; require refresh/review.</x:v>
      </x:c>
      <x:c r="G470" s="339" t="str">
        <x:v>This record changed since you opened it. Refresh before saving.</x:v>
      </x:c>
      <x:c r="H470" s="339" t="str">
        <x:v>Reload the latest data and reapply the intended change.</x:v>
      </x:c>
      <x:c r="I470" s="339" t="str">
        <x:v>Record conflict if it affected a high-risk workflow.</x:v>
      </x:c>
    </x:row>
    <x:row r="471">
      <x:c r="A471" s="339" t="str">
        <x:v>EXC-00470</x:v>
      </x:c>
      <x:c r="B471" s="339" t="str">
        <x:v>SCR-177</x:v>
      </x:c>
      <x:c r="C471" s="339" t="str">
        <x:v>HR / Leave / Payroll</x:v>
      </x:c>
      <x:c r="D471" s="339" t="str">
        <x:v>Offer &amp; Appointment</x:v>
      </x:c>
      <x:c r="E471" s="339" t="str">
        <x:v>Unauthorized or out-of-scope record</x:v>
      </x:c>
      <x:c r="F471" s="339" t="str">
        <x:v>Deny access/action; do not reveal existence beyond safe messaging.</x:v>
      </x:c>
      <x:c r="G471" s="339" t="str">
        <x:v>You do not have access to this record.</x:v>
      </x:c>
      <x:c r="H471" s="339" t="str">
        <x:v>Re-authenticate or contact an administrator if access is expected.</x:v>
      </x:c>
      <x:c r="I471" s="339" t="str">
        <x:v>Log security-relevant denial where appropriate.</x:v>
      </x:c>
    </x:row>
    <x:row r="472">
      <x:c r="A472" s="339" t="str">
        <x:v>EXC-00471</x:v>
      </x:c>
      <x:c r="B472" s="339" t="str">
        <x:v>SCR-177</x:v>
      </x:c>
      <x:c r="C472" s="339" t="str">
        <x:v>HR / Leave / Payroll</x:v>
      </x:c>
      <x:c r="D472" s="339" t="str">
        <x:v>Offer &amp; Appointment</x:v>
      </x:c>
      <x:c r="E472" s="339" t="str">
        <x:v>Stale/concurrent data</x:v>
      </x:c>
      <x:c r="F472" s="339" t="str">
        <x:v>Detect version/state mismatch before destructive update; require refresh/review.</x:v>
      </x:c>
      <x:c r="G472" s="339" t="str">
        <x:v>This record changed since you opened it. Refresh before saving.</x:v>
      </x:c>
      <x:c r="H472" s="339" t="str">
        <x:v>Reload the latest data and reapply the intended change.</x:v>
      </x:c>
      <x:c r="I472" s="339" t="str">
        <x:v>Record conflict if it affected a high-risk workflow.</x:v>
      </x:c>
    </x:row>
    <x:row r="473">
      <x:c r="A473" s="339" t="str">
        <x:v>EXC-00472</x:v>
      </x:c>
      <x:c r="B473" s="339" t="str">
        <x:v>SCR-177</x:v>
      </x:c>
      <x:c r="C473" s="339" t="str">
        <x:v>HR / Leave / Payroll</x:v>
      </x:c>
      <x:c r="D473" s="339" t="str">
        <x:v>Offer &amp; Appointment</x:v>
      </x:c>
      <x:c r="E473" s="339" t="str">
        <x:v>Downstream dependency failure</x:v>
      </x:c>
      <x:c r="F473" s="339" t="str">
        <x:v>Rollback or keep a recoverable pending state; never claim success for an incomplete critical transaction.</x:v>
      </x:c>
      <x:c r="G473" s="339" t="str">
        <x:v>The action could not be completed. No final change was applied.</x:v>
      </x:c>
      <x:c r="H473" s="339" t="str">
        <x:v>Retry safely or route to manual resolution queue.</x:v>
      </x:c>
      <x:c r="I473" s="339" t="str">
        <x:v>Capture correlation/error ID and failed step.</x:v>
      </x:c>
    </x:row>
    <x:row r="474">
      <x:c r="A474" s="339" t="str">
        <x:v>EXC-00473</x:v>
      </x:c>
      <x:c r="B474" s="339" t="str">
        <x:v>SCR-178</x:v>
      </x:c>
      <x:c r="C474" s="339" t="str">
        <x:v>HR / Leave / Payroll</x:v>
      </x:c>
      <x:c r="D474" s="339" t="str">
        <x:v>Employee Onboarding Checklist</x:v>
      </x:c>
      <x:c r="E474" s="339" t="str">
        <x:v>Unauthorized or out-of-scope record</x:v>
      </x:c>
      <x:c r="F474" s="339" t="str">
        <x:v>Deny access/action; do not reveal existence beyond safe messaging.</x:v>
      </x:c>
      <x:c r="G474" s="339" t="str">
        <x:v>You do not have access to this record.</x:v>
      </x:c>
      <x:c r="H474" s="339" t="str">
        <x:v>Re-authenticate or contact an administrator if access is expected.</x:v>
      </x:c>
      <x:c r="I474" s="339" t="str">
        <x:v>Log security-relevant denial where appropriate.</x:v>
      </x:c>
    </x:row>
    <x:row r="475">
      <x:c r="A475" s="339" t="str">
        <x:v>EXC-00474</x:v>
      </x:c>
      <x:c r="B475" s="339" t="str">
        <x:v>SCR-178</x:v>
      </x:c>
      <x:c r="C475" s="339" t="str">
        <x:v>HR / Leave / Payroll</x:v>
      </x:c>
      <x:c r="D475" s="339" t="str">
        <x:v>Employee Onboarding Checklist</x:v>
      </x:c>
      <x:c r="E475" s="339" t="str">
        <x:v>Stale/concurrent data</x:v>
      </x:c>
      <x:c r="F475" s="339" t="str">
        <x:v>Detect version/state mismatch before destructive update; require refresh/review.</x:v>
      </x:c>
      <x:c r="G475" s="339" t="str">
        <x:v>This record changed since you opened it. Refresh before saving.</x:v>
      </x:c>
      <x:c r="H475" s="339" t="str">
        <x:v>Reload the latest data and reapply the intended change.</x:v>
      </x:c>
      <x:c r="I475" s="339" t="str">
        <x:v>Record conflict if it affected a high-risk workflow.</x:v>
      </x:c>
    </x:row>
    <x:row r="476">
      <x:c r="A476" s="339" t="str">
        <x:v>EXC-00475</x:v>
      </x:c>
      <x:c r="B476" s="339" t="str">
        <x:v>SCR-179</x:v>
      </x:c>
      <x:c r="C476" s="339" t="str">
        <x:v>HR / Leave / Payroll</x:v>
      </x:c>
      <x:c r="D476" s="339" t="str">
        <x:v>Staff Attendance Management</x:v>
      </x:c>
      <x:c r="E476" s="339" t="str">
        <x:v>Unauthorized or out-of-scope record</x:v>
      </x:c>
      <x:c r="F476" s="339" t="str">
        <x:v>Deny access/action; do not reveal existence beyond safe messaging.</x:v>
      </x:c>
      <x:c r="G476" s="339" t="str">
        <x:v>You do not have access to this record.</x:v>
      </x:c>
      <x:c r="H476" s="339" t="str">
        <x:v>Re-authenticate or contact an administrator if access is expected.</x:v>
      </x:c>
      <x:c r="I476" s="339" t="str">
        <x:v>Log security-relevant denial where appropriate.</x:v>
      </x:c>
    </x:row>
    <x:row r="477">
      <x:c r="A477" s="339" t="str">
        <x:v>EXC-00476</x:v>
      </x:c>
      <x:c r="B477" s="339" t="str">
        <x:v>SCR-179</x:v>
      </x:c>
      <x:c r="C477" s="339" t="str">
        <x:v>HR / Leave / Payroll</x:v>
      </x:c>
      <x:c r="D477" s="339" t="str">
        <x:v>Staff Attendance Management</x:v>
      </x:c>
      <x:c r="E477" s="339" t="str">
        <x:v>Stale/concurrent data</x:v>
      </x:c>
      <x:c r="F477" s="339" t="str">
        <x:v>Detect version/state mismatch before destructive update; require refresh/review.</x:v>
      </x:c>
      <x:c r="G477" s="339" t="str">
        <x:v>This record changed since you opened it. Refresh before saving.</x:v>
      </x:c>
      <x:c r="H477" s="339" t="str">
        <x:v>Reload the latest data and reapply the intended change.</x:v>
      </x:c>
      <x:c r="I477" s="339" t="str">
        <x:v>Record conflict if it affected a high-risk workflow.</x:v>
      </x:c>
    </x:row>
    <x:row r="478">
      <x:c r="A478" s="339" t="str">
        <x:v>EXC-00477</x:v>
      </x:c>
      <x:c r="B478" s="339" t="str">
        <x:v>SCR-179</x:v>
      </x:c>
      <x:c r="C478" s="339" t="str">
        <x:v>HR / Leave / Payroll</x:v>
      </x:c>
      <x:c r="D478" s="339" t="str">
        <x:v>Staff Attendance Management</x:v>
      </x:c>
      <x:c r="E478" s="339" t="str">
        <x:v>Downstream dependency failure</x:v>
      </x:c>
      <x:c r="F478" s="339" t="str">
        <x:v>Rollback or keep a recoverable pending state; never claim success for an incomplete critical transaction.</x:v>
      </x:c>
      <x:c r="G478" s="339" t="str">
        <x:v>The action could not be completed. No final change was applied.</x:v>
      </x:c>
      <x:c r="H478" s="339" t="str">
        <x:v>Retry safely or route to manual resolution queue.</x:v>
      </x:c>
      <x:c r="I478" s="339" t="str">
        <x:v>Capture correlation/error ID and failed step.</x:v>
      </x:c>
    </x:row>
    <x:row r="479">
      <x:c r="A479" s="339" t="str">
        <x:v>EXC-00478</x:v>
      </x:c>
      <x:c r="B479" s="339" t="str">
        <x:v>SCR-180</x:v>
      </x:c>
      <x:c r="C479" s="339" t="str">
        <x:v>HR / Leave / Payroll</x:v>
      </x:c>
      <x:c r="D479" s="339" t="str">
        <x:v>Leave Policies</x:v>
      </x:c>
      <x:c r="E479" s="339" t="str">
        <x:v>Unauthorized or out-of-scope record</x:v>
      </x:c>
      <x:c r="F479" s="339" t="str">
        <x:v>Deny access/action; do not reveal existence beyond safe messaging.</x:v>
      </x:c>
      <x:c r="G479" s="339" t="str">
        <x:v>You do not have access to this record.</x:v>
      </x:c>
      <x:c r="H479" s="339" t="str">
        <x:v>Re-authenticate or contact an administrator if access is expected.</x:v>
      </x:c>
      <x:c r="I479" s="339" t="str">
        <x:v>Log security-relevant denial where appropriate.</x:v>
      </x:c>
    </x:row>
    <x:row r="480">
      <x:c r="A480" s="339" t="str">
        <x:v>EXC-00479</x:v>
      </x:c>
      <x:c r="B480" s="339" t="str">
        <x:v>SCR-180</x:v>
      </x:c>
      <x:c r="C480" s="339" t="str">
        <x:v>HR / Leave / Payroll</x:v>
      </x:c>
      <x:c r="D480" s="339" t="str">
        <x:v>Leave Policies</x:v>
      </x:c>
      <x:c r="E480" s="339" t="str">
        <x:v>Stale/concurrent data</x:v>
      </x:c>
      <x:c r="F480" s="339" t="str">
        <x:v>Detect version/state mismatch before destructive update; require refresh/review.</x:v>
      </x:c>
      <x:c r="G480" s="339" t="str">
        <x:v>This record changed since you opened it. Refresh before saving.</x:v>
      </x:c>
      <x:c r="H480" s="339" t="str">
        <x:v>Reload the latest data and reapply the intended change.</x:v>
      </x:c>
      <x:c r="I480" s="339" t="str">
        <x:v>Record conflict if it affected a high-risk workflow.</x:v>
      </x:c>
    </x:row>
    <x:row r="481">
      <x:c r="A481" s="339" t="str">
        <x:v>EXC-00480</x:v>
      </x:c>
      <x:c r="B481" s="339" t="str">
        <x:v>SCR-180</x:v>
      </x:c>
      <x:c r="C481" s="339" t="str">
        <x:v>HR / Leave / Payroll</x:v>
      </x:c>
      <x:c r="D481" s="339" t="str">
        <x:v>Leave Policies</x:v>
      </x:c>
      <x:c r="E481" s="339" t="str">
        <x:v>Downstream dependency failure</x:v>
      </x:c>
      <x:c r="F481" s="339" t="str">
        <x:v>Rollback or keep a recoverable pending state; never claim success for an incomplete critical transaction.</x:v>
      </x:c>
      <x:c r="G481" s="339" t="str">
        <x:v>The action could not be completed. No final change was applied.</x:v>
      </x:c>
      <x:c r="H481" s="339" t="str">
        <x:v>Retry safely or route to manual resolution queue.</x:v>
      </x:c>
      <x:c r="I481" s="339" t="str">
        <x:v>Capture correlation/error ID and failed step.</x:v>
      </x:c>
    </x:row>
    <x:row r="482">
      <x:c r="A482" s="339" t="str">
        <x:v>EXC-00481</x:v>
      </x:c>
      <x:c r="B482" s="339" t="str">
        <x:v>SCR-181</x:v>
      </x:c>
      <x:c r="C482" s="339" t="str">
        <x:v>HR / Leave / Payroll</x:v>
      </x:c>
      <x:c r="D482" s="339" t="str">
        <x:v>Staff Leave Requests</x:v>
      </x:c>
      <x:c r="E482" s="339" t="str">
        <x:v>Unauthorized or out-of-scope record</x:v>
      </x:c>
      <x:c r="F482" s="339" t="str">
        <x:v>Deny access/action; do not reveal existence beyond safe messaging.</x:v>
      </x:c>
      <x:c r="G482" s="339" t="str">
        <x:v>You do not have access to this record.</x:v>
      </x:c>
      <x:c r="H482" s="339" t="str">
        <x:v>Re-authenticate or contact an administrator if access is expected.</x:v>
      </x:c>
      <x:c r="I482" s="339" t="str">
        <x:v>Log security-relevant denial where appropriate.</x:v>
      </x:c>
    </x:row>
    <x:row r="483">
      <x:c r="A483" s="339" t="str">
        <x:v>EXC-00482</x:v>
      </x:c>
      <x:c r="B483" s="339" t="str">
        <x:v>SCR-181</x:v>
      </x:c>
      <x:c r="C483" s="339" t="str">
        <x:v>HR / Leave / Payroll</x:v>
      </x:c>
      <x:c r="D483" s="339" t="str">
        <x:v>Staff Leave Requests</x:v>
      </x:c>
      <x:c r="E483" s="339" t="str">
        <x:v>Stale/concurrent data</x:v>
      </x:c>
      <x:c r="F483" s="339" t="str">
        <x:v>Detect version/state mismatch before destructive update; require refresh/review.</x:v>
      </x:c>
      <x:c r="G483" s="339" t="str">
        <x:v>This record changed since you opened it. Refresh before saving.</x:v>
      </x:c>
      <x:c r="H483" s="339" t="str">
        <x:v>Reload the latest data and reapply the intended change.</x:v>
      </x:c>
      <x:c r="I483" s="339" t="str">
        <x:v>Record conflict if it affected a high-risk workflow.</x:v>
      </x:c>
    </x:row>
    <x:row r="484">
      <x:c r="A484" s="339" t="str">
        <x:v>EXC-00483</x:v>
      </x:c>
      <x:c r="B484" s="339" t="str">
        <x:v>SCR-181</x:v>
      </x:c>
      <x:c r="C484" s="339" t="str">
        <x:v>HR / Leave / Payroll</x:v>
      </x:c>
      <x:c r="D484" s="339" t="str">
        <x:v>Staff Leave Requests</x:v>
      </x:c>
      <x:c r="E484" s="339" t="str">
        <x:v>Downstream dependency failure</x:v>
      </x:c>
      <x:c r="F484" s="339" t="str">
        <x:v>Rollback or keep a recoverable pending state; never claim success for an incomplete critical transaction.</x:v>
      </x:c>
      <x:c r="G484" s="339" t="str">
        <x:v>The action could not be completed. No final change was applied.</x:v>
      </x:c>
      <x:c r="H484" s="339" t="str">
        <x:v>Retry safely or route to manual resolution queue.</x:v>
      </x:c>
      <x:c r="I484" s="339" t="str">
        <x:v>Capture correlation/error ID and failed step.</x:v>
      </x:c>
    </x:row>
    <x:row r="485">
      <x:c r="A485" s="339" t="str">
        <x:v>EXC-00484</x:v>
      </x:c>
      <x:c r="B485" s="339" t="str">
        <x:v>SCR-182</x:v>
      </x:c>
      <x:c r="C485" s="339" t="str">
        <x:v>HR / Leave / Payroll</x:v>
      </x:c>
      <x:c r="D485" s="339" t="str">
        <x:v>Leave Approval</x:v>
      </x:c>
      <x:c r="E485" s="339" t="str">
        <x:v>Unauthorized or out-of-scope record</x:v>
      </x:c>
      <x:c r="F485" s="339" t="str">
        <x:v>Deny access/action; do not reveal existence beyond safe messaging.</x:v>
      </x:c>
      <x:c r="G485" s="339" t="str">
        <x:v>You do not have access to this record.</x:v>
      </x:c>
      <x:c r="H485" s="339" t="str">
        <x:v>Re-authenticate or contact an administrator if access is expected.</x:v>
      </x:c>
      <x:c r="I485" s="339" t="str">
        <x:v>Log security-relevant denial where appropriate.</x:v>
      </x:c>
    </x:row>
    <x:row r="486">
      <x:c r="A486" s="339" t="str">
        <x:v>EXC-00485</x:v>
      </x:c>
      <x:c r="B486" s="339" t="str">
        <x:v>SCR-182</x:v>
      </x:c>
      <x:c r="C486" s="339" t="str">
        <x:v>HR / Leave / Payroll</x:v>
      </x:c>
      <x:c r="D486" s="339" t="str">
        <x:v>Leave Approval</x:v>
      </x:c>
      <x:c r="E486" s="339" t="str">
        <x:v>Stale/concurrent data</x:v>
      </x:c>
      <x:c r="F486" s="339" t="str">
        <x:v>Detect version/state mismatch before destructive update; require refresh/review.</x:v>
      </x:c>
      <x:c r="G486" s="339" t="str">
        <x:v>This record changed since you opened it. Refresh before saving.</x:v>
      </x:c>
      <x:c r="H486" s="339" t="str">
        <x:v>Reload the latest data and reapply the intended change.</x:v>
      </x:c>
      <x:c r="I486" s="339" t="str">
        <x:v>Record conflict if it affected a high-risk workflow.</x:v>
      </x:c>
    </x:row>
    <x:row r="487">
      <x:c r="A487" s="339" t="str">
        <x:v>EXC-00486</x:v>
      </x:c>
      <x:c r="B487" s="339" t="str">
        <x:v>SCR-182</x:v>
      </x:c>
      <x:c r="C487" s="339" t="str">
        <x:v>HR / Leave / Payroll</x:v>
      </x:c>
      <x:c r="D487" s="339" t="str">
        <x:v>Leave Approval</x:v>
      </x:c>
      <x:c r="E487" s="339" t="str">
        <x:v>Downstream dependency failure</x:v>
      </x:c>
      <x:c r="F487" s="339" t="str">
        <x:v>Rollback or keep a recoverable pending state; never claim success for an incomplete critical transaction.</x:v>
      </x:c>
      <x:c r="G487" s="339" t="str">
        <x:v>The action could not be completed. No final change was applied.</x:v>
      </x:c>
      <x:c r="H487" s="339" t="str">
        <x:v>Retry safely or route to manual resolution queue.</x:v>
      </x:c>
      <x:c r="I487" s="339" t="str">
        <x:v>Capture correlation/error ID and failed step.</x:v>
      </x:c>
    </x:row>
    <x:row r="488">
      <x:c r="A488" s="339" t="str">
        <x:v>EXC-00487</x:v>
      </x:c>
      <x:c r="B488" s="339" t="str">
        <x:v>SCR-183</x:v>
      </x:c>
      <x:c r="C488" s="339" t="str">
        <x:v>HR / Leave / Payroll</x:v>
      </x:c>
      <x:c r="D488" s="339" t="str">
        <x:v>Payroll Setup</x:v>
      </x:c>
      <x:c r="E488" s="339" t="str">
        <x:v>Unauthorized or out-of-scope record</x:v>
      </x:c>
      <x:c r="F488" s="339" t="str">
        <x:v>Deny access/action; do not reveal existence beyond safe messaging.</x:v>
      </x:c>
      <x:c r="G488" s="339" t="str">
        <x:v>You do not have access to this record.</x:v>
      </x:c>
      <x:c r="H488" s="339" t="str">
        <x:v>Re-authenticate or contact an administrator if access is expected.</x:v>
      </x:c>
      <x:c r="I488" s="339" t="str">
        <x:v>Log security-relevant denial where appropriate.</x:v>
      </x:c>
    </x:row>
    <x:row r="489">
      <x:c r="A489" s="339" t="str">
        <x:v>EXC-00488</x:v>
      </x:c>
      <x:c r="B489" s="339" t="str">
        <x:v>SCR-183</x:v>
      </x:c>
      <x:c r="C489" s="339" t="str">
        <x:v>HR / Leave / Payroll</x:v>
      </x:c>
      <x:c r="D489" s="339" t="str">
        <x:v>Payroll Setup</x:v>
      </x:c>
      <x:c r="E489" s="339" t="str">
        <x:v>Stale/concurrent data</x:v>
      </x:c>
      <x:c r="F489" s="339" t="str">
        <x:v>Detect version/state mismatch before destructive update; require refresh/review.</x:v>
      </x:c>
      <x:c r="G489" s="339" t="str">
        <x:v>This record changed since you opened it. Refresh before saving.</x:v>
      </x:c>
      <x:c r="H489" s="339" t="str">
        <x:v>Reload the latest data and reapply the intended change.</x:v>
      </x:c>
      <x:c r="I489" s="339" t="str">
        <x:v>Record conflict if it affected a high-risk workflow.</x:v>
      </x:c>
    </x:row>
    <x:row r="490">
      <x:c r="A490" s="339" t="str">
        <x:v>EXC-00489</x:v>
      </x:c>
      <x:c r="B490" s="339" t="str">
        <x:v>SCR-183</x:v>
      </x:c>
      <x:c r="C490" s="339" t="str">
        <x:v>HR / Leave / Payroll</x:v>
      </x:c>
      <x:c r="D490" s="339" t="str">
        <x:v>Payroll Setup</x:v>
      </x:c>
      <x:c r="E490" s="339" t="str">
        <x:v>Downstream dependency failure</x:v>
      </x:c>
      <x:c r="F490" s="339" t="str">
        <x:v>Rollback or keep a recoverable pending state; never claim success for an incomplete critical transaction.</x:v>
      </x:c>
      <x:c r="G490" s="339" t="str">
        <x:v>The action could not be completed. No final change was applied.</x:v>
      </x:c>
      <x:c r="H490" s="339" t="str">
        <x:v>Retry safely or route to manual resolution queue.</x:v>
      </x:c>
      <x:c r="I490" s="339" t="str">
        <x:v>Capture correlation/error ID and failed step.</x:v>
      </x:c>
    </x:row>
    <x:row r="491">
      <x:c r="A491" s="339" t="str">
        <x:v>EXC-00490</x:v>
      </x:c>
      <x:c r="B491" s="339" t="str">
        <x:v>SCR-184</x:v>
      </x:c>
      <x:c r="C491" s="339" t="str">
        <x:v>HR / Leave / Payroll</x:v>
      </x:c>
      <x:c r="D491" s="339" t="str">
        <x:v>Payroll Processing</x:v>
      </x:c>
      <x:c r="E491" s="339" t="str">
        <x:v>Unauthorized or out-of-scope record</x:v>
      </x:c>
      <x:c r="F491" s="339" t="str">
        <x:v>Deny access/action; do not reveal existence beyond safe messaging.</x:v>
      </x:c>
      <x:c r="G491" s="339" t="str">
        <x:v>You do not have access to this record.</x:v>
      </x:c>
      <x:c r="H491" s="339" t="str">
        <x:v>Re-authenticate or contact an administrator if access is expected.</x:v>
      </x:c>
      <x:c r="I491" s="339" t="str">
        <x:v>Log security-relevant denial where appropriate.</x:v>
      </x:c>
    </x:row>
    <x:row r="492">
      <x:c r="A492" s="339" t="str">
        <x:v>EXC-00491</x:v>
      </x:c>
      <x:c r="B492" s="339" t="str">
        <x:v>SCR-184</x:v>
      </x:c>
      <x:c r="C492" s="339" t="str">
        <x:v>HR / Leave / Payroll</x:v>
      </x:c>
      <x:c r="D492" s="339" t="str">
        <x:v>Payroll Processing</x:v>
      </x:c>
      <x:c r="E492" s="339" t="str">
        <x:v>Stale/concurrent data</x:v>
      </x:c>
      <x:c r="F492" s="339" t="str">
        <x:v>Detect version/state mismatch before destructive update; require refresh/review.</x:v>
      </x:c>
      <x:c r="G492" s="339" t="str">
        <x:v>This record changed since you opened it. Refresh before saving.</x:v>
      </x:c>
      <x:c r="H492" s="339" t="str">
        <x:v>Reload the latest data and reapply the intended change.</x:v>
      </x:c>
      <x:c r="I492" s="339" t="str">
        <x:v>Record conflict if it affected a high-risk workflow.</x:v>
      </x:c>
    </x:row>
    <x:row r="493">
      <x:c r="A493" s="339" t="str">
        <x:v>EXC-00492</x:v>
      </x:c>
      <x:c r="B493" s="339" t="str">
        <x:v>SCR-184</x:v>
      </x:c>
      <x:c r="C493" s="339" t="str">
        <x:v>HR / Leave / Payroll</x:v>
      </x:c>
      <x:c r="D493" s="339" t="str">
        <x:v>Payroll Processing</x:v>
      </x:c>
      <x:c r="E493" s="339" t="str">
        <x:v>Downstream dependency failure</x:v>
      </x:c>
      <x:c r="F493" s="339" t="str">
        <x:v>Rollback or keep a recoverable pending state; never claim success for an incomplete critical transaction.</x:v>
      </x:c>
      <x:c r="G493" s="339" t="str">
        <x:v>The action could not be completed. No final change was applied.</x:v>
      </x:c>
      <x:c r="H493" s="339" t="str">
        <x:v>Retry safely or route to manual resolution queue.</x:v>
      </x:c>
      <x:c r="I493" s="339" t="str">
        <x:v>Capture correlation/error ID and failed step.</x:v>
      </x:c>
    </x:row>
    <x:row r="494">
      <x:c r="A494" s="339" t="str">
        <x:v>EXC-00493</x:v>
      </x:c>
      <x:c r="B494" s="339" t="str">
        <x:v>SCR-185</x:v>
      </x:c>
      <x:c r="C494" s="339" t="str">
        <x:v>HR / Leave / Payroll</x:v>
      </x:c>
      <x:c r="D494" s="339" t="str">
        <x:v>Payslip &amp; Payroll History</x:v>
      </x:c>
      <x:c r="E494" s="339" t="str">
        <x:v>Unauthorized or out-of-scope record</x:v>
      </x:c>
      <x:c r="F494" s="339" t="str">
        <x:v>Deny access/action; do not reveal existence beyond safe messaging.</x:v>
      </x:c>
      <x:c r="G494" s="339" t="str">
        <x:v>You do not have access to this record.</x:v>
      </x:c>
      <x:c r="H494" s="339" t="str">
        <x:v>Re-authenticate or contact an administrator if access is expected.</x:v>
      </x:c>
      <x:c r="I494" s="339" t="str">
        <x:v>Log security-relevant denial where appropriate.</x:v>
      </x:c>
    </x:row>
    <x:row r="495">
      <x:c r="A495" s="339" t="str">
        <x:v>EXC-00494</x:v>
      </x:c>
      <x:c r="B495" s="339" t="str">
        <x:v>SCR-185</x:v>
      </x:c>
      <x:c r="C495" s="339" t="str">
        <x:v>HR / Leave / Payroll</x:v>
      </x:c>
      <x:c r="D495" s="339" t="str">
        <x:v>Payslip &amp; Payroll History</x:v>
      </x:c>
      <x:c r="E495" s="339" t="str">
        <x:v>Stale/concurrent data</x:v>
      </x:c>
      <x:c r="F495" s="339" t="str">
        <x:v>Detect version/state mismatch before destructive update; require refresh/review.</x:v>
      </x:c>
      <x:c r="G495" s="339" t="str">
        <x:v>This record changed since you opened it. Refresh before saving.</x:v>
      </x:c>
      <x:c r="H495" s="339" t="str">
        <x:v>Reload the latest data and reapply the intended change.</x:v>
      </x:c>
      <x:c r="I495" s="339" t="str">
        <x:v>Record conflict if it affected a high-risk workflow.</x:v>
      </x:c>
    </x:row>
    <x:row r="496">
      <x:c r="A496" s="339" t="str">
        <x:v>EXC-00495</x:v>
      </x:c>
      <x:c r="B496" s="339" t="str">
        <x:v>SCR-186</x:v>
      </x:c>
      <x:c r="C496" s="339" t="str">
        <x:v>Transport / Bus / GPS</x:v>
      </x:c>
      <x:c r="D496" s="339" t="str">
        <x:v>Vehicles</x:v>
      </x:c>
      <x:c r="E496" s="339" t="str">
        <x:v>Unauthorized or out-of-scope record</x:v>
      </x:c>
      <x:c r="F496" s="339" t="str">
        <x:v>Deny access/action; do not reveal existence beyond safe messaging.</x:v>
      </x:c>
      <x:c r="G496" s="339" t="str">
        <x:v>You do not have access to this record.</x:v>
      </x:c>
      <x:c r="H496" s="339" t="str">
        <x:v>Re-authenticate or contact an administrator if access is expected.</x:v>
      </x:c>
      <x:c r="I496" s="339" t="str">
        <x:v>Log security-relevant denial where appropriate.</x:v>
      </x:c>
    </x:row>
    <x:row r="497">
      <x:c r="A497" s="339" t="str">
        <x:v>EXC-00496</x:v>
      </x:c>
      <x:c r="B497" s="339" t="str">
        <x:v>SCR-186</x:v>
      </x:c>
      <x:c r="C497" s="339" t="str">
        <x:v>Transport / Bus / GPS</x:v>
      </x:c>
      <x:c r="D497" s="339" t="str">
        <x:v>Vehicles</x:v>
      </x:c>
      <x:c r="E497" s="339" t="str">
        <x:v>Stale/concurrent data</x:v>
      </x:c>
      <x:c r="F497" s="339" t="str">
        <x:v>Detect version/state mismatch before destructive update; require refresh/review.</x:v>
      </x:c>
      <x:c r="G497" s="339" t="str">
        <x:v>This record changed since you opened it. Refresh before saving.</x:v>
      </x:c>
      <x:c r="H497" s="339" t="str">
        <x:v>Reload the latest data and reapply the intended change.</x:v>
      </x:c>
      <x:c r="I497" s="339" t="str">
        <x:v>Record conflict if it affected a high-risk workflow.</x:v>
      </x:c>
    </x:row>
    <x:row r="498">
      <x:c r="A498" s="339" t="str">
        <x:v>EXC-00497</x:v>
      </x:c>
      <x:c r="B498" s="339" t="str">
        <x:v>SCR-187</x:v>
      </x:c>
      <x:c r="C498" s="339" t="str">
        <x:v>Transport / Bus / GPS</x:v>
      </x:c>
      <x:c r="D498" s="339" t="str">
        <x:v>Add / Edit Vehicle</x:v>
      </x:c>
      <x:c r="E498" s="339" t="str">
        <x:v>Unauthorized or out-of-scope record</x:v>
      </x:c>
      <x:c r="F498" s="339" t="str">
        <x:v>Deny access/action; do not reveal existence beyond safe messaging.</x:v>
      </x:c>
      <x:c r="G498" s="339" t="str">
        <x:v>You do not have access to this record.</x:v>
      </x:c>
      <x:c r="H498" s="339" t="str">
        <x:v>Re-authenticate or contact an administrator if access is expected.</x:v>
      </x:c>
      <x:c r="I498" s="339" t="str">
        <x:v>Log security-relevant denial where appropriate.</x:v>
      </x:c>
    </x:row>
    <x:row r="499">
      <x:c r="A499" s="339" t="str">
        <x:v>EXC-00498</x:v>
      </x:c>
      <x:c r="B499" s="339" t="str">
        <x:v>SCR-187</x:v>
      </x:c>
      <x:c r="C499" s="339" t="str">
        <x:v>Transport / Bus / GPS</x:v>
      </x:c>
      <x:c r="D499" s="339" t="str">
        <x:v>Add / Edit Vehicle</x:v>
      </x:c>
      <x:c r="E499" s="339" t="str">
        <x:v>Stale/concurrent data</x:v>
      </x:c>
      <x:c r="F499" s="339" t="str">
        <x:v>Detect version/state mismatch before destructive update; require refresh/review.</x:v>
      </x:c>
      <x:c r="G499" s="339" t="str">
        <x:v>This record changed since you opened it. Refresh before saving.</x:v>
      </x:c>
      <x:c r="H499" s="339" t="str">
        <x:v>Reload the latest data and reapply the intended change.</x:v>
      </x:c>
      <x:c r="I499" s="339" t="str">
        <x:v>Record conflict if it affected a high-risk workflow.</x:v>
      </x:c>
    </x:row>
    <x:row r="500">
      <x:c r="A500" s="339" t="str">
        <x:v>EXC-00499</x:v>
      </x:c>
      <x:c r="B500" s="339" t="str">
        <x:v>SCR-187</x:v>
      </x:c>
      <x:c r="C500" s="339" t="str">
        <x:v>Transport / Bus / GPS</x:v>
      </x:c>
      <x:c r="D500" s="339" t="str">
        <x:v>Add / Edit Vehicle</x:v>
      </x:c>
      <x:c r="E500" s="339" t="str">
        <x:v>Downstream dependency failure</x:v>
      </x:c>
      <x:c r="F500" s="339" t="str">
        <x:v>Rollback or keep a recoverable pending state; never claim success for an incomplete critical transaction.</x:v>
      </x:c>
      <x:c r="G500" s="339" t="str">
        <x:v>The action could not be completed. No final change was applied.</x:v>
      </x:c>
      <x:c r="H500" s="339" t="str">
        <x:v>Retry safely or route to manual resolution queue.</x:v>
      </x:c>
      <x:c r="I500" s="339" t="str">
        <x:v>Capture correlation/error ID and failed step.</x:v>
      </x:c>
    </x:row>
    <x:row r="501">
      <x:c r="A501" s="339" t="str">
        <x:v>EXC-00500</x:v>
      </x:c>
      <x:c r="B501" s="339" t="str">
        <x:v>SCR-188</x:v>
      </x:c>
      <x:c r="C501" s="339" t="str">
        <x:v>Transport / Bus / GPS</x:v>
      </x:c>
      <x:c r="D501" s="339" t="str">
        <x:v>Vehicle Details</x:v>
      </x:c>
      <x:c r="E501" s="339" t="str">
        <x:v>Unauthorized or out-of-scope record</x:v>
      </x:c>
      <x:c r="F501" s="339" t="str">
        <x:v>Deny access/action; do not reveal existence beyond safe messaging.</x:v>
      </x:c>
      <x:c r="G501" s="339" t="str">
        <x:v>You do not have access to this record.</x:v>
      </x:c>
      <x:c r="H501" s="339" t="str">
        <x:v>Re-authenticate or contact an administrator if access is expected.</x:v>
      </x:c>
      <x:c r="I501" s="339" t="str">
        <x:v>Log security-relevant denial where appropriate.</x:v>
      </x:c>
    </x:row>
    <x:row r="502">
      <x:c r="A502" s="339" t="str">
        <x:v>EXC-00501</x:v>
      </x:c>
      <x:c r="B502" s="339" t="str">
        <x:v>SCR-188</x:v>
      </x:c>
      <x:c r="C502" s="339" t="str">
        <x:v>Transport / Bus / GPS</x:v>
      </x:c>
      <x:c r="D502" s="339" t="str">
        <x:v>Vehicle Details</x:v>
      </x:c>
      <x:c r="E502" s="339" t="str">
        <x:v>Stale/concurrent data</x:v>
      </x:c>
      <x:c r="F502" s="339" t="str">
        <x:v>Detect version/state mismatch before destructive update; require refresh/review.</x:v>
      </x:c>
      <x:c r="G502" s="339" t="str">
        <x:v>This record changed since you opened it. Refresh before saving.</x:v>
      </x:c>
      <x:c r="H502" s="339" t="str">
        <x:v>Reload the latest data and reapply the intended change.</x:v>
      </x:c>
      <x:c r="I502" s="339" t="str">
        <x:v>Record conflict if it affected a high-risk workflow.</x:v>
      </x:c>
    </x:row>
    <x:row r="503">
      <x:c r="A503" s="339" t="str">
        <x:v>EXC-00502</x:v>
      </x:c>
      <x:c r="B503" s="339" t="str">
        <x:v>SCR-189</x:v>
      </x:c>
      <x:c r="C503" s="339" t="str">
        <x:v>Transport / Bus / GPS</x:v>
      </x:c>
      <x:c r="D503" s="339" t="str">
        <x:v>Routes</x:v>
      </x:c>
      <x:c r="E503" s="339" t="str">
        <x:v>Unauthorized or out-of-scope record</x:v>
      </x:c>
      <x:c r="F503" s="339" t="str">
        <x:v>Deny access/action; do not reveal existence beyond safe messaging.</x:v>
      </x:c>
      <x:c r="G503" s="339" t="str">
        <x:v>You do not have access to this record.</x:v>
      </x:c>
      <x:c r="H503" s="339" t="str">
        <x:v>Re-authenticate or contact an administrator if access is expected.</x:v>
      </x:c>
      <x:c r="I503" s="339" t="str">
        <x:v>Log security-relevant denial where appropriate.</x:v>
      </x:c>
    </x:row>
    <x:row r="504">
      <x:c r="A504" s="339" t="str">
        <x:v>EXC-00503</x:v>
      </x:c>
      <x:c r="B504" s="339" t="str">
        <x:v>SCR-189</x:v>
      </x:c>
      <x:c r="C504" s="339" t="str">
        <x:v>Transport / Bus / GPS</x:v>
      </x:c>
      <x:c r="D504" s="339" t="str">
        <x:v>Routes</x:v>
      </x:c>
      <x:c r="E504" s="339" t="str">
        <x:v>Stale/concurrent data</x:v>
      </x:c>
      <x:c r="F504" s="339" t="str">
        <x:v>Detect version/state mismatch before destructive update; require refresh/review.</x:v>
      </x:c>
      <x:c r="G504" s="339" t="str">
        <x:v>This record changed since you opened it. Refresh before saving.</x:v>
      </x:c>
      <x:c r="H504" s="339" t="str">
        <x:v>Reload the latest data and reapply the intended change.</x:v>
      </x:c>
      <x:c r="I504" s="339" t="str">
        <x:v>Record conflict if it affected a high-risk workflow.</x:v>
      </x:c>
    </x:row>
    <x:row r="505">
      <x:c r="A505" s="339" t="str">
        <x:v>EXC-00504</x:v>
      </x:c>
      <x:c r="B505" s="339" t="str">
        <x:v>SCR-190</x:v>
      </x:c>
      <x:c r="C505" s="339" t="str">
        <x:v>Transport / Bus / GPS</x:v>
      </x:c>
      <x:c r="D505" s="339" t="str">
        <x:v>Create / Edit Route</x:v>
      </x:c>
      <x:c r="E505" s="339" t="str">
        <x:v>Unauthorized or out-of-scope record</x:v>
      </x:c>
      <x:c r="F505" s="339" t="str">
        <x:v>Deny access/action; do not reveal existence beyond safe messaging.</x:v>
      </x:c>
      <x:c r="G505" s="339" t="str">
        <x:v>You do not have access to this record.</x:v>
      </x:c>
      <x:c r="H505" s="339" t="str">
        <x:v>Re-authenticate or contact an administrator if access is expected.</x:v>
      </x:c>
      <x:c r="I505" s="339" t="str">
        <x:v>Log security-relevant denial where appropriate.</x:v>
      </x:c>
    </x:row>
    <x:row r="506">
      <x:c r="A506" s="339" t="str">
        <x:v>EXC-00505</x:v>
      </x:c>
      <x:c r="B506" s="339" t="str">
        <x:v>SCR-190</x:v>
      </x:c>
      <x:c r="C506" s="339" t="str">
        <x:v>Transport / Bus / GPS</x:v>
      </x:c>
      <x:c r="D506" s="339" t="str">
        <x:v>Create / Edit Route</x:v>
      </x:c>
      <x:c r="E506" s="339" t="str">
        <x:v>Stale/concurrent data</x:v>
      </x:c>
      <x:c r="F506" s="339" t="str">
        <x:v>Detect version/state mismatch before destructive update; require refresh/review.</x:v>
      </x:c>
      <x:c r="G506" s="339" t="str">
        <x:v>This record changed since you opened it. Refresh before saving.</x:v>
      </x:c>
      <x:c r="H506" s="339" t="str">
        <x:v>Reload the latest data and reapply the intended change.</x:v>
      </x:c>
      <x:c r="I506" s="339" t="str">
        <x:v>Record conflict if it affected a high-risk workflow.</x:v>
      </x:c>
    </x:row>
    <x:row r="507">
      <x:c r="A507" s="339" t="str">
        <x:v>EXC-00506</x:v>
      </x:c>
      <x:c r="B507" s="339" t="str">
        <x:v>SCR-190</x:v>
      </x:c>
      <x:c r="C507" s="339" t="str">
        <x:v>Transport / Bus / GPS</x:v>
      </x:c>
      <x:c r="D507" s="339" t="str">
        <x:v>Create / Edit Route</x:v>
      </x:c>
      <x:c r="E507" s="339" t="str">
        <x:v>Downstream dependency failure</x:v>
      </x:c>
      <x:c r="F507" s="339" t="str">
        <x:v>Rollback or keep a recoverable pending state; never claim success for an incomplete critical transaction.</x:v>
      </x:c>
      <x:c r="G507" s="339" t="str">
        <x:v>The action could not be completed. No final change was applied.</x:v>
      </x:c>
      <x:c r="H507" s="339" t="str">
        <x:v>Retry safely or route to manual resolution queue.</x:v>
      </x:c>
      <x:c r="I507" s="339" t="str">
        <x:v>Capture correlation/error ID and failed step.</x:v>
      </x:c>
    </x:row>
    <x:row r="508">
      <x:c r="A508" s="339" t="str">
        <x:v>EXC-00507</x:v>
      </x:c>
      <x:c r="B508" s="339" t="str">
        <x:v>SCR-191</x:v>
      </x:c>
      <x:c r="C508" s="339" t="str">
        <x:v>Transport / Bus / GPS</x:v>
      </x:c>
      <x:c r="D508" s="339" t="str">
        <x:v>Stops</x:v>
      </x:c>
      <x:c r="E508" s="339" t="str">
        <x:v>Unauthorized or out-of-scope record</x:v>
      </x:c>
      <x:c r="F508" s="339" t="str">
        <x:v>Deny access/action; do not reveal existence beyond safe messaging.</x:v>
      </x:c>
      <x:c r="G508" s="339" t="str">
        <x:v>You do not have access to this record.</x:v>
      </x:c>
      <x:c r="H508" s="339" t="str">
        <x:v>Re-authenticate or contact an administrator if access is expected.</x:v>
      </x:c>
      <x:c r="I508" s="339" t="str">
        <x:v>Log security-relevant denial where appropriate.</x:v>
      </x:c>
    </x:row>
    <x:row r="509">
      <x:c r="A509" s="339" t="str">
        <x:v>EXC-00508</x:v>
      </x:c>
      <x:c r="B509" s="339" t="str">
        <x:v>SCR-191</x:v>
      </x:c>
      <x:c r="C509" s="339" t="str">
        <x:v>Transport / Bus / GPS</x:v>
      </x:c>
      <x:c r="D509" s="339" t="str">
        <x:v>Stops</x:v>
      </x:c>
      <x:c r="E509" s="339" t="str">
        <x:v>Stale/concurrent data</x:v>
      </x:c>
      <x:c r="F509" s="339" t="str">
        <x:v>Detect version/state mismatch before destructive update; require refresh/review.</x:v>
      </x:c>
      <x:c r="G509" s="339" t="str">
        <x:v>This record changed since you opened it. Refresh before saving.</x:v>
      </x:c>
      <x:c r="H509" s="339" t="str">
        <x:v>Reload the latest data and reapply the intended change.</x:v>
      </x:c>
      <x:c r="I509" s="339" t="str">
        <x:v>Record conflict if it affected a high-risk workflow.</x:v>
      </x:c>
    </x:row>
    <x:row r="510">
      <x:c r="A510" s="339" t="str">
        <x:v>EXC-00509</x:v>
      </x:c>
      <x:c r="B510" s="339" t="str">
        <x:v>SCR-191</x:v>
      </x:c>
      <x:c r="C510" s="339" t="str">
        <x:v>Transport / Bus / GPS</x:v>
      </x:c>
      <x:c r="D510" s="339" t="str">
        <x:v>Stops</x:v>
      </x:c>
      <x:c r="E510" s="339" t="str">
        <x:v>Downstream dependency failure</x:v>
      </x:c>
      <x:c r="F510" s="339" t="str">
        <x:v>Rollback or keep a recoverable pending state; never claim success for an incomplete critical transaction.</x:v>
      </x:c>
      <x:c r="G510" s="339" t="str">
        <x:v>The action could not be completed. No final change was applied.</x:v>
      </x:c>
      <x:c r="H510" s="339" t="str">
        <x:v>Retry safely or route to manual resolution queue.</x:v>
      </x:c>
      <x:c r="I510" s="339" t="str">
        <x:v>Capture correlation/error ID and failed step.</x:v>
      </x:c>
    </x:row>
    <x:row r="511">
      <x:c r="A511" s="339" t="str">
        <x:v>EXC-00510</x:v>
      </x:c>
      <x:c r="B511" s="339" t="str">
        <x:v>SCR-192</x:v>
      </x:c>
      <x:c r="C511" s="339" t="str">
        <x:v>Transport / Bus / GPS</x:v>
      </x:c>
      <x:c r="D511" s="339" t="str">
        <x:v>Drivers &amp; Conductors</x:v>
      </x:c>
      <x:c r="E511" s="339" t="str">
        <x:v>Unauthorized or out-of-scope record</x:v>
      </x:c>
      <x:c r="F511" s="339" t="str">
        <x:v>Deny access/action; do not reveal existence beyond safe messaging.</x:v>
      </x:c>
      <x:c r="G511" s="339" t="str">
        <x:v>You do not have access to this record.</x:v>
      </x:c>
      <x:c r="H511" s="339" t="str">
        <x:v>Re-authenticate or contact an administrator if access is expected.</x:v>
      </x:c>
      <x:c r="I511" s="339" t="str">
        <x:v>Log security-relevant denial where appropriate.</x:v>
      </x:c>
    </x:row>
    <x:row r="512">
      <x:c r="A512" s="339" t="str">
        <x:v>EXC-00511</x:v>
      </x:c>
      <x:c r="B512" s="339" t="str">
        <x:v>SCR-192</x:v>
      </x:c>
      <x:c r="C512" s="339" t="str">
        <x:v>Transport / Bus / GPS</x:v>
      </x:c>
      <x:c r="D512" s="339" t="str">
        <x:v>Drivers &amp; Conductors</x:v>
      </x:c>
      <x:c r="E512" s="339" t="str">
        <x:v>Stale/concurrent data</x:v>
      </x:c>
      <x:c r="F512" s="339" t="str">
        <x:v>Detect version/state mismatch before destructive update; require refresh/review.</x:v>
      </x:c>
      <x:c r="G512" s="339" t="str">
        <x:v>This record changed since you opened it. Refresh before saving.</x:v>
      </x:c>
      <x:c r="H512" s="339" t="str">
        <x:v>Reload the latest data and reapply the intended change.</x:v>
      </x:c>
      <x:c r="I512" s="339" t="str">
        <x:v>Record conflict if it affected a high-risk workflow.</x:v>
      </x:c>
    </x:row>
    <x:row r="513">
      <x:c r="A513" s="339" t="str">
        <x:v>EXC-00512</x:v>
      </x:c>
      <x:c r="B513" s="339" t="str">
        <x:v>SCR-192</x:v>
      </x:c>
      <x:c r="C513" s="339" t="str">
        <x:v>Transport / Bus / GPS</x:v>
      </x:c>
      <x:c r="D513" s="339" t="str">
        <x:v>Drivers &amp; Conductors</x:v>
      </x:c>
      <x:c r="E513" s="339" t="str">
        <x:v>Downstream dependency failure</x:v>
      </x:c>
      <x:c r="F513" s="339" t="str">
        <x:v>Rollback or keep a recoverable pending state; never claim success for an incomplete critical transaction.</x:v>
      </x:c>
      <x:c r="G513" s="339" t="str">
        <x:v>The action could not be completed. No final change was applied.</x:v>
      </x:c>
      <x:c r="H513" s="339" t="str">
        <x:v>Retry safely or route to manual resolution queue.</x:v>
      </x:c>
      <x:c r="I513" s="339" t="str">
        <x:v>Capture correlation/error ID and failed step.</x:v>
      </x:c>
    </x:row>
    <x:row r="514">
      <x:c r="A514" s="339" t="str">
        <x:v>EXC-00513</x:v>
      </x:c>
      <x:c r="B514" s="339" t="str">
        <x:v>SCR-193</x:v>
      </x:c>
      <x:c r="C514" s="339" t="str">
        <x:v>Transport / Bus / GPS</x:v>
      </x:c>
      <x:c r="D514" s="339" t="str">
        <x:v>Student Route Assignment</x:v>
      </x:c>
      <x:c r="E514" s="339" t="str">
        <x:v>Unauthorized or out-of-scope record</x:v>
      </x:c>
      <x:c r="F514" s="339" t="str">
        <x:v>Deny access/action; do not reveal existence beyond safe messaging.</x:v>
      </x:c>
      <x:c r="G514" s="339" t="str">
        <x:v>You do not have access to this record.</x:v>
      </x:c>
      <x:c r="H514" s="339" t="str">
        <x:v>Re-authenticate or contact an administrator if access is expected.</x:v>
      </x:c>
      <x:c r="I514" s="339" t="str">
        <x:v>Log security-relevant denial where appropriate.</x:v>
      </x:c>
    </x:row>
    <x:row r="515">
      <x:c r="A515" s="339" t="str">
        <x:v>EXC-00514</x:v>
      </x:c>
      <x:c r="B515" s="339" t="str">
        <x:v>SCR-193</x:v>
      </x:c>
      <x:c r="C515" s="339" t="str">
        <x:v>Transport / Bus / GPS</x:v>
      </x:c>
      <x:c r="D515" s="339" t="str">
        <x:v>Student Route Assignment</x:v>
      </x:c>
      <x:c r="E515" s="339" t="str">
        <x:v>Stale/concurrent data</x:v>
      </x:c>
      <x:c r="F515" s="339" t="str">
        <x:v>Detect version/state mismatch before destructive update; require refresh/review.</x:v>
      </x:c>
      <x:c r="G515" s="339" t="str">
        <x:v>This record changed since you opened it. Refresh before saving.</x:v>
      </x:c>
      <x:c r="H515" s="339" t="str">
        <x:v>Reload the latest data and reapply the intended change.</x:v>
      </x:c>
      <x:c r="I515" s="339" t="str">
        <x:v>Record conflict if it affected a high-risk workflow.</x:v>
      </x:c>
    </x:row>
    <x:row r="516">
      <x:c r="A516" s="339" t="str">
        <x:v>EXC-00515</x:v>
      </x:c>
      <x:c r="B516" s="339" t="str">
        <x:v>SCR-193</x:v>
      </x:c>
      <x:c r="C516" s="339" t="str">
        <x:v>Transport / Bus / GPS</x:v>
      </x:c>
      <x:c r="D516" s="339" t="str">
        <x:v>Student Route Assignment</x:v>
      </x:c>
      <x:c r="E516" s="339" t="str">
        <x:v>Downstream dependency failure</x:v>
      </x:c>
      <x:c r="F516" s="339" t="str">
        <x:v>Rollback or keep a recoverable pending state; never claim success for an incomplete critical transaction.</x:v>
      </x:c>
      <x:c r="G516" s="339" t="str">
        <x:v>The action could not be completed. No final change was applied.</x:v>
      </x:c>
      <x:c r="H516" s="339" t="str">
        <x:v>Retry safely or route to manual resolution queue.</x:v>
      </x:c>
      <x:c r="I516" s="339" t="str">
        <x:v>Capture correlation/error ID and failed step.</x:v>
      </x:c>
    </x:row>
    <x:row r="517">
      <x:c r="A517" s="339" t="str">
        <x:v>EXC-00516</x:v>
      </x:c>
      <x:c r="B517" s="339" t="str">
        <x:v>SCR-194</x:v>
      </x:c>
      <x:c r="C517" s="339" t="str">
        <x:v>Transport / Bus / GPS</x:v>
      </x:c>
      <x:c r="D517" s="339" t="str">
        <x:v>Trip Sheet</x:v>
      </x:c>
      <x:c r="E517" s="339" t="str">
        <x:v>Unauthorized or out-of-scope record</x:v>
      </x:c>
      <x:c r="F517" s="339" t="str">
        <x:v>Deny access/action; do not reveal existence beyond safe messaging.</x:v>
      </x:c>
      <x:c r="G517" s="339" t="str">
        <x:v>You do not have access to this record.</x:v>
      </x:c>
      <x:c r="H517" s="339" t="str">
        <x:v>Re-authenticate or contact an administrator if access is expected.</x:v>
      </x:c>
      <x:c r="I517" s="339" t="str">
        <x:v>Log security-relevant denial where appropriate.</x:v>
      </x:c>
    </x:row>
    <x:row r="518">
      <x:c r="A518" s="339" t="str">
        <x:v>EXC-00517</x:v>
      </x:c>
      <x:c r="B518" s="339" t="str">
        <x:v>SCR-194</x:v>
      </x:c>
      <x:c r="C518" s="339" t="str">
        <x:v>Transport / Bus / GPS</x:v>
      </x:c>
      <x:c r="D518" s="339" t="str">
        <x:v>Trip Sheet</x:v>
      </x:c>
      <x:c r="E518" s="339" t="str">
        <x:v>Stale/concurrent data</x:v>
      </x:c>
      <x:c r="F518" s="339" t="str">
        <x:v>Detect version/state mismatch before destructive update; require refresh/review.</x:v>
      </x:c>
      <x:c r="G518" s="339" t="str">
        <x:v>This record changed since you opened it. Refresh before saving.</x:v>
      </x:c>
      <x:c r="H518" s="339" t="str">
        <x:v>Reload the latest data and reapply the intended change.</x:v>
      </x:c>
      <x:c r="I518" s="339" t="str">
        <x:v>Record conflict if it affected a high-risk workflow.</x:v>
      </x:c>
    </x:row>
    <x:row r="519">
      <x:c r="A519" s="339" t="str">
        <x:v>EXC-00518</x:v>
      </x:c>
      <x:c r="B519" s="339" t="str">
        <x:v>SCR-194</x:v>
      </x:c>
      <x:c r="C519" s="339" t="str">
        <x:v>Transport / Bus / GPS</x:v>
      </x:c>
      <x:c r="D519" s="339" t="str">
        <x:v>Trip Sheet</x:v>
      </x:c>
      <x:c r="E519" s="339" t="str">
        <x:v>Downstream dependency failure</x:v>
      </x:c>
      <x:c r="F519" s="339" t="str">
        <x:v>Rollback or keep a recoverable pending state; never claim success for an incomplete critical transaction.</x:v>
      </x:c>
      <x:c r="G519" s="339" t="str">
        <x:v>The action could not be completed. No final change was applied.</x:v>
      </x:c>
      <x:c r="H519" s="339" t="str">
        <x:v>Retry safely or route to manual resolution queue.</x:v>
      </x:c>
      <x:c r="I519" s="339" t="str">
        <x:v>Capture correlation/error ID and failed step.</x:v>
      </x:c>
    </x:row>
    <x:row r="520">
      <x:c r="A520" s="339" t="str">
        <x:v>EXC-00519</x:v>
      </x:c>
      <x:c r="B520" s="339" t="str">
        <x:v>SCR-195</x:v>
      </x:c>
      <x:c r="C520" s="339" t="str">
        <x:v>Transport / Bus / GPS</x:v>
      </x:c>
      <x:c r="D520" s="339" t="str">
        <x:v>Live GPS Tracking</x:v>
      </x:c>
      <x:c r="E520" s="339" t="str">
        <x:v>Unauthorized or out-of-scope record</x:v>
      </x:c>
      <x:c r="F520" s="339" t="str">
        <x:v>Deny access/action; do not reveal existence beyond safe messaging.</x:v>
      </x:c>
      <x:c r="G520" s="339" t="str">
        <x:v>You do not have access to this record.</x:v>
      </x:c>
      <x:c r="H520" s="339" t="str">
        <x:v>Re-authenticate or contact an administrator if access is expected.</x:v>
      </x:c>
      <x:c r="I520" s="339" t="str">
        <x:v>Log security-relevant denial where appropriate.</x:v>
      </x:c>
    </x:row>
    <x:row r="521">
      <x:c r="A521" s="339" t="str">
        <x:v>EXC-00520</x:v>
      </x:c>
      <x:c r="B521" s="339" t="str">
        <x:v>SCR-195</x:v>
      </x:c>
      <x:c r="C521" s="339" t="str">
        <x:v>Transport / Bus / GPS</x:v>
      </x:c>
      <x:c r="D521" s="339" t="str">
        <x:v>Live GPS Tracking</x:v>
      </x:c>
      <x:c r="E521" s="339" t="str">
        <x:v>Stale/concurrent data</x:v>
      </x:c>
      <x:c r="F521" s="339" t="str">
        <x:v>Detect version/state mismatch before destructive update; require refresh/review.</x:v>
      </x:c>
      <x:c r="G521" s="339" t="str">
        <x:v>This record changed since you opened it. Refresh before saving.</x:v>
      </x:c>
      <x:c r="H521" s="339" t="str">
        <x:v>Reload the latest data and reapply the intended change.</x:v>
      </x:c>
      <x:c r="I521" s="339" t="str">
        <x:v>Record conflict if it affected a high-risk workflow.</x:v>
      </x:c>
    </x:row>
    <x:row r="522">
      <x:c r="A522" s="339" t="str">
        <x:v>EXC-00521</x:v>
      </x:c>
      <x:c r="B522" s="339" t="str">
        <x:v>SCR-195</x:v>
      </x:c>
      <x:c r="C522" s="339" t="str">
        <x:v>Transport / Bus / GPS</x:v>
      </x:c>
      <x:c r="D522" s="339" t="str">
        <x:v>Live GPS Tracking</x:v>
      </x:c>
      <x:c r="E522" s="339" t="str">
        <x:v>Downstream dependency failure</x:v>
      </x:c>
      <x:c r="F522" s="339" t="str">
        <x:v>Rollback or keep a recoverable pending state; never claim success for an incomplete critical transaction.</x:v>
      </x:c>
      <x:c r="G522" s="339" t="str">
        <x:v>The action could not be completed. No final change was applied.</x:v>
      </x:c>
      <x:c r="H522" s="339" t="str">
        <x:v>Retry safely or route to manual resolution queue.</x:v>
      </x:c>
      <x:c r="I522" s="339" t="str">
        <x:v>Capture correlation/error ID and failed step.</x:v>
      </x:c>
    </x:row>
    <x:row r="523">
      <x:c r="A523" s="339" t="str">
        <x:v>EXC-00522</x:v>
      </x:c>
      <x:c r="B523" s="339" t="str">
        <x:v>SCR-196</x:v>
      </x:c>
      <x:c r="C523" s="339" t="str">
        <x:v>Transport / Bus / GPS</x:v>
      </x:c>
      <x:c r="D523" s="339" t="str">
        <x:v>Boarding / Drop Attendance</x:v>
      </x:c>
      <x:c r="E523" s="339" t="str">
        <x:v>Unauthorized or out-of-scope record</x:v>
      </x:c>
      <x:c r="F523" s="339" t="str">
        <x:v>Deny access/action; do not reveal existence beyond safe messaging.</x:v>
      </x:c>
      <x:c r="G523" s="339" t="str">
        <x:v>You do not have access to this record.</x:v>
      </x:c>
      <x:c r="H523" s="339" t="str">
        <x:v>Re-authenticate or contact an administrator if access is expected.</x:v>
      </x:c>
      <x:c r="I523" s="339" t="str">
        <x:v>Log security-relevant denial where appropriate.</x:v>
      </x:c>
    </x:row>
    <x:row r="524">
      <x:c r="A524" s="339" t="str">
        <x:v>EXC-00523</x:v>
      </x:c>
      <x:c r="B524" s="339" t="str">
        <x:v>SCR-196</x:v>
      </x:c>
      <x:c r="C524" s="339" t="str">
        <x:v>Transport / Bus / GPS</x:v>
      </x:c>
      <x:c r="D524" s="339" t="str">
        <x:v>Boarding / Drop Attendance</x:v>
      </x:c>
      <x:c r="E524" s="339" t="str">
        <x:v>Stale/concurrent data</x:v>
      </x:c>
      <x:c r="F524" s="339" t="str">
        <x:v>Detect version/state mismatch before destructive update; require refresh/review.</x:v>
      </x:c>
      <x:c r="G524" s="339" t="str">
        <x:v>This record changed since you opened it. Refresh before saving.</x:v>
      </x:c>
      <x:c r="H524" s="339" t="str">
        <x:v>Reload the latest data and reapply the intended change.</x:v>
      </x:c>
      <x:c r="I524" s="339" t="str">
        <x:v>Record conflict if it affected a high-risk workflow.</x:v>
      </x:c>
    </x:row>
    <x:row r="525">
      <x:c r="A525" s="339" t="str">
        <x:v>EXC-00524</x:v>
      </x:c>
      <x:c r="B525" s="339" t="str">
        <x:v>SCR-196</x:v>
      </x:c>
      <x:c r="C525" s="339" t="str">
        <x:v>Transport / Bus / GPS</x:v>
      </x:c>
      <x:c r="D525" s="339" t="str">
        <x:v>Boarding / Drop Attendance</x:v>
      </x:c>
      <x:c r="E525" s="339" t="str">
        <x:v>Downstream dependency failure</x:v>
      </x:c>
      <x:c r="F525" s="339" t="str">
        <x:v>Rollback or keep a recoverable pending state; never claim success for an incomplete critical transaction.</x:v>
      </x:c>
      <x:c r="G525" s="339" t="str">
        <x:v>The action could not be completed. No final change was applied.</x:v>
      </x:c>
      <x:c r="H525" s="339" t="str">
        <x:v>Retry safely or route to manual resolution queue.</x:v>
      </x:c>
      <x:c r="I525" s="339" t="str">
        <x:v>Capture correlation/error ID and failed step.</x:v>
      </x:c>
    </x:row>
    <x:row r="526">
      <x:c r="A526" s="339" t="str">
        <x:v>EXC-00525</x:v>
      </x:c>
      <x:c r="B526" s="339" t="str">
        <x:v>SCR-197</x:v>
      </x:c>
      <x:c r="C526" s="339" t="str">
        <x:v>Transport / Bus / GPS</x:v>
      </x:c>
      <x:c r="D526" s="339" t="str">
        <x:v>Vehicle Maintenance &amp; Fuel</x:v>
      </x:c>
      <x:c r="E526" s="339" t="str">
        <x:v>Unauthorized or out-of-scope record</x:v>
      </x:c>
      <x:c r="F526" s="339" t="str">
        <x:v>Deny access/action; do not reveal existence beyond safe messaging.</x:v>
      </x:c>
      <x:c r="G526" s="339" t="str">
        <x:v>You do not have access to this record.</x:v>
      </x:c>
      <x:c r="H526" s="339" t="str">
        <x:v>Re-authenticate or contact an administrator if access is expected.</x:v>
      </x:c>
      <x:c r="I526" s="339" t="str">
        <x:v>Log security-relevant denial where appropriate.</x:v>
      </x:c>
    </x:row>
    <x:row r="527">
      <x:c r="A527" s="339" t="str">
        <x:v>EXC-00526</x:v>
      </x:c>
      <x:c r="B527" s="339" t="str">
        <x:v>SCR-197</x:v>
      </x:c>
      <x:c r="C527" s="339" t="str">
        <x:v>Transport / Bus / GPS</x:v>
      </x:c>
      <x:c r="D527" s="339" t="str">
        <x:v>Vehicle Maintenance &amp; Fuel</x:v>
      </x:c>
      <x:c r="E527" s="339" t="str">
        <x:v>Stale/concurrent data</x:v>
      </x:c>
      <x:c r="F527" s="339" t="str">
        <x:v>Detect version/state mismatch before destructive update; require refresh/review.</x:v>
      </x:c>
      <x:c r="G527" s="339" t="str">
        <x:v>This record changed since you opened it. Refresh before saving.</x:v>
      </x:c>
      <x:c r="H527" s="339" t="str">
        <x:v>Reload the latest data and reapply the intended change.</x:v>
      </x:c>
      <x:c r="I527" s="339" t="str">
        <x:v>Record conflict if it affected a high-risk workflow.</x:v>
      </x:c>
    </x:row>
    <x:row r="528">
      <x:c r="A528" s="339" t="str">
        <x:v>EXC-00527</x:v>
      </x:c>
      <x:c r="B528" s="339" t="str">
        <x:v>SCR-197</x:v>
      </x:c>
      <x:c r="C528" s="339" t="str">
        <x:v>Transport / Bus / GPS</x:v>
      </x:c>
      <x:c r="D528" s="339" t="str">
        <x:v>Vehicle Maintenance &amp; Fuel</x:v>
      </x:c>
      <x:c r="E528" s="339" t="str">
        <x:v>Downstream dependency failure</x:v>
      </x:c>
      <x:c r="F528" s="339" t="str">
        <x:v>Rollback or keep a recoverable pending state; never claim success for an incomplete critical transaction.</x:v>
      </x:c>
      <x:c r="G528" s="339" t="str">
        <x:v>The action could not be completed. No final change was applied.</x:v>
      </x:c>
      <x:c r="H528" s="339" t="str">
        <x:v>Retry safely or route to manual resolution queue.</x:v>
      </x:c>
      <x:c r="I528" s="339" t="str">
        <x:v>Capture correlation/error ID and failed step.</x:v>
      </x:c>
    </x:row>
    <x:row r="529">
      <x:c r="A529" s="339" t="str">
        <x:v>EXC-00528</x:v>
      </x:c>
      <x:c r="B529" s="339" t="str">
        <x:v>SCR-198</x:v>
      </x:c>
      <x:c r="C529" s="339" t="str">
        <x:v>Library</x:v>
      </x:c>
      <x:c r="D529" s="339" t="str">
        <x:v>Library Catalogue</x:v>
      </x:c>
      <x:c r="E529" s="339" t="str">
        <x:v>Unauthorized or out-of-scope record</x:v>
      </x:c>
      <x:c r="F529" s="339" t="str">
        <x:v>Deny access/action; do not reveal existence beyond safe messaging.</x:v>
      </x:c>
      <x:c r="G529" s="339" t="str">
        <x:v>You do not have access to this record.</x:v>
      </x:c>
      <x:c r="H529" s="339" t="str">
        <x:v>Re-authenticate or contact an administrator if access is expected.</x:v>
      </x:c>
      <x:c r="I529" s="339" t="str">
        <x:v>Log security-relevant denial where appropriate.</x:v>
      </x:c>
    </x:row>
    <x:row r="530">
      <x:c r="A530" s="339" t="str">
        <x:v>EXC-00529</x:v>
      </x:c>
      <x:c r="B530" s="339" t="str">
        <x:v>SCR-198</x:v>
      </x:c>
      <x:c r="C530" s="339" t="str">
        <x:v>Library</x:v>
      </x:c>
      <x:c r="D530" s="339" t="str">
        <x:v>Library Catalogue</x:v>
      </x:c>
      <x:c r="E530" s="339" t="str">
        <x:v>Stale/concurrent data</x:v>
      </x:c>
      <x:c r="F530" s="339" t="str">
        <x:v>Detect version/state mismatch before destructive update; require refresh/review.</x:v>
      </x:c>
      <x:c r="G530" s="339" t="str">
        <x:v>This record changed since you opened it. Refresh before saving.</x:v>
      </x:c>
      <x:c r="H530" s="339" t="str">
        <x:v>Reload the latest data and reapply the intended change.</x:v>
      </x:c>
      <x:c r="I530" s="339" t="str">
        <x:v>Record conflict if it affected a high-risk workflow.</x:v>
      </x:c>
    </x:row>
    <x:row r="531">
      <x:c r="A531" s="339" t="str">
        <x:v>EXC-00530</x:v>
      </x:c>
      <x:c r="B531" s="339" t="str">
        <x:v>SCR-199</x:v>
      </x:c>
      <x:c r="C531" s="339" t="str">
        <x:v>Library</x:v>
      </x:c>
      <x:c r="D531" s="339" t="str">
        <x:v>Add / Edit Book</x:v>
      </x:c>
      <x:c r="E531" s="339" t="str">
        <x:v>Unauthorized or out-of-scope record</x:v>
      </x:c>
      <x:c r="F531" s="339" t="str">
        <x:v>Deny access/action; do not reveal existence beyond safe messaging.</x:v>
      </x:c>
      <x:c r="G531" s="339" t="str">
        <x:v>You do not have access to this record.</x:v>
      </x:c>
      <x:c r="H531" s="339" t="str">
        <x:v>Re-authenticate or contact an administrator if access is expected.</x:v>
      </x:c>
      <x:c r="I531" s="339" t="str">
        <x:v>Log security-relevant denial where appropriate.</x:v>
      </x:c>
    </x:row>
    <x:row r="532">
      <x:c r="A532" s="339" t="str">
        <x:v>EXC-00531</x:v>
      </x:c>
      <x:c r="B532" s="339" t="str">
        <x:v>SCR-199</x:v>
      </x:c>
      <x:c r="C532" s="339" t="str">
        <x:v>Library</x:v>
      </x:c>
      <x:c r="D532" s="339" t="str">
        <x:v>Add / Edit Book</x:v>
      </x:c>
      <x:c r="E532" s="339" t="str">
        <x:v>Stale/concurrent data</x:v>
      </x:c>
      <x:c r="F532" s="339" t="str">
        <x:v>Detect version/state mismatch before destructive update; require refresh/review.</x:v>
      </x:c>
      <x:c r="G532" s="339" t="str">
        <x:v>This record changed since you opened it. Refresh before saving.</x:v>
      </x:c>
      <x:c r="H532" s="339" t="str">
        <x:v>Reload the latest data and reapply the intended change.</x:v>
      </x:c>
      <x:c r="I532" s="339" t="str">
        <x:v>Record conflict if it affected a high-risk workflow.</x:v>
      </x:c>
    </x:row>
    <x:row r="533">
      <x:c r="A533" s="339" t="str">
        <x:v>EXC-00532</x:v>
      </x:c>
      <x:c r="B533" s="339" t="str">
        <x:v>SCR-199</x:v>
      </x:c>
      <x:c r="C533" s="339" t="str">
        <x:v>Library</x:v>
      </x:c>
      <x:c r="D533" s="339" t="str">
        <x:v>Add / Edit Book</x:v>
      </x:c>
      <x:c r="E533" s="339" t="str">
        <x:v>Downstream dependency failure</x:v>
      </x:c>
      <x:c r="F533" s="339" t="str">
        <x:v>Rollback or keep a recoverable pending state; never claim success for an incomplete critical transaction.</x:v>
      </x:c>
      <x:c r="G533" s="339" t="str">
        <x:v>The action could not be completed. No final change was applied.</x:v>
      </x:c>
      <x:c r="H533" s="339" t="str">
        <x:v>Retry safely or route to manual resolution queue.</x:v>
      </x:c>
      <x:c r="I533" s="339" t="str">
        <x:v>Capture correlation/error ID and failed step.</x:v>
      </x:c>
    </x:row>
    <x:row r="534">
      <x:c r="A534" s="339" t="str">
        <x:v>EXC-00533</x:v>
      </x:c>
      <x:c r="B534" s="339" t="str">
        <x:v>SCR-200</x:v>
      </x:c>
      <x:c r="C534" s="339" t="str">
        <x:v>Library</x:v>
      </x:c>
      <x:c r="D534" s="339" t="str">
        <x:v>Book Details &amp; Copies</x:v>
      </x:c>
      <x:c r="E534" s="339" t="str">
        <x:v>Unauthorized or out-of-scope record</x:v>
      </x:c>
      <x:c r="F534" s="339" t="str">
        <x:v>Deny access/action; do not reveal existence beyond safe messaging.</x:v>
      </x:c>
      <x:c r="G534" s="339" t="str">
        <x:v>You do not have access to this record.</x:v>
      </x:c>
      <x:c r="H534" s="339" t="str">
        <x:v>Re-authenticate or contact an administrator if access is expected.</x:v>
      </x:c>
      <x:c r="I534" s="339" t="str">
        <x:v>Log security-relevant denial where appropriate.</x:v>
      </x:c>
    </x:row>
    <x:row r="535">
      <x:c r="A535" s="339" t="str">
        <x:v>EXC-00534</x:v>
      </x:c>
      <x:c r="B535" s="339" t="str">
        <x:v>SCR-200</x:v>
      </x:c>
      <x:c r="C535" s="339" t="str">
        <x:v>Library</x:v>
      </x:c>
      <x:c r="D535" s="339" t="str">
        <x:v>Book Details &amp; Copies</x:v>
      </x:c>
      <x:c r="E535" s="339" t="str">
        <x:v>Stale/concurrent data</x:v>
      </x:c>
      <x:c r="F535" s="339" t="str">
        <x:v>Detect version/state mismatch before destructive update; require refresh/review.</x:v>
      </x:c>
      <x:c r="G535" s="339" t="str">
        <x:v>This record changed since you opened it. Refresh before saving.</x:v>
      </x:c>
      <x:c r="H535" s="339" t="str">
        <x:v>Reload the latest data and reapply the intended change.</x:v>
      </x:c>
      <x:c r="I535" s="339" t="str">
        <x:v>Record conflict if it affected a high-risk workflow.</x:v>
      </x:c>
    </x:row>
    <x:row r="536">
      <x:c r="A536" s="339" t="str">
        <x:v>EXC-00535</x:v>
      </x:c>
      <x:c r="B536" s="339" t="str">
        <x:v>SCR-201</x:v>
      </x:c>
      <x:c r="C536" s="339" t="str">
        <x:v>Library</x:v>
      </x:c>
      <x:c r="D536" s="339" t="str">
        <x:v>Library Members</x:v>
      </x:c>
      <x:c r="E536" s="339" t="str">
        <x:v>Unauthorized or out-of-scope record</x:v>
      </x:c>
      <x:c r="F536" s="339" t="str">
        <x:v>Deny access/action; do not reveal existence beyond safe messaging.</x:v>
      </x:c>
      <x:c r="G536" s="339" t="str">
        <x:v>You do not have access to this record.</x:v>
      </x:c>
      <x:c r="H536" s="339" t="str">
        <x:v>Re-authenticate or contact an administrator if access is expected.</x:v>
      </x:c>
      <x:c r="I536" s="339" t="str">
        <x:v>Log security-relevant denial where appropriate.</x:v>
      </x:c>
    </x:row>
    <x:row r="537">
      <x:c r="A537" s="339" t="str">
        <x:v>EXC-00536</x:v>
      </x:c>
      <x:c r="B537" s="339" t="str">
        <x:v>SCR-201</x:v>
      </x:c>
      <x:c r="C537" s="339" t="str">
        <x:v>Library</x:v>
      </x:c>
      <x:c r="D537" s="339" t="str">
        <x:v>Library Members</x:v>
      </x:c>
      <x:c r="E537" s="339" t="str">
        <x:v>Stale/concurrent data</x:v>
      </x:c>
      <x:c r="F537" s="339" t="str">
        <x:v>Detect version/state mismatch before destructive update; require refresh/review.</x:v>
      </x:c>
      <x:c r="G537" s="339" t="str">
        <x:v>This record changed since you opened it. Refresh before saving.</x:v>
      </x:c>
      <x:c r="H537" s="339" t="str">
        <x:v>Reload the latest data and reapply the intended change.</x:v>
      </x:c>
      <x:c r="I537" s="339" t="str">
        <x:v>Record conflict if it affected a high-risk workflow.</x:v>
      </x:c>
    </x:row>
    <x:row r="538">
      <x:c r="A538" s="339" t="str">
        <x:v>EXC-00537</x:v>
      </x:c>
      <x:c r="B538" s="339" t="str">
        <x:v>SCR-202</x:v>
      </x:c>
      <x:c r="C538" s="339" t="str">
        <x:v>Library</x:v>
      </x:c>
      <x:c r="D538" s="339" t="str">
        <x:v>Issue Book</x:v>
      </x:c>
      <x:c r="E538" s="339" t="str">
        <x:v>Unauthorized or out-of-scope record</x:v>
      </x:c>
      <x:c r="F538" s="339" t="str">
        <x:v>Deny access/action; do not reveal existence beyond safe messaging.</x:v>
      </x:c>
      <x:c r="G538" s="339" t="str">
        <x:v>You do not have access to this record.</x:v>
      </x:c>
      <x:c r="H538" s="339" t="str">
        <x:v>Re-authenticate or contact an administrator if access is expected.</x:v>
      </x:c>
      <x:c r="I538" s="339" t="str">
        <x:v>Log security-relevant denial where appropriate.</x:v>
      </x:c>
    </x:row>
    <x:row r="539">
      <x:c r="A539" s="339" t="str">
        <x:v>EXC-00538</x:v>
      </x:c>
      <x:c r="B539" s="339" t="str">
        <x:v>SCR-202</x:v>
      </x:c>
      <x:c r="C539" s="339" t="str">
        <x:v>Library</x:v>
      </x:c>
      <x:c r="D539" s="339" t="str">
        <x:v>Issue Book</x:v>
      </x:c>
      <x:c r="E539" s="339" t="str">
        <x:v>Stale/concurrent data</x:v>
      </x:c>
      <x:c r="F539" s="339" t="str">
        <x:v>Detect version/state mismatch before destructive update; require refresh/review.</x:v>
      </x:c>
      <x:c r="G539" s="339" t="str">
        <x:v>This record changed since you opened it. Refresh before saving.</x:v>
      </x:c>
      <x:c r="H539" s="339" t="str">
        <x:v>Reload the latest data and reapply the intended change.</x:v>
      </x:c>
      <x:c r="I539" s="339" t="str">
        <x:v>Record conflict if it affected a high-risk workflow.</x:v>
      </x:c>
    </x:row>
    <x:row r="540">
      <x:c r="A540" s="339" t="str">
        <x:v>EXC-00539</x:v>
      </x:c>
      <x:c r="B540" s="339" t="str">
        <x:v>SCR-202</x:v>
      </x:c>
      <x:c r="C540" s="339" t="str">
        <x:v>Library</x:v>
      </x:c>
      <x:c r="D540" s="339" t="str">
        <x:v>Issue Book</x:v>
      </x:c>
      <x:c r="E540" s="339" t="str">
        <x:v>Downstream dependency failure</x:v>
      </x:c>
      <x:c r="F540" s="339" t="str">
        <x:v>Rollback or keep a recoverable pending state; never claim success for an incomplete critical transaction.</x:v>
      </x:c>
      <x:c r="G540" s="339" t="str">
        <x:v>The action could not be completed. No final change was applied.</x:v>
      </x:c>
      <x:c r="H540" s="339" t="str">
        <x:v>Retry safely or route to manual resolution queue.</x:v>
      </x:c>
      <x:c r="I540" s="339" t="str">
        <x:v>Capture correlation/error ID and failed step.</x:v>
      </x:c>
    </x:row>
    <x:row r="541">
      <x:c r="A541" s="339" t="str">
        <x:v>EXC-00540</x:v>
      </x:c>
      <x:c r="B541" s="339" t="str">
        <x:v>SCR-203</x:v>
      </x:c>
      <x:c r="C541" s="339" t="str">
        <x:v>Library</x:v>
      </x:c>
      <x:c r="D541" s="339" t="str">
        <x:v>Return Book</x:v>
      </x:c>
      <x:c r="E541" s="339" t="str">
        <x:v>Unauthorized or out-of-scope record</x:v>
      </x:c>
      <x:c r="F541" s="339" t="str">
        <x:v>Deny access/action; do not reveal existence beyond safe messaging.</x:v>
      </x:c>
      <x:c r="G541" s="339" t="str">
        <x:v>You do not have access to this record.</x:v>
      </x:c>
      <x:c r="H541" s="339" t="str">
        <x:v>Re-authenticate or contact an administrator if access is expected.</x:v>
      </x:c>
      <x:c r="I541" s="339" t="str">
        <x:v>Log security-relevant denial where appropriate.</x:v>
      </x:c>
    </x:row>
    <x:row r="542">
      <x:c r="A542" s="339" t="str">
        <x:v>EXC-00541</x:v>
      </x:c>
      <x:c r="B542" s="339" t="str">
        <x:v>SCR-203</x:v>
      </x:c>
      <x:c r="C542" s="339" t="str">
        <x:v>Library</x:v>
      </x:c>
      <x:c r="D542" s="339" t="str">
        <x:v>Return Book</x:v>
      </x:c>
      <x:c r="E542" s="339" t="str">
        <x:v>Stale/concurrent data</x:v>
      </x:c>
      <x:c r="F542" s="339" t="str">
        <x:v>Detect version/state mismatch before destructive update; require refresh/review.</x:v>
      </x:c>
      <x:c r="G542" s="339" t="str">
        <x:v>This record changed since you opened it. Refresh before saving.</x:v>
      </x:c>
      <x:c r="H542" s="339" t="str">
        <x:v>Reload the latest data and reapply the intended change.</x:v>
      </x:c>
      <x:c r="I542" s="339" t="str">
        <x:v>Record conflict if it affected a high-risk workflow.</x:v>
      </x:c>
    </x:row>
    <x:row r="543">
      <x:c r="A543" s="339" t="str">
        <x:v>EXC-00542</x:v>
      </x:c>
      <x:c r="B543" s="339" t="str">
        <x:v>SCR-203</x:v>
      </x:c>
      <x:c r="C543" s="339" t="str">
        <x:v>Library</x:v>
      </x:c>
      <x:c r="D543" s="339" t="str">
        <x:v>Return Book</x:v>
      </x:c>
      <x:c r="E543" s="339" t="str">
        <x:v>Downstream dependency failure</x:v>
      </x:c>
      <x:c r="F543" s="339" t="str">
        <x:v>Rollback or keep a recoverable pending state; never claim success for an incomplete critical transaction.</x:v>
      </x:c>
      <x:c r="G543" s="339" t="str">
        <x:v>The action could not be completed. No final change was applied.</x:v>
      </x:c>
      <x:c r="H543" s="339" t="str">
        <x:v>Retry safely or route to manual resolution queue.</x:v>
      </x:c>
      <x:c r="I543" s="339" t="str">
        <x:v>Capture correlation/error ID and failed step.</x:v>
      </x:c>
    </x:row>
    <x:row r="544">
      <x:c r="A544" s="339" t="str">
        <x:v>EXC-00543</x:v>
      </x:c>
      <x:c r="B544" s="339" t="str">
        <x:v>SCR-204</x:v>
      </x:c>
      <x:c r="C544" s="339" t="str">
        <x:v>Library</x:v>
      </x:c>
      <x:c r="D544" s="339" t="str">
        <x:v>Renew / Reserve Book</x:v>
      </x:c>
      <x:c r="E544" s="339" t="str">
        <x:v>Unauthorized or out-of-scope record</x:v>
      </x:c>
      <x:c r="F544" s="339" t="str">
        <x:v>Deny access/action; do not reveal existence beyond safe messaging.</x:v>
      </x:c>
      <x:c r="G544" s="339" t="str">
        <x:v>You do not have access to this record.</x:v>
      </x:c>
      <x:c r="H544" s="339" t="str">
        <x:v>Re-authenticate or contact an administrator if access is expected.</x:v>
      </x:c>
      <x:c r="I544" s="339" t="str">
        <x:v>Log security-relevant denial where appropriate.</x:v>
      </x:c>
    </x:row>
    <x:row r="545">
      <x:c r="A545" s="339" t="str">
        <x:v>EXC-00544</x:v>
      </x:c>
      <x:c r="B545" s="339" t="str">
        <x:v>SCR-204</x:v>
      </x:c>
      <x:c r="C545" s="339" t="str">
        <x:v>Library</x:v>
      </x:c>
      <x:c r="D545" s="339" t="str">
        <x:v>Renew / Reserve Book</x:v>
      </x:c>
      <x:c r="E545" s="339" t="str">
        <x:v>Stale/concurrent data</x:v>
      </x:c>
      <x:c r="F545" s="339" t="str">
        <x:v>Detect version/state mismatch before destructive update; require refresh/review.</x:v>
      </x:c>
      <x:c r="G545" s="339" t="str">
        <x:v>This record changed since you opened it. Refresh before saving.</x:v>
      </x:c>
      <x:c r="H545" s="339" t="str">
        <x:v>Reload the latest data and reapply the intended change.</x:v>
      </x:c>
      <x:c r="I545" s="339" t="str">
        <x:v>Record conflict if it affected a high-risk workflow.</x:v>
      </x:c>
    </x:row>
    <x:row r="546">
      <x:c r="A546" s="339" t="str">
        <x:v>EXC-00545</x:v>
      </x:c>
      <x:c r="B546" s="339" t="str">
        <x:v>SCR-204</x:v>
      </x:c>
      <x:c r="C546" s="339" t="str">
        <x:v>Library</x:v>
      </x:c>
      <x:c r="D546" s="339" t="str">
        <x:v>Renew / Reserve Book</x:v>
      </x:c>
      <x:c r="E546" s="339" t="str">
        <x:v>Downstream dependency failure</x:v>
      </x:c>
      <x:c r="F546" s="339" t="str">
        <x:v>Rollback or keep a recoverable pending state; never claim success for an incomplete critical transaction.</x:v>
      </x:c>
      <x:c r="G546" s="339" t="str">
        <x:v>The action could not be completed. No final change was applied.</x:v>
      </x:c>
      <x:c r="H546" s="339" t="str">
        <x:v>Retry safely or route to manual resolution queue.</x:v>
      </x:c>
      <x:c r="I546" s="339" t="str">
        <x:v>Capture correlation/error ID and failed step.</x:v>
      </x:c>
    </x:row>
    <x:row r="547">
      <x:c r="A547" s="339" t="str">
        <x:v>EXC-00546</x:v>
      </x:c>
      <x:c r="B547" s="339" t="str">
        <x:v>SCR-205</x:v>
      </x:c>
      <x:c r="C547" s="339" t="str">
        <x:v>Library</x:v>
      </x:c>
      <x:c r="D547" s="339" t="str">
        <x:v>Fine / Lost / Damaged Book</x:v>
      </x:c>
      <x:c r="E547" s="339" t="str">
        <x:v>Unauthorized or out-of-scope record</x:v>
      </x:c>
      <x:c r="F547" s="339" t="str">
        <x:v>Deny access/action; do not reveal existence beyond safe messaging.</x:v>
      </x:c>
      <x:c r="G547" s="339" t="str">
        <x:v>You do not have access to this record.</x:v>
      </x:c>
      <x:c r="H547" s="339" t="str">
        <x:v>Re-authenticate or contact an administrator if access is expected.</x:v>
      </x:c>
      <x:c r="I547" s="339" t="str">
        <x:v>Log security-relevant denial where appropriate.</x:v>
      </x:c>
    </x:row>
    <x:row r="548">
      <x:c r="A548" s="339" t="str">
        <x:v>EXC-00547</x:v>
      </x:c>
      <x:c r="B548" s="339" t="str">
        <x:v>SCR-205</x:v>
      </x:c>
      <x:c r="C548" s="339" t="str">
        <x:v>Library</x:v>
      </x:c>
      <x:c r="D548" s="339" t="str">
        <x:v>Fine / Lost / Damaged Book</x:v>
      </x:c>
      <x:c r="E548" s="339" t="str">
        <x:v>Stale/concurrent data</x:v>
      </x:c>
      <x:c r="F548" s="339" t="str">
        <x:v>Detect version/state mismatch before destructive update; require refresh/review.</x:v>
      </x:c>
      <x:c r="G548" s="339" t="str">
        <x:v>This record changed since you opened it. Refresh before saving.</x:v>
      </x:c>
      <x:c r="H548" s="339" t="str">
        <x:v>Reload the latest data and reapply the intended change.</x:v>
      </x:c>
      <x:c r="I548" s="339" t="str">
        <x:v>Record conflict if it affected a high-risk workflow.</x:v>
      </x:c>
    </x:row>
    <x:row r="549">
      <x:c r="A549" s="339" t="str">
        <x:v>EXC-00548</x:v>
      </x:c>
      <x:c r="B549" s="339" t="str">
        <x:v>SCR-205</x:v>
      </x:c>
      <x:c r="C549" s="339" t="str">
        <x:v>Library</x:v>
      </x:c>
      <x:c r="D549" s="339" t="str">
        <x:v>Fine / Lost / Damaged Book</x:v>
      </x:c>
      <x:c r="E549" s="339" t="str">
        <x:v>Downstream dependency failure</x:v>
      </x:c>
      <x:c r="F549" s="339" t="str">
        <x:v>Rollback or keep a recoverable pending state; never claim success for an incomplete critical transaction.</x:v>
      </x:c>
      <x:c r="G549" s="339" t="str">
        <x:v>The action could not be completed. No final change was applied.</x:v>
      </x:c>
      <x:c r="H549" s="339" t="str">
        <x:v>Retry safely or route to manual resolution queue.</x:v>
      </x:c>
      <x:c r="I549" s="339" t="str">
        <x:v>Capture correlation/error ID and failed step.</x:v>
      </x:c>
    </x:row>
    <x:row r="550">
      <x:c r="A550" s="339" t="str">
        <x:v>EXC-00549</x:v>
      </x:c>
      <x:c r="B550" s="339" t="str">
        <x:v>SCR-206</x:v>
      </x:c>
      <x:c r="C550" s="339" t="str">
        <x:v>Library</x:v>
      </x:c>
      <x:c r="D550" s="339" t="str">
        <x:v>Digital Library</x:v>
      </x:c>
      <x:c r="E550" s="339" t="str">
        <x:v>Unauthorized or out-of-scope record</x:v>
      </x:c>
      <x:c r="F550" s="339" t="str">
        <x:v>Deny access/action; do not reveal existence beyond safe messaging.</x:v>
      </x:c>
      <x:c r="G550" s="339" t="str">
        <x:v>You do not have access to this record.</x:v>
      </x:c>
      <x:c r="H550" s="339" t="str">
        <x:v>Re-authenticate or contact an administrator if access is expected.</x:v>
      </x:c>
      <x:c r="I550" s="339" t="str">
        <x:v>Log security-relevant denial where appropriate.</x:v>
      </x:c>
    </x:row>
    <x:row r="551">
      <x:c r="A551" s="339" t="str">
        <x:v>EXC-00550</x:v>
      </x:c>
      <x:c r="B551" s="339" t="str">
        <x:v>SCR-206</x:v>
      </x:c>
      <x:c r="C551" s="339" t="str">
        <x:v>Library</x:v>
      </x:c>
      <x:c r="D551" s="339" t="str">
        <x:v>Digital Library</x:v>
      </x:c>
      <x:c r="E551" s="339" t="str">
        <x:v>Stale/concurrent data</x:v>
      </x:c>
      <x:c r="F551" s="339" t="str">
        <x:v>Detect version/state mismatch before destructive update; require refresh/review.</x:v>
      </x:c>
      <x:c r="G551" s="339" t="str">
        <x:v>This record changed since you opened it. Refresh before saving.</x:v>
      </x:c>
      <x:c r="H551" s="339" t="str">
        <x:v>Reload the latest data and reapply the intended change.</x:v>
      </x:c>
      <x:c r="I551" s="339" t="str">
        <x:v>Record conflict if it affected a high-risk workflow.</x:v>
      </x:c>
    </x:row>
    <x:row r="552">
      <x:c r="A552" s="339" t="str">
        <x:v>EXC-00551</x:v>
      </x:c>
      <x:c r="B552" s="339" t="str">
        <x:v>SCR-206</x:v>
      </x:c>
      <x:c r="C552" s="339" t="str">
        <x:v>Library</x:v>
      </x:c>
      <x:c r="D552" s="339" t="str">
        <x:v>Digital Library</x:v>
      </x:c>
      <x:c r="E552" s="339" t="str">
        <x:v>Downstream dependency failure</x:v>
      </x:c>
      <x:c r="F552" s="339" t="str">
        <x:v>Rollback or keep a recoverable pending state; never claim success for an incomplete critical transaction.</x:v>
      </x:c>
      <x:c r="G552" s="339" t="str">
        <x:v>The action could not be completed. No final change was applied.</x:v>
      </x:c>
      <x:c r="H552" s="339" t="str">
        <x:v>Retry safely or route to manual resolution queue.</x:v>
      </x:c>
      <x:c r="I552" s="339" t="str">
        <x:v>Capture correlation/error ID and failed step.</x:v>
      </x:c>
    </x:row>
    <x:row r="553">
      <x:c r="A553" s="339" t="str">
        <x:v>EXC-00552</x:v>
      </x:c>
      <x:c r="B553" s="339" t="str">
        <x:v>SCR-207</x:v>
      </x:c>
      <x:c r="C553" s="339" t="str">
        <x:v>Library</x:v>
      </x:c>
      <x:c r="D553" s="339" t="str">
        <x:v>Library Reports</x:v>
      </x:c>
      <x:c r="E553" s="339" t="str">
        <x:v>Unauthorized or out-of-scope record</x:v>
      </x:c>
      <x:c r="F553" s="339" t="str">
        <x:v>Deny access/action; do not reveal existence beyond safe messaging.</x:v>
      </x:c>
      <x:c r="G553" s="339" t="str">
        <x:v>You do not have access to this record.</x:v>
      </x:c>
      <x:c r="H553" s="339" t="str">
        <x:v>Re-authenticate or contact an administrator if access is expected.</x:v>
      </x:c>
      <x:c r="I553" s="339" t="str">
        <x:v>Log security-relevant denial where appropriate.</x:v>
      </x:c>
    </x:row>
    <x:row r="554">
      <x:c r="A554" s="339" t="str">
        <x:v>EXC-00553</x:v>
      </x:c>
      <x:c r="B554" s="339" t="str">
        <x:v>SCR-207</x:v>
      </x:c>
      <x:c r="C554" s="339" t="str">
        <x:v>Library</x:v>
      </x:c>
      <x:c r="D554" s="339" t="str">
        <x:v>Library Reports</x:v>
      </x:c>
      <x:c r="E554" s="339" t="str">
        <x:v>Stale/concurrent data</x:v>
      </x:c>
      <x:c r="F554" s="339" t="str">
        <x:v>Detect version/state mismatch before destructive update; require refresh/review.</x:v>
      </x:c>
      <x:c r="G554" s="339" t="str">
        <x:v>This record changed since you opened it. Refresh before saving.</x:v>
      </x:c>
      <x:c r="H554" s="339" t="str">
        <x:v>Reload the latest data and reapply the intended change.</x:v>
      </x:c>
      <x:c r="I554" s="339" t="str">
        <x:v>Record conflict if it affected a high-risk workflow.</x:v>
      </x:c>
    </x:row>
    <x:row r="555">
      <x:c r="A555" s="339" t="str">
        <x:v>EXC-00554</x:v>
      </x:c>
      <x:c r="B555" s="339" t="str">
        <x:v>SCR-208</x:v>
      </x:c>
      <x:c r="C555" s="339" t="str">
        <x:v>Hostel</x:v>
      </x:c>
      <x:c r="D555" s="339" t="str">
        <x:v>Hostels / Buildings</x:v>
      </x:c>
      <x:c r="E555" s="339" t="str">
        <x:v>Unauthorized or out-of-scope record</x:v>
      </x:c>
      <x:c r="F555" s="339" t="str">
        <x:v>Deny access/action; do not reveal existence beyond safe messaging.</x:v>
      </x:c>
      <x:c r="G555" s="339" t="str">
        <x:v>You do not have access to this record.</x:v>
      </x:c>
      <x:c r="H555" s="339" t="str">
        <x:v>Re-authenticate or contact an administrator if access is expected.</x:v>
      </x:c>
      <x:c r="I555" s="339" t="str">
        <x:v>Log security-relevant denial where appropriate.</x:v>
      </x:c>
    </x:row>
    <x:row r="556">
      <x:c r="A556" s="339" t="str">
        <x:v>EXC-00555</x:v>
      </x:c>
      <x:c r="B556" s="339" t="str">
        <x:v>SCR-208</x:v>
      </x:c>
      <x:c r="C556" s="339" t="str">
        <x:v>Hostel</x:v>
      </x:c>
      <x:c r="D556" s="339" t="str">
        <x:v>Hostels / Buildings</x:v>
      </x:c>
      <x:c r="E556" s="339" t="str">
        <x:v>Stale/concurrent data</x:v>
      </x:c>
      <x:c r="F556" s="339" t="str">
        <x:v>Detect version/state mismatch before destructive update; require refresh/review.</x:v>
      </x:c>
      <x:c r="G556" s="339" t="str">
        <x:v>This record changed since you opened it. Refresh before saving.</x:v>
      </x:c>
      <x:c r="H556" s="339" t="str">
        <x:v>Reload the latest data and reapply the intended change.</x:v>
      </x:c>
      <x:c r="I556" s="339" t="str">
        <x:v>Record conflict if it affected a high-risk workflow.</x:v>
      </x:c>
    </x:row>
    <x:row r="557">
      <x:c r="A557" s="339" t="str">
        <x:v>EXC-00556</x:v>
      </x:c>
      <x:c r="B557" s="339" t="str">
        <x:v>SCR-208</x:v>
      </x:c>
      <x:c r="C557" s="339" t="str">
        <x:v>Hostel</x:v>
      </x:c>
      <x:c r="D557" s="339" t="str">
        <x:v>Hostels / Buildings</x:v>
      </x:c>
      <x:c r="E557" s="339" t="str">
        <x:v>Downstream dependency failure</x:v>
      </x:c>
      <x:c r="F557" s="339" t="str">
        <x:v>Rollback or keep a recoverable pending state; never claim success for an incomplete critical transaction.</x:v>
      </x:c>
      <x:c r="G557" s="339" t="str">
        <x:v>The action could not be completed. No final change was applied.</x:v>
      </x:c>
      <x:c r="H557" s="339" t="str">
        <x:v>Retry safely or route to manual resolution queue.</x:v>
      </x:c>
      <x:c r="I557" s="339" t="str">
        <x:v>Capture correlation/error ID and failed step.</x:v>
      </x:c>
    </x:row>
    <x:row r="558">
      <x:c r="A558" s="339" t="str">
        <x:v>EXC-00557</x:v>
      </x:c>
      <x:c r="B558" s="339" t="str">
        <x:v>SCR-209</x:v>
      </x:c>
      <x:c r="C558" s="339" t="str">
        <x:v>Hostel</x:v>
      </x:c>
      <x:c r="D558" s="339" t="str">
        <x:v>Rooms &amp; Beds</x:v>
      </x:c>
      <x:c r="E558" s="339" t="str">
        <x:v>Unauthorized or out-of-scope record</x:v>
      </x:c>
      <x:c r="F558" s="339" t="str">
        <x:v>Deny access/action; do not reveal existence beyond safe messaging.</x:v>
      </x:c>
      <x:c r="G558" s="339" t="str">
        <x:v>You do not have access to this record.</x:v>
      </x:c>
      <x:c r="H558" s="339" t="str">
        <x:v>Re-authenticate or contact an administrator if access is expected.</x:v>
      </x:c>
      <x:c r="I558" s="339" t="str">
        <x:v>Log security-relevant denial where appropriate.</x:v>
      </x:c>
    </x:row>
    <x:row r="559">
      <x:c r="A559" s="339" t="str">
        <x:v>EXC-00558</x:v>
      </x:c>
      <x:c r="B559" s="339" t="str">
        <x:v>SCR-209</x:v>
      </x:c>
      <x:c r="C559" s="339" t="str">
        <x:v>Hostel</x:v>
      </x:c>
      <x:c r="D559" s="339" t="str">
        <x:v>Rooms &amp; Beds</x:v>
      </x:c>
      <x:c r="E559" s="339" t="str">
        <x:v>Stale/concurrent data</x:v>
      </x:c>
      <x:c r="F559" s="339" t="str">
        <x:v>Detect version/state mismatch before destructive update; require refresh/review.</x:v>
      </x:c>
      <x:c r="G559" s="339" t="str">
        <x:v>This record changed since you opened it. Refresh before saving.</x:v>
      </x:c>
      <x:c r="H559" s="339" t="str">
        <x:v>Reload the latest data and reapply the intended change.</x:v>
      </x:c>
      <x:c r="I559" s="339" t="str">
        <x:v>Record conflict if it affected a high-risk workflow.</x:v>
      </x:c>
    </x:row>
    <x:row r="560">
      <x:c r="A560" s="339" t="str">
        <x:v>EXC-00559</x:v>
      </x:c>
      <x:c r="B560" s="339" t="str">
        <x:v>SCR-209</x:v>
      </x:c>
      <x:c r="C560" s="339" t="str">
        <x:v>Hostel</x:v>
      </x:c>
      <x:c r="D560" s="339" t="str">
        <x:v>Rooms &amp; Beds</x:v>
      </x:c>
      <x:c r="E560" s="339" t="str">
        <x:v>Downstream dependency failure</x:v>
      </x:c>
      <x:c r="F560" s="339" t="str">
        <x:v>Rollback or keep a recoverable pending state; never claim success for an incomplete critical transaction.</x:v>
      </x:c>
      <x:c r="G560" s="339" t="str">
        <x:v>The action could not be completed. No final change was applied.</x:v>
      </x:c>
      <x:c r="H560" s="339" t="str">
        <x:v>Retry safely or route to manual resolution queue.</x:v>
      </x:c>
      <x:c r="I560" s="339" t="str">
        <x:v>Capture correlation/error ID and failed step.</x:v>
      </x:c>
    </x:row>
    <x:row r="561">
      <x:c r="A561" s="339" t="str">
        <x:v>EXC-00560</x:v>
      </x:c>
      <x:c r="B561" s="339" t="str">
        <x:v>SCR-210</x:v>
      </x:c>
      <x:c r="C561" s="339" t="str">
        <x:v>Hostel</x:v>
      </x:c>
      <x:c r="D561" s="339" t="str">
        <x:v>Student Hostel Allocation</x:v>
      </x:c>
      <x:c r="E561" s="339" t="str">
        <x:v>Unauthorized or out-of-scope record</x:v>
      </x:c>
      <x:c r="F561" s="339" t="str">
        <x:v>Deny access/action; do not reveal existence beyond safe messaging.</x:v>
      </x:c>
      <x:c r="G561" s="339" t="str">
        <x:v>You do not have access to this record.</x:v>
      </x:c>
      <x:c r="H561" s="339" t="str">
        <x:v>Re-authenticate or contact an administrator if access is expected.</x:v>
      </x:c>
      <x:c r="I561" s="339" t="str">
        <x:v>Log security-relevant denial where appropriate.</x:v>
      </x:c>
    </x:row>
    <x:row r="562">
      <x:c r="A562" s="339" t="str">
        <x:v>EXC-00561</x:v>
      </x:c>
      <x:c r="B562" s="339" t="str">
        <x:v>SCR-210</x:v>
      </x:c>
      <x:c r="C562" s="339" t="str">
        <x:v>Hostel</x:v>
      </x:c>
      <x:c r="D562" s="339" t="str">
        <x:v>Student Hostel Allocation</x:v>
      </x:c>
      <x:c r="E562" s="339" t="str">
        <x:v>Stale/concurrent data</x:v>
      </x:c>
      <x:c r="F562" s="339" t="str">
        <x:v>Detect version/state mismatch before destructive update; require refresh/review.</x:v>
      </x:c>
      <x:c r="G562" s="339" t="str">
        <x:v>This record changed since you opened it. Refresh before saving.</x:v>
      </x:c>
      <x:c r="H562" s="339" t="str">
        <x:v>Reload the latest data and reapply the intended change.</x:v>
      </x:c>
      <x:c r="I562" s="339" t="str">
        <x:v>Record conflict if it affected a high-risk workflow.</x:v>
      </x:c>
    </x:row>
    <x:row r="563">
      <x:c r="A563" s="339" t="str">
        <x:v>EXC-00562</x:v>
      </x:c>
      <x:c r="B563" s="339" t="str">
        <x:v>SCR-210</x:v>
      </x:c>
      <x:c r="C563" s="339" t="str">
        <x:v>Hostel</x:v>
      </x:c>
      <x:c r="D563" s="339" t="str">
        <x:v>Student Hostel Allocation</x:v>
      </x:c>
      <x:c r="E563" s="339" t="str">
        <x:v>Downstream dependency failure</x:v>
      </x:c>
      <x:c r="F563" s="339" t="str">
        <x:v>Rollback or keep a recoverable pending state; never claim success for an incomplete critical transaction.</x:v>
      </x:c>
      <x:c r="G563" s="339" t="str">
        <x:v>The action could not be completed. No final change was applied.</x:v>
      </x:c>
      <x:c r="H563" s="339" t="str">
        <x:v>Retry safely or route to manual resolution queue.</x:v>
      </x:c>
      <x:c r="I563" s="339" t="str">
        <x:v>Capture correlation/error ID and failed step.</x:v>
      </x:c>
    </x:row>
    <x:row r="564">
      <x:c r="A564" s="339" t="str">
        <x:v>EXC-00563</x:v>
      </x:c>
      <x:c r="B564" s="339" t="str">
        <x:v>SCR-211</x:v>
      </x:c>
      <x:c r="C564" s="339" t="str">
        <x:v>Hostel</x:v>
      </x:c>
      <x:c r="D564" s="339" t="str">
        <x:v>Warden Management</x:v>
      </x:c>
      <x:c r="E564" s="339" t="str">
        <x:v>Unauthorized or out-of-scope record</x:v>
      </x:c>
      <x:c r="F564" s="339" t="str">
        <x:v>Deny access/action; do not reveal existence beyond safe messaging.</x:v>
      </x:c>
      <x:c r="G564" s="339" t="str">
        <x:v>You do not have access to this record.</x:v>
      </x:c>
      <x:c r="H564" s="339" t="str">
        <x:v>Re-authenticate or contact an administrator if access is expected.</x:v>
      </x:c>
      <x:c r="I564" s="339" t="str">
        <x:v>Log security-relevant denial where appropriate.</x:v>
      </x:c>
    </x:row>
    <x:row r="565">
      <x:c r="A565" s="339" t="str">
        <x:v>EXC-00564</x:v>
      </x:c>
      <x:c r="B565" s="339" t="str">
        <x:v>SCR-211</x:v>
      </x:c>
      <x:c r="C565" s="339" t="str">
        <x:v>Hostel</x:v>
      </x:c>
      <x:c r="D565" s="339" t="str">
        <x:v>Warden Management</x:v>
      </x:c>
      <x:c r="E565" s="339" t="str">
        <x:v>Stale/concurrent data</x:v>
      </x:c>
      <x:c r="F565" s="339" t="str">
        <x:v>Detect version/state mismatch before destructive update; require refresh/review.</x:v>
      </x:c>
      <x:c r="G565" s="339" t="str">
        <x:v>This record changed since you opened it. Refresh before saving.</x:v>
      </x:c>
      <x:c r="H565" s="339" t="str">
        <x:v>Reload the latest data and reapply the intended change.</x:v>
      </x:c>
      <x:c r="I565" s="339" t="str">
        <x:v>Record conflict if it affected a high-risk workflow.</x:v>
      </x:c>
    </x:row>
    <x:row r="566">
      <x:c r="A566" s="339" t="str">
        <x:v>EXC-00565</x:v>
      </x:c>
      <x:c r="B566" s="339" t="str">
        <x:v>SCR-211</x:v>
      </x:c>
      <x:c r="C566" s="339" t="str">
        <x:v>Hostel</x:v>
      </x:c>
      <x:c r="D566" s="339" t="str">
        <x:v>Warden Management</x:v>
      </x:c>
      <x:c r="E566" s="339" t="str">
        <x:v>Downstream dependency failure</x:v>
      </x:c>
      <x:c r="F566" s="339" t="str">
        <x:v>Rollback or keep a recoverable pending state; never claim success for an incomplete critical transaction.</x:v>
      </x:c>
      <x:c r="G566" s="339" t="str">
        <x:v>The action could not be completed. No final change was applied.</x:v>
      </x:c>
      <x:c r="H566" s="339" t="str">
        <x:v>Retry safely or route to manual resolution queue.</x:v>
      </x:c>
      <x:c r="I566" s="339" t="str">
        <x:v>Capture correlation/error ID and failed step.</x:v>
      </x:c>
    </x:row>
    <x:row r="567">
      <x:c r="A567" s="339" t="str">
        <x:v>EXC-00566</x:v>
      </x:c>
      <x:c r="B567" s="339" t="str">
        <x:v>SCR-212</x:v>
      </x:c>
      <x:c r="C567" s="339" t="str">
        <x:v>Hostel</x:v>
      </x:c>
      <x:c r="D567" s="339" t="str">
        <x:v>Hostel Attendance</x:v>
      </x:c>
      <x:c r="E567" s="339" t="str">
        <x:v>Unauthorized or out-of-scope record</x:v>
      </x:c>
      <x:c r="F567" s="339" t="str">
        <x:v>Deny access/action; do not reveal existence beyond safe messaging.</x:v>
      </x:c>
      <x:c r="G567" s="339" t="str">
        <x:v>You do not have access to this record.</x:v>
      </x:c>
      <x:c r="H567" s="339" t="str">
        <x:v>Re-authenticate or contact an administrator if access is expected.</x:v>
      </x:c>
      <x:c r="I567" s="339" t="str">
        <x:v>Log security-relevant denial where appropriate.</x:v>
      </x:c>
    </x:row>
    <x:row r="568">
      <x:c r="A568" s="339" t="str">
        <x:v>EXC-00567</x:v>
      </x:c>
      <x:c r="B568" s="339" t="str">
        <x:v>SCR-212</x:v>
      </x:c>
      <x:c r="C568" s="339" t="str">
        <x:v>Hostel</x:v>
      </x:c>
      <x:c r="D568" s="339" t="str">
        <x:v>Hostel Attendance</x:v>
      </x:c>
      <x:c r="E568" s="339" t="str">
        <x:v>Stale/concurrent data</x:v>
      </x:c>
      <x:c r="F568" s="339" t="str">
        <x:v>Detect version/state mismatch before destructive update; require refresh/review.</x:v>
      </x:c>
      <x:c r="G568" s="339" t="str">
        <x:v>This record changed since you opened it. Refresh before saving.</x:v>
      </x:c>
      <x:c r="H568" s="339" t="str">
        <x:v>Reload the latest data and reapply the intended change.</x:v>
      </x:c>
      <x:c r="I568" s="339" t="str">
        <x:v>Record conflict if it affected a high-risk workflow.</x:v>
      </x:c>
    </x:row>
    <x:row r="569">
      <x:c r="A569" s="339" t="str">
        <x:v>EXC-00568</x:v>
      </x:c>
      <x:c r="B569" s="339" t="str">
        <x:v>SCR-212</x:v>
      </x:c>
      <x:c r="C569" s="339" t="str">
        <x:v>Hostel</x:v>
      </x:c>
      <x:c r="D569" s="339" t="str">
        <x:v>Hostel Attendance</x:v>
      </x:c>
      <x:c r="E569" s="339" t="str">
        <x:v>Downstream dependency failure</x:v>
      </x:c>
      <x:c r="F569" s="339" t="str">
        <x:v>Rollback or keep a recoverable pending state; never claim success for an incomplete critical transaction.</x:v>
      </x:c>
      <x:c r="G569" s="339" t="str">
        <x:v>The action could not be completed. No final change was applied.</x:v>
      </x:c>
      <x:c r="H569" s="339" t="str">
        <x:v>Retry safely or route to manual resolution queue.</x:v>
      </x:c>
      <x:c r="I569" s="339" t="str">
        <x:v>Capture correlation/error ID and failed step.</x:v>
      </x:c>
    </x:row>
    <x:row r="570">
      <x:c r="A570" s="339" t="str">
        <x:v>EXC-00569</x:v>
      </x:c>
      <x:c r="B570" s="339" t="str">
        <x:v>SCR-213</x:v>
      </x:c>
      <x:c r="C570" s="339" t="str">
        <x:v>Hostel</x:v>
      </x:c>
      <x:c r="D570" s="339" t="str">
        <x:v>Leave / Outing</x:v>
      </x:c>
      <x:c r="E570" s="339" t="str">
        <x:v>Unauthorized or out-of-scope record</x:v>
      </x:c>
      <x:c r="F570" s="339" t="str">
        <x:v>Deny access/action; do not reveal existence beyond safe messaging.</x:v>
      </x:c>
      <x:c r="G570" s="339" t="str">
        <x:v>You do not have access to this record.</x:v>
      </x:c>
      <x:c r="H570" s="339" t="str">
        <x:v>Re-authenticate or contact an administrator if access is expected.</x:v>
      </x:c>
      <x:c r="I570" s="339" t="str">
        <x:v>Log security-relevant denial where appropriate.</x:v>
      </x:c>
    </x:row>
    <x:row r="571">
      <x:c r="A571" s="339" t="str">
        <x:v>EXC-00570</x:v>
      </x:c>
      <x:c r="B571" s="339" t="str">
        <x:v>SCR-213</x:v>
      </x:c>
      <x:c r="C571" s="339" t="str">
        <x:v>Hostel</x:v>
      </x:c>
      <x:c r="D571" s="339" t="str">
        <x:v>Leave / Outing</x:v>
      </x:c>
      <x:c r="E571" s="339" t="str">
        <x:v>Stale/concurrent data</x:v>
      </x:c>
      <x:c r="F571" s="339" t="str">
        <x:v>Detect version/state mismatch before destructive update; require refresh/review.</x:v>
      </x:c>
      <x:c r="G571" s="339" t="str">
        <x:v>This record changed since you opened it. Refresh before saving.</x:v>
      </x:c>
      <x:c r="H571" s="339" t="str">
        <x:v>Reload the latest data and reapply the intended change.</x:v>
      </x:c>
      <x:c r="I571" s="339" t="str">
        <x:v>Record conflict if it affected a high-risk workflow.</x:v>
      </x:c>
    </x:row>
    <x:row r="572">
      <x:c r="A572" s="339" t="str">
        <x:v>EXC-00571</x:v>
      </x:c>
      <x:c r="B572" s="339" t="str">
        <x:v>SCR-213</x:v>
      </x:c>
      <x:c r="C572" s="339" t="str">
        <x:v>Hostel</x:v>
      </x:c>
      <x:c r="D572" s="339" t="str">
        <x:v>Leave / Outing</x:v>
      </x:c>
      <x:c r="E572" s="339" t="str">
        <x:v>Downstream dependency failure</x:v>
      </x:c>
      <x:c r="F572" s="339" t="str">
        <x:v>Rollback or keep a recoverable pending state; never claim success for an incomplete critical transaction.</x:v>
      </x:c>
      <x:c r="G572" s="339" t="str">
        <x:v>The action could not be completed. No final change was applied.</x:v>
      </x:c>
      <x:c r="H572" s="339" t="str">
        <x:v>Retry safely or route to manual resolution queue.</x:v>
      </x:c>
      <x:c r="I572" s="339" t="str">
        <x:v>Capture correlation/error ID and failed step.</x:v>
      </x:c>
    </x:row>
    <x:row r="573">
      <x:c r="A573" s="339" t="str">
        <x:v>EXC-00572</x:v>
      </x:c>
      <x:c r="B573" s="339" t="str">
        <x:v>SCR-214</x:v>
      </x:c>
      <x:c r="C573" s="339" t="str">
        <x:v>Hostel</x:v>
      </x:c>
      <x:c r="D573" s="339" t="str">
        <x:v>Mess / Meal Schedule</x:v>
      </x:c>
      <x:c r="E573" s="339" t="str">
        <x:v>Unauthorized or out-of-scope record</x:v>
      </x:c>
      <x:c r="F573" s="339" t="str">
        <x:v>Deny access/action; do not reveal existence beyond safe messaging.</x:v>
      </x:c>
      <x:c r="G573" s="339" t="str">
        <x:v>You do not have access to this record.</x:v>
      </x:c>
      <x:c r="H573" s="339" t="str">
        <x:v>Re-authenticate or contact an administrator if access is expected.</x:v>
      </x:c>
      <x:c r="I573" s="339" t="str">
        <x:v>Log security-relevant denial where appropriate.</x:v>
      </x:c>
    </x:row>
    <x:row r="574">
      <x:c r="A574" s="339" t="str">
        <x:v>EXC-00573</x:v>
      </x:c>
      <x:c r="B574" s="339" t="str">
        <x:v>SCR-214</x:v>
      </x:c>
      <x:c r="C574" s="339" t="str">
        <x:v>Hostel</x:v>
      </x:c>
      <x:c r="D574" s="339" t="str">
        <x:v>Mess / Meal Schedule</x:v>
      </x:c>
      <x:c r="E574" s="339" t="str">
        <x:v>Stale/concurrent data</x:v>
      </x:c>
      <x:c r="F574" s="339" t="str">
        <x:v>Detect version/state mismatch before destructive update; require refresh/review.</x:v>
      </x:c>
      <x:c r="G574" s="339" t="str">
        <x:v>This record changed since you opened it. Refresh before saving.</x:v>
      </x:c>
      <x:c r="H574" s="339" t="str">
        <x:v>Reload the latest data and reapply the intended change.</x:v>
      </x:c>
      <x:c r="I574" s="339" t="str">
        <x:v>Record conflict if it affected a high-risk workflow.</x:v>
      </x:c>
    </x:row>
    <x:row r="575">
      <x:c r="A575" s="339" t="str">
        <x:v>EXC-00574</x:v>
      </x:c>
      <x:c r="B575" s="339" t="str">
        <x:v>SCR-215</x:v>
      </x:c>
      <x:c r="C575" s="339" t="str">
        <x:v>Hostel</x:v>
      </x:c>
      <x:c r="D575" s="339" t="str">
        <x:v>Hostel Complaints &amp; Fees</x:v>
      </x:c>
      <x:c r="E575" s="339" t="str">
        <x:v>Unauthorized or out-of-scope record</x:v>
      </x:c>
      <x:c r="F575" s="339" t="str">
        <x:v>Deny access/action; do not reveal existence beyond safe messaging.</x:v>
      </x:c>
      <x:c r="G575" s="339" t="str">
        <x:v>You do not have access to this record.</x:v>
      </x:c>
      <x:c r="H575" s="339" t="str">
        <x:v>Re-authenticate or contact an administrator if access is expected.</x:v>
      </x:c>
      <x:c r="I575" s="339" t="str">
        <x:v>Log security-relevant denial where appropriate.</x:v>
      </x:c>
    </x:row>
    <x:row r="576">
      <x:c r="A576" s="339" t="str">
        <x:v>EXC-00575</x:v>
      </x:c>
      <x:c r="B576" s="339" t="str">
        <x:v>SCR-215</x:v>
      </x:c>
      <x:c r="C576" s="339" t="str">
        <x:v>Hostel</x:v>
      </x:c>
      <x:c r="D576" s="339" t="str">
        <x:v>Hostel Complaints &amp; Fees</x:v>
      </x:c>
      <x:c r="E576" s="339" t="str">
        <x:v>Stale/concurrent data</x:v>
      </x:c>
      <x:c r="F576" s="339" t="str">
        <x:v>Detect version/state mismatch before destructive update; require refresh/review.</x:v>
      </x:c>
      <x:c r="G576" s="339" t="str">
        <x:v>This record changed since you opened it. Refresh before saving.</x:v>
      </x:c>
      <x:c r="H576" s="339" t="str">
        <x:v>Reload the latest data and reapply the intended change.</x:v>
      </x:c>
      <x:c r="I576" s="339" t="str">
        <x:v>Record conflict if it affected a high-risk workflow.</x:v>
      </x:c>
    </x:row>
    <x:row r="577">
      <x:c r="A577" s="339" t="str">
        <x:v>EXC-00576</x:v>
      </x:c>
      <x:c r="B577" s="339" t="str">
        <x:v>SCR-215</x:v>
      </x:c>
      <x:c r="C577" s="339" t="str">
        <x:v>Hostel</x:v>
      </x:c>
      <x:c r="D577" s="339" t="str">
        <x:v>Hostel Complaints &amp; Fees</x:v>
      </x:c>
      <x:c r="E577" s="339" t="str">
        <x:v>Downstream dependency failure</x:v>
      </x:c>
      <x:c r="F577" s="339" t="str">
        <x:v>Rollback or keep a recoverable pending state; never claim success for an incomplete critical transaction.</x:v>
      </x:c>
      <x:c r="G577" s="339" t="str">
        <x:v>The action could not be completed. No final change was applied.</x:v>
      </x:c>
      <x:c r="H577" s="339" t="str">
        <x:v>Retry safely or route to manual resolution queue.</x:v>
      </x:c>
      <x:c r="I577" s="339" t="str">
        <x:v>Capture correlation/error ID and failed step.</x:v>
      </x:c>
    </x:row>
    <x:row r="578">
      <x:c r="A578" s="339" t="str">
        <x:v>EXC-00577</x:v>
      </x:c>
      <x:c r="B578" s="339" t="str">
        <x:v>SCR-216</x:v>
      </x:c>
      <x:c r="C578" s="339" t="str">
        <x:v>Health / Counselling / Discipline</x:v>
      </x:c>
      <x:c r="D578" s="339" t="str">
        <x:v>Health Dashboard</x:v>
      </x:c>
      <x:c r="E578" s="339" t="str">
        <x:v>Unauthorized or out-of-scope record</x:v>
      </x:c>
      <x:c r="F578" s="339" t="str">
        <x:v>Deny access/action; do not reveal existence beyond safe messaging.</x:v>
      </x:c>
      <x:c r="G578" s="339" t="str">
        <x:v>You do not have access to this record.</x:v>
      </x:c>
      <x:c r="H578" s="339" t="str">
        <x:v>Re-authenticate or contact an administrator if access is expected.</x:v>
      </x:c>
      <x:c r="I578" s="339" t="str">
        <x:v>Log security-relevant denial where appropriate.</x:v>
      </x:c>
    </x:row>
    <x:row r="579">
      <x:c r="A579" s="339" t="str">
        <x:v>EXC-00578</x:v>
      </x:c>
      <x:c r="B579" s="339" t="str">
        <x:v>SCR-216</x:v>
      </x:c>
      <x:c r="C579" s="339" t="str">
        <x:v>Health / Counselling / Discipline</x:v>
      </x:c>
      <x:c r="D579" s="339" t="str">
        <x:v>Health Dashboard</x:v>
      </x:c>
      <x:c r="E579" s="339" t="str">
        <x:v>Stale/concurrent data</x:v>
      </x:c>
      <x:c r="F579" s="339" t="str">
        <x:v>Detect version/state mismatch before destructive update; require refresh/review.</x:v>
      </x:c>
      <x:c r="G579" s="339" t="str">
        <x:v>This record changed since you opened it. Refresh before saving.</x:v>
      </x:c>
      <x:c r="H579" s="339" t="str">
        <x:v>Reload the latest data and reapply the intended change.</x:v>
      </x:c>
      <x:c r="I579" s="339" t="str">
        <x:v>Record conflict if it affected a high-risk workflow.</x:v>
      </x:c>
    </x:row>
    <x:row r="580">
      <x:c r="A580" s="339" t="str">
        <x:v>EXC-00579</x:v>
      </x:c>
      <x:c r="B580" s="339" t="str">
        <x:v>SCR-217</x:v>
      </x:c>
      <x:c r="C580" s="339" t="str">
        <x:v>Health / Counselling / Discipline</x:v>
      </x:c>
      <x:c r="D580" s="339" t="str">
        <x:v>Student Medical Profile</x:v>
      </x:c>
      <x:c r="E580" s="339" t="str">
        <x:v>Unauthorized or out-of-scope record</x:v>
      </x:c>
      <x:c r="F580" s="339" t="str">
        <x:v>Deny access/action; do not reveal existence beyond safe messaging.</x:v>
      </x:c>
      <x:c r="G580" s="339" t="str">
        <x:v>You do not have access to this record.</x:v>
      </x:c>
      <x:c r="H580" s="339" t="str">
        <x:v>Re-authenticate or contact an administrator if access is expected.</x:v>
      </x:c>
      <x:c r="I580" s="339" t="str">
        <x:v>Log security-relevant denial where appropriate.</x:v>
      </x:c>
    </x:row>
    <x:row r="581">
      <x:c r="A581" s="339" t="str">
        <x:v>EXC-00580</x:v>
      </x:c>
      <x:c r="B581" s="339" t="str">
        <x:v>SCR-217</x:v>
      </x:c>
      <x:c r="C581" s="339" t="str">
        <x:v>Health / Counselling / Discipline</x:v>
      </x:c>
      <x:c r="D581" s="339" t="str">
        <x:v>Student Medical Profile</x:v>
      </x:c>
      <x:c r="E581" s="339" t="str">
        <x:v>Stale/concurrent data</x:v>
      </x:c>
      <x:c r="F581" s="339" t="str">
        <x:v>Detect version/state mismatch before destructive update; require refresh/review.</x:v>
      </x:c>
      <x:c r="G581" s="339" t="str">
        <x:v>This record changed since you opened it. Refresh before saving.</x:v>
      </x:c>
      <x:c r="H581" s="339" t="str">
        <x:v>Reload the latest data and reapply the intended change.</x:v>
      </x:c>
      <x:c r="I581" s="339" t="str">
        <x:v>Record conflict if it affected a high-risk workflow.</x:v>
      </x:c>
    </x:row>
    <x:row r="582">
      <x:c r="A582" s="339" t="str">
        <x:v>EXC-00581</x:v>
      </x:c>
      <x:c r="B582" s="339" t="str">
        <x:v>SCR-218</x:v>
      </x:c>
      <x:c r="C582" s="339" t="str">
        <x:v>Health / Counselling / Discipline</x:v>
      </x:c>
      <x:c r="D582" s="339" t="str">
        <x:v>Clinic Visit</x:v>
      </x:c>
      <x:c r="E582" s="339" t="str">
        <x:v>Unauthorized or out-of-scope record</x:v>
      </x:c>
      <x:c r="F582" s="339" t="str">
        <x:v>Deny access/action; do not reveal existence beyond safe messaging.</x:v>
      </x:c>
      <x:c r="G582" s="339" t="str">
        <x:v>You do not have access to this record.</x:v>
      </x:c>
      <x:c r="H582" s="339" t="str">
        <x:v>Re-authenticate or contact an administrator if access is expected.</x:v>
      </x:c>
      <x:c r="I582" s="339" t="str">
        <x:v>Log security-relevant denial where appropriate.</x:v>
      </x:c>
    </x:row>
    <x:row r="583">
      <x:c r="A583" s="339" t="str">
        <x:v>EXC-00582</x:v>
      </x:c>
      <x:c r="B583" s="339" t="str">
        <x:v>SCR-218</x:v>
      </x:c>
      <x:c r="C583" s="339" t="str">
        <x:v>Health / Counselling / Discipline</x:v>
      </x:c>
      <x:c r="D583" s="339" t="str">
        <x:v>Clinic Visit</x:v>
      </x:c>
      <x:c r="E583" s="339" t="str">
        <x:v>Stale/concurrent data</x:v>
      </x:c>
      <x:c r="F583" s="339" t="str">
        <x:v>Detect version/state mismatch before destructive update; require refresh/review.</x:v>
      </x:c>
      <x:c r="G583" s="339" t="str">
        <x:v>This record changed since you opened it. Refresh before saving.</x:v>
      </x:c>
      <x:c r="H583" s="339" t="str">
        <x:v>Reload the latest data and reapply the intended change.</x:v>
      </x:c>
      <x:c r="I583" s="339" t="str">
        <x:v>Record conflict if it affected a high-risk workflow.</x:v>
      </x:c>
    </x:row>
    <x:row r="584">
      <x:c r="A584" s="339" t="str">
        <x:v>EXC-00583</x:v>
      </x:c>
      <x:c r="B584" s="339" t="str">
        <x:v>SCR-218</x:v>
      </x:c>
      <x:c r="C584" s="339" t="str">
        <x:v>Health / Counselling / Discipline</x:v>
      </x:c>
      <x:c r="D584" s="339" t="str">
        <x:v>Clinic Visit</x:v>
      </x:c>
      <x:c r="E584" s="339" t="str">
        <x:v>Downstream dependency failure</x:v>
      </x:c>
      <x:c r="F584" s="339" t="str">
        <x:v>Rollback or keep a recoverable pending state; never claim success for an incomplete critical transaction.</x:v>
      </x:c>
      <x:c r="G584" s="339" t="str">
        <x:v>The action could not be completed. No final change was applied.</x:v>
      </x:c>
      <x:c r="H584" s="339" t="str">
        <x:v>Retry safely or route to manual resolution queue.</x:v>
      </x:c>
      <x:c r="I584" s="339" t="str">
        <x:v>Capture correlation/error ID and failed step.</x:v>
      </x:c>
    </x:row>
    <x:row r="585">
      <x:c r="A585" s="339" t="str">
        <x:v>EXC-00584</x:v>
      </x:c>
      <x:c r="B585" s="339" t="str">
        <x:v>SCR-219</x:v>
      </x:c>
      <x:c r="C585" s="339" t="str">
        <x:v>Health / Counselling / Discipline</x:v>
      </x:c>
      <x:c r="D585" s="339" t="str">
        <x:v>Medication / First Aid</x:v>
      </x:c>
      <x:c r="E585" s="339" t="str">
        <x:v>Unauthorized or out-of-scope record</x:v>
      </x:c>
      <x:c r="F585" s="339" t="str">
        <x:v>Deny access/action; do not reveal existence beyond safe messaging.</x:v>
      </x:c>
      <x:c r="G585" s="339" t="str">
        <x:v>You do not have access to this record.</x:v>
      </x:c>
      <x:c r="H585" s="339" t="str">
        <x:v>Re-authenticate or contact an administrator if access is expected.</x:v>
      </x:c>
      <x:c r="I585" s="339" t="str">
        <x:v>Log security-relevant denial where appropriate.</x:v>
      </x:c>
    </x:row>
    <x:row r="586">
      <x:c r="A586" s="339" t="str">
        <x:v>EXC-00585</x:v>
      </x:c>
      <x:c r="B586" s="339" t="str">
        <x:v>SCR-219</x:v>
      </x:c>
      <x:c r="C586" s="339" t="str">
        <x:v>Health / Counselling / Discipline</x:v>
      </x:c>
      <x:c r="D586" s="339" t="str">
        <x:v>Medication / First Aid</x:v>
      </x:c>
      <x:c r="E586" s="339" t="str">
        <x:v>Stale/concurrent data</x:v>
      </x:c>
      <x:c r="F586" s="339" t="str">
        <x:v>Detect version/state mismatch before destructive update; require refresh/review.</x:v>
      </x:c>
      <x:c r="G586" s="339" t="str">
        <x:v>This record changed since you opened it. Refresh before saving.</x:v>
      </x:c>
      <x:c r="H586" s="339" t="str">
        <x:v>Reload the latest data and reapply the intended change.</x:v>
      </x:c>
      <x:c r="I586" s="339" t="str">
        <x:v>Record conflict if it affected a high-risk workflow.</x:v>
      </x:c>
    </x:row>
    <x:row r="587">
      <x:c r="A587" s="339" t="str">
        <x:v>EXC-00586</x:v>
      </x:c>
      <x:c r="B587" s="339" t="str">
        <x:v>SCR-219</x:v>
      </x:c>
      <x:c r="C587" s="339" t="str">
        <x:v>Health / Counselling / Discipline</x:v>
      </x:c>
      <x:c r="D587" s="339" t="str">
        <x:v>Medication / First Aid</x:v>
      </x:c>
      <x:c r="E587" s="339" t="str">
        <x:v>Downstream dependency failure</x:v>
      </x:c>
      <x:c r="F587" s="339" t="str">
        <x:v>Rollback or keep a recoverable pending state; never claim success for an incomplete critical transaction.</x:v>
      </x:c>
      <x:c r="G587" s="339" t="str">
        <x:v>The action could not be completed. No final change was applied.</x:v>
      </x:c>
      <x:c r="H587" s="339" t="str">
        <x:v>Retry safely or route to manual resolution queue.</x:v>
      </x:c>
      <x:c r="I587" s="339" t="str">
        <x:v>Capture correlation/error ID and failed step.</x:v>
      </x:c>
    </x:row>
    <x:row r="588">
      <x:c r="A588" s="339" t="str">
        <x:v>EXC-00587</x:v>
      </x:c>
      <x:c r="B588" s="339" t="str">
        <x:v>SCR-220</x:v>
      </x:c>
      <x:c r="C588" s="339" t="str">
        <x:v>Health / Counselling / Discipline</x:v>
      </x:c>
      <x:c r="D588" s="339" t="str">
        <x:v>Immunization / Allergy</x:v>
      </x:c>
      <x:c r="E588" s="339" t="str">
        <x:v>Unauthorized or out-of-scope record</x:v>
      </x:c>
      <x:c r="F588" s="339" t="str">
        <x:v>Deny access/action; do not reveal existence beyond safe messaging.</x:v>
      </x:c>
      <x:c r="G588" s="339" t="str">
        <x:v>You do not have access to this record.</x:v>
      </x:c>
      <x:c r="H588" s="339" t="str">
        <x:v>Re-authenticate or contact an administrator if access is expected.</x:v>
      </x:c>
      <x:c r="I588" s="339" t="str">
        <x:v>Log security-relevant denial where appropriate.</x:v>
      </x:c>
    </x:row>
    <x:row r="589">
      <x:c r="A589" s="339" t="str">
        <x:v>EXC-00588</x:v>
      </x:c>
      <x:c r="B589" s="339" t="str">
        <x:v>SCR-220</x:v>
      </x:c>
      <x:c r="C589" s="339" t="str">
        <x:v>Health / Counselling / Discipline</x:v>
      </x:c>
      <x:c r="D589" s="339" t="str">
        <x:v>Immunization / Allergy</x:v>
      </x:c>
      <x:c r="E589" s="339" t="str">
        <x:v>Stale/concurrent data</x:v>
      </x:c>
      <x:c r="F589" s="339" t="str">
        <x:v>Detect version/state mismatch before destructive update; require refresh/review.</x:v>
      </x:c>
      <x:c r="G589" s="339" t="str">
        <x:v>This record changed since you opened it. Refresh before saving.</x:v>
      </x:c>
      <x:c r="H589" s="339" t="str">
        <x:v>Reload the latest data and reapply the intended change.</x:v>
      </x:c>
      <x:c r="I589" s="339" t="str">
        <x:v>Record conflict if it affected a high-risk workflow.</x:v>
      </x:c>
    </x:row>
    <x:row r="590">
      <x:c r="A590" s="339" t="str">
        <x:v>EXC-00589</x:v>
      </x:c>
      <x:c r="B590" s="339" t="str">
        <x:v>SCR-220</x:v>
      </x:c>
      <x:c r="C590" s="339" t="str">
        <x:v>Health / Counselling / Discipline</x:v>
      </x:c>
      <x:c r="D590" s="339" t="str">
        <x:v>Immunization / Allergy</x:v>
      </x:c>
      <x:c r="E590" s="339" t="str">
        <x:v>Downstream dependency failure</x:v>
      </x:c>
      <x:c r="F590" s="339" t="str">
        <x:v>Rollback or keep a recoverable pending state; never claim success for an incomplete critical transaction.</x:v>
      </x:c>
      <x:c r="G590" s="339" t="str">
        <x:v>The action could not be completed. No final change was applied.</x:v>
      </x:c>
      <x:c r="H590" s="339" t="str">
        <x:v>Retry safely or route to manual resolution queue.</x:v>
      </x:c>
      <x:c r="I590" s="339" t="str">
        <x:v>Capture correlation/error ID and failed step.</x:v>
      </x:c>
    </x:row>
    <x:row r="591">
      <x:c r="A591" s="339" t="str">
        <x:v>EXC-00590</x:v>
      </x:c>
      <x:c r="B591" s="339" t="str">
        <x:v>SCR-221</x:v>
      </x:c>
      <x:c r="C591" s="339" t="str">
        <x:v>Health / Counselling / Discipline</x:v>
      </x:c>
      <x:c r="D591" s="339" t="str">
        <x:v>Counselling Appointments</x:v>
      </x:c>
      <x:c r="E591" s="339" t="str">
        <x:v>Unauthorized or out-of-scope record</x:v>
      </x:c>
      <x:c r="F591" s="339" t="str">
        <x:v>Deny access/action; do not reveal existence beyond safe messaging.</x:v>
      </x:c>
      <x:c r="G591" s="339" t="str">
        <x:v>You do not have access to this record.</x:v>
      </x:c>
      <x:c r="H591" s="339" t="str">
        <x:v>Re-authenticate or contact an administrator if access is expected.</x:v>
      </x:c>
      <x:c r="I591" s="339" t="str">
        <x:v>Log security-relevant denial where appropriate.</x:v>
      </x:c>
    </x:row>
    <x:row r="592">
      <x:c r="A592" s="339" t="str">
        <x:v>EXC-00591</x:v>
      </x:c>
      <x:c r="B592" s="339" t="str">
        <x:v>SCR-221</x:v>
      </x:c>
      <x:c r="C592" s="339" t="str">
        <x:v>Health / Counselling / Discipline</x:v>
      </x:c>
      <x:c r="D592" s="339" t="str">
        <x:v>Counselling Appointments</x:v>
      </x:c>
      <x:c r="E592" s="339" t="str">
        <x:v>Stale/concurrent data</x:v>
      </x:c>
      <x:c r="F592" s="339" t="str">
        <x:v>Detect version/state mismatch before destructive update; require refresh/review.</x:v>
      </x:c>
      <x:c r="G592" s="339" t="str">
        <x:v>This record changed since you opened it. Refresh before saving.</x:v>
      </x:c>
      <x:c r="H592" s="339" t="str">
        <x:v>Reload the latest data and reapply the intended change.</x:v>
      </x:c>
      <x:c r="I592" s="339" t="str">
        <x:v>Record conflict if it affected a high-risk workflow.</x:v>
      </x:c>
    </x:row>
    <x:row r="593">
      <x:c r="A593" s="339" t="str">
        <x:v>EXC-00592</x:v>
      </x:c>
      <x:c r="B593" s="339" t="str">
        <x:v>SCR-221</x:v>
      </x:c>
      <x:c r="C593" s="339" t="str">
        <x:v>Health / Counselling / Discipline</x:v>
      </x:c>
      <x:c r="D593" s="339" t="str">
        <x:v>Counselling Appointments</x:v>
      </x:c>
      <x:c r="E593" s="339" t="str">
        <x:v>Downstream dependency failure</x:v>
      </x:c>
      <x:c r="F593" s="339" t="str">
        <x:v>Rollback or keep a recoverable pending state; never claim success for an incomplete critical transaction.</x:v>
      </x:c>
      <x:c r="G593" s="339" t="str">
        <x:v>The action could not be completed. No final change was applied.</x:v>
      </x:c>
      <x:c r="H593" s="339" t="str">
        <x:v>Retry safely or route to manual resolution queue.</x:v>
      </x:c>
      <x:c r="I593" s="339" t="str">
        <x:v>Capture correlation/error ID and failed step.</x:v>
      </x:c>
    </x:row>
    <x:row r="594">
      <x:c r="A594" s="339" t="str">
        <x:v>EXC-00593</x:v>
      </x:c>
      <x:c r="B594" s="339" t="str">
        <x:v>SCR-222</x:v>
      </x:c>
      <x:c r="C594" s="339" t="str">
        <x:v>Health / Counselling / Discipline</x:v>
      </x:c>
      <x:c r="D594" s="339" t="str">
        <x:v>Counselling Case Notes</x:v>
      </x:c>
      <x:c r="E594" s="339" t="str">
        <x:v>Unauthorized or out-of-scope record</x:v>
      </x:c>
      <x:c r="F594" s="339" t="str">
        <x:v>Deny access/action; do not reveal existence beyond safe messaging.</x:v>
      </x:c>
      <x:c r="G594" s="339" t="str">
        <x:v>You do not have access to this record.</x:v>
      </x:c>
      <x:c r="H594" s="339" t="str">
        <x:v>Re-authenticate or contact an administrator if access is expected.</x:v>
      </x:c>
      <x:c r="I594" s="339" t="str">
        <x:v>Log security-relevant denial where appropriate.</x:v>
      </x:c>
    </x:row>
    <x:row r="595">
      <x:c r="A595" s="339" t="str">
        <x:v>EXC-00594</x:v>
      </x:c>
      <x:c r="B595" s="339" t="str">
        <x:v>SCR-222</x:v>
      </x:c>
      <x:c r="C595" s="339" t="str">
        <x:v>Health / Counselling / Discipline</x:v>
      </x:c>
      <x:c r="D595" s="339" t="str">
        <x:v>Counselling Case Notes</x:v>
      </x:c>
      <x:c r="E595" s="339" t="str">
        <x:v>Stale/concurrent data</x:v>
      </x:c>
      <x:c r="F595" s="339" t="str">
        <x:v>Detect version/state mismatch before destructive update; require refresh/review.</x:v>
      </x:c>
      <x:c r="G595" s="339" t="str">
        <x:v>This record changed since you opened it. Refresh before saving.</x:v>
      </x:c>
      <x:c r="H595" s="339" t="str">
        <x:v>Reload the latest data and reapply the intended change.</x:v>
      </x:c>
      <x:c r="I595" s="339" t="str">
        <x:v>Record conflict if it affected a high-risk workflow.</x:v>
      </x:c>
    </x:row>
    <x:row r="596">
      <x:c r="A596" s="339" t="str">
        <x:v>EXC-00595</x:v>
      </x:c>
      <x:c r="B596" s="339" t="str">
        <x:v>SCR-222</x:v>
      </x:c>
      <x:c r="C596" s="339" t="str">
        <x:v>Health / Counselling / Discipline</x:v>
      </x:c>
      <x:c r="D596" s="339" t="str">
        <x:v>Counselling Case Notes</x:v>
      </x:c>
      <x:c r="E596" s="339" t="str">
        <x:v>Downstream dependency failure</x:v>
      </x:c>
      <x:c r="F596" s="339" t="str">
        <x:v>Rollback or keep a recoverable pending state; never claim success for an incomplete critical transaction.</x:v>
      </x:c>
      <x:c r="G596" s="339" t="str">
        <x:v>The action could not be completed. No final change was applied.</x:v>
      </x:c>
      <x:c r="H596" s="339" t="str">
        <x:v>Retry safely or route to manual resolution queue.</x:v>
      </x:c>
      <x:c r="I596" s="339" t="str">
        <x:v>Capture correlation/error ID and failed step.</x:v>
      </x:c>
    </x:row>
    <x:row r="597">
      <x:c r="A597" s="339" t="str">
        <x:v>EXC-00596</x:v>
      </x:c>
      <x:c r="B597" s="339" t="str">
        <x:v>SCR-223</x:v>
      </x:c>
      <x:c r="C597" s="339" t="str">
        <x:v>Health / Counselling / Discipline</x:v>
      </x:c>
      <x:c r="D597" s="339" t="str">
        <x:v>Behaviour / Discipline Incidents</x:v>
      </x:c>
      <x:c r="E597" s="339" t="str">
        <x:v>Unauthorized or out-of-scope record</x:v>
      </x:c>
      <x:c r="F597" s="339" t="str">
        <x:v>Deny access/action; do not reveal existence beyond safe messaging.</x:v>
      </x:c>
      <x:c r="G597" s="339" t="str">
        <x:v>You do not have access to this record.</x:v>
      </x:c>
      <x:c r="H597" s="339" t="str">
        <x:v>Re-authenticate or contact an administrator if access is expected.</x:v>
      </x:c>
      <x:c r="I597" s="339" t="str">
        <x:v>Log security-relevant denial where appropriate.</x:v>
      </x:c>
    </x:row>
    <x:row r="598">
      <x:c r="A598" s="339" t="str">
        <x:v>EXC-00597</x:v>
      </x:c>
      <x:c r="B598" s="339" t="str">
        <x:v>SCR-223</x:v>
      </x:c>
      <x:c r="C598" s="339" t="str">
        <x:v>Health / Counselling / Discipline</x:v>
      </x:c>
      <x:c r="D598" s="339" t="str">
        <x:v>Behaviour / Discipline Incidents</x:v>
      </x:c>
      <x:c r="E598" s="339" t="str">
        <x:v>Stale/concurrent data</x:v>
      </x:c>
      <x:c r="F598" s="339" t="str">
        <x:v>Detect version/state mismatch before destructive update; require refresh/review.</x:v>
      </x:c>
      <x:c r="G598" s="339" t="str">
        <x:v>This record changed since you opened it. Refresh before saving.</x:v>
      </x:c>
      <x:c r="H598" s="339" t="str">
        <x:v>Reload the latest data and reapply the intended change.</x:v>
      </x:c>
      <x:c r="I598" s="339" t="str">
        <x:v>Record conflict if it affected a high-risk workflow.</x:v>
      </x:c>
    </x:row>
    <x:row r="599">
      <x:c r="A599" s="339" t="str">
        <x:v>EXC-00598</x:v>
      </x:c>
      <x:c r="B599" s="339" t="str">
        <x:v>SCR-224</x:v>
      </x:c>
      <x:c r="C599" s="339" t="str">
        <x:v>Health / Counselling / Discipline</x:v>
      </x:c>
      <x:c r="D599" s="339" t="str">
        <x:v>Incident Action &amp; Follow-up</x:v>
      </x:c>
      <x:c r="E599" s="339" t="str">
        <x:v>Unauthorized or out-of-scope record</x:v>
      </x:c>
      <x:c r="F599" s="339" t="str">
        <x:v>Deny access/action; do not reveal existence beyond safe messaging.</x:v>
      </x:c>
      <x:c r="G599" s="339" t="str">
        <x:v>You do not have access to this record.</x:v>
      </x:c>
      <x:c r="H599" s="339" t="str">
        <x:v>Re-authenticate or contact an administrator if access is expected.</x:v>
      </x:c>
      <x:c r="I599" s="339" t="str">
        <x:v>Log security-relevant denial where appropriate.</x:v>
      </x:c>
    </x:row>
    <x:row r="600">
      <x:c r="A600" s="339" t="str">
        <x:v>EXC-00599</x:v>
      </x:c>
      <x:c r="B600" s="339" t="str">
        <x:v>SCR-224</x:v>
      </x:c>
      <x:c r="C600" s="339" t="str">
        <x:v>Health / Counselling / Discipline</x:v>
      </x:c>
      <x:c r="D600" s="339" t="str">
        <x:v>Incident Action &amp; Follow-up</x:v>
      </x:c>
      <x:c r="E600" s="339" t="str">
        <x:v>Stale/concurrent data</x:v>
      </x:c>
      <x:c r="F600" s="339" t="str">
        <x:v>Detect version/state mismatch before destructive update; require refresh/review.</x:v>
      </x:c>
      <x:c r="G600" s="339" t="str">
        <x:v>This record changed since you opened it. Refresh before saving.</x:v>
      </x:c>
      <x:c r="H600" s="339" t="str">
        <x:v>Reload the latest data and reapply the intended change.</x:v>
      </x:c>
      <x:c r="I600" s="339" t="str">
        <x:v>Record conflict if it affected a high-risk workflow.</x:v>
      </x:c>
    </x:row>
    <x:row r="601">
      <x:c r="A601" s="339" t="str">
        <x:v>EXC-00600</x:v>
      </x:c>
      <x:c r="B601" s="339" t="str">
        <x:v>SCR-224</x:v>
      </x:c>
      <x:c r="C601" s="339" t="str">
        <x:v>Health / Counselling / Discipline</x:v>
      </x:c>
      <x:c r="D601" s="339" t="str">
        <x:v>Incident Action &amp; Follow-up</x:v>
      </x:c>
      <x:c r="E601" s="339" t="str">
        <x:v>Downstream dependency failure</x:v>
      </x:c>
      <x:c r="F601" s="339" t="str">
        <x:v>Rollback or keep a recoverable pending state; never claim success for an incomplete critical transaction.</x:v>
      </x:c>
      <x:c r="G601" s="339" t="str">
        <x:v>The action could not be completed. No final change was applied.</x:v>
      </x:c>
      <x:c r="H601" s="339" t="str">
        <x:v>Retry safely or route to manual resolution queue.</x:v>
      </x:c>
      <x:c r="I601" s="339" t="str">
        <x:v>Capture correlation/error ID and failed step.</x:v>
      </x:c>
    </x:row>
    <x:row r="602">
      <x:c r="A602" s="339" t="str">
        <x:v>EXC-00601</x:v>
      </x:c>
      <x:c r="B602" s="339" t="str">
        <x:v>SCR-225</x:v>
      </x:c>
      <x:c r="C602" s="339" t="str">
        <x:v>Health / Counselling / Discipline</x:v>
      </x:c>
      <x:c r="D602" s="339" t="str">
        <x:v>Emergency Contacts &amp; Escalation</x:v>
      </x:c>
      <x:c r="E602" s="339" t="str">
        <x:v>Unauthorized or out-of-scope record</x:v>
      </x:c>
      <x:c r="F602" s="339" t="str">
        <x:v>Deny access/action; do not reveal existence beyond safe messaging.</x:v>
      </x:c>
      <x:c r="G602" s="339" t="str">
        <x:v>You do not have access to this record.</x:v>
      </x:c>
      <x:c r="H602" s="339" t="str">
        <x:v>Re-authenticate or contact an administrator if access is expected.</x:v>
      </x:c>
      <x:c r="I602" s="339" t="str">
        <x:v>Log security-relevant denial where appropriate.</x:v>
      </x:c>
    </x:row>
    <x:row r="603">
      <x:c r="A603" s="339" t="str">
        <x:v>EXC-00602</x:v>
      </x:c>
      <x:c r="B603" s="339" t="str">
        <x:v>SCR-225</x:v>
      </x:c>
      <x:c r="C603" s="339" t="str">
        <x:v>Health / Counselling / Discipline</x:v>
      </x:c>
      <x:c r="D603" s="339" t="str">
        <x:v>Emergency Contacts &amp; Escalation</x:v>
      </x:c>
      <x:c r="E603" s="339" t="str">
        <x:v>Stale/concurrent data</x:v>
      </x:c>
      <x:c r="F603" s="339" t="str">
        <x:v>Detect version/state mismatch before destructive update; require refresh/review.</x:v>
      </x:c>
      <x:c r="G603" s="339" t="str">
        <x:v>This record changed since you opened it. Refresh before saving.</x:v>
      </x:c>
      <x:c r="H603" s="339" t="str">
        <x:v>Reload the latest data and reapply the intended change.</x:v>
      </x:c>
      <x:c r="I603" s="339" t="str">
        <x:v>Record conflict if it affected a high-risk workflow.</x:v>
      </x:c>
    </x:row>
    <x:row r="604">
      <x:c r="A604" s="339" t="str">
        <x:v>EXC-00603</x:v>
      </x:c>
      <x:c r="B604" s="339" t="str">
        <x:v>SCR-225</x:v>
      </x:c>
      <x:c r="C604" s="339" t="str">
        <x:v>Health / Counselling / Discipline</x:v>
      </x:c>
      <x:c r="D604" s="339" t="str">
        <x:v>Emergency Contacts &amp; Escalation</x:v>
      </x:c>
      <x:c r="E604" s="339" t="str">
        <x:v>Downstream dependency failure</x:v>
      </x:c>
      <x:c r="F604" s="339" t="str">
        <x:v>Rollback or keep a recoverable pending state; never claim success for an incomplete critical transaction.</x:v>
      </x:c>
      <x:c r="G604" s="339" t="str">
        <x:v>The action could not be completed. No final change was applied.</x:v>
      </x:c>
      <x:c r="H604" s="339" t="str">
        <x:v>Retry safely or route to manual resolution queue.</x:v>
      </x:c>
      <x:c r="I604" s="339" t="str">
        <x:v>Capture correlation/error ID and failed step.</x:v>
      </x:c>
    </x:row>
    <x:row r="605">
      <x:c r="A605" s="339" t="str">
        <x:v>EXC-00604</x:v>
      </x:c>
      <x:c r="B605" s="339" t="str">
        <x:v>SCR-226</x:v>
      </x:c>
      <x:c r="C605" s="339" t="str">
        <x:v>Visitor / Gate / Security</x:v>
      </x:c>
      <x:c r="D605" s="339" t="str">
        <x:v>Visitor Dashboard</x:v>
      </x:c>
      <x:c r="E605" s="339" t="str">
        <x:v>Unauthorized or out-of-scope record</x:v>
      </x:c>
      <x:c r="F605" s="339" t="str">
        <x:v>Deny access/action; do not reveal existence beyond safe messaging.</x:v>
      </x:c>
      <x:c r="G605" s="339" t="str">
        <x:v>You do not have access to this record.</x:v>
      </x:c>
      <x:c r="H605" s="339" t="str">
        <x:v>Re-authenticate or contact an administrator if access is expected.</x:v>
      </x:c>
      <x:c r="I605" s="339" t="str">
        <x:v>Log security-relevant denial where appropriate.</x:v>
      </x:c>
    </x:row>
    <x:row r="606">
      <x:c r="A606" s="339" t="str">
        <x:v>EXC-00605</x:v>
      </x:c>
      <x:c r="B606" s="339" t="str">
        <x:v>SCR-226</x:v>
      </x:c>
      <x:c r="C606" s="339" t="str">
        <x:v>Visitor / Gate / Security</x:v>
      </x:c>
      <x:c r="D606" s="339" t="str">
        <x:v>Visitor Dashboard</x:v>
      </x:c>
      <x:c r="E606" s="339" t="str">
        <x:v>Stale/concurrent data</x:v>
      </x:c>
      <x:c r="F606" s="339" t="str">
        <x:v>Detect version/state mismatch before destructive update; require refresh/review.</x:v>
      </x:c>
      <x:c r="G606" s="339" t="str">
        <x:v>This record changed since you opened it. Refresh before saving.</x:v>
      </x:c>
      <x:c r="H606" s="339" t="str">
        <x:v>Reload the latest data and reapply the intended change.</x:v>
      </x:c>
      <x:c r="I606" s="339" t="str">
        <x:v>Record conflict if it affected a high-risk workflow.</x:v>
      </x:c>
    </x:row>
    <x:row r="607">
      <x:c r="A607" s="339" t="str">
        <x:v>EXC-00606</x:v>
      </x:c>
      <x:c r="B607" s="339" t="str">
        <x:v>SCR-227</x:v>
      </x:c>
      <x:c r="C607" s="339" t="str">
        <x:v>Visitor / Gate / Security</x:v>
      </x:c>
      <x:c r="D607" s="339" t="str">
        <x:v>Visitor Check-in</x:v>
      </x:c>
      <x:c r="E607" s="339" t="str">
        <x:v>Unauthorized or out-of-scope record</x:v>
      </x:c>
      <x:c r="F607" s="339" t="str">
        <x:v>Deny access/action; do not reveal existence beyond safe messaging.</x:v>
      </x:c>
      <x:c r="G607" s="339" t="str">
        <x:v>You do not have access to this record.</x:v>
      </x:c>
      <x:c r="H607" s="339" t="str">
        <x:v>Re-authenticate or contact an administrator if access is expected.</x:v>
      </x:c>
      <x:c r="I607" s="339" t="str">
        <x:v>Log security-relevant denial where appropriate.</x:v>
      </x:c>
    </x:row>
    <x:row r="608">
      <x:c r="A608" s="339" t="str">
        <x:v>EXC-00607</x:v>
      </x:c>
      <x:c r="B608" s="339" t="str">
        <x:v>SCR-227</x:v>
      </x:c>
      <x:c r="C608" s="339" t="str">
        <x:v>Visitor / Gate / Security</x:v>
      </x:c>
      <x:c r="D608" s="339" t="str">
        <x:v>Visitor Check-in</x:v>
      </x:c>
      <x:c r="E608" s="339" t="str">
        <x:v>Stale/concurrent data</x:v>
      </x:c>
      <x:c r="F608" s="339" t="str">
        <x:v>Detect version/state mismatch before destructive update; require refresh/review.</x:v>
      </x:c>
      <x:c r="G608" s="339" t="str">
        <x:v>This record changed since you opened it. Refresh before saving.</x:v>
      </x:c>
      <x:c r="H608" s="339" t="str">
        <x:v>Reload the latest data and reapply the intended change.</x:v>
      </x:c>
      <x:c r="I608" s="339" t="str">
        <x:v>Record conflict if it affected a high-risk workflow.</x:v>
      </x:c>
    </x:row>
    <x:row r="609">
      <x:c r="A609" s="339" t="str">
        <x:v>EXC-00608</x:v>
      </x:c>
      <x:c r="B609" s="339" t="str">
        <x:v>SCR-227</x:v>
      </x:c>
      <x:c r="C609" s="339" t="str">
        <x:v>Visitor / Gate / Security</x:v>
      </x:c>
      <x:c r="D609" s="339" t="str">
        <x:v>Visitor Check-in</x:v>
      </x:c>
      <x:c r="E609" s="339" t="str">
        <x:v>Downstream dependency failure</x:v>
      </x:c>
      <x:c r="F609" s="339" t="str">
        <x:v>Rollback or keep a recoverable pending state; never claim success for an incomplete critical transaction.</x:v>
      </x:c>
      <x:c r="G609" s="339" t="str">
        <x:v>The action could not be completed. No final change was applied.</x:v>
      </x:c>
      <x:c r="H609" s="339" t="str">
        <x:v>Retry safely or route to manual resolution queue.</x:v>
      </x:c>
      <x:c r="I609" s="339" t="str">
        <x:v>Capture correlation/error ID and failed step.</x:v>
      </x:c>
    </x:row>
    <x:row r="610">
      <x:c r="A610" s="339" t="str">
        <x:v>EXC-00609</x:v>
      </x:c>
      <x:c r="B610" s="339" t="str">
        <x:v>SCR-228</x:v>
      </x:c>
      <x:c r="C610" s="339" t="str">
        <x:v>Visitor / Gate / Security</x:v>
      </x:c>
      <x:c r="D610" s="339" t="str">
        <x:v>Visitor Approval</x:v>
      </x:c>
      <x:c r="E610" s="339" t="str">
        <x:v>Unauthorized or out-of-scope record</x:v>
      </x:c>
      <x:c r="F610" s="339" t="str">
        <x:v>Deny access/action; do not reveal existence beyond safe messaging.</x:v>
      </x:c>
      <x:c r="G610" s="339" t="str">
        <x:v>You do not have access to this record.</x:v>
      </x:c>
      <x:c r="H610" s="339" t="str">
        <x:v>Re-authenticate or contact an administrator if access is expected.</x:v>
      </x:c>
      <x:c r="I610" s="339" t="str">
        <x:v>Log security-relevant denial where appropriate.</x:v>
      </x:c>
    </x:row>
    <x:row r="611">
      <x:c r="A611" s="339" t="str">
        <x:v>EXC-00610</x:v>
      </x:c>
      <x:c r="B611" s="339" t="str">
        <x:v>SCR-228</x:v>
      </x:c>
      <x:c r="C611" s="339" t="str">
        <x:v>Visitor / Gate / Security</x:v>
      </x:c>
      <x:c r="D611" s="339" t="str">
        <x:v>Visitor Approval</x:v>
      </x:c>
      <x:c r="E611" s="339" t="str">
        <x:v>Stale/concurrent data</x:v>
      </x:c>
      <x:c r="F611" s="339" t="str">
        <x:v>Detect version/state mismatch before destructive update; require refresh/review.</x:v>
      </x:c>
      <x:c r="G611" s="339" t="str">
        <x:v>This record changed since you opened it. Refresh before saving.</x:v>
      </x:c>
      <x:c r="H611" s="339" t="str">
        <x:v>Reload the latest data and reapply the intended change.</x:v>
      </x:c>
      <x:c r="I611" s="339" t="str">
        <x:v>Record conflict if it affected a high-risk workflow.</x:v>
      </x:c>
    </x:row>
    <x:row r="612">
      <x:c r="A612" s="339" t="str">
        <x:v>EXC-00611</x:v>
      </x:c>
      <x:c r="B612" s="339" t="str">
        <x:v>SCR-228</x:v>
      </x:c>
      <x:c r="C612" s="339" t="str">
        <x:v>Visitor / Gate / Security</x:v>
      </x:c>
      <x:c r="D612" s="339" t="str">
        <x:v>Visitor Approval</x:v>
      </x:c>
      <x:c r="E612" s="339" t="str">
        <x:v>Downstream dependency failure</x:v>
      </x:c>
      <x:c r="F612" s="339" t="str">
        <x:v>Rollback or keep a recoverable pending state; never claim success for an incomplete critical transaction.</x:v>
      </x:c>
      <x:c r="G612" s="339" t="str">
        <x:v>The action could not be completed. No final change was applied.</x:v>
      </x:c>
      <x:c r="H612" s="339" t="str">
        <x:v>Retry safely or route to manual resolution queue.</x:v>
      </x:c>
      <x:c r="I612" s="339" t="str">
        <x:v>Capture correlation/error ID and failed step.</x:v>
      </x:c>
    </x:row>
    <x:row r="613">
      <x:c r="A613" s="339" t="str">
        <x:v>EXC-00612</x:v>
      </x:c>
      <x:c r="B613" s="339" t="str">
        <x:v>SCR-229</x:v>
      </x:c>
      <x:c r="C613" s="339" t="str">
        <x:v>Visitor / Gate / Security</x:v>
      </x:c>
      <x:c r="D613" s="339" t="str">
        <x:v>Visitor Pass</x:v>
      </x:c>
      <x:c r="E613" s="339" t="str">
        <x:v>Unauthorized or out-of-scope record</x:v>
      </x:c>
      <x:c r="F613" s="339" t="str">
        <x:v>Deny access/action; do not reveal existence beyond safe messaging.</x:v>
      </x:c>
      <x:c r="G613" s="339" t="str">
        <x:v>You do not have access to this record.</x:v>
      </x:c>
      <x:c r="H613" s="339" t="str">
        <x:v>Re-authenticate or contact an administrator if access is expected.</x:v>
      </x:c>
      <x:c r="I613" s="339" t="str">
        <x:v>Log security-relevant denial where appropriate.</x:v>
      </x:c>
    </x:row>
    <x:row r="614">
      <x:c r="A614" s="339" t="str">
        <x:v>EXC-00613</x:v>
      </x:c>
      <x:c r="B614" s="339" t="str">
        <x:v>SCR-229</x:v>
      </x:c>
      <x:c r="C614" s="339" t="str">
        <x:v>Visitor / Gate / Security</x:v>
      </x:c>
      <x:c r="D614" s="339" t="str">
        <x:v>Visitor Pass</x:v>
      </x:c>
      <x:c r="E614" s="339" t="str">
        <x:v>Stale/concurrent data</x:v>
      </x:c>
      <x:c r="F614" s="339" t="str">
        <x:v>Detect version/state mismatch before destructive update; require refresh/review.</x:v>
      </x:c>
      <x:c r="G614" s="339" t="str">
        <x:v>This record changed since you opened it. Refresh before saving.</x:v>
      </x:c>
      <x:c r="H614" s="339" t="str">
        <x:v>Reload the latest data and reapply the intended change.</x:v>
      </x:c>
      <x:c r="I614" s="339" t="str">
        <x:v>Record conflict if it affected a high-risk workflow.</x:v>
      </x:c>
    </x:row>
    <x:row r="615">
      <x:c r="A615" s="339" t="str">
        <x:v>EXC-00614</x:v>
      </x:c>
      <x:c r="B615" s="339" t="str">
        <x:v>SCR-229</x:v>
      </x:c>
      <x:c r="C615" s="339" t="str">
        <x:v>Visitor / Gate / Security</x:v>
      </x:c>
      <x:c r="D615" s="339" t="str">
        <x:v>Visitor Pass</x:v>
      </x:c>
      <x:c r="E615" s="339" t="str">
        <x:v>Downstream dependency failure</x:v>
      </x:c>
      <x:c r="F615" s="339" t="str">
        <x:v>Rollback or keep a recoverable pending state; never claim success for an incomplete critical transaction.</x:v>
      </x:c>
      <x:c r="G615" s="339" t="str">
        <x:v>The action could not be completed. No final change was applied.</x:v>
      </x:c>
      <x:c r="H615" s="339" t="str">
        <x:v>Retry safely or route to manual resolution queue.</x:v>
      </x:c>
      <x:c r="I615" s="339" t="str">
        <x:v>Capture correlation/error ID and failed step.</x:v>
      </x:c>
    </x:row>
    <x:row r="616">
      <x:c r="A616" s="339" t="str">
        <x:v>EXC-00615</x:v>
      </x:c>
      <x:c r="B616" s="339" t="str">
        <x:v>SCR-230</x:v>
      </x:c>
      <x:c r="C616" s="339" t="str">
        <x:v>Visitor / Gate / Security</x:v>
      </x:c>
      <x:c r="D616" s="339" t="str">
        <x:v>Visitor Check-out</x:v>
      </x:c>
      <x:c r="E616" s="339" t="str">
        <x:v>Unauthorized or out-of-scope record</x:v>
      </x:c>
      <x:c r="F616" s="339" t="str">
        <x:v>Deny access/action; do not reveal existence beyond safe messaging.</x:v>
      </x:c>
      <x:c r="G616" s="339" t="str">
        <x:v>You do not have access to this record.</x:v>
      </x:c>
      <x:c r="H616" s="339" t="str">
        <x:v>Re-authenticate or contact an administrator if access is expected.</x:v>
      </x:c>
      <x:c r="I616" s="339" t="str">
        <x:v>Log security-relevant denial where appropriate.</x:v>
      </x:c>
    </x:row>
    <x:row r="617">
      <x:c r="A617" s="339" t="str">
        <x:v>EXC-00616</x:v>
      </x:c>
      <x:c r="B617" s="339" t="str">
        <x:v>SCR-230</x:v>
      </x:c>
      <x:c r="C617" s="339" t="str">
        <x:v>Visitor / Gate / Security</x:v>
      </x:c>
      <x:c r="D617" s="339" t="str">
        <x:v>Visitor Check-out</x:v>
      </x:c>
      <x:c r="E617" s="339" t="str">
        <x:v>Stale/concurrent data</x:v>
      </x:c>
      <x:c r="F617" s="339" t="str">
        <x:v>Detect version/state mismatch before destructive update; require refresh/review.</x:v>
      </x:c>
      <x:c r="G617" s="339" t="str">
        <x:v>This record changed since you opened it. Refresh before saving.</x:v>
      </x:c>
      <x:c r="H617" s="339" t="str">
        <x:v>Reload the latest data and reapply the intended change.</x:v>
      </x:c>
      <x:c r="I617" s="339" t="str">
        <x:v>Record conflict if it affected a high-risk workflow.</x:v>
      </x:c>
    </x:row>
    <x:row r="618">
      <x:c r="A618" s="339" t="str">
        <x:v>EXC-00617</x:v>
      </x:c>
      <x:c r="B618" s="339" t="str">
        <x:v>SCR-230</x:v>
      </x:c>
      <x:c r="C618" s="339" t="str">
        <x:v>Visitor / Gate / Security</x:v>
      </x:c>
      <x:c r="D618" s="339" t="str">
        <x:v>Visitor Check-out</x:v>
      </x:c>
      <x:c r="E618" s="339" t="str">
        <x:v>Downstream dependency failure</x:v>
      </x:c>
      <x:c r="F618" s="339" t="str">
        <x:v>Rollback or keep a recoverable pending state; never claim success for an incomplete critical transaction.</x:v>
      </x:c>
      <x:c r="G618" s="339" t="str">
        <x:v>The action could not be completed. No final change was applied.</x:v>
      </x:c>
      <x:c r="H618" s="339" t="str">
        <x:v>Retry safely or route to manual resolution queue.</x:v>
      </x:c>
      <x:c r="I618" s="339" t="str">
        <x:v>Capture correlation/error ID and failed step.</x:v>
      </x:c>
    </x:row>
    <x:row r="619">
      <x:c r="A619" s="339" t="str">
        <x:v>EXC-00618</x:v>
      </x:c>
      <x:c r="B619" s="339" t="str">
        <x:v>SCR-231</x:v>
      </x:c>
      <x:c r="C619" s="339" t="str">
        <x:v>Visitor / Gate / Security</x:v>
      </x:c>
      <x:c r="D619" s="339" t="str">
        <x:v>Student Early Pickup / Gate Pass</x:v>
      </x:c>
      <x:c r="E619" s="339" t="str">
        <x:v>Unauthorized or out-of-scope record</x:v>
      </x:c>
      <x:c r="F619" s="339" t="str">
        <x:v>Deny access/action; do not reveal existence beyond safe messaging.</x:v>
      </x:c>
      <x:c r="G619" s="339" t="str">
        <x:v>You do not have access to this record.</x:v>
      </x:c>
      <x:c r="H619" s="339" t="str">
        <x:v>Re-authenticate or contact an administrator if access is expected.</x:v>
      </x:c>
      <x:c r="I619" s="339" t="str">
        <x:v>Log security-relevant denial where appropriate.</x:v>
      </x:c>
    </x:row>
    <x:row r="620">
      <x:c r="A620" s="339" t="str">
        <x:v>EXC-00619</x:v>
      </x:c>
      <x:c r="B620" s="339" t="str">
        <x:v>SCR-231</x:v>
      </x:c>
      <x:c r="C620" s="339" t="str">
        <x:v>Visitor / Gate / Security</x:v>
      </x:c>
      <x:c r="D620" s="339" t="str">
        <x:v>Student Early Pickup / Gate Pass</x:v>
      </x:c>
      <x:c r="E620" s="339" t="str">
        <x:v>Stale/concurrent data</x:v>
      </x:c>
      <x:c r="F620" s="339" t="str">
        <x:v>Detect version/state mismatch before destructive update; require refresh/review.</x:v>
      </x:c>
      <x:c r="G620" s="339" t="str">
        <x:v>This record changed since you opened it. Refresh before saving.</x:v>
      </x:c>
      <x:c r="H620" s="339" t="str">
        <x:v>Reload the latest data and reapply the intended change.</x:v>
      </x:c>
      <x:c r="I620" s="339" t="str">
        <x:v>Record conflict if it affected a high-risk workflow.</x:v>
      </x:c>
    </x:row>
    <x:row r="621">
      <x:c r="A621" s="339" t="str">
        <x:v>EXC-00620</x:v>
      </x:c>
      <x:c r="B621" s="339" t="str">
        <x:v>SCR-231</x:v>
      </x:c>
      <x:c r="C621" s="339" t="str">
        <x:v>Visitor / Gate / Security</x:v>
      </x:c>
      <x:c r="D621" s="339" t="str">
        <x:v>Student Early Pickup / Gate Pass</x:v>
      </x:c>
      <x:c r="E621" s="339" t="str">
        <x:v>Downstream dependency failure</x:v>
      </x:c>
      <x:c r="F621" s="339" t="str">
        <x:v>Rollback or keep a recoverable pending state; never claim success for an incomplete critical transaction.</x:v>
      </x:c>
      <x:c r="G621" s="339" t="str">
        <x:v>The action could not be completed. No final change was applied.</x:v>
      </x:c>
      <x:c r="H621" s="339" t="str">
        <x:v>Retry safely or route to manual resolution queue.</x:v>
      </x:c>
      <x:c r="I621" s="339" t="str">
        <x:v>Capture correlation/error ID and failed step.</x:v>
      </x:c>
    </x:row>
    <x:row r="622">
      <x:c r="A622" s="339" t="str">
        <x:v>EXC-00621</x:v>
      </x:c>
      <x:c r="B622" s="339" t="str">
        <x:v>SCR-232</x:v>
      </x:c>
      <x:c r="C622" s="339" t="str">
        <x:v>Visitor / Gate / Security</x:v>
      </x:c>
      <x:c r="D622" s="339" t="str">
        <x:v>Staff &amp; Vehicle Gate Log</x:v>
      </x:c>
      <x:c r="E622" s="339" t="str">
        <x:v>Unauthorized or out-of-scope record</x:v>
      </x:c>
      <x:c r="F622" s="339" t="str">
        <x:v>Deny access/action; do not reveal existence beyond safe messaging.</x:v>
      </x:c>
      <x:c r="G622" s="339" t="str">
        <x:v>You do not have access to this record.</x:v>
      </x:c>
      <x:c r="H622" s="339" t="str">
        <x:v>Re-authenticate or contact an administrator if access is expected.</x:v>
      </x:c>
      <x:c r="I622" s="339" t="str">
        <x:v>Log security-relevant denial where appropriate.</x:v>
      </x:c>
    </x:row>
    <x:row r="623">
      <x:c r="A623" s="339" t="str">
        <x:v>EXC-00622</x:v>
      </x:c>
      <x:c r="B623" s="339" t="str">
        <x:v>SCR-232</x:v>
      </x:c>
      <x:c r="C623" s="339" t="str">
        <x:v>Visitor / Gate / Security</x:v>
      </x:c>
      <x:c r="D623" s="339" t="str">
        <x:v>Staff &amp; Vehicle Gate Log</x:v>
      </x:c>
      <x:c r="E623" s="339" t="str">
        <x:v>Stale/concurrent data</x:v>
      </x:c>
      <x:c r="F623" s="339" t="str">
        <x:v>Detect version/state mismatch before destructive update; require refresh/review.</x:v>
      </x:c>
      <x:c r="G623" s="339" t="str">
        <x:v>This record changed since you opened it. Refresh before saving.</x:v>
      </x:c>
      <x:c r="H623" s="339" t="str">
        <x:v>Reload the latest data and reapply the intended change.</x:v>
      </x:c>
      <x:c r="I623" s="339" t="str">
        <x:v>Record conflict if it affected a high-risk workflow.</x:v>
      </x:c>
    </x:row>
    <x:row r="624">
      <x:c r="A624" s="339" t="str">
        <x:v>EXC-00623</x:v>
      </x:c>
      <x:c r="B624" s="339" t="str">
        <x:v>SCR-232</x:v>
      </x:c>
      <x:c r="C624" s="339" t="str">
        <x:v>Visitor / Gate / Security</x:v>
      </x:c>
      <x:c r="D624" s="339" t="str">
        <x:v>Staff &amp; Vehicle Gate Log</x:v>
      </x:c>
      <x:c r="E624" s="339" t="str">
        <x:v>Downstream dependency failure</x:v>
      </x:c>
      <x:c r="F624" s="339" t="str">
        <x:v>Rollback or keep a recoverable pending state; never claim success for an incomplete critical transaction.</x:v>
      </x:c>
      <x:c r="G624" s="339" t="str">
        <x:v>The action could not be completed. No final change was applied.</x:v>
      </x:c>
      <x:c r="H624" s="339" t="str">
        <x:v>Retry safely or route to manual resolution queue.</x:v>
      </x:c>
      <x:c r="I624" s="339" t="str">
        <x:v>Capture correlation/error ID and failed step.</x:v>
      </x:c>
    </x:row>
    <x:row r="625">
      <x:c r="A625" s="339" t="str">
        <x:v>EXC-00624</x:v>
      </x:c>
      <x:c r="B625" s="339" t="str">
        <x:v>SCR-233</x:v>
      </x:c>
      <x:c r="C625" s="339" t="str">
        <x:v>Visitor / Gate / Security</x:v>
      </x:c>
      <x:c r="D625" s="339" t="str">
        <x:v>Security Incident Log</x:v>
      </x:c>
      <x:c r="E625" s="339" t="str">
        <x:v>Unauthorized or out-of-scope record</x:v>
      </x:c>
      <x:c r="F625" s="339" t="str">
        <x:v>Deny access/action; do not reveal existence beyond safe messaging.</x:v>
      </x:c>
      <x:c r="G625" s="339" t="str">
        <x:v>You do not have access to this record.</x:v>
      </x:c>
      <x:c r="H625" s="339" t="str">
        <x:v>Re-authenticate or contact an administrator if access is expected.</x:v>
      </x:c>
      <x:c r="I625" s="339" t="str">
        <x:v>Log security-relevant denial where appropriate.</x:v>
      </x:c>
    </x:row>
    <x:row r="626">
      <x:c r="A626" s="339" t="str">
        <x:v>EXC-00625</x:v>
      </x:c>
      <x:c r="B626" s="339" t="str">
        <x:v>SCR-233</x:v>
      </x:c>
      <x:c r="C626" s="339" t="str">
        <x:v>Visitor / Gate / Security</x:v>
      </x:c>
      <x:c r="D626" s="339" t="str">
        <x:v>Security Incident Log</x:v>
      </x:c>
      <x:c r="E626" s="339" t="str">
        <x:v>Stale/concurrent data</x:v>
      </x:c>
      <x:c r="F626" s="339" t="str">
        <x:v>Detect version/state mismatch before destructive update; require refresh/review.</x:v>
      </x:c>
      <x:c r="G626" s="339" t="str">
        <x:v>This record changed since you opened it. Refresh before saving.</x:v>
      </x:c>
      <x:c r="H626" s="339" t="str">
        <x:v>Reload the latest data and reapply the intended change.</x:v>
      </x:c>
      <x:c r="I626" s="339" t="str">
        <x:v>Record conflict if it affected a high-risk workflow.</x:v>
      </x:c>
    </x:row>
    <x:row r="627">
      <x:c r="A627" s="339" t="str">
        <x:v>EXC-00626</x:v>
      </x:c>
      <x:c r="B627" s="339" t="str">
        <x:v>SCR-233</x:v>
      </x:c>
      <x:c r="C627" s="339" t="str">
        <x:v>Visitor / Gate / Security</x:v>
      </x:c>
      <x:c r="D627" s="339" t="str">
        <x:v>Security Incident Log</x:v>
      </x:c>
      <x:c r="E627" s="339" t="str">
        <x:v>Downstream dependency failure</x:v>
      </x:c>
      <x:c r="F627" s="339" t="str">
        <x:v>Rollback or keep a recoverable pending state; never claim success for an incomplete critical transaction.</x:v>
      </x:c>
      <x:c r="G627" s="339" t="str">
        <x:v>The action could not be completed. No final change was applied.</x:v>
      </x:c>
      <x:c r="H627" s="339" t="str">
        <x:v>Retry safely or route to manual resolution queue.</x:v>
      </x:c>
      <x:c r="I627" s="339" t="str">
        <x:v>Capture correlation/error ID and failed step.</x:v>
      </x:c>
    </x:row>
    <x:row r="628">
      <x:c r="A628" s="339" t="str">
        <x:v>EXC-00627</x:v>
      </x:c>
      <x:c r="B628" s="339" t="str">
        <x:v>SCR-234</x:v>
      </x:c>
      <x:c r="C628" s="339" t="str">
        <x:v>Inventory / Assets / Labs</x:v>
      </x:c>
      <x:c r="D628" s="339" t="str">
        <x:v>Inventory Dashboard</x:v>
      </x:c>
      <x:c r="E628" s="339" t="str">
        <x:v>Unauthorized or out-of-scope record</x:v>
      </x:c>
      <x:c r="F628" s="339" t="str">
        <x:v>Deny access/action; do not reveal existence beyond safe messaging.</x:v>
      </x:c>
      <x:c r="G628" s="339" t="str">
        <x:v>You do not have access to this record.</x:v>
      </x:c>
      <x:c r="H628" s="339" t="str">
        <x:v>Re-authenticate or contact an administrator if access is expected.</x:v>
      </x:c>
      <x:c r="I628" s="339" t="str">
        <x:v>Log security-relevant denial where appropriate.</x:v>
      </x:c>
    </x:row>
    <x:row r="629">
      <x:c r="A629" s="339" t="str">
        <x:v>EXC-00628</x:v>
      </x:c>
      <x:c r="B629" s="339" t="str">
        <x:v>SCR-234</x:v>
      </x:c>
      <x:c r="C629" s="339" t="str">
        <x:v>Inventory / Assets / Labs</x:v>
      </x:c>
      <x:c r="D629" s="339" t="str">
        <x:v>Inventory Dashboard</x:v>
      </x:c>
      <x:c r="E629" s="339" t="str">
        <x:v>Stale/concurrent data</x:v>
      </x:c>
      <x:c r="F629" s="339" t="str">
        <x:v>Detect version/state mismatch before destructive update; require refresh/review.</x:v>
      </x:c>
      <x:c r="G629" s="339" t="str">
        <x:v>This record changed since you opened it. Refresh before saving.</x:v>
      </x:c>
      <x:c r="H629" s="339" t="str">
        <x:v>Reload the latest data and reapply the intended change.</x:v>
      </x:c>
      <x:c r="I629" s="339" t="str">
        <x:v>Record conflict if it affected a high-risk workflow.</x:v>
      </x:c>
    </x:row>
    <x:row r="630">
      <x:c r="A630" s="339" t="str">
        <x:v>EXC-00629</x:v>
      </x:c>
      <x:c r="B630" s="339" t="str">
        <x:v>SCR-235</x:v>
      </x:c>
      <x:c r="C630" s="339" t="str">
        <x:v>Inventory / Assets / Labs</x:v>
      </x:c>
      <x:c r="D630" s="339" t="str">
        <x:v>Item Catalogue</x:v>
      </x:c>
      <x:c r="E630" s="339" t="str">
        <x:v>Unauthorized or out-of-scope record</x:v>
      </x:c>
      <x:c r="F630" s="339" t="str">
        <x:v>Deny access/action; do not reveal existence beyond safe messaging.</x:v>
      </x:c>
      <x:c r="G630" s="339" t="str">
        <x:v>You do not have access to this record.</x:v>
      </x:c>
      <x:c r="H630" s="339" t="str">
        <x:v>Re-authenticate or contact an administrator if access is expected.</x:v>
      </x:c>
      <x:c r="I630" s="339" t="str">
        <x:v>Log security-relevant denial where appropriate.</x:v>
      </x:c>
    </x:row>
    <x:row r="631">
      <x:c r="A631" s="339" t="str">
        <x:v>EXC-00630</x:v>
      </x:c>
      <x:c r="B631" s="339" t="str">
        <x:v>SCR-235</x:v>
      </x:c>
      <x:c r="C631" s="339" t="str">
        <x:v>Inventory / Assets / Labs</x:v>
      </x:c>
      <x:c r="D631" s="339" t="str">
        <x:v>Item Catalogue</x:v>
      </x:c>
      <x:c r="E631" s="339" t="str">
        <x:v>Stale/concurrent data</x:v>
      </x:c>
      <x:c r="F631" s="339" t="str">
        <x:v>Detect version/state mismatch before destructive update; require refresh/review.</x:v>
      </x:c>
      <x:c r="G631" s="339" t="str">
        <x:v>This record changed since you opened it. Refresh before saving.</x:v>
      </x:c>
      <x:c r="H631" s="339" t="str">
        <x:v>Reload the latest data and reapply the intended change.</x:v>
      </x:c>
      <x:c r="I631" s="339" t="str">
        <x:v>Record conflict if it affected a high-risk workflow.</x:v>
      </x:c>
    </x:row>
    <x:row r="632">
      <x:c r="A632" s="339" t="str">
        <x:v>EXC-00631</x:v>
      </x:c>
      <x:c r="B632" s="339" t="str">
        <x:v>SCR-236</x:v>
      </x:c>
      <x:c r="C632" s="339" t="str">
        <x:v>Inventory / Assets / Labs</x:v>
      </x:c>
      <x:c r="D632" s="339" t="str">
        <x:v>Stock In / Purchase Receipt</x:v>
      </x:c>
      <x:c r="E632" s="339" t="str">
        <x:v>Unauthorized or out-of-scope record</x:v>
      </x:c>
      <x:c r="F632" s="339" t="str">
        <x:v>Deny access/action; do not reveal existence beyond safe messaging.</x:v>
      </x:c>
      <x:c r="G632" s="339" t="str">
        <x:v>You do not have access to this record.</x:v>
      </x:c>
      <x:c r="H632" s="339" t="str">
        <x:v>Re-authenticate or contact an administrator if access is expected.</x:v>
      </x:c>
      <x:c r="I632" s="339" t="str">
        <x:v>Log security-relevant denial where appropriate.</x:v>
      </x:c>
    </x:row>
    <x:row r="633">
      <x:c r="A633" s="339" t="str">
        <x:v>EXC-00632</x:v>
      </x:c>
      <x:c r="B633" s="339" t="str">
        <x:v>SCR-236</x:v>
      </x:c>
      <x:c r="C633" s="339" t="str">
        <x:v>Inventory / Assets / Labs</x:v>
      </x:c>
      <x:c r="D633" s="339" t="str">
        <x:v>Stock In / Purchase Receipt</x:v>
      </x:c>
      <x:c r="E633" s="339" t="str">
        <x:v>Stale/concurrent data</x:v>
      </x:c>
      <x:c r="F633" s="339" t="str">
        <x:v>Detect version/state mismatch before destructive update; require refresh/review.</x:v>
      </x:c>
      <x:c r="G633" s="339" t="str">
        <x:v>This record changed since you opened it. Refresh before saving.</x:v>
      </x:c>
      <x:c r="H633" s="339" t="str">
        <x:v>Reload the latest data and reapply the intended change.</x:v>
      </x:c>
      <x:c r="I633" s="339" t="str">
        <x:v>Record conflict if it affected a high-risk workflow.</x:v>
      </x:c>
    </x:row>
    <x:row r="634">
      <x:c r="A634" s="339" t="str">
        <x:v>EXC-00633</x:v>
      </x:c>
      <x:c r="B634" s="339" t="str">
        <x:v>SCR-237</x:v>
      </x:c>
      <x:c r="C634" s="339" t="str">
        <x:v>Inventory / Assets / Labs</x:v>
      </x:c>
      <x:c r="D634" s="339" t="str">
        <x:v>Stock Issue / Return</x:v>
      </x:c>
      <x:c r="E634" s="339" t="str">
        <x:v>Unauthorized or out-of-scope record</x:v>
      </x:c>
      <x:c r="F634" s="339" t="str">
        <x:v>Deny access/action; do not reveal existence beyond safe messaging.</x:v>
      </x:c>
      <x:c r="G634" s="339" t="str">
        <x:v>You do not have access to this record.</x:v>
      </x:c>
      <x:c r="H634" s="339" t="str">
        <x:v>Re-authenticate or contact an administrator if access is expected.</x:v>
      </x:c>
      <x:c r="I634" s="339" t="str">
        <x:v>Log security-relevant denial where appropriate.</x:v>
      </x:c>
    </x:row>
    <x:row r="635">
      <x:c r="A635" s="339" t="str">
        <x:v>EXC-00634</x:v>
      </x:c>
      <x:c r="B635" s="339" t="str">
        <x:v>SCR-237</x:v>
      </x:c>
      <x:c r="C635" s="339" t="str">
        <x:v>Inventory / Assets / Labs</x:v>
      </x:c>
      <x:c r="D635" s="339" t="str">
        <x:v>Stock Issue / Return</x:v>
      </x:c>
      <x:c r="E635" s="339" t="str">
        <x:v>Stale/concurrent data</x:v>
      </x:c>
      <x:c r="F635" s="339" t="str">
        <x:v>Detect version/state mismatch before destructive update; require refresh/review.</x:v>
      </x:c>
      <x:c r="G635" s="339" t="str">
        <x:v>This record changed since you opened it. Refresh before saving.</x:v>
      </x:c>
      <x:c r="H635" s="339" t="str">
        <x:v>Reload the latest data and reapply the intended change.</x:v>
      </x:c>
      <x:c r="I635" s="339" t="str">
        <x:v>Record conflict if it affected a high-risk workflow.</x:v>
      </x:c>
    </x:row>
    <x:row r="636">
      <x:c r="A636" s="339" t="str">
        <x:v>EXC-00635</x:v>
      </x:c>
      <x:c r="B636" s="339" t="str">
        <x:v>SCR-237</x:v>
      </x:c>
      <x:c r="C636" s="339" t="str">
        <x:v>Inventory / Assets / Labs</x:v>
      </x:c>
      <x:c r="D636" s="339" t="str">
        <x:v>Stock Issue / Return</x:v>
      </x:c>
      <x:c r="E636" s="339" t="str">
        <x:v>Downstream dependency failure</x:v>
      </x:c>
      <x:c r="F636" s="339" t="str">
        <x:v>Rollback or keep a recoverable pending state; never claim success for an incomplete critical transaction.</x:v>
      </x:c>
      <x:c r="G636" s="339" t="str">
        <x:v>The action could not be completed. No final change was applied.</x:v>
      </x:c>
      <x:c r="H636" s="339" t="str">
        <x:v>Retry safely or route to manual resolution queue.</x:v>
      </x:c>
      <x:c r="I636" s="339" t="str">
        <x:v>Capture correlation/error ID and failed step.</x:v>
      </x:c>
    </x:row>
    <x:row r="637">
      <x:c r="A637" s="339" t="str">
        <x:v>EXC-00636</x:v>
      </x:c>
      <x:c r="B637" s="339" t="str">
        <x:v>SCR-238</x:v>
      </x:c>
      <x:c r="C637" s="339" t="str">
        <x:v>Inventory / Assets / Labs</x:v>
      </x:c>
      <x:c r="D637" s="339" t="str">
        <x:v>Supplier Management</x:v>
      </x:c>
      <x:c r="E637" s="339" t="str">
        <x:v>Unauthorized or out-of-scope record</x:v>
      </x:c>
      <x:c r="F637" s="339" t="str">
        <x:v>Deny access/action; do not reveal existence beyond safe messaging.</x:v>
      </x:c>
      <x:c r="G637" s="339" t="str">
        <x:v>You do not have access to this record.</x:v>
      </x:c>
      <x:c r="H637" s="339" t="str">
        <x:v>Re-authenticate or contact an administrator if access is expected.</x:v>
      </x:c>
      <x:c r="I637" s="339" t="str">
        <x:v>Log security-relevant denial where appropriate.</x:v>
      </x:c>
    </x:row>
    <x:row r="638">
      <x:c r="A638" s="339" t="str">
        <x:v>EXC-00637</x:v>
      </x:c>
      <x:c r="B638" s="339" t="str">
        <x:v>SCR-238</x:v>
      </x:c>
      <x:c r="C638" s="339" t="str">
        <x:v>Inventory / Assets / Labs</x:v>
      </x:c>
      <x:c r="D638" s="339" t="str">
        <x:v>Supplier Management</x:v>
      </x:c>
      <x:c r="E638" s="339" t="str">
        <x:v>Stale/concurrent data</x:v>
      </x:c>
      <x:c r="F638" s="339" t="str">
        <x:v>Detect version/state mismatch before destructive update; require refresh/review.</x:v>
      </x:c>
      <x:c r="G638" s="339" t="str">
        <x:v>This record changed since you opened it. Refresh before saving.</x:v>
      </x:c>
      <x:c r="H638" s="339" t="str">
        <x:v>Reload the latest data and reapply the intended change.</x:v>
      </x:c>
      <x:c r="I638" s="339" t="str">
        <x:v>Record conflict if it affected a high-risk workflow.</x:v>
      </x:c>
    </x:row>
    <x:row r="639">
      <x:c r="A639" s="339" t="str">
        <x:v>EXC-00638</x:v>
      </x:c>
      <x:c r="B639" s="339" t="str">
        <x:v>SCR-238</x:v>
      </x:c>
      <x:c r="C639" s="339" t="str">
        <x:v>Inventory / Assets / Labs</x:v>
      </x:c>
      <x:c r="D639" s="339" t="str">
        <x:v>Supplier Management</x:v>
      </x:c>
      <x:c r="E639" s="339" t="str">
        <x:v>Downstream dependency failure</x:v>
      </x:c>
      <x:c r="F639" s="339" t="str">
        <x:v>Rollback or keep a recoverable pending state; never claim success for an incomplete critical transaction.</x:v>
      </x:c>
      <x:c r="G639" s="339" t="str">
        <x:v>The action could not be completed. No final change was applied.</x:v>
      </x:c>
      <x:c r="H639" s="339" t="str">
        <x:v>Retry safely or route to manual resolution queue.</x:v>
      </x:c>
      <x:c r="I639" s="339" t="str">
        <x:v>Capture correlation/error ID and failed step.</x:v>
      </x:c>
    </x:row>
    <x:row r="640">
      <x:c r="A640" s="339" t="str">
        <x:v>EXC-00639</x:v>
      </x:c>
      <x:c r="B640" s="339" t="str">
        <x:v>SCR-239</x:v>
      </x:c>
      <x:c r="C640" s="339" t="str">
        <x:v>Inventory / Assets / Labs</x:v>
      </x:c>
      <x:c r="D640" s="339" t="str">
        <x:v>Asset Register</x:v>
      </x:c>
      <x:c r="E640" s="339" t="str">
        <x:v>Unauthorized or out-of-scope record</x:v>
      </x:c>
      <x:c r="F640" s="339" t="str">
        <x:v>Deny access/action; do not reveal existence beyond safe messaging.</x:v>
      </x:c>
      <x:c r="G640" s="339" t="str">
        <x:v>You do not have access to this record.</x:v>
      </x:c>
      <x:c r="H640" s="339" t="str">
        <x:v>Re-authenticate or contact an administrator if access is expected.</x:v>
      </x:c>
      <x:c r="I640" s="339" t="str">
        <x:v>Log security-relevant denial where appropriate.</x:v>
      </x:c>
    </x:row>
    <x:row r="641">
      <x:c r="A641" s="339" t="str">
        <x:v>EXC-00640</x:v>
      </x:c>
      <x:c r="B641" s="339" t="str">
        <x:v>SCR-239</x:v>
      </x:c>
      <x:c r="C641" s="339" t="str">
        <x:v>Inventory / Assets / Labs</x:v>
      </x:c>
      <x:c r="D641" s="339" t="str">
        <x:v>Asset Register</x:v>
      </x:c>
      <x:c r="E641" s="339" t="str">
        <x:v>Stale/concurrent data</x:v>
      </x:c>
      <x:c r="F641" s="339" t="str">
        <x:v>Detect version/state mismatch before destructive update; require refresh/review.</x:v>
      </x:c>
      <x:c r="G641" s="339" t="str">
        <x:v>This record changed since you opened it. Refresh before saving.</x:v>
      </x:c>
      <x:c r="H641" s="339" t="str">
        <x:v>Reload the latest data and reapply the intended change.</x:v>
      </x:c>
      <x:c r="I641" s="339" t="str">
        <x:v>Record conflict if it affected a high-risk workflow.</x:v>
      </x:c>
    </x:row>
    <x:row r="642">
      <x:c r="A642" s="339" t="str">
        <x:v>EXC-00641</x:v>
      </x:c>
      <x:c r="B642" s="339" t="str">
        <x:v>SCR-240</x:v>
      </x:c>
      <x:c r="C642" s="339" t="str">
        <x:v>Inventory / Assets / Labs</x:v>
      </x:c>
      <x:c r="D642" s="339" t="str">
        <x:v>Asset Assignment / Transfer</x:v>
      </x:c>
      <x:c r="E642" s="339" t="str">
        <x:v>Unauthorized or out-of-scope record</x:v>
      </x:c>
      <x:c r="F642" s="339" t="str">
        <x:v>Deny access/action; do not reveal existence beyond safe messaging.</x:v>
      </x:c>
      <x:c r="G642" s="339" t="str">
        <x:v>You do not have access to this record.</x:v>
      </x:c>
      <x:c r="H642" s="339" t="str">
        <x:v>Re-authenticate or contact an administrator if access is expected.</x:v>
      </x:c>
      <x:c r="I642" s="339" t="str">
        <x:v>Log security-relevant denial where appropriate.</x:v>
      </x:c>
    </x:row>
    <x:row r="643">
      <x:c r="A643" s="339" t="str">
        <x:v>EXC-00642</x:v>
      </x:c>
      <x:c r="B643" s="339" t="str">
        <x:v>SCR-240</x:v>
      </x:c>
      <x:c r="C643" s="339" t="str">
        <x:v>Inventory / Assets / Labs</x:v>
      </x:c>
      <x:c r="D643" s="339" t="str">
        <x:v>Asset Assignment / Transfer</x:v>
      </x:c>
      <x:c r="E643" s="339" t="str">
        <x:v>Stale/concurrent data</x:v>
      </x:c>
      <x:c r="F643" s="339" t="str">
        <x:v>Detect version/state mismatch before destructive update; require refresh/review.</x:v>
      </x:c>
      <x:c r="G643" s="339" t="str">
        <x:v>This record changed since you opened it. Refresh before saving.</x:v>
      </x:c>
      <x:c r="H643" s="339" t="str">
        <x:v>Reload the latest data and reapply the intended change.</x:v>
      </x:c>
      <x:c r="I643" s="339" t="str">
        <x:v>Record conflict if it affected a high-risk workflow.</x:v>
      </x:c>
    </x:row>
    <x:row r="644">
      <x:c r="A644" s="339" t="str">
        <x:v>EXC-00643</x:v>
      </x:c>
      <x:c r="B644" s="339" t="str">
        <x:v>SCR-240</x:v>
      </x:c>
      <x:c r="C644" s="339" t="str">
        <x:v>Inventory / Assets / Labs</x:v>
      </x:c>
      <x:c r="D644" s="339" t="str">
        <x:v>Asset Assignment / Transfer</x:v>
      </x:c>
      <x:c r="E644" s="339" t="str">
        <x:v>Downstream dependency failure</x:v>
      </x:c>
      <x:c r="F644" s="339" t="str">
        <x:v>Rollback or keep a recoverable pending state; never claim success for an incomplete critical transaction.</x:v>
      </x:c>
      <x:c r="G644" s="339" t="str">
        <x:v>The action could not be completed. No final change was applied.</x:v>
      </x:c>
      <x:c r="H644" s="339" t="str">
        <x:v>Retry safely or route to manual resolution queue.</x:v>
      </x:c>
      <x:c r="I644" s="339" t="str">
        <x:v>Capture correlation/error ID and failed step.</x:v>
      </x:c>
    </x:row>
    <x:row r="645">
      <x:c r="A645" s="339" t="str">
        <x:v>EXC-00644</x:v>
      </x:c>
      <x:c r="B645" s="339" t="str">
        <x:v>SCR-241</x:v>
      </x:c>
      <x:c r="C645" s="339" t="str">
        <x:v>Inventory / Assets / Labs</x:v>
      </x:c>
      <x:c r="D645" s="339" t="str">
        <x:v>Asset Maintenance</x:v>
      </x:c>
      <x:c r="E645" s="339" t="str">
        <x:v>Unauthorized or out-of-scope record</x:v>
      </x:c>
      <x:c r="F645" s="339" t="str">
        <x:v>Deny access/action; do not reveal existence beyond safe messaging.</x:v>
      </x:c>
      <x:c r="G645" s="339" t="str">
        <x:v>You do not have access to this record.</x:v>
      </x:c>
      <x:c r="H645" s="339" t="str">
        <x:v>Re-authenticate or contact an administrator if access is expected.</x:v>
      </x:c>
      <x:c r="I645" s="339" t="str">
        <x:v>Log security-relevant denial where appropriate.</x:v>
      </x:c>
    </x:row>
    <x:row r="646">
      <x:c r="A646" s="339" t="str">
        <x:v>EXC-00645</x:v>
      </x:c>
      <x:c r="B646" s="339" t="str">
        <x:v>SCR-241</x:v>
      </x:c>
      <x:c r="C646" s="339" t="str">
        <x:v>Inventory / Assets / Labs</x:v>
      </x:c>
      <x:c r="D646" s="339" t="str">
        <x:v>Asset Maintenance</x:v>
      </x:c>
      <x:c r="E646" s="339" t="str">
        <x:v>Stale/concurrent data</x:v>
      </x:c>
      <x:c r="F646" s="339" t="str">
        <x:v>Detect version/state mismatch before destructive update; require refresh/review.</x:v>
      </x:c>
      <x:c r="G646" s="339" t="str">
        <x:v>This record changed since you opened it. Refresh before saving.</x:v>
      </x:c>
      <x:c r="H646" s="339" t="str">
        <x:v>Reload the latest data and reapply the intended change.</x:v>
      </x:c>
      <x:c r="I646" s="339" t="str">
        <x:v>Record conflict if it affected a high-risk workflow.</x:v>
      </x:c>
    </x:row>
    <x:row r="647">
      <x:c r="A647" s="339" t="str">
        <x:v>EXC-00646</x:v>
      </x:c>
      <x:c r="B647" s="339" t="str">
        <x:v>SCR-241</x:v>
      </x:c>
      <x:c r="C647" s="339" t="str">
        <x:v>Inventory / Assets / Labs</x:v>
      </x:c>
      <x:c r="D647" s="339" t="str">
        <x:v>Asset Maintenance</x:v>
      </x:c>
      <x:c r="E647" s="339" t="str">
        <x:v>Downstream dependency failure</x:v>
      </x:c>
      <x:c r="F647" s="339" t="str">
        <x:v>Rollback or keep a recoverable pending state; never claim success for an incomplete critical transaction.</x:v>
      </x:c>
      <x:c r="G647" s="339" t="str">
        <x:v>The action could not be completed. No final change was applied.</x:v>
      </x:c>
      <x:c r="H647" s="339" t="str">
        <x:v>Retry safely or route to manual resolution queue.</x:v>
      </x:c>
      <x:c r="I647" s="339" t="str">
        <x:v>Capture correlation/error ID and failed step.</x:v>
      </x:c>
    </x:row>
    <x:row r="648">
      <x:c r="A648" s="339" t="str">
        <x:v>EXC-00647</x:v>
      </x:c>
      <x:c r="B648" s="339" t="str">
        <x:v>SCR-242</x:v>
      </x:c>
      <x:c r="C648" s="339" t="str">
        <x:v>Inventory / Assets / Labs</x:v>
      </x:c>
      <x:c r="D648" s="339" t="str">
        <x:v>Lab Register</x:v>
      </x:c>
      <x:c r="E648" s="339" t="str">
        <x:v>Unauthorized or out-of-scope record</x:v>
      </x:c>
      <x:c r="F648" s="339" t="str">
        <x:v>Deny access/action; do not reveal existence beyond safe messaging.</x:v>
      </x:c>
      <x:c r="G648" s="339" t="str">
        <x:v>You do not have access to this record.</x:v>
      </x:c>
      <x:c r="H648" s="339" t="str">
        <x:v>Re-authenticate or contact an administrator if access is expected.</x:v>
      </x:c>
      <x:c r="I648" s="339" t="str">
        <x:v>Log security-relevant denial where appropriate.</x:v>
      </x:c>
    </x:row>
    <x:row r="649">
      <x:c r="A649" s="339" t="str">
        <x:v>EXC-00648</x:v>
      </x:c>
      <x:c r="B649" s="339" t="str">
        <x:v>SCR-242</x:v>
      </x:c>
      <x:c r="C649" s="339" t="str">
        <x:v>Inventory / Assets / Labs</x:v>
      </x:c>
      <x:c r="D649" s="339" t="str">
        <x:v>Lab Register</x:v>
      </x:c>
      <x:c r="E649" s="339" t="str">
        <x:v>Stale/concurrent data</x:v>
      </x:c>
      <x:c r="F649" s="339" t="str">
        <x:v>Detect version/state mismatch before destructive update; require refresh/review.</x:v>
      </x:c>
      <x:c r="G649" s="339" t="str">
        <x:v>This record changed since you opened it. Refresh before saving.</x:v>
      </x:c>
      <x:c r="H649" s="339" t="str">
        <x:v>Reload the latest data and reapply the intended change.</x:v>
      </x:c>
      <x:c r="I649" s="339" t="str">
        <x:v>Record conflict if it affected a high-risk workflow.</x:v>
      </x:c>
    </x:row>
    <x:row r="650">
      <x:c r="A650" s="339" t="str">
        <x:v>EXC-00649</x:v>
      </x:c>
      <x:c r="B650" s="339" t="str">
        <x:v>SCR-243</x:v>
      </x:c>
      <x:c r="C650" s="339" t="str">
        <x:v>Inventory / Assets / Labs</x:v>
      </x:c>
      <x:c r="D650" s="339" t="str">
        <x:v>Lab Equipment &amp; Consumables</x:v>
      </x:c>
      <x:c r="E650" s="339" t="str">
        <x:v>Unauthorized or out-of-scope record</x:v>
      </x:c>
      <x:c r="F650" s="339" t="str">
        <x:v>Deny access/action; do not reveal existence beyond safe messaging.</x:v>
      </x:c>
      <x:c r="G650" s="339" t="str">
        <x:v>You do not have access to this record.</x:v>
      </x:c>
      <x:c r="H650" s="339" t="str">
        <x:v>Re-authenticate or contact an administrator if access is expected.</x:v>
      </x:c>
      <x:c r="I650" s="339" t="str">
        <x:v>Log security-relevant denial where appropriate.</x:v>
      </x:c>
    </x:row>
    <x:row r="651">
      <x:c r="A651" s="339" t="str">
        <x:v>EXC-00650</x:v>
      </x:c>
      <x:c r="B651" s="339" t="str">
        <x:v>SCR-243</x:v>
      </x:c>
      <x:c r="C651" s="339" t="str">
        <x:v>Inventory / Assets / Labs</x:v>
      </x:c>
      <x:c r="D651" s="339" t="str">
        <x:v>Lab Equipment &amp; Consumables</x:v>
      </x:c>
      <x:c r="E651" s="339" t="str">
        <x:v>Stale/concurrent data</x:v>
      </x:c>
      <x:c r="F651" s="339" t="str">
        <x:v>Detect version/state mismatch before destructive update; require refresh/review.</x:v>
      </x:c>
      <x:c r="G651" s="339" t="str">
        <x:v>This record changed since you opened it. Refresh before saving.</x:v>
      </x:c>
      <x:c r="H651" s="339" t="str">
        <x:v>Reload the latest data and reapply the intended change.</x:v>
      </x:c>
      <x:c r="I651" s="339" t="str">
        <x:v>Record conflict if it affected a high-risk workflow.</x:v>
      </x:c>
    </x:row>
    <x:row r="652">
      <x:c r="A652" s="339" t="str">
        <x:v>EXC-00651</x:v>
      </x:c>
      <x:c r="B652" s="339" t="str">
        <x:v>SCR-243</x:v>
      </x:c>
      <x:c r="C652" s="339" t="str">
        <x:v>Inventory / Assets / Labs</x:v>
      </x:c>
      <x:c r="D652" s="339" t="str">
        <x:v>Lab Equipment &amp; Consumables</x:v>
      </x:c>
      <x:c r="E652" s="339" t="str">
        <x:v>Downstream dependency failure</x:v>
      </x:c>
      <x:c r="F652" s="339" t="str">
        <x:v>Rollback or keep a recoverable pending state; never claim success for an incomplete critical transaction.</x:v>
      </x:c>
      <x:c r="G652" s="339" t="str">
        <x:v>The action could not be completed. No final change was applied.</x:v>
      </x:c>
      <x:c r="H652" s="339" t="str">
        <x:v>Retry safely or route to manual resolution queue.</x:v>
      </x:c>
      <x:c r="I652" s="339" t="str">
        <x:v>Capture correlation/error ID and failed step.</x:v>
      </x:c>
    </x:row>
    <x:row r="653">
      <x:c r="A653" s="339" t="str">
        <x:v>EXC-00652</x:v>
      </x:c>
      <x:c r="B653" s="339" t="str">
        <x:v>SCR-244</x:v>
      </x:c>
      <x:c r="C653" s="339" t="str">
        <x:v>Inventory / Assets / Labs</x:v>
      </x:c>
      <x:c r="D653" s="339" t="str">
        <x:v>Practical / Lab Booking</x:v>
      </x:c>
      <x:c r="E653" s="339" t="str">
        <x:v>Unauthorized or out-of-scope record</x:v>
      </x:c>
      <x:c r="F653" s="339" t="str">
        <x:v>Deny access/action; do not reveal existence beyond safe messaging.</x:v>
      </x:c>
      <x:c r="G653" s="339" t="str">
        <x:v>You do not have access to this record.</x:v>
      </x:c>
      <x:c r="H653" s="339" t="str">
        <x:v>Re-authenticate or contact an administrator if access is expected.</x:v>
      </x:c>
      <x:c r="I653" s="339" t="str">
        <x:v>Log security-relevant denial where appropriate.</x:v>
      </x:c>
    </x:row>
    <x:row r="654">
      <x:c r="A654" s="339" t="str">
        <x:v>EXC-00653</x:v>
      </x:c>
      <x:c r="B654" s="339" t="str">
        <x:v>SCR-244</x:v>
      </x:c>
      <x:c r="C654" s="339" t="str">
        <x:v>Inventory / Assets / Labs</x:v>
      </x:c>
      <x:c r="D654" s="339" t="str">
        <x:v>Practical / Lab Booking</x:v>
      </x:c>
      <x:c r="E654" s="339" t="str">
        <x:v>Stale/concurrent data</x:v>
      </x:c>
      <x:c r="F654" s="339" t="str">
        <x:v>Detect version/state mismatch before destructive update; require refresh/review.</x:v>
      </x:c>
      <x:c r="G654" s="339" t="str">
        <x:v>This record changed since you opened it. Refresh before saving.</x:v>
      </x:c>
      <x:c r="H654" s="339" t="str">
        <x:v>Reload the latest data and reapply the intended change.</x:v>
      </x:c>
      <x:c r="I654" s="339" t="str">
        <x:v>Record conflict if it affected a high-risk workflow.</x:v>
      </x:c>
    </x:row>
    <x:row r="655">
      <x:c r="A655" s="339" t="str">
        <x:v>EXC-00654</x:v>
      </x:c>
      <x:c r="B655" s="339" t="str">
        <x:v>SCR-244</x:v>
      </x:c>
      <x:c r="C655" s="339" t="str">
        <x:v>Inventory / Assets / Labs</x:v>
      </x:c>
      <x:c r="D655" s="339" t="str">
        <x:v>Practical / Lab Booking</x:v>
      </x:c>
      <x:c r="E655" s="339" t="str">
        <x:v>Downstream dependency failure</x:v>
      </x:c>
      <x:c r="F655" s="339" t="str">
        <x:v>Rollback or keep a recoverable pending state; never claim success for an incomplete critical transaction.</x:v>
      </x:c>
      <x:c r="G655" s="339" t="str">
        <x:v>The action could not be completed. No final change was applied.</x:v>
      </x:c>
      <x:c r="H655" s="339" t="str">
        <x:v>Retry safely or route to manual resolution queue.</x:v>
      </x:c>
      <x:c r="I655" s="339" t="str">
        <x:v>Capture correlation/error ID and failed step.</x:v>
      </x:c>
    </x:row>
    <x:row r="656">
      <x:c r="A656" s="339" t="str">
        <x:v>EXC-00655</x:v>
      </x:c>
      <x:c r="B656" s="339" t="str">
        <x:v>SCR-245</x:v>
      </x:c>
      <x:c r="C656" s="339" t="str">
        <x:v>Inventory / Assets / Labs</x:v>
      </x:c>
      <x:c r="D656" s="339" t="str">
        <x:v>Stock &amp; Asset Reports</x:v>
      </x:c>
      <x:c r="E656" s="339" t="str">
        <x:v>Unauthorized or out-of-scope record</x:v>
      </x:c>
      <x:c r="F656" s="339" t="str">
        <x:v>Deny access/action; do not reveal existence beyond safe messaging.</x:v>
      </x:c>
      <x:c r="G656" s="339" t="str">
        <x:v>You do not have access to this record.</x:v>
      </x:c>
      <x:c r="H656" s="339" t="str">
        <x:v>Re-authenticate or contact an administrator if access is expected.</x:v>
      </x:c>
      <x:c r="I656" s="339" t="str">
        <x:v>Log security-relevant denial where appropriate.</x:v>
      </x:c>
    </x:row>
    <x:row r="657">
      <x:c r="A657" s="339" t="str">
        <x:v>EXC-00656</x:v>
      </x:c>
      <x:c r="B657" s="339" t="str">
        <x:v>SCR-245</x:v>
      </x:c>
      <x:c r="C657" s="339" t="str">
        <x:v>Inventory / Assets / Labs</x:v>
      </x:c>
      <x:c r="D657" s="339" t="str">
        <x:v>Stock &amp; Asset Reports</x:v>
      </x:c>
      <x:c r="E657" s="339" t="str">
        <x:v>Stale/concurrent data</x:v>
      </x:c>
      <x:c r="F657" s="339" t="str">
        <x:v>Detect version/state mismatch before destructive update; require refresh/review.</x:v>
      </x:c>
      <x:c r="G657" s="339" t="str">
        <x:v>This record changed since you opened it. Refresh before saving.</x:v>
      </x:c>
      <x:c r="H657" s="339" t="str">
        <x:v>Reload the latest data and reapply the intended change.</x:v>
      </x:c>
      <x:c r="I657" s="339" t="str">
        <x:v>Record conflict if it affected a high-risk workflow.</x:v>
      </x:c>
    </x:row>
    <x:row r="658">
      <x:c r="A658" s="339" t="str">
        <x:v>EXC-00657</x:v>
      </x:c>
      <x:c r="B658" s="339" t="str">
        <x:v>SCR-246</x:v>
      </x:c>
      <x:c r="C658" s="339" t="str">
        <x:v>Events / PTM / Communication</x:v>
      </x:c>
      <x:c r="D658" s="339" t="str">
        <x:v>Events Calendar</x:v>
      </x:c>
      <x:c r="E658" s="339" t="str">
        <x:v>Unauthorized or out-of-scope record</x:v>
      </x:c>
      <x:c r="F658" s="339" t="str">
        <x:v>Deny access/action; do not reveal existence beyond safe messaging.</x:v>
      </x:c>
      <x:c r="G658" s="339" t="str">
        <x:v>You do not have access to this record.</x:v>
      </x:c>
      <x:c r="H658" s="339" t="str">
        <x:v>Re-authenticate or contact an administrator if access is expected.</x:v>
      </x:c>
      <x:c r="I658" s="339" t="str">
        <x:v>Log security-relevant denial where appropriate.</x:v>
      </x:c>
    </x:row>
    <x:row r="659">
      <x:c r="A659" s="339" t="str">
        <x:v>EXC-00658</x:v>
      </x:c>
      <x:c r="B659" s="339" t="str">
        <x:v>SCR-246</x:v>
      </x:c>
      <x:c r="C659" s="339" t="str">
        <x:v>Events / PTM / Communication</x:v>
      </x:c>
      <x:c r="D659" s="339" t="str">
        <x:v>Events Calendar</x:v>
      </x:c>
      <x:c r="E659" s="339" t="str">
        <x:v>Stale/concurrent data</x:v>
      </x:c>
      <x:c r="F659" s="339" t="str">
        <x:v>Detect version/state mismatch before destructive update; require refresh/review.</x:v>
      </x:c>
      <x:c r="G659" s="339" t="str">
        <x:v>This record changed since you opened it. Refresh before saving.</x:v>
      </x:c>
      <x:c r="H659" s="339" t="str">
        <x:v>Reload the latest data and reapply the intended change.</x:v>
      </x:c>
      <x:c r="I659" s="339" t="str">
        <x:v>Record conflict if it affected a high-risk workflow.</x:v>
      </x:c>
    </x:row>
    <x:row r="660">
      <x:c r="A660" s="339" t="str">
        <x:v>EXC-00659</x:v>
      </x:c>
      <x:c r="B660" s="339" t="str">
        <x:v>SCR-247</x:v>
      </x:c>
      <x:c r="C660" s="339" t="str">
        <x:v>Events / PTM / Communication</x:v>
      </x:c>
      <x:c r="D660" s="339" t="str">
        <x:v>Create / Edit Event</x:v>
      </x:c>
      <x:c r="E660" s="339" t="str">
        <x:v>Unauthorized or out-of-scope record</x:v>
      </x:c>
      <x:c r="F660" s="339" t="str">
        <x:v>Deny access/action; do not reveal existence beyond safe messaging.</x:v>
      </x:c>
      <x:c r="G660" s="339" t="str">
        <x:v>You do not have access to this record.</x:v>
      </x:c>
      <x:c r="H660" s="339" t="str">
        <x:v>Re-authenticate or contact an administrator if access is expected.</x:v>
      </x:c>
      <x:c r="I660" s="339" t="str">
        <x:v>Log security-relevant denial where appropriate.</x:v>
      </x:c>
    </x:row>
    <x:row r="661">
      <x:c r="A661" s="339" t="str">
        <x:v>EXC-00660</x:v>
      </x:c>
      <x:c r="B661" s="339" t="str">
        <x:v>SCR-247</x:v>
      </x:c>
      <x:c r="C661" s="339" t="str">
        <x:v>Events / PTM / Communication</x:v>
      </x:c>
      <x:c r="D661" s="339" t="str">
        <x:v>Create / Edit Event</x:v>
      </x:c>
      <x:c r="E661" s="339" t="str">
        <x:v>Stale/concurrent data</x:v>
      </x:c>
      <x:c r="F661" s="339" t="str">
        <x:v>Detect version/state mismatch before destructive update; require refresh/review.</x:v>
      </x:c>
      <x:c r="G661" s="339" t="str">
        <x:v>This record changed since you opened it. Refresh before saving.</x:v>
      </x:c>
      <x:c r="H661" s="339" t="str">
        <x:v>Reload the latest data and reapply the intended change.</x:v>
      </x:c>
      <x:c r="I661" s="339" t="str">
        <x:v>Record conflict if it affected a high-risk workflow.</x:v>
      </x:c>
    </x:row>
    <x:row r="662">
      <x:c r="A662" s="339" t="str">
        <x:v>EXC-00661</x:v>
      </x:c>
      <x:c r="B662" s="339" t="str">
        <x:v>SCR-247</x:v>
      </x:c>
      <x:c r="C662" s="339" t="str">
        <x:v>Events / PTM / Communication</x:v>
      </x:c>
      <x:c r="D662" s="339" t="str">
        <x:v>Create / Edit Event</x:v>
      </x:c>
      <x:c r="E662" s="339" t="str">
        <x:v>Downstream dependency failure</x:v>
      </x:c>
      <x:c r="F662" s="339" t="str">
        <x:v>Rollback or keep a recoverable pending state; never claim success for an incomplete critical transaction.</x:v>
      </x:c>
      <x:c r="G662" s="339" t="str">
        <x:v>The action could not be completed. No final change was applied.</x:v>
      </x:c>
      <x:c r="H662" s="339" t="str">
        <x:v>Retry safely or route to manual resolution queue.</x:v>
      </x:c>
      <x:c r="I662" s="339" t="str">
        <x:v>Capture correlation/error ID and failed step.</x:v>
      </x:c>
    </x:row>
    <x:row r="663">
      <x:c r="A663" s="339" t="str">
        <x:v>EXC-00662</x:v>
      </x:c>
      <x:c r="B663" s="339" t="str">
        <x:v>SCR-248</x:v>
      </x:c>
      <x:c r="C663" s="339" t="str">
        <x:v>Events / PTM / Communication</x:v>
      </x:c>
      <x:c r="D663" s="339" t="str">
        <x:v>Event Details &amp; Participants</x:v>
      </x:c>
      <x:c r="E663" s="339" t="str">
        <x:v>Unauthorized or out-of-scope record</x:v>
      </x:c>
      <x:c r="F663" s="339" t="str">
        <x:v>Deny access/action; do not reveal existence beyond safe messaging.</x:v>
      </x:c>
      <x:c r="G663" s="339" t="str">
        <x:v>You do not have access to this record.</x:v>
      </x:c>
      <x:c r="H663" s="339" t="str">
        <x:v>Re-authenticate or contact an administrator if access is expected.</x:v>
      </x:c>
      <x:c r="I663" s="339" t="str">
        <x:v>Log security-relevant denial where appropriate.</x:v>
      </x:c>
    </x:row>
    <x:row r="664">
      <x:c r="A664" s="339" t="str">
        <x:v>EXC-00663</x:v>
      </x:c>
      <x:c r="B664" s="339" t="str">
        <x:v>SCR-248</x:v>
      </x:c>
      <x:c r="C664" s="339" t="str">
        <x:v>Events / PTM / Communication</x:v>
      </x:c>
      <x:c r="D664" s="339" t="str">
        <x:v>Event Details &amp; Participants</x:v>
      </x:c>
      <x:c r="E664" s="339" t="str">
        <x:v>Stale/concurrent data</x:v>
      </x:c>
      <x:c r="F664" s="339" t="str">
        <x:v>Detect version/state mismatch before destructive update; require refresh/review.</x:v>
      </x:c>
      <x:c r="G664" s="339" t="str">
        <x:v>This record changed since you opened it. Refresh before saving.</x:v>
      </x:c>
      <x:c r="H664" s="339" t="str">
        <x:v>Reload the latest data and reapply the intended change.</x:v>
      </x:c>
      <x:c r="I664" s="339" t="str">
        <x:v>Record conflict if it affected a high-risk workflow.</x:v>
      </x:c>
    </x:row>
    <x:row r="665">
      <x:c r="A665" s="339" t="str">
        <x:v>EXC-00664</x:v>
      </x:c>
      <x:c r="B665" s="339" t="str">
        <x:v>SCR-249</x:v>
      </x:c>
      <x:c r="C665" s="339" t="str">
        <x:v>Events / PTM / Communication</x:v>
      </x:c>
      <x:c r="D665" s="339" t="str">
        <x:v>Field Trip &amp; Parent Consent</x:v>
      </x:c>
      <x:c r="E665" s="339" t="str">
        <x:v>Unauthorized or out-of-scope record</x:v>
      </x:c>
      <x:c r="F665" s="339" t="str">
        <x:v>Deny access/action; do not reveal existence beyond safe messaging.</x:v>
      </x:c>
      <x:c r="G665" s="339" t="str">
        <x:v>You do not have access to this record.</x:v>
      </x:c>
      <x:c r="H665" s="339" t="str">
        <x:v>Re-authenticate or contact an administrator if access is expected.</x:v>
      </x:c>
      <x:c r="I665" s="339" t="str">
        <x:v>Log security-relevant denial where appropriate.</x:v>
      </x:c>
    </x:row>
    <x:row r="666">
      <x:c r="A666" s="339" t="str">
        <x:v>EXC-00665</x:v>
      </x:c>
      <x:c r="B666" s="339" t="str">
        <x:v>SCR-249</x:v>
      </x:c>
      <x:c r="C666" s="339" t="str">
        <x:v>Events / PTM / Communication</x:v>
      </x:c>
      <x:c r="D666" s="339" t="str">
        <x:v>Field Trip &amp; Parent Consent</x:v>
      </x:c>
      <x:c r="E666" s="339" t="str">
        <x:v>Stale/concurrent data</x:v>
      </x:c>
      <x:c r="F666" s="339" t="str">
        <x:v>Detect version/state mismatch before destructive update; require refresh/review.</x:v>
      </x:c>
      <x:c r="G666" s="339" t="str">
        <x:v>This record changed since you opened it. Refresh before saving.</x:v>
      </x:c>
      <x:c r="H666" s="339" t="str">
        <x:v>Reload the latest data and reapply the intended change.</x:v>
      </x:c>
      <x:c r="I666" s="339" t="str">
        <x:v>Record conflict if it affected a high-risk workflow.</x:v>
      </x:c>
    </x:row>
    <x:row r="667">
      <x:c r="A667" s="339" t="str">
        <x:v>EXC-00666</x:v>
      </x:c>
      <x:c r="B667" s="339" t="str">
        <x:v>SCR-249</x:v>
      </x:c>
      <x:c r="C667" s="339" t="str">
        <x:v>Events / PTM / Communication</x:v>
      </x:c>
      <x:c r="D667" s="339" t="str">
        <x:v>Field Trip &amp; Parent Consent</x:v>
      </x:c>
      <x:c r="E667" s="339" t="str">
        <x:v>Downstream dependency failure</x:v>
      </x:c>
      <x:c r="F667" s="339" t="str">
        <x:v>Rollback or keep a recoverable pending state; never claim success for an incomplete critical transaction.</x:v>
      </x:c>
      <x:c r="G667" s="339" t="str">
        <x:v>The action could not be completed. No final change was applied.</x:v>
      </x:c>
      <x:c r="H667" s="339" t="str">
        <x:v>Retry safely or route to manual resolution queue.</x:v>
      </x:c>
      <x:c r="I667" s="339" t="str">
        <x:v>Capture correlation/error ID and failed step.</x:v>
      </x:c>
    </x:row>
    <x:row r="668">
      <x:c r="A668" s="339" t="str">
        <x:v>EXC-00667</x:v>
      </x:c>
      <x:c r="B668" s="339" t="str">
        <x:v>SCR-250</x:v>
      </x:c>
      <x:c r="C668" s="339" t="str">
        <x:v>Events / PTM / Communication</x:v>
      </x:c>
      <x:c r="D668" s="339" t="str">
        <x:v>PTM Setup</x:v>
      </x:c>
      <x:c r="E668" s="339" t="str">
        <x:v>Unauthorized or out-of-scope record</x:v>
      </x:c>
      <x:c r="F668" s="339" t="str">
        <x:v>Deny access/action; do not reveal existence beyond safe messaging.</x:v>
      </x:c>
      <x:c r="G668" s="339" t="str">
        <x:v>You do not have access to this record.</x:v>
      </x:c>
      <x:c r="H668" s="339" t="str">
        <x:v>Re-authenticate or contact an administrator if access is expected.</x:v>
      </x:c>
      <x:c r="I668" s="339" t="str">
        <x:v>Log security-relevant denial where appropriate.</x:v>
      </x:c>
    </x:row>
    <x:row r="669">
      <x:c r="A669" s="339" t="str">
        <x:v>EXC-00668</x:v>
      </x:c>
      <x:c r="B669" s="339" t="str">
        <x:v>SCR-250</x:v>
      </x:c>
      <x:c r="C669" s="339" t="str">
        <x:v>Events / PTM / Communication</x:v>
      </x:c>
      <x:c r="D669" s="339" t="str">
        <x:v>PTM Setup</x:v>
      </x:c>
      <x:c r="E669" s="339" t="str">
        <x:v>Stale/concurrent data</x:v>
      </x:c>
      <x:c r="F669" s="339" t="str">
        <x:v>Detect version/state mismatch before destructive update; require refresh/review.</x:v>
      </x:c>
      <x:c r="G669" s="339" t="str">
        <x:v>This record changed since you opened it. Refresh before saving.</x:v>
      </x:c>
      <x:c r="H669" s="339" t="str">
        <x:v>Reload the latest data and reapply the intended change.</x:v>
      </x:c>
      <x:c r="I669" s="339" t="str">
        <x:v>Record conflict if it affected a high-risk workflow.</x:v>
      </x:c>
    </x:row>
    <x:row r="670">
      <x:c r="A670" s="339" t="str">
        <x:v>EXC-00669</x:v>
      </x:c>
      <x:c r="B670" s="339" t="str">
        <x:v>SCR-250</x:v>
      </x:c>
      <x:c r="C670" s="339" t="str">
        <x:v>Events / PTM / Communication</x:v>
      </x:c>
      <x:c r="D670" s="339" t="str">
        <x:v>PTM Setup</x:v>
      </x:c>
      <x:c r="E670" s="339" t="str">
        <x:v>Downstream dependency failure</x:v>
      </x:c>
      <x:c r="F670" s="339" t="str">
        <x:v>Rollback or keep a recoverable pending state; never claim success for an incomplete critical transaction.</x:v>
      </x:c>
      <x:c r="G670" s="339" t="str">
        <x:v>The action could not be completed. No final change was applied.</x:v>
      </x:c>
      <x:c r="H670" s="339" t="str">
        <x:v>Retry safely or route to manual resolution queue.</x:v>
      </x:c>
      <x:c r="I670" s="339" t="str">
        <x:v>Capture correlation/error ID and failed step.</x:v>
      </x:c>
    </x:row>
    <x:row r="671">
      <x:c r="A671" s="339" t="str">
        <x:v>EXC-00670</x:v>
      </x:c>
      <x:c r="B671" s="339" t="str">
        <x:v>SCR-251</x:v>
      </x:c>
      <x:c r="C671" s="339" t="str">
        <x:v>Events / PTM / Communication</x:v>
      </x:c>
      <x:c r="D671" s="339" t="str">
        <x:v>PTM Slot Booking</x:v>
      </x:c>
      <x:c r="E671" s="339" t="str">
        <x:v>Unauthorized or out-of-scope record</x:v>
      </x:c>
      <x:c r="F671" s="339" t="str">
        <x:v>Deny access/action; do not reveal existence beyond safe messaging.</x:v>
      </x:c>
      <x:c r="G671" s="339" t="str">
        <x:v>You do not have access to this record.</x:v>
      </x:c>
      <x:c r="H671" s="339" t="str">
        <x:v>Re-authenticate or contact an administrator if access is expected.</x:v>
      </x:c>
      <x:c r="I671" s="339" t="str">
        <x:v>Log security-relevant denial where appropriate.</x:v>
      </x:c>
    </x:row>
    <x:row r="672">
      <x:c r="A672" s="339" t="str">
        <x:v>EXC-00671</x:v>
      </x:c>
      <x:c r="B672" s="339" t="str">
        <x:v>SCR-251</x:v>
      </x:c>
      <x:c r="C672" s="339" t="str">
        <x:v>Events / PTM / Communication</x:v>
      </x:c>
      <x:c r="D672" s="339" t="str">
        <x:v>PTM Slot Booking</x:v>
      </x:c>
      <x:c r="E672" s="339" t="str">
        <x:v>Stale/concurrent data</x:v>
      </x:c>
      <x:c r="F672" s="339" t="str">
        <x:v>Detect version/state mismatch before destructive update; require refresh/review.</x:v>
      </x:c>
      <x:c r="G672" s="339" t="str">
        <x:v>This record changed since you opened it. Refresh before saving.</x:v>
      </x:c>
      <x:c r="H672" s="339" t="str">
        <x:v>Reload the latest data and reapply the intended change.</x:v>
      </x:c>
      <x:c r="I672" s="339" t="str">
        <x:v>Record conflict if it affected a high-risk workflow.</x:v>
      </x:c>
    </x:row>
    <x:row r="673">
      <x:c r="A673" s="339" t="str">
        <x:v>EXC-00672</x:v>
      </x:c>
      <x:c r="B673" s="339" t="str">
        <x:v>SCR-251</x:v>
      </x:c>
      <x:c r="C673" s="339" t="str">
        <x:v>Events / PTM / Communication</x:v>
      </x:c>
      <x:c r="D673" s="339" t="str">
        <x:v>PTM Slot Booking</x:v>
      </x:c>
      <x:c r="E673" s="339" t="str">
        <x:v>Downstream dependency failure</x:v>
      </x:c>
      <x:c r="F673" s="339" t="str">
        <x:v>Rollback or keep a recoverable pending state; never claim success for an incomplete critical transaction.</x:v>
      </x:c>
      <x:c r="G673" s="339" t="str">
        <x:v>The action could not be completed. No final change was applied.</x:v>
      </x:c>
      <x:c r="H673" s="339" t="str">
        <x:v>Retry safely or route to manual resolution queue.</x:v>
      </x:c>
      <x:c r="I673" s="339" t="str">
        <x:v>Capture correlation/error ID and failed step.</x:v>
      </x:c>
    </x:row>
    <x:row r="674">
      <x:c r="A674" s="339" t="str">
        <x:v>EXC-00673</x:v>
      </x:c>
      <x:c r="B674" s="339" t="str">
        <x:v>SCR-252</x:v>
      </x:c>
      <x:c r="C674" s="339" t="str">
        <x:v>Events / PTM / Communication</x:v>
      </x:c>
      <x:c r="D674" s="339" t="str">
        <x:v>Announcements</x:v>
      </x:c>
      <x:c r="E674" s="339" t="str">
        <x:v>Unauthorized or out-of-scope record</x:v>
      </x:c>
      <x:c r="F674" s="339" t="str">
        <x:v>Deny access/action; do not reveal existence beyond safe messaging.</x:v>
      </x:c>
      <x:c r="G674" s="339" t="str">
        <x:v>You do not have access to this record.</x:v>
      </x:c>
      <x:c r="H674" s="339" t="str">
        <x:v>Re-authenticate or contact an administrator if access is expected.</x:v>
      </x:c>
      <x:c r="I674" s="339" t="str">
        <x:v>Log security-relevant denial where appropriate.</x:v>
      </x:c>
    </x:row>
    <x:row r="675">
      <x:c r="A675" s="339" t="str">
        <x:v>EXC-00674</x:v>
      </x:c>
      <x:c r="B675" s="339" t="str">
        <x:v>SCR-252</x:v>
      </x:c>
      <x:c r="C675" s="339" t="str">
        <x:v>Events / PTM / Communication</x:v>
      </x:c>
      <x:c r="D675" s="339" t="str">
        <x:v>Announcements</x:v>
      </x:c>
      <x:c r="E675" s="339" t="str">
        <x:v>Stale/concurrent data</x:v>
      </x:c>
      <x:c r="F675" s="339" t="str">
        <x:v>Detect version/state mismatch before destructive update; require refresh/review.</x:v>
      </x:c>
      <x:c r="G675" s="339" t="str">
        <x:v>This record changed since you opened it. Refresh before saving.</x:v>
      </x:c>
      <x:c r="H675" s="339" t="str">
        <x:v>Reload the latest data and reapply the intended change.</x:v>
      </x:c>
      <x:c r="I675" s="339" t="str">
        <x:v>Record conflict if it affected a high-risk workflow.</x:v>
      </x:c>
    </x:row>
    <x:row r="676">
      <x:c r="A676" s="339" t="str">
        <x:v>EXC-00675</x:v>
      </x:c>
      <x:c r="B676" s="339" t="str">
        <x:v>SCR-253</x:v>
      </x:c>
      <x:c r="C676" s="339" t="str">
        <x:v>Events / PTM / Communication</x:v>
      </x:c>
      <x:c r="D676" s="339" t="str">
        <x:v>Messaging / Inbox</x:v>
      </x:c>
      <x:c r="E676" s="339" t="str">
        <x:v>Unauthorized or out-of-scope record</x:v>
      </x:c>
      <x:c r="F676" s="339" t="str">
        <x:v>Deny access/action; do not reveal existence beyond safe messaging.</x:v>
      </x:c>
      <x:c r="G676" s="339" t="str">
        <x:v>You do not have access to this record.</x:v>
      </x:c>
      <x:c r="H676" s="339" t="str">
        <x:v>Re-authenticate or contact an administrator if access is expected.</x:v>
      </x:c>
      <x:c r="I676" s="339" t="str">
        <x:v>Log security-relevant denial where appropriate.</x:v>
      </x:c>
    </x:row>
    <x:row r="677">
      <x:c r="A677" s="339" t="str">
        <x:v>EXC-00676</x:v>
      </x:c>
      <x:c r="B677" s="339" t="str">
        <x:v>SCR-253</x:v>
      </x:c>
      <x:c r="C677" s="339" t="str">
        <x:v>Events / PTM / Communication</x:v>
      </x:c>
      <x:c r="D677" s="339" t="str">
        <x:v>Messaging / Inbox</x:v>
      </x:c>
      <x:c r="E677" s="339" t="str">
        <x:v>Stale/concurrent data</x:v>
      </x:c>
      <x:c r="F677" s="339" t="str">
        <x:v>Detect version/state mismatch before destructive update; require refresh/review.</x:v>
      </x:c>
      <x:c r="G677" s="339" t="str">
        <x:v>This record changed since you opened it. Refresh before saving.</x:v>
      </x:c>
      <x:c r="H677" s="339" t="str">
        <x:v>Reload the latest data and reapply the intended change.</x:v>
      </x:c>
      <x:c r="I677" s="339" t="str">
        <x:v>Record conflict if it affected a high-risk workflow.</x:v>
      </x:c>
    </x:row>
    <x:row r="678">
      <x:c r="A678" s="339" t="str">
        <x:v>EXC-00677</x:v>
      </x:c>
      <x:c r="B678" s="339" t="str">
        <x:v>SCR-253</x:v>
      </x:c>
      <x:c r="C678" s="339" t="str">
        <x:v>Events / PTM / Communication</x:v>
      </x:c>
      <x:c r="D678" s="339" t="str">
        <x:v>Messaging / Inbox</x:v>
      </x:c>
      <x:c r="E678" s="339" t="str">
        <x:v>Downstream dependency failure</x:v>
      </x:c>
      <x:c r="F678" s="339" t="str">
        <x:v>Rollback or keep a recoverable pending state; never claim success for an incomplete critical transaction.</x:v>
      </x:c>
      <x:c r="G678" s="339" t="str">
        <x:v>The action could not be completed. No final change was applied.</x:v>
      </x:c>
      <x:c r="H678" s="339" t="str">
        <x:v>Retry safely or route to manual resolution queue.</x:v>
      </x:c>
      <x:c r="I678" s="339" t="str">
        <x:v>Capture correlation/error ID and failed step.</x:v>
      </x:c>
    </x:row>
    <x:row r="679">
      <x:c r="A679" s="339" t="str">
        <x:v>EXC-00678</x:v>
      </x:c>
      <x:c r="B679" s="339" t="str">
        <x:v>SCR-254</x:v>
      </x:c>
      <x:c r="C679" s="339" t="str">
        <x:v>Events / PTM / Communication</x:v>
      </x:c>
      <x:c r="D679" s="339" t="str">
        <x:v>Notification Campaigns</x:v>
      </x:c>
      <x:c r="E679" s="339" t="str">
        <x:v>Unauthorized or out-of-scope record</x:v>
      </x:c>
      <x:c r="F679" s="339" t="str">
        <x:v>Deny access/action; do not reveal existence beyond safe messaging.</x:v>
      </x:c>
      <x:c r="G679" s="339" t="str">
        <x:v>You do not have access to this record.</x:v>
      </x:c>
      <x:c r="H679" s="339" t="str">
        <x:v>Re-authenticate or contact an administrator if access is expected.</x:v>
      </x:c>
      <x:c r="I679" s="339" t="str">
        <x:v>Log security-relevant denial where appropriate.</x:v>
      </x:c>
    </x:row>
    <x:row r="680">
      <x:c r="A680" s="339" t="str">
        <x:v>EXC-00679</x:v>
      </x:c>
      <x:c r="B680" s="339" t="str">
        <x:v>SCR-254</x:v>
      </x:c>
      <x:c r="C680" s="339" t="str">
        <x:v>Events / PTM / Communication</x:v>
      </x:c>
      <x:c r="D680" s="339" t="str">
        <x:v>Notification Campaigns</x:v>
      </x:c>
      <x:c r="E680" s="339" t="str">
        <x:v>Stale/concurrent data</x:v>
      </x:c>
      <x:c r="F680" s="339" t="str">
        <x:v>Detect version/state mismatch before destructive update; require refresh/review.</x:v>
      </x:c>
      <x:c r="G680" s="339" t="str">
        <x:v>This record changed since you opened it. Refresh before saving.</x:v>
      </x:c>
      <x:c r="H680" s="339" t="str">
        <x:v>Reload the latest data and reapply the intended change.</x:v>
      </x:c>
      <x:c r="I680" s="339" t="str">
        <x:v>Record conflict if it affected a high-risk workflow.</x:v>
      </x:c>
    </x:row>
    <x:row r="681">
      <x:c r="A681" s="339" t="str">
        <x:v>EXC-00680</x:v>
      </x:c>
      <x:c r="B681" s="339" t="str">
        <x:v>SCR-254</x:v>
      </x:c>
      <x:c r="C681" s="339" t="str">
        <x:v>Events / PTM / Communication</x:v>
      </x:c>
      <x:c r="D681" s="339" t="str">
        <x:v>Notification Campaigns</x:v>
      </x:c>
      <x:c r="E681" s="339" t="str">
        <x:v>Downstream dependency failure</x:v>
      </x:c>
      <x:c r="F681" s="339" t="str">
        <x:v>Rollback or keep a recoverable pending state; never claim success for an incomplete critical transaction.</x:v>
      </x:c>
      <x:c r="G681" s="339" t="str">
        <x:v>The action could not be completed. No final change was applied.</x:v>
      </x:c>
      <x:c r="H681" s="339" t="str">
        <x:v>Retry safely or route to manual resolution queue.</x:v>
      </x:c>
      <x:c r="I681" s="339" t="str">
        <x:v>Capture correlation/error ID and failed step.</x:v>
      </x:c>
    </x:row>
    <x:row r="682">
      <x:c r="A682" s="339" t="str">
        <x:v>EXC-00681</x:v>
      </x:c>
      <x:c r="B682" s="339" t="str">
        <x:v>SCR-255</x:v>
      </x:c>
      <x:c r="C682" s="339" t="str">
        <x:v>Events / PTM / Communication</x:v>
      </x:c>
      <x:c r="D682" s="339" t="str">
        <x:v>Communication History</x:v>
      </x:c>
      <x:c r="E682" s="339" t="str">
        <x:v>Unauthorized or out-of-scope record</x:v>
      </x:c>
      <x:c r="F682" s="339" t="str">
        <x:v>Deny access/action; do not reveal existence beyond safe messaging.</x:v>
      </x:c>
      <x:c r="G682" s="339" t="str">
        <x:v>You do not have access to this record.</x:v>
      </x:c>
      <x:c r="H682" s="339" t="str">
        <x:v>Re-authenticate or contact an administrator if access is expected.</x:v>
      </x:c>
      <x:c r="I682" s="339" t="str">
        <x:v>Log security-relevant denial where appropriate.</x:v>
      </x:c>
    </x:row>
    <x:row r="683">
      <x:c r="A683" s="339" t="str">
        <x:v>EXC-00682</x:v>
      </x:c>
      <x:c r="B683" s="339" t="str">
        <x:v>SCR-255</x:v>
      </x:c>
      <x:c r="C683" s="339" t="str">
        <x:v>Events / PTM / Communication</x:v>
      </x:c>
      <x:c r="D683" s="339" t="str">
        <x:v>Communication History</x:v>
      </x:c>
      <x:c r="E683" s="339" t="str">
        <x:v>Stale/concurrent data</x:v>
      </x:c>
      <x:c r="F683" s="339" t="str">
        <x:v>Detect version/state mismatch before destructive update; require refresh/review.</x:v>
      </x:c>
      <x:c r="G683" s="339" t="str">
        <x:v>This record changed since you opened it. Refresh before saving.</x:v>
      </x:c>
      <x:c r="H683" s="339" t="str">
        <x:v>Reload the latest data and reapply the intended change.</x:v>
      </x:c>
      <x:c r="I683" s="339" t="str">
        <x:v>Record conflict if it affected a high-risk workflow.</x:v>
      </x:c>
    </x:row>
    <x:row r="684">
      <x:c r="A684" s="339" t="str">
        <x:v>EXC-00683</x:v>
      </x:c>
      <x:c r="B684" s="339" t="str">
        <x:v>SCR-256</x:v>
      </x:c>
      <x:c r="C684" s="339" t="str">
        <x:v>Documents &amp; Certificates</x:v>
      </x:c>
      <x:c r="D684" s="339" t="str">
        <x:v>Document Repository</x:v>
      </x:c>
      <x:c r="E684" s="339" t="str">
        <x:v>Unauthorized or out-of-scope record</x:v>
      </x:c>
      <x:c r="F684" s="339" t="str">
        <x:v>Deny access/action; do not reveal existence beyond safe messaging.</x:v>
      </x:c>
      <x:c r="G684" s="339" t="str">
        <x:v>You do not have access to this record.</x:v>
      </x:c>
      <x:c r="H684" s="339" t="str">
        <x:v>Re-authenticate or contact an administrator if access is expected.</x:v>
      </x:c>
      <x:c r="I684" s="339" t="str">
        <x:v>Log security-relevant denial where appropriate.</x:v>
      </x:c>
    </x:row>
    <x:row r="685">
      <x:c r="A685" s="339" t="str">
        <x:v>EXC-00684</x:v>
      </x:c>
      <x:c r="B685" s="339" t="str">
        <x:v>SCR-256</x:v>
      </x:c>
      <x:c r="C685" s="339" t="str">
        <x:v>Documents &amp; Certificates</x:v>
      </x:c>
      <x:c r="D685" s="339" t="str">
        <x:v>Document Repository</x:v>
      </x:c>
      <x:c r="E685" s="339" t="str">
        <x:v>Stale/concurrent data</x:v>
      </x:c>
      <x:c r="F685" s="339" t="str">
        <x:v>Detect version/state mismatch before destructive update; require refresh/review.</x:v>
      </x:c>
      <x:c r="G685" s="339" t="str">
        <x:v>This record changed since you opened it. Refresh before saving.</x:v>
      </x:c>
      <x:c r="H685" s="339" t="str">
        <x:v>Reload the latest data and reapply the intended change.</x:v>
      </x:c>
      <x:c r="I685" s="339" t="str">
        <x:v>Record conflict if it affected a high-risk workflow.</x:v>
      </x:c>
    </x:row>
    <x:row r="686">
      <x:c r="A686" s="339" t="str">
        <x:v>EXC-00685</x:v>
      </x:c>
      <x:c r="B686" s="339" t="str">
        <x:v>SCR-256</x:v>
      </x:c>
      <x:c r="C686" s="339" t="str">
        <x:v>Documents &amp; Certificates</x:v>
      </x:c>
      <x:c r="D686" s="339" t="str">
        <x:v>Document Repository</x:v>
      </x:c>
      <x:c r="E686" s="339" t="str">
        <x:v>Downstream dependency failure</x:v>
      </x:c>
      <x:c r="F686" s="339" t="str">
        <x:v>Rollback or keep a recoverable pending state; never claim success for an incomplete critical transaction.</x:v>
      </x:c>
      <x:c r="G686" s="339" t="str">
        <x:v>The action could not be completed. No final change was applied.</x:v>
      </x:c>
      <x:c r="H686" s="339" t="str">
        <x:v>Retry safely or route to manual resolution queue.</x:v>
      </x:c>
      <x:c r="I686" s="339" t="str">
        <x:v>Capture correlation/error ID and failed step.</x:v>
      </x:c>
    </x:row>
    <x:row r="687">
      <x:c r="A687" s="339" t="str">
        <x:v>EXC-00686</x:v>
      </x:c>
      <x:c r="B687" s="339" t="str">
        <x:v>SCR-257</x:v>
      </x:c>
      <x:c r="C687" s="339" t="str">
        <x:v>Documents &amp; Certificates</x:v>
      </x:c>
      <x:c r="D687" s="339" t="str">
        <x:v>Student Documents</x:v>
      </x:c>
      <x:c r="E687" s="339" t="str">
        <x:v>Unauthorized or out-of-scope record</x:v>
      </x:c>
      <x:c r="F687" s="339" t="str">
        <x:v>Deny access/action; do not reveal existence beyond safe messaging.</x:v>
      </x:c>
      <x:c r="G687" s="339" t="str">
        <x:v>You do not have access to this record.</x:v>
      </x:c>
      <x:c r="H687" s="339" t="str">
        <x:v>Re-authenticate or contact an administrator if access is expected.</x:v>
      </x:c>
      <x:c r="I687" s="339" t="str">
        <x:v>Log security-relevant denial where appropriate.</x:v>
      </x:c>
    </x:row>
    <x:row r="688">
      <x:c r="A688" s="339" t="str">
        <x:v>EXC-00687</x:v>
      </x:c>
      <x:c r="B688" s="339" t="str">
        <x:v>SCR-257</x:v>
      </x:c>
      <x:c r="C688" s="339" t="str">
        <x:v>Documents &amp; Certificates</x:v>
      </x:c>
      <x:c r="D688" s="339" t="str">
        <x:v>Student Documents</x:v>
      </x:c>
      <x:c r="E688" s="339" t="str">
        <x:v>Stale/concurrent data</x:v>
      </x:c>
      <x:c r="F688" s="339" t="str">
        <x:v>Detect version/state mismatch before destructive update; require refresh/review.</x:v>
      </x:c>
      <x:c r="G688" s="339" t="str">
        <x:v>This record changed since you opened it. Refresh before saving.</x:v>
      </x:c>
      <x:c r="H688" s="339" t="str">
        <x:v>Reload the latest data and reapply the intended change.</x:v>
      </x:c>
      <x:c r="I688" s="339" t="str">
        <x:v>Record conflict if it affected a high-risk workflow.</x:v>
      </x:c>
    </x:row>
    <x:row r="689">
      <x:c r="A689" s="339" t="str">
        <x:v>EXC-00688</x:v>
      </x:c>
      <x:c r="B689" s="339" t="str">
        <x:v>SCR-257</x:v>
      </x:c>
      <x:c r="C689" s="339" t="str">
        <x:v>Documents &amp; Certificates</x:v>
      </x:c>
      <x:c r="D689" s="339" t="str">
        <x:v>Student Documents</x:v>
      </x:c>
      <x:c r="E689" s="339" t="str">
        <x:v>Downstream dependency failure</x:v>
      </x:c>
      <x:c r="F689" s="339" t="str">
        <x:v>Rollback or keep a recoverable pending state; never claim success for an incomplete critical transaction.</x:v>
      </x:c>
      <x:c r="G689" s="339" t="str">
        <x:v>The action could not be completed. No final change was applied.</x:v>
      </x:c>
      <x:c r="H689" s="339" t="str">
        <x:v>Retry safely or route to manual resolution queue.</x:v>
      </x:c>
      <x:c r="I689" s="339" t="str">
        <x:v>Capture correlation/error ID and failed step.</x:v>
      </x:c>
    </x:row>
    <x:row r="690">
      <x:c r="A690" s="339" t="str">
        <x:v>EXC-00689</x:v>
      </x:c>
      <x:c r="B690" s="339" t="str">
        <x:v>SCR-258</x:v>
      </x:c>
      <x:c r="C690" s="339" t="str">
        <x:v>Documents &amp; Certificates</x:v>
      </x:c>
      <x:c r="D690" s="339" t="str">
        <x:v>Staff Documents</x:v>
      </x:c>
      <x:c r="E690" s="339" t="str">
        <x:v>Unauthorized or out-of-scope record</x:v>
      </x:c>
      <x:c r="F690" s="339" t="str">
        <x:v>Deny access/action; do not reveal existence beyond safe messaging.</x:v>
      </x:c>
      <x:c r="G690" s="339" t="str">
        <x:v>You do not have access to this record.</x:v>
      </x:c>
      <x:c r="H690" s="339" t="str">
        <x:v>Re-authenticate or contact an administrator if access is expected.</x:v>
      </x:c>
      <x:c r="I690" s="339" t="str">
        <x:v>Log security-relevant denial where appropriate.</x:v>
      </x:c>
    </x:row>
    <x:row r="691">
      <x:c r="A691" s="339" t="str">
        <x:v>EXC-00690</x:v>
      </x:c>
      <x:c r="B691" s="339" t="str">
        <x:v>SCR-258</x:v>
      </x:c>
      <x:c r="C691" s="339" t="str">
        <x:v>Documents &amp; Certificates</x:v>
      </x:c>
      <x:c r="D691" s="339" t="str">
        <x:v>Staff Documents</x:v>
      </x:c>
      <x:c r="E691" s="339" t="str">
        <x:v>Stale/concurrent data</x:v>
      </x:c>
      <x:c r="F691" s="339" t="str">
        <x:v>Detect version/state mismatch before destructive update; require refresh/review.</x:v>
      </x:c>
      <x:c r="G691" s="339" t="str">
        <x:v>This record changed since you opened it. Refresh before saving.</x:v>
      </x:c>
      <x:c r="H691" s="339" t="str">
        <x:v>Reload the latest data and reapply the intended change.</x:v>
      </x:c>
      <x:c r="I691" s="339" t="str">
        <x:v>Record conflict if it affected a high-risk workflow.</x:v>
      </x:c>
    </x:row>
    <x:row r="692">
      <x:c r="A692" s="339" t="str">
        <x:v>EXC-00691</x:v>
      </x:c>
      <x:c r="B692" s="339" t="str">
        <x:v>SCR-258</x:v>
      </x:c>
      <x:c r="C692" s="339" t="str">
        <x:v>Documents &amp; Certificates</x:v>
      </x:c>
      <x:c r="D692" s="339" t="str">
        <x:v>Staff Documents</x:v>
      </x:c>
      <x:c r="E692" s="339" t="str">
        <x:v>Downstream dependency failure</x:v>
      </x:c>
      <x:c r="F692" s="339" t="str">
        <x:v>Rollback or keep a recoverable pending state; never claim success for an incomplete critical transaction.</x:v>
      </x:c>
      <x:c r="G692" s="339" t="str">
        <x:v>The action could not be completed. No final change was applied.</x:v>
      </x:c>
      <x:c r="H692" s="339" t="str">
        <x:v>Retry safely or route to manual resolution queue.</x:v>
      </x:c>
      <x:c r="I692" s="339" t="str">
        <x:v>Capture correlation/error ID and failed step.</x:v>
      </x:c>
    </x:row>
    <x:row r="693">
      <x:c r="A693" s="339" t="str">
        <x:v>EXC-00692</x:v>
      </x:c>
      <x:c r="B693" s="339" t="str">
        <x:v>SCR-259</x:v>
      </x:c>
      <x:c r="C693" s="339" t="str">
        <x:v>Documents &amp; Certificates</x:v>
      </x:c>
      <x:c r="D693" s="339" t="str">
        <x:v>Upload &amp; Verification</x:v>
      </x:c>
      <x:c r="E693" s="339" t="str">
        <x:v>Unauthorized or out-of-scope record</x:v>
      </x:c>
      <x:c r="F693" s="339" t="str">
        <x:v>Deny access/action; do not reveal existence beyond safe messaging.</x:v>
      </x:c>
      <x:c r="G693" s="339" t="str">
        <x:v>You do not have access to this record.</x:v>
      </x:c>
      <x:c r="H693" s="339" t="str">
        <x:v>Re-authenticate or contact an administrator if access is expected.</x:v>
      </x:c>
      <x:c r="I693" s="339" t="str">
        <x:v>Log security-relevant denial where appropriate.</x:v>
      </x:c>
    </x:row>
    <x:row r="694">
      <x:c r="A694" s="339" t="str">
        <x:v>EXC-00693</x:v>
      </x:c>
      <x:c r="B694" s="339" t="str">
        <x:v>SCR-259</x:v>
      </x:c>
      <x:c r="C694" s="339" t="str">
        <x:v>Documents &amp; Certificates</x:v>
      </x:c>
      <x:c r="D694" s="339" t="str">
        <x:v>Upload &amp; Verification</x:v>
      </x:c>
      <x:c r="E694" s="339" t="str">
        <x:v>Stale/concurrent data</x:v>
      </x:c>
      <x:c r="F694" s="339" t="str">
        <x:v>Detect version/state mismatch before destructive update; require refresh/review.</x:v>
      </x:c>
      <x:c r="G694" s="339" t="str">
        <x:v>This record changed since you opened it. Refresh before saving.</x:v>
      </x:c>
      <x:c r="H694" s="339" t="str">
        <x:v>Reload the latest data and reapply the intended change.</x:v>
      </x:c>
      <x:c r="I694" s="339" t="str">
        <x:v>Record conflict if it affected a high-risk workflow.</x:v>
      </x:c>
    </x:row>
    <x:row r="695">
      <x:c r="A695" s="339" t="str">
        <x:v>EXC-00694</x:v>
      </x:c>
      <x:c r="B695" s="339" t="str">
        <x:v>SCR-259</x:v>
      </x:c>
      <x:c r="C695" s="339" t="str">
        <x:v>Documents &amp; Certificates</x:v>
      </x:c>
      <x:c r="D695" s="339" t="str">
        <x:v>Upload &amp; Verification</x:v>
      </x:c>
      <x:c r="E695" s="339" t="str">
        <x:v>Downstream dependency failure</x:v>
      </x:c>
      <x:c r="F695" s="339" t="str">
        <x:v>Rollback or keep a recoverable pending state; never claim success for an incomplete critical transaction.</x:v>
      </x:c>
      <x:c r="G695" s="339" t="str">
        <x:v>The action could not be completed. No final change was applied.</x:v>
      </x:c>
      <x:c r="H695" s="339" t="str">
        <x:v>Retry safely or route to manual resolution queue.</x:v>
      </x:c>
      <x:c r="I695" s="339" t="str">
        <x:v>Capture correlation/error ID and failed step.</x:v>
      </x:c>
    </x:row>
    <x:row r="696">
      <x:c r="A696" s="339" t="str">
        <x:v>EXC-00695</x:v>
      </x:c>
      <x:c r="B696" s="339" t="str">
        <x:v>SCR-260</x:v>
      </x:c>
      <x:c r="C696" s="339" t="str">
        <x:v>Documents &amp; Certificates</x:v>
      </x:c>
      <x:c r="D696" s="339" t="str">
        <x:v>Certificate Templates</x:v>
      </x:c>
      <x:c r="E696" s="339" t="str">
        <x:v>Unauthorized or out-of-scope record</x:v>
      </x:c>
      <x:c r="F696" s="339" t="str">
        <x:v>Deny access/action; do not reveal existence beyond safe messaging.</x:v>
      </x:c>
      <x:c r="G696" s="339" t="str">
        <x:v>You do not have access to this record.</x:v>
      </x:c>
      <x:c r="H696" s="339" t="str">
        <x:v>Re-authenticate or contact an administrator if access is expected.</x:v>
      </x:c>
      <x:c r="I696" s="339" t="str">
        <x:v>Log security-relevant denial where appropriate.</x:v>
      </x:c>
    </x:row>
    <x:row r="697">
      <x:c r="A697" s="339" t="str">
        <x:v>EXC-00696</x:v>
      </x:c>
      <x:c r="B697" s="339" t="str">
        <x:v>SCR-260</x:v>
      </x:c>
      <x:c r="C697" s="339" t="str">
        <x:v>Documents &amp; Certificates</x:v>
      </x:c>
      <x:c r="D697" s="339" t="str">
        <x:v>Certificate Templates</x:v>
      </x:c>
      <x:c r="E697" s="339" t="str">
        <x:v>Stale/concurrent data</x:v>
      </x:c>
      <x:c r="F697" s="339" t="str">
        <x:v>Detect version/state mismatch before destructive update; require refresh/review.</x:v>
      </x:c>
      <x:c r="G697" s="339" t="str">
        <x:v>This record changed since you opened it. Refresh before saving.</x:v>
      </x:c>
      <x:c r="H697" s="339" t="str">
        <x:v>Reload the latest data and reapply the intended change.</x:v>
      </x:c>
      <x:c r="I697" s="339" t="str">
        <x:v>Record conflict if it affected a high-risk workflow.</x:v>
      </x:c>
    </x:row>
    <x:row r="698">
      <x:c r="A698" s="339" t="str">
        <x:v>EXC-00697</x:v>
      </x:c>
      <x:c r="B698" s="339" t="str">
        <x:v>SCR-261</x:v>
      </x:c>
      <x:c r="C698" s="339" t="str">
        <x:v>Documents &amp; Certificates</x:v>
      </x:c>
      <x:c r="D698" s="339" t="str">
        <x:v>Generate Certificate</x:v>
      </x:c>
      <x:c r="E698" s="339" t="str">
        <x:v>Unauthorized or out-of-scope record</x:v>
      </x:c>
      <x:c r="F698" s="339" t="str">
        <x:v>Deny access/action; do not reveal existence beyond safe messaging.</x:v>
      </x:c>
      <x:c r="G698" s="339" t="str">
        <x:v>You do not have access to this record.</x:v>
      </x:c>
      <x:c r="H698" s="339" t="str">
        <x:v>Re-authenticate or contact an administrator if access is expected.</x:v>
      </x:c>
      <x:c r="I698" s="339" t="str">
        <x:v>Log security-relevant denial where appropriate.</x:v>
      </x:c>
    </x:row>
    <x:row r="699">
      <x:c r="A699" s="339" t="str">
        <x:v>EXC-00698</x:v>
      </x:c>
      <x:c r="B699" s="339" t="str">
        <x:v>SCR-261</x:v>
      </x:c>
      <x:c r="C699" s="339" t="str">
        <x:v>Documents &amp; Certificates</x:v>
      </x:c>
      <x:c r="D699" s="339" t="str">
        <x:v>Generate Certificate</x:v>
      </x:c>
      <x:c r="E699" s="339" t="str">
        <x:v>Stale/concurrent data</x:v>
      </x:c>
      <x:c r="F699" s="339" t="str">
        <x:v>Detect version/state mismatch before destructive update; require refresh/review.</x:v>
      </x:c>
      <x:c r="G699" s="339" t="str">
        <x:v>This record changed since you opened it. Refresh before saving.</x:v>
      </x:c>
      <x:c r="H699" s="339" t="str">
        <x:v>Reload the latest data and reapply the intended change.</x:v>
      </x:c>
      <x:c r="I699" s="339" t="str">
        <x:v>Record conflict if it affected a high-risk workflow.</x:v>
      </x:c>
    </x:row>
    <x:row r="700">
      <x:c r="A700" s="339" t="str">
        <x:v>EXC-00699</x:v>
      </x:c>
      <x:c r="B700" s="339" t="str">
        <x:v>SCR-261</x:v>
      </x:c>
      <x:c r="C700" s="339" t="str">
        <x:v>Documents &amp; Certificates</x:v>
      </x:c>
      <x:c r="D700" s="339" t="str">
        <x:v>Generate Certificate</x:v>
      </x:c>
      <x:c r="E700" s="339" t="str">
        <x:v>Downstream dependency failure</x:v>
      </x:c>
      <x:c r="F700" s="339" t="str">
        <x:v>Rollback or keep a recoverable pending state; never claim success for an incomplete critical transaction.</x:v>
      </x:c>
      <x:c r="G700" s="339" t="str">
        <x:v>The action could not be completed. No final change was applied.</x:v>
      </x:c>
      <x:c r="H700" s="339" t="str">
        <x:v>Retry safely or route to manual resolution queue.</x:v>
      </x:c>
      <x:c r="I700" s="339" t="str">
        <x:v>Capture correlation/error ID and failed step.</x:v>
      </x:c>
    </x:row>
    <x:row r="701">
      <x:c r="A701" s="339" t="str">
        <x:v>EXC-00700</x:v>
      </x:c>
      <x:c r="B701" s="339" t="str">
        <x:v>SCR-262</x:v>
      </x:c>
      <x:c r="C701" s="339" t="str">
        <x:v>Documents &amp; Certificates</x:v>
      </x:c>
      <x:c r="D701" s="339" t="str">
        <x:v>Transfer Certificate</x:v>
      </x:c>
      <x:c r="E701" s="339" t="str">
        <x:v>Unauthorized or out-of-scope record</x:v>
      </x:c>
      <x:c r="F701" s="339" t="str">
        <x:v>Deny access/action; do not reveal existence beyond safe messaging.</x:v>
      </x:c>
      <x:c r="G701" s="339" t="str">
        <x:v>You do not have access to this record.</x:v>
      </x:c>
      <x:c r="H701" s="339" t="str">
        <x:v>Re-authenticate or contact an administrator if access is expected.</x:v>
      </x:c>
      <x:c r="I701" s="339" t="str">
        <x:v>Log security-relevant denial where appropriate.</x:v>
      </x:c>
    </x:row>
    <x:row r="702">
      <x:c r="A702" s="339" t="str">
        <x:v>EXC-00701</x:v>
      </x:c>
      <x:c r="B702" s="339" t="str">
        <x:v>SCR-262</x:v>
      </x:c>
      <x:c r="C702" s="339" t="str">
        <x:v>Documents &amp; Certificates</x:v>
      </x:c>
      <x:c r="D702" s="339" t="str">
        <x:v>Transfer Certificate</x:v>
      </x:c>
      <x:c r="E702" s="339" t="str">
        <x:v>Stale/concurrent data</x:v>
      </x:c>
      <x:c r="F702" s="339" t="str">
        <x:v>Detect version/state mismatch before destructive update; require refresh/review.</x:v>
      </x:c>
      <x:c r="G702" s="339" t="str">
        <x:v>This record changed since you opened it. Refresh before saving.</x:v>
      </x:c>
      <x:c r="H702" s="339" t="str">
        <x:v>Reload the latest data and reapply the intended change.</x:v>
      </x:c>
      <x:c r="I702" s="339" t="str">
        <x:v>Record conflict if it affected a high-risk workflow.</x:v>
      </x:c>
    </x:row>
    <x:row r="703">
      <x:c r="A703" s="339" t="str">
        <x:v>EXC-00702</x:v>
      </x:c>
      <x:c r="B703" s="339" t="str">
        <x:v>SCR-262</x:v>
      </x:c>
      <x:c r="C703" s="339" t="str">
        <x:v>Documents &amp; Certificates</x:v>
      </x:c>
      <x:c r="D703" s="339" t="str">
        <x:v>Transfer Certificate</x:v>
      </x:c>
      <x:c r="E703" s="339" t="str">
        <x:v>Downstream dependency failure</x:v>
      </x:c>
      <x:c r="F703" s="339" t="str">
        <x:v>Rollback or keep a recoverable pending state; never claim success for an incomplete critical transaction.</x:v>
      </x:c>
      <x:c r="G703" s="339" t="str">
        <x:v>The action could not be completed. No final change was applied.</x:v>
      </x:c>
      <x:c r="H703" s="339" t="str">
        <x:v>Retry safely or route to manual resolution queue.</x:v>
      </x:c>
      <x:c r="I703" s="339" t="str">
        <x:v>Capture correlation/error ID and failed step.</x:v>
      </x:c>
    </x:row>
    <x:row r="704">
      <x:c r="A704" s="339" t="str">
        <x:v>EXC-00703</x:v>
      </x:c>
      <x:c r="B704" s="339" t="str">
        <x:v>SCR-263</x:v>
      </x:c>
      <x:c r="C704" s="339" t="str">
        <x:v>Documents &amp; Certificates</x:v>
      </x:c>
      <x:c r="D704" s="339" t="str">
        <x:v>Certificate Register</x:v>
      </x:c>
      <x:c r="E704" s="339" t="str">
        <x:v>Unauthorized or out-of-scope record</x:v>
      </x:c>
      <x:c r="F704" s="339" t="str">
        <x:v>Deny access/action; do not reveal existence beyond safe messaging.</x:v>
      </x:c>
      <x:c r="G704" s="339" t="str">
        <x:v>You do not have access to this record.</x:v>
      </x:c>
      <x:c r="H704" s="339" t="str">
        <x:v>Re-authenticate or contact an administrator if access is expected.</x:v>
      </x:c>
      <x:c r="I704" s="339" t="str">
        <x:v>Log security-relevant denial where appropriate.</x:v>
      </x:c>
    </x:row>
    <x:row r="705">
      <x:c r="A705" s="339" t="str">
        <x:v>EXC-00704</x:v>
      </x:c>
      <x:c r="B705" s="339" t="str">
        <x:v>SCR-263</x:v>
      </x:c>
      <x:c r="C705" s="339" t="str">
        <x:v>Documents &amp; Certificates</x:v>
      </x:c>
      <x:c r="D705" s="339" t="str">
        <x:v>Certificate Register</x:v>
      </x:c>
      <x:c r="E705" s="339" t="str">
        <x:v>Stale/concurrent data</x:v>
      </x:c>
      <x:c r="F705" s="339" t="str">
        <x:v>Detect version/state mismatch before destructive update; require refresh/review.</x:v>
      </x:c>
      <x:c r="G705" s="339" t="str">
        <x:v>This record changed since you opened it. Refresh before saving.</x:v>
      </x:c>
      <x:c r="H705" s="339" t="str">
        <x:v>Reload the latest data and reapply the intended change.</x:v>
      </x:c>
      <x:c r="I705" s="339" t="str">
        <x:v>Record conflict if it affected a high-risk workflow.</x:v>
      </x:c>
    </x:row>
    <x:row r="706">
      <x:c r="A706" s="339" t="str">
        <x:v>EXC-00705</x:v>
      </x:c>
      <x:c r="B706" s="339" t="str">
        <x:v>SCR-264</x:v>
      </x:c>
      <x:c r="C706" s="339" t="str">
        <x:v>Reports &amp; Analytics</x:v>
      </x:c>
      <x:c r="D706" s="339" t="str">
        <x:v>Executive Analytics Dashboard</x:v>
      </x:c>
      <x:c r="E706" s="339" t="str">
        <x:v>Unauthorized or out-of-scope record</x:v>
      </x:c>
      <x:c r="F706" s="339" t="str">
        <x:v>Deny access/action; do not reveal existence beyond safe messaging.</x:v>
      </x:c>
      <x:c r="G706" s="339" t="str">
        <x:v>You do not have access to this record.</x:v>
      </x:c>
      <x:c r="H706" s="339" t="str">
        <x:v>Re-authenticate or contact an administrator if access is expected.</x:v>
      </x:c>
      <x:c r="I706" s="339" t="str">
        <x:v>Log security-relevant denial where appropriate.</x:v>
      </x:c>
    </x:row>
    <x:row r="707">
      <x:c r="A707" s="339" t="str">
        <x:v>EXC-00706</x:v>
      </x:c>
      <x:c r="B707" s="339" t="str">
        <x:v>SCR-264</x:v>
      </x:c>
      <x:c r="C707" s="339" t="str">
        <x:v>Reports &amp; Analytics</x:v>
      </x:c>
      <x:c r="D707" s="339" t="str">
        <x:v>Executive Analytics Dashboard</x:v>
      </x:c>
      <x:c r="E707" s="339" t="str">
        <x:v>Stale/concurrent data</x:v>
      </x:c>
      <x:c r="F707" s="339" t="str">
        <x:v>Detect version/state mismatch before destructive update; require refresh/review.</x:v>
      </x:c>
      <x:c r="G707" s="339" t="str">
        <x:v>This record changed since you opened it. Refresh before saving.</x:v>
      </x:c>
      <x:c r="H707" s="339" t="str">
        <x:v>Reload the latest data and reapply the intended change.</x:v>
      </x:c>
      <x:c r="I707" s="339" t="str">
        <x:v>Record conflict if it affected a high-risk workflow.</x:v>
      </x:c>
    </x:row>
    <x:row r="708">
      <x:c r="A708" s="339" t="str">
        <x:v>EXC-00707</x:v>
      </x:c>
      <x:c r="B708" s="339" t="str">
        <x:v>SCR-265</x:v>
      </x:c>
      <x:c r="C708" s="339" t="str">
        <x:v>Reports &amp; Analytics</x:v>
      </x:c>
      <x:c r="D708" s="339" t="str">
        <x:v>Admission Reports</x:v>
      </x:c>
      <x:c r="E708" s="339" t="str">
        <x:v>Unauthorized or out-of-scope record</x:v>
      </x:c>
      <x:c r="F708" s="339" t="str">
        <x:v>Deny access/action; do not reveal existence beyond safe messaging.</x:v>
      </x:c>
      <x:c r="G708" s="339" t="str">
        <x:v>You do not have access to this record.</x:v>
      </x:c>
      <x:c r="H708" s="339" t="str">
        <x:v>Re-authenticate or contact an administrator if access is expected.</x:v>
      </x:c>
      <x:c r="I708" s="339" t="str">
        <x:v>Log security-relevant denial where appropriate.</x:v>
      </x:c>
    </x:row>
    <x:row r="709">
      <x:c r="A709" s="339" t="str">
        <x:v>EXC-00708</x:v>
      </x:c>
      <x:c r="B709" s="339" t="str">
        <x:v>SCR-265</x:v>
      </x:c>
      <x:c r="C709" s="339" t="str">
        <x:v>Reports &amp; Analytics</x:v>
      </x:c>
      <x:c r="D709" s="339" t="str">
        <x:v>Admission Reports</x:v>
      </x:c>
      <x:c r="E709" s="339" t="str">
        <x:v>Stale/concurrent data</x:v>
      </x:c>
      <x:c r="F709" s="339" t="str">
        <x:v>Detect version/state mismatch before destructive update; require refresh/review.</x:v>
      </x:c>
      <x:c r="G709" s="339" t="str">
        <x:v>This record changed since you opened it. Refresh before saving.</x:v>
      </x:c>
      <x:c r="H709" s="339" t="str">
        <x:v>Reload the latest data and reapply the intended change.</x:v>
      </x:c>
      <x:c r="I709" s="339" t="str">
        <x:v>Record conflict if it affected a high-risk workflow.</x:v>
      </x:c>
    </x:row>
    <x:row r="710">
      <x:c r="A710" s="339" t="str">
        <x:v>EXC-00709</x:v>
      </x:c>
      <x:c r="B710" s="339" t="str">
        <x:v>SCR-266</x:v>
      </x:c>
      <x:c r="C710" s="339" t="str">
        <x:v>Reports &amp; Analytics</x:v>
      </x:c>
      <x:c r="D710" s="339" t="str">
        <x:v>Student Strength Report</x:v>
      </x:c>
      <x:c r="E710" s="339" t="str">
        <x:v>Unauthorized or out-of-scope record</x:v>
      </x:c>
      <x:c r="F710" s="339" t="str">
        <x:v>Deny access/action; do not reveal existence beyond safe messaging.</x:v>
      </x:c>
      <x:c r="G710" s="339" t="str">
        <x:v>You do not have access to this record.</x:v>
      </x:c>
      <x:c r="H710" s="339" t="str">
        <x:v>Re-authenticate or contact an administrator if access is expected.</x:v>
      </x:c>
      <x:c r="I710" s="339" t="str">
        <x:v>Log security-relevant denial where appropriate.</x:v>
      </x:c>
    </x:row>
    <x:row r="711">
      <x:c r="A711" s="339" t="str">
        <x:v>EXC-00710</x:v>
      </x:c>
      <x:c r="B711" s="339" t="str">
        <x:v>SCR-266</x:v>
      </x:c>
      <x:c r="C711" s="339" t="str">
        <x:v>Reports &amp; Analytics</x:v>
      </x:c>
      <x:c r="D711" s="339" t="str">
        <x:v>Student Strength Report</x:v>
      </x:c>
      <x:c r="E711" s="339" t="str">
        <x:v>Stale/concurrent data</x:v>
      </x:c>
      <x:c r="F711" s="339" t="str">
        <x:v>Detect version/state mismatch before destructive update; require refresh/review.</x:v>
      </x:c>
      <x:c r="G711" s="339" t="str">
        <x:v>This record changed since you opened it. Refresh before saving.</x:v>
      </x:c>
      <x:c r="H711" s="339" t="str">
        <x:v>Reload the latest data and reapply the intended change.</x:v>
      </x:c>
      <x:c r="I711" s="339" t="str">
        <x:v>Record conflict if it affected a high-risk workflow.</x:v>
      </x:c>
    </x:row>
    <x:row r="712">
      <x:c r="A712" s="339" t="str">
        <x:v>EXC-00711</x:v>
      </x:c>
      <x:c r="B712" s="339" t="str">
        <x:v>SCR-267</x:v>
      </x:c>
      <x:c r="C712" s="339" t="str">
        <x:v>Reports &amp; Analytics</x:v>
      </x:c>
      <x:c r="D712" s="339" t="str">
        <x:v>Student Demographics</x:v>
      </x:c>
      <x:c r="E712" s="339" t="str">
        <x:v>Unauthorized or out-of-scope record</x:v>
      </x:c>
      <x:c r="F712" s="339" t="str">
        <x:v>Deny access/action; do not reveal existence beyond safe messaging.</x:v>
      </x:c>
      <x:c r="G712" s="339" t="str">
        <x:v>You do not have access to this record.</x:v>
      </x:c>
      <x:c r="H712" s="339" t="str">
        <x:v>Re-authenticate or contact an administrator if access is expected.</x:v>
      </x:c>
      <x:c r="I712" s="339" t="str">
        <x:v>Log security-relevant denial where appropriate.</x:v>
      </x:c>
    </x:row>
    <x:row r="713">
      <x:c r="A713" s="339" t="str">
        <x:v>EXC-00712</x:v>
      </x:c>
      <x:c r="B713" s="339" t="str">
        <x:v>SCR-267</x:v>
      </x:c>
      <x:c r="C713" s="339" t="str">
        <x:v>Reports &amp; Analytics</x:v>
      </x:c>
      <x:c r="D713" s="339" t="str">
        <x:v>Student Demographics</x:v>
      </x:c>
      <x:c r="E713" s="339" t="str">
        <x:v>Stale/concurrent data</x:v>
      </x:c>
      <x:c r="F713" s="339" t="str">
        <x:v>Detect version/state mismatch before destructive update; require refresh/review.</x:v>
      </x:c>
      <x:c r="G713" s="339" t="str">
        <x:v>This record changed since you opened it. Refresh before saving.</x:v>
      </x:c>
      <x:c r="H713" s="339" t="str">
        <x:v>Reload the latest data and reapply the intended change.</x:v>
      </x:c>
      <x:c r="I713" s="339" t="str">
        <x:v>Record conflict if it affected a high-risk workflow.</x:v>
      </x:c>
    </x:row>
    <x:row r="714">
      <x:c r="A714" s="339" t="str">
        <x:v>EXC-00713</x:v>
      </x:c>
      <x:c r="B714" s="339" t="str">
        <x:v>SCR-267</x:v>
      </x:c>
      <x:c r="C714" s="339" t="str">
        <x:v>Reports &amp; Analytics</x:v>
      </x:c>
      <x:c r="D714" s="339" t="str">
        <x:v>Student Demographics</x:v>
      </x:c>
      <x:c r="E714" s="339" t="str">
        <x:v>Downstream dependency failure</x:v>
      </x:c>
      <x:c r="F714" s="339" t="str">
        <x:v>Rollback or keep a recoverable pending state; never claim success for an incomplete critical transaction.</x:v>
      </x:c>
      <x:c r="G714" s="339" t="str">
        <x:v>The action could not be completed. No final change was applied.</x:v>
      </x:c>
      <x:c r="H714" s="339" t="str">
        <x:v>Retry safely or route to manual resolution queue.</x:v>
      </x:c>
      <x:c r="I714" s="339" t="str">
        <x:v>Capture correlation/error ID and failed step.</x:v>
      </x:c>
    </x:row>
    <x:row r="715">
      <x:c r="A715" s="339" t="str">
        <x:v>EXC-00714</x:v>
      </x:c>
      <x:c r="B715" s="339" t="str">
        <x:v>SCR-268</x:v>
      </x:c>
      <x:c r="C715" s="339" t="str">
        <x:v>Reports &amp; Analytics</x:v>
      </x:c>
      <x:c r="D715" s="339" t="str">
        <x:v>Attendance Analytics</x:v>
      </x:c>
      <x:c r="E715" s="339" t="str">
        <x:v>Unauthorized or out-of-scope record</x:v>
      </x:c>
      <x:c r="F715" s="339" t="str">
        <x:v>Deny access/action; do not reveal existence beyond safe messaging.</x:v>
      </x:c>
      <x:c r="G715" s="339" t="str">
        <x:v>You do not have access to this record.</x:v>
      </x:c>
      <x:c r="H715" s="339" t="str">
        <x:v>Re-authenticate or contact an administrator if access is expected.</x:v>
      </x:c>
      <x:c r="I715" s="339" t="str">
        <x:v>Log security-relevant denial where appropriate.</x:v>
      </x:c>
    </x:row>
    <x:row r="716">
      <x:c r="A716" s="339" t="str">
        <x:v>EXC-00715</x:v>
      </x:c>
      <x:c r="B716" s="339" t="str">
        <x:v>SCR-268</x:v>
      </x:c>
      <x:c r="C716" s="339" t="str">
        <x:v>Reports &amp; Analytics</x:v>
      </x:c>
      <x:c r="D716" s="339" t="str">
        <x:v>Attendance Analytics</x:v>
      </x:c>
      <x:c r="E716" s="339" t="str">
        <x:v>Stale/concurrent data</x:v>
      </x:c>
      <x:c r="F716" s="339" t="str">
        <x:v>Detect version/state mismatch before destructive update; require refresh/review.</x:v>
      </x:c>
      <x:c r="G716" s="339" t="str">
        <x:v>This record changed since you opened it. Refresh before saving.</x:v>
      </x:c>
      <x:c r="H716" s="339" t="str">
        <x:v>Reload the latest data and reapply the intended change.</x:v>
      </x:c>
      <x:c r="I716" s="339" t="str">
        <x:v>Record conflict if it affected a high-risk workflow.</x:v>
      </x:c>
    </x:row>
    <x:row r="717">
      <x:c r="A717" s="339" t="str">
        <x:v>EXC-00716</x:v>
      </x:c>
      <x:c r="B717" s="339" t="str">
        <x:v>SCR-269</x:v>
      </x:c>
      <x:c r="C717" s="339" t="str">
        <x:v>Reports &amp; Analytics</x:v>
      </x:c>
      <x:c r="D717" s="339" t="str">
        <x:v>Chronic Absenteeism Report</x:v>
      </x:c>
      <x:c r="E717" s="339" t="str">
        <x:v>Unauthorized or out-of-scope record</x:v>
      </x:c>
      <x:c r="F717" s="339" t="str">
        <x:v>Deny access/action; do not reveal existence beyond safe messaging.</x:v>
      </x:c>
      <x:c r="G717" s="339" t="str">
        <x:v>You do not have access to this record.</x:v>
      </x:c>
      <x:c r="H717" s="339" t="str">
        <x:v>Re-authenticate or contact an administrator if access is expected.</x:v>
      </x:c>
      <x:c r="I717" s="339" t="str">
        <x:v>Log security-relevant denial where appropriate.</x:v>
      </x:c>
    </x:row>
    <x:row r="718">
      <x:c r="A718" s="339" t="str">
        <x:v>EXC-00717</x:v>
      </x:c>
      <x:c r="B718" s="339" t="str">
        <x:v>SCR-269</x:v>
      </x:c>
      <x:c r="C718" s="339" t="str">
        <x:v>Reports &amp; Analytics</x:v>
      </x:c>
      <x:c r="D718" s="339" t="str">
        <x:v>Chronic Absenteeism Report</x:v>
      </x:c>
      <x:c r="E718" s="339" t="str">
        <x:v>Stale/concurrent data</x:v>
      </x:c>
      <x:c r="F718" s="339" t="str">
        <x:v>Detect version/state mismatch before destructive update; require refresh/review.</x:v>
      </x:c>
      <x:c r="G718" s="339" t="str">
        <x:v>This record changed since you opened it. Refresh before saving.</x:v>
      </x:c>
      <x:c r="H718" s="339" t="str">
        <x:v>Reload the latest data and reapply the intended change.</x:v>
      </x:c>
      <x:c r="I718" s="339" t="str">
        <x:v>Record conflict if it affected a high-risk workflow.</x:v>
      </x:c>
    </x:row>
    <x:row r="719">
      <x:c r="A719" s="339" t="str">
        <x:v>EXC-00718</x:v>
      </x:c>
      <x:c r="B719" s="339" t="str">
        <x:v>SCR-270</x:v>
      </x:c>
      <x:c r="C719" s="339" t="str">
        <x:v>Reports &amp; Analytics</x:v>
      </x:c>
      <x:c r="D719" s="339" t="str">
        <x:v>Academic Performance</x:v>
      </x:c>
      <x:c r="E719" s="339" t="str">
        <x:v>Unauthorized or out-of-scope record</x:v>
      </x:c>
      <x:c r="F719" s="339" t="str">
        <x:v>Deny access/action; do not reveal existence beyond safe messaging.</x:v>
      </x:c>
      <x:c r="G719" s="339" t="str">
        <x:v>You do not have access to this record.</x:v>
      </x:c>
      <x:c r="H719" s="339" t="str">
        <x:v>Re-authenticate or contact an administrator if access is expected.</x:v>
      </x:c>
      <x:c r="I719" s="339" t="str">
        <x:v>Log security-relevant denial where appropriate.</x:v>
      </x:c>
    </x:row>
    <x:row r="720">
      <x:c r="A720" s="339" t="str">
        <x:v>EXC-00719</x:v>
      </x:c>
      <x:c r="B720" s="339" t="str">
        <x:v>SCR-270</x:v>
      </x:c>
      <x:c r="C720" s="339" t="str">
        <x:v>Reports &amp; Analytics</x:v>
      </x:c>
      <x:c r="D720" s="339" t="str">
        <x:v>Academic Performance</x:v>
      </x:c>
      <x:c r="E720" s="339" t="str">
        <x:v>Stale/concurrent data</x:v>
      </x:c>
      <x:c r="F720" s="339" t="str">
        <x:v>Detect version/state mismatch before destructive update; require refresh/review.</x:v>
      </x:c>
      <x:c r="G720" s="339" t="str">
        <x:v>This record changed since you opened it. Refresh before saving.</x:v>
      </x:c>
      <x:c r="H720" s="339" t="str">
        <x:v>Reload the latest data and reapply the intended change.</x:v>
      </x:c>
      <x:c r="I720" s="339" t="str">
        <x:v>Record conflict if it affected a high-risk workflow.</x:v>
      </x:c>
    </x:row>
    <x:row r="721">
      <x:c r="A721" s="339" t="str">
        <x:v>EXC-00720</x:v>
      </x:c>
      <x:c r="B721" s="339" t="str">
        <x:v>SCR-270</x:v>
      </x:c>
      <x:c r="C721" s="339" t="str">
        <x:v>Reports &amp; Analytics</x:v>
      </x:c>
      <x:c r="D721" s="339" t="str">
        <x:v>Academic Performance</x:v>
      </x:c>
      <x:c r="E721" s="339" t="str">
        <x:v>Downstream dependency failure</x:v>
      </x:c>
      <x:c r="F721" s="339" t="str">
        <x:v>Rollback or keep a recoverable pending state; never claim success for an incomplete critical transaction.</x:v>
      </x:c>
      <x:c r="G721" s="339" t="str">
        <x:v>The action could not be completed. No final change was applied.</x:v>
      </x:c>
      <x:c r="H721" s="339" t="str">
        <x:v>Retry safely or route to manual resolution queue.</x:v>
      </x:c>
      <x:c r="I721" s="339" t="str">
        <x:v>Capture correlation/error ID and failed step.</x:v>
      </x:c>
    </x:row>
    <x:row r="722">
      <x:c r="A722" s="339" t="str">
        <x:v>EXC-00721</x:v>
      </x:c>
      <x:c r="B722" s="339" t="str">
        <x:v>SCR-271</x:v>
      </x:c>
      <x:c r="C722" s="339" t="str">
        <x:v>Reports &amp; Analytics</x:v>
      </x:c>
      <x:c r="D722" s="339" t="str">
        <x:v>Subject Performance</x:v>
      </x:c>
      <x:c r="E722" s="339" t="str">
        <x:v>Unauthorized or out-of-scope record</x:v>
      </x:c>
      <x:c r="F722" s="339" t="str">
        <x:v>Deny access/action; do not reveal existence beyond safe messaging.</x:v>
      </x:c>
      <x:c r="G722" s="339" t="str">
        <x:v>You do not have access to this record.</x:v>
      </x:c>
      <x:c r="H722" s="339" t="str">
        <x:v>Re-authenticate or contact an administrator if access is expected.</x:v>
      </x:c>
      <x:c r="I722" s="339" t="str">
        <x:v>Log security-relevant denial where appropriate.</x:v>
      </x:c>
    </x:row>
    <x:row r="723">
      <x:c r="A723" s="339" t="str">
        <x:v>EXC-00722</x:v>
      </x:c>
      <x:c r="B723" s="339" t="str">
        <x:v>SCR-271</x:v>
      </x:c>
      <x:c r="C723" s="339" t="str">
        <x:v>Reports &amp; Analytics</x:v>
      </x:c>
      <x:c r="D723" s="339" t="str">
        <x:v>Subject Performance</x:v>
      </x:c>
      <x:c r="E723" s="339" t="str">
        <x:v>Stale/concurrent data</x:v>
      </x:c>
      <x:c r="F723" s="339" t="str">
        <x:v>Detect version/state mismatch before destructive update; require refresh/review.</x:v>
      </x:c>
      <x:c r="G723" s="339" t="str">
        <x:v>This record changed since you opened it. Refresh before saving.</x:v>
      </x:c>
      <x:c r="H723" s="339" t="str">
        <x:v>Reload the latest data and reapply the intended change.</x:v>
      </x:c>
      <x:c r="I723" s="339" t="str">
        <x:v>Record conflict if it affected a high-risk workflow.</x:v>
      </x:c>
    </x:row>
    <x:row r="724">
      <x:c r="A724" s="339" t="str">
        <x:v>EXC-00723</x:v>
      </x:c>
      <x:c r="B724" s="339" t="str">
        <x:v>SCR-271</x:v>
      </x:c>
      <x:c r="C724" s="339" t="str">
        <x:v>Reports &amp; Analytics</x:v>
      </x:c>
      <x:c r="D724" s="339" t="str">
        <x:v>Subject Performance</x:v>
      </x:c>
      <x:c r="E724" s="339" t="str">
        <x:v>Downstream dependency failure</x:v>
      </x:c>
      <x:c r="F724" s="339" t="str">
        <x:v>Rollback or keep a recoverable pending state; never claim success for an incomplete critical transaction.</x:v>
      </x:c>
      <x:c r="G724" s="339" t="str">
        <x:v>The action could not be completed. No final change was applied.</x:v>
      </x:c>
      <x:c r="H724" s="339" t="str">
        <x:v>Retry safely or route to manual resolution queue.</x:v>
      </x:c>
      <x:c r="I724" s="339" t="str">
        <x:v>Capture correlation/error ID and failed step.</x:v>
      </x:c>
    </x:row>
    <x:row r="725">
      <x:c r="A725" s="339" t="str">
        <x:v>EXC-00724</x:v>
      </x:c>
      <x:c r="B725" s="339" t="str">
        <x:v>SCR-272</x:v>
      </x:c>
      <x:c r="C725" s="339" t="str">
        <x:v>Reports &amp; Analytics</x:v>
      </x:c>
      <x:c r="D725" s="339" t="str">
        <x:v>Exam Result Analysis</x:v>
      </x:c>
      <x:c r="E725" s="339" t="str">
        <x:v>Unauthorized or out-of-scope record</x:v>
      </x:c>
      <x:c r="F725" s="339" t="str">
        <x:v>Deny access/action; do not reveal existence beyond safe messaging.</x:v>
      </x:c>
      <x:c r="G725" s="339" t="str">
        <x:v>You do not have access to this record.</x:v>
      </x:c>
      <x:c r="H725" s="339" t="str">
        <x:v>Re-authenticate or contact an administrator if access is expected.</x:v>
      </x:c>
      <x:c r="I725" s="339" t="str">
        <x:v>Log security-relevant denial where appropriate.</x:v>
      </x:c>
    </x:row>
    <x:row r="726">
      <x:c r="A726" s="339" t="str">
        <x:v>EXC-00725</x:v>
      </x:c>
      <x:c r="B726" s="339" t="str">
        <x:v>SCR-272</x:v>
      </x:c>
      <x:c r="C726" s="339" t="str">
        <x:v>Reports &amp; Analytics</x:v>
      </x:c>
      <x:c r="D726" s="339" t="str">
        <x:v>Exam Result Analysis</x:v>
      </x:c>
      <x:c r="E726" s="339" t="str">
        <x:v>Stale/concurrent data</x:v>
      </x:c>
      <x:c r="F726" s="339" t="str">
        <x:v>Detect version/state mismatch before destructive update; require refresh/review.</x:v>
      </x:c>
      <x:c r="G726" s="339" t="str">
        <x:v>This record changed since you opened it. Refresh before saving.</x:v>
      </x:c>
      <x:c r="H726" s="339" t="str">
        <x:v>Reload the latest data and reapply the intended change.</x:v>
      </x:c>
      <x:c r="I726" s="339" t="str">
        <x:v>Record conflict if it affected a high-risk workflow.</x:v>
      </x:c>
    </x:row>
    <x:row r="727">
      <x:c r="A727" s="339" t="str">
        <x:v>EXC-00726</x:v>
      </x:c>
      <x:c r="B727" s="339" t="str">
        <x:v>SCR-273</x:v>
      </x:c>
      <x:c r="C727" s="339" t="str">
        <x:v>Reports &amp; Analytics</x:v>
      </x:c>
      <x:c r="D727" s="339" t="str">
        <x:v>Fee Collection Report</x:v>
      </x:c>
      <x:c r="E727" s="339" t="str">
        <x:v>Unauthorized or out-of-scope record</x:v>
      </x:c>
      <x:c r="F727" s="339" t="str">
        <x:v>Deny access/action; do not reveal existence beyond safe messaging.</x:v>
      </x:c>
      <x:c r="G727" s="339" t="str">
        <x:v>You do not have access to this record.</x:v>
      </x:c>
      <x:c r="H727" s="339" t="str">
        <x:v>Re-authenticate or contact an administrator if access is expected.</x:v>
      </x:c>
      <x:c r="I727" s="339" t="str">
        <x:v>Log security-relevant denial where appropriate.</x:v>
      </x:c>
    </x:row>
    <x:row r="728">
      <x:c r="A728" s="339" t="str">
        <x:v>EXC-00727</x:v>
      </x:c>
      <x:c r="B728" s="339" t="str">
        <x:v>SCR-273</x:v>
      </x:c>
      <x:c r="C728" s="339" t="str">
        <x:v>Reports &amp; Analytics</x:v>
      </x:c>
      <x:c r="D728" s="339" t="str">
        <x:v>Fee Collection Report</x:v>
      </x:c>
      <x:c r="E728" s="339" t="str">
        <x:v>Stale/concurrent data</x:v>
      </x:c>
      <x:c r="F728" s="339" t="str">
        <x:v>Detect version/state mismatch before destructive update; require refresh/review.</x:v>
      </x:c>
      <x:c r="G728" s="339" t="str">
        <x:v>This record changed since you opened it. Refresh before saving.</x:v>
      </x:c>
      <x:c r="H728" s="339" t="str">
        <x:v>Reload the latest data and reapply the intended change.</x:v>
      </x:c>
      <x:c r="I728" s="339" t="str">
        <x:v>Record conflict if it affected a high-risk workflow.</x:v>
      </x:c>
    </x:row>
    <x:row r="729">
      <x:c r="A729" s="339" t="str">
        <x:v>EXC-00728</x:v>
      </x:c>
      <x:c r="B729" s="339" t="str">
        <x:v>SCR-273</x:v>
      </x:c>
      <x:c r="C729" s="339" t="str">
        <x:v>Reports &amp; Analytics</x:v>
      </x:c>
      <x:c r="D729" s="339" t="str">
        <x:v>Fee Collection Report</x:v>
      </x:c>
      <x:c r="E729" s="339" t="str">
        <x:v>Downstream dependency failure</x:v>
      </x:c>
      <x:c r="F729" s="339" t="str">
        <x:v>Rollback or keep a recoverable pending state; never claim success for an incomplete critical transaction.</x:v>
      </x:c>
      <x:c r="G729" s="339" t="str">
        <x:v>The action could not be completed. No final change was applied.</x:v>
      </x:c>
      <x:c r="H729" s="339" t="str">
        <x:v>Retry safely or route to manual resolution queue.</x:v>
      </x:c>
      <x:c r="I729" s="339" t="str">
        <x:v>Capture correlation/error ID and failed step.</x:v>
      </x:c>
    </x:row>
    <x:row r="730">
      <x:c r="A730" s="339" t="str">
        <x:v>EXC-00729</x:v>
      </x:c>
      <x:c r="B730" s="339" t="str">
        <x:v>SCR-274</x:v>
      </x:c>
      <x:c r="C730" s="339" t="str">
        <x:v>Reports &amp; Analytics</x:v>
      </x:c>
      <x:c r="D730" s="339" t="str">
        <x:v>Outstanding Dues Report</x:v>
      </x:c>
      <x:c r="E730" s="339" t="str">
        <x:v>Unauthorized or out-of-scope record</x:v>
      </x:c>
      <x:c r="F730" s="339" t="str">
        <x:v>Deny access/action; do not reveal existence beyond safe messaging.</x:v>
      </x:c>
      <x:c r="G730" s="339" t="str">
        <x:v>You do not have access to this record.</x:v>
      </x:c>
      <x:c r="H730" s="339" t="str">
        <x:v>Re-authenticate or contact an administrator if access is expected.</x:v>
      </x:c>
      <x:c r="I730" s="339" t="str">
        <x:v>Log security-relevant denial where appropriate.</x:v>
      </x:c>
    </x:row>
    <x:row r="731">
      <x:c r="A731" s="339" t="str">
        <x:v>EXC-00730</x:v>
      </x:c>
      <x:c r="B731" s="339" t="str">
        <x:v>SCR-274</x:v>
      </x:c>
      <x:c r="C731" s="339" t="str">
        <x:v>Reports &amp; Analytics</x:v>
      </x:c>
      <x:c r="D731" s="339" t="str">
        <x:v>Outstanding Dues Report</x:v>
      </x:c>
      <x:c r="E731" s="339" t="str">
        <x:v>Stale/concurrent data</x:v>
      </x:c>
      <x:c r="F731" s="339" t="str">
        <x:v>Detect version/state mismatch before destructive update; require refresh/review.</x:v>
      </x:c>
      <x:c r="G731" s="339" t="str">
        <x:v>This record changed since you opened it. Refresh before saving.</x:v>
      </x:c>
      <x:c r="H731" s="339" t="str">
        <x:v>Reload the latest data and reapply the intended change.</x:v>
      </x:c>
      <x:c r="I731" s="339" t="str">
        <x:v>Record conflict if it affected a high-risk workflow.</x:v>
      </x:c>
    </x:row>
    <x:row r="732">
      <x:c r="A732" s="339" t="str">
        <x:v>EXC-00731</x:v>
      </x:c>
      <x:c r="B732" s="339" t="str">
        <x:v>SCR-275</x:v>
      </x:c>
      <x:c r="C732" s="339" t="str">
        <x:v>Reports &amp; Analytics</x:v>
      </x:c>
      <x:c r="D732" s="339" t="str">
        <x:v>Finance Summary</x:v>
      </x:c>
      <x:c r="E732" s="339" t="str">
        <x:v>Unauthorized or out-of-scope record</x:v>
      </x:c>
      <x:c r="F732" s="339" t="str">
        <x:v>Deny access/action; do not reveal existence beyond safe messaging.</x:v>
      </x:c>
      <x:c r="G732" s="339" t="str">
        <x:v>You do not have access to this record.</x:v>
      </x:c>
      <x:c r="H732" s="339" t="str">
        <x:v>Re-authenticate or contact an administrator if access is expected.</x:v>
      </x:c>
      <x:c r="I732" s="339" t="str">
        <x:v>Log security-relevant denial where appropriate.</x:v>
      </x:c>
    </x:row>
    <x:row r="733">
      <x:c r="A733" s="339" t="str">
        <x:v>EXC-00732</x:v>
      </x:c>
      <x:c r="B733" s="339" t="str">
        <x:v>SCR-275</x:v>
      </x:c>
      <x:c r="C733" s="339" t="str">
        <x:v>Reports &amp; Analytics</x:v>
      </x:c>
      <x:c r="D733" s="339" t="str">
        <x:v>Finance Summary</x:v>
      </x:c>
      <x:c r="E733" s="339" t="str">
        <x:v>Stale/concurrent data</x:v>
      </x:c>
      <x:c r="F733" s="339" t="str">
        <x:v>Detect version/state mismatch before destructive update; require refresh/review.</x:v>
      </x:c>
      <x:c r="G733" s="339" t="str">
        <x:v>This record changed since you opened it. Refresh before saving.</x:v>
      </x:c>
      <x:c r="H733" s="339" t="str">
        <x:v>Reload the latest data and reapply the intended change.</x:v>
      </x:c>
      <x:c r="I733" s="339" t="str">
        <x:v>Record conflict if it affected a high-risk workflow.</x:v>
      </x:c>
    </x:row>
    <x:row r="734">
      <x:c r="A734" s="339" t="str">
        <x:v>EXC-00733</x:v>
      </x:c>
      <x:c r="B734" s="339" t="str">
        <x:v>SCR-276</x:v>
      </x:c>
      <x:c r="C734" s="339" t="str">
        <x:v>Reports &amp; Analytics</x:v>
      </x:c>
      <x:c r="D734" s="339" t="str">
        <x:v>Staff Attendance Report</x:v>
      </x:c>
      <x:c r="E734" s="339" t="str">
        <x:v>Unauthorized or out-of-scope record</x:v>
      </x:c>
      <x:c r="F734" s="339" t="str">
        <x:v>Deny access/action; do not reveal existence beyond safe messaging.</x:v>
      </x:c>
      <x:c r="G734" s="339" t="str">
        <x:v>You do not have access to this record.</x:v>
      </x:c>
      <x:c r="H734" s="339" t="str">
        <x:v>Re-authenticate or contact an administrator if access is expected.</x:v>
      </x:c>
      <x:c r="I734" s="339" t="str">
        <x:v>Log security-relevant denial where appropriate.</x:v>
      </x:c>
    </x:row>
    <x:row r="735">
      <x:c r="A735" s="339" t="str">
        <x:v>EXC-00734</x:v>
      </x:c>
      <x:c r="B735" s="339" t="str">
        <x:v>SCR-276</x:v>
      </x:c>
      <x:c r="C735" s="339" t="str">
        <x:v>Reports &amp; Analytics</x:v>
      </x:c>
      <x:c r="D735" s="339" t="str">
        <x:v>Staff Attendance Report</x:v>
      </x:c>
      <x:c r="E735" s="339" t="str">
        <x:v>Stale/concurrent data</x:v>
      </x:c>
      <x:c r="F735" s="339" t="str">
        <x:v>Detect version/state mismatch before destructive update; require refresh/review.</x:v>
      </x:c>
      <x:c r="G735" s="339" t="str">
        <x:v>This record changed since you opened it. Refresh before saving.</x:v>
      </x:c>
      <x:c r="H735" s="339" t="str">
        <x:v>Reload the latest data and reapply the intended change.</x:v>
      </x:c>
      <x:c r="I735" s="339" t="str">
        <x:v>Record conflict if it affected a high-risk workflow.</x:v>
      </x:c>
    </x:row>
    <x:row r="736">
      <x:c r="A736" s="339" t="str">
        <x:v>EXC-00735</x:v>
      </x:c>
      <x:c r="B736" s="339" t="str">
        <x:v>SCR-277</x:v>
      </x:c>
      <x:c r="C736" s="339" t="str">
        <x:v>Reports &amp; Analytics</x:v>
      </x:c>
      <x:c r="D736" s="339" t="str">
        <x:v>Payroll Summary</x:v>
      </x:c>
      <x:c r="E736" s="339" t="str">
        <x:v>Unauthorized or out-of-scope record</x:v>
      </x:c>
      <x:c r="F736" s="339" t="str">
        <x:v>Deny access/action; do not reveal existence beyond safe messaging.</x:v>
      </x:c>
      <x:c r="G736" s="339" t="str">
        <x:v>You do not have access to this record.</x:v>
      </x:c>
      <x:c r="H736" s="339" t="str">
        <x:v>Re-authenticate or contact an administrator if access is expected.</x:v>
      </x:c>
      <x:c r="I736" s="339" t="str">
        <x:v>Log security-relevant denial where appropriate.</x:v>
      </x:c>
    </x:row>
    <x:row r="737">
      <x:c r="A737" s="339" t="str">
        <x:v>EXC-00736</x:v>
      </x:c>
      <x:c r="B737" s="339" t="str">
        <x:v>SCR-277</x:v>
      </x:c>
      <x:c r="C737" s="339" t="str">
        <x:v>Reports &amp; Analytics</x:v>
      </x:c>
      <x:c r="D737" s="339" t="str">
        <x:v>Payroll Summary</x:v>
      </x:c>
      <x:c r="E737" s="339" t="str">
        <x:v>Stale/concurrent data</x:v>
      </x:c>
      <x:c r="F737" s="339" t="str">
        <x:v>Detect version/state mismatch before destructive update; require refresh/review.</x:v>
      </x:c>
      <x:c r="G737" s="339" t="str">
        <x:v>This record changed since you opened it. Refresh before saving.</x:v>
      </x:c>
      <x:c r="H737" s="339" t="str">
        <x:v>Reload the latest data and reapply the intended change.</x:v>
      </x:c>
      <x:c r="I737" s="339" t="str">
        <x:v>Record conflict if it affected a high-risk workflow.</x:v>
      </x:c>
    </x:row>
    <x:row r="738">
      <x:c r="A738" s="339" t="str">
        <x:v>EXC-00737</x:v>
      </x:c>
      <x:c r="B738" s="339" t="str">
        <x:v>SCR-278</x:v>
      </x:c>
      <x:c r="C738" s="339" t="str">
        <x:v>Reports &amp; Analytics</x:v>
      </x:c>
      <x:c r="D738" s="339" t="str">
        <x:v>Teacher Performance</x:v>
      </x:c>
      <x:c r="E738" s="339" t="str">
        <x:v>Unauthorized or out-of-scope record</x:v>
      </x:c>
      <x:c r="F738" s="339" t="str">
        <x:v>Deny access/action; do not reveal existence beyond safe messaging.</x:v>
      </x:c>
      <x:c r="G738" s="339" t="str">
        <x:v>You do not have access to this record.</x:v>
      </x:c>
      <x:c r="H738" s="339" t="str">
        <x:v>Re-authenticate or contact an administrator if access is expected.</x:v>
      </x:c>
      <x:c r="I738" s="339" t="str">
        <x:v>Log security-relevant denial where appropriate.</x:v>
      </x:c>
    </x:row>
    <x:row r="739">
      <x:c r="A739" s="339" t="str">
        <x:v>EXC-00738</x:v>
      </x:c>
      <x:c r="B739" s="339" t="str">
        <x:v>SCR-278</x:v>
      </x:c>
      <x:c r="C739" s="339" t="str">
        <x:v>Reports &amp; Analytics</x:v>
      </x:c>
      <x:c r="D739" s="339" t="str">
        <x:v>Teacher Performance</x:v>
      </x:c>
      <x:c r="E739" s="339" t="str">
        <x:v>Stale/concurrent data</x:v>
      </x:c>
      <x:c r="F739" s="339" t="str">
        <x:v>Detect version/state mismatch before destructive update; require refresh/review.</x:v>
      </x:c>
      <x:c r="G739" s="339" t="str">
        <x:v>This record changed since you opened it. Refresh before saving.</x:v>
      </x:c>
      <x:c r="H739" s="339" t="str">
        <x:v>Reload the latest data and reapply the intended change.</x:v>
      </x:c>
      <x:c r="I739" s="339" t="str">
        <x:v>Record conflict if it affected a high-risk workflow.</x:v>
      </x:c>
    </x:row>
    <x:row r="740">
      <x:c r="A740" s="339" t="str">
        <x:v>EXC-00739</x:v>
      </x:c>
      <x:c r="B740" s="339" t="str">
        <x:v>SCR-278</x:v>
      </x:c>
      <x:c r="C740" s="339" t="str">
        <x:v>Reports &amp; Analytics</x:v>
      </x:c>
      <x:c r="D740" s="339" t="str">
        <x:v>Teacher Performance</x:v>
      </x:c>
      <x:c r="E740" s="339" t="str">
        <x:v>Downstream dependency failure</x:v>
      </x:c>
      <x:c r="F740" s="339" t="str">
        <x:v>Rollback or keep a recoverable pending state; never claim success for an incomplete critical transaction.</x:v>
      </x:c>
      <x:c r="G740" s="339" t="str">
        <x:v>The action could not be completed. No final change was applied.</x:v>
      </x:c>
      <x:c r="H740" s="339" t="str">
        <x:v>Retry safely or route to manual resolution queue.</x:v>
      </x:c>
      <x:c r="I740" s="339" t="str">
        <x:v>Capture correlation/error ID and failed step.</x:v>
      </x:c>
    </x:row>
    <x:row r="741">
      <x:c r="A741" s="339" t="str">
        <x:v>EXC-00740</x:v>
      </x:c>
      <x:c r="B741" s="339" t="str">
        <x:v>SCR-279</x:v>
      </x:c>
      <x:c r="C741" s="339" t="str">
        <x:v>Reports &amp; Analytics</x:v>
      </x:c>
      <x:c r="D741" s="339" t="str">
        <x:v>Transport Utilization</x:v>
      </x:c>
      <x:c r="E741" s="339" t="str">
        <x:v>Unauthorized or out-of-scope record</x:v>
      </x:c>
      <x:c r="F741" s="339" t="str">
        <x:v>Deny access/action; do not reveal existence beyond safe messaging.</x:v>
      </x:c>
      <x:c r="G741" s="339" t="str">
        <x:v>You do not have access to this record.</x:v>
      </x:c>
      <x:c r="H741" s="339" t="str">
        <x:v>Re-authenticate or contact an administrator if access is expected.</x:v>
      </x:c>
      <x:c r="I741" s="339" t="str">
        <x:v>Log security-relevant denial where appropriate.</x:v>
      </x:c>
    </x:row>
    <x:row r="742">
      <x:c r="A742" s="339" t="str">
        <x:v>EXC-00741</x:v>
      </x:c>
      <x:c r="B742" s="339" t="str">
        <x:v>SCR-279</x:v>
      </x:c>
      <x:c r="C742" s="339" t="str">
        <x:v>Reports &amp; Analytics</x:v>
      </x:c>
      <x:c r="D742" s="339" t="str">
        <x:v>Transport Utilization</x:v>
      </x:c>
      <x:c r="E742" s="339" t="str">
        <x:v>Stale/concurrent data</x:v>
      </x:c>
      <x:c r="F742" s="339" t="str">
        <x:v>Detect version/state mismatch before destructive update; require refresh/review.</x:v>
      </x:c>
      <x:c r="G742" s="339" t="str">
        <x:v>This record changed since you opened it. Refresh before saving.</x:v>
      </x:c>
      <x:c r="H742" s="339" t="str">
        <x:v>Reload the latest data and reapply the intended change.</x:v>
      </x:c>
      <x:c r="I742" s="339" t="str">
        <x:v>Record conflict if it affected a high-risk workflow.</x:v>
      </x:c>
    </x:row>
    <x:row r="743">
      <x:c r="A743" s="339" t="str">
        <x:v>EXC-00742</x:v>
      </x:c>
      <x:c r="B743" s="339" t="str">
        <x:v>SCR-280</x:v>
      </x:c>
      <x:c r="C743" s="339" t="str">
        <x:v>Reports &amp; Analytics</x:v>
      </x:c>
      <x:c r="D743" s="339" t="str">
        <x:v>Library Usage</x:v>
      </x:c>
      <x:c r="E743" s="339" t="str">
        <x:v>Unauthorized or out-of-scope record</x:v>
      </x:c>
      <x:c r="F743" s="339" t="str">
        <x:v>Deny access/action; do not reveal existence beyond safe messaging.</x:v>
      </x:c>
      <x:c r="G743" s="339" t="str">
        <x:v>You do not have access to this record.</x:v>
      </x:c>
      <x:c r="H743" s="339" t="str">
        <x:v>Re-authenticate or contact an administrator if access is expected.</x:v>
      </x:c>
      <x:c r="I743" s="339" t="str">
        <x:v>Log security-relevant denial where appropriate.</x:v>
      </x:c>
    </x:row>
    <x:row r="744">
      <x:c r="A744" s="339" t="str">
        <x:v>EXC-00743</x:v>
      </x:c>
      <x:c r="B744" s="339" t="str">
        <x:v>SCR-280</x:v>
      </x:c>
      <x:c r="C744" s="339" t="str">
        <x:v>Reports &amp; Analytics</x:v>
      </x:c>
      <x:c r="D744" s="339" t="str">
        <x:v>Library Usage</x:v>
      </x:c>
      <x:c r="E744" s="339" t="str">
        <x:v>Stale/concurrent data</x:v>
      </x:c>
      <x:c r="F744" s="339" t="str">
        <x:v>Detect version/state mismatch before destructive update; require refresh/review.</x:v>
      </x:c>
      <x:c r="G744" s="339" t="str">
        <x:v>This record changed since you opened it. Refresh before saving.</x:v>
      </x:c>
      <x:c r="H744" s="339" t="str">
        <x:v>Reload the latest data and reapply the intended change.</x:v>
      </x:c>
      <x:c r="I744" s="339" t="str">
        <x:v>Record conflict if it affected a high-risk workflow.</x:v>
      </x:c>
    </x:row>
    <x:row r="745">
      <x:c r="A745" s="339" t="str">
        <x:v>EXC-00744</x:v>
      </x:c>
      <x:c r="B745" s="339" t="str">
        <x:v>SCR-281</x:v>
      </x:c>
      <x:c r="C745" s="339" t="str">
        <x:v>Reports &amp; Analytics</x:v>
      </x:c>
      <x:c r="D745" s="339" t="str">
        <x:v>Inventory &amp; Asset Report</x:v>
      </x:c>
      <x:c r="E745" s="339" t="str">
        <x:v>Unauthorized or out-of-scope record</x:v>
      </x:c>
      <x:c r="F745" s="339" t="str">
        <x:v>Deny access/action; do not reveal existence beyond safe messaging.</x:v>
      </x:c>
      <x:c r="G745" s="339" t="str">
        <x:v>You do not have access to this record.</x:v>
      </x:c>
      <x:c r="H745" s="339" t="str">
        <x:v>Re-authenticate or contact an administrator if access is expected.</x:v>
      </x:c>
      <x:c r="I745" s="339" t="str">
        <x:v>Log security-relevant denial where appropriate.</x:v>
      </x:c>
    </x:row>
    <x:row r="746">
      <x:c r="A746" s="339" t="str">
        <x:v>EXC-00745</x:v>
      </x:c>
      <x:c r="B746" s="339" t="str">
        <x:v>SCR-281</x:v>
      </x:c>
      <x:c r="C746" s="339" t="str">
        <x:v>Reports &amp; Analytics</x:v>
      </x:c>
      <x:c r="D746" s="339" t="str">
        <x:v>Inventory &amp; Asset Report</x:v>
      </x:c>
      <x:c r="E746" s="339" t="str">
        <x:v>Stale/concurrent data</x:v>
      </x:c>
      <x:c r="F746" s="339" t="str">
        <x:v>Detect version/state mismatch before destructive update; require refresh/review.</x:v>
      </x:c>
      <x:c r="G746" s="339" t="str">
        <x:v>This record changed since you opened it. Refresh before saving.</x:v>
      </x:c>
      <x:c r="H746" s="339" t="str">
        <x:v>Reload the latest data and reapply the intended change.</x:v>
      </x:c>
      <x:c r="I746" s="339" t="str">
        <x:v>Record conflict if it affected a high-risk workflow.</x:v>
      </x:c>
    </x:row>
    <x:row r="747">
      <x:c r="A747" s="339" t="str">
        <x:v>EXC-00746</x:v>
      </x:c>
      <x:c r="B747" s="339" t="str">
        <x:v>SCR-282</x:v>
      </x:c>
      <x:c r="C747" s="339" t="str">
        <x:v>Reports &amp; Analytics</x:v>
      </x:c>
      <x:c r="D747" s="339" t="str">
        <x:v>Communication / Notification Report</x:v>
      </x:c>
      <x:c r="E747" s="339" t="str">
        <x:v>Unauthorized or out-of-scope record</x:v>
      </x:c>
      <x:c r="F747" s="339" t="str">
        <x:v>Deny access/action; do not reveal existence beyond safe messaging.</x:v>
      </x:c>
      <x:c r="G747" s="339" t="str">
        <x:v>You do not have access to this record.</x:v>
      </x:c>
      <x:c r="H747" s="339" t="str">
        <x:v>Re-authenticate or contact an administrator if access is expected.</x:v>
      </x:c>
      <x:c r="I747" s="339" t="str">
        <x:v>Log security-relevant denial where appropriate.</x:v>
      </x:c>
    </x:row>
    <x:row r="748">
      <x:c r="A748" s="339" t="str">
        <x:v>EXC-00747</x:v>
      </x:c>
      <x:c r="B748" s="339" t="str">
        <x:v>SCR-282</x:v>
      </x:c>
      <x:c r="C748" s="339" t="str">
        <x:v>Reports &amp; Analytics</x:v>
      </x:c>
      <x:c r="D748" s="339" t="str">
        <x:v>Communication / Notification Report</x:v>
      </x:c>
      <x:c r="E748" s="339" t="str">
        <x:v>Stale/concurrent data</x:v>
      </x:c>
      <x:c r="F748" s="339" t="str">
        <x:v>Detect version/state mismatch before destructive update; require refresh/review.</x:v>
      </x:c>
      <x:c r="G748" s="339" t="str">
        <x:v>This record changed since you opened it. Refresh before saving.</x:v>
      </x:c>
      <x:c r="H748" s="339" t="str">
        <x:v>Reload the latest data and reapply the intended change.</x:v>
      </x:c>
      <x:c r="I748" s="339" t="str">
        <x:v>Record conflict if it affected a high-risk workflow.</x:v>
      </x:c>
    </x:row>
    <x:row r="749">
      <x:c r="A749" s="339" t="str">
        <x:v>EXC-00748</x:v>
      </x:c>
      <x:c r="B749" s="339" t="str">
        <x:v>SCR-283</x:v>
      </x:c>
      <x:c r="C749" s="339" t="str">
        <x:v>Reports &amp; Analytics</x:v>
      </x:c>
      <x:c r="D749" s="339" t="str">
        <x:v>Custom Report Builder</x:v>
      </x:c>
      <x:c r="E749" s="339" t="str">
        <x:v>Unauthorized or out-of-scope record</x:v>
      </x:c>
      <x:c r="F749" s="339" t="str">
        <x:v>Deny access/action; do not reveal existence beyond safe messaging.</x:v>
      </x:c>
      <x:c r="G749" s="339" t="str">
        <x:v>You do not have access to this record.</x:v>
      </x:c>
      <x:c r="H749" s="339" t="str">
        <x:v>Re-authenticate or contact an administrator if access is expected.</x:v>
      </x:c>
      <x:c r="I749" s="339" t="str">
        <x:v>Log security-relevant denial where appropriate.</x:v>
      </x:c>
    </x:row>
    <x:row r="750">
      <x:c r="A750" s="339" t="str">
        <x:v>EXC-00749</x:v>
      </x:c>
      <x:c r="B750" s="339" t="str">
        <x:v>SCR-283</x:v>
      </x:c>
      <x:c r="C750" s="339" t="str">
        <x:v>Reports &amp; Analytics</x:v>
      </x:c>
      <x:c r="D750" s="339" t="str">
        <x:v>Custom Report Builder</x:v>
      </x:c>
      <x:c r="E750" s="339" t="str">
        <x:v>Stale/concurrent data</x:v>
      </x:c>
      <x:c r="F750" s="339" t="str">
        <x:v>Detect version/state mismatch before destructive update; require refresh/review.</x:v>
      </x:c>
      <x:c r="G750" s="339" t="str">
        <x:v>This record changed since you opened it. Refresh before saving.</x:v>
      </x:c>
      <x:c r="H750" s="339" t="str">
        <x:v>Reload the latest data and reapply the intended change.</x:v>
      </x:c>
      <x:c r="I750" s="339" t="str">
        <x:v>Record conflict if it affected a high-risk workflow.</x:v>
      </x:c>
    </x:row>
    <x:row r="751">
      <x:c r="A751" s="339" t="str">
        <x:v>EXC-00750</x:v>
      </x:c>
      <x:c r="B751" s="339" t="str">
        <x:v>SCR-284</x:v>
      </x:c>
      <x:c r="C751" s="339" t="str">
        <x:v>Settings / Roles / Permissions / Audit</x:v>
      </x:c>
      <x:c r="D751" s="339" t="str">
        <x:v>User Management</x:v>
      </x:c>
      <x:c r="E751" s="339" t="str">
        <x:v>Unauthorized or out-of-scope record</x:v>
      </x:c>
      <x:c r="F751" s="339" t="str">
        <x:v>Deny access/action; do not reveal existence beyond safe messaging.</x:v>
      </x:c>
      <x:c r="G751" s="339" t="str">
        <x:v>You do not have access to this record.</x:v>
      </x:c>
      <x:c r="H751" s="339" t="str">
        <x:v>Re-authenticate or contact an administrator if access is expected.</x:v>
      </x:c>
      <x:c r="I751" s="339" t="str">
        <x:v>Log security-relevant denial where appropriate.</x:v>
      </x:c>
    </x:row>
    <x:row r="752">
      <x:c r="A752" s="339" t="str">
        <x:v>EXC-00751</x:v>
      </x:c>
      <x:c r="B752" s="339" t="str">
        <x:v>SCR-284</x:v>
      </x:c>
      <x:c r="C752" s="339" t="str">
        <x:v>Settings / Roles / Permissions / Audit</x:v>
      </x:c>
      <x:c r="D752" s="339" t="str">
        <x:v>User Management</x:v>
      </x:c>
      <x:c r="E752" s="339" t="str">
        <x:v>Stale/concurrent data</x:v>
      </x:c>
      <x:c r="F752" s="339" t="str">
        <x:v>Detect version/state mismatch before destructive update; require refresh/review.</x:v>
      </x:c>
      <x:c r="G752" s="339" t="str">
        <x:v>This record changed since you opened it. Refresh before saving.</x:v>
      </x:c>
      <x:c r="H752" s="339" t="str">
        <x:v>Reload the latest data and reapply the intended change.</x:v>
      </x:c>
      <x:c r="I752" s="339" t="str">
        <x:v>Record conflict if it affected a high-risk workflow.</x:v>
      </x:c>
    </x:row>
    <x:row r="753">
      <x:c r="A753" s="339" t="str">
        <x:v>EXC-00752</x:v>
      </x:c>
      <x:c r="B753" s="339" t="str">
        <x:v>SCR-284</x:v>
      </x:c>
      <x:c r="C753" s="339" t="str">
        <x:v>Settings / Roles / Permissions / Audit</x:v>
      </x:c>
      <x:c r="D753" s="339" t="str">
        <x:v>User Management</x:v>
      </x:c>
      <x:c r="E753" s="339" t="str">
        <x:v>Downstream dependency failure</x:v>
      </x:c>
      <x:c r="F753" s="339" t="str">
        <x:v>Rollback or keep a recoverable pending state; never claim success for an incomplete critical transaction.</x:v>
      </x:c>
      <x:c r="G753" s="339" t="str">
        <x:v>The action could not be completed. No final change was applied.</x:v>
      </x:c>
      <x:c r="H753" s="339" t="str">
        <x:v>Retry safely or route to manual resolution queue.</x:v>
      </x:c>
      <x:c r="I753" s="339" t="str">
        <x:v>Capture correlation/error ID and failed step.</x:v>
      </x:c>
    </x:row>
    <x:row r="754">
      <x:c r="A754" s="339" t="str">
        <x:v>EXC-00753</x:v>
      </x:c>
      <x:c r="B754" s="339" t="str">
        <x:v>SCR-285</x:v>
      </x:c>
      <x:c r="C754" s="339" t="str">
        <x:v>Settings / Roles / Permissions / Audit</x:v>
      </x:c>
      <x:c r="D754" s="339" t="str">
        <x:v>Roles</x:v>
      </x:c>
      <x:c r="E754" s="339" t="str">
        <x:v>Unauthorized or out-of-scope record</x:v>
      </x:c>
      <x:c r="F754" s="339" t="str">
        <x:v>Deny access/action; do not reveal existence beyond safe messaging.</x:v>
      </x:c>
      <x:c r="G754" s="339" t="str">
        <x:v>You do not have access to this record.</x:v>
      </x:c>
      <x:c r="H754" s="339" t="str">
        <x:v>Re-authenticate or contact an administrator if access is expected.</x:v>
      </x:c>
      <x:c r="I754" s="339" t="str">
        <x:v>Log security-relevant denial where appropriate.</x:v>
      </x:c>
    </x:row>
    <x:row r="755">
      <x:c r="A755" s="339" t="str">
        <x:v>EXC-00754</x:v>
      </x:c>
      <x:c r="B755" s="339" t="str">
        <x:v>SCR-285</x:v>
      </x:c>
      <x:c r="C755" s="339" t="str">
        <x:v>Settings / Roles / Permissions / Audit</x:v>
      </x:c>
      <x:c r="D755" s="339" t="str">
        <x:v>Roles</x:v>
      </x:c>
      <x:c r="E755" s="339" t="str">
        <x:v>Stale/concurrent data</x:v>
      </x:c>
      <x:c r="F755" s="339" t="str">
        <x:v>Detect version/state mismatch before destructive update; require refresh/review.</x:v>
      </x:c>
      <x:c r="G755" s="339" t="str">
        <x:v>This record changed since you opened it. Refresh before saving.</x:v>
      </x:c>
      <x:c r="H755" s="339" t="str">
        <x:v>Reload the latest data and reapply the intended change.</x:v>
      </x:c>
      <x:c r="I755" s="339" t="str">
        <x:v>Record conflict if it affected a high-risk workflow.</x:v>
      </x:c>
    </x:row>
    <x:row r="756">
      <x:c r="A756" s="339" t="str">
        <x:v>EXC-00755</x:v>
      </x:c>
      <x:c r="B756" s="339" t="str">
        <x:v>SCR-286</x:v>
      </x:c>
      <x:c r="C756" s="339" t="str">
        <x:v>Settings / Roles / Permissions / Audit</x:v>
      </x:c>
      <x:c r="D756" s="339" t="str">
        <x:v>Permissions</x:v>
      </x:c>
      <x:c r="E756" s="339" t="str">
        <x:v>Unauthorized or out-of-scope record</x:v>
      </x:c>
      <x:c r="F756" s="339" t="str">
        <x:v>Deny access/action; do not reveal existence beyond safe messaging.</x:v>
      </x:c>
      <x:c r="G756" s="339" t="str">
        <x:v>You do not have access to this record.</x:v>
      </x:c>
      <x:c r="H756" s="339" t="str">
        <x:v>Re-authenticate or contact an administrator if access is expected.</x:v>
      </x:c>
      <x:c r="I756" s="339" t="str">
        <x:v>Log security-relevant denial where appropriate.</x:v>
      </x:c>
    </x:row>
    <x:row r="757">
      <x:c r="A757" s="339" t="str">
        <x:v>EXC-00756</x:v>
      </x:c>
      <x:c r="B757" s="339" t="str">
        <x:v>SCR-286</x:v>
      </x:c>
      <x:c r="C757" s="339" t="str">
        <x:v>Settings / Roles / Permissions / Audit</x:v>
      </x:c>
      <x:c r="D757" s="339" t="str">
        <x:v>Permissions</x:v>
      </x:c>
      <x:c r="E757" s="339" t="str">
        <x:v>Stale/concurrent data</x:v>
      </x:c>
      <x:c r="F757" s="339" t="str">
        <x:v>Detect version/state mismatch before destructive update; require refresh/review.</x:v>
      </x:c>
      <x:c r="G757" s="339" t="str">
        <x:v>This record changed since you opened it. Refresh before saving.</x:v>
      </x:c>
      <x:c r="H757" s="339" t="str">
        <x:v>Reload the latest data and reapply the intended change.</x:v>
      </x:c>
      <x:c r="I757" s="339" t="str">
        <x:v>Record conflict if it affected a high-risk workflow.</x:v>
      </x:c>
    </x:row>
    <x:row r="758">
      <x:c r="A758" s="339" t="str">
        <x:v>EXC-00757</x:v>
      </x:c>
      <x:c r="B758" s="339" t="str">
        <x:v>SCR-287</x:v>
      </x:c>
      <x:c r="C758" s="339" t="str">
        <x:v>Settings / Roles / Permissions / Audit</x:v>
      </x:c>
      <x:c r="D758" s="339" t="str">
        <x:v>Role Permission Matrix</x:v>
      </x:c>
      <x:c r="E758" s="339" t="str">
        <x:v>Unauthorized or out-of-scope record</x:v>
      </x:c>
      <x:c r="F758" s="339" t="str">
        <x:v>Deny access/action; do not reveal existence beyond safe messaging.</x:v>
      </x:c>
      <x:c r="G758" s="339" t="str">
        <x:v>You do not have access to this record.</x:v>
      </x:c>
      <x:c r="H758" s="339" t="str">
        <x:v>Re-authenticate or contact an administrator if access is expected.</x:v>
      </x:c>
      <x:c r="I758" s="339" t="str">
        <x:v>Log security-relevant denial where appropriate.</x:v>
      </x:c>
    </x:row>
    <x:row r="759">
      <x:c r="A759" s="339" t="str">
        <x:v>EXC-00758</x:v>
      </x:c>
      <x:c r="B759" s="339" t="str">
        <x:v>SCR-287</x:v>
      </x:c>
      <x:c r="C759" s="339" t="str">
        <x:v>Settings / Roles / Permissions / Audit</x:v>
      </x:c>
      <x:c r="D759" s="339" t="str">
        <x:v>Role Permission Matrix</x:v>
      </x:c>
      <x:c r="E759" s="339" t="str">
        <x:v>Stale/concurrent data</x:v>
      </x:c>
      <x:c r="F759" s="339" t="str">
        <x:v>Detect version/state mismatch before destructive update; require refresh/review.</x:v>
      </x:c>
      <x:c r="G759" s="339" t="str">
        <x:v>This record changed since you opened it. Refresh before saving.</x:v>
      </x:c>
      <x:c r="H759" s="339" t="str">
        <x:v>Reload the latest data and reapply the intended change.</x:v>
      </x:c>
      <x:c r="I759" s="339" t="str">
        <x:v>Record conflict if it affected a high-risk workflow.</x:v>
      </x:c>
    </x:row>
    <x:row r="760">
      <x:c r="A760" s="339" t="str">
        <x:v>EXC-00759</x:v>
      </x:c>
      <x:c r="B760" s="339" t="str">
        <x:v>SCR-287</x:v>
      </x:c>
      <x:c r="C760" s="339" t="str">
        <x:v>Settings / Roles / Permissions / Audit</x:v>
      </x:c>
      <x:c r="D760" s="339" t="str">
        <x:v>Role Permission Matrix</x:v>
      </x:c>
      <x:c r="E760" s="339" t="str">
        <x:v>Downstream dependency failure</x:v>
      </x:c>
      <x:c r="F760" s="339" t="str">
        <x:v>Rollback or keep a recoverable pending state; never claim success for an incomplete critical transaction.</x:v>
      </x:c>
      <x:c r="G760" s="339" t="str">
        <x:v>The action could not be completed. No final change was applied.</x:v>
      </x:c>
      <x:c r="H760" s="339" t="str">
        <x:v>Retry safely or route to manual resolution queue.</x:v>
      </x:c>
      <x:c r="I760" s="339" t="str">
        <x:v>Capture correlation/error ID and failed step.</x:v>
      </x:c>
    </x:row>
    <x:row r="761">
      <x:c r="A761" s="339" t="str">
        <x:v>EXC-00760</x:v>
      </x:c>
      <x:c r="B761" s="339" t="str">
        <x:v>SCR-288</x:v>
      </x:c>
      <x:c r="C761" s="339" t="str">
        <x:v>Settings / Roles / Permissions / Audit</x:v>
      </x:c>
      <x:c r="D761" s="339" t="str">
        <x:v>User Role Assignment</x:v>
      </x:c>
      <x:c r="E761" s="339" t="str">
        <x:v>Unauthorized or out-of-scope record</x:v>
      </x:c>
      <x:c r="F761" s="339" t="str">
        <x:v>Deny access/action; do not reveal existence beyond safe messaging.</x:v>
      </x:c>
      <x:c r="G761" s="339" t="str">
        <x:v>You do not have access to this record.</x:v>
      </x:c>
      <x:c r="H761" s="339" t="str">
        <x:v>Re-authenticate or contact an administrator if access is expected.</x:v>
      </x:c>
      <x:c r="I761" s="339" t="str">
        <x:v>Log security-relevant denial where appropriate.</x:v>
      </x:c>
    </x:row>
    <x:row r="762">
      <x:c r="A762" s="339" t="str">
        <x:v>EXC-00761</x:v>
      </x:c>
      <x:c r="B762" s="339" t="str">
        <x:v>SCR-288</x:v>
      </x:c>
      <x:c r="C762" s="339" t="str">
        <x:v>Settings / Roles / Permissions / Audit</x:v>
      </x:c>
      <x:c r="D762" s="339" t="str">
        <x:v>User Role Assignment</x:v>
      </x:c>
      <x:c r="E762" s="339" t="str">
        <x:v>Stale/concurrent data</x:v>
      </x:c>
      <x:c r="F762" s="339" t="str">
        <x:v>Detect version/state mismatch before destructive update; require refresh/review.</x:v>
      </x:c>
      <x:c r="G762" s="339" t="str">
        <x:v>This record changed since you opened it. Refresh before saving.</x:v>
      </x:c>
      <x:c r="H762" s="339" t="str">
        <x:v>Reload the latest data and reapply the intended change.</x:v>
      </x:c>
      <x:c r="I762" s="339" t="str">
        <x:v>Record conflict if it affected a high-risk workflow.</x:v>
      </x:c>
    </x:row>
    <x:row r="763">
      <x:c r="A763" s="339" t="str">
        <x:v>EXC-00762</x:v>
      </x:c>
      <x:c r="B763" s="339" t="str">
        <x:v>SCR-288</x:v>
      </x:c>
      <x:c r="C763" s="339" t="str">
        <x:v>Settings / Roles / Permissions / Audit</x:v>
      </x:c>
      <x:c r="D763" s="339" t="str">
        <x:v>User Role Assignment</x:v>
      </x:c>
      <x:c r="E763" s="339" t="str">
        <x:v>Downstream dependency failure</x:v>
      </x:c>
      <x:c r="F763" s="339" t="str">
        <x:v>Rollback or keep a recoverable pending state; never claim success for an incomplete critical transaction.</x:v>
      </x:c>
      <x:c r="G763" s="339" t="str">
        <x:v>The action could not be completed. No final change was applied.</x:v>
      </x:c>
      <x:c r="H763" s="339" t="str">
        <x:v>Retry safely or route to manual resolution queue.</x:v>
      </x:c>
      <x:c r="I763" s="339" t="str">
        <x:v>Capture correlation/error ID and failed step.</x:v>
      </x:c>
    </x:row>
    <x:row r="764">
      <x:c r="A764" s="339" t="str">
        <x:v>EXC-00763</x:v>
      </x:c>
      <x:c r="B764" s="339" t="str">
        <x:v>SCR-289</x:v>
      </x:c>
      <x:c r="C764" s="339" t="str">
        <x:v>Settings / Roles / Permissions / Audit</x:v>
      </x:c>
      <x:c r="D764" s="339" t="str">
        <x:v>School Settings</x:v>
      </x:c>
      <x:c r="E764" s="339" t="str">
        <x:v>Unauthorized or out-of-scope record</x:v>
      </x:c>
      <x:c r="F764" s="339" t="str">
        <x:v>Deny access/action; do not reveal existence beyond safe messaging.</x:v>
      </x:c>
      <x:c r="G764" s="339" t="str">
        <x:v>You do not have access to this record.</x:v>
      </x:c>
      <x:c r="H764" s="339" t="str">
        <x:v>Re-authenticate or contact an administrator if access is expected.</x:v>
      </x:c>
      <x:c r="I764" s="339" t="str">
        <x:v>Log security-relevant denial where appropriate.</x:v>
      </x:c>
    </x:row>
    <x:row r="765">
      <x:c r="A765" s="339" t="str">
        <x:v>EXC-00764</x:v>
      </x:c>
      <x:c r="B765" s="339" t="str">
        <x:v>SCR-289</x:v>
      </x:c>
      <x:c r="C765" s="339" t="str">
        <x:v>Settings / Roles / Permissions / Audit</x:v>
      </x:c>
      <x:c r="D765" s="339" t="str">
        <x:v>School Settings</x:v>
      </x:c>
      <x:c r="E765" s="339" t="str">
        <x:v>Stale/concurrent data</x:v>
      </x:c>
      <x:c r="F765" s="339" t="str">
        <x:v>Detect version/state mismatch before destructive update; require refresh/review.</x:v>
      </x:c>
      <x:c r="G765" s="339" t="str">
        <x:v>This record changed since you opened it. Refresh before saving.</x:v>
      </x:c>
      <x:c r="H765" s="339" t="str">
        <x:v>Reload the latest data and reapply the intended change.</x:v>
      </x:c>
      <x:c r="I765" s="339" t="str">
        <x:v>Record conflict if it affected a high-risk workflow.</x:v>
      </x:c>
    </x:row>
    <x:row r="766">
      <x:c r="A766" s="339" t="str">
        <x:v>EXC-00765</x:v>
      </x:c>
      <x:c r="B766" s="339" t="str">
        <x:v>SCR-290</x:v>
      </x:c>
      <x:c r="C766" s="339" t="str">
        <x:v>Settings / Roles / Permissions / Audit</x:v>
      </x:c>
      <x:c r="D766" s="339" t="str">
        <x:v>Academic Settings</x:v>
      </x:c>
      <x:c r="E766" s="339" t="str">
        <x:v>Unauthorized or out-of-scope record</x:v>
      </x:c>
      <x:c r="F766" s="339" t="str">
        <x:v>Deny access/action; do not reveal existence beyond safe messaging.</x:v>
      </x:c>
      <x:c r="G766" s="339" t="str">
        <x:v>You do not have access to this record.</x:v>
      </x:c>
      <x:c r="H766" s="339" t="str">
        <x:v>Re-authenticate or contact an administrator if access is expected.</x:v>
      </x:c>
      <x:c r="I766" s="339" t="str">
        <x:v>Log security-relevant denial where appropriate.</x:v>
      </x:c>
    </x:row>
    <x:row r="767">
      <x:c r="A767" s="339" t="str">
        <x:v>EXC-00766</x:v>
      </x:c>
      <x:c r="B767" s="339" t="str">
        <x:v>SCR-290</x:v>
      </x:c>
      <x:c r="C767" s="339" t="str">
        <x:v>Settings / Roles / Permissions / Audit</x:v>
      </x:c>
      <x:c r="D767" s="339" t="str">
        <x:v>Academic Settings</x:v>
      </x:c>
      <x:c r="E767" s="339" t="str">
        <x:v>Stale/concurrent data</x:v>
      </x:c>
      <x:c r="F767" s="339" t="str">
        <x:v>Detect version/state mismatch before destructive update; require refresh/review.</x:v>
      </x:c>
      <x:c r="G767" s="339" t="str">
        <x:v>This record changed since you opened it. Refresh before saving.</x:v>
      </x:c>
      <x:c r="H767" s="339" t="str">
        <x:v>Reload the latest data and reapply the intended change.</x:v>
      </x:c>
      <x:c r="I767" s="339" t="str">
        <x:v>Record conflict if it affected a high-risk workflow.</x:v>
      </x:c>
    </x:row>
    <x:row r="768">
      <x:c r="A768" s="339" t="str">
        <x:v>EXC-00767</x:v>
      </x:c>
      <x:c r="B768" s="339" t="str">
        <x:v>SCR-291</x:v>
      </x:c>
      <x:c r="C768" s="339" t="str">
        <x:v>Settings / Roles / Permissions / Audit</x:v>
      </x:c>
      <x:c r="D768" s="339" t="str">
        <x:v>Notification Settings</x:v>
      </x:c>
      <x:c r="E768" s="339" t="str">
        <x:v>Unauthorized or out-of-scope record</x:v>
      </x:c>
      <x:c r="F768" s="339" t="str">
        <x:v>Deny access/action; do not reveal existence beyond safe messaging.</x:v>
      </x:c>
      <x:c r="G768" s="339" t="str">
        <x:v>You do not have access to this record.</x:v>
      </x:c>
      <x:c r="H768" s="339" t="str">
        <x:v>Re-authenticate or contact an administrator if access is expected.</x:v>
      </x:c>
      <x:c r="I768" s="339" t="str">
        <x:v>Log security-relevant denial where appropriate.</x:v>
      </x:c>
    </x:row>
    <x:row r="769">
      <x:c r="A769" s="339" t="str">
        <x:v>EXC-00768</x:v>
      </x:c>
      <x:c r="B769" s="339" t="str">
        <x:v>SCR-291</x:v>
      </x:c>
      <x:c r="C769" s="339" t="str">
        <x:v>Settings / Roles / Permissions / Audit</x:v>
      </x:c>
      <x:c r="D769" s="339" t="str">
        <x:v>Notification Settings</x:v>
      </x:c>
      <x:c r="E769" s="339" t="str">
        <x:v>Stale/concurrent data</x:v>
      </x:c>
      <x:c r="F769" s="339" t="str">
        <x:v>Detect version/state mismatch before destructive update; require refresh/review.</x:v>
      </x:c>
      <x:c r="G769" s="339" t="str">
        <x:v>This record changed since you opened it. Refresh before saving.</x:v>
      </x:c>
      <x:c r="H769" s="339" t="str">
        <x:v>Reload the latest data and reapply the intended change.</x:v>
      </x:c>
      <x:c r="I769" s="339" t="str">
        <x:v>Record conflict if it affected a high-risk workflow.</x:v>
      </x:c>
    </x:row>
    <x:row r="770">
      <x:c r="A770" s="339" t="str">
        <x:v>EXC-00769</x:v>
      </x:c>
      <x:c r="B770" s="339" t="str">
        <x:v>SCR-292</x:v>
      </x:c>
      <x:c r="C770" s="339" t="str">
        <x:v>Settings / Roles / Permissions / Audit</x:v>
      </x:c>
      <x:c r="D770" s="339" t="str">
        <x:v>Integration / API Settings</x:v>
      </x:c>
      <x:c r="E770" s="339" t="str">
        <x:v>Unauthorized or out-of-scope record</x:v>
      </x:c>
      <x:c r="F770" s="339" t="str">
        <x:v>Deny access/action; do not reveal existence beyond safe messaging.</x:v>
      </x:c>
      <x:c r="G770" s="339" t="str">
        <x:v>You do not have access to this record.</x:v>
      </x:c>
      <x:c r="H770" s="339" t="str">
        <x:v>Re-authenticate or contact an administrator if access is expected.</x:v>
      </x:c>
      <x:c r="I770" s="339" t="str">
        <x:v>Log security-relevant denial where appropriate.</x:v>
      </x:c>
    </x:row>
    <x:row r="771">
      <x:c r="A771" s="339" t="str">
        <x:v>EXC-00770</x:v>
      </x:c>
      <x:c r="B771" s="339" t="str">
        <x:v>SCR-292</x:v>
      </x:c>
      <x:c r="C771" s="339" t="str">
        <x:v>Settings / Roles / Permissions / Audit</x:v>
      </x:c>
      <x:c r="D771" s="339" t="str">
        <x:v>Integration / API Settings</x:v>
      </x:c>
      <x:c r="E771" s="339" t="str">
        <x:v>Stale/concurrent data</x:v>
      </x:c>
      <x:c r="F771" s="339" t="str">
        <x:v>Detect version/state mismatch before destructive update; require refresh/review.</x:v>
      </x:c>
      <x:c r="G771" s="339" t="str">
        <x:v>This record changed since you opened it. Refresh before saving.</x:v>
      </x:c>
      <x:c r="H771" s="339" t="str">
        <x:v>Reload the latest data and reapply the intended change.</x:v>
      </x:c>
      <x:c r="I771" s="339" t="str">
        <x:v>Record conflict if it affected a high-risk workflow.</x:v>
      </x:c>
    </x:row>
    <x:row r="772">
      <x:c r="A772" s="339" t="str">
        <x:v>EXC-00771</x:v>
      </x:c>
      <x:c r="B772" s="339" t="str">
        <x:v>SCR-293</x:v>
      </x:c>
      <x:c r="C772" s="339" t="str">
        <x:v>Settings / Roles / Permissions / Audit</x:v>
      </x:c>
      <x:c r="D772" s="339" t="str">
        <x:v>Security &amp; Password Policy</x:v>
      </x:c>
      <x:c r="E772" s="339" t="str">
        <x:v>Unauthorized or out-of-scope record</x:v>
      </x:c>
      <x:c r="F772" s="339" t="str">
        <x:v>Deny access/action; do not reveal existence beyond safe messaging.</x:v>
      </x:c>
      <x:c r="G772" s="339" t="str">
        <x:v>You do not have access to this record.</x:v>
      </x:c>
      <x:c r="H772" s="339" t="str">
        <x:v>Re-authenticate or contact an administrator if access is expected.</x:v>
      </x:c>
      <x:c r="I772" s="339" t="str">
        <x:v>Log security-relevant denial where appropriate.</x:v>
      </x:c>
    </x:row>
    <x:row r="773">
      <x:c r="A773" s="339" t="str">
        <x:v>EXC-00772</x:v>
      </x:c>
      <x:c r="B773" s="339" t="str">
        <x:v>SCR-293</x:v>
      </x:c>
      <x:c r="C773" s="339" t="str">
        <x:v>Settings / Roles / Permissions / Audit</x:v>
      </x:c>
      <x:c r="D773" s="339" t="str">
        <x:v>Security &amp; Password Policy</x:v>
      </x:c>
      <x:c r="E773" s="339" t="str">
        <x:v>Stale/concurrent data</x:v>
      </x:c>
      <x:c r="F773" s="339" t="str">
        <x:v>Detect version/state mismatch before destructive update; require refresh/review.</x:v>
      </x:c>
      <x:c r="G773" s="339" t="str">
        <x:v>This record changed since you opened it. Refresh before saving.</x:v>
      </x:c>
      <x:c r="H773" s="339" t="str">
        <x:v>Reload the latest data and reapply the intended change.</x:v>
      </x:c>
      <x:c r="I773" s="339" t="str">
        <x:v>Record conflict if it affected a high-risk workflow.</x:v>
      </x:c>
    </x:row>
    <x:row r="774">
      <x:c r="A774" s="339" t="str">
        <x:v>EXC-00773</x:v>
      </x:c>
      <x:c r="B774" s="339" t="str">
        <x:v>SCR-294</x:v>
      </x:c>
      <x:c r="C774" s="339" t="str">
        <x:v>Settings / Roles / Permissions / Audit</x:v>
      </x:c>
      <x:c r="D774" s="339" t="str">
        <x:v>Audit Logs</x:v>
      </x:c>
      <x:c r="E774" s="339" t="str">
        <x:v>Unauthorized or out-of-scope record</x:v>
      </x:c>
      <x:c r="F774" s="339" t="str">
        <x:v>Deny access/action; do not reveal existence beyond safe messaging.</x:v>
      </x:c>
      <x:c r="G774" s="339" t="str">
        <x:v>You do not have access to this record.</x:v>
      </x:c>
      <x:c r="H774" s="339" t="str">
        <x:v>Re-authenticate or contact an administrator if access is expected.</x:v>
      </x:c>
      <x:c r="I774" s="339" t="str">
        <x:v>Log security-relevant denial where appropriate.</x:v>
      </x:c>
    </x:row>
    <x:row r="775">
      <x:c r="A775" s="339" t="str">
        <x:v>EXC-00774</x:v>
      </x:c>
      <x:c r="B775" s="339" t="str">
        <x:v>SCR-294</x:v>
      </x:c>
      <x:c r="C775" s="339" t="str">
        <x:v>Settings / Roles / Permissions / Audit</x:v>
      </x:c>
      <x:c r="D775" s="339" t="str">
        <x:v>Audit Logs</x:v>
      </x:c>
      <x:c r="E775" s="339" t="str">
        <x:v>Stale/concurrent data</x:v>
      </x:c>
      <x:c r="F775" s="339" t="str">
        <x:v>Detect version/state mismatch before destructive update; require refresh/review.</x:v>
      </x:c>
      <x:c r="G775" s="339" t="str">
        <x:v>This record changed since you opened it. Refresh before saving.</x:v>
      </x:c>
      <x:c r="H775" s="339" t="str">
        <x:v>Reload the latest data and reapply the intended change.</x:v>
      </x:c>
      <x:c r="I775" s="339" t="str">
        <x:v>Record conflict if it affected a high-risk workflow.</x:v>
      </x:c>
    </x:row>
    <x:row r="776">
      <x:c r="A776" s="339" t="str">
        <x:v>EXC-00775</x:v>
      </x:c>
      <x:c r="B776" s="339" t="str">
        <x:v>SCR-294</x:v>
      </x:c>
      <x:c r="C776" s="339" t="str">
        <x:v>Settings / Roles / Permissions / Audit</x:v>
      </x:c>
      <x:c r="D776" s="339" t="str">
        <x:v>Audit Logs</x:v>
      </x:c>
      <x:c r="E776" s="339" t="str">
        <x:v>Downstream dependency failure</x:v>
      </x:c>
      <x:c r="F776" s="339" t="str">
        <x:v>Rollback or keep a recoverable pending state; never claim success for an incomplete critical transaction.</x:v>
      </x:c>
      <x:c r="G776" s="339" t="str">
        <x:v>The action could not be completed. No final change was applied.</x:v>
      </x:c>
      <x:c r="H776" s="339" t="str">
        <x:v>Retry safely or route to manual resolution queue.</x:v>
      </x:c>
      <x:c r="I776" s="339" t="str">
        <x:v>Capture correlation/error ID and failed step.</x:v>
      </x:c>
    </x:row>
    <x:row r="777">
      <x:c r="A777" s="339" t="str">
        <x:v>EXC-00776</x:v>
      </x:c>
      <x:c r="B777" s="339" t="str">
        <x:v>SCR-295</x:v>
      </x:c>
      <x:c r="C777" s="339" t="str">
        <x:v>Settings / Roles / Permissions / Audit</x:v>
      </x:c>
      <x:c r="D777" s="339" t="str">
        <x:v>Data Import / Export / Backup</x:v>
      </x:c>
      <x:c r="E777" s="339" t="str">
        <x:v>Unauthorized or out-of-scope record</x:v>
      </x:c>
      <x:c r="F777" s="339" t="str">
        <x:v>Deny access/action; do not reveal existence beyond safe messaging.</x:v>
      </x:c>
      <x:c r="G777" s="339" t="str">
        <x:v>You do not have access to this record.</x:v>
      </x:c>
      <x:c r="H777" s="339" t="str">
        <x:v>Re-authenticate or contact an administrator if access is expected.</x:v>
      </x:c>
      <x:c r="I777" s="339" t="str">
        <x:v>Log security-relevant denial where appropriate.</x:v>
      </x:c>
    </x:row>
    <x:row r="778">
      <x:c r="A778" s="339" t="str">
        <x:v>EXC-00777</x:v>
      </x:c>
      <x:c r="B778" s="339" t="str">
        <x:v>SCR-295</x:v>
      </x:c>
      <x:c r="C778" s="339" t="str">
        <x:v>Settings / Roles / Permissions / Audit</x:v>
      </x:c>
      <x:c r="D778" s="339" t="str">
        <x:v>Data Import / Export / Backup</x:v>
      </x:c>
      <x:c r="E778" s="339" t="str">
        <x:v>Stale/concurrent data</x:v>
      </x:c>
      <x:c r="F778" s="339" t="str">
        <x:v>Detect version/state mismatch before destructive update; require refresh/review.</x:v>
      </x:c>
      <x:c r="G778" s="339" t="str">
        <x:v>This record changed since you opened it. Refresh before saving.</x:v>
      </x:c>
      <x:c r="H778" s="339" t="str">
        <x:v>Reload the latest data and reapply the intended change.</x:v>
      </x:c>
      <x:c r="I778" s="339" t="str">
        <x:v>Record conflict if it affected a high-risk workflow.</x:v>
      </x:c>
    </x:row>
    <x:row r="779">
      <x:c r="A779" s="340" t="str">
        <x:v>EXC-00778</x:v>
      </x:c>
      <x:c r="B779" s="340" t="str">
        <x:v>SCR-295</x:v>
      </x:c>
      <x:c r="C779" s="340" t="str">
        <x:v>Settings / Roles / Permissions / Audit</x:v>
      </x:c>
      <x:c r="D779" s="340" t="str">
        <x:v>Data Import / Export / Backup</x:v>
      </x:c>
      <x:c r="E779" s="340" t="str">
        <x:v>Downstream dependency failure</x:v>
      </x:c>
      <x:c r="F779" s="340" t="str">
        <x:v>Rollback or keep a recoverable pending state; never claim success for an incomplete critical transaction.</x:v>
      </x:c>
      <x:c r="G779" s="340" t="str">
        <x:v>The action could not be completed. No final change was applied.</x:v>
      </x:c>
      <x:c r="H779" s="340" t="str">
        <x:v>Retry safely or route to manual resolution queue.</x:v>
      </x:c>
      <x:c r="I779" s="340" t="str">
        <x:v>Capture correlation/error ID and failed step.</x:v>
      </x:c>
    </x:row>
  </x:sheetData>
  <x:pageMargins left="0.7" right="0.7" top="0.75" bottom="0.75" header="0.3" footer="0.3"/>
  <x:tableParts count="1">
    <x:tablePart xmlns:r="http://schemas.openxmlformats.org/officeDocument/2006/relationships" r:id="R97b6bf2668ee46e4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1" hidden="0" customWidth="1"/>
    <x:col min="3" max="3" width="28" hidden="0" customWidth="1"/>
    <x:col min="4" max="4" width="28" hidden="0" customWidth="1"/>
    <x:col min="5" max="5" width="34" hidden="0" customWidth="1"/>
    <x:col min="6" max="6" width="54" hidden="0" customWidth="1"/>
    <x:col min="7" max="7" width="20" hidden="0" customWidth="1"/>
    <x:col min="8" max="8" width="64" hidden="0" customWidth="1"/>
    <x:col min="9" max="9" width="52" hidden="0" customWidth="1"/>
    <x:col min="10" max="10" width="36" hidden="0" customWidth="1"/>
    <x:col min="11" max="11" width="58" hidden="0" customWidth="1"/>
    <x:col min="12" max="12" width="52" hidden="0" customWidth="1"/>
  </x:cols>
  <x:sheetData>
    <x:row r="1" ht="30" customHeight="1">
      <x:c r="A1" s="338" t="str">
        <x:v>API ID</x:v>
      </x:c>
      <x:c r="B1" s="338" t="str">
        <x:v>Screen ID</x:v>
      </x:c>
      <x:c r="C1" s="338" t="str">
        <x:v>Module</x:v>
      </x:c>
      <x:c r="D1" s="338" t="str">
        <x:v>Screen Name</x:v>
      </x:c>
      <x:c r="E1" s="338" t="str">
        <x:v>Service</x:v>
      </x:c>
      <x:c r="F1" s="338" t="str">
        <x:v>Suggested Endpoint</x:v>
      </x:c>
      <x:c r="G1" s="338" t="str">
        <x:v>Method</x:v>
      </x:c>
      <x:c r="H1" s="338" t="str">
        <x:v>Request / Command Rules</x:v>
      </x:c>
      <x:c r="I1" s="338" t="str">
        <x:v>Response Rules</x:v>
      </x:c>
      <x:c r="J1" s="338" t="str">
        <x:v>Authorization</x:v>
      </x:c>
      <x:c r="K1" s="338" t="str">
        <x:v>Idempotency / Concurrency</x:v>
      </x:c>
      <x:c r="L1" s="338" t="str">
        <x:v>Events / Side Effects</x:v>
      </x:c>
    </x:row>
    <x:row r="2">
      <x:c r="A2" s="339" t="str">
        <x:v>API-0001</x:v>
      </x:c>
      <x:c r="B2" s="339" t="str">
        <x:v>SCR-001</x:v>
      </x:c>
      <x:c r="C2" s="339" t="str">
        <x:v>Public Website &amp; Authentication</x:v>
      </x:c>
      <x:c r="D2" s="339" t="str">
        <x:v>Landing / Home</x:v>
      </x:c>
      <x:c r="E2" s="339" t="str">
        <x:v>Identity &amp; Session Service</x:v>
      </x:c>
      <x:c r="F2" s="339" t="str">
        <x:v>/api/v1/public-website-authentication/landing-home</x:v>
      </x:c>
      <x:c r="G2" s="339" t="str">
        <x:v>GET + POST/PATCH</x:v>
      </x:c>
      <x:c r="H2" s="339" t="str">
        <x:v>Tenant/school context + screen-specific filters/command payload; validate schema, effective references and request correlation/idempotency key for high-risk writes.</x:v>
      </x:c>
      <x:c r="I2" s="339" t="str">
        <x:v>Return authorized DTO with status/version, validation errors and correlation ID; never expose restricted fields.</x:v>
      </x:c>
      <x:c r="J2" s="339" t="str">
        <x:v>All Users</x:v>
      </x:c>
      <x:c r="K2" s="339" t="str">
        <x:v>Use optimistic concurrency/version checks for updates; idempotency for payments, admissions confirmation, bulk imports and other retry-prone commands.</x:v>
      </x:c>
      <x:c r="L2" s="339" t="str">
        <x:v>Publish domain events after successful commit when downstream modules/notifications depend on the change.</x:v>
      </x:c>
    </x:row>
    <x:row r="3">
      <x:c r="A3" s="339" t="str">
        <x:v>API-0002</x:v>
      </x:c>
      <x:c r="B3" s="339" t="str">
        <x:v>SCR-002</x:v>
      </x:c>
      <x:c r="C3" s="339" t="str">
        <x:v>Public Website &amp; Authentication</x:v>
      </x:c>
      <x:c r="D3" s="339" t="str">
        <x:v>Workspace / Role Selection</x:v>
      </x:c>
      <x:c r="E3" s="339" t="str">
        <x:v>Identity &amp; Session Service</x:v>
      </x:c>
      <x:c r="F3" s="339" t="str">
        <x:v>/api/v1/public-website-authentication/workspace-role-selection</x:v>
      </x:c>
      <x:c r="G3" s="339" t="str">
        <x:v>GET + POST/PATCH</x:v>
      </x:c>
      <x:c r="H3" s="339" t="str">
        <x:v>Tenant/school context + screen-specific filters/command payload; validate schema, effective references and request correlation/idempotency key for high-risk writes.</x:v>
      </x:c>
      <x:c r="I3" s="339" t="str">
        <x:v>Return authorized DTO with status/version, validation errors and correlation ID; never expose restricted fields.</x:v>
      </x:c>
      <x:c r="J3" s="339" t="str">
        <x:v>All Users</x:v>
      </x:c>
      <x:c r="K3" s="339" t="str">
        <x:v>Use optimistic concurrency/version checks for updates; idempotency for payments, admissions confirmation, bulk imports and other retry-prone commands.</x:v>
      </x:c>
      <x:c r="L3" s="339" t="str">
        <x:v>Publish domain events after successful commit when downstream modules/notifications depend on the change.</x:v>
      </x:c>
    </x:row>
    <x:row r="4">
      <x:c r="A4" s="339" t="str">
        <x:v>API-0003</x:v>
      </x:c>
      <x:c r="B4" s="339" t="str">
        <x:v>SCR-003</x:v>
      </x:c>
      <x:c r="C4" s="339" t="str">
        <x:v>Public Website &amp; Authentication</x:v>
      </x:c>
      <x:c r="D4" s="339" t="str">
        <x:v>Sign In</x:v>
      </x:c>
      <x:c r="E4" s="339" t="str">
        <x:v>Identity &amp; Session Service</x:v>
      </x:c>
      <x:c r="F4" s="339" t="str">
        <x:v>/api/v1/public-website-authentication/sign-in</x:v>
      </x:c>
      <x:c r="G4" s="339" t="str">
        <x:v>GET + POST/PATCH</x:v>
      </x:c>
      <x:c r="H4" s="339" t="str">
        <x:v>Tenant/school context + screen-specific filters/command payload; validate schema, effective references and request correlation/idempotency key for high-risk writes.</x:v>
      </x:c>
      <x:c r="I4" s="339" t="str">
        <x:v>Return authorized DTO with status/version, validation errors and correlation ID; never expose restricted fields.</x:v>
      </x:c>
      <x:c r="J4" s="339" t="str">
        <x:v>All Users</x:v>
      </x:c>
      <x:c r="K4" s="339" t="str">
        <x:v>Use optimistic concurrency/version checks for updates; idempotency for payments, admissions confirmation, bulk imports and other retry-prone commands.</x:v>
      </x:c>
      <x:c r="L4" s="339" t="str">
        <x:v>Publish domain events after successful commit when downstream modules/notifications depend on the change.</x:v>
      </x:c>
    </x:row>
    <x:row r="5">
      <x:c r="A5" s="339" t="str">
        <x:v>API-0004</x:v>
      </x:c>
      <x:c r="B5" s="339" t="str">
        <x:v>SCR-004</x:v>
      </x:c>
      <x:c r="C5" s="339" t="str">
        <x:v>Public Website &amp; Authentication</x:v>
      </x:c>
      <x:c r="D5" s="339" t="str">
        <x:v>Forgot Password</x:v>
      </x:c>
      <x:c r="E5" s="339" t="str">
        <x:v>Identity &amp; Session Service</x:v>
      </x:c>
      <x:c r="F5" s="339" t="str">
        <x:v>/api/v1/public-website-authentication/forgot-password</x:v>
      </x:c>
      <x:c r="G5" s="339" t="str">
        <x:v>GET + POST/PATCH</x:v>
      </x:c>
      <x:c r="H5" s="339" t="str">
        <x:v>Tenant/school context + screen-specific filters/command payload; validate schema, effective references and request correlation/idempotency key for high-risk writes.</x:v>
      </x:c>
      <x:c r="I5" s="339" t="str">
        <x:v>Return authorized DTO with status/version, validation errors and correlation ID; never expose restricted fields.</x:v>
      </x:c>
      <x:c r="J5" s="339" t="str">
        <x:v>All Users</x:v>
      </x:c>
      <x:c r="K5" s="339" t="str">
        <x:v>Use optimistic concurrency/version checks for updates; idempotency for payments, admissions confirmation, bulk imports and other retry-prone commands.</x:v>
      </x:c>
      <x:c r="L5" s="339" t="str">
        <x:v>Publish domain events after successful commit when downstream modules/notifications depend on the change.</x:v>
      </x:c>
    </x:row>
    <x:row r="6">
      <x:c r="A6" s="339" t="str">
        <x:v>API-0005</x:v>
      </x:c>
      <x:c r="B6" s="339" t="str">
        <x:v>SCR-005</x:v>
      </x:c>
      <x:c r="C6" s="339" t="str">
        <x:v>Public Website &amp; Authentication</x:v>
      </x:c>
      <x:c r="D6" s="339" t="str">
        <x:v>Reset Password</x:v>
      </x:c>
      <x:c r="E6" s="339" t="str">
        <x:v>Identity &amp; Session Service</x:v>
      </x:c>
      <x:c r="F6" s="339" t="str">
        <x:v>/api/v1/public-website-authentication/reset-password</x:v>
      </x:c>
      <x:c r="G6" s="339" t="str">
        <x:v>GET + POST/PATCH</x:v>
      </x:c>
      <x:c r="H6" s="339" t="str">
        <x:v>Tenant/school context + screen-specific filters/command payload; validate schema, effective references and request correlation/idempotency key for high-risk writes.</x:v>
      </x:c>
      <x:c r="I6" s="339" t="str">
        <x:v>Return authorized DTO with status/version, validation errors and correlation ID; never expose restricted fields.</x:v>
      </x:c>
      <x:c r="J6" s="339" t="str">
        <x:v>All Users</x:v>
      </x:c>
      <x:c r="K6" s="339" t="str">
        <x:v>Use optimistic concurrency/version checks for updates; idempotency for payments, admissions confirmation, bulk imports and other retry-prone commands.</x:v>
      </x:c>
      <x:c r="L6" s="339" t="str">
        <x:v>Publish domain events after successful commit when downstream modules/notifications depend on the change.</x:v>
      </x:c>
    </x:row>
    <x:row r="7">
      <x:c r="A7" s="339" t="str">
        <x:v>API-0006</x:v>
      </x:c>
      <x:c r="B7" s="339" t="str">
        <x:v>SCR-006</x:v>
      </x:c>
      <x:c r="C7" s="339" t="str">
        <x:v>Public Website &amp; Authentication</x:v>
      </x:c>
      <x:c r="D7" s="339" t="str">
        <x:v>OTP / Two-Factor Verification</x:v>
      </x:c>
      <x:c r="E7" s="339" t="str">
        <x:v>Identity &amp; Session Service</x:v>
      </x:c>
      <x:c r="F7" s="339" t="str">
        <x:v>/api/v1/public-website-authentication/otp-two-factor-verification</x:v>
      </x:c>
      <x:c r="G7" s="339" t="str">
        <x:v>PATCH/POST action</x:v>
      </x:c>
      <x:c r="H7" s="339" t="str">
        <x:v>Tenant/school context + screen-specific filters/command payload; validate schema, effective references and request correlation/idempotency key for high-risk writes.</x:v>
      </x:c>
      <x:c r="I7" s="339" t="str">
        <x:v>Return authorized DTO with status/version, validation errors and correlation ID; never expose restricted fields.</x:v>
      </x:c>
      <x:c r="J7" s="339" t="str">
        <x:v>All Users</x:v>
      </x:c>
      <x:c r="K7" s="339" t="str">
        <x:v>Use optimistic concurrency/version checks for updates; idempotency for payments, admissions confirmation, bulk imports and other retry-prone commands.</x:v>
      </x:c>
      <x:c r="L7" s="339" t="str">
        <x:v>Publish domain events after successful commit when downstream modules/notifications depend on the change.</x:v>
      </x:c>
    </x:row>
    <x:row r="8">
      <x:c r="A8" s="339" t="str">
        <x:v>API-0007</x:v>
      </x:c>
      <x:c r="B8" s="339" t="str">
        <x:v>SCR-007</x:v>
      </x:c>
      <x:c r="C8" s="339" t="str">
        <x:v>Public Website &amp; Authentication</x:v>
      </x:c>
      <x:c r="D8" s="339" t="str">
        <x:v>First Login / Change Password</x:v>
      </x:c>
      <x:c r="E8" s="339" t="str">
        <x:v>Identity &amp; Session Service</x:v>
      </x:c>
      <x:c r="F8" s="339" t="str">
        <x:v>/api/v1/public-website-authentication/first-login-change-password</x:v>
      </x:c>
      <x:c r="G8" s="339" t="str">
        <x:v>GET + POST/PATCH</x:v>
      </x:c>
      <x:c r="H8" s="339" t="str">
        <x:v>Tenant/school context + screen-specific filters/command payload; validate schema, effective references and request correlation/idempotency key for high-risk writes.</x:v>
      </x:c>
      <x:c r="I8" s="339" t="str">
        <x:v>Return authorized DTO with status/version, validation errors and correlation ID; never expose restricted fields.</x:v>
      </x:c>
      <x:c r="J8" s="339" t="str">
        <x:v>All Users</x:v>
      </x:c>
      <x:c r="K8" s="339" t="str">
        <x:v>Use optimistic concurrency/version checks for updates; idempotency for payments, admissions confirmation, bulk imports and other retry-prone commands.</x:v>
      </x:c>
      <x:c r="L8" s="339" t="str">
        <x:v>Publish domain events after successful commit when downstream modules/notifications depend on the change.</x:v>
      </x:c>
    </x:row>
    <x:row r="9">
      <x:c r="A9" s="339" t="str">
        <x:v>API-0008</x:v>
      </x:c>
      <x:c r="B9" s="339" t="str">
        <x:v>SCR-008</x:v>
      </x:c>
      <x:c r="C9" s="339" t="str">
        <x:v>Public Website &amp; Authentication</x:v>
      </x:c>
      <x:c r="D9" s="339" t="str">
        <x:v>Access Denied / Session Expired</x:v>
      </x:c>
      <x:c r="E9" s="339" t="str">
        <x:v>Identity &amp; Session Service</x:v>
      </x:c>
      <x:c r="F9" s="339" t="str">
        <x:v>/api/v1/public-website-authentication/access-denied-session-expired</x:v>
      </x:c>
      <x:c r="G9" s="339" t="str">
        <x:v>GET + POST/PATCH</x:v>
      </x:c>
      <x:c r="H9" s="339" t="str">
        <x:v>Tenant/school context + screen-specific filters/command payload; validate schema, effective references and request correlation/idempotency key for high-risk writes.</x:v>
      </x:c>
      <x:c r="I9" s="339" t="str">
        <x:v>Return authorized DTO with status/version, validation errors and correlation ID; never expose restricted fields.</x:v>
      </x:c>
      <x:c r="J9" s="339" t="str">
        <x:v>All Users</x:v>
      </x:c>
      <x:c r="K9" s="339" t="str">
        <x:v>Use optimistic concurrency/version checks for updates; idempotency for payments, admissions confirmation, bulk imports and other retry-prone commands.</x:v>
      </x:c>
      <x:c r="L9" s="339" t="str">
        <x:v>Publish domain events after successful commit when downstream modules/notifications depend on the change.</x:v>
      </x:c>
    </x:row>
    <x:row r="10">
      <x:c r="A10" s="339" t="str">
        <x:v>API-0009</x:v>
      </x:c>
      <x:c r="B10" s="339" t="str">
        <x:v>SCR-009</x:v>
      </x:c>
      <x:c r="C10" s="339" t="str">
        <x:v>Super Admin / SaaS Administration</x:v>
      </x:c>
      <x:c r="D10" s="339" t="str">
        <x:v>Platform Dashboard</x:v>
      </x:c>
      <x:c r="E10" s="339" t="str">
        <x:v>Tenant &amp; Subscription Service</x:v>
      </x:c>
      <x:c r="F10" s="339" t="str">
        <x:v>/api/v1/super-admin/platform-dashboard</x:v>
      </x:c>
      <x:c r="G10" s="339" t="str">
        <x:v>GET</x:v>
      </x:c>
      <x:c r="H10" s="339" t="str">
        <x:v>Tenant/school context + screen-specific filters/command payload; validate schema, effective references and request correlation/idempotency key for high-risk writes.</x:v>
      </x:c>
      <x:c r="I10" s="339" t="str">
        <x:v>Return authorized DTO with status/version, validation errors and correlation ID; never expose restricted fields.</x:v>
      </x:c>
      <x:c r="J10" s="339" t="str">
        <x:v>Super Admin</x:v>
      </x:c>
      <x:c r="K10" s="339" t="str">
        <x:v>Use optimistic concurrency/version checks for updates; idempotency for payments, admissions confirmation, bulk imports and other retry-prone commands.</x:v>
      </x:c>
      <x:c r="L10" s="339" t="str">
        <x:v>Publish domain events after successful commit when downstream modules/notifications depend on the change.</x:v>
      </x:c>
    </x:row>
    <x:row r="11">
      <x:c r="A11" s="339" t="str">
        <x:v>API-0010</x:v>
      </x:c>
      <x:c r="B11" s="339" t="str">
        <x:v>SCR-010</x:v>
      </x:c>
      <x:c r="C11" s="339" t="str">
        <x:v>Super Admin / SaaS Administration</x:v>
      </x:c>
      <x:c r="D11" s="339" t="str">
        <x:v>Organizations List</x:v>
      </x:c>
      <x:c r="E11" s="339" t="str">
        <x:v>Tenant &amp; Subscription Service</x:v>
      </x:c>
      <x:c r="F11" s="339" t="str">
        <x:v>/api/v1/super-admin/organizations-list</x:v>
      </x:c>
      <x:c r="G11" s="339" t="str">
        <x:v>GET + POST/PATCH actions</x:v>
      </x:c>
      <x:c r="H11" s="339" t="str">
        <x:v>Tenant/school context + screen-specific filters/command payload; validate schema, effective references and request correlation/idempotency key for high-risk writes.</x:v>
      </x:c>
      <x:c r="I11" s="339" t="str">
        <x:v>Return authorized DTO with status/version, validation errors and correlation ID; never expose restricted fields.</x:v>
      </x:c>
      <x:c r="J11" s="339" t="str">
        <x:v>Super Admin</x:v>
      </x:c>
      <x:c r="K11" s="339" t="str">
        <x:v>Use optimistic concurrency/version checks for updates; idempotency for payments, admissions confirmation, bulk imports and other retry-prone commands.</x:v>
      </x:c>
      <x:c r="L11" s="339" t="str">
        <x:v>Publish domain events after successful commit when downstream modules/notifications depend on the change.</x:v>
      </x:c>
    </x:row>
    <x:row r="12">
      <x:c r="A12" s="339" t="str">
        <x:v>API-0011</x:v>
      </x:c>
      <x:c r="B12" s="339" t="str">
        <x:v>SCR-011</x:v>
      </x:c>
      <x:c r="C12" s="339" t="str">
        <x:v>Super Admin / SaaS Administration</x:v>
      </x:c>
      <x:c r="D12" s="339" t="str">
        <x:v>Add Organization</x:v>
      </x:c>
      <x:c r="E12" s="339" t="str">
        <x:v>Tenant &amp; Subscription Service</x:v>
      </x:c>
      <x:c r="F12" s="339" t="str">
        <x:v>/api/v1/super-admin/add-organization</x:v>
      </x:c>
      <x:c r="G12" s="339" t="str">
        <x:v>POST</x:v>
      </x:c>
      <x:c r="H12" s="339" t="str">
        <x:v>Tenant/school context + screen-specific filters/command payload; validate schema, effective references and request correlation/idempotency key for high-risk writes.</x:v>
      </x:c>
      <x:c r="I12" s="339" t="str">
        <x:v>Return authorized DTO with status/version, validation errors and correlation ID; never expose restricted fields.</x:v>
      </x:c>
      <x:c r="J12" s="339" t="str">
        <x:v>Super Admin</x:v>
      </x:c>
      <x:c r="K12" s="339" t="str">
        <x:v>Use optimistic concurrency/version checks for updates; idempotency for payments, admissions confirmation, bulk imports and other retry-prone commands.</x:v>
      </x:c>
      <x:c r="L12" s="339" t="str">
        <x:v>Publish domain events after successful commit when downstream modules/notifications depend on the change.</x:v>
      </x:c>
    </x:row>
    <x:row r="13">
      <x:c r="A13" s="339" t="str">
        <x:v>API-0012</x:v>
      </x:c>
      <x:c r="B13" s="339" t="str">
        <x:v>SCR-012</x:v>
      </x:c>
      <x:c r="C13" s="339" t="str">
        <x:v>Super Admin / SaaS Administration</x:v>
      </x:c>
      <x:c r="D13" s="339" t="str">
        <x:v>Organization Details</x:v>
      </x:c>
      <x:c r="E13" s="339" t="str">
        <x:v>Tenant &amp; Subscription Service</x:v>
      </x:c>
      <x:c r="F13" s="339" t="str">
        <x:v>/api/v1/super-admin/organization-details</x:v>
      </x:c>
      <x:c r="G13" s="339" t="str">
        <x:v>GET + PATCH</x:v>
      </x:c>
      <x:c r="H13" s="339" t="str">
        <x:v>Tenant/school context + screen-specific filters/command payload; validate schema, effective references and request correlation/idempotency key for high-risk writes.</x:v>
      </x:c>
      <x:c r="I13" s="339" t="str">
        <x:v>Return authorized DTO with status/version, validation errors and correlation ID; never expose restricted fields.</x:v>
      </x:c>
      <x:c r="J13" s="339" t="str">
        <x:v>Super Admin</x:v>
      </x:c>
      <x:c r="K13" s="339" t="str">
        <x:v>Use optimistic concurrency/version checks for updates; idempotency for payments, admissions confirmation, bulk imports and other retry-prone commands.</x:v>
      </x:c>
      <x:c r="L13" s="339" t="str">
        <x:v>Publish domain events after successful commit when downstream modules/notifications depend on the change.</x:v>
      </x:c>
    </x:row>
    <x:row r="14">
      <x:c r="A14" s="339" t="str">
        <x:v>API-0013</x:v>
      </x:c>
      <x:c r="B14" s="339" t="str">
        <x:v>SCR-013</x:v>
      </x:c>
      <x:c r="C14" s="339" t="str">
        <x:v>Super Admin / SaaS Administration</x:v>
      </x:c>
      <x:c r="D14" s="339" t="str">
        <x:v>Subscription Plans</x:v>
      </x:c>
      <x:c r="E14" s="339" t="str">
        <x:v>Tenant &amp; Subscription Service</x:v>
      </x:c>
      <x:c r="F14" s="339" t="str">
        <x:v>/api/v1/super-admin/subscription-plans</x:v>
      </x:c>
      <x:c r="G14" s="339" t="str">
        <x:v>GET + POST/PATCH</x:v>
      </x:c>
      <x:c r="H14" s="339" t="str">
        <x:v>Tenant/school context + screen-specific filters/command payload; validate schema, effective references and request correlation/idempotency key for high-risk writes.</x:v>
      </x:c>
      <x:c r="I14" s="339" t="str">
        <x:v>Return authorized DTO with status/version, validation errors and correlation ID; never expose restricted fields.</x:v>
      </x:c>
      <x:c r="J14" s="339" t="str">
        <x:v>Super Admin</x:v>
      </x:c>
      <x:c r="K14" s="339" t="str">
        <x:v>Use optimistic concurrency/version checks for updates; idempotency for payments, admissions confirmation, bulk imports and other retry-prone commands.</x:v>
      </x:c>
      <x:c r="L14" s="339" t="str">
        <x:v>Publish domain events after successful commit when downstream modules/notifications depend on the change.</x:v>
      </x:c>
    </x:row>
    <x:row r="15">
      <x:c r="A15" s="339" t="str">
        <x:v>API-0014</x:v>
      </x:c>
      <x:c r="B15" s="339" t="str">
        <x:v>SCR-014</x:v>
      </x:c>
      <x:c r="C15" s="339" t="str">
        <x:v>Super Admin / SaaS Administration</x:v>
      </x:c>
      <x:c r="D15" s="339" t="str">
        <x:v>Subscriptions &amp; Billing</x:v>
      </x:c>
      <x:c r="E15" s="339" t="str">
        <x:v>Tenant &amp; Subscription Service</x:v>
      </x:c>
      <x:c r="F15" s="339" t="str">
        <x:v>/api/v1/super-admin/subscriptions-billing</x:v>
      </x:c>
      <x:c r="G15" s="339" t="str">
        <x:v>GET + POST/PATCH</x:v>
      </x:c>
      <x:c r="H15" s="339" t="str">
        <x:v>Tenant/school context + screen-specific filters/command payload; validate schema, effective references and request correlation/idempotency key for high-risk writes.</x:v>
      </x:c>
      <x:c r="I15" s="339" t="str">
        <x:v>Return authorized DTO with status/version, validation errors and correlation ID; never expose restricted fields.</x:v>
      </x:c>
      <x:c r="J15" s="339" t="str">
        <x:v>Super Admin</x:v>
      </x:c>
      <x:c r="K15" s="339" t="str">
        <x:v>Use optimistic concurrency/version checks for updates; idempotency for payments, admissions confirmation, bulk imports and other retry-prone commands.</x:v>
      </x:c>
      <x:c r="L15" s="339" t="str">
        <x:v>Publish domain events after successful commit when downstream modules/notifications depend on the change.</x:v>
      </x:c>
    </x:row>
    <x:row r="16">
      <x:c r="A16" s="339" t="str">
        <x:v>API-0015</x:v>
      </x:c>
      <x:c r="B16" s="339" t="str">
        <x:v>SCR-015</x:v>
      </x:c>
      <x:c r="C16" s="339" t="str">
        <x:v>Super Admin / SaaS Administration</x:v>
      </x:c>
      <x:c r="D16" s="339" t="str">
        <x:v>Tenant Usage &amp; Limits</x:v>
      </x:c>
      <x:c r="E16" s="339" t="str">
        <x:v>Tenant &amp; Subscription Service</x:v>
      </x:c>
      <x:c r="F16" s="339" t="str">
        <x:v>/api/v1/super-admin/tenant-usage-limits</x:v>
      </x:c>
      <x:c r="G16" s="339" t="str">
        <x:v>GET</x:v>
      </x:c>
      <x:c r="H16" s="339" t="str">
        <x:v>Tenant/school context + screen-specific filters/command payload; validate schema, effective references and request correlation/idempotency key for high-risk writes.</x:v>
      </x:c>
      <x:c r="I16" s="339" t="str">
        <x:v>Return authorized DTO with status/version, validation errors and correlation ID; never expose restricted fields.</x:v>
      </x:c>
      <x:c r="J16" s="339" t="str">
        <x:v>Super Admin</x:v>
      </x:c>
      <x:c r="K16" s="339" t="str">
        <x:v>Use optimistic concurrency/version checks for updates; idempotency for payments, admissions confirmation, bulk imports and other retry-prone commands.</x:v>
      </x:c>
      <x:c r="L16" s="339" t="str">
        <x:v>Publish domain events after successful commit when downstream modules/notifications depend on the change.</x:v>
      </x:c>
    </x:row>
    <x:row r="17">
      <x:c r="A17" s="339" t="str">
        <x:v>API-0016</x:v>
      </x:c>
      <x:c r="B17" s="339" t="str">
        <x:v>SCR-016</x:v>
      </x:c>
      <x:c r="C17" s="339" t="str">
        <x:v>Super Admin / SaaS Administration</x:v>
      </x:c>
      <x:c r="D17" s="339" t="str">
        <x:v>Platform Users</x:v>
      </x:c>
      <x:c r="E17" s="339" t="str">
        <x:v>Tenant &amp; Subscription Service</x:v>
      </x:c>
      <x:c r="F17" s="339" t="str">
        <x:v>/api/v1/super-admin/platform-users</x:v>
      </x:c>
      <x:c r="G17" s="339" t="str">
        <x:v>GET + POST/PATCH</x:v>
      </x:c>
      <x:c r="H17" s="339" t="str">
        <x:v>Tenant/school context + screen-specific filters/command payload; validate schema, effective references and request correlation/idempotency key for high-risk writes.</x:v>
      </x:c>
      <x:c r="I17" s="339" t="str">
        <x:v>Return authorized DTO with status/version, validation errors and correlation ID; never expose restricted fields.</x:v>
      </x:c>
      <x:c r="J17" s="339" t="str">
        <x:v>Super Admin</x:v>
      </x:c>
      <x:c r="K17" s="339" t="str">
        <x:v>Use optimistic concurrency/version checks for updates; idempotency for payments, admissions confirmation, bulk imports and other retry-prone commands.</x:v>
      </x:c>
      <x:c r="L17" s="339" t="str">
        <x:v>Publish domain events after successful commit when downstream modules/notifications depend on the change.</x:v>
      </x:c>
    </x:row>
    <x:row r="18">
      <x:c r="A18" s="339" t="str">
        <x:v>API-0017</x:v>
      </x:c>
      <x:c r="B18" s="339" t="str">
        <x:v>SCR-017</x:v>
      </x:c>
      <x:c r="C18" s="339" t="str">
        <x:v>Super Admin / SaaS Administration</x:v>
      </x:c>
      <x:c r="D18" s="339" t="str">
        <x:v>Support Tickets</x:v>
      </x:c>
      <x:c r="E18" s="339" t="str">
        <x:v>Tenant &amp; Subscription Service</x:v>
      </x:c>
      <x:c r="F18" s="339" t="str">
        <x:v>/api/v1/super-admin/support-tickets</x:v>
      </x:c>
      <x:c r="G18" s="339" t="str">
        <x:v>GET + POST/PATCH</x:v>
      </x:c>
      <x:c r="H18" s="339" t="str">
        <x:v>Tenant/school context + screen-specific filters/command payload; validate schema, effective references and request correlation/idempotency key for high-risk writes.</x:v>
      </x:c>
      <x:c r="I18" s="339" t="str">
        <x:v>Return authorized DTO with status/version, validation errors and correlation ID; never expose restricted fields.</x:v>
      </x:c>
      <x:c r="J18" s="339" t="str">
        <x:v>Super Admin</x:v>
      </x:c>
      <x:c r="K18" s="339" t="str">
        <x:v>Use optimistic concurrency/version checks for updates; idempotency for payments, admissions confirmation, bulk imports and other retry-prone commands.</x:v>
      </x:c>
      <x:c r="L18" s="339" t="str">
        <x:v>Publish domain events after successful commit when downstream modules/notifications depend on the change.</x:v>
      </x:c>
    </x:row>
    <x:row r="19">
      <x:c r="A19" s="339" t="str">
        <x:v>API-0018</x:v>
      </x:c>
      <x:c r="B19" s="339" t="str">
        <x:v>SCR-018</x:v>
      </x:c>
      <x:c r="C19" s="339" t="str">
        <x:v>Super Admin / SaaS Administration</x:v>
      </x:c>
      <x:c r="D19" s="339" t="str">
        <x:v>System Health &amp; Service Status</x:v>
      </x:c>
      <x:c r="E19" s="339" t="str">
        <x:v>Tenant &amp; Subscription Service</x:v>
      </x:c>
      <x:c r="F19" s="339" t="str">
        <x:v>/api/v1/super-admin/system-health-service-status</x:v>
      </x:c>
      <x:c r="G19" s="339" t="str">
        <x:v>GET + POST/PATCH</x:v>
      </x:c>
      <x:c r="H19" s="339" t="str">
        <x:v>Tenant/school context + screen-specific filters/command payload; validate schema, effective references and request correlation/idempotency key for high-risk writes.</x:v>
      </x:c>
      <x:c r="I19" s="339" t="str">
        <x:v>Return authorized DTO with status/version, validation errors and correlation ID; never expose restricted fields.</x:v>
      </x:c>
      <x:c r="J19" s="339" t="str">
        <x:v>Super Admin</x:v>
      </x:c>
      <x:c r="K19" s="339" t="str">
        <x:v>Use optimistic concurrency/version checks for updates; idempotency for payments, admissions confirmation, bulk imports and other retry-prone commands.</x:v>
      </x:c>
      <x:c r="L19" s="339" t="str">
        <x:v>Publish domain events after successful commit when downstream modules/notifications depend on the change.</x:v>
      </x:c>
    </x:row>
    <x:row r="20">
      <x:c r="A20" s="339" t="str">
        <x:v>API-0019</x:v>
      </x:c>
      <x:c r="B20" s="339" t="str">
        <x:v>SCR-019</x:v>
      </x:c>
      <x:c r="C20" s="339" t="str">
        <x:v>Super Admin / SaaS Administration</x:v>
      </x:c>
      <x:c r="D20" s="339" t="str">
        <x:v>Global Announcements</x:v>
      </x:c>
      <x:c r="E20" s="339" t="str">
        <x:v>Tenant &amp; Subscription Service</x:v>
      </x:c>
      <x:c r="F20" s="339" t="str">
        <x:v>/api/v1/super-admin/global-announcements</x:v>
      </x:c>
      <x:c r="G20" s="339" t="str">
        <x:v>GET + POST/PATCH actions</x:v>
      </x:c>
      <x:c r="H20" s="339" t="str">
        <x:v>Tenant/school context + screen-specific filters/command payload; validate schema, effective references and request correlation/idempotency key for high-risk writes.</x:v>
      </x:c>
      <x:c r="I20" s="339" t="str">
        <x:v>Return authorized DTO with status/version, validation errors and correlation ID; never expose restricted fields.</x:v>
      </x:c>
      <x:c r="J20" s="339" t="str">
        <x:v>Super Admin</x:v>
      </x:c>
      <x:c r="K20" s="339" t="str">
        <x:v>Use optimistic concurrency/version checks for updates; idempotency for payments, admissions confirmation, bulk imports and other retry-prone commands.</x:v>
      </x:c>
      <x:c r="L20" s="339" t="str">
        <x:v>Publish domain events after successful commit when downstream modules/notifications depend on the change.</x:v>
      </x:c>
    </x:row>
    <x:row r="21">
      <x:c r="A21" s="339" t="str">
        <x:v>API-0020</x:v>
      </x:c>
      <x:c r="B21" s="339" t="str">
        <x:v>SCR-020</x:v>
      </x:c>
      <x:c r="C21" s="339" t="str">
        <x:v>Super Admin / SaaS Administration</x:v>
      </x:c>
      <x:c r="D21" s="339" t="str">
        <x:v>Platform Settings</x:v>
      </x:c>
      <x:c r="E21" s="339" t="str">
        <x:v>Tenant &amp; Subscription Service</x:v>
      </x:c>
      <x:c r="F21" s="339" t="str">
        <x:v>/api/v1/super-admin/platform-settings</x:v>
      </x:c>
      <x:c r="G21" s="339" t="str">
        <x:v>GET/PUT</x:v>
      </x:c>
      <x:c r="H21" s="339" t="str">
        <x:v>Tenant/school context + screen-specific filters/command payload; validate schema, effective references and request correlation/idempotency key for high-risk writes.</x:v>
      </x:c>
      <x:c r="I21" s="339" t="str">
        <x:v>Return authorized DTO with status/version, validation errors and correlation ID; never expose restricted fields.</x:v>
      </x:c>
      <x:c r="J21" s="339" t="str">
        <x:v>Super Admin</x:v>
      </x:c>
      <x:c r="K21" s="339" t="str">
        <x:v>Use optimistic concurrency/version checks for updates; idempotency for payments, admissions confirmation, bulk imports and other retry-prone commands.</x:v>
      </x:c>
      <x:c r="L21" s="339" t="str">
        <x:v>Publish domain events after successful commit when downstream modules/notifications depend on the change.</x:v>
      </x:c>
    </x:row>
    <x:row r="22">
      <x:c r="A22" s="339" t="str">
        <x:v>API-0021</x:v>
      </x:c>
      <x:c r="B22" s="339" t="str">
        <x:v>SCR-021</x:v>
      </x:c>
      <x:c r="C22" s="339" t="str">
        <x:v>Organization / School / Branch Setup</x:v>
      </x:c>
      <x:c r="D22" s="339" t="str">
        <x:v>Organization Profile</x:v>
      </x:c>
      <x:c r="E22" s="339" t="str">
        <x:v>School Configuration Service</x:v>
      </x:c>
      <x:c r="F22" s="339" t="str">
        <x:v>/api/v1/organization/organization-profile</x:v>
      </x:c>
      <x:c r="G22" s="339" t="str">
        <x:v>GET + PATCH</x:v>
      </x:c>
      <x:c r="H22" s="339" t="str">
        <x:v>Tenant/school context + screen-specific filters/command payload; validate schema, effective references and request correlation/idempotency key for high-risk writes.</x:v>
      </x:c>
      <x:c r="I22" s="339" t="str">
        <x:v>Return authorized DTO with status/version, validation errors and correlation ID; never expose restricted fields.</x:v>
      </x:c>
      <x:c r="J22" s="339" t="str">
        <x:v>Super Admin, Organization Admin, School Admin</x:v>
      </x:c>
      <x:c r="K22" s="339" t="str">
        <x:v>Use optimistic concurrency/version checks for updates; idempotency for payments, admissions confirmation, bulk imports and other retry-prone commands.</x:v>
      </x:c>
      <x:c r="L22" s="339" t="str">
        <x:v>Publish domain events after successful commit when downstream modules/notifications depend on the change.</x:v>
      </x:c>
    </x:row>
    <x:row r="23">
      <x:c r="A23" s="339" t="str">
        <x:v>API-0022</x:v>
      </x:c>
      <x:c r="B23" s="339" t="str">
        <x:v>SCR-022</x:v>
      </x:c>
      <x:c r="C23" s="339" t="str">
        <x:v>Organization / School / Branch Setup</x:v>
      </x:c>
      <x:c r="D23" s="339" t="str">
        <x:v>Schools List</x:v>
      </x:c>
      <x:c r="E23" s="339" t="str">
        <x:v>School Configuration Service</x:v>
      </x:c>
      <x:c r="F23" s="339" t="str">
        <x:v>/api/v1/organization/schools-list</x:v>
      </x:c>
      <x:c r="G23" s="339" t="str">
        <x:v>GET + POST/PATCH actions</x:v>
      </x:c>
      <x:c r="H23" s="339" t="str">
        <x:v>Tenant/school context + screen-specific filters/command payload; validate schema, effective references and request correlation/idempotency key for high-risk writes.</x:v>
      </x:c>
      <x:c r="I23" s="339" t="str">
        <x:v>Return authorized DTO with status/version, validation errors and correlation ID; never expose restricted fields.</x:v>
      </x:c>
      <x:c r="J23" s="339" t="str">
        <x:v>Super Admin, Organization Admin, School Admin</x:v>
      </x:c>
      <x:c r="K23" s="339" t="str">
        <x:v>Use optimistic concurrency/version checks for updates; idempotency for payments, admissions confirmation, bulk imports and other retry-prone commands.</x:v>
      </x:c>
      <x:c r="L23" s="339" t="str">
        <x:v>Publish domain events after successful commit when downstream modules/notifications depend on the change.</x:v>
      </x:c>
    </x:row>
    <x:row r="24">
      <x:c r="A24" s="339" t="str">
        <x:v>API-0023</x:v>
      </x:c>
      <x:c r="B24" s="339" t="str">
        <x:v>SCR-023</x:v>
      </x:c>
      <x:c r="C24" s="339" t="str">
        <x:v>Organization / School / Branch Setup</x:v>
      </x:c>
      <x:c r="D24" s="339" t="str">
        <x:v>Add School</x:v>
      </x:c>
      <x:c r="E24" s="339" t="str">
        <x:v>School Configuration Service</x:v>
      </x:c>
      <x:c r="F24" s="339" t="str">
        <x:v>/api/v1/organization/add-school</x:v>
      </x:c>
      <x:c r="G24" s="339" t="str">
        <x:v>POST</x:v>
      </x:c>
      <x:c r="H24" s="339" t="str">
        <x:v>Tenant/school context + screen-specific filters/command payload; validate schema, effective references and request correlation/idempotency key for high-risk writes.</x:v>
      </x:c>
      <x:c r="I24" s="339" t="str">
        <x:v>Return authorized DTO with status/version, validation errors and correlation ID; never expose restricted fields.</x:v>
      </x:c>
      <x:c r="J24" s="339" t="str">
        <x:v>Super Admin, Organization Admin, School Admin</x:v>
      </x:c>
      <x:c r="K24" s="339" t="str">
        <x:v>Use optimistic concurrency/version checks for updates; idempotency for payments, admissions confirmation, bulk imports and other retry-prone commands.</x:v>
      </x:c>
      <x:c r="L24" s="339" t="str">
        <x:v>Publish domain events after successful commit when downstream modules/notifications depend on the change.</x:v>
      </x:c>
    </x:row>
    <x:row r="25">
      <x:c r="A25" s="339" t="str">
        <x:v>API-0024</x:v>
      </x:c>
      <x:c r="B25" s="339" t="str">
        <x:v>SCR-024</x:v>
      </x:c>
      <x:c r="C25" s="339" t="str">
        <x:v>Organization / School / Branch Setup</x:v>
      </x:c>
      <x:c r="D25" s="339" t="str">
        <x:v>School Details</x:v>
      </x:c>
      <x:c r="E25" s="339" t="str">
        <x:v>School Configuration Service</x:v>
      </x:c>
      <x:c r="F25" s="339" t="str">
        <x:v>/api/v1/organization/school-details</x:v>
      </x:c>
      <x:c r="G25" s="339" t="str">
        <x:v>GET + PATCH</x:v>
      </x:c>
      <x:c r="H25" s="339" t="str">
        <x:v>Tenant/school context + screen-specific filters/command payload; validate schema, effective references and request correlation/idempotency key for high-risk writes.</x:v>
      </x:c>
      <x:c r="I25" s="339" t="str">
        <x:v>Return authorized DTO with status/version, validation errors and correlation ID; never expose restricted fields.</x:v>
      </x:c>
      <x:c r="J25" s="339" t="str">
        <x:v>Super Admin, Organization Admin, School Admin</x:v>
      </x:c>
      <x:c r="K25" s="339" t="str">
        <x:v>Use optimistic concurrency/version checks for updates; idempotency for payments, admissions confirmation, bulk imports and other retry-prone commands.</x:v>
      </x:c>
      <x:c r="L25" s="339" t="str">
        <x:v>Publish domain events after successful commit when downstream modules/notifications depend on the change.</x:v>
      </x:c>
    </x:row>
    <x:row r="26">
      <x:c r="A26" s="339" t="str">
        <x:v>API-0025</x:v>
      </x:c>
      <x:c r="B26" s="339" t="str">
        <x:v>SCR-025</x:v>
      </x:c>
      <x:c r="C26" s="339" t="str">
        <x:v>Organization / School / Branch Setup</x:v>
      </x:c>
      <x:c r="D26" s="339" t="str">
        <x:v>Branches List</x:v>
      </x:c>
      <x:c r="E26" s="339" t="str">
        <x:v>School Configuration Service</x:v>
      </x:c>
      <x:c r="F26" s="339" t="str">
        <x:v>/api/v1/organization/branches-list</x:v>
      </x:c>
      <x:c r="G26" s="339" t="str">
        <x:v>GET + POST/PATCH actions</x:v>
      </x:c>
      <x:c r="H26" s="339" t="str">
        <x:v>Tenant/school context + screen-specific filters/command payload; validate schema, effective references and request correlation/idempotency key for high-risk writes.</x:v>
      </x:c>
      <x:c r="I26" s="339" t="str">
        <x:v>Return authorized DTO with status/version, validation errors and correlation ID; never expose restricted fields.</x:v>
      </x:c>
      <x:c r="J26" s="339" t="str">
        <x:v>Super Admin, Organization Admin, School Admin</x:v>
      </x:c>
      <x:c r="K26" s="339" t="str">
        <x:v>Use optimistic concurrency/version checks for updates; idempotency for payments, admissions confirmation, bulk imports and other retry-prone commands.</x:v>
      </x:c>
      <x:c r="L26" s="339" t="str">
        <x:v>Publish domain events after successful commit when downstream modules/notifications depend on the change.</x:v>
      </x:c>
    </x:row>
    <x:row r="27">
      <x:c r="A27" s="339" t="str">
        <x:v>API-0026</x:v>
      </x:c>
      <x:c r="B27" s="339" t="str">
        <x:v>SCR-026</x:v>
      </x:c>
      <x:c r="C27" s="339" t="str">
        <x:v>Organization / School / Branch Setup</x:v>
      </x:c>
      <x:c r="D27" s="339" t="str">
        <x:v>Add Branch</x:v>
      </x:c>
      <x:c r="E27" s="339" t="str">
        <x:v>School Configuration Service</x:v>
      </x:c>
      <x:c r="F27" s="339" t="str">
        <x:v>/api/v1/organization/add-branch</x:v>
      </x:c>
      <x:c r="G27" s="339" t="str">
        <x:v>POST</x:v>
      </x:c>
      <x:c r="H27" s="339" t="str">
        <x:v>Tenant/school context + screen-specific filters/command payload; validate schema, effective references and request correlation/idempotency key for high-risk writes.</x:v>
      </x:c>
      <x:c r="I27" s="339" t="str">
        <x:v>Return authorized DTO with status/version, validation errors and correlation ID; never expose restricted fields.</x:v>
      </x:c>
      <x:c r="J27" s="339" t="str">
        <x:v>Super Admin, Organization Admin, School Admin</x:v>
      </x:c>
      <x:c r="K27" s="339" t="str">
        <x:v>Use optimistic concurrency/version checks for updates; idempotency for payments, admissions confirmation, bulk imports and other retry-prone commands.</x:v>
      </x:c>
      <x:c r="L27" s="339" t="str">
        <x:v>Publish domain events after successful commit when downstream modules/notifications depend on the change.</x:v>
      </x:c>
    </x:row>
    <x:row r="28">
      <x:c r="A28" s="339" t="str">
        <x:v>API-0027</x:v>
      </x:c>
      <x:c r="B28" s="339" t="str">
        <x:v>SCR-027</x:v>
      </x:c>
      <x:c r="C28" s="339" t="str">
        <x:v>Organization / School / Branch Setup</x:v>
      </x:c>
      <x:c r="D28" s="339" t="str">
        <x:v>Branch Details</x:v>
      </x:c>
      <x:c r="E28" s="339" t="str">
        <x:v>School Configuration Service</x:v>
      </x:c>
      <x:c r="F28" s="339" t="str">
        <x:v>/api/v1/organization/branch-details</x:v>
      </x:c>
      <x:c r="G28" s="339" t="str">
        <x:v>GET + PATCH</x:v>
      </x:c>
      <x:c r="H28" s="339" t="str">
        <x:v>Tenant/school context + screen-specific filters/command payload; validate schema, effective references and request correlation/idempotency key for high-risk writes.</x:v>
      </x:c>
      <x:c r="I28" s="339" t="str">
        <x:v>Return authorized DTO with status/version, validation errors and correlation ID; never expose restricted fields.</x:v>
      </x:c>
      <x:c r="J28" s="339" t="str">
        <x:v>Super Admin, Organization Admin, School Admin</x:v>
      </x:c>
      <x:c r="K28" s="339" t="str">
        <x:v>Use optimistic concurrency/version checks for updates; idempotency for payments, admissions confirmation, bulk imports and other retry-prone commands.</x:v>
      </x:c>
      <x:c r="L28" s="339" t="str">
        <x:v>Publish domain events after successful commit when downstream modules/notifications depend on the change.</x:v>
      </x:c>
    </x:row>
    <x:row r="29">
      <x:c r="A29" s="339" t="str">
        <x:v>API-0028</x:v>
      </x:c>
      <x:c r="B29" s="339" t="str">
        <x:v>SCR-028</x:v>
      </x:c>
      <x:c r="C29" s="339" t="str">
        <x:v>Organization / School / Branch Setup</x:v>
      </x:c>
      <x:c r="D29" s="339" t="str">
        <x:v>Academic Year Setup</x:v>
      </x:c>
      <x:c r="E29" s="339" t="str">
        <x:v>School Configuration Service</x:v>
      </x:c>
      <x:c r="F29" s="339" t="str">
        <x:v>/api/v1/organization/academic-year-setup</x:v>
      </x:c>
      <x:c r="G29" s="339" t="str">
        <x:v>GET + POST/PATCH</x:v>
      </x:c>
      <x:c r="H29" s="339" t="str">
        <x:v>Tenant/school context + screen-specific filters/command payload; validate schema, effective references and request correlation/idempotency key for high-risk writes.</x:v>
      </x:c>
      <x:c r="I29" s="339" t="str">
        <x:v>Return authorized DTO with status/version, validation errors and correlation ID; never expose restricted fields.</x:v>
      </x:c>
      <x:c r="J29" s="339" t="str">
        <x:v>Super Admin, Organization Admin, School Admin</x:v>
      </x:c>
      <x:c r="K29" s="339" t="str">
        <x:v>Use optimistic concurrency/version checks for updates; idempotency for payments, admissions confirmation, bulk imports and other retry-prone commands.</x:v>
      </x:c>
      <x:c r="L29" s="339" t="str">
        <x:v>Publish domain events after successful commit when downstream modules/notifications depend on the change.</x:v>
      </x:c>
    </x:row>
    <x:row r="30">
      <x:c r="A30" s="339" t="str">
        <x:v>API-0029</x:v>
      </x:c>
      <x:c r="B30" s="339" t="str">
        <x:v>SCR-029</x:v>
      </x:c>
      <x:c r="C30" s="339" t="str">
        <x:v>Organization / School / Branch Setup</x:v>
      </x:c>
      <x:c r="D30" s="339" t="str">
        <x:v>Grade / Class Setup</x:v>
      </x:c>
      <x:c r="E30" s="339" t="str">
        <x:v>School Configuration Service</x:v>
      </x:c>
      <x:c r="F30" s="339" t="str">
        <x:v>/api/v1/organization/grade-class-setup</x:v>
      </x:c>
      <x:c r="G30" s="339" t="str">
        <x:v>GET + POST/PATCH</x:v>
      </x:c>
      <x:c r="H30" s="339" t="str">
        <x:v>Tenant/school context + screen-specific filters/command payload; validate schema, effective references and request correlation/idempotency key for high-risk writes.</x:v>
      </x:c>
      <x:c r="I30" s="339" t="str">
        <x:v>Return authorized DTO with status/version, validation errors and correlation ID; never expose restricted fields.</x:v>
      </x:c>
      <x:c r="J30" s="339" t="str">
        <x:v>Super Admin, Organization Admin, School Admin</x:v>
      </x:c>
      <x:c r="K30" s="339" t="str">
        <x:v>Use optimistic concurrency/version checks for updates; idempotency for payments, admissions confirmation, bulk imports and other retry-prone commands.</x:v>
      </x:c>
      <x:c r="L30" s="339" t="str">
        <x:v>Publish domain events after successful commit when downstream modules/notifications depend on the change.</x:v>
      </x:c>
    </x:row>
    <x:row r="31">
      <x:c r="A31" s="339" t="str">
        <x:v>API-0030</x:v>
      </x:c>
      <x:c r="B31" s="339" t="str">
        <x:v>SCR-030</x:v>
      </x:c>
      <x:c r="C31" s="339" t="str">
        <x:v>Organization / School / Branch Setup</x:v>
      </x:c>
      <x:c r="D31" s="339" t="str">
        <x:v>Section Setup</x:v>
      </x:c>
      <x:c r="E31" s="339" t="str">
        <x:v>School Configuration Service</x:v>
      </x:c>
      <x:c r="F31" s="339" t="str">
        <x:v>/api/v1/organization/section-setup</x:v>
      </x:c>
      <x:c r="G31" s="339" t="str">
        <x:v>GET + POST/PATCH</x:v>
      </x:c>
      <x:c r="H31" s="339" t="str">
        <x:v>Tenant/school context + screen-specific filters/command payload; validate schema, effective references and request correlation/idempotency key for high-risk writes.</x:v>
      </x:c>
      <x:c r="I31" s="339" t="str">
        <x:v>Return authorized DTO with status/version, validation errors and correlation ID; never expose restricted fields.</x:v>
      </x:c>
      <x:c r="J31" s="339" t="str">
        <x:v>Super Admin, Organization Admin, School Admin</x:v>
      </x:c>
      <x:c r="K31" s="339" t="str">
        <x:v>Use optimistic concurrency/version checks for updates; idempotency for payments, admissions confirmation, bulk imports and other retry-prone commands.</x:v>
      </x:c>
      <x:c r="L31" s="339" t="str">
        <x:v>Publish domain events after successful commit when downstream modules/notifications depend on the change.</x:v>
      </x:c>
    </x:row>
    <x:row r="32">
      <x:c r="A32" s="339" t="str">
        <x:v>API-0031</x:v>
      </x:c>
      <x:c r="B32" s="339" t="str">
        <x:v>SCR-031</x:v>
      </x:c>
      <x:c r="C32" s="339" t="str">
        <x:v>Organization / School / Branch Setup</x:v>
      </x:c>
      <x:c r="D32" s="339" t="str">
        <x:v>Department Setup</x:v>
      </x:c>
      <x:c r="E32" s="339" t="str">
        <x:v>School Configuration Service</x:v>
      </x:c>
      <x:c r="F32" s="339" t="str">
        <x:v>/api/v1/organization/department-setup</x:v>
      </x:c>
      <x:c r="G32" s="339" t="str">
        <x:v>GET + POST/PATCH</x:v>
      </x:c>
      <x:c r="H32" s="339" t="str">
        <x:v>Tenant/school context + screen-specific filters/command payload; validate schema, effective references and request correlation/idempotency key for high-risk writes.</x:v>
      </x:c>
      <x:c r="I32" s="339" t="str">
        <x:v>Return authorized DTO with status/version, validation errors and correlation ID; never expose restricted fields.</x:v>
      </x:c>
      <x:c r="J32" s="339" t="str">
        <x:v>Super Admin, Organization Admin, School Admin</x:v>
      </x:c>
      <x:c r="K32" s="339" t="str">
        <x:v>Use optimistic concurrency/version checks for updates; idempotency for payments, admissions confirmation, bulk imports and other retry-prone commands.</x:v>
      </x:c>
      <x:c r="L32" s="339" t="str">
        <x:v>Publish domain events after successful commit when downstream modules/notifications depend on the change.</x:v>
      </x:c>
    </x:row>
    <x:row r="33">
      <x:c r="A33" s="339" t="str">
        <x:v>API-0032</x:v>
      </x:c>
      <x:c r="B33" s="339" t="str">
        <x:v>SCR-032</x:v>
      </x:c>
      <x:c r="C33" s="339" t="str">
        <x:v>Organization / School / Branch Setup</x:v>
      </x:c>
      <x:c r="D33" s="339" t="str">
        <x:v>School Branding &amp; Profile</x:v>
      </x:c>
      <x:c r="E33" s="339" t="str">
        <x:v>School Configuration Service</x:v>
      </x:c>
      <x:c r="F33" s="339" t="str">
        <x:v>/api/v1/organization/school-branding-profile</x:v>
      </x:c>
      <x:c r="G33" s="339" t="str">
        <x:v>GET + PATCH</x:v>
      </x:c>
      <x:c r="H33" s="339" t="str">
        <x:v>Tenant/school context + screen-specific filters/command payload; validate schema, effective references and request correlation/idempotency key for high-risk writes.</x:v>
      </x:c>
      <x:c r="I33" s="339" t="str">
        <x:v>Return authorized DTO with status/version, validation errors and correlation ID; never expose restricted fields.</x:v>
      </x:c>
      <x:c r="J33" s="339" t="str">
        <x:v>Super Admin, Organization Admin, School Admin</x:v>
      </x:c>
      <x:c r="K33" s="339" t="str">
        <x:v>Use optimistic concurrency/version checks for updates; idempotency for payments, admissions confirmation, bulk imports and other retry-prone commands.</x:v>
      </x:c>
      <x:c r="L33" s="339" t="str">
        <x:v>Publish domain events after successful commit when downstream modules/notifications depend on the change.</x:v>
      </x:c>
    </x:row>
    <x:row r="34">
      <x:c r="A34" s="339" t="str">
        <x:v>API-0033</x:v>
      </x:c>
      <x:c r="B34" s="339" t="str">
        <x:v>SCR-033</x:v>
      </x:c>
      <x:c r="C34" s="339" t="str">
        <x:v>Role Dashboards</x:v>
      </x:c>
      <x:c r="D34" s="339" t="str">
        <x:v>School Admin Dashboard</x:v>
      </x:c>
      <x:c r="E34" s="339" t="str">
        <x:v>Dashboard / Query Service</x:v>
      </x:c>
      <x:c r="F34" s="339" t="str">
        <x:v>/api/v1/role-dashboards/school-admin-dashboard</x:v>
      </x:c>
      <x:c r="G34" s="339" t="str">
        <x:v>GET</x:v>
      </x:c>
      <x:c r="H34" s="339" t="str">
        <x:v>Tenant/school context + screen-specific filters/command payload; validate schema, effective references and request correlation/idempotency key for high-risk writes.</x:v>
      </x:c>
      <x:c r="I34" s="339" t="str">
        <x:v>Return authorized DTO with status/version, validation errors and correlation ID; never expose restricted fields.</x:v>
      </x:c>
      <x:c r="J34" s="339" t="str">
        <x:v>School Admin</x:v>
      </x:c>
      <x:c r="K34" s="339" t="str">
        <x:v>Use optimistic concurrency/version checks for updates; idempotency for payments, admissions confirmation, bulk imports and other retry-prone commands.</x:v>
      </x:c>
      <x:c r="L34" s="339" t="str">
        <x:v>Publish domain events after successful commit when downstream modules/notifications depend on the change.</x:v>
      </x:c>
    </x:row>
    <x:row r="35">
      <x:c r="A35" s="339" t="str">
        <x:v>API-0034</x:v>
      </x:c>
      <x:c r="B35" s="339" t="str">
        <x:v>SCR-034</x:v>
      </x:c>
      <x:c r="C35" s="339" t="str">
        <x:v>Role Dashboards</x:v>
      </x:c>
      <x:c r="D35" s="339" t="str">
        <x:v>Principal Dashboard</x:v>
      </x:c>
      <x:c r="E35" s="339" t="str">
        <x:v>Dashboard / Query Service</x:v>
      </x:c>
      <x:c r="F35" s="339" t="str">
        <x:v>/api/v1/role-dashboards/principal-dashboard</x:v>
      </x:c>
      <x:c r="G35" s="339" t="str">
        <x:v>GET</x:v>
      </x:c>
      <x:c r="H35" s="339" t="str">
        <x:v>Tenant/school context + screen-specific filters/command payload; validate schema, effective references and request correlation/idempotency key for high-risk writes.</x:v>
      </x:c>
      <x:c r="I35" s="339" t="str">
        <x:v>Return authorized DTO with status/version, validation errors and correlation ID; never expose restricted fields.</x:v>
      </x:c>
      <x:c r="J35" s="339" t="str">
        <x:v>Principal</x:v>
      </x:c>
      <x:c r="K35" s="339" t="str">
        <x:v>Use optimistic concurrency/version checks for updates; idempotency for payments, admissions confirmation, bulk imports and other retry-prone commands.</x:v>
      </x:c>
      <x:c r="L35" s="339" t="str">
        <x:v>Publish domain events after successful commit when downstream modules/notifications depend on the change.</x:v>
      </x:c>
    </x:row>
    <x:row r="36">
      <x:c r="A36" s="339" t="str">
        <x:v>API-0035</x:v>
      </x:c>
      <x:c r="B36" s="339" t="str">
        <x:v>SCR-035</x:v>
      </x:c>
      <x:c r="C36" s="339" t="str">
        <x:v>Role Dashboards</x:v>
      </x:c>
      <x:c r="D36" s="339" t="str">
        <x:v>Teacher Dashboard</x:v>
      </x:c>
      <x:c r="E36" s="339" t="str">
        <x:v>Dashboard / Query Service</x:v>
      </x:c>
      <x:c r="F36" s="339" t="str">
        <x:v>/api/v1/role-dashboards/teacher-dashboard</x:v>
      </x:c>
      <x:c r="G36" s="339" t="str">
        <x:v>GET</x:v>
      </x:c>
      <x:c r="H36" s="339" t="str">
        <x:v>Tenant/school context + screen-specific filters/command payload; validate schema, effective references and request correlation/idempotency key for high-risk writes.</x:v>
      </x:c>
      <x:c r="I36" s="339" t="str">
        <x:v>Return authorized DTO with status/version, validation errors and correlation ID; never expose restricted fields.</x:v>
      </x:c>
      <x:c r="J36" s="339" t="str">
        <x:v>Teacher</x:v>
      </x:c>
      <x:c r="K36" s="339" t="str">
        <x:v>Use optimistic concurrency/version checks for updates; idempotency for payments, admissions confirmation, bulk imports and other retry-prone commands.</x:v>
      </x:c>
      <x:c r="L36" s="339" t="str">
        <x:v>Publish domain events after successful commit when downstream modules/notifications depend on the change.</x:v>
      </x:c>
    </x:row>
    <x:row r="37">
      <x:c r="A37" s="339" t="str">
        <x:v>API-0036</x:v>
      </x:c>
      <x:c r="B37" s="339" t="str">
        <x:v>SCR-036</x:v>
      </x:c>
      <x:c r="C37" s="339" t="str">
        <x:v>Role Dashboards</x:v>
      </x:c>
      <x:c r="D37" s="339" t="str">
        <x:v>Student Dashboard</x:v>
      </x:c>
      <x:c r="E37" s="339" t="str">
        <x:v>Dashboard / Query Service</x:v>
      </x:c>
      <x:c r="F37" s="339" t="str">
        <x:v>/api/v1/role-dashboards/student-dashboard</x:v>
      </x:c>
      <x:c r="G37" s="339" t="str">
        <x:v>GET</x:v>
      </x:c>
      <x:c r="H37" s="339" t="str">
        <x:v>Tenant/school context + screen-specific filters/command payload; validate schema, effective references and request correlation/idempotency key for high-risk writes.</x:v>
      </x:c>
      <x:c r="I37" s="339" t="str">
        <x:v>Return authorized DTO with status/version, validation errors and correlation ID; never expose restricted fields.</x:v>
      </x:c>
      <x:c r="J37" s="339" t="str">
        <x:v>Student</x:v>
      </x:c>
      <x:c r="K37" s="339" t="str">
        <x:v>Use optimistic concurrency/version checks for updates; idempotency for payments, admissions confirmation, bulk imports and other retry-prone commands.</x:v>
      </x:c>
      <x:c r="L37" s="339" t="str">
        <x:v>Publish domain events after successful commit when downstream modules/notifications depend on the change.</x:v>
      </x:c>
    </x:row>
    <x:row r="38">
      <x:c r="A38" s="339" t="str">
        <x:v>API-0037</x:v>
      </x:c>
      <x:c r="B38" s="339" t="str">
        <x:v>SCR-037</x:v>
      </x:c>
      <x:c r="C38" s="339" t="str">
        <x:v>Role Dashboards</x:v>
      </x:c>
      <x:c r="D38" s="339" t="str">
        <x:v>Parent Dashboard</x:v>
      </x:c>
      <x:c r="E38" s="339" t="str">
        <x:v>Dashboard / Query Service</x:v>
      </x:c>
      <x:c r="F38" s="339" t="str">
        <x:v>/api/v1/role-dashboards/parent-dashboard</x:v>
      </x:c>
      <x:c r="G38" s="339" t="str">
        <x:v>GET</x:v>
      </x:c>
      <x:c r="H38" s="339" t="str">
        <x:v>Tenant/school context + screen-specific filters/command payload; validate schema, effective references and request correlation/idempotency key for high-risk writes.</x:v>
      </x:c>
      <x:c r="I38" s="339" t="str">
        <x:v>Return authorized DTO with status/version, validation errors and correlation ID; never expose restricted fields.</x:v>
      </x:c>
      <x:c r="J38" s="339" t="str">
        <x:v>Parent</x:v>
      </x:c>
      <x:c r="K38" s="339" t="str">
        <x:v>Use optimistic concurrency/version checks for updates; idempotency for payments, admissions confirmation, bulk imports and other retry-prone commands.</x:v>
      </x:c>
      <x:c r="L38" s="339" t="str">
        <x:v>Publish domain events after successful commit when downstream modules/notifications depend on the change.</x:v>
      </x:c>
    </x:row>
    <x:row r="39">
      <x:c r="A39" s="339" t="str">
        <x:v>API-0038</x:v>
      </x:c>
      <x:c r="B39" s="339" t="str">
        <x:v>SCR-038</x:v>
      </x:c>
      <x:c r="C39" s="339" t="str">
        <x:v>Role Dashboards</x:v>
      </x:c>
      <x:c r="D39" s="339" t="str">
        <x:v>Accountant Dashboard</x:v>
      </x:c>
      <x:c r="E39" s="339" t="str">
        <x:v>Dashboard / Query Service</x:v>
      </x:c>
      <x:c r="F39" s="339" t="str">
        <x:v>/api/v1/role-dashboards/accountant-dashboard</x:v>
      </x:c>
      <x:c r="G39" s="339" t="str">
        <x:v>GET</x:v>
      </x:c>
      <x:c r="H39" s="339" t="str">
        <x:v>Tenant/school context + screen-specific filters/command payload; validate schema, effective references and request correlation/idempotency key for high-risk writes.</x:v>
      </x:c>
      <x:c r="I39" s="339" t="str">
        <x:v>Return authorized DTO with status/version, validation errors and correlation ID; never expose restricted fields.</x:v>
      </x:c>
      <x:c r="J39" s="339" t="str">
        <x:v>Accountant</x:v>
      </x:c>
      <x:c r="K39" s="339" t="str">
        <x:v>Use optimistic concurrency/version checks for updates; idempotency for payments, admissions confirmation, bulk imports and other retry-prone commands.</x:v>
      </x:c>
      <x:c r="L39" s="339" t="str">
        <x:v>Publish domain events after successful commit when downstream modules/notifications depend on the change.</x:v>
      </x:c>
    </x:row>
    <x:row r="40">
      <x:c r="A40" s="339" t="str">
        <x:v>API-0039</x:v>
      </x:c>
      <x:c r="B40" s="339" t="str">
        <x:v>SCR-039</x:v>
      </x:c>
      <x:c r="C40" s="339" t="str">
        <x:v>Role Dashboards</x:v>
      </x:c>
      <x:c r="D40" s="339" t="str">
        <x:v>HR Dashboard</x:v>
      </x:c>
      <x:c r="E40" s="339" t="str">
        <x:v>Dashboard / Query Service</x:v>
      </x:c>
      <x:c r="F40" s="339" t="str">
        <x:v>/api/v1/role-dashboards/hr-dashboard</x:v>
      </x:c>
      <x:c r="G40" s="339" t="str">
        <x:v>GET</x:v>
      </x:c>
      <x:c r="H40" s="339" t="str">
        <x:v>Tenant/school context + screen-specific filters/command payload; validate schema, effective references and request correlation/idempotency key for high-risk writes.</x:v>
      </x:c>
      <x:c r="I40" s="339" t="str">
        <x:v>Return authorized DTO with status/version, validation errors and correlation ID; never expose restricted fields.</x:v>
      </x:c>
      <x:c r="J40" s="339" t="str">
        <x:v>HR</x:v>
      </x:c>
      <x:c r="K40" s="339" t="str">
        <x:v>Use optimistic concurrency/version checks for updates; idempotency for payments, admissions confirmation, bulk imports and other retry-prone commands.</x:v>
      </x:c>
      <x:c r="L40" s="339" t="str">
        <x:v>Publish domain events after successful commit when downstream modules/notifications depend on the change.</x:v>
      </x:c>
    </x:row>
    <x:row r="41">
      <x:c r="A41" s="339" t="str">
        <x:v>API-0040</x:v>
      </x:c>
      <x:c r="B41" s="339" t="str">
        <x:v>SCR-040</x:v>
      </x:c>
      <x:c r="C41" s="339" t="str">
        <x:v>Role Dashboards</x:v>
      </x:c>
      <x:c r="D41" s="339" t="str">
        <x:v>Admission Officer Dashboard</x:v>
      </x:c>
      <x:c r="E41" s="339" t="str">
        <x:v>Dashboard / Query Service</x:v>
      </x:c>
      <x:c r="F41" s="339" t="str">
        <x:v>/api/v1/role-dashboards/admission-officer-dashboard</x:v>
      </x:c>
      <x:c r="G41" s="339" t="str">
        <x:v>GET</x:v>
      </x:c>
      <x:c r="H41" s="339" t="str">
        <x:v>Tenant/school context + screen-specific filters/command payload; validate schema, effective references and request correlation/idempotency key for high-risk writes.</x:v>
      </x:c>
      <x:c r="I41" s="339" t="str">
        <x:v>Return authorized DTO with status/version, validation errors and correlation ID; never expose restricted fields.</x:v>
      </x:c>
      <x:c r="J41" s="339" t="str">
        <x:v>Admission Officer</x:v>
      </x:c>
      <x:c r="K41" s="339" t="str">
        <x:v>Use optimistic concurrency/version checks for updates; idempotency for payments, admissions confirmation, bulk imports and other retry-prone commands.</x:v>
      </x:c>
      <x:c r="L41" s="339" t="str">
        <x:v>Publish domain events after successful commit when downstream modules/notifications depend on the change.</x:v>
      </x:c>
    </x:row>
    <x:row r="42">
      <x:c r="A42" s="339" t="str">
        <x:v>API-0041</x:v>
      </x:c>
      <x:c r="B42" s="339" t="str">
        <x:v>SCR-041</x:v>
      </x:c>
      <x:c r="C42" s="339" t="str">
        <x:v>Role Dashboards</x:v>
      </x:c>
      <x:c r="D42" s="339" t="str">
        <x:v>Transport Manager Dashboard</x:v>
      </x:c>
      <x:c r="E42" s="339" t="str">
        <x:v>Dashboard / Query Service</x:v>
      </x:c>
      <x:c r="F42" s="339" t="str">
        <x:v>/api/v1/role-dashboards/transport-manager-dashboard</x:v>
      </x:c>
      <x:c r="G42" s="339" t="str">
        <x:v>GET</x:v>
      </x:c>
      <x:c r="H42" s="339" t="str">
        <x:v>Tenant/school context + screen-specific filters/command payload; validate schema, effective references and request correlation/idempotency key for high-risk writes.</x:v>
      </x:c>
      <x:c r="I42" s="339" t="str">
        <x:v>Return authorized DTO with status/version, validation errors and correlation ID; never expose restricted fields.</x:v>
      </x:c>
      <x:c r="J42" s="339" t="str">
        <x:v>Transport Manager</x:v>
      </x:c>
      <x:c r="K42" s="339" t="str">
        <x:v>Use optimistic concurrency/version checks for updates; idempotency for payments, admissions confirmation, bulk imports and other retry-prone commands.</x:v>
      </x:c>
      <x:c r="L42" s="339" t="str">
        <x:v>Publish domain events after successful commit when downstream modules/notifications depend on the change.</x:v>
      </x:c>
    </x:row>
    <x:row r="43">
      <x:c r="A43" s="339" t="str">
        <x:v>API-0042</x:v>
      </x:c>
      <x:c r="B43" s="339" t="str">
        <x:v>SCR-042</x:v>
      </x:c>
      <x:c r="C43" s="339" t="str">
        <x:v>Role Dashboards</x:v>
      </x:c>
      <x:c r="D43" s="339" t="str">
        <x:v>Librarian Dashboard</x:v>
      </x:c>
      <x:c r="E43" s="339" t="str">
        <x:v>Dashboard / Query Service</x:v>
      </x:c>
      <x:c r="F43" s="339" t="str">
        <x:v>/api/v1/role-dashboards/librarian-dashboard</x:v>
      </x:c>
      <x:c r="G43" s="339" t="str">
        <x:v>GET</x:v>
      </x:c>
      <x:c r="H43" s="339" t="str">
        <x:v>Tenant/school context + screen-specific filters/command payload; validate schema, effective references and request correlation/idempotency key for high-risk writes.</x:v>
      </x:c>
      <x:c r="I43" s="339" t="str">
        <x:v>Return authorized DTO with status/version, validation errors and correlation ID; never expose restricted fields.</x:v>
      </x:c>
      <x:c r="J43" s="339" t="str">
        <x:v>Librarian</x:v>
      </x:c>
      <x:c r="K43" s="339" t="str">
        <x:v>Use optimistic concurrency/version checks for updates; idempotency for payments, admissions confirmation, bulk imports and other retry-prone commands.</x:v>
      </x:c>
      <x:c r="L43" s="339" t="str">
        <x:v>Publish domain events after successful commit when downstream modules/notifications depend on the change.</x:v>
      </x:c>
    </x:row>
    <x:row r="44">
      <x:c r="A44" s="339" t="str">
        <x:v>API-0043</x:v>
      </x:c>
      <x:c r="B44" s="339" t="str">
        <x:v>SCR-043</x:v>
      </x:c>
      <x:c r="C44" s="339" t="str">
        <x:v>Admissions &amp; Enquiries</x:v>
      </x:c>
      <x:c r="D44" s="339" t="str">
        <x:v>Admission / Enquiry Dashboard</x:v>
      </x:c>
      <x:c r="E44" s="339" t="str">
        <x:v>Admissions Service</x:v>
      </x:c>
      <x:c r="F44" s="339" t="str">
        <x:v>/api/v1/admissions-enquiries/admission-enquiry-dashboard</x:v>
      </x:c>
      <x:c r="G44" s="339" t="str">
        <x:v>GET</x:v>
      </x:c>
      <x:c r="H44" s="339" t="str">
        <x:v>Tenant/school context + screen-specific filters/command payload; validate schema, effective references and request correlation/idempotency key for high-risk writes.</x:v>
      </x:c>
      <x:c r="I44" s="339" t="str">
        <x:v>Return authorized DTO with status/version, validation errors and correlation ID; never expose restricted fields.</x:v>
      </x:c>
      <x:c r="J44" s="339" t="str">
        <x:v>Admission Officer, Receptionist, School Admin, Principal</x:v>
      </x:c>
      <x:c r="K44" s="339" t="str">
        <x:v>Use optimistic concurrency/version checks for updates; idempotency for payments, admissions confirmation, bulk imports and other retry-prone commands.</x:v>
      </x:c>
      <x:c r="L44" s="339" t="str">
        <x:v>Publish domain events after successful commit when downstream modules/notifications depend on the change.</x:v>
      </x:c>
    </x:row>
    <x:row r="45">
      <x:c r="A45" s="339" t="str">
        <x:v>API-0044</x:v>
      </x:c>
      <x:c r="B45" s="339" t="str">
        <x:v>SCR-044</x:v>
      </x:c>
      <x:c r="C45" s="339" t="str">
        <x:v>Admissions &amp; Enquiries</x:v>
      </x:c>
      <x:c r="D45" s="339" t="str">
        <x:v>Enquiry List</x:v>
      </x:c>
      <x:c r="E45" s="339" t="str">
        <x:v>Admissions Service</x:v>
      </x:c>
      <x:c r="F45" s="339" t="str">
        <x:v>/api/v1/admissions-enquiries/enquiry-list</x:v>
      </x:c>
      <x:c r="G45" s="339" t="str">
        <x:v>GET + POST/PATCH actions</x:v>
      </x:c>
      <x:c r="H45" s="339" t="str">
        <x:v>Tenant/school context + screen-specific filters/command payload; validate schema, effective references and request correlation/idempotency key for high-risk writes.</x:v>
      </x:c>
      <x:c r="I45" s="339" t="str">
        <x:v>Return authorized DTO with status/version, validation errors and correlation ID; never expose restricted fields.</x:v>
      </x:c>
      <x:c r="J45" s="339" t="str">
        <x:v>Admission Officer, Receptionist, School Admin, Principal</x:v>
      </x:c>
      <x:c r="K45" s="339" t="str">
        <x:v>Use optimistic concurrency/version checks for updates; idempotency for payments, admissions confirmation, bulk imports and other retry-prone commands.</x:v>
      </x:c>
      <x:c r="L45" s="339" t="str">
        <x:v>Publish domain events after successful commit when downstream modules/notifications depend on the change.</x:v>
      </x:c>
    </x:row>
    <x:row r="46">
      <x:c r="A46" s="339" t="str">
        <x:v>API-0045</x:v>
      </x:c>
      <x:c r="B46" s="339" t="str">
        <x:v>SCR-045</x:v>
      </x:c>
      <x:c r="C46" s="339" t="str">
        <x:v>Admissions &amp; Enquiries</x:v>
      </x:c>
      <x:c r="D46" s="339" t="str">
        <x:v>Add Enquiry</x:v>
      </x:c>
      <x:c r="E46" s="339" t="str">
        <x:v>Admissions Service</x:v>
      </x:c>
      <x:c r="F46" s="339" t="str">
        <x:v>/api/v1/admissions-enquiries/add-enquiry</x:v>
      </x:c>
      <x:c r="G46" s="339" t="str">
        <x:v>POST</x:v>
      </x:c>
      <x:c r="H46" s="339" t="str">
        <x:v>Tenant/school context + screen-specific filters/command payload; validate schema, effective references and request correlation/idempotency key for high-risk writes.</x:v>
      </x:c>
      <x:c r="I46" s="339" t="str">
        <x:v>Return authorized DTO with status/version, validation errors and correlation ID; never expose restricted fields.</x:v>
      </x:c>
      <x:c r="J46" s="339" t="str">
        <x:v>Admission Officer, Receptionist, School Admin, Principal</x:v>
      </x:c>
      <x:c r="K46" s="339" t="str">
        <x:v>Use optimistic concurrency/version checks for updates; idempotency for payments, admissions confirmation, bulk imports and other retry-prone commands.</x:v>
      </x:c>
      <x:c r="L46" s="339" t="str">
        <x:v>Publish domain events after successful commit when downstream modules/notifications depend on the change.</x:v>
      </x:c>
    </x:row>
    <x:row r="47">
      <x:c r="A47" s="339" t="str">
        <x:v>API-0046</x:v>
      </x:c>
      <x:c r="B47" s="339" t="str">
        <x:v>SCR-046</x:v>
      </x:c>
      <x:c r="C47" s="339" t="str">
        <x:v>Admissions &amp; Enquiries</x:v>
      </x:c>
      <x:c r="D47" s="339" t="str">
        <x:v>Enquiry Details</x:v>
      </x:c>
      <x:c r="E47" s="339" t="str">
        <x:v>Admissions Service</x:v>
      </x:c>
      <x:c r="F47" s="339" t="str">
        <x:v>/api/v1/admissions-enquiries/enquiry-details</x:v>
      </x:c>
      <x:c r="G47" s="339" t="str">
        <x:v>GET + PATCH</x:v>
      </x:c>
      <x:c r="H47" s="339" t="str">
        <x:v>Tenant/school context + screen-specific filters/command payload; validate schema, effective references and request correlation/idempotency key for high-risk writes.</x:v>
      </x:c>
      <x:c r="I47" s="339" t="str">
        <x:v>Return authorized DTO with status/version, validation errors and correlation ID; never expose restricted fields.</x:v>
      </x:c>
      <x:c r="J47" s="339" t="str">
        <x:v>Admission Officer, Receptionist, School Admin, Principal</x:v>
      </x:c>
      <x:c r="K47" s="339" t="str">
        <x:v>Use optimistic concurrency/version checks for updates; idempotency for payments, admissions confirmation, bulk imports and other retry-prone commands.</x:v>
      </x:c>
      <x:c r="L47" s="339" t="str">
        <x:v>Publish domain events after successful commit when downstream modules/notifications depend on the change.</x:v>
      </x:c>
    </x:row>
    <x:row r="48">
      <x:c r="A48" s="339" t="str">
        <x:v>API-0047</x:v>
      </x:c>
      <x:c r="B48" s="339" t="str">
        <x:v>SCR-047</x:v>
      </x:c>
      <x:c r="C48" s="339" t="str">
        <x:v>Admissions &amp; Enquiries</x:v>
      </x:c>
      <x:c r="D48" s="339" t="str">
        <x:v>Follow-up Calendar</x:v>
      </x:c>
      <x:c r="E48" s="339" t="str">
        <x:v>Admissions Service</x:v>
      </x:c>
      <x:c r="F48" s="339" t="str">
        <x:v>/api/v1/admissions-enquiries/follow-up-calendar</x:v>
      </x:c>
      <x:c r="G48" s="339" t="str">
        <x:v>GET + POST/PATCH</x:v>
      </x:c>
      <x:c r="H48" s="339" t="str">
        <x:v>Tenant/school context + screen-specific filters/command payload; validate schema, effective references and request correlation/idempotency key for high-risk writes.</x:v>
      </x:c>
      <x:c r="I48" s="339" t="str">
        <x:v>Return authorized DTO with status/version, validation errors and correlation ID; never expose restricted fields.</x:v>
      </x:c>
      <x:c r="J48" s="339" t="str">
        <x:v>Admission Officer, Receptionist, School Admin, Principal</x:v>
      </x:c>
      <x:c r="K48" s="339" t="str">
        <x:v>Use optimistic concurrency/version checks for updates; idempotency for payments, admissions confirmation, bulk imports and other retry-prone commands.</x:v>
      </x:c>
      <x:c r="L48" s="339" t="str">
        <x:v>Publish domain events after successful commit when downstream modules/notifications depend on the change.</x:v>
      </x:c>
    </x:row>
    <x:row r="49">
      <x:c r="A49" s="339" t="str">
        <x:v>API-0048</x:v>
      </x:c>
      <x:c r="B49" s="339" t="str">
        <x:v>SCR-048</x:v>
      </x:c>
      <x:c r="C49" s="339" t="str">
        <x:v>Admissions &amp; Enquiries</x:v>
      </x:c>
      <x:c r="D49" s="339" t="str">
        <x:v>Admission Applications</x:v>
      </x:c>
      <x:c r="E49" s="339" t="str">
        <x:v>Admissions Service</x:v>
      </x:c>
      <x:c r="F49" s="339" t="str">
        <x:v>/api/v1/admissions-enquiries/admission-applications</x:v>
      </x:c>
      <x:c r="G49" s="339" t="str">
        <x:v>GET + POST/PATCH actions</x:v>
      </x:c>
      <x:c r="H49" s="339" t="str">
        <x:v>Tenant/school context + screen-specific filters/command payload; validate schema, effective references and request correlation/idempotency key for high-risk writes.</x:v>
      </x:c>
      <x:c r="I49" s="339" t="str">
        <x:v>Return authorized DTO with status/version, validation errors and correlation ID; never expose restricted fields.</x:v>
      </x:c>
      <x:c r="J49" s="339" t="str">
        <x:v>Admission Officer, Receptionist, School Admin, Principal</x:v>
      </x:c>
      <x:c r="K49" s="339" t="str">
        <x:v>Use optimistic concurrency/version checks for updates; idempotency for payments, admissions confirmation, bulk imports and other retry-prone commands.</x:v>
      </x:c>
      <x:c r="L49" s="339" t="str">
        <x:v>Publish domain events after successful commit when downstream modules/notifications depend on the change.</x:v>
      </x:c>
    </x:row>
    <x:row r="50">
      <x:c r="A50" s="339" t="str">
        <x:v>API-0049</x:v>
      </x:c>
      <x:c r="B50" s="339" t="str">
        <x:v>SCR-049</x:v>
      </x:c>
      <x:c r="C50" s="339" t="str">
        <x:v>Admissions &amp; Enquiries</x:v>
      </x:c>
      <x:c r="D50" s="339" t="str">
        <x:v>New Admission Application</x:v>
      </x:c>
      <x:c r="E50" s="339" t="str">
        <x:v>Admissions Service</x:v>
      </x:c>
      <x:c r="F50" s="339" t="str">
        <x:v>/api/v1/admissions-enquiries/new-admission-application</x:v>
      </x:c>
      <x:c r="G50" s="339" t="str">
        <x:v>POST</x:v>
      </x:c>
      <x:c r="H50" s="339" t="str">
        <x:v>Tenant/school context + screen-specific filters/command payload; validate schema, effective references and request correlation/idempotency key for high-risk writes.</x:v>
      </x:c>
      <x:c r="I50" s="339" t="str">
        <x:v>Return authorized DTO with status/version, validation errors and correlation ID; never expose restricted fields.</x:v>
      </x:c>
      <x:c r="J50" s="339" t="str">
        <x:v>Admission Officer, Receptionist, School Admin, Principal</x:v>
      </x:c>
      <x:c r="K50" s="339" t="str">
        <x:v>Use optimistic concurrency/version checks for updates; idempotency for payments, admissions confirmation, bulk imports and other retry-prone commands.</x:v>
      </x:c>
      <x:c r="L50" s="339" t="str">
        <x:v>Publish domain events after successful commit when downstream modules/notifications depend on the change.</x:v>
      </x:c>
    </x:row>
    <x:row r="51">
      <x:c r="A51" s="339" t="str">
        <x:v>API-0050</x:v>
      </x:c>
      <x:c r="B51" s="339" t="str">
        <x:v>SCR-050</x:v>
      </x:c>
      <x:c r="C51" s="339" t="str">
        <x:v>Admissions &amp; Enquiries</x:v>
      </x:c>
      <x:c r="D51" s="339" t="str">
        <x:v>Application Details</x:v>
      </x:c>
      <x:c r="E51" s="339" t="str">
        <x:v>Admissions Service</x:v>
      </x:c>
      <x:c r="F51" s="339" t="str">
        <x:v>/api/v1/admissions-enquiries/application-details</x:v>
      </x:c>
      <x:c r="G51" s="339" t="str">
        <x:v>GET + PATCH</x:v>
      </x:c>
      <x:c r="H51" s="339" t="str">
        <x:v>Tenant/school context + screen-specific filters/command payload; validate schema, effective references and request correlation/idempotency key for high-risk writes.</x:v>
      </x:c>
      <x:c r="I51" s="339" t="str">
        <x:v>Return authorized DTO with status/version, validation errors and correlation ID; never expose restricted fields.</x:v>
      </x:c>
      <x:c r="J51" s="339" t="str">
        <x:v>Admission Officer, Receptionist, School Admin, Principal</x:v>
      </x:c>
      <x:c r="K51" s="339" t="str">
        <x:v>Use optimistic concurrency/version checks for updates; idempotency for payments, admissions confirmation, bulk imports and other retry-prone commands.</x:v>
      </x:c>
      <x:c r="L51" s="339" t="str">
        <x:v>Publish domain events after successful commit when downstream modules/notifications depend on the change.</x:v>
      </x:c>
    </x:row>
    <x:row r="52">
      <x:c r="A52" s="339" t="str">
        <x:v>API-0051</x:v>
      </x:c>
      <x:c r="B52" s="339" t="str">
        <x:v>SCR-051</x:v>
      </x:c>
      <x:c r="C52" s="339" t="str">
        <x:v>Admissions &amp; Enquiries</x:v>
      </x:c>
      <x:c r="D52" s="339" t="str">
        <x:v>Document Verification</x:v>
      </x:c>
      <x:c r="E52" s="339" t="str">
        <x:v>Admissions Service</x:v>
      </x:c>
      <x:c r="F52" s="339" t="str">
        <x:v>/api/v1/admissions-enquiries/document-verification</x:v>
      </x:c>
      <x:c r="G52" s="339" t="str">
        <x:v>PATCH/POST action</x:v>
      </x:c>
      <x:c r="H52" s="339" t="str">
        <x:v>Tenant/school context + screen-specific filters/command payload; validate schema, effective references and request correlation/idempotency key for high-risk writes.</x:v>
      </x:c>
      <x:c r="I52" s="339" t="str">
        <x:v>Return authorized DTO with status/version, validation errors and correlation ID; never expose restricted fields.</x:v>
      </x:c>
      <x:c r="J52" s="339" t="str">
        <x:v>Admission Officer, Receptionist, School Admin, Principal</x:v>
      </x:c>
      <x:c r="K52" s="339" t="str">
        <x:v>Use optimistic concurrency/version checks for updates; idempotency for payments, admissions confirmation, bulk imports and other retry-prone commands.</x:v>
      </x:c>
      <x:c r="L52" s="339" t="str">
        <x:v>Publish domain events after successful commit when downstream modules/notifications depend on the change.</x:v>
      </x:c>
    </x:row>
    <x:row r="53">
      <x:c r="A53" s="339" t="str">
        <x:v>API-0052</x:v>
      </x:c>
      <x:c r="B53" s="339" t="str">
        <x:v>SCR-052</x:v>
      </x:c>
      <x:c r="C53" s="339" t="str">
        <x:v>Admissions &amp; Enquiries</x:v>
      </x:c>
      <x:c r="D53" s="339" t="str">
        <x:v>Entrance Assessment</x:v>
      </x:c>
      <x:c r="E53" s="339" t="str">
        <x:v>Admissions Service</x:v>
      </x:c>
      <x:c r="F53" s="339" t="str">
        <x:v>/api/v1/admissions-enquiries/entrance-assessment</x:v>
      </x:c>
      <x:c r="G53" s="339" t="str">
        <x:v>GET + POST/PATCH</x:v>
      </x:c>
      <x:c r="H53" s="339" t="str">
        <x:v>Tenant/school context + screen-specific filters/command payload; validate schema, effective references and request correlation/idempotency key for high-risk writes.</x:v>
      </x:c>
      <x:c r="I53" s="339" t="str">
        <x:v>Return authorized DTO with status/version, validation errors and correlation ID; never expose restricted fields.</x:v>
      </x:c>
      <x:c r="J53" s="339" t="str">
        <x:v>Admission Officer, Receptionist, School Admin, Principal</x:v>
      </x:c>
      <x:c r="K53" s="339" t="str">
        <x:v>Use optimistic concurrency/version checks for updates; idempotency for payments, admissions confirmation, bulk imports and other retry-prone commands.</x:v>
      </x:c>
      <x:c r="L53" s="339" t="str">
        <x:v>Publish domain events after successful commit when downstream modules/notifications depend on the change.</x:v>
      </x:c>
    </x:row>
    <x:row r="54">
      <x:c r="A54" s="339" t="str">
        <x:v>API-0053</x:v>
      </x:c>
      <x:c r="B54" s="339" t="str">
        <x:v>SCR-053</x:v>
      </x:c>
      <x:c r="C54" s="339" t="str">
        <x:v>Admissions &amp; Enquiries</x:v>
      </x:c>
      <x:c r="D54" s="339" t="str">
        <x:v>Admission Approval</x:v>
      </x:c>
      <x:c r="E54" s="339" t="str">
        <x:v>Admissions Service</x:v>
      </x:c>
      <x:c r="F54" s="339" t="str">
        <x:v>/api/v1/admissions-enquiries/admission-approval</x:v>
      </x:c>
      <x:c r="G54" s="339" t="str">
        <x:v>PATCH/POST action</x:v>
      </x:c>
      <x:c r="H54" s="339" t="str">
        <x:v>Tenant/school context + screen-specific filters/command payload; validate schema, effective references and request correlation/idempotency key for high-risk writes.</x:v>
      </x:c>
      <x:c r="I54" s="339" t="str">
        <x:v>Return authorized DTO with status/version, validation errors and correlation ID; never expose restricted fields.</x:v>
      </x:c>
      <x:c r="J54" s="339" t="str">
        <x:v>Admission Officer, Receptionist, School Admin, Principal</x:v>
      </x:c>
      <x:c r="K54" s="339" t="str">
        <x:v>Use optimistic concurrency/version checks for updates; idempotency for payments, admissions confirmation, bulk imports and other retry-prone commands.</x:v>
      </x:c>
      <x:c r="L54" s="339" t="str">
        <x:v>Publish domain events after successful commit when downstream modules/notifications depend on the change.</x:v>
      </x:c>
    </x:row>
    <x:row r="55">
      <x:c r="A55" s="339" t="str">
        <x:v>API-0054</x:v>
      </x:c>
      <x:c r="B55" s="339" t="str">
        <x:v>SCR-054</x:v>
      </x:c>
      <x:c r="C55" s="339" t="str">
        <x:v>Admissions &amp; Enquiries</x:v>
      </x:c>
      <x:c r="D55" s="339" t="str">
        <x:v>Admission Confirmation &amp; Student Creation</x:v>
      </x:c>
      <x:c r="E55" s="339" t="str">
        <x:v>Admissions Service</x:v>
      </x:c>
      <x:c r="F55" s="339" t="str">
        <x:v>/api/v1/admissions-enquiries/admission-confirmation-student-creation</x:v>
      </x:c>
      <x:c r="G55" s="339" t="str">
        <x:v>GET + POST/PATCH</x:v>
      </x:c>
      <x:c r="H55" s="339" t="str">
        <x:v>Tenant/school context + screen-specific filters/command payload; validate schema, effective references and request correlation/idempotency key for high-risk writes.</x:v>
      </x:c>
      <x:c r="I55" s="339" t="str">
        <x:v>Return authorized DTO with status/version, validation errors and correlation ID; never expose restricted fields.</x:v>
      </x:c>
      <x:c r="J55" s="339" t="str">
        <x:v>Admission Officer, Receptionist, School Admin, Principal</x:v>
      </x:c>
      <x:c r="K55" s="339" t="str">
        <x:v>Use optimistic concurrency/version checks for updates; idempotency for payments, admissions confirmation, bulk imports and other retry-prone commands.</x:v>
      </x:c>
      <x:c r="L55" s="339" t="str">
        <x:v>Publish domain events after successful commit when downstream modules/notifications depend on the change.</x:v>
      </x:c>
    </x:row>
    <x:row r="56">
      <x:c r="A56" s="339" t="str">
        <x:v>API-0055</x:v>
      </x:c>
      <x:c r="B56" s="339" t="str">
        <x:v>SCR-055</x:v>
      </x:c>
      <x:c r="C56" s="339" t="str">
        <x:v>Students</x:v>
      </x:c>
      <x:c r="D56" s="339" t="str">
        <x:v>Student Directory</x:v>
      </x:c>
      <x:c r="E56" s="339" t="str">
        <x:v>Student Service</x:v>
      </x:c>
      <x:c r="F56" s="339" t="str">
        <x:v>/api/v1/students/student-directory</x:v>
      </x:c>
      <x:c r="G56" s="339" t="str">
        <x:v>GET + POST/PATCH actions</x:v>
      </x:c>
      <x:c r="H56" s="339" t="str">
        <x:v>Tenant/school context + screen-specific filters/command payload; validate schema, effective references and request correlation/idempotency key for high-risk writes.</x:v>
      </x:c>
      <x:c r="I56" s="339" t="str">
        <x:v>Return authorized DTO with status/version, validation errors and correlation ID; never expose restricted fields.</x:v>
      </x:c>
      <x:c r="J56" s="339" t="str">
        <x:v>School Admin, Principal, Class Teacher, Teacher</x:v>
      </x:c>
      <x:c r="K56" s="339" t="str">
        <x:v>Use optimistic concurrency/version checks for updates; idempotency for payments, admissions confirmation, bulk imports and other retry-prone commands.</x:v>
      </x:c>
      <x:c r="L56" s="339" t="str">
        <x:v>Publish domain events after successful commit when downstream modules/notifications depend on the change.</x:v>
      </x:c>
    </x:row>
    <x:row r="57">
      <x:c r="A57" s="339" t="str">
        <x:v>API-0056</x:v>
      </x:c>
      <x:c r="B57" s="339" t="str">
        <x:v>SCR-056</x:v>
      </x:c>
      <x:c r="C57" s="339" t="str">
        <x:v>Students</x:v>
      </x:c>
      <x:c r="D57" s="339" t="str">
        <x:v>Add Student</x:v>
      </x:c>
      <x:c r="E57" s="339" t="str">
        <x:v>Student Service</x:v>
      </x:c>
      <x:c r="F57" s="339" t="str">
        <x:v>/api/v1/students/add-student</x:v>
      </x:c>
      <x:c r="G57" s="339" t="str">
        <x:v>POST</x:v>
      </x:c>
      <x:c r="H57" s="339" t="str">
        <x:v>Tenant/school context + screen-specific filters/command payload; validate schema, effective references and request correlation/idempotency key for high-risk writes.</x:v>
      </x:c>
      <x:c r="I57" s="339" t="str">
        <x:v>Return authorized DTO with status/version, validation errors and correlation ID; never expose restricted fields.</x:v>
      </x:c>
      <x:c r="J57" s="339" t="str">
        <x:v>School Admin, Principal, Class Teacher, Teacher</x:v>
      </x:c>
      <x:c r="K57" s="339" t="str">
        <x:v>Use optimistic concurrency/version checks for updates; idempotency for payments, admissions confirmation, bulk imports and other retry-prone commands.</x:v>
      </x:c>
      <x:c r="L57" s="339" t="str">
        <x:v>Publish domain events after successful commit when downstream modules/notifications depend on the change.</x:v>
      </x:c>
    </x:row>
    <x:row r="58">
      <x:c r="A58" s="339" t="str">
        <x:v>API-0057</x:v>
      </x:c>
      <x:c r="B58" s="339" t="str">
        <x:v>SCR-057</x:v>
      </x:c>
      <x:c r="C58" s="339" t="str">
        <x:v>Students</x:v>
      </x:c>
      <x:c r="D58" s="339" t="str">
        <x:v>Student Profile Overview</x:v>
      </x:c>
      <x:c r="E58" s="339" t="str">
        <x:v>Student Service</x:v>
      </x:c>
      <x:c r="F58" s="339" t="str">
        <x:v>/api/v1/students/student-profile-overview</x:v>
      </x:c>
      <x:c r="G58" s="339" t="str">
        <x:v>GET + PATCH</x:v>
      </x:c>
      <x:c r="H58" s="339" t="str">
        <x:v>Tenant/school context + screen-specific filters/command payload; validate schema, effective references and request correlation/idempotency key for high-risk writes.</x:v>
      </x:c>
      <x:c r="I58" s="339" t="str">
        <x:v>Return authorized DTO with status/version, validation errors and correlation ID; never expose restricted fields.</x:v>
      </x:c>
      <x:c r="J58" s="339" t="str">
        <x:v>School Admin, Principal, Class Teacher, Teacher</x:v>
      </x:c>
      <x:c r="K58" s="339" t="str">
        <x:v>Use optimistic concurrency/version checks for updates; idempotency for payments, admissions confirmation, bulk imports and other retry-prone commands.</x:v>
      </x:c>
      <x:c r="L58" s="339" t="str">
        <x:v>Publish domain events after successful commit when downstream modules/notifications depend on the change.</x:v>
      </x:c>
    </x:row>
    <x:row r="59">
      <x:c r="A59" s="339" t="str">
        <x:v>API-0058</x:v>
      </x:c>
      <x:c r="B59" s="339" t="str">
        <x:v>SCR-058</x:v>
      </x:c>
      <x:c r="C59" s="339" t="str">
        <x:v>Students</x:v>
      </x:c>
      <x:c r="D59" s="339" t="str">
        <x:v>Edit Student</x:v>
      </x:c>
      <x:c r="E59" s="339" t="str">
        <x:v>Student Service</x:v>
      </x:c>
      <x:c r="F59" s="339" t="str">
        <x:v>/api/v1/students/edit-student</x:v>
      </x:c>
      <x:c r="G59" s="339" t="str">
        <x:v>PATCH/POST action</x:v>
      </x:c>
      <x:c r="H59" s="339" t="str">
        <x:v>Tenant/school context + screen-specific filters/command payload; validate schema, effective references and request correlation/idempotency key for high-risk writes.</x:v>
      </x:c>
      <x:c r="I59" s="339" t="str">
        <x:v>Return authorized DTO with status/version, validation errors and correlation ID; never expose restricted fields.</x:v>
      </x:c>
      <x:c r="J59" s="339" t="str">
        <x:v>School Admin, Principal, Class Teacher, Teacher</x:v>
      </x:c>
      <x:c r="K59" s="339" t="str">
        <x:v>Use optimistic concurrency/version checks for updates; idempotency for payments, admissions confirmation, bulk imports and other retry-prone commands.</x:v>
      </x:c>
      <x:c r="L59" s="339" t="str">
        <x:v>Publish domain events after successful commit when downstream modules/notifications depend on the change.</x:v>
      </x:c>
    </x:row>
    <x:row r="60">
      <x:c r="A60" s="339" t="str">
        <x:v>API-0059</x:v>
      </x:c>
      <x:c r="B60" s="339" t="str">
        <x:v>SCR-059</x:v>
      </x:c>
      <x:c r="C60" s="339" t="str">
        <x:v>Students</x:v>
      </x:c>
      <x:c r="D60" s="339" t="str">
        <x:v>Student Academic Details</x:v>
      </x:c>
      <x:c r="E60" s="339" t="str">
        <x:v>Student Service</x:v>
      </x:c>
      <x:c r="F60" s="339" t="str">
        <x:v>/api/v1/students/student-academic-details</x:v>
      </x:c>
      <x:c r="G60" s="339" t="str">
        <x:v>GET + PATCH</x:v>
      </x:c>
      <x:c r="H60" s="339" t="str">
        <x:v>Tenant/school context + screen-specific filters/command payload; validate schema, effective references and request correlation/idempotency key for high-risk writes.</x:v>
      </x:c>
      <x:c r="I60" s="339" t="str">
        <x:v>Return authorized DTO with status/version, validation errors and correlation ID; never expose restricted fields.</x:v>
      </x:c>
      <x:c r="J60" s="339" t="str">
        <x:v>School Admin, Principal, Class Teacher, Teacher</x:v>
      </x:c>
      <x:c r="K60" s="339" t="str">
        <x:v>Use optimistic concurrency/version checks for updates; idempotency for payments, admissions confirmation, bulk imports and other retry-prone commands.</x:v>
      </x:c>
      <x:c r="L60" s="339" t="str">
        <x:v>Publish domain events after successful commit when downstream modules/notifications depend on the change.</x:v>
      </x:c>
    </x:row>
    <x:row r="61">
      <x:c r="A61" s="339" t="str">
        <x:v>API-0060</x:v>
      </x:c>
      <x:c r="B61" s="339" t="str">
        <x:v>SCR-060</x:v>
      </x:c>
      <x:c r="C61" s="339" t="str">
        <x:v>Students</x:v>
      </x:c>
      <x:c r="D61" s="339" t="str">
        <x:v>Student Attendance History</x:v>
      </x:c>
      <x:c r="E61" s="339" t="str">
        <x:v>Student Service</x:v>
      </x:c>
      <x:c r="F61" s="339" t="str">
        <x:v>/api/v1/students/student-attendance-history</x:v>
      </x:c>
      <x:c r="G61" s="339" t="str">
        <x:v>GET + PATCH</x:v>
      </x:c>
      <x:c r="H61" s="339" t="str">
        <x:v>Tenant/school context + screen-specific filters/command payload; validate schema, effective references and request correlation/idempotency key for high-risk writes.</x:v>
      </x:c>
      <x:c r="I61" s="339" t="str">
        <x:v>Return authorized DTO with status/version, validation errors and correlation ID; never expose restricted fields.</x:v>
      </x:c>
      <x:c r="J61" s="339" t="str">
        <x:v>School Admin, Principal, Class Teacher, Teacher</x:v>
      </x:c>
      <x:c r="K61" s="339" t="str">
        <x:v>Use optimistic concurrency/version checks for updates; idempotency for payments, admissions confirmation, bulk imports and other retry-prone commands.</x:v>
      </x:c>
      <x:c r="L61" s="339" t="str">
        <x:v>Publish domain events after successful commit when downstream modules/notifications depend on the change.</x:v>
      </x:c>
    </x:row>
    <x:row r="62">
      <x:c r="A62" s="339" t="str">
        <x:v>API-0061</x:v>
      </x:c>
      <x:c r="B62" s="339" t="str">
        <x:v>SCR-061</x:v>
      </x:c>
      <x:c r="C62" s="339" t="str">
        <x:v>Students</x:v>
      </x:c>
      <x:c r="D62" s="339" t="str">
        <x:v>Student Examination &amp; Results</x:v>
      </x:c>
      <x:c r="E62" s="339" t="str">
        <x:v>Student Service</x:v>
      </x:c>
      <x:c r="F62" s="339" t="str">
        <x:v>/api/v1/students/student-examination-results</x:v>
      </x:c>
      <x:c r="G62" s="339" t="str">
        <x:v>GET + PATCH</x:v>
      </x:c>
      <x:c r="H62" s="339" t="str">
        <x:v>Tenant/school context + screen-specific filters/command payload; validate schema, effective references and request correlation/idempotency key for high-risk writes.</x:v>
      </x:c>
      <x:c r="I62" s="339" t="str">
        <x:v>Return authorized DTO with status/version, validation errors and correlation ID; never expose restricted fields.</x:v>
      </x:c>
      <x:c r="J62" s="339" t="str">
        <x:v>School Admin, Principal, Class Teacher, Teacher</x:v>
      </x:c>
      <x:c r="K62" s="339" t="str">
        <x:v>Use optimistic concurrency/version checks for updates; idempotency for payments, admissions confirmation, bulk imports and other retry-prone commands.</x:v>
      </x:c>
      <x:c r="L62" s="339" t="str">
        <x:v>Publish domain events after successful commit when downstream modules/notifications depend on the change.</x:v>
      </x:c>
    </x:row>
    <x:row r="63">
      <x:c r="A63" s="339" t="str">
        <x:v>API-0062</x:v>
      </x:c>
      <x:c r="B63" s="339" t="str">
        <x:v>SCR-062</x:v>
      </x:c>
      <x:c r="C63" s="339" t="str">
        <x:v>Students</x:v>
      </x:c>
      <x:c r="D63" s="339" t="str">
        <x:v>Student Fees &amp; Ledger</x:v>
      </x:c>
      <x:c r="E63" s="339" t="str">
        <x:v>Student Service</x:v>
      </x:c>
      <x:c r="F63" s="339" t="str">
        <x:v>/api/v1/students/student-fees-ledger</x:v>
      </x:c>
      <x:c r="G63" s="339" t="str">
        <x:v>GET + PATCH</x:v>
      </x:c>
      <x:c r="H63" s="339" t="str">
        <x:v>Tenant/school context + screen-specific filters/command payload; validate schema, effective references and request correlation/idempotency key for high-risk writes.</x:v>
      </x:c>
      <x:c r="I63" s="339" t="str">
        <x:v>Return authorized DTO with status/version, validation errors and correlation ID; never expose restricted fields.</x:v>
      </x:c>
      <x:c r="J63" s="339" t="str">
        <x:v>School Admin, Principal, Class Teacher, Teacher</x:v>
      </x:c>
      <x:c r="K63" s="339" t="str">
        <x:v>Use optimistic concurrency/version checks for updates; idempotency for payments, admissions confirmation, bulk imports and other retry-prone commands.</x:v>
      </x:c>
      <x:c r="L63" s="339" t="str">
        <x:v>Publish domain events after successful commit when downstream modules/notifications depend on the change.</x:v>
      </x:c>
    </x:row>
    <x:row r="64">
      <x:c r="A64" s="339" t="str">
        <x:v>API-0063</x:v>
      </x:c>
      <x:c r="B64" s="339" t="str">
        <x:v>SCR-063</x:v>
      </x:c>
      <x:c r="C64" s="339" t="str">
        <x:v>Students</x:v>
      </x:c>
      <x:c r="D64" s="339" t="str">
        <x:v>Student Documents</x:v>
      </x:c>
      <x:c r="E64" s="339" t="str">
        <x:v>Student Service</x:v>
      </x:c>
      <x:c r="F64" s="339" t="str">
        <x:v>/api/v1/students/student-documents</x:v>
      </x:c>
      <x:c r="G64" s="339" t="str">
        <x:v>GET + POST/PATCH</x:v>
      </x:c>
      <x:c r="H64" s="339" t="str">
        <x:v>Tenant/school context + screen-specific filters/command payload; validate schema, effective references and request correlation/idempotency key for high-risk writes.</x:v>
      </x:c>
      <x:c r="I64" s="339" t="str">
        <x:v>Return authorized DTO with status/version, validation errors and correlation ID; never expose restricted fields.</x:v>
      </x:c>
      <x:c r="J64" s="339" t="str">
        <x:v>School Admin, Principal, Class Teacher, Teacher</x:v>
      </x:c>
      <x:c r="K64" s="339" t="str">
        <x:v>Use optimistic concurrency/version checks for updates; idempotency for payments, admissions confirmation, bulk imports and other retry-prone commands.</x:v>
      </x:c>
      <x:c r="L64" s="339" t="str">
        <x:v>Publish domain events after successful commit when downstream modules/notifications depend on the change.</x:v>
      </x:c>
    </x:row>
    <x:row r="65">
      <x:c r="A65" s="339" t="str">
        <x:v>API-0064</x:v>
      </x:c>
      <x:c r="B65" s="339" t="str">
        <x:v>SCR-064</x:v>
      </x:c>
      <x:c r="C65" s="339" t="str">
        <x:v>Students</x:v>
      </x:c>
      <x:c r="D65" s="339" t="str">
        <x:v>Student Behaviour &amp; Discipline</x:v>
      </x:c>
      <x:c r="E65" s="339" t="str">
        <x:v>Student Service</x:v>
      </x:c>
      <x:c r="F65" s="339" t="str">
        <x:v>/api/v1/students/student-behaviour-discipline</x:v>
      </x:c>
      <x:c r="G65" s="339" t="str">
        <x:v>GET + POST/PATCH</x:v>
      </x:c>
      <x:c r="H65" s="339" t="str">
        <x:v>Tenant/school context + screen-specific filters/command payload; validate schema, effective references and request correlation/idempotency key for high-risk writes.</x:v>
      </x:c>
      <x:c r="I65" s="339" t="str">
        <x:v>Return authorized DTO with status/version, validation errors and correlation ID; never expose restricted fields.</x:v>
      </x:c>
      <x:c r="J65" s="339" t="str">
        <x:v>School Admin, Principal, Class Teacher, Teacher</x:v>
      </x:c>
      <x:c r="K65" s="339" t="str">
        <x:v>Use optimistic concurrency/version checks for updates; idempotency for payments, admissions confirmation, bulk imports and other retry-prone commands.</x:v>
      </x:c>
      <x:c r="L65" s="339" t="str">
        <x:v>Publish domain events after successful commit when downstream modules/notifications depend on the change.</x:v>
      </x:c>
    </x:row>
    <x:row r="66">
      <x:c r="A66" s="339" t="str">
        <x:v>API-0065</x:v>
      </x:c>
      <x:c r="B66" s="339" t="str">
        <x:v>SCR-065</x:v>
      </x:c>
      <x:c r="C66" s="339" t="str">
        <x:v>Students</x:v>
      </x:c>
      <x:c r="D66" s="339" t="str">
        <x:v>Student Health</x:v>
      </x:c>
      <x:c r="E66" s="339" t="str">
        <x:v>Student Service</x:v>
      </x:c>
      <x:c r="F66" s="339" t="str">
        <x:v>/api/v1/students/student-health</x:v>
      </x:c>
      <x:c r="G66" s="339" t="str">
        <x:v>GET + POST/PATCH</x:v>
      </x:c>
      <x:c r="H66" s="339" t="str">
        <x:v>Tenant/school context + screen-specific filters/command payload; validate schema, effective references and request correlation/idempotency key for high-risk writes.</x:v>
      </x:c>
      <x:c r="I66" s="339" t="str">
        <x:v>Return authorized DTO with status/version, validation errors and correlation ID; never expose restricted fields.</x:v>
      </x:c>
      <x:c r="J66" s="339" t="str">
        <x:v>School Admin, Principal, Class Teacher, Teacher</x:v>
      </x:c>
      <x:c r="K66" s="339" t="str">
        <x:v>Use optimistic concurrency/version checks for updates; idempotency for payments, admissions confirmation, bulk imports and other retry-prone commands.</x:v>
      </x:c>
      <x:c r="L66" s="339" t="str">
        <x:v>Publish domain events after successful commit when downstream modules/notifications depend on the change.</x:v>
      </x:c>
    </x:row>
    <x:row r="67">
      <x:c r="A67" s="339" t="str">
        <x:v>API-0066</x:v>
      </x:c>
      <x:c r="B67" s="339" t="str">
        <x:v>SCR-066</x:v>
      </x:c>
      <x:c r="C67" s="339" t="str">
        <x:v>Students</x:v>
      </x:c>
      <x:c r="D67" s="339" t="str">
        <x:v>Student Transport</x:v>
      </x:c>
      <x:c r="E67" s="339" t="str">
        <x:v>Student Service</x:v>
      </x:c>
      <x:c r="F67" s="339" t="str">
        <x:v>/api/v1/students/student-transport</x:v>
      </x:c>
      <x:c r="G67" s="339" t="str">
        <x:v>GET + POST/PATCH</x:v>
      </x:c>
      <x:c r="H67" s="339" t="str">
        <x:v>Tenant/school context + screen-specific filters/command payload; validate schema, effective references and request correlation/idempotency key for high-risk writes.</x:v>
      </x:c>
      <x:c r="I67" s="339" t="str">
        <x:v>Return authorized DTO with status/version, validation errors and correlation ID; never expose restricted fields.</x:v>
      </x:c>
      <x:c r="J67" s="339" t="str">
        <x:v>School Admin, Principal, Class Teacher, Teacher</x:v>
      </x:c>
      <x:c r="K67" s="339" t="str">
        <x:v>Use optimistic concurrency/version checks for updates; idempotency for payments, admissions confirmation, bulk imports and other retry-prone commands.</x:v>
      </x:c>
      <x:c r="L67" s="339" t="str">
        <x:v>Publish domain events after successful commit when downstream modules/notifications depend on the change.</x:v>
      </x:c>
    </x:row>
    <x:row r="68">
      <x:c r="A68" s="339" t="str">
        <x:v>API-0067</x:v>
      </x:c>
      <x:c r="B68" s="339" t="str">
        <x:v>SCR-067</x:v>
      </x:c>
      <x:c r="C68" s="339" t="str">
        <x:v>Students</x:v>
      </x:c>
      <x:c r="D68" s="339" t="str">
        <x:v>Student Library</x:v>
      </x:c>
      <x:c r="E68" s="339" t="str">
        <x:v>Student Service</x:v>
      </x:c>
      <x:c r="F68" s="339" t="str">
        <x:v>/api/v1/students/student-library</x:v>
      </x:c>
      <x:c r="G68" s="339" t="str">
        <x:v>GET + POST/PATCH</x:v>
      </x:c>
      <x:c r="H68" s="339" t="str">
        <x:v>Tenant/school context + screen-specific filters/command payload; validate schema, effective references and request correlation/idempotency key for high-risk writes.</x:v>
      </x:c>
      <x:c r="I68" s="339" t="str">
        <x:v>Return authorized DTO with status/version, validation errors and correlation ID; never expose restricted fields.</x:v>
      </x:c>
      <x:c r="J68" s="339" t="str">
        <x:v>School Admin, Principal, Class Teacher, Teacher</x:v>
      </x:c>
      <x:c r="K68" s="339" t="str">
        <x:v>Use optimistic concurrency/version checks for updates; idempotency for payments, admissions confirmation, bulk imports and other retry-prone commands.</x:v>
      </x:c>
      <x:c r="L68" s="339" t="str">
        <x:v>Publish domain events after successful commit when downstream modules/notifications depend on the change.</x:v>
      </x:c>
    </x:row>
    <x:row r="69">
      <x:c r="A69" s="339" t="str">
        <x:v>API-0068</x:v>
      </x:c>
      <x:c r="B69" s="339" t="str">
        <x:v>SCR-068</x:v>
      </x:c>
      <x:c r="C69" s="339" t="str">
        <x:v>Students</x:v>
      </x:c>
      <x:c r="D69" s="339" t="str">
        <x:v>Siblings &amp; Family</x:v>
      </x:c>
      <x:c r="E69" s="339" t="str">
        <x:v>Student Service</x:v>
      </x:c>
      <x:c r="F69" s="339" t="str">
        <x:v>/api/v1/students/siblings-family</x:v>
      </x:c>
      <x:c r="G69" s="339" t="str">
        <x:v>GET + POST/PATCH</x:v>
      </x:c>
      <x:c r="H69" s="339" t="str">
        <x:v>Tenant/school context + screen-specific filters/command payload; validate schema, effective references and request correlation/idempotency key for high-risk writes.</x:v>
      </x:c>
      <x:c r="I69" s="339" t="str">
        <x:v>Return authorized DTO with status/version, validation errors and correlation ID; never expose restricted fields.</x:v>
      </x:c>
      <x:c r="J69" s="339" t="str">
        <x:v>School Admin, Principal, Class Teacher, Teacher</x:v>
      </x:c>
      <x:c r="K69" s="339" t="str">
        <x:v>Use optimistic concurrency/version checks for updates; idempotency for payments, admissions confirmation, bulk imports and other retry-prone commands.</x:v>
      </x:c>
      <x:c r="L69" s="339" t="str">
        <x:v>Publish domain events after successful commit when downstream modules/notifications depend on the change.</x:v>
      </x:c>
    </x:row>
    <x:row r="70">
      <x:c r="A70" s="339" t="str">
        <x:v>API-0069</x:v>
      </x:c>
      <x:c r="B70" s="339" t="str">
        <x:v>SCR-069</x:v>
      </x:c>
      <x:c r="C70" s="339" t="str">
        <x:v>Students</x:v>
      </x:c>
      <x:c r="D70" s="339" t="str">
        <x:v>Promotion / Transfer</x:v>
      </x:c>
      <x:c r="E70" s="339" t="str">
        <x:v>Student Service</x:v>
      </x:c>
      <x:c r="F70" s="339" t="str">
        <x:v>/api/v1/students/promotion-transfer</x:v>
      </x:c>
      <x:c r="G70" s="339" t="str">
        <x:v>GET + POST/PATCH</x:v>
      </x:c>
      <x:c r="H70" s="339" t="str">
        <x:v>Tenant/school context + screen-specific filters/command payload; validate schema, effective references and request correlation/idempotency key for high-risk writes.</x:v>
      </x:c>
      <x:c r="I70" s="339" t="str">
        <x:v>Return authorized DTO with status/version, validation errors and correlation ID; never expose restricted fields.</x:v>
      </x:c>
      <x:c r="J70" s="339" t="str">
        <x:v>School Admin, Principal, Class Teacher, Teacher</x:v>
      </x:c>
      <x:c r="K70" s="339" t="str">
        <x:v>Use optimistic concurrency/version checks for updates; idempotency for payments, admissions confirmation, bulk imports and other retry-prone commands.</x:v>
      </x:c>
      <x:c r="L70" s="339" t="str">
        <x:v>Publish domain events after successful commit when downstream modules/notifications depend on the change.</x:v>
      </x:c>
    </x:row>
    <x:row r="71">
      <x:c r="A71" s="339" t="str">
        <x:v>API-0070</x:v>
      </x:c>
      <x:c r="B71" s="339" t="str">
        <x:v>SCR-070</x:v>
      </x:c>
      <x:c r="C71" s="339" t="str">
        <x:v>Students</x:v>
      </x:c>
      <x:c r="D71" s="339" t="str">
        <x:v>Student Exit / Alumni Conversion</x:v>
      </x:c>
      <x:c r="E71" s="339" t="str">
        <x:v>Student Service</x:v>
      </x:c>
      <x:c r="F71" s="339" t="str">
        <x:v>/api/v1/students/student-exit-alumni-conversion</x:v>
      </x:c>
      <x:c r="G71" s="339" t="str">
        <x:v>GET + POST/PATCH</x:v>
      </x:c>
      <x:c r="H71" s="339" t="str">
        <x:v>Tenant/school context + screen-specific filters/command payload; validate schema, effective references and request correlation/idempotency key for high-risk writes.</x:v>
      </x:c>
      <x:c r="I71" s="339" t="str">
        <x:v>Return authorized DTO with status/version, validation errors and correlation ID; never expose restricted fields.</x:v>
      </x:c>
      <x:c r="J71" s="339" t="str">
        <x:v>School Admin, Principal, Class Teacher, Teacher</x:v>
      </x:c>
      <x:c r="K71" s="339" t="str">
        <x:v>Use optimistic concurrency/version checks for updates; idempotency for payments, admissions confirmation, bulk imports and other retry-prone commands.</x:v>
      </x:c>
      <x:c r="L71" s="339" t="str">
        <x:v>Publish domain events after successful commit when downstream modules/notifications depend on the change.</x:v>
      </x:c>
    </x:row>
    <x:row r="72">
      <x:c r="A72" s="339" t="str">
        <x:v>API-0071</x:v>
      </x:c>
      <x:c r="B72" s="339" t="str">
        <x:v>SCR-071</x:v>
      </x:c>
      <x:c r="C72" s="339" t="str">
        <x:v>Parents &amp; Guardians</x:v>
      </x:c>
      <x:c r="D72" s="339" t="str">
        <x:v>Parent / Guardian Directory</x:v>
      </x:c>
      <x:c r="E72" s="339" t="str">
        <x:v>Guardian Service</x:v>
      </x:c>
      <x:c r="F72" s="339" t="str">
        <x:v>/api/v1/parents-guardians/parent-guardian-directory</x:v>
      </x:c>
      <x:c r="G72" s="339" t="str">
        <x:v>GET + POST/PATCH actions</x:v>
      </x:c>
      <x:c r="H72" s="339" t="str">
        <x:v>Tenant/school context + screen-specific filters/command payload; validate schema, effective references and request correlation/idempotency key for high-risk writes.</x:v>
      </x:c>
      <x:c r="I72" s="339" t="str">
        <x:v>Return authorized DTO with status/version, validation errors and correlation ID; never expose restricted fields.</x:v>
      </x:c>
      <x:c r="J72" s="339" t="str">
        <x:v>School Admin, Parent, Class Teacher</x:v>
      </x:c>
      <x:c r="K72" s="339" t="str">
        <x:v>Use optimistic concurrency/version checks for updates; idempotency for payments, admissions confirmation, bulk imports and other retry-prone commands.</x:v>
      </x:c>
      <x:c r="L72" s="339" t="str">
        <x:v>Publish domain events after successful commit when downstream modules/notifications depend on the change.</x:v>
      </x:c>
    </x:row>
    <x:row r="73">
      <x:c r="A73" s="339" t="str">
        <x:v>API-0072</x:v>
      </x:c>
      <x:c r="B73" s="339" t="str">
        <x:v>SCR-072</x:v>
      </x:c>
      <x:c r="C73" s="339" t="str">
        <x:v>Parents &amp; Guardians</x:v>
      </x:c>
      <x:c r="D73" s="339" t="str">
        <x:v>Add Parent / Guardian</x:v>
      </x:c>
      <x:c r="E73" s="339" t="str">
        <x:v>Guardian Service</x:v>
      </x:c>
      <x:c r="F73" s="339" t="str">
        <x:v>/api/v1/parents-guardians/add-parent-guardian</x:v>
      </x:c>
      <x:c r="G73" s="339" t="str">
        <x:v>POST</x:v>
      </x:c>
      <x:c r="H73" s="339" t="str">
        <x:v>Tenant/school context + screen-specific filters/command payload; validate schema, effective references and request correlation/idempotency key for high-risk writes.</x:v>
      </x:c>
      <x:c r="I73" s="339" t="str">
        <x:v>Return authorized DTO with status/version, validation errors and correlation ID; never expose restricted fields.</x:v>
      </x:c>
      <x:c r="J73" s="339" t="str">
        <x:v>School Admin, Parent, Class Teacher</x:v>
      </x:c>
      <x:c r="K73" s="339" t="str">
        <x:v>Use optimistic concurrency/version checks for updates; idempotency for payments, admissions confirmation, bulk imports and other retry-prone commands.</x:v>
      </x:c>
      <x:c r="L73" s="339" t="str">
        <x:v>Publish domain events after successful commit when downstream modules/notifications depend on the change.</x:v>
      </x:c>
    </x:row>
    <x:row r="74">
      <x:c r="A74" s="339" t="str">
        <x:v>API-0073</x:v>
      </x:c>
      <x:c r="B74" s="339" t="str">
        <x:v>SCR-073</x:v>
      </x:c>
      <x:c r="C74" s="339" t="str">
        <x:v>Parents &amp; Guardians</x:v>
      </x:c>
      <x:c r="D74" s="339" t="str">
        <x:v>Parent Profile</x:v>
      </x:c>
      <x:c r="E74" s="339" t="str">
        <x:v>Guardian Service</x:v>
      </x:c>
      <x:c r="F74" s="339" t="str">
        <x:v>/api/v1/parents-guardians/parent-profile</x:v>
      </x:c>
      <x:c r="G74" s="339" t="str">
        <x:v>GET + PATCH</x:v>
      </x:c>
      <x:c r="H74" s="339" t="str">
        <x:v>Tenant/school context + screen-specific filters/command payload; validate schema, effective references and request correlation/idempotency key for high-risk writes.</x:v>
      </x:c>
      <x:c r="I74" s="339" t="str">
        <x:v>Return authorized DTO with status/version, validation errors and correlation ID; never expose restricted fields.</x:v>
      </x:c>
      <x:c r="J74" s="339" t="str">
        <x:v>School Admin, Parent, Class Teacher</x:v>
      </x:c>
      <x:c r="K74" s="339" t="str">
        <x:v>Use optimistic concurrency/version checks for updates; idempotency for payments, admissions confirmation, bulk imports and other retry-prone commands.</x:v>
      </x:c>
      <x:c r="L74" s="339" t="str">
        <x:v>Publish domain events after successful commit when downstream modules/notifications depend on the change.</x:v>
      </x:c>
    </x:row>
    <x:row r="75">
      <x:c r="A75" s="339" t="str">
        <x:v>API-0074</x:v>
      </x:c>
      <x:c r="B75" s="339" t="str">
        <x:v>SCR-074</x:v>
      </x:c>
      <x:c r="C75" s="339" t="str">
        <x:v>Parents &amp; Guardians</x:v>
      </x:c>
      <x:c r="D75" s="339" t="str">
        <x:v>Link Children</x:v>
      </x:c>
      <x:c r="E75" s="339" t="str">
        <x:v>Guardian Service</x:v>
      </x:c>
      <x:c r="F75" s="339" t="str">
        <x:v>/api/v1/parents-guardians/link-children</x:v>
      </x:c>
      <x:c r="G75" s="339" t="str">
        <x:v>GET + POST/PATCH</x:v>
      </x:c>
      <x:c r="H75" s="339" t="str">
        <x:v>Tenant/school context + screen-specific filters/command payload; validate schema, effective references and request correlation/idempotency key for high-risk writes.</x:v>
      </x:c>
      <x:c r="I75" s="339" t="str">
        <x:v>Return authorized DTO with status/version, validation errors and correlation ID; never expose restricted fields.</x:v>
      </x:c>
      <x:c r="J75" s="339" t="str">
        <x:v>School Admin, Parent, Class Teacher</x:v>
      </x:c>
      <x:c r="K75" s="339" t="str">
        <x:v>Use optimistic concurrency/version checks for updates; idempotency for payments, admissions confirmation, bulk imports and other retry-prone commands.</x:v>
      </x:c>
      <x:c r="L75" s="339" t="str">
        <x:v>Publish domain events after successful commit when downstream modules/notifications depend on the change.</x:v>
      </x:c>
    </x:row>
    <x:row r="76">
      <x:c r="A76" s="339" t="str">
        <x:v>API-0075</x:v>
      </x:c>
      <x:c r="B76" s="339" t="str">
        <x:v>SCR-075</x:v>
      </x:c>
      <x:c r="C76" s="339" t="str">
        <x:v>Parents &amp; Guardians</x:v>
      </x:c>
      <x:c r="D76" s="339" t="str">
        <x:v>Communication Preferences</x:v>
      </x:c>
      <x:c r="E76" s="339" t="str">
        <x:v>Guardian Service</x:v>
      </x:c>
      <x:c r="F76" s="339" t="str">
        <x:v>/api/v1/parents-guardians/communication-preferences</x:v>
      </x:c>
      <x:c r="G76" s="339" t="str">
        <x:v>GET/PUT</x:v>
      </x:c>
      <x:c r="H76" s="339" t="str">
        <x:v>Tenant/school context + screen-specific filters/command payload; validate schema, effective references and request correlation/idempotency key for high-risk writes.</x:v>
      </x:c>
      <x:c r="I76" s="339" t="str">
        <x:v>Return authorized DTO with status/version, validation errors and correlation ID; never expose restricted fields.</x:v>
      </x:c>
      <x:c r="J76" s="339" t="str">
        <x:v>School Admin, Parent, Class Teacher</x:v>
      </x:c>
      <x:c r="K76" s="339" t="str">
        <x:v>Use optimistic concurrency/version checks for updates; idempotency for payments, admissions confirmation, bulk imports and other retry-prone commands.</x:v>
      </x:c>
      <x:c r="L76" s="339" t="str">
        <x:v>Publish domain events after successful commit when downstream modules/notifications depend on the change.</x:v>
      </x:c>
    </x:row>
    <x:row r="77">
      <x:c r="A77" s="339" t="str">
        <x:v>API-0076</x:v>
      </x:c>
      <x:c r="B77" s="339" t="str">
        <x:v>SCR-076</x:v>
      </x:c>
      <x:c r="C77" s="339" t="str">
        <x:v>Parents &amp; Guardians</x:v>
      </x:c>
      <x:c r="D77" s="339" t="str">
        <x:v>Parent Login Access</x:v>
      </x:c>
      <x:c r="E77" s="339" t="str">
        <x:v>Guardian Service</x:v>
      </x:c>
      <x:c r="F77" s="339" t="str">
        <x:v>/api/v1/parents-guardians/parent-login-access</x:v>
      </x:c>
      <x:c r="G77" s="339" t="str">
        <x:v>GET + POST/PATCH</x:v>
      </x:c>
      <x:c r="H77" s="339" t="str">
        <x:v>Tenant/school context + screen-specific filters/command payload; validate schema, effective references and request correlation/idempotency key for high-risk writes.</x:v>
      </x:c>
      <x:c r="I77" s="339" t="str">
        <x:v>Return authorized DTO with status/version, validation errors and correlation ID; never expose restricted fields.</x:v>
      </x:c>
      <x:c r="J77" s="339" t="str">
        <x:v>School Admin, Parent, Class Teacher</x:v>
      </x:c>
      <x:c r="K77" s="339" t="str">
        <x:v>Use optimistic concurrency/version checks for updates; idempotency for payments, admissions confirmation, bulk imports and other retry-prone commands.</x:v>
      </x:c>
      <x:c r="L77" s="339" t="str">
        <x:v>Publish domain events after successful commit when downstream modules/notifications depend on the change.</x:v>
      </x:c>
    </x:row>
    <x:row r="78">
      <x:c r="A78" s="339" t="str">
        <x:v>API-0077</x:v>
      </x:c>
      <x:c r="B78" s="339" t="str">
        <x:v>SCR-077</x:v>
      </x:c>
      <x:c r="C78" s="339" t="str">
        <x:v>Parents &amp; Guardians</x:v>
      </x:c>
      <x:c r="D78" s="339" t="str">
        <x:v>Parent-Teacher Interactions</x:v>
      </x:c>
      <x:c r="E78" s="339" t="str">
        <x:v>Guardian Service</x:v>
      </x:c>
      <x:c r="F78" s="339" t="str">
        <x:v>/api/v1/parents-guardians/parent-teacher-interactions</x:v>
      </x:c>
      <x:c r="G78" s="339" t="str">
        <x:v>GET + POST/PATCH</x:v>
      </x:c>
      <x:c r="H78" s="339" t="str">
        <x:v>Tenant/school context + screen-specific filters/command payload; validate schema, effective references and request correlation/idempotency key for high-risk writes.</x:v>
      </x:c>
      <x:c r="I78" s="339" t="str">
        <x:v>Return authorized DTO with status/version, validation errors and correlation ID; never expose restricted fields.</x:v>
      </x:c>
      <x:c r="J78" s="339" t="str">
        <x:v>School Admin, Parent, Class Teacher</x:v>
      </x:c>
      <x:c r="K78" s="339" t="str">
        <x:v>Use optimistic concurrency/version checks for updates; idempotency for payments, admissions confirmation, bulk imports and other retry-prone commands.</x:v>
      </x:c>
      <x:c r="L78" s="339" t="str">
        <x:v>Publish domain events after successful commit when downstream modules/notifications depend on the change.</x:v>
      </x:c>
    </x:row>
    <x:row r="79">
      <x:c r="A79" s="339" t="str">
        <x:v>API-0078</x:v>
      </x:c>
      <x:c r="B79" s="339" t="str">
        <x:v>SCR-078</x:v>
      </x:c>
      <x:c r="C79" s="339" t="str">
        <x:v>Parents &amp; Guardians</x:v>
      </x:c>
      <x:c r="D79" s="339" t="str">
        <x:v>Parent Payments &amp; Receipts</x:v>
      </x:c>
      <x:c r="E79" s="339" t="str">
        <x:v>Guardian Service</x:v>
      </x:c>
      <x:c r="F79" s="339" t="str">
        <x:v>/api/v1/parents-guardians/parent-payments-receipts</x:v>
      </x:c>
      <x:c r="G79" s="339" t="str">
        <x:v>GET + PATCH</x:v>
      </x:c>
      <x:c r="H79" s="339" t="str">
        <x:v>Tenant/school context + screen-specific filters/command payload; validate schema, effective references and request correlation/idempotency key for high-risk writes.</x:v>
      </x:c>
      <x:c r="I79" s="339" t="str">
        <x:v>Return authorized DTO with status/version, validation errors and correlation ID; never expose restricted fields.</x:v>
      </x:c>
      <x:c r="J79" s="339" t="str">
        <x:v>School Admin, Parent, Class Teacher</x:v>
      </x:c>
      <x:c r="K79" s="339" t="str">
        <x:v>Use optimistic concurrency/version checks for updates; idempotency for payments, admissions confirmation, bulk imports and other retry-prone commands.</x:v>
      </x:c>
      <x:c r="L79" s="339" t="str">
        <x:v>Publish domain events after successful commit when downstream modules/notifications depend on the change.</x:v>
      </x:c>
    </x:row>
    <x:row r="80">
      <x:c r="A80" s="339" t="str">
        <x:v>API-0079</x:v>
      </x:c>
      <x:c r="B80" s="339" t="str">
        <x:v>SCR-079</x:v>
      </x:c>
      <x:c r="C80" s="339" t="str">
        <x:v>Parents &amp; Guardians</x:v>
      </x:c>
      <x:c r="D80" s="339" t="str">
        <x:v>Parent Activity History</x:v>
      </x:c>
      <x:c r="E80" s="339" t="str">
        <x:v>Guardian Service</x:v>
      </x:c>
      <x:c r="F80" s="339" t="str">
        <x:v>/api/v1/parents-guardians/parent-activity-history</x:v>
      </x:c>
      <x:c r="G80" s="339" t="str">
        <x:v>GET + PATCH</x:v>
      </x:c>
      <x:c r="H80" s="339" t="str">
        <x:v>Tenant/school context + screen-specific filters/command payload; validate schema, effective references and request correlation/idempotency key for high-risk writes.</x:v>
      </x:c>
      <x:c r="I80" s="339" t="str">
        <x:v>Return authorized DTO with status/version, validation errors and correlation ID; never expose restricted fields.</x:v>
      </x:c>
      <x:c r="J80" s="339" t="str">
        <x:v>School Admin, Parent, Class Teacher</x:v>
      </x:c>
      <x:c r="K80" s="339" t="str">
        <x:v>Use optimistic concurrency/version checks for updates; idempotency for payments, admissions confirmation, bulk imports and other retry-prone commands.</x:v>
      </x:c>
      <x:c r="L80" s="339" t="str">
        <x:v>Publish domain events after successful commit when downstream modules/notifications depend on the change.</x:v>
      </x:c>
    </x:row>
    <x:row r="81">
      <x:c r="A81" s="339" t="str">
        <x:v>API-0080</x:v>
      </x:c>
      <x:c r="B81" s="339" t="str">
        <x:v>SCR-080</x:v>
      </x:c>
      <x:c r="C81" s="339" t="str">
        <x:v>Teachers &amp; Staff</x:v>
      </x:c>
      <x:c r="D81" s="339" t="str">
        <x:v>Staff Directory</x:v>
      </x:c>
      <x:c r="E81" s="339" t="str">
        <x:v>Staff Service</x:v>
      </x:c>
      <x:c r="F81" s="339" t="str">
        <x:v>/api/v1/teachers-staff/staff-directory</x:v>
      </x:c>
      <x:c r="G81" s="339" t="str">
        <x:v>GET + POST/PATCH actions</x:v>
      </x:c>
      <x:c r="H81" s="339" t="str">
        <x:v>Tenant/school context + screen-specific filters/command payload; validate schema, effective references and request correlation/idempotency key for high-risk writes.</x:v>
      </x:c>
      <x:c r="I81" s="339" t="str">
        <x:v>Return authorized DTO with status/version, validation errors and correlation ID; never expose restricted fields.</x:v>
      </x:c>
      <x:c r="J81" s="339" t="str">
        <x:v>School Admin, Principal, HR, Teacher</x:v>
      </x:c>
      <x:c r="K81" s="339" t="str">
        <x:v>Use optimistic concurrency/version checks for updates; idempotency for payments, admissions confirmation, bulk imports and other retry-prone commands.</x:v>
      </x:c>
      <x:c r="L81" s="339" t="str">
        <x:v>Publish domain events after successful commit when downstream modules/notifications depend on the change.</x:v>
      </x:c>
    </x:row>
    <x:row r="82">
      <x:c r="A82" s="339" t="str">
        <x:v>API-0081</x:v>
      </x:c>
      <x:c r="B82" s="339" t="str">
        <x:v>SCR-081</x:v>
      </x:c>
      <x:c r="C82" s="339" t="str">
        <x:v>Teachers &amp; Staff</x:v>
      </x:c>
      <x:c r="D82" s="339" t="str">
        <x:v>Add Staff</x:v>
      </x:c>
      <x:c r="E82" s="339" t="str">
        <x:v>Staff Service</x:v>
      </x:c>
      <x:c r="F82" s="339" t="str">
        <x:v>/api/v1/teachers-staff/add-staff</x:v>
      </x:c>
      <x:c r="G82" s="339" t="str">
        <x:v>POST</x:v>
      </x:c>
      <x:c r="H82" s="339" t="str">
        <x:v>Tenant/school context + screen-specific filters/command payload; validate schema, effective references and request correlation/idempotency key for high-risk writes.</x:v>
      </x:c>
      <x:c r="I82" s="339" t="str">
        <x:v>Return authorized DTO with status/version, validation errors and correlation ID; never expose restricted fields.</x:v>
      </x:c>
      <x:c r="J82" s="339" t="str">
        <x:v>School Admin, Principal, HR, Teacher</x:v>
      </x:c>
      <x:c r="K82" s="339" t="str">
        <x:v>Use optimistic concurrency/version checks for updates; idempotency for payments, admissions confirmation, bulk imports and other retry-prone commands.</x:v>
      </x:c>
      <x:c r="L82" s="339" t="str">
        <x:v>Publish domain events after successful commit when downstream modules/notifications depend on the change.</x:v>
      </x:c>
    </x:row>
    <x:row r="83">
      <x:c r="A83" s="339" t="str">
        <x:v>API-0082</x:v>
      </x:c>
      <x:c r="B83" s="339" t="str">
        <x:v>SCR-082</x:v>
      </x:c>
      <x:c r="C83" s="339" t="str">
        <x:v>Teachers &amp; Staff</x:v>
      </x:c>
      <x:c r="D83" s="339" t="str">
        <x:v>Staff Profile</x:v>
      </x:c>
      <x:c r="E83" s="339" t="str">
        <x:v>Staff Service</x:v>
      </x:c>
      <x:c r="F83" s="339" t="str">
        <x:v>/api/v1/teachers-staff/staff-profile</x:v>
      </x:c>
      <x:c r="G83" s="339" t="str">
        <x:v>GET + PATCH</x:v>
      </x:c>
      <x:c r="H83" s="339" t="str">
        <x:v>Tenant/school context + screen-specific filters/command payload; validate schema, effective references and request correlation/idempotency key for high-risk writes.</x:v>
      </x:c>
      <x:c r="I83" s="339" t="str">
        <x:v>Return authorized DTO with status/version, validation errors and correlation ID; never expose restricted fields.</x:v>
      </x:c>
      <x:c r="J83" s="339" t="str">
        <x:v>School Admin, Principal, HR, Teacher</x:v>
      </x:c>
      <x:c r="K83" s="339" t="str">
        <x:v>Use optimistic concurrency/version checks for updates; idempotency for payments, admissions confirmation, bulk imports and other retry-prone commands.</x:v>
      </x:c>
      <x:c r="L83" s="339" t="str">
        <x:v>Publish domain events after successful commit when downstream modules/notifications depend on the change.</x:v>
      </x:c>
    </x:row>
    <x:row r="84">
      <x:c r="A84" s="339" t="str">
        <x:v>API-0083</x:v>
      </x:c>
      <x:c r="B84" s="339" t="str">
        <x:v>SCR-083</x:v>
      </x:c>
      <x:c r="C84" s="339" t="str">
        <x:v>Teachers &amp; Staff</x:v>
      </x:c>
      <x:c r="D84" s="339" t="str">
        <x:v>Edit Staff</x:v>
      </x:c>
      <x:c r="E84" s="339" t="str">
        <x:v>Staff Service</x:v>
      </x:c>
      <x:c r="F84" s="339" t="str">
        <x:v>/api/v1/teachers-staff/edit-staff</x:v>
      </x:c>
      <x:c r="G84" s="339" t="str">
        <x:v>PATCH/POST action</x:v>
      </x:c>
      <x:c r="H84" s="339" t="str">
        <x:v>Tenant/school context + screen-specific filters/command payload; validate schema, effective references and request correlation/idempotency key for high-risk writes.</x:v>
      </x:c>
      <x:c r="I84" s="339" t="str">
        <x:v>Return authorized DTO with status/version, validation errors and correlation ID; never expose restricted fields.</x:v>
      </x:c>
      <x:c r="J84" s="339" t="str">
        <x:v>School Admin, Principal, HR, Teacher</x:v>
      </x:c>
      <x:c r="K84" s="339" t="str">
        <x:v>Use optimistic concurrency/version checks for updates; idempotency for payments, admissions confirmation, bulk imports and other retry-prone commands.</x:v>
      </x:c>
      <x:c r="L84" s="339" t="str">
        <x:v>Publish domain events after successful commit when downstream modules/notifications depend on the change.</x:v>
      </x:c>
    </x:row>
    <x:row r="85">
      <x:c r="A85" s="339" t="str">
        <x:v>API-0084</x:v>
      </x:c>
      <x:c r="B85" s="339" t="str">
        <x:v>SCR-084</x:v>
      </x:c>
      <x:c r="C85" s="339" t="str">
        <x:v>Teachers &amp; Staff</x:v>
      </x:c>
      <x:c r="D85" s="339" t="str">
        <x:v>Teacher Allocation</x:v>
      </x:c>
      <x:c r="E85" s="339" t="str">
        <x:v>Staff Service</x:v>
      </x:c>
      <x:c r="F85" s="339" t="str">
        <x:v>/api/v1/teachers-staff/teacher-allocation</x:v>
      </x:c>
      <x:c r="G85" s="339" t="str">
        <x:v>GET + POST/PATCH</x:v>
      </x:c>
      <x:c r="H85" s="339" t="str">
        <x:v>Tenant/school context + screen-specific filters/command payload; validate schema, effective references and request correlation/idempotency key for high-risk writes.</x:v>
      </x:c>
      <x:c r="I85" s="339" t="str">
        <x:v>Return authorized DTO with status/version, validation errors and correlation ID; never expose restricted fields.</x:v>
      </x:c>
      <x:c r="J85" s="339" t="str">
        <x:v>School Admin, Principal, HR, Teacher</x:v>
      </x:c>
      <x:c r="K85" s="339" t="str">
        <x:v>Use optimistic concurrency/version checks for updates; idempotency for payments, admissions confirmation, bulk imports and other retry-prone commands.</x:v>
      </x:c>
      <x:c r="L85" s="339" t="str">
        <x:v>Publish domain events after successful commit when downstream modules/notifications depend on the change.</x:v>
      </x:c>
    </x:row>
    <x:row r="86">
      <x:c r="A86" s="339" t="str">
        <x:v>API-0085</x:v>
      </x:c>
      <x:c r="B86" s="339" t="str">
        <x:v>SCR-085</x:v>
      </x:c>
      <x:c r="C86" s="339" t="str">
        <x:v>Teachers &amp; Staff</x:v>
      </x:c>
      <x:c r="D86" s="339" t="str">
        <x:v>Subject &amp; Class Assignment</x:v>
      </x:c>
      <x:c r="E86" s="339" t="str">
        <x:v>Staff Service</x:v>
      </x:c>
      <x:c r="F86" s="339" t="str">
        <x:v>/api/v1/teachers-staff/subject-class-assignment</x:v>
      </x:c>
      <x:c r="G86" s="339" t="str">
        <x:v>PATCH/POST action</x:v>
      </x:c>
      <x:c r="H86" s="339" t="str">
        <x:v>Tenant/school context + screen-specific filters/command payload; validate schema, effective references and request correlation/idempotency key for high-risk writes.</x:v>
      </x:c>
      <x:c r="I86" s="339" t="str">
        <x:v>Return authorized DTO with status/version, validation errors and correlation ID; never expose restricted fields.</x:v>
      </x:c>
      <x:c r="J86" s="339" t="str">
        <x:v>School Admin, Principal, HR, Teacher</x:v>
      </x:c>
      <x:c r="K86" s="339" t="str">
        <x:v>Use optimistic concurrency/version checks for updates; idempotency for payments, admissions confirmation, bulk imports and other retry-prone commands.</x:v>
      </x:c>
      <x:c r="L86" s="339" t="str">
        <x:v>Publish domain events after successful commit when downstream modules/notifications depend on the change.</x:v>
      </x:c>
    </x:row>
    <x:row r="87">
      <x:c r="A87" s="339" t="str">
        <x:v>API-0086</x:v>
      </x:c>
      <x:c r="B87" s="339" t="str">
        <x:v>SCR-086</x:v>
      </x:c>
      <x:c r="C87" s="339" t="str">
        <x:v>Teachers &amp; Staff</x:v>
      </x:c>
      <x:c r="D87" s="339" t="str">
        <x:v>Teacher Workload</x:v>
      </x:c>
      <x:c r="E87" s="339" t="str">
        <x:v>Staff Service</x:v>
      </x:c>
      <x:c r="F87" s="339" t="str">
        <x:v>/api/v1/teachers-staff/teacher-workload</x:v>
      </x:c>
      <x:c r="G87" s="339" t="str">
        <x:v>GET + POST/PATCH</x:v>
      </x:c>
      <x:c r="H87" s="339" t="str">
        <x:v>Tenant/school context + screen-specific filters/command payload; validate schema, effective references and request correlation/idempotency key for high-risk writes.</x:v>
      </x:c>
      <x:c r="I87" s="339" t="str">
        <x:v>Return authorized DTO with status/version, validation errors and correlation ID; never expose restricted fields.</x:v>
      </x:c>
      <x:c r="J87" s="339" t="str">
        <x:v>School Admin, Principal, HR, Teacher</x:v>
      </x:c>
      <x:c r="K87" s="339" t="str">
        <x:v>Use optimistic concurrency/version checks for updates; idempotency for payments, admissions confirmation, bulk imports and other retry-prone commands.</x:v>
      </x:c>
      <x:c r="L87" s="339" t="str">
        <x:v>Publish domain events after successful commit when downstream modules/notifications depend on the change.</x:v>
      </x:c>
    </x:row>
    <x:row r="88">
      <x:c r="A88" s="339" t="str">
        <x:v>API-0087</x:v>
      </x:c>
      <x:c r="B88" s="339" t="str">
        <x:v>SCR-087</x:v>
      </x:c>
      <x:c r="C88" s="339" t="str">
        <x:v>Teachers &amp; Staff</x:v>
      </x:c>
      <x:c r="D88" s="339" t="str">
        <x:v>Qualifications &amp; Documents</x:v>
      </x:c>
      <x:c r="E88" s="339" t="str">
        <x:v>Staff Service</x:v>
      </x:c>
      <x:c r="F88" s="339" t="str">
        <x:v>/api/v1/teachers-staff/qualifications-documents</x:v>
      </x:c>
      <x:c r="G88" s="339" t="str">
        <x:v>GET + POST/PATCH</x:v>
      </x:c>
      <x:c r="H88" s="339" t="str">
        <x:v>Tenant/school context + screen-specific filters/command payload; validate schema, effective references and request correlation/idempotency key for high-risk writes.</x:v>
      </x:c>
      <x:c r="I88" s="339" t="str">
        <x:v>Return authorized DTO with status/version, validation errors and correlation ID; never expose restricted fields.</x:v>
      </x:c>
      <x:c r="J88" s="339" t="str">
        <x:v>School Admin, Principal, HR, Teacher</x:v>
      </x:c>
      <x:c r="K88" s="339" t="str">
        <x:v>Use optimistic concurrency/version checks for updates; idempotency for payments, admissions confirmation, bulk imports and other retry-prone commands.</x:v>
      </x:c>
      <x:c r="L88" s="339" t="str">
        <x:v>Publish domain events after successful commit when downstream modules/notifications depend on the change.</x:v>
      </x:c>
    </x:row>
    <x:row r="89">
      <x:c r="A89" s="339" t="str">
        <x:v>API-0088</x:v>
      </x:c>
      <x:c r="B89" s="339" t="str">
        <x:v>SCR-088</x:v>
      </x:c>
      <x:c r="C89" s="339" t="str">
        <x:v>Teachers &amp; Staff</x:v>
      </x:c>
      <x:c r="D89" s="339" t="str">
        <x:v>Staff Attendance Summary</x:v>
      </x:c>
      <x:c r="E89" s="339" t="str">
        <x:v>Staff Service</x:v>
      </x:c>
      <x:c r="F89" s="339" t="str">
        <x:v>/api/v1/teachers-staff/staff-attendance-summary</x:v>
      </x:c>
      <x:c r="G89" s="339" t="str">
        <x:v>GET</x:v>
      </x:c>
      <x:c r="H89" s="339" t="str">
        <x:v>Tenant/school context + screen-specific filters/command payload; validate schema, effective references and request correlation/idempotency key for high-risk writes.</x:v>
      </x:c>
      <x:c r="I89" s="339" t="str">
        <x:v>Return authorized DTO with status/version, validation errors and correlation ID; never expose restricted fields.</x:v>
      </x:c>
      <x:c r="J89" s="339" t="str">
        <x:v>School Admin, Principal, HR, Teacher</x:v>
      </x:c>
      <x:c r="K89" s="339" t="str">
        <x:v>Use optimistic concurrency/version checks for updates; idempotency for payments, admissions confirmation, bulk imports and other retry-prone commands.</x:v>
      </x:c>
      <x:c r="L89" s="339" t="str">
        <x:v>Publish domain events after successful commit when downstream modules/notifications depend on the change.</x:v>
      </x:c>
    </x:row>
    <x:row r="90">
      <x:c r="A90" s="339" t="str">
        <x:v>API-0089</x:v>
      </x:c>
      <x:c r="B90" s="339" t="str">
        <x:v>SCR-089</x:v>
      </x:c>
      <x:c r="C90" s="339" t="str">
        <x:v>Teachers &amp; Staff</x:v>
      </x:c>
      <x:c r="D90" s="339" t="str">
        <x:v>Staff Leave Summary</x:v>
      </x:c>
      <x:c r="E90" s="339" t="str">
        <x:v>Staff Service</x:v>
      </x:c>
      <x:c r="F90" s="339" t="str">
        <x:v>/api/v1/teachers-staff/staff-leave-summary</x:v>
      </x:c>
      <x:c r="G90" s="339" t="str">
        <x:v>GET</x:v>
      </x:c>
      <x:c r="H90" s="339" t="str">
        <x:v>Tenant/school context + screen-specific filters/command payload; validate schema, effective references and request correlation/idempotency key for high-risk writes.</x:v>
      </x:c>
      <x:c r="I90" s="339" t="str">
        <x:v>Return authorized DTO with status/version, validation errors and correlation ID; never expose restricted fields.</x:v>
      </x:c>
      <x:c r="J90" s="339" t="str">
        <x:v>School Admin, Principal, HR, Teacher</x:v>
      </x:c>
      <x:c r="K90" s="339" t="str">
        <x:v>Use optimistic concurrency/version checks for updates; idempotency for payments, admissions confirmation, bulk imports and other retry-prone commands.</x:v>
      </x:c>
      <x:c r="L90" s="339" t="str">
        <x:v>Publish domain events after successful commit when downstream modules/notifications depend on the change.</x:v>
      </x:c>
    </x:row>
    <x:row r="91">
      <x:c r="A91" s="339" t="str">
        <x:v>API-0090</x:v>
      </x:c>
      <x:c r="B91" s="339" t="str">
        <x:v>SCR-090</x:v>
      </x:c>
      <x:c r="C91" s="339" t="str">
        <x:v>Teachers &amp; Staff</x:v>
      </x:c>
      <x:c r="D91" s="339" t="str">
        <x:v>Performance &amp; Classroom Observation</x:v>
      </x:c>
      <x:c r="E91" s="339" t="str">
        <x:v>Staff Service</x:v>
      </x:c>
      <x:c r="F91" s="339" t="str">
        <x:v>/api/v1/teachers-staff/performance-classroom-observation</x:v>
      </x:c>
      <x:c r="G91" s="339" t="str">
        <x:v>GET + POST/PATCH</x:v>
      </x:c>
      <x:c r="H91" s="339" t="str">
        <x:v>Tenant/school context + screen-specific filters/command payload; validate schema, effective references and request correlation/idempotency key for high-risk writes.</x:v>
      </x:c>
      <x:c r="I91" s="339" t="str">
        <x:v>Return authorized DTO with status/version, validation errors and correlation ID; never expose restricted fields.</x:v>
      </x:c>
      <x:c r="J91" s="339" t="str">
        <x:v>School Admin, Principal, HR, Teacher</x:v>
      </x:c>
      <x:c r="K91" s="339" t="str">
        <x:v>Use optimistic concurrency/version checks for updates; idempotency for payments, admissions confirmation, bulk imports and other retry-prone commands.</x:v>
      </x:c>
      <x:c r="L91" s="339" t="str">
        <x:v>Publish domain events after successful commit when downstream modules/notifications depend on the change.</x:v>
      </x:c>
    </x:row>
    <x:row r="92">
      <x:c r="A92" s="339" t="str">
        <x:v>API-0091</x:v>
      </x:c>
      <x:c r="B92" s="339" t="str">
        <x:v>SCR-091</x:v>
      </x:c>
      <x:c r="C92" s="339" t="str">
        <x:v>Teachers &amp; Staff</x:v>
      </x:c>
      <x:c r="D92" s="339" t="str">
        <x:v>Exit / Offboarding</x:v>
      </x:c>
      <x:c r="E92" s="339" t="str">
        <x:v>Staff Service</x:v>
      </x:c>
      <x:c r="F92" s="339" t="str">
        <x:v>/api/v1/teachers-staff/exit-offboarding</x:v>
      </x:c>
      <x:c r="G92" s="339" t="str">
        <x:v>GET + POST/PATCH</x:v>
      </x:c>
      <x:c r="H92" s="339" t="str">
        <x:v>Tenant/school context + screen-specific filters/command payload; validate schema, effective references and request correlation/idempotency key for high-risk writes.</x:v>
      </x:c>
      <x:c r="I92" s="339" t="str">
        <x:v>Return authorized DTO with status/version, validation errors and correlation ID; never expose restricted fields.</x:v>
      </x:c>
      <x:c r="J92" s="339" t="str">
        <x:v>School Admin, Principal, HR, Teacher</x:v>
      </x:c>
      <x:c r="K92" s="339" t="str">
        <x:v>Use optimistic concurrency/version checks for updates; idempotency for payments, admissions confirmation, bulk imports and other retry-prone commands.</x:v>
      </x:c>
      <x:c r="L92" s="339" t="str">
        <x:v>Publish domain events after successful commit when downstream modules/notifications depend on the change.</x:v>
      </x:c>
    </x:row>
    <x:row r="93">
      <x:c r="A93" s="339" t="str">
        <x:v>API-0092</x:v>
      </x:c>
      <x:c r="B93" s="339" t="str">
        <x:v>SCR-092</x:v>
      </x:c>
      <x:c r="C93" s="339" t="str">
        <x:v>Academics &amp; Curriculum</x:v>
      </x:c>
      <x:c r="D93" s="339" t="str">
        <x:v>Academic Years</x:v>
      </x:c>
      <x:c r="E93" s="339" t="str">
        <x:v>Academic Service</x:v>
      </x:c>
      <x:c r="F93" s="339" t="str">
        <x:v>/api/v1/academics-curriculum/academic-years</x:v>
      </x:c>
      <x:c r="G93" s="339" t="str">
        <x:v>GET/PUT</x:v>
      </x:c>
      <x:c r="H93" s="339" t="str">
        <x:v>Tenant/school context + screen-specific filters/command payload; validate schema, effective references and request correlation/idempotency key for high-risk writes.</x:v>
      </x:c>
      <x:c r="I93" s="339" t="str">
        <x:v>Return authorized DTO with status/version, validation errors and correlation ID; never expose restricted fields.</x:v>
      </x:c>
      <x:c r="J93" s="339" t="str">
        <x:v>Academic Coordinator, Principal, School Admin, Teacher</x:v>
      </x:c>
      <x:c r="K93" s="339" t="str">
        <x:v>Use optimistic concurrency/version checks for updates; idempotency for payments, admissions confirmation, bulk imports and other retry-prone commands.</x:v>
      </x:c>
      <x:c r="L93" s="339" t="str">
        <x:v>Publish domain events after successful commit when downstream modules/notifications depend on the change.</x:v>
      </x:c>
    </x:row>
    <x:row r="94">
      <x:c r="A94" s="339" t="str">
        <x:v>API-0093</x:v>
      </x:c>
      <x:c r="B94" s="339" t="str">
        <x:v>SCR-093</x:v>
      </x:c>
      <x:c r="C94" s="339" t="str">
        <x:v>Academics &amp; Curriculum</x:v>
      </x:c>
      <x:c r="D94" s="339" t="str">
        <x:v>Terms / Semesters</x:v>
      </x:c>
      <x:c r="E94" s="339" t="str">
        <x:v>Academic Service</x:v>
      </x:c>
      <x:c r="F94" s="339" t="str">
        <x:v>/api/v1/academics-curriculum/terms-semesters</x:v>
      </x:c>
      <x:c r="G94" s="339" t="str">
        <x:v>GET + POST/PATCH</x:v>
      </x:c>
      <x:c r="H94" s="339" t="str">
        <x:v>Tenant/school context + screen-specific filters/command payload; validate schema, effective references and request correlation/idempotency key for high-risk writes.</x:v>
      </x:c>
      <x:c r="I94" s="339" t="str">
        <x:v>Return authorized DTO with status/version, validation errors and correlation ID; never expose restricted fields.</x:v>
      </x:c>
      <x:c r="J94" s="339" t="str">
        <x:v>Academic Coordinator, Principal, School Admin, Teacher</x:v>
      </x:c>
      <x:c r="K94" s="339" t="str">
        <x:v>Use optimistic concurrency/version checks for updates; idempotency for payments, admissions confirmation, bulk imports and other retry-prone commands.</x:v>
      </x:c>
      <x:c r="L94" s="339" t="str">
        <x:v>Publish domain events after successful commit when downstream modules/notifications depend on the change.</x:v>
      </x:c>
    </x:row>
    <x:row r="95">
      <x:c r="A95" s="339" t="str">
        <x:v>API-0094</x:v>
      </x:c>
      <x:c r="B95" s="339" t="str">
        <x:v>SCR-094</x:v>
      </x:c>
      <x:c r="C95" s="339" t="str">
        <x:v>Academics &amp; Curriculum</x:v>
      </x:c>
      <x:c r="D95" s="339" t="str">
        <x:v>Grades / Classes</x:v>
      </x:c>
      <x:c r="E95" s="339" t="str">
        <x:v>Academic Service</x:v>
      </x:c>
      <x:c r="F95" s="339" t="str">
        <x:v>/api/v1/academics-curriculum/grades-classes</x:v>
      </x:c>
      <x:c r="G95" s="339" t="str">
        <x:v>GET + POST/PATCH</x:v>
      </x:c>
      <x:c r="H95" s="339" t="str">
        <x:v>Tenant/school context + screen-specific filters/command payload; validate schema, effective references and request correlation/idempotency key for high-risk writes.</x:v>
      </x:c>
      <x:c r="I95" s="339" t="str">
        <x:v>Return authorized DTO with status/version, validation errors and correlation ID; never expose restricted fields.</x:v>
      </x:c>
      <x:c r="J95" s="339" t="str">
        <x:v>Academic Coordinator, Principal, School Admin, Teacher</x:v>
      </x:c>
      <x:c r="K95" s="339" t="str">
        <x:v>Use optimistic concurrency/version checks for updates; idempotency for payments, admissions confirmation, bulk imports and other retry-prone commands.</x:v>
      </x:c>
      <x:c r="L95" s="339" t="str">
        <x:v>Publish domain events after successful commit when downstream modules/notifications depend on the change.</x:v>
      </x:c>
    </x:row>
    <x:row r="96">
      <x:c r="A96" s="339" t="str">
        <x:v>API-0095</x:v>
      </x:c>
      <x:c r="B96" s="339" t="str">
        <x:v>SCR-095</x:v>
      </x:c>
      <x:c r="C96" s="339" t="str">
        <x:v>Academics &amp; Curriculum</x:v>
      </x:c>
      <x:c r="D96" s="339" t="str">
        <x:v>Sections</x:v>
      </x:c>
      <x:c r="E96" s="339" t="str">
        <x:v>Academic Service</x:v>
      </x:c>
      <x:c r="F96" s="339" t="str">
        <x:v>/api/v1/academics-curriculum/sections</x:v>
      </x:c>
      <x:c r="G96" s="339" t="str">
        <x:v>GET + POST/PATCH actions</x:v>
      </x:c>
      <x:c r="H96" s="339" t="str">
        <x:v>Tenant/school context + screen-specific filters/command payload; validate schema, effective references and request correlation/idempotency key for high-risk writes.</x:v>
      </x:c>
      <x:c r="I96" s="339" t="str">
        <x:v>Return authorized DTO with status/version, validation errors and correlation ID; never expose restricted fields.</x:v>
      </x:c>
      <x:c r="J96" s="339" t="str">
        <x:v>Academic Coordinator, Principal, School Admin, Teacher</x:v>
      </x:c>
      <x:c r="K96" s="339" t="str">
        <x:v>Use optimistic concurrency/version checks for updates; idempotency for payments, admissions confirmation, bulk imports and other retry-prone commands.</x:v>
      </x:c>
      <x:c r="L96" s="339" t="str">
        <x:v>Publish domain events after successful commit when downstream modules/notifications depend on the change.</x:v>
      </x:c>
    </x:row>
    <x:row r="97">
      <x:c r="A97" s="339" t="str">
        <x:v>API-0096</x:v>
      </x:c>
      <x:c r="B97" s="339" t="str">
        <x:v>SCR-096</x:v>
      </x:c>
      <x:c r="C97" s="339" t="str">
        <x:v>Academics &amp; Curriculum</x:v>
      </x:c>
      <x:c r="D97" s="339" t="str">
        <x:v>Subjects</x:v>
      </x:c>
      <x:c r="E97" s="339" t="str">
        <x:v>Academic Service</x:v>
      </x:c>
      <x:c r="F97" s="339" t="str">
        <x:v>/api/v1/academics-curriculum/subjects</x:v>
      </x:c>
      <x:c r="G97" s="339" t="str">
        <x:v>GET + POST/PATCH actions</x:v>
      </x:c>
      <x:c r="H97" s="339" t="str">
        <x:v>Tenant/school context + screen-specific filters/command payload; validate schema, effective references and request correlation/idempotency key for high-risk writes.</x:v>
      </x:c>
      <x:c r="I97" s="339" t="str">
        <x:v>Return authorized DTO with status/version, validation errors and correlation ID; never expose restricted fields.</x:v>
      </x:c>
      <x:c r="J97" s="339" t="str">
        <x:v>Academic Coordinator, Principal, School Admin, Teacher</x:v>
      </x:c>
      <x:c r="K97" s="339" t="str">
        <x:v>Use optimistic concurrency/version checks for updates; idempotency for payments, admissions confirmation, bulk imports and other retry-prone commands.</x:v>
      </x:c>
      <x:c r="L97" s="339" t="str">
        <x:v>Publish domain events after successful commit when downstream modules/notifications depend on the change.</x:v>
      </x:c>
    </x:row>
    <x:row r="98">
      <x:c r="A98" s="339" t="str">
        <x:v>API-0097</x:v>
      </x:c>
      <x:c r="B98" s="339" t="str">
        <x:v>SCR-097</x:v>
      </x:c>
      <x:c r="C98" s="339" t="str">
        <x:v>Academics &amp; Curriculum</x:v>
      </x:c>
      <x:c r="D98" s="339" t="str">
        <x:v>Subject Groups</x:v>
      </x:c>
      <x:c r="E98" s="339" t="str">
        <x:v>Academic Service</x:v>
      </x:c>
      <x:c r="F98" s="339" t="str">
        <x:v>/api/v1/academics-curriculum/subject-groups</x:v>
      </x:c>
      <x:c r="G98" s="339" t="str">
        <x:v>GET + POST/PATCH</x:v>
      </x:c>
      <x:c r="H98" s="339" t="str">
        <x:v>Tenant/school context + screen-specific filters/command payload; validate schema, effective references and request correlation/idempotency key for high-risk writes.</x:v>
      </x:c>
      <x:c r="I98" s="339" t="str">
        <x:v>Return authorized DTO with status/version, validation errors and correlation ID; never expose restricted fields.</x:v>
      </x:c>
      <x:c r="J98" s="339" t="str">
        <x:v>Academic Coordinator, Principal, School Admin, Teacher</x:v>
      </x:c>
      <x:c r="K98" s="339" t="str">
        <x:v>Use optimistic concurrency/version checks for updates; idempotency for payments, admissions confirmation, bulk imports and other retry-prone commands.</x:v>
      </x:c>
      <x:c r="L98" s="339" t="str">
        <x:v>Publish domain events after successful commit when downstream modules/notifications depend on the change.</x:v>
      </x:c>
    </x:row>
    <x:row r="99">
      <x:c r="A99" s="339" t="str">
        <x:v>API-0098</x:v>
      </x:c>
      <x:c r="B99" s="339" t="str">
        <x:v>SCR-098</x:v>
      </x:c>
      <x:c r="C99" s="339" t="str">
        <x:v>Academics &amp; Curriculum</x:v>
      </x:c>
      <x:c r="D99" s="339" t="str">
        <x:v>Curriculum</x:v>
      </x:c>
      <x:c r="E99" s="339" t="str">
        <x:v>Academic Service</x:v>
      </x:c>
      <x:c r="F99" s="339" t="str">
        <x:v>/api/v1/academics-curriculum/curriculum</x:v>
      </x:c>
      <x:c r="G99" s="339" t="str">
        <x:v>GET + POST/PATCH</x:v>
      </x:c>
      <x:c r="H99" s="339" t="str">
        <x:v>Tenant/school context + screen-specific filters/command payload; validate schema, effective references and request correlation/idempotency key for high-risk writes.</x:v>
      </x:c>
      <x:c r="I99" s="339" t="str">
        <x:v>Return authorized DTO with status/version, validation errors and correlation ID; never expose restricted fields.</x:v>
      </x:c>
      <x:c r="J99" s="339" t="str">
        <x:v>Academic Coordinator, Principal, School Admin, Teacher</x:v>
      </x:c>
      <x:c r="K99" s="339" t="str">
        <x:v>Use optimistic concurrency/version checks for updates; idempotency for payments, admissions confirmation, bulk imports and other retry-prone commands.</x:v>
      </x:c>
      <x:c r="L99" s="339" t="str">
        <x:v>Publish domain events after successful commit when downstream modules/notifications depend on the change.</x:v>
      </x:c>
    </x:row>
    <x:row r="100">
      <x:c r="A100" s="339" t="str">
        <x:v>API-0099</x:v>
      </x:c>
      <x:c r="B100" s="339" t="str">
        <x:v>SCR-099</x:v>
      </x:c>
      <x:c r="C100" s="339" t="str">
        <x:v>Academics &amp; Curriculum</x:v>
      </x:c>
      <x:c r="D100" s="339" t="str">
        <x:v>Curriculum Details</x:v>
      </x:c>
      <x:c r="E100" s="339" t="str">
        <x:v>Academic Service</x:v>
      </x:c>
      <x:c r="F100" s="339" t="str">
        <x:v>/api/v1/academics-curriculum/curriculum-details</x:v>
      </x:c>
      <x:c r="G100" s="339" t="str">
        <x:v>GET + PATCH</x:v>
      </x:c>
      <x:c r="H100" s="339" t="str">
        <x:v>Tenant/school context + screen-specific filters/command payload; validate schema, effective references and request correlation/idempotency key for high-risk writes.</x:v>
      </x:c>
      <x:c r="I100" s="339" t="str">
        <x:v>Return authorized DTO with status/version, validation errors and correlation ID; never expose restricted fields.</x:v>
      </x:c>
      <x:c r="J100" s="339" t="str">
        <x:v>Academic Coordinator, Principal, School Admin, Teacher</x:v>
      </x:c>
      <x:c r="K100" s="339" t="str">
        <x:v>Use optimistic concurrency/version checks for updates; idempotency for payments, admissions confirmation, bulk imports and other retry-prone commands.</x:v>
      </x:c>
      <x:c r="L100" s="339" t="str">
        <x:v>Publish domain events after successful commit when downstream modules/notifications depend on the change.</x:v>
      </x:c>
    </x:row>
    <x:row r="101">
      <x:c r="A101" s="339" t="str">
        <x:v>API-0100</x:v>
      </x:c>
      <x:c r="B101" s="339" t="str">
        <x:v>SCR-100</x:v>
      </x:c>
      <x:c r="C101" s="339" t="str">
        <x:v>Academics &amp; Curriculum</x:v>
      </x:c>
      <x:c r="D101" s="339" t="str">
        <x:v>Units / Chapters / Topics</x:v>
      </x:c>
      <x:c r="E101" s="339" t="str">
        <x:v>Academic Service</x:v>
      </x:c>
      <x:c r="F101" s="339" t="str">
        <x:v>/api/v1/academics-curriculum/units-chapters-topics</x:v>
      </x:c>
      <x:c r="G101" s="339" t="str">
        <x:v>GET + POST/PATCH</x:v>
      </x:c>
      <x:c r="H101" s="339" t="str">
        <x:v>Tenant/school context + screen-specific filters/command payload; validate schema, effective references and request correlation/idempotency key for high-risk writes.</x:v>
      </x:c>
      <x:c r="I101" s="339" t="str">
        <x:v>Return authorized DTO with status/version, validation errors and correlation ID; never expose restricted fields.</x:v>
      </x:c>
      <x:c r="J101" s="339" t="str">
        <x:v>Academic Coordinator, Principal, School Admin, Teacher</x:v>
      </x:c>
      <x:c r="K101" s="339" t="str">
        <x:v>Use optimistic concurrency/version checks for updates; idempotency for payments, admissions confirmation, bulk imports and other retry-prone commands.</x:v>
      </x:c>
      <x:c r="L101" s="339" t="str">
        <x:v>Publish domain events after successful commit when downstream modules/notifications depend on the change.</x:v>
      </x:c>
    </x:row>
    <x:row r="102">
      <x:c r="A102" s="339" t="str">
        <x:v>API-0101</x:v>
      </x:c>
      <x:c r="B102" s="339" t="str">
        <x:v>SCR-101</x:v>
      </x:c>
      <x:c r="C102" s="339" t="str">
        <x:v>Academics &amp; Curriculum</x:v>
      </x:c>
      <x:c r="D102" s="339" t="str">
        <x:v>Learning Outcomes</x:v>
      </x:c>
      <x:c r="E102" s="339" t="str">
        <x:v>Academic Service</x:v>
      </x:c>
      <x:c r="F102" s="339" t="str">
        <x:v>/api/v1/academics-curriculum/learning-outcomes</x:v>
      </x:c>
      <x:c r="G102" s="339" t="str">
        <x:v>GET + POST/PATCH</x:v>
      </x:c>
      <x:c r="H102" s="339" t="str">
        <x:v>Tenant/school context + screen-specific filters/command payload; validate schema, effective references and request correlation/idempotency key for high-risk writes.</x:v>
      </x:c>
      <x:c r="I102" s="339" t="str">
        <x:v>Return authorized DTO with status/version, validation errors and correlation ID; never expose restricted fields.</x:v>
      </x:c>
      <x:c r="J102" s="339" t="str">
        <x:v>Academic Coordinator, Principal, School Admin, Teacher</x:v>
      </x:c>
      <x:c r="K102" s="339" t="str">
        <x:v>Use optimistic concurrency/version checks for updates; idempotency for payments, admissions confirmation, bulk imports and other retry-prone commands.</x:v>
      </x:c>
      <x:c r="L102" s="339" t="str">
        <x:v>Publish domain events after successful commit when downstream modules/notifications depend on the change.</x:v>
      </x:c>
    </x:row>
    <x:row r="103">
      <x:c r="A103" s="339" t="str">
        <x:v>API-0102</x:v>
      </x:c>
      <x:c r="B103" s="339" t="str">
        <x:v>SCR-102</x:v>
      </x:c>
      <x:c r="C103" s="339" t="str">
        <x:v>Academics &amp; Curriculum</x:v>
      </x:c>
      <x:c r="D103" s="339" t="str">
        <x:v>Lesson Plans</x:v>
      </x:c>
      <x:c r="E103" s="339" t="str">
        <x:v>Academic Service</x:v>
      </x:c>
      <x:c r="F103" s="339" t="str">
        <x:v>/api/v1/academics-curriculum/lesson-plans</x:v>
      </x:c>
      <x:c r="G103" s="339" t="str">
        <x:v>GET + POST/PATCH</x:v>
      </x:c>
      <x:c r="H103" s="339" t="str">
        <x:v>Tenant/school context + screen-specific filters/command payload; validate schema, effective references and request correlation/idempotency key for high-risk writes.</x:v>
      </x:c>
      <x:c r="I103" s="339" t="str">
        <x:v>Return authorized DTO with status/version, validation errors and correlation ID; never expose restricted fields.</x:v>
      </x:c>
      <x:c r="J103" s="339" t="str">
        <x:v>Academic Coordinator, Principal, School Admin, Teacher</x:v>
      </x:c>
      <x:c r="K103" s="339" t="str">
        <x:v>Use optimistic concurrency/version checks for updates; idempotency for payments, admissions confirmation, bulk imports and other retry-prone commands.</x:v>
      </x:c>
      <x:c r="L103" s="339" t="str">
        <x:v>Publish domain events after successful commit when downstream modules/notifications depend on the change.</x:v>
      </x:c>
    </x:row>
    <x:row r="104">
      <x:c r="A104" s="339" t="str">
        <x:v>API-0103</x:v>
      </x:c>
      <x:c r="B104" s="339" t="str">
        <x:v>SCR-103</x:v>
      </x:c>
      <x:c r="C104" s="339" t="str">
        <x:v>Academics &amp; Curriculum</x:v>
      </x:c>
      <x:c r="D104" s="339" t="str">
        <x:v>Create / Edit Lesson Plan</x:v>
      </x:c>
      <x:c r="E104" s="339" t="str">
        <x:v>Academic Service</x:v>
      </x:c>
      <x:c r="F104" s="339" t="str">
        <x:v>/api/v1/academics-curriculum/create-edit-lesson-plan</x:v>
      </x:c>
      <x:c r="G104" s="339" t="str">
        <x:v>POST</x:v>
      </x:c>
      <x:c r="H104" s="339" t="str">
        <x:v>Tenant/school context + screen-specific filters/command payload; validate schema, effective references and request correlation/idempotency key for high-risk writes.</x:v>
      </x:c>
      <x:c r="I104" s="339" t="str">
        <x:v>Return authorized DTO with status/version, validation errors and correlation ID; never expose restricted fields.</x:v>
      </x:c>
      <x:c r="J104" s="339" t="str">
        <x:v>Academic Coordinator, Principal, School Admin, Teacher</x:v>
      </x:c>
      <x:c r="K104" s="339" t="str">
        <x:v>Use optimistic concurrency/version checks for updates; idempotency for payments, admissions confirmation, bulk imports and other retry-prone commands.</x:v>
      </x:c>
      <x:c r="L104" s="339" t="str">
        <x:v>Publish domain events after successful commit when downstream modules/notifications depend on the change.</x:v>
      </x:c>
    </x:row>
    <x:row r="105">
      <x:c r="A105" s="339" t="str">
        <x:v>API-0104</x:v>
      </x:c>
      <x:c r="B105" s="339" t="str">
        <x:v>SCR-104</x:v>
      </x:c>
      <x:c r="C105" s="339" t="str">
        <x:v>Academics &amp; Curriculum</x:v>
      </x:c>
      <x:c r="D105" s="339" t="str">
        <x:v>Lesson Plan Review &amp; Approval</x:v>
      </x:c>
      <x:c r="E105" s="339" t="str">
        <x:v>Academic Service</x:v>
      </x:c>
      <x:c r="F105" s="339" t="str">
        <x:v>/api/v1/academics-curriculum/lesson-plan-review-approval</x:v>
      </x:c>
      <x:c r="G105" s="339" t="str">
        <x:v>PATCH/POST action</x:v>
      </x:c>
      <x:c r="H105" s="339" t="str">
        <x:v>Tenant/school context + screen-specific filters/command payload; validate schema, effective references and request correlation/idempotency key for high-risk writes.</x:v>
      </x:c>
      <x:c r="I105" s="339" t="str">
        <x:v>Return authorized DTO with status/version, validation errors and correlation ID; never expose restricted fields.</x:v>
      </x:c>
      <x:c r="J105" s="339" t="str">
        <x:v>Academic Coordinator, Principal, School Admin, Teacher</x:v>
      </x:c>
      <x:c r="K105" s="339" t="str">
        <x:v>Use optimistic concurrency/version checks for updates; idempotency for payments, admissions confirmation, bulk imports and other retry-prone commands.</x:v>
      </x:c>
      <x:c r="L105" s="339" t="str">
        <x:v>Publish domain events after successful commit when downstream modules/notifications depend on the change.</x:v>
      </x:c>
    </x:row>
    <x:row r="106">
      <x:c r="A106" s="339" t="str">
        <x:v>API-0105</x:v>
      </x:c>
      <x:c r="B106" s="339" t="str">
        <x:v>SCR-105</x:v>
      </x:c>
      <x:c r="C106" s="339" t="str">
        <x:v>Academics &amp; Curriculum</x:v>
      </x:c>
      <x:c r="D106" s="339" t="str">
        <x:v>Syllabus Progress</x:v>
      </x:c>
      <x:c r="E106" s="339" t="str">
        <x:v>Academic Service</x:v>
      </x:c>
      <x:c r="F106" s="339" t="str">
        <x:v>/api/v1/academics-curriculum/syllabus-progress</x:v>
      </x:c>
      <x:c r="G106" s="339" t="str">
        <x:v>GET + POST/PATCH</x:v>
      </x:c>
      <x:c r="H106" s="339" t="str">
        <x:v>Tenant/school context + screen-specific filters/command payload; validate schema, effective references and request correlation/idempotency key for high-risk writes.</x:v>
      </x:c>
      <x:c r="I106" s="339" t="str">
        <x:v>Return authorized DTO with status/version, validation errors and correlation ID; never expose restricted fields.</x:v>
      </x:c>
      <x:c r="J106" s="339" t="str">
        <x:v>Academic Coordinator, Principal, School Admin, Teacher</x:v>
      </x:c>
      <x:c r="K106" s="339" t="str">
        <x:v>Use optimistic concurrency/version checks for updates; idempotency for payments, admissions confirmation, bulk imports and other retry-prone commands.</x:v>
      </x:c>
      <x:c r="L106" s="339" t="str">
        <x:v>Publish domain events after successful commit when downstream modules/notifications depend on the change.</x:v>
      </x:c>
    </x:row>
    <x:row r="107">
      <x:c r="A107" s="339" t="str">
        <x:v>API-0106</x:v>
      </x:c>
      <x:c r="B107" s="339" t="str">
        <x:v>SCR-106</x:v>
      </x:c>
      <x:c r="C107" s="339" t="str">
        <x:v>Academics &amp; Curriculum</x:v>
      </x:c>
      <x:c r="D107" s="339" t="str">
        <x:v>Teaching Resources</x:v>
      </x:c>
      <x:c r="E107" s="339" t="str">
        <x:v>Academic Service</x:v>
      </x:c>
      <x:c r="F107" s="339" t="str">
        <x:v>/api/v1/academics-curriculum/teaching-resources</x:v>
      </x:c>
      <x:c r="G107" s="339" t="str">
        <x:v>GET + POST/PATCH</x:v>
      </x:c>
      <x:c r="H107" s="339" t="str">
        <x:v>Tenant/school context + screen-specific filters/command payload; validate schema, effective references and request correlation/idempotency key for high-risk writes.</x:v>
      </x:c>
      <x:c r="I107" s="339" t="str">
        <x:v>Return authorized DTO with status/version, validation errors and correlation ID; never expose restricted fields.</x:v>
      </x:c>
      <x:c r="J107" s="339" t="str">
        <x:v>Academic Coordinator, Principal, School Admin, Teacher</x:v>
      </x:c>
      <x:c r="K107" s="339" t="str">
        <x:v>Use optimistic concurrency/version checks for updates; idempotency for payments, admissions confirmation, bulk imports and other retry-prone commands.</x:v>
      </x:c>
      <x:c r="L107" s="339" t="str">
        <x:v>Publish domain events after successful commit when downstream modules/notifications depend on the change.</x:v>
      </x:c>
    </x:row>
    <x:row r="108">
      <x:c r="A108" s="339" t="str">
        <x:v>API-0107</x:v>
      </x:c>
      <x:c r="B108" s="339" t="str">
        <x:v>SCR-107</x:v>
      </x:c>
      <x:c r="C108" s="339" t="str">
        <x:v>Academics &amp; Curriculum</x:v>
      </x:c>
      <x:c r="D108" s="339" t="str">
        <x:v>Classroom / Room Management</x:v>
      </x:c>
      <x:c r="E108" s="339" t="str">
        <x:v>Academic Service</x:v>
      </x:c>
      <x:c r="F108" s="339" t="str">
        <x:v>/api/v1/academics-curriculum/classroom-room-management</x:v>
      </x:c>
      <x:c r="G108" s="339" t="str">
        <x:v>GET + POST/PATCH</x:v>
      </x:c>
      <x:c r="H108" s="339" t="str">
        <x:v>Tenant/school context + screen-specific filters/command payload; validate schema, effective references and request correlation/idempotency key for high-risk writes.</x:v>
      </x:c>
      <x:c r="I108" s="339" t="str">
        <x:v>Return authorized DTO with status/version, validation errors and correlation ID; never expose restricted fields.</x:v>
      </x:c>
      <x:c r="J108" s="339" t="str">
        <x:v>Academic Coordinator, Principal, School Admin, Teacher</x:v>
      </x:c>
      <x:c r="K108" s="339" t="str">
        <x:v>Use optimistic concurrency/version checks for updates; idempotency for payments, admissions confirmation, bulk imports and other retry-prone commands.</x:v>
      </x:c>
      <x:c r="L108" s="339" t="str">
        <x:v>Publish domain events after successful commit when downstream modules/notifications depend on the change.</x:v>
      </x:c>
    </x:row>
    <x:row r="109">
      <x:c r="A109" s="339" t="str">
        <x:v>API-0108</x:v>
      </x:c>
      <x:c r="B109" s="339" t="str">
        <x:v>SCR-108</x:v>
      </x:c>
      <x:c r="C109" s="339" t="str">
        <x:v>Academics &amp; Curriculum</x:v>
      </x:c>
      <x:c r="D109" s="339" t="str">
        <x:v>Academic Calendar</x:v>
      </x:c>
      <x:c r="E109" s="339" t="str">
        <x:v>Academic Service</x:v>
      </x:c>
      <x:c r="F109" s="339" t="str">
        <x:v>/api/v1/academics-curriculum/academic-calendar</x:v>
      </x:c>
      <x:c r="G109" s="339" t="str">
        <x:v>GET + POST/PATCH</x:v>
      </x:c>
      <x:c r="H109" s="339" t="str">
        <x:v>Tenant/school context + screen-specific filters/command payload; validate schema, effective references and request correlation/idempotency key for high-risk writes.</x:v>
      </x:c>
      <x:c r="I109" s="339" t="str">
        <x:v>Return authorized DTO with status/version, validation errors and correlation ID; never expose restricted fields.</x:v>
      </x:c>
      <x:c r="J109" s="339" t="str">
        <x:v>Academic Coordinator, Principal, School Admin, Teacher</x:v>
      </x:c>
      <x:c r="K109" s="339" t="str">
        <x:v>Use optimistic concurrency/version checks for updates; idempotency for payments, admissions confirmation, bulk imports and other retry-prone commands.</x:v>
      </x:c>
      <x:c r="L109" s="339" t="str">
        <x:v>Publish domain events after successful commit when downstream modules/notifications depend on the change.</x:v>
      </x:c>
    </x:row>
    <x:row r="110">
      <x:c r="A110" s="339" t="str">
        <x:v>API-0109</x:v>
      </x:c>
      <x:c r="B110" s="339" t="str">
        <x:v>SCR-109</x:v>
      </x:c>
      <x:c r="C110" s="339" t="str">
        <x:v>Academics &amp; Curriculum</x:v>
      </x:c>
      <x:c r="D110" s="339" t="str">
        <x:v>Co-Curricular Activities</x:v>
      </x:c>
      <x:c r="E110" s="339" t="str">
        <x:v>Academic Service</x:v>
      </x:c>
      <x:c r="F110" s="339" t="str">
        <x:v>/api/v1/academics-curriculum/co-curricular-activities</x:v>
      </x:c>
      <x:c r="G110" s="339" t="str">
        <x:v>GET + POST/PATCH</x:v>
      </x:c>
      <x:c r="H110" s="339" t="str">
        <x:v>Tenant/school context + screen-specific filters/command payload; validate schema, effective references and request correlation/idempotency key for high-risk writes.</x:v>
      </x:c>
      <x:c r="I110" s="339" t="str">
        <x:v>Return authorized DTO with status/version, validation errors and correlation ID; never expose restricted fields.</x:v>
      </x:c>
      <x:c r="J110" s="339" t="str">
        <x:v>Academic Coordinator, Principal, School Admin, Teacher</x:v>
      </x:c>
      <x:c r="K110" s="339" t="str">
        <x:v>Use optimistic concurrency/version checks for updates; idempotency for payments, admissions confirmation, bulk imports and other retry-prone commands.</x:v>
      </x:c>
      <x:c r="L110" s="339" t="str">
        <x:v>Publish domain events after successful commit when downstream modules/notifications depend on the change.</x:v>
      </x:c>
    </x:row>
    <x:row r="111">
      <x:c r="A111" s="339" t="str">
        <x:v>API-0110</x:v>
      </x:c>
      <x:c r="B111" s="339" t="str">
        <x:v>SCR-110</x:v>
      </x:c>
      <x:c r="C111" s="339" t="str">
        <x:v>Student Attendance</x:v>
      </x:c>
      <x:c r="D111" s="339" t="str">
        <x:v>Daily Class Attendance</x:v>
      </x:c>
      <x:c r="E111" s="339" t="str">
        <x:v>Attendance Service</x:v>
      </x:c>
      <x:c r="F111" s="339" t="str">
        <x:v>/api/v1/student-attendance/daily-class-attendance</x:v>
      </x:c>
      <x:c r="G111" s="339" t="str">
        <x:v>GET + POST/PATCH</x:v>
      </x:c>
      <x:c r="H111" s="339" t="str">
        <x:v>Tenant/school context + screen-specific filters/command payload; validate schema, effective references and request correlation/idempotency key for high-risk writes.</x:v>
      </x:c>
      <x:c r="I111" s="339" t="str">
        <x:v>Return authorized DTO with status/version, validation errors and correlation ID; never expose restricted fields.</x:v>
      </x:c>
      <x:c r="J111" s="339" t="str">
        <x:v>Teacher, Class Teacher, School Admin</x:v>
      </x:c>
      <x:c r="K111" s="339" t="str">
        <x:v>Use optimistic concurrency/version checks for updates; idempotency for payments, admissions confirmation, bulk imports and other retry-prone commands.</x:v>
      </x:c>
      <x:c r="L111" s="339" t="str">
        <x:v>Publish domain events after successful commit when downstream modules/notifications depend on the change.</x:v>
      </x:c>
    </x:row>
    <x:row r="112">
      <x:c r="A112" s="339" t="str">
        <x:v>API-0111</x:v>
      </x:c>
      <x:c r="B112" s="339" t="str">
        <x:v>SCR-111</x:v>
      </x:c>
      <x:c r="C112" s="339" t="str">
        <x:v>Student Attendance</x:v>
      </x:c>
      <x:c r="D112" s="339" t="str">
        <x:v>Period / Subject Attendance</x:v>
      </x:c>
      <x:c r="E112" s="339" t="str">
        <x:v>Attendance Service</x:v>
      </x:c>
      <x:c r="F112" s="339" t="str">
        <x:v>/api/v1/student-attendance/period-subject-attendance</x:v>
      </x:c>
      <x:c r="G112" s="339" t="str">
        <x:v>GET + POST/PATCH</x:v>
      </x:c>
      <x:c r="H112" s="339" t="str">
        <x:v>Tenant/school context + screen-specific filters/command payload; validate schema, effective references and request correlation/idempotency key for high-risk writes.</x:v>
      </x:c>
      <x:c r="I112" s="339" t="str">
        <x:v>Return authorized DTO with status/version, validation errors and correlation ID; never expose restricted fields.</x:v>
      </x:c>
      <x:c r="J112" s="339" t="str">
        <x:v>Teacher, Class Teacher, School Admin</x:v>
      </x:c>
      <x:c r="K112" s="339" t="str">
        <x:v>Use optimistic concurrency/version checks for updates; idempotency for payments, admissions confirmation, bulk imports and other retry-prone commands.</x:v>
      </x:c>
      <x:c r="L112" s="339" t="str">
        <x:v>Publish domain events after successful commit when downstream modules/notifications depend on the change.</x:v>
      </x:c>
    </x:row>
    <x:row r="113">
      <x:c r="A113" s="339" t="str">
        <x:v>API-0112</x:v>
      </x:c>
      <x:c r="B113" s="339" t="str">
        <x:v>SCR-112</x:v>
      </x:c>
      <x:c r="C113" s="339" t="str">
        <x:v>Student Attendance</x:v>
      </x:c>
      <x:c r="D113" s="339" t="str">
        <x:v>Student Attendance Register</x:v>
      </x:c>
      <x:c r="E113" s="339" t="str">
        <x:v>Attendance Service</x:v>
      </x:c>
      <x:c r="F113" s="339" t="str">
        <x:v>/api/v1/student-attendance/student-attendance-register</x:v>
      </x:c>
      <x:c r="G113" s="339" t="str">
        <x:v>GET + PATCH</x:v>
      </x:c>
      <x:c r="H113" s="339" t="str">
        <x:v>Tenant/school context + screen-specific filters/command payload; validate schema, effective references and request correlation/idempotency key for high-risk writes.</x:v>
      </x:c>
      <x:c r="I113" s="339" t="str">
        <x:v>Return authorized DTO with status/version, validation errors and correlation ID; never expose restricted fields.</x:v>
      </x:c>
      <x:c r="J113" s="339" t="str">
        <x:v>Teacher, Class Teacher, School Admin</x:v>
      </x:c>
      <x:c r="K113" s="339" t="str">
        <x:v>Use optimistic concurrency/version checks for updates; idempotency for payments, admissions confirmation, bulk imports and other retry-prone commands.</x:v>
      </x:c>
      <x:c r="L113" s="339" t="str">
        <x:v>Publish domain events after successful commit when downstream modules/notifications depend on the change.</x:v>
      </x:c>
    </x:row>
    <x:row r="114">
      <x:c r="A114" s="339" t="str">
        <x:v>API-0113</x:v>
      </x:c>
      <x:c r="B114" s="339" t="str">
        <x:v>SCR-113</x:v>
      </x:c>
      <x:c r="C114" s="339" t="str">
        <x:v>Student Attendance</x:v>
      </x:c>
      <x:c r="D114" s="339" t="str">
        <x:v>Attendance Correction</x:v>
      </x:c>
      <x:c r="E114" s="339" t="str">
        <x:v>Attendance Service</x:v>
      </x:c>
      <x:c r="F114" s="339" t="str">
        <x:v>/api/v1/student-attendance/attendance-correction</x:v>
      </x:c>
      <x:c r="G114" s="339" t="str">
        <x:v>PATCH/POST action</x:v>
      </x:c>
      <x:c r="H114" s="339" t="str">
        <x:v>Tenant/school context + screen-specific filters/command payload; validate schema, effective references and request correlation/idempotency key for high-risk writes.</x:v>
      </x:c>
      <x:c r="I114" s="339" t="str">
        <x:v>Return authorized DTO with status/version, validation errors and correlation ID; never expose restricted fields.</x:v>
      </x:c>
      <x:c r="J114" s="339" t="str">
        <x:v>Class Teacher, School Admin, Principal</x:v>
      </x:c>
      <x:c r="K114" s="339" t="str">
        <x:v>Use optimistic concurrency/version checks for updates; idempotency for payments, admissions confirmation, bulk imports and other retry-prone commands.</x:v>
      </x:c>
      <x:c r="L114" s="339" t="str">
        <x:v>Publish domain events after successful commit when downstream modules/notifications depend on the change.</x:v>
      </x:c>
    </x:row>
    <x:row r="115">
      <x:c r="A115" s="339" t="str">
        <x:v>API-0114</x:v>
      </x:c>
      <x:c r="B115" s="339" t="str">
        <x:v>SCR-114</x:v>
      </x:c>
      <x:c r="C115" s="339" t="str">
        <x:v>Student Attendance</x:v>
      </x:c>
      <x:c r="D115" s="339" t="str">
        <x:v>Student Leave Requests</x:v>
      </x:c>
      <x:c r="E115" s="339" t="str">
        <x:v>Attendance Service</x:v>
      </x:c>
      <x:c r="F115" s="339" t="str">
        <x:v>/api/v1/student-attendance/student-leave-requests</x:v>
      </x:c>
      <x:c r="G115" s="339" t="str">
        <x:v>GET + POST/PATCH</x:v>
      </x:c>
      <x:c r="H115" s="339" t="str">
        <x:v>Tenant/school context + screen-specific filters/command payload; validate schema, effective references and request correlation/idempotency key for high-risk writes.</x:v>
      </x:c>
      <x:c r="I115" s="339" t="str">
        <x:v>Return authorized DTO with status/version, validation errors and correlation ID; never expose restricted fields.</x:v>
      </x:c>
      <x:c r="J115" s="339" t="str">
        <x:v>Teacher, Class Teacher, School Admin</x:v>
      </x:c>
      <x:c r="K115" s="339" t="str">
        <x:v>Use optimistic concurrency/version checks for updates; idempotency for payments, admissions confirmation, bulk imports and other retry-prone commands.</x:v>
      </x:c>
      <x:c r="L115" s="339" t="str">
        <x:v>Publish domain events after successful commit when downstream modules/notifications depend on the change.</x:v>
      </x:c>
    </x:row>
    <x:row r="116">
      <x:c r="A116" s="339" t="str">
        <x:v>API-0115</x:v>
      </x:c>
      <x:c r="B116" s="339" t="str">
        <x:v>SCR-115</x:v>
      </x:c>
      <x:c r="C116" s="339" t="str">
        <x:v>Student Attendance</x:v>
      </x:c>
      <x:c r="D116" s="339" t="str">
        <x:v>Student Leave Approval</x:v>
      </x:c>
      <x:c r="E116" s="339" t="str">
        <x:v>Attendance Service</x:v>
      </x:c>
      <x:c r="F116" s="339" t="str">
        <x:v>/api/v1/student-attendance/student-leave-approval</x:v>
      </x:c>
      <x:c r="G116" s="339" t="str">
        <x:v>PATCH/POST action</x:v>
      </x:c>
      <x:c r="H116" s="339" t="str">
        <x:v>Tenant/school context + screen-specific filters/command payload; validate schema, effective references and request correlation/idempotency key for high-risk writes.</x:v>
      </x:c>
      <x:c r="I116" s="339" t="str">
        <x:v>Return authorized DTO with status/version, validation errors and correlation ID; never expose restricted fields.</x:v>
      </x:c>
      <x:c r="J116" s="339" t="str">
        <x:v>Class Teacher, School Admin, Principal</x:v>
      </x:c>
      <x:c r="K116" s="339" t="str">
        <x:v>Use optimistic concurrency/version checks for updates; idempotency for payments, admissions confirmation, bulk imports and other retry-prone commands.</x:v>
      </x:c>
      <x:c r="L116" s="339" t="str">
        <x:v>Publish domain events after successful commit when downstream modules/notifications depend on the change.</x:v>
      </x:c>
    </x:row>
    <x:row r="117">
      <x:c r="A117" s="339" t="str">
        <x:v>API-0116</x:v>
      </x:c>
      <x:c r="B117" s="339" t="str">
        <x:v>SCR-116</x:v>
      </x:c>
      <x:c r="C117" s="339" t="str">
        <x:v>Student Attendance</x:v>
      </x:c>
      <x:c r="D117" s="339" t="str">
        <x:v>Late Entry / Early Exit</x:v>
      </x:c>
      <x:c r="E117" s="339" t="str">
        <x:v>Attendance Service</x:v>
      </x:c>
      <x:c r="F117" s="339" t="str">
        <x:v>/api/v1/student-attendance/late-entry-early-exit</x:v>
      </x:c>
      <x:c r="G117" s="339" t="str">
        <x:v>GET + POST/PATCH</x:v>
      </x:c>
      <x:c r="H117" s="339" t="str">
        <x:v>Tenant/school context + screen-specific filters/command payload; validate schema, effective references and request correlation/idempotency key for high-risk writes.</x:v>
      </x:c>
      <x:c r="I117" s="339" t="str">
        <x:v>Return authorized DTO with status/version, validation errors and correlation ID; never expose restricted fields.</x:v>
      </x:c>
      <x:c r="J117" s="339" t="str">
        <x:v>Teacher, Class Teacher, School Admin</x:v>
      </x:c>
      <x:c r="K117" s="339" t="str">
        <x:v>Use optimistic concurrency/version checks for updates; idempotency for payments, admissions confirmation, bulk imports and other retry-prone commands.</x:v>
      </x:c>
      <x:c r="L117" s="339" t="str">
        <x:v>Publish domain events after successful commit when downstream modules/notifications depend on the change.</x:v>
      </x:c>
    </x:row>
    <x:row r="118">
      <x:c r="A118" s="339" t="str">
        <x:v>API-0117</x:v>
      </x:c>
      <x:c r="B118" s="339" t="str">
        <x:v>SCR-117</x:v>
      </x:c>
      <x:c r="C118" s="339" t="str">
        <x:v>Student Attendance</x:v>
      </x:c>
      <x:c r="D118" s="339" t="str">
        <x:v>Monthly Attendance Summary</x:v>
      </x:c>
      <x:c r="E118" s="339" t="str">
        <x:v>Attendance Service</x:v>
      </x:c>
      <x:c r="F118" s="339" t="str">
        <x:v>/api/v1/student-attendance/monthly-attendance-summary</x:v>
      </x:c>
      <x:c r="G118" s="339" t="str">
        <x:v>GET</x:v>
      </x:c>
      <x:c r="H118" s="339" t="str">
        <x:v>Tenant/school context + screen-specific filters/command payload; validate schema, effective references and request correlation/idempotency key for high-risk writes.</x:v>
      </x:c>
      <x:c r="I118" s="339" t="str">
        <x:v>Return authorized DTO with status/version, validation errors and correlation ID; never expose restricted fields.</x:v>
      </x:c>
      <x:c r="J118" s="339" t="str">
        <x:v>School Admin, Principal, Class Teacher</x:v>
      </x:c>
      <x:c r="K118" s="339" t="str">
        <x:v>Use optimistic concurrency/version checks for updates; idempotency for payments, admissions confirmation, bulk imports and other retry-prone commands.</x:v>
      </x:c>
      <x:c r="L118" s="339" t="str">
        <x:v>Publish domain events after successful commit when downstream modules/notifications depend on the change.</x:v>
      </x:c>
    </x:row>
    <x:row r="119">
      <x:c r="A119" s="339" t="str">
        <x:v>API-0118</x:v>
      </x:c>
      <x:c r="B119" s="339" t="str">
        <x:v>SCR-118</x:v>
      </x:c>
      <x:c r="C119" s="339" t="str">
        <x:v>Student Attendance</x:v>
      </x:c>
      <x:c r="D119" s="339" t="str">
        <x:v>Chronic Absence Alerts</x:v>
      </x:c>
      <x:c r="E119" s="339" t="str">
        <x:v>Attendance Service</x:v>
      </x:c>
      <x:c r="F119" s="339" t="str">
        <x:v>/api/v1/student-attendance/chronic-absence-alerts</x:v>
      </x:c>
      <x:c r="G119" s="339" t="str">
        <x:v>GET + POST/PATCH</x:v>
      </x:c>
      <x:c r="H119" s="339" t="str">
        <x:v>Tenant/school context + screen-specific filters/command payload; validate schema, effective references and request correlation/idempotency key for high-risk writes.</x:v>
      </x:c>
      <x:c r="I119" s="339" t="str">
        <x:v>Return authorized DTO with status/version, validation errors and correlation ID; never expose restricted fields.</x:v>
      </x:c>
      <x:c r="J119" s="339" t="str">
        <x:v>School Admin, Principal, Class Teacher</x:v>
      </x:c>
      <x:c r="K119" s="339" t="str">
        <x:v>Use optimistic concurrency/version checks for updates; idempotency for payments, admissions confirmation, bulk imports and other retry-prone commands.</x:v>
      </x:c>
      <x:c r="L119" s="339" t="str">
        <x:v>Publish domain events after successful commit when downstream modules/notifications depend on the change.</x:v>
      </x:c>
    </x:row>
    <x:row r="120">
      <x:c r="A120" s="339" t="str">
        <x:v>API-0119</x:v>
      </x:c>
      <x:c r="B120" s="339" t="str">
        <x:v>SCR-119</x:v>
      </x:c>
      <x:c r="C120" s="339" t="str">
        <x:v>Student Attendance</x:v>
      </x:c>
      <x:c r="D120" s="339" t="str">
        <x:v>Attendance Reports</x:v>
      </x:c>
      <x:c r="E120" s="339" t="str">
        <x:v>Attendance Service</x:v>
      </x:c>
      <x:c r="F120" s="339" t="str">
        <x:v>/api/v1/student-attendance/attendance-reports</x:v>
      </x:c>
      <x:c r="G120" s="339" t="str">
        <x:v>GET</x:v>
      </x:c>
      <x:c r="H120" s="339" t="str">
        <x:v>Tenant/school context + screen-specific filters/command payload; validate schema, effective references and request correlation/idempotency key for high-risk writes.</x:v>
      </x:c>
      <x:c r="I120" s="339" t="str">
        <x:v>Return authorized DTO with status/version, validation errors and correlation ID; never expose restricted fields.</x:v>
      </x:c>
      <x:c r="J120" s="339" t="str">
        <x:v>School Admin, Principal, Class Teacher</x:v>
      </x:c>
      <x:c r="K120" s="339" t="str">
        <x:v>Use optimistic concurrency/version checks for updates; idempotency for payments, admissions confirmation, bulk imports and other retry-prone commands.</x:v>
      </x:c>
      <x:c r="L120" s="339" t="str">
        <x:v>Publish domain events after successful commit when downstream modules/notifications depend on the change.</x:v>
      </x:c>
    </x:row>
    <x:row r="121">
      <x:c r="A121" s="339" t="str">
        <x:v>API-0120</x:v>
      </x:c>
      <x:c r="B121" s="339" t="str">
        <x:v>SCR-120</x:v>
      </x:c>
      <x:c r="C121" s="339" t="str">
        <x:v>Timetable &amp; Substitution</x:v>
      </x:c>
      <x:c r="D121" s="339" t="str">
        <x:v>Timetable Dashboard</x:v>
      </x:c>
      <x:c r="E121" s="339" t="str">
        <x:v>Scheduling Service</x:v>
      </x:c>
      <x:c r="F121" s="339" t="str">
        <x:v>/api/v1/timetable-substitution/timetable-dashboard</x:v>
      </x:c>
      <x:c r="G121" s="339" t="str">
        <x:v>GET</x:v>
      </x:c>
      <x:c r="H121" s="339" t="str">
        <x:v>Tenant/school context + screen-specific filters/command payload; validate schema, effective references and request correlation/idempotency key for high-risk writes.</x:v>
      </x:c>
      <x:c r="I121" s="339" t="str">
        <x:v>Return authorized DTO with status/version, validation errors and correlation ID; never expose restricted fields.</x:v>
      </x:c>
      <x:c r="J121" s="339" t="str">
        <x:v>Academic Coordinator, School Admin, Principal, Teacher, Student</x:v>
      </x:c>
      <x:c r="K121" s="339" t="str">
        <x:v>Use optimistic concurrency/version checks for updates; idempotency for payments, admissions confirmation, bulk imports and other retry-prone commands.</x:v>
      </x:c>
      <x:c r="L121" s="339" t="str">
        <x:v>Publish domain events after successful commit when downstream modules/notifications depend on the change.</x:v>
      </x:c>
    </x:row>
    <x:row r="122">
      <x:c r="A122" s="339" t="str">
        <x:v>API-0121</x:v>
      </x:c>
      <x:c r="B122" s="339" t="str">
        <x:v>SCR-121</x:v>
      </x:c>
      <x:c r="C122" s="339" t="str">
        <x:v>Timetable &amp; Substitution</x:v>
      </x:c>
      <x:c r="D122" s="339" t="str">
        <x:v>Timetable Setup</x:v>
      </x:c>
      <x:c r="E122" s="339" t="str">
        <x:v>Scheduling Service</x:v>
      </x:c>
      <x:c r="F122" s="339" t="str">
        <x:v>/api/v1/timetable-substitution/timetable-setup</x:v>
      </x:c>
      <x:c r="G122" s="339" t="str">
        <x:v>GET + POST/PATCH</x:v>
      </x:c>
      <x:c r="H122" s="339" t="str">
        <x:v>Tenant/school context + screen-specific filters/command payload; validate schema, effective references and request correlation/idempotency key for high-risk writes.</x:v>
      </x:c>
      <x:c r="I122" s="339" t="str">
        <x:v>Return authorized DTO with status/version, validation errors and correlation ID; never expose restricted fields.</x:v>
      </x:c>
      <x:c r="J122" s="339" t="str">
        <x:v>Academic Coordinator, School Admin, Principal, Teacher, Student</x:v>
      </x:c>
      <x:c r="K122" s="339" t="str">
        <x:v>Use optimistic concurrency/version checks for updates; idempotency for payments, admissions confirmation, bulk imports and other retry-prone commands.</x:v>
      </x:c>
      <x:c r="L122" s="339" t="str">
        <x:v>Publish domain events after successful commit when downstream modules/notifications depend on the change.</x:v>
      </x:c>
    </x:row>
    <x:row r="123">
      <x:c r="A123" s="339" t="str">
        <x:v>API-0122</x:v>
      </x:c>
      <x:c r="B123" s="339" t="str">
        <x:v>SCR-122</x:v>
      </x:c>
      <x:c r="C123" s="339" t="str">
        <x:v>Timetable &amp; Substitution</x:v>
      </x:c>
      <x:c r="D123" s="339" t="str">
        <x:v>Period Setup</x:v>
      </x:c>
      <x:c r="E123" s="339" t="str">
        <x:v>Scheduling Service</x:v>
      </x:c>
      <x:c r="F123" s="339" t="str">
        <x:v>/api/v1/timetable-substitution/period-setup</x:v>
      </x:c>
      <x:c r="G123" s="339" t="str">
        <x:v>GET + POST/PATCH</x:v>
      </x:c>
      <x:c r="H123" s="339" t="str">
        <x:v>Tenant/school context + screen-specific filters/command payload; validate schema, effective references and request correlation/idempotency key for high-risk writes.</x:v>
      </x:c>
      <x:c r="I123" s="339" t="str">
        <x:v>Return authorized DTO with status/version, validation errors and correlation ID; never expose restricted fields.</x:v>
      </x:c>
      <x:c r="J123" s="339" t="str">
        <x:v>Academic Coordinator, School Admin, Principal, Teacher, Student</x:v>
      </x:c>
      <x:c r="K123" s="339" t="str">
        <x:v>Use optimistic concurrency/version checks for updates; idempotency for payments, admissions confirmation, bulk imports and other retry-prone commands.</x:v>
      </x:c>
      <x:c r="L123" s="339" t="str">
        <x:v>Publish domain events after successful commit when downstream modules/notifications depend on the change.</x:v>
      </x:c>
    </x:row>
    <x:row r="124">
      <x:c r="A124" s="339" t="str">
        <x:v>API-0123</x:v>
      </x:c>
      <x:c r="B124" s="339" t="str">
        <x:v>SCR-123</x:v>
      </x:c>
      <x:c r="C124" s="339" t="str">
        <x:v>Timetable &amp; Substitution</x:v>
      </x:c>
      <x:c r="D124" s="339" t="str">
        <x:v>Teacher Availability</x:v>
      </x:c>
      <x:c r="E124" s="339" t="str">
        <x:v>Scheduling Service</x:v>
      </x:c>
      <x:c r="F124" s="339" t="str">
        <x:v>/api/v1/timetable-substitution/teacher-availability</x:v>
      </x:c>
      <x:c r="G124" s="339" t="str">
        <x:v>GET + POST/PATCH</x:v>
      </x:c>
      <x:c r="H124" s="339" t="str">
        <x:v>Tenant/school context + screen-specific filters/command payload; validate schema, effective references and request correlation/idempotency key for high-risk writes.</x:v>
      </x:c>
      <x:c r="I124" s="339" t="str">
        <x:v>Return authorized DTO with status/version, validation errors and correlation ID; never expose restricted fields.</x:v>
      </x:c>
      <x:c r="J124" s="339" t="str">
        <x:v>Academic Coordinator, School Admin, Principal, Teacher, Student</x:v>
      </x:c>
      <x:c r="K124" s="339" t="str">
        <x:v>Use optimistic concurrency/version checks for updates; idempotency for payments, admissions confirmation, bulk imports and other retry-prone commands.</x:v>
      </x:c>
      <x:c r="L124" s="339" t="str">
        <x:v>Publish domain events after successful commit when downstream modules/notifications depend on the change.</x:v>
      </x:c>
    </x:row>
    <x:row r="125">
      <x:c r="A125" s="339" t="str">
        <x:v>API-0124</x:v>
      </x:c>
      <x:c r="B125" s="339" t="str">
        <x:v>SCR-124</x:v>
      </x:c>
      <x:c r="C125" s="339" t="str">
        <x:v>Timetable &amp; Substitution</x:v>
      </x:c>
      <x:c r="D125" s="339" t="str">
        <x:v>Generate Timetable</x:v>
      </x:c>
      <x:c r="E125" s="339" t="str">
        <x:v>Scheduling Service</x:v>
      </x:c>
      <x:c r="F125" s="339" t="str">
        <x:v>/api/v1/timetable-substitution/generate-timetable</x:v>
      </x:c>
      <x:c r="G125" s="339" t="str">
        <x:v>GET + POST/PATCH</x:v>
      </x:c>
      <x:c r="H125" s="339" t="str">
        <x:v>Tenant/school context + screen-specific filters/command payload; validate schema, effective references and request correlation/idempotency key for high-risk writes.</x:v>
      </x:c>
      <x:c r="I125" s="339" t="str">
        <x:v>Return authorized DTO with status/version, validation errors and correlation ID; never expose restricted fields.</x:v>
      </x:c>
      <x:c r="J125" s="339" t="str">
        <x:v>Academic Coordinator, School Admin, Principal, Teacher, Student</x:v>
      </x:c>
      <x:c r="K125" s="339" t="str">
        <x:v>Use optimistic concurrency/version checks for updates; idempotency for payments, admissions confirmation, bulk imports and other retry-prone commands.</x:v>
      </x:c>
      <x:c r="L125" s="339" t="str">
        <x:v>Publish domain events after successful commit when downstream modules/notifications depend on the change.</x:v>
      </x:c>
    </x:row>
    <x:row r="126">
      <x:c r="A126" s="339" t="str">
        <x:v>API-0125</x:v>
      </x:c>
      <x:c r="B126" s="339" t="str">
        <x:v>SCR-125</x:v>
      </x:c>
      <x:c r="C126" s="339" t="str">
        <x:v>Timetable &amp; Substitution</x:v>
      </x:c>
      <x:c r="D126" s="339" t="str">
        <x:v>Class Timetable</x:v>
      </x:c>
      <x:c r="E126" s="339" t="str">
        <x:v>Scheduling Service</x:v>
      </x:c>
      <x:c r="F126" s="339" t="str">
        <x:v>/api/v1/timetable-substitution/class-timetable</x:v>
      </x:c>
      <x:c r="G126" s="339" t="str">
        <x:v>GET + POST/PATCH</x:v>
      </x:c>
      <x:c r="H126" s="339" t="str">
        <x:v>Tenant/school context + screen-specific filters/command payload; validate schema, effective references and request correlation/idempotency key for high-risk writes.</x:v>
      </x:c>
      <x:c r="I126" s="339" t="str">
        <x:v>Return authorized DTO with status/version, validation errors and correlation ID; never expose restricted fields.</x:v>
      </x:c>
      <x:c r="J126" s="339" t="str">
        <x:v>Academic Coordinator, School Admin, Principal, Teacher, Student</x:v>
      </x:c>
      <x:c r="K126" s="339" t="str">
        <x:v>Use optimistic concurrency/version checks for updates; idempotency for payments, admissions confirmation, bulk imports and other retry-prone commands.</x:v>
      </x:c>
      <x:c r="L126" s="339" t="str">
        <x:v>Publish domain events after successful commit when downstream modules/notifications depend on the change.</x:v>
      </x:c>
    </x:row>
    <x:row r="127">
      <x:c r="A127" s="339" t="str">
        <x:v>API-0126</x:v>
      </x:c>
      <x:c r="B127" s="339" t="str">
        <x:v>SCR-126</x:v>
      </x:c>
      <x:c r="C127" s="339" t="str">
        <x:v>Timetable &amp; Substitution</x:v>
      </x:c>
      <x:c r="D127" s="339" t="str">
        <x:v>Teacher Timetable</x:v>
      </x:c>
      <x:c r="E127" s="339" t="str">
        <x:v>Scheduling Service</x:v>
      </x:c>
      <x:c r="F127" s="339" t="str">
        <x:v>/api/v1/timetable-substitution/teacher-timetable</x:v>
      </x:c>
      <x:c r="G127" s="339" t="str">
        <x:v>GET + POST/PATCH</x:v>
      </x:c>
      <x:c r="H127" s="339" t="str">
        <x:v>Tenant/school context + screen-specific filters/command payload; validate schema, effective references and request correlation/idempotency key for high-risk writes.</x:v>
      </x:c>
      <x:c r="I127" s="339" t="str">
        <x:v>Return authorized DTO with status/version, validation errors and correlation ID; never expose restricted fields.</x:v>
      </x:c>
      <x:c r="J127" s="339" t="str">
        <x:v>Academic Coordinator, School Admin, Principal, Teacher, Student</x:v>
      </x:c>
      <x:c r="K127" s="339" t="str">
        <x:v>Use optimistic concurrency/version checks for updates; idempotency for payments, admissions confirmation, bulk imports and other retry-prone commands.</x:v>
      </x:c>
      <x:c r="L127" s="339" t="str">
        <x:v>Publish domain events after successful commit when downstream modules/notifications depend on the change.</x:v>
      </x:c>
    </x:row>
    <x:row r="128">
      <x:c r="A128" s="339" t="str">
        <x:v>API-0127</x:v>
      </x:c>
      <x:c r="B128" s="339" t="str">
        <x:v>SCR-127</x:v>
      </x:c>
      <x:c r="C128" s="339" t="str">
        <x:v>Timetable &amp; Substitution</x:v>
      </x:c>
      <x:c r="D128" s="339" t="str">
        <x:v>Substitution / Replacement</x:v>
      </x:c>
      <x:c r="E128" s="339" t="str">
        <x:v>Scheduling Service</x:v>
      </x:c>
      <x:c r="F128" s="339" t="str">
        <x:v>/api/v1/timetable-substitution/substitution-replacement</x:v>
      </x:c>
      <x:c r="G128" s="339" t="str">
        <x:v>GET + POST/PATCH</x:v>
      </x:c>
      <x:c r="H128" s="339" t="str">
        <x:v>Tenant/school context + screen-specific filters/command payload; validate schema, effective references and request correlation/idempotency key for high-risk writes.</x:v>
      </x:c>
      <x:c r="I128" s="339" t="str">
        <x:v>Return authorized DTO with status/version, validation errors and correlation ID; never expose restricted fields.</x:v>
      </x:c>
      <x:c r="J128" s="339" t="str">
        <x:v>Academic Coordinator, School Admin, Principal, Teacher, Student</x:v>
      </x:c>
      <x:c r="K128" s="339" t="str">
        <x:v>Use optimistic concurrency/version checks for updates; idempotency for payments, admissions confirmation, bulk imports and other retry-prone commands.</x:v>
      </x:c>
      <x:c r="L128" s="339" t="str">
        <x:v>Publish domain events after successful commit when downstream modules/notifications depend on the change.</x:v>
      </x:c>
    </x:row>
    <x:row r="129">
      <x:c r="A129" s="339" t="str">
        <x:v>API-0128</x:v>
      </x:c>
      <x:c r="B129" s="339" t="str">
        <x:v>SCR-128</x:v>
      </x:c>
      <x:c r="C129" s="339" t="str">
        <x:v>Homework &amp; Assignments</x:v>
      </x:c>
      <x:c r="D129" s="339" t="str">
        <x:v>Homework List</x:v>
      </x:c>
      <x:c r="E129" s="339" t="str">
        <x:v>Learning Task Service</x:v>
      </x:c>
      <x:c r="F129" s="339" t="str">
        <x:v>/api/v1/homework-assignments/homework-list</x:v>
      </x:c>
      <x:c r="G129" s="339" t="str">
        <x:v>GET + POST/PATCH actions</x:v>
      </x:c>
      <x:c r="H129" s="339" t="str">
        <x:v>Tenant/school context + screen-specific filters/command payload; validate schema, effective references and request correlation/idempotency key for high-risk writes.</x:v>
      </x:c>
      <x:c r="I129" s="339" t="str">
        <x:v>Return authorized DTO with status/version, validation errors and correlation ID; never expose restricted fields.</x:v>
      </x:c>
      <x:c r="J129" s="339" t="str">
        <x:v>Teacher, School Admin</x:v>
      </x:c>
      <x:c r="K129" s="339" t="str">
        <x:v>Use optimistic concurrency/version checks for updates; idempotency for payments, admissions confirmation, bulk imports and other retry-prone commands.</x:v>
      </x:c>
      <x:c r="L129" s="339" t="str">
        <x:v>Publish domain events after successful commit when downstream modules/notifications depend on the change.</x:v>
      </x:c>
    </x:row>
    <x:row r="130">
      <x:c r="A130" s="339" t="str">
        <x:v>API-0129</x:v>
      </x:c>
      <x:c r="B130" s="339" t="str">
        <x:v>SCR-129</x:v>
      </x:c>
      <x:c r="C130" s="339" t="str">
        <x:v>Homework &amp; Assignments</x:v>
      </x:c>
      <x:c r="D130" s="339" t="str">
        <x:v>Create Homework</x:v>
      </x:c>
      <x:c r="E130" s="339" t="str">
        <x:v>Learning Task Service</x:v>
      </x:c>
      <x:c r="F130" s="339" t="str">
        <x:v>/api/v1/homework-assignments/create-homework</x:v>
      </x:c>
      <x:c r="G130" s="339" t="str">
        <x:v>POST</x:v>
      </x:c>
      <x:c r="H130" s="339" t="str">
        <x:v>Tenant/school context + screen-specific filters/command payload; validate schema, effective references and request correlation/idempotency key for high-risk writes.</x:v>
      </x:c>
      <x:c r="I130" s="339" t="str">
        <x:v>Return authorized DTO with status/version, validation errors and correlation ID; never expose restricted fields.</x:v>
      </x:c>
      <x:c r="J130" s="339" t="str">
        <x:v>Teacher, School Admin</x:v>
      </x:c>
      <x:c r="K130" s="339" t="str">
        <x:v>Use optimistic concurrency/version checks for updates; idempotency for payments, admissions confirmation, bulk imports and other retry-prone commands.</x:v>
      </x:c>
      <x:c r="L130" s="339" t="str">
        <x:v>Publish domain events after successful commit when downstream modules/notifications depend on the change.</x:v>
      </x:c>
    </x:row>
    <x:row r="131">
      <x:c r="A131" s="339" t="str">
        <x:v>API-0130</x:v>
      </x:c>
      <x:c r="B131" s="339" t="str">
        <x:v>SCR-130</x:v>
      </x:c>
      <x:c r="C131" s="339" t="str">
        <x:v>Homework &amp; Assignments</x:v>
      </x:c>
      <x:c r="D131" s="339" t="str">
        <x:v>Homework Details</x:v>
      </x:c>
      <x:c r="E131" s="339" t="str">
        <x:v>Learning Task Service</x:v>
      </x:c>
      <x:c r="F131" s="339" t="str">
        <x:v>/api/v1/homework-assignments/homework-details</x:v>
      </x:c>
      <x:c r="G131" s="339" t="str">
        <x:v>GET + PATCH</x:v>
      </x:c>
      <x:c r="H131" s="339" t="str">
        <x:v>Tenant/school context + screen-specific filters/command payload; validate schema, effective references and request correlation/idempotency key for high-risk writes.</x:v>
      </x:c>
      <x:c r="I131" s="339" t="str">
        <x:v>Return authorized DTO with status/version, validation errors and correlation ID; never expose restricted fields.</x:v>
      </x:c>
      <x:c r="J131" s="339" t="str">
        <x:v>Teacher, School Admin</x:v>
      </x:c>
      <x:c r="K131" s="339" t="str">
        <x:v>Use optimistic concurrency/version checks for updates; idempotency for payments, admissions confirmation, bulk imports and other retry-prone commands.</x:v>
      </x:c>
      <x:c r="L131" s="339" t="str">
        <x:v>Publish domain events after successful commit when downstream modules/notifications depend on the change.</x:v>
      </x:c>
    </x:row>
    <x:row r="132">
      <x:c r="A132" s="339" t="str">
        <x:v>API-0131</x:v>
      </x:c>
      <x:c r="B132" s="339" t="str">
        <x:v>SCR-131</x:v>
      </x:c>
      <x:c r="C132" s="339" t="str">
        <x:v>Homework &amp; Assignments</x:v>
      </x:c>
      <x:c r="D132" s="339" t="str">
        <x:v>Student Homework View</x:v>
      </x:c>
      <x:c r="E132" s="339" t="str">
        <x:v>Learning Task Service</x:v>
      </x:c>
      <x:c r="F132" s="339" t="str">
        <x:v>/api/v1/homework-assignments/student-homework-view</x:v>
      </x:c>
      <x:c r="G132" s="339" t="str">
        <x:v>GET + POST/PATCH</x:v>
      </x:c>
      <x:c r="H132" s="339" t="str">
        <x:v>Tenant/school context + screen-specific filters/command payload; validate schema, effective references and request correlation/idempotency key for high-risk writes.</x:v>
      </x:c>
      <x:c r="I132" s="339" t="str">
        <x:v>Return authorized DTO with status/version, validation errors and correlation ID; never expose restricted fields.</x:v>
      </x:c>
      <x:c r="J132" s="339" t="str">
        <x:v>Student, Teacher, Parent</x:v>
      </x:c>
      <x:c r="K132" s="339" t="str">
        <x:v>Use optimistic concurrency/version checks for updates; idempotency for payments, admissions confirmation, bulk imports and other retry-prone commands.</x:v>
      </x:c>
      <x:c r="L132" s="339" t="str">
        <x:v>Publish domain events after successful commit when downstream modules/notifications depend on the change.</x:v>
      </x:c>
    </x:row>
    <x:row r="133">
      <x:c r="A133" s="339" t="str">
        <x:v>API-0132</x:v>
      </x:c>
      <x:c r="B133" s="339" t="str">
        <x:v>SCR-132</x:v>
      </x:c>
      <x:c r="C133" s="339" t="str">
        <x:v>Homework &amp; Assignments</x:v>
      </x:c>
      <x:c r="D133" s="339" t="str">
        <x:v>Homework Submission</x:v>
      </x:c>
      <x:c r="E133" s="339" t="str">
        <x:v>Learning Task Service</x:v>
      </x:c>
      <x:c r="F133" s="339" t="str">
        <x:v>/api/v1/homework-assignments/homework-submission</x:v>
      </x:c>
      <x:c r="G133" s="339" t="str">
        <x:v>GET + POST/PATCH</x:v>
      </x:c>
      <x:c r="H133" s="339" t="str">
        <x:v>Tenant/school context + screen-specific filters/command payload; validate schema, effective references and request correlation/idempotency key for high-risk writes.</x:v>
      </x:c>
      <x:c r="I133" s="339" t="str">
        <x:v>Return authorized DTO with status/version, validation errors and correlation ID; never expose restricted fields.</x:v>
      </x:c>
      <x:c r="J133" s="339" t="str">
        <x:v>Student, Teacher, Parent</x:v>
      </x:c>
      <x:c r="K133" s="339" t="str">
        <x:v>Use optimistic concurrency/version checks for updates; idempotency for payments, admissions confirmation, bulk imports and other retry-prone commands.</x:v>
      </x:c>
      <x:c r="L133" s="339" t="str">
        <x:v>Publish domain events after successful commit when downstream modules/notifications depend on the change.</x:v>
      </x:c>
    </x:row>
    <x:row r="134">
      <x:c r="A134" s="339" t="str">
        <x:v>API-0133</x:v>
      </x:c>
      <x:c r="B134" s="339" t="str">
        <x:v>SCR-133</x:v>
      </x:c>
      <x:c r="C134" s="339" t="str">
        <x:v>Homework &amp; Assignments</x:v>
      </x:c>
      <x:c r="D134" s="339" t="str">
        <x:v>Homework Evaluation</x:v>
      </x:c>
      <x:c r="E134" s="339" t="str">
        <x:v>Learning Task Service</x:v>
      </x:c>
      <x:c r="F134" s="339" t="str">
        <x:v>/api/v1/homework-assignments/homework-evaluation</x:v>
      </x:c>
      <x:c r="G134" s="339" t="str">
        <x:v>GET + POST/PATCH</x:v>
      </x:c>
      <x:c r="H134" s="339" t="str">
        <x:v>Tenant/school context + screen-specific filters/command payload; validate schema, effective references and request correlation/idempotency key for high-risk writes.</x:v>
      </x:c>
      <x:c r="I134" s="339" t="str">
        <x:v>Return authorized DTO with status/version, validation errors and correlation ID; never expose restricted fields.</x:v>
      </x:c>
      <x:c r="J134" s="339" t="str">
        <x:v>Teacher</x:v>
      </x:c>
      <x:c r="K134" s="339" t="str">
        <x:v>Use optimistic concurrency/version checks for updates; idempotency for payments, admissions confirmation, bulk imports and other retry-prone commands.</x:v>
      </x:c>
      <x:c r="L134" s="339" t="str">
        <x:v>Publish domain events after successful commit when downstream modules/notifications depend on the change.</x:v>
      </x:c>
    </x:row>
    <x:row r="135">
      <x:c r="A135" s="339" t="str">
        <x:v>API-0134</x:v>
      </x:c>
      <x:c r="B135" s="339" t="str">
        <x:v>SCR-134</x:v>
      </x:c>
      <x:c r="C135" s="339" t="str">
        <x:v>Homework &amp; Assignments</x:v>
      </x:c>
      <x:c r="D135" s="339" t="str">
        <x:v>Assignment List</x:v>
      </x:c>
      <x:c r="E135" s="339" t="str">
        <x:v>Learning Task Service</x:v>
      </x:c>
      <x:c r="F135" s="339" t="str">
        <x:v>/api/v1/homework-assignments/assignment-list</x:v>
      </x:c>
      <x:c r="G135" s="339" t="str">
        <x:v>PATCH/POST action</x:v>
      </x:c>
      <x:c r="H135" s="339" t="str">
        <x:v>Tenant/school context + screen-specific filters/command payload; validate schema, effective references and request correlation/idempotency key for high-risk writes.</x:v>
      </x:c>
      <x:c r="I135" s="339" t="str">
        <x:v>Return authorized DTO with status/version, validation errors and correlation ID; never expose restricted fields.</x:v>
      </x:c>
      <x:c r="J135" s="339" t="str">
        <x:v>Teacher, School Admin</x:v>
      </x:c>
      <x:c r="K135" s="339" t="str">
        <x:v>Use optimistic concurrency/version checks for updates; idempotency for payments, admissions confirmation, bulk imports and other retry-prone commands.</x:v>
      </x:c>
      <x:c r="L135" s="339" t="str">
        <x:v>Publish domain events after successful commit when downstream modules/notifications depend on the change.</x:v>
      </x:c>
    </x:row>
    <x:row r="136">
      <x:c r="A136" s="339" t="str">
        <x:v>API-0135</x:v>
      </x:c>
      <x:c r="B136" s="339" t="str">
        <x:v>SCR-135</x:v>
      </x:c>
      <x:c r="C136" s="339" t="str">
        <x:v>Homework &amp; Assignments</x:v>
      </x:c>
      <x:c r="D136" s="339" t="str">
        <x:v>Create Assignment</x:v>
      </x:c>
      <x:c r="E136" s="339" t="str">
        <x:v>Learning Task Service</x:v>
      </x:c>
      <x:c r="F136" s="339" t="str">
        <x:v>/api/v1/homework-assignments/create-assignment</x:v>
      </x:c>
      <x:c r="G136" s="339" t="str">
        <x:v>POST</x:v>
      </x:c>
      <x:c r="H136" s="339" t="str">
        <x:v>Tenant/school context + screen-specific filters/command payload; validate schema, effective references and request correlation/idempotency key for high-risk writes.</x:v>
      </x:c>
      <x:c r="I136" s="339" t="str">
        <x:v>Return authorized DTO with status/version, validation errors and correlation ID; never expose restricted fields.</x:v>
      </x:c>
      <x:c r="J136" s="339" t="str">
        <x:v>Teacher, School Admin</x:v>
      </x:c>
      <x:c r="K136" s="339" t="str">
        <x:v>Use optimistic concurrency/version checks for updates; idempotency for payments, admissions confirmation, bulk imports and other retry-prone commands.</x:v>
      </x:c>
      <x:c r="L136" s="339" t="str">
        <x:v>Publish domain events after successful commit when downstream modules/notifications depend on the change.</x:v>
      </x:c>
    </x:row>
    <x:row r="137">
      <x:c r="A137" s="339" t="str">
        <x:v>API-0136</x:v>
      </x:c>
      <x:c r="B137" s="339" t="str">
        <x:v>SCR-136</x:v>
      </x:c>
      <x:c r="C137" s="339" t="str">
        <x:v>Homework &amp; Assignments</x:v>
      </x:c>
      <x:c r="D137" s="339" t="str">
        <x:v>Assignment Submissions</x:v>
      </x:c>
      <x:c r="E137" s="339" t="str">
        <x:v>Learning Task Service</x:v>
      </x:c>
      <x:c r="F137" s="339" t="str">
        <x:v>/api/v1/homework-assignments/assignment-submissions</x:v>
      </x:c>
      <x:c r="G137" s="339" t="str">
        <x:v>PATCH/POST action</x:v>
      </x:c>
      <x:c r="H137" s="339" t="str">
        <x:v>Tenant/school context + screen-specific filters/command payload; validate schema, effective references and request correlation/idempotency key for high-risk writes.</x:v>
      </x:c>
      <x:c r="I137" s="339" t="str">
        <x:v>Return authorized DTO with status/version, validation errors and correlation ID; never expose restricted fields.</x:v>
      </x:c>
      <x:c r="J137" s="339" t="str">
        <x:v>Student, Teacher, Parent</x:v>
      </x:c>
      <x:c r="K137" s="339" t="str">
        <x:v>Use optimistic concurrency/version checks for updates; idempotency for payments, admissions confirmation, bulk imports and other retry-prone commands.</x:v>
      </x:c>
      <x:c r="L137" s="339" t="str">
        <x:v>Publish domain events after successful commit when downstream modules/notifications depend on the change.</x:v>
      </x:c>
    </x:row>
    <x:row r="138">
      <x:c r="A138" s="339" t="str">
        <x:v>API-0137</x:v>
      </x:c>
      <x:c r="B138" s="339" t="str">
        <x:v>SCR-137</x:v>
      </x:c>
      <x:c r="C138" s="339" t="str">
        <x:v>Homework &amp; Assignments</x:v>
      </x:c>
      <x:c r="D138" s="339" t="str">
        <x:v>Assignment Evaluation</x:v>
      </x:c>
      <x:c r="E138" s="339" t="str">
        <x:v>Learning Task Service</x:v>
      </x:c>
      <x:c r="F138" s="339" t="str">
        <x:v>/api/v1/homework-assignments/assignment-evaluation</x:v>
      </x:c>
      <x:c r="G138" s="339" t="str">
        <x:v>PATCH/POST action</x:v>
      </x:c>
      <x:c r="H138" s="339" t="str">
        <x:v>Tenant/school context + screen-specific filters/command payload; validate schema, effective references and request correlation/idempotency key for high-risk writes.</x:v>
      </x:c>
      <x:c r="I138" s="339" t="str">
        <x:v>Return authorized DTO with status/version, validation errors and correlation ID; never expose restricted fields.</x:v>
      </x:c>
      <x:c r="J138" s="339" t="str">
        <x:v>Teacher</x:v>
      </x:c>
      <x:c r="K138" s="339" t="str">
        <x:v>Use optimistic concurrency/version checks for updates; idempotency for payments, admissions confirmation, bulk imports and other retry-prone commands.</x:v>
      </x:c>
      <x:c r="L138" s="339" t="str">
        <x:v>Publish domain events after successful commit when downstream modules/notifications depend on the change.</x:v>
      </x:c>
    </x:row>
    <x:row r="139">
      <x:c r="A139" s="339" t="str">
        <x:v>API-0138</x:v>
      </x:c>
      <x:c r="B139" s="339" t="str">
        <x:v>SCR-138</x:v>
      </x:c>
      <x:c r="C139" s="339" t="str">
        <x:v>Examinations / Marks / Results</x:v>
      </x:c>
      <x:c r="D139" s="339" t="str">
        <x:v>Exam Dashboard</x:v>
      </x:c>
      <x:c r="E139" s="339" t="str">
        <x:v>Assessment Service</x:v>
      </x:c>
      <x:c r="F139" s="339" t="str">
        <x:v>/api/v1/examinations/exam-dashboard</x:v>
      </x:c>
      <x:c r="G139" s="339" t="str">
        <x:v>GET</x:v>
      </x:c>
      <x:c r="H139" s="339" t="str">
        <x:v>Tenant/school context + screen-specific filters/command payload; validate schema, effective references and request correlation/idempotency key for high-risk writes.</x:v>
      </x:c>
      <x:c r="I139" s="339" t="str">
        <x:v>Return authorized DTO with status/version, validation errors and correlation ID; never expose restricted fields.</x:v>
      </x:c>
      <x:c r="J139" s="339" t="str">
        <x:v>Exam Coordinator, Teacher, School Admin, Principal, Student, Parent</x:v>
      </x:c>
      <x:c r="K139" s="339" t="str">
        <x:v>Use optimistic concurrency/version checks for updates; idempotency for payments, admissions confirmation, bulk imports and other retry-prone commands.</x:v>
      </x:c>
      <x:c r="L139" s="339" t="str">
        <x:v>Publish domain events after successful commit when downstream modules/notifications depend on the change.</x:v>
      </x:c>
    </x:row>
    <x:row r="140">
      <x:c r="A140" s="339" t="str">
        <x:v>API-0139</x:v>
      </x:c>
      <x:c r="B140" s="339" t="str">
        <x:v>SCR-139</x:v>
      </x:c>
      <x:c r="C140" s="339" t="str">
        <x:v>Examinations / Marks / Results</x:v>
      </x:c>
      <x:c r="D140" s="339" t="str">
        <x:v>Exam Types</x:v>
      </x:c>
      <x:c r="E140" s="339" t="str">
        <x:v>Assessment Service</x:v>
      </x:c>
      <x:c r="F140" s="339" t="str">
        <x:v>/api/v1/examinations/exam-types</x:v>
      </x:c>
      <x:c r="G140" s="339" t="str">
        <x:v>GET + POST/PATCH</x:v>
      </x:c>
      <x:c r="H140" s="339" t="str">
        <x:v>Tenant/school context + screen-specific filters/command payload; validate schema, effective references and request correlation/idempotency key for high-risk writes.</x:v>
      </x:c>
      <x:c r="I140" s="339" t="str">
        <x:v>Return authorized DTO with status/version, validation errors and correlation ID; never expose restricted fields.</x:v>
      </x:c>
      <x:c r="J140" s="339" t="str">
        <x:v>Exam Coordinator, Teacher, School Admin, Principal, Student, Parent</x:v>
      </x:c>
      <x:c r="K140" s="339" t="str">
        <x:v>Use optimistic concurrency/version checks for updates; idempotency for payments, admissions confirmation, bulk imports and other retry-prone commands.</x:v>
      </x:c>
      <x:c r="L140" s="339" t="str">
        <x:v>Publish domain events after successful commit when downstream modules/notifications depend on the change.</x:v>
      </x:c>
    </x:row>
    <x:row r="141">
      <x:c r="A141" s="339" t="str">
        <x:v>API-0140</x:v>
      </x:c>
      <x:c r="B141" s="339" t="str">
        <x:v>SCR-140</x:v>
      </x:c>
      <x:c r="C141" s="339" t="str">
        <x:v>Examinations / Marks / Results</x:v>
      </x:c>
      <x:c r="D141" s="339" t="str">
        <x:v>Exam Setup</x:v>
      </x:c>
      <x:c r="E141" s="339" t="str">
        <x:v>Assessment Service</x:v>
      </x:c>
      <x:c r="F141" s="339" t="str">
        <x:v>/api/v1/examinations/exam-setup</x:v>
      </x:c>
      <x:c r="G141" s="339" t="str">
        <x:v>GET + POST/PATCH</x:v>
      </x:c>
      <x:c r="H141" s="339" t="str">
        <x:v>Tenant/school context + screen-specific filters/command payload; validate schema, effective references and request correlation/idempotency key for high-risk writes.</x:v>
      </x:c>
      <x:c r="I141" s="339" t="str">
        <x:v>Return authorized DTO with status/version, validation errors and correlation ID; never expose restricted fields.</x:v>
      </x:c>
      <x:c r="J141" s="339" t="str">
        <x:v>Exam Coordinator, Teacher, School Admin, Principal, Student, Parent</x:v>
      </x:c>
      <x:c r="K141" s="339" t="str">
        <x:v>Use optimistic concurrency/version checks for updates; idempotency for payments, admissions confirmation, bulk imports and other retry-prone commands.</x:v>
      </x:c>
      <x:c r="L141" s="339" t="str">
        <x:v>Publish domain events after successful commit when downstream modules/notifications depend on the change.</x:v>
      </x:c>
    </x:row>
    <x:row r="142">
      <x:c r="A142" s="339" t="str">
        <x:v>API-0141</x:v>
      </x:c>
      <x:c r="B142" s="339" t="str">
        <x:v>SCR-141</x:v>
      </x:c>
      <x:c r="C142" s="339" t="str">
        <x:v>Examinations / Marks / Results</x:v>
      </x:c>
      <x:c r="D142" s="339" t="str">
        <x:v>Exam Schedule</x:v>
      </x:c>
      <x:c r="E142" s="339" t="str">
        <x:v>Assessment Service</x:v>
      </x:c>
      <x:c r="F142" s="339" t="str">
        <x:v>/api/v1/examinations/exam-schedule</x:v>
      </x:c>
      <x:c r="G142" s="339" t="str">
        <x:v>GET + POST/PATCH</x:v>
      </x:c>
      <x:c r="H142" s="339" t="str">
        <x:v>Tenant/school context + screen-specific filters/command payload; validate schema, effective references and request correlation/idempotency key for high-risk writes.</x:v>
      </x:c>
      <x:c r="I142" s="339" t="str">
        <x:v>Return authorized DTO with status/version, validation errors and correlation ID; never expose restricted fields.</x:v>
      </x:c>
      <x:c r="J142" s="339" t="str">
        <x:v>Exam Coordinator, Teacher, School Admin, Principal, Student, Parent</x:v>
      </x:c>
      <x:c r="K142" s="339" t="str">
        <x:v>Use optimistic concurrency/version checks for updates; idempotency for payments, admissions confirmation, bulk imports and other retry-prone commands.</x:v>
      </x:c>
      <x:c r="L142" s="339" t="str">
        <x:v>Publish domain events after successful commit when downstream modules/notifications depend on the change.</x:v>
      </x:c>
    </x:row>
    <x:row r="143">
      <x:c r="A143" s="339" t="str">
        <x:v>API-0142</x:v>
      </x:c>
      <x:c r="B143" s="339" t="str">
        <x:v>SCR-142</x:v>
      </x:c>
      <x:c r="C143" s="339" t="str">
        <x:v>Examinations / Marks / Results</x:v>
      </x:c>
      <x:c r="D143" s="339" t="str">
        <x:v>Hall / Room Allocation</x:v>
      </x:c>
      <x:c r="E143" s="339" t="str">
        <x:v>Assessment Service</x:v>
      </x:c>
      <x:c r="F143" s="339" t="str">
        <x:v>/api/v1/examinations/hall-room-allocation</x:v>
      </x:c>
      <x:c r="G143" s="339" t="str">
        <x:v>GET + POST/PATCH</x:v>
      </x:c>
      <x:c r="H143" s="339" t="str">
        <x:v>Tenant/school context + screen-specific filters/command payload; validate schema, effective references and request correlation/idempotency key for high-risk writes.</x:v>
      </x:c>
      <x:c r="I143" s="339" t="str">
        <x:v>Return authorized DTO with status/version, validation errors and correlation ID; never expose restricted fields.</x:v>
      </x:c>
      <x:c r="J143" s="339" t="str">
        <x:v>Exam Coordinator, Teacher, School Admin, Principal, Student, Parent</x:v>
      </x:c>
      <x:c r="K143" s="339" t="str">
        <x:v>Use optimistic concurrency/version checks for updates; idempotency for payments, admissions confirmation, bulk imports and other retry-prone commands.</x:v>
      </x:c>
      <x:c r="L143" s="339" t="str">
        <x:v>Publish domain events after successful commit when downstream modules/notifications depend on the change.</x:v>
      </x:c>
    </x:row>
    <x:row r="144">
      <x:c r="A144" s="339" t="str">
        <x:v>API-0143</x:v>
      </x:c>
      <x:c r="B144" s="339" t="str">
        <x:v>SCR-143</x:v>
      </x:c>
      <x:c r="C144" s="339" t="str">
        <x:v>Examinations / Marks / Results</x:v>
      </x:c>
      <x:c r="D144" s="339" t="str">
        <x:v>Invigilation Assignment</x:v>
      </x:c>
      <x:c r="E144" s="339" t="str">
        <x:v>Assessment Service</x:v>
      </x:c>
      <x:c r="F144" s="339" t="str">
        <x:v>/api/v1/examinations/invigilation-assignment</x:v>
      </x:c>
      <x:c r="G144" s="339" t="str">
        <x:v>PATCH/POST action</x:v>
      </x:c>
      <x:c r="H144" s="339" t="str">
        <x:v>Tenant/school context + screen-specific filters/command payload; validate schema, effective references and request correlation/idempotency key for high-risk writes.</x:v>
      </x:c>
      <x:c r="I144" s="339" t="str">
        <x:v>Return authorized DTO with status/version, validation errors and correlation ID; never expose restricted fields.</x:v>
      </x:c>
      <x:c r="J144" s="339" t="str">
        <x:v>Exam Coordinator, Teacher, School Admin, Principal, Student, Parent</x:v>
      </x:c>
      <x:c r="K144" s="339" t="str">
        <x:v>Use optimistic concurrency/version checks for updates; idempotency for payments, admissions confirmation, bulk imports and other retry-prone commands.</x:v>
      </x:c>
      <x:c r="L144" s="339" t="str">
        <x:v>Publish domain events after successful commit when downstream modules/notifications depend on the change.</x:v>
      </x:c>
    </x:row>
    <x:row r="145">
      <x:c r="A145" s="339" t="str">
        <x:v>API-0144</x:v>
      </x:c>
      <x:c r="B145" s="339" t="str">
        <x:v>SCR-144</x:v>
      </x:c>
      <x:c r="C145" s="339" t="str">
        <x:v>Examinations / Marks / Results</x:v>
      </x:c>
      <x:c r="D145" s="339" t="str">
        <x:v>Admit Card</x:v>
      </x:c>
      <x:c r="E145" s="339" t="str">
        <x:v>Assessment Service</x:v>
      </x:c>
      <x:c r="F145" s="339" t="str">
        <x:v>/api/v1/examinations/admit-card</x:v>
      </x:c>
      <x:c r="G145" s="339" t="str">
        <x:v>GET + POST/PATCH</x:v>
      </x:c>
      <x:c r="H145" s="339" t="str">
        <x:v>Tenant/school context + screen-specific filters/command payload; validate schema, effective references and request correlation/idempotency key for high-risk writes.</x:v>
      </x:c>
      <x:c r="I145" s="339" t="str">
        <x:v>Return authorized DTO with status/version, validation errors and correlation ID; never expose restricted fields.</x:v>
      </x:c>
      <x:c r="J145" s="339" t="str">
        <x:v>Exam Coordinator, Teacher, School Admin, Principal, Student, Parent</x:v>
      </x:c>
      <x:c r="K145" s="339" t="str">
        <x:v>Use optimistic concurrency/version checks for updates; idempotency for payments, admissions confirmation, bulk imports and other retry-prone commands.</x:v>
      </x:c>
      <x:c r="L145" s="339" t="str">
        <x:v>Publish domain events after successful commit when downstream modules/notifications depend on the change.</x:v>
      </x:c>
    </x:row>
    <x:row r="146">
      <x:c r="A146" s="339" t="str">
        <x:v>API-0145</x:v>
      </x:c>
      <x:c r="B146" s="339" t="str">
        <x:v>SCR-145</x:v>
      </x:c>
      <x:c r="C146" s="339" t="str">
        <x:v>Examinations / Marks / Results</x:v>
      </x:c>
      <x:c r="D146" s="339" t="str">
        <x:v>Marks Entry</x:v>
      </x:c>
      <x:c r="E146" s="339" t="str">
        <x:v>Assessment Service</x:v>
      </x:c>
      <x:c r="F146" s="339" t="str">
        <x:v>/api/v1/examinations/marks-entry</x:v>
      </x:c>
      <x:c r="G146" s="339" t="str">
        <x:v>GET + POST/PATCH</x:v>
      </x:c>
      <x:c r="H146" s="339" t="str">
        <x:v>Tenant/school context + screen-specific filters/command payload; validate schema, effective references and request correlation/idempotency key for high-risk writes.</x:v>
      </x:c>
      <x:c r="I146" s="339" t="str">
        <x:v>Return authorized DTO with status/version, validation errors and correlation ID; never expose restricted fields.</x:v>
      </x:c>
      <x:c r="J146" s="339" t="str">
        <x:v>Teacher, Exam Coordinator, School Admin</x:v>
      </x:c>
      <x:c r="K146" s="339" t="str">
        <x:v>Use optimistic concurrency/version checks for updates; idempotency for payments, admissions confirmation, bulk imports and other retry-prone commands.</x:v>
      </x:c>
      <x:c r="L146" s="339" t="str">
        <x:v>Publish domain events after successful commit when downstream modules/notifications depend on the change.</x:v>
      </x:c>
    </x:row>
    <x:row r="147">
      <x:c r="A147" s="339" t="str">
        <x:v>API-0146</x:v>
      </x:c>
      <x:c r="B147" s="339" t="str">
        <x:v>SCR-146</x:v>
      </x:c>
      <x:c r="C147" s="339" t="str">
        <x:v>Examinations / Marks / Results</x:v>
      </x:c>
      <x:c r="D147" s="339" t="str">
        <x:v>Practical / Internal Marks</x:v>
      </x:c>
      <x:c r="E147" s="339" t="str">
        <x:v>Assessment Service</x:v>
      </x:c>
      <x:c r="F147" s="339" t="str">
        <x:v>/api/v1/examinations/practical-internal-marks</x:v>
      </x:c>
      <x:c r="G147" s="339" t="str">
        <x:v>GET + POST/PATCH</x:v>
      </x:c>
      <x:c r="H147" s="339" t="str">
        <x:v>Tenant/school context + screen-specific filters/command payload; validate schema, effective references and request correlation/idempotency key for high-risk writes.</x:v>
      </x:c>
      <x:c r="I147" s="339" t="str">
        <x:v>Return authorized DTO with status/version, validation errors and correlation ID; never expose restricted fields.</x:v>
      </x:c>
      <x:c r="J147" s="339" t="str">
        <x:v>Teacher, Exam Coordinator, School Admin</x:v>
      </x:c>
      <x:c r="K147" s="339" t="str">
        <x:v>Use optimistic concurrency/version checks for updates; idempotency for payments, admissions confirmation, bulk imports and other retry-prone commands.</x:v>
      </x:c>
      <x:c r="L147" s="339" t="str">
        <x:v>Publish domain events after successful commit when downstream modules/notifications depend on the change.</x:v>
      </x:c>
    </x:row>
    <x:row r="148">
      <x:c r="A148" s="339" t="str">
        <x:v>API-0147</x:v>
      </x:c>
      <x:c r="B148" s="339" t="str">
        <x:v>SCR-147</x:v>
      </x:c>
      <x:c r="C148" s="339" t="str">
        <x:v>Examinations / Marks / Results</x:v>
      </x:c>
      <x:c r="D148" s="339" t="str">
        <x:v>Bulk Marks Import</x:v>
      </x:c>
      <x:c r="E148" s="339" t="str">
        <x:v>Assessment Service</x:v>
      </x:c>
      <x:c r="F148" s="339" t="str">
        <x:v>/api/v1/examinations/bulk-marks-import</x:v>
      </x:c>
      <x:c r="G148" s="339" t="str">
        <x:v>GET + POST/PATCH</x:v>
      </x:c>
      <x:c r="H148" s="339" t="str">
        <x:v>Tenant/school context + screen-specific filters/command payload; validate schema, effective references and request correlation/idempotency key for high-risk writes.</x:v>
      </x:c>
      <x:c r="I148" s="339" t="str">
        <x:v>Return authorized DTO with status/version, validation errors and correlation ID; never expose restricted fields.</x:v>
      </x:c>
      <x:c r="J148" s="339" t="str">
        <x:v>Teacher, Exam Coordinator, School Admin</x:v>
      </x:c>
      <x:c r="K148" s="339" t="str">
        <x:v>Use optimistic concurrency/version checks for updates; idempotency for payments, admissions confirmation, bulk imports and other retry-prone commands.</x:v>
      </x:c>
      <x:c r="L148" s="339" t="str">
        <x:v>Publish domain events after successful commit when downstream modules/notifications depend on the change.</x:v>
      </x:c>
    </x:row>
    <x:row r="149">
      <x:c r="A149" s="339" t="str">
        <x:v>API-0148</x:v>
      </x:c>
      <x:c r="B149" s="339" t="str">
        <x:v>SCR-148</x:v>
      </x:c>
      <x:c r="C149" s="339" t="str">
        <x:v>Examinations / Marks / Results</x:v>
      </x:c>
      <x:c r="D149" s="339" t="str">
        <x:v>Marks Verification</x:v>
      </x:c>
      <x:c r="E149" s="339" t="str">
        <x:v>Assessment Service</x:v>
      </x:c>
      <x:c r="F149" s="339" t="str">
        <x:v>/api/v1/examinations/marks-verification</x:v>
      </x:c>
      <x:c r="G149" s="339" t="str">
        <x:v>PATCH/POST action</x:v>
      </x:c>
      <x:c r="H149" s="339" t="str">
        <x:v>Tenant/school context + screen-specific filters/command payload; validate schema, effective references and request correlation/idempotency key for high-risk writes.</x:v>
      </x:c>
      <x:c r="I149" s="339" t="str">
        <x:v>Return authorized DTO with status/version, validation errors and correlation ID; never expose restricted fields.</x:v>
      </x:c>
      <x:c r="J149" s="339" t="str">
        <x:v>Teacher, Exam Coordinator, School Admin</x:v>
      </x:c>
      <x:c r="K149" s="339" t="str">
        <x:v>Use optimistic concurrency/version checks for updates; idempotency for payments, admissions confirmation, bulk imports and other retry-prone commands.</x:v>
      </x:c>
      <x:c r="L149" s="339" t="str">
        <x:v>Publish domain events after successful commit when downstream modules/notifications depend on the change.</x:v>
      </x:c>
    </x:row>
    <x:row r="150">
      <x:c r="A150" s="339" t="str">
        <x:v>API-0149</x:v>
      </x:c>
      <x:c r="B150" s="339" t="str">
        <x:v>SCR-149</x:v>
      </x:c>
      <x:c r="C150" s="339" t="str">
        <x:v>Examinations / Marks / Results</x:v>
      </x:c>
      <x:c r="D150" s="339" t="str">
        <x:v>Grade / Grading Setup</x:v>
      </x:c>
      <x:c r="E150" s="339" t="str">
        <x:v>Assessment Service</x:v>
      </x:c>
      <x:c r="F150" s="339" t="str">
        <x:v>/api/v1/examinations/grade-grading-setup</x:v>
      </x:c>
      <x:c r="G150" s="339" t="str">
        <x:v>GET + POST/PATCH</x:v>
      </x:c>
      <x:c r="H150" s="339" t="str">
        <x:v>Tenant/school context + screen-specific filters/command payload; validate schema, effective references and request correlation/idempotency key for high-risk writes.</x:v>
      </x:c>
      <x:c r="I150" s="339" t="str">
        <x:v>Return authorized DTO with status/version, validation errors and correlation ID; never expose restricted fields.</x:v>
      </x:c>
      <x:c r="J150" s="339" t="str">
        <x:v>Exam Coordinator, Teacher, School Admin, Principal, Student, Parent</x:v>
      </x:c>
      <x:c r="K150" s="339" t="str">
        <x:v>Use optimistic concurrency/version checks for updates; idempotency for payments, admissions confirmation, bulk imports and other retry-prone commands.</x:v>
      </x:c>
      <x:c r="L150" s="339" t="str">
        <x:v>Publish domain events after successful commit when downstream modules/notifications depend on the change.</x:v>
      </x:c>
    </x:row>
    <x:row r="151">
      <x:c r="A151" s="339" t="str">
        <x:v>API-0150</x:v>
      </x:c>
      <x:c r="B151" s="339" t="str">
        <x:v>SCR-150</x:v>
      </x:c>
      <x:c r="C151" s="339" t="str">
        <x:v>Examinations / Marks / Results</x:v>
      </x:c>
      <x:c r="D151" s="339" t="str">
        <x:v>Publish Results</x:v>
      </x:c>
      <x:c r="E151" s="339" t="str">
        <x:v>Assessment Service</x:v>
      </x:c>
      <x:c r="F151" s="339" t="str">
        <x:v>/api/v1/examinations/publish-results</x:v>
      </x:c>
      <x:c r="G151" s="339" t="str">
        <x:v>PATCH/POST action</x:v>
      </x:c>
      <x:c r="H151" s="339" t="str">
        <x:v>Tenant/school context + screen-specific filters/command payload; validate schema, effective references and request correlation/idempotency key for high-risk writes.</x:v>
      </x:c>
      <x:c r="I151" s="339" t="str">
        <x:v>Return authorized DTO with status/version, validation errors and correlation ID; never expose restricted fields.</x:v>
      </x:c>
      <x:c r="J151" s="339" t="str">
        <x:v>Principal, Exam Coordinator, School Admin</x:v>
      </x:c>
      <x:c r="K151" s="339" t="str">
        <x:v>Use optimistic concurrency/version checks for updates; idempotency for payments, admissions confirmation, bulk imports and other retry-prone commands.</x:v>
      </x:c>
      <x:c r="L151" s="339" t="str">
        <x:v>Publish domain events after successful commit when downstream modules/notifications depend on the change.</x:v>
      </x:c>
    </x:row>
    <x:row r="152">
      <x:c r="A152" s="339" t="str">
        <x:v>API-0151</x:v>
      </x:c>
      <x:c r="B152" s="339" t="str">
        <x:v>SCR-151</x:v>
      </x:c>
      <x:c r="C152" s="339" t="str">
        <x:v>Examinations / Marks / Results</x:v>
      </x:c>
      <x:c r="D152" s="339" t="str">
        <x:v>Student Result</x:v>
      </x:c>
      <x:c r="E152" s="339" t="str">
        <x:v>Assessment Service</x:v>
      </x:c>
      <x:c r="F152" s="339" t="str">
        <x:v>/api/v1/examinations/student-result</x:v>
      </x:c>
      <x:c r="G152" s="339" t="str">
        <x:v>GET + PATCH</x:v>
      </x:c>
      <x:c r="H152" s="339" t="str">
        <x:v>Tenant/school context + screen-specific filters/command payload; validate schema, effective references and request correlation/idempotency key for high-risk writes.</x:v>
      </x:c>
      <x:c r="I152" s="339" t="str">
        <x:v>Return authorized DTO with status/version, validation errors and correlation ID; never expose restricted fields.</x:v>
      </x:c>
      <x:c r="J152" s="339" t="str">
        <x:v>Student, Parent, Teacher, School Admin, Principal</x:v>
      </x:c>
      <x:c r="K152" s="339" t="str">
        <x:v>Use optimistic concurrency/version checks for updates; idempotency for payments, admissions confirmation, bulk imports and other retry-prone commands.</x:v>
      </x:c>
      <x:c r="L152" s="339" t="str">
        <x:v>Publish domain events after successful commit when downstream modules/notifications depend on the change.</x:v>
      </x:c>
    </x:row>
    <x:row r="153">
      <x:c r="A153" s="339" t="str">
        <x:v>API-0152</x:v>
      </x:c>
      <x:c r="B153" s="339" t="str">
        <x:v>SCR-152</x:v>
      </x:c>
      <x:c r="C153" s="339" t="str">
        <x:v>Examinations / Marks / Results</x:v>
      </x:c>
      <x:c r="D153" s="339" t="str">
        <x:v>Report Card</x:v>
      </x:c>
      <x:c r="E153" s="339" t="str">
        <x:v>Assessment Service</x:v>
      </x:c>
      <x:c r="F153" s="339" t="str">
        <x:v>/api/v1/examinations/report-card</x:v>
      </x:c>
      <x:c r="G153" s="339" t="str">
        <x:v>GET + PATCH</x:v>
      </x:c>
      <x:c r="H153" s="339" t="str">
        <x:v>Tenant/school context + screen-specific filters/command payload; validate schema, effective references and request correlation/idempotency key for high-risk writes.</x:v>
      </x:c>
      <x:c r="I153" s="339" t="str">
        <x:v>Return authorized DTO with status/version, validation errors and correlation ID; never expose restricted fields.</x:v>
      </x:c>
      <x:c r="J153" s="339" t="str">
        <x:v>Student, Parent, Teacher, School Admin, Principal</x:v>
      </x:c>
      <x:c r="K153" s="339" t="str">
        <x:v>Use optimistic concurrency/version checks for updates; idempotency for payments, admissions confirmation, bulk imports and other retry-prone commands.</x:v>
      </x:c>
      <x:c r="L153" s="339" t="str">
        <x:v>Publish domain events after successful commit when downstream modules/notifications depend on the change.</x:v>
      </x:c>
    </x:row>
    <x:row r="154">
      <x:c r="A154" s="339" t="str">
        <x:v>API-0153</x:v>
      </x:c>
      <x:c r="B154" s="339" t="str">
        <x:v>SCR-153</x:v>
      </x:c>
      <x:c r="C154" s="339" t="str">
        <x:v>Examinations / Marks / Results</x:v>
      </x:c>
      <x:c r="D154" s="339" t="str">
        <x:v>Promotion Decision</x:v>
      </x:c>
      <x:c r="E154" s="339" t="str">
        <x:v>Assessment Service</x:v>
      </x:c>
      <x:c r="F154" s="339" t="str">
        <x:v>/api/v1/examinations/promotion-decision</x:v>
      </x:c>
      <x:c r="G154" s="339" t="str">
        <x:v>GET + POST/PATCH</x:v>
      </x:c>
      <x:c r="H154" s="339" t="str">
        <x:v>Tenant/school context + screen-specific filters/command payload; validate schema, effective references and request correlation/idempotency key for high-risk writes.</x:v>
      </x:c>
      <x:c r="I154" s="339" t="str">
        <x:v>Return authorized DTO with status/version, validation errors and correlation ID; never expose restricted fields.</x:v>
      </x:c>
      <x:c r="J154" s="339" t="str">
        <x:v>Principal, Exam Coordinator, School Admin</x:v>
      </x:c>
      <x:c r="K154" s="339" t="str">
        <x:v>Use optimistic concurrency/version checks for updates; idempotency for payments, admissions confirmation, bulk imports and other retry-prone commands.</x:v>
      </x:c>
      <x:c r="L154" s="339" t="str">
        <x:v>Publish domain events after successful commit when downstream modules/notifications depend on the change.</x:v>
      </x:c>
    </x:row>
    <x:row r="155">
      <x:c r="A155" s="339" t="str">
        <x:v>API-0154</x:v>
      </x:c>
      <x:c r="B155" s="339" t="str">
        <x:v>SCR-154</x:v>
      </x:c>
      <x:c r="C155" s="339" t="str">
        <x:v>Fees &amp; Finance</x:v>
      </x:c>
      <x:c r="D155" s="339" t="str">
        <x:v>Fee Dashboard</x:v>
      </x:c>
      <x:c r="E155" s="339" t="str">
        <x:v>Fees &amp; Finance Service</x:v>
      </x:c>
      <x:c r="F155" s="339" t="str">
        <x:v>/api/v1/fees-finance/fee-dashboard</x:v>
      </x:c>
      <x:c r="G155" s="339" t="str">
        <x:v>GET</x:v>
      </x:c>
      <x:c r="H155" s="339" t="str">
        <x:v>Tenant/school context + screen-specific filters/command payload; validate schema, effective references and request correlation/idempotency key for high-risk writes.</x:v>
      </x:c>
      <x:c r="I155" s="339" t="str">
        <x:v>Return authorized DTO with status/version, validation errors and correlation ID; never expose restricted fields.</x:v>
      </x:c>
      <x:c r="J155" s="339" t="str">
        <x:v>Accountant, School Admin</x:v>
      </x:c>
      <x:c r="K155" s="339" t="str">
        <x:v>Use optimistic concurrency/version checks for updates; idempotency for payments, admissions confirmation, bulk imports and other retry-prone commands.</x:v>
      </x:c>
      <x:c r="L155" s="339" t="str">
        <x:v>Publish domain events after successful commit when downstream modules/notifications depend on the change.</x:v>
      </x:c>
    </x:row>
    <x:row r="156">
      <x:c r="A156" s="339" t="str">
        <x:v>API-0155</x:v>
      </x:c>
      <x:c r="B156" s="339" t="str">
        <x:v>SCR-155</x:v>
      </x:c>
      <x:c r="C156" s="339" t="str">
        <x:v>Fees &amp; Finance</x:v>
      </x:c>
      <x:c r="D156" s="339" t="str">
        <x:v>Fee Structure</x:v>
      </x:c>
      <x:c r="E156" s="339" t="str">
        <x:v>Fees &amp; Finance Service</x:v>
      </x:c>
      <x:c r="F156" s="339" t="str">
        <x:v>/api/v1/fees-finance/fee-structure</x:v>
      </x:c>
      <x:c r="G156" s="339" t="str">
        <x:v>GET + POST/PATCH</x:v>
      </x:c>
      <x:c r="H156" s="339" t="str">
        <x:v>Tenant/school context + screen-specific filters/command payload; validate schema, effective references and request correlation/idempotency key for high-risk writes.</x:v>
      </x:c>
      <x:c r="I156" s="339" t="str">
        <x:v>Return authorized DTO with status/version, validation errors and correlation ID; never expose restricted fields.</x:v>
      </x:c>
      <x:c r="J156" s="339" t="str">
        <x:v>Accountant, School Admin</x:v>
      </x:c>
      <x:c r="K156" s="339" t="str">
        <x:v>Use optimistic concurrency/version checks for updates; idempotency for payments, admissions confirmation, bulk imports and other retry-prone commands.</x:v>
      </x:c>
      <x:c r="L156" s="339" t="str">
        <x:v>Publish domain events after successful commit when downstream modules/notifications depend on the change.</x:v>
      </x:c>
    </x:row>
    <x:row r="157">
      <x:c r="A157" s="339" t="str">
        <x:v>API-0156</x:v>
      </x:c>
      <x:c r="B157" s="339" t="str">
        <x:v>SCR-156</x:v>
      </x:c>
      <x:c r="C157" s="339" t="str">
        <x:v>Fees &amp; Finance</x:v>
      </x:c>
      <x:c r="D157" s="339" t="str">
        <x:v>Create / Edit Fee Structure</x:v>
      </x:c>
      <x:c r="E157" s="339" t="str">
        <x:v>Fees &amp; Finance Service</x:v>
      </x:c>
      <x:c r="F157" s="339" t="str">
        <x:v>/api/v1/fees-finance/create-edit-fee-structure</x:v>
      </x:c>
      <x:c r="G157" s="339" t="str">
        <x:v>POST</x:v>
      </x:c>
      <x:c r="H157" s="339" t="str">
        <x:v>Tenant/school context + screen-specific filters/command payload; validate schema, effective references and request correlation/idempotency key for high-risk writes.</x:v>
      </x:c>
      <x:c r="I157" s="339" t="str">
        <x:v>Return authorized DTO with status/version, validation errors and correlation ID; never expose restricted fields.</x:v>
      </x:c>
      <x:c r="J157" s="339" t="str">
        <x:v>Accountant, School Admin</x:v>
      </x:c>
      <x:c r="K157" s="339" t="str">
        <x:v>Use optimistic concurrency/version checks for updates; idempotency for payments, admissions confirmation, bulk imports and other retry-prone commands.</x:v>
      </x:c>
      <x:c r="L157" s="339" t="str">
        <x:v>Publish domain events after successful commit when downstream modules/notifications depend on the change.</x:v>
      </x:c>
    </x:row>
    <x:row r="158">
      <x:c r="A158" s="339" t="str">
        <x:v>API-0157</x:v>
      </x:c>
      <x:c r="B158" s="339" t="str">
        <x:v>SCR-157</x:v>
      </x:c>
      <x:c r="C158" s="339" t="str">
        <x:v>Fees &amp; Finance</x:v>
      </x:c>
      <x:c r="D158" s="339" t="str">
        <x:v>Student Fee Assignment</x:v>
      </x:c>
      <x:c r="E158" s="339" t="str">
        <x:v>Fees &amp; Finance Service</x:v>
      </x:c>
      <x:c r="F158" s="339" t="str">
        <x:v>/api/v1/fees-finance/student-fee-assignment</x:v>
      </x:c>
      <x:c r="G158" s="339" t="str">
        <x:v>PATCH/POST action</x:v>
      </x:c>
      <x:c r="H158" s="339" t="str">
        <x:v>Tenant/school context + screen-specific filters/command payload; validate schema, effective references and request correlation/idempotency key for high-risk writes.</x:v>
      </x:c>
      <x:c r="I158" s="339" t="str">
        <x:v>Return authorized DTO with status/version, validation errors and correlation ID; never expose restricted fields.</x:v>
      </x:c>
      <x:c r="J158" s="339" t="str">
        <x:v>Accountant, School Admin</x:v>
      </x:c>
      <x:c r="K158" s="339" t="str">
        <x:v>Use optimistic concurrency/version checks for updates; idempotency for payments, admissions confirmation, bulk imports and other retry-prone commands.</x:v>
      </x:c>
      <x:c r="L158" s="339" t="str">
        <x:v>Publish domain events after successful commit when downstream modules/notifications depend on the change.</x:v>
      </x:c>
    </x:row>
    <x:row r="159">
      <x:c r="A159" s="339" t="str">
        <x:v>API-0158</x:v>
      </x:c>
      <x:c r="B159" s="339" t="str">
        <x:v>SCR-158</x:v>
      </x:c>
      <x:c r="C159" s="339" t="str">
        <x:v>Fees &amp; Finance</x:v>
      </x:c>
      <x:c r="D159" s="339" t="str">
        <x:v>Fee Collection</x:v>
      </x:c>
      <x:c r="E159" s="339" t="str">
        <x:v>Fees &amp; Finance Service</x:v>
      </x:c>
      <x:c r="F159" s="339" t="str">
        <x:v>/api/v1/fees-finance/fee-collection</x:v>
      </x:c>
      <x:c r="G159" s="339" t="str">
        <x:v>POST</x:v>
      </x:c>
      <x:c r="H159" s="339" t="str">
        <x:v>Tenant/school context + screen-specific filters/command payload; validate schema, effective references and request correlation/idempotency key for high-risk writes.</x:v>
      </x:c>
      <x:c r="I159" s="339" t="str">
        <x:v>Return authorized DTO with status/version, validation errors and correlation ID; never expose restricted fields.</x:v>
      </x:c>
      <x:c r="J159" s="339" t="str">
        <x:v>Accountant, School Admin, Parent</x:v>
      </x:c>
      <x:c r="K159" s="339" t="str">
        <x:v>Use optimistic concurrency/version checks for updates; idempotency for payments, admissions confirmation, bulk imports and other retry-prone commands.</x:v>
      </x:c>
      <x:c r="L159" s="339" t="str">
        <x:v>Publish domain events after successful commit when downstream modules/notifications depend on the change.</x:v>
      </x:c>
    </x:row>
    <x:row r="160">
      <x:c r="A160" s="339" t="str">
        <x:v>API-0159</x:v>
      </x:c>
      <x:c r="B160" s="339" t="str">
        <x:v>SCR-159</x:v>
      </x:c>
      <x:c r="C160" s="339" t="str">
        <x:v>Fees &amp; Finance</x:v>
      </x:c>
      <x:c r="D160" s="339" t="str">
        <x:v>Online Payment</x:v>
      </x:c>
      <x:c r="E160" s="339" t="str">
        <x:v>Fees &amp; Finance Service</x:v>
      </x:c>
      <x:c r="F160" s="339" t="str">
        <x:v>/api/v1/fees-finance/online-payment</x:v>
      </x:c>
      <x:c r="G160" s="339" t="str">
        <x:v>GET + POST/PATCH</x:v>
      </x:c>
      <x:c r="H160" s="339" t="str">
        <x:v>Tenant/school context + screen-specific filters/command payload; validate schema, effective references and request correlation/idempotency key for high-risk writes.</x:v>
      </x:c>
      <x:c r="I160" s="339" t="str">
        <x:v>Return authorized DTO with status/version, validation errors and correlation ID; never expose restricted fields.</x:v>
      </x:c>
      <x:c r="J160" s="339" t="str">
        <x:v>Parent, Accountant, School Admin</x:v>
      </x:c>
      <x:c r="K160" s="339" t="str">
        <x:v>Use optimistic concurrency/version checks for updates; idempotency for payments, admissions confirmation, bulk imports and other retry-prone commands.</x:v>
      </x:c>
      <x:c r="L160" s="339" t="str">
        <x:v>Publish domain events after successful commit when downstream modules/notifications depend on the change.</x:v>
      </x:c>
    </x:row>
    <x:row r="161">
      <x:c r="A161" s="339" t="str">
        <x:v>API-0160</x:v>
      </x:c>
      <x:c r="B161" s="339" t="str">
        <x:v>SCR-160</x:v>
      </x:c>
      <x:c r="C161" s="339" t="str">
        <x:v>Fees &amp; Finance</x:v>
      </x:c>
      <x:c r="D161" s="339" t="str">
        <x:v>Payment Receipt</x:v>
      </x:c>
      <x:c r="E161" s="339" t="str">
        <x:v>Fees &amp; Finance Service</x:v>
      </x:c>
      <x:c r="F161" s="339" t="str">
        <x:v>/api/v1/fees-finance/payment-receipt</x:v>
      </x:c>
      <x:c r="G161" s="339" t="str">
        <x:v>GET + PATCH</x:v>
      </x:c>
      <x:c r="H161" s="339" t="str">
        <x:v>Tenant/school context + screen-specific filters/command payload; validate schema, effective references and request correlation/idempotency key for high-risk writes.</x:v>
      </x:c>
      <x:c r="I161" s="339" t="str">
        <x:v>Return authorized DTO with status/version, validation errors and correlation ID; never expose restricted fields.</x:v>
      </x:c>
      <x:c r="J161" s="339" t="str">
        <x:v>Parent, Accountant, School Admin</x:v>
      </x:c>
      <x:c r="K161" s="339" t="str">
        <x:v>Use optimistic concurrency/version checks for updates; idempotency for payments, admissions confirmation, bulk imports and other retry-prone commands.</x:v>
      </x:c>
      <x:c r="L161" s="339" t="str">
        <x:v>Publish domain events after successful commit when downstream modules/notifications depend on the change.</x:v>
      </x:c>
    </x:row>
    <x:row r="162">
      <x:c r="A162" s="339" t="str">
        <x:v>API-0161</x:v>
      </x:c>
      <x:c r="B162" s="339" t="str">
        <x:v>SCR-161</x:v>
      </x:c>
      <x:c r="C162" s="339" t="str">
        <x:v>Fees &amp; Finance</x:v>
      </x:c>
      <x:c r="D162" s="339" t="str">
        <x:v>Student Ledger</x:v>
      </x:c>
      <x:c r="E162" s="339" t="str">
        <x:v>Fees &amp; Finance Service</x:v>
      </x:c>
      <x:c r="F162" s="339" t="str">
        <x:v>/api/v1/fees-finance/student-ledger</x:v>
      </x:c>
      <x:c r="G162" s="339" t="str">
        <x:v>GET + PATCH</x:v>
      </x:c>
      <x:c r="H162" s="339" t="str">
        <x:v>Tenant/school context + screen-specific filters/command payload; validate schema, effective references and request correlation/idempotency key for high-risk writes.</x:v>
      </x:c>
      <x:c r="I162" s="339" t="str">
        <x:v>Return authorized DTO with status/version, validation errors and correlation ID; never expose restricted fields.</x:v>
      </x:c>
      <x:c r="J162" s="339" t="str">
        <x:v>Accountant, School Admin, Parent</x:v>
      </x:c>
      <x:c r="K162" s="339" t="str">
        <x:v>Use optimistic concurrency/version checks for updates; idempotency for payments, admissions confirmation, bulk imports and other retry-prone commands.</x:v>
      </x:c>
      <x:c r="L162" s="339" t="str">
        <x:v>Publish domain events after successful commit when downstream modules/notifications depend on the change.</x:v>
      </x:c>
    </x:row>
    <x:row r="163">
      <x:c r="A163" s="339" t="str">
        <x:v>API-0162</x:v>
      </x:c>
      <x:c r="B163" s="339" t="str">
        <x:v>SCR-162</x:v>
      </x:c>
      <x:c r="C163" s="339" t="str">
        <x:v>Fees &amp; Finance</x:v>
      </x:c>
      <x:c r="D163" s="339" t="str">
        <x:v>Outstanding Dues</x:v>
      </x:c>
      <x:c r="E163" s="339" t="str">
        <x:v>Fees &amp; Finance Service</x:v>
      </x:c>
      <x:c r="F163" s="339" t="str">
        <x:v>/api/v1/fees-finance/outstanding-dues</x:v>
      </x:c>
      <x:c r="G163" s="339" t="str">
        <x:v>GET + POST/PATCH</x:v>
      </x:c>
      <x:c r="H163" s="339" t="str">
        <x:v>Tenant/school context + screen-specific filters/command payload; validate schema, effective references and request correlation/idempotency key for high-risk writes.</x:v>
      </x:c>
      <x:c r="I163" s="339" t="str">
        <x:v>Return authorized DTO with status/version, validation errors and correlation ID; never expose restricted fields.</x:v>
      </x:c>
      <x:c r="J163" s="339" t="str">
        <x:v>Accountant, School Admin, Parent</x:v>
      </x:c>
      <x:c r="K163" s="339" t="str">
        <x:v>Use optimistic concurrency/version checks for updates; idempotency for payments, admissions confirmation, bulk imports and other retry-prone commands.</x:v>
      </x:c>
      <x:c r="L163" s="339" t="str">
        <x:v>Publish domain events after successful commit when downstream modules/notifications depend on the change.</x:v>
      </x:c>
    </x:row>
    <x:row r="164">
      <x:c r="A164" s="339" t="str">
        <x:v>API-0163</x:v>
      </x:c>
      <x:c r="B164" s="339" t="str">
        <x:v>SCR-163</x:v>
      </x:c>
      <x:c r="C164" s="339" t="str">
        <x:v>Fees &amp; Finance</x:v>
      </x:c>
      <x:c r="D164" s="339" t="str">
        <x:v>Concession / Scholarship</x:v>
      </x:c>
      <x:c r="E164" s="339" t="str">
        <x:v>Fees &amp; Finance Service</x:v>
      </x:c>
      <x:c r="F164" s="339" t="str">
        <x:v>/api/v1/fees-finance/concession-scholarship</x:v>
      </x:c>
      <x:c r="G164" s="339" t="str">
        <x:v>GET + POST/PATCH</x:v>
      </x:c>
      <x:c r="H164" s="339" t="str">
        <x:v>Tenant/school context + screen-specific filters/command payload; validate schema, effective references and request correlation/idempotency key for high-risk writes.</x:v>
      </x:c>
      <x:c r="I164" s="339" t="str">
        <x:v>Return authorized DTO with status/version, validation errors and correlation ID; never expose restricted fields.</x:v>
      </x:c>
      <x:c r="J164" s="339" t="str">
        <x:v>Accountant, School Admin</x:v>
      </x:c>
      <x:c r="K164" s="339" t="str">
        <x:v>Use optimistic concurrency/version checks for updates; idempotency for payments, admissions confirmation, bulk imports and other retry-prone commands.</x:v>
      </x:c>
      <x:c r="L164" s="339" t="str">
        <x:v>Publish domain events after successful commit when downstream modules/notifications depend on the change.</x:v>
      </x:c>
    </x:row>
    <x:row r="165">
      <x:c r="A165" s="339" t="str">
        <x:v>API-0164</x:v>
      </x:c>
      <x:c r="B165" s="339" t="str">
        <x:v>SCR-164</x:v>
      </x:c>
      <x:c r="C165" s="339" t="str">
        <x:v>Fees &amp; Finance</x:v>
      </x:c>
      <x:c r="D165" s="339" t="str">
        <x:v>Fine Rules</x:v>
      </x:c>
      <x:c r="E165" s="339" t="str">
        <x:v>Fees &amp; Finance Service</x:v>
      </x:c>
      <x:c r="F165" s="339" t="str">
        <x:v>/api/v1/fees-finance/fine-rules</x:v>
      </x:c>
      <x:c r="G165" s="339" t="str">
        <x:v>GET + POST/PATCH</x:v>
      </x:c>
      <x:c r="H165" s="339" t="str">
        <x:v>Tenant/school context + screen-specific filters/command payload; validate schema, effective references and request correlation/idempotency key for high-risk writes.</x:v>
      </x:c>
      <x:c r="I165" s="339" t="str">
        <x:v>Return authorized DTO with status/version, validation errors and correlation ID; never expose restricted fields.</x:v>
      </x:c>
      <x:c r="J165" s="339" t="str">
        <x:v>Accountant, School Admin</x:v>
      </x:c>
      <x:c r="K165" s="339" t="str">
        <x:v>Use optimistic concurrency/version checks for updates; idempotency for payments, admissions confirmation, bulk imports and other retry-prone commands.</x:v>
      </x:c>
      <x:c r="L165" s="339" t="str">
        <x:v>Publish domain events after successful commit when downstream modules/notifications depend on the change.</x:v>
      </x:c>
    </x:row>
    <x:row r="166">
      <x:c r="A166" s="339" t="str">
        <x:v>API-0165</x:v>
      </x:c>
      <x:c r="B166" s="339" t="str">
        <x:v>SCR-165</x:v>
      </x:c>
      <x:c r="C166" s="339" t="str">
        <x:v>Fees &amp; Finance</x:v>
      </x:c>
      <x:c r="D166" s="339" t="str">
        <x:v>Refunds</x:v>
      </x:c>
      <x:c r="E166" s="339" t="str">
        <x:v>Fees &amp; Finance Service</x:v>
      </x:c>
      <x:c r="F166" s="339" t="str">
        <x:v>/api/v1/fees-finance/refunds</x:v>
      </x:c>
      <x:c r="G166" s="339" t="str">
        <x:v>GET + POST/PATCH</x:v>
      </x:c>
      <x:c r="H166" s="339" t="str">
        <x:v>Tenant/school context + screen-specific filters/command payload; validate schema, effective references and request correlation/idempotency key for high-risk writes.</x:v>
      </x:c>
      <x:c r="I166" s="339" t="str">
        <x:v>Return authorized DTO with status/version, validation errors and correlation ID; never expose restricted fields.</x:v>
      </x:c>
      <x:c r="J166" s="339" t="str">
        <x:v>Accountant, School Admin</x:v>
      </x:c>
      <x:c r="K166" s="339" t="str">
        <x:v>Use optimistic concurrency/version checks for updates; idempotency for payments, admissions confirmation, bulk imports and other retry-prone commands.</x:v>
      </x:c>
      <x:c r="L166" s="339" t="str">
        <x:v>Publish domain events after successful commit when downstream modules/notifications depend on the change.</x:v>
      </x:c>
    </x:row>
    <x:row r="167">
      <x:c r="A167" s="339" t="str">
        <x:v>API-0166</x:v>
      </x:c>
      <x:c r="B167" s="339" t="str">
        <x:v>SCR-166</x:v>
      </x:c>
      <x:c r="C167" s="339" t="str">
        <x:v>Fees &amp; Finance</x:v>
      </x:c>
      <x:c r="D167" s="339" t="str">
        <x:v>Income</x:v>
      </x:c>
      <x:c r="E167" s="339" t="str">
        <x:v>Fees &amp; Finance Service</x:v>
      </x:c>
      <x:c r="F167" s="339" t="str">
        <x:v>/api/v1/fees-finance/income</x:v>
      </x:c>
      <x:c r="G167" s="339" t="str">
        <x:v>GET + POST/PATCH</x:v>
      </x:c>
      <x:c r="H167" s="339" t="str">
        <x:v>Tenant/school context + screen-specific filters/command payload; validate schema, effective references and request correlation/idempotency key for high-risk writes.</x:v>
      </x:c>
      <x:c r="I167" s="339" t="str">
        <x:v>Return authorized DTO with status/version, validation errors and correlation ID; never expose restricted fields.</x:v>
      </x:c>
      <x:c r="J167" s="339" t="str">
        <x:v>Accountant, School Admin</x:v>
      </x:c>
      <x:c r="K167" s="339" t="str">
        <x:v>Use optimistic concurrency/version checks for updates; idempotency for payments, admissions confirmation, bulk imports and other retry-prone commands.</x:v>
      </x:c>
      <x:c r="L167" s="339" t="str">
        <x:v>Publish domain events after successful commit when downstream modules/notifications depend on the change.</x:v>
      </x:c>
    </x:row>
    <x:row r="168">
      <x:c r="A168" s="339" t="str">
        <x:v>API-0167</x:v>
      </x:c>
      <x:c r="B168" s="339" t="str">
        <x:v>SCR-167</x:v>
      </x:c>
      <x:c r="C168" s="339" t="str">
        <x:v>Fees &amp; Finance</x:v>
      </x:c>
      <x:c r="D168" s="339" t="str">
        <x:v>Expenses</x:v>
      </x:c>
      <x:c r="E168" s="339" t="str">
        <x:v>Fees &amp; Finance Service</x:v>
      </x:c>
      <x:c r="F168" s="339" t="str">
        <x:v>/api/v1/fees-finance/expenses</x:v>
      </x:c>
      <x:c r="G168" s="339" t="str">
        <x:v>GET + POST/PATCH</x:v>
      </x:c>
      <x:c r="H168" s="339" t="str">
        <x:v>Tenant/school context + screen-specific filters/command payload; validate schema, effective references and request correlation/idempotency key for high-risk writes.</x:v>
      </x:c>
      <x:c r="I168" s="339" t="str">
        <x:v>Return authorized DTO with status/version, validation errors and correlation ID; never expose restricted fields.</x:v>
      </x:c>
      <x:c r="J168" s="339" t="str">
        <x:v>Accountant, School Admin</x:v>
      </x:c>
      <x:c r="K168" s="339" t="str">
        <x:v>Use optimistic concurrency/version checks for updates; idempotency for payments, admissions confirmation, bulk imports and other retry-prone commands.</x:v>
      </x:c>
      <x:c r="L168" s="339" t="str">
        <x:v>Publish domain events after successful commit when downstream modules/notifications depend on the change.</x:v>
      </x:c>
    </x:row>
    <x:row r="169">
      <x:c r="A169" s="339" t="str">
        <x:v>API-0168</x:v>
      </x:c>
      <x:c r="B169" s="339" t="str">
        <x:v>SCR-168</x:v>
      </x:c>
      <x:c r="C169" s="339" t="str">
        <x:v>Fees &amp; Finance</x:v>
      </x:c>
      <x:c r="D169" s="339" t="str">
        <x:v>Vendor Management</x:v>
      </x:c>
      <x:c r="E169" s="339" t="str">
        <x:v>Fees &amp; Finance Service</x:v>
      </x:c>
      <x:c r="F169" s="339" t="str">
        <x:v>/api/v1/fees-finance/vendor-management</x:v>
      </x:c>
      <x:c r="G169" s="339" t="str">
        <x:v>GET + POST/PATCH</x:v>
      </x:c>
      <x:c r="H169" s="339" t="str">
        <x:v>Tenant/school context + screen-specific filters/command payload; validate schema, effective references and request correlation/idempotency key for high-risk writes.</x:v>
      </x:c>
      <x:c r="I169" s="339" t="str">
        <x:v>Return authorized DTO with status/version, validation errors and correlation ID; never expose restricted fields.</x:v>
      </x:c>
      <x:c r="J169" s="339" t="str">
        <x:v>Accountant, School Admin</x:v>
      </x:c>
      <x:c r="K169" s="339" t="str">
        <x:v>Use optimistic concurrency/version checks for updates; idempotency for payments, admissions confirmation, bulk imports and other retry-prone commands.</x:v>
      </x:c>
      <x:c r="L169" s="339" t="str">
        <x:v>Publish domain events after successful commit when downstream modules/notifications depend on the change.</x:v>
      </x:c>
    </x:row>
    <x:row r="170">
      <x:c r="A170" s="339" t="str">
        <x:v>API-0169</x:v>
      </x:c>
      <x:c r="B170" s="339" t="str">
        <x:v>SCR-169</x:v>
      </x:c>
      <x:c r="C170" s="339" t="str">
        <x:v>Fees &amp; Finance</x:v>
      </x:c>
      <x:c r="D170" s="339" t="str">
        <x:v>Purchase / Payment</x:v>
      </x:c>
      <x:c r="E170" s="339" t="str">
        <x:v>Fees &amp; Finance Service</x:v>
      </x:c>
      <x:c r="F170" s="339" t="str">
        <x:v>/api/v1/fees-finance/purchase-payment</x:v>
      </x:c>
      <x:c r="G170" s="339" t="str">
        <x:v>GET + POST/PATCH</x:v>
      </x:c>
      <x:c r="H170" s="339" t="str">
        <x:v>Tenant/school context + screen-specific filters/command payload; validate schema, effective references and request correlation/idempotency key for high-risk writes.</x:v>
      </x:c>
      <x:c r="I170" s="339" t="str">
        <x:v>Return authorized DTO with status/version, validation errors and correlation ID; never expose restricted fields.</x:v>
      </x:c>
      <x:c r="J170" s="339" t="str">
        <x:v>Accountant, School Admin</x:v>
      </x:c>
      <x:c r="K170" s="339" t="str">
        <x:v>Use optimistic concurrency/version checks for updates; idempotency for payments, admissions confirmation, bulk imports and other retry-prone commands.</x:v>
      </x:c>
      <x:c r="L170" s="339" t="str">
        <x:v>Publish domain events after successful commit when downstream modules/notifications depend on the change.</x:v>
      </x:c>
    </x:row>
    <x:row r="171">
      <x:c r="A171" s="339" t="str">
        <x:v>API-0170</x:v>
      </x:c>
      <x:c r="B171" s="339" t="str">
        <x:v>SCR-170</x:v>
      </x:c>
      <x:c r="C171" s="339" t="str">
        <x:v>Fees &amp; Finance</x:v>
      </x:c>
      <x:c r="D171" s="339" t="str">
        <x:v>Cash &amp; Bank Book</x:v>
      </x:c>
      <x:c r="E171" s="339" t="str">
        <x:v>Fees &amp; Finance Service</x:v>
      </x:c>
      <x:c r="F171" s="339" t="str">
        <x:v>/api/v1/fees-finance/cash-bank-book</x:v>
      </x:c>
      <x:c r="G171" s="339" t="str">
        <x:v>GET + POST/PATCH</x:v>
      </x:c>
      <x:c r="H171" s="339" t="str">
        <x:v>Tenant/school context + screen-specific filters/command payload; validate schema, effective references and request correlation/idempotency key for high-risk writes.</x:v>
      </x:c>
      <x:c r="I171" s="339" t="str">
        <x:v>Return authorized DTO with status/version, validation errors and correlation ID; never expose restricted fields.</x:v>
      </x:c>
      <x:c r="J171" s="339" t="str">
        <x:v>Accountant, School Admin</x:v>
      </x:c>
      <x:c r="K171" s="339" t="str">
        <x:v>Use optimistic concurrency/version checks for updates; idempotency for payments, admissions confirmation, bulk imports and other retry-prone commands.</x:v>
      </x:c>
      <x:c r="L171" s="339" t="str">
        <x:v>Publish domain events after successful commit when downstream modules/notifications depend on the change.</x:v>
      </x:c>
    </x:row>
    <x:row r="172">
      <x:c r="A172" s="339" t="str">
        <x:v>API-0171</x:v>
      </x:c>
      <x:c r="B172" s="339" t="str">
        <x:v>SCR-171</x:v>
      </x:c>
      <x:c r="C172" s="339" t="str">
        <x:v>Fees &amp; Finance</x:v>
      </x:c>
      <x:c r="D172" s="339" t="str">
        <x:v>Finance Reports</x:v>
      </x:c>
      <x:c r="E172" s="339" t="str">
        <x:v>Fees &amp; Finance Service</x:v>
      </x:c>
      <x:c r="F172" s="339" t="str">
        <x:v>/api/v1/fees-finance/finance-reports</x:v>
      </x:c>
      <x:c r="G172" s="339" t="str">
        <x:v>GET</x:v>
      </x:c>
      <x:c r="H172" s="339" t="str">
        <x:v>Tenant/school context + screen-specific filters/command payload; validate schema, effective references and request correlation/idempotency key for high-risk writes.</x:v>
      </x:c>
      <x:c r="I172" s="339" t="str">
        <x:v>Return authorized DTO with status/version, validation errors and correlation ID; never expose restricted fields.</x:v>
      </x:c>
      <x:c r="J172" s="339" t="str">
        <x:v>Accountant, School Admin</x:v>
      </x:c>
      <x:c r="K172" s="339" t="str">
        <x:v>Use optimistic concurrency/version checks for updates; idempotency for payments, admissions confirmation, bulk imports and other retry-prone commands.</x:v>
      </x:c>
      <x:c r="L172" s="339" t="str">
        <x:v>Publish domain events after successful commit when downstream modules/notifications depend on the change.</x:v>
      </x:c>
    </x:row>
    <x:row r="173">
      <x:c r="A173" s="339" t="str">
        <x:v>API-0172</x:v>
      </x:c>
      <x:c r="B173" s="339" t="str">
        <x:v>SCR-172</x:v>
      </x:c>
      <x:c r="C173" s="339" t="str">
        <x:v>HR / Leave / Payroll</x:v>
      </x:c>
      <x:c r="D173" s="339" t="str">
        <x:v>Recruitment Requisitions</x:v>
      </x:c>
      <x:c r="E173" s="339" t="str">
        <x:v>HR &amp; Payroll Service</x:v>
      </x:c>
      <x:c r="F173" s="339" t="str">
        <x:v>/api/v1/hr/recruitment-requisitions</x:v>
      </x:c>
      <x:c r="G173" s="339" t="str">
        <x:v>GET + POST/PATCH</x:v>
      </x:c>
      <x:c r="H173" s="339" t="str">
        <x:v>Tenant/school context + screen-specific filters/command payload; validate schema, effective references and request correlation/idempotency key for high-risk writes.</x:v>
      </x:c>
      <x:c r="I173" s="339" t="str">
        <x:v>Return authorized DTO with status/version, validation errors and correlation ID; never expose restricted fields.</x:v>
      </x:c>
      <x:c r="J173" s="339" t="str">
        <x:v>HR, School Admin, Principal, Employee</x:v>
      </x:c>
      <x:c r="K173" s="339" t="str">
        <x:v>Use optimistic concurrency/version checks for updates; idempotency for payments, admissions confirmation, bulk imports and other retry-prone commands.</x:v>
      </x:c>
      <x:c r="L173" s="339" t="str">
        <x:v>Publish domain events after successful commit when downstream modules/notifications depend on the change.</x:v>
      </x:c>
    </x:row>
    <x:row r="174">
      <x:c r="A174" s="339" t="str">
        <x:v>API-0173</x:v>
      </x:c>
      <x:c r="B174" s="339" t="str">
        <x:v>SCR-173</x:v>
      </x:c>
      <x:c r="C174" s="339" t="str">
        <x:v>HR / Leave / Payroll</x:v>
      </x:c>
      <x:c r="D174" s="339" t="str">
        <x:v>Job Openings</x:v>
      </x:c>
      <x:c r="E174" s="339" t="str">
        <x:v>HR &amp; Payroll Service</x:v>
      </x:c>
      <x:c r="F174" s="339" t="str">
        <x:v>/api/v1/hr/job-openings</x:v>
      </x:c>
      <x:c r="G174" s="339" t="str">
        <x:v>GET + POST/PATCH actions</x:v>
      </x:c>
      <x:c r="H174" s="339" t="str">
        <x:v>Tenant/school context + screen-specific filters/command payload; validate schema, effective references and request correlation/idempotency key for high-risk writes.</x:v>
      </x:c>
      <x:c r="I174" s="339" t="str">
        <x:v>Return authorized DTO with status/version, validation errors and correlation ID; never expose restricted fields.</x:v>
      </x:c>
      <x:c r="J174" s="339" t="str">
        <x:v>HR, School Admin, Principal, Employee</x:v>
      </x:c>
      <x:c r="K174" s="339" t="str">
        <x:v>Use optimistic concurrency/version checks for updates; idempotency for payments, admissions confirmation, bulk imports and other retry-prone commands.</x:v>
      </x:c>
      <x:c r="L174" s="339" t="str">
        <x:v>Publish domain events after successful commit when downstream modules/notifications depend on the change.</x:v>
      </x:c>
    </x:row>
    <x:row r="175">
      <x:c r="A175" s="339" t="str">
        <x:v>API-0174</x:v>
      </x:c>
      <x:c r="B175" s="339" t="str">
        <x:v>SCR-174</x:v>
      </x:c>
      <x:c r="C175" s="339" t="str">
        <x:v>HR / Leave / Payroll</x:v>
      </x:c>
      <x:c r="D175" s="339" t="str">
        <x:v>Candidate Applications</x:v>
      </x:c>
      <x:c r="E175" s="339" t="str">
        <x:v>HR &amp; Payroll Service</x:v>
      </x:c>
      <x:c r="F175" s="339" t="str">
        <x:v>/api/v1/hr/candidate-applications</x:v>
      </x:c>
      <x:c r="G175" s="339" t="str">
        <x:v>GET + POST/PATCH actions</x:v>
      </x:c>
      <x:c r="H175" s="339" t="str">
        <x:v>Tenant/school context + screen-specific filters/command payload; validate schema, effective references and request correlation/idempotency key for high-risk writes.</x:v>
      </x:c>
      <x:c r="I175" s="339" t="str">
        <x:v>Return authorized DTO with status/version, validation errors and correlation ID; never expose restricted fields.</x:v>
      </x:c>
      <x:c r="J175" s="339" t="str">
        <x:v>HR, School Admin, Principal, Employee</x:v>
      </x:c>
      <x:c r="K175" s="339" t="str">
        <x:v>Use optimistic concurrency/version checks for updates; idempotency for payments, admissions confirmation, bulk imports and other retry-prone commands.</x:v>
      </x:c>
      <x:c r="L175" s="339" t="str">
        <x:v>Publish domain events after successful commit when downstream modules/notifications depend on the change.</x:v>
      </x:c>
    </x:row>
    <x:row r="176">
      <x:c r="A176" s="339" t="str">
        <x:v>API-0175</x:v>
      </x:c>
      <x:c r="B176" s="339" t="str">
        <x:v>SCR-175</x:v>
      </x:c>
      <x:c r="C176" s="339" t="str">
        <x:v>HR / Leave / Payroll</x:v>
      </x:c>
      <x:c r="D176" s="339" t="str">
        <x:v>Candidate Details</x:v>
      </x:c>
      <x:c r="E176" s="339" t="str">
        <x:v>HR &amp; Payroll Service</x:v>
      </x:c>
      <x:c r="F176" s="339" t="str">
        <x:v>/api/v1/hr/candidate-details</x:v>
      </x:c>
      <x:c r="G176" s="339" t="str">
        <x:v>GET + PATCH</x:v>
      </x:c>
      <x:c r="H176" s="339" t="str">
        <x:v>Tenant/school context + screen-specific filters/command payload; validate schema, effective references and request correlation/idempotency key for high-risk writes.</x:v>
      </x:c>
      <x:c r="I176" s="339" t="str">
        <x:v>Return authorized DTO with status/version, validation errors and correlation ID; never expose restricted fields.</x:v>
      </x:c>
      <x:c r="J176" s="339" t="str">
        <x:v>HR, School Admin, Principal, Employee</x:v>
      </x:c>
      <x:c r="K176" s="339" t="str">
        <x:v>Use optimistic concurrency/version checks for updates; idempotency for payments, admissions confirmation, bulk imports and other retry-prone commands.</x:v>
      </x:c>
      <x:c r="L176" s="339" t="str">
        <x:v>Publish domain events after successful commit when downstream modules/notifications depend on the change.</x:v>
      </x:c>
    </x:row>
    <x:row r="177">
      <x:c r="A177" s="339" t="str">
        <x:v>API-0176</x:v>
      </x:c>
      <x:c r="B177" s="339" t="str">
        <x:v>SCR-176</x:v>
      </x:c>
      <x:c r="C177" s="339" t="str">
        <x:v>HR / Leave / Payroll</x:v>
      </x:c>
      <x:c r="D177" s="339" t="str">
        <x:v>Interview Schedule</x:v>
      </x:c>
      <x:c r="E177" s="339" t="str">
        <x:v>HR &amp; Payroll Service</x:v>
      </x:c>
      <x:c r="F177" s="339" t="str">
        <x:v>/api/v1/hr/interview-schedule</x:v>
      </x:c>
      <x:c r="G177" s="339" t="str">
        <x:v>GET + POST/PATCH</x:v>
      </x:c>
      <x:c r="H177" s="339" t="str">
        <x:v>Tenant/school context + screen-specific filters/command payload; validate schema, effective references and request correlation/idempotency key for high-risk writes.</x:v>
      </x:c>
      <x:c r="I177" s="339" t="str">
        <x:v>Return authorized DTO with status/version, validation errors and correlation ID; never expose restricted fields.</x:v>
      </x:c>
      <x:c r="J177" s="339" t="str">
        <x:v>HR, School Admin, Principal, Employee</x:v>
      </x:c>
      <x:c r="K177" s="339" t="str">
        <x:v>Use optimistic concurrency/version checks for updates; idempotency for payments, admissions confirmation, bulk imports and other retry-prone commands.</x:v>
      </x:c>
      <x:c r="L177" s="339" t="str">
        <x:v>Publish domain events after successful commit when downstream modules/notifications depend on the change.</x:v>
      </x:c>
    </x:row>
    <x:row r="178">
      <x:c r="A178" s="339" t="str">
        <x:v>API-0177</x:v>
      </x:c>
      <x:c r="B178" s="339" t="str">
        <x:v>SCR-177</x:v>
      </x:c>
      <x:c r="C178" s="339" t="str">
        <x:v>HR / Leave / Payroll</x:v>
      </x:c>
      <x:c r="D178" s="339" t="str">
        <x:v>Offer &amp; Appointment</x:v>
      </x:c>
      <x:c r="E178" s="339" t="str">
        <x:v>HR &amp; Payroll Service</x:v>
      </x:c>
      <x:c r="F178" s="339" t="str">
        <x:v>/api/v1/hr/offer-appointment</x:v>
      </x:c>
      <x:c r="G178" s="339" t="str">
        <x:v>GET + POST/PATCH</x:v>
      </x:c>
      <x:c r="H178" s="339" t="str">
        <x:v>Tenant/school context + screen-specific filters/command payload; validate schema, effective references and request correlation/idempotency key for high-risk writes.</x:v>
      </x:c>
      <x:c r="I178" s="339" t="str">
        <x:v>Return authorized DTO with status/version, validation errors and correlation ID; never expose restricted fields.</x:v>
      </x:c>
      <x:c r="J178" s="339" t="str">
        <x:v>HR, School Admin, Principal, Employee</x:v>
      </x:c>
      <x:c r="K178" s="339" t="str">
        <x:v>Use optimistic concurrency/version checks for updates; idempotency for payments, admissions confirmation, bulk imports and other retry-prone commands.</x:v>
      </x:c>
      <x:c r="L178" s="339" t="str">
        <x:v>Publish domain events after successful commit when downstream modules/notifications depend on the change.</x:v>
      </x:c>
    </x:row>
    <x:row r="179">
      <x:c r="A179" s="339" t="str">
        <x:v>API-0178</x:v>
      </x:c>
      <x:c r="B179" s="339" t="str">
        <x:v>SCR-178</x:v>
      </x:c>
      <x:c r="C179" s="339" t="str">
        <x:v>HR / Leave / Payroll</x:v>
      </x:c>
      <x:c r="D179" s="339" t="str">
        <x:v>Employee Onboarding Checklist</x:v>
      </x:c>
      <x:c r="E179" s="339" t="str">
        <x:v>HR &amp; Payroll Service</x:v>
      </x:c>
      <x:c r="F179" s="339" t="str">
        <x:v>/api/v1/hr/employee-onboarding-checklist</x:v>
      </x:c>
      <x:c r="G179" s="339" t="str">
        <x:v>GET + POST/PATCH actions</x:v>
      </x:c>
      <x:c r="H179" s="339" t="str">
        <x:v>Tenant/school context + screen-specific filters/command payload; validate schema, effective references and request correlation/idempotency key for high-risk writes.</x:v>
      </x:c>
      <x:c r="I179" s="339" t="str">
        <x:v>Return authorized DTO with status/version, validation errors and correlation ID; never expose restricted fields.</x:v>
      </x:c>
      <x:c r="J179" s="339" t="str">
        <x:v>HR, School Admin, Principal, Employee</x:v>
      </x:c>
      <x:c r="K179" s="339" t="str">
        <x:v>Use optimistic concurrency/version checks for updates; idempotency for payments, admissions confirmation, bulk imports and other retry-prone commands.</x:v>
      </x:c>
      <x:c r="L179" s="339" t="str">
        <x:v>Publish domain events after successful commit when downstream modules/notifications depend on the change.</x:v>
      </x:c>
    </x:row>
    <x:row r="180">
      <x:c r="A180" s="339" t="str">
        <x:v>API-0179</x:v>
      </x:c>
      <x:c r="B180" s="339" t="str">
        <x:v>SCR-179</x:v>
      </x:c>
      <x:c r="C180" s="339" t="str">
        <x:v>HR / Leave / Payroll</x:v>
      </x:c>
      <x:c r="D180" s="339" t="str">
        <x:v>Staff Attendance Management</x:v>
      </x:c>
      <x:c r="E180" s="339" t="str">
        <x:v>HR &amp; Payroll Service</x:v>
      </x:c>
      <x:c r="F180" s="339" t="str">
        <x:v>/api/v1/hr/staff-attendance-management</x:v>
      </x:c>
      <x:c r="G180" s="339" t="str">
        <x:v>GET + POST/PATCH</x:v>
      </x:c>
      <x:c r="H180" s="339" t="str">
        <x:v>Tenant/school context + screen-specific filters/command payload; validate schema, effective references and request correlation/idempotency key for high-risk writes.</x:v>
      </x:c>
      <x:c r="I180" s="339" t="str">
        <x:v>Return authorized DTO with status/version, validation errors and correlation ID; never expose restricted fields.</x:v>
      </x:c>
      <x:c r="J180" s="339" t="str">
        <x:v>HR, School Admin, Principal, Employee</x:v>
      </x:c>
      <x:c r="K180" s="339" t="str">
        <x:v>Use optimistic concurrency/version checks for updates; idempotency for payments, admissions confirmation, bulk imports and other retry-prone commands.</x:v>
      </x:c>
      <x:c r="L180" s="339" t="str">
        <x:v>Publish domain events after successful commit when downstream modules/notifications depend on the change.</x:v>
      </x:c>
    </x:row>
    <x:row r="181">
      <x:c r="A181" s="339" t="str">
        <x:v>API-0180</x:v>
      </x:c>
      <x:c r="B181" s="339" t="str">
        <x:v>SCR-180</x:v>
      </x:c>
      <x:c r="C181" s="339" t="str">
        <x:v>HR / Leave / Payroll</x:v>
      </x:c>
      <x:c r="D181" s="339" t="str">
        <x:v>Leave Policies</x:v>
      </x:c>
      <x:c r="E181" s="339" t="str">
        <x:v>HR &amp; Payroll Service</x:v>
      </x:c>
      <x:c r="F181" s="339" t="str">
        <x:v>/api/v1/hr/leave-policies</x:v>
      </x:c>
      <x:c r="G181" s="339" t="str">
        <x:v>GET + POST/PATCH</x:v>
      </x:c>
      <x:c r="H181" s="339" t="str">
        <x:v>Tenant/school context + screen-specific filters/command payload; validate schema, effective references and request correlation/idempotency key for high-risk writes.</x:v>
      </x:c>
      <x:c r="I181" s="339" t="str">
        <x:v>Return authorized DTO with status/version, validation errors and correlation ID; never expose restricted fields.</x:v>
      </x:c>
      <x:c r="J181" s="339" t="str">
        <x:v>HR, School Admin, Principal, Employee</x:v>
      </x:c>
      <x:c r="K181" s="339" t="str">
        <x:v>Use optimistic concurrency/version checks for updates; idempotency for payments, admissions confirmation, bulk imports and other retry-prone commands.</x:v>
      </x:c>
      <x:c r="L181" s="339" t="str">
        <x:v>Publish domain events after successful commit when downstream modules/notifications depend on the change.</x:v>
      </x:c>
    </x:row>
    <x:row r="182">
      <x:c r="A182" s="339" t="str">
        <x:v>API-0181</x:v>
      </x:c>
      <x:c r="B182" s="339" t="str">
        <x:v>SCR-181</x:v>
      </x:c>
      <x:c r="C182" s="339" t="str">
        <x:v>HR / Leave / Payroll</x:v>
      </x:c>
      <x:c r="D182" s="339" t="str">
        <x:v>Staff Leave Requests</x:v>
      </x:c>
      <x:c r="E182" s="339" t="str">
        <x:v>HR &amp; Payroll Service</x:v>
      </x:c>
      <x:c r="F182" s="339" t="str">
        <x:v>/api/v1/hr/staff-leave-requests</x:v>
      </x:c>
      <x:c r="G182" s="339" t="str">
        <x:v>GET + POST/PATCH</x:v>
      </x:c>
      <x:c r="H182" s="339" t="str">
        <x:v>Tenant/school context + screen-specific filters/command payload; validate schema, effective references and request correlation/idempotency key for high-risk writes.</x:v>
      </x:c>
      <x:c r="I182" s="339" t="str">
        <x:v>Return authorized DTO with status/version, validation errors and correlation ID; never expose restricted fields.</x:v>
      </x:c>
      <x:c r="J182" s="339" t="str">
        <x:v>HR, School Admin, Principal, Employee</x:v>
      </x:c>
      <x:c r="K182" s="339" t="str">
        <x:v>Use optimistic concurrency/version checks for updates; idempotency for payments, admissions confirmation, bulk imports and other retry-prone commands.</x:v>
      </x:c>
      <x:c r="L182" s="339" t="str">
        <x:v>Publish domain events after successful commit when downstream modules/notifications depend on the change.</x:v>
      </x:c>
    </x:row>
    <x:row r="183">
      <x:c r="A183" s="339" t="str">
        <x:v>API-0182</x:v>
      </x:c>
      <x:c r="B183" s="339" t="str">
        <x:v>SCR-182</x:v>
      </x:c>
      <x:c r="C183" s="339" t="str">
        <x:v>HR / Leave / Payroll</x:v>
      </x:c>
      <x:c r="D183" s="339" t="str">
        <x:v>Leave Approval</x:v>
      </x:c>
      <x:c r="E183" s="339" t="str">
        <x:v>HR &amp; Payroll Service</x:v>
      </x:c>
      <x:c r="F183" s="339" t="str">
        <x:v>/api/v1/hr/leave-approval</x:v>
      </x:c>
      <x:c r="G183" s="339" t="str">
        <x:v>PATCH/POST action</x:v>
      </x:c>
      <x:c r="H183" s="339" t="str">
        <x:v>Tenant/school context + screen-specific filters/command payload; validate schema, effective references and request correlation/idempotency key for high-risk writes.</x:v>
      </x:c>
      <x:c r="I183" s="339" t="str">
        <x:v>Return authorized DTO with status/version, validation errors and correlation ID; never expose restricted fields.</x:v>
      </x:c>
      <x:c r="J183" s="339" t="str">
        <x:v>HR, School Admin, Principal, Employee</x:v>
      </x:c>
      <x:c r="K183" s="339" t="str">
        <x:v>Use optimistic concurrency/version checks for updates; idempotency for payments, admissions confirmation, bulk imports and other retry-prone commands.</x:v>
      </x:c>
      <x:c r="L183" s="339" t="str">
        <x:v>Publish domain events after successful commit when downstream modules/notifications depend on the change.</x:v>
      </x:c>
    </x:row>
    <x:row r="184">
      <x:c r="A184" s="339" t="str">
        <x:v>API-0183</x:v>
      </x:c>
      <x:c r="B184" s="339" t="str">
        <x:v>SCR-183</x:v>
      </x:c>
      <x:c r="C184" s="339" t="str">
        <x:v>HR / Leave / Payroll</x:v>
      </x:c>
      <x:c r="D184" s="339" t="str">
        <x:v>Payroll Setup</x:v>
      </x:c>
      <x:c r="E184" s="339" t="str">
        <x:v>HR &amp; Payroll Service</x:v>
      </x:c>
      <x:c r="F184" s="339" t="str">
        <x:v>/api/v1/hr/payroll-setup</x:v>
      </x:c>
      <x:c r="G184" s="339" t="str">
        <x:v>GET + POST/PATCH</x:v>
      </x:c>
      <x:c r="H184" s="339" t="str">
        <x:v>Tenant/school context + screen-specific filters/command payload; validate schema, effective references and request correlation/idempotency key for high-risk writes.</x:v>
      </x:c>
      <x:c r="I184" s="339" t="str">
        <x:v>Return authorized DTO with status/version, validation errors and correlation ID; never expose restricted fields.</x:v>
      </x:c>
      <x:c r="J184" s="339" t="str">
        <x:v>HR, School Admin, Principal, Employee</x:v>
      </x:c>
      <x:c r="K184" s="339" t="str">
        <x:v>Use optimistic concurrency/version checks for updates; idempotency for payments, admissions confirmation, bulk imports and other retry-prone commands.</x:v>
      </x:c>
      <x:c r="L184" s="339" t="str">
        <x:v>Publish domain events after successful commit when downstream modules/notifications depend on the change.</x:v>
      </x:c>
    </x:row>
    <x:row r="185">
      <x:c r="A185" s="339" t="str">
        <x:v>API-0184</x:v>
      </x:c>
      <x:c r="B185" s="339" t="str">
        <x:v>SCR-184</x:v>
      </x:c>
      <x:c r="C185" s="339" t="str">
        <x:v>HR / Leave / Payroll</x:v>
      </x:c>
      <x:c r="D185" s="339" t="str">
        <x:v>Payroll Processing</x:v>
      </x:c>
      <x:c r="E185" s="339" t="str">
        <x:v>HR &amp; Payroll Service</x:v>
      </x:c>
      <x:c r="F185" s="339" t="str">
        <x:v>/api/v1/hr/payroll-processing</x:v>
      </x:c>
      <x:c r="G185" s="339" t="str">
        <x:v>GET + POST/PATCH</x:v>
      </x:c>
      <x:c r="H185" s="339" t="str">
        <x:v>Tenant/school context + screen-specific filters/command payload; validate schema, effective references and request correlation/idempotency key for high-risk writes.</x:v>
      </x:c>
      <x:c r="I185" s="339" t="str">
        <x:v>Return authorized DTO with status/version, validation errors and correlation ID; never expose restricted fields.</x:v>
      </x:c>
      <x:c r="J185" s="339" t="str">
        <x:v>HR, School Admin, Principal, Employee</x:v>
      </x:c>
      <x:c r="K185" s="339" t="str">
        <x:v>Use optimistic concurrency/version checks for updates; idempotency for payments, admissions confirmation, bulk imports and other retry-prone commands.</x:v>
      </x:c>
      <x:c r="L185" s="339" t="str">
        <x:v>Publish domain events after successful commit when downstream modules/notifications depend on the change.</x:v>
      </x:c>
    </x:row>
    <x:row r="186">
      <x:c r="A186" s="339" t="str">
        <x:v>API-0185</x:v>
      </x:c>
      <x:c r="B186" s="339" t="str">
        <x:v>SCR-185</x:v>
      </x:c>
      <x:c r="C186" s="339" t="str">
        <x:v>HR / Leave / Payroll</x:v>
      </x:c>
      <x:c r="D186" s="339" t="str">
        <x:v>Payslip &amp; Payroll History</x:v>
      </x:c>
      <x:c r="E186" s="339" t="str">
        <x:v>HR &amp; Payroll Service</x:v>
      </x:c>
      <x:c r="F186" s="339" t="str">
        <x:v>/api/v1/hr/payslip-payroll-history</x:v>
      </x:c>
      <x:c r="G186" s="339" t="str">
        <x:v>GET + PATCH</x:v>
      </x:c>
      <x:c r="H186" s="339" t="str">
        <x:v>Tenant/school context + screen-specific filters/command payload; validate schema, effective references and request correlation/idempotency key for high-risk writes.</x:v>
      </x:c>
      <x:c r="I186" s="339" t="str">
        <x:v>Return authorized DTO with status/version, validation errors and correlation ID; never expose restricted fields.</x:v>
      </x:c>
      <x:c r="J186" s="339" t="str">
        <x:v>HR, School Admin, Principal, Employee</x:v>
      </x:c>
      <x:c r="K186" s="339" t="str">
        <x:v>Use optimistic concurrency/version checks for updates; idempotency for payments, admissions confirmation, bulk imports and other retry-prone commands.</x:v>
      </x:c>
      <x:c r="L186" s="339" t="str">
        <x:v>Publish domain events after successful commit when downstream modules/notifications depend on the change.</x:v>
      </x:c>
    </x:row>
    <x:row r="187">
      <x:c r="A187" s="339" t="str">
        <x:v>API-0186</x:v>
      </x:c>
      <x:c r="B187" s="339" t="str">
        <x:v>SCR-186</x:v>
      </x:c>
      <x:c r="C187" s="339" t="str">
        <x:v>Transport / Bus / GPS</x:v>
      </x:c>
      <x:c r="D187" s="339" t="str">
        <x:v>Vehicles</x:v>
      </x:c>
      <x:c r="E187" s="339" t="str">
        <x:v>Transport Service</x:v>
      </x:c>
      <x:c r="F187" s="339" t="str">
        <x:v>/api/v1/transport/vehicles</x:v>
      </x:c>
      <x:c r="G187" s="339" t="str">
        <x:v>GET + POST/PATCH actions</x:v>
      </x:c>
      <x:c r="H187" s="339" t="str">
        <x:v>Tenant/school context + screen-specific filters/command payload; validate schema, effective references and request correlation/idempotency key for high-risk writes.</x:v>
      </x:c>
      <x:c r="I187" s="339" t="str">
        <x:v>Return authorized DTO with status/version, validation errors and correlation ID; never expose restricted fields.</x:v>
      </x:c>
      <x:c r="J187" s="339" t="str">
        <x:v>Transport Manager, School Admin</x:v>
      </x:c>
      <x:c r="K187" s="339" t="str">
        <x:v>Use optimistic concurrency/version checks for updates; idempotency for payments, admissions confirmation, bulk imports and other retry-prone commands.</x:v>
      </x:c>
      <x:c r="L187" s="339" t="str">
        <x:v>Publish domain events after successful commit when downstream modules/notifications depend on the change.</x:v>
      </x:c>
    </x:row>
    <x:row r="188">
      <x:c r="A188" s="339" t="str">
        <x:v>API-0187</x:v>
      </x:c>
      <x:c r="B188" s="339" t="str">
        <x:v>SCR-187</x:v>
      </x:c>
      <x:c r="C188" s="339" t="str">
        <x:v>Transport / Bus / GPS</x:v>
      </x:c>
      <x:c r="D188" s="339" t="str">
        <x:v>Add / Edit Vehicle</x:v>
      </x:c>
      <x:c r="E188" s="339" t="str">
        <x:v>Transport Service</x:v>
      </x:c>
      <x:c r="F188" s="339" t="str">
        <x:v>/api/v1/transport/add-edit-vehicle</x:v>
      </x:c>
      <x:c r="G188" s="339" t="str">
        <x:v>POST</x:v>
      </x:c>
      <x:c r="H188" s="339" t="str">
        <x:v>Tenant/school context + screen-specific filters/command payload; validate schema, effective references and request correlation/idempotency key for high-risk writes.</x:v>
      </x:c>
      <x:c r="I188" s="339" t="str">
        <x:v>Return authorized DTO with status/version, validation errors and correlation ID; never expose restricted fields.</x:v>
      </x:c>
      <x:c r="J188" s="339" t="str">
        <x:v>Transport Manager, School Admin</x:v>
      </x:c>
      <x:c r="K188" s="339" t="str">
        <x:v>Use optimistic concurrency/version checks for updates; idempotency for payments, admissions confirmation, bulk imports and other retry-prone commands.</x:v>
      </x:c>
      <x:c r="L188" s="339" t="str">
        <x:v>Publish domain events after successful commit when downstream modules/notifications depend on the change.</x:v>
      </x:c>
    </x:row>
    <x:row r="189">
      <x:c r="A189" s="339" t="str">
        <x:v>API-0188</x:v>
      </x:c>
      <x:c r="B189" s="339" t="str">
        <x:v>SCR-188</x:v>
      </x:c>
      <x:c r="C189" s="339" t="str">
        <x:v>Transport / Bus / GPS</x:v>
      </x:c>
      <x:c r="D189" s="339" t="str">
        <x:v>Vehicle Details</x:v>
      </x:c>
      <x:c r="E189" s="339" t="str">
        <x:v>Transport Service</x:v>
      </x:c>
      <x:c r="F189" s="339" t="str">
        <x:v>/api/v1/transport/vehicle-details</x:v>
      </x:c>
      <x:c r="G189" s="339" t="str">
        <x:v>GET + PATCH</x:v>
      </x:c>
      <x:c r="H189" s="339" t="str">
        <x:v>Tenant/school context + screen-specific filters/command payload; validate schema, effective references and request correlation/idempotency key for high-risk writes.</x:v>
      </x:c>
      <x:c r="I189" s="339" t="str">
        <x:v>Return authorized DTO with status/version, validation errors and correlation ID; never expose restricted fields.</x:v>
      </x:c>
      <x:c r="J189" s="339" t="str">
        <x:v>Transport Manager, School Admin</x:v>
      </x:c>
      <x:c r="K189" s="339" t="str">
        <x:v>Use optimistic concurrency/version checks for updates; idempotency for payments, admissions confirmation, bulk imports and other retry-prone commands.</x:v>
      </x:c>
      <x:c r="L189" s="339" t="str">
        <x:v>Publish domain events after successful commit when downstream modules/notifications depend on the change.</x:v>
      </x:c>
    </x:row>
    <x:row r="190">
      <x:c r="A190" s="339" t="str">
        <x:v>API-0189</x:v>
      </x:c>
      <x:c r="B190" s="339" t="str">
        <x:v>SCR-189</x:v>
      </x:c>
      <x:c r="C190" s="339" t="str">
        <x:v>Transport / Bus / GPS</x:v>
      </x:c>
      <x:c r="D190" s="339" t="str">
        <x:v>Routes</x:v>
      </x:c>
      <x:c r="E190" s="339" t="str">
        <x:v>Transport Service</x:v>
      </x:c>
      <x:c r="F190" s="339" t="str">
        <x:v>/api/v1/transport/routes</x:v>
      </x:c>
      <x:c r="G190" s="339" t="str">
        <x:v>GET + POST/PATCH actions</x:v>
      </x:c>
      <x:c r="H190" s="339" t="str">
        <x:v>Tenant/school context + screen-specific filters/command payload; validate schema, effective references and request correlation/idempotency key for high-risk writes.</x:v>
      </x:c>
      <x:c r="I190" s="339" t="str">
        <x:v>Return authorized DTO with status/version, validation errors and correlation ID; never expose restricted fields.</x:v>
      </x:c>
      <x:c r="J190" s="339" t="str">
        <x:v>Transport Manager, School Admin</x:v>
      </x:c>
      <x:c r="K190" s="339" t="str">
        <x:v>Use optimistic concurrency/version checks for updates; idempotency for payments, admissions confirmation, bulk imports and other retry-prone commands.</x:v>
      </x:c>
      <x:c r="L190" s="339" t="str">
        <x:v>Publish domain events after successful commit when downstream modules/notifications depend on the change.</x:v>
      </x:c>
    </x:row>
    <x:row r="191">
      <x:c r="A191" s="339" t="str">
        <x:v>API-0190</x:v>
      </x:c>
      <x:c r="B191" s="339" t="str">
        <x:v>SCR-190</x:v>
      </x:c>
      <x:c r="C191" s="339" t="str">
        <x:v>Transport / Bus / GPS</x:v>
      </x:c>
      <x:c r="D191" s="339" t="str">
        <x:v>Create / Edit Route</x:v>
      </x:c>
      <x:c r="E191" s="339" t="str">
        <x:v>Transport Service</x:v>
      </x:c>
      <x:c r="F191" s="339" t="str">
        <x:v>/api/v1/transport/create-edit-route</x:v>
      </x:c>
      <x:c r="G191" s="339" t="str">
        <x:v>POST</x:v>
      </x:c>
      <x:c r="H191" s="339" t="str">
        <x:v>Tenant/school context + screen-specific filters/command payload; validate schema, effective references and request correlation/idempotency key for high-risk writes.</x:v>
      </x:c>
      <x:c r="I191" s="339" t="str">
        <x:v>Return authorized DTO with status/version, validation errors and correlation ID; never expose restricted fields.</x:v>
      </x:c>
      <x:c r="J191" s="339" t="str">
        <x:v>Transport Manager, School Admin</x:v>
      </x:c>
      <x:c r="K191" s="339" t="str">
        <x:v>Use optimistic concurrency/version checks for updates; idempotency for payments, admissions confirmation, bulk imports and other retry-prone commands.</x:v>
      </x:c>
      <x:c r="L191" s="339" t="str">
        <x:v>Publish domain events after successful commit when downstream modules/notifications depend on the change.</x:v>
      </x:c>
    </x:row>
    <x:row r="192">
      <x:c r="A192" s="339" t="str">
        <x:v>API-0191</x:v>
      </x:c>
      <x:c r="B192" s="339" t="str">
        <x:v>SCR-191</x:v>
      </x:c>
      <x:c r="C192" s="339" t="str">
        <x:v>Transport / Bus / GPS</x:v>
      </x:c>
      <x:c r="D192" s="339" t="str">
        <x:v>Stops</x:v>
      </x:c>
      <x:c r="E192" s="339" t="str">
        <x:v>Transport Service</x:v>
      </x:c>
      <x:c r="F192" s="339" t="str">
        <x:v>/api/v1/transport/stops</x:v>
      </x:c>
      <x:c r="G192" s="339" t="str">
        <x:v>GET + POST/PATCH</x:v>
      </x:c>
      <x:c r="H192" s="339" t="str">
        <x:v>Tenant/school context + screen-specific filters/command payload; validate schema, effective references and request correlation/idempotency key for high-risk writes.</x:v>
      </x:c>
      <x:c r="I192" s="339" t="str">
        <x:v>Return authorized DTO with status/version, validation errors and correlation ID; never expose restricted fields.</x:v>
      </x:c>
      <x:c r="J192" s="339" t="str">
        <x:v>Transport Manager, School Admin</x:v>
      </x:c>
      <x:c r="K192" s="339" t="str">
        <x:v>Use optimistic concurrency/version checks for updates; idempotency for payments, admissions confirmation, bulk imports and other retry-prone commands.</x:v>
      </x:c>
      <x:c r="L192" s="339" t="str">
        <x:v>Publish domain events after successful commit when downstream modules/notifications depend on the change.</x:v>
      </x:c>
    </x:row>
    <x:row r="193">
      <x:c r="A193" s="339" t="str">
        <x:v>API-0192</x:v>
      </x:c>
      <x:c r="B193" s="339" t="str">
        <x:v>SCR-192</x:v>
      </x:c>
      <x:c r="C193" s="339" t="str">
        <x:v>Transport / Bus / GPS</x:v>
      </x:c>
      <x:c r="D193" s="339" t="str">
        <x:v>Drivers &amp; Conductors</x:v>
      </x:c>
      <x:c r="E193" s="339" t="str">
        <x:v>Transport Service</x:v>
      </x:c>
      <x:c r="F193" s="339" t="str">
        <x:v>/api/v1/transport/drivers-conductors</x:v>
      </x:c>
      <x:c r="G193" s="339" t="str">
        <x:v>GET + POST/PATCH</x:v>
      </x:c>
      <x:c r="H193" s="339" t="str">
        <x:v>Tenant/school context + screen-specific filters/command payload; validate schema, effective references and request correlation/idempotency key for high-risk writes.</x:v>
      </x:c>
      <x:c r="I193" s="339" t="str">
        <x:v>Return authorized DTO with status/version, validation errors and correlation ID; never expose restricted fields.</x:v>
      </x:c>
      <x:c r="J193" s="339" t="str">
        <x:v>Transport Manager, School Admin</x:v>
      </x:c>
      <x:c r="K193" s="339" t="str">
        <x:v>Use optimistic concurrency/version checks for updates; idempotency for payments, admissions confirmation, bulk imports and other retry-prone commands.</x:v>
      </x:c>
      <x:c r="L193" s="339" t="str">
        <x:v>Publish domain events after successful commit when downstream modules/notifications depend on the change.</x:v>
      </x:c>
    </x:row>
    <x:row r="194">
      <x:c r="A194" s="339" t="str">
        <x:v>API-0193</x:v>
      </x:c>
      <x:c r="B194" s="339" t="str">
        <x:v>SCR-193</x:v>
      </x:c>
      <x:c r="C194" s="339" t="str">
        <x:v>Transport / Bus / GPS</x:v>
      </x:c>
      <x:c r="D194" s="339" t="str">
        <x:v>Student Route Assignment</x:v>
      </x:c>
      <x:c r="E194" s="339" t="str">
        <x:v>Transport Service</x:v>
      </x:c>
      <x:c r="F194" s="339" t="str">
        <x:v>/api/v1/transport/student-route-assignment</x:v>
      </x:c>
      <x:c r="G194" s="339" t="str">
        <x:v>PATCH/POST action</x:v>
      </x:c>
      <x:c r="H194" s="339" t="str">
        <x:v>Tenant/school context + screen-specific filters/command payload; validate schema, effective references and request correlation/idempotency key for high-risk writes.</x:v>
      </x:c>
      <x:c r="I194" s="339" t="str">
        <x:v>Return authorized DTO with status/version, validation errors and correlation ID; never expose restricted fields.</x:v>
      </x:c>
      <x:c r="J194" s="339" t="str">
        <x:v>Transport Manager, School Admin, Parent</x:v>
      </x:c>
      <x:c r="K194" s="339" t="str">
        <x:v>Use optimistic concurrency/version checks for updates; idempotency for payments, admissions confirmation, bulk imports and other retry-prone commands.</x:v>
      </x:c>
      <x:c r="L194" s="339" t="str">
        <x:v>Publish domain events after successful commit when downstream modules/notifications depend on the change.</x:v>
      </x:c>
    </x:row>
    <x:row r="195">
      <x:c r="A195" s="339" t="str">
        <x:v>API-0194</x:v>
      </x:c>
      <x:c r="B195" s="339" t="str">
        <x:v>SCR-194</x:v>
      </x:c>
      <x:c r="C195" s="339" t="str">
        <x:v>Transport / Bus / GPS</x:v>
      </x:c>
      <x:c r="D195" s="339" t="str">
        <x:v>Trip Sheet</x:v>
      </x:c>
      <x:c r="E195" s="339" t="str">
        <x:v>Transport Service</x:v>
      </x:c>
      <x:c r="F195" s="339" t="str">
        <x:v>/api/v1/transport/trip-sheet</x:v>
      </x:c>
      <x:c r="G195" s="339" t="str">
        <x:v>GET + POST/PATCH</x:v>
      </x:c>
      <x:c r="H195" s="339" t="str">
        <x:v>Tenant/school context + screen-specific filters/command payload; validate schema, effective references and request correlation/idempotency key for high-risk writes.</x:v>
      </x:c>
      <x:c r="I195" s="339" t="str">
        <x:v>Return authorized DTO with status/version, validation errors and correlation ID; never expose restricted fields.</x:v>
      </x:c>
      <x:c r="J195" s="339" t="str">
        <x:v>Transport Manager, School Admin</x:v>
      </x:c>
      <x:c r="K195" s="339" t="str">
        <x:v>Use optimistic concurrency/version checks for updates; idempotency for payments, admissions confirmation, bulk imports and other retry-prone commands.</x:v>
      </x:c>
      <x:c r="L195" s="339" t="str">
        <x:v>Publish domain events after successful commit when downstream modules/notifications depend on the change.</x:v>
      </x:c>
    </x:row>
    <x:row r="196">
      <x:c r="A196" s="339" t="str">
        <x:v>API-0195</x:v>
      </x:c>
      <x:c r="B196" s="339" t="str">
        <x:v>SCR-195</x:v>
      </x:c>
      <x:c r="C196" s="339" t="str">
        <x:v>Transport / Bus / GPS</x:v>
      </x:c>
      <x:c r="D196" s="339" t="str">
        <x:v>Live GPS Tracking</x:v>
      </x:c>
      <x:c r="E196" s="339" t="str">
        <x:v>Transport Service</x:v>
      </x:c>
      <x:c r="F196" s="339" t="str">
        <x:v>/api/v1/transport/live-gps-tracking</x:v>
      </x:c>
      <x:c r="G196" s="339" t="str">
        <x:v>GET + POST/PATCH</x:v>
      </x:c>
      <x:c r="H196" s="339" t="str">
        <x:v>Tenant/school context + screen-specific filters/command payload; validate schema, effective references and request correlation/idempotency key for high-risk writes.</x:v>
      </x:c>
      <x:c r="I196" s="339" t="str">
        <x:v>Return authorized DTO with status/version, validation errors and correlation ID; never expose restricted fields.</x:v>
      </x:c>
      <x:c r="J196" s="339" t="str">
        <x:v>Transport Manager, Driver / Conductor, Parent, School Admin</x:v>
      </x:c>
      <x:c r="K196" s="339" t="str">
        <x:v>Use optimistic concurrency/version checks for updates; idempotency for payments, admissions confirmation, bulk imports and other retry-prone commands.</x:v>
      </x:c>
      <x:c r="L196" s="339" t="str">
        <x:v>Publish domain events after successful commit when downstream modules/notifications depend on the change.</x:v>
      </x:c>
    </x:row>
    <x:row r="197">
      <x:c r="A197" s="339" t="str">
        <x:v>API-0196</x:v>
      </x:c>
      <x:c r="B197" s="339" t="str">
        <x:v>SCR-196</x:v>
      </x:c>
      <x:c r="C197" s="339" t="str">
        <x:v>Transport / Bus / GPS</x:v>
      </x:c>
      <x:c r="D197" s="339" t="str">
        <x:v>Boarding / Drop Attendance</x:v>
      </x:c>
      <x:c r="E197" s="339" t="str">
        <x:v>Transport Service</x:v>
      </x:c>
      <x:c r="F197" s="339" t="str">
        <x:v>/api/v1/transport/boarding-drop-attendance</x:v>
      </x:c>
      <x:c r="G197" s="339" t="str">
        <x:v>GET + POST/PATCH</x:v>
      </x:c>
      <x:c r="H197" s="339" t="str">
        <x:v>Tenant/school context + screen-specific filters/command payload; validate schema, effective references and request correlation/idempotency key for high-risk writes.</x:v>
      </x:c>
      <x:c r="I197" s="339" t="str">
        <x:v>Return authorized DTO with status/version, validation errors and correlation ID; never expose restricted fields.</x:v>
      </x:c>
      <x:c r="J197" s="339" t="str">
        <x:v>Transport Manager, Driver / Conductor, Parent, School Admin</x:v>
      </x:c>
      <x:c r="K197" s="339" t="str">
        <x:v>Use optimistic concurrency/version checks for updates; idempotency for payments, admissions confirmation, bulk imports and other retry-prone commands.</x:v>
      </x:c>
      <x:c r="L197" s="339" t="str">
        <x:v>Publish domain events after successful commit when downstream modules/notifications depend on the change.</x:v>
      </x:c>
    </x:row>
    <x:row r="198">
      <x:c r="A198" s="339" t="str">
        <x:v>API-0197</x:v>
      </x:c>
      <x:c r="B198" s="339" t="str">
        <x:v>SCR-197</x:v>
      </x:c>
      <x:c r="C198" s="339" t="str">
        <x:v>Transport / Bus / GPS</x:v>
      </x:c>
      <x:c r="D198" s="339" t="str">
        <x:v>Vehicle Maintenance &amp; Fuel</x:v>
      </x:c>
      <x:c r="E198" s="339" t="str">
        <x:v>Transport Service</x:v>
      </x:c>
      <x:c r="F198" s="339" t="str">
        <x:v>/api/v1/transport/vehicle-maintenance-fuel</x:v>
      </x:c>
      <x:c r="G198" s="339" t="str">
        <x:v>GET + POST/PATCH</x:v>
      </x:c>
      <x:c r="H198" s="339" t="str">
        <x:v>Tenant/school context + screen-specific filters/command payload; validate schema, effective references and request correlation/idempotency key for high-risk writes.</x:v>
      </x:c>
      <x:c r="I198" s="339" t="str">
        <x:v>Return authorized DTO with status/version, validation errors and correlation ID; never expose restricted fields.</x:v>
      </x:c>
      <x:c r="J198" s="339" t="str">
        <x:v>Transport Manager, School Admin</x:v>
      </x:c>
      <x:c r="K198" s="339" t="str">
        <x:v>Use optimistic concurrency/version checks for updates; idempotency for payments, admissions confirmation, bulk imports and other retry-prone commands.</x:v>
      </x:c>
      <x:c r="L198" s="339" t="str">
        <x:v>Publish domain events after successful commit when downstream modules/notifications depend on the change.</x:v>
      </x:c>
    </x:row>
    <x:row r="199">
      <x:c r="A199" s="339" t="str">
        <x:v>API-0198</x:v>
      </x:c>
      <x:c r="B199" s="339" t="str">
        <x:v>SCR-198</x:v>
      </x:c>
      <x:c r="C199" s="339" t="str">
        <x:v>Library</x:v>
      </x:c>
      <x:c r="D199" s="339" t="str">
        <x:v>Library Catalogue</x:v>
      </x:c>
      <x:c r="E199" s="339" t="str">
        <x:v>Library Service</x:v>
      </x:c>
      <x:c r="F199" s="339" t="str">
        <x:v>/api/v1/library/library-catalogue</x:v>
      </x:c>
      <x:c r="G199" s="339" t="str">
        <x:v>GET + POST/PATCH actions</x:v>
      </x:c>
      <x:c r="H199" s="339" t="str">
        <x:v>Tenant/school context + screen-specific filters/command payload; validate schema, effective references and request correlation/idempotency key for high-risk writes.</x:v>
      </x:c>
      <x:c r="I199" s="339" t="str">
        <x:v>Return authorized DTO with status/version, validation errors and correlation ID; never expose restricted fields.</x:v>
      </x:c>
      <x:c r="J199" s="339" t="str">
        <x:v>Librarian, Student, Teacher, School Admin</x:v>
      </x:c>
      <x:c r="K199" s="339" t="str">
        <x:v>Use optimistic concurrency/version checks for updates; idempotency for payments, admissions confirmation, bulk imports and other retry-prone commands.</x:v>
      </x:c>
      <x:c r="L199" s="339" t="str">
        <x:v>Publish domain events after successful commit when downstream modules/notifications depend on the change.</x:v>
      </x:c>
    </x:row>
    <x:row r="200">
      <x:c r="A200" s="339" t="str">
        <x:v>API-0199</x:v>
      </x:c>
      <x:c r="B200" s="339" t="str">
        <x:v>SCR-199</x:v>
      </x:c>
      <x:c r="C200" s="339" t="str">
        <x:v>Library</x:v>
      </x:c>
      <x:c r="D200" s="339" t="str">
        <x:v>Add / Edit Book</x:v>
      </x:c>
      <x:c r="E200" s="339" t="str">
        <x:v>Library Service</x:v>
      </x:c>
      <x:c r="F200" s="339" t="str">
        <x:v>/api/v1/library/add-edit-book</x:v>
      </x:c>
      <x:c r="G200" s="339" t="str">
        <x:v>POST</x:v>
      </x:c>
      <x:c r="H200" s="339" t="str">
        <x:v>Tenant/school context + screen-specific filters/command payload; validate schema, effective references and request correlation/idempotency key for high-risk writes.</x:v>
      </x:c>
      <x:c r="I200" s="339" t="str">
        <x:v>Return authorized DTO with status/version, validation errors and correlation ID; never expose restricted fields.</x:v>
      </x:c>
      <x:c r="J200" s="339" t="str">
        <x:v>Librarian, School Admin, Teacher, Student</x:v>
      </x:c>
      <x:c r="K200" s="339" t="str">
        <x:v>Use optimistic concurrency/version checks for updates; idempotency for payments, admissions confirmation, bulk imports and other retry-prone commands.</x:v>
      </x:c>
      <x:c r="L200" s="339" t="str">
        <x:v>Publish domain events after successful commit when downstream modules/notifications depend on the change.</x:v>
      </x:c>
    </x:row>
    <x:row r="201">
      <x:c r="A201" s="339" t="str">
        <x:v>API-0200</x:v>
      </x:c>
      <x:c r="B201" s="339" t="str">
        <x:v>SCR-200</x:v>
      </x:c>
      <x:c r="C201" s="339" t="str">
        <x:v>Library</x:v>
      </x:c>
      <x:c r="D201" s="339" t="str">
        <x:v>Book Details &amp; Copies</x:v>
      </x:c>
      <x:c r="E201" s="339" t="str">
        <x:v>Library Service</x:v>
      </x:c>
      <x:c r="F201" s="339" t="str">
        <x:v>/api/v1/library/book-details-copies</x:v>
      </x:c>
      <x:c r="G201" s="339" t="str">
        <x:v>GET + PATCH</x:v>
      </x:c>
      <x:c r="H201" s="339" t="str">
        <x:v>Tenant/school context + screen-specific filters/command payload; validate schema, effective references and request correlation/idempotency key for high-risk writes.</x:v>
      </x:c>
      <x:c r="I201" s="339" t="str">
        <x:v>Return authorized DTO with status/version, validation errors and correlation ID; never expose restricted fields.</x:v>
      </x:c>
      <x:c r="J201" s="339" t="str">
        <x:v>Librarian, School Admin, Teacher, Student</x:v>
      </x:c>
      <x:c r="K201" s="339" t="str">
        <x:v>Use optimistic concurrency/version checks for updates; idempotency for payments, admissions confirmation, bulk imports and other retry-prone commands.</x:v>
      </x:c>
      <x:c r="L201" s="339" t="str">
        <x:v>Publish domain events after successful commit when downstream modules/notifications depend on the change.</x:v>
      </x:c>
    </x:row>
    <x:row r="202">
      <x:c r="A202" s="339" t="str">
        <x:v>API-0201</x:v>
      </x:c>
      <x:c r="B202" s="339" t="str">
        <x:v>SCR-201</x:v>
      </x:c>
      <x:c r="C202" s="339" t="str">
        <x:v>Library</x:v>
      </x:c>
      <x:c r="D202" s="339" t="str">
        <x:v>Library Members</x:v>
      </x:c>
      <x:c r="E202" s="339" t="str">
        <x:v>Library Service</x:v>
      </x:c>
      <x:c r="F202" s="339" t="str">
        <x:v>/api/v1/library/library-members</x:v>
      </x:c>
      <x:c r="G202" s="339" t="str">
        <x:v>GET + POST/PATCH actions</x:v>
      </x:c>
      <x:c r="H202" s="339" t="str">
        <x:v>Tenant/school context + screen-specific filters/command payload; validate schema, effective references and request correlation/idempotency key for high-risk writes.</x:v>
      </x:c>
      <x:c r="I202" s="339" t="str">
        <x:v>Return authorized DTO with status/version, validation errors and correlation ID; never expose restricted fields.</x:v>
      </x:c>
      <x:c r="J202" s="339" t="str">
        <x:v>Librarian, School Admin, Teacher, Student</x:v>
      </x:c>
      <x:c r="K202" s="339" t="str">
        <x:v>Use optimistic concurrency/version checks for updates; idempotency for payments, admissions confirmation, bulk imports and other retry-prone commands.</x:v>
      </x:c>
      <x:c r="L202" s="339" t="str">
        <x:v>Publish domain events after successful commit when downstream modules/notifications depend on the change.</x:v>
      </x:c>
    </x:row>
    <x:row r="203">
      <x:c r="A203" s="339" t="str">
        <x:v>API-0202</x:v>
      </x:c>
      <x:c r="B203" s="339" t="str">
        <x:v>SCR-202</x:v>
      </x:c>
      <x:c r="C203" s="339" t="str">
        <x:v>Library</x:v>
      </x:c>
      <x:c r="D203" s="339" t="str">
        <x:v>Issue Book</x:v>
      </x:c>
      <x:c r="E203" s="339" t="str">
        <x:v>Library Service</x:v>
      </x:c>
      <x:c r="F203" s="339" t="str">
        <x:v>/api/v1/library/issue-book</x:v>
      </x:c>
      <x:c r="G203" s="339" t="str">
        <x:v>GET + POST/PATCH</x:v>
      </x:c>
      <x:c r="H203" s="339" t="str">
        <x:v>Tenant/school context + screen-specific filters/command payload; validate schema, effective references and request correlation/idempotency key for high-risk writes.</x:v>
      </x:c>
      <x:c r="I203" s="339" t="str">
        <x:v>Return authorized DTO with status/version, validation errors and correlation ID; never expose restricted fields.</x:v>
      </x:c>
      <x:c r="J203" s="339" t="str">
        <x:v>Librarian, Student, Teacher</x:v>
      </x:c>
      <x:c r="K203" s="339" t="str">
        <x:v>Use optimistic concurrency/version checks for updates; idempotency for payments, admissions confirmation, bulk imports and other retry-prone commands.</x:v>
      </x:c>
      <x:c r="L203" s="339" t="str">
        <x:v>Publish domain events after successful commit when downstream modules/notifications depend on the change.</x:v>
      </x:c>
    </x:row>
    <x:row r="204">
      <x:c r="A204" s="339" t="str">
        <x:v>API-0203</x:v>
      </x:c>
      <x:c r="B204" s="339" t="str">
        <x:v>SCR-203</x:v>
      </x:c>
      <x:c r="C204" s="339" t="str">
        <x:v>Library</x:v>
      </x:c>
      <x:c r="D204" s="339" t="str">
        <x:v>Return Book</x:v>
      </x:c>
      <x:c r="E204" s="339" t="str">
        <x:v>Library Service</x:v>
      </x:c>
      <x:c r="F204" s="339" t="str">
        <x:v>/api/v1/library/return-book</x:v>
      </x:c>
      <x:c r="G204" s="339" t="str">
        <x:v>PATCH/POST action</x:v>
      </x:c>
      <x:c r="H204" s="339" t="str">
        <x:v>Tenant/school context + screen-specific filters/command payload; validate schema, effective references and request correlation/idempotency key for high-risk writes.</x:v>
      </x:c>
      <x:c r="I204" s="339" t="str">
        <x:v>Return authorized DTO with status/version, validation errors and correlation ID; never expose restricted fields.</x:v>
      </x:c>
      <x:c r="J204" s="339" t="str">
        <x:v>Librarian, Student, Teacher</x:v>
      </x:c>
      <x:c r="K204" s="339" t="str">
        <x:v>Use optimistic concurrency/version checks for updates; idempotency for payments, admissions confirmation, bulk imports and other retry-prone commands.</x:v>
      </x:c>
      <x:c r="L204" s="339" t="str">
        <x:v>Publish domain events after successful commit when downstream modules/notifications depend on the change.</x:v>
      </x:c>
    </x:row>
    <x:row r="205">
      <x:c r="A205" s="339" t="str">
        <x:v>API-0204</x:v>
      </x:c>
      <x:c r="B205" s="339" t="str">
        <x:v>SCR-204</x:v>
      </x:c>
      <x:c r="C205" s="339" t="str">
        <x:v>Library</x:v>
      </x:c>
      <x:c r="D205" s="339" t="str">
        <x:v>Renew / Reserve Book</x:v>
      </x:c>
      <x:c r="E205" s="339" t="str">
        <x:v>Library Service</x:v>
      </x:c>
      <x:c r="F205" s="339" t="str">
        <x:v>/api/v1/library/renew-reserve-book</x:v>
      </x:c>
      <x:c r="G205" s="339" t="str">
        <x:v>POST</x:v>
      </x:c>
      <x:c r="H205" s="339" t="str">
        <x:v>Tenant/school context + screen-specific filters/command payload; validate schema, effective references and request correlation/idempotency key for high-risk writes.</x:v>
      </x:c>
      <x:c r="I205" s="339" t="str">
        <x:v>Return authorized DTO with status/version, validation errors and correlation ID; never expose restricted fields.</x:v>
      </x:c>
      <x:c r="J205" s="339" t="str">
        <x:v>Librarian, Student, Teacher</x:v>
      </x:c>
      <x:c r="K205" s="339" t="str">
        <x:v>Use optimistic concurrency/version checks for updates; idempotency for payments, admissions confirmation, bulk imports and other retry-prone commands.</x:v>
      </x:c>
      <x:c r="L205" s="339" t="str">
        <x:v>Publish domain events after successful commit when downstream modules/notifications depend on the change.</x:v>
      </x:c>
    </x:row>
    <x:row r="206">
      <x:c r="A206" s="339" t="str">
        <x:v>API-0205</x:v>
      </x:c>
      <x:c r="B206" s="339" t="str">
        <x:v>SCR-205</x:v>
      </x:c>
      <x:c r="C206" s="339" t="str">
        <x:v>Library</x:v>
      </x:c>
      <x:c r="D206" s="339" t="str">
        <x:v>Fine / Lost / Damaged Book</x:v>
      </x:c>
      <x:c r="E206" s="339" t="str">
        <x:v>Library Service</x:v>
      </x:c>
      <x:c r="F206" s="339" t="str">
        <x:v>/api/v1/library/fine-lost-damaged-book</x:v>
      </x:c>
      <x:c r="G206" s="339" t="str">
        <x:v>GET + POST/PATCH</x:v>
      </x:c>
      <x:c r="H206" s="339" t="str">
        <x:v>Tenant/school context + screen-specific filters/command payload; validate schema, effective references and request correlation/idempotency key for high-risk writes.</x:v>
      </x:c>
      <x:c r="I206" s="339" t="str">
        <x:v>Return authorized DTO with status/version, validation errors and correlation ID; never expose restricted fields.</x:v>
      </x:c>
      <x:c r="J206" s="339" t="str">
        <x:v>Librarian, Student, Teacher</x:v>
      </x:c>
      <x:c r="K206" s="339" t="str">
        <x:v>Use optimistic concurrency/version checks for updates; idempotency for payments, admissions confirmation, bulk imports and other retry-prone commands.</x:v>
      </x:c>
      <x:c r="L206" s="339" t="str">
        <x:v>Publish domain events after successful commit when downstream modules/notifications depend on the change.</x:v>
      </x:c>
    </x:row>
    <x:row r="207">
      <x:c r="A207" s="339" t="str">
        <x:v>API-0206</x:v>
      </x:c>
      <x:c r="B207" s="339" t="str">
        <x:v>SCR-206</x:v>
      </x:c>
      <x:c r="C207" s="339" t="str">
        <x:v>Library</x:v>
      </x:c>
      <x:c r="D207" s="339" t="str">
        <x:v>Digital Library</x:v>
      </x:c>
      <x:c r="E207" s="339" t="str">
        <x:v>Library Service</x:v>
      </x:c>
      <x:c r="F207" s="339" t="str">
        <x:v>/api/v1/library/digital-library</x:v>
      </x:c>
      <x:c r="G207" s="339" t="str">
        <x:v>GET + POST/PATCH</x:v>
      </x:c>
      <x:c r="H207" s="339" t="str">
        <x:v>Tenant/school context + screen-specific filters/command payload; validate schema, effective references and request correlation/idempotency key for high-risk writes.</x:v>
      </x:c>
      <x:c r="I207" s="339" t="str">
        <x:v>Return authorized DTO with status/version, validation errors and correlation ID; never expose restricted fields.</x:v>
      </x:c>
      <x:c r="J207" s="339" t="str">
        <x:v>Librarian, Student, Teacher, School Admin</x:v>
      </x:c>
      <x:c r="K207" s="339" t="str">
        <x:v>Use optimistic concurrency/version checks for updates; idempotency for payments, admissions confirmation, bulk imports and other retry-prone commands.</x:v>
      </x:c>
      <x:c r="L207" s="339" t="str">
        <x:v>Publish domain events after successful commit when downstream modules/notifications depend on the change.</x:v>
      </x:c>
    </x:row>
    <x:row r="208">
      <x:c r="A208" s="339" t="str">
        <x:v>API-0207</x:v>
      </x:c>
      <x:c r="B208" s="339" t="str">
        <x:v>SCR-207</x:v>
      </x:c>
      <x:c r="C208" s="339" t="str">
        <x:v>Library</x:v>
      </x:c>
      <x:c r="D208" s="339" t="str">
        <x:v>Library Reports</x:v>
      </x:c>
      <x:c r="E208" s="339" t="str">
        <x:v>Library Service</x:v>
      </x:c>
      <x:c r="F208" s="339" t="str">
        <x:v>/api/v1/library/library-reports</x:v>
      </x:c>
      <x:c r="G208" s="339" t="str">
        <x:v>GET</x:v>
      </x:c>
      <x:c r="H208" s="339" t="str">
        <x:v>Tenant/school context + screen-specific filters/command payload; validate schema, effective references and request correlation/idempotency key for high-risk writes.</x:v>
      </x:c>
      <x:c r="I208" s="339" t="str">
        <x:v>Return authorized DTO with status/version, validation errors and correlation ID; never expose restricted fields.</x:v>
      </x:c>
      <x:c r="J208" s="339" t="str">
        <x:v>Librarian, School Admin, Teacher, Student</x:v>
      </x:c>
      <x:c r="K208" s="339" t="str">
        <x:v>Use optimistic concurrency/version checks for updates; idempotency for payments, admissions confirmation, bulk imports and other retry-prone commands.</x:v>
      </x:c>
      <x:c r="L208" s="339" t="str">
        <x:v>Publish domain events after successful commit when downstream modules/notifications depend on the change.</x:v>
      </x:c>
    </x:row>
    <x:row r="209">
      <x:c r="A209" s="339" t="str">
        <x:v>API-0208</x:v>
      </x:c>
      <x:c r="B209" s="339" t="str">
        <x:v>SCR-208</x:v>
      </x:c>
      <x:c r="C209" s="339" t="str">
        <x:v>Hostel</x:v>
      </x:c>
      <x:c r="D209" s="339" t="str">
        <x:v>Hostels / Buildings</x:v>
      </x:c>
      <x:c r="E209" s="339" t="str">
        <x:v>Hostel Service</x:v>
      </x:c>
      <x:c r="F209" s="339" t="str">
        <x:v>/api/v1/hostel/hostels-buildings</x:v>
      </x:c>
      <x:c r="G209" s="339" t="str">
        <x:v>GET + POST/PATCH</x:v>
      </x:c>
      <x:c r="H209" s="339" t="str">
        <x:v>Tenant/school context + screen-specific filters/command payload; validate schema, effective references and request correlation/idempotency key for high-risk writes.</x:v>
      </x:c>
      <x:c r="I209" s="339" t="str">
        <x:v>Return authorized DTO with status/version, validation errors and correlation ID; never expose restricted fields.</x:v>
      </x:c>
      <x:c r="J209" s="339" t="str">
        <x:v>Hostel Warden, School Admin, Parent, Student</x:v>
      </x:c>
      <x:c r="K209" s="339" t="str">
        <x:v>Use optimistic concurrency/version checks for updates; idempotency for payments, admissions confirmation, bulk imports and other retry-prone commands.</x:v>
      </x:c>
      <x:c r="L209" s="339" t="str">
        <x:v>Publish domain events after successful commit when downstream modules/notifications depend on the change.</x:v>
      </x:c>
    </x:row>
    <x:row r="210">
      <x:c r="A210" s="339" t="str">
        <x:v>API-0209</x:v>
      </x:c>
      <x:c r="B210" s="339" t="str">
        <x:v>SCR-209</x:v>
      </x:c>
      <x:c r="C210" s="339" t="str">
        <x:v>Hostel</x:v>
      </x:c>
      <x:c r="D210" s="339" t="str">
        <x:v>Rooms &amp; Beds</x:v>
      </x:c>
      <x:c r="E210" s="339" t="str">
        <x:v>Hostel Service</x:v>
      </x:c>
      <x:c r="F210" s="339" t="str">
        <x:v>/api/v1/hostel/rooms-beds</x:v>
      </x:c>
      <x:c r="G210" s="339" t="str">
        <x:v>GET + POST/PATCH</x:v>
      </x:c>
      <x:c r="H210" s="339" t="str">
        <x:v>Tenant/school context + screen-specific filters/command payload; validate schema, effective references and request correlation/idempotency key for high-risk writes.</x:v>
      </x:c>
      <x:c r="I210" s="339" t="str">
        <x:v>Return authorized DTO with status/version, validation errors and correlation ID; never expose restricted fields.</x:v>
      </x:c>
      <x:c r="J210" s="339" t="str">
        <x:v>Hostel Warden, School Admin, Parent, Student</x:v>
      </x:c>
      <x:c r="K210" s="339" t="str">
        <x:v>Use optimistic concurrency/version checks for updates; idempotency for payments, admissions confirmation, bulk imports and other retry-prone commands.</x:v>
      </x:c>
      <x:c r="L210" s="339" t="str">
        <x:v>Publish domain events after successful commit when downstream modules/notifications depend on the change.</x:v>
      </x:c>
    </x:row>
    <x:row r="211">
      <x:c r="A211" s="339" t="str">
        <x:v>API-0210</x:v>
      </x:c>
      <x:c r="B211" s="339" t="str">
        <x:v>SCR-210</x:v>
      </x:c>
      <x:c r="C211" s="339" t="str">
        <x:v>Hostel</x:v>
      </x:c>
      <x:c r="D211" s="339" t="str">
        <x:v>Student Hostel Allocation</x:v>
      </x:c>
      <x:c r="E211" s="339" t="str">
        <x:v>Hostel Service</x:v>
      </x:c>
      <x:c r="F211" s="339" t="str">
        <x:v>/api/v1/hostel/student-hostel-allocation</x:v>
      </x:c>
      <x:c r="G211" s="339" t="str">
        <x:v>GET + POST/PATCH</x:v>
      </x:c>
      <x:c r="H211" s="339" t="str">
        <x:v>Tenant/school context + screen-specific filters/command payload; validate schema, effective references and request correlation/idempotency key for high-risk writes.</x:v>
      </x:c>
      <x:c r="I211" s="339" t="str">
        <x:v>Return authorized DTO with status/version, validation errors and correlation ID; never expose restricted fields.</x:v>
      </x:c>
      <x:c r="J211" s="339" t="str">
        <x:v>Hostel Warden, School Admin, Parent, Student</x:v>
      </x:c>
      <x:c r="K211" s="339" t="str">
        <x:v>Use optimistic concurrency/version checks for updates; idempotency for payments, admissions confirmation, bulk imports and other retry-prone commands.</x:v>
      </x:c>
      <x:c r="L211" s="339" t="str">
        <x:v>Publish domain events after successful commit when downstream modules/notifications depend on the change.</x:v>
      </x:c>
    </x:row>
    <x:row r="212">
      <x:c r="A212" s="339" t="str">
        <x:v>API-0211</x:v>
      </x:c>
      <x:c r="B212" s="339" t="str">
        <x:v>SCR-211</x:v>
      </x:c>
      <x:c r="C212" s="339" t="str">
        <x:v>Hostel</x:v>
      </x:c>
      <x:c r="D212" s="339" t="str">
        <x:v>Warden Management</x:v>
      </x:c>
      <x:c r="E212" s="339" t="str">
        <x:v>Hostel Service</x:v>
      </x:c>
      <x:c r="F212" s="339" t="str">
        <x:v>/api/v1/hostel/warden-management</x:v>
      </x:c>
      <x:c r="G212" s="339" t="str">
        <x:v>GET + POST/PATCH</x:v>
      </x:c>
      <x:c r="H212" s="339" t="str">
        <x:v>Tenant/school context + screen-specific filters/command payload; validate schema, effective references and request correlation/idempotency key for high-risk writes.</x:v>
      </x:c>
      <x:c r="I212" s="339" t="str">
        <x:v>Return authorized DTO with status/version, validation errors and correlation ID; never expose restricted fields.</x:v>
      </x:c>
      <x:c r="J212" s="339" t="str">
        <x:v>Hostel Warden, School Admin, Parent, Student</x:v>
      </x:c>
      <x:c r="K212" s="339" t="str">
        <x:v>Use optimistic concurrency/version checks for updates; idempotency for payments, admissions confirmation, bulk imports and other retry-prone commands.</x:v>
      </x:c>
      <x:c r="L212" s="339" t="str">
        <x:v>Publish domain events after successful commit when downstream modules/notifications depend on the change.</x:v>
      </x:c>
    </x:row>
    <x:row r="213">
      <x:c r="A213" s="339" t="str">
        <x:v>API-0212</x:v>
      </x:c>
      <x:c r="B213" s="339" t="str">
        <x:v>SCR-212</x:v>
      </x:c>
      <x:c r="C213" s="339" t="str">
        <x:v>Hostel</x:v>
      </x:c>
      <x:c r="D213" s="339" t="str">
        <x:v>Hostel Attendance</x:v>
      </x:c>
      <x:c r="E213" s="339" t="str">
        <x:v>Hostel Service</x:v>
      </x:c>
      <x:c r="F213" s="339" t="str">
        <x:v>/api/v1/hostel/hostel-attendance</x:v>
      </x:c>
      <x:c r="G213" s="339" t="str">
        <x:v>GET + POST/PATCH</x:v>
      </x:c>
      <x:c r="H213" s="339" t="str">
        <x:v>Tenant/school context + screen-specific filters/command payload; validate schema, effective references and request correlation/idempotency key for high-risk writes.</x:v>
      </x:c>
      <x:c r="I213" s="339" t="str">
        <x:v>Return authorized DTO with status/version, validation errors and correlation ID; never expose restricted fields.</x:v>
      </x:c>
      <x:c r="J213" s="339" t="str">
        <x:v>Hostel Warden, School Admin, Parent, Student</x:v>
      </x:c>
      <x:c r="K213" s="339" t="str">
        <x:v>Use optimistic concurrency/version checks for updates; idempotency for payments, admissions confirmation, bulk imports and other retry-prone commands.</x:v>
      </x:c>
      <x:c r="L213" s="339" t="str">
        <x:v>Publish domain events after successful commit when downstream modules/notifications depend on the change.</x:v>
      </x:c>
    </x:row>
    <x:row r="214">
      <x:c r="A214" s="339" t="str">
        <x:v>API-0213</x:v>
      </x:c>
      <x:c r="B214" s="339" t="str">
        <x:v>SCR-213</x:v>
      </x:c>
      <x:c r="C214" s="339" t="str">
        <x:v>Hostel</x:v>
      </x:c>
      <x:c r="D214" s="339" t="str">
        <x:v>Leave / Outing</x:v>
      </x:c>
      <x:c r="E214" s="339" t="str">
        <x:v>Hostel Service</x:v>
      </x:c>
      <x:c r="F214" s="339" t="str">
        <x:v>/api/v1/hostel/leave-outing</x:v>
      </x:c>
      <x:c r="G214" s="339" t="str">
        <x:v>GET + POST/PATCH</x:v>
      </x:c>
      <x:c r="H214" s="339" t="str">
        <x:v>Tenant/school context + screen-specific filters/command payload; validate schema, effective references and request correlation/idempotency key for high-risk writes.</x:v>
      </x:c>
      <x:c r="I214" s="339" t="str">
        <x:v>Return authorized DTO with status/version, validation errors and correlation ID; never expose restricted fields.</x:v>
      </x:c>
      <x:c r="J214" s="339" t="str">
        <x:v>Hostel Warden, School Admin, Parent, Student</x:v>
      </x:c>
      <x:c r="K214" s="339" t="str">
        <x:v>Use optimistic concurrency/version checks for updates; idempotency for payments, admissions confirmation, bulk imports and other retry-prone commands.</x:v>
      </x:c>
      <x:c r="L214" s="339" t="str">
        <x:v>Publish domain events after successful commit when downstream modules/notifications depend on the change.</x:v>
      </x:c>
    </x:row>
    <x:row r="215">
      <x:c r="A215" s="339" t="str">
        <x:v>API-0214</x:v>
      </x:c>
      <x:c r="B215" s="339" t="str">
        <x:v>SCR-214</x:v>
      </x:c>
      <x:c r="C215" s="339" t="str">
        <x:v>Hostel</x:v>
      </x:c>
      <x:c r="D215" s="339" t="str">
        <x:v>Mess / Meal Schedule</x:v>
      </x:c>
      <x:c r="E215" s="339" t="str">
        <x:v>Hostel Service</x:v>
      </x:c>
      <x:c r="F215" s="339" t="str">
        <x:v>/api/v1/hostel/mess-meal-schedule</x:v>
      </x:c>
      <x:c r="G215" s="339" t="str">
        <x:v>GET + POST/PATCH</x:v>
      </x:c>
      <x:c r="H215" s="339" t="str">
        <x:v>Tenant/school context + screen-specific filters/command payload; validate schema, effective references and request correlation/idempotency key for high-risk writes.</x:v>
      </x:c>
      <x:c r="I215" s="339" t="str">
        <x:v>Return authorized DTO with status/version, validation errors and correlation ID; never expose restricted fields.</x:v>
      </x:c>
      <x:c r="J215" s="339" t="str">
        <x:v>Hostel Warden, School Admin, Parent, Student</x:v>
      </x:c>
      <x:c r="K215" s="339" t="str">
        <x:v>Use optimistic concurrency/version checks for updates; idempotency for payments, admissions confirmation, bulk imports and other retry-prone commands.</x:v>
      </x:c>
      <x:c r="L215" s="339" t="str">
        <x:v>Publish domain events after successful commit when downstream modules/notifications depend on the change.</x:v>
      </x:c>
    </x:row>
    <x:row r="216">
      <x:c r="A216" s="339" t="str">
        <x:v>API-0215</x:v>
      </x:c>
      <x:c r="B216" s="339" t="str">
        <x:v>SCR-215</x:v>
      </x:c>
      <x:c r="C216" s="339" t="str">
        <x:v>Hostel</x:v>
      </x:c>
      <x:c r="D216" s="339" t="str">
        <x:v>Hostel Complaints &amp; Fees</x:v>
      </x:c>
      <x:c r="E216" s="339" t="str">
        <x:v>Hostel Service</x:v>
      </x:c>
      <x:c r="F216" s="339" t="str">
        <x:v>/api/v1/hostel/hostel-complaints-fees</x:v>
      </x:c>
      <x:c r="G216" s="339" t="str">
        <x:v>GET + POST/PATCH</x:v>
      </x:c>
      <x:c r="H216" s="339" t="str">
        <x:v>Tenant/school context + screen-specific filters/command payload; validate schema, effective references and request correlation/idempotency key for high-risk writes.</x:v>
      </x:c>
      <x:c r="I216" s="339" t="str">
        <x:v>Return authorized DTO with status/version, validation errors and correlation ID; never expose restricted fields.</x:v>
      </x:c>
      <x:c r="J216" s="339" t="str">
        <x:v>Hostel Warden, School Admin, Parent, Student</x:v>
      </x:c>
      <x:c r="K216" s="339" t="str">
        <x:v>Use optimistic concurrency/version checks for updates; idempotency for payments, admissions confirmation, bulk imports and other retry-prone commands.</x:v>
      </x:c>
      <x:c r="L216" s="339" t="str">
        <x:v>Publish domain events after successful commit when downstream modules/notifications depend on the change.</x:v>
      </x:c>
    </x:row>
    <x:row r="217">
      <x:c r="A217" s="339" t="str">
        <x:v>API-0216</x:v>
      </x:c>
      <x:c r="B217" s="339" t="str">
        <x:v>SCR-216</x:v>
      </x:c>
      <x:c r="C217" s="339" t="str">
        <x:v>Health / Counselling / Discipline</x:v>
      </x:c>
      <x:c r="D217" s="339" t="str">
        <x:v>Health Dashboard</x:v>
      </x:c>
      <x:c r="E217" s="339" t="str">
        <x:v>Student Wellbeing Service</x:v>
      </x:c>
      <x:c r="F217" s="339" t="str">
        <x:v>/api/v1/health/health-dashboard</x:v>
      </x:c>
      <x:c r="G217" s="339" t="str">
        <x:v>GET</x:v>
      </x:c>
      <x:c r="H217" s="339" t="str">
        <x:v>Tenant/school context + screen-specific filters/command payload; validate schema, effective references and request correlation/idempotency key for high-risk writes.</x:v>
      </x:c>
      <x:c r="I217" s="339" t="str">
        <x:v>Return authorized DTO with status/version, validation errors and correlation ID; never expose restricted fields.</x:v>
      </x:c>
      <x:c r="J217" s="339" t="str">
        <x:v>Nurse / Medical Officer, Counsellor, School Admin, Principal, Parent</x:v>
      </x:c>
      <x:c r="K217" s="339" t="str">
        <x:v>Use optimistic concurrency/version checks for updates; idempotency for payments, admissions confirmation, bulk imports and other retry-prone commands.</x:v>
      </x:c>
      <x:c r="L217" s="339" t="str">
        <x:v>Publish domain events after successful commit when downstream modules/notifications depend on the change.</x:v>
      </x:c>
    </x:row>
    <x:row r="218">
      <x:c r="A218" s="339" t="str">
        <x:v>API-0217</x:v>
      </x:c>
      <x:c r="B218" s="339" t="str">
        <x:v>SCR-217</x:v>
      </x:c>
      <x:c r="C218" s="339" t="str">
        <x:v>Health / Counselling / Discipline</x:v>
      </x:c>
      <x:c r="D218" s="339" t="str">
        <x:v>Student Medical Profile</x:v>
      </x:c>
      <x:c r="E218" s="339" t="str">
        <x:v>Student Wellbeing Service</x:v>
      </x:c>
      <x:c r="F218" s="339" t="str">
        <x:v>/api/v1/health/student-medical-profile</x:v>
      </x:c>
      <x:c r="G218" s="339" t="str">
        <x:v>GET + PATCH</x:v>
      </x:c>
      <x:c r="H218" s="339" t="str">
        <x:v>Tenant/school context + screen-specific filters/command payload; validate schema, effective references and request correlation/idempotency key for high-risk writes.</x:v>
      </x:c>
      <x:c r="I218" s="339" t="str">
        <x:v>Return authorized DTO with status/version, validation errors and correlation ID; never expose restricted fields.</x:v>
      </x:c>
      <x:c r="J218" s="339" t="str">
        <x:v>Nurse / Medical Officer, Counsellor, School Admin, Principal, Parent</x:v>
      </x:c>
      <x:c r="K218" s="339" t="str">
        <x:v>Use optimistic concurrency/version checks for updates; idempotency for payments, admissions confirmation, bulk imports and other retry-prone commands.</x:v>
      </x:c>
      <x:c r="L218" s="339" t="str">
        <x:v>Publish domain events after successful commit when downstream modules/notifications depend on the change.</x:v>
      </x:c>
    </x:row>
    <x:row r="219">
      <x:c r="A219" s="339" t="str">
        <x:v>API-0218</x:v>
      </x:c>
      <x:c r="B219" s="339" t="str">
        <x:v>SCR-218</x:v>
      </x:c>
      <x:c r="C219" s="339" t="str">
        <x:v>Health / Counselling / Discipline</x:v>
      </x:c>
      <x:c r="D219" s="339" t="str">
        <x:v>Clinic Visit</x:v>
      </x:c>
      <x:c r="E219" s="339" t="str">
        <x:v>Student Wellbeing Service</x:v>
      </x:c>
      <x:c r="F219" s="339" t="str">
        <x:v>/api/v1/health/clinic-visit</x:v>
      </x:c>
      <x:c r="G219" s="339" t="str">
        <x:v>GET + POST/PATCH</x:v>
      </x:c>
      <x:c r="H219" s="339" t="str">
        <x:v>Tenant/school context + screen-specific filters/command payload; validate schema, effective references and request correlation/idempotency key for high-risk writes.</x:v>
      </x:c>
      <x:c r="I219" s="339" t="str">
        <x:v>Return authorized DTO with status/version, validation errors and correlation ID; never expose restricted fields.</x:v>
      </x:c>
      <x:c r="J219" s="339" t="str">
        <x:v>Nurse / Medical Officer, Counsellor, School Admin, Principal, Parent</x:v>
      </x:c>
      <x:c r="K219" s="339" t="str">
        <x:v>Use optimistic concurrency/version checks for updates; idempotency for payments, admissions confirmation, bulk imports and other retry-prone commands.</x:v>
      </x:c>
      <x:c r="L219" s="339" t="str">
        <x:v>Publish domain events after successful commit when downstream modules/notifications depend on the change.</x:v>
      </x:c>
    </x:row>
    <x:row r="220">
      <x:c r="A220" s="339" t="str">
        <x:v>API-0219</x:v>
      </x:c>
      <x:c r="B220" s="339" t="str">
        <x:v>SCR-219</x:v>
      </x:c>
      <x:c r="C220" s="339" t="str">
        <x:v>Health / Counselling / Discipline</x:v>
      </x:c>
      <x:c r="D220" s="339" t="str">
        <x:v>Medication / First Aid</x:v>
      </x:c>
      <x:c r="E220" s="339" t="str">
        <x:v>Student Wellbeing Service</x:v>
      </x:c>
      <x:c r="F220" s="339" t="str">
        <x:v>/api/v1/health/medication-first-aid</x:v>
      </x:c>
      <x:c r="G220" s="339" t="str">
        <x:v>GET + POST/PATCH</x:v>
      </x:c>
      <x:c r="H220" s="339" t="str">
        <x:v>Tenant/school context + screen-specific filters/command payload; validate schema, effective references and request correlation/idempotency key for high-risk writes.</x:v>
      </x:c>
      <x:c r="I220" s="339" t="str">
        <x:v>Return authorized DTO with status/version, validation errors and correlation ID; never expose restricted fields.</x:v>
      </x:c>
      <x:c r="J220" s="339" t="str">
        <x:v>Nurse / Medical Officer, Counsellor, School Admin, Principal, Parent</x:v>
      </x:c>
      <x:c r="K220" s="339" t="str">
        <x:v>Use optimistic concurrency/version checks for updates; idempotency for payments, admissions confirmation, bulk imports and other retry-prone commands.</x:v>
      </x:c>
      <x:c r="L220" s="339" t="str">
        <x:v>Publish domain events after successful commit when downstream modules/notifications depend on the change.</x:v>
      </x:c>
    </x:row>
    <x:row r="221">
      <x:c r="A221" s="339" t="str">
        <x:v>API-0220</x:v>
      </x:c>
      <x:c r="B221" s="339" t="str">
        <x:v>SCR-220</x:v>
      </x:c>
      <x:c r="C221" s="339" t="str">
        <x:v>Health / Counselling / Discipline</x:v>
      </x:c>
      <x:c r="D221" s="339" t="str">
        <x:v>Immunization / Allergy</x:v>
      </x:c>
      <x:c r="E221" s="339" t="str">
        <x:v>Student Wellbeing Service</x:v>
      </x:c>
      <x:c r="F221" s="339" t="str">
        <x:v>/api/v1/health/immunization-allergy</x:v>
      </x:c>
      <x:c r="G221" s="339" t="str">
        <x:v>GET + POST/PATCH</x:v>
      </x:c>
      <x:c r="H221" s="339" t="str">
        <x:v>Tenant/school context + screen-specific filters/command payload; validate schema, effective references and request correlation/idempotency key for high-risk writes.</x:v>
      </x:c>
      <x:c r="I221" s="339" t="str">
        <x:v>Return authorized DTO with status/version, validation errors and correlation ID; never expose restricted fields.</x:v>
      </x:c>
      <x:c r="J221" s="339" t="str">
        <x:v>Nurse / Medical Officer, Counsellor, School Admin, Principal, Parent</x:v>
      </x:c>
      <x:c r="K221" s="339" t="str">
        <x:v>Use optimistic concurrency/version checks for updates; idempotency for payments, admissions confirmation, bulk imports and other retry-prone commands.</x:v>
      </x:c>
      <x:c r="L221" s="339" t="str">
        <x:v>Publish domain events after successful commit when downstream modules/notifications depend on the change.</x:v>
      </x:c>
    </x:row>
    <x:row r="222">
      <x:c r="A222" s="339" t="str">
        <x:v>API-0221</x:v>
      </x:c>
      <x:c r="B222" s="339" t="str">
        <x:v>SCR-221</x:v>
      </x:c>
      <x:c r="C222" s="339" t="str">
        <x:v>Health / Counselling / Discipline</x:v>
      </x:c>
      <x:c r="D222" s="339" t="str">
        <x:v>Counselling Appointments</x:v>
      </x:c>
      <x:c r="E222" s="339" t="str">
        <x:v>Student Wellbeing Service</x:v>
      </x:c>
      <x:c r="F222" s="339" t="str">
        <x:v>/api/v1/health/counselling-appointments</x:v>
      </x:c>
      <x:c r="G222" s="339" t="str">
        <x:v>GET + POST/PATCH</x:v>
      </x:c>
      <x:c r="H222" s="339" t="str">
        <x:v>Tenant/school context + screen-specific filters/command payload; validate schema, effective references and request correlation/idempotency key for high-risk writes.</x:v>
      </x:c>
      <x:c r="I222" s="339" t="str">
        <x:v>Return authorized DTO with status/version, validation errors and correlation ID; never expose restricted fields.</x:v>
      </x:c>
      <x:c r="J222" s="339" t="str">
        <x:v>Nurse / Medical Officer, Counsellor, School Admin, Principal, Parent</x:v>
      </x:c>
      <x:c r="K222" s="339" t="str">
        <x:v>Use optimistic concurrency/version checks for updates; idempotency for payments, admissions confirmation, bulk imports and other retry-prone commands.</x:v>
      </x:c>
      <x:c r="L222" s="339" t="str">
        <x:v>Publish domain events after successful commit when downstream modules/notifications depend on the change.</x:v>
      </x:c>
    </x:row>
    <x:row r="223">
      <x:c r="A223" s="339" t="str">
        <x:v>API-0222</x:v>
      </x:c>
      <x:c r="B223" s="339" t="str">
        <x:v>SCR-222</x:v>
      </x:c>
      <x:c r="C223" s="339" t="str">
        <x:v>Health / Counselling / Discipline</x:v>
      </x:c>
      <x:c r="D223" s="339" t="str">
        <x:v>Counselling Case Notes</x:v>
      </x:c>
      <x:c r="E223" s="339" t="str">
        <x:v>Student Wellbeing Service</x:v>
      </x:c>
      <x:c r="F223" s="339" t="str">
        <x:v>/api/v1/health/counselling-case-notes</x:v>
      </x:c>
      <x:c r="G223" s="339" t="str">
        <x:v>GET + POST/PATCH</x:v>
      </x:c>
      <x:c r="H223" s="339" t="str">
        <x:v>Tenant/school context + screen-specific filters/command payload; validate schema, effective references and request correlation/idempotency key for high-risk writes.</x:v>
      </x:c>
      <x:c r="I223" s="339" t="str">
        <x:v>Return authorized DTO with status/version, validation errors and correlation ID; never expose restricted fields.</x:v>
      </x:c>
      <x:c r="J223" s="339" t="str">
        <x:v>Nurse / Medical Officer, Counsellor, School Admin, Principal, Parent</x:v>
      </x:c>
      <x:c r="K223" s="339" t="str">
        <x:v>Use optimistic concurrency/version checks for updates; idempotency for payments, admissions confirmation, bulk imports and other retry-prone commands.</x:v>
      </x:c>
      <x:c r="L223" s="339" t="str">
        <x:v>Publish domain events after successful commit when downstream modules/notifications depend on the change.</x:v>
      </x:c>
    </x:row>
    <x:row r="224">
      <x:c r="A224" s="339" t="str">
        <x:v>API-0223</x:v>
      </x:c>
      <x:c r="B224" s="339" t="str">
        <x:v>SCR-223</x:v>
      </x:c>
      <x:c r="C224" s="339" t="str">
        <x:v>Health / Counselling / Discipline</x:v>
      </x:c>
      <x:c r="D224" s="339" t="str">
        <x:v>Behaviour / Discipline Incidents</x:v>
      </x:c>
      <x:c r="E224" s="339" t="str">
        <x:v>Student Wellbeing Service</x:v>
      </x:c>
      <x:c r="F224" s="339" t="str">
        <x:v>/api/v1/health/behaviour-discipline-incidents</x:v>
      </x:c>
      <x:c r="G224" s="339" t="str">
        <x:v>GET + POST/PATCH actions</x:v>
      </x:c>
      <x:c r="H224" s="339" t="str">
        <x:v>Tenant/school context + screen-specific filters/command payload; validate schema, effective references and request correlation/idempotency key for high-risk writes.</x:v>
      </x:c>
      <x:c r="I224" s="339" t="str">
        <x:v>Return authorized DTO with status/version, validation errors and correlation ID; never expose restricted fields.</x:v>
      </x:c>
      <x:c r="J224" s="339" t="str">
        <x:v>Nurse / Medical Officer, Counsellor, School Admin, Principal, Parent</x:v>
      </x:c>
      <x:c r="K224" s="339" t="str">
        <x:v>Use optimistic concurrency/version checks for updates; idempotency for payments, admissions confirmation, bulk imports and other retry-prone commands.</x:v>
      </x:c>
      <x:c r="L224" s="339" t="str">
        <x:v>Publish domain events after successful commit when downstream modules/notifications depend on the change.</x:v>
      </x:c>
    </x:row>
    <x:row r="225">
      <x:c r="A225" s="339" t="str">
        <x:v>API-0224</x:v>
      </x:c>
      <x:c r="B225" s="339" t="str">
        <x:v>SCR-224</x:v>
      </x:c>
      <x:c r="C225" s="339" t="str">
        <x:v>Health / Counselling / Discipline</x:v>
      </x:c>
      <x:c r="D225" s="339" t="str">
        <x:v>Incident Action &amp; Follow-up</x:v>
      </x:c>
      <x:c r="E225" s="339" t="str">
        <x:v>Student Wellbeing Service</x:v>
      </x:c>
      <x:c r="F225" s="339" t="str">
        <x:v>/api/v1/health/incident-action-follow-up</x:v>
      </x:c>
      <x:c r="G225" s="339" t="str">
        <x:v>GET + POST/PATCH</x:v>
      </x:c>
      <x:c r="H225" s="339" t="str">
        <x:v>Tenant/school context + screen-specific filters/command payload; validate schema, effective references and request correlation/idempotency key for high-risk writes.</x:v>
      </x:c>
      <x:c r="I225" s="339" t="str">
        <x:v>Return authorized DTO with status/version, validation errors and correlation ID; never expose restricted fields.</x:v>
      </x:c>
      <x:c r="J225" s="339" t="str">
        <x:v>Nurse / Medical Officer, Counsellor, School Admin, Principal, Parent</x:v>
      </x:c>
      <x:c r="K225" s="339" t="str">
        <x:v>Use optimistic concurrency/version checks for updates; idempotency for payments, admissions confirmation, bulk imports and other retry-prone commands.</x:v>
      </x:c>
      <x:c r="L225" s="339" t="str">
        <x:v>Publish domain events after successful commit when downstream modules/notifications depend on the change.</x:v>
      </x:c>
    </x:row>
    <x:row r="226">
      <x:c r="A226" s="339" t="str">
        <x:v>API-0225</x:v>
      </x:c>
      <x:c r="B226" s="339" t="str">
        <x:v>SCR-225</x:v>
      </x:c>
      <x:c r="C226" s="339" t="str">
        <x:v>Health / Counselling / Discipline</x:v>
      </x:c>
      <x:c r="D226" s="339" t="str">
        <x:v>Emergency Contacts &amp; Escalation</x:v>
      </x:c>
      <x:c r="E226" s="339" t="str">
        <x:v>Student Wellbeing Service</x:v>
      </x:c>
      <x:c r="F226" s="339" t="str">
        <x:v>/api/v1/health/emergency-contacts-escalation</x:v>
      </x:c>
      <x:c r="G226" s="339" t="str">
        <x:v>GET + POST/PATCH</x:v>
      </x:c>
      <x:c r="H226" s="339" t="str">
        <x:v>Tenant/school context + screen-specific filters/command payload; validate schema, effective references and request correlation/idempotency key for high-risk writes.</x:v>
      </x:c>
      <x:c r="I226" s="339" t="str">
        <x:v>Return authorized DTO with status/version, validation errors and correlation ID; never expose restricted fields.</x:v>
      </x:c>
      <x:c r="J226" s="339" t="str">
        <x:v>Nurse / Medical Officer, Counsellor, School Admin, Principal, Parent</x:v>
      </x:c>
      <x:c r="K226" s="339" t="str">
        <x:v>Use optimistic concurrency/version checks for updates; idempotency for payments, admissions confirmation, bulk imports and other retry-prone commands.</x:v>
      </x:c>
      <x:c r="L226" s="339" t="str">
        <x:v>Publish domain events after successful commit when downstream modules/notifications depend on the change.</x:v>
      </x:c>
    </x:row>
    <x:row r="227">
      <x:c r="A227" s="339" t="str">
        <x:v>API-0226</x:v>
      </x:c>
      <x:c r="B227" s="339" t="str">
        <x:v>SCR-226</x:v>
      </x:c>
      <x:c r="C227" s="339" t="str">
        <x:v>Visitor / Gate / Security</x:v>
      </x:c>
      <x:c r="D227" s="339" t="str">
        <x:v>Visitor Dashboard</x:v>
      </x:c>
      <x:c r="E227" s="339" t="str">
        <x:v>Gate &amp; Visitor Service</x:v>
      </x:c>
      <x:c r="F227" s="339" t="str">
        <x:v>/api/v1/visitor/visitor-dashboard</x:v>
      </x:c>
      <x:c r="G227" s="339" t="str">
        <x:v>GET</x:v>
      </x:c>
      <x:c r="H227" s="339" t="str">
        <x:v>Tenant/school context + screen-specific filters/command payload; validate schema, effective references and request correlation/idempotency key for high-risk writes.</x:v>
      </x:c>
      <x:c r="I227" s="339" t="str">
        <x:v>Return authorized DTO with status/version, validation errors and correlation ID; never expose restricted fields.</x:v>
      </x:c>
      <x:c r="J227" s="339" t="str">
        <x:v>Security, Receptionist, School Admin, Principal</x:v>
      </x:c>
      <x:c r="K227" s="339" t="str">
        <x:v>Use optimistic concurrency/version checks for updates; idempotency for payments, admissions confirmation, bulk imports and other retry-prone commands.</x:v>
      </x:c>
      <x:c r="L227" s="339" t="str">
        <x:v>Publish domain events after successful commit when downstream modules/notifications depend on the change.</x:v>
      </x:c>
    </x:row>
    <x:row r="228">
      <x:c r="A228" s="339" t="str">
        <x:v>API-0227</x:v>
      </x:c>
      <x:c r="B228" s="339" t="str">
        <x:v>SCR-227</x:v>
      </x:c>
      <x:c r="C228" s="339" t="str">
        <x:v>Visitor / Gate / Security</x:v>
      </x:c>
      <x:c r="D228" s="339" t="str">
        <x:v>Visitor Check-in</x:v>
      </x:c>
      <x:c r="E228" s="339" t="str">
        <x:v>Gate &amp; Visitor Service</x:v>
      </x:c>
      <x:c r="F228" s="339" t="str">
        <x:v>/api/v1/visitor/visitor-check-in</x:v>
      </x:c>
      <x:c r="G228" s="339" t="str">
        <x:v>POST</x:v>
      </x:c>
      <x:c r="H228" s="339" t="str">
        <x:v>Tenant/school context + screen-specific filters/command payload; validate schema, effective references and request correlation/idempotency key for high-risk writes.</x:v>
      </x:c>
      <x:c r="I228" s="339" t="str">
        <x:v>Return authorized DTO with status/version, validation errors and correlation ID; never expose restricted fields.</x:v>
      </x:c>
      <x:c r="J228" s="339" t="str">
        <x:v>Security, Receptionist, School Admin, Principal</x:v>
      </x:c>
      <x:c r="K228" s="339" t="str">
        <x:v>Use optimistic concurrency/version checks for updates; idempotency for payments, admissions confirmation, bulk imports and other retry-prone commands.</x:v>
      </x:c>
      <x:c r="L228" s="339" t="str">
        <x:v>Publish domain events after successful commit when downstream modules/notifications depend on the change.</x:v>
      </x:c>
    </x:row>
    <x:row r="229">
      <x:c r="A229" s="339" t="str">
        <x:v>API-0228</x:v>
      </x:c>
      <x:c r="B229" s="339" t="str">
        <x:v>SCR-228</x:v>
      </x:c>
      <x:c r="C229" s="339" t="str">
        <x:v>Visitor / Gate / Security</x:v>
      </x:c>
      <x:c r="D229" s="339" t="str">
        <x:v>Visitor Approval</x:v>
      </x:c>
      <x:c r="E229" s="339" t="str">
        <x:v>Gate &amp; Visitor Service</x:v>
      </x:c>
      <x:c r="F229" s="339" t="str">
        <x:v>/api/v1/visitor/visitor-approval</x:v>
      </x:c>
      <x:c r="G229" s="339" t="str">
        <x:v>PATCH/POST action</x:v>
      </x:c>
      <x:c r="H229" s="339" t="str">
        <x:v>Tenant/school context + screen-specific filters/command payload; validate schema, effective references and request correlation/idempotency key for high-risk writes.</x:v>
      </x:c>
      <x:c r="I229" s="339" t="str">
        <x:v>Return authorized DTO with status/version, validation errors and correlation ID; never expose restricted fields.</x:v>
      </x:c>
      <x:c r="J229" s="339" t="str">
        <x:v>Security, Receptionist, School Admin, Principal</x:v>
      </x:c>
      <x:c r="K229" s="339" t="str">
        <x:v>Use optimistic concurrency/version checks for updates; idempotency for payments, admissions confirmation, bulk imports and other retry-prone commands.</x:v>
      </x:c>
      <x:c r="L229" s="339" t="str">
        <x:v>Publish domain events after successful commit when downstream modules/notifications depend on the change.</x:v>
      </x:c>
    </x:row>
    <x:row r="230">
      <x:c r="A230" s="339" t="str">
        <x:v>API-0229</x:v>
      </x:c>
      <x:c r="B230" s="339" t="str">
        <x:v>SCR-229</x:v>
      </x:c>
      <x:c r="C230" s="339" t="str">
        <x:v>Visitor / Gate / Security</x:v>
      </x:c>
      <x:c r="D230" s="339" t="str">
        <x:v>Visitor Pass</x:v>
      </x:c>
      <x:c r="E230" s="339" t="str">
        <x:v>Gate &amp; Visitor Service</x:v>
      </x:c>
      <x:c r="F230" s="339" t="str">
        <x:v>/api/v1/visitor/visitor-pass</x:v>
      </x:c>
      <x:c r="G230" s="339" t="str">
        <x:v>GET + POST/PATCH</x:v>
      </x:c>
      <x:c r="H230" s="339" t="str">
        <x:v>Tenant/school context + screen-specific filters/command payload; validate schema, effective references and request correlation/idempotency key for high-risk writes.</x:v>
      </x:c>
      <x:c r="I230" s="339" t="str">
        <x:v>Return authorized DTO with status/version, validation errors and correlation ID; never expose restricted fields.</x:v>
      </x:c>
      <x:c r="J230" s="339" t="str">
        <x:v>Security, Receptionist, School Admin, Principal</x:v>
      </x:c>
      <x:c r="K230" s="339" t="str">
        <x:v>Use optimistic concurrency/version checks for updates; idempotency for payments, admissions confirmation, bulk imports and other retry-prone commands.</x:v>
      </x:c>
      <x:c r="L230" s="339" t="str">
        <x:v>Publish domain events after successful commit when downstream modules/notifications depend on the change.</x:v>
      </x:c>
    </x:row>
    <x:row r="231">
      <x:c r="A231" s="339" t="str">
        <x:v>API-0230</x:v>
      </x:c>
      <x:c r="B231" s="339" t="str">
        <x:v>SCR-230</x:v>
      </x:c>
      <x:c r="C231" s="339" t="str">
        <x:v>Visitor / Gate / Security</x:v>
      </x:c>
      <x:c r="D231" s="339" t="str">
        <x:v>Visitor Check-out</x:v>
      </x:c>
      <x:c r="E231" s="339" t="str">
        <x:v>Gate &amp; Visitor Service</x:v>
      </x:c>
      <x:c r="F231" s="339" t="str">
        <x:v>/api/v1/visitor/visitor-check-out</x:v>
      </x:c>
      <x:c r="G231" s="339" t="str">
        <x:v>PATCH/POST action</x:v>
      </x:c>
      <x:c r="H231" s="339" t="str">
        <x:v>Tenant/school context + screen-specific filters/command payload; validate schema, effective references and request correlation/idempotency key for high-risk writes.</x:v>
      </x:c>
      <x:c r="I231" s="339" t="str">
        <x:v>Return authorized DTO with status/version, validation errors and correlation ID; never expose restricted fields.</x:v>
      </x:c>
      <x:c r="J231" s="339" t="str">
        <x:v>Security, Receptionist, School Admin, Principal</x:v>
      </x:c>
      <x:c r="K231" s="339" t="str">
        <x:v>Use optimistic concurrency/version checks for updates; idempotency for payments, admissions confirmation, bulk imports and other retry-prone commands.</x:v>
      </x:c>
      <x:c r="L231" s="339" t="str">
        <x:v>Publish domain events after successful commit when downstream modules/notifications depend on the change.</x:v>
      </x:c>
    </x:row>
    <x:row r="232">
      <x:c r="A232" s="339" t="str">
        <x:v>API-0231</x:v>
      </x:c>
      <x:c r="B232" s="339" t="str">
        <x:v>SCR-231</x:v>
      </x:c>
      <x:c r="C232" s="339" t="str">
        <x:v>Visitor / Gate / Security</x:v>
      </x:c>
      <x:c r="D232" s="339" t="str">
        <x:v>Student Early Pickup / Gate Pass</x:v>
      </x:c>
      <x:c r="E232" s="339" t="str">
        <x:v>Gate &amp; Visitor Service</x:v>
      </x:c>
      <x:c r="F232" s="339" t="str">
        <x:v>/api/v1/visitor/student-early-pickup-gate-pass</x:v>
      </x:c>
      <x:c r="G232" s="339" t="str">
        <x:v>GET + POST/PATCH</x:v>
      </x:c>
      <x:c r="H232" s="339" t="str">
        <x:v>Tenant/school context + screen-specific filters/command payload; validate schema, effective references and request correlation/idempotency key for high-risk writes.</x:v>
      </x:c>
      <x:c r="I232" s="339" t="str">
        <x:v>Return authorized DTO with status/version, validation errors and correlation ID; never expose restricted fields.</x:v>
      </x:c>
      <x:c r="J232" s="339" t="str">
        <x:v>Security, Receptionist, School Admin, Principal</x:v>
      </x:c>
      <x:c r="K232" s="339" t="str">
        <x:v>Use optimistic concurrency/version checks for updates; idempotency for payments, admissions confirmation, bulk imports and other retry-prone commands.</x:v>
      </x:c>
      <x:c r="L232" s="339" t="str">
        <x:v>Publish domain events after successful commit when downstream modules/notifications depend on the change.</x:v>
      </x:c>
    </x:row>
    <x:row r="233">
      <x:c r="A233" s="339" t="str">
        <x:v>API-0232</x:v>
      </x:c>
      <x:c r="B233" s="339" t="str">
        <x:v>SCR-232</x:v>
      </x:c>
      <x:c r="C233" s="339" t="str">
        <x:v>Visitor / Gate / Security</x:v>
      </x:c>
      <x:c r="D233" s="339" t="str">
        <x:v>Staff &amp; Vehicle Gate Log</x:v>
      </x:c>
      <x:c r="E233" s="339" t="str">
        <x:v>Gate &amp; Visitor Service</x:v>
      </x:c>
      <x:c r="F233" s="339" t="str">
        <x:v>/api/v1/visitor/staff-vehicle-gate-log</x:v>
      </x:c>
      <x:c r="G233" s="339" t="str">
        <x:v>GET + POST/PATCH</x:v>
      </x:c>
      <x:c r="H233" s="339" t="str">
        <x:v>Tenant/school context + screen-specific filters/command payload; validate schema, effective references and request correlation/idempotency key for high-risk writes.</x:v>
      </x:c>
      <x:c r="I233" s="339" t="str">
        <x:v>Return authorized DTO with status/version, validation errors and correlation ID; never expose restricted fields.</x:v>
      </x:c>
      <x:c r="J233" s="339" t="str">
        <x:v>Security, Receptionist, School Admin, Principal</x:v>
      </x:c>
      <x:c r="K233" s="339" t="str">
        <x:v>Use optimistic concurrency/version checks for updates; idempotency for payments, admissions confirmation, bulk imports and other retry-prone commands.</x:v>
      </x:c>
      <x:c r="L233" s="339" t="str">
        <x:v>Publish domain events after successful commit when downstream modules/notifications depend on the change.</x:v>
      </x:c>
    </x:row>
    <x:row r="234">
      <x:c r="A234" s="339" t="str">
        <x:v>API-0233</x:v>
      </x:c>
      <x:c r="B234" s="339" t="str">
        <x:v>SCR-233</x:v>
      </x:c>
      <x:c r="C234" s="339" t="str">
        <x:v>Visitor / Gate / Security</x:v>
      </x:c>
      <x:c r="D234" s="339" t="str">
        <x:v>Security Incident Log</x:v>
      </x:c>
      <x:c r="E234" s="339" t="str">
        <x:v>Gate &amp; Visitor Service</x:v>
      </x:c>
      <x:c r="F234" s="339" t="str">
        <x:v>/api/v1/visitor/security-incident-log</x:v>
      </x:c>
      <x:c r="G234" s="339" t="str">
        <x:v>GET + POST/PATCH</x:v>
      </x:c>
      <x:c r="H234" s="339" t="str">
        <x:v>Tenant/school context + screen-specific filters/command payload; validate schema, effective references and request correlation/idempotency key for high-risk writes.</x:v>
      </x:c>
      <x:c r="I234" s="339" t="str">
        <x:v>Return authorized DTO with status/version, validation errors and correlation ID; never expose restricted fields.</x:v>
      </x:c>
      <x:c r="J234" s="339" t="str">
        <x:v>Security, Receptionist, School Admin, Principal</x:v>
      </x:c>
      <x:c r="K234" s="339" t="str">
        <x:v>Use optimistic concurrency/version checks for updates; idempotency for payments, admissions confirmation, bulk imports and other retry-prone commands.</x:v>
      </x:c>
      <x:c r="L234" s="339" t="str">
        <x:v>Publish domain events after successful commit when downstream modules/notifications depend on the change.</x:v>
      </x:c>
    </x:row>
    <x:row r="235">
      <x:c r="A235" s="339" t="str">
        <x:v>API-0234</x:v>
      </x:c>
      <x:c r="B235" s="339" t="str">
        <x:v>SCR-234</x:v>
      </x:c>
      <x:c r="C235" s="339" t="str">
        <x:v>Inventory / Assets / Labs</x:v>
      </x:c>
      <x:c r="D235" s="339" t="str">
        <x:v>Inventory Dashboard</x:v>
      </x:c>
      <x:c r="E235" s="339" t="str">
        <x:v>Inventory &amp; Asset Service</x:v>
      </x:c>
      <x:c r="F235" s="339" t="str">
        <x:v>/api/v1/inventory/inventory-dashboard</x:v>
      </x:c>
      <x:c r="G235" s="339" t="str">
        <x:v>GET</x:v>
      </x:c>
      <x:c r="H235" s="339" t="str">
        <x:v>Tenant/school context + screen-specific filters/command payload; validate schema, effective references and request correlation/idempotency key for high-risk writes.</x:v>
      </x:c>
      <x:c r="I235" s="339" t="str">
        <x:v>Return authorized DTO with status/version, validation errors and correlation ID; never expose restricted fields.</x:v>
      </x:c>
      <x:c r="J235" s="339" t="str">
        <x:v>Store Manager, Lab Assistant, School Admin, Accountant</x:v>
      </x:c>
      <x:c r="K235" s="339" t="str">
        <x:v>Use optimistic concurrency/version checks for updates; idempotency for payments, admissions confirmation, bulk imports and other retry-prone commands.</x:v>
      </x:c>
      <x:c r="L235" s="339" t="str">
        <x:v>Publish domain events after successful commit when downstream modules/notifications depend on the change.</x:v>
      </x:c>
    </x:row>
    <x:row r="236">
      <x:c r="A236" s="339" t="str">
        <x:v>API-0235</x:v>
      </x:c>
      <x:c r="B236" s="339" t="str">
        <x:v>SCR-235</x:v>
      </x:c>
      <x:c r="C236" s="339" t="str">
        <x:v>Inventory / Assets / Labs</x:v>
      </x:c>
      <x:c r="D236" s="339" t="str">
        <x:v>Item Catalogue</x:v>
      </x:c>
      <x:c r="E236" s="339" t="str">
        <x:v>Inventory &amp; Asset Service</x:v>
      </x:c>
      <x:c r="F236" s="339" t="str">
        <x:v>/api/v1/inventory/item-catalogue</x:v>
      </x:c>
      <x:c r="G236" s="339" t="str">
        <x:v>GET + POST/PATCH actions</x:v>
      </x:c>
      <x:c r="H236" s="339" t="str">
        <x:v>Tenant/school context + screen-specific filters/command payload; validate schema, effective references and request correlation/idempotency key for high-risk writes.</x:v>
      </x:c>
      <x:c r="I236" s="339" t="str">
        <x:v>Return authorized DTO with status/version, validation errors and correlation ID; never expose restricted fields.</x:v>
      </x:c>
      <x:c r="J236" s="339" t="str">
        <x:v>Store Manager, Lab Assistant, School Admin, Accountant</x:v>
      </x:c>
      <x:c r="K236" s="339" t="str">
        <x:v>Use optimistic concurrency/version checks for updates; idempotency for payments, admissions confirmation, bulk imports and other retry-prone commands.</x:v>
      </x:c>
      <x:c r="L236" s="339" t="str">
        <x:v>Publish domain events after successful commit when downstream modules/notifications depend on the change.</x:v>
      </x:c>
    </x:row>
    <x:row r="237">
      <x:c r="A237" s="339" t="str">
        <x:v>API-0236</x:v>
      </x:c>
      <x:c r="B237" s="339" t="str">
        <x:v>SCR-236</x:v>
      </x:c>
      <x:c r="C237" s="339" t="str">
        <x:v>Inventory / Assets / Labs</x:v>
      </x:c>
      <x:c r="D237" s="339" t="str">
        <x:v>Stock In / Purchase Receipt</x:v>
      </x:c>
      <x:c r="E237" s="339" t="str">
        <x:v>Inventory &amp; Asset Service</x:v>
      </x:c>
      <x:c r="F237" s="339" t="str">
        <x:v>/api/v1/inventory/stock-in-purchase-receipt</x:v>
      </x:c>
      <x:c r="G237" s="339" t="str">
        <x:v>GET + PATCH</x:v>
      </x:c>
      <x:c r="H237" s="339" t="str">
        <x:v>Tenant/school context + screen-specific filters/command payload; validate schema, effective references and request correlation/idempotency key for high-risk writes.</x:v>
      </x:c>
      <x:c r="I237" s="339" t="str">
        <x:v>Return authorized DTO with status/version, validation errors and correlation ID; never expose restricted fields.</x:v>
      </x:c>
      <x:c r="J237" s="339" t="str">
        <x:v>Store Manager, Lab Assistant, School Admin, Accountant</x:v>
      </x:c>
      <x:c r="K237" s="339" t="str">
        <x:v>Use optimistic concurrency/version checks for updates; idempotency for payments, admissions confirmation, bulk imports and other retry-prone commands.</x:v>
      </x:c>
      <x:c r="L237" s="339" t="str">
        <x:v>Publish domain events after successful commit when downstream modules/notifications depend on the change.</x:v>
      </x:c>
    </x:row>
    <x:row r="238">
      <x:c r="A238" s="339" t="str">
        <x:v>API-0237</x:v>
      </x:c>
      <x:c r="B238" s="339" t="str">
        <x:v>SCR-237</x:v>
      </x:c>
      <x:c r="C238" s="339" t="str">
        <x:v>Inventory / Assets / Labs</x:v>
      </x:c>
      <x:c r="D238" s="339" t="str">
        <x:v>Stock Issue / Return</x:v>
      </x:c>
      <x:c r="E238" s="339" t="str">
        <x:v>Inventory &amp; Asset Service</x:v>
      </x:c>
      <x:c r="F238" s="339" t="str">
        <x:v>/api/v1/inventory/stock-issue-return</x:v>
      </x:c>
      <x:c r="G238" s="339" t="str">
        <x:v>PATCH/POST action</x:v>
      </x:c>
      <x:c r="H238" s="339" t="str">
        <x:v>Tenant/school context + screen-specific filters/command payload; validate schema, effective references and request correlation/idempotency key for high-risk writes.</x:v>
      </x:c>
      <x:c r="I238" s="339" t="str">
        <x:v>Return authorized DTO with status/version, validation errors and correlation ID; never expose restricted fields.</x:v>
      </x:c>
      <x:c r="J238" s="339" t="str">
        <x:v>Store Manager, Lab Assistant, School Admin, Accountant</x:v>
      </x:c>
      <x:c r="K238" s="339" t="str">
        <x:v>Use optimistic concurrency/version checks for updates; idempotency for payments, admissions confirmation, bulk imports and other retry-prone commands.</x:v>
      </x:c>
      <x:c r="L238" s="339" t="str">
        <x:v>Publish domain events after successful commit when downstream modules/notifications depend on the change.</x:v>
      </x:c>
    </x:row>
    <x:row r="239">
      <x:c r="A239" s="339" t="str">
        <x:v>API-0238</x:v>
      </x:c>
      <x:c r="B239" s="339" t="str">
        <x:v>SCR-238</x:v>
      </x:c>
      <x:c r="C239" s="339" t="str">
        <x:v>Inventory / Assets / Labs</x:v>
      </x:c>
      <x:c r="D239" s="339" t="str">
        <x:v>Supplier Management</x:v>
      </x:c>
      <x:c r="E239" s="339" t="str">
        <x:v>Inventory &amp; Asset Service</x:v>
      </x:c>
      <x:c r="F239" s="339" t="str">
        <x:v>/api/v1/inventory/supplier-management</x:v>
      </x:c>
      <x:c r="G239" s="339" t="str">
        <x:v>GET + POST/PATCH</x:v>
      </x:c>
      <x:c r="H239" s="339" t="str">
        <x:v>Tenant/school context + screen-specific filters/command payload; validate schema, effective references and request correlation/idempotency key for high-risk writes.</x:v>
      </x:c>
      <x:c r="I239" s="339" t="str">
        <x:v>Return authorized DTO with status/version, validation errors and correlation ID; never expose restricted fields.</x:v>
      </x:c>
      <x:c r="J239" s="339" t="str">
        <x:v>Store Manager, Lab Assistant, School Admin, Accountant</x:v>
      </x:c>
      <x:c r="K239" s="339" t="str">
        <x:v>Use optimistic concurrency/version checks for updates; idempotency for payments, admissions confirmation, bulk imports and other retry-prone commands.</x:v>
      </x:c>
      <x:c r="L239" s="339" t="str">
        <x:v>Publish domain events after successful commit when downstream modules/notifications depend on the change.</x:v>
      </x:c>
    </x:row>
    <x:row r="240">
      <x:c r="A240" s="339" t="str">
        <x:v>API-0239</x:v>
      </x:c>
      <x:c r="B240" s="339" t="str">
        <x:v>SCR-239</x:v>
      </x:c>
      <x:c r="C240" s="339" t="str">
        <x:v>Inventory / Assets / Labs</x:v>
      </x:c>
      <x:c r="D240" s="339" t="str">
        <x:v>Asset Register</x:v>
      </x:c>
      <x:c r="E240" s="339" t="str">
        <x:v>Inventory &amp; Asset Service</x:v>
      </x:c>
      <x:c r="F240" s="339" t="str">
        <x:v>/api/v1/inventory/asset-register</x:v>
      </x:c>
      <x:c r="G240" s="339" t="str">
        <x:v>GET + PATCH</x:v>
      </x:c>
      <x:c r="H240" s="339" t="str">
        <x:v>Tenant/school context + screen-specific filters/command payload; validate schema, effective references and request correlation/idempotency key for high-risk writes.</x:v>
      </x:c>
      <x:c r="I240" s="339" t="str">
        <x:v>Return authorized DTO with status/version, validation errors and correlation ID; never expose restricted fields.</x:v>
      </x:c>
      <x:c r="J240" s="339" t="str">
        <x:v>Store Manager, Lab Assistant, School Admin, Accountant</x:v>
      </x:c>
      <x:c r="K240" s="339" t="str">
        <x:v>Use optimistic concurrency/version checks for updates; idempotency for payments, admissions confirmation, bulk imports and other retry-prone commands.</x:v>
      </x:c>
      <x:c r="L240" s="339" t="str">
        <x:v>Publish domain events after successful commit when downstream modules/notifications depend on the change.</x:v>
      </x:c>
    </x:row>
    <x:row r="241">
      <x:c r="A241" s="339" t="str">
        <x:v>API-0240</x:v>
      </x:c>
      <x:c r="B241" s="339" t="str">
        <x:v>SCR-240</x:v>
      </x:c>
      <x:c r="C241" s="339" t="str">
        <x:v>Inventory / Assets / Labs</x:v>
      </x:c>
      <x:c r="D241" s="339" t="str">
        <x:v>Asset Assignment / Transfer</x:v>
      </x:c>
      <x:c r="E241" s="339" t="str">
        <x:v>Inventory &amp; Asset Service</x:v>
      </x:c>
      <x:c r="F241" s="339" t="str">
        <x:v>/api/v1/inventory/asset-assignment-transfer</x:v>
      </x:c>
      <x:c r="G241" s="339" t="str">
        <x:v>PATCH/POST action</x:v>
      </x:c>
      <x:c r="H241" s="339" t="str">
        <x:v>Tenant/school context + screen-specific filters/command payload; validate schema, effective references and request correlation/idempotency key for high-risk writes.</x:v>
      </x:c>
      <x:c r="I241" s="339" t="str">
        <x:v>Return authorized DTO with status/version, validation errors and correlation ID; never expose restricted fields.</x:v>
      </x:c>
      <x:c r="J241" s="339" t="str">
        <x:v>Store Manager, Lab Assistant, School Admin, Accountant</x:v>
      </x:c>
      <x:c r="K241" s="339" t="str">
        <x:v>Use optimistic concurrency/version checks for updates; idempotency for payments, admissions confirmation, bulk imports and other retry-prone commands.</x:v>
      </x:c>
      <x:c r="L241" s="339" t="str">
        <x:v>Publish domain events after successful commit when downstream modules/notifications depend on the change.</x:v>
      </x:c>
    </x:row>
    <x:row r="242">
      <x:c r="A242" s="339" t="str">
        <x:v>API-0241</x:v>
      </x:c>
      <x:c r="B242" s="339" t="str">
        <x:v>SCR-241</x:v>
      </x:c>
      <x:c r="C242" s="339" t="str">
        <x:v>Inventory / Assets / Labs</x:v>
      </x:c>
      <x:c r="D242" s="339" t="str">
        <x:v>Asset Maintenance</x:v>
      </x:c>
      <x:c r="E242" s="339" t="str">
        <x:v>Inventory &amp; Asset Service</x:v>
      </x:c>
      <x:c r="F242" s="339" t="str">
        <x:v>/api/v1/inventory/asset-maintenance</x:v>
      </x:c>
      <x:c r="G242" s="339" t="str">
        <x:v>GET + POST/PATCH</x:v>
      </x:c>
      <x:c r="H242" s="339" t="str">
        <x:v>Tenant/school context + screen-specific filters/command payload; validate schema, effective references and request correlation/idempotency key for high-risk writes.</x:v>
      </x:c>
      <x:c r="I242" s="339" t="str">
        <x:v>Return authorized DTO with status/version, validation errors and correlation ID; never expose restricted fields.</x:v>
      </x:c>
      <x:c r="J242" s="339" t="str">
        <x:v>Store Manager, Lab Assistant, School Admin, Accountant</x:v>
      </x:c>
      <x:c r="K242" s="339" t="str">
        <x:v>Use optimistic concurrency/version checks for updates; idempotency for payments, admissions confirmation, bulk imports and other retry-prone commands.</x:v>
      </x:c>
      <x:c r="L242" s="339" t="str">
        <x:v>Publish domain events after successful commit when downstream modules/notifications depend on the change.</x:v>
      </x:c>
    </x:row>
    <x:row r="243">
      <x:c r="A243" s="339" t="str">
        <x:v>API-0242</x:v>
      </x:c>
      <x:c r="B243" s="339" t="str">
        <x:v>SCR-242</x:v>
      </x:c>
      <x:c r="C243" s="339" t="str">
        <x:v>Inventory / Assets / Labs</x:v>
      </x:c>
      <x:c r="D243" s="339" t="str">
        <x:v>Lab Register</x:v>
      </x:c>
      <x:c r="E243" s="339" t="str">
        <x:v>Inventory &amp; Asset Service</x:v>
      </x:c>
      <x:c r="F243" s="339" t="str">
        <x:v>/api/v1/inventory/lab-register</x:v>
      </x:c>
      <x:c r="G243" s="339" t="str">
        <x:v>GET + PATCH</x:v>
      </x:c>
      <x:c r="H243" s="339" t="str">
        <x:v>Tenant/school context + screen-specific filters/command payload; validate schema, effective references and request correlation/idempotency key for high-risk writes.</x:v>
      </x:c>
      <x:c r="I243" s="339" t="str">
        <x:v>Return authorized DTO with status/version, validation errors and correlation ID; never expose restricted fields.</x:v>
      </x:c>
      <x:c r="J243" s="339" t="str">
        <x:v>Store Manager, Lab Assistant, School Admin, Accountant</x:v>
      </x:c>
      <x:c r="K243" s="339" t="str">
        <x:v>Use optimistic concurrency/version checks for updates; idempotency for payments, admissions confirmation, bulk imports and other retry-prone commands.</x:v>
      </x:c>
      <x:c r="L243" s="339" t="str">
        <x:v>Publish domain events after successful commit when downstream modules/notifications depend on the change.</x:v>
      </x:c>
    </x:row>
    <x:row r="244">
      <x:c r="A244" s="339" t="str">
        <x:v>API-0243</x:v>
      </x:c>
      <x:c r="B244" s="339" t="str">
        <x:v>SCR-243</x:v>
      </x:c>
      <x:c r="C244" s="339" t="str">
        <x:v>Inventory / Assets / Labs</x:v>
      </x:c>
      <x:c r="D244" s="339" t="str">
        <x:v>Lab Equipment &amp; Consumables</x:v>
      </x:c>
      <x:c r="E244" s="339" t="str">
        <x:v>Inventory &amp; Asset Service</x:v>
      </x:c>
      <x:c r="F244" s="339" t="str">
        <x:v>/api/v1/inventory/lab-equipment-consumables</x:v>
      </x:c>
      <x:c r="G244" s="339" t="str">
        <x:v>GET + POST/PATCH</x:v>
      </x:c>
      <x:c r="H244" s="339" t="str">
        <x:v>Tenant/school context + screen-specific filters/command payload; validate schema, effective references and request correlation/idempotency key for high-risk writes.</x:v>
      </x:c>
      <x:c r="I244" s="339" t="str">
        <x:v>Return authorized DTO with status/version, validation errors and correlation ID; never expose restricted fields.</x:v>
      </x:c>
      <x:c r="J244" s="339" t="str">
        <x:v>Store Manager, Lab Assistant, School Admin, Accountant</x:v>
      </x:c>
      <x:c r="K244" s="339" t="str">
        <x:v>Use optimistic concurrency/version checks for updates; idempotency for payments, admissions confirmation, bulk imports and other retry-prone commands.</x:v>
      </x:c>
      <x:c r="L244" s="339" t="str">
        <x:v>Publish domain events after successful commit when downstream modules/notifications depend on the change.</x:v>
      </x:c>
    </x:row>
    <x:row r="245">
      <x:c r="A245" s="339" t="str">
        <x:v>API-0244</x:v>
      </x:c>
      <x:c r="B245" s="339" t="str">
        <x:v>SCR-244</x:v>
      </x:c>
      <x:c r="C245" s="339" t="str">
        <x:v>Inventory / Assets / Labs</x:v>
      </x:c>
      <x:c r="D245" s="339" t="str">
        <x:v>Practical / Lab Booking</x:v>
      </x:c>
      <x:c r="E245" s="339" t="str">
        <x:v>Inventory &amp; Asset Service</x:v>
      </x:c>
      <x:c r="F245" s="339" t="str">
        <x:v>/api/v1/inventory/practical-lab-booking</x:v>
      </x:c>
      <x:c r="G245" s="339" t="str">
        <x:v>GET + POST/PATCH</x:v>
      </x:c>
      <x:c r="H245" s="339" t="str">
        <x:v>Tenant/school context + screen-specific filters/command payload; validate schema, effective references and request correlation/idempotency key for high-risk writes.</x:v>
      </x:c>
      <x:c r="I245" s="339" t="str">
        <x:v>Return authorized DTO with status/version, validation errors and correlation ID; never expose restricted fields.</x:v>
      </x:c>
      <x:c r="J245" s="339" t="str">
        <x:v>Store Manager, Lab Assistant, School Admin, Accountant</x:v>
      </x:c>
      <x:c r="K245" s="339" t="str">
        <x:v>Use optimistic concurrency/version checks for updates; idempotency for payments, admissions confirmation, bulk imports and other retry-prone commands.</x:v>
      </x:c>
      <x:c r="L245" s="339" t="str">
        <x:v>Publish domain events after successful commit when downstream modules/notifications depend on the change.</x:v>
      </x:c>
    </x:row>
    <x:row r="246">
      <x:c r="A246" s="339" t="str">
        <x:v>API-0245</x:v>
      </x:c>
      <x:c r="B246" s="339" t="str">
        <x:v>SCR-245</x:v>
      </x:c>
      <x:c r="C246" s="339" t="str">
        <x:v>Inventory / Assets / Labs</x:v>
      </x:c>
      <x:c r="D246" s="339" t="str">
        <x:v>Stock &amp; Asset Reports</x:v>
      </x:c>
      <x:c r="E246" s="339" t="str">
        <x:v>Inventory &amp; Asset Service</x:v>
      </x:c>
      <x:c r="F246" s="339" t="str">
        <x:v>/api/v1/inventory/stock-asset-reports</x:v>
      </x:c>
      <x:c r="G246" s="339" t="str">
        <x:v>GET</x:v>
      </x:c>
      <x:c r="H246" s="339" t="str">
        <x:v>Tenant/school context + screen-specific filters/command payload; validate schema, effective references and request correlation/idempotency key for high-risk writes.</x:v>
      </x:c>
      <x:c r="I246" s="339" t="str">
        <x:v>Return authorized DTO with status/version, validation errors and correlation ID; never expose restricted fields.</x:v>
      </x:c>
      <x:c r="J246" s="339" t="str">
        <x:v>Store Manager, Lab Assistant, School Admin, Accountant</x:v>
      </x:c>
      <x:c r="K246" s="339" t="str">
        <x:v>Use optimistic concurrency/version checks for updates; idempotency for payments, admissions confirmation, bulk imports and other retry-prone commands.</x:v>
      </x:c>
      <x:c r="L246" s="339" t="str">
        <x:v>Publish domain events after successful commit when downstream modules/notifications depend on the change.</x:v>
      </x:c>
    </x:row>
    <x:row r="247">
      <x:c r="A247" s="339" t="str">
        <x:v>API-0246</x:v>
      </x:c>
      <x:c r="B247" s="339" t="str">
        <x:v>SCR-246</x:v>
      </x:c>
      <x:c r="C247" s="339" t="str">
        <x:v>Events / PTM / Communication</x:v>
      </x:c>
      <x:c r="D247" s="339" t="str">
        <x:v>Events Calendar</x:v>
      </x:c>
      <x:c r="E247" s="339" t="str">
        <x:v>Communication &amp; Calendar Service</x:v>
      </x:c>
      <x:c r="F247" s="339" t="str">
        <x:v>/api/v1/events/events-calendar</x:v>
      </x:c>
      <x:c r="G247" s="339" t="str">
        <x:v>GET + POST/PATCH</x:v>
      </x:c>
      <x:c r="H247" s="339" t="str">
        <x:v>Tenant/school context + screen-specific filters/command payload; validate schema, effective references and request correlation/idempotency key for high-risk writes.</x:v>
      </x:c>
      <x:c r="I247" s="339" t="str">
        <x:v>Return authorized DTO with status/version, validation errors and correlation ID; never expose restricted fields.</x:v>
      </x:c>
      <x:c r="J247" s="339" t="str">
        <x:v>School Admin, Principal, Teacher, Parent, Student</x:v>
      </x:c>
      <x:c r="K247" s="339" t="str">
        <x:v>Use optimistic concurrency/version checks for updates; idempotency for payments, admissions confirmation, bulk imports and other retry-prone commands.</x:v>
      </x:c>
      <x:c r="L247" s="339" t="str">
        <x:v>Publish domain events after successful commit when downstream modules/notifications depend on the change.</x:v>
      </x:c>
    </x:row>
    <x:row r="248">
      <x:c r="A248" s="339" t="str">
        <x:v>API-0247</x:v>
      </x:c>
      <x:c r="B248" s="339" t="str">
        <x:v>SCR-247</x:v>
      </x:c>
      <x:c r="C248" s="339" t="str">
        <x:v>Events / PTM / Communication</x:v>
      </x:c>
      <x:c r="D248" s="339" t="str">
        <x:v>Create / Edit Event</x:v>
      </x:c>
      <x:c r="E248" s="339" t="str">
        <x:v>Communication &amp; Calendar Service</x:v>
      </x:c>
      <x:c r="F248" s="339" t="str">
        <x:v>/api/v1/events/create-edit-event</x:v>
      </x:c>
      <x:c r="G248" s="339" t="str">
        <x:v>POST</x:v>
      </x:c>
      <x:c r="H248" s="339" t="str">
        <x:v>Tenant/school context + screen-specific filters/command payload; validate schema, effective references and request correlation/idempotency key for high-risk writes.</x:v>
      </x:c>
      <x:c r="I248" s="339" t="str">
        <x:v>Return authorized DTO with status/version, validation errors and correlation ID; never expose restricted fields.</x:v>
      </x:c>
      <x:c r="J248" s="339" t="str">
        <x:v>School Admin, Principal, Teacher, Parent, Student</x:v>
      </x:c>
      <x:c r="K248" s="339" t="str">
        <x:v>Use optimistic concurrency/version checks for updates; idempotency for payments, admissions confirmation, bulk imports and other retry-prone commands.</x:v>
      </x:c>
      <x:c r="L248" s="339" t="str">
        <x:v>Publish domain events after successful commit when downstream modules/notifications depend on the change.</x:v>
      </x:c>
    </x:row>
    <x:row r="249">
      <x:c r="A249" s="339" t="str">
        <x:v>API-0248</x:v>
      </x:c>
      <x:c r="B249" s="339" t="str">
        <x:v>SCR-248</x:v>
      </x:c>
      <x:c r="C249" s="339" t="str">
        <x:v>Events / PTM / Communication</x:v>
      </x:c>
      <x:c r="D249" s="339" t="str">
        <x:v>Event Details &amp; Participants</x:v>
      </x:c>
      <x:c r="E249" s="339" t="str">
        <x:v>Communication &amp; Calendar Service</x:v>
      </x:c>
      <x:c r="F249" s="339" t="str">
        <x:v>/api/v1/events/event-details-participants</x:v>
      </x:c>
      <x:c r="G249" s="339" t="str">
        <x:v>GET + PATCH</x:v>
      </x:c>
      <x:c r="H249" s="339" t="str">
        <x:v>Tenant/school context + screen-specific filters/command payload; validate schema, effective references and request correlation/idempotency key for high-risk writes.</x:v>
      </x:c>
      <x:c r="I249" s="339" t="str">
        <x:v>Return authorized DTO with status/version, validation errors and correlation ID; never expose restricted fields.</x:v>
      </x:c>
      <x:c r="J249" s="339" t="str">
        <x:v>School Admin, Principal, Teacher, Parent, Student</x:v>
      </x:c>
      <x:c r="K249" s="339" t="str">
        <x:v>Use optimistic concurrency/version checks for updates; idempotency for payments, admissions confirmation, bulk imports and other retry-prone commands.</x:v>
      </x:c>
      <x:c r="L249" s="339" t="str">
        <x:v>Publish domain events after successful commit when downstream modules/notifications depend on the change.</x:v>
      </x:c>
    </x:row>
    <x:row r="250">
      <x:c r="A250" s="339" t="str">
        <x:v>API-0249</x:v>
      </x:c>
      <x:c r="B250" s="339" t="str">
        <x:v>SCR-249</x:v>
      </x:c>
      <x:c r="C250" s="339" t="str">
        <x:v>Events / PTM / Communication</x:v>
      </x:c>
      <x:c r="D250" s="339" t="str">
        <x:v>Field Trip &amp; Parent Consent</x:v>
      </x:c>
      <x:c r="E250" s="339" t="str">
        <x:v>Communication &amp; Calendar Service</x:v>
      </x:c>
      <x:c r="F250" s="339" t="str">
        <x:v>/api/v1/events/field-trip-parent-consent</x:v>
      </x:c>
      <x:c r="G250" s="339" t="str">
        <x:v>GET + POST/PATCH</x:v>
      </x:c>
      <x:c r="H250" s="339" t="str">
        <x:v>Tenant/school context + screen-specific filters/command payload; validate schema, effective references and request correlation/idempotency key for high-risk writes.</x:v>
      </x:c>
      <x:c r="I250" s="339" t="str">
        <x:v>Return authorized DTO with status/version, validation errors and correlation ID; never expose restricted fields.</x:v>
      </x:c>
      <x:c r="J250" s="339" t="str">
        <x:v>School Admin, Principal, Teacher, Parent, Student</x:v>
      </x:c>
      <x:c r="K250" s="339" t="str">
        <x:v>Use optimistic concurrency/version checks for updates; idempotency for payments, admissions confirmation, bulk imports and other retry-prone commands.</x:v>
      </x:c>
      <x:c r="L250" s="339" t="str">
        <x:v>Publish domain events after successful commit when downstream modules/notifications depend on the change.</x:v>
      </x:c>
    </x:row>
    <x:row r="251">
      <x:c r="A251" s="339" t="str">
        <x:v>API-0250</x:v>
      </x:c>
      <x:c r="B251" s="339" t="str">
        <x:v>SCR-250</x:v>
      </x:c>
      <x:c r="C251" s="339" t="str">
        <x:v>Events / PTM / Communication</x:v>
      </x:c>
      <x:c r="D251" s="339" t="str">
        <x:v>PTM Setup</x:v>
      </x:c>
      <x:c r="E251" s="339" t="str">
        <x:v>Communication &amp; Calendar Service</x:v>
      </x:c>
      <x:c r="F251" s="339" t="str">
        <x:v>/api/v1/events/ptm-setup</x:v>
      </x:c>
      <x:c r="G251" s="339" t="str">
        <x:v>GET + POST/PATCH</x:v>
      </x:c>
      <x:c r="H251" s="339" t="str">
        <x:v>Tenant/school context + screen-specific filters/command payload; validate schema, effective references and request correlation/idempotency key for high-risk writes.</x:v>
      </x:c>
      <x:c r="I251" s="339" t="str">
        <x:v>Return authorized DTO with status/version, validation errors and correlation ID; never expose restricted fields.</x:v>
      </x:c>
      <x:c r="J251" s="339" t="str">
        <x:v>Teacher, Parent, School Admin</x:v>
      </x:c>
      <x:c r="K251" s="339" t="str">
        <x:v>Use optimistic concurrency/version checks for updates; idempotency for payments, admissions confirmation, bulk imports and other retry-prone commands.</x:v>
      </x:c>
      <x:c r="L251" s="339" t="str">
        <x:v>Publish domain events after successful commit when downstream modules/notifications depend on the change.</x:v>
      </x:c>
    </x:row>
    <x:row r="252">
      <x:c r="A252" s="339" t="str">
        <x:v>API-0251</x:v>
      </x:c>
      <x:c r="B252" s="339" t="str">
        <x:v>SCR-251</x:v>
      </x:c>
      <x:c r="C252" s="339" t="str">
        <x:v>Events / PTM / Communication</x:v>
      </x:c>
      <x:c r="D252" s="339" t="str">
        <x:v>PTM Slot Booking</x:v>
      </x:c>
      <x:c r="E252" s="339" t="str">
        <x:v>Communication &amp; Calendar Service</x:v>
      </x:c>
      <x:c r="F252" s="339" t="str">
        <x:v>/api/v1/events/ptm-slot-booking</x:v>
      </x:c>
      <x:c r="G252" s="339" t="str">
        <x:v>GET + POST/PATCH</x:v>
      </x:c>
      <x:c r="H252" s="339" t="str">
        <x:v>Tenant/school context + screen-specific filters/command payload; validate schema, effective references and request correlation/idempotency key for high-risk writes.</x:v>
      </x:c>
      <x:c r="I252" s="339" t="str">
        <x:v>Return authorized DTO with status/version, validation errors and correlation ID; never expose restricted fields.</x:v>
      </x:c>
      <x:c r="J252" s="339" t="str">
        <x:v>Teacher, Parent, School Admin</x:v>
      </x:c>
      <x:c r="K252" s="339" t="str">
        <x:v>Use optimistic concurrency/version checks for updates; idempotency for payments, admissions confirmation, bulk imports and other retry-prone commands.</x:v>
      </x:c>
      <x:c r="L252" s="339" t="str">
        <x:v>Publish domain events after successful commit when downstream modules/notifications depend on the change.</x:v>
      </x:c>
    </x:row>
    <x:row r="253">
      <x:c r="A253" s="339" t="str">
        <x:v>API-0252</x:v>
      </x:c>
      <x:c r="B253" s="339" t="str">
        <x:v>SCR-252</x:v>
      </x:c>
      <x:c r="C253" s="339" t="str">
        <x:v>Events / PTM / Communication</x:v>
      </x:c>
      <x:c r="D253" s="339" t="str">
        <x:v>Announcements</x:v>
      </x:c>
      <x:c r="E253" s="339" t="str">
        <x:v>Communication &amp; Calendar Service</x:v>
      </x:c>
      <x:c r="F253" s="339" t="str">
        <x:v>/api/v1/events/announcements</x:v>
      </x:c>
      <x:c r="G253" s="339" t="str">
        <x:v>GET + POST/PATCH actions</x:v>
      </x:c>
      <x:c r="H253" s="339" t="str">
        <x:v>Tenant/school context + screen-specific filters/command payload; validate schema, effective references and request correlation/idempotency key for high-risk writes.</x:v>
      </x:c>
      <x:c r="I253" s="339" t="str">
        <x:v>Return authorized DTO with status/version, validation errors and correlation ID; never expose restricted fields.</x:v>
      </x:c>
      <x:c r="J253" s="339" t="str">
        <x:v>School Admin, Teacher, Parent, Student</x:v>
      </x:c>
      <x:c r="K253" s="339" t="str">
        <x:v>Use optimistic concurrency/version checks for updates; idempotency for payments, admissions confirmation, bulk imports and other retry-prone commands.</x:v>
      </x:c>
      <x:c r="L253" s="339" t="str">
        <x:v>Publish domain events after successful commit when downstream modules/notifications depend on the change.</x:v>
      </x:c>
    </x:row>
    <x:row r="254">
      <x:c r="A254" s="339" t="str">
        <x:v>API-0253</x:v>
      </x:c>
      <x:c r="B254" s="339" t="str">
        <x:v>SCR-253</x:v>
      </x:c>
      <x:c r="C254" s="339" t="str">
        <x:v>Events / PTM / Communication</x:v>
      </x:c>
      <x:c r="D254" s="339" t="str">
        <x:v>Messaging / Inbox</x:v>
      </x:c>
      <x:c r="E254" s="339" t="str">
        <x:v>Communication &amp; Calendar Service</x:v>
      </x:c>
      <x:c r="F254" s="339" t="str">
        <x:v>/api/v1/events/messaging-inbox</x:v>
      </x:c>
      <x:c r="G254" s="339" t="str">
        <x:v>GET + POST/PATCH</x:v>
      </x:c>
      <x:c r="H254" s="339" t="str">
        <x:v>Tenant/school context + screen-specific filters/command payload; validate schema, effective references and request correlation/idempotency key for high-risk writes.</x:v>
      </x:c>
      <x:c r="I254" s="339" t="str">
        <x:v>Return authorized DTO with status/version, validation errors and correlation ID; never expose restricted fields.</x:v>
      </x:c>
      <x:c r="J254" s="339" t="str">
        <x:v>School Admin, Teacher, Parent, Student</x:v>
      </x:c>
      <x:c r="K254" s="339" t="str">
        <x:v>Use optimistic concurrency/version checks for updates; idempotency for payments, admissions confirmation, bulk imports and other retry-prone commands.</x:v>
      </x:c>
      <x:c r="L254" s="339" t="str">
        <x:v>Publish domain events after successful commit when downstream modules/notifications depend on the change.</x:v>
      </x:c>
    </x:row>
    <x:row r="255">
      <x:c r="A255" s="339" t="str">
        <x:v>API-0254</x:v>
      </x:c>
      <x:c r="B255" s="339" t="str">
        <x:v>SCR-254</x:v>
      </x:c>
      <x:c r="C255" s="339" t="str">
        <x:v>Events / PTM / Communication</x:v>
      </x:c>
      <x:c r="D255" s="339" t="str">
        <x:v>Notification Campaigns</x:v>
      </x:c>
      <x:c r="E255" s="339" t="str">
        <x:v>Communication &amp; Calendar Service</x:v>
      </x:c>
      <x:c r="F255" s="339" t="str">
        <x:v>/api/v1/events/notification-campaigns</x:v>
      </x:c>
      <x:c r="G255" s="339" t="str">
        <x:v>GET + POST/PATCH</x:v>
      </x:c>
      <x:c r="H255" s="339" t="str">
        <x:v>Tenant/school context + screen-specific filters/command payload; validate schema, effective references and request correlation/idempotency key for high-risk writes.</x:v>
      </x:c>
      <x:c r="I255" s="339" t="str">
        <x:v>Return authorized DTO with status/version, validation errors and correlation ID; never expose restricted fields.</x:v>
      </x:c>
      <x:c r="J255" s="339" t="str">
        <x:v>School Admin, Teacher, Parent, Student</x:v>
      </x:c>
      <x:c r="K255" s="339" t="str">
        <x:v>Use optimistic concurrency/version checks for updates; idempotency for payments, admissions confirmation, bulk imports and other retry-prone commands.</x:v>
      </x:c>
      <x:c r="L255" s="339" t="str">
        <x:v>Publish domain events after successful commit when downstream modules/notifications depend on the change.</x:v>
      </x:c>
    </x:row>
    <x:row r="256">
      <x:c r="A256" s="339" t="str">
        <x:v>API-0255</x:v>
      </x:c>
      <x:c r="B256" s="339" t="str">
        <x:v>SCR-255</x:v>
      </x:c>
      <x:c r="C256" s="339" t="str">
        <x:v>Events / PTM / Communication</x:v>
      </x:c>
      <x:c r="D256" s="339" t="str">
        <x:v>Communication History</x:v>
      </x:c>
      <x:c r="E256" s="339" t="str">
        <x:v>Communication &amp; Calendar Service</x:v>
      </x:c>
      <x:c r="F256" s="339" t="str">
        <x:v>/api/v1/events/communication-history</x:v>
      </x:c>
      <x:c r="G256" s="339" t="str">
        <x:v>GET + PATCH</x:v>
      </x:c>
      <x:c r="H256" s="339" t="str">
        <x:v>Tenant/school context + screen-specific filters/command payload; validate schema, effective references and request correlation/idempotency key for high-risk writes.</x:v>
      </x:c>
      <x:c r="I256" s="339" t="str">
        <x:v>Return authorized DTO with status/version, validation errors and correlation ID; never expose restricted fields.</x:v>
      </x:c>
      <x:c r="J256" s="339" t="str">
        <x:v>School Admin, Principal, Teacher, Parent, Student</x:v>
      </x:c>
      <x:c r="K256" s="339" t="str">
        <x:v>Use optimistic concurrency/version checks for updates; idempotency for payments, admissions confirmation, bulk imports and other retry-prone commands.</x:v>
      </x:c>
      <x:c r="L256" s="339" t="str">
        <x:v>Publish domain events after successful commit when downstream modules/notifications depend on the change.</x:v>
      </x:c>
    </x:row>
    <x:row r="257">
      <x:c r="A257" s="339" t="str">
        <x:v>API-0256</x:v>
      </x:c>
      <x:c r="B257" s="339" t="str">
        <x:v>SCR-256</x:v>
      </x:c>
      <x:c r="C257" s="339" t="str">
        <x:v>Documents &amp; Certificates</x:v>
      </x:c>
      <x:c r="D257" s="339" t="str">
        <x:v>Document Repository</x:v>
      </x:c>
      <x:c r="E257" s="339" t="str">
        <x:v>Document &amp; Certificate Service</x:v>
      </x:c>
      <x:c r="F257" s="339" t="str">
        <x:v>/api/v1/documents-certificates/document-repository</x:v>
      </x:c>
      <x:c r="G257" s="339" t="str">
        <x:v>GET + POST/PATCH</x:v>
      </x:c>
      <x:c r="H257" s="339" t="str">
        <x:v>Tenant/school context + screen-specific filters/command payload; validate schema, effective references and request correlation/idempotency key for high-risk writes.</x:v>
      </x:c>
      <x:c r="I257" s="339" t="str">
        <x:v>Return authorized DTO with status/version, validation errors and correlation ID; never expose restricted fields.</x:v>
      </x:c>
      <x:c r="J257" s="339" t="str">
        <x:v>School Admin, Admission Officer, HR, Student, Parent</x:v>
      </x:c>
      <x:c r="K257" s="339" t="str">
        <x:v>Use optimistic concurrency/version checks for updates; idempotency for payments, admissions confirmation, bulk imports and other retry-prone commands.</x:v>
      </x:c>
      <x:c r="L257" s="339" t="str">
        <x:v>Publish domain events after successful commit when downstream modules/notifications depend on the change.</x:v>
      </x:c>
    </x:row>
    <x:row r="258">
      <x:c r="A258" s="339" t="str">
        <x:v>API-0257</x:v>
      </x:c>
      <x:c r="B258" s="339" t="str">
        <x:v>SCR-257</x:v>
      </x:c>
      <x:c r="C258" s="339" t="str">
        <x:v>Documents &amp; Certificates</x:v>
      </x:c>
      <x:c r="D258" s="339" t="str">
        <x:v>Student Documents</x:v>
      </x:c>
      <x:c r="E258" s="339" t="str">
        <x:v>Document &amp; Certificate Service</x:v>
      </x:c>
      <x:c r="F258" s="339" t="str">
        <x:v>/api/v1/documents-certificates/student-documents</x:v>
      </x:c>
      <x:c r="G258" s="339" t="str">
        <x:v>GET + POST/PATCH</x:v>
      </x:c>
      <x:c r="H258" s="339" t="str">
        <x:v>Tenant/school context + screen-specific filters/command payload; validate schema, effective references and request correlation/idempotency key for high-risk writes.</x:v>
      </x:c>
      <x:c r="I258" s="339" t="str">
        <x:v>Return authorized DTO with status/version, validation errors and correlation ID; never expose restricted fields.</x:v>
      </x:c>
      <x:c r="J258" s="339" t="str">
        <x:v>School Admin, Student, Parent, Admission Officer</x:v>
      </x:c>
      <x:c r="K258" s="339" t="str">
        <x:v>Use optimistic concurrency/version checks for updates; idempotency for payments, admissions confirmation, bulk imports and other retry-prone commands.</x:v>
      </x:c>
      <x:c r="L258" s="339" t="str">
        <x:v>Publish domain events after successful commit when downstream modules/notifications depend on the change.</x:v>
      </x:c>
    </x:row>
    <x:row r="259">
      <x:c r="A259" s="339" t="str">
        <x:v>API-0258</x:v>
      </x:c>
      <x:c r="B259" s="339" t="str">
        <x:v>SCR-258</x:v>
      </x:c>
      <x:c r="C259" s="339" t="str">
        <x:v>Documents &amp; Certificates</x:v>
      </x:c>
      <x:c r="D259" s="339" t="str">
        <x:v>Staff Documents</x:v>
      </x:c>
      <x:c r="E259" s="339" t="str">
        <x:v>Document &amp; Certificate Service</x:v>
      </x:c>
      <x:c r="F259" s="339" t="str">
        <x:v>/api/v1/documents-certificates/staff-documents</x:v>
      </x:c>
      <x:c r="G259" s="339" t="str">
        <x:v>GET + POST/PATCH</x:v>
      </x:c>
      <x:c r="H259" s="339" t="str">
        <x:v>Tenant/school context + screen-specific filters/command payload; validate schema, effective references and request correlation/idempotency key for high-risk writes.</x:v>
      </x:c>
      <x:c r="I259" s="339" t="str">
        <x:v>Return authorized DTO with status/version, validation errors and correlation ID; never expose restricted fields.</x:v>
      </x:c>
      <x:c r="J259" s="339" t="str">
        <x:v>HR, School Admin, Employee</x:v>
      </x:c>
      <x:c r="K259" s="339" t="str">
        <x:v>Use optimistic concurrency/version checks for updates; idempotency for payments, admissions confirmation, bulk imports and other retry-prone commands.</x:v>
      </x:c>
      <x:c r="L259" s="339" t="str">
        <x:v>Publish domain events after successful commit when downstream modules/notifications depend on the change.</x:v>
      </x:c>
    </x:row>
    <x:row r="260">
      <x:c r="A260" s="339" t="str">
        <x:v>API-0259</x:v>
      </x:c>
      <x:c r="B260" s="339" t="str">
        <x:v>SCR-259</x:v>
      </x:c>
      <x:c r="C260" s="339" t="str">
        <x:v>Documents &amp; Certificates</x:v>
      </x:c>
      <x:c r="D260" s="339" t="str">
        <x:v>Upload &amp; Verification</x:v>
      </x:c>
      <x:c r="E260" s="339" t="str">
        <x:v>Document &amp; Certificate Service</x:v>
      </x:c>
      <x:c r="F260" s="339" t="str">
        <x:v>/api/v1/documents-certificates/upload-verification</x:v>
      </x:c>
      <x:c r="G260" s="339" t="str">
        <x:v>POST</x:v>
      </x:c>
      <x:c r="H260" s="339" t="str">
        <x:v>Tenant/school context + screen-specific filters/command payload; validate schema, effective references and request correlation/idempotency key for high-risk writes.</x:v>
      </x:c>
      <x:c r="I260" s="339" t="str">
        <x:v>Return authorized DTO with status/version, validation errors and correlation ID; never expose restricted fields.</x:v>
      </x:c>
      <x:c r="J260" s="339" t="str">
        <x:v>School Admin, Admission Officer, HR, Student, Parent</x:v>
      </x:c>
      <x:c r="K260" s="339" t="str">
        <x:v>Use optimistic concurrency/version checks for updates; idempotency for payments, admissions confirmation, bulk imports and other retry-prone commands.</x:v>
      </x:c>
      <x:c r="L260" s="339" t="str">
        <x:v>Publish domain events after successful commit when downstream modules/notifications depend on the change.</x:v>
      </x:c>
    </x:row>
    <x:row r="261">
      <x:c r="A261" s="339" t="str">
        <x:v>API-0260</x:v>
      </x:c>
      <x:c r="B261" s="339" t="str">
        <x:v>SCR-260</x:v>
      </x:c>
      <x:c r="C261" s="339" t="str">
        <x:v>Documents &amp; Certificates</x:v>
      </x:c>
      <x:c r="D261" s="339" t="str">
        <x:v>Certificate Templates</x:v>
      </x:c>
      <x:c r="E261" s="339" t="str">
        <x:v>Document &amp; Certificate Service</x:v>
      </x:c>
      <x:c r="F261" s="339" t="str">
        <x:v>/api/v1/documents-certificates/certificate-templates</x:v>
      </x:c>
      <x:c r="G261" s="339" t="str">
        <x:v>GET/PUT</x:v>
      </x:c>
      <x:c r="H261" s="339" t="str">
        <x:v>Tenant/school context + screen-specific filters/command payload; validate schema, effective references and request correlation/idempotency key for high-risk writes.</x:v>
      </x:c>
      <x:c r="I261" s="339" t="str">
        <x:v>Return authorized DTO with status/version, validation errors and correlation ID; never expose restricted fields.</x:v>
      </x:c>
      <x:c r="J261" s="339" t="str">
        <x:v>School Admin, Admission Officer, HR, Student, Parent</x:v>
      </x:c>
      <x:c r="K261" s="339" t="str">
        <x:v>Use optimistic concurrency/version checks for updates; idempotency for payments, admissions confirmation, bulk imports and other retry-prone commands.</x:v>
      </x:c>
      <x:c r="L261" s="339" t="str">
        <x:v>Publish domain events after successful commit when downstream modules/notifications depend on the change.</x:v>
      </x:c>
    </x:row>
    <x:row r="262">
      <x:c r="A262" s="339" t="str">
        <x:v>API-0261</x:v>
      </x:c>
      <x:c r="B262" s="339" t="str">
        <x:v>SCR-261</x:v>
      </x:c>
      <x:c r="C262" s="339" t="str">
        <x:v>Documents &amp; Certificates</x:v>
      </x:c>
      <x:c r="D262" s="339" t="str">
        <x:v>Generate Certificate</x:v>
      </x:c>
      <x:c r="E262" s="339" t="str">
        <x:v>Document &amp; Certificate Service</x:v>
      </x:c>
      <x:c r="F262" s="339" t="str">
        <x:v>/api/v1/documents-certificates/generate-certificate</x:v>
      </x:c>
      <x:c r="G262" s="339" t="str">
        <x:v>POST</x:v>
      </x:c>
      <x:c r="H262" s="339" t="str">
        <x:v>Tenant/school context + screen-specific filters/command payload; validate schema, effective references and request correlation/idempotency key for high-risk writes.</x:v>
      </x:c>
      <x:c r="I262" s="339" t="str">
        <x:v>Return authorized DTO with status/version, validation errors and correlation ID; never expose restricted fields.</x:v>
      </x:c>
      <x:c r="J262" s="339" t="str">
        <x:v>School Admin, Admission Officer, HR, Student, Parent</x:v>
      </x:c>
      <x:c r="K262" s="339" t="str">
        <x:v>Use optimistic concurrency/version checks for updates; idempotency for payments, admissions confirmation, bulk imports and other retry-prone commands.</x:v>
      </x:c>
      <x:c r="L262" s="339" t="str">
        <x:v>Publish domain events after successful commit when downstream modules/notifications depend on the change.</x:v>
      </x:c>
    </x:row>
    <x:row r="263">
      <x:c r="A263" s="339" t="str">
        <x:v>API-0262</x:v>
      </x:c>
      <x:c r="B263" s="339" t="str">
        <x:v>SCR-262</x:v>
      </x:c>
      <x:c r="C263" s="339" t="str">
        <x:v>Documents &amp; Certificates</x:v>
      </x:c>
      <x:c r="D263" s="339" t="str">
        <x:v>Transfer Certificate</x:v>
      </x:c>
      <x:c r="E263" s="339" t="str">
        <x:v>Document &amp; Certificate Service</x:v>
      </x:c>
      <x:c r="F263" s="339" t="str">
        <x:v>/api/v1/documents-certificates/transfer-certificate</x:v>
      </x:c>
      <x:c r="G263" s="339" t="str">
        <x:v>GET + POST/PATCH</x:v>
      </x:c>
      <x:c r="H263" s="339" t="str">
        <x:v>Tenant/school context + screen-specific filters/command payload; validate schema, effective references and request correlation/idempotency key for high-risk writes.</x:v>
      </x:c>
      <x:c r="I263" s="339" t="str">
        <x:v>Return authorized DTO with status/version, validation errors and correlation ID; never expose restricted fields.</x:v>
      </x:c>
      <x:c r="J263" s="339" t="str">
        <x:v>School Admin, Student, Parent, Admission Officer</x:v>
      </x:c>
      <x:c r="K263" s="339" t="str">
        <x:v>Use optimistic concurrency/version checks for updates; idempotency for payments, admissions confirmation, bulk imports and other retry-prone commands.</x:v>
      </x:c>
      <x:c r="L263" s="339" t="str">
        <x:v>Publish domain events after successful commit when downstream modules/notifications depend on the change.</x:v>
      </x:c>
    </x:row>
    <x:row r="264">
      <x:c r="A264" s="339" t="str">
        <x:v>API-0263</x:v>
      </x:c>
      <x:c r="B264" s="339" t="str">
        <x:v>SCR-263</x:v>
      </x:c>
      <x:c r="C264" s="339" t="str">
        <x:v>Documents &amp; Certificates</x:v>
      </x:c>
      <x:c r="D264" s="339" t="str">
        <x:v>Certificate Register</x:v>
      </x:c>
      <x:c r="E264" s="339" t="str">
        <x:v>Document &amp; Certificate Service</x:v>
      </x:c>
      <x:c r="F264" s="339" t="str">
        <x:v>/api/v1/documents-certificates/certificate-register</x:v>
      </x:c>
      <x:c r="G264" s="339" t="str">
        <x:v>GET + PATCH</x:v>
      </x:c>
      <x:c r="H264" s="339" t="str">
        <x:v>Tenant/school context + screen-specific filters/command payload; validate schema, effective references and request correlation/idempotency key for high-risk writes.</x:v>
      </x:c>
      <x:c r="I264" s="339" t="str">
        <x:v>Return authorized DTO with status/version, validation errors and correlation ID; never expose restricted fields.</x:v>
      </x:c>
      <x:c r="J264" s="339" t="str">
        <x:v>School Admin, Admission Officer, HR, Student, Parent</x:v>
      </x:c>
      <x:c r="K264" s="339" t="str">
        <x:v>Use optimistic concurrency/version checks for updates; idempotency for payments, admissions confirmation, bulk imports and other retry-prone commands.</x:v>
      </x:c>
      <x:c r="L264" s="339" t="str">
        <x:v>Publish domain events after successful commit when downstream modules/notifications depend on the change.</x:v>
      </x:c>
    </x:row>
    <x:row r="265">
      <x:c r="A265" s="339" t="str">
        <x:v>API-0264</x:v>
      </x:c>
      <x:c r="B265" s="339" t="str">
        <x:v>SCR-264</x:v>
      </x:c>
      <x:c r="C265" s="339" t="str">
        <x:v>Reports &amp; Analytics</x:v>
      </x:c>
      <x:c r="D265" s="339" t="str">
        <x:v>Executive Analytics Dashboard</x:v>
      </x:c>
      <x:c r="E265" s="339" t="str">
        <x:v>Reporting / Analytics Service</x:v>
      </x:c>
      <x:c r="F265" s="339" t="str">
        <x:v>/api/v1/reports-analytics/executive-analytics-dashboard</x:v>
      </x:c>
      <x:c r="G265" s="339" t="str">
        <x:v>GET</x:v>
      </x:c>
      <x:c r="H265" s="339" t="str">
        <x:v>Tenant/school context + screen-specific filters/command payload; validate schema, effective references and request correlation/idempotency key for high-risk writes.</x:v>
      </x:c>
      <x:c r="I265" s="339" t="str">
        <x:v>Return authorized DTO with status/version, validation errors and correlation ID; never expose restricted fields.</x:v>
      </x:c>
      <x:c r="J265" s="339" t="str">
        <x:v>School Admin, Principal, Owner / Director, Department Heads</x:v>
      </x:c>
      <x:c r="K265" s="339" t="str">
        <x:v>Use optimistic concurrency/version checks for updates; idempotency for payments, admissions confirmation, bulk imports and other retry-prone commands.</x:v>
      </x:c>
      <x:c r="L265" s="339" t="str">
        <x:v>Publish domain events after successful commit when downstream modules/notifications depend on the change.</x:v>
      </x:c>
    </x:row>
    <x:row r="266">
      <x:c r="A266" s="339" t="str">
        <x:v>API-0265</x:v>
      </x:c>
      <x:c r="B266" s="339" t="str">
        <x:v>SCR-265</x:v>
      </x:c>
      <x:c r="C266" s="339" t="str">
        <x:v>Reports &amp; Analytics</x:v>
      </x:c>
      <x:c r="D266" s="339" t="str">
        <x:v>Admission Reports</x:v>
      </x:c>
      <x:c r="E266" s="339" t="str">
        <x:v>Reporting / Analytics Service</x:v>
      </x:c>
      <x:c r="F266" s="339" t="str">
        <x:v>/api/v1/reports-analytics/admission-reports</x:v>
      </x:c>
      <x:c r="G266" s="339" t="str">
        <x:v>GET</x:v>
      </x:c>
      <x:c r="H266" s="339" t="str">
        <x:v>Tenant/school context + screen-specific filters/command payload; validate schema, effective references and request correlation/idempotency key for high-risk writes.</x:v>
      </x:c>
      <x:c r="I266" s="339" t="str">
        <x:v>Return authorized DTO with status/version, validation errors and correlation ID; never expose restricted fields.</x:v>
      </x:c>
      <x:c r="J266" s="339" t="str">
        <x:v>School Admin, Principal, Owner / Director, Department Heads</x:v>
      </x:c>
      <x:c r="K266" s="339" t="str">
        <x:v>Use optimistic concurrency/version checks for updates; idempotency for payments, admissions confirmation, bulk imports and other retry-prone commands.</x:v>
      </x:c>
      <x:c r="L266" s="339" t="str">
        <x:v>Publish domain events after successful commit when downstream modules/notifications depend on the change.</x:v>
      </x:c>
    </x:row>
    <x:row r="267">
      <x:c r="A267" s="339" t="str">
        <x:v>API-0266</x:v>
      </x:c>
      <x:c r="B267" s="339" t="str">
        <x:v>SCR-266</x:v>
      </x:c>
      <x:c r="C267" s="339" t="str">
        <x:v>Reports &amp; Analytics</x:v>
      </x:c>
      <x:c r="D267" s="339" t="str">
        <x:v>Student Strength Report</x:v>
      </x:c>
      <x:c r="E267" s="339" t="str">
        <x:v>Reporting / Analytics Service</x:v>
      </x:c>
      <x:c r="F267" s="339" t="str">
        <x:v>/api/v1/reports-analytics/student-strength-report</x:v>
      </x:c>
      <x:c r="G267" s="339" t="str">
        <x:v>GET</x:v>
      </x:c>
      <x:c r="H267" s="339" t="str">
        <x:v>Tenant/school context + screen-specific filters/command payload; validate schema, effective references and request correlation/idempotency key for high-risk writes.</x:v>
      </x:c>
      <x:c r="I267" s="339" t="str">
        <x:v>Return authorized DTO with status/version, validation errors and correlation ID; never expose restricted fields.</x:v>
      </x:c>
      <x:c r="J267" s="339" t="str">
        <x:v>School Admin, Principal, Owner / Director, Department Heads</x:v>
      </x:c>
      <x:c r="K267" s="339" t="str">
        <x:v>Use optimistic concurrency/version checks for updates; idempotency for payments, admissions confirmation, bulk imports and other retry-prone commands.</x:v>
      </x:c>
      <x:c r="L267" s="339" t="str">
        <x:v>Publish domain events after successful commit when downstream modules/notifications depend on the change.</x:v>
      </x:c>
    </x:row>
    <x:row r="268">
      <x:c r="A268" s="339" t="str">
        <x:v>API-0267</x:v>
      </x:c>
      <x:c r="B268" s="339" t="str">
        <x:v>SCR-267</x:v>
      </x:c>
      <x:c r="C268" s="339" t="str">
        <x:v>Reports &amp; Analytics</x:v>
      </x:c>
      <x:c r="D268" s="339" t="str">
        <x:v>Student Demographics</x:v>
      </x:c>
      <x:c r="E268" s="339" t="str">
        <x:v>Reporting / Analytics Service</x:v>
      </x:c>
      <x:c r="F268" s="339" t="str">
        <x:v>/api/v1/reports-analytics/student-demographics</x:v>
      </x:c>
      <x:c r="G268" s="339" t="str">
        <x:v>GET + POST/PATCH</x:v>
      </x:c>
      <x:c r="H268" s="339" t="str">
        <x:v>Tenant/school context + screen-specific filters/command payload; validate schema, effective references and request correlation/idempotency key for high-risk writes.</x:v>
      </x:c>
      <x:c r="I268" s="339" t="str">
        <x:v>Return authorized DTO with status/version, validation errors and correlation ID; never expose restricted fields.</x:v>
      </x:c>
      <x:c r="J268" s="339" t="str">
        <x:v>School Admin, Principal, Owner / Director, Department Heads</x:v>
      </x:c>
      <x:c r="K268" s="339" t="str">
        <x:v>Use optimistic concurrency/version checks for updates; idempotency for payments, admissions confirmation, bulk imports and other retry-prone commands.</x:v>
      </x:c>
      <x:c r="L268" s="339" t="str">
        <x:v>Publish domain events after successful commit when downstream modules/notifications depend on the change.</x:v>
      </x:c>
    </x:row>
    <x:row r="269">
      <x:c r="A269" s="339" t="str">
        <x:v>API-0268</x:v>
      </x:c>
      <x:c r="B269" s="339" t="str">
        <x:v>SCR-268</x:v>
      </x:c>
      <x:c r="C269" s="339" t="str">
        <x:v>Reports &amp; Analytics</x:v>
      </x:c>
      <x:c r="D269" s="339" t="str">
        <x:v>Attendance Analytics</x:v>
      </x:c>
      <x:c r="E269" s="339" t="str">
        <x:v>Reporting / Analytics Service</x:v>
      </x:c>
      <x:c r="F269" s="339" t="str">
        <x:v>/api/v1/reports-analytics/attendance-analytics</x:v>
      </x:c>
      <x:c r="G269" s="339" t="str">
        <x:v>GET</x:v>
      </x:c>
      <x:c r="H269" s="339" t="str">
        <x:v>Tenant/school context + screen-specific filters/command payload; validate schema, effective references and request correlation/idempotency key for high-risk writes.</x:v>
      </x:c>
      <x:c r="I269" s="339" t="str">
        <x:v>Return authorized DTO with status/version, validation errors and correlation ID; never expose restricted fields.</x:v>
      </x:c>
      <x:c r="J269" s="339" t="str">
        <x:v>School Admin, Principal, Owner / Director, Department Heads</x:v>
      </x:c>
      <x:c r="K269" s="339" t="str">
        <x:v>Use optimistic concurrency/version checks for updates; idempotency for payments, admissions confirmation, bulk imports and other retry-prone commands.</x:v>
      </x:c>
      <x:c r="L269" s="339" t="str">
        <x:v>Publish domain events after successful commit when downstream modules/notifications depend on the change.</x:v>
      </x:c>
    </x:row>
    <x:row r="270">
      <x:c r="A270" s="339" t="str">
        <x:v>API-0269</x:v>
      </x:c>
      <x:c r="B270" s="339" t="str">
        <x:v>SCR-269</x:v>
      </x:c>
      <x:c r="C270" s="339" t="str">
        <x:v>Reports &amp; Analytics</x:v>
      </x:c>
      <x:c r="D270" s="339" t="str">
        <x:v>Chronic Absenteeism Report</x:v>
      </x:c>
      <x:c r="E270" s="339" t="str">
        <x:v>Reporting / Analytics Service</x:v>
      </x:c>
      <x:c r="F270" s="339" t="str">
        <x:v>/api/v1/reports-analytics/chronic-absenteeism-report</x:v>
      </x:c>
      <x:c r="G270" s="339" t="str">
        <x:v>GET</x:v>
      </x:c>
      <x:c r="H270" s="339" t="str">
        <x:v>Tenant/school context + screen-specific filters/command payload; validate schema, effective references and request correlation/idempotency key for high-risk writes.</x:v>
      </x:c>
      <x:c r="I270" s="339" t="str">
        <x:v>Return authorized DTO with status/version, validation errors and correlation ID; never expose restricted fields.</x:v>
      </x:c>
      <x:c r="J270" s="339" t="str">
        <x:v>School Admin, Principal, Owner / Director, Department Heads</x:v>
      </x:c>
      <x:c r="K270" s="339" t="str">
        <x:v>Use optimistic concurrency/version checks for updates; idempotency for payments, admissions confirmation, bulk imports and other retry-prone commands.</x:v>
      </x:c>
      <x:c r="L270" s="339" t="str">
        <x:v>Publish domain events after successful commit when downstream modules/notifications depend on the change.</x:v>
      </x:c>
    </x:row>
    <x:row r="271">
      <x:c r="A271" s="339" t="str">
        <x:v>API-0270</x:v>
      </x:c>
      <x:c r="B271" s="339" t="str">
        <x:v>SCR-270</x:v>
      </x:c>
      <x:c r="C271" s="339" t="str">
        <x:v>Reports &amp; Analytics</x:v>
      </x:c>
      <x:c r="D271" s="339" t="str">
        <x:v>Academic Performance</x:v>
      </x:c>
      <x:c r="E271" s="339" t="str">
        <x:v>Reporting / Analytics Service</x:v>
      </x:c>
      <x:c r="F271" s="339" t="str">
        <x:v>/api/v1/reports-analytics/academic-performance</x:v>
      </x:c>
      <x:c r="G271" s="339" t="str">
        <x:v>GET + POST/PATCH</x:v>
      </x:c>
      <x:c r="H271" s="339" t="str">
        <x:v>Tenant/school context + screen-specific filters/command payload; validate schema, effective references and request correlation/idempotency key for high-risk writes.</x:v>
      </x:c>
      <x:c r="I271" s="339" t="str">
        <x:v>Return authorized DTO with status/version, validation errors and correlation ID; never expose restricted fields.</x:v>
      </x:c>
      <x:c r="J271" s="339" t="str">
        <x:v>School Admin, Principal, Owner / Director, Department Heads</x:v>
      </x:c>
      <x:c r="K271" s="339" t="str">
        <x:v>Use optimistic concurrency/version checks for updates; idempotency for payments, admissions confirmation, bulk imports and other retry-prone commands.</x:v>
      </x:c>
      <x:c r="L271" s="339" t="str">
        <x:v>Publish domain events after successful commit when downstream modules/notifications depend on the change.</x:v>
      </x:c>
    </x:row>
    <x:row r="272">
      <x:c r="A272" s="339" t="str">
        <x:v>API-0271</x:v>
      </x:c>
      <x:c r="B272" s="339" t="str">
        <x:v>SCR-271</x:v>
      </x:c>
      <x:c r="C272" s="339" t="str">
        <x:v>Reports &amp; Analytics</x:v>
      </x:c>
      <x:c r="D272" s="339" t="str">
        <x:v>Subject Performance</x:v>
      </x:c>
      <x:c r="E272" s="339" t="str">
        <x:v>Reporting / Analytics Service</x:v>
      </x:c>
      <x:c r="F272" s="339" t="str">
        <x:v>/api/v1/reports-analytics/subject-performance</x:v>
      </x:c>
      <x:c r="G272" s="339" t="str">
        <x:v>GET + POST/PATCH</x:v>
      </x:c>
      <x:c r="H272" s="339" t="str">
        <x:v>Tenant/school context + screen-specific filters/command payload; validate schema, effective references and request correlation/idempotency key for high-risk writes.</x:v>
      </x:c>
      <x:c r="I272" s="339" t="str">
        <x:v>Return authorized DTO with status/version, validation errors and correlation ID; never expose restricted fields.</x:v>
      </x:c>
      <x:c r="J272" s="339" t="str">
        <x:v>School Admin, Principal, Owner / Director, Department Heads</x:v>
      </x:c>
      <x:c r="K272" s="339" t="str">
        <x:v>Use optimistic concurrency/version checks for updates; idempotency for payments, admissions confirmation, bulk imports and other retry-prone commands.</x:v>
      </x:c>
      <x:c r="L272" s="339" t="str">
        <x:v>Publish domain events after successful commit when downstream modules/notifications depend on the change.</x:v>
      </x:c>
    </x:row>
    <x:row r="273">
      <x:c r="A273" s="339" t="str">
        <x:v>API-0272</x:v>
      </x:c>
      <x:c r="B273" s="339" t="str">
        <x:v>SCR-272</x:v>
      </x:c>
      <x:c r="C273" s="339" t="str">
        <x:v>Reports &amp; Analytics</x:v>
      </x:c>
      <x:c r="D273" s="339" t="str">
        <x:v>Exam Result Analysis</x:v>
      </x:c>
      <x:c r="E273" s="339" t="str">
        <x:v>Reporting / Analytics Service</x:v>
      </x:c>
      <x:c r="F273" s="339" t="str">
        <x:v>/api/v1/reports-analytics/exam-result-analysis</x:v>
      </x:c>
      <x:c r="G273" s="339" t="str">
        <x:v>GET + PATCH</x:v>
      </x:c>
      <x:c r="H273" s="339" t="str">
        <x:v>Tenant/school context + screen-specific filters/command payload; validate schema, effective references and request correlation/idempotency key for high-risk writes.</x:v>
      </x:c>
      <x:c r="I273" s="339" t="str">
        <x:v>Return authorized DTO with status/version, validation errors and correlation ID; never expose restricted fields.</x:v>
      </x:c>
      <x:c r="J273" s="339" t="str">
        <x:v>School Admin, Principal, Owner / Director, Department Heads</x:v>
      </x:c>
      <x:c r="K273" s="339" t="str">
        <x:v>Use optimistic concurrency/version checks for updates; idempotency for payments, admissions confirmation, bulk imports and other retry-prone commands.</x:v>
      </x:c>
      <x:c r="L273" s="339" t="str">
        <x:v>Publish domain events after successful commit when downstream modules/notifications depend on the change.</x:v>
      </x:c>
    </x:row>
    <x:row r="274">
      <x:c r="A274" s="339" t="str">
        <x:v>API-0273</x:v>
      </x:c>
      <x:c r="B274" s="339" t="str">
        <x:v>SCR-273</x:v>
      </x:c>
      <x:c r="C274" s="339" t="str">
        <x:v>Reports &amp; Analytics</x:v>
      </x:c>
      <x:c r="D274" s="339" t="str">
        <x:v>Fee Collection Report</x:v>
      </x:c>
      <x:c r="E274" s="339" t="str">
        <x:v>Reporting / Analytics Service</x:v>
      </x:c>
      <x:c r="F274" s="339" t="str">
        <x:v>/api/v1/reports-analytics/fee-collection-report</x:v>
      </x:c>
      <x:c r="G274" s="339" t="str">
        <x:v>POST</x:v>
      </x:c>
      <x:c r="H274" s="339" t="str">
        <x:v>Tenant/school context + screen-specific filters/command payload; validate schema, effective references and request correlation/idempotency key for high-risk writes.</x:v>
      </x:c>
      <x:c r="I274" s="339" t="str">
        <x:v>Return authorized DTO with status/version, validation errors and correlation ID; never expose restricted fields.</x:v>
      </x:c>
      <x:c r="J274" s="339" t="str">
        <x:v>School Admin, Principal, Owner / Director, Department Heads</x:v>
      </x:c>
      <x:c r="K274" s="339" t="str">
        <x:v>Use optimistic concurrency/version checks for updates; idempotency for payments, admissions confirmation, bulk imports and other retry-prone commands.</x:v>
      </x:c>
      <x:c r="L274" s="339" t="str">
        <x:v>Publish domain events after successful commit when downstream modules/notifications depend on the change.</x:v>
      </x:c>
    </x:row>
    <x:row r="275">
      <x:c r="A275" s="339" t="str">
        <x:v>API-0274</x:v>
      </x:c>
      <x:c r="B275" s="339" t="str">
        <x:v>SCR-274</x:v>
      </x:c>
      <x:c r="C275" s="339" t="str">
        <x:v>Reports &amp; Analytics</x:v>
      </x:c>
      <x:c r="D275" s="339" t="str">
        <x:v>Outstanding Dues Report</x:v>
      </x:c>
      <x:c r="E275" s="339" t="str">
        <x:v>Reporting / Analytics Service</x:v>
      </x:c>
      <x:c r="F275" s="339" t="str">
        <x:v>/api/v1/reports-analytics/outstanding-dues-report</x:v>
      </x:c>
      <x:c r="G275" s="339" t="str">
        <x:v>GET</x:v>
      </x:c>
      <x:c r="H275" s="339" t="str">
        <x:v>Tenant/school context + screen-specific filters/command payload; validate schema, effective references and request correlation/idempotency key for high-risk writes.</x:v>
      </x:c>
      <x:c r="I275" s="339" t="str">
        <x:v>Return authorized DTO with status/version, validation errors and correlation ID; never expose restricted fields.</x:v>
      </x:c>
      <x:c r="J275" s="339" t="str">
        <x:v>School Admin, Principal, Owner / Director, Department Heads</x:v>
      </x:c>
      <x:c r="K275" s="339" t="str">
        <x:v>Use optimistic concurrency/version checks for updates; idempotency for payments, admissions confirmation, bulk imports and other retry-prone commands.</x:v>
      </x:c>
      <x:c r="L275" s="339" t="str">
        <x:v>Publish domain events after successful commit when downstream modules/notifications depend on the change.</x:v>
      </x:c>
    </x:row>
    <x:row r="276">
      <x:c r="A276" s="339" t="str">
        <x:v>API-0275</x:v>
      </x:c>
      <x:c r="B276" s="339" t="str">
        <x:v>SCR-275</x:v>
      </x:c>
      <x:c r="C276" s="339" t="str">
        <x:v>Reports &amp; Analytics</x:v>
      </x:c>
      <x:c r="D276" s="339" t="str">
        <x:v>Finance Summary</x:v>
      </x:c>
      <x:c r="E276" s="339" t="str">
        <x:v>Reporting / Analytics Service</x:v>
      </x:c>
      <x:c r="F276" s="339" t="str">
        <x:v>/api/v1/reports-analytics/finance-summary</x:v>
      </x:c>
      <x:c r="G276" s="339" t="str">
        <x:v>GET</x:v>
      </x:c>
      <x:c r="H276" s="339" t="str">
        <x:v>Tenant/school context + screen-specific filters/command payload; validate schema, effective references and request correlation/idempotency key for high-risk writes.</x:v>
      </x:c>
      <x:c r="I276" s="339" t="str">
        <x:v>Return authorized DTO with status/version, validation errors and correlation ID; never expose restricted fields.</x:v>
      </x:c>
      <x:c r="J276" s="339" t="str">
        <x:v>School Admin, Principal, Owner / Director, Department Heads</x:v>
      </x:c>
      <x:c r="K276" s="339" t="str">
        <x:v>Use optimistic concurrency/version checks for updates; idempotency for payments, admissions confirmation, bulk imports and other retry-prone commands.</x:v>
      </x:c>
      <x:c r="L276" s="339" t="str">
        <x:v>Publish domain events after successful commit when downstream modules/notifications depend on the change.</x:v>
      </x:c>
    </x:row>
    <x:row r="277">
      <x:c r="A277" s="339" t="str">
        <x:v>API-0276</x:v>
      </x:c>
      <x:c r="B277" s="339" t="str">
        <x:v>SCR-276</x:v>
      </x:c>
      <x:c r="C277" s="339" t="str">
        <x:v>Reports &amp; Analytics</x:v>
      </x:c>
      <x:c r="D277" s="339" t="str">
        <x:v>Staff Attendance Report</x:v>
      </x:c>
      <x:c r="E277" s="339" t="str">
        <x:v>Reporting / Analytics Service</x:v>
      </x:c>
      <x:c r="F277" s="339" t="str">
        <x:v>/api/v1/reports-analytics/staff-attendance-report</x:v>
      </x:c>
      <x:c r="G277" s="339" t="str">
        <x:v>GET</x:v>
      </x:c>
      <x:c r="H277" s="339" t="str">
        <x:v>Tenant/school context + screen-specific filters/command payload; validate schema, effective references and request correlation/idempotency key for high-risk writes.</x:v>
      </x:c>
      <x:c r="I277" s="339" t="str">
        <x:v>Return authorized DTO with status/version, validation errors and correlation ID; never expose restricted fields.</x:v>
      </x:c>
      <x:c r="J277" s="339" t="str">
        <x:v>School Admin, Principal, Owner / Director, Department Heads</x:v>
      </x:c>
      <x:c r="K277" s="339" t="str">
        <x:v>Use optimistic concurrency/version checks for updates; idempotency for payments, admissions confirmation, bulk imports and other retry-prone commands.</x:v>
      </x:c>
      <x:c r="L277" s="339" t="str">
        <x:v>Publish domain events after successful commit when downstream modules/notifications depend on the change.</x:v>
      </x:c>
    </x:row>
    <x:row r="278">
      <x:c r="A278" s="339" t="str">
        <x:v>API-0277</x:v>
      </x:c>
      <x:c r="B278" s="339" t="str">
        <x:v>SCR-277</x:v>
      </x:c>
      <x:c r="C278" s="339" t="str">
        <x:v>Reports &amp; Analytics</x:v>
      </x:c>
      <x:c r="D278" s="339" t="str">
        <x:v>Payroll Summary</x:v>
      </x:c>
      <x:c r="E278" s="339" t="str">
        <x:v>Reporting / Analytics Service</x:v>
      </x:c>
      <x:c r="F278" s="339" t="str">
        <x:v>/api/v1/reports-analytics/payroll-summary</x:v>
      </x:c>
      <x:c r="G278" s="339" t="str">
        <x:v>GET</x:v>
      </x:c>
      <x:c r="H278" s="339" t="str">
        <x:v>Tenant/school context + screen-specific filters/command payload; validate schema, effective references and request correlation/idempotency key for high-risk writes.</x:v>
      </x:c>
      <x:c r="I278" s="339" t="str">
        <x:v>Return authorized DTO with status/version, validation errors and correlation ID; never expose restricted fields.</x:v>
      </x:c>
      <x:c r="J278" s="339" t="str">
        <x:v>School Admin, Principal, Owner / Director, Department Heads</x:v>
      </x:c>
      <x:c r="K278" s="339" t="str">
        <x:v>Use optimistic concurrency/version checks for updates; idempotency for payments, admissions confirmation, bulk imports and other retry-prone commands.</x:v>
      </x:c>
      <x:c r="L278" s="339" t="str">
        <x:v>Publish domain events after successful commit when downstream modules/notifications depend on the change.</x:v>
      </x:c>
    </x:row>
    <x:row r="279">
      <x:c r="A279" s="339" t="str">
        <x:v>API-0278</x:v>
      </x:c>
      <x:c r="B279" s="339" t="str">
        <x:v>SCR-278</x:v>
      </x:c>
      <x:c r="C279" s="339" t="str">
        <x:v>Reports &amp; Analytics</x:v>
      </x:c>
      <x:c r="D279" s="339" t="str">
        <x:v>Teacher Performance</x:v>
      </x:c>
      <x:c r="E279" s="339" t="str">
        <x:v>Reporting / Analytics Service</x:v>
      </x:c>
      <x:c r="F279" s="339" t="str">
        <x:v>/api/v1/reports-analytics/teacher-performance</x:v>
      </x:c>
      <x:c r="G279" s="339" t="str">
        <x:v>GET + POST/PATCH</x:v>
      </x:c>
      <x:c r="H279" s="339" t="str">
        <x:v>Tenant/school context + screen-specific filters/command payload; validate schema, effective references and request correlation/idempotency key for high-risk writes.</x:v>
      </x:c>
      <x:c r="I279" s="339" t="str">
        <x:v>Return authorized DTO with status/version, validation errors and correlation ID; never expose restricted fields.</x:v>
      </x:c>
      <x:c r="J279" s="339" t="str">
        <x:v>School Admin, Principal, Owner / Director, Department Heads</x:v>
      </x:c>
      <x:c r="K279" s="339" t="str">
        <x:v>Use optimistic concurrency/version checks for updates; idempotency for payments, admissions confirmation, bulk imports and other retry-prone commands.</x:v>
      </x:c>
      <x:c r="L279" s="339" t="str">
        <x:v>Publish domain events after successful commit when downstream modules/notifications depend on the change.</x:v>
      </x:c>
    </x:row>
    <x:row r="280">
      <x:c r="A280" s="339" t="str">
        <x:v>API-0279</x:v>
      </x:c>
      <x:c r="B280" s="339" t="str">
        <x:v>SCR-279</x:v>
      </x:c>
      <x:c r="C280" s="339" t="str">
        <x:v>Reports &amp; Analytics</x:v>
      </x:c>
      <x:c r="D280" s="339" t="str">
        <x:v>Transport Utilization</x:v>
      </x:c>
      <x:c r="E280" s="339" t="str">
        <x:v>Reporting / Analytics Service</x:v>
      </x:c>
      <x:c r="F280" s="339" t="str">
        <x:v>/api/v1/reports-analytics/transport-utilization</x:v>
      </x:c>
      <x:c r="G280" s="339" t="str">
        <x:v>GET</x:v>
      </x:c>
      <x:c r="H280" s="339" t="str">
        <x:v>Tenant/school context + screen-specific filters/command payload; validate schema, effective references and request correlation/idempotency key for high-risk writes.</x:v>
      </x:c>
      <x:c r="I280" s="339" t="str">
        <x:v>Return authorized DTO with status/version, validation errors and correlation ID; never expose restricted fields.</x:v>
      </x:c>
      <x:c r="J280" s="339" t="str">
        <x:v>School Admin, Principal, Owner / Director, Department Heads</x:v>
      </x:c>
      <x:c r="K280" s="339" t="str">
        <x:v>Use optimistic concurrency/version checks for updates; idempotency for payments, admissions confirmation, bulk imports and other retry-prone commands.</x:v>
      </x:c>
      <x:c r="L280" s="339" t="str">
        <x:v>Publish domain events after successful commit when downstream modules/notifications depend on the change.</x:v>
      </x:c>
    </x:row>
    <x:row r="281">
      <x:c r="A281" s="339" t="str">
        <x:v>API-0280</x:v>
      </x:c>
      <x:c r="B281" s="339" t="str">
        <x:v>SCR-280</x:v>
      </x:c>
      <x:c r="C281" s="339" t="str">
        <x:v>Reports &amp; Analytics</x:v>
      </x:c>
      <x:c r="D281" s="339" t="str">
        <x:v>Library Usage</x:v>
      </x:c>
      <x:c r="E281" s="339" t="str">
        <x:v>Reporting / Analytics Service</x:v>
      </x:c>
      <x:c r="F281" s="339" t="str">
        <x:v>/api/v1/reports-analytics/library-usage</x:v>
      </x:c>
      <x:c r="G281" s="339" t="str">
        <x:v>GET</x:v>
      </x:c>
      <x:c r="H281" s="339" t="str">
        <x:v>Tenant/school context + screen-specific filters/command payload; validate schema, effective references and request correlation/idempotency key for high-risk writes.</x:v>
      </x:c>
      <x:c r="I281" s="339" t="str">
        <x:v>Return authorized DTO with status/version, validation errors and correlation ID; never expose restricted fields.</x:v>
      </x:c>
      <x:c r="J281" s="339" t="str">
        <x:v>School Admin, Principal, Owner / Director, Department Heads</x:v>
      </x:c>
      <x:c r="K281" s="339" t="str">
        <x:v>Use optimistic concurrency/version checks for updates; idempotency for payments, admissions confirmation, bulk imports and other retry-prone commands.</x:v>
      </x:c>
      <x:c r="L281" s="339" t="str">
        <x:v>Publish domain events after successful commit when downstream modules/notifications depend on the change.</x:v>
      </x:c>
    </x:row>
    <x:row r="282">
      <x:c r="A282" s="339" t="str">
        <x:v>API-0281</x:v>
      </x:c>
      <x:c r="B282" s="339" t="str">
        <x:v>SCR-281</x:v>
      </x:c>
      <x:c r="C282" s="339" t="str">
        <x:v>Reports &amp; Analytics</x:v>
      </x:c>
      <x:c r="D282" s="339" t="str">
        <x:v>Inventory &amp; Asset Report</x:v>
      </x:c>
      <x:c r="E282" s="339" t="str">
        <x:v>Reporting / Analytics Service</x:v>
      </x:c>
      <x:c r="F282" s="339" t="str">
        <x:v>/api/v1/reports-analytics/inventory-asset-report</x:v>
      </x:c>
      <x:c r="G282" s="339" t="str">
        <x:v>GET</x:v>
      </x:c>
      <x:c r="H282" s="339" t="str">
        <x:v>Tenant/school context + screen-specific filters/command payload; validate schema, effective references and request correlation/idempotency key for high-risk writes.</x:v>
      </x:c>
      <x:c r="I282" s="339" t="str">
        <x:v>Return authorized DTO with status/version, validation errors and correlation ID; never expose restricted fields.</x:v>
      </x:c>
      <x:c r="J282" s="339" t="str">
        <x:v>School Admin, Principal, Owner / Director, Department Heads</x:v>
      </x:c>
      <x:c r="K282" s="339" t="str">
        <x:v>Use optimistic concurrency/version checks for updates; idempotency for payments, admissions confirmation, bulk imports and other retry-prone commands.</x:v>
      </x:c>
      <x:c r="L282" s="339" t="str">
        <x:v>Publish domain events after successful commit when downstream modules/notifications depend on the change.</x:v>
      </x:c>
    </x:row>
    <x:row r="283">
      <x:c r="A283" s="339" t="str">
        <x:v>API-0282</x:v>
      </x:c>
      <x:c r="B283" s="339" t="str">
        <x:v>SCR-282</x:v>
      </x:c>
      <x:c r="C283" s="339" t="str">
        <x:v>Reports &amp; Analytics</x:v>
      </x:c>
      <x:c r="D283" s="339" t="str">
        <x:v>Communication / Notification Report</x:v>
      </x:c>
      <x:c r="E283" s="339" t="str">
        <x:v>Reporting / Analytics Service</x:v>
      </x:c>
      <x:c r="F283" s="339" t="str">
        <x:v>/api/v1/reports-analytics/communication-notification-report</x:v>
      </x:c>
      <x:c r="G283" s="339" t="str">
        <x:v>GET</x:v>
      </x:c>
      <x:c r="H283" s="339" t="str">
        <x:v>Tenant/school context + screen-specific filters/command payload; validate schema, effective references and request correlation/idempotency key for high-risk writes.</x:v>
      </x:c>
      <x:c r="I283" s="339" t="str">
        <x:v>Return authorized DTO with status/version, validation errors and correlation ID; never expose restricted fields.</x:v>
      </x:c>
      <x:c r="J283" s="339" t="str">
        <x:v>School Admin, Principal, Owner / Director, Department Heads</x:v>
      </x:c>
      <x:c r="K283" s="339" t="str">
        <x:v>Use optimistic concurrency/version checks for updates; idempotency for payments, admissions confirmation, bulk imports and other retry-prone commands.</x:v>
      </x:c>
      <x:c r="L283" s="339" t="str">
        <x:v>Publish domain events after successful commit when downstream modules/notifications depend on the change.</x:v>
      </x:c>
    </x:row>
    <x:row r="284">
      <x:c r="A284" s="339" t="str">
        <x:v>API-0283</x:v>
      </x:c>
      <x:c r="B284" s="339" t="str">
        <x:v>SCR-283</x:v>
      </x:c>
      <x:c r="C284" s="339" t="str">
        <x:v>Reports &amp; Analytics</x:v>
      </x:c>
      <x:c r="D284" s="339" t="str">
        <x:v>Custom Report Builder</x:v>
      </x:c>
      <x:c r="E284" s="339" t="str">
        <x:v>Reporting / Analytics Service</x:v>
      </x:c>
      <x:c r="F284" s="339" t="str">
        <x:v>/api/v1/reports-analytics/custom-report-builder</x:v>
      </x:c>
      <x:c r="G284" s="339" t="str">
        <x:v>GET</x:v>
      </x:c>
      <x:c r="H284" s="339" t="str">
        <x:v>Tenant/school context + screen-specific filters/command payload; validate schema, effective references and request correlation/idempotency key for high-risk writes.</x:v>
      </x:c>
      <x:c r="I284" s="339" t="str">
        <x:v>Return authorized DTO with status/version, validation errors and correlation ID; never expose restricted fields.</x:v>
      </x:c>
      <x:c r="J284" s="339" t="str">
        <x:v>School Admin, Principal, Owner / Director, Department Heads</x:v>
      </x:c>
      <x:c r="K284" s="339" t="str">
        <x:v>Use optimistic concurrency/version checks for updates; idempotency for payments, admissions confirmation, bulk imports and other retry-prone commands.</x:v>
      </x:c>
      <x:c r="L284" s="339" t="str">
        <x:v>Publish domain events after successful commit when downstream modules/notifications depend on the change.</x:v>
      </x:c>
    </x:row>
    <x:row r="285">
      <x:c r="A285" s="339" t="str">
        <x:v>API-0284</x:v>
      </x:c>
      <x:c r="B285" s="339" t="str">
        <x:v>SCR-284</x:v>
      </x:c>
      <x:c r="C285" s="339" t="str">
        <x:v>Settings / Roles / Permissions / Audit</x:v>
      </x:c>
      <x:c r="D285" s="339" t="str">
        <x:v>User Management</x:v>
      </x:c>
      <x:c r="E285" s="339" t="str">
        <x:v>Security &amp; Configuration Service</x:v>
      </x:c>
      <x:c r="F285" s="339" t="str">
        <x:v>/api/v1/settings/user-management</x:v>
      </x:c>
      <x:c r="G285" s="339" t="str">
        <x:v>GET + POST/PATCH</x:v>
      </x:c>
      <x:c r="H285" s="339" t="str">
        <x:v>Tenant/school context + screen-specific filters/command payload; validate schema, effective references and request correlation/idempotency key for high-risk writes.</x:v>
      </x:c>
      <x:c r="I285" s="339" t="str">
        <x:v>Return authorized DTO with status/version, validation errors and correlation ID; never expose restricted fields.</x:v>
      </x:c>
      <x:c r="J285" s="339" t="str">
        <x:v>IT Admin, School Admin, Super Admin</x:v>
      </x:c>
      <x:c r="K285" s="339" t="str">
        <x:v>Use optimistic concurrency/version checks for updates; idempotency for payments, admissions confirmation, bulk imports and other retry-prone commands.</x:v>
      </x:c>
      <x:c r="L285" s="339" t="str">
        <x:v>Publish domain events after successful commit when downstream modules/notifications depend on the change.</x:v>
      </x:c>
    </x:row>
    <x:row r="286">
      <x:c r="A286" s="339" t="str">
        <x:v>API-0285</x:v>
      </x:c>
      <x:c r="B286" s="339" t="str">
        <x:v>SCR-285</x:v>
      </x:c>
      <x:c r="C286" s="339" t="str">
        <x:v>Settings / Roles / Permissions / Audit</x:v>
      </x:c>
      <x:c r="D286" s="339" t="str">
        <x:v>Roles</x:v>
      </x:c>
      <x:c r="E286" s="339" t="str">
        <x:v>Security &amp; Configuration Service</x:v>
      </x:c>
      <x:c r="F286" s="339" t="str">
        <x:v>/api/v1/settings/roles</x:v>
      </x:c>
      <x:c r="G286" s="339" t="str">
        <x:v>GET/PUT</x:v>
      </x:c>
      <x:c r="H286" s="339" t="str">
        <x:v>Tenant/school context + screen-specific filters/command payload; validate schema, effective references and request correlation/idempotency key for high-risk writes.</x:v>
      </x:c>
      <x:c r="I286" s="339" t="str">
        <x:v>Return authorized DTO with status/version, validation errors and correlation ID; never expose restricted fields.</x:v>
      </x:c>
      <x:c r="J286" s="339" t="str">
        <x:v>IT Admin, School Admin, Super Admin</x:v>
      </x:c>
      <x:c r="K286" s="339" t="str">
        <x:v>Use optimistic concurrency/version checks for updates; idempotency for payments, admissions confirmation, bulk imports and other retry-prone commands.</x:v>
      </x:c>
      <x:c r="L286" s="339" t="str">
        <x:v>Publish domain events after successful commit when downstream modules/notifications depend on the change.</x:v>
      </x:c>
    </x:row>
    <x:row r="287">
      <x:c r="A287" s="339" t="str">
        <x:v>API-0286</x:v>
      </x:c>
      <x:c r="B287" s="339" t="str">
        <x:v>SCR-286</x:v>
      </x:c>
      <x:c r="C287" s="339" t="str">
        <x:v>Settings / Roles / Permissions / Audit</x:v>
      </x:c>
      <x:c r="D287" s="339" t="str">
        <x:v>Permissions</x:v>
      </x:c>
      <x:c r="E287" s="339" t="str">
        <x:v>Security &amp; Configuration Service</x:v>
      </x:c>
      <x:c r="F287" s="339" t="str">
        <x:v>/api/v1/settings/permissions</x:v>
      </x:c>
      <x:c r="G287" s="339" t="str">
        <x:v>GET/PUT</x:v>
      </x:c>
      <x:c r="H287" s="339" t="str">
        <x:v>Tenant/school context + screen-specific filters/command payload; validate schema, effective references and request correlation/idempotency key for high-risk writes.</x:v>
      </x:c>
      <x:c r="I287" s="339" t="str">
        <x:v>Return authorized DTO with status/version, validation errors and correlation ID; never expose restricted fields.</x:v>
      </x:c>
      <x:c r="J287" s="339" t="str">
        <x:v>IT Admin, School Admin, Super Admin</x:v>
      </x:c>
      <x:c r="K287" s="339" t="str">
        <x:v>Use optimistic concurrency/version checks for updates; idempotency for payments, admissions confirmation, bulk imports and other retry-prone commands.</x:v>
      </x:c>
      <x:c r="L287" s="339" t="str">
        <x:v>Publish domain events after successful commit when downstream modules/notifications depend on the change.</x:v>
      </x:c>
    </x:row>
    <x:row r="288">
      <x:c r="A288" s="339" t="str">
        <x:v>API-0287</x:v>
      </x:c>
      <x:c r="B288" s="339" t="str">
        <x:v>SCR-287</x:v>
      </x:c>
      <x:c r="C288" s="339" t="str">
        <x:v>Settings / Roles / Permissions / Audit</x:v>
      </x:c>
      <x:c r="D288" s="339" t="str">
        <x:v>Role Permission Matrix</x:v>
      </x:c>
      <x:c r="E288" s="339" t="str">
        <x:v>Security &amp; Configuration Service</x:v>
      </x:c>
      <x:c r="F288" s="339" t="str">
        <x:v>/api/v1/settings/role-permission-matrix</x:v>
      </x:c>
      <x:c r="G288" s="339" t="str">
        <x:v>GET + POST/PATCH</x:v>
      </x:c>
      <x:c r="H288" s="339" t="str">
        <x:v>Tenant/school context + screen-specific filters/command payload; validate schema, effective references and request correlation/idempotency key for high-risk writes.</x:v>
      </x:c>
      <x:c r="I288" s="339" t="str">
        <x:v>Return authorized DTO with status/version, validation errors and correlation ID; never expose restricted fields.</x:v>
      </x:c>
      <x:c r="J288" s="339" t="str">
        <x:v>IT Admin, School Admin, Super Admin</x:v>
      </x:c>
      <x:c r="K288" s="339" t="str">
        <x:v>Use optimistic concurrency/version checks for updates; idempotency for payments, admissions confirmation, bulk imports and other retry-prone commands.</x:v>
      </x:c>
      <x:c r="L288" s="339" t="str">
        <x:v>Publish domain events after successful commit when downstream modules/notifications depend on the change.</x:v>
      </x:c>
    </x:row>
    <x:row r="289">
      <x:c r="A289" s="339" t="str">
        <x:v>API-0288</x:v>
      </x:c>
      <x:c r="B289" s="339" t="str">
        <x:v>SCR-288</x:v>
      </x:c>
      <x:c r="C289" s="339" t="str">
        <x:v>Settings / Roles / Permissions / Audit</x:v>
      </x:c>
      <x:c r="D289" s="339" t="str">
        <x:v>User Role Assignment</x:v>
      </x:c>
      <x:c r="E289" s="339" t="str">
        <x:v>Security &amp; Configuration Service</x:v>
      </x:c>
      <x:c r="F289" s="339" t="str">
        <x:v>/api/v1/settings/user-role-assignment</x:v>
      </x:c>
      <x:c r="G289" s="339" t="str">
        <x:v>PATCH/POST action</x:v>
      </x:c>
      <x:c r="H289" s="339" t="str">
        <x:v>Tenant/school context + screen-specific filters/command payload; validate schema, effective references and request correlation/idempotency key for high-risk writes.</x:v>
      </x:c>
      <x:c r="I289" s="339" t="str">
        <x:v>Return authorized DTO with status/version, validation errors and correlation ID; never expose restricted fields.</x:v>
      </x:c>
      <x:c r="J289" s="339" t="str">
        <x:v>IT Admin, School Admin, Super Admin</x:v>
      </x:c>
      <x:c r="K289" s="339" t="str">
        <x:v>Use optimistic concurrency/version checks for updates; idempotency for payments, admissions confirmation, bulk imports and other retry-prone commands.</x:v>
      </x:c>
      <x:c r="L289" s="339" t="str">
        <x:v>Publish domain events after successful commit when downstream modules/notifications depend on the change.</x:v>
      </x:c>
    </x:row>
    <x:row r="290">
      <x:c r="A290" s="339" t="str">
        <x:v>API-0289</x:v>
      </x:c>
      <x:c r="B290" s="339" t="str">
        <x:v>SCR-289</x:v>
      </x:c>
      <x:c r="C290" s="339" t="str">
        <x:v>Settings / Roles / Permissions / Audit</x:v>
      </x:c>
      <x:c r="D290" s="339" t="str">
        <x:v>School Settings</x:v>
      </x:c>
      <x:c r="E290" s="339" t="str">
        <x:v>Security &amp; Configuration Service</x:v>
      </x:c>
      <x:c r="F290" s="339" t="str">
        <x:v>/api/v1/settings/school-settings</x:v>
      </x:c>
      <x:c r="G290" s="339" t="str">
        <x:v>GET/PUT</x:v>
      </x:c>
      <x:c r="H290" s="339" t="str">
        <x:v>Tenant/school context + screen-specific filters/command payload; validate schema, effective references and request correlation/idempotency key for high-risk writes.</x:v>
      </x:c>
      <x:c r="I290" s="339" t="str">
        <x:v>Return authorized DTO with status/version, validation errors and correlation ID; never expose restricted fields.</x:v>
      </x:c>
      <x:c r="J290" s="339" t="str">
        <x:v>IT Admin, School Admin, Super Admin</x:v>
      </x:c>
      <x:c r="K290" s="339" t="str">
        <x:v>Use optimistic concurrency/version checks for updates; idempotency for payments, admissions confirmation, bulk imports and other retry-prone commands.</x:v>
      </x:c>
      <x:c r="L290" s="339" t="str">
        <x:v>Publish domain events after successful commit when downstream modules/notifications depend on the change.</x:v>
      </x:c>
    </x:row>
    <x:row r="291">
      <x:c r="A291" s="339" t="str">
        <x:v>API-0290</x:v>
      </x:c>
      <x:c r="B291" s="339" t="str">
        <x:v>SCR-290</x:v>
      </x:c>
      <x:c r="C291" s="339" t="str">
        <x:v>Settings / Roles / Permissions / Audit</x:v>
      </x:c>
      <x:c r="D291" s="339" t="str">
        <x:v>Academic Settings</x:v>
      </x:c>
      <x:c r="E291" s="339" t="str">
        <x:v>Security &amp; Configuration Service</x:v>
      </x:c>
      <x:c r="F291" s="339" t="str">
        <x:v>/api/v1/settings/academic-settings</x:v>
      </x:c>
      <x:c r="G291" s="339" t="str">
        <x:v>GET/PUT</x:v>
      </x:c>
      <x:c r="H291" s="339" t="str">
        <x:v>Tenant/school context + screen-specific filters/command payload; validate schema, effective references and request correlation/idempotency key for high-risk writes.</x:v>
      </x:c>
      <x:c r="I291" s="339" t="str">
        <x:v>Return authorized DTO with status/version, validation errors and correlation ID; never expose restricted fields.</x:v>
      </x:c>
      <x:c r="J291" s="339" t="str">
        <x:v>IT Admin, School Admin, Super Admin</x:v>
      </x:c>
      <x:c r="K291" s="339" t="str">
        <x:v>Use optimistic concurrency/version checks for updates; idempotency for payments, admissions confirmation, bulk imports and other retry-prone commands.</x:v>
      </x:c>
      <x:c r="L291" s="339" t="str">
        <x:v>Publish domain events after successful commit when downstream modules/notifications depend on the change.</x:v>
      </x:c>
    </x:row>
    <x:row r="292">
      <x:c r="A292" s="339" t="str">
        <x:v>API-0291</x:v>
      </x:c>
      <x:c r="B292" s="339" t="str">
        <x:v>SCR-291</x:v>
      </x:c>
      <x:c r="C292" s="339" t="str">
        <x:v>Settings / Roles / Permissions / Audit</x:v>
      </x:c>
      <x:c r="D292" s="339" t="str">
        <x:v>Notification Settings</x:v>
      </x:c>
      <x:c r="E292" s="339" t="str">
        <x:v>Security &amp; Configuration Service</x:v>
      </x:c>
      <x:c r="F292" s="339" t="str">
        <x:v>/api/v1/settings/notification-settings</x:v>
      </x:c>
      <x:c r="G292" s="339" t="str">
        <x:v>GET/PUT</x:v>
      </x:c>
      <x:c r="H292" s="339" t="str">
        <x:v>Tenant/school context + screen-specific filters/command payload; validate schema, effective references and request correlation/idempotency key for high-risk writes.</x:v>
      </x:c>
      <x:c r="I292" s="339" t="str">
        <x:v>Return authorized DTO with status/version, validation errors and correlation ID; never expose restricted fields.</x:v>
      </x:c>
      <x:c r="J292" s="339" t="str">
        <x:v>IT Admin, School Admin, Super Admin</x:v>
      </x:c>
      <x:c r="K292" s="339" t="str">
        <x:v>Use optimistic concurrency/version checks for updates; idempotency for payments, admissions confirmation, bulk imports and other retry-prone commands.</x:v>
      </x:c>
      <x:c r="L292" s="339" t="str">
        <x:v>Publish domain events after successful commit when downstream modules/notifications depend on the change.</x:v>
      </x:c>
    </x:row>
    <x:row r="293">
      <x:c r="A293" s="339" t="str">
        <x:v>API-0292</x:v>
      </x:c>
      <x:c r="B293" s="339" t="str">
        <x:v>SCR-292</x:v>
      </x:c>
      <x:c r="C293" s="339" t="str">
        <x:v>Settings / Roles / Permissions / Audit</x:v>
      </x:c>
      <x:c r="D293" s="339" t="str">
        <x:v>Integration / API Settings</x:v>
      </x:c>
      <x:c r="E293" s="339" t="str">
        <x:v>Security &amp; Configuration Service</x:v>
      </x:c>
      <x:c r="F293" s="339" t="str">
        <x:v>/api/v1/settings/integration-api-settings</x:v>
      </x:c>
      <x:c r="G293" s="339" t="str">
        <x:v>GET/PUT</x:v>
      </x:c>
      <x:c r="H293" s="339" t="str">
        <x:v>Tenant/school context + screen-specific filters/command payload; validate schema, effective references and request correlation/idempotency key for high-risk writes.</x:v>
      </x:c>
      <x:c r="I293" s="339" t="str">
        <x:v>Return authorized DTO with status/version, validation errors and correlation ID; never expose restricted fields.</x:v>
      </x:c>
      <x:c r="J293" s="339" t="str">
        <x:v>IT Admin, School Admin, Super Admin</x:v>
      </x:c>
      <x:c r="K293" s="339" t="str">
        <x:v>Use optimistic concurrency/version checks for updates; idempotency for payments, admissions confirmation, bulk imports and other retry-prone commands.</x:v>
      </x:c>
      <x:c r="L293" s="339" t="str">
        <x:v>Publish domain events after successful commit when downstream modules/notifications depend on the change.</x:v>
      </x:c>
    </x:row>
    <x:row r="294">
      <x:c r="A294" s="339" t="str">
        <x:v>API-0293</x:v>
      </x:c>
      <x:c r="B294" s="339" t="str">
        <x:v>SCR-293</x:v>
      </x:c>
      <x:c r="C294" s="339" t="str">
        <x:v>Settings / Roles / Permissions / Audit</x:v>
      </x:c>
      <x:c r="D294" s="339" t="str">
        <x:v>Security &amp; Password Policy</x:v>
      </x:c>
      <x:c r="E294" s="339" t="str">
        <x:v>Security &amp; Configuration Service</x:v>
      </x:c>
      <x:c r="F294" s="339" t="str">
        <x:v>/api/v1/settings/security-password-policy</x:v>
      </x:c>
      <x:c r="G294" s="339" t="str">
        <x:v>GET/PUT</x:v>
      </x:c>
      <x:c r="H294" s="339" t="str">
        <x:v>Tenant/school context + screen-specific filters/command payload; validate schema, effective references and request correlation/idempotency key for high-risk writes.</x:v>
      </x:c>
      <x:c r="I294" s="339" t="str">
        <x:v>Return authorized DTO with status/version, validation errors and correlation ID; never expose restricted fields.</x:v>
      </x:c>
      <x:c r="J294" s="339" t="str">
        <x:v>IT Admin, School Admin, Super Admin</x:v>
      </x:c>
      <x:c r="K294" s="339" t="str">
        <x:v>Use optimistic concurrency/version checks for updates; idempotency for payments, admissions confirmation, bulk imports and other retry-prone commands.</x:v>
      </x:c>
      <x:c r="L294" s="339" t="str">
        <x:v>Publish domain events after successful commit when downstream modules/notifications depend on the change.</x:v>
      </x:c>
    </x:row>
    <x:row r="295">
      <x:c r="A295" s="339" t="str">
        <x:v>API-0294</x:v>
      </x:c>
      <x:c r="B295" s="339" t="str">
        <x:v>SCR-294</x:v>
      </x:c>
      <x:c r="C295" s="339" t="str">
        <x:v>Settings / Roles / Permissions / Audit</x:v>
      </x:c>
      <x:c r="D295" s="339" t="str">
        <x:v>Audit Logs</x:v>
      </x:c>
      <x:c r="E295" s="339" t="str">
        <x:v>Security &amp; Configuration Service</x:v>
      </x:c>
      <x:c r="F295" s="339" t="str">
        <x:v>/api/v1/settings/audit-logs</x:v>
      </x:c>
      <x:c r="G295" s="339" t="str">
        <x:v>GET + POST/PATCH</x:v>
      </x:c>
      <x:c r="H295" s="339" t="str">
        <x:v>Tenant/school context + screen-specific filters/command payload; validate schema, effective references and request correlation/idempotency key for high-risk writes.</x:v>
      </x:c>
      <x:c r="I295" s="339" t="str">
        <x:v>Return authorized DTO with status/version, validation errors and correlation ID; never expose restricted fields.</x:v>
      </x:c>
      <x:c r="J295" s="339" t="str">
        <x:v>IT Admin, School Admin, Super Admin</x:v>
      </x:c>
      <x:c r="K295" s="339" t="str">
        <x:v>Use optimistic concurrency/version checks for updates; idempotency for payments, admissions confirmation, bulk imports and other retry-prone commands.</x:v>
      </x:c>
      <x:c r="L295" s="339" t="str">
        <x:v>Publish domain events after successful commit when downstream modules/notifications depend on the change.</x:v>
      </x:c>
    </x:row>
    <x:row r="296">
      <x:c r="A296" s="340" t="str">
        <x:v>API-0295</x:v>
      </x:c>
      <x:c r="B296" s="340" t="str">
        <x:v>SCR-295</x:v>
      </x:c>
      <x:c r="C296" s="340" t="str">
        <x:v>Settings / Roles / Permissions / Audit</x:v>
      </x:c>
      <x:c r="D296" s="340" t="str">
        <x:v>Data Import / Export / Backup</x:v>
      </x:c>
      <x:c r="E296" s="340" t="str">
        <x:v>Security &amp; Configuration Service</x:v>
      </x:c>
      <x:c r="F296" s="340" t="str">
        <x:v>/api/v1/settings/data-import-export-backup</x:v>
      </x:c>
      <x:c r="G296" s="340" t="str">
        <x:v>GET + POST/PATCH</x:v>
      </x:c>
      <x:c r="H296" s="340" t="str">
        <x:v>Tenant/school context + screen-specific filters/command payload; validate schema, effective references and request correlation/idempotency key for high-risk writes.</x:v>
      </x:c>
      <x:c r="I296" s="340" t="str">
        <x:v>Return authorized DTO with status/version, validation errors and correlation ID; never expose restricted fields.</x:v>
      </x:c>
      <x:c r="J296" s="340" t="str">
        <x:v>IT Admin, School Admin, Super Admin</x:v>
      </x:c>
      <x:c r="K296" s="340" t="str">
        <x:v>Use optimistic concurrency/version checks for updates; idempotency for payments, admissions confirmation, bulk imports and other retry-prone commands.</x:v>
      </x:c>
      <x:c r="L296" s="340" t="str">
        <x:v>Publish domain events after successful commit when downstream modules/notifications depend on the change.</x:v>
      </x:c>
    </x:row>
  </x:sheetData>
  <x:pageMargins left="0.7" right="0.7" top="0.75" bottom="0.75" header="0.3" footer="0.3"/>
  <x:tableParts count="1">
    <x:tablePart xmlns:r="http://schemas.openxmlformats.org/officeDocument/2006/relationships" r:id="R4ef07f9b5a5e4b3f"/>
  </x:tableParts>
</x:worksheet>
</file>

<file path=xl/worksheets/sheet1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26" hidden="0" customWidth="1"/>
    <x:col min="4" max="4" width="44" hidden="0" customWidth="1"/>
    <x:col min="5" max="5" width="64" hidden="0" customWidth="1"/>
    <x:col min="6" max="6" width="48" hidden="0" customWidth="1"/>
    <x:col min="7" max="7" width="42" hidden="0" customWidth="1"/>
    <x:col min="8" max="8" width="28" hidden="0" customWidth="1"/>
    <x:col min="9" max="9" width="34" hidden="0" customWidth="1"/>
  </x:cols>
  <x:sheetData>
    <x:row r="1" ht="30" customHeight="1">
      <x:c r="A1" s="338" t="str">
        <x:v>Entity ID</x:v>
      </x:c>
      <x:c r="B1" s="338" t="str">
        <x:v>Module</x:v>
      </x:c>
      <x:c r="C1" s="338" t="str">
        <x:v>Entity</x:v>
      </x:c>
      <x:c r="D1" s="338" t="str">
        <x:v>Purpose</x:v>
      </x:c>
      <x:c r="E1" s="338" t="str">
        <x:v>Key Fields</x:v>
      </x:c>
      <x:c r="F1" s="338" t="str">
        <x:v>Relationships</x:v>
      </x:c>
      <x:c r="G1" s="338" t="str">
        <x:v>Unique Keys / Constraints</x:v>
      </x:c>
      <x:c r="H1" s="338" t="str">
        <x:v>Sensitivity</x:v>
      </x:c>
      <x:c r="I1" s="338" t="str">
        <x:v>Retention</x:v>
      </x:c>
    </x:row>
    <x:row r="2">
      <x:c r="A2" s="339" t="str">
        <x:v>ENT-001</x:v>
      </x:c>
      <x:c r="B2" s="339" t="str">
        <x:v>Public Website &amp; Authentication</x:v>
      </x:c>
      <x:c r="C2" s="339" t="str">
        <x:v>UserAccount</x:v>
      </x:c>
      <x:c r="D2" s="339" t="str">
        <x:v>Login identity and account lifecycle</x:v>
      </x:c>
      <x:c r="E2" s="339" t="str">
        <x:v>user_id, tenant_id, username/email/mobile, password_hash/identity_ref, status, last_login</x:v>
      </x:c>
      <x:c r="F2" s="339" t="str">
        <x:v>Links to roles, staff/student/parent identity</x:v>
      </x:c>
      <x:c r="G2" s="339" t="str">
        <x:v>tenant_id + normalized login</x:v>
      </x:c>
      <x:c r="H2" s="339" t="str">
        <x:v>PII</x:v>
      </x:c>
      <x:c r="I2" s="339" t="str">
        <x:v>Account lifecycle + statutory/security retention</x:v>
      </x:c>
    </x:row>
    <x:row r="3">
      <x:c r="A3" s="339" t="str">
        <x:v>ENT-002</x:v>
      </x:c>
      <x:c r="B3" s="339" t="str">
        <x:v>Public Website &amp; Authentication</x:v>
      </x:c>
      <x:c r="C3" s="339" t="str">
        <x:v>UserSession</x:v>
      </x:c>
      <x:c r="D3" s="339" t="str">
        <x:v>Authenticated session/token context</x:v>
      </x:c>
      <x:c r="E3" s="339" t="str">
        <x:v>session_id, user_id, tenant_id, issued_at, expires_at, device/ip metadata, revoked_at</x:v>
      </x:c>
      <x:c r="F3" s="339" t="str">
        <x:v>Belongs to UserAccount</x:v>
      </x:c>
      <x:c r="G3" s="339" t="str">
        <x:v>session_id</x:v>
      </x:c>
      <x:c r="H3" s="339" t="str">
        <x:v>Sensitive security data</x:v>
      </x:c>
      <x:c r="I3" s="339" t="str">
        <x:v>Short-lived; security retention for logs</x:v>
      </x:c>
    </x:row>
    <x:row r="4">
      <x:c r="A4" s="339" t="str">
        <x:v>ENT-003</x:v>
      </x:c>
      <x:c r="B4" s="339" t="str">
        <x:v>Public Website &amp; Authentication</x:v>
      </x:c>
      <x:c r="C4" s="339" t="str">
        <x:v>PasswordResetToken</x:v>
      </x:c>
      <x:c r="D4" s="339" t="str">
        <x:v>Time-bound recovery token</x:v>
      </x:c>
      <x:c r="E4" s="339" t="str">
        <x:v>token_id, user_id, token_hash, issued_at, expires_at, used_at</x:v>
      </x:c>
      <x:c r="F4" s="339" t="str">
        <x:v>Belongs to UserAccount</x:v>
      </x:c>
      <x:c r="G4" s="339" t="str">
        <x:v>token_hash</x:v>
      </x:c>
      <x:c r="H4" s="339" t="str">
        <x:v>Sensitive security data</x:v>
      </x:c>
      <x:c r="I4" s="339" t="str">
        <x:v>Short retention</x:v>
      </x:c>
    </x:row>
    <x:row r="5">
      <x:c r="A5" s="339" t="str">
        <x:v>ENT-004</x:v>
      </x:c>
      <x:c r="B5" s="339" t="str">
        <x:v>Public Website &amp; Authentication</x:v>
      </x:c>
      <x:c r="C5" s="339" t="str">
        <x:v>MFAChallenge</x:v>
      </x:c>
      <x:c r="D5" s="339" t="str">
        <x:v>OTP/MFA challenge</x:v>
      </x:c>
      <x:c r="E5" s="339" t="str">
        <x:v>challenge_id, user_id, channel, code_hash, expires_at, attempts, status</x:v>
      </x:c>
      <x:c r="F5" s="339" t="str">
        <x:v>Belongs to UserAccount</x:v>
      </x:c>
      <x:c r="G5" s="339" t="str">
        <x:v>challenge_id</x:v>
      </x:c>
      <x:c r="H5" s="339" t="str">
        <x:v>Sensitive security data</x:v>
      </x:c>
      <x:c r="I5" s="339" t="str">
        <x:v>Short retention</x:v>
      </x:c>
    </x:row>
    <x:row r="6">
      <x:c r="A6" s="339" t="str">
        <x:v>ENT-005</x:v>
      </x:c>
      <x:c r="B6" s="339" t="str">
        <x:v>Super Admin / SaaS Administration</x:v>
      </x:c>
      <x:c r="C6" s="339" t="str">
        <x:v>OrganizationTenant</x:v>
      </x:c>
      <x:c r="D6" s="339" t="str">
        <x:v>Top-level customer/tenant</x:v>
      </x:c>
      <x:c r="E6" s="339" t="str">
        <x:v>tenant_id, name, code, status, region, created_at</x:v>
      </x:c>
      <x:c r="F6" s="339" t="str">
        <x:v>Owns schools/branches/subscription</x:v>
      </x:c>
      <x:c r="G6" s="339" t="str">
        <x:v>tenant code</x:v>
      </x:c>
      <x:c r="H6" s="339" t="str">
        <x:v>Business/PII</x:v>
      </x:c>
      <x:c r="I6" s="339" t="str">
        <x:v>Contract + retention policy</x:v>
      </x:c>
    </x:row>
    <x:row r="7">
      <x:c r="A7" s="339" t="str">
        <x:v>ENT-006</x:v>
      </x:c>
      <x:c r="B7" s="339" t="str">
        <x:v>Super Admin / SaaS Administration</x:v>
      </x:c>
      <x:c r="C7" s="339" t="str">
        <x:v>Subscription</x:v>
      </x:c>
      <x:c r="D7" s="339" t="str">
        <x:v>Commercial plan state</x:v>
      </x:c>
      <x:c r="E7" s="339" t="str">
        <x:v>subscription_id, tenant_id, plan_id, start/end, status, billing_cycle</x:v>
      </x:c>
      <x:c r="F7" s="339" t="str">
        <x:v>Belongs to tenant</x:v>
      </x:c>
      <x:c r="G7" s="339" t="str">
        <x:v>tenant_id + effective period</x:v>
      </x:c>
      <x:c r="H7" s="339" t="str">
        <x:v>Commercial</x:v>
      </x:c>
      <x:c r="I7" s="339" t="str">
        <x:v>Billing/statutory retention</x:v>
      </x:c>
    </x:row>
    <x:row r="8">
      <x:c r="A8" s="339" t="str">
        <x:v>ENT-007</x:v>
      </x:c>
      <x:c r="B8" s="339" t="str">
        <x:v>Super Admin / SaaS Administration</x:v>
      </x:c>
      <x:c r="C8" s="339" t="str">
        <x:v>TenantUsage</x:v>
      </x:c>
      <x:c r="D8" s="339" t="str">
        <x:v>Feature/resource usage</x:v>
      </x:c>
      <x:c r="E8" s="339" t="str">
        <x:v>tenant_id, metric, period, quantity, limit</x:v>
      </x:c>
      <x:c r="F8" s="339" t="str">
        <x:v>Belongs to tenant/subscription</x:v>
      </x:c>
      <x:c r="G8" s="339" t="str">
        <x:v>tenant + metric + period</x:v>
      </x:c>
      <x:c r="H8" s="339" t="str">
        <x:v>Operational</x:v>
      </x:c>
      <x:c r="I8" s="339" t="str">
        <x:v>Usage/billing retention</x:v>
      </x:c>
    </x:row>
    <x:row r="9">
      <x:c r="A9" s="339" t="str">
        <x:v>ENT-008</x:v>
      </x:c>
      <x:c r="B9" s="339" t="str">
        <x:v>Super Admin / SaaS Administration</x:v>
      </x:c>
      <x:c r="C9" s="339" t="str">
        <x:v>SupportTicket</x:v>
      </x:c>
      <x:c r="D9" s="339" t="str">
        <x:v>Platform support case</x:v>
      </x:c>
      <x:c r="E9" s="339" t="str">
        <x:v>ticket_id, tenant_id, requester, category, priority, status, SLA times</x:v>
      </x:c>
      <x:c r="F9" s="339" t="str">
        <x:v>Belongs to tenant/user</x:v>
      </x:c>
      <x:c r="G9" s="339" t="str">
        <x:v>ticket_id</x:v>
      </x:c>
      <x:c r="H9" s="339" t="str">
        <x:v>May contain PII</x:v>
      </x:c>
      <x:c r="I9" s="339" t="str">
        <x:v>Support retention policy</x:v>
      </x:c>
    </x:row>
    <x:row r="10">
      <x:c r="A10" s="339" t="str">
        <x:v>ENT-009</x:v>
      </x:c>
      <x:c r="B10" s="339" t="str">
        <x:v>Organization / School / Branch Setup</x:v>
      </x:c>
      <x:c r="C10" s="339" t="str">
        <x:v>School</x:v>
      </x:c>
      <x:c r="D10" s="339" t="str">
        <x:v>School master</x:v>
      </x:c>
      <x:c r="E10" s="339" t="str">
        <x:v>school_id, tenant_id, name, code, address, timezone, status</x:v>
      </x:c>
      <x:c r="F10" s="339" t="str">
        <x:v>Belongs to organization; owns branches</x:v>
      </x:c>
      <x:c r="G10" s="339" t="str">
        <x:v>tenant_id + school code</x:v>
      </x:c>
      <x:c r="H10" s="339" t="str">
        <x:v>Business/PII</x:v>
      </x:c>
      <x:c r="I10" s="339" t="str">
        <x:v>Active + historical</x:v>
      </x:c>
    </x:row>
    <x:row r="11">
      <x:c r="A11" s="339" t="str">
        <x:v>ENT-010</x:v>
      </x:c>
      <x:c r="B11" s="339" t="str">
        <x:v>Organization / School / Branch Setup</x:v>
      </x:c>
      <x:c r="C11" s="339" t="str">
        <x:v>Branch</x:v>
      </x:c>
      <x:c r="D11" s="339" t="str">
        <x:v>Campus/branch master</x:v>
      </x:c>
      <x:c r="E11" s="339" t="str">
        <x:v>branch_id, school_id, name, code, address, status</x:v>
      </x:c>
      <x:c r="F11" s="339" t="str">
        <x:v>Belongs to school</x:v>
      </x:c>
      <x:c r="G11" s="339" t="str">
        <x:v>school_id + branch code</x:v>
      </x:c>
      <x:c r="H11" s="339" t="str">
        <x:v>Business/PII</x:v>
      </x:c>
      <x:c r="I11" s="339" t="str">
        <x:v>Active + historical</x:v>
      </x:c>
    </x:row>
    <x:row r="12">
      <x:c r="A12" s="339" t="str">
        <x:v>ENT-011</x:v>
      </x:c>
      <x:c r="B12" s="339" t="str">
        <x:v>Organization / School / Branch Setup</x:v>
      </x:c>
      <x:c r="C12" s="339" t="str">
        <x:v>AcademicYear</x:v>
      </x:c>
      <x:c r="D12" s="339" t="str">
        <x:v>Academic calendar version</x:v>
      </x:c>
      <x:c r="E12" s="339" t="str">
        <x:v>academic_year_id, school_id, name, start_date, end_date, status</x:v>
      </x:c>
      <x:c r="F12" s="339" t="str">
        <x:v>Scopes enrollments/curriculum/exams</x:v>
      </x:c>
      <x:c r="G12" s="339" t="str">
        <x:v>school_id + year name</x:v>
      </x:c>
      <x:c r="H12" s="339" t="str">
        <x:v>Business</x:v>
      </x:c>
      <x:c r="I12" s="339" t="str">
        <x:v>Historical</x:v>
      </x:c>
    </x:row>
    <x:row r="13">
      <x:c r="A13" s="339" t="str">
        <x:v>ENT-012</x:v>
      </x:c>
      <x:c r="B13" s="339" t="str">
        <x:v>Organization / School / Branch Setup</x:v>
      </x:c>
      <x:c r="C13" s="339" t="str">
        <x:v>ClassSection</x:v>
      </x:c>
      <x:c r="D13" s="339" t="str">
        <x:v>Grade/class/section structure</x:v>
      </x:c>
      <x:c r="E13" s="339" t="str">
        <x:v>class_id, section_id, academic_year_id, names/codes, capacity, status</x:v>
      </x:c>
      <x:c r="F13" s="339" t="str">
        <x:v>Used by students/timetable/exams</x:v>
      </x:c>
      <x:c r="G13" s="339" t="str">
        <x:v>academic year + class + section</x:v>
      </x:c>
      <x:c r="H13" s="339" t="str">
        <x:v>Business</x:v>
      </x:c>
      <x:c r="I13" s="339" t="str">
        <x:v>Historical</x:v>
      </x:c>
    </x:row>
    <x:row r="14">
      <x:c r="A14" s="339" t="str">
        <x:v>ENT-013</x:v>
      </x:c>
      <x:c r="B14" s="339" t="str">
        <x:v>Organization / School / Branch Setup</x:v>
      </x:c>
      <x:c r="C14" s="339" t="str">
        <x:v>Department</x:v>
      </x:c>
      <x:c r="D14" s="339" t="str">
        <x:v>Academic/administrative department</x:v>
      </x:c>
      <x:c r="E14" s="339" t="str">
        <x:v>department_id, school_id, name, code, status</x:v>
      </x:c>
      <x:c r="F14" s="339" t="str">
        <x:v>Links staff/subjects</x:v>
      </x:c>
      <x:c r="G14" s="339" t="str">
        <x:v>school_id + code</x:v>
      </x:c>
      <x:c r="H14" s="339" t="str">
        <x:v>Business</x:v>
      </x:c>
      <x:c r="I14" s="339" t="str">
        <x:v>Historical</x:v>
      </x:c>
    </x:row>
    <x:row r="15">
      <x:c r="A15" s="339" t="str">
        <x:v>ENT-014</x:v>
      </x:c>
      <x:c r="B15" s="339" t="str">
        <x:v>Role Dashboards</x:v>
      </x:c>
      <x:c r="C15" s="339" t="str">
        <x:v>DashboardPreference</x:v>
      </x:c>
      <x:c r="D15" s="339" t="str">
        <x:v>User dashboard preferences</x:v>
      </x:c>
      <x:c r="E15" s="339" t="str">
        <x:v>user_id, dashboard_type, saved_filters, layout prefs</x:v>
      </x:c>
      <x:c r="F15" s="339" t="str">
        <x:v>Belongs to user</x:v>
      </x:c>
      <x:c r="G15" s="339" t="str">
        <x:v>user + dashboard type</x:v>
      </x:c>
      <x:c r="H15" s="339" t="str">
        <x:v>Low sensitivity</x:v>
      </x:c>
      <x:c r="I15" s="339" t="str">
        <x:v>Until account deletion</x:v>
      </x:c>
    </x:row>
    <x:row r="16">
      <x:c r="A16" s="339" t="str">
        <x:v>ENT-015</x:v>
      </x:c>
      <x:c r="B16" s="339" t="str">
        <x:v>Role Dashboards</x:v>
      </x:c>
      <x:c r="C16" s="339" t="str">
        <x:v>UserAlert</x:v>
      </x:c>
      <x:c r="D16" s="339" t="str">
        <x:v>Actionable alert/read state</x:v>
      </x:c>
      <x:c r="E16" s="339" t="str">
        <x:v>alert_id, user_id, category, entity_ref, severity, status, due_at</x:v>
      </x:c>
      <x:c r="F16" s="339" t="str">
        <x:v>Links to source entities</x:v>
      </x:c>
      <x:c r="G16" s="339" t="str">
        <x:v>alert_id</x:v>
      </x:c>
      <x:c r="H16" s="339" t="str">
        <x:v>May reference PII</x:v>
      </x:c>
      <x:c r="I16" s="339" t="str">
        <x:v>Operational retention</x:v>
      </x:c>
    </x:row>
    <x:row r="17">
      <x:c r="A17" s="339" t="str">
        <x:v>ENT-016</x:v>
      </x:c>
      <x:c r="B17" s="339" t="str">
        <x:v>Role Dashboards</x:v>
      </x:c>
      <x:c r="C17" s="339" t="str">
        <x:v>DashboardSnapshot</x:v>
      </x:c>
      <x:c r="D17" s="339" t="str">
        <x:v>Optional cached KPI snapshot</x:v>
      </x:c>
      <x:c r="E17" s="339" t="str">
        <x:v>scope, metric_key, value, as_of, source_version</x:v>
      </x:c>
      <x:c r="F17" s="339" t="str">
        <x:v>Derived from source modules</x:v>
      </x:c>
      <x:c r="G17" s="339" t="str">
        <x:v>scope + metric + as_of</x:v>
      </x:c>
      <x:c r="H17" s="339" t="str">
        <x:v>Aggregated</x:v>
      </x:c>
      <x:c r="I17" s="339" t="str">
        <x:v>Short/cache retention</x:v>
      </x:c>
    </x:row>
    <x:row r="18">
      <x:c r="A18" s="339" t="str">
        <x:v>ENT-017</x:v>
      </x:c>
      <x:c r="B18" s="339" t="str">
        <x:v>Admissions &amp; Enquiries</x:v>
      </x:c>
      <x:c r="C18" s="339" t="str">
        <x:v>Enquiry</x:v>
      </x:c>
      <x:c r="D18" s="339" t="str">
        <x:v>Prospective-student lead</x:v>
      </x:c>
      <x:c r="E18" s="339" t="str">
        <x:v>enquiry_id, student_name, guardian_contact, grade_interest, source, stage, owner</x:v>
      </x:c>
      <x:c r="F18" s="339" t="str">
        <x:v>May convert to application</x:v>
      </x:c>
      <x:c r="G18" s="339" t="str">
        <x:v>tenant/school + enquiry id</x:v>
      </x:c>
      <x:c r="H18" s="339" t="str">
        <x:v>PII</x:v>
      </x:c>
      <x:c r="I18" s="339" t="str">
        <x:v>Admissions retention</x:v>
      </x:c>
    </x:row>
    <x:row r="19">
      <x:c r="A19" s="339" t="str">
        <x:v>ENT-018</x:v>
      </x:c>
      <x:c r="B19" s="339" t="str">
        <x:v>Admissions &amp; Enquiries</x:v>
      </x:c>
      <x:c r="C19" s="339" t="str">
        <x:v>AdmissionApplication</x:v>
      </x:c>
      <x:c r="D19" s="339" t="str">
        <x:v>Formal applicant record</x:v>
      </x:c>
      <x:c r="E19" s="339" t="str">
        <x:v>application_id, enquiry_id, applicant data, grade, year, status, submitted_at</x:v>
      </x:c>
      <x:c r="F19" s="339" t="str">
        <x:v>Links documents/assessment/decision</x:v>
      </x:c>
      <x:c r="G19" s="339" t="str">
        <x:v>application number</x:v>
      </x:c>
      <x:c r="H19" s="339" t="str">
        <x:v>PII</x:v>
      </x:c>
      <x:c r="I19" s="339" t="str">
        <x:v>Admissions/student retention</x:v>
      </x:c>
    </x:row>
    <x:row r="20">
      <x:c r="A20" s="339" t="str">
        <x:v>ENT-019</x:v>
      </x:c>
      <x:c r="B20" s="339" t="str">
        <x:v>Admissions &amp; Enquiries</x:v>
      </x:c>
      <x:c r="C20" s="339" t="str">
        <x:v>AdmissionAssessment</x:v>
      </x:c>
      <x:c r="D20" s="339" t="str">
        <x:v>Entrance assessment/interview</x:v>
      </x:c>
      <x:c r="E20" s="339" t="str">
        <x:v>assessment_id, application_id, type, schedule, score/result, evaluator</x:v>
      </x:c>
      <x:c r="F20" s="339" t="str">
        <x:v>Belongs to application</x:v>
      </x:c>
      <x:c r="G20" s="339" t="str">
        <x:v>application + assessment type</x:v>
      </x:c>
      <x:c r="H20" s="339" t="str">
        <x:v>PII/Education</x:v>
      </x:c>
      <x:c r="I20" s="339" t="str">
        <x:v>Admissions retention</x:v>
      </x:c>
    </x:row>
    <x:row r="21">
      <x:c r="A21" s="339" t="str">
        <x:v>ENT-020</x:v>
      </x:c>
      <x:c r="B21" s="339" t="str">
        <x:v>Admissions &amp; Enquiries</x:v>
      </x:c>
      <x:c r="C21" s="339" t="str">
        <x:v>AdmissionDecision</x:v>
      </x:c>
      <x:c r="D21" s="339" t="str">
        <x:v>Approval/decision trail</x:v>
      </x:c>
      <x:c r="E21" s="339" t="str">
        <x:v>decision_id, application_id, decision, reason, approver, decided_at</x:v>
      </x:c>
      <x:c r="F21" s="339" t="str">
        <x:v>Belongs to application</x:v>
      </x:c>
      <x:c r="G21" s="339" t="str">
        <x:v>decision_id</x:v>
      </x:c>
      <x:c r="H21" s="339" t="str">
        <x:v>PII</x:v>
      </x:c>
      <x:c r="I21" s="339" t="str">
        <x:v>Historical</x:v>
      </x:c>
    </x:row>
    <x:row r="22">
      <x:c r="A22" s="339" t="str">
        <x:v>ENT-021</x:v>
      </x:c>
      <x:c r="B22" s="339" t="str">
        <x:v>Students</x:v>
      </x:c>
      <x:c r="C22" s="339" t="str">
        <x:v>Student</x:v>
      </x:c>
      <x:c r="D22" s="339" t="str">
        <x:v>Core student master</x:v>
      </x:c>
      <x:c r="E22" s="339" t="str">
        <x:v>student_id, admission_no, name, DOB, gender, contacts, status</x:v>
      </x:c>
      <x:c r="F22" s="339" t="str">
        <x:v>Links to enrollment/guardian/all modules</x:v>
      </x:c>
      <x:c r="G22" s="339" t="str">
        <x:v>school + admission_no</x:v>
      </x:c>
      <x:c r="H22" s="339" t="str">
        <x:v>PII/Education</x:v>
      </x:c>
      <x:c r="I22" s="339" t="str">
        <x:v>Long-term student record</x:v>
      </x:c>
    </x:row>
    <x:row r="23">
      <x:c r="A23" s="339" t="str">
        <x:v>ENT-022</x:v>
      </x:c>
      <x:c r="B23" s="339" t="str">
        <x:v>Students</x:v>
      </x:c>
      <x:c r="C23" s="339" t="str">
        <x:v>Enrollment</x:v>
      </x:c>
      <x:c r="D23" s="339" t="str">
        <x:v>Academic-year placement</x:v>
      </x:c>
      <x:c r="E23" s="339" t="str">
        <x:v>enrollment_id, student_id, academic_year_id, class_id, section_id, start/end, status</x:v>
      </x:c>
      <x:c r="F23" s="339" t="str">
        <x:v>Belongs to student/class</x:v>
      </x:c>
      <x:c r="G23" s="339" t="str">
        <x:v>student + academic year</x:v>
      </x:c>
      <x:c r="H23" s="339" t="str">
        <x:v>Education</x:v>
      </x:c>
      <x:c r="I23" s="339" t="str">
        <x:v>Historical</x:v>
      </x:c>
    </x:row>
    <x:row r="24">
      <x:c r="A24" s="339" t="str">
        <x:v>ENT-023</x:v>
      </x:c>
      <x:c r="B24" s="339" t="str">
        <x:v>Students</x:v>
      </x:c>
      <x:c r="C24" s="339" t="str">
        <x:v>StudentStatusHistory</x:v>
      </x:c>
      <x:c r="D24" s="339" t="str">
        <x:v>Lifecycle history</x:v>
      </x:c>
      <x:c r="E24" s="339" t="str">
        <x:v>history_id, student_id, from_status, to_status, effective_at, reason</x:v>
      </x:c>
      <x:c r="F24" s="339" t="str">
        <x:v>Belongs to student</x:v>
      </x:c>
      <x:c r="G24" s="339" t="str">
        <x:v>history_id</x:v>
      </x:c>
      <x:c r="H24" s="339" t="str">
        <x:v>PII</x:v>
      </x:c>
      <x:c r="I24" s="339" t="str">
        <x:v>Historical</x:v>
      </x:c>
    </x:row>
    <x:row r="25">
      <x:c r="A25" s="339" t="str">
        <x:v>ENT-024</x:v>
      </x:c>
      <x:c r="B25" s="339" t="str">
        <x:v>Students</x:v>
      </x:c>
      <x:c r="C25" s="339" t="str">
        <x:v>StudentServiceProfile</x:v>
      </x:c>
      <x:c r="D25" s="339" t="str">
        <x:v>Operational service flags</x:v>
      </x:c>
      <x:c r="E25" s="339" t="str">
        <x:v>student_id, transport/hostel/library/health flags, configured options</x:v>
      </x:c>
      <x:c r="F25" s="339" t="str">
        <x:v>Belongs to student</x:v>
      </x:c>
      <x:c r="G25" s="339" t="str">
        <x:v>student_id</x:v>
      </x:c>
      <x:c r="H25" s="339" t="str">
        <x:v>Potentially sensitive</x:v>
      </x:c>
      <x:c r="I25" s="339" t="str">
        <x:v>While active + history</x:v>
      </x:c>
    </x:row>
    <x:row r="26">
      <x:c r="A26" s="339" t="str">
        <x:v>ENT-025</x:v>
      </x:c>
      <x:c r="B26" s="339" t="str">
        <x:v>Parents &amp; Guardians</x:v>
      </x:c>
      <x:c r="C26" s="339" t="str">
        <x:v>Guardian</x:v>
      </x:c>
      <x:c r="D26" s="339" t="str">
        <x:v>Guardian identity/contact</x:v>
      </x:c>
      <x:c r="E26" s="339" t="str">
        <x:v>guardian_id, name, relationship, mobile, email, address, verification_status</x:v>
      </x:c>
      <x:c r="F26" s="339" t="str">
        <x:v>Links to students and user account</x:v>
      </x:c>
      <x:c r="G26" s="339" t="str">
        <x:v>normalized mobile/email as configured</x:v>
      </x:c>
      <x:c r="H26" s="339" t="str">
        <x:v>PII</x:v>
      </x:c>
      <x:c r="I26" s="339" t="str">
        <x:v>Relationship + retention</x:v>
      </x:c>
    </x:row>
    <x:row r="27">
      <x:c r="A27" s="339" t="str">
        <x:v>ENT-026</x:v>
      </x:c>
      <x:c r="B27" s="339" t="str">
        <x:v>Parents &amp; Guardians</x:v>
      </x:c>
      <x:c r="C27" s="339" t="str">
        <x:v>StudentGuardianLink</x:v>
      </x:c>
      <x:c r="D27" s="339" t="str">
        <x:v>Authorized relationship</x:v>
      </x:c>
      <x:c r="E27" s="339" t="str">
        <x:v>link_id, student_id, guardian_id, relation, permissions, custody/primary flags, start/end</x:v>
      </x:c>
      <x:c r="F27" s="339" t="str">
        <x:v>Links student and guardian</x:v>
      </x:c>
      <x:c r="G27" s="339" t="str">
        <x:v>student + guardian + effective period</x:v>
      </x:c>
      <x:c r="H27" s="339" t="str">
        <x:v>Sensitive/PII</x:v>
      </x:c>
      <x:c r="I27" s="339" t="str">
        <x:v>Historical</x:v>
      </x:c>
    </x:row>
    <x:row r="28">
      <x:c r="A28" s="339" t="str">
        <x:v>ENT-027</x:v>
      </x:c>
      <x:c r="B28" s="339" t="str">
        <x:v>Parents &amp; Guardians</x:v>
      </x:c>
      <x:c r="C28" s="339" t="str">
        <x:v>CommunicationPreference</x:v>
      </x:c>
      <x:c r="D28" s="339" t="str">
        <x:v>Guardian channel preferences</x:v>
      </x:c>
      <x:c r="E28" s="339" t="str">
        <x:v>guardian_id, channels, language, quiet hours, opt-in flags</x:v>
      </x:c>
      <x:c r="F28" s="339" t="str">
        <x:v>Belongs to guardian</x:v>
      </x:c>
      <x:c r="G28" s="339" t="str">
        <x:v>guardian_id</x:v>
      </x:c>
      <x:c r="H28" s="339" t="str">
        <x:v>PII/preferences</x:v>
      </x:c>
      <x:c r="I28" s="339" t="str">
        <x:v>Until changed/account removed</x:v>
      </x:c>
    </x:row>
    <x:row r="29">
      <x:c r="A29" s="339" t="str">
        <x:v>ENT-028</x:v>
      </x:c>
      <x:c r="B29" s="339" t="str">
        <x:v>Teachers &amp; Staff</x:v>
      </x:c>
      <x:c r="C29" s="339" t="str">
        <x:v>Employee</x:v>
      </x:c>
      <x:c r="D29" s="339" t="str">
        <x:v>Staff master</x:v>
      </x:c>
      <x:c r="E29" s="339" t="str">
        <x:v>employee_id, employee_no, name, contacts, department, designation, employment dates, status</x:v>
      </x:c>
      <x:c r="F29" s="339" t="str">
        <x:v>Links user, payroll, assignments</x:v>
      </x:c>
      <x:c r="G29" s="339" t="str">
        <x:v>school/org + employee_no</x:v>
      </x:c>
      <x:c r="H29" s="339" t="str">
        <x:v>PII/Employment</x:v>
      </x:c>
      <x:c r="I29" s="339" t="str">
        <x:v>Employment + statutory retention</x:v>
      </x:c>
    </x:row>
    <x:row r="30">
      <x:c r="A30" s="339" t="str">
        <x:v>ENT-029</x:v>
      </x:c>
      <x:c r="B30" s="339" t="str">
        <x:v>Teachers &amp; Staff</x:v>
      </x:c>
      <x:c r="C30" s="339" t="str">
        <x:v>TeacherAssignment</x:v>
      </x:c>
      <x:c r="D30" s="339" t="str">
        <x:v>Teaching allocation</x:v>
      </x:c>
      <x:c r="E30" s="339" t="str">
        <x:v>assignment_id, employee_id, academic_year, class, section, subject, start/end</x:v>
      </x:c>
      <x:c r="F30" s="339" t="str">
        <x:v>Links employee to academic structure</x:v>
      </x:c>
      <x:c r="G30" s="339" t="str">
        <x:v>employee + class + subject + effective period</x:v>
      </x:c>
      <x:c r="H30" s="339" t="str">
        <x:v>Education/Employment</x:v>
      </x:c>
      <x:c r="I30" s="339" t="str">
        <x:v>Historical</x:v>
      </x:c>
    </x:row>
    <x:row r="31">
      <x:c r="A31" s="339" t="str">
        <x:v>ENT-030</x:v>
      </x:c>
      <x:c r="B31" s="339" t="str">
        <x:v>Teachers &amp; Staff</x:v>
      </x:c>
      <x:c r="C31" s="339" t="str">
        <x:v>Qualification</x:v>
      </x:c>
      <x:c r="D31" s="339" t="str">
        <x:v>Staff qualification/compliance</x:v>
      </x:c>
      <x:c r="E31" s="339" t="str">
        <x:v>qualification_id, employee_id, type, institution, year, document_ref, verification</x:v>
      </x:c>
      <x:c r="F31" s="339" t="str">
        <x:v>Belongs to employee</x:v>
      </x:c>
      <x:c r="G31" s="339" t="str">
        <x:v>qualification_id</x:v>
      </x:c>
      <x:c r="H31" s="339" t="str">
        <x:v>PII</x:v>
      </x:c>
      <x:c r="I31" s="339" t="str">
        <x:v>Employment retention</x:v>
      </x:c>
    </x:row>
    <x:row r="32">
      <x:c r="A32" s="339" t="str">
        <x:v>ENT-031</x:v>
      </x:c>
      <x:c r="B32" s="339" t="str">
        <x:v>Teachers &amp; Staff</x:v>
      </x:c>
      <x:c r="C32" s="339" t="str">
        <x:v>EmploymentHistory</x:v>
      </x:c>
      <x:c r="D32" s="339" t="str">
        <x:v>Employment status/version</x:v>
      </x:c>
      <x:c r="E32" s="339" t="str">
        <x:v>history_id, employee_id, status/designation/department changes, effective dates</x:v>
      </x:c>
      <x:c r="F32" s="339" t="str">
        <x:v>Belongs to employee</x:v>
      </x:c>
      <x:c r="G32" s="339" t="str">
        <x:v>history_id</x:v>
      </x:c>
      <x:c r="H32" s="339" t="str">
        <x:v>Employment</x:v>
      </x:c>
      <x:c r="I32" s="339" t="str">
        <x:v>Historical</x:v>
      </x:c>
    </x:row>
    <x:row r="33">
      <x:c r="A33" s="339" t="str">
        <x:v>ENT-032</x:v>
      </x:c>
      <x:c r="B33" s="339" t="str">
        <x:v>Academics &amp; Curriculum</x:v>
      </x:c>
      <x:c r="C33" s="339" t="str">
        <x:v>Subject</x:v>
      </x:c>
      <x:c r="D33" s="339" t="str">
        <x:v>Subject master</x:v>
      </x:c>
      <x:c r="E33" s="339" t="str">
        <x:v>subject_id, code, name, grade applicability, type, status</x:v>
      </x:c>
      <x:c r="F33" s="339" t="str">
        <x:v>Links curriculum/teacher/exam</x:v>
      </x:c>
      <x:c r="G33" s="339" t="str">
        <x:v>school + code + academic year if versioned</x:v>
      </x:c>
      <x:c r="H33" s="339" t="str">
        <x:v>Education</x:v>
      </x:c>
      <x:c r="I33" s="339" t="str">
        <x:v>Historical</x:v>
      </x:c>
    </x:row>
    <x:row r="34">
      <x:c r="A34" s="339" t="str">
        <x:v>ENT-033</x:v>
      </x:c>
      <x:c r="B34" s="339" t="str">
        <x:v>Academics &amp; Curriculum</x:v>
      </x:c>
      <x:c r="C34" s="339" t="str">
        <x:v>Curriculum</x:v>
      </x:c>
      <x:c r="D34" s="339" t="str">
        <x:v>Curriculum version</x:v>
      </x:c>
      <x:c r="E34" s="339" t="str">
        <x:v>curriculum_id, academic_year, class, subject, version, status</x:v>
      </x:c>
      <x:c r="F34" s="339" t="str">
        <x:v>Owns units/outcomes</x:v>
      </x:c>
      <x:c r="G34" s="339" t="str">
        <x:v>class + subject + version</x:v>
      </x:c>
      <x:c r="H34" s="339" t="str">
        <x:v>Education</x:v>
      </x:c>
      <x:c r="I34" s="339" t="str">
        <x:v>Historical</x:v>
      </x:c>
    </x:row>
    <x:row r="35">
      <x:c r="A35" s="339" t="str">
        <x:v>ENT-034</x:v>
      </x:c>
      <x:c r="B35" s="339" t="str">
        <x:v>Academics &amp; Curriculum</x:v>
      </x:c>
      <x:c r="C35" s="339" t="str">
        <x:v>CurriculumUnit</x:v>
      </x:c>
      <x:c r="D35" s="339" t="str">
        <x:v>Unit/chapter/topic hierarchy</x:v>
      </x:c>
      <x:c r="E35" s="339" t="str">
        <x:v>unit_id, curriculum_id, parent_id, title, sequence, planned dates, status</x:v>
      </x:c>
      <x:c r="F35" s="339" t="str">
        <x:v>Belongs to curriculum</x:v>
      </x:c>
      <x:c r="G35" s="339" t="str">
        <x:v>curriculum + parent + sequence</x:v>
      </x:c>
      <x:c r="H35" s="339" t="str">
        <x:v>Education</x:v>
      </x:c>
      <x:c r="I35" s="339" t="str">
        <x:v>Historical</x:v>
      </x:c>
    </x:row>
    <x:row r="36">
      <x:c r="A36" s="339" t="str">
        <x:v>ENT-035</x:v>
      </x:c>
      <x:c r="B36" s="339" t="str">
        <x:v>Academics &amp; Curriculum</x:v>
      </x:c>
      <x:c r="C36" s="339" t="str">
        <x:v>LessonPlan</x:v>
      </x:c>
      <x:c r="D36" s="339" t="str">
        <x:v>Teacher delivery plan</x:v>
      </x:c>
      <x:c r="E36" s="339" t="str">
        <x:v>lesson_plan_id, teacher, class/subject, unit/topic, planned/actual dates, status</x:v>
      </x:c>
      <x:c r="F36" s="339" t="str">
        <x:v>Links curriculum and teacher</x:v>
      </x:c>
      <x:c r="G36" s="339" t="str">
        <x:v>teacher + class/subject + plan date</x:v>
      </x:c>
      <x:c r="H36" s="339" t="str">
        <x:v>Education</x:v>
      </x:c>
      <x:c r="I36" s="339" t="str">
        <x:v>Historical</x:v>
      </x:c>
    </x:row>
    <x:row r="37">
      <x:c r="A37" s="339" t="str">
        <x:v>ENT-036</x:v>
      </x:c>
      <x:c r="B37" s="339" t="str">
        <x:v>Academics &amp; Curriculum</x:v>
      </x:c>
      <x:c r="C37" s="339" t="str">
        <x:v>LearningOutcome</x:v>
      </x:c>
      <x:c r="D37" s="339" t="str">
        <x:v>Expected learning result</x:v>
      </x:c>
      <x:c r="E37" s="339" t="str">
        <x:v>outcome_id, curriculum/unit, description, level, status</x:v>
      </x:c>
      <x:c r="F37" s="339" t="str">
        <x:v>Links assessments/content</x:v>
      </x:c>
      <x:c r="G37" s="339" t="str">
        <x:v>outcome_id</x:v>
      </x:c>
      <x:c r="H37" s="339" t="str">
        <x:v>Education</x:v>
      </x:c>
      <x:c r="I37" s="339" t="str">
        <x:v>Historical</x:v>
      </x:c>
    </x:row>
    <x:row r="38">
      <x:c r="A38" s="339" t="str">
        <x:v>ENT-037</x:v>
      </x:c>
      <x:c r="B38" s="339" t="str">
        <x:v>Student Attendance</x:v>
      </x:c>
      <x:c r="C38" s="339" t="str">
        <x:v>AttendanceSession</x:v>
      </x:c>
      <x:c r="D38" s="339" t="str">
        <x:v>Attendance-taking context</x:v>
      </x:c>
      <x:c r="E38" s="339" t="str">
        <x:v>session_id, date, academic_year, class, section, period/subject, status, lock_at</x:v>
      </x:c>
      <x:c r="F38" s="339" t="str">
        <x:v>Owns student attendance rows</x:v>
      </x:c>
      <x:c r="G38" s="339" t="str">
        <x:v>date + class/section + period</x:v>
      </x:c>
      <x:c r="H38" s="339" t="str">
        <x:v>Education</x:v>
      </x:c>
      <x:c r="I38" s="339" t="str">
        <x:v>Historical</x:v>
      </x:c>
    </x:row>
    <x:row r="39">
      <x:c r="A39" s="339" t="str">
        <x:v>ENT-038</x:v>
      </x:c>
      <x:c r="B39" s="339" t="str">
        <x:v>Student Attendance</x:v>
      </x:c>
      <x:c r="C39" s="339" t="str">
        <x:v>StudentAttendance</x:v>
      </x:c>
      <x:c r="D39" s="339" t="str">
        <x:v>Per-student final attendance</x:v>
      </x:c>
      <x:c r="E39" s="339" t="str">
        <x:v>attendance_id, session_id, student_id, status, marked_by, marked_at, remark</x:v>
      </x:c>
      <x:c r="F39" s="339" t="str">
        <x:v>Belongs to session/student</x:v>
      </x:c>
      <x:c r="G39" s="339" t="str">
        <x:v>session + student</x:v>
      </x:c>
      <x:c r="H39" s="339" t="str">
        <x:v>Education/PII</x:v>
      </x:c>
      <x:c r="I39" s="339" t="str">
        <x:v>Historical</x:v>
      </x:c>
    </x:row>
    <x:row r="40">
      <x:c r="A40" s="339" t="str">
        <x:v>ENT-039</x:v>
      </x:c>
      <x:c r="B40" s="339" t="str">
        <x:v>Student Attendance</x:v>
      </x:c>
      <x:c r="C40" s="339" t="str">
        <x:v>StudentLeave</x:v>
      </x:c>
      <x:c r="D40" s="339" t="str">
        <x:v>Student leave request</x:v>
      </x:c>
      <x:c r="E40" s="339" t="str">
        <x:v>leave_id, student_id, dates, type, reason, requester, status, approver</x:v>
      </x:c>
      <x:c r="F40" s="339" t="str">
        <x:v>Links attendance/calendar</x:v>
      </x:c>
      <x:c r="G40" s="339" t="str">
        <x:v>student + date range</x:v>
      </x:c>
      <x:c r="H40" s="339" t="str">
        <x:v>PII</x:v>
      </x:c>
      <x:c r="I40" s="339" t="str">
        <x:v>Historical</x:v>
      </x:c>
    </x:row>
    <x:row r="41">
      <x:c r="A41" s="339" t="str">
        <x:v>ENT-040</x:v>
      </x:c>
      <x:c r="B41" s="339" t="str">
        <x:v>Student Attendance</x:v>
      </x:c>
      <x:c r="C41" s="339" t="str">
        <x:v>AttendanceCorrection</x:v>
      </x:c>
      <x:c r="D41" s="339" t="str">
        <x:v>Post-lock correction request</x:v>
      </x:c>
      <x:c r="E41" s="339" t="str">
        <x:v>correction_id, attendance_id, old/new status, reason, requester, approver, status</x:v>
      </x:c>
      <x:c r="F41" s="339" t="str">
        <x:v>Belongs to attendance</x:v>
      </x:c>
      <x:c r="G41" s="339" t="str">
        <x:v>correction_id</x:v>
      </x:c>
      <x:c r="H41" s="339" t="str">
        <x:v>Education</x:v>
      </x:c>
      <x:c r="I41" s="339" t="str">
        <x:v>Historical</x:v>
      </x:c>
    </x:row>
    <x:row r="42">
      <x:c r="A42" s="339" t="str">
        <x:v>ENT-041</x:v>
      </x:c>
      <x:c r="B42" s="339" t="str">
        <x:v>Timetable &amp; Substitution</x:v>
      </x:c>
      <x:c r="C42" s="339" t="str">
        <x:v>Timetable</x:v>
      </x:c>
      <x:c r="D42" s="339" t="str">
        <x:v>Schedule version</x:v>
      </x:c>
      <x:c r="E42" s="339" t="str">
        <x:v>timetable_id, academic_year, class/section or teacher scope, version, status, effective dates</x:v>
      </x:c>
      <x:c r="F42" s="339" t="str">
        <x:v>Owns slots</x:v>
      </x:c>
      <x:c r="G42" s="339" t="str">
        <x:v>scope + version</x:v>
      </x:c>
      <x:c r="H42" s="339" t="str">
        <x:v>Education</x:v>
      </x:c>
      <x:c r="I42" s="339" t="str">
        <x:v>Historical</x:v>
      </x:c>
    </x:row>
    <x:row r="43">
      <x:c r="A43" s="339" t="str">
        <x:v>ENT-042</x:v>
      </x:c>
      <x:c r="B43" s="339" t="str">
        <x:v>Timetable &amp; Substitution</x:v>
      </x:c>
      <x:c r="C43" s="339" t="str">
        <x:v>TimetableSlot</x:v>
      </x:c>
      <x:c r="D43" s="339" t="str">
        <x:v>Scheduled period</x:v>
      </x:c>
      <x:c r="E43" s="339" t="str">
        <x:v>slot_id, timetable_id, day/date, period, subject, teacher, room</x:v>
      </x:c>
      <x:c r="F43" s="339" t="str">
        <x:v>Links resources</x:v>
      </x:c>
      <x:c r="G43" s="339" t="str">
        <x:v>timetable + day + period</x:v>
      </x:c>
      <x:c r="H43" s="339" t="str">
        <x:v>Education</x:v>
      </x:c>
      <x:c r="I43" s="339" t="str">
        <x:v>Historical</x:v>
      </x:c>
    </x:row>
    <x:row r="44">
      <x:c r="A44" s="339" t="str">
        <x:v>ENT-043</x:v>
      </x:c>
      <x:c r="B44" s="339" t="str">
        <x:v>Timetable &amp; Substitution</x:v>
      </x:c>
      <x:c r="C44" s="339" t="str">
        <x:v>ResourceAvailability</x:v>
      </x:c>
      <x:c r="D44" s="339" t="str">
        <x:v>Teacher/room availability</x:v>
      </x:c>
      <x:c r="E44" s="339" t="str">
        <x:v>availability_id, resource_type/id, start/end, availability type</x:v>
      </x:c>
      <x:c r="F44" s="339" t="str">
        <x:v>Used by scheduler</x:v>
      </x:c>
      <x:c r="G44" s="339" t="str">
        <x:v>resource + time range</x:v>
      </x:c>
      <x:c r="H44" s="339" t="str">
        <x:v>Operational</x:v>
      </x:c>
      <x:c r="I44" s="339" t="str">
        <x:v>Historical/current</x:v>
      </x:c>
    </x:row>
    <x:row r="45">
      <x:c r="A45" s="339" t="str">
        <x:v>ENT-044</x:v>
      </x:c>
      <x:c r="B45" s="339" t="str">
        <x:v>Timetable &amp; Substitution</x:v>
      </x:c>
      <x:c r="C45" s="339" t="str">
        <x:v>Substitution</x:v>
      </x:c>
      <x:c r="D45" s="339" t="str">
        <x:v>Teacher replacement</x:v>
      </x:c>
      <x:c r="E45" s="339" t="str">
        <x:v>substitution_id, slot/date, original_teacher, substitute_teacher, reason, status</x:v>
      </x:c>
      <x:c r="F45" s="339" t="str">
        <x:v>Links timetable/staff</x:v>
      </x:c>
      <x:c r="G45" s="339" t="str">
        <x:v>slot/date</x:v>
      </x:c>
      <x:c r="H45" s="339" t="str">
        <x:v>Employment/Education</x:v>
      </x:c>
      <x:c r="I45" s="339" t="str">
        <x:v>Historical</x:v>
      </x:c>
    </x:row>
    <x:row r="46">
      <x:c r="A46" s="339" t="str">
        <x:v>ENT-045</x:v>
      </x:c>
      <x:c r="B46" s="339" t="str">
        <x:v>Homework &amp; Assignments</x:v>
      </x:c>
      <x:c r="C46" s="339" t="str">
        <x:v>LearningTask</x:v>
      </x:c>
      <x:c r="D46" s="339" t="str">
        <x:v>Homework/assignment master</x:v>
      </x:c>
      <x:c r="E46" s="339" t="str">
        <x:v>task_id, type, class, subject, teacher, instructions, publish/due dates, max_score, status</x:v>
      </x:c>
      <x:c r="F46" s="339" t="str">
        <x:v>Owns submissions</x:v>
      </x:c>
      <x:c r="G46" s="339" t="str">
        <x:v>task_id</x:v>
      </x:c>
      <x:c r="H46" s="339" t="str">
        <x:v>Education</x:v>
      </x:c>
      <x:c r="I46" s="339" t="str">
        <x:v>Historical</x:v>
      </x:c>
    </x:row>
    <x:row r="47">
      <x:c r="A47" s="339" t="str">
        <x:v>ENT-046</x:v>
      </x:c>
      <x:c r="B47" s="339" t="str">
        <x:v>Homework &amp; Assignments</x:v>
      </x:c>
      <x:c r="C47" s="339" t="str">
        <x:v>TaskSubmission</x:v>
      </x:c>
      <x:c r="D47" s="339" t="str">
        <x:v>Student submission</x:v>
      </x:c>
      <x:c r="E47" s="339" t="str">
        <x:v>submission_id, task_id, student_id, submitted_at, files/text, status, version</x:v>
      </x:c>
      <x:c r="F47" s="339" t="str">
        <x:v>Belongs to task/student</x:v>
      </x:c>
      <x:c r="G47" s="339" t="str">
        <x:v>task + student + version</x:v>
      </x:c>
      <x:c r="H47" s="339" t="str">
        <x:v>Education/PII</x:v>
      </x:c>
      <x:c r="I47" s="339" t="str">
        <x:v>Academic retention</x:v>
      </x:c>
    </x:row>
    <x:row r="48">
      <x:c r="A48" s="339" t="str">
        <x:v>ENT-047</x:v>
      </x:c>
      <x:c r="B48" s="339" t="str">
        <x:v>Homework &amp; Assignments</x:v>
      </x:c>
      <x:c r="C48" s="339" t="str">
        <x:v>TaskEvaluation</x:v>
      </x:c>
      <x:c r="D48" s="339" t="str">
        <x:v>Teacher evaluation</x:v>
      </x:c>
      <x:c r="E48" s="339" t="str">
        <x:v>evaluation_id, submission_id, score/rubric, feedback, evaluator, evaluated_at</x:v>
      </x:c>
      <x:c r="F48" s="339" t="str">
        <x:v>Belongs to submission</x:v>
      </x:c>
      <x:c r="G48" s="339" t="str">
        <x:v>submission + evaluation version</x:v>
      </x:c>
      <x:c r="H48" s="339" t="str">
        <x:v>Education</x:v>
      </x:c>
      <x:c r="I48" s="339" t="str">
        <x:v>Academic retention</x:v>
      </x:c>
    </x:row>
    <x:row r="49">
      <x:c r="A49" s="339" t="str">
        <x:v>ENT-048</x:v>
      </x:c>
      <x:c r="B49" s="339" t="str">
        <x:v>Homework &amp; Assignments</x:v>
      </x:c>
      <x:c r="C49" s="339" t="str">
        <x:v>Rubric</x:v>
      </x:c>
      <x:c r="D49" s="339" t="str">
        <x:v>Evaluation rubric</x:v>
      </x:c>
      <x:c r="E49" s="339" t="str">
        <x:v>rubric_id, task/subject scope, criteria, weights, status</x:v>
      </x:c>
      <x:c r="F49" s="339" t="str">
        <x:v>Used by evaluations</x:v>
      </x:c>
      <x:c r="G49" s="339" t="str">
        <x:v>rubric_id/version</x:v>
      </x:c>
      <x:c r="H49" s="339" t="str">
        <x:v>Education</x:v>
      </x:c>
      <x:c r="I49" s="339" t="str">
        <x:v>Historical</x:v>
      </x:c>
    </x:row>
    <x:row r="50">
      <x:c r="A50" s="339" t="str">
        <x:v>ENT-049</x:v>
      </x:c>
      <x:c r="B50" s="339" t="str">
        <x:v>Examinations / Marks / Results</x:v>
      </x:c>
      <x:c r="C50" s="339" t="str">
        <x:v>Exam</x:v>
      </x:c>
      <x:c r="D50" s="339" t="str">
        <x:v>Exam master</x:v>
      </x:c>
      <x:c r="E50" s="339" t="str">
        <x:v>exam_id, academic_year, type, name, term, status, publish settings</x:v>
      </x:c>
      <x:c r="F50" s="339" t="str">
        <x:v>Owns schedules/components/results</x:v>
      </x:c>
      <x:c r="G50" s="339" t="str">
        <x:v>school + exam code</x:v>
      </x:c>
      <x:c r="H50" s="339" t="str">
        <x:v>Education</x:v>
      </x:c>
      <x:c r="I50" s="339" t="str">
        <x:v>Historical</x:v>
      </x:c>
    </x:row>
    <x:row r="51">
      <x:c r="A51" s="339" t="str">
        <x:v>ENT-050</x:v>
      </x:c>
      <x:c r="B51" s="339" t="str">
        <x:v>Examinations / Marks / Results</x:v>
      </x:c>
      <x:c r="C51" s="339" t="str">
        <x:v>ExamSchedule</x:v>
      </x:c>
      <x:c r="D51" s="339" t="str">
        <x:v>Subject/date/time/room schedule</x:v>
      </x:c>
      <x:c r="E51" s="339" t="str">
        <x:v>schedule_id, exam_id, class/subject, date/time, room, max/pass marks</x:v>
      </x:c>
      <x:c r="F51" s="339" t="str">
        <x:v>Links timetable/resources</x:v>
      </x:c>
      <x:c r="G51" s="339" t="str">
        <x:v>exam + class + subject</x:v>
      </x:c>
      <x:c r="H51" s="339" t="str">
        <x:v>Education</x:v>
      </x:c>
      <x:c r="I51" s="339" t="str">
        <x:v>Historical</x:v>
      </x:c>
    </x:row>
    <x:row r="52">
      <x:c r="A52" s="339" t="str">
        <x:v>ENT-051</x:v>
      </x:c>
      <x:c r="B52" s="339" t="str">
        <x:v>Examinations / Marks / Results</x:v>
      </x:c>
      <x:c r="C52" s="339" t="str">
        <x:v>MarkEntry</x:v>
      </x:c>
      <x:c r="D52" s="339" t="str">
        <x:v>Student marks component</x:v>
      </x:c>
      <x:c r="E52" s="339" t="str">
        <x:v>mark_id, exam/subject/student, component, marks/status, entered_by, verified_by</x:v>
      </x:c>
      <x:c r="F52" s="339" t="str">
        <x:v>Links result</x:v>
      </x:c>
      <x:c r="G52" s="339" t="str">
        <x:v>exam + subject + student + component</x:v>
      </x:c>
      <x:c r="H52" s="339" t="str">
        <x:v>Education/PII</x:v>
      </x:c>
      <x:c r="I52" s="339" t="str">
        <x:v>Long-term academic</x:v>
      </x:c>
    </x:row>
    <x:row r="53">
      <x:c r="A53" s="339" t="str">
        <x:v>ENT-052</x:v>
      </x:c>
      <x:c r="B53" s="339" t="str">
        <x:v>Examinations / Marks / Results</x:v>
      </x:c>
      <x:c r="C53" s="339" t="str">
        <x:v>GradeScale</x:v>
      </x:c>
      <x:c r="D53" s="339" t="str">
        <x:v>Grade-band configuration</x:v>
      </x:c>
      <x:c r="E53" s="339" t="str">
        <x:v>grade_scale_id, academic period, bands/labels, rules, version</x:v>
      </x:c>
      <x:c r="F53" s="339" t="str">
        <x:v>Used by results</x:v>
      </x:c>
      <x:c r="G53" s="339" t="str">
        <x:v>scope + version</x:v>
      </x:c>
      <x:c r="H53" s="339" t="str">
        <x:v>Education</x:v>
      </x:c>
      <x:c r="I53" s="339" t="str">
        <x:v>Historical</x:v>
      </x:c>
    </x:row>
    <x:row r="54">
      <x:c r="A54" s="339" t="str">
        <x:v>ENT-053</x:v>
      </x:c>
      <x:c r="B54" s="339" t="str">
        <x:v>Examinations / Marks / Results</x:v>
      </x:c>
      <x:c r="C54" s="339" t="str">
        <x:v>Result</x:v>
      </x:c>
      <x:c r="D54" s="339" t="str">
        <x:v>Calculated/published result</x:v>
      </x:c>
      <x:c r="E54" s="339" t="str">
        <x:v>result_id, exam/student, totals, percentage, grade, status, version</x:v>
      </x:c>
      <x:c r="F54" s="339" t="str">
        <x:v>Derived from marks</x:v>
      </x:c>
      <x:c r="G54" s="339" t="str">
        <x:v>exam + student + version</x:v>
      </x:c>
      <x:c r="H54" s="339" t="str">
        <x:v>Education/PII</x:v>
      </x:c>
      <x:c r="I54" s="339" t="str">
        <x:v>Long-term academic</x:v>
      </x:c>
    </x:row>
    <x:row r="55">
      <x:c r="A55" s="339" t="str">
        <x:v>ENT-054</x:v>
      </x:c>
      <x:c r="B55" s="339" t="str">
        <x:v>Fees &amp; Finance</x:v>
      </x:c>
      <x:c r="C55" s="339" t="str">
        <x:v>FeeStructure</x:v>
      </x:c>
      <x:c r="D55" s="339" t="str">
        <x:v>Fee plan/master</x:v>
      </x:c>
      <x:c r="E55" s="339" t="str">
        <x:v>fee_structure_id, academic_year, class/category, fee heads, schedule, status</x:v>
      </x:c>
      <x:c r="F55" s="339" t="str">
        <x:v>Creates student charges</x:v>
      </x:c>
      <x:c r="G55" s="339" t="str">
        <x:v>scope + version</x:v>
      </x:c>
      <x:c r="H55" s="339" t="str">
        <x:v>Financial</x:v>
      </x:c>
      <x:c r="I55" s="339" t="str">
        <x:v>Historical</x:v>
      </x:c>
    </x:row>
    <x:row r="56">
      <x:c r="A56" s="339" t="str">
        <x:v>ENT-055</x:v>
      </x:c>
      <x:c r="B56" s="339" t="str">
        <x:v>Fees &amp; Finance</x:v>
      </x:c>
      <x:c r="C56" s="339" t="str">
        <x:v>StudentFeeCharge</x:v>
      </x:c>
      <x:c r="D56" s="339" t="str">
        <x:v>Posted student obligation</x:v>
      </x:c>
      <x:c r="E56" s="339" t="str">
        <x:v>charge_id, student_id, fee_head, due_date, amount, discounts/fine, status</x:v>
      </x:c>
      <x:c r="F56" s="339" t="str">
        <x:v>Links payments/ledger</x:v>
      </x:c>
      <x:c r="G56" s="339" t="str">
        <x:v>charge_id</x:v>
      </x:c>
      <x:c r="H56" s="339" t="str">
        <x:v>Financial/PII</x:v>
      </x:c>
      <x:c r="I56" s="339" t="str">
        <x:v>Statutory retention</x:v>
      </x:c>
    </x:row>
    <x:row r="57">
      <x:c r="A57" s="339" t="str">
        <x:v>ENT-056</x:v>
      </x:c>
      <x:c r="B57" s="339" t="str">
        <x:v>Fees &amp; Finance</x:v>
      </x:c>
      <x:c r="C57" s="339" t="str">
        <x:v>Payment</x:v>
      </x:c>
      <x:c r="D57" s="339" t="str">
        <x:v>Payment transaction</x:v>
      </x:c>
      <x:c r="E57" s="339" t="str">
        <x:v>payment_id, student/payer, amount, mode, provider_ref, status, paid_at</x:v>
      </x:c>
      <x:c r="F57" s="339" t="str">
        <x:v>Allocates to charges</x:v>
      </x:c>
      <x:c r="G57" s="339" t="str">
        <x:v>provider_ref/receipt relation</x:v>
      </x:c>
      <x:c r="H57" s="339" t="str">
        <x:v>Financial/PII</x:v>
      </x:c>
      <x:c r="I57" s="339" t="str">
        <x:v>Statutory retention</x:v>
      </x:c>
    </x:row>
    <x:row r="58">
      <x:c r="A58" s="339" t="str">
        <x:v>ENT-057</x:v>
      </x:c>
      <x:c r="B58" s="339" t="str">
        <x:v>Fees &amp; Finance</x:v>
      </x:c>
      <x:c r="C58" s="339" t="str">
        <x:v>Receipt</x:v>
      </x:c>
      <x:c r="D58" s="339" t="str">
        <x:v>Immutable receipt</x:v>
      </x:c>
      <x:c r="E58" s="339" t="str">
        <x:v>receipt_id/no, payment_id, payer/student, amount, issued_at</x:v>
      </x:c>
      <x:c r="F58" s="339" t="str">
        <x:v>Belongs to payment</x:v>
      </x:c>
      <x:c r="G58" s="339" t="str">
        <x:v>school + receipt number</x:v>
      </x:c>
      <x:c r="H58" s="339" t="str">
        <x:v>Financial/PII</x:v>
      </x:c>
      <x:c r="I58" s="339" t="str">
        <x:v>Statutory retention</x:v>
      </x:c>
    </x:row>
    <x:row r="59">
      <x:c r="A59" s="339" t="str">
        <x:v>ENT-058</x:v>
      </x:c>
      <x:c r="B59" s="339" t="str">
        <x:v>Fees &amp; Finance</x:v>
      </x:c>
      <x:c r="C59" s="339" t="str">
        <x:v>Concession</x:v>
      </x:c>
      <x:c r="D59" s="339" t="str">
        <x:v>Discount/scholarship/waiver</x:v>
      </x:c>
      <x:c r="E59" s="339" t="str">
        <x:v>concession_id, student/charge scope, type, amount/percent, approver, status</x:v>
      </x:c>
      <x:c r="F59" s="339" t="str">
        <x:v>Reduces charges</x:v>
      </x:c>
      <x:c r="G59" s="339" t="str">
        <x:v>concession_id</x:v>
      </x:c>
      <x:c r="H59" s="339" t="str">
        <x:v>Financial/PII</x:v>
      </x:c>
      <x:c r="I59" s="339" t="str">
        <x:v>Statutory retention</x:v>
      </x:c>
    </x:row>
    <x:row r="60">
      <x:c r="A60" s="339" t="str">
        <x:v>ENT-059</x:v>
      </x:c>
      <x:c r="B60" s="339" t="str">
        <x:v>Fees &amp; Finance</x:v>
      </x:c>
      <x:c r="C60" s="339" t="str">
        <x:v>Refund</x:v>
      </x:c>
      <x:c r="D60" s="339" t="str">
        <x:v>Payment reversal/refund</x:v>
      </x:c>
      <x:c r="E60" s="339" t="str">
        <x:v>refund_id, payment_id, amount, reason, approval, provider_ref, status</x:v>
      </x:c>
      <x:c r="F60" s="339" t="str">
        <x:v>Links payment/ledger</x:v>
      </x:c>
      <x:c r="G60" s="339" t="str">
        <x:v>refund_id/provider ref</x:v>
      </x:c>
      <x:c r="H60" s="339" t="str">
        <x:v>Financial/PII</x:v>
      </x:c>
      <x:c r="I60" s="339" t="str">
        <x:v>Statutory retention</x:v>
      </x:c>
    </x:row>
    <x:row r="61">
      <x:c r="A61" s="339" t="str">
        <x:v>ENT-060</x:v>
      </x:c>
      <x:c r="B61" s="339" t="str">
        <x:v>HR / Leave / Payroll</x:v>
      </x:c>
      <x:c r="C61" s="339" t="str">
        <x:v>LeavePolicy</x:v>
      </x:c>
      <x:c r="D61" s="339" t="str">
        <x:v>Employee leave rules</x:v>
      </x:c>
      <x:c r="E61" s="339" t="str">
        <x:v>policy_id, employment group, leave type, accrual, limits, approval chain, effective dates</x:v>
      </x:c>
      <x:c r="F61" s="339" t="str">
        <x:v>Used by leave requests/payroll</x:v>
      </x:c>
      <x:c r="G61" s="339" t="str">
        <x:v>scope + version</x:v>
      </x:c>
      <x:c r="H61" s="339" t="str">
        <x:v>Employment</x:v>
      </x:c>
      <x:c r="I61" s="339" t="str">
        <x:v>Historical</x:v>
      </x:c>
    </x:row>
    <x:row r="62">
      <x:c r="A62" s="339" t="str">
        <x:v>ENT-061</x:v>
      </x:c>
      <x:c r="B62" s="339" t="str">
        <x:v>HR / Leave / Payroll</x:v>
      </x:c>
      <x:c r="C62" s="339" t="str">
        <x:v>LeaveRequest</x:v>
      </x:c>
      <x:c r="D62" s="339" t="str">
        <x:v>Employee leave request</x:v>
      </x:c>
      <x:c r="E62" s="339" t="str">
        <x:v>leave_id, employee_id, type, dates, units, reason, status, approvers</x:v>
      </x:c>
      <x:c r="F62" s="339" t="str">
        <x:v>Feeds attendance/payroll</x:v>
      </x:c>
      <x:c r="G62" s="339" t="str">
        <x:v>employee + dates</x:v>
      </x:c>
      <x:c r="H62" s="339" t="str">
        <x:v>Employment/PII</x:v>
      </x:c>
      <x:c r="I62" s="339" t="str">
        <x:v>Historical</x:v>
      </x:c>
    </x:row>
    <x:row r="63">
      <x:c r="A63" s="339" t="str">
        <x:v>ENT-062</x:v>
      </x:c>
      <x:c r="B63" s="339" t="str">
        <x:v>HR / Leave / Payroll</x:v>
      </x:c>
      <x:c r="C63" s="339" t="str">
        <x:v>PayrollRun</x:v>
      </x:c>
      <x:c r="D63" s="339" t="str">
        <x:v>Payroll-period processing</x:v>
      </x:c>
      <x:c r="E63" s="339" t="str">
        <x:v>payroll_run_id, period, scope, status, version, approved_by, posted_at</x:v>
      </x:c>
      <x:c r="F63" s="339" t="str">
        <x:v>Owns payslips</x:v>
      </x:c>
      <x:c r="G63" s="339" t="str">
        <x:v>scope + period + version</x:v>
      </x:c>
      <x:c r="H63" s="339" t="str">
        <x:v>Highly sensitive financial</x:v>
      </x:c>
      <x:c r="I63" s="339" t="str">
        <x:v>Statutory retention</x:v>
      </x:c>
    </x:row>
    <x:row r="64">
      <x:c r="A64" s="339" t="str">
        <x:v>ENT-063</x:v>
      </x:c>
      <x:c r="B64" s="339" t="str">
        <x:v>HR / Leave / Payroll</x:v>
      </x:c>
      <x:c r="C64" s="339" t="str">
        <x:v>Payslip</x:v>
      </x:c>
      <x:c r="D64" s="339" t="str">
        <x:v>Employee payroll result</x:v>
      </x:c>
      <x:c r="E64" s="339" t="str">
        <x:v>payslip_id, payroll_run_id, employee_id, earnings, deductions, net_pay, status</x:v>
      </x:c>
      <x:c r="F64" s="339" t="str">
        <x:v>Belongs to payroll/employee</x:v>
      </x:c>
      <x:c r="G64" s="339" t="str">
        <x:v>run + employee</x:v>
      </x:c>
      <x:c r="H64" s="339" t="str">
        <x:v>Highly sensitive financial</x:v>
      </x:c>
      <x:c r="I64" s="339" t="str">
        <x:v>Statutory retention</x:v>
      </x:c>
    </x:row>
    <x:row r="65">
      <x:c r="A65" s="339" t="str">
        <x:v>ENT-064</x:v>
      </x:c>
      <x:c r="B65" s="339" t="str">
        <x:v>HR / Leave / Payroll</x:v>
      </x:c>
      <x:c r="C65" s="339" t="str">
        <x:v>RecruitmentApplication</x:v>
      </x:c>
      <x:c r="D65" s="339" t="str">
        <x:v>Candidate hiring record</x:v>
      </x:c>
      <x:c r="E65" s="339" t="str">
        <x:v>candidate_id/application_id, job, applicant data, stage, status</x:v>
      </x:c>
      <x:c r="F65" s="339" t="str">
        <x:v>May convert to employee</x:v>
      </x:c>
      <x:c r="G65" s="339" t="str">
        <x:v>application id</x:v>
      </x:c>
      <x:c r="H65" s="339" t="str">
        <x:v>PII/Employment</x:v>
      </x:c>
      <x:c r="I65" s="339" t="str">
        <x:v>Recruitment retention</x:v>
      </x:c>
    </x:row>
    <x:row r="66">
      <x:c r="A66" s="339" t="str">
        <x:v>ENT-065</x:v>
      </x:c>
      <x:c r="B66" s="339" t="str">
        <x:v>Transport / Bus / GPS</x:v>
      </x:c>
      <x:c r="C66" s="339" t="str">
        <x:v>Vehicle</x:v>
      </x:c>
      <x:c r="D66" s="339" t="str">
        <x:v>School vehicle master</x:v>
      </x:c>
      <x:c r="E66" s="339" t="str">
        <x:v>vehicle_id, registration_no, type, capacity, compliance dates, status</x:v>
      </x:c>
      <x:c r="F66" s="339" t="str">
        <x:v>Assigned to routes/trips</x:v>
      </x:c>
      <x:c r="G66" s="339" t="str">
        <x:v>registration_no</x:v>
      </x:c>
      <x:c r="H66" s="339" t="str">
        <x:v>Operational</x:v>
      </x:c>
      <x:c r="I66" s="339" t="str">
        <x:v>Asset retention</x:v>
      </x:c>
    </x:row>
    <x:row r="67">
      <x:c r="A67" s="339" t="str">
        <x:v>ENT-066</x:v>
      </x:c>
      <x:c r="B67" s="339" t="str">
        <x:v>Transport / Bus / GPS</x:v>
      </x:c>
      <x:c r="C67" s="339" t="str">
        <x:v>Route</x:v>
      </x:c>
      <x:c r="D67" s="339" t="str">
        <x:v>Transport route</x:v>
      </x:c>
      <x:c r="E67" s="339" t="str">
        <x:v>route_id, name/code, effective dates, status</x:v>
      </x:c>
      <x:c r="F67" s="339" t="str">
        <x:v>Owns ordered stops</x:v>
      </x:c>
      <x:c r="G67" s="339" t="str">
        <x:v>school + route code</x:v>
      </x:c>
      <x:c r="H67" s="339" t="str">
        <x:v>Operational</x:v>
      </x:c>
      <x:c r="I67" s="339" t="str">
        <x:v>Historical</x:v>
      </x:c>
    </x:row>
    <x:row r="68">
      <x:c r="A68" s="339" t="str">
        <x:v>ENT-067</x:v>
      </x:c>
      <x:c r="B68" s="339" t="str">
        <x:v>Transport / Bus / GPS</x:v>
      </x:c>
      <x:c r="C68" s="339" t="str">
        <x:v>TransportStop</x:v>
      </x:c>
      <x:c r="D68" s="339" t="str">
        <x:v>Pickup/drop stop</x:v>
      </x:c>
      <x:c r="E68" s="339" t="str">
        <x:v>stop_id, route_id, name, geo, sequence, planned time</x:v>
      </x:c>
      <x:c r="F68" s="339" t="str">
        <x:v>Belongs to route</x:v>
      </x:c>
      <x:c r="G68" s="339" t="str">
        <x:v>route + sequence</x:v>
      </x:c>
      <x:c r="H68" s="339" t="str">
        <x:v>Location</x:v>
      </x:c>
      <x:c r="I68" s="339" t="str">
        <x:v>Historical</x:v>
      </x:c>
    </x:row>
    <x:row r="69">
      <x:c r="A69" s="339" t="str">
        <x:v>ENT-068</x:v>
      </x:c>
      <x:c r="B69" s="339" t="str">
        <x:v>Transport / Bus / GPS</x:v>
      </x:c>
      <x:c r="C69" s="339" t="str">
        <x:v>TransportAssignment</x:v>
      </x:c>
      <x:c r="D69" s="339" t="str">
        <x:v>Student route/stop allocation</x:v>
      </x:c>
      <x:c r="E69" s="339" t="str">
        <x:v>assignment_id, student_id, route/stop, service type, start/end, status</x:v>
      </x:c>
      <x:c r="F69" s="339" t="str">
        <x:v>Links student and route</x:v>
      </x:c>
      <x:c r="G69" s="339" t="str">
        <x:v>student + effective period</x:v>
      </x:c>
      <x:c r="H69" s="339" t="str">
        <x:v>PII/Location</x:v>
      </x:c>
      <x:c r="I69" s="339" t="str">
        <x:v>Historical</x:v>
      </x:c>
    </x:row>
    <x:row r="70">
      <x:c r="A70" s="339" t="str">
        <x:v>ENT-069</x:v>
      </x:c>
      <x:c r="B70" s="339" t="str">
        <x:v>Transport / Bus / GPS</x:v>
      </x:c>
      <x:c r="C70" s="339" t="str">
        <x:v>Trip</x:v>
      </x:c>
      <x:c r="D70" s="339" t="str">
        <x:v>Actual route execution</x:v>
      </x:c>
      <x:c r="E70" s="339" t="str">
        <x:v>trip_id, route/vehicle/driver, planned/actual times, status</x:v>
      </x:c>
      <x:c r="F70" s="339" t="str">
        <x:v>Owns GPS/boarding events</x:v>
      </x:c>
      <x:c r="G70" s="339" t="str">
        <x:v>trip_id</x:v>
      </x:c>
      <x:c r="H70" s="339" t="str">
        <x:v>Location/Operational</x:v>
      </x:c>
      <x:c r="I70" s="339" t="str">
        <x:v>Operational retention</x:v>
      </x:c>
    </x:row>
    <x:row r="71">
      <x:c r="A71" s="339" t="str">
        <x:v>ENT-070</x:v>
      </x:c>
      <x:c r="B71" s="339" t="str">
        <x:v>Transport / Bus / GPS</x:v>
      </x:c>
      <x:c r="C71" s="339" t="str">
        <x:v>BoardingEvent</x:v>
      </x:c>
      <x:c r="D71" s="339" t="str">
        <x:v>Student board/drop scan</x:v>
      </x:c>
      <x:c r="E71" s="339" t="str">
        <x:v>event_id, trip_id, student_id, type, time, stop/geo, actor/device</x:v>
      </x:c>
      <x:c r="F71" s="339" t="str">
        <x:v>Belongs to trip/student</x:v>
      </x:c>
      <x:c r="G71" s="339" t="str">
        <x:v>event_id</x:v>
      </x:c>
      <x:c r="H71" s="339" t="str">
        <x:v>PII/Location</x:v>
      </x:c>
      <x:c r="I71" s="339" t="str">
        <x:v>Safety retention</x:v>
      </x:c>
    </x:row>
    <x:row r="72">
      <x:c r="A72" s="339" t="str">
        <x:v>ENT-071</x:v>
      </x:c>
      <x:c r="B72" s="339" t="str">
        <x:v>Library</x:v>
      </x:c>
      <x:c r="C72" s="339" t="str">
        <x:v>BookTitle</x:v>
      </x:c>
      <x:c r="D72" s="339" t="str">
        <x:v>Bibliographic title</x:v>
      </x:c>
      <x:c r="E72" s="339" t="str">
        <x:v>book_title_id, ISBN, title, author, category, publisher</x:v>
      </x:c>
      <x:c r="F72" s="339" t="str">
        <x:v>Owns copies</x:v>
      </x:c>
      <x:c r="G72" s="339" t="str">
        <x:v>ISBN + edition where applicable</x:v>
      </x:c>
      <x:c r="H72" s="339" t="str">
        <x:v>Low sensitivity</x:v>
      </x:c>
      <x:c r="I72" s="339" t="str">
        <x:v>Permanent catalogue</x:v>
      </x:c>
    </x:row>
    <x:row r="73">
      <x:c r="A73" s="339" t="str">
        <x:v>ENT-072</x:v>
      </x:c>
      <x:c r="B73" s="339" t="str">
        <x:v>Library</x:v>
      </x:c>
      <x:c r="C73" s="339" t="str">
        <x:v>BookCopy</x:v>
      </x:c>
      <x:c r="D73" s="339" t="str">
        <x:v>Physical/digital copy</x:v>
      </x:c>
      <x:c r="E73" s="339" t="str">
        <x:v>copy_id/barcode, title_id, location, acquisition, status</x:v>
      </x:c>
      <x:c r="F73" s="339" t="str">
        <x:v>Issued/reserved</x:v>
      </x:c>
      <x:c r="G73" s="339" t="str">
        <x:v>copy barcode</x:v>
      </x:c>
      <x:c r="H73" s="339" t="str">
        <x:v>Asset</x:v>
      </x:c>
      <x:c r="I73" s="339" t="str">
        <x:v>Asset retention</x:v>
      </x:c>
    </x:row>
    <x:row r="74">
      <x:c r="A74" s="339" t="str">
        <x:v>ENT-073</x:v>
      </x:c>
      <x:c r="B74" s="339" t="str">
        <x:v>Library</x:v>
      </x:c>
      <x:c r="C74" s="339" t="str">
        <x:v>CirculationTransaction</x:v>
      </x:c>
      <x:c r="D74" s="339" t="str">
        <x:v>Issue/return/renew history</x:v>
      </x:c>
      <x:c r="E74" s="339" t="str">
        <x:v>transaction_id, copy_id, member, issue/due/return, status</x:v>
      </x:c>
      <x:c r="F74" s="339" t="str">
        <x:v>Links borrower and copy</x:v>
      </x:c>
      <x:c r="G74" s="339" t="str">
        <x:v>transaction_id</x:v>
      </x:c>
      <x:c r="H74" s="339" t="str">
        <x:v>PII</x:v>
      </x:c>
      <x:c r="I74" s="339" t="str">
        <x:v>Library retention</x:v>
      </x:c>
    </x:row>
    <x:row r="75">
      <x:c r="A75" s="339" t="str">
        <x:v>ENT-074</x:v>
      </x:c>
      <x:c r="B75" s="339" t="str">
        <x:v>Library</x:v>
      </x:c>
      <x:c r="C75" s="339" t="str">
        <x:v>Reservation</x:v>
      </x:c>
      <x:c r="D75" s="339" t="str">
        <x:v>Borrower queue</x:v>
      </x:c>
      <x:c r="E75" s="339" t="str">
        <x:v>reservation_id, title/copy, member, created_at, priority/position, status</x:v>
      </x:c>
      <x:c r="F75" s="339" t="str">
        <x:v>Links member/title</x:v>
      </x:c>
      <x:c r="G75" s="339" t="str">
        <x:v>reservation_id</x:v>
      </x:c>
      <x:c r="H75" s="339" t="str">
        <x:v>PII</x:v>
      </x:c>
      <x:c r="I75" s="339" t="str">
        <x:v>Operational</x:v>
      </x:c>
    </x:row>
    <x:row r="76">
      <x:c r="A76" s="339" t="str">
        <x:v>ENT-075</x:v>
      </x:c>
      <x:c r="B76" s="339" t="str">
        <x:v>Library</x:v>
      </x:c>
      <x:c r="C76" s="339" t="str">
        <x:v>LibraryFine</x:v>
      </x:c>
      <x:c r="D76" s="339" t="str">
        <x:v>Overdue/lost/damage charge</x:v>
      </x:c>
      <x:c r="E76" s="339" t="str">
        <x:v>fine_id, transaction/member, reason, amount, status, waiver/payment refs</x:v>
      </x:c>
      <x:c r="F76" s="339" t="str">
        <x:v>May link finance</x:v>
      </x:c>
      <x:c r="G76" s="339" t="str">
        <x:v>fine_id</x:v>
      </x:c>
      <x:c r="H76" s="339" t="str">
        <x:v>Financial/PII</x:v>
      </x:c>
      <x:c r="I76" s="339" t="str">
        <x:v>Financial retention</x:v>
      </x:c>
    </x:row>
    <x:row r="77">
      <x:c r="A77" s="339" t="str">
        <x:v>ENT-076</x:v>
      </x:c>
      <x:c r="B77" s="339" t="str">
        <x:v>Hostel</x:v>
      </x:c>
      <x:c r="C77" s="339" t="str">
        <x:v>Hostel</x:v>
      </x:c>
      <x:c r="D77" s="339" t="str">
        <x:v>Hostel building master</x:v>
      </x:c>
      <x:c r="E77" s="339" t="str">
        <x:v>hostel_id, name, gender/grade policy, capacity, status</x:v>
      </x:c>
      <x:c r="F77" s="339" t="str">
        <x:v>Owns rooms</x:v>
      </x:c>
      <x:c r="G77" s="339" t="str">
        <x:v>school + hostel code</x:v>
      </x:c>
      <x:c r="H77" s="339" t="str">
        <x:v>Operational</x:v>
      </x:c>
      <x:c r="I77" s="339" t="str">
        <x:v>Historical</x:v>
      </x:c>
    </x:row>
    <x:row r="78">
      <x:c r="A78" s="339" t="str">
        <x:v>ENT-077</x:v>
      </x:c>
      <x:c r="B78" s="339" t="str">
        <x:v>Hostel</x:v>
      </x:c>
      <x:c r="C78" s="339" t="str">
        <x:v>Room</x:v>
      </x:c>
      <x:c r="D78" s="339" t="str">
        <x:v>Hostel room</x:v>
      </x:c>
      <x:c r="E78" s="339" t="str">
        <x:v>room_id, hostel_id, number, type, capacity, status</x:v>
      </x:c>
      <x:c r="F78" s="339" t="str">
        <x:v>Owns beds</x:v>
      </x:c>
      <x:c r="G78" s="339" t="str">
        <x:v>hostel + room number</x:v>
      </x:c>
      <x:c r="H78" s="339" t="str">
        <x:v>Operational</x:v>
      </x:c>
      <x:c r="I78" s="339" t="str">
        <x:v>Historical</x:v>
      </x:c>
    </x:row>
    <x:row r="79">
      <x:c r="A79" s="339" t="str">
        <x:v>ENT-078</x:v>
      </x:c>
      <x:c r="B79" s="339" t="str">
        <x:v>Hostel</x:v>
      </x:c>
      <x:c r="C79" s="339" t="str">
        <x:v>Bed</x:v>
      </x:c>
      <x:c r="D79" s="339" t="str">
        <x:v>Allocatable bed</x:v>
      </x:c>
      <x:c r="E79" s="339" t="str">
        <x:v>bed_id, room_id, code, status</x:v>
      </x:c>
      <x:c r="F79" s="339" t="str">
        <x:v>Assigned via allocation</x:v>
      </x:c>
      <x:c r="G79" s="339" t="str">
        <x:v>room + bed code</x:v>
      </x:c>
      <x:c r="H79" s="339" t="str">
        <x:v>Operational</x:v>
      </x:c>
      <x:c r="I79" s="339" t="str">
        <x:v>Historical</x:v>
      </x:c>
    </x:row>
    <x:row r="80">
      <x:c r="A80" s="339" t="str">
        <x:v>ENT-079</x:v>
      </x:c>
      <x:c r="B80" s="339" t="str">
        <x:v>Hostel</x:v>
      </x:c>
      <x:c r="C80" s="339" t="str">
        <x:v>HostelAllocation</x:v>
      </x:c>
      <x:c r="D80" s="339" t="str">
        <x:v>Student residential allocation</x:v>
      </x:c>
      <x:c r="E80" s="339" t="str">
        <x:v>allocation_id, student_id, bed_id, start/end, status</x:v>
      </x:c>
      <x:c r="F80" s="339" t="str">
        <x:v>Links student/bed</x:v>
      </x:c>
      <x:c r="G80" s="339" t="str">
        <x:v>student + active dates</x:v>
      </x:c>
      <x:c r="H80" s="339" t="str">
        <x:v>PII</x:v>
      </x:c>
      <x:c r="I80" s="339" t="str">
        <x:v>Historical</x:v>
      </x:c>
    </x:row>
    <x:row r="81">
      <x:c r="A81" s="339" t="str">
        <x:v>ENT-080</x:v>
      </x:c>
      <x:c r="B81" s="339" t="str">
        <x:v>Hostel</x:v>
      </x:c>
      <x:c r="C81" s="339" t="str">
        <x:v>OutingRequest</x:v>
      </x:c>
      <x:c r="D81" s="339" t="str">
        <x:v>Hostel outing/leave</x:v>
      </x:c>
      <x:c r="E81" s="339" t="str">
        <x:v>outing_id, student, planned/actual exit/return, reason, approvals, status</x:v>
      </x:c>
      <x:c r="F81" s="339" t="str">
        <x:v>Links guardian/warden</x:v>
      </x:c>
      <x:c r="G81" s="339" t="str">
        <x:v>outing_id</x:v>
      </x:c>
      <x:c r="H81" s="339" t="str">
        <x:v>PII/Safety</x:v>
      </x:c>
      <x:c r="I81" s="339" t="str">
        <x:v>Historical</x:v>
      </x:c>
    </x:row>
    <x:row r="82">
      <x:c r="A82" s="339" t="str">
        <x:v>ENT-081</x:v>
      </x:c>
      <x:c r="B82" s="339" t="str">
        <x:v>Health / Counselling / Discipline</x:v>
      </x:c>
      <x:c r="C82" s="339" t="str">
        <x:v>MedicalProfile</x:v>
      </x:c>
      <x:c r="D82" s="339" t="str">
        <x:v>Student health summary</x:v>
      </x:c>
      <x:c r="E82" s="339" t="str">
        <x:v>student_id, blood group, allergies, conditions, medications, emergency notes</x:v>
      </x:c>
      <x:c r="F82" s="339" t="str">
        <x:v>Links student</x:v>
      </x:c>
      <x:c r="G82" s="339" t="str">
        <x:v>student_id</x:v>
      </x:c>
      <x:c r="H82" s="339" t="str">
        <x:v>Highly sensitive health</x:v>
      </x:c>
      <x:c r="I82" s="339" t="str">
        <x:v>Legal/privacy retention</x:v>
      </x:c>
    </x:row>
    <x:row r="83">
      <x:c r="A83" s="339" t="str">
        <x:v>ENT-082</x:v>
      </x:c>
      <x:c r="B83" s="339" t="str">
        <x:v>Health / Counselling / Discipline</x:v>
      </x:c>
      <x:c r="C83" s="339" t="str">
        <x:v>ClinicVisit</x:v>
      </x:c>
      <x:c r="D83" s="339" t="str">
        <x:v>Health visit record</x:v>
      </x:c>
      <x:c r="E83" s="339" t="str">
        <x:v>visit_id, student, complaint, observations, treatment, medication, disposition, clinician</x:v>
      </x:c>
      <x:c r="F83" s="339" t="str">
        <x:v>Belongs to student</x:v>
      </x:c>
      <x:c r="G83" s="339" t="str">
        <x:v>visit_id</x:v>
      </x:c>
      <x:c r="H83" s="339" t="str">
        <x:v>Highly sensitive health</x:v>
      </x:c>
      <x:c r="I83" s="339" t="str">
        <x:v>Legal/privacy retention</x:v>
      </x:c>
    </x:row>
    <x:row r="84">
      <x:c r="A84" s="339" t="str">
        <x:v>ENT-083</x:v>
      </x:c>
      <x:c r="B84" s="339" t="str">
        <x:v>Health / Counselling / Discipline</x:v>
      </x:c>
      <x:c r="C84" s="339" t="str">
        <x:v>CounsellingCase</x:v>
      </x:c>
      <x:c r="D84" s="339" t="str">
        <x:v>Confidential counselling case</x:v>
      </x:c>
      <x:c r="E84" s="339" t="str">
        <x:v>case_id, student, referral, risk level, restricted notes, follow-ups, status</x:v>
      </x:c>
      <x:c r="F84" s="339" t="str">
        <x:v>Belongs to student/counsellor</x:v>
      </x:c>
      <x:c r="G84" s="339" t="str">
        <x:v>case_id</x:v>
      </x:c>
      <x:c r="H84" s="339" t="str">
        <x:v>Highly sensitive</x:v>
      </x:c>
      <x:c r="I84" s="339" t="str">
        <x:v>Strict retention/access</x:v>
      </x:c>
    </x:row>
    <x:row r="85">
      <x:c r="A85" s="339" t="str">
        <x:v>ENT-084</x:v>
      </x:c>
      <x:c r="B85" s="339" t="str">
        <x:v>Health / Counselling / Discipline</x:v>
      </x:c>
      <x:c r="C85" s="339" t="str">
        <x:v>DisciplineIncident</x:v>
      </x:c>
      <x:c r="D85" s="339" t="str">
        <x:v>Behavior incident</x:v>
      </x:c>
      <x:c r="E85" s="339" t="str">
        <x:v>incident_id, student(s), category, facts, actions, follow-up, status</x:v>
      </x:c>
      <x:c r="F85" s="339" t="str">
        <x:v>Links student/staff</x:v>
      </x:c>
      <x:c r="G85" s="339" t="str">
        <x:v>incident_id</x:v>
      </x:c>
      <x:c r="H85" s="339" t="str">
        <x:v>Sensitive education</x:v>
      </x:c>
      <x:c r="I85" s="339" t="str">
        <x:v>Policy retention</x:v>
      </x:c>
    </x:row>
    <x:row r="86">
      <x:c r="A86" s="339" t="str">
        <x:v>ENT-085</x:v>
      </x:c>
      <x:c r="B86" s="339" t="str">
        <x:v>Health / Counselling / Discipline</x:v>
      </x:c>
      <x:c r="C86" s="339" t="str">
        <x:v>EmergencyEscalation</x:v>
      </x:c>
      <x:c r="D86" s="339" t="str">
        <x:v>Emergency action trail</x:v>
      </x:c>
      <x:c r="E86" s="339" t="str">
        <x:v>event_id, student, type, started_at, contacts, actions, outcome</x:v>
      </x:c>
      <x:c r="F86" s="339" t="str">
        <x:v>Links medical/guardian</x:v>
      </x:c>
      <x:c r="G86" s="339" t="str">
        <x:v>event_id</x:v>
      </x:c>
      <x:c r="H86" s="339" t="str">
        <x:v>Highly sensitive</x:v>
      </x:c>
      <x:c r="I86" s="339" t="str">
        <x:v>Safety/legal retention</x:v>
      </x:c>
    </x:row>
    <x:row r="87">
      <x:c r="A87" s="339" t="str">
        <x:v>ENT-086</x:v>
      </x:c>
      <x:c r="B87" s="339" t="str">
        <x:v>Visitor / Gate / Security</x:v>
      </x:c>
      <x:c r="C87" s="339" t="str">
        <x:v>Visitor</x:v>
      </x:c>
      <x:c r="D87" s="339" t="str">
        <x:v>Visitor identity</x:v>
      </x:c>
      <x:c r="E87" s="339" t="str">
        <x:v>visitor_id, name, mobile, ID type/masked number, photo if allowed, restrictions</x:v>
      </x:c>
      <x:c r="F87" s="339" t="str">
        <x:v>Used across visits</x:v>
      </x:c>
      <x:c r="G87" s="339" t="str">
        <x:v>normalized mobile/ID as configured</x:v>
      </x:c>
      <x:c r="H87" s="339" t="str">
        <x:v>PII</x:v>
      </x:c>
      <x:c r="I87" s="339" t="str">
        <x:v>Security retention</x:v>
      </x:c>
    </x:row>
    <x:row r="88">
      <x:c r="A88" s="339" t="str">
        <x:v>ENT-087</x:v>
      </x:c>
      <x:c r="B88" s="339" t="str">
        <x:v>Visitor / Gate / Security</x:v>
      </x:c>
      <x:c r="C88" s="339" t="str">
        <x:v>Visit</x:v>
      </x:c>
      <x:c r="D88" s="339" t="str">
        <x:v>Visit request/session</x:v>
      </x:c>
      <x:c r="E88" s="339" t="str">
        <x:v>visit_id, visitor, purpose, host, planned/actual entry/exit, status</x:v>
      </x:c>
      <x:c r="F88" s="339" t="str">
        <x:v>Links host/pass</x:v>
      </x:c>
      <x:c r="G88" s="339" t="str">
        <x:v>visit_id</x:v>
      </x:c>
      <x:c r="H88" s="339" t="str">
        <x:v>PII/Security</x:v>
      </x:c>
      <x:c r="I88" s="339" t="str">
        <x:v>Security retention</x:v>
      </x:c>
    </x:row>
    <x:row r="89">
      <x:c r="A89" s="339" t="str">
        <x:v>ENT-088</x:v>
      </x:c>
      <x:c r="B89" s="339" t="str">
        <x:v>Visitor / Gate / Security</x:v>
      </x:c>
      <x:c r="C89" s="339" t="str">
        <x:v>VisitorPass</x:v>
      </x:c>
      <x:c r="D89" s="339" t="str">
        <x:v>Issued access pass</x:v>
      </x:c>
      <x:c r="E89" s="339" t="str">
        <x:v>pass_id/code, visit_id, gate, valid times, status</x:v>
      </x:c>
      <x:c r="F89" s="339" t="str">
        <x:v>Belongs to visit</x:v>
      </x:c>
      <x:c r="G89" s="339" t="str">
        <x:v>pass code</x:v>
      </x:c>
      <x:c r="H89" s="339" t="str">
        <x:v>Security</x:v>
      </x:c>
      <x:c r="I89" s="339" t="str">
        <x:v>Security retention</x:v>
      </x:c>
    </x:row>
    <x:row r="90">
      <x:c r="A90" s="339" t="str">
        <x:v>ENT-089</x:v>
      </x:c>
      <x:c r="B90" s="339" t="str">
        <x:v>Visitor / Gate / Security</x:v>
      </x:c>
      <x:c r="C90" s="339" t="str">
        <x:v>GateEvent</x:v>
      </x:c>
      <x:c r="D90" s="339" t="str">
        <x:v>Immutable gate scan/log</x:v>
      </x:c>
      <x:c r="E90" s="339" t="str">
        <x:v>event_id, person/vehicle, event type, time, gate, actor/device</x:v>
      </x:c>
      <x:c r="F90" s="339" t="str">
        <x:v>May link visit/student/staff</x:v>
      </x:c>
      <x:c r="G90" s="339" t="str">
        <x:v>event_id</x:v>
      </x:c>
      <x:c r="H90" s="339" t="str">
        <x:v>PII/Security</x:v>
      </x:c>
      <x:c r="I90" s="339" t="str">
        <x:v>Security retention</x:v>
      </x:c>
    </x:row>
    <x:row r="91">
      <x:c r="A91" s="339" t="str">
        <x:v>ENT-090</x:v>
      </x:c>
      <x:c r="B91" s="339" t="str">
        <x:v>Inventory / Assets / Labs</x:v>
      </x:c>
      <x:c r="C91" s="339" t="str">
        <x:v>InventoryItem</x:v>
      </x:c>
      <x:c r="D91" s="339" t="str">
        <x:v>Stock item master</x:v>
      </x:c>
      <x:c r="E91" s="339" t="str">
        <x:v>item_id, SKU, name, category, UOM, reorder level, status</x:v>
      </x:c>
      <x:c r="F91" s="339" t="str">
        <x:v>Owns stock transactions</x:v>
      </x:c>
      <x:c r="G91" s="339" t="str">
        <x:v>school + SKU</x:v>
      </x:c>
      <x:c r="H91" s="339" t="str">
        <x:v>Asset/Financial</x:v>
      </x:c>
      <x:c r="I91" s="339" t="str">
        <x:v>Asset retention</x:v>
      </x:c>
    </x:row>
    <x:row r="92">
      <x:c r="A92" s="339" t="str">
        <x:v>ENT-091</x:v>
      </x:c>
      <x:c r="B92" s="339" t="str">
        <x:v>Inventory / Assets / Labs</x:v>
      </x:c>
      <x:c r="C92" s="339" t="str">
        <x:v>StockTransaction</x:v>
      </x:c>
      <x:c r="D92" s="339" t="str">
        <x:v>Stock movement</x:v>
      </x:c>
      <x:c r="E92" s="339" t="str">
        <x:v>transaction_id, item_id, type, quantity, location, reference, actor, timestamp</x:v>
      </x:c>
      <x:c r="F92" s="339" t="str">
        <x:v>Affects available stock</x:v>
      </x:c>
      <x:c r="G92" s="339" t="str">
        <x:v>transaction_id</x:v>
      </x:c>
      <x:c r="H92" s="339" t="str">
        <x:v>Operational/Financial</x:v>
      </x:c>
      <x:c r="I92" s="339" t="str">
        <x:v>Audit retention</x:v>
      </x:c>
    </x:row>
    <x:row r="93">
      <x:c r="A93" s="339" t="str">
        <x:v>ENT-092</x:v>
      </x:c>
      <x:c r="B93" s="339" t="str">
        <x:v>Inventory / Assets / Labs</x:v>
      </x:c>
      <x:c r="C93" s="339" t="str">
        <x:v>Asset</x:v>
      </x:c>
      <x:c r="D93" s="339" t="str">
        <x:v>Serialized asset</x:v>
      </x:c>
      <x:c r="E93" s="339" t="str">
        <x:v>asset_id/tag, item/category, serial, location, status, purchase/warranty</x:v>
      </x:c>
      <x:c r="F93" s="339" t="str">
        <x:v>Assigned/maintained</x:v>
      </x:c>
      <x:c r="G93" s="339" t="str">
        <x:v>asset tag/serial</x:v>
      </x:c>
      <x:c r="H93" s="339" t="str">
        <x:v>Asset/Financial</x:v>
      </x:c>
      <x:c r="I93" s="339" t="str">
        <x:v>Asset lifecycle</x:v>
      </x:c>
    </x:row>
    <x:row r="94">
      <x:c r="A94" s="339" t="str">
        <x:v>ENT-093</x:v>
      </x:c>
      <x:c r="B94" s="339" t="str">
        <x:v>Inventory / Assets / Labs</x:v>
      </x:c>
      <x:c r="C94" s="339" t="str">
        <x:v>AssetAssignment</x:v>
      </x:c>
      <x:c r="D94" s="339" t="str">
        <x:v>Custody history</x:v>
      </x:c>
      <x:c r="E94" s="339" t="str">
        <x:v>assignment_id, asset_id, assignee/location, start/end, status</x:v>
      </x:c>
      <x:c r="F94" s="339" t="str">
        <x:v>Links asset/user/location</x:v>
      </x:c>
      <x:c r="G94" s="339" t="str">
        <x:v>asset + effective period</x:v>
      </x:c>
      <x:c r="H94" s="339" t="str">
        <x:v>Operational</x:v>
      </x:c>
      <x:c r="I94" s="339" t="str">
        <x:v>Historical</x:v>
      </x:c>
    </x:row>
    <x:row r="95">
      <x:c r="A95" s="339" t="str">
        <x:v>ENT-094</x:v>
      </x:c>
      <x:c r="B95" s="339" t="str">
        <x:v>Inventory / Assets / Labs</x:v>
      </x:c>
      <x:c r="C95" s="339" t="str">
        <x:v>LabBooking</x:v>
      </x:c>
      <x:c r="D95" s="339" t="str">
        <x:v>Lab/resource reservation</x:v>
      </x:c>
      <x:c r="E95" s="339" t="str">
        <x:v>booking_id, lab/resource, class/teacher, start/end, purpose, status</x:v>
      </x:c>
      <x:c r="F95" s="339" t="str">
        <x:v>Links timetable/resources</x:v>
      </x:c>
      <x:c r="G95" s="339" t="str">
        <x:v>resource + time</x:v>
      </x:c>
      <x:c r="H95" s="339" t="str">
        <x:v>Education/Operational</x:v>
      </x:c>
      <x:c r="I95" s="339" t="str">
        <x:v>Historical</x:v>
      </x:c>
    </x:row>
    <x:row r="96">
      <x:c r="A96" s="339" t="str">
        <x:v>ENT-095</x:v>
      </x:c>
      <x:c r="B96" s="339" t="str">
        <x:v>Events / PTM / Communication</x:v>
      </x:c>
      <x:c r="C96" s="339" t="str">
        <x:v>Event</x:v>
      </x:c>
      <x:c r="D96" s="339" t="str">
        <x:v>School event</x:v>
      </x:c>
      <x:c r="E96" s="339" t="str">
        <x:v>event_id, type, title, audience, dates, venue, capacity, status</x:v>
      </x:c>
      <x:c r="F96" s="339" t="str">
        <x:v>Owns participants/consent</x:v>
      </x:c>
      <x:c r="G96" s="339" t="str">
        <x:v>event_id</x:v>
      </x:c>
      <x:c r="H96" s="339" t="str">
        <x:v>May include PII</x:v>
      </x:c>
      <x:c r="I96" s="339" t="str">
        <x:v>Historical</x:v>
      </x:c>
    </x:row>
    <x:row r="97">
      <x:c r="A97" s="339" t="str">
        <x:v>ENT-096</x:v>
      </x:c>
      <x:c r="B97" s="339" t="str">
        <x:v>Events / PTM / Communication</x:v>
      </x:c>
      <x:c r="C97" s="339" t="str">
        <x:v>PTMSlot</x:v>
      </x:c>
      <x:c r="D97" s="339" t="str">
        <x:v>Teacher-parent meeting slot</x:v>
      </x:c>
      <x:c r="E97" s="339" t="str">
        <x:v>slot_id, teacher, student/parent, start/end, status, notes access</x:v>
      </x:c>
      <x:c r="F97" s="339" t="str">
        <x:v>Links users/student</x:v>
      </x:c>
      <x:c r="G97" s="339" t="str">
        <x:v>teacher + time</x:v>
      </x:c>
      <x:c r="H97" s="339" t="str">
        <x:v>PII/Education</x:v>
      </x:c>
      <x:c r="I97" s="339" t="str">
        <x:v>Historical</x:v>
      </x:c>
    </x:row>
    <x:row r="98">
      <x:c r="A98" s="339" t="str">
        <x:v>ENT-097</x:v>
      </x:c>
      <x:c r="B98" s="339" t="str">
        <x:v>Events / PTM / Communication</x:v>
      </x:c>
      <x:c r="C98" s="339" t="str">
        <x:v>Announcement</x:v>
      </x:c>
      <x:c r="D98" s="339" t="str">
        <x:v>Published notice</x:v>
      </x:c>
      <x:c r="E98" s="339" t="str">
        <x:v>announcement_id, audience/scope, title/body, publish/schedule times, status</x:v>
      </x:c>
      <x:c r="F98" s="339" t="str">
        <x:v>Generates deliveries</x:v>
      </x:c>
      <x:c r="G98" s="339" t="str">
        <x:v>announcement_id</x:v>
      </x:c>
      <x:c r="H98" s="339" t="str">
        <x:v>May contain PII</x:v>
      </x:c>
      <x:c r="I98" s="339" t="str">
        <x:v>Communication retention</x:v>
      </x:c>
    </x:row>
    <x:row r="99">
      <x:c r="A99" s="339" t="str">
        <x:v>ENT-098</x:v>
      </x:c>
      <x:c r="B99" s="339" t="str">
        <x:v>Events / PTM / Communication</x:v>
      </x:c>
      <x:c r="C99" s="339" t="str">
        <x:v>MessageThread</x:v>
      </x:c>
      <x:c r="D99" s="339" t="str">
        <x:v>Two-way communication</x:v>
      </x:c>
      <x:c r="E99" s="339" t="str">
        <x:v>thread_id, participants/scope, subject, status</x:v>
      </x:c>
      <x:c r="F99" s="339" t="str">
        <x:v>Owns messages</x:v>
      </x:c>
      <x:c r="G99" s="339" t="str">
        <x:v>thread_id</x:v>
      </x:c>
      <x:c r="H99" s="339" t="str">
        <x:v>PII/Education</x:v>
      </x:c>
      <x:c r="I99" s="339" t="str">
        <x:v>Communication retention</x:v>
      </x:c>
    </x:row>
    <x:row r="100">
      <x:c r="A100" s="339" t="str">
        <x:v>ENT-099</x:v>
      </x:c>
      <x:c r="B100" s="339" t="str">
        <x:v>Events / PTM / Communication</x:v>
      </x:c>
      <x:c r="C100" s="339" t="str">
        <x:v>NotificationDelivery</x:v>
      </x:c>
      <x:c r="D100" s="339" t="str">
        <x:v>Per-recipient/channel delivery</x:v>
      </x:c>
      <x:c r="E100" s="339" t="str">
        <x:v>delivery_id, source_event, recipient, channel, provider_ref, status, attempts</x:v>
      </x:c>
      <x:c r="F100" s="339" t="str">
        <x:v>Links message/event</x:v>
      </x:c>
      <x:c r="G100" s="339" t="str">
        <x:v>delivery_id/provider ref</x:v>
      </x:c>
      <x:c r="H100" s="339" t="str">
        <x:v>PII/Operational</x:v>
      </x:c>
      <x:c r="I100" s="339" t="str">
        <x:v>Operational retention</x:v>
      </x:c>
    </x:row>
    <x:row r="101">
      <x:c r="A101" s="339" t="str">
        <x:v>ENT-100</x:v>
      </x:c>
      <x:c r="B101" s="339" t="str">
        <x:v>Documents &amp; Certificates</x:v>
      </x:c>
      <x:c r="C101" s="339" t="str">
        <x:v>Document</x:v>
      </x:c>
      <x:c r="D101" s="339" t="str">
        <x:v>Stored document metadata</x:v>
      </x:c>
      <x:c r="E101" s="339" t="str">
        <x:v>document_id, owner_type/id, type, file_ref, version, issue/expiry, status</x:v>
      </x:c>
      <x:c r="F101" s="339" t="str">
        <x:v>Links owner/verification</x:v>
      </x:c>
      <x:c r="G101" s="339" t="str">
        <x:v>document_id/version</x:v>
      </x:c>
      <x:c r="H101" s="339" t="str">
        <x:v>Potentially sensitive</x:v>
      </x:c>
      <x:c r="I101" s="339" t="str">
        <x:v>Policy retention</x:v>
      </x:c>
    </x:row>
    <x:row r="102">
      <x:c r="A102" s="339" t="str">
        <x:v>ENT-101</x:v>
      </x:c>
      <x:c r="B102" s="339" t="str">
        <x:v>Documents &amp; Certificates</x:v>
      </x:c>
      <x:c r="C102" s="339" t="str">
        <x:v>DocumentVerification</x:v>
      </x:c>
      <x:c r="D102" s="339" t="str">
        <x:v>Verification evidence</x:v>
      </x:c>
      <x:c r="E102" s="339" t="str">
        <x:v>verification_id, document_id, result, verifier, verified_at, reason</x:v>
      </x:c>
      <x:c r="F102" s="339" t="str">
        <x:v>Belongs to document</x:v>
      </x:c>
      <x:c r="G102" s="339" t="str">
        <x:v>verification_id</x:v>
      </x:c>
      <x:c r="H102" s="339" t="str">
        <x:v>Sensitive</x:v>
      </x:c>
      <x:c r="I102" s="339" t="str">
        <x:v>Historical</x:v>
      </x:c>
    </x:row>
    <x:row r="103">
      <x:c r="A103" s="339" t="str">
        <x:v>ENT-102</x:v>
      </x:c>
      <x:c r="B103" s="339" t="str">
        <x:v>Documents &amp; Certificates</x:v>
      </x:c>
      <x:c r="C103" s="339" t="str">
        <x:v>CertificateTemplate</x:v>
      </x:c>
      <x:c r="D103" s="339" t="str">
        <x:v>Approved certificate layout/rules</x:v>
      </x:c>
      <x:c r="E103" s="339" t="str">
        <x:v>template_id, type, version, merge fields, status</x:v>
      </x:c>
      <x:c r="F103" s="339" t="str">
        <x:v>Used for issue</x:v>
      </x:c>
      <x:c r="G103" s="339" t="str">
        <x:v>type + version</x:v>
      </x:c>
      <x:c r="H103" s="339" t="str">
        <x:v>Business</x:v>
      </x:c>
      <x:c r="I103" s="339" t="str">
        <x:v>Historical</x:v>
      </x:c>
    </x:row>
    <x:row r="104">
      <x:c r="A104" s="339" t="str">
        <x:v>ENT-103</x:v>
      </x:c>
      <x:c r="B104" s="339" t="str">
        <x:v>Documents &amp; Certificates</x:v>
      </x:c>
      <x:c r="C104" s="339" t="str">
        <x:v>CertificateIssue</x:v>
      </x:c>
      <x:c r="D104" s="339" t="str">
        <x:v>Issued official certificate</x:v>
      </x:c>
      <x:c r="E104" s="339" t="str">
        <x:v>certificate_id/no, template/version, owner, snapshot data, issued_at/by, status</x:v>
      </x:c>
      <x:c r="F104" s="339" t="str">
        <x:v>Links student/staff</x:v>
      </x:c>
      <x:c r="G104" s="339" t="str">
        <x:v>certificate number</x:v>
      </x:c>
      <x:c r="H104" s="339" t="str">
        <x:v>PII/Official</x:v>
      </x:c>
      <x:c r="I104" s="339" t="str">
        <x:v>Long-term official record</x:v>
      </x:c>
    </x:row>
    <x:row r="105">
      <x:c r="A105" s="339" t="str">
        <x:v>ENT-104</x:v>
      </x:c>
      <x:c r="B105" s="339" t="str">
        <x:v>Reports &amp; Analytics</x:v>
      </x:c>
      <x:c r="C105" s="339" t="str">
        <x:v>MetricDefinition</x:v>
      </x:c>
      <x:c r="D105" s="339" t="str">
        <x:v>Governed metric formula</x:v>
      </x:c>
      <x:c r="E105" s="339" t="str">
        <x:v>metric_id, name, formula, source, grain, effective version</x:v>
      </x:c>
      <x:c r="F105" s="339" t="str">
        <x:v>Used by dashboards/reports</x:v>
      </x:c>
      <x:c r="G105" s="339" t="str">
        <x:v>metric key + version</x:v>
      </x:c>
      <x:c r="H105" s="339" t="str">
        <x:v>Metadata</x:v>
      </x:c>
      <x:c r="I105" s="339" t="str">
        <x:v>Historical</x:v>
      </x:c>
    </x:row>
    <x:row r="106">
      <x:c r="A106" s="339" t="str">
        <x:v>ENT-105</x:v>
      </x:c>
      <x:c r="B106" s="339" t="str">
        <x:v>Reports &amp; Analytics</x:v>
      </x:c>
      <x:c r="C106" s="339" t="str">
        <x:v>ReportDefinition</x:v>
      </x:c>
      <x:c r="D106" s="339" t="str">
        <x:v>Report configuration</x:v>
      </x:c>
      <x:c r="E106" s="339" t="str">
        <x:v>report_id, name, source, columns, filters, permissions</x:v>
      </x:c>
      <x:c r="F106" s="339" t="str">
        <x:v>Used to run reports</x:v>
      </x:c>
      <x:c r="G106" s="339" t="str">
        <x:v>report_id/version</x:v>
      </x:c>
      <x:c r="H106" s="339" t="str">
        <x:v>Metadata</x:v>
      </x:c>
      <x:c r="I106" s="339" t="str">
        <x:v>Historical</x:v>
      </x:c>
    </x:row>
    <x:row r="107">
      <x:c r="A107" s="339" t="str">
        <x:v>ENT-106</x:v>
      </x:c>
      <x:c r="B107" s="339" t="str">
        <x:v>Reports &amp; Analytics</x:v>
      </x:c>
      <x:c r="C107" s="339" t="str">
        <x:v>SavedFilter</x:v>
      </x:c>
      <x:c r="D107" s="339" t="str">
        <x:v>User/report saved criteria</x:v>
      </x:c>
      <x:c r="E107" s="339" t="str">
        <x:v>saved_filter_id, user, report, filter JSON, name</x:v>
      </x:c>
      <x:c r="F107" s="339" t="str">
        <x:v>Belongs user/report</x:v>
      </x:c>
      <x:c r="G107" s="339" t="str">
        <x:v>user + report + name</x:v>
      </x:c>
      <x:c r="H107" s="339" t="str">
        <x:v>Preferences</x:v>
      </x:c>
      <x:c r="I107" s="339" t="str">
        <x:v>Until deleted</x:v>
      </x:c>
    </x:row>
    <x:row r="108">
      <x:c r="A108" s="339" t="str">
        <x:v>ENT-107</x:v>
      </x:c>
      <x:c r="B108" s="339" t="str">
        <x:v>Reports &amp; Analytics</x:v>
      </x:c>
      <x:c r="C108" s="339" t="str">
        <x:v>ExportJob</x:v>
      </x:c>
      <x:c r="D108" s="339" t="str">
        <x:v>Report export execution</x:v>
      </x:c>
      <x:c r="E108" s="339" t="str">
        <x:v>job_id, user, report/filter snapshot, requested_at, status, file_ref, expires_at</x:v>
      </x:c>
      <x:c r="F108" s="339" t="str">
        <x:v>Links report/user</x:v>
      </x:c>
      <x:c r="G108" s="339" t="str">
        <x:v>job_id</x:v>
      </x:c>
      <x:c r="H108" s="339" t="str">
        <x:v>May contain PII</x:v>
      </x:c>
      <x:c r="I108" s="339" t="str">
        <x:v>Short export retention</x:v>
      </x:c>
    </x:row>
    <x:row r="109">
      <x:c r="A109" s="339" t="str">
        <x:v>ENT-108</x:v>
      </x:c>
      <x:c r="B109" s="339" t="str">
        <x:v>Settings / Roles / Permissions / Audit</x:v>
      </x:c>
      <x:c r="C109" s="339" t="str">
        <x:v>Role</x:v>
      </x:c>
      <x:c r="D109" s="339" t="str">
        <x:v>Role definition</x:v>
      </x:c>
      <x:c r="E109" s="339" t="str">
        <x:v>role_id, tenant/school scope, name, status</x:v>
      </x:c>
      <x:c r="F109" s="339" t="str">
        <x:v>Owns permission grants</x:v>
      </x:c>
      <x:c r="G109" s="339" t="str">
        <x:v>scope + role name</x:v>
      </x:c>
      <x:c r="H109" s="339" t="str">
        <x:v>Security</x:v>
      </x:c>
      <x:c r="I109" s="339" t="str">
        <x:v>Historical</x:v>
      </x:c>
    </x:row>
    <x:row r="110">
      <x:c r="A110" s="339" t="str">
        <x:v>ENT-109</x:v>
      </x:c>
      <x:c r="B110" s="339" t="str">
        <x:v>Settings / Roles / Permissions / Audit</x:v>
      </x:c>
      <x:c r="C110" s="339" t="str">
        <x:v>Permission</x:v>
      </x:c>
      <x:c r="D110" s="339" t="str">
        <x:v>Atomic permission</x:v>
      </x:c>
      <x:c r="E110" s="339" t="str">
        <x:v>permission_id, module, resource, action, sensitivity</x:v>
      </x:c>
      <x:c r="F110" s="339" t="str">
        <x:v>Granted to roles</x:v>
      </x:c>
      <x:c r="G110" s="339" t="str">
        <x:v>permission key</x:v>
      </x:c>
      <x:c r="H110" s="339" t="str">
        <x:v>Security</x:v>
      </x:c>
      <x:c r="I110" s="339" t="str">
        <x:v>Historical</x:v>
      </x:c>
    </x:row>
    <x:row r="111">
      <x:c r="A111" s="339" t="str">
        <x:v>ENT-110</x:v>
      </x:c>
      <x:c r="B111" s="339" t="str">
        <x:v>Settings / Roles / Permissions / Audit</x:v>
      </x:c>
      <x:c r="C111" s="339" t="str">
        <x:v>UserRole</x:v>
      </x:c>
      <x:c r="D111" s="339" t="str">
        <x:v>Scoped role assignment</x:v>
      </x:c>
      <x:c r="E111" s="339" t="str">
        <x:v>assignment_id, user_id, role_id, scope, effective dates, status</x:v>
      </x:c>
      <x:c r="F111" s="339" t="str">
        <x:v>Links user/role</x:v>
      </x:c>
      <x:c r="G111" s="339" t="str">
        <x:v>user + role + scope + period</x:v>
      </x:c>
      <x:c r="H111" s="339" t="str">
        <x:v>Security/PII</x:v>
      </x:c>
      <x:c r="I111" s="339" t="str">
        <x:v>Historical</x:v>
      </x:c>
    </x:row>
    <x:row r="112">
      <x:c r="A112" s="339" t="str">
        <x:v>ENT-111</x:v>
      </x:c>
      <x:c r="B112" s="339" t="str">
        <x:v>Settings / Roles / Permissions / Audit</x:v>
      </x:c>
      <x:c r="C112" s="339" t="str">
        <x:v>AuditEvent</x:v>
      </x:c>
      <x:c r="D112" s="339" t="str">
        <x:v>Append-only audit entry</x:v>
      </x:c>
      <x:c r="E112" s="339" t="str">
        <x:v>audit_id, tenant, actor, action, target, time, correlation, before/after or metadata</x:v>
      </x:c>
      <x:c r="F112" s="339" t="str">
        <x:v>Links any domain entity</x:v>
      </x:c>
      <x:c r="G112" s="339" t="str">
        <x:v>audit_id</x:v>
      </x:c>
      <x:c r="H112" s="339" t="str">
        <x:v>Security/Sensitive</x:v>
      </x:c>
      <x:c r="I112" s="339" t="str">
        <x:v>Security/legal retention</x:v>
      </x:c>
    </x:row>
    <x:row r="113">
      <x:c r="A113" s="339" t="str">
        <x:v>ENT-112</x:v>
      </x:c>
      <x:c r="B113" s="339" t="str">
        <x:v>Settings / Roles / Permissions / Audit</x:v>
      </x:c>
      <x:c r="C113" s="339" t="str">
        <x:v>SystemSetting</x:v>
      </x:c>
      <x:c r="D113" s="339" t="str">
        <x:v>Versioned configuration</x:v>
      </x:c>
      <x:c r="E113" s="339" t="str">
        <x:v>setting_id/key, scope, value/ref, effective dates, version, status</x:v>
      </x:c>
      <x:c r="F113" s="339" t="str">
        <x:v>Used by modules</x:v>
      </x:c>
      <x:c r="G113" s="339" t="str">
        <x:v>scope + key + version</x:v>
      </x:c>
      <x:c r="H113" s="339" t="str">
        <x:v>May be sensitive</x:v>
      </x:c>
      <x:c r="I113" s="339" t="str">
        <x:v>Historical</x:v>
      </x:c>
    </x:row>
    <x:row r="114">
      <x:c r="A114" s="340" t="str">
        <x:v>ENT-113</x:v>
      </x:c>
      <x:c r="B114" s="340" t="str">
        <x:v>Settings / Roles / Permissions / Audit</x:v>
      </x:c>
      <x:c r="C114" s="340" t="str">
        <x:v>IntegrationConfig</x:v>
      </x:c>
      <x:c r="D114" s="340" t="str">
        <x:v>External integration settings</x:v>
      </x:c>
      <x:c r="E114" s="340" t="str">
        <x:v>integration_id, provider, scope, secret_ref, status, endpoints/config</x:v>
      </x:c>
      <x:c r="F114" s="340" t="str">
        <x:v>Used by services</x:v>
      </x:c>
      <x:c r="G114" s="340" t="str">
        <x:v>scope + provider</x:v>
      </x:c>
      <x:c r="H114" s="340" t="str">
        <x:v>Highly sensitive secrets</x:v>
      </x:c>
      <x:c r="I114" s="340" t="str">
        <x:v>Lifecycle + audit</x:v>
      </x:c>
    </x:row>
  </x:sheetData>
  <x:pageMargins left="0.7" right="0.7" top="0.75" bottom="0.75" header="0.3" footer="0.3"/>
  <x:tableParts count="1">
    <x:tablePart xmlns:r="http://schemas.openxmlformats.org/officeDocument/2006/relationships" r:id="R2d72f1ad2bd849a4"/>
  </x:tableParts>
</x:worksheet>
</file>

<file path=xl/worksheets/sheet1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66" hidden="0" customWidth="1"/>
    <x:col min="4" max="4" width="58" hidden="0" customWidth="1"/>
    <x:col min="5" max="5" width="34" hidden="0" customWidth="1"/>
    <x:col min="6" max="6" width="36" hidden="0" customWidth="1"/>
  </x:cols>
  <x:sheetData>
    <x:row r="1" ht="30" customHeight="1">
      <x:c r="A1" s="338" t="str">
        <x:v>NFR ID</x:v>
      </x:c>
      <x:c r="B1" s="338" t="str">
        <x:v>Category</x:v>
      </x:c>
      <x:c r="C1" s="338" t="str">
        <x:v>Requirement</x:v>
      </x:c>
      <x:c r="D1" s="338" t="str">
        <x:v>Target / Threshold</x:v>
      </x:c>
      <x:c r="E1" s="338" t="str">
        <x:v>Applies To</x:v>
      </x:c>
      <x:c r="F1" s="338" t="str">
        <x:v>Verification</x:v>
      </x:c>
    </x:row>
    <x:row r="2">
      <x:c r="A2" s="339" t="str">
        <x:v>NFR-001</x:v>
      </x:c>
      <x:c r="B2" s="339" t="str">
        <x:v>Performance</x:v>
      </x:c>
      <x:c r="C2" s="339" t="str">
        <x:v>Standard transactional pages should provide usable content quickly under normal load.</x:v>
      </x:c>
      <x:c r="D2" s="339" t="str">
        <x:v>P95 API response ≤ 2s for standard CRUD; dashboard/report targets explicitly defined per query.</x:v>
      </x:c>
      <x:c r="E2" s="339" t="str">
        <x:v>All modules</x:v>
      </x:c>
      <x:c r="F2" s="339" t="str">
        <x:v>Load/performance tests</x:v>
      </x:c>
    </x:row>
    <x:row r="3">
      <x:c r="A3" s="339" t="str">
        <x:v>NFR-002</x:v>
      </x:c>
      <x:c r="B3" s="339" t="str">
        <x:v>Performance</x:v>
      </x:c>
      <x:c r="C3" s="339" t="str">
        <x:v>Search/filter results should be paginated and indexed.</x:v>
      </x:c>
      <x:c r="D3" s="339" t="str">
        <x:v>First page P95 ≤ 2s for expected school-scale datasets.</x:v>
      </x:c>
      <x:c r="E3" s="339" t="str">
        <x:v>Lists/directories</x:v>
      </x:c>
      <x:c r="F3" s="339" t="str">
        <x:v>Performance test with production-like data</x:v>
      </x:c>
    </x:row>
    <x:row r="4">
      <x:c r="A4" s="339" t="str">
        <x:v>NFR-003</x:v>
      </x:c>
      <x:c r="B4" s="339" t="str">
        <x:v>Availability</x:v>
      </x:c>
      <x:c r="C4" s="339" t="str">
        <x:v>Core school-day operations must remain highly available.</x:v>
      </x:c>
      <x:c r="D4" s="339" t="str">
        <x:v>Target ≥ 99.9% monthly for core production services, excluding agreed maintenance.</x:v>
      </x:c>
      <x:c r="E4" s="339" t="str">
        <x:v>Core modules</x:v>
      </x:c>
      <x:c r="F4" s="339" t="str">
        <x:v>Availability monitoring/SLA</x:v>
      </x:c>
    </x:row>
    <x:row r="5">
      <x:c r="A5" s="339" t="str">
        <x:v>NFR-004</x:v>
      </x:c>
      <x:c r="B5" s="339" t="str">
        <x:v>Scalability</x:v>
      </x:c>
      <x:c r="C5" s="339" t="str">
        <x:v>Tenant growth must not require redesign of data isolation.</x:v>
      </x:c>
      <x:c r="D5" s="339" t="str">
        <x:v>Support horizontal scaling and partition/index strategy by tenant/school.</x:v>
      </x:c>
      <x:c r="E5" s="339" t="str">
        <x:v>Platform</x:v>
      </x:c>
      <x:c r="F5" s="339" t="str">
        <x:v>Capacity test</x:v>
      </x:c>
    </x:row>
    <x:row r="6">
      <x:c r="A6" s="339" t="str">
        <x:v>NFR-005</x:v>
      </x:c>
      <x:c r="B6" s="339" t="str">
        <x:v>Multi-tenancy</x:v>
      </x:c>
      <x:c r="C6" s="339" t="str">
        <x:v>No tenant may access another tenant's data.</x:v>
      </x:c>
      <x:c r="D6" s="339" t="str">
        <x:v>100% tenant-scoped queries/commands; automated isolation tests.</x:v>
      </x:c>
      <x:c r="E6" s="339" t="str">
        <x:v>All protected modules</x:v>
      </x:c>
      <x:c r="F6" s="339" t="str">
        <x:v>Security tests</x:v>
      </x:c>
    </x:row>
    <x:row r="7">
      <x:c r="A7" s="339" t="str">
        <x:v>NFR-006</x:v>
      </x:c>
      <x:c r="B7" s="339" t="str">
        <x:v>Authorization</x:v>
      </x:c>
      <x:c r="C7" s="339" t="str">
        <x:v>Authorization is enforced server-side for every protected resource/action.</x:v>
      </x:c>
      <x:c r="D7" s="339" t="str">
        <x:v>Deny-by-default; row/field/action scope evaluated on each request.</x:v>
      </x:c>
      <x:c r="E7" s="339" t="str">
        <x:v>All protected modules</x:v>
      </x:c>
      <x:c r="F7" s="339" t="str">
        <x:v>RBAC/ABAC tests</x:v>
      </x:c>
    </x:row>
    <x:row r="8">
      <x:c r="A8" s="339" t="str">
        <x:v>NFR-007</x:v>
      </x:c>
      <x:c r="B8" s="339" t="str">
        <x:v>Authentication</x:v>
      </x:c>
      <x:c r="C8" s="339" t="str">
        <x:v>Sessions/tokens must expire, revoke and rotate securely.</x:v>
      </x:c>
      <x:c r="D8" s="339" t="str">
        <x:v>Configurable expiry; secure cookies/tokens; revocation supported.</x:v>
      </x:c>
      <x:c r="E8" s="339" t="str">
        <x:v>Authentication</x:v>
      </x:c>
      <x:c r="F8" s="339" t="str">
        <x:v>Security review</x:v>
      </x:c>
    </x:row>
    <x:row r="9">
      <x:c r="A9" s="339" t="str">
        <x:v>NFR-008</x:v>
      </x:c>
      <x:c r="B9" s="339" t="str">
        <x:v>Encryption</x:v>
      </x:c>
      <x:c r="C9" s="339" t="str">
        <x:v>Sensitive data must be protected in transit and at rest.</x:v>
      </x:c>
      <x:c r="D9" s="339" t="str">
        <x:v>TLS 1.2+; managed at-rest encryption; secrets in secret manager.</x:v>
      </x:c>
      <x:c r="E9" s="339" t="str">
        <x:v>All modules</x:v>
      </x:c>
      <x:c r="F9" s="339" t="str">
        <x:v>Configuration/security audit</x:v>
      </x:c>
    </x:row>
    <x:row r="10">
      <x:c r="A10" s="339" t="str">
        <x:v>NFR-009</x:v>
      </x:c>
      <x:c r="B10" s="339" t="str">
        <x:v>PII/Privacy</x:v>
      </x:c>
      <x:c r="C10" s="339" t="str">
        <x:v>Sensitive fields must be minimized, masked and purpose-limited.</x:v>
      </x:c>
      <x:c r="D10" s="339" t="str">
        <x:v>Role-based field masking; consent/retention rules documented.</x:v>
      </x:c>
      <x:c r="E10" s="339" t="str">
        <x:v>Student/parent/HR/health</x:v>
      </x:c>
      <x:c r="F10" s="339" t="str">
        <x:v>Privacy review</x:v>
      </x:c>
    </x:row>
    <x:row r="11">
      <x:c r="A11" s="339" t="str">
        <x:v>NFR-010</x:v>
      </x:c>
      <x:c r="B11" s="339" t="str">
        <x:v>Auditability</x:v>
      </x:c>
      <x:c r="C11" s="339" t="str">
        <x:v>Material business and security events must be traceable.</x:v>
      </x:c>
      <x:c r="D11" s="339" t="str">
        <x:v>Append-only audit with actor, timestamp, action, target, correlation/reason.</x:v>
      </x:c>
      <x:c r="E11" s="339" t="str">
        <x:v>All transactional/admin modules</x:v>
      </x:c>
      <x:c r="F11" s="339" t="str">
        <x:v>Audit sampling</x:v>
      </x:c>
    </x:row>
    <x:row r="12">
      <x:c r="A12" s="339" t="str">
        <x:v>NFR-011</x:v>
      </x:c>
      <x:c r="B12" s="339" t="str">
        <x:v>Data Integrity</x:v>
      </x:c>
      <x:c r="C12" s="339" t="str">
        <x:v>Critical writes must be atomic.</x:v>
      </x:c>
      <x:c r="D12" s="339" t="str">
        <x:v>No partial final states for admission, payments, results, payroll and approvals.</x:v>
      </x:c>
      <x:c r="E12" s="339" t="str">
        <x:v>Critical workflows</x:v>
      </x:c>
      <x:c r="F12" s="339" t="str">
        <x:v>Transaction/chaos tests</x:v>
      </x:c>
    </x:row>
    <x:row r="13">
      <x:c r="A13" s="339" t="str">
        <x:v>NFR-012</x:v>
      </x:c>
      <x:c r="B13" s="339" t="str">
        <x:v>Concurrency</x:v>
      </x:c>
      <x:c r="C13" s="339" t="str">
        <x:v>Concurrent edits must not silently overwrite newer data.</x:v>
      </x:c>
      <x:c r="D13" s="339" t="str">
        <x:v>Optimistic locking/version check on mutable critical records.</x:v>
      </x:c>
      <x:c r="E13" s="339" t="str">
        <x:v>Profiles/config/finance/results</x:v>
      </x:c>
      <x:c r="F13" s="339" t="str">
        <x:v>Concurrency tests</x:v>
      </x:c>
    </x:row>
    <x:row r="14">
      <x:c r="A14" s="339" t="str">
        <x:v>NFR-013</x:v>
      </x:c>
      <x:c r="B14" s="339" t="str">
        <x:v>Idempotency</x:v>
      </x:c>
      <x:c r="C14" s="339" t="str">
        <x:v>Retry-prone commands must be safe to retry.</x:v>
      </x:c>
      <x:c r="D14" s="339" t="str">
        <x:v>Idempotency keys/provider refs for payments, admission confirmation, imports and webhook events.</x:v>
      </x:c>
      <x:c r="E14" s="339" t="str">
        <x:v>Critical integrations</x:v>
      </x:c>
      <x:c r="F14" s="339" t="str">
        <x:v>Retry tests</x:v>
      </x:c>
    </x:row>
    <x:row r="15">
      <x:c r="A15" s="339" t="str">
        <x:v>NFR-014</x:v>
      </x:c>
      <x:c r="B15" s="339" t="str">
        <x:v>Backup</x:v>
      </x:c>
      <x:c r="C15" s="339" t="str">
        <x:v>Production data must be backed up and restorable.</x:v>
      </x:c>
      <x:c r="D15" s="339" t="str">
        <x:v>Automated backups with retention; RPO target defined by deployment tier.</x:v>
      </x:c>
      <x:c r="E15" s="339" t="str">
        <x:v>Platform/data</x:v>
      </x:c>
      <x:c r="F15" s="339" t="str">
        <x:v>Restore drill</x:v>
      </x:c>
    </x:row>
    <x:row r="16">
      <x:c r="A16" s="339" t="str">
        <x:v>NFR-015</x:v>
      </x:c>
      <x:c r="B16" s="339" t="str">
        <x:v>Disaster Recovery</x:v>
      </x:c>
      <x:c r="C16" s="339" t="str">
        <x:v>Document and test recovery for regional/service failure.</x:v>
      </x:c>
      <x:c r="D16" s="339" t="str">
        <x:v>RTO/RPO approved before production; annual/periodic DR test.</x:v>
      </x:c>
      <x:c r="E16" s="339" t="str">
        <x:v>Platform</x:v>
      </x:c>
      <x:c r="F16" s="339" t="str">
        <x:v>DR exercise</x:v>
      </x:c>
    </x:row>
    <x:row r="17">
      <x:c r="A17" s="339" t="str">
        <x:v>NFR-016</x:v>
      </x:c>
      <x:c r="B17" s="339" t="str">
        <x:v>Observability</x:v>
      </x:c>
      <x:c r="C17" s="339" t="str">
        <x:v>Services must expose actionable logs, metrics and traces.</x:v>
      </x:c>
      <x:c r="D17" s="339" t="str">
        <x:v>Correlation IDs, structured logs, latency/error metrics, alerting.</x:v>
      </x:c>
      <x:c r="E17" s="339" t="str">
        <x:v>All services</x:v>
      </x:c>
      <x:c r="F17" s="339" t="str">
        <x:v>Operational readiness review</x:v>
      </x:c>
    </x:row>
    <x:row r="18">
      <x:c r="A18" s="339" t="str">
        <x:v>NFR-017</x:v>
      </x:c>
      <x:c r="B18" s="339" t="str">
        <x:v>Error Handling</x:v>
      </x:c>
      <x:c r="C18" s="339" t="str">
        <x:v>Users must receive safe, actionable errors without internal stack details.</x:v>
      </x:c>
      <x:c r="D18" s="339" t="str">
        <x:v>Validation vs transient vs authorization errors clearly separated.</x:v>
      </x:c>
      <x:c r="E18" s="339" t="str">
        <x:v>All screens/APIs</x:v>
      </x:c>
      <x:c r="F18" s="339" t="str">
        <x:v>Functional/security test</x:v>
      </x:c>
    </x:row>
    <x:row r="19">
      <x:c r="A19" s="339" t="str">
        <x:v>NFR-018</x:v>
      </x:c>
      <x:c r="B19" s="339" t="str">
        <x:v>Accessibility</x:v>
      </x:c>
      <x:c r="C19" s="339" t="str">
        <x:v>Core web UI should meet modern accessibility expectations.</x:v>
      </x:c>
      <x:c r="D19" s="339" t="str">
        <x:v>Target WCAG 2.1 AA for contrast, keyboard, focus, labels and error messaging.</x:v>
      </x:c>
      <x:c r="E19" s="339" t="str">
        <x:v>All portals</x:v>
      </x:c>
      <x:c r="F19" s="339" t="str">
        <x:v>Accessibility audit</x:v>
      </x:c>
    </x:row>
    <x:row r="20">
      <x:c r="A20" s="339" t="str">
        <x:v>NFR-019</x:v>
      </x:c>
      <x:c r="B20" s="339" t="str">
        <x:v>Responsive UX</x:v>
      </x:c>
      <x:c r="C20" s="339" t="str">
        <x:v>Operational screens must work across desktop/tablet and supported mobile contexts.</x:v>
      </x:c>
      <x:c r="D20" s="339" t="str">
        <x:v>No clipped critical actions at 1440/1280/1024/768; role-appropriate mobile layouts.</x:v>
      </x:c>
      <x:c r="E20" s="339" t="str">
        <x:v>All portals</x:v>
      </x:c>
      <x:c r="F20" s="339" t="str">
        <x:v>Responsive QA</x:v>
      </x:c>
    </x:row>
    <x:row r="21">
      <x:c r="A21" s="339" t="str">
        <x:v>NFR-020</x:v>
      </x:c>
      <x:c r="B21" s="339" t="str">
        <x:v>Browser Support</x:v>
      </x:c>
      <x:c r="C21" s="339" t="str">
        <x:v>Support agreed current major browsers.</x:v>
      </x:c>
      <x:c r="D21" s="339" t="str">
        <x:v>Current and previous major Chrome/Edge; Safari/Firefox as product policy defines.</x:v>
      </x:c>
      <x:c r="E21" s="339" t="str">
        <x:v>Web app</x:v>
      </x:c>
      <x:c r="F21" s="339" t="str">
        <x:v>Cross-browser tests</x:v>
      </x:c>
    </x:row>
    <x:row r="22">
      <x:c r="A22" s="339" t="str">
        <x:v>NFR-021</x:v>
      </x:c>
      <x:c r="B22" s="339" t="str">
        <x:v>Localization</x:v>
      </x:c>
      <x:c r="C22" s="339" t="str">
        <x:v>UI text, dates and numbers must be localizable.</x:v>
      </x:c>
      <x:c r="D22" s="339" t="str">
        <x:v>Externalized strings; locale-aware date/number/currency formats.</x:v>
      </x:c>
      <x:c r="E22" s="339" t="str">
        <x:v>All portals</x:v>
      </x:c>
      <x:c r="F22" s="339" t="str">
        <x:v>Locale tests</x:v>
      </x:c>
    </x:row>
    <x:row r="23">
      <x:c r="A23" s="339" t="str">
        <x:v>NFR-022</x:v>
      </x:c>
      <x:c r="B23" s="339" t="str">
        <x:v>Timezone</x:v>
      </x:c>
      <x:c r="C23" s="339" t="str">
        <x:v>School-local scheduling must remain consistent.</x:v>
      </x:c>
      <x:c r="D23" s="339" t="str">
        <x:v>Store canonical timestamps; render in configured school/user timezone; DST-safe where applicable.</x:v>
      </x:c>
      <x:c r="E23" s="339" t="str">
        <x:v>Calendar/notifications</x:v>
      </x:c>
      <x:c r="F23" s="339" t="str">
        <x:v>Timezone tests</x:v>
      </x:c>
    </x:row>
    <x:row r="24">
      <x:c r="A24" s="339" t="str">
        <x:v>NFR-023</x:v>
      </x:c>
      <x:c r="B24" s="339" t="str">
        <x:v>File Security</x:v>
      </x:c>
      <x:c r="C24" s="339" t="str">
        <x:v>Uploaded files must be validated and protected.</x:v>
      </x:c>
      <x:c r="D24" s="339" t="str">
        <x:v>Allowlist types/sizes; malware scanning; private object access; signed URLs where used.</x:v>
      </x:c>
      <x:c r="E24" s="339" t="str">
        <x:v>Documents/homework/HR</x:v>
      </x:c>
      <x:c r="F24" s="339" t="str">
        <x:v>Security tests</x:v>
      </x:c>
    </x:row>
    <x:row r="25">
      <x:c r="A25" s="339" t="str">
        <x:v>NFR-024</x:v>
      </x:c>
      <x:c r="B25" s="339" t="str">
        <x:v>API Versioning</x:v>
      </x:c>
      <x:c r="C25" s="339" t="str">
        <x:v>Public/integration APIs require controlled compatibility.</x:v>
      </x:c>
      <x:c r="D25" s="339" t="str">
        <x:v>Versioned API contract; backward-compatible changes or migration window.</x:v>
      </x:c>
      <x:c r="E25" s="339" t="str">
        <x:v>Integrations</x:v>
      </x:c>
      <x:c r="F25" s="339" t="str">
        <x:v>Contract tests</x:v>
      </x:c>
    </x:row>
    <x:row r="26">
      <x:c r="A26" s="339" t="str">
        <x:v>NFR-025</x:v>
      </x:c>
      <x:c r="B26" s="339" t="str">
        <x:v>Rate Limiting</x:v>
      </x:c>
      <x:c r="C26" s="339" t="str">
        <x:v>Protect authentication and public APIs from abuse.</x:v>
      </x:c>
      <x:c r="D26" s="339" t="str">
        <x:v>Per-user/IP/tenant limits appropriate to endpoint risk.</x:v>
      </x:c>
      <x:c r="E26" s="339" t="str">
        <x:v>Auth/public/integration</x:v>
      </x:c>
      <x:c r="F26" s="339" t="str">
        <x:v>Security/load tests</x:v>
      </x:c>
    </x:row>
    <x:row r="27">
      <x:c r="A27" s="339" t="str">
        <x:v>NFR-026</x:v>
      </x:c>
      <x:c r="B27" s="339" t="str">
        <x:v>Integration Resilience</x:v>
      </x:c>
      <x:c r="C27" s="339" t="str">
        <x:v>External provider outages must not corrupt ERP state.</x:v>
      </x:c>
      <x:c r="D27" s="339" t="str">
        <x:v>Timeouts, retries with backoff, circuit breaking, dead-letter/manual reconciliation where needed.</x:v>
      </x:c>
      <x:c r="E27" s="339" t="str">
        <x:v>Payments/SMS/GPS/etc.</x:v>
      </x:c>
      <x:c r="F27" s="339" t="str">
        <x:v>Failure-injection tests</x:v>
      </x:c>
    </x:row>
    <x:row r="28">
      <x:c r="A28" s="339" t="str">
        <x:v>NFR-027</x:v>
      </x:c>
      <x:c r="B28" s="339" t="str">
        <x:v>Data Retention</x:v>
      </x:c>
      <x:c r="C28" s="339" t="str">
        <x:v>Retention must be configurable by data class and legal policy.</x:v>
      </x:c>
      <x:c r="D28" s="339" t="str">
        <x:v>Document retention matrix for student, finance, HR, health, security and logs.</x:v>
      </x:c>
      <x:c r="E28" s="339" t="str">
        <x:v>All data domains</x:v>
      </x:c>
      <x:c r="F28" s="339" t="str">
        <x:v>Compliance review</x:v>
      </x:c>
    </x:row>
    <x:row r="29">
      <x:c r="A29" s="339" t="str">
        <x:v>NFR-028</x:v>
      </x:c>
      <x:c r="B29" s="339" t="str">
        <x:v>Export Security</x:v>
      </x:c>
      <x:c r="C29" s="339" t="str">
        <x:v>Exports must follow screen permissions and expire safely.</x:v>
      </x:c>
      <x:c r="D29" s="339" t="str">
        <x:v>Authorized columns only; time-limited links; audit export events for sensitive data.</x:v>
      </x:c>
      <x:c r="E29" s="339" t="str">
        <x:v>Reports/lists</x:v>
      </x:c>
      <x:c r="F29" s="339" t="str">
        <x:v>Security/functional tests</x:v>
      </x:c>
    </x:row>
    <x:row r="30">
      <x:c r="A30" s="339" t="str">
        <x:v>NFR-029</x:v>
      </x:c>
      <x:c r="B30" s="339" t="str">
        <x:v>Usability</x:v>
      </x:c>
      <x:c r="C30" s="339" t="str">
        <x:v>Frequent teacher/admin tasks should require minimal steps.</x:v>
      </x:c>
      <x:c r="D30" s="339" t="str">
        <x:v>Primary daily workflows designed around direct actions, keyboard-friendly inputs and batch operations where safe.</x:v>
      </x:c>
      <x:c r="E30" s="339" t="str">
        <x:v>Teacher/Admin portals</x:v>
      </x:c>
      <x:c r="F30" s="339" t="str">
        <x:v>Usability testing</x:v>
      </x:c>
    </x:row>
    <x:row r="31">
      <x:c r="A31" s="339" t="str">
        <x:v>NFR-030</x:v>
      </x:c>
      <x:c r="B31" s="339" t="str">
        <x:v>Maintainability</x:v>
      </x:c>
      <x:c r="C31" s="339" t="str">
        <x:v>Business rules should be centralized and testable.</x:v>
      </x:c>
      <x:c r="D31" s="339" t="str">
        <x:v>Domain/service rules not duplicated inconsistently across UI and APIs.</x:v>
      </x:c>
      <x:c r="E31" s="339" t="str">
        <x:v>All services</x:v>
      </x:c>
      <x:c r="F31" s="339" t="str">
        <x:v>Architecture/code review</x:v>
      </x:c>
    </x:row>
    <x:row r="32">
      <x:c r="A32" s="339" t="str">
        <x:v>NFR-031</x:v>
      </x:c>
      <x:c r="B32" s="339" t="str">
        <x:v>Testability</x:v>
      </x:c>
      <x:c r="C32" s="339" t="str">
        <x:v>Critical rules must have automated tests.</x:v>
      </x:c>
      <x:c r="D32" s="339" t="str">
        <x:v>Unit + service/integration + permission tests for critical state transitions/calculations.</x:v>
      </x:c>
      <x:c r="E32" s="339" t="str">
        <x:v>All modules</x:v>
      </x:c>
      <x:c r="F32" s="339" t="str">
        <x:v>CI coverage/report</x:v>
      </x:c>
    </x:row>
    <x:row r="33">
      <x:c r="A33" s="339" t="str">
        <x:v>NFR-032</x:v>
      </x:c>
      <x:c r="B33" s="339" t="str">
        <x:v>Security Monitoring</x:v>
      </x:c>
      <x:c r="C33" s="339" t="str">
        <x:v>Suspicious auth/admin events must generate security signals.</x:v>
      </x:c>
      <x:c r="D33" s="339" t="str">
        <x:v>Track failed logins, privilege changes, unusual exports and secret/integration changes.</x:v>
      </x:c>
      <x:c r="E33" s="339" t="str">
        <x:v>Auth/admin</x:v>
      </x:c>
      <x:c r="F33" s="339" t="str">
        <x:v>SIEM/alert verification</x:v>
      </x:c>
    </x:row>
    <x:row r="34">
      <x:c r="A34" s="339" t="str">
        <x:v>NFR-033</x:v>
      </x:c>
      <x:c r="B34" s="339" t="str">
        <x:v>Data Import</x:v>
      </x:c>
      <x:c r="C34" s="339" t="str">
        <x:v>Bulk imports must validate before commit.</x:v>
      </x:c>
      <x:c r="D34" s="339" t="str">
        <x:v>Preview/errors, row-level reasons, duplicate handling and transactional/batch-safe commit.</x:v>
      </x:c>
      <x:c r="E34" s="339" t="str">
        <x:v>Admin/data import</x:v>
      </x:c>
      <x:c r="F34" s="339" t="str">
        <x:v>Import tests</x:v>
      </x:c>
    </x:row>
    <x:row r="35">
      <x:c r="A35" s="339" t="str">
        <x:v>NFR-034</x:v>
      </x:c>
      <x:c r="B35" s="339" t="str">
        <x:v>Pagination</x:v>
      </x:c>
      <x:c r="C35" s="339" t="str">
        <x:v>Large datasets must not be loaded unbounded.</x:v>
      </x:c>
      <x:c r="D35" s="339" t="str">
        <x:v>Server-side pagination/cursor; bounded export jobs for large results.</x:v>
      </x:c>
      <x:c r="E35" s="339" t="str">
        <x:v>Lists/reports</x:v>
      </x:c>
      <x:c r="F35" s="339" t="str">
        <x:v>Performance review</x:v>
      </x:c>
    </x:row>
    <x:row r="36">
      <x:c r="A36" s="340" t="str">
        <x:v>NFR-035</x:v>
      </x:c>
      <x:c r="B36" s="340" t="str">
        <x:v>Data Freshness</x:v>
      </x:c>
      <x:c r="C36" s="340" t="str">
        <x:v>Dashboards must identify stale data when using cached/read models.</x:v>
      </x:c>
      <x:c r="D36" s="340" t="str">
        <x:v>As-of timestamp and stale/unavailable state for critical metrics.</x:v>
      </x:c>
      <x:c r="E36" s="340" t="str">
        <x:v>Dashboards/reports</x:v>
      </x:c>
      <x:c r="F36" s="340" t="str">
        <x:v>Reconciliation/failure tests</x:v>
      </x:c>
    </x:row>
  </x:sheetData>
  <x:pageMargins left="0.7" right="0.7" top="0.75" bottom="0.75" header="0.3" footer="0.3"/>
  <x:tableParts count="1">
    <x:tablePart xmlns:r="http://schemas.openxmlformats.org/officeDocument/2006/relationships" r:id="R7f0587e389264c8e"/>
  </x:tableParts>
</x:worksheet>
</file>

<file path=xl/worksheets/sheet19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1" hidden="0" customWidth="1"/>
    <x:col min="3" max="3" width="11" hidden="0" customWidth="1"/>
    <x:col min="4" max="4" width="28" hidden="0" customWidth="1"/>
    <x:col min="5" max="5" width="28" hidden="0" customWidth="1"/>
    <x:col min="6" max="6" width="58" hidden="0" customWidth="1"/>
    <x:col min="7" max="7" width="16" hidden="0" customWidth="1"/>
    <x:col min="8" max="8" width="36" hidden="0" customWidth="1"/>
    <x:col min="9" max="9" width="14" hidden="0" customWidth="1"/>
    <x:col min="10" max="10" width="14" hidden="0" customWidth="1"/>
    <x:col min="11" max="11" width="12" hidden="0" customWidth="1"/>
    <x:col min="12" max="12" width="16" hidden="0" customWidth="1"/>
  </x:cols>
  <x:sheetData>
    <x:row r="1" ht="30" customHeight="1">
      <x:c r="A1" s="338" t="str">
        <x:v>Story ID</x:v>
      </x:c>
      <x:c r="B1" s="338" t="str">
        <x:v>Epic ID</x:v>
      </x:c>
      <x:c r="C1" s="338" t="str">
        <x:v>Screen ID</x:v>
      </x:c>
      <x:c r="D1" s="338" t="str">
        <x:v>Module</x:v>
      </x:c>
      <x:c r="E1" s="338" t="str">
        <x:v>Screen Name</x:v>
      </x:c>
      <x:c r="F1" s="338" t="str">
        <x:v>Acceptance Criteria IDs</x:v>
      </x:c>
      <x:c r="G1" s="338" t="str">
        <x:v>Business Logic ID</x:v>
      </x:c>
      <x:c r="H1" s="338" t="str">
        <x:v>Business Rule IDs</x:v>
      </x:c>
      <x:c r="I1" s="338" t="str">
        <x:v>Workflow ID</x:v>
      </x:c>
      <x:c r="J1" s="338" t="str">
        <x:v>API ID</x:v>
      </x:c>
      <x:c r="K1" s="338" t="str">
        <x:v>Priority</x:v>
      </x:c>
      <x:c r="L1" s="338" t="str">
        <x:v>Status</x:v>
      </x:c>
    </x:row>
    <x:row r="2">
      <x:c r="A2" s="339" t="str">
        <x:v>US-0001</x:v>
      </x:c>
      <x:c r="B2" s="339" t="str">
        <x:v>EP-001</x:v>
      </x:c>
      <x:c r="C2" s="339" t="str">
        <x:v>SCR-001</x:v>
      </x:c>
      <x:c r="D2" s="339" t="str">
        <x:v>Public Website &amp; Authentication</x:v>
      </x:c>
      <x:c r="E2" s="339" t="str">
        <x:v>Landing / Home</x:v>
      </x:c>
      <x:c r="F2" s="339" t="str">
        <x:v>AC-00001, AC-00002, AC-00003, AC-00004</x:v>
      </x:c>
      <x:c r="G2" s="339" t="str">
        <x:v>BL-001</x:v>
      </x:c>
      <x:c r="H2" s="339" t="str">
        <x:v>BR-00001, BR-00002, BR-00003</x:v>
      </x:c>
      <x:c r="I2" s="339" t="str">
        <x:v>WF-001</x:v>
      </x:c>
      <x:c r="J2" s="339" t="str">
        <x:v>API-0001</x:v>
      </x:c>
      <x:c r="K2" s="339" t="str">
        <x:v>MVP</x:v>
      </x:c>
      <x:c r="L2" s="339" t="str">
        <x:v>Not Started</x:v>
      </x:c>
    </x:row>
    <x:row r="3">
      <x:c r="A3" s="339" t="str">
        <x:v>US-0002</x:v>
      </x:c>
      <x:c r="B3" s="339" t="str">
        <x:v>EP-001</x:v>
      </x:c>
      <x:c r="C3" s="339" t="str">
        <x:v>SCR-001</x:v>
      </x:c>
      <x:c r="D3" s="339" t="str">
        <x:v>Public Website &amp; Authentication</x:v>
      </x:c>
      <x:c r="E3" s="339" t="str">
        <x:v>Landing / Home</x:v>
      </x:c>
      <x:c r="F3" s="339" t="str">
        <x:v>AC-00005, AC-00006, AC-00007, AC-00008</x:v>
      </x:c>
      <x:c r="G3" s="339" t="str">
        <x:v>BL-001</x:v>
      </x:c>
      <x:c r="H3" s="339" t="str">
        <x:v>BR-00001, BR-00002, BR-00003</x:v>
      </x:c>
      <x:c r="I3" s="339" t="str">
        <x:v>WF-001</x:v>
      </x:c>
      <x:c r="J3" s="339" t="str">
        <x:v>API-0001</x:v>
      </x:c>
      <x:c r="K3" s="339" t="str">
        <x:v>MVP</x:v>
      </x:c>
      <x:c r="L3" s="339" t="str">
        <x:v>Not Started</x:v>
      </x:c>
    </x:row>
    <x:row r="4">
      <x:c r="A4" s="339" t="str">
        <x:v>US-0003</x:v>
      </x:c>
      <x:c r="B4" s="339" t="str">
        <x:v>EP-001</x:v>
      </x:c>
      <x:c r="C4" s="339" t="str">
        <x:v>SCR-002</x:v>
      </x:c>
      <x:c r="D4" s="339" t="str">
        <x:v>Public Website &amp; Authentication</x:v>
      </x:c>
      <x:c r="E4" s="339" t="str">
        <x:v>Workspace / Role Selection</x:v>
      </x:c>
      <x:c r="F4" s="339" t="str">
        <x:v>AC-00009, AC-00010, AC-00011, AC-00012</x:v>
      </x:c>
      <x:c r="G4" s="339" t="str">
        <x:v>BL-002</x:v>
      </x:c>
      <x:c r="H4" s="339" t="str">
        <x:v>BR-00004, BR-00005, BR-00006</x:v>
      </x:c>
      <x:c r="I4" s="339" t="str">
        <x:v>WF-002</x:v>
      </x:c>
      <x:c r="J4" s="339" t="str">
        <x:v>API-0002</x:v>
      </x:c>
      <x:c r="K4" s="339" t="str">
        <x:v>MVP</x:v>
      </x:c>
      <x:c r="L4" s="339" t="str">
        <x:v>Not Started</x:v>
      </x:c>
    </x:row>
    <x:row r="5">
      <x:c r="A5" s="339" t="str">
        <x:v>US-0004</x:v>
      </x:c>
      <x:c r="B5" s="339" t="str">
        <x:v>EP-001</x:v>
      </x:c>
      <x:c r="C5" s="339" t="str">
        <x:v>SCR-002</x:v>
      </x:c>
      <x:c r="D5" s="339" t="str">
        <x:v>Public Website &amp; Authentication</x:v>
      </x:c>
      <x:c r="E5" s="339" t="str">
        <x:v>Workspace / Role Selection</x:v>
      </x:c>
      <x:c r="F5" s="339" t="str">
        <x:v>AC-00013, AC-00014, AC-00015, AC-00016</x:v>
      </x:c>
      <x:c r="G5" s="339" t="str">
        <x:v>BL-002</x:v>
      </x:c>
      <x:c r="H5" s="339" t="str">
        <x:v>BR-00004, BR-00005, BR-00006</x:v>
      </x:c>
      <x:c r="I5" s="339" t="str">
        <x:v>WF-002</x:v>
      </x:c>
      <x:c r="J5" s="339" t="str">
        <x:v>API-0002</x:v>
      </x:c>
      <x:c r="K5" s="339" t="str">
        <x:v>MVP</x:v>
      </x:c>
      <x:c r="L5" s="339" t="str">
        <x:v>Not Started</x:v>
      </x:c>
    </x:row>
    <x:row r="6">
      <x:c r="A6" s="339" t="str">
        <x:v>US-0005</x:v>
      </x:c>
      <x:c r="B6" s="339" t="str">
        <x:v>EP-001</x:v>
      </x:c>
      <x:c r="C6" s="339" t="str">
        <x:v>SCR-003</x:v>
      </x:c>
      <x:c r="D6" s="339" t="str">
        <x:v>Public Website &amp; Authentication</x:v>
      </x:c>
      <x:c r="E6" s="339" t="str">
        <x:v>Sign In</x:v>
      </x:c>
      <x:c r="F6" s="339" t="str">
        <x:v>AC-00017, AC-00018, AC-00019, AC-00020</x:v>
      </x:c>
      <x:c r="G6" s="339" t="str">
        <x:v>BL-003</x:v>
      </x:c>
      <x:c r="H6" s="339" t="str">
        <x:v>BR-00007, BR-00008, BR-00009</x:v>
      </x:c>
      <x:c r="I6" s="339" t="str">
        <x:v>WF-003</x:v>
      </x:c>
      <x:c r="J6" s="339" t="str">
        <x:v>API-0003</x:v>
      </x:c>
      <x:c r="K6" s="339" t="str">
        <x:v>MVP</x:v>
      </x:c>
      <x:c r="L6" s="339" t="str">
        <x:v>Not Started</x:v>
      </x:c>
    </x:row>
    <x:row r="7">
      <x:c r="A7" s="339" t="str">
        <x:v>US-0006</x:v>
      </x:c>
      <x:c r="B7" s="339" t="str">
        <x:v>EP-001</x:v>
      </x:c>
      <x:c r="C7" s="339" t="str">
        <x:v>SCR-003</x:v>
      </x:c>
      <x:c r="D7" s="339" t="str">
        <x:v>Public Website &amp; Authentication</x:v>
      </x:c>
      <x:c r="E7" s="339" t="str">
        <x:v>Sign In</x:v>
      </x:c>
      <x:c r="F7" s="339" t="str">
        <x:v>AC-00021, AC-00022, AC-00023, AC-00024</x:v>
      </x:c>
      <x:c r="G7" s="339" t="str">
        <x:v>BL-003</x:v>
      </x:c>
      <x:c r="H7" s="339" t="str">
        <x:v>BR-00007, BR-00008, BR-00009</x:v>
      </x:c>
      <x:c r="I7" s="339" t="str">
        <x:v>WF-003</x:v>
      </x:c>
      <x:c r="J7" s="339" t="str">
        <x:v>API-0003</x:v>
      </x:c>
      <x:c r="K7" s="339" t="str">
        <x:v>MVP</x:v>
      </x:c>
      <x:c r="L7" s="339" t="str">
        <x:v>Not Started</x:v>
      </x:c>
    </x:row>
    <x:row r="8">
      <x:c r="A8" s="339" t="str">
        <x:v>US-0007</x:v>
      </x:c>
      <x:c r="B8" s="339" t="str">
        <x:v>EP-001</x:v>
      </x:c>
      <x:c r="C8" s="339" t="str">
        <x:v>SCR-004</x:v>
      </x:c>
      <x:c r="D8" s="339" t="str">
        <x:v>Public Website &amp; Authentication</x:v>
      </x:c>
      <x:c r="E8" s="339" t="str">
        <x:v>Forgot Password</x:v>
      </x:c>
      <x:c r="F8" s="339" t="str">
        <x:v>AC-00025, AC-00026, AC-00027, AC-00028</x:v>
      </x:c>
      <x:c r="G8" s="339" t="str">
        <x:v>BL-004</x:v>
      </x:c>
      <x:c r="H8" s="339" t="str">
        <x:v>BR-00010, BR-00011, BR-00012</x:v>
      </x:c>
      <x:c r="I8" s="339" t="str">
        <x:v>WF-004</x:v>
      </x:c>
      <x:c r="J8" s="339" t="str">
        <x:v>API-0004</x:v>
      </x:c>
      <x:c r="K8" s="339" t="str">
        <x:v>MVP</x:v>
      </x:c>
      <x:c r="L8" s="339" t="str">
        <x:v>Not Started</x:v>
      </x:c>
    </x:row>
    <x:row r="9">
      <x:c r="A9" s="339" t="str">
        <x:v>US-0008</x:v>
      </x:c>
      <x:c r="B9" s="339" t="str">
        <x:v>EP-001</x:v>
      </x:c>
      <x:c r="C9" s="339" t="str">
        <x:v>SCR-004</x:v>
      </x:c>
      <x:c r="D9" s="339" t="str">
        <x:v>Public Website &amp; Authentication</x:v>
      </x:c>
      <x:c r="E9" s="339" t="str">
        <x:v>Forgot Password</x:v>
      </x:c>
      <x:c r="F9" s="339" t="str">
        <x:v>AC-00029, AC-00030, AC-00031, AC-00032</x:v>
      </x:c>
      <x:c r="G9" s="339" t="str">
        <x:v>BL-004</x:v>
      </x:c>
      <x:c r="H9" s="339" t="str">
        <x:v>BR-00010, BR-00011, BR-00012</x:v>
      </x:c>
      <x:c r="I9" s="339" t="str">
        <x:v>WF-004</x:v>
      </x:c>
      <x:c r="J9" s="339" t="str">
        <x:v>API-0004</x:v>
      </x:c>
      <x:c r="K9" s="339" t="str">
        <x:v>MVP</x:v>
      </x:c>
      <x:c r="L9" s="339" t="str">
        <x:v>Not Started</x:v>
      </x:c>
    </x:row>
    <x:row r="10">
      <x:c r="A10" s="339" t="str">
        <x:v>US-0009</x:v>
      </x:c>
      <x:c r="B10" s="339" t="str">
        <x:v>EP-001</x:v>
      </x:c>
      <x:c r="C10" s="339" t="str">
        <x:v>SCR-005</x:v>
      </x:c>
      <x:c r="D10" s="339" t="str">
        <x:v>Public Website &amp; Authentication</x:v>
      </x:c>
      <x:c r="E10" s="339" t="str">
        <x:v>Reset Password</x:v>
      </x:c>
      <x:c r="F10" s="339" t="str">
        <x:v>AC-00033, AC-00034, AC-00035, AC-00036</x:v>
      </x:c>
      <x:c r="G10" s="339" t="str">
        <x:v>BL-005</x:v>
      </x:c>
      <x:c r="H10" s="339" t="str">
        <x:v>BR-00013, BR-00014, BR-00015</x:v>
      </x:c>
      <x:c r="I10" s="339" t="str">
        <x:v>WF-005</x:v>
      </x:c>
      <x:c r="J10" s="339" t="str">
        <x:v>API-0005</x:v>
      </x:c>
      <x:c r="K10" s="339" t="str">
        <x:v>MVP</x:v>
      </x:c>
      <x:c r="L10" s="339" t="str">
        <x:v>Not Started</x:v>
      </x:c>
    </x:row>
    <x:row r="11">
      <x:c r="A11" s="339" t="str">
        <x:v>US-0010</x:v>
      </x:c>
      <x:c r="B11" s="339" t="str">
        <x:v>EP-001</x:v>
      </x:c>
      <x:c r="C11" s="339" t="str">
        <x:v>SCR-005</x:v>
      </x:c>
      <x:c r="D11" s="339" t="str">
        <x:v>Public Website &amp; Authentication</x:v>
      </x:c>
      <x:c r="E11" s="339" t="str">
        <x:v>Reset Password</x:v>
      </x:c>
      <x:c r="F11" s="339" t="str">
        <x:v>AC-00037, AC-00038, AC-00039, AC-00040</x:v>
      </x:c>
      <x:c r="G11" s="339" t="str">
        <x:v>BL-005</x:v>
      </x:c>
      <x:c r="H11" s="339" t="str">
        <x:v>BR-00013, BR-00014, BR-00015</x:v>
      </x:c>
      <x:c r="I11" s="339" t="str">
        <x:v>WF-005</x:v>
      </x:c>
      <x:c r="J11" s="339" t="str">
        <x:v>API-0005</x:v>
      </x:c>
      <x:c r="K11" s="339" t="str">
        <x:v>MVP</x:v>
      </x:c>
      <x:c r="L11" s="339" t="str">
        <x:v>Not Started</x:v>
      </x:c>
    </x:row>
    <x:row r="12">
      <x:c r="A12" s="339" t="str">
        <x:v>US-0011</x:v>
      </x:c>
      <x:c r="B12" s="339" t="str">
        <x:v>EP-001</x:v>
      </x:c>
      <x:c r="C12" s="339" t="str">
        <x:v>SCR-006</x:v>
      </x:c>
      <x:c r="D12" s="339" t="str">
        <x:v>Public Website &amp; Authentication</x:v>
      </x:c>
      <x:c r="E12" s="339" t="str">
        <x:v>OTP / Two-Factor Verification</x:v>
      </x:c>
      <x:c r="F12" s="339" t="str">
        <x:v>AC-00041, AC-00042, AC-00043, AC-00044</x:v>
      </x:c>
      <x:c r="G12" s="339" t="str">
        <x:v>BL-006</x:v>
      </x:c>
      <x:c r="H12" s="339" t="str">
        <x:v>BR-00016, BR-00017, BR-00018</x:v>
      </x:c>
      <x:c r="I12" s="339" t="str">
        <x:v>WF-006</x:v>
      </x:c>
      <x:c r="J12" s="339" t="str">
        <x:v>API-0006</x:v>
      </x:c>
      <x:c r="K12" s="339" t="str">
        <x:v>Phase 2</x:v>
      </x:c>
      <x:c r="L12" s="339" t="str">
        <x:v>Not Started</x:v>
      </x:c>
    </x:row>
    <x:row r="13">
      <x:c r="A13" s="339" t="str">
        <x:v>US-0012</x:v>
      </x:c>
      <x:c r="B13" s="339" t="str">
        <x:v>EP-001</x:v>
      </x:c>
      <x:c r="C13" s="339" t="str">
        <x:v>SCR-006</x:v>
      </x:c>
      <x:c r="D13" s="339" t="str">
        <x:v>Public Website &amp; Authentication</x:v>
      </x:c>
      <x:c r="E13" s="339" t="str">
        <x:v>OTP / Two-Factor Verification</x:v>
      </x:c>
      <x:c r="F13" s="339" t="str">
        <x:v>AC-00045, AC-00046, AC-00047, AC-00048</x:v>
      </x:c>
      <x:c r="G13" s="339" t="str">
        <x:v>BL-006</x:v>
      </x:c>
      <x:c r="H13" s="339" t="str">
        <x:v>BR-00016, BR-00017, BR-00018</x:v>
      </x:c>
      <x:c r="I13" s="339" t="str">
        <x:v>WF-006</x:v>
      </x:c>
      <x:c r="J13" s="339" t="str">
        <x:v>API-0006</x:v>
      </x:c>
      <x:c r="K13" s="339" t="str">
        <x:v>Phase 2</x:v>
      </x:c>
      <x:c r="L13" s="339" t="str">
        <x:v>Not Started</x:v>
      </x:c>
    </x:row>
    <x:row r="14">
      <x:c r="A14" s="339" t="str">
        <x:v>US-0013</x:v>
      </x:c>
      <x:c r="B14" s="339" t="str">
        <x:v>EP-001</x:v>
      </x:c>
      <x:c r="C14" s="339" t="str">
        <x:v>SCR-007</x:v>
      </x:c>
      <x:c r="D14" s="339" t="str">
        <x:v>Public Website &amp; Authentication</x:v>
      </x:c>
      <x:c r="E14" s="339" t="str">
        <x:v>First Login / Change Password</x:v>
      </x:c>
      <x:c r="F14" s="339" t="str">
        <x:v>AC-00049, AC-00050, AC-00051, AC-00052</x:v>
      </x:c>
      <x:c r="G14" s="339" t="str">
        <x:v>BL-007</x:v>
      </x:c>
      <x:c r="H14" s="339" t="str">
        <x:v>BR-00019, BR-00020, BR-00021</x:v>
      </x:c>
      <x:c r="I14" s="339" t="str">
        <x:v>WF-007</x:v>
      </x:c>
      <x:c r="J14" s="339" t="str">
        <x:v>API-0007</x:v>
      </x:c>
      <x:c r="K14" s="339" t="str">
        <x:v>Phase 2</x:v>
      </x:c>
      <x:c r="L14" s="339" t="str">
        <x:v>Not Started</x:v>
      </x:c>
    </x:row>
    <x:row r="15">
      <x:c r="A15" s="339" t="str">
        <x:v>US-0014</x:v>
      </x:c>
      <x:c r="B15" s="339" t="str">
        <x:v>EP-001</x:v>
      </x:c>
      <x:c r="C15" s="339" t="str">
        <x:v>SCR-007</x:v>
      </x:c>
      <x:c r="D15" s="339" t="str">
        <x:v>Public Website &amp; Authentication</x:v>
      </x:c>
      <x:c r="E15" s="339" t="str">
        <x:v>First Login / Change Password</x:v>
      </x:c>
      <x:c r="F15" s="339" t="str">
        <x:v>AC-00053, AC-00054, AC-00055, AC-00056</x:v>
      </x:c>
      <x:c r="G15" s="339" t="str">
        <x:v>BL-007</x:v>
      </x:c>
      <x:c r="H15" s="339" t="str">
        <x:v>BR-00019, BR-00020, BR-00021</x:v>
      </x:c>
      <x:c r="I15" s="339" t="str">
        <x:v>WF-007</x:v>
      </x:c>
      <x:c r="J15" s="339" t="str">
        <x:v>API-0007</x:v>
      </x:c>
      <x:c r="K15" s="339" t="str">
        <x:v>Phase 2</x:v>
      </x:c>
      <x:c r="L15" s="339" t="str">
        <x:v>Not Started</x:v>
      </x:c>
    </x:row>
    <x:row r="16">
      <x:c r="A16" s="339" t="str">
        <x:v>US-0015</x:v>
      </x:c>
      <x:c r="B16" s="339" t="str">
        <x:v>EP-001</x:v>
      </x:c>
      <x:c r="C16" s="339" t="str">
        <x:v>SCR-008</x:v>
      </x:c>
      <x:c r="D16" s="339" t="str">
        <x:v>Public Website &amp; Authentication</x:v>
      </x:c>
      <x:c r="E16" s="339" t="str">
        <x:v>Access Denied / Session Expired</x:v>
      </x:c>
      <x:c r="F16" s="339" t="str">
        <x:v>AC-00057, AC-00058, AC-00059, AC-00060</x:v>
      </x:c>
      <x:c r="G16" s="339" t="str">
        <x:v>BL-008</x:v>
      </x:c>
      <x:c r="H16" s="339" t="str">
        <x:v>BR-00022, BR-00023, BR-00024</x:v>
      </x:c>
      <x:c r="I16" s="339" t="str">
        <x:v>WF-008</x:v>
      </x:c>
      <x:c r="J16" s="339" t="str">
        <x:v>API-0008</x:v>
      </x:c>
      <x:c r="K16" s="339" t="str">
        <x:v>Phase 2</x:v>
      </x:c>
      <x:c r="L16" s="339" t="str">
        <x:v>Not Started</x:v>
      </x:c>
    </x:row>
    <x:row r="17">
      <x:c r="A17" s="339" t="str">
        <x:v>US-0016</x:v>
      </x:c>
      <x:c r="B17" s="339" t="str">
        <x:v>EP-001</x:v>
      </x:c>
      <x:c r="C17" s="339" t="str">
        <x:v>SCR-008</x:v>
      </x:c>
      <x:c r="D17" s="339" t="str">
        <x:v>Public Website &amp; Authentication</x:v>
      </x:c>
      <x:c r="E17" s="339" t="str">
        <x:v>Access Denied / Session Expired</x:v>
      </x:c>
      <x:c r="F17" s="339" t="str">
        <x:v>AC-00061, AC-00062, AC-00063, AC-00064</x:v>
      </x:c>
      <x:c r="G17" s="339" t="str">
        <x:v>BL-008</x:v>
      </x:c>
      <x:c r="H17" s="339" t="str">
        <x:v>BR-00022, BR-00023, BR-00024</x:v>
      </x:c>
      <x:c r="I17" s="339" t="str">
        <x:v>WF-008</x:v>
      </x:c>
      <x:c r="J17" s="339" t="str">
        <x:v>API-0008</x:v>
      </x:c>
      <x:c r="K17" s="339" t="str">
        <x:v>Phase 2</x:v>
      </x:c>
      <x:c r="L17" s="339" t="str">
        <x:v>Not Started</x:v>
      </x:c>
    </x:row>
    <x:row r="18">
      <x:c r="A18" s="339" t="str">
        <x:v>US-0017</x:v>
      </x:c>
      <x:c r="B18" s="339" t="str">
        <x:v>EP-002</x:v>
      </x:c>
      <x:c r="C18" s="339" t="str">
        <x:v>SCR-009</x:v>
      </x:c>
      <x:c r="D18" s="339" t="str">
        <x:v>Super Admin / SaaS Administration</x:v>
      </x:c>
      <x:c r="E18" s="339" t="str">
        <x:v>Platform Dashboard</x:v>
      </x:c>
      <x:c r="F18" s="339" t="str">
        <x:v>AC-00065, AC-00066, AC-00067, AC-00068</x:v>
      </x:c>
      <x:c r="G18" s="339" t="str">
        <x:v>BL-009</x:v>
      </x:c>
      <x:c r="H18" s="339" t="str">
        <x:v>BR-00025, BR-00026, BR-00027</x:v>
      </x:c>
      <x:c r="I18" s="339" t="str">
        <x:v>WF-009</x:v>
      </x:c>
      <x:c r="J18" s="339" t="str">
        <x:v>API-0009</x:v>
      </x:c>
      <x:c r="K18" s="339" t="str">
        <x:v>MVP</x:v>
      </x:c>
      <x:c r="L18" s="339" t="str">
        <x:v>Not Started</x:v>
      </x:c>
    </x:row>
    <x:row r="19">
      <x:c r="A19" s="339" t="str">
        <x:v>US-0018</x:v>
      </x:c>
      <x:c r="B19" s="339" t="str">
        <x:v>EP-002</x:v>
      </x:c>
      <x:c r="C19" s="339" t="str">
        <x:v>SCR-009</x:v>
      </x:c>
      <x:c r="D19" s="339" t="str">
        <x:v>Super Admin / SaaS Administration</x:v>
      </x:c>
      <x:c r="E19" s="339" t="str">
        <x:v>Platform Dashboard</x:v>
      </x:c>
      <x:c r="F19" s="339" t="str">
        <x:v>AC-00069, AC-00070, AC-00071, AC-00072</x:v>
      </x:c>
      <x:c r="G19" s="339" t="str">
        <x:v>BL-009</x:v>
      </x:c>
      <x:c r="H19" s="339" t="str">
        <x:v>BR-00025, BR-00026, BR-00027</x:v>
      </x:c>
      <x:c r="I19" s="339" t="str">
        <x:v>WF-009</x:v>
      </x:c>
      <x:c r="J19" s="339" t="str">
        <x:v>API-0009</x:v>
      </x:c>
      <x:c r="K19" s="339" t="str">
        <x:v>MVP</x:v>
      </x:c>
      <x:c r="L19" s="339" t="str">
        <x:v>Not Started</x:v>
      </x:c>
    </x:row>
    <x:row r="20">
      <x:c r="A20" s="339" t="str">
        <x:v>US-0019</x:v>
      </x:c>
      <x:c r="B20" s="339" t="str">
        <x:v>EP-002</x:v>
      </x:c>
      <x:c r="C20" s="339" t="str">
        <x:v>SCR-010</x:v>
      </x:c>
      <x:c r="D20" s="339" t="str">
        <x:v>Super Admin / SaaS Administration</x:v>
      </x:c>
      <x:c r="E20" s="339" t="str">
        <x:v>Organizations List</x:v>
      </x:c>
      <x:c r="F20" s="339" t="str">
        <x:v>AC-00073, AC-00074, AC-00075, AC-00076</x:v>
      </x:c>
      <x:c r="G20" s="339" t="str">
        <x:v>BL-010</x:v>
      </x:c>
      <x:c r="H20" s="339" t="str">
        <x:v>BR-00028, BR-00029, BR-00030</x:v>
      </x:c>
      <x:c r="I20" s="339" t="str">
        <x:v>WF-010</x:v>
      </x:c>
      <x:c r="J20" s="339" t="str">
        <x:v>API-0010</x:v>
      </x:c>
      <x:c r="K20" s="339" t="str">
        <x:v>MVP</x:v>
      </x:c>
      <x:c r="L20" s="339" t="str">
        <x:v>Not Started</x:v>
      </x:c>
    </x:row>
    <x:row r="21">
      <x:c r="A21" s="339" t="str">
        <x:v>US-0020</x:v>
      </x:c>
      <x:c r="B21" s="339" t="str">
        <x:v>EP-002</x:v>
      </x:c>
      <x:c r="C21" s="339" t="str">
        <x:v>SCR-010</x:v>
      </x:c>
      <x:c r="D21" s="339" t="str">
        <x:v>Super Admin / SaaS Administration</x:v>
      </x:c>
      <x:c r="E21" s="339" t="str">
        <x:v>Organizations List</x:v>
      </x:c>
      <x:c r="F21" s="339" t="str">
        <x:v>AC-00077, AC-00078, AC-00079, AC-00080</x:v>
      </x:c>
      <x:c r="G21" s="339" t="str">
        <x:v>BL-010</x:v>
      </x:c>
      <x:c r="H21" s="339" t="str">
        <x:v>BR-00028, BR-00029, BR-00030</x:v>
      </x:c>
      <x:c r="I21" s="339" t="str">
        <x:v>WF-010</x:v>
      </x:c>
      <x:c r="J21" s="339" t="str">
        <x:v>API-0010</x:v>
      </x:c>
      <x:c r="K21" s="339" t="str">
        <x:v>MVP</x:v>
      </x:c>
      <x:c r="L21" s="339" t="str">
        <x:v>Not Started</x:v>
      </x:c>
    </x:row>
    <x:row r="22">
      <x:c r="A22" s="339" t="str">
        <x:v>US-0021</x:v>
      </x:c>
      <x:c r="B22" s="339" t="str">
        <x:v>EP-002</x:v>
      </x:c>
      <x:c r="C22" s="339" t="str">
        <x:v>SCR-011</x:v>
      </x:c>
      <x:c r="D22" s="339" t="str">
        <x:v>Super Admin / SaaS Administration</x:v>
      </x:c>
      <x:c r="E22" s="339" t="str">
        <x:v>Add Organization</x:v>
      </x:c>
      <x:c r="F22" s="339" t="str">
        <x:v>AC-00081, AC-00082, AC-00083, AC-00084</x:v>
      </x:c>
      <x:c r="G22" s="339" t="str">
        <x:v>BL-011</x:v>
      </x:c>
      <x:c r="H22" s="339" t="str">
        <x:v>BR-00031, BR-00032, BR-00033</x:v>
      </x:c>
      <x:c r="I22" s="339" t="str">
        <x:v>WF-011</x:v>
      </x:c>
      <x:c r="J22" s="339" t="str">
        <x:v>API-0011</x:v>
      </x:c>
      <x:c r="K22" s="339" t="str">
        <x:v>MVP</x:v>
      </x:c>
      <x:c r="L22" s="339" t="str">
        <x:v>Not Started</x:v>
      </x:c>
    </x:row>
    <x:row r="23">
      <x:c r="A23" s="339" t="str">
        <x:v>US-0022</x:v>
      </x:c>
      <x:c r="B23" s="339" t="str">
        <x:v>EP-002</x:v>
      </x:c>
      <x:c r="C23" s="339" t="str">
        <x:v>SCR-011</x:v>
      </x:c>
      <x:c r="D23" s="339" t="str">
        <x:v>Super Admin / SaaS Administration</x:v>
      </x:c>
      <x:c r="E23" s="339" t="str">
        <x:v>Add Organization</x:v>
      </x:c>
      <x:c r="F23" s="339" t="str">
        <x:v>AC-00085, AC-00086, AC-00087, AC-00088</x:v>
      </x:c>
      <x:c r="G23" s="339" t="str">
        <x:v>BL-011</x:v>
      </x:c>
      <x:c r="H23" s="339" t="str">
        <x:v>BR-00031, BR-00032, BR-00033</x:v>
      </x:c>
      <x:c r="I23" s="339" t="str">
        <x:v>WF-011</x:v>
      </x:c>
      <x:c r="J23" s="339" t="str">
        <x:v>API-0011</x:v>
      </x:c>
      <x:c r="K23" s="339" t="str">
        <x:v>MVP</x:v>
      </x:c>
      <x:c r="L23" s="339" t="str">
        <x:v>Not Started</x:v>
      </x:c>
    </x:row>
    <x:row r="24">
      <x:c r="A24" s="339" t="str">
        <x:v>US-0023</x:v>
      </x:c>
      <x:c r="B24" s="339" t="str">
        <x:v>EP-002</x:v>
      </x:c>
      <x:c r="C24" s="339" t="str">
        <x:v>SCR-012</x:v>
      </x:c>
      <x:c r="D24" s="339" t="str">
        <x:v>Super Admin / SaaS Administration</x:v>
      </x:c>
      <x:c r="E24" s="339" t="str">
        <x:v>Organization Details</x:v>
      </x:c>
      <x:c r="F24" s="339" t="str">
        <x:v>AC-00089, AC-00090, AC-00091, AC-00092</x:v>
      </x:c>
      <x:c r="G24" s="339" t="str">
        <x:v>BL-012</x:v>
      </x:c>
      <x:c r="H24" s="339" t="str">
        <x:v>BR-00034, BR-00035, BR-00036</x:v>
      </x:c>
      <x:c r="I24" s="339" t="str">
        <x:v>WF-012</x:v>
      </x:c>
      <x:c r="J24" s="339" t="str">
        <x:v>API-0012</x:v>
      </x:c>
      <x:c r="K24" s="339" t="str">
        <x:v>Phase 2</x:v>
      </x:c>
      <x:c r="L24" s="339" t="str">
        <x:v>Not Started</x:v>
      </x:c>
    </x:row>
    <x:row r="25">
      <x:c r="A25" s="339" t="str">
        <x:v>US-0024</x:v>
      </x:c>
      <x:c r="B25" s="339" t="str">
        <x:v>EP-002</x:v>
      </x:c>
      <x:c r="C25" s="339" t="str">
        <x:v>SCR-012</x:v>
      </x:c>
      <x:c r="D25" s="339" t="str">
        <x:v>Super Admin / SaaS Administration</x:v>
      </x:c>
      <x:c r="E25" s="339" t="str">
        <x:v>Organization Details</x:v>
      </x:c>
      <x:c r="F25" s="339" t="str">
        <x:v>AC-00093, AC-00094, AC-00095, AC-00096</x:v>
      </x:c>
      <x:c r="G25" s="339" t="str">
        <x:v>BL-012</x:v>
      </x:c>
      <x:c r="H25" s="339" t="str">
        <x:v>BR-00034, BR-00035, BR-00036</x:v>
      </x:c>
      <x:c r="I25" s="339" t="str">
        <x:v>WF-012</x:v>
      </x:c>
      <x:c r="J25" s="339" t="str">
        <x:v>API-0012</x:v>
      </x:c>
      <x:c r="K25" s="339" t="str">
        <x:v>Phase 2</x:v>
      </x:c>
      <x:c r="L25" s="339" t="str">
        <x:v>Not Started</x:v>
      </x:c>
    </x:row>
    <x:row r="26">
      <x:c r="A26" s="339" t="str">
        <x:v>US-0025</x:v>
      </x:c>
      <x:c r="B26" s="339" t="str">
        <x:v>EP-002</x:v>
      </x:c>
      <x:c r="C26" s="339" t="str">
        <x:v>SCR-013</x:v>
      </x:c>
      <x:c r="D26" s="339" t="str">
        <x:v>Super Admin / SaaS Administration</x:v>
      </x:c>
      <x:c r="E26" s="339" t="str">
        <x:v>Subscription Plans</x:v>
      </x:c>
      <x:c r="F26" s="339" t="str">
        <x:v>AC-00097, AC-00098, AC-00099, AC-00100</x:v>
      </x:c>
      <x:c r="G26" s="339" t="str">
        <x:v>BL-013</x:v>
      </x:c>
      <x:c r="H26" s="339" t="str">
        <x:v>BR-00037, BR-00038, BR-00039</x:v>
      </x:c>
      <x:c r="I26" s="339" t="str">
        <x:v>WF-013</x:v>
      </x:c>
      <x:c r="J26" s="339" t="str">
        <x:v>API-0013</x:v>
      </x:c>
      <x:c r="K26" s="339" t="str">
        <x:v>Phase 2</x:v>
      </x:c>
      <x:c r="L26" s="339" t="str">
        <x:v>Not Started</x:v>
      </x:c>
    </x:row>
    <x:row r="27">
      <x:c r="A27" s="339" t="str">
        <x:v>US-0026</x:v>
      </x:c>
      <x:c r="B27" s="339" t="str">
        <x:v>EP-002</x:v>
      </x:c>
      <x:c r="C27" s="339" t="str">
        <x:v>SCR-013</x:v>
      </x:c>
      <x:c r="D27" s="339" t="str">
        <x:v>Super Admin / SaaS Administration</x:v>
      </x:c>
      <x:c r="E27" s="339" t="str">
        <x:v>Subscription Plans</x:v>
      </x:c>
      <x:c r="F27" s="339" t="str">
        <x:v>AC-00101, AC-00102, AC-00103, AC-00104</x:v>
      </x:c>
      <x:c r="G27" s="339" t="str">
        <x:v>BL-013</x:v>
      </x:c>
      <x:c r="H27" s="339" t="str">
        <x:v>BR-00037, BR-00038, BR-00039</x:v>
      </x:c>
      <x:c r="I27" s="339" t="str">
        <x:v>WF-013</x:v>
      </x:c>
      <x:c r="J27" s="339" t="str">
        <x:v>API-0013</x:v>
      </x:c>
      <x:c r="K27" s="339" t="str">
        <x:v>Phase 2</x:v>
      </x:c>
      <x:c r="L27" s="339" t="str">
        <x:v>Not Started</x:v>
      </x:c>
    </x:row>
    <x:row r="28">
      <x:c r="A28" s="339" t="str">
        <x:v>US-0027</x:v>
      </x:c>
      <x:c r="B28" s="339" t="str">
        <x:v>EP-002</x:v>
      </x:c>
      <x:c r="C28" s="339" t="str">
        <x:v>SCR-014</x:v>
      </x:c>
      <x:c r="D28" s="339" t="str">
        <x:v>Super Admin / SaaS Administration</x:v>
      </x:c>
      <x:c r="E28" s="339" t="str">
        <x:v>Subscriptions &amp; Billing</x:v>
      </x:c>
      <x:c r="F28" s="339" t="str">
        <x:v>AC-00105, AC-00106, AC-00107, AC-00108</x:v>
      </x:c>
      <x:c r="G28" s="339" t="str">
        <x:v>BL-014</x:v>
      </x:c>
      <x:c r="H28" s="339" t="str">
        <x:v>BR-00040, BR-00041, BR-00042</x:v>
      </x:c>
      <x:c r="I28" s="339" t="str">
        <x:v>WF-014</x:v>
      </x:c>
      <x:c r="J28" s="339" t="str">
        <x:v>API-0014</x:v>
      </x:c>
      <x:c r="K28" s="339" t="str">
        <x:v>Phase 2</x:v>
      </x:c>
      <x:c r="L28" s="339" t="str">
        <x:v>Not Started</x:v>
      </x:c>
    </x:row>
    <x:row r="29">
      <x:c r="A29" s="339" t="str">
        <x:v>US-0028</x:v>
      </x:c>
      <x:c r="B29" s="339" t="str">
        <x:v>EP-002</x:v>
      </x:c>
      <x:c r="C29" s="339" t="str">
        <x:v>SCR-014</x:v>
      </x:c>
      <x:c r="D29" s="339" t="str">
        <x:v>Super Admin / SaaS Administration</x:v>
      </x:c>
      <x:c r="E29" s="339" t="str">
        <x:v>Subscriptions &amp; Billing</x:v>
      </x:c>
      <x:c r="F29" s="339" t="str">
        <x:v>AC-00109, AC-00110, AC-00111, AC-00112</x:v>
      </x:c>
      <x:c r="G29" s="339" t="str">
        <x:v>BL-014</x:v>
      </x:c>
      <x:c r="H29" s="339" t="str">
        <x:v>BR-00040, BR-00041, BR-00042</x:v>
      </x:c>
      <x:c r="I29" s="339" t="str">
        <x:v>WF-014</x:v>
      </x:c>
      <x:c r="J29" s="339" t="str">
        <x:v>API-0014</x:v>
      </x:c>
      <x:c r="K29" s="339" t="str">
        <x:v>Phase 2</x:v>
      </x:c>
      <x:c r="L29" s="339" t="str">
        <x:v>Not Started</x:v>
      </x:c>
    </x:row>
    <x:row r="30">
      <x:c r="A30" s="339" t="str">
        <x:v>US-0029</x:v>
      </x:c>
      <x:c r="B30" s="339" t="str">
        <x:v>EP-002</x:v>
      </x:c>
      <x:c r="C30" s="339" t="str">
        <x:v>SCR-015</x:v>
      </x:c>
      <x:c r="D30" s="339" t="str">
        <x:v>Super Admin / SaaS Administration</x:v>
      </x:c>
      <x:c r="E30" s="339" t="str">
        <x:v>Tenant Usage &amp; Limits</x:v>
      </x:c>
      <x:c r="F30" s="339" t="str">
        <x:v>AC-00113, AC-00114, AC-00115, AC-00116</x:v>
      </x:c>
      <x:c r="G30" s="339" t="str">
        <x:v>BL-015</x:v>
      </x:c>
      <x:c r="H30" s="339" t="str">
        <x:v>BR-00043, BR-00044, BR-00045</x:v>
      </x:c>
      <x:c r="I30" s="339" t="str">
        <x:v>WF-015</x:v>
      </x:c>
      <x:c r="J30" s="339" t="str">
        <x:v>API-0015</x:v>
      </x:c>
      <x:c r="K30" s="339" t="str">
        <x:v>Phase 2</x:v>
      </x:c>
      <x:c r="L30" s="339" t="str">
        <x:v>Not Started</x:v>
      </x:c>
    </x:row>
    <x:row r="31">
      <x:c r="A31" s="339" t="str">
        <x:v>US-0030</x:v>
      </x:c>
      <x:c r="B31" s="339" t="str">
        <x:v>EP-002</x:v>
      </x:c>
      <x:c r="C31" s="339" t="str">
        <x:v>SCR-015</x:v>
      </x:c>
      <x:c r="D31" s="339" t="str">
        <x:v>Super Admin / SaaS Administration</x:v>
      </x:c>
      <x:c r="E31" s="339" t="str">
        <x:v>Tenant Usage &amp; Limits</x:v>
      </x:c>
      <x:c r="F31" s="339" t="str">
        <x:v>AC-00117, AC-00118, AC-00119, AC-00120</x:v>
      </x:c>
      <x:c r="G31" s="339" t="str">
        <x:v>BL-015</x:v>
      </x:c>
      <x:c r="H31" s="339" t="str">
        <x:v>BR-00043, BR-00044, BR-00045</x:v>
      </x:c>
      <x:c r="I31" s="339" t="str">
        <x:v>WF-015</x:v>
      </x:c>
      <x:c r="J31" s="339" t="str">
        <x:v>API-0015</x:v>
      </x:c>
      <x:c r="K31" s="339" t="str">
        <x:v>Phase 2</x:v>
      </x:c>
      <x:c r="L31" s="339" t="str">
        <x:v>Not Started</x:v>
      </x:c>
    </x:row>
    <x:row r="32">
      <x:c r="A32" s="339" t="str">
        <x:v>US-0031</x:v>
      </x:c>
      <x:c r="B32" s="339" t="str">
        <x:v>EP-002</x:v>
      </x:c>
      <x:c r="C32" s="339" t="str">
        <x:v>SCR-016</x:v>
      </x:c>
      <x:c r="D32" s="339" t="str">
        <x:v>Super Admin / SaaS Administration</x:v>
      </x:c>
      <x:c r="E32" s="339" t="str">
        <x:v>Platform Users</x:v>
      </x:c>
      <x:c r="F32" s="339" t="str">
        <x:v>AC-00121, AC-00122, AC-00123, AC-00124</x:v>
      </x:c>
      <x:c r="G32" s="339" t="str">
        <x:v>BL-016</x:v>
      </x:c>
      <x:c r="H32" s="339" t="str">
        <x:v>BR-00046, BR-00047, BR-00048</x:v>
      </x:c>
      <x:c r="I32" s="339" t="str">
        <x:v>WF-016</x:v>
      </x:c>
      <x:c r="J32" s="339" t="str">
        <x:v>API-0016</x:v>
      </x:c>
      <x:c r="K32" s="339" t="str">
        <x:v>Phase 3</x:v>
      </x:c>
      <x:c r="L32" s="339" t="str">
        <x:v>Not Started</x:v>
      </x:c>
    </x:row>
    <x:row r="33">
      <x:c r="A33" s="339" t="str">
        <x:v>US-0032</x:v>
      </x:c>
      <x:c r="B33" s="339" t="str">
        <x:v>EP-002</x:v>
      </x:c>
      <x:c r="C33" s="339" t="str">
        <x:v>SCR-016</x:v>
      </x:c>
      <x:c r="D33" s="339" t="str">
        <x:v>Super Admin / SaaS Administration</x:v>
      </x:c>
      <x:c r="E33" s="339" t="str">
        <x:v>Platform Users</x:v>
      </x:c>
      <x:c r="F33" s="339" t="str">
        <x:v>AC-00125, AC-00126, AC-00127, AC-00128</x:v>
      </x:c>
      <x:c r="G33" s="339" t="str">
        <x:v>BL-016</x:v>
      </x:c>
      <x:c r="H33" s="339" t="str">
        <x:v>BR-00046, BR-00047, BR-00048</x:v>
      </x:c>
      <x:c r="I33" s="339" t="str">
        <x:v>WF-016</x:v>
      </x:c>
      <x:c r="J33" s="339" t="str">
        <x:v>API-0016</x:v>
      </x:c>
      <x:c r="K33" s="339" t="str">
        <x:v>Phase 3</x:v>
      </x:c>
      <x:c r="L33" s="339" t="str">
        <x:v>Not Started</x:v>
      </x:c>
    </x:row>
    <x:row r="34">
      <x:c r="A34" s="339" t="str">
        <x:v>US-0033</x:v>
      </x:c>
      <x:c r="B34" s="339" t="str">
        <x:v>EP-002</x:v>
      </x:c>
      <x:c r="C34" s="339" t="str">
        <x:v>SCR-017</x:v>
      </x:c>
      <x:c r="D34" s="339" t="str">
        <x:v>Super Admin / SaaS Administration</x:v>
      </x:c>
      <x:c r="E34" s="339" t="str">
        <x:v>Support Tickets</x:v>
      </x:c>
      <x:c r="F34" s="339" t="str">
        <x:v>AC-00129, AC-00130, AC-00131, AC-00132</x:v>
      </x:c>
      <x:c r="G34" s="339" t="str">
        <x:v>BL-017</x:v>
      </x:c>
      <x:c r="H34" s="339" t="str">
        <x:v>BR-00049, BR-00050, BR-00051</x:v>
      </x:c>
      <x:c r="I34" s="339" t="str">
        <x:v>WF-017</x:v>
      </x:c>
      <x:c r="J34" s="339" t="str">
        <x:v>API-0017</x:v>
      </x:c>
      <x:c r="K34" s="339" t="str">
        <x:v>Phase 3</x:v>
      </x:c>
      <x:c r="L34" s="339" t="str">
        <x:v>Not Started</x:v>
      </x:c>
    </x:row>
    <x:row r="35">
      <x:c r="A35" s="339" t="str">
        <x:v>US-0034</x:v>
      </x:c>
      <x:c r="B35" s="339" t="str">
        <x:v>EP-002</x:v>
      </x:c>
      <x:c r="C35" s="339" t="str">
        <x:v>SCR-017</x:v>
      </x:c>
      <x:c r="D35" s="339" t="str">
        <x:v>Super Admin / SaaS Administration</x:v>
      </x:c>
      <x:c r="E35" s="339" t="str">
        <x:v>Support Tickets</x:v>
      </x:c>
      <x:c r="F35" s="339" t="str">
        <x:v>AC-00133, AC-00134, AC-00135, AC-00136</x:v>
      </x:c>
      <x:c r="G35" s="339" t="str">
        <x:v>BL-017</x:v>
      </x:c>
      <x:c r="H35" s="339" t="str">
        <x:v>BR-00049, BR-00050, BR-00051</x:v>
      </x:c>
      <x:c r="I35" s="339" t="str">
        <x:v>WF-017</x:v>
      </x:c>
      <x:c r="J35" s="339" t="str">
        <x:v>API-0017</x:v>
      </x:c>
      <x:c r="K35" s="339" t="str">
        <x:v>Phase 3</x:v>
      </x:c>
      <x:c r="L35" s="339" t="str">
        <x:v>Not Started</x:v>
      </x:c>
    </x:row>
    <x:row r="36">
      <x:c r="A36" s="339" t="str">
        <x:v>US-0035</x:v>
      </x:c>
      <x:c r="B36" s="339" t="str">
        <x:v>EP-002</x:v>
      </x:c>
      <x:c r="C36" s="339" t="str">
        <x:v>SCR-018</x:v>
      </x:c>
      <x:c r="D36" s="339" t="str">
        <x:v>Super Admin / SaaS Administration</x:v>
      </x:c>
      <x:c r="E36" s="339" t="str">
        <x:v>System Health &amp; Service Status</x:v>
      </x:c>
      <x:c r="F36" s="339" t="str">
        <x:v>AC-00137, AC-00138, AC-00139, AC-00140</x:v>
      </x:c>
      <x:c r="G36" s="339" t="str">
        <x:v>BL-018</x:v>
      </x:c>
      <x:c r="H36" s="339" t="str">
        <x:v>BR-00052, BR-00053, BR-00054</x:v>
      </x:c>
      <x:c r="I36" s="339" t="str">
        <x:v>WF-018</x:v>
      </x:c>
      <x:c r="J36" s="339" t="str">
        <x:v>API-0018</x:v>
      </x:c>
      <x:c r="K36" s="339" t="str">
        <x:v>Phase 3</x:v>
      </x:c>
      <x:c r="L36" s="339" t="str">
        <x:v>Not Started</x:v>
      </x:c>
    </x:row>
    <x:row r="37">
      <x:c r="A37" s="339" t="str">
        <x:v>US-0036</x:v>
      </x:c>
      <x:c r="B37" s="339" t="str">
        <x:v>EP-002</x:v>
      </x:c>
      <x:c r="C37" s="339" t="str">
        <x:v>SCR-018</x:v>
      </x:c>
      <x:c r="D37" s="339" t="str">
        <x:v>Super Admin / SaaS Administration</x:v>
      </x:c>
      <x:c r="E37" s="339" t="str">
        <x:v>System Health &amp; Service Status</x:v>
      </x:c>
      <x:c r="F37" s="339" t="str">
        <x:v>AC-00141, AC-00142, AC-00143, AC-00144</x:v>
      </x:c>
      <x:c r="G37" s="339" t="str">
        <x:v>BL-018</x:v>
      </x:c>
      <x:c r="H37" s="339" t="str">
        <x:v>BR-00052, BR-00053, BR-00054</x:v>
      </x:c>
      <x:c r="I37" s="339" t="str">
        <x:v>WF-018</x:v>
      </x:c>
      <x:c r="J37" s="339" t="str">
        <x:v>API-0018</x:v>
      </x:c>
      <x:c r="K37" s="339" t="str">
        <x:v>Phase 3</x:v>
      </x:c>
      <x:c r="L37" s="339" t="str">
        <x:v>Not Started</x:v>
      </x:c>
    </x:row>
    <x:row r="38">
      <x:c r="A38" s="339" t="str">
        <x:v>US-0037</x:v>
      </x:c>
      <x:c r="B38" s="339" t="str">
        <x:v>EP-002</x:v>
      </x:c>
      <x:c r="C38" s="339" t="str">
        <x:v>SCR-019</x:v>
      </x:c>
      <x:c r="D38" s="339" t="str">
        <x:v>Super Admin / SaaS Administration</x:v>
      </x:c>
      <x:c r="E38" s="339" t="str">
        <x:v>Global Announcements</x:v>
      </x:c>
      <x:c r="F38" s="339" t="str">
        <x:v>AC-00145, AC-00146, AC-00147, AC-00148</x:v>
      </x:c>
      <x:c r="G38" s="339" t="str">
        <x:v>BL-019</x:v>
      </x:c>
      <x:c r="H38" s="339" t="str">
        <x:v>BR-00055, BR-00056, BR-00057</x:v>
      </x:c>
      <x:c r="I38" s="339" t="str">
        <x:v>WF-019</x:v>
      </x:c>
      <x:c r="J38" s="339" t="str">
        <x:v>API-0019</x:v>
      </x:c>
      <x:c r="K38" s="339" t="str">
        <x:v>Phase 3</x:v>
      </x:c>
      <x:c r="L38" s="339" t="str">
        <x:v>Not Started</x:v>
      </x:c>
    </x:row>
    <x:row r="39">
      <x:c r="A39" s="339" t="str">
        <x:v>US-0038</x:v>
      </x:c>
      <x:c r="B39" s="339" t="str">
        <x:v>EP-002</x:v>
      </x:c>
      <x:c r="C39" s="339" t="str">
        <x:v>SCR-019</x:v>
      </x:c>
      <x:c r="D39" s="339" t="str">
        <x:v>Super Admin / SaaS Administration</x:v>
      </x:c>
      <x:c r="E39" s="339" t="str">
        <x:v>Global Announcements</x:v>
      </x:c>
      <x:c r="F39" s="339" t="str">
        <x:v>AC-00149, AC-00150, AC-00151, AC-00152</x:v>
      </x:c>
      <x:c r="G39" s="339" t="str">
        <x:v>BL-019</x:v>
      </x:c>
      <x:c r="H39" s="339" t="str">
        <x:v>BR-00055, BR-00056, BR-00057</x:v>
      </x:c>
      <x:c r="I39" s="339" t="str">
        <x:v>WF-019</x:v>
      </x:c>
      <x:c r="J39" s="339" t="str">
        <x:v>API-0019</x:v>
      </x:c>
      <x:c r="K39" s="339" t="str">
        <x:v>Phase 3</x:v>
      </x:c>
      <x:c r="L39" s="339" t="str">
        <x:v>Not Started</x:v>
      </x:c>
    </x:row>
    <x:row r="40">
      <x:c r="A40" s="339" t="str">
        <x:v>US-0039</x:v>
      </x:c>
      <x:c r="B40" s="339" t="str">
        <x:v>EP-002</x:v>
      </x:c>
      <x:c r="C40" s="339" t="str">
        <x:v>SCR-020</x:v>
      </x:c>
      <x:c r="D40" s="339" t="str">
        <x:v>Super Admin / SaaS Administration</x:v>
      </x:c>
      <x:c r="E40" s="339" t="str">
        <x:v>Platform Settings</x:v>
      </x:c>
      <x:c r="F40" s="339" t="str">
        <x:v>AC-00153, AC-00154, AC-00155, AC-00156</x:v>
      </x:c>
      <x:c r="G40" s="339" t="str">
        <x:v>BL-020</x:v>
      </x:c>
      <x:c r="H40" s="339" t="str">
        <x:v>BR-00058, BR-00059, BR-00060</x:v>
      </x:c>
      <x:c r="I40" s="339" t="str">
        <x:v>WF-020</x:v>
      </x:c>
      <x:c r="J40" s="339" t="str">
        <x:v>API-0020</x:v>
      </x:c>
      <x:c r="K40" s="339" t="str">
        <x:v>Phase 3</x:v>
      </x:c>
      <x:c r="L40" s="339" t="str">
        <x:v>Not Started</x:v>
      </x:c>
    </x:row>
    <x:row r="41">
      <x:c r="A41" s="339" t="str">
        <x:v>US-0040</x:v>
      </x:c>
      <x:c r="B41" s="339" t="str">
        <x:v>EP-002</x:v>
      </x:c>
      <x:c r="C41" s="339" t="str">
        <x:v>SCR-020</x:v>
      </x:c>
      <x:c r="D41" s="339" t="str">
        <x:v>Super Admin / SaaS Administration</x:v>
      </x:c>
      <x:c r="E41" s="339" t="str">
        <x:v>Platform Settings</x:v>
      </x:c>
      <x:c r="F41" s="339" t="str">
        <x:v>AC-00157, AC-00158, AC-00159, AC-00160</x:v>
      </x:c>
      <x:c r="G41" s="339" t="str">
        <x:v>BL-020</x:v>
      </x:c>
      <x:c r="H41" s="339" t="str">
        <x:v>BR-00058, BR-00059, BR-00060</x:v>
      </x:c>
      <x:c r="I41" s="339" t="str">
        <x:v>WF-020</x:v>
      </x:c>
      <x:c r="J41" s="339" t="str">
        <x:v>API-0020</x:v>
      </x:c>
      <x:c r="K41" s="339" t="str">
        <x:v>Phase 3</x:v>
      </x:c>
      <x:c r="L41" s="339" t="str">
        <x:v>Not Started</x:v>
      </x:c>
    </x:row>
    <x:row r="42">
      <x:c r="A42" s="339" t="str">
        <x:v>US-0041</x:v>
      </x:c>
      <x:c r="B42" s="339" t="str">
        <x:v>EP-003</x:v>
      </x:c>
      <x:c r="C42" s="339" t="str">
        <x:v>SCR-021</x:v>
      </x:c>
      <x:c r="D42" s="339" t="str">
        <x:v>Organization / School / Branch Setup</x:v>
      </x:c>
      <x:c r="E42" s="339" t="str">
        <x:v>Organization Profile</x:v>
      </x:c>
      <x:c r="F42" s="339" t="str">
        <x:v>AC-00161, AC-00162, AC-00163, AC-00164</x:v>
      </x:c>
      <x:c r="G42" s="339" t="str">
        <x:v>BL-021</x:v>
      </x:c>
      <x:c r="H42" s="339" t="str">
        <x:v>BR-00061, BR-00062, BR-00063</x:v>
      </x:c>
      <x:c r="I42" s="339" t="str">
        <x:v>WF-021</x:v>
      </x:c>
      <x:c r="J42" s="339" t="str">
        <x:v>API-0021</x:v>
      </x:c>
      <x:c r="K42" s="339" t="str">
        <x:v>MVP</x:v>
      </x:c>
      <x:c r="L42" s="339" t="str">
        <x:v>Not Started</x:v>
      </x:c>
    </x:row>
    <x:row r="43">
      <x:c r="A43" s="339" t="str">
        <x:v>US-0042</x:v>
      </x:c>
      <x:c r="B43" s="339" t="str">
        <x:v>EP-003</x:v>
      </x:c>
      <x:c r="C43" s="339" t="str">
        <x:v>SCR-021</x:v>
      </x:c>
      <x:c r="D43" s="339" t="str">
        <x:v>Organization / School / Branch Setup</x:v>
      </x:c>
      <x:c r="E43" s="339" t="str">
        <x:v>Organization Profile</x:v>
      </x:c>
      <x:c r="F43" s="339" t="str">
        <x:v>AC-00165, AC-00166, AC-00167, AC-00168</x:v>
      </x:c>
      <x:c r="G43" s="339" t="str">
        <x:v>BL-021</x:v>
      </x:c>
      <x:c r="H43" s="339" t="str">
        <x:v>BR-00061, BR-00062, BR-00063</x:v>
      </x:c>
      <x:c r="I43" s="339" t="str">
        <x:v>WF-021</x:v>
      </x:c>
      <x:c r="J43" s="339" t="str">
        <x:v>API-0021</x:v>
      </x:c>
      <x:c r="K43" s="339" t="str">
        <x:v>MVP</x:v>
      </x:c>
      <x:c r="L43" s="339" t="str">
        <x:v>Not Started</x:v>
      </x:c>
    </x:row>
    <x:row r="44">
      <x:c r="A44" s="339" t="str">
        <x:v>US-0043</x:v>
      </x:c>
      <x:c r="B44" s="339" t="str">
        <x:v>EP-003</x:v>
      </x:c>
      <x:c r="C44" s="339" t="str">
        <x:v>SCR-022</x:v>
      </x:c>
      <x:c r="D44" s="339" t="str">
        <x:v>Organization / School / Branch Setup</x:v>
      </x:c>
      <x:c r="E44" s="339" t="str">
        <x:v>Schools List</x:v>
      </x:c>
      <x:c r="F44" s="339" t="str">
        <x:v>AC-00169, AC-00170, AC-00171, AC-00172</x:v>
      </x:c>
      <x:c r="G44" s="339" t="str">
        <x:v>BL-022</x:v>
      </x:c>
      <x:c r="H44" s="339" t="str">
        <x:v>BR-00064, BR-00065, BR-00066</x:v>
      </x:c>
      <x:c r="I44" s="339" t="str">
        <x:v>WF-022</x:v>
      </x:c>
      <x:c r="J44" s="339" t="str">
        <x:v>API-0022</x:v>
      </x:c>
      <x:c r="K44" s="339" t="str">
        <x:v>MVP</x:v>
      </x:c>
      <x:c r="L44" s="339" t="str">
        <x:v>Not Started</x:v>
      </x:c>
    </x:row>
    <x:row r="45">
      <x:c r="A45" s="339" t="str">
        <x:v>US-0044</x:v>
      </x:c>
      <x:c r="B45" s="339" t="str">
        <x:v>EP-003</x:v>
      </x:c>
      <x:c r="C45" s="339" t="str">
        <x:v>SCR-022</x:v>
      </x:c>
      <x:c r="D45" s="339" t="str">
        <x:v>Organization / School / Branch Setup</x:v>
      </x:c>
      <x:c r="E45" s="339" t="str">
        <x:v>Schools List</x:v>
      </x:c>
      <x:c r="F45" s="339" t="str">
        <x:v>AC-00173, AC-00174, AC-00175, AC-00176</x:v>
      </x:c>
      <x:c r="G45" s="339" t="str">
        <x:v>BL-022</x:v>
      </x:c>
      <x:c r="H45" s="339" t="str">
        <x:v>BR-00064, BR-00065, BR-00066</x:v>
      </x:c>
      <x:c r="I45" s="339" t="str">
        <x:v>WF-022</x:v>
      </x:c>
      <x:c r="J45" s="339" t="str">
        <x:v>API-0022</x:v>
      </x:c>
      <x:c r="K45" s="339" t="str">
        <x:v>MVP</x:v>
      </x:c>
      <x:c r="L45" s="339" t="str">
        <x:v>Not Started</x:v>
      </x:c>
    </x:row>
    <x:row r="46">
      <x:c r="A46" s="339" t="str">
        <x:v>US-0045</x:v>
      </x:c>
      <x:c r="B46" s="339" t="str">
        <x:v>EP-003</x:v>
      </x:c>
      <x:c r="C46" s="339" t="str">
        <x:v>SCR-023</x:v>
      </x:c>
      <x:c r="D46" s="339" t="str">
        <x:v>Organization / School / Branch Setup</x:v>
      </x:c>
      <x:c r="E46" s="339" t="str">
        <x:v>Add School</x:v>
      </x:c>
      <x:c r="F46" s="339" t="str">
        <x:v>AC-00177, AC-00178, AC-00179, AC-00180</x:v>
      </x:c>
      <x:c r="G46" s="339" t="str">
        <x:v>BL-023</x:v>
      </x:c>
      <x:c r="H46" s="339" t="str">
        <x:v>BR-00067, BR-00068, BR-00069</x:v>
      </x:c>
      <x:c r="I46" s="339" t="str">
        <x:v>WF-023</x:v>
      </x:c>
      <x:c r="J46" s="339" t="str">
        <x:v>API-0023</x:v>
      </x:c>
      <x:c r="K46" s="339" t="str">
        <x:v>MVP</x:v>
      </x:c>
      <x:c r="L46" s="339" t="str">
        <x:v>Not Started</x:v>
      </x:c>
    </x:row>
    <x:row r="47">
      <x:c r="A47" s="339" t="str">
        <x:v>US-0046</x:v>
      </x:c>
      <x:c r="B47" s="339" t="str">
        <x:v>EP-003</x:v>
      </x:c>
      <x:c r="C47" s="339" t="str">
        <x:v>SCR-023</x:v>
      </x:c>
      <x:c r="D47" s="339" t="str">
        <x:v>Organization / School / Branch Setup</x:v>
      </x:c>
      <x:c r="E47" s="339" t="str">
        <x:v>Add School</x:v>
      </x:c>
      <x:c r="F47" s="339" t="str">
        <x:v>AC-00181, AC-00182, AC-00183, AC-00184</x:v>
      </x:c>
      <x:c r="G47" s="339" t="str">
        <x:v>BL-023</x:v>
      </x:c>
      <x:c r="H47" s="339" t="str">
        <x:v>BR-00067, BR-00068, BR-00069</x:v>
      </x:c>
      <x:c r="I47" s="339" t="str">
        <x:v>WF-023</x:v>
      </x:c>
      <x:c r="J47" s="339" t="str">
        <x:v>API-0023</x:v>
      </x:c>
      <x:c r="K47" s="339" t="str">
        <x:v>MVP</x:v>
      </x:c>
      <x:c r="L47" s="339" t="str">
        <x:v>Not Started</x:v>
      </x:c>
    </x:row>
    <x:row r="48">
      <x:c r="A48" s="339" t="str">
        <x:v>US-0047</x:v>
      </x:c>
      <x:c r="B48" s="339" t="str">
        <x:v>EP-003</x:v>
      </x:c>
      <x:c r="C48" s="339" t="str">
        <x:v>SCR-024</x:v>
      </x:c>
      <x:c r="D48" s="339" t="str">
        <x:v>Organization / School / Branch Setup</x:v>
      </x:c>
      <x:c r="E48" s="339" t="str">
        <x:v>School Details</x:v>
      </x:c>
      <x:c r="F48" s="339" t="str">
        <x:v>AC-00185, AC-00186, AC-00187, AC-00188</x:v>
      </x:c>
      <x:c r="G48" s="339" t="str">
        <x:v>BL-024</x:v>
      </x:c>
      <x:c r="H48" s="339" t="str">
        <x:v>BR-00070, BR-00071, BR-00072</x:v>
      </x:c>
      <x:c r="I48" s="339" t="str">
        <x:v>WF-024</x:v>
      </x:c>
      <x:c r="J48" s="339" t="str">
        <x:v>API-0024</x:v>
      </x:c>
      <x:c r="K48" s="339" t="str">
        <x:v>MVP</x:v>
      </x:c>
      <x:c r="L48" s="339" t="str">
        <x:v>Not Started</x:v>
      </x:c>
    </x:row>
    <x:row r="49">
      <x:c r="A49" s="339" t="str">
        <x:v>US-0048</x:v>
      </x:c>
      <x:c r="B49" s="339" t="str">
        <x:v>EP-003</x:v>
      </x:c>
      <x:c r="C49" s="339" t="str">
        <x:v>SCR-024</x:v>
      </x:c>
      <x:c r="D49" s="339" t="str">
        <x:v>Organization / School / Branch Setup</x:v>
      </x:c>
      <x:c r="E49" s="339" t="str">
        <x:v>School Details</x:v>
      </x:c>
      <x:c r="F49" s="339" t="str">
        <x:v>AC-00189, AC-00190, AC-00191, AC-00192</x:v>
      </x:c>
      <x:c r="G49" s="339" t="str">
        <x:v>BL-024</x:v>
      </x:c>
      <x:c r="H49" s="339" t="str">
        <x:v>BR-00070, BR-00071, BR-00072</x:v>
      </x:c>
      <x:c r="I49" s="339" t="str">
        <x:v>WF-024</x:v>
      </x:c>
      <x:c r="J49" s="339" t="str">
        <x:v>API-0024</x:v>
      </x:c>
      <x:c r="K49" s="339" t="str">
        <x:v>MVP</x:v>
      </x:c>
      <x:c r="L49" s="339" t="str">
        <x:v>Not Started</x:v>
      </x:c>
    </x:row>
    <x:row r="50">
      <x:c r="A50" s="339" t="str">
        <x:v>US-0049</x:v>
      </x:c>
      <x:c r="B50" s="339" t="str">
        <x:v>EP-003</x:v>
      </x:c>
      <x:c r="C50" s="339" t="str">
        <x:v>SCR-025</x:v>
      </x:c>
      <x:c r="D50" s="339" t="str">
        <x:v>Organization / School / Branch Setup</x:v>
      </x:c>
      <x:c r="E50" s="339" t="str">
        <x:v>Branches List</x:v>
      </x:c>
      <x:c r="F50" s="339" t="str">
        <x:v>AC-00193, AC-00194, AC-00195, AC-00196</x:v>
      </x:c>
      <x:c r="G50" s="339" t="str">
        <x:v>BL-025</x:v>
      </x:c>
      <x:c r="H50" s="339" t="str">
        <x:v>BR-00073, BR-00074, BR-00075</x:v>
      </x:c>
      <x:c r="I50" s="339" t="str">
        <x:v>WF-025</x:v>
      </x:c>
      <x:c r="J50" s="339" t="str">
        <x:v>API-0025</x:v>
      </x:c>
      <x:c r="K50" s="339" t="str">
        <x:v>MVP</x:v>
      </x:c>
      <x:c r="L50" s="339" t="str">
        <x:v>Not Started</x:v>
      </x:c>
    </x:row>
    <x:row r="51">
      <x:c r="A51" s="339" t="str">
        <x:v>US-0050</x:v>
      </x:c>
      <x:c r="B51" s="339" t="str">
        <x:v>EP-003</x:v>
      </x:c>
      <x:c r="C51" s="339" t="str">
        <x:v>SCR-025</x:v>
      </x:c>
      <x:c r="D51" s="339" t="str">
        <x:v>Organization / School / Branch Setup</x:v>
      </x:c>
      <x:c r="E51" s="339" t="str">
        <x:v>Branches List</x:v>
      </x:c>
      <x:c r="F51" s="339" t="str">
        <x:v>AC-00197, AC-00198, AC-00199, AC-00200</x:v>
      </x:c>
      <x:c r="G51" s="339" t="str">
        <x:v>BL-025</x:v>
      </x:c>
      <x:c r="H51" s="339" t="str">
        <x:v>BR-00073, BR-00074, BR-00075</x:v>
      </x:c>
      <x:c r="I51" s="339" t="str">
        <x:v>WF-025</x:v>
      </x:c>
      <x:c r="J51" s="339" t="str">
        <x:v>API-0025</x:v>
      </x:c>
      <x:c r="K51" s="339" t="str">
        <x:v>MVP</x:v>
      </x:c>
      <x:c r="L51" s="339" t="str">
        <x:v>Not Started</x:v>
      </x:c>
    </x:row>
    <x:row r="52">
      <x:c r="A52" s="339" t="str">
        <x:v>US-0051</x:v>
      </x:c>
      <x:c r="B52" s="339" t="str">
        <x:v>EP-003</x:v>
      </x:c>
      <x:c r="C52" s="339" t="str">
        <x:v>SCR-026</x:v>
      </x:c>
      <x:c r="D52" s="339" t="str">
        <x:v>Organization / School / Branch Setup</x:v>
      </x:c>
      <x:c r="E52" s="339" t="str">
        <x:v>Add Branch</x:v>
      </x:c>
      <x:c r="F52" s="339" t="str">
        <x:v>AC-00201, AC-00202, AC-00203, AC-00204</x:v>
      </x:c>
      <x:c r="G52" s="339" t="str">
        <x:v>BL-026</x:v>
      </x:c>
      <x:c r="H52" s="339" t="str">
        <x:v>BR-00076, BR-00077, BR-00078</x:v>
      </x:c>
      <x:c r="I52" s="339" t="str">
        <x:v>WF-026</x:v>
      </x:c>
      <x:c r="J52" s="339" t="str">
        <x:v>API-0026</x:v>
      </x:c>
      <x:c r="K52" s="339" t="str">
        <x:v>MVP</x:v>
      </x:c>
      <x:c r="L52" s="339" t="str">
        <x:v>Not Started</x:v>
      </x:c>
    </x:row>
    <x:row r="53">
      <x:c r="A53" s="339" t="str">
        <x:v>US-0052</x:v>
      </x:c>
      <x:c r="B53" s="339" t="str">
        <x:v>EP-003</x:v>
      </x:c>
      <x:c r="C53" s="339" t="str">
        <x:v>SCR-026</x:v>
      </x:c>
      <x:c r="D53" s="339" t="str">
        <x:v>Organization / School / Branch Setup</x:v>
      </x:c>
      <x:c r="E53" s="339" t="str">
        <x:v>Add Branch</x:v>
      </x:c>
      <x:c r="F53" s="339" t="str">
        <x:v>AC-00205, AC-00206, AC-00207, AC-00208</x:v>
      </x:c>
      <x:c r="G53" s="339" t="str">
        <x:v>BL-026</x:v>
      </x:c>
      <x:c r="H53" s="339" t="str">
        <x:v>BR-00076, BR-00077, BR-00078</x:v>
      </x:c>
      <x:c r="I53" s="339" t="str">
        <x:v>WF-026</x:v>
      </x:c>
      <x:c r="J53" s="339" t="str">
        <x:v>API-0026</x:v>
      </x:c>
      <x:c r="K53" s="339" t="str">
        <x:v>MVP</x:v>
      </x:c>
      <x:c r="L53" s="339" t="str">
        <x:v>Not Started</x:v>
      </x:c>
    </x:row>
    <x:row r="54">
      <x:c r="A54" s="339" t="str">
        <x:v>US-0053</x:v>
      </x:c>
      <x:c r="B54" s="339" t="str">
        <x:v>EP-003</x:v>
      </x:c>
      <x:c r="C54" s="339" t="str">
        <x:v>SCR-027</x:v>
      </x:c>
      <x:c r="D54" s="339" t="str">
        <x:v>Organization / School / Branch Setup</x:v>
      </x:c>
      <x:c r="E54" s="339" t="str">
        <x:v>Branch Details</x:v>
      </x:c>
      <x:c r="F54" s="339" t="str">
        <x:v>AC-00209, AC-00210, AC-00211, AC-00212</x:v>
      </x:c>
      <x:c r="G54" s="339" t="str">
        <x:v>BL-027</x:v>
      </x:c>
      <x:c r="H54" s="339" t="str">
        <x:v>BR-00079, BR-00080, BR-00081</x:v>
      </x:c>
      <x:c r="I54" s="339" t="str">
        <x:v>WF-027</x:v>
      </x:c>
      <x:c r="J54" s="339" t="str">
        <x:v>API-0027</x:v>
      </x:c>
      <x:c r="K54" s="339" t="str">
        <x:v>MVP</x:v>
      </x:c>
      <x:c r="L54" s="339" t="str">
        <x:v>Not Started</x:v>
      </x:c>
    </x:row>
    <x:row r="55">
      <x:c r="A55" s="339" t="str">
        <x:v>US-0054</x:v>
      </x:c>
      <x:c r="B55" s="339" t="str">
        <x:v>EP-003</x:v>
      </x:c>
      <x:c r="C55" s="339" t="str">
        <x:v>SCR-027</x:v>
      </x:c>
      <x:c r="D55" s="339" t="str">
        <x:v>Organization / School / Branch Setup</x:v>
      </x:c>
      <x:c r="E55" s="339" t="str">
        <x:v>Branch Details</x:v>
      </x:c>
      <x:c r="F55" s="339" t="str">
        <x:v>AC-00213, AC-00214, AC-00215, AC-00216</x:v>
      </x:c>
      <x:c r="G55" s="339" t="str">
        <x:v>BL-027</x:v>
      </x:c>
      <x:c r="H55" s="339" t="str">
        <x:v>BR-00079, BR-00080, BR-00081</x:v>
      </x:c>
      <x:c r="I55" s="339" t="str">
        <x:v>WF-027</x:v>
      </x:c>
      <x:c r="J55" s="339" t="str">
        <x:v>API-0027</x:v>
      </x:c>
      <x:c r="K55" s="339" t="str">
        <x:v>MVP</x:v>
      </x:c>
      <x:c r="L55" s="339" t="str">
        <x:v>Not Started</x:v>
      </x:c>
    </x:row>
    <x:row r="56">
      <x:c r="A56" s="339" t="str">
        <x:v>US-0055</x:v>
      </x:c>
      <x:c r="B56" s="339" t="str">
        <x:v>EP-003</x:v>
      </x:c>
      <x:c r="C56" s="339" t="str">
        <x:v>SCR-028</x:v>
      </x:c>
      <x:c r="D56" s="339" t="str">
        <x:v>Organization / School / Branch Setup</x:v>
      </x:c>
      <x:c r="E56" s="339" t="str">
        <x:v>Academic Year Setup</x:v>
      </x:c>
      <x:c r="F56" s="339" t="str">
        <x:v>AC-00217, AC-00218, AC-00219, AC-00220</x:v>
      </x:c>
      <x:c r="G56" s="339" t="str">
        <x:v>BL-028</x:v>
      </x:c>
      <x:c r="H56" s="339" t="str">
        <x:v>BR-00082, BR-00083, BR-00084</x:v>
      </x:c>
      <x:c r="I56" s="339" t="str">
        <x:v>WF-028</x:v>
      </x:c>
      <x:c r="J56" s="339" t="str">
        <x:v>API-0028</x:v>
      </x:c>
      <x:c r="K56" s="339" t="str">
        <x:v>MVP</x:v>
      </x:c>
      <x:c r="L56" s="339" t="str">
        <x:v>Not Started</x:v>
      </x:c>
    </x:row>
    <x:row r="57">
      <x:c r="A57" s="339" t="str">
        <x:v>US-0056</x:v>
      </x:c>
      <x:c r="B57" s="339" t="str">
        <x:v>EP-003</x:v>
      </x:c>
      <x:c r="C57" s="339" t="str">
        <x:v>SCR-028</x:v>
      </x:c>
      <x:c r="D57" s="339" t="str">
        <x:v>Organization / School / Branch Setup</x:v>
      </x:c>
      <x:c r="E57" s="339" t="str">
        <x:v>Academic Year Setup</x:v>
      </x:c>
      <x:c r="F57" s="339" t="str">
        <x:v>AC-00221, AC-00222, AC-00223, AC-00224</x:v>
      </x:c>
      <x:c r="G57" s="339" t="str">
        <x:v>BL-028</x:v>
      </x:c>
      <x:c r="H57" s="339" t="str">
        <x:v>BR-00082, BR-00083, BR-00084</x:v>
      </x:c>
      <x:c r="I57" s="339" t="str">
        <x:v>WF-028</x:v>
      </x:c>
      <x:c r="J57" s="339" t="str">
        <x:v>API-0028</x:v>
      </x:c>
      <x:c r="K57" s="339" t="str">
        <x:v>MVP</x:v>
      </x:c>
      <x:c r="L57" s="339" t="str">
        <x:v>Not Started</x:v>
      </x:c>
    </x:row>
    <x:row r="58">
      <x:c r="A58" s="339" t="str">
        <x:v>US-0057</x:v>
      </x:c>
      <x:c r="B58" s="339" t="str">
        <x:v>EP-003</x:v>
      </x:c>
      <x:c r="C58" s="339" t="str">
        <x:v>SCR-029</x:v>
      </x:c>
      <x:c r="D58" s="339" t="str">
        <x:v>Organization / School / Branch Setup</x:v>
      </x:c>
      <x:c r="E58" s="339" t="str">
        <x:v>Grade / Class Setup</x:v>
      </x:c>
      <x:c r="F58" s="339" t="str">
        <x:v>AC-00225, AC-00226, AC-00227, AC-00228</x:v>
      </x:c>
      <x:c r="G58" s="339" t="str">
        <x:v>BL-029</x:v>
      </x:c>
      <x:c r="H58" s="339" t="str">
        <x:v>BR-00085, BR-00086, BR-00087</x:v>
      </x:c>
      <x:c r="I58" s="339" t="str">
        <x:v>WF-029</x:v>
      </x:c>
      <x:c r="J58" s="339" t="str">
        <x:v>API-0029</x:v>
      </x:c>
      <x:c r="K58" s="339" t="str">
        <x:v>Phase 2</x:v>
      </x:c>
      <x:c r="L58" s="339" t="str">
        <x:v>Not Started</x:v>
      </x:c>
    </x:row>
    <x:row r="59">
      <x:c r="A59" s="339" t="str">
        <x:v>US-0058</x:v>
      </x:c>
      <x:c r="B59" s="339" t="str">
        <x:v>EP-003</x:v>
      </x:c>
      <x:c r="C59" s="339" t="str">
        <x:v>SCR-029</x:v>
      </x:c>
      <x:c r="D59" s="339" t="str">
        <x:v>Organization / School / Branch Setup</x:v>
      </x:c>
      <x:c r="E59" s="339" t="str">
        <x:v>Grade / Class Setup</x:v>
      </x:c>
      <x:c r="F59" s="339" t="str">
        <x:v>AC-00229, AC-00230, AC-00231, AC-00232</x:v>
      </x:c>
      <x:c r="G59" s="339" t="str">
        <x:v>BL-029</x:v>
      </x:c>
      <x:c r="H59" s="339" t="str">
        <x:v>BR-00085, BR-00086, BR-00087</x:v>
      </x:c>
      <x:c r="I59" s="339" t="str">
        <x:v>WF-029</x:v>
      </x:c>
      <x:c r="J59" s="339" t="str">
        <x:v>API-0029</x:v>
      </x:c>
      <x:c r="K59" s="339" t="str">
        <x:v>Phase 2</x:v>
      </x:c>
      <x:c r="L59" s="339" t="str">
        <x:v>Not Started</x:v>
      </x:c>
    </x:row>
    <x:row r="60">
      <x:c r="A60" s="339" t="str">
        <x:v>US-0059</x:v>
      </x:c>
      <x:c r="B60" s="339" t="str">
        <x:v>EP-003</x:v>
      </x:c>
      <x:c r="C60" s="339" t="str">
        <x:v>SCR-030</x:v>
      </x:c>
      <x:c r="D60" s="339" t="str">
        <x:v>Organization / School / Branch Setup</x:v>
      </x:c>
      <x:c r="E60" s="339" t="str">
        <x:v>Section Setup</x:v>
      </x:c>
      <x:c r="F60" s="339" t="str">
        <x:v>AC-00233, AC-00234, AC-00235, AC-00236</x:v>
      </x:c>
      <x:c r="G60" s="339" t="str">
        <x:v>BL-030</x:v>
      </x:c>
      <x:c r="H60" s="339" t="str">
        <x:v>BR-00088, BR-00089, BR-00090</x:v>
      </x:c>
      <x:c r="I60" s="339" t="str">
        <x:v>WF-030</x:v>
      </x:c>
      <x:c r="J60" s="339" t="str">
        <x:v>API-0030</x:v>
      </x:c>
      <x:c r="K60" s="339" t="str">
        <x:v>Phase 2</x:v>
      </x:c>
      <x:c r="L60" s="339" t="str">
        <x:v>Not Started</x:v>
      </x:c>
    </x:row>
    <x:row r="61">
      <x:c r="A61" s="339" t="str">
        <x:v>US-0060</x:v>
      </x:c>
      <x:c r="B61" s="339" t="str">
        <x:v>EP-003</x:v>
      </x:c>
      <x:c r="C61" s="339" t="str">
        <x:v>SCR-030</x:v>
      </x:c>
      <x:c r="D61" s="339" t="str">
        <x:v>Organization / School / Branch Setup</x:v>
      </x:c>
      <x:c r="E61" s="339" t="str">
        <x:v>Section Setup</x:v>
      </x:c>
      <x:c r="F61" s="339" t="str">
        <x:v>AC-00237, AC-00238, AC-00239, AC-00240</x:v>
      </x:c>
      <x:c r="G61" s="339" t="str">
        <x:v>BL-030</x:v>
      </x:c>
      <x:c r="H61" s="339" t="str">
        <x:v>BR-00088, BR-00089, BR-00090</x:v>
      </x:c>
      <x:c r="I61" s="339" t="str">
        <x:v>WF-030</x:v>
      </x:c>
      <x:c r="J61" s="339" t="str">
        <x:v>API-0030</x:v>
      </x:c>
      <x:c r="K61" s="339" t="str">
        <x:v>Phase 2</x:v>
      </x:c>
      <x:c r="L61" s="339" t="str">
        <x:v>Not Started</x:v>
      </x:c>
    </x:row>
    <x:row r="62">
      <x:c r="A62" s="339" t="str">
        <x:v>US-0061</x:v>
      </x:c>
      <x:c r="B62" s="339" t="str">
        <x:v>EP-003</x:v>
      </x:c>
      <x:c r="C62" s="339" t="str">
        <x:v>SCR-031</x:v>
      </x:c>
      <x:c r="D62" s="339" t="str">
        <x:v>Organization / School / Branch Setup</x:v>
      </x:c>
      <x:c r="E62" s="339" t="str">
        <x:v>Department Setup</x:v>
      </x:c>
      <x:c r="F62" s="339" t="str">
        <x:v>AC-00241, AC-00242, AC-00243, AC-00244</x:v>
      </x:c>
      <x:c r="G62" s="339" t="str">
        <x:v>BL-031</x:v>
      </x:c>
      <x:c r="H62" s="339" t="str">
        <x:v>BR-00091, BR-00092, BR-00093</x:v>
      </x:c>
      <x:c r="I62" s="339" t="str">
        <x:v>WF-031</x:v>
      </x:c>
      <x:c r="J62" s="339" t="str">
        <x:v>API-0031</x:v>
      </x:c>
      <x:c r="K62" s="339" t="str">
        <x:v>Phase 2</x:v>
      </x:c>
      <x:c r="L62" s="339" t="str">
        <x:v>Not Started</x:v>
      </x:c>
    </x:row>
    <x:row r="63">
      <x:c r="A63" s="339" t="str">
        <x:v>US-0062</x:v>
      </x:c>
      <x:c r="B63" s="339" t="str">
        <x:v>EP-003</x:v>
      </x:c>
      <x:c r="C63" s="339" t="str">
        <x:v>SCR-031</x:v>
      </x:c>
      <x:c r="D63" s="339" t="str">
        <x:v>Organization / School / Branch Setup</x:v>
      </x:c>
      <x:c r="E63" s="339" t="str">
        <x:v>Department Setup</x:v>
      </x:c>
      <x:c r="F63" s="339" t="str">
        <x:v>AC-00245, AC-00246, AC-00247, AC-00248</x:v>
      </x:c>
      <x:c r="G63" s="339" t="str">
        <x:v>BL-031</x:v>
      </x:c>
      <x:c r="H63" s="339" t="str">
        <x:v>BR-00091, BR-00092, BR-00093</x:v>
      </x:c>
      <x:c r="I63" s="339" t="str">
        <x:v>WF-031</x:v>
      </x:c>
      <x:c r="J63" s="339" t="str">
        <x:v>API-0031</x:v>
      </x:c>
      <x:c r="K63" s="339" t="str">
        <x:v>Phase 2</x:v>
      </x:c>
      <x:c r="L63" s="339" t="str">
        <x:v>Not Started</x:v>
      </x:c>
    </x:row>
    <x:row r="64">
      <x:c r="A64" s="339" t="str">
        <x:v>US-0063</x:v>
      </x:c>
      <x:c r="B64" s="339" t="str">
        <x:v>EP-003</x:v>
      </x:c>
      <x:c r="C64" s="339" t="str">
        <x:v>SCR-032</x:v>
      </x:c>
      <x:c r="D64" s="339" t="str">
        <x:v>Organization / School / Branch Setup</x:v>
      </x:c>
      <x:c r="E64" s="339" t="str">
        <x:v>School Branding &amp; Profile</x:v>
      </x:c>
      <x:c r="F64" s="339" t="str">
        <x:v>AC-00249, AC-00250, AC-00251, AC-00252</x:v>
      </x:c>
      <x:c r="G64" s="339" t="str">
        <x:v>BL-032</x:v>
      </x:c>
      <x:c r="H64" s="339" t="str">
        <x:v>BR-00094, BR-00095, BR-00096</x:v>
      </x:c>
      <x:c r="I64" s="339" t="str">
        <x:v>WF-032</x:v>
      </x:c>
      <x:c r="J64" s="339" t="str">
        <x:v>API-0032</x:v>
      </x:c>
      <x:c r="K64" s="339" t="str">
        <x:v>Phase 3</x:v>
      </x:c>
      <x:c r="L64" s="339" t="str">
        <x:v>Not Started</x:v>
      </x:c>
    </x:row>
    <x:row r="65">
      <x:c r="A65" s="339" t="str">
        <x:v>US-0064</x:v>
      </x:c>
      <x:c r="B65" s="339" t="str">
        <x:v>EP-003</x:v>
      </x:c>
      <x:c r="C65" s="339" t="str">
        <x:v>SCR-032</x:v>
      </x:c>
      <x:c r="D65" s="339" t="str">
        <x:v>Organization / School / Branch Setup</x:v>
      </x:c>
      <x:c r="E65" s="339" t="str">
        <x:v>School Branding &amp; Profile</x:v>
      </x:c>
      <x:c r="F65" s="339" t="str">
        <x:v>AC-00253, AC-00254, AC-00255, AC-00256</x:v>
      </x:c>
      <x:c r="G65" s="339" t="str">
        <x:v>BL-032</x:v>
      </x:c>
      <x:c r="H65" s="339" t="str">
        <x:v>BR-00094, BR-00095, BR-00096</x:v>
      </x:c>
      <x:c r="I65" s="339" t="str">
        <x:v>WF-032</x:v>
      </x:c>
      <x:c r="J65" s="339" t="str">
        <x:v>API-0032</x:v>
      </x:c>
      <x:c r="K65" s="339" t="str">
        <x:v>Phase 3</x:v>
      </x:c>
      <x:c r="L65" s="339" t="str">
        <x:v>Not Started</x:v>
      </x:c>
    </x:row>
    <x:row r="66">
      <x:c r="A66" s="339" t="str">
        <x:v>US-0065</x:v>
      </x:c>
      <x:c r="B66" s="339" t="str">
        <x:v>EP-004</x:v>
      </x:c>
      <x:c r="C66" s="339" t="str">
        <x:v>SCR-033</x:v>
      </x:c>
      <x:c r="D66" s="339" t="str">
        <x:v>Role Dashboards</x:v>
      </x:c>
      <x:c r="E66" s="339" t="str">
        <x:v>School Admin Dashboard</x:v>
      </x:c>
      <x:c r="F66" s="339" t="str">
        <x:v>AC-00257, AC-00258, AC-00259, AC-00260</x:v>
      </x:c>
      <x:c r="G66" s="339" t="str">
        <x:v>BL-033</x:v>
      </x:c>
      <x:c r="H66" s="339" t="str">
        <x:v>BR-00097, BR-00098, BR-00099</x:v>
      </x:c>
      <x:c r="I66" s="339" t="str">
        <x:v>WF-033</x:v>
      </x:c>
      <x:c r="J66" s="339" t="str">
        <x:v>API-0033</x:v>
      </x:c>
      <x:c r="K66" s="339" t="str">
        <x:v>MVP</x:v>
      </x:c>
      <x:c r="L66" s="339" t="str">
        <x:v>Not Started</x:v>
      </x:c>
    </x:row>
    <x:row r="67">
      <x:c r="A67" s="339" t="str">
        <x:v>US-0066</x:v>
      </x:c>
      <x:c r="B67" s="339" t="str">
        <x:v>EP-004</x:v>
      </x:c>
      <x:c r="C67" s="339" t="str">
        <x:v>SCR-033</x:v>
      </x:c>
      <x:c r="D67" s="339" t="str">
        <x:v>Role Dashboards</x:v>
      </x:c>
      <x:c r="E67" s="339" t="str">
        <x:v>School Admin Dashboard</x:v>
      </x:c>
      <x:c r="F67" s="339" t="str">
        <x:v>AC-00261, AC-00262, AC-00263, AC-00264</x:v>
      </x:c>
      <x:c r="G67" s="339" t="str">
        <x:v>BL-033</x:v>
      </x:c>
      <x:c r="H67" s="339" t="str">
        <x:v>BR-00097, BR-00098, BR-00099</x:v>
      </x:c>
      <x:c r="I67" s="339" t="str">
        <x:v>WF-033</x:v>
      </x:c>
      <x:c r="J67" s="339" t="str">
        <x:v>API-0033</x:v>
      </x:c>
      <x:c r="K67" s="339" t="str">
        <x:v>MVP</x:v>
      </x:c>
      <x:c r="L67" s="339" t="str">
        <x:v>Not Started</x:v>
      </x:c>
    </x:row>
    <x:row r="68">
      <x:c r="A68" s="339" t="str">
        <x:v>US-0067</x:v>
      </x:c>
      <x:c r="B68" s="339" t="str">
        <x:v>EP-004</x:v>
      </x:c>
      <x:c r="C68" s="339" t="str">
        <x:v>SCR-034</x:v>
      </x:c>
      <x:c r="D68" s="339" t="str">
        <x:v>Role Dashboards</x:v>
      </x:c>
      <x:c r="E68" s="339" t="str">
        <x:v>Principal Dashboard</x:v>
      </x:c>
      <x:c r="F68" s="339" t="str">
        <x:v>AC-00265, AC-00266, AC-00267, AC-00268</x:v>
      </x:c>
      <x:c r="G68" s="339" t="str">
        <x:v>BL-034</x:v>
      </x:c>
      <x:c r="H68" s="339" t="str">
        <x:v>BR-00100, BR-00101, BR-00102</x:v>
      </x:c>
      <x:c r="I68" s="339" t="str">
        <x:v>WF-034</x:v>
      </x:c>
      <x:c r="J68" s="339" t="str">
        <x:v>API-0034</x:v>
      </x:c>
      <x:c r="K68" s="339" t="str">
        <x:v>MVP</x:v>
      </x:c>
      <x:c r="L68" s="339" t="str">
        <x:v>Not Started</x:v>
      </x:c>
    </x:row>
    <x:row r="69">
      <x:c r="A69" s="339" t="str">
        <x:v>US-0068</x:v>
      </x:c>
      <x:c r="B69" s="339" t="str">
        <x:v>EP-004</x:v>
      </x:c>
      <x:c r="C69" s="339" t="str">
        <x:v>SCR-034</x:v>
      </x:c>
      <x:c r="D69" s="339" t="str">
        <x:v>Role Dashboards</x:v>
      </x:c>
      <x:c r="E69" s="339" t="str">
        <x:v>Principal Dashboard</x:v>
      </x:c>
      <x:c r="F69" s="339" t="str">
        <x:v>AC-00269, AC-00270, AC-00271, AC-00272</x:v>
      </x:c>
      <x:c r="G69" s="339" t="str">
        <x:v>BL-034</x:v>
      </x:c>
      <x:c r="H69" s="339" t="str">
        <x:v>BR-00100, BR-00101, BR-00102</x:v>
      </x:c>
      <x:c r="I69" s="339" t="str">
        <x:v>WF-034</x:v>
      </x:c>
      <x:c r="J69" s="339" t="str">
        <x:v>API-0034</x:v>
      </x:c>
      <x:c r="K69" s="339" t="str">
        <x:v>MVP</x:v>
      </x:c>
      <x:c r="L69" s="339" t="str">
        <x:v>Not Started</x:v>
      </x:c>
    </x:row>
    <x:row r="70">
      <x:c r="A70" s="339" t="str">
        <x:v>US-0069</x:v>
      </x:c>
      <x:c r="B70" s="339" t="str">
        <x:v>EP-004</x:v>
      </x:c>
      <x:c r="C70" s="339" t="str">
        <x:v>SCR-035</x:v>
      </x:c>
      <x:c r="D70" s="339" t="str">
        <x:v>Role Dashboards</x:v>
      </x:c>
      <x:c r="E70" s="339" t="str">
        <x:v>Teacher Dashboard</x:v>
      </x:c>
      <x:c r="F70" s="339" t="str">
        <x:v>AC-00273, AC-00274, AC-00275, AC-00276</x:v>
      </x:c>
      <x:c r="G70" s="339" t="str">
        <x:v>BL-035</x:v>
      </x:c>
      <x:c r="H70" s="339" t="str">
        <x:v>BR-00103, BR-00104, BR-00105</x:v>
      </x:c>
      <x:c r="I70" s="339" t="str">
        <x:v>WF-035</x:v>
      </x:c>
      <x:c r="J70" s="339" t="str">
        <x:v>API-0035</x:v>
      </x:c>
      <x:c r="K70" s="339" t="str">
        <x:v>MVP</x:v>
      </x:c>
      <x:c r="L70" s="339" t="str">
        <x:v>Not Started</x:v>
      </x:c>
    </x:row>
    <x:row r="71">
      <x:c r="A71" s="339" t="str">
        <x:v>US-0070</x:v>
      </x:c>
      <x:c r="B71" s="339" t="str">
        <x:v>EP-004</x:v>
      </x:c>
      <x:c r="C71" s="339" t="str">
        <x:v>SCR-035</x:v>
      </x:c>
      <x:c r="D71" s="339" t="str">
        <x:v>Role Dashboards</x:v>
      </x:c>
      <x:c r="E71" s="339" t="str">
        <x:v>Teacher Dashboard</x:v>
      </x:c>
      <x:c r="F71" s="339" t="str">
        <x:v>AC-00277, AC-00278, AC-00279, AC-00280</x:v>
      </x:c>
      <x:c r="G71" s="339" t="str">
        <x:v>BL-035</x:v>
      </x:c>
      <x:c r="H71" s="339" t="str">
        <x:v>BR-00103, BR-00104, BR-00105</x:v>
      </x:c>
      <x:c r="I71" s="339" t="str">
        <x:v>WF-035</x:v>
      </x:c>
      <x:c r="J71" s="339" t="str">
        <x:v>API-0035</x:v>
      </x:c>
      <x:c r="K71" s="339" t="str">
        <x:v>MVP</x:v>
      </x:c>
      <x:c r="L71" s="339" t="str">
        <x:v>Not Started</x:v>
      </x:c>
    </x:row>
    <x:row r="72">
      <x:c r="A72" s="339" t="str">
        <x:v>US-0071</x:v>
      </x:c>
      <x:c r="B72" s="339" t="str">
        <x:v>EP-004</x:v>
      </x:c>
      <x:c r="C72" s="339" t="str">
        <x:v>SCR-036</x:v>
      </x:c>
      <x:c r="D72" s="339" t="str">
        <x:v>Role Dashboards</x:v>
      </x:c>
      <x:c r="E72" s="339" t="str">
        <x:v>Student Dashboard</x:v>
      </x:c>
      <x:c r="F72" s="339" t="str">
        <x:v>AC-00281, AC-00282, AC-00283, AC-00284</x:v>
      </x:c>
      <x:c r="G72" s="339" t="str">
        <x:v>BL-036</x:v>
      </x:c>
      <x:c r="H72" s="339" t="str">
        <x:v>BR-00106, BR-00107, BR-00108</x:v>
      </x:c>
      <x:c r="I72" s="339" t="str">
        <x:v>WF-036</x:v>
      </x:c>
      <x:c r="J72" s="339" t="str">
        <x:v>API-0036</x:v>
      </x:c>
      <x:c r="K72" s="339" t="str">
        <x:v>MVP</x:v>
      </x:c>
      <x:c r="L72" s="339" t="str">
        <x:v>Not Started</x:v>
      </x:c>
    </x:row>
    <x:row r="73">
      <x:c r="A73" s="339" t="str">
        <x:v>US-0072</x:v>
      </x:c>
      <x:c r="B73" s="339" t="str">
        <x:v>EP-004</x:v>
      </x:c>
      <x:c r="C73" s="339" t="str">
        <x:v>SCR-036</x:v>
      </x:c>
      <x:c r="D73" s="339" t="str">
        <x:v>Role Dashboards</x:v>
      </x:c>
      <x:c r="E73" s="339" t="str">
        <x:v>Student Dashboard</x:v>
      </x:c>
      <x:c r="F73" s="339" t="str">
        <x:v>AC-00285, AC-00286, AC-00287, AC-00288</x:v>
      </x:c>
      <x:c r="G73" s="339" t="str">
        <x:v>BL-036</x:v>
      </x:c>
      <x:c r="H73" s="339" t="str">
        <x:v>BR-00106, BR-00107, BR-00108</x:v>
      </x:c>
      <x:c r="I73" s="339" t="str">
        <x:v>WF-036</x:v>
      </x:c>
      <x:c r="J73" s="339" t="str">
        <x:v>API-0036</x:v>
      </x:c>
      <x:c r="K73" s="339" t="str">
        <x:v>MVP</x:v>
      </x:c>
      <x:c r="L73" s="339" t="str">
        <x:v>Not Started</x:v>
      </x:c>
    </x:row>
    <x:row r="74">
      <x:c r="A74" s="339" t="str">
        <x:v>US-0073</x:v>
      </x:c>
      <x:c r="B74" s="339" t="str">
        <x:v>EP-004</x:v>
      </x:c>
      <x:c r="C74" s="339" t="str">
        <x:v>SCR-037</x:v>
      </x:c>
      <x:c r="D74" s="339" t="str">
        <x:v>Role Dashboards</x:v>
      </x:c>
      <x:c r="E74" s="339" t="str">
        <x:v>Parent Dashboard</x:v>
      </x:c>
      <x:c r="F74" s="339" t="str">
        <x:v>AC-00289, AC-00290, AC-00291, AC-00292</x:v>
      </x:c>
      <x:c r="G74" s="339" t="str">
        <x:v>BL-037</x:v>
      </x:c>
      <x:c r="H74" s="339" t="str">
        <x:v>BR-00109, BR-00110, BR-00111</x:v>
      </x:c>
      <x:c r="I74" s="339" t="str">
        <x:v>WF-037</x:v>
      </x:c>
      <x:c r="J74" s="339" t="str">
        <x:v>API-0037</x:v>
      </x:c>
      <x:c r="K74" s="339" t="str">
        <x:v>MVP</x:v>
      </x:c>
      <x:c r="L74" s="339" t="str">
        <x:v>Not Started</x:v>
      </x:c>
    </x:row>
    <x:row r="75">
      <x:c r="A75" s="339" t="str">
        <x:v>US-0074</x:v>
      </x:c>
      <x:c r="B75" s="339" t="str">
        <x:v>EP-004</x:v>
      </x:c>
      <x:c r="C75" s="339" t="str">
        <x:v>SCR-037</x:v>
      </x:c>
      <x:c r="D75" s="339" t="str">
        <x:v>Role Dashboards</x:v>
      </x:c>
      <x:c r="E75" s="339" t="str">
        <x:v>Parent Dashboard</x:v>
      </x:c>
      <x:c r="F75" s="339" t="str">
        <x:v>AC-00293, AC-00294, AC-00295, AC-00296</x:v>
      </x:c>
      <x:c r="G75" s="339" t="str">
        <x:v>BL-037</x:v>
      </x:c>
      <x:c r="H75" s="339" t="str">
        <x:v>BR-00109, BR-00110, BR-00111</x:v>
      </x:c>
      <x:c r="I75" s="339" t="str">
        <x:v>WF-037</x:v>
      </x:c>
      <x:c r="J75" s="339" t="str">
        <x:v>API-0037</x:v>
      </x:c>
      <x:c r="K75" s="339" t="str">
        <x:v>MVP</x:v>
      </x:c>
      <x:c r="L75" s="339" t="str">
        <x:v>Not Started</x:v>
      </x:c>
    </x:row>
    <x:row r="76">
      <x:c r="A76" s="339" t="str">
        <x:v>US-0075</x:v>
      </x:c>
      <x:c r="B76" s="339" t="str">
        <x:v>EP-004</x:v>
      </x:c>
      <x:c r="C76" s="339" t="str">
        <x:v>SCR-038</x:v>
      </x:c>
      <x:c r="D76" s="339" t="str">
        <x:v>Role Dashboards</x:v>
      </x:c>
      <x:c r="E76" s="339" t="str">
        <x:v>Accountant Dashboard</x:v>
      </x:c>
      <x:c r="F76" s="339" t="str">
        <x:v>AC-00297, AC-00298, AC-00299, AC-00300</x:v>
      </x:c>
      <x:c r="G76" s="339" t="str">
        <x:v>BL-038</x:v>
      </x:c>
      <x:c r="H76" s="339" t="str">
        <x:v>BR-00112, BR-00113, BR-00114</x:v>
      </x:c>
      <x:c r="I76" s="339" t="str">
        <x:v>WF-038</x:v>
      </x:c>
      <x:c r="J76" s="339" t="str">
        <x:v>API-0038</x:v>
      </x:c>
      <x:c r="K76" s="339" t="str">
        <x:v>Phase 2</x:v>
      </x:c>
      <x:c r="L76" s="339" t="str">
        <x:v>Not Started</x:v>
      </x:c>
    </x:row>
    <x:row r="77">
      <x:c r="A77" s="339" t="str">
        <x:v>US-0076</x:v>
      </x:c>
      <x:c r="B77" s="339" t="str">
        <x:v>EP-004</x:v>
      </x:c>
      <x:c r="C77" s="339" t="str">
        <x:v>SCR-038</x:v>
      </x:c>
      <x:c r="D77" s="339" t="str">
        <x:v>Role Dashboards</x:v>
      </x:c>
      <x:c r="E77" s="339" t="str">
        <x:v>Accountant Dashboard</x:v>
      </x:c>
      <x:c r="F77" s="339" t="str">
        <x:v>AC-00301, AC-00302, AC-00303, AC-00304</x:v>
      </x:c>
      <x:c r="G77" s="339" t="str">
        <x:v>BL-038</x:v>
      </x:c>
      <x:c r="H77" s="339" t="str">
        <x:v>BR-00112, BR-00113, BR-00114</x:v>
      </x:c>
      <x:c r="I77" s="339" t="str">
        <x:v>WF-038</x:v>
      </x:c>
      <x:c r="J77" s="339" t="str">
        <x:v>API-0038</x:v>
      </x:c>
      <x:c r="K77" s="339" t="str">
        <x:v>Phase 2</x:v>
      </x:c>
      <x:c r="L77" s="339" t="str">
        <x:v>Not Started</x:v>
      </x:c>
    </x:row>
    <x:row r="78">
      <x:c r="A78" s="339" t="str">
        <x:v>US-0077</x:v>
      </x:c>
      <x:c r="B78" s="339" t="str">
        <x:v>EP-004</x:v>
      </x:c>
      <x:c r="C78" s="339" t="str">
        <x:v>SCR-039</x:v>
      </x:c>
      <x:c r="D78" s="339" t="str">
        <x:v>Role Dashboards</x:v>
      </x:c>
      <x:c r="E78" s="339" t="str">
        <x:v>HR Dashboard</x:v>
      </x:c>
      <x:c r="F78" s="339" t="str">
        <x:v>AC-00305, AC-00306, AC-00307, AC-00308</x:v>
      </x:c>
      <x:c r="G78" s="339" t="str">
        <x:v>BL-039</x:v>
      </x:c>
      <x:c r="H78" s="339" t="str">
        <x:v>BR-00115, BR-00116, BR-00117</x:v>
      </x:c>
      <x:c r="I78" s="339" t="str">
        <x:v>WF-039</x:v>
      </x:c>
      <x:c r="J78" s="339" t="str">
        <x:v>API-0039</x:v>
      </x:c>
      <x:c r="K78" s="339" t="str">
        <x:v>Phase 2</x:v>
      </x:c>
      <x:c r="L78" s="339" t="str">
        <x:v>Not Started</x:v>
      </x:c>
    </x:row>
    <x:row r="79">
      <x:c r="A79" s="339" t="str">
        <x:v>US-0078</x:v>
      </x:c>
      <x:c r="B79" s="339" t="str">
        <x:v>EP-004</x:v>
      </x:c>
      <x:c r="C79" s="339" t="str">
        <x:v>SCR-039</x:v>
      </x:c>
      <x:c r="D79" s="339" t="str">
        <x:v>Role Dashboards</x:v>
      </x:c>
      <x:c r="E79" s="339" t="str">
        <x:v>HR Dashboard</x:v>
      </x:c>
      <x:c r="F79" s="339" t="str">
        <x:v>AC-00309, AC-00310, AC-00311, AC-00312</x:v>
      </x:c>
      <x:c r="G79" s="339" t="str">
        <x:v>BL-039</x:v>
      </x:c>
      <x:c r="H79" s="339" t="str">
        <x:v>BR-00115, BR-00116, BR-00117</x:v>
      </x:c>
      <x:c r="I79" s="339" t="str">
        <x:v>WF-039</x:v>
      </x:c>
      <x:c r="J79" s="339" t="str">
        <x:v>API-0039</x:v>
      </x:c>
      <x:c r="K79" s="339" t="str">
        <x:v>Phase 2</x:v>
      </x:c>
      <x:c r="L79" s="339" t="str">
        <x:v>Not Started</x:v>
      </x:c>
    </x:row>
    <x:row r="80">
      <x:c r="A80" s="339" t="str">
        <x:v>US-0079</x:v>
      </x:c>
      <x:c r="B80" s="339" t="str">
        <x:v>EP-004</x:v>
      </x:c>
      <x:c r="C80" s="339" t="str">
        <x:v>SCR-040</x:v>
      </x:c>
      <x:c r="D80" s="339" t="str">
        <x:v>Role Dashboards</x:v>
      </x:c>
      <x:c r="E80" s="339" t="str">
        <x:v>Admission Officer Dashboard</x:v>
      </x:c>
      <x:c r="F80" s="339" t="str">
        <x:v>AC-00313, AC-00314, AC-00315, AC-00316</x:v>
      </x:c>
      <x:c r="G80" s="339" t="str">
        <x:v>BL-040</x:v>
      </x:c>
      <x:c r="H80" s="339" t="str">
        <x:v>BR-00118, BR-00119, BR-00120</x:v>
      </x:c>
      <x:c r="I80" s="339" t="str">
        <x:v>WF-040</x:v>
      </x:c>
      <x:c r="J80" s="339" t="str">
        <x:v>API-0040</x:v>
      </x:c>
      <x:c r="K80" s="339" t="str">
        <x:v>Phase 3</x:v>
      </x:c>
      <x:c r="L80" s="339" t="str">
        <x:v>Not Started</x:v>
      </x:c>
    </x:row>
    <x:row r="81">
      <x:c r="A81" s="339" t="str">
        <x:v>US-0080</x:v>
      </x:c>
      <x:c r="B81" s="339" t="str">
        <x:v>EP-004</x:v>
      </x:c>
      <x:c r="C81" s="339" t="str">
        <x:v>SCR-040</x:v>
      </x:c>
      <x:c r="D81" s="339" t="str">
        <x:v>Role Dashboards</x:v>
      </x:c>
      <x:c r="E81" s="339" t="str">
        <x:v>Admission Officer Dashboard</x:v>
      </x:c>
      <x:c r="F81" s="339" t="str">
        <x:v>AC-00317, AC-00318, AC-00319, AC-00320</x:v>
      </x:c>
      <x:c r="G81" s="339" t="str">
        <x:v>BL-040</x:v>
      </x:c>
      <x:c r="H81" s="339" t="str">
        <x:v>BR-00118, BR-00119, BR-00120</x:v>
      </x:c>
      <x:c r="I81" s="339" t="str">
        <x:v>WF-040</x:v>
      </x:c>
      <x:c r="J81" s="339" t="str">
        <x:v>API-0040</x:v>
      </x:c>
      <x:c r="K81" s="339" t="str">
        <x:v>Phase 3</x:v>
      </x:c>
      <x:c r="L81" s="339" t="str">
        <x:v>Not Started</x:v>
      </x:c>
    </x:row>
    <x:row r="82">
      <x:c r="A82" s="339" t="str">
        <x:v>US-0081</x:v>
      </x:c>
      <x:c r="B82" s="339" t="str">
        <x:v>EP-004</x:v>
      </x:c>
      <x:c r="C82" s="339" t="str">
        <x:v>SCR-041</x:v>
      </x:c>
      <x:c r="D82" s="339" t="str">
        <x:v>Role Dashboards</x:v>
      </x:c>
      <x:c r="E82" s="339" t="str">
        <x:v>Transport Manager Dashboard</x:v>
      </x:c>
      <x:c r="F82" s="339" t="str">
        <x:v>AC-00321, AC-00322, AC-00323, AC-00324</x:v>
      </x:c>
      <x:c r="G82" s="339" t="str">
        <x:v>BL-041</x:v>
      </x:c>
      <x:c r="H82" s="339" t="str">
        <x:v>BR-00121, BR-00122, BR-00123</x:v>
      </x:c>
      <x:c r="I82" s="339" t="str">
        <x:v>WF-041</x:v>
      </x:c>
      <x:c r="J82" s="339" t="str">
        <x:v>API-0041</x:v>
      </x:c>
      <x:c r="K82" s="339" t="str">
        <x:v>Phase 3</x:v>
      </x:c>
      <x:c r="L82" s="339" t="str">
        <x:v>Not Started</x:v>
      </x:c>
    </x:row>
    <x:row r="83">
      <x:c r="A83" s="339" t="str">
        <x:v>US-0082</x:v>
      </x:c>
      <x:c r="B83" s="339" t="str">
        <x:v>EP-004</x:v>
      </x:c>
      <x:c r="C83" s="339" t="str">
        <x:v>SCR-041</x:v>
      </x:c>
      <x:c r="D83" s="339" t="str">
        <x:v>Role Dashboards</x:v>
      </x:c>
      <x:c r="E83" s="339" t="str">
        <x:v>Transport Manager Dashboard</x:v>
      </x:c>
      <x:c r="F83" s="339" t="str">
        <x:v>AC-00325, AC-00326, AC-00327, AC-00328</x:v>
      </x:c>
      <x:c r="G83" s="339" t="str">
        <x:v>BL-041</x:v>
      </x:c>
      <x:c r="H83" s="339" t="str">
        <x:v>BR-00121, BR-00122, BR-00123</x:v>
      </x:c>
      <x:c r="I83" s="339" t="str">
        <x:v>WF-041</x:v>
      </x:c>
      <x:c r="J83" s="339" t="str">
        <x:v>API-0041</x:v>
      </x:c>
      <x:c r="K83" s="339" t="str">
        <x:v>Phase 3</x:v>
      </x:c>
      <x:c r="L83" s="339" t="str">
        <x:v>Not Started</x:v>
      </x:c>
    </x:row>
    <x:row r="84">
      <x:c r="A84" s="339" t="str">
        <x:v>US-0083</x:v>
      </x:c>
      <x:c r="B84" s="339" t="str">
        <x:v>EP-004</x:v>
      </x:c>
      <x:c r="C84" s="339" t="str">
        <x:v>SCR-042</x:v>
      </x:c>
      <x:c r="D84" s="339" t="str">
        <x:v>Role Dashboards</x:v>
      </x:c>
      <x:c r="E84" s="339" t="str">
        <x:v>Librarian Dashboard</x:v>
      </x:c>
      <x:c r="F84" s="339" t="str">
        <x:v>AC-00329, AC-00330, AC-00331, AC-00332</x:v>
      </x:c>
      <x:c r="G84" s="339" t="str">
        <x:v>BL-042</x:v>
      </x:c>
      <x:c r="H84" s="339" t="str">
        <x:v>BR-00124, BR-00125, BR-00126</x:v>
      </x:c>
      <x:c r="I84" s="339" t="str">
        <x:v>WF-042</x:v>
      </x:c>
      <x:c r="J84" s="339" t="str">
        <x:v>API-0042</x:v>
      </x:c>
      <x:c r="K84" s="339" t="str">
        <x:v>Phase 3</x:v>
      </x:c>
      <x:c r="L84" s="339" t="str">
        <x:v>Not Started</x:v>
      </x:c>
    </x:row>
    <x:row r="85">
      <x:c r="A85" s="339" t="str">
        <x:v>US-0084</x:v>
      </x:c>
      <x:c r="B85" s="339" t="str">
        <x:v>EP-004</x:v>
      </x:c>
      <x:c r="C85" s="339" t="str">
        <x:v>SCR-042</x:v>
      </x:c>
      <x:c r="D85" s="339" t="str">
        <x:v>Role Dashboards</x:v>
      </x:c>
      <x:c r="E85" s="339" t="str">
        <x:v>Librarian Dashboard</x:v>
      </x:c>
      <x:c r="F85" s="339" t="str">
        <x:v>AC-00333, AC-00334, AC-00335, AC-00336</x:v>
      </x:c>
      <x:c r="G85" s="339" t="str">
        <x:v>BL-042</x:v>
      </x:c>
      <x:c r="H85" s="339" t="str">
        <x:v>BR-00124, BR-00125, BR-00126</x:v>
      </x:c>
      <x:c r="I85" s="339" t="str">
        <x:v>WF-042</x:v>
      </x:c>
      <x:c r="J85" s="339" t="str">
        <x:v>API-0042</x:v>
      </x:c>
      <x:c r="K85" s="339" t="str">
        <x:v>Phase 3</x:v>
      </x:c>
      <x:c r="L85" s="339" t="str">
        <x:v>Not Started</x:v>
      </x:c>
    </x:row>
    <x:row r="86">
      <x:c r="A86" s="339" t="str">
        <x:v>US-0085</x:v>
      </x:c>
      <x:c r="B86" s="339" t="str">
        <x:v>EP-005</x:v>
      </x:c>
      <x:c r="C86" s="339" t="str">
        <x:v>SCR-043</x:v>
      </x:c>
      <x:c r="D86" s="339" t="str">
        <x:v>Admissions &amp; Enquiries</x:v>
      </x:c>
      <x:c r="E86" s="339" t="str">
        <x:v>Admission / Enquiry Dashboard</x:v>
      </x:c>
      <x:c r="F86" s="339" t="str">
        <x:v>AC-00337, AC-00338, AC-00339, AC-00340</x:v>
      </x:c>
      <x:c r="G86" s="339" t="str">
        <x:v>BL-043</x:v>
      </x:c>
      <x:c r="H86" s="339" t="str">
        <x:v>BR-00127, BR-00128, BR-00129</x:v>
      </x:c>
      <x:c r="I86" s="339" t="str">
        <x:v>WF-043</x:v>
      </x:c>
      <x:c r="J86" s="339" t="str">
        <x:v>API-0043</x:v>
      </x:c>
      <x:c r="K86" s="339" t="str">
        <x:v>MVP</x:v>
      </x:c>
      <x:c r="L86" s="339" t="str">
        <x:v>Not Started</x:v>
      </x:c>
    </x:row>
    <x:row r="87">
      <x:c r="A87" s="339" t="str">
        <x:v>US-0086</x:v>
      </x:c>
      <x:c r="B87" s="339" t="str">
        <x:v>EP-005</x:v>
      </x:c>
      <x:c r="C87" s="339" t="str">
        <x:v>SCR-043</x:v>
      </x:c>
      <x:c r="D87" s="339" t="str">
        <x:v>Admissions &amp; Enquiries</x:v>
      </x:c>
      <x:c r="E87" s="339" t="str">
        <x:v>Admission / Enquiry Dashboard</x:v>
      </x:c>
      <x:c r="F87" s="339" t="str">
        <x:v>AC-00341, AC-00342, AC-00343, AC-00344</x:v>
      </x:c>
      <x:c r="G87" s="339" t="str">
        <x:v>BL-043</x:v>
      </x:c>
      <x:c r="H87" s="339" t="str">
        <x:v>BR-00127, BR-00128, BR-00129</x:v>
      </x:c>
      <x:c r="I87" s="339" t="str">
        <x:v>WF-043</x:v>
      </x:c>
      <x:c r="J87" s="339" t="str">
        <x:v>API-0043</x:v>
      </x:c>
      <x:c r="K87" s="339" t="str">
        <x:v>MVP</x:v>
      </x:c>
      <x:c r="L87" s="339" t="str">
        <x:v>Not Started</x:v>
      </x:c>
    </x:row>
    <x:row r="88">
      <x:c r="A88" s="339" t="str">
        <x:v>US-0087</x:v>
      </x:c>
      <x:c r="B88" s="339" t="str">
        <x:v>EP-005</x:v>
      </x:c>
      <x:c r="C88" s="339" t="str">
        <x:v>SCR-044</x:v>
      </x:c>
      <x:c r="D88" s="339" t="str">
        <x:v>Admissions &amp; Enquiries</x:v>
      </x:c>
      <x:c r="E88" s="339" t="str">
        <x:v>Enquiry List</x:v>
      </x:c>
      <x:c r="F88" s="339" t="str">
        <x:v>AC-00345, AC-00346, AC-00347, AC-00348</x:v>
      </x:c>
      <x:c r="G88" s="339" t="str">
        <x:v>BL-044</x:v>
      </x:c>
      <x:c r="H88" s="339" t="str">
        <x:v>BR-00130, BR-00131, BR-00132</x:v>
      </x:c>
      <x:c r="I88" s="339" t="str">
        <x:v>WF-044</x:v>
      </x:c>
      <x:c r="J88" s="339" t="str">
        <x:v>API-0044</x:v>
      </x:c>
      <x:c r="K88" s="339" t="str">
        <x:v>MVP</x:v>
      </x:c>
      <x:c r="L88" s="339" t="str">
        <x:v>Not Started</x:v>
      </x:c>
    </x:row>
    <x:row r="89">
      <x:c r="A89" s="339" t="str">
        <x:v>US-0088</x:v>
      </x:c>
      <x:c r="B89" s="339" t="str">
        <x:v>EP-005</x:v>
      </x:c>
      <x:c r="C89" s="339" t="str">
        <x:v>SCR-044</x:v>
      </x:c>
      <x:c r="D89" s="339" t="str">
        <x:v>Admissions &amp; Enquiries</x:v>
      </x:c>
      <x:c r="E89" s="339" t="str">
        <x:v>Enquiry List</x:v>
      </x:c>
      <x:c r="F89" s="339" t="str">
        <x:v>AC-00349, AC-00350, AC-00351, AC-00352</x:v>
      </x:c>
      <x:c r="G89" s="339" t="str">
        <x:v>BL-044</x:v>
      </x:c>
      <x:c r="H89" s="339" t="str">
        <x:v>BR-00130, BR-00131, BR-00132</x:v>
      </x:c>
      <x:c r="I89" s="339" t="str">
        <x:v>WF-044</x:v>
      </x:c>
      <x:c r="J89" s="339" t="str">
        <x:v>API-0044</x:v>
      </x:c>
      <x:c r="K89" s="339" t="str">
        <x:v>MVP</x:v>
      </x:c>
      <x:c r="L89" s="339" t="str">
        <x:v>Not Started</x:v>
      </x:c>
    </x:row>
    <x:row r="90">
      <x:c r="A90" s="339" t="str">
        <x:v>US-0089</x:v>
      </x:c>
      <x:c r="B90" s="339" t="str">
        <x:v>EP-005</x:v>
      </x:c>
      <x:c r="C90" s="339" t="str">
        <x:v>SCR-045</x:v>
      </x:c>
      <x:c r="D90" s="339" t="str">
        <x:v>Admissions &amp; Enquiries</x:v>
      </x:c>
      <x:c r="E90" s="339" t="str">
        <x:v>Add Enquiry</x:v>
      </x:c>
      <x:c r="F90" s="339" t="str">
        <x:v>AC-00353, AC-00354, AC-00355, AC-00356</x:v>
      </x:c>
      <x:c r="G90" s="339" t="str">
        <x:v>BL-045</x:v>
      </x:c>
      <x:c r="H90" s="339" t="str">
        <x:v>BR-00133, BR-00134, BR-00135</x:v>
      </x:c>
      <x:c r="I90" s="339" t="str">
        <x:v>WF-045</x:v>
      </x:c>
      <x:c r="J90" s="339" t="str">
        <x:v>API-0045</x:v>
      </x:c>
      <x:c r="K90" s="339" t="str">
        <x:v>MVP</x:v>
      </x:c>
      <x:c r="L90" s="339" t="str">
        <x:v>Not Started</x:v>
      </x:c>
    </x:row>
    <x:row r="91">
      <x:c r="A91" s="339" t="str">
        <x:v>US-0090</x:v>
      </x:c>
      <x:c r="B91" s="339" t="str">
        <x:v>EP-005</x:v>
      </x:c>
      <x:c r="C91" s="339" t="str">
        <x:v>SCR-045</x:v>
      </x:c>
      <x:c r="D91" s="339" t="str">
        <x:v>Admissions &amp; Enquiries</x:v>
      </x:c>
      <x:c r="E91" s="339" t="str">
        <x:v>Add Enquiry</x:v>
      </x:c>
      <x:c r="F91" s="339" t="str">
        <x:v>AC-00357, AC-00358, AC-00359, AC-00360</x:v>
      </x:c>
      <x:c r="G91" s="339" t="str">
        <x:v>BL-045</x:v>
      </x:c>
      <x:c r="H91" s="339" t="str">
        <x:v>BR-00133, BR-00134, BR-00135</x:v>
      </x:c>
      <x:c r="I91" s="339" t="str">
        <x:v>WF-045</x:v>
      </x:c>
      <x:c r="J91" s="339" t="str">
        <x:v>API-0045</x:v>
      </x:c>
      <x:c r="K91" s="339" t="str">
        <x:v>MVP</x:v>
      </x:c>
      <x:c r="L91" s="339" t="str">
        <x:v>Not Started</x:v>
      </x:c>
    </x:row>
    <x:row r="92">
      <x:c r="A92" s="339" t="str">
        <x:v>US-0091</x:v>
      </x:c>
      <x:c r="B92" s="339" t="str">
        <x:v>EP-005</x:v>
      </x:c>
      <x:c r="C92" s="339" t="str">
        <x:v>SCR-046</x:v>
      </x:c>
      <x:c r="D92" s="339" t="str">
        <x:v>Admissions &amp; Enquiries</x:v>
      </x:c>
      <x:c r="E92" s="339" t="str">
        <x:v>Enquiry Details</x:v>
      </x:c>
      <x:c r="F92" s="339" t="str">
        <x:v>AC-00361, AC-00362, AC-00363, AC-00364</x:v>
      </x:c>
      <x:c r="G92" s="339" t="str">
        <x:v>BL-046</x:v>
      </x:c>
      <x:c r="H92" s="339" t="str">
        <x:v>BR-00136, BR-00137, BR-00138</x:v>
      </x:c>
      <x:c r="I92" s="339" t="str">
        <x:v>WF-046</x:v>
      </x:c>
      <x:c r="J92" s="339" t="str">
        <x:v>API-0046</x:v>
      </x:c>
      <x:c r="K92" s="339" t="str">
        <x:v>MVP</x:v>
      </x:c>
      <x:c r="L92" s="339" t="str">
        <x:v>Not Started</x:v>
      </x:c>
    </x:row>
    <x:row r="93">
      <x:c r="A93" s="339" t="str">
        <x:v>US-0092</x:v>
      </x:c>
      <x:c r="B93" s="339" t="str">
        <x:v>EP-005</x:v>
      </x:c>
      <x:c r="C93" s="339" t="str">
        <x:v>SCR-046</x:v>
      </x:c>
      <x:c r="D93" s="339" t="str">
        <x:v>Admissions &amp; Enquiries</x:v>
      </x:c>
      <x:c r="E93" s="339" t="str">
        <x:v>Enquiry Details</x:v>
      </x:c>
      <x:c r="F93" s="339" t="str">
        <x:v>AC-00365, AC-00366, AC-00367, AC-00368</x:v>
      </x:c>
      <x:c r="G93" s="339" t="str">
        <x:v>BL-046</x:v>
      </x:c>
      <x:c r="H93" s="339" t="str">
        <x:v>BR-00136, BR-00137, BR-00138</x:v>
      </x:c>
      <x:c r="I93" s="339" t="str">
        <x:v>WF-046</x:v>
      </x:c>
      <x:c r="J93" s="339" t="str">
        <x:v>API-0046</x:v>
      </x:c>
      <x:c r="K93" s="339" t="str">
        <x:v>MVP</x:v>
      </x:c>
      <x:c r="L93" s="339" t="str">
        <x:v>Not Started</x:v>
      </x:c>
    </x:row>
    <x:row r="94">
      <x:c r="A94" s="339" t="str">
        <x:v>US-0093</x:v>
      </x:c>
      <x:c r="B94" s="339" t="str">
        <x:v>EP-005</x:v>
      </x:c>
      <x:c r="C94" s="339" t="str">
        <x:v>SCR-047</x:v>
      </x:c>
      <x:c r="D94" s="339" t="str">
        <x:v>Admissions &amp; Enquiries</x:v>
      </x:c>
      <x:c r="E94" s="339" t="str">
        <x:v>Follow-up Calendar</x:v>
      </x:c>
      <x:c r="F94" s="339" t="str">
        <x:v>AC-00369, AC-00370, AC-00371, AC-00372</x:v>
      </x:c>
      <x:c r="G94" s="339" t="str">
        <x:v>BL-047</x:v>
      </x:c>
      <x:c r="H94" s="339" t="str">
        <x:v>BR-00139, BR-00140, BR-00141</x:v>
      </x:c>
      <x:c r="I94" s="339" t="str">
        <x:v>WF-047</x:v>
      </x:c>
      <x:c r="J94" s="339" t="str">
        <x:v>API-0047</x:v>
      </x:c>
      <x:c r="K94" s="339" t="str">
        <x:v>MVP</x:v>
      </x:c>
      <x:c r="L94" s="339" t="str">
        <x:v>Not Started</x:v>
      </x:c>
    </x:row>
    <x:row r="95">
      <x:c r="A95" s="339" t="str">
        <x:v>US-0094</x:v>
      </x:c>
      <x:c r="B95" s="339" t="str">
        <x:v>EP-005</x:v>
      </x:c>
      <x:c r="C95" s="339" t="str">
        <x:v>SCR-047</x:v>
      </x:c>
      <x:c r="D95" s="339" t="str">
        <x:v>Admissions &amp; Enquiries</x:v>
      </x:c>
      <x:c r="E95" s="339" t="str">
        <x:v>Follow-up Calendar</x:v>
      </x:c>
      <x:c r="F95" s="339" t="str">
        <x:v>AC-00373, AC-00374, AC-00375, AC-00376</x:v>
      </x:c>
      <x:c r="G95" s="339" t="str">
        <x:v>BL-047</x:v>
      </x:c>
      <x:c r="H95" s="339" t="str">
        <x:v>BR-00139, BR-00140, BR-00141</x:v>
      </x:c>
      <x:c r="I95" s="339" t="str">
        <x:v>WF-047</x:v>
      </x:c>
      <x:c r="J95" s="339" t="str">
        <x:v>API-0047</x:v>
      </x:c>
      <x:c r="K95" s="339" t="str">
        <x:v>MVP</x:v>
      </x:c>
      <x:c r="L95" s="339" t="str">
        <x:v>Not Started</x:v>
      </x:c>
    </x:row>
    <x:row r="96">
      <x:c r="A96" s="339" t="str">
        <x:v>US-0095</x:v>
      </x:c>
      <x:c r="B96" s="339" t="str">
        <x:v>EP-005</x:v>
      </x:c>
      <x:c r="C96" s="339" t="str">
        <x:v>SCR-048</x:v>
      </x:c>
      <x:c r="D96" s="339" t="str">
        <x:v>Admissions &amp; Enquiries</x:v>
      </x:c>
      <x:c r="E96" s="339" t="str">
        <x:v>Admission Applications</x:v>
      </x:c>
      <x:c r="F96" s="339" t="str">
        <x:v>AC-00377, AC-00378, AC-00379, AC-00380</x:v>
      </x:c>
      <x:c r="G96" s="339" t="str">
        <x:v>BL-048</x:v>
      </x:c>
      <x:c r="H96" s="339" t="str">
        <x:v>BR-00142, BR-00143, BR-00144</x:v>
      </x:c>
      <x:c r="I96" s="339" t="str">
        <x:v>WF-048</x:v>
      </x:c>
      <x:c r="J96" s="339" t="str">
        <x:v>API-0048</x:v>
      </x:c>
      <x:c r="K96" s="339" t="str">
        <x:v>MVP</x:v>
      </x:c>
      <x:c r="L96" s="339" t="str">
        <x:v>Not Started</x:v>
      </x:c>
    </x:row>
    <x:row r="97">
      <x:c r="A97" s="339" t="str">
        <x:v>US-0096</x:v>
      </x:c>
      <x:c r="B97" s="339" t="str">
        <x:v>EP-005</x:v>
      </x:c>
      <x:c r="C97" s="339" t="str">
        <x:v>SCR-048</x:v>
      </x:c>
      <x:c r="D97" s="339" t="str">
        <x:v>Admissions &amp; Enquiries</x:v>
      </x:c>
      <x:c r="E97" s="339" t="str">
        <x:v>Admission Applications</x:v>
      </x:c>
      <x:c r="F97" s="339" t="str">
        <x:v>AC-00381, AC-00382, AC-00383, AC-00384</x:v>
      </x:c>
      <x:c r="G97" s="339" t="str">
        <x:v>BL-048</x:v>
      </x:c>
      <x:c r="H97" s="339" t="str">
        <x:v>BR-00142, BR-00143, BR-00144</x:v>
      </x:c>
      <x:c r="I97" s="339" t="str">
        <x:v>WF-048</x:v>
      </x:c>
      <x:c r="J97" s="339" t="str">
        <x:v>API-0048</x:v>
      </x:c>
      <x:c r="K97" s="339" t="str">
        <x:v>MVP</x:v>
      </x:c>
      <x:c r="L97" s="339" t="str">
        <x:v>Not Started</x:v>
      </x:c>
    </x:row>
    <x:row r="98">
      <x:c r="A98" s="339" t="str">
        <x:v>US-0097</x:v>
      </x:c>
      <x:c r="B98" s="339" t="str">
        <x:v>EP-005</x:v>
      </x:c>
      <x:c r="C98" s="339" t="str">
        <x:v>SCR-049</x:v>
      </x:c>
      <x:c r="D98" s="339" t="str">
        <x:v>Admissions &amp; Enquiries</x:v>
      </x:c>
      <x:c r="E98" s="339" t="str">
        <x:v>New Admission Application</x:v>
      </x:c>
      <x:c r="F98" s="339" t="str">
        <x:v>AC-00385, AC-00386, AC-00387, AC-00388</x:v>
      </x:c>
      <x:c r="G98" s="339" t="str">
        <x:v>BL-049</x:v>
      </x:c>
      <x:c r="H98" s="339" t="str">
        <x:v>BR-00145, BR-00146, BR-00147</x:v>
      </x:c>
      <x:c r="I98" s="339" t="str">
        <x:v>WF-049</x:v>
      </x:c>
      <x:c r="J98" s="339" t="str">
        <x:v>API-0049</x:v>
      </x:c>
      <x:c r="K98" s="339" t="str">
        <x:v>MVP</x:v>
      </x:c>
      <x:c r="L98" s="339" t="str">
        <x:v>Not Started</x:v>
      </x:c>
    </x:row>
    <x:row r="99">
      <x:c r="A99" s="339" t="str">
        <x:v>US-0098</x:v>
      </x:c>
      <x:c r="B99" s="339" t="str">
        <x:v>EP-005</x:v>
      </x:c>
      <x:c r="C99" s="339" t="str">
        <x:v>SCR-049</x:v>
      </x:c>
      <x:c r="D99" s="339" t="str">
        <x:v>Admissions &amp; Enquiries</x:v>
      </x:c>
      <x:c r="E99" s="339" t="str">
        <x:v>New Admission Application</x:v>
      </x:c>
      <x:c r="F99" s="339" t="str">
        <x:v>AC-00389, AC-00390, AC-00391, AC-00392</x:v>
      </x:c>
      <x:c r="G99" s="339" t="str">
        <x:v>BL-049</x:v>
      </x:c>
      <x:c r="H99" s="339" t="str">
        <x:v>BR-00145, BR-00146, BR-00147</x:v>
      </x:c>
      <x:c r="I99" s="339" t="str">
        <x:v>WF-049</x:v>
      </x:c>
      <x:c r="J99" s="339" t="str">
        <x:v>API-0049</x:v>
      </x:c>
      <x:c r="K99" s="339" t="str">
        <x:v>MVP</x:v>
      </x:c>
      <x:c r="L99" s="339" t="str">
        <x:v>Not Started</x:v>
      </x:c>
    </x:row>
    <x:row r="100">
      <x:c r="A100" s="339" t="str">
        <x:v>US-0099</x:v>
      </x:c>
      <x:c r="B100" s="339" t="str">
        <x:v>EP-005</x:v>
      </x:c>
      <x:c r="C100" s="339" t="str">
        <x:v>SCR-050</x:v>
      </x:c>
      <x:c r="D100" s="339" t="str">
        <x:v>Admissions &amp; Enquiries</x:v>
      </x:c>
      <x:c r="E100" s="339" t="str">
        <x:v>Application Details</x:v>
      </x:c>
      <x:c r="F100" s="339" t="str">
        <x:v>AC-00393, AC-00394, AC-00395, AC-00396</x:v>
      </x:c>
      <x:c r="G100" s="339" t="str">
        <x:v>BL-050</x:v>
      </x:c>
      <x:c r="H100" s="339" t="str">
        <x:v>BR-00148, BR-00149, BR-00150</x:v>
      </x:c>
      <x:c r="I100" s="339" t="str">
        <x:v>WF-050</x:v>
      </x:c>
      <x:c r="J100" s="339" t="str">
        <x:v>API-0050</x:v>
      </x:c>
      <x:c r="K100" s="339" t="str">
        <x:v>Phase 2</x:v>
      </x:c>
      <x:c r="L100" s="339" t="str">
        <x:v>Not Started</x:v>
      </x:c>
    </x:row>
    <x:row r="101">
      <x:c r="A101" s="339" t="str">
        <x:v>US-0100</x:v>
      </x:c>
      <x:c r="B101" s="339" t="str">
        <x:v>EP-005</x:v>
      </x:c>
      <x:c r="C101" s="339" t="str">
        <x:v>SCR-050</x:v>
      </x:c>
      <x:c r="D101" s="339" t="str">
        <x:v>Admissions &amp; Enquiries</x:v>
      </x:c>
      <x:c r="E101" s="339" t="str">
        <x:v>Application Details</x:v>
      </x:c>
      <x:c r="F101" s="339" t="str">
        <x:v>AC-00397, AC-00398, AC-00399, AC-00400</x:v>
      </x:c>
      <x:c r="G101" s="339" t="str">
        <x:v>BL-050</x:v>
      </x:c>
      <x:c r="H101" s="339" t="str">
        <x:v>BR-00148, BR-00149, BR-00150</x:v>
      </x:c>
      <x:c r="I101" s="339" t="str">
        <x:v>WF-050</x:v>
      </x:c>
      <x:c r="J101" s="339" t="str">
        <x:v>API-0050</x:v>
      </x:c>
      <x:c r="K101" s="339" t="str">
        <x:v>Phase 2</x:v>
      </x:c>
      <x:c r="L101" s="339" t="str">
        <x:v>Not Started</x:v>
      </x:c>
    </x:row>
    <x:row r="102">
      <x:c r="A102" s="339" t="str">
        <x:v>US-0101</x:v>
      </x:c>
      <x:c r="B102" s="339" t="str">
        <x:v>EP-005</x:v>
      </x:c>
      <x:c r="C102" s="339" t="str">
        <x:v>SCR-051</x:v>
      </x:c>
      <x:c r="D102" s="339" t="str">
        <x:v>Admissions &amp; Enquiries</x:v>
      </x:c>
      <x:c r="E102" s="339" t="str">
        <x:v>Document Verification</x:v>
      </x:c>
      <x:c r="F102" s="339" t="str">
        <x:v>AC-00401, AC-00402, AC-00403, AC-00404</x:v>
      </x:c>
      <x:c r="G102" s="339" t="str">
        <x:v>BL-051</x:v>
      </x:c>
      <x:c r="H102" s="339" t="str">
        <x:v>BR-00151, BR-00152, BR-00153</x:v>
      </x:c>
      <x:c r="I102" s="339" t="str">
        <x:v>WF-051</x:v>
      </x:c>
      <x:c r="J102" s="339" t="str">
        <x:v>API-0051</x:v>
      </x:c>
      <x:c r="K102" s="339" t="str">
        <x:v>Phase 2</x:v>
      </x:c>
      <x:c r="L102" s="339" t="str">
        <x:v>Not Started</x:v>
      </x:c>
    </x:row>
    <x:row r="103">
      <x:c r="A103" s="339" t="str">
        <x:v>US-0102</x:v>
      </x:c>
      <x:c r="B103" s="339" t="str">
        <x:v>EP-005</x:v>
      </x:c>
      <x:c r="C103" s="339" t="str">
        <x:v>SCR-051</x:v>
      </x:c>
      <x:c r="D103" s="339" t="str">
        <x:v>Admissions &amp; Enquiries</x:v>
      </x:c>
      <x:c r="E103" s="339" t="str">
        <x:v>Document Verification</x:v>
      </x:c>
      <x:c r="F103" s="339" t="str">
        <x:v>AC-00405, AC-00406, AC-00407, AC-00408</x:v>
      </x:c>
      <x:c r="G103" s="339" t="str">
        <x:v>BL-051</x:v>
      </x:c>
      <x:c r="H103" s="339" t="str">
        <x:v>BR-00151, BR-00152, BR-00153</x:v>
      </x:c>
      <x:c r="I103" s="339" t="str">
        <x:v>WF-051</x:v>
      </x:c>
      <x:c r="J103" s="339" t="str">
        <x:v>API-0051</x:v>
      </x:c>
      <x:c r="K103" s="339" t="str">
        <x:v>Phase 2</x:v>
      </x:c>
      <x:c r="L103" s="339" t="str">
        <x:v>Not Started</x:v>
      </x:c>
    </x:row>
    <x:row r="104">
      <x:c r="A104" s="339" t="str">
        <x:v>US-0103</x:v>
      </x:c>
      <x:c r="B104" s="339" t="str">
        <x:v>EP-005</x:v>
      </x:c>
      <x:c r="C104" s="339" t="str">
        <x:v>SCR-052</x:v>
      </x:c>
      <x:c r="D104" s="339" t="str">
        <x:v>Admissions &amp; Enquiries</x:v>
      </x:c>
      <x:c r="E104" s="339" t="str">
        <x:v>Entrance Assessment</x:v>
      </x:c>
      <x:c r="F104" s="339" t="str">
        <x:v>AC-00409, AC-00410, AC-00411, AC-00412</x:v>
      </x:c>
      <x:c r="G104" s="339" t="str">
        <x:v>BL-052</x:v>
      </x:c>
      <x:c r="H104" s="339" t="str">
        <x:v>BR-00154, BR-00155, BR-00156</x:v>
      </x:c>
      <x:c r="I104" s="339" t="str">
        <x:v>WF-052</x:v>
      </x:c>
      <x:c r="J104" s="339" t="str">
        <x:v>API-0052</x:v>
      </x:c>
      <x:c r="K104" s="339" t="str">
        <x:v>Phase 2</x:v>
      </x:c>
      <x:c r="L104" s="339" t="str">
        <x:v>Not Started</x:v>
      </x:c>
    </x:row>
    <x:row r="105">
      <x:c r="A105" s="339" t="str">
        <x:v>US-0104</x:v>
      </x:c>
      <x:c r="B105" s="339" t="str">
        <x:v>EP-005</x:v>
      </x:c>
      <x:c r="C105" s="339" t="str">
        <x:v>SCR-052</x:v>
      </x:c>
      <x:c r="D105" s="339" t="str">
        <x:v>Admissions &amp; Enquiries</x:v>
      </x:c>
      <x:c r="E105" s="339" t="str">
        <x:v>Entrance Assessment</x:v>
      </x:c>
      <x:c r="F105" s="339" t="str">
        <x:v>AC-00413, AC-00414, AC-00415, AC-00416</x:v>
      </x:c>
      <x:c r="G105" s="339" t="str">
        <x:v>BL-052</x:v>
      </x:c>
      <x:c r="H105" s="339" t="str">
        <x:v>BR-00154, BR-00155, BR-00156</x:v>
      </x:c>
      <x:c r="I105" s="339" t="str">
        <x:v>WF-052</x:v>
      </x:c>
      <x:c r="J105" s="339" t="str">
        <x:v>API-0052</x:v>
      </x:c>
      <x:c r="K105" s="339" t="str">
        <x:v>Phase 2</x:v>
      </x:c>
      <x:c r="L105" s="339" t="str">
        <x:v>Not Started</x:v>
      </x:c>
    </x:row>
    <x:row r="106">
      <x:c r="A106" s="339" t="str">
        <x:v>US-0105</x:v>
      </x:c>
      <x:c r="B106" s="339" t="str">
        <x:v>EP-005</x:v>
      </x:c>
      <x:c r="C106" s="339" t="str">
        <x:v>SCR-053</x:v>
      </x:c>
      <x:c r="D106" s="339" t="str">
        <x:v>Admissions &amp; Enquiries</x:v>
      </x:c>
      <x:c r="E106" s="339" t="str">
        <x:v>Admission Approval</x:v>
      </x:c>
      <x:c r="F106" s="339" t="str">
        <x:v>AC-00417, AC-00418, AC-00419, AC-00420</x:v>
      </x:c>
      <x:c r="G106" s="339" t="str">
        <x:v>BL-053</x:v>
      </x:c>
      <x:c r="H106" s="339" t="str">
        <x:v>BR-00157, BR-00158, BR-00159</x:v>
      </x:c>
      <x:c r="I106" s="339" t="str">
        <x:v>WF-053</x:v>
      </x:c>
      <x:c r="J106" s="339" t="str">
        <x:v>API-0053</x:v>
      </x:c>
      <x:c r="K106" s="339" t="str">
        <x:v>Phase 3</x:v>
      </x:c>
      <x:c r="L106" s="339" t="str">
        <x:v>Not Started</x:v>
      </x:c>
    </x:row>
    <x:row r="107">
      <x:c r="A107" s="339" t="str">
        <x:v>US-0106</x:v>
      </x:c>
      <x:c r="B107" s="339" t="str">
        <x:v>EP-005</x:v>
      </x:c>
      <x:c r="C107" s="339" t="str">
        <x:v>SCR-053</x:v>
      </x:c>
      <x:c r="D107" s="339" t="str">
        <x:v>Admissions &amp; Enquiries</x:v>
      </x:c>
      <x:c r="E107" s="339" t="str">
        <x:v>Admission Approval</x:v>
      </x:c>
      <x:c r="F107" s="339" t="str">
        <x:v>AC-00421, AC-00422, AC-00423, AC-00424</x:v>
      </x:c>
      <x:c r="G107" s="339" t="str">
        <x:v>BL-053</x:v>
      </x:c>
      <x:c r="H107" s="339" t="str">
        <x:v>BR-00157, BR-00158, BR-00159</x:v>
      </x:c>
      <x:c r="I107" s="339" t="str">
        <x:v>WF-053</x:v>
      </x:c>
      <x:c r="J107" s="339" t="str">
        <x:v>API-0053</x:v>
      </x:c>
      <x:c r="K107" s="339" t="str">
        <x:v>Phase 3</x:v>
      </x:c>
      <x:c r="L107" s="339" t="str">
        <x:v>Not Started</x:v>
      </x:c>
    </x:row>
    <x:row r="108">
      <x:c r="A108" s="339" t="str">
        <x:v>US-0107</x:v>
      </x:c>
      <x:c r="B108" s="339" t="str">
        <x:v>EP-005</x:v>
      </x:c>
      <x:c r="C108" s="339" t="str">
        <x:v>SCR-054</x:v>
      </x:c>
      <x:c r="D108" s="339" t="str">
        <x:v>Admissions &amp; Enquiries</x:v>
      </x:c>
      <x:c r="E108" s="339" t="str">
        <x:v>Admission Confirmation &amp; Student Creation</x:v>
      </x:c>
      <x:c r="F108" s="339" t="str">
        <x:v>AC-00425, AC-00426, AC-00427, AC-00428</x:v>
      </x:c>
      <x:c r="G108" s="339" t="str">
        <x:v>BL-054</x:v>
      </x:c>
      <x:c r="H108" s="339" t="str">
        <x:v>BR-00160, BR-00161, BR-00162</x:v>
      </x:c>
      <x:c r="I108" s="339" t="str">
        <x:v>WF-054</x:v>
      </x:c>
      <x:c r="J108" s="339" t="str">
        <x:v>API-0054</x:v>
      </x:c>
      <x:c r="K108" s="339" t="str">
        <x:v>Phase 3</x:v>
      </x:c>
      <x:c r="L108" s="339" t="str">
        <x:v>Not Started</x:v>
      </x:c>
    </x:row>
    <x:row r="109">
      <x:c r="A109" s="339" t="str">
        <x:v>US-0108</x:v>
      </x:c>
      <x:c r="B109" s="339" t="str">
        <x:v>EP-005</x:v>
      </x:c>
      <x:c r="C109" s="339" t="str">
        <x:v>SCR-054</x:v>
      </x:c>
      <x:c r="D109" s="339" t="str">
        <x:v>Admissions &amp; Enquiries</x:v>
      </x:c>
      <x:c r="E109" s="339" t="str">
        <x:v>Admission Confirmation &amp; Student Creation</x:v>
      </x:c>
      <x:c r="F109" s="339" t="str">
        <x:v>AC-00429, AC-00430, AC-00431, AC-00432</x:v>
      </x:c>
      <x:c r="G109" s="339" t="str">
        <x:v>BL-054</x:v>
      </x:c>
      <x:c r="H109" s="339" t="str">
        <x:v>BR-00160, BR-00161, BR-00162</x:v>
      </x:c>
      <x:c r="I109" s="339" t="str">
        <x:v>WF-054</x:v>
      </x:c>
      <x:c r="J109" s="339" t="str">
        <x:v>API-0054</x:v>
      </x:c>
      <x:c r="K109" s="339" t="str">
        <x:v>Phase 3</x:v>
      </x:c>
      <x:c r="L109" s="339" t="str">
        <x:v>Not Started</x:v>
      </x:c>
    </x:row>
    <x:row r="110">
      <x:c r="A110" s="339" t="str">
        <x:v>US-0109</x:v>
      </x:c>
      <x:c r="B110" s="339" t="str">
        <x:v>EP-006</x:v>
      </x:c>
      <x:c r="C110" s="339" t="str">
        <x:v>SCR-055</x:v>
      </x:c>
      <x:c r="D110" s="339" t="str">
        <x:v>Students</x:v>
      </x:c>
      <x:c r="E110" s="339" t="str">
        <x:v>Student Directory</x:v>
      </x:c>
      <x:c r="F110" s="339" t="str">
        <x:v>AC-00433, AC-00434, AC-00435, AC-00436</x:v>
      </x:c>
      <x:c r="G110" s="339" t="str">
        <x:v>BL-055</x:v>
      </x:c>
      <x:c r="H110" s="339" t="str">
        <x:v>BR-00163, BR-00164, BR-00165</x:v>
      </x:c>
      <x:c r="I110" s="339" t="str">
        <x:v>WF-055</x:v>
      </x:c>
      <x:c r="J110" s="339" t="str">
        <x:v>API-0055</x:v>
      </x:c>
      <x:c r="K110" s="339" t="str">
        <x:v>MVP</x:v>
      </x:c>
      <x:c r="L110" s="339" t="str">
        <x:v>Not Started</x:v>
      </x:c>
    </x:row>
    <x:row r="111">
      <x:c r="A111" s="339" t="str">
        <x:v>US-0110</x:v>
      </x:c>
      <x:c r="B111" s="339" t="str">
        <x:v>EP-006</x:v>
      </x:c>
      <x:c r="C111" s="339" t="str">
        <x:v>SCR-055</x:v>
      </x:c>
      <x:c r="D111" s="339" t="str">
        <x:v>Students</x:v>
      </x:c>
      <x:c r="E111" s="339" t="str">
        <x:v>Student Directory</x:v>
      </x:c>
      <x:c r="F111" s="339" t="str">
        <x:v>AC-00437, AC-00438, AC-00439, AC-00440</x:v>
      </x:c>
      <x:c r="G111" s="339" t="str">
        <x:v>BL-055</x:v>
      </x:c>
      <x:c r="H111" s="339" t="str">
        <x:v>BR-00163, BR-00164, BR-00165</x:v>
      </x:c>
      <x:c r="I111" s="339" t="str">
        <x:v>WF-055</x:v>
      </x:c>
      <x:c r="J111" s="339" t="str">
        <x:v>API-0055</x:v>
      </x:c>
      <x:c r="K111" s="339" t="str">
        <x:v>MVP</x:v>
      </x:c>
      <x:c r="L111" s="339" t="str">
        <x:v>Not Started</x:v>
      </x:c>
    </x:row>
    <x:row r="112">
      <x:c r="A112" s="339" t="str">
        <x:v>US-0111</x:v>
      </x:c>
      <x:c r="B112" s="339" t="str">
        <x:v>EP-006</x:v>
      </x:c>
      <x:c r="C112" s="339" t="str">
        <x:v>SCR-056</x:v>
      </x:c>
      <x:c r="D112" s="339" t="str">
        <x:v>Students</x:v>
      </x:c>
      <x:c r="E112" s="339" t="str">
        <x:v>Add Student</x:v>
      </x:c>
      <x:c r="F112" s="339" t="str">
        <x:v>AC-00441, AC-00442, AC-00443, AC-00444</x:v>
      </x:c>
      <x:c r="G112" s="339" t="str">
        <x:v>BL-056</x:v>
      </x:c>
      <x:c r="H112" s="339" t="str">
        <x:v>BR-00166, BR-00167, BR-00168</x:v>
      </x:c>
      <x:c r="I112" s="339" t="str">
        <x:v>WF-056</x:v>
      </x:c>
      <x:c r="J112" s="339" t="str">
        <x:v>API-0056</x:v>
      </x:c>
      <x:c r="K112" s="339" t="str">
        <x:v>MVP</x:v>
      </x:c>
      <x:c r="L112" s="339" t="str">
        <x:v>Not Started</x:v>
      </x:c>
    </x:row>
    <x:row r="113">
      <x:c r="A113" s="339" t="str">
        <x:v>US-0112</x:v>
      </x:c>
      <x:c r="B113" s="339" t="str">
        <x:v>EP-006</x:v>
      </x:c>
      <x:c r="C113" s="339" t="str">
        <x:v>SCR-056</x:v>
      </x:c>
      <x:c r="D113" s="339" t="str">
        <x:v>Students</x:v>
      </x:c>
      <x:c r="E113" s="339" t="str">
        <x:v>Add Student</x:v>
      </x:c>
      <x:c r="F113" s="339" t="str">
        <x:v>AC-00445, AC-00446, AC-00447, AC-00448</x:v>
      </x:c>
      <x:c r="G113" s="339" t="str">
        <x:v>BL-056</x:v>
      </x:c>
      <x:c r="H113" s="339" t="str">
        <x:v>BR-00166, BR-00167, BR-00168</x:v>
      </x:c>
      <x:c r="I113" s="339" t="str">
        <x:v>WF-056</x:v>
      </x:c>
      <x:c r="J113" s="339" t="str">
        <x:v>API-0056</x:v>
      </x:c>
      <x:c r="K113" s="339" t="str">
        <x:v>MVP</x:v>
      </x:c>
      <x:c r="L113" s="339" t="str">
        <x:v>Not Started</x:v>
      </x:c>
    </x:row>
    <x:row r="114">
      <x:c r="A114" s="339" t="str">
        <x:v>US-0113</x:v>
      </x:c>
      <x:c r="B114" s="339" t="str">
        <x:v>EP-006</x:v>
      </x:c>
      <x:c r="C114" s="339" t="str">
        <x:v>SCR-057</x:v>
      </x:c>
      <x:c r="D114" s="339" t="str">
        <x:v>Students</x:v>
      </x:c>
      <x:c r="E114" s="339" t="str">
        <x:v>Student Profile Overview</x:v>
      </x:c>
      <x:c r="F114" s="339" t="str">
        <x:v>AC-00449, AC-00450, AC-00451, AC-00452</x:v>
      </x:c>
      <x:c r="G114" s="339" t="str">
        <x:v>BL-057</x:v>
      </x:c>
      <x:c r="H114" s="339" t="str">
        <x:v>BR-00169, BR-00170, BR-00171</x:v>
      </x:c>
      <x:c r="I114" s="339" t="str">
        <x:v>WF-057</x:v>
      </x:c>
      <x:c r="J114" s="339" t="str">
        <x:v>API-0057</x:v>
      </x:c>
      <x:c r="K114" s="339" t="str">
        <x:v>MVP</x:v>
      </x:c>
      <x:c r="L114" s="339" t="str">
        <x:v>Not Started</x:v>
      </x:c>
    </x:row>
    <x:row r="115">
      <x:c r="A115" s="339" t="str">
        <x:v>US-0114</x:v>
      </x:c>
      <x:c r="B115" s="339" t="str">
        <x:v>EP-006</x:v>
      </x:c>
      <x:c r="C115" s="339" t="str">
        <x:v>SCR-057</x:v>
      </x:c>
      <x:c r="D115" s="339" t="str">
        <x:v>Students</x:v>
      </x:c>
      <x:c r="E115" s="339" t="str">
        <x:v>Student Profile Overview</x:v>
      </x:c>
      <x:c r="F115" s="339" t="str">
        <x:v>AC-00453, AC-00454, AC-00455, AC-00456</x:v>
      </x:c>
      <x:c r="G115" s="339" t="str">
        <x:v>BL-057</x:v>
      </x:c>
      <x:c r="H115" s="339" t="str">
        <x:v>BR-00169, BR-00170, BR-00171</x:v>
      </x:c>
      <x:c r="I115" s="339" t="str">
        <x:v>WF-057</x:v>
      </x:c>
      <x:c r="J115" s="339" t="str">
        <x:v>API-0057</x:v>
      </x:c>
      <x:c r="K115" s="339" t="str">
        <x:v>MVP</x:v>
      </x:c>
      <x:c r="L115" s="339" t="str">
        <x:v>Not Started</x:v>
      </x:c>
    </x:row>
    <x:row r="116">
      <x:c r="A116" s="339" t="str">
        <x:v>US-0115</x:v>
      </x:c>
      <x:c r="B116" s="339" t="str">
        <x:v>EP-006</x:v>
      </x:c>
      <x:c r="C116" s="339" t="str">
        <x:v>SCR-058</x:v>
      </x:c>
      <x:c r="D116" s="339" t="str">
        <x:v>Students</x:v>
      </x:c>
      <x:c r="E116" s="339" t="str">
        <x:v>Edit Student</x:v>
      </x:c>
      <x:c r="F116" s="339" t="str">
        <x:v>AC-00457, AC-00458, AC-00459, AC-00460</x:v>
      </x:c>
      <x:c r="G116" s="339" t="str">
        <x:v>BL-058</x:v>
      </x:c>
      <x:c r="H116" s="339" t="str">
        <x:v>BR-00172, BR-00173, BR-00174</x:v>
      </x:c>
      <x:c r="I116" s="339" t="str">
        <x:v>WF-058</x:v>
      </x:c>
      <x:c r="J116" s="339" t="str">
        <x:v>API-0058</x:v>
      </x:c>
      <x:c r="K116" s="339" t="str">
        <x:v>MVP</x:v>
      </x:c>
      <x:c r="L116" s="339" t="str">
        <x:v>Not Started</x:v>
      </x:c>
    </x:row>
    <x:row r="117">
      <x:c r="A117" s="339" t="str">
        <x:v>US-0116</x:v>
      </x:c>
      <x:c r="B117" s="339" t="str">
        <x:v>EP-006</x:v>
      </x:c>
      <x:c r="C117" s="339" t="str">
        <x:v>SCR-058</x:v>
      </x:c>
      <x:c r="D117" s="339" t="str">
        <x:v>Students</x:v>
      </x:c>
      <x:c r="E117" s="339" t="str">
        <x:v>Edit Student</x:v>
      </x:c>
      <x:c r="F117" s="339" t="str">
        <x:v>AC-00461, AC-00462, AC-00463, AC-00464</x:v>
      </x:c>
      <x:c r="G117" s="339" t="str">
        <x:v>BL-058</x:v>
      </x:c>
      <x:c r="H117" s="339" t="str">
        <x:v>BR-00172, BR-00173, BR-00174</x:v>
      </x:c>
      <x:c r="I117" s="339" t="str">
        <x:v>WF-058</x:v>
      </x:c>
      <x:c r="J117" s="339" t="str">
        <x:v>API-0058</x:v>
      </x:c>
      <x:c r="K117" s="339" t="str">
        <x:v>MVP</x:v>
      </x:c>
      <x:c r="L117" s="339" t="str">
        <x:v>Not Started</x:v>
      </x:c>
    </x:row>
    <x:row r="118">
      <x:c r="A118" s="339" t="str">
        <x:v>US-0117</x:v>
      </x:c>
      <x:c r="B118" s="339" t="str">
        <x:v>EP-006</x:v>
      </x:c>
      <x:c r="C118" s="339" t="str">
        <x:v>SCR-059</x:v>
      </x:c>
      <x:c r="D118" s="339" t="str">
        <x:v>Students</x:v>
      </x:c>
      <x:c r="E118" s="339" t="str">
        <x:v>Student Academic Details</x:v>
      </x:c>
      <x:c r="F118" s="339" t="str">
        <x:v>AC-00465, AC-00466, AC-00467, AC-00468</x:v>
      </x:c>
      <x:c r="G118" s="339" t="str">
        <x:v>BL-059</x:v>
      </x:c>
      <x:c r="H118" s="339" t="str">
        <x:v>BR-00175, BR-00176, BR-00177</x:v>
      </x:c>
      <x:c r="I118" s="339" t="str">
        <x:v>WF-059</x:v>
      </x:c>
      <x:c r="J118" s="339" t="str">
        <x:v>API-0059</x:v>
      </x:c>
      <x:c r="K118" s="339" t="str">
        <x:v>MVP</x:v>
      </x:c>
      <x:c r="L118" s="339" t="str">
        <x:v>Not Started</x:v>
      </x:c>
    </x:row>
    <x:row r="119">
      <x:c r="A119" s="339" t="str">
        <x:v>US-0118</x:v>
      </x:c>
      <x:c r="B119" s="339" t="str">
        <x:v>EP-006</x:v>
      </x:c>
      <x:c r="C119" s="339" t="str">
        <x:v>SCR-059</x:v>
      </x:c>
      <x:c r="D119" s="339" t="str">
        <x:v>Students</x:v>
      </x:c>
      <x:c r="E119" s="339" t="str">
        <x:v>Student Academic Details</x:v>
      </x:c>
      <x:c r="F119" s="339" t="str">
        <x:v>AC-00469, AC-00470, AC-00471, AC-00472</x:v>
      </x:c>
      <x:c r="G119" s="339" t="str">
        <x:v>BL-059</x:v>
      </x:c>
      <x:c r="H119" s="339" t="str">
        <x:v>BR-00175, BR-00176, BR-00177</x:v>
      </x:c>
      <x:c r="I119" s="339" t="str">
        <x:v>WF-059</x:v>
      </x:c>
      <x:c r="J119" s="339" t="str">
        <x:v>API-0059</x:v>
      </x:c>
      <x:c r="K119" s="339" t="str">
        <x:v>MVP</x:v>
      </x:c>
      <x:c r="L119" s="339" t="str">
        <x:v>Not Started</x:v>
      </x:c>
    </x:row>
    <x:row r="120">
      <x:c r="A120" s="339" t="str">
        <x:v>US-0119</x:v>
      </x:c>
      <x:c r="B120" s="339" t="str">
        <x:v>EP-006</x:v>
      </x:c>
      <x:c r="C120" s="339" t="str">
        <x:v>SCR-060</x:v>
      </x:c>
      <x:c r="D120" s="339" t="str">
        <x:v>Students</x:v>
      </x:c>
      <x:c r="E120" s="339" t="str">
        <x:v>Student Attendance History</x:v>
      </x:c>
      <x:c r="F120" s="339" t="str">
        <x:v>AC-00473, AC-00474, AC-00475, AC-00476</x:v>
      </x:c>
      <x:c r="G120" s="339" t="str">
        <x:v>BL-060</x:v>
      </x:c>
      <x:c r="H120" s="339" t="str">
        <x:v>BR-00178, BR-00179, BR-00180</x:v>
      </x:c>
      <x:c r="I120" s="339" t="str">
        <x:v>WF-060</x:v>
      </x:c>
      <x:c r="J120" s="339" t="str">
        <x:v>API-0060</x:v>
      </x:c>
      <x:c r="K120" s="339" t="str">
        <x:v>MVP</x:v>
      </x:c>
      <x:c r="L120" s="339" t="str">
        <x:v>Not Started</x:v>
      </x:c>
    </x:row>
    <x:row r="121">
      <x:c r="A121" s="339" t="str">
        <x:v>US-0120</x:v>
      </x:c>
      <x:c r="B121" s="339" t="str">
        <x:v>EP-006</x:v>
      </x:c>
      <x:c r="C121" s="339" t="str">
        <x:v>SCR-060</x:v>
      </x:c>
      <x:c r="D121" s="339" t="str">
        <x:v>Students</x:v>
      </x:c>
      <x:c r="E121" s="339" t="str">
        <x:v>Student Attendance History</x:v>
      </x:c>
      <x:c r="F121" s="339" t="str">
        <x:v>AC-00477, AC-00478, AC-00479, AC-00480</x:v>
      </x:c>
      <x:c r="G121" s="339" t="str">
        <x:v>BL-060</x:v>
      </x:c>
      <x:c r="H121" s="339" t="str">
        <x:v>BR-00178, BR-00179, BR-00180</x:v>
      </x:c>
      <x:c r="I121" s="339" t="str">
        <x:v>WF-060</x:v>
      </x:c>
      <x:c r="J121" s="339" t="str">
        <x:v>API-0060</x:v>
      </x:c>
      <x:c r="K121" s="339" t="str">
        <x:v>MVP</x:v>
      </x:c>
      <x:c r="L121" s="339" t="str">
        <x:v>Not Started</x:v>
      </x:c>
    </x:row>
    <x:row r="122">
      <x:c r="A122" s="339" t="str">
        <x:v>US-0121</x:v>
      </x:c>
      <x:c r="B122" s="339" t="str">
        <x:v>EP-006</x:v>
      </x:c>
      <x:c r="C122" s="339" t="str">
        <x:v>SCR-061</x:v>
      </x:c>
      <x:c r="D122" s="339" t="str">
        <x:v>Students</x:v>
      </x:c>
      <x:c r="E122" s="339" t="str">
        <x:v>Student Examination &amp; Results</x:v>
      </x:c>
      <x:c r="F122" s="339" t="str">
        <x:v>AC-00481, AC-00482, AC-00483, AC-00484</x:v>
      </x:c>
      <x:c r="G122" s="339" t="str">
        <x:v>BL-061</x:v>
      </x:c>
      <x:c r="H122" s="339" t="str">
        <x:v>BR-00181, BR-00182, BR-00183</x:v>
      </x:c>
      <x:c r="I122" s="339" t="str">
        <x:v>WF-061</x:v>
      </x:c>
      <x:c r="J122" s="339" t="str">
        <x:v>API-0061</x:v>
      </x:c>
      <x:c r="K122" s="339" t="str">
        <x:v>MVP</x:v>
      </x:c>
      <x:c r="L122" s="339" t="str">
        <x:v>Not Started</x:v>
      </x:c>
    </x:row>
    <x:row r="123">
      <x:c r="A123" s="339" t="str">
        <x:v>US-0122</x:v>
      </x:c>
      <x:c r="B123" s="339" t="str">
        <x:v>EP-006</x:v>
      </x:c>
      <x:c r="C123" s="339" t="str">
        <x:v>SCR-061</x:v>
      </x:c>
      <x:c r="D123" s="339" t="str">
        <x:v>Students</x:v>
      </x:c>
      <x:c r="E123" s="339" t="str">
        <x:v>Student Examination &amp; Results</x:v>
      </x:c>
      <x:c r="F123" s="339" t="str">
        <x:v>AC-00485, AC-00486, AC-00487, AC-00488</x:v>
      </x:c>
      <x:c r="G123" s="339" t="str">
        <x:v>BL-061</x:v>
      </x:c>
      <x:c r="H123" s="339" t="str">
        <x:v>BR-00181, BR-00182, BR-00183</x:v>
      </x:c>
      <x:c r="I123" s="339" t="str">
        <x:v>WF-061</x:v>
      </x:c>
      <x:c r="J123" s="339" t="str">
        <x:v>API-0061</x:v>
      </x:c>
      <x:c r="K123" s="339" t="str">
        <x:v>MVP</x:v>
      </x:c>
      <x:c r="L123" s="339" t="str">
        <x:v>Not Started</x:v>
      </x:c>
    </x:row>
    <x:row r="124">
      <x:c r="A124" s="339" t="str">
        <x:v>US-0123</x:v>
      </x:c>
      <x:c r="B124" s="339" t="str">
        <x:v>EP-006</x:v>
      </x:c>
      <x:c r="C124" s="339" t="str">
        <x:v>SCR-062</x:v>
      </x:c>
      <x:c r="D124" s="339" t="str">
        <x:v>Students</x:v>
      </x:c>
      <x:c r="E124" s="339" t="str">
        <x:v>Student Fees &amp; Ledger</x:v>
      </x:c>
      <x:c r="F124" s="339" t="str">
        <x:v>AC-00489, AC-00490, AC-00491, AC-00492</x:v>
      </x:c>
      <x:c r="G124" s="339" t="str">
        <x:v>BL-062</x:v>
      </x:c>
      <x:c r="H124" s="339" t="str">
        <x:v>BR-00184, BR-00185, BR-00186</x:v>
      </x:c>
      <x:c r="I124" s="339" t="str">
        <x:v>WF-062</x:v>
      </x:c>
      <x:c r="J124" s="339" t="str">
        <x:v>API-0062</x:v>
      </x:c>
      <x:c r="K124" s="339" t="str">
        <x:v>MVP</x:v>
      </x:c>
      <x:c r="L124" s="339" t="str">
        <x:v>Not Started</x:v>
      </x:c>
    </x:row>
    <x:row r="125">
      <x:c r="A125" s="339" t="str">
        <x:v>US-0124</x:v>
      </x:c>
      <x:c r="B125" s="339" t="str">
        <x:v>EP-006</x:v>
      </x:c>
      <x:c r="C125" s="339" t="str">
        <x:v>SCR-062</x:v>
      </x:c>
      <x:c r="D125" s="339" t="str">
        <x:v>Students</x:v>
      </x:c>
      <x:c r="E125" s="339" t="str">
        <x:v>Student Fees &amp; Ledger</x:v>
      </x:c>
      <x:c r="F125" s="339" t="str">
        <x:v>AC-00493, AC-00494, AC-00495, AC-00496</x:v>
      </x:c>
      <x:c r="G125" s="339" t="str">
        <x:v>BL-062</x:v>
      </x:c>
      <x:c r="H125" s="339" t="str">
        <x:v>BR-00184, BR-00185, BR-00186</x:v>
      </x:c>
      <x:c r="I125" s="339" t="str">
        <x:v>WF-062</x:v>
      </x:c>
      <x:c r="J125" s="339" t="str">
        <x:v>API-0062</x:v>
      </x:c>
      <x:c r="K125" s="339" t="str">
        <x:v>MVP</x:v>
      </x:c>
      <x:c r="L125" s="339" t="str">
        <x:v>Not Started</x:v>
      </x:c>
    </x:row>
    <x:row r="126">
      <x:c r="A126" s="339" t="str">
        <x:v>US-0125</x:v>
      </x:c>
      <x:c r="B126" s="339" t="str">
        <x:v>EP-006</x:v>
      </x:c>
      <x:c r="C126" s="339" t="str">
        <x:v>SCR-063</x:v>
      </x:c>
      <x:c r="D126" s="339" t="str">
        <x:v>Students</x:v>
      </x:c>
      <x:c r="E126" s="339" t="str">
        <x:v>Student Documents</x:v>
      </x:c>
      <x:c r="F126" s="339" t="str">
        <x:v>AC-00497, AC-00498, AC-00499, AC-00500</x:v>
      </x:c>
      <x:c r="G126" s="339" t="str">
        <x:v>BL-063</x:v>
      </x:c>
      <x:c r="H126" s="339" t="str">
        <x:v>BR-00187, BR-00188, BR-00189</x:v>
      </x:c>
      <x:c r="I126" s="339" t="str">
        <x:v>WF-063</x:v>
      </x:c>
      <x:c r="J126" s="339" t="str">
        <x:v>API-0063</x:v>
      </x:c>
      <x:c r="K126" s="339" t="str">
        <x:v>Phase 2</x:v>
      </x:c>
      <x:c r="L126" s="339" t="str">
        <x:v>Not Started</x:v>
      </x:c>
    </x:row>
    <x:row r="127">
      <x:c r="A127" s="339" t="str">
        <x:v>US-0126</x:v>
      </x:c>
      <x:c r="B127" s="339" t="str">
        <x:v>EP-006</x:v>
      </x:c>
      <x:c r="C127" s="339" t="str">
        <x:v>SCR-063</x:v>
      </x:c>
      <x:c r="D127" s="339" t="str">
        <x:v>Students</x:v>
      </x:c>
      <x:c r="E127" s="339" t="str">
        <x:v>Student Documents</x:v>
      </x:c>
      <x:c r="F127" s="339" t="str">
        <x:v>AC-00501, AC-00502, AC-00503, AC-00504</x:v>
      </x:c>
      <x:c r="G127" s="339" t="str">
        <x:v>BL-063</x:v>
      </x:c>
      <x:c r="H127" s="339" t="str">
        <x:v>BR-00187, BR-00188, BR-00189</x:v>
      </x:c>
      <x:c r="I127" s="339" t="str">
        <x:v>WF-063</x:v>
      </x:c>
      <x:c r="J127" s="339" t="str">
        <x:v>API-0063</x:v>
      </x:c>
      <x:c r="K127" s="339" t="str">
        <x:v>Phase 2</x:v>
      </x:c>
      <x:c r="L127" s="339" t="str">
        <x:v>Not Started</x:v>
      </x:c>
    </x:row>
    <x:row r="128">
      <x:c r="A128" s="339" t="str">
        <x:v>US-0127</x:v>
      </x:c>
      <x:c r="B128" s="339" t="str">
        <x:v>EP-006</x:v>
      </x:c>
      <x:c r="C128" s="339" t="str">
        <x:v>SCR-064</x:v>
      </x:c>
      <x:c r="D128" s="339" t="str">
        <x:v>Students</x:v>
      </x:c>
      <x:c r="E128" s="339" t="str">
        <x:v>Student Behaviour &amp; Discipline</x:v>
      </x:c>
      <x:c r="F128" s="339" t="str">
        <x:v>AC-00505, AC-00506, AC-00507, AC-00508</x:v>
      </x:c>
      <x:c r="G128" s="339" t="str">
        <x:v>BL-064</x:v>
      </x:c>
      <x:c r="H128" s="339" t="str">
        <x:v>BR-00190, BR-00191, BR-00192</x:v>
      </x:c>
      <x:c r="I128" s="339" t="str">
        <x:v>WF-064</x:v>
      </x:c>
      <x:c r="J128" s="339" t="str">
        <x:v>API-0064</x:v>
      </x:c>
      <x:c r="K128" s="339" t="str">
        <x:v>Phase 2</x:v>
      </x:c>
      <x:c r="L128" s="339" t="str">
        <x:v>Not Started</x:v>
      </x:c>
    </x:row>
    <x:row r="129">
      <x:c r="A129" s="339" t="str">
        <x:v>US-0128</x:v>
      </x:c>
      <x:c r="B129" s="339" t="str">
        <x:v>EP-006</x:v>
      </x:c>
      <x:c r="C129" s="339" t="str">
        <x:v>SCR-064</x:v>
      </x:c>
      <x:c r="D129" s="339" t="str">
        <x:v>Students</x:v>
      </x:c>
      <x:c r="E129" s="339" t="str">
        <x:v>Student Behaviour &amp; Discipline</x:v>
      </x:c>
      <x:c r="F129" s="339" t="str">
        <x:v>AC-00509, AC-00510, AC-00511, AC-00512</x:v>
      </x:c>
      <x:c r="G129" s="339" t="str">
        <x:v>BL-064</x:v>
      </x:c>
      <x:c r="H129" s="339" t="str">
        <x:v>BR-00190, BR-00191, BR-00192</x:v>
      </x:c>
      <x:c r="I129" s="339" t="str">
        <x:v>WF-064</x:v>
      </x:c>
      <x:c r="J129" s="339" t="str">
        <x:v>API-0064</x:v>
      </x:c>
      <x:c r="K129" s="339" t="str">
        <x:v>Phase 2</x:v>
      </x:c>
      <x:c r="L129" s="339" t="str">
        <x:v>Not Started</x:v>
      </x:c>
    </x:row>
    <x:row r="130">
      <x:c r="A130" s="339" t="str">
        <x:v>US-0129</x:v>
      </x:c>
      <x:c r="B130" s="339" t="str">
        <x:v>EP-006</x:v>
      </x:c>
      <x:c r="C130" s="339" t="str">
        <x:v>SCR-065</x:v>
      </x:c>
      <x:c r="D130" s="339" t="str">
        <x:v>Students</x:v>
      </x:c>
      <x:c r="E130" s="339" t="str">
        <x:v>Student Health</x:v>
      </x:c>
      <x:c r="F130" s="339" t="str">
        <x:v>AC-00513, AC-00514, AC-00515, AC-00516</x:v>
      </x:c>
      <x:c r="G130" s="339" t="str">
        <x:v>BL-065</x:v>
      </x:c>
      <x:c r="H130" s="339" t="str">
        <x:v>BR-00193, BR-00194, BR-00195</x:v>
      </x:c>
      <x:c r="I130" s="339" t="str">
        <x:v>WF-065</x:v>
      </x:c>
      <x:c r="J130" s="339" t="str">
        <x:v>API-0065</x:v>
      </x:c>
      <x:c r="K130" s="339" t="str">
        <x:v>Phase 2</x:v>
      </x:c>
      <x:c r="L130" s="339" t="str">
        <x:v>Not Started</x:v>
      </x:c>
    </x:row>
    <x:row r="131">
      <x:c r="A131" s="339" t="str">
        <x:v>US-0130</x:v>
      </x:c>
      <x:c r="B131" s="339" t="str">
        <x:v>EP-006</x:v>
      </x:c>
      <x:c r="C131" s="339" t="str">
        <x:v>SCR-065</x:v>
      </x:c>
      <x:c r="D131" s="339" t="str">
        <x:v>Students</x:v>
      </x:c>
      <x:c r="E131" s="339" t="str">
        <x:v>Student Health</x:v>
      </x:c>
      <x:c r="F131" s="339" t="str">
        <x:v>AC-00517, AC-00518, AC-00519, AC-00520</x:v>
      </x:c>
      <x:c r="G131" s="339" t="str">
        <x:v>BL-065</x:v>
      </x:c>
      <x:c r="H131" s="339" t="str">
        <x:v>BR-00193, BR-00194, BR-00195</x:v>
      </x:c>
      <x:c r="I131" s="339" t="str">
        <x:v>WF-065</x:v>
      </x:c>
      <x:c r="J131" s="339" t="str">
        <x:v>API-0065</x:v>
      </x:c>
      <x:c r="K131" s="339" t="str">
        <x:v>Phase 2</x:v>
      </x:c>
      <x:c r="L131" s="339" t="str">
        <x:v>Not Started</x:v>
      </x:c>
    </x:row>
    <x:row r="132">
      <x:c r="A132" s="339" t="str">
        <x:v>US-0131</x:v>
      </x:c>
      <x:c r="B132" s="339" t="str">
        <x:v>EP-006</x:v>
      </x:c>
      <x:c r="C132" s="339" t="str">
        <x:v>SCR-066</x:v>
      </x:c>
      <x:c r="D132" s="339" t="str">
        <x:v>Students</x:v>
      </x:c>
      <x:c r="E132" s="339" t="str">
        <x:v>Student Transport</x:v>
      </x:c>
      <x:c r="F132" s="339" t="str">
        <x:v>AC-00521, AC-00522, AC-00523, AC-00524</x:v>
      </x:c>
      <x:c r="G132" s="339" t="str">
        <x:v>BL-066</x:v>
      </x:c>
      <x:c r="H132" s="339" t="str">
        <x:v>BR-00196, BR-00197, BR-00198</x:v>
      </x:c>
      <x:c r="I132" s="339" t="str">
        <x:v>WF-066</x:v>
      </x:c>
      <x:c r="J132" s="339" t="str">
        <x:v>API-0066</x:v>
      </x:c>
      <x:c r="K132" s="339" t="str">
        <x:v>Phase 3</x:v>
      </x:c>
      <x:c r="L132" s="339" t="str">
        <x:v>Not Started</x:v>
      </x:c>
    </x:row>
    <x:row r="133">
      <x:c r="A133" s="339" t="str">
        <x:v>US-0132</x:v>
      </x:c>
      <x:c r="B133" s="339" t="str">
        <x:v>EP-006</x:v>
      </x:c>
      <x:c r="C133" s="339" t="str">
        <x:v>SCR-066</x:v>
      </x:c>
      <x:c r="D133" s="339" t="str">
        <x:v>Students</x:v>
      </x:c>
      <x:c r="E133" s="339" t="str">
        <x:v>Student Transport</x:v>
      </x:c>
      <x:c r="F133" s="339" t="str">
        <x:v>AC-00525, AC-00526, AC-00527, AC-00528</x:v>
      </x:c>
      <x:c r="G133" s="339" t="str">
        <x:v>BL-066</x:v>
      </x:c>
      <x:c r="H133" s="339" t="str">
        <x:v>BR-00196, BR-00197, BR-00198</x:v>
      </x:c>
      <x:c r="I133" s="339" t="str">
        <x:v>WF-066</x:v>
      </x:c>
      <x:c r="J133" s="339" t="str">
        <x:v>API-0066</x:v>
      </x:c>
      <x:c r="K133" s="339" t="str">
        <x:v>Phase 3</x:v>
      </x:c>
      <x:c r="L133" s="339" t="str">
        <x:v>Not Started</x:v>
      </x:c>
    </x:row>
    <x:row r="134">
      <x:c r="A134" s="339" t="str">
        <x:v>US-0133</x:v>
      </x:c>
      <x:c r="B134" s="339" t="str">
        <x:v>EP-006</x:v>
      </x:c>
      <x:c r="C134" s="339" t="str">
        <x:v>SCR-067</x:v>
      </x:c>
      <x:c r="D134" s="339" t="str">
        <x:v>Students</x:v>
      </x:c>
      <x:c r="E134" s="339" t="str">
        <x:v>Student Library</x:v>
      </x:c>
      <x:c r="F134" s="339" t="str">
        <x:v>AC-00529, AC-00530, AC-00531, AC-00532</x:v>
      </x:c>
      <x:c r="G134" s="339" t="str">
        <x:v>BL-067</x:v>
      </x:c>
      <x:c r="H134" s="339" t="str">
        <x:v>BR-00199, BR-00200, BR-00201</x:v>
      </x:c>
      <x:c r="I134" s="339" t="str">
        <x:v>WF-067</x:v>
      </x:c>
      <x:c r="J134" s="339" t="str">
        <x:v>API-0067</x:v>
      </x:c>
      <x:c r="K134" s="339" t="str">
        <x:v>Phase 3</x:v>
      </x:c>
      <x:c r="L134" s="339" t="str">
        <x:v>Not Started</x:v>
      </x:c>
    </x:row>
    <x:row r="135">
      <x:c r="A135" s="339" t="str">
        <x:v>US-0134</x:v>
      </x:c>
      <x:c r="B135" s="339" t="str">
        <x:v>EP-006</x:v>
      </x:c>
      <x:c r="C135" s="339" t="str">
        <x:v>SCR-067</x:v>
      </x:c>
      <x:c r="D135" s="339" t="str">
        <x:v>Students</x:v>
      </x:c>
      <x:c r="E135" s="339" t="str">
        <x:v>Student Library</x:v>
      </x:c>
      <x:c r="F135" s="339" t="str">
        <x:v>AC-00533, AC-00534, AC-00535, AC-00536</x:v>
      </x:c>
      <x:c r="G135" s="339" t="str">
        <x:v>BL-067</x:v>
      </x:c>
      <x:c r="H135" s="339" t="str">
        <x:v>BR-00199, BR-00200, BR-00201</x:v>
      </x:c>
      <x:c r="I135" s="339" t="str">
        <x:v>WF-067</x:v>
      </x:c>
      <x:c r="J135" s="339" t="str">
        <x:v>API-0067</x:v>
      </x:c>
      <x:c r="K135" s="339" t="str">
        <x:v>Phase 3</x:v>
      </x:c>
      <x:c r="L135" s="339" t="str">
        <x:v>Not Started</x:v>
      </x:c>
    </x:row>
    <x:row r="136">
      <x:c r="A136" s="339" t="str">
        <x:v>US-0135</x:v>
      </x:c>
      <x:c r="B136" s="339" t="str">
        <x:v>EP-006</x:v>
      </x:c>
      <x:c r="C136" s="339" t="str">
        <x:v>SCR-068</x:v>
      </x:c>
      <x:c r="D136" s="339" t="str">
        <x:v>Students</x:v>
      </x:c>
      <x:c r="E136" s="339" t="str">
        <x:v>Siblings &amp; Family</x:v>
      </x:c>
      <x:c r="F136" s="339" t="str">
        <x:v>AC-00537, AC-00538, AC-00539, AC-00540</x:v>
      </x:c>
      <x:c r="G136" s="339" t="str">
        <x:v>BL-068</x:v>
      </x:c>
      <x:c r="H136" s="339" t="str">
        <x:v>BR-00202, BR-00203, BR-00204</x:v>
      </x:c>
      <x:c r="I136" s="339" t="str">
        <x:v>WF-068</x:v>
      </x:c>
      <x:c r="J136" s="339" t="str">
        <x:v>API-0068</x:v>
      </x:c>
      <x:c r="K136" s="339" t="str">
        <x:v>Phase 3</x:v>
      </x:c>
      <x:c r="L136" s="339" t="str">
        <x:v>Not Started</x:v>
      </x:c>
    </x:row>
    <x:row r="137">
      <x:c r="A137" s="339" t="str">
        <x:v>US-0136</x:v>
      </x:c>
      <x:c r="B137" s="339" t="str">
        <x:v>EP-006</x:v>
      </x:c>
      <x:c r="C137" s="339" t="str">
        <x:v>SCR-068</x:v>
      </x:c>
      <x:c r="D137" s="339" t="str">
        <x:v>Students</x:v>
      </x:c>
      <x:c r="E137" s="339" t="str">
        <x:v>Siblings &amp; Family</x:v>
      </x:c>
      <x:c r="F137" s="339" t="str">
        <x:v>AC-00541, AC-00542, AC-00543, AC-00544</x:v>
      </x:c>
      <x:c r="G137" s="339" t="str">
        <x:v>BL-068</x:v>
      </x:c>
      <x:c r="H137" s="339" t="str">
        <x:v>BR-00202, BR-00203, BR-00204</x:v>
      </x:c>
      <x:c r="I137" s="339" t="str">
        <x:v>WF-068</x:v>
      </x:c>
      <x:c r="J137" s="339" t="str">
        <x:v>API-0068</x:v>
      </x:c>
      <x:c r="K137" s="339" t="str">
        <x:v>Phase 3</x:v>
      </x:c>
      <x:c r="L137" s="339" t="str">
        <x:v>Not Started</x:v>
      </x:c>
    </x:row>
    <x:row r="138">
      <x:c r="A138" s="339" t="str">
        <x:v>US-0137</x:v>
      </x:c>
      <x:c r="B138" s="339" t="str">
        <x:v>EP-006</x:v>
      </x:c>
      <x:c r="C138" s="339" t="str">
        <x:v>SCR-069</x:v>
      </x:c>
      <x:c r="D138" s="339" t="str">
        <x:v>Students</x:v>
      </x:c>
      <x:c r="E138" s="339" t="str">
        <x:v>Promotion / Transfer</x:v>
      </x:c>
      <x:c r="F138" s="339" t="str">
        <x:v>AC-00545, AC-00546, AC-00547, AC-00548</x:v>
      </x:c>
      <x:c r="G138" s="339" t="str">
        <x:v>BL-069</x:v>
      </x:c>
      <x:c r="H138" s="339" t="str">
        <x:v>BR-00205, BR-00206, BR-00207</x:v>
      </x:c>
      <x:c r="I138" s="339" t="str">
        <x:v>WF-069</x:v>
      </x:c>
      <x:c r="J138" s="339" t="str">
        <x:v>API-0069</x:v>
      </x:c>
      <x:c r="K138" s="339" t="str">
        <x:v>Phase 3</x:v>
      </x:c>
      <x:c r="L138" s="339" t="str">
        <x:v>Not Started</x:v>
      </x:c>
    </x:row>
    <x:row r="139">
      <x:c r="A139" s="339" t="str">
        <x:v>US-0138</x:v>
      </x:c>
      <x:c r="B139" s="339" t="str">
        <x:v>EP-006</x:v>
      </x:c>
      <x:c r="C139" s="339" t="str">
        <x:v>SCR-069</x:v>
      </x:c>
      <x:c r="D139" s="339" t="str">
        <x:v>Students</x:v>
      </x:c>
      <x:c r="E139" s="339" t="str">
        <x:v>Promotion / Transfer</x:v>
      </x:c>
      <x:c r="F139" s="339" t="str">
        <x:v>AC-00549, AC-00550, AC-00551, AC-00552</x:v>
      </x:c>
      <x:c r="G139" s="339" t="str">
        <x:v>BL-069</x:v>
      </x:c>
      <x:c r="H139" s="339" t="str">
        <x:v>BR-00205, BR-00206, BR-00207</x:v>
      </x:c>
      <x:c r="I139" s="339" t="str">
        <x:v>WF-069</x:v>
      </x:c>
      <x:c r="J139" s="339" t="str">
        <x:v>API-0069</x:v>
      </x:c>
      <x:c r="K139" s="339" t="str">
        <x:v>Phase 3</x:v>
      </x:c>
      <x:c r="L139" s="339" t="str">
        <x:v>Not Started</x:v>
      </x:c>
    </x:row>
    <x:row r="140">
      <x:c r="A140" s="339" t="str">
        <x:v>US-0139</x:v>
      </x:c>
      <x:c r="B140" s="339" t="str">
        <x:v>EP-006</x:v>
      </x:c>
      <x:c r="C140" s="339" t="str">
        <x:v>SCR-070</x:v>
      </x:c>
      <x:c r="D140" s="339" t="str">
        <x:v>Students</x:v>
      </x:c>
      <x:c r="E140" s="339" t="str">
        <x:v>Student Exit / Alumni Conversion</x:v>
      </x:c>
      <x:c r="F140" s="339" t="str">
        <x:v>AC-00553, AC-00554, AC-00555, AC-00556</x:v>
      </x:c>
      <x:c r="G140" s="339" t="str">
        <x:v>BL-070</x:v>
      </x:c>
      <x:c r="H140" s="339" t="str">
        <x:v>BR-00208, BR-00209, BR-00210</x:v>
      </x:c>
      <x:c r="I140" s="339" t="str">
        <x:v>WF-070</x:v>
      </x:c>
      <x:c r="J140" s="339" t="str">
        <x:v>API-0070</x:v>
      </x:c>
      <x:c r="K140" s="339" t="str">
        <x:v>Phase 3</x:v>
      </x:c>
      <x:c r="L140" s="339" t="str">
        <x:v>Not Started</x:v>
      </x:c>
    </x:row>
    <x:row r="141">
      <x:c r="A141" s="339" t="str">
        <x:v>US-0140</x:v>
      </x:c>
      <x:c r="B141" s="339" t="str">
        <x:v>EP-006</x:v>
      </x:c>
      <x:c r="C141" s="339" t="str">
        <x:v>SCR-070</x:v>
      </x:c>
      <x:c r="D141" s="339" t="str">
        <x:v>Students</x:v>
      </x:c>
      <x:c r="E141" s="339" t="str">
        <x:v>Student Exit / Alumni Conversion</x:v>
      </x:c>
      <x:c r="F141" s="339" t="str">
        <x:v>AC-00557, AC-00558, AC-00559, AC-00560</x:v>
      </x:c>
      <x:c r="G141" s="339" t="str">
        <x:v>BL-070</x:v>
      </x:c>
      <x:c r="H141" s="339" t="str">
        <x:v>BR-00208, BR-00209, BR-00210</x:v>
      </x:c>
      <x:c r="I141" s="339" t="str">
        <x:v>WF-070</x:v>
      </x:c>
      <x:c r="J141" s="339" t="str">
        <x:v>API-0070</x:v>
      </x:c>
      <x:c r="K141" s="339" t="str">
        <x:v>Phase 3</x:v>
      </x:c>
      <x:c r="L141" s="339" t="str">
        <x:v>Not Started</x:v>
      </x:c>
    </x:row>
    <x:row r="142">
      <x:c r="A142" s="339" t="str">
        <x:v>US-0141</x:v>
      </x:c>
      <x:c r="B142" s="339" t="str">
        <x:v>EP-007</x:v>
      </x:c>
      <x:c r="C142" s="339" t="str">
        <x:v>SCR-071</x:v>
      </x:c>
      <x:c r="D142" s="339" t="str">
        <x:v>Parents &amp; Guardians</x:v>
      </x:c>
      <x:c r="E142" s="339" t="str">
        <x:v>Parent / Guardian Directory</x:v>
      </x:c>
      <x:c r="F142" s="339" t="str">
        <x:v>AC-00561, AC-00562, AC-00563, AC-00564</x:v>
      </x:c>
      <x:c r="G142" s="339" t="str">
        <x:v>BL-071</x:v>
      </x:c>
      <x:c r="H142" s="339" t="str">
        <x:v>BR-00211, BR-00212, BR-00213</x:v>
      </x:c>
      <x:c r="I142" s="339" t="str">
        <x:v>WF-071</x:v>
      </x:c>
      <x:c r="J142" s="339" t="str">
        <x:v>API-0071</x:v>
      </x:c>
      <x:c r="K142" s="339" t="str">
        <x:v>MVP</x:v>
      </x:c>
      <x:c r="L142" s="339" t="str">
        <x:v>Not Started</x:v>
      </x:c>
    </x:row>
    <x:row r="143">
      <x:c r="A143" s="339" t="str">
        <x:v>US-0142</x:v>
      </x:c>
      <x:c r="B143" s="339" t="str">
        <x:v>EP-007</x:v>
      </x:c>
      <x:c r="C143" s="339" t="str">
        <x:v>SCR-071</x:v>
      </x:c>
      <x:c r="D143" s="339" t="str">
        <x:v>Parents &amp; Guardians</x:v>
      </x:c>
      <x:c r="E143" s="339" t="str">
        <x:v>Parent / Guardian Directory</x:v>
      </x:c>
      <x:c r="F143" s="339" t="str">
        <x:v>AC-00565, AC-00566, AC-00567, AC-00568</x:v>
      </x:c>
      <x:c r="G143" s="339" t="str">
        <x:v>BL-071</x:v>
      </x:c>
      <x:c r="H143" s="339" t="str">
        <x:v>BR-00211, BR-00212, BR-00213</x:v>
      </x:c>
      <x:c r="I143" s="339" t="str">
        <x:v>WF-071</x:v>
      </x:c>
      <x:c r="J143" s="339" t="str">
        <x:v>API-0071</x:v>
      </x:c>
      <x:c r="K143" s="339" t="str">
        <x:v>MVP</x:v>
      </x:c>
      <x:c r="L143" s="339" t="str">
        <x:v>Not Started</x:v>
      </x:c>
    </x:row>
    <x:row r="144">
      <x:c r="A144" s="339" t="str">
        <x:v>US-0143</x:v>
      </x:c>
      <x:c r="B144" s="339" t="str">
        <x:v>EP-007</x:v>
      </x:c>
      <x:c r="C144" s="339" t="str">
        <x:v>SCR-072</x:v>
      </x:c>
      <x:c r="D144" s="339" t="str">
        <x:v>Parents &amp; Guardians</x:v>
      </x:c>
      <x:c r="E144" s="339" t="str">
        <x:v>Add Parent / Guardian</x:v>
      </x:c>
      <x:c r="F144" s="339" t="str">
        <x:v>AC-00569, AC-00570, AC-00571, AC-00572</x:v>
      </x:c>
      <x:c r="G144" s="339" t="str">
        <x:v>BL-072</x:v>
      </x:c>
      <x:c r="H144" s="339" t="str">
        <x:v>BR-00214, BR-00215, BR-00216</x:v>
      </x:c>
      <x:c r="I144" s="339" t="str">
        <x:v>WF-072</x:v>
      </x:c>
      <x:c r="J144" s="339" t="str">
        <x:v>API-0072</x:v>
      </x:c>
      <x:c r="K144" s="339" t="str">
        <x:v>MVP</x:v>
      </x:c>
      <x:c r="L144" s="339" t="str">
        <x:v>Not Started</x:v>
      </x:c>
    </x:row>
    <x:row r="145">
      <x:c r="A145" s="339" t="str">
        <x:v>US-0144</x:v>
      </x:c>
      <x:c r="B145" s="339" t="str">
        <x:v>EP-007</x:v>
      </x:c>
      <x:c r="C145" s="339" t="str">
        <x:v>SCR-072</x:v>
      </x:c>
      <x:c r="D145" s="339" t="str">
        <x:v>Parents &amp; Guardians</x:v>
      </x:c>
      <x:c r="E145" s="339" t="str">
        <x:v>Add Parent / Guardian</x:v>
      </x:c>
      <x:c r="F145" s="339" t="str">
        <x:v>AC-00573, AC-00574, AC-00575, AC-00576</x:v>
      </x:c>
      <x:c r="G145" s="339" t="str">
        <x:v>BL-072</x:v>
      </x:c>
      <x:c r="H145" s="339" t="str">
        <x:v>BR-00214, BR-00215, BR-00216</x:v>
      </x:c>
      <x:c r="I145" s="339" t="str">
        <x:v>WF-072</x:v>
      </x:c>
      <x:c r="J145" s="339" t="str">
        <x:v>API-0072</x:v>
      </x:c>
      <x:c r="K145" s="339" t="str">
        <x:v>MVP</x:v>
      </x:c>
      <x:c r="L145" s="339" t="str">
        <x:v>Not Started</x:v>
      </x:c>
    </x:row>
    <x:row r="146">
      <x:c r="A146" s="339" t="str">
        <x:v>US-0145</x:v>
      </x:c>
      <x:c r="B146" s="339" t="str">
        <x:v>EP-007</x:v>
      </x:c>
      <x:c r="C146" s="339" t="str">
        <x:v>SCR-073</x:v>
      </x:c>
      <x:c r="D146" s="339" t="str">
        <x:v>Parents &amp; Guardians</x:v>
      </x:c>
      <x:c r="E146" s="339" t="str">
        <x:v>Parent Profile</x:v>
      </x:c>
      <x:c r="F146" s="339" t="str">
        <x:v>AC-00577, AC-00578, AC-00579, AC-00580</x:v>
      </x:c>
      <x:c r="G146" s="339" t="str">
        <x:v>BL-073</x:v>
      </x:c>
      <x:c r="H146" s="339" t="str">
        <x:v>BR-00217, BR-00218, BR-00219</x:v>
      </x:c>
      <x:c r="I146" s="339" t="str">
        <x:v>WF-073</x:v>
      </x:c>
      <x:c r="J146" s="339" t="str">
        <x:v>API-0073</x:v>
      </x:c>
      <x:c r="K146" s="339" t="str">
        <x:v>MVP</x:v>
      </x:c>
      <x:c r="L146" s="339" t="str">
        <x:v>Not Started</x:v>
      </x:c>
    </x:row>
    <x:row r="147">
      <x:c r="A147" s="339" t="str">
        <x:v>US-0146</x:v>
      </x:c>
      <x:c r="B147" s="339" t="str">
        <x:v>EP-007</x:v>
      </x:c>
      <x:c r="C147" s="339" t="str">
        <x:v>SCR-073</x:v>
      </x:c>
      <x:c r="D147" s="339" t="str">
        <x:v>Parents &amp; Guardians</x:v>
      </x:c>
      <x:c r="E147" s="339" t="str">
        <x:v>Parent Profile</x:v>
      </x:c>
      <x:c r="F147" s="339" t="str">
        <x:v>AC-00581, AC-00582, AC-00583, AC-00584</x:v>
      </x:c>
      <x:c r="G147" s="339" t="str">
        <x:v>BL-073</x:v>
      </x:c>
      <x:c r="H147" s="339" t="str">
        <x:v>BR-00217, BR-00218, BR-00219</x:v>
      </x:c>
      <x:c r="I147" s="339" t="str">
        <x:v>WF-073</x:v>
      </x:c>
      <x:c r="J147" s="339" t="str">
        <x:v>API-0073</x:v>
      </x:c>
      <x:c r="K147" s="339" t="str">
        <x:v>MVP</x:v>
      </x:c>
      <x:c r="L147" s="339" t="str">
        <x:v>Not Started</x:v>
      </x:c>
    </x:row>
    <x:row r="148">
      <x:c r="A148" s="339" t="str">
        <x:v>US-0147</x:v>
      </x:c>
      <x:c r="B148" s="339" t="str">
        <x:v>EP-007</x:v>
      </x:c>
      <x:c r="C148" s="339" t="str">
        <x:v>SCR-074</x:v>
      </x:c>
      <x:c r="D148" s="339" t="str">
        <x:v>Parents &amp; Guardians</x:v>
      </x:c>
      <x:c r="E148" s="339" t="str">
        <x:v>Link Children</x:v>
      </x:c>
      <x:c r="F148" s="339" t="str">
        <x:v>AC-00585, AC-00586, AC-00587, AC-00588</x:v>
      </x:c>
      <x:c r="G148" s="339" t="str">
        <x:v>BL-074</x:v>
      </x:c>
      <x:c r="H148" s="339" t="str">
        <x:v>BR-00220, BR-00221, BR-00222</x:v>
      </x:c>
      <x:c r="I148" s="339" t="str">
        <x:v>WF-074</x:v>
      </x:c>
      <x:c r="J148" s="339" t="str">
        <x:v>API-0074</x:v>
      </x:c>
      <x:c r="K148" s="339" t="str">
        <x:v>MVP</x:v>
      </x:c>
      <x:c r="L148" s="339" t="str">
        <x:v>Not Started</x:v>
      </x:c>
    </x:row>
    <x:row r="149">
      <x:c r="A149" s="339" t="str">
        <x:v>US-0148</x:v>
      </x:c>
      <x:c r="B149" s="339" t="str">
        <x:v>EP-007</x:v>
      </x:c>
      <x:c r="C149" s="339" t="str">
        <x:v>SCR-074</x:v>
      </x:c>
      <x:c r="D149" s="339" t="str">
        <x:v>Parents &amp; Guardians</x:v>
      </x:c>
      <x:c r="E149" s="339" t="str">
        <x:v>Link Children</x:v>
      </x:c>
      <x:c r="F149" s="339" t="str">
        <x:v>AC-00589, AC-00590, AC-00591, AC-00592</x:v>
      </x:c>
      <x:c r="G149" s="339" t="str">
        <x:v>BL-074</x:v>
      </x:c>
      <x:c r="H149" s="339" t="str">
        <x:v>BR-00220, BR-00221, BR-00222</x:v>
      </x:c>
      <x:c r="I149" s="339" t="str">
        <x:v>WF-074</x:v>
      </x:c>
      <x:c r="J149" s="339" t="str">
        <x:v>API-0074</x:v>
      </x:c>
      <x:c r="K149" s="339" t="str">
        <x:v>MVP</x:v>
      </x:c>
      <x:c r="L149" s="339" t="str">
        <x:v>Not Started</x:v>
      </x:c>
    </x:row>
    <x:row r="150">
      <x:c r="A150" s="339" t="str">
        <x:v>US-0149</x:v>
      </x:c>
      <x:c r="B150" s="339" t="str">
        <x:v>EP-007</x:v>
      </x:c>
      <x:c r="C150" s="339" t="str">
        <x:v>SCR-075</x:v>
      </x:c>
      <x:c r="D150" s="339" t="str">
        <x:v>Parents &amp; Guardians</x:v>
      </x:c>
      <x:c r="E150" s="339" t="str">
        <x:v>Communication Preferences</x:v>
      </x:c>
      <x:c r="F150" s="339" t="str">
        <x:v>AC-00593, AC-00594, AC-00595, AC-00596</x:v>
      </x:c>
      <x:c r="G150" s="339" t="str">
        <x:v>BL-075</x:v>
      </x:c>
      <x:c r="H150" s="339" t="str">
        <x:v>BR-00223, BR-00224, BR-00225</x:v>
      </x:c>
      <x:c r="I150" s="339" t="str">
        <x:v>WF-075</x:v>
      </x:c>
      <x:c r="J150" s="339" t="str">
        <x:v>API-0075</x:v>
      </x:c>
      <x:c r="K150" s="339" t="str">
        <x:v>Phase 2</x:v>
      </x:c>
      <x:c r="L150" s="339" t="str">
        <x:v>Not Started</x:v>
      </x:c>
    </x:row>
    <x:row r="151">
      <x:c r="A151" s="339" t="str">
        <x:v>US-0150</x:v>
      </x:c>
      <x:c r="B151" s="339" t="str">
        <x:v>EP-007</x:v>
      </x:c>
      <x:c r="C151" s="339" t="str">
        <x:v>SCR-075</x:v>
      </x:c>
      <x:c r="D151" s="339" t="str">
        <x:v>Parents &amp; Guardians</x:v>
      </x:c>
      <x:c r="E151" s="339" t="str">
        <x:v>Communication Preferences</x:v>
      </x:c>
      <x:c r="F151" s="339" t="str">
        <x:v>AC-00597, AC-00598, AC-00599, AC-00600</x:v>
      </x:c>
      <x:c r="G151" s="339" t="str">
        <x:v>BL-075</x:v>
      </x:c>
      <x:c r="H151" s="339" t="str">
        <x:v>BR-00223, BR-00224, BR-00225</x:v>
      </x:c>
      <x:c r="I151" s="339" t="str">
        <x:v>WF-075</x:v>
      </x:c>
      <x:c r="J151" s="339" t="str">
        <x:v>API-0075</x:v>
      </x:c>
      <x:c r="K151" s="339" t="str">
        <x:v>Phase 2</x:v>
      </x:c>
      <x:c r="L151" s="339" t="str">
        <x:v>Not Started</x:v>
      </x:c>
    </x:row>
    <x:row r="152">
      <x:c r="A152" s="339" t="str">
        <x:v>US-0151</x:v>
      </x:c>
      <x:c r="B152" s="339" t="str">
        <x:v>EP-007</x:v>
      </x:c>
      <x:c r="C152" s="339" t="str">
        <x:v>SCR-076</x:v>
      </x:c>
      <x:c r="D152" s="339" t="str">
        <x:v>Parents &amp; Guardians</x:v>
      </x:c>
      <x:c r="E152" s="339" t="str">
        <x:v>Parent Login Access</x:v>
      </x:c>
      <x:c r="F152" s="339" t="str">
        <x:v>AC-00601, AC-00602, AC-00603, AC-00604</x:v>
      </x:c>
      <x:c r="G152" s="339" t="str">
        <x:v>BL-076</x:v>
      </x:c>
      <x:c r="H152" s="339" t="str">
        <x:v>BR-00226, BR-00227, BR-00228</x:v>
      </x:c>
      <x:c r="I152" s="339" t="str">
        <x:v>WF-076</x:v>
      </x:c>
      <x:c r="J152" s="339" t="str">
        <x:v>API-0076</x:v>
      </x:c>
      <x:c r="K152" s="339" t="str">
        <x:v>Phase 2</x:v>
      </x:c>
      <x:c r="L152" s="339" t="str">
        <x:v>Not Started</x:v>
      </x:c>
    </x:row>
    <x:row r="153">
      <x:c r="A153" s="339" t="str">
        <x:v>US-0152</x:v>
      </x:c>
      <x:c r="B153" s="339" t="str">
        <x:v>EP-007</x:v>
      </x:c>
      <x:c r="C153" s="339" t="str">
        <x:v>SCR-076</x:v>
      </x:c>
      <x:c r="D153" s="339" t="str">
        <x:v>Parents &amp; Guardians</x:v>
      </x:c>
      <x:c r="E153" s="339" t="str">
        <x:v>Parent Login Access</x:v>
      </x:c>
      <x:c r="F153" s="339" t="str">
        <x:v>AC-00605, AC-00606, AC-00607, AC-00608</x:v>
      </x:c>
      <x:c r="G153" s="339" t="str">
        <x:v>BL-076</x:v>
      </x:c>
      <x:c r="H153" s="339" t="str">
        <x:v>BR-00226, BR-00227, BR-00228</x:v>
      </x:c>
      <x:c r="I153" s="339" t="str">
        <x:v>WF-076</x:v>
      </x:c>
      <x:c r="J153" s="339" t="str">
        <x:v>API-0076</x:v>
      </x:c>
      <x:c r="K153" s="339" t="str">
        <x:v>Phase 2</x:v>
      </x:c>
      <x:c r="L153" s="339" t="str">
        <x:v>Not Started</x:v>
      </x:c>
    </x:row>
    <x:row r="154">
      <x:c r="A154" s="339" t="str">
        <x:v>US-0153</x:v>
      </x:c>
      <x:c r="B154" s="339" t="str">
        <x:v>EP-007</x:v>
      </x:c>
      <x:c r="C154" s="339" t="str">
        <x:v>SCR-077</x:v>
      </x:c>
      <x:c r="D154" s="339" t="str">
        <x:v>Parents &amp; Guardians</x:v>
      </x:c>
      <x:c r="E154" s="339" t="str">
        <x:v>Parent-Teacher Interactions</x:v>
      </x:c>
      <x:c r="F154" s="339" t="str">
        <x:v>AC-00609, AC-00610, AC-00611, AC-00612</x:v>
      </x:c>
      <x:c r="G154" s="339" t="str">
        <x:v>BL-077</x:v>
      </x:c>
      <x:c r="H154" s="339" t="str">
        <x:v>BR-00229, BR-00230, BR-00231</x:v>
      </x:c>
      <x:c r="I154" s="339" t="str">
        <x:v>WF-077</x:v>
      </x:c>
      <x:c r="J154" s="339" t="str">
        <x:v>API-0077</x:v>
      </x:c>
      <x:c r="K154" s="339" t="str">
        <x:v>Phase 3</x:v>
      </x:c>
      <x:c r="L154" s="339" t="str">
        <x:v>Not Started</x:v>
      </x:c>
    </x:row>
    <x:row r="155">
      <x:c r="A155" s="339" t="str">
        <x:v>US-0154</x:v>
      </x:c>
      <x:c r="B155" s="339" t="str">
        <x:v>EP-007</x:v>
      </x:c>
      <x:c r="C155" s="339" t="str">
        <x:v>SCR-077</x:v>
      </x:c>
      <x:c r="D155" s="339" t="str">
        <x:v>Parents &amp; Guardians</x:v>
      </x:c>
      <x:c r="E155" s="339" t="str">
        <x:v>Parent-Teacher Interactions</x:v>
      </x:c>
      <x:c r="F155" s="339" t="str">
        <x:v>AC-00613, AC-00614, AC-00615, AC-00616</x:v>
      </x:c>
      <x:c r="G155" s="339" t="str">
        <x:v>BL-077</x:v>
      </x:c>
      <x:c r="H155" s="339" t="str">
        <x:v>BR-00229, BR-00230, BR-00231</x:v>
      </x:c>
      <x:c r="I155" s="339" t="str">
        <x:v>WF-077</x:v>
      </x:c>
      <x:c r="J155" s="339" t="str">
        <x:v>API-0077</x:v>
      </x:c>
      <x:c r="K155" s="339" t="str">
        <x:v>Phase 3</x:v>
      </x:c>
      <x:c r="L155" s="339" t="str">
        <x:v>Not Started</x:v>
      </x:c>
    </x:row>
    <x:row r="156">
      <x:c r="A156" s="339" t="str">
        <x:v>US-0155</x:v>
      </x:c>
      <x:c r="B156" s="339" t="str">
        <x:v>EP-007</x:v>
      </x:c>
      <x:c r="C156" s="339" t="str">
        <x:v>SCR-078</x:v>
      </x:c>
      <x:c r="D156" s="339" t="str">
        <x:v>Parents &amp; Guardians</x:v>
      </x:c>
      <x:c r="E156" s="339" t="str">
        <x:v>Parent Payments &amp; Receipts</x:v>
      </x:c>
      <x:c r="F156" s="339" t="str">
        <x:v>AC-00617, AC-00618, AC-00619, AC-00620</x:v>
      </x:c>
      <x:c r="G156" s="339" t="str">
        <x:v>BL-078</x:v>
      </x:c>
      <x:c r="H156" s="339" t="str">
        <x:v>BR-00232, BR-00233, BR-00234</x:v>
      </x:c>
      <x:c r="I156" s="339" t="str">
        <x:v>WF-078</x:v>
      </x:c>
      <x:c r="J156" s="339" t="str">
        <x:v>API-0078</x:v>
      </x:c>
      <x:c r="K156" s="339" t="str">
        <x:v>Phase 3</x:v>
      </x:c>
      <x:c r="L156" s="339" t="str">
        <x:v>Not Started</x:v>
      </x:c>
    </x:row>
    <x:row r="157">
      <x:c r="A157" s="339" t="str">
        <x:v>US-0156</x:v>
      </x:c>
      <x:c r="B157" s="339" t="str">
        <x:v>EP-007</x:v>
      </x:c>
      <x:c r="C157" s="339" t="str">
        <x:v>SCR-078</x:v>
      </x:c>
      <x:c r="D157" s="339" t="str">
        <x:v>Parents &amp; Guardians</x:v>
      </x:c>
      <x:c r="E157" s="339" t="str">
        <x:v>Parent Payments &amp; Receipts</x:v>
      </x:c>
      <x:c r="F157" s="339" t="str">
        <x:v>AC-00621, AC-00622, AC-00623, AC-00624</x:v>
      </x:c>
      <x:c r="G157" s="339" t="str">
        <x:v>BL-078</x:v>
      </x:c>
      <x:c r="H157" s="339" t="str">
        <x:v>BR-00232, BR-00233, BR-00234</x:v>
      </x:c>
      <x:c r="I157" s="339" t="str">
        <x:v>WF-078</x:v>
      </x:c>
      <x:c r="J157" s="339" t="str">
        <x:v>API-0078</x:v>
      </x:c>
      <x:c r="K157" s="339" t="str">
        <x:v>Phase 3</x:v>
      </x:c>
      <x:c r="L157" s="339" t="str">
        <x:v>Not Started</x:v>
      </x:c>
    </x:row>
    <x:row r="158">
      <x:c r="A158" s="339" t="str">
        <x:v>US-0157</x:v>
      </x:c>
      <x:c r="B158" s="339" t="str">
        <x:v>EP-007</x:v>
      </x:c>
      <x:c r="C158" s="339" t="str">
        <x:v>SCR-079</x:v>
      </x:c>
      <x:c r="D158" s="339" t="str">
        <x:v>Parents &amp; Guardians</x:v>
      </x:c>
      <x:c r="E158" s="339" t="str">
        <x:v>Parent Activity History</x:v>
      </x:c>
      <x:c r="F158" s="339" t="str">
        <x:v>AC-00625, AC-00626, AC-00627, AC-00628</x:v>
      </x:c>
      <x:c r="G158" s="339" t="str">
        <x:v>BL-079</x:v>
      </x:c>
      <x:c r="H158" s="339" t="str">
        <x:v>BR-00235, BR-00236, BR-00237</x:v>
      </x:c>
      <x:c r="I158" s="339" t="str">
        <x:v>WF-079</x:v>
      </x:c>
      <x:c r="J158" s="339" t="str">
        <x:v>API-0079</x:v>
      </x:c>
      <x:c r="K158" s="339" t="str">
        <x:v>Phase 3</x:v>
      </x:c>
      <x:c r="L158" s="339" t="str">
        <x:v>Not Started</x:v>
      </x:c>
    </x:row>
    <x:row r="159">
      <x:c r="A159" s="339" t="str">
        <x:v>US-0158</x:v>
      </x:c>
      <x:c r="B159" s="339" t="str">
        <x:v>EP-007</x:v>
      </x:c>
      <x:c r="C159" s="339" t="str">
        <x:v>SCR-079</x:v>
      </x:c>
      <x:c r="D159" s="339" t="str">
        <x:v>Parents &amp; Guardians</x:v>
      </x:c>
      <x:c r="E159" s="339" t="str">
        <x:v>Parent Activity History</x:v>
      </x:c>
      <x:c r="F159" s="339" t="str">
        <x:v>AC-00629, AC-00630, AC-00631, AC-00632</x:v>
      </x:c>
      <x:c r="G159" s="339" t="str">
        <x:v>BL-079</x:v>
      </x:c>
      <x:c r="H159" s="339" t="str">
        <x:v>BR-00235, BR-00236, BR-00237</x:v>
      </x:c>
      <x:c r="I159" s="339" t="str">
        <x:v>WF-079</x:v>
      </x:c>
      <x:c r="J159" s="339" t="str">
        <x:v>API-0079</x:v>
      </x:c>
      <x:c r="K159" s="339" t="str">
        <x:v>Phase 3</x:v>
      </x:c>
      <x:c r="L159" s="339" t="str">
        <x:v>Not Started</x:v>
      </x:c>
    </x:row>
    <x:row r="160">
      <x:c r="A160" s="339" t="str">
        <x:v>US-0159</x:v>
      </x:c>
      <x:c r="B160" s="339" t="str">
        <x:v>EP-008</x:v>
      </x:c>
      <x:c r="C160" s="339" t="str">
        <x:v>SCR-080</x:v>
      </x:c>
      <x:c r="D160" s="339" t="str">
        <x:v>Teachers &amp; Staff</x:v>
      </x:c>
      <x:c r="E160" s="339" t="str">
        <x:v>Staff Directory</x:v>
      </x:c>
      <x:c r="F160" s="339" t="str">
        <x:v>AC-00633, AC-00634, AC-00635, AC-00636</x:v>
      </x:c>
      <x:c r="G160" s="339" t="str">
        <x:v>BL-080</x:v>
      </x:c>
      <x:c r="H160" s="339" t="str">
        <x:v>BR-00238, BR-00239, BR-00240</x:v>
      </x:c>
      <x:c r="I160" s="339" t="str">
        <x:v>WF-080</x:v>
      </x:c>
      <x:c r="J160" s="339" t="str">
        <x:v>API-0080</x:v>
      </x:c>
      <x:c r="K160" s="339" t="str">
        <x:v>MVP</x:v>
      </x:c>
      <x:c r="L160" s="339" t="str">
        <x:v>Not Started</x:v>
      </x:c>
    </x:row>
    <x:row r="161">
      <x:c r="A161" s="339" t="str">
        <x:v>US-0160</x:v>
      </x:c>
      <x:c r="B161" s="339" t="str">
        <x:v>EP-008</x:v>
      </x:c>
      <x:c r="C161" s="339" t="str">
        <x:v>SCR-080</x:v>
      </x:c>
      <x:c r="D161" s="339" t="str">
        <x:v>Teachers &amp; Staff</x:v>
      </x:c>
      <x:c r="E161" s="339" t="str">
        <x:v>Staff Directory</x:v>
      </x:c>
      <x:c r="F161" s="339" t="str">
        <x:v>AC-00637, AC-00638, AC-00639, AC-00640</x:v>
      </x:c>
      <x:c r="G161" s="339" t="str">
        <x:v>BL-080</x:v>
      </x:c>
      <x:c r="H161" s="339" t="str">
        <x:v>BR-00238, BR-00239, BR-00240</x:v>
      </x:c>
      <x:c r="I161" s="339" t="str">
        <x:v>WF-080</x:v>
      </x:c>
      <x:c r="J161" s="339" t="str">
        <x:v>API-0080</x:v>
      </x:c>
      <x:c r="K161" s="339" t="str">
        <x:v>MVP</x:v>
      </x:c>
      <x:c r="L161" s="339" t="str">
        <x:v>Not Started</x:v>
      </x:c>
    </x:row>
    <x:row r="162">
      <x:c r="A162" s="339" t="str">
        <x:v>US-0161</x:v>
      </x:c>
      <x:c r="B162" s="339" t="str">
        <x:v>EP-008</x:v>
      </x:c>
      <x:c r="C162" s="339" t="str">
        <x:v>SCR-081</x:v>
      </x:c>
      <x:c r="D162" s="339" t="str">
        <x:v>Teachers &amp; Staff</x:v>
      </x:c>
      <x:c r="E162" s="339" t="str">
        <x:v>Add Staff</x:v>
      </x:c>
      <x:c r="F162" s="339" t="str">
        <x:v>AC-00641, AC-00642, AC-00643, AC-00644</x:v>
      </x:c>
      <x:c r="G162" s="339" t="str">
        <x:v>BL-081</x:v>
      </x:c>
      <x:c r="H162" s="339" t="str">
        <x:v>BR-00241, BR-00242, BR-00243</x:v>
      </x:c>
      <x:c r="I162" s="339" t="str">
        <x:v>WF-081</x:v>
      </x:c>
      <x:c r="J162" s="339" t="str">
        <x:v>API-0081</x:v>
      </x:c>
      <x:c r="K162" s="339" t="str">
        <x:v>MVP</x:v>
      </x:c>
      <x:c r="L162" s="339" t="str">
        <x:v>Not Started</x:v>
      </x:c>
    </x:row>
    <x:row r="163">
      <x:c r="A163" s="339" t="str">
        <x:v>US-0162</x:v>
      </x:c>
      <x:c r="B163" s="339" t="str">
        <x:v>EP-008</x:v>
      </x:c>
      <x:c r="C163" s="339" t="str">
        <x:v>SCR-081</x:v>
      </x:c>
      <x:c r="D163" s="339" t="str">
        <x:v>Teachers &amp; Staff</x:v>
      </x:c>
      <x:c r="E163" s="339" t="str">
        <x:v>Add Staff</x:v>
      </x:c>
      <x:c r="F163" s="339" t="str">
        <x:v>AC-00645, AC-00646, AC-00647, AC-00648</x:v>
      </x:c>
      <x:c r="G163" s="339" t="str">
        <x:v>BL-081</x:v>
      </x:c>
      <x:c r="H163" s="339" t="str">
        <x:v>BR-00241, BR-00242, BR-00243</x:v>
      </x:c>
      <x:c r="I163" s="339" t="str">
        <x:v>WF-081</x:v>
      </x:c>
      <x:c r="J163" s="339" t="str">
        <x:v>API-0081</x:v>
      </x:c>
      <x:c r="K163" s="339" t="str">
        <x:v>MVP</x:v>
      </x:c>
      <x:c r="L163" s="339" t="str">
        <x:v>Not Started</x:v>
      </x:c>
    </x:row>
    <x:row r="164">
      <x:c r="A164" s="339" t="str">
        <x:v>US-0163</x:v>
      </x:c>
      <x:c r="B164" s="339" t="str">
        <x:v>EP-008</x:v>
      </x:c>
      <x:c r="C164" s="339" t="str">
        <x:v>SCR-082</x:v>
      </x:c>
      <x:c r="D164" s="339" t="str">
        <x:v>Teachers &amp; Staff</x:v>
      </x:c>
      <x:c r="E164" s="339" t="str">
        <x:v>Staff Profile</x:v>
      </x:c>
      <x:c r="F164" s="339" t="str">
        <x:v>AC-00649, AC-00650, AC-00651, AC-00652</x:v>
      </x:c>
      <x:c r="G164" s="339" t="str">
        <x:v>BL-082</x:v>
      </x:c>
      <x:c r="H164" s="339" t="str">
        <x:v>BR-00244, BR-00245, BR-00246</x:v>
      </x:c>
      <x:c r="I164" s="339" t="str">
        <x:v>WF-082</x:v>
      </x:c>
      <x:c r="J164" s="339" t="str">
        <x:v>API-0082</x:v>
      </x:c>
      <x:c r="K164" s="339" t="str">
        <x:v>MVP</x:v>
      </x:c>
      <x:c r="L164" s="339" t="str">
        <x:v>Not Started</x:v>
      </x:c>
    </x:row>
    <x:row r="165">
      <x:c r="A165" s="339" t="str">
        <x:v>US-0164</x:v>
      </x:c>
      <x:c r="B165" s="339" t="str">
        <x:v>EP-008</x:v>
      </x:c>
      <x:c r="C165" s="339" t="str">
        <x:v>SCR-082</x:v>
      </x:c>
      <x:c r="D165" s="339" t="str">
        <x:v>Teachers &amp; Staff</x:v>
      </x:c>
      <x:c r="E165" s="339" t="str">
        <x:v>Staff Profile</x:v>
      </x:c>
      <x:c r="F165" s="339" t="str">
        <x:v>AC-00653, AC-00654, AC-00655, AC-00656</x:v>
      </x:c>
      <x:c r="G165" s="339" t="str">
        <x:v>BL-082</x:v>
      </x:c>
      <x:c r="H165" s="339" t="str">
        <x:v>BR-00244, BR-00245, BR-00246</x:v>
      </x:c>
      <x:c r="I165" s="339" t="str">
        <x:v>WF-082</x:v>
      </x:c>
      <x:c r="J165" s="339" t="str">
        <x:v>API-0082</x:v>
      </x:c>
      <x:c r="K165" s="339" t="str">
        <x:v>MVP</x:v>
      </x:c>
      <x:c r="L165" s="339" t="str">
        <x:v>Not Started</x:v>
      </x:c>
    </x:row>
    <x:row r="166">
      <x:c r="A166" s="339" t="str">
        <x:v>US-0165</x:v>
      </x:c>
      <x:c r="B166" s="339" t="str">
        <x:v>EP-008</x:v>
      </x:c>
      <x:c r="C166" s="339" t="str">
        <x:v>SCR-083</x:v>
      </x:c>
      <x:c r="D166" s="339" t="str">
        <x:v>Teachers &amp; Staff</x:v>
      </x:c>
      <x:c r="E166" s="339" t="str">
        <x:v>Edit Staff</x:v>
      </x:c>
      <x:c r="F166" s="339" t="str">
        <x:v>AC-00657, AC-00658, AC-00659, AC-00660</x:v>
      </x:c>
      <x:c r="G166" s="339" t="str">
        <x:v>BL-083</x:v>
      </x:c>
      <x:c r="H166" s="339" t="str">
        <x:v>BR-00247, BR-00248, BR-00249</x:v>
      </x:c>
      <x:c r="I166" s="339" t="str">
        <x:v>WF-083</x:v>
      </x:c>
      <x:c r="J166" s="339" t="str">
        <x:v>API-0083</x:v>
      </x:c>
      <x:c r="K166" s="339" t="str">
        <x:v>MVP</x:v>
      </x:c>
      <x:c r="L166" s="339" t="str">
        <x:v>Not Started</x:v>
      </x:c>
    </x:row>
    <x:row r="167">
      <x:c r="A167" s="339" t="str">
        <x:v>US-0166</x:v>
      </x:c>
      <x:c r="B167" s="339" t="str">
        <x:v>EP-008</x:v>
      </x:c>
      <x:c r="C167" s="339" t="str">
        <x:v>SCR-083</x:v>
      </x:c>
      <x:c r="D167" s="339" t="str">
        <x:v>Teachers &amp; Staff</x:v>
      </x:c>
      <x:c r="E167" s="339" t="str">
        <x:v>Edit Staff</x:v>
      </x:c>
      <x:c r="F167" s="339" t="str">
        <x:v>AC-00661, AC-00662, AC-00663, AC-00664</x:v>
      </x:c>
      <x:c r="G167" s="339" t="str">
        <x:v>BL-083</x:v>
      </x:c>
      <x:c r="H167" s="339" t="str">
        <x:v>BR-00247, BR-00248, BR-00249</x:v>
      </x:c>
      <x:c r="I167" s="339" t="str">
        <x:v>WF-083</x:v>
      </x:c>
      <x:c r="J167" s="339" t="str">
        <x:v>API-0083</x:v>
      </x:c>
      <x:c r="K167" s="339" t="str">
        <x:v>MVP</x:v>
      </x:c>
      <x:c r="L167" s="339" t="str">
        <x:v>Not Started</x:v>
      </x:c>
    </x:row>
    <x:row r="168">
      <x:c r="A168" s="339" t="str">
        <x:v>US-0167</x:v>
      </x:c>
      <x:c r="B168" s="339" t="str">
        <x:v>EP-008</x:v>
      </x:c>
      <x:c r="C168" s="339" t="str">
        <x:v>SCR-084</x:v>
      </x:c>
      <x:c r="D168" s="339" t="str">
        <x:v>Teachers &amp; Staff</x:v>
      </x:c>
      <x:c r="E168" s="339" t="str">
        <x:v>Teacher Allocation</x:v>
      </x:c>
      <x:c r="F168" s="339" t="str">
        <x:v>AC-00665, AC-00666, AC-00667, AC-00668</x:v>
      </x:c>
      <x:c r="G168" s="339" t="str">
        <x:v>BL-084</x:v>
      </x:c>
      <x:c r="H168" s="339" t="str">
        <x:v>BR-00250, BR-00251, BR-00252</x:v>
      </x:c>
      <x:c r="I168" s="339" t="str">
        <x:v>WF-084</x:v>
      </x:c>
      <x:c r="J168" s="339" t="str">
        <x:v>API-0084</x:v>
      </x:c>
      <x:c r="K168" s="339" t="str">
        <x:v>MVP</x:v>
      </x:c>
      <x:c r="L168" s="339" t="str">
        <x:v>Not Started</x:v>
      </x:c>
    </x:row>
    <x:row r="169">
      <x:c r="A169" s="339" t="str">
        <x:v>US-0168</x:v>
      </x:c>
      <x:c r="B169" s="339" t="str">
        <x:v>EP-008</x:v>
      </x:c>
      <x:c r="C169" s="339" t="str">
        <x:v>SCR-084</x:v>
      </x:c>
      <x:c r="D169" s="339" t="str">
        <x:v>Teachers &amp; Staff</x:v>
      </x:c>
      <x:c r="E169" s="339" t="str">
        <x:v>Teacher Allocation</x:v>
      </x:c>
      <x:c r="F169" s="339" t="str">
        <x:v>AC-00669, AC-00670, AC-00671, AC-00672</x:v>
      </x:c>
      <x:c r="G169" s="339" t="str">
        <x:v>BL-084</x:v>
      </x:c>
      <x:c r="H169" s="339" t="str">
        <x:v>BR-00250, BR-00251, BR-00252</x:v>
      </x:c>
      <x:c r="I169" s="339" t="str">
        <x:v>WF-084</x:v>
      </x:c>
      <x:c r="J169" s="339" t="str">
        <x:v>API-0084</x:v>
      </x:c>
      <x:c r="K169" s="339" t="str">
        <x:v>MVP</x:v>
      </x:c>
      <x:c r="L169" s="339" t="str">
        <x:v>Not Started</x:v>
      </x:c>
    </x:row>
    <x:row r="170">
      <x:c r="A170" s="339" t="str">
        <x:v>US-0169</x:v>
      </x:c>
      <x:c r="B170" s="339" t="str">
        <x:v>EP-008</x:v>
      </x:c>
      <x:c r="C170" s="339" t="str">
        <x:v>SCR-085</x:v>
      </x:c>
      <x:c r="D170" s="339" t="str">
        <x:v>Teachers &amp; Staff</x:v>
      </x:c>
      <x:c r="E170" s="339" t="str">
        <x:v>Subject &amp; Class Assignment</x:v>
      </x:c>
      <x:c r="F170" s="339" t="str">
        <x:v>AC-00673, AC-00674, AC-00675, AC-00676</x:v>
      </x:c>
      <x:c r="G170" s="339" t="str">
        <x:v>BL-085</x:v>
      </x:c>
      <x:c r="H170" s="339" t="str">
        <x:v>BR-00253, BR-00254, BR-00255</x:v>
      </x:c>
      <x:c r="I170" s="339" t="str">
        <x:v>WF-085</x:v>
      </x:c>
      <x:c r="J170" s="339" t="str">
        <x:v>API-0085</x:v>
      </x:c>
      <x:c r="K170" s="339" t="str">
        <x:v>MVP</x:v>
      </x:c>
      <x:c r="L170" s="339" t="str">
        <x:v>Not Started</x:v>
      </x:c>
    </x:row>
    <x:row r="171">
      <x:c r="A171" s="339" t="str">
        <x:v>US-0170</x:v>
      </x:c>
      <x:c r="B171" s="339" t="str">
        <x:v>EP-008</x:v>
      </x:c>
      <x:c r="C171" s="339" t="str">
        <x:v>SCR-085</x:v>
      </x:c>
      <x:c r="D171" s="339" t="str">
        <x:v>Teachers &amp; Staff</x:v>
      </x:c>
      <x:c r="E171" s="339" t="str">
        <x:v>Subject &amp; Class Assignment</x:v>
      </x:c>
      <x:c r="F171" s="339" t="str">
        <x:v>AC-00677, AC-00678, AC-00679, AC-00680</x:v>
      </x:c>
      <x:c r="G171" s="339" t="str">
        <x:v>BL-085</x:v>
      </x:c>
      <x:c r="H171" s="339" t="str">
        <x:v>BR-00253, BR-00254, BR-00255</x:v>
      </x:c>
      <x:c r="I171" s="339" t="str">
        <x:v>WF-085</x:v>
      </x:c>
      <x:c r="J171" s="339" t="str">
        <x:v>API-0085</x:v>
      </x:c>
      <x:c r="K171" s="339" t="str">
        <x:v>MVP</x:v>
      </x:c>
      <x:c r="L171" s="339" t="str">
        <x:v>Not Started</x:v>
      </x:c>
    </x:row>
    <x:row r="172">
      <x:c r="A172" s="339" t="str">
        <x:v>US-0171</x:v>
      </x:c>
      <x:c r="B172" s="339" t="str">
        <x:v>EP-008</x:v>
      </x:c>
      <x:c r="C172" s="339" t="str">
        <x:v>SCR-086</x:v>
      </x:c>
      <x:c r="D172" s="339" t="str">
        <x:v>Teachers &amp; Staff</x:v>
      </x:c>
      <x:c r="E172" s="339" t="str">
        <x:v>Teacher Workload</x:v>
      </x:c>
      <x:c r="F172" s="339" t="str">
        <x:v>AC-00681, AC-00682, AC-00683, AC-00684</x:v>
      </x:c>
      <x:c r="G172" s="339" t="str">
        <x:v>BL-086</x:v>
      </x:c>
      <x:c r="H172" s="339" t="str">
        <x:v>BR-00256, BR-00257, BR-00258</x:v>
      </x:c>
      <x:c r="I172" s="339" t="str">
        <x:v>WF-086</x:v>
      </x:c>
      <x:c r="J172" s="339" t="str">
        <x:v>API-0086</x:v>
      </x:c>
      <x:c r="K172" s="339" t="str">
        <x:v>Phase 2</x:v>
      </x:c>
      <x:c r="L172" s="339" t="str">
        <x:v>Not Started</x:v>
      </x:c>
    </x:row>
    <x:row r="173">
      <x:c r="A173" s="339" t="str">
        <x:v>US-0172</x:v>
      </x:c>
      <x:c r="B173" s="339" t="str">
        <x:v>EP-008</x:v>
      </x:c>
      <x:c r="C173" s="339" t="str">
        <x:v>SCR-086</x:v>
      </x:c>
      <x:c r="D173" s="339" t="str">
        <x:v>Teachers &amp; Staff</x:v>
      </x:c>
      <x:c r="E173" s="339" t="str">
        <x:v>Teacher Workload</x:v>
      </x:c>
      <x:c r="F173" s="339" t="str">
        <x:v>AC-00685, AC-00686, AC-00687, AC-00688</x:v>
      </x:c>
      <x:c r="G173" s="339" t="str">
        <x:v>BL-086</x:v>
      </x:c>
      <x:c r="H173" s="339" t="str">
        <x:v>BR-00256, BR-00257, BR-00258</x:v>
      </x:c>
      <x:c r="I173" s="339" t="str">
        <x:v>WF-086</x:v>
      </x:c>
      <x:c r="J173" s="339" t="str">
        <x:v>API-0086</x:v>
      </x:c>
      <x:c r="K173" s="339" t="str">
        <x:v>Phase 2</x:v>
      </x:c>
      <x:c r="L173" s="339" t="str">
        <x:v>Not Started</x:v>
      </x:c>
    </x:row>
    <x:row r="174">
      <x:c r="A174" s="339" t="str">
        <x:v>US-0173</x:v>
      </x:c>
      <x:c r="B174" s="339" t="str">
        <x:v>EP-008</x:v>
      </x:c>
      <x:c r="C174" s="339" t="str">
        <x:v>SCR-087</x:v>
      </x:c>
      <x:c r="D174" s="339" t="str">
        <x:v>Teachers &amp; Staff</x:v>
      </x:c>
      <x:c r="E174" s="339" t="str">
        <x:v>Qualifications &amp; Documents</x:v>
      </x:c>
      <x:c r="F174" s="339" t="str">
        <x:v>AC-00689, AC-00690, AC-00691, AC-00692</x:v>
      </x:c>
      <x:c r="G174" s="339" t="str">
        <x:v>BL-087</x:v>
      </x:c>
      <x:c r="H174" s="339" t="str">
        <x:v>BR-00259, BR-00260, BR-00261</x:v>
      </x:c>
      <x:c r="I174" s="339" t="str">
        <x:v>WF-087</x:v>
      </x:c>
      <x:c r="J174" s="339" t="str">
        <x:v>API-0087</x:v>
      </x:c>
      <x:c r="K174" s="339" t="str">
        <x:v>Phase 2</x:v>
      </x:c>
      <x:c r="L174" s="339" t="str">
        <x:v>Not Started</x:v>
      </x:c>
    </x:row>
    <x:row r="175">
      <x:c r="A175" s="339" t="str">
        <x:v>US-0174</x:v>
      </x:c>
      <x:c r="B175" s="339" t="str">
        <x:v>EP-008</x:v>
      </x:c>
      <x:c r="C175" s="339" t="str">
        <x:v>SCR-087</x:v>
      </x:c>
      <x:c r="D175" s="339" t="str">
        <x:v>Teachers &amp; Staff</x:v>
      </x:c>
      <x:c r="E175" s="339" t="str">
        <x:v>Qualifications &amp; Documents</x:v>
      </x:c>
      <x:c r="F175" s="339" t="str">
        <x:v>AC-00693, AC-00694, AC-00695, AC-00696</x:v>
      </x:c>
      <x:c r="G175" s="339" t="str">
        <x:v>BL-087</x:v>
      </x:c>
      <x:c r="H175" s="339" t="str">
        <x:v>BR-00259, BR-00260, BR-00261</x:v>
      </x:c>
      <x:c r="I175" s="339" t="str">
        <x:v>WF-087</x:v>
      </x:c>
      <x:c r="J175" s="339" t="str">
        <x:v>API-0087</x:v>
      </x:c>
      <x:c r="K175" s="339" t="str">
        <x:v>Phase 2</x:v>
      </x:c>
      <x:c r="L175" s="339" t="str">
        <x:v>Not Started</x:v>
      </x:c>
    </x:row>
    <x:row r="176">
      <x:c r="A176" s="339" t="str">
        <x:v>US-0175</x:v>
      </x:c>
      <x:c r="B176" s="339" t="str">
        <x:v>EP-008</x:v>
      </x:c>
      <x:c r="C176" s="339" t="str">
        <x:v>SCR-088</x:v>
      </x:c>
      <x:c r="D176" s="339" t="str">
        <x:v>Teachers &amp; Staff</x:v>
      </x:c>
      <x:c r="E176" s="339" t="str">
        <x:v>Staff Attendance Summary</x:v>
      </x:c>
      <x:c r="F176" s="339" t="str">
        <x:v>AC-00697, AC-00698, AC-00699, AC-00700</x:v>
      </x:c>
      <x:c r="G176" s="339" t="str">
        <x:v>BL-088</x:v>
      </x:c>
      <x:c r="H176" s="339" t="str">
        <x:v>BR-00262, BR-00263, BR-00264</x:v>
      </x:c>
      <x:c r="I176" s="339" t="str">
        <x:v>WF-088</x:v>
      </x:c>
      <x:c r="J176" s="339" t="str">
        <x:v>API-0088</x:v>
      </x:c>
      <x:c r="K176" s="339" t="str">
        <x:v>Phase 3</x:v>
      </x:c>
      <x:c r="L176" s="339" t="str">
        <x:v>Not Started</x:v>
      </x:c>
    </x:row>
    <x:row r="177">
      <x:c r="A177" s="339" t="str">
        <x:v>US-0176</x:v>
      </x:c>
      <x:c r="B177" s="339" t="str">
        <x:v>EP-008</x:v>
      </x:c>
      <x:c r="C177" s="339" t="str">
        <x:v>SCR-088</x:v>
      </x:c>
      <x:c r="D177" s="339" t="str">
        <x:v>Teachers &amp; Staff</x:v>
      </x:c>
      <x:c r="E177" s="339" t="str">
        <x:v>Staff Attendance Summary</x:v>
      </x:c>
      <x:c r="F177" s="339" t="str">
        <x:v>AC-00701, AC-00702, AC-00703, AC-00704</x:v>
      </x:c>
      <x:c r="G177" s="339" t="str">
        <x:v>BL-088</x:v>
      </x:c>
      <x:c r="H177" s="339" t="str">
        <x:v>BR-00262, BR-00263, BR-00264</x:v>
      </x:c>
      <x:c r="I177" s="339" t="str">
        <x:v>WF-088</x:v>
      </x:c>
      <x:c r="J177" s="339" t="str">
        <x:v>API-0088</x:v>
      </x:c>
      <x:c r="K177" s="339" t="str">
        <x:v>Phase 3</x:v>
      </x:c>
      <x:c r="L177" s="339" t="str">
        <x:v>Not Started</x:v>
      </x:c>
    </x:row>
    <x:row r="178">
      <x:c r="A178" s="339" t="str">
        <x:v>US-0177</x:v>
      </x:c>
      <x:c r="B178" s="339" t="str">
        <x:v>EP-008</x:v>
      </x:c>
      <x:c r="C178" s="339" t="str">
        <x:v>SCR-089</x:v>
      </x:c>
      <x:c r="D178" s="339" t="str">
        <x:v>Teachers &amp; Staff</x:v>
      </x:c>
      <x:c r="E178" s="339" t="str">
        <x:v>Staff Leave Summary</x:v>
      </x:c>
      <x:c r="F178" s="339" t="str">
        <x:v>AC-00705, AC-00706, AC-00707, AC-00708</x:v>
      </x:c>
      <x:c r="G178" s="339" t="str">
        <x:v>BL-089</x:v>
      </x:c>
      <x:c r="H178" s="339" t="str">
        <x:v>BR-00265, BR-00266, BR-00267</x:v>
      </x:c>
      <x:c r="I178" s="339" t="str">
        <x:v>WF-089</x:v>
      </x:c>
      <x:c r="J178" s="339" t="str">
        <x:v>API-0089</x:v>
      </x:c>
      <x:c r="K178" s="339" t="str">
        <x:v>Phase 3</x:v>
      </x:c>
      <x:c r="L178" s="339" t="str">
        <x:v>Not Started</x:v>
      </x:c>
    </x:row>
    <x:row r="179">
      <x:c r="A179" s="339" t="str">
        <x:v>US-0178</x:v>
      </x:c>
      <x:c r="B179" s="339" t="str">
        <x:v>EP-008</x:v>
      </x:c>
      <x:c r="C179" s="339" t="str">
        <x:v>SCR-089</x:v>
      </x:c>
      <x:c r="D179" s="339" t="str">
        <x:v>Teachers &amp; Staff</x:v>
      </x:c>
      <x:c r="E179" s="339" t="str">
        <x:v>Staff Leave Summary</x:v>
      </x:c>
      <x:c r="F179" s="339" t="str">
        <x:v>AC-00709, AC-00710, AC-00711, AC-00712</x:v>
      </x:c>
      <x:c r="G179" s="339" t="str">
        <x:v>BL-089</x:v>
      </x:c>
      <x:c r="H179" s="339" t="str">
        <x:v>BR-00265, BR-00266, BR-00267</x:v>
      </x:c>
      <x:c r="I179" s="339" t="str">
        <x:v>WF-089</x:v>
      </x:c>
      <x:c r="J179" s="339" t="str">
        <x:v>API-0089</x:v>
      </x:c>
      <x:c r="K179" s="339" t="str">
        <x:v>Phase 3</x:v>
      </x:c>
      <x:c r="L179" s="339" t="str">
        <x:v>Not Started</x:v>
      </x:c>
    </x:row>
    <x:row r="180">
      <x:c r="A180" s="339" t="str">
        <x:v>US-0179</x:v>
      </x:c>
      <x:c r="B180" s="339" t="str">
        <x:v>EP-008</x:v>
      </x:c>
      <x:c r="C180" s="339" t="str">
        <x:v>SCR-090</x:v>
      </x:c>
      <x:c r="D180" s="339" t="str">
        <x:v>Teachers &amp; Staff</x:v>
      </x:c>
      <x:c r="E180" s="339" t="str">
        <x:v>Performance &amp; Classroom Observation</x:v>
      </x:c>
      <x:c r="F180" s="339" t="str">
        <x:v>AC-00713, AC-00714, AC-00715, AC-00716</x:v>
      </x:c>
      <x:c r="G180" s="339" t="str">
        <x:v>BL-090</x:v>
      </x:c>
      <x:c r="H180" s="339" t="str">
        <x:v>BR-00268, BR-00269, BR-00270</x:v>
      </x:c>
      <x:c r="I180" s="339" t="str">
        <x:v>WF-090</x:v>
      </x:c>
      <x:c r="J180" s="339" t="str">
        <x:v>API-0090</x:v>
      </x:c>
      <x:c r="K180" s="339" t="str">
        <x:v>Phase 3</x:v>
      </x:c>
      <x:c r="L180" s="339" t="str">
        <x:v>Not Started</x:v>
      </x:c>
    </x:row>
    <x:row r="181">
      <x:c r="A181" s="339" t="str">
        <x:v>US-0180</x:v>
      </x:c>
      <x:c r="B181" s="339" t="str">
        <x:v>EP-008</x:v>
      </x:c>
      <x:c r="C181" s="339" t="str">
        <x:v>SCR-090</x:v>
      </x:c>
      <x:c r="D181" s="339" t="str">
        <x:v>Teachers &amp; Staff</x:v>
      </x:c>
      <x:c r="E181" s="339" t="str">
        <x:v>Performance &amp; Classroom Observation</x:v>
      </x:c>
      <x:c r="F181" s="339" t="str">
        <x:v>AC-00717, AC-00718, AC-00719, AC-00720</x:v>
      </x:c>
      <x:c r="G181" s="339" t="str">
        <x:v>BL-090</x:v>
      </x:c>
      <x:c r="H181" s="339" t="str">
        <x:v>BR-00268, BR-00269, BR-00270</x:v>
      </x:c>
      <x:c r="I181" s="339" t="str">
        <x:v>WF-090</x:v>
      </x:c>
      <x:c r="J181" s="339" t="str">
        <x:v>API-0090</x:v>
      </x:c>
      <x:c r="K181" s="339" t="str">
        <x:v>Phase 3</x:v>
      </x:c>
      <x:c r="L181" s="339" t="str">
        <x:v>Not Started</x:v>
      </x:c>
    </x:row>
    <x:row r="182">
      <x:c r="A182" s="339" t="str">
        <x:v>US-0181</x:v>
      </x:c>
      <x:c r="B182" s="339" t="str">
        <x:v>EP-008</x:v>
      </x:c>
      <x:c r="C182" s="339" t="str">
        <x:v>SCR-091</x:v>
      </x:c>
      <x:c r="D182" s="339" t="str">
        <x:v>Teachers &amp; Staff</x:v>
      </x:c>
      <x:c r="E182" s="339" t="str">
        <x:v>Exit / Offboarding</x:v>
      </x:c>
      <x:c r="F182" s="339" t="str">
        <x:v>AC-00721, AC-00722, AC-00723, AC-00724</x:v>
      </x:c>
      <x:c r="G182" s="339" t="str">
        <x:v>BL-091</x:v>
      </x:c>
      <x:c r="H182" s="339" t="str">
        <x:v>BR-00271, BR-00272, BR-00273</x:v>
      </x:c>
      <x:c r="I182" s="339" t="str">
        <x:v>WF-091</x:v>
      </x:c>
      <x:c r="J182" s="339" t="str">
        <x:v>API-0091</x:v>
      </x:c>
      <x:c r="K182" s="339" t="str">
        <x:v>Phase 3</x:v>
      </x:c>
      <x:c r="L182" s="339" t="str">
        <x:v>Not Started</x:v>
      </x:c>
    </x:row>
    <x:row r="183">
      <x:c r="A183" s="339" t="str">
        <x:v>US-0182</x:v>
      </x:c>
      <x:c r="B183" s="339" t="str">
        <x:v>EP-008</x:v>
      </x:c>
      <x:c r="C183" s="339" t="str">
        <x:v>SCR-091</x:v>
      </x:c>
      <x:c r="D183" s="339" t="str">
        <x:v>Teachers &amp; Staff</x:v>
      </x:c>
      <x:c r="E183" s="339" t="str">
        <x:v>Exit / Offboarding</x:v>
      </x:c>
      <x:c r="F183" s="339" t="str">
        <x:v>AC-00725, AC-00726, AC-00727, AC-00728</x:v>
      </x:c>
      <x:c r="G183" s="339" t="str">
        <x:v>BL-091</x:v>
      </x:c>
      <x:c r="H183" s="339" t="str">
        <x:v>BR-00271, BR-00272, BR-00273</x:v>
      </x:c>
      <x:c r="I183" s="339" t="str">
        <x:v>WF-091</x:v>
      </x:c>
      <x:c r="J183" s="339" t="str">
        <x:v>API-0091</x:v>
      </x:c>
      <x:c r="K183" s="339" t="str">
        <x:v>Phase 3</x:v>
      </x:c>
      <x:c r="L183" s="339" t="str">
        <x:v>Not Started</x:v>
      </x:c>
    </x:row>
    <x:row r="184">
      <x:c r="A184" s="339" t="str">
        <x:v>US-0183</x:v>
      </x:c>
      <x:c r="B184" s="339" t="str">
        <x:v>EP-009</x:v>
      </x:c>
      <x:c r="C184" s="339" t="str">
        <x:v>SCR-092</x:v>
      </x:c>
      <x:c r="D184" s="339" t="str">
        <x:v>Academics &amp; Curriculum</x:v>
      </x:c>
      <x:c r="E184" s="339" t="str">
        <x:v>Academic Years</x:v>
      </x:c>
      <x:c r="F184" s="339" t="str">
        <x:v>AC-00729, AC-00730, AC-00731, AC-00732</x:v>
      </x:c>
      <x:c r="G184" s="339" t="str">
        <x:v>BL-092</x:v>
      </x:c>
      <x:c r="H184" s="339" t="str">
        <x:v>BR-00274, BR-00275, BR-00276</x:v>
      </x:c>
      <x:c r="I184" s="339" t="str">
        <x:v>WF-092</x:v>
      </x:c>
      <x:c r="J184" s="339" t="str">
        <x:v>API-0092</x:v>
      </x:c>
      <x:c r="K184" s="339" t="str">
        <x:v>MVP</x:v>
      </x:c>
      <x:c r="L184" s="339" t="str">
        <x:v>Not Started</x:v>
      </x:c>
    </x:row>
    <x:row r="185">
      <x:c r="A185" s="339" t="str">
        <x:v>US-0184</x:v>
      </x:c>
      <x:c r="B185" s="339" t="str">
        <x:v>EP-009</x:v>
      </x:c>
      <x:c r="C185" s="339" t="str">
        <x:v>SCR-092</x:v>
      </x:c>
      <x:c r="D185" s="339" t="str">
        <x:v>Academics &amp; Curriculum</x:v>
      </x:c>
      <x:c r="E185" s="339" t="str">
        <x:v>Academic Years</x:v>
      </x:c>
      <x:c r="F185" s="339" t="str">
        <x:v>AC-00733, AC-00734, AC-00735, AC-00736</x:v>
      </x:c>
      <x:c r="G185" s="339" t="str">
        <x:v>BL-092</x:v>
      </x:c>
      <x:c r="H185" s="339" t="str">
        <x:v>BR-00274, BR-00275, BR-00276</x:v>
      </x:c>
      <x:c r="I185" s="339" t="str">
        <x:v>WF-092</x:v>
      </x:c>
      <x:c r="J185" s="339" t="str">
        <x:v>API-0092</x:v>
      </x:c>
      <x:c r="K185" s="339" t="str">
        <x:v>MVP</x:v>
      </x:c>
      <x:c r="L185" s="339" t="str">
        <x:v>Not Started</x:v>
      </x:c>
    </x:row>
    <x:row r="186">
      <x:c r="A186" s="339" t="str">
        <x:v>US-0185</x:v>
      </x:c>
      <x:c r="B186" s="339" t="str">
        <x:v>EP-009</x:v>
      </x:c>
      <x:c r="C186" s="339" t="str">
        <x:v>SCR-093</x:v>
      </x:c>
      <x:c r="D186" s="339" t="str">
        <x:v>Academics &amp; Curriculum</x:v>
      </x:c>
      <x:c r="E186" s="339" t="str">
        <x:v>Terms / Semesters</x:v>
      </x:c>
      <x:c r="F186" s="339" t="str">
        <x:v>AC-00737, AC-00738, AC-00739, AC-00740</x:v>
      </x:c>
      <x:c r="G186" s="339" t="str">
        <x:v>BL-093</x:v>
      </x:c>
      <x:c r="H186" s="339" t="str">
        <x:v>BR-00277, BR-00278, BR-00279</x:v>
      </x:c>
      <x:c r="I186" s="339" t="str">
        <x:v>WF-093</x:v>
      </x:c>
      <x:c r="J186" s="339" t="str">
        <x:v>API-0093</x:v>
      </x:c>
      <x:c r="K186" s="339" t="str">
        <x:v>MVP</x:v>
      </x:c>
      <x:c r="L186" s="339" t="str">
        <x:v>Not Started</x:v>
      </x:c>
    </x:row>
    <x:row r="187">
      <x:c r="A187" s="339" t="str">
        <x:v>US-0186</x:v>
      </x:c>
      <x:c r="B187" s="339" t="str">
        <x:v>EP-009</x:v>
      </x:c>
      <x:c r="C187" s="339" t="str">
        <x:v>SCR-093</x:v>
      </x:c>
      <x:c r="D187" s="339" t="str">
        <x:v>Academics &amp; Curriculum</x:v>
      </x:c>
      <x:c r="E187" s="339" t="str">
        <x:v>Terms / Semesters</x:v>
      </x:c>
      <x:c r="F187" s="339" t="str">
        <x:v>AC-00741, AC-00742, AC-00743, AC-00744</x:v>
      </x:c>
      <x:c r="G187" s="339" t="str">
        <x:v>BL-093</x:v>
      </x:c>
      <x:c r="H187" s="339" t="str">
        <x:v>BR-00277, BR-00278, BR-00279</x:v>
      </x:c>
      <x:c r="I187" s="339" t="str">
        <x:v>WF-093</x:v>
      </x:c>
      <x:c r="J187" s="339" t="str">
        <x:v>API-0093</x:v>
      </x:c>
      <x:c r="K187" s="339" t="str">
        <x:v>MVP</x:v>
      </x:c>
      <x:c r="L187" s="339" t="str">
        <x:v>Not Started</x:v>
      </x:c>
    </x:row>
    <x:row r="188">
      <x:c r="A188" s="339" t="str">
        <x:v>US-0187</x:v>
      </x:c>
      <x:c r="B188" s="339" t="str">
        <x:v>EP-009</x:v>
      </x:c>
      <x:c r="C188" s="339" t="str">
        <x:v>SCR-094</x:v>
      </x:c>
      <x:c r="D188" s="339" t="str">
        <x:v>Academics &amp; Curriculum</x:v>
      </x:c>
      <x:c r="E188" s="339" t="str">
        <x:v>Grades / Classes</x:v>
      </x:c>
      <x:c r="F188" s="339" t="str">
        <x:v>AC-00745, AC-00746, AC-00747, AC-00748</x:v>
      </x:c>
      <x:c r="G188" s="339" t="str">
        <x:v>BL-094</x:v>
      </x:c>
      <x:c r="H188" s="339" t="str">
        <x:v>BR-00280, BR-00281, BR-00282</x:v>
      </x:c>
      <x:c r="I188" s="339" t="str">
        <x:v>WF-094</x:v>
      </x:c>
      <x:c r="J188" s="339" t="str">
        <x:v>API-0094</x:v>
      </x:c>
      <x:c r="K188" s="339" t="str">
        <x:v>MVP</x:v>
      </x:c>
      <x:c r="L188" s="339" t="str">
        <x:v>Not Started</x:v>
      </x:c>
    </x:row>
    <x:row r="189">
      <x:c r="A189" s="339" t="str">
        <x:v>US-0188</x:v>
      </x:c>
      <x:c r="B189" s="339" t="str">
        <x:v>EP-009</x:v>
      </x:c>
      <x:c r="C189" s="339" t="str">
        <x:v>SCR-094</x:v>
      </x:c>
      <x:c r="D189" s="339" t="str">
        <x:v>Academics &amp; Curriculum</x:v>
      </x:c>
      <x:c r="E189" s="339" t="str">
        <x:v>Grades / Classes</x:v>
      </x:c>
      <x:c r="F189" s="339" t="str">
        <x:v>AC-00749, AC-00750, AC-00751, AC-00752</x:v>
      </x:c>
      <x:c r="G189" s="339" t="str">
        <x:v>BL-094</x:v>
      </x:c>
      <x:c r="H189" s="339" t="str">
        <x:v>BR-00280, BR-00281, BR-00282</x:v>
      </x:c>
      <x:c r="I189" s="339" t="str">
        <x:v>WF-094</x:v>
      </x:c>
      <x:c r="J189" s="339" t="str">
        <x:v>API-0094</x:v>
      </x:c>
      <x:c r="K189" s="339" t="str">
        <x:v>MVP</x:v>
      </x:c>
      <x:c r="L189" s="339" t="str">
        <x:v>Not Started</x:v>
      </x:c>
    </x:row>
    <x:row r="190">
      <x:c r="A190" s="339" t="str">
        <x:v>US-0189</x:v>
      </x:c>
      <x:c r="B190" s="339" t="str">
        <x:v>EP-009</x:v>
      </x:c>
      <x:c r="C190" s="339" t="str">
        <x:v>SCR-095</x:v>
      </x:c>
      <x:c r="D190" s="339" t="str">
        <x:v>Academics &amp; Curriculum</x:v>
      </x:c>
      <x:c r="E190" s="339" t="str">
        <x:v>Sections</x:v>
      </x:c>
      <x:c r="F190" s="339" t="str">
        <x:v>AC-00753, AC-00754, AC-00755, AC-00756</x:v>
      </x:c>
      <x:c r="G190" s="339" t="str">
        <x:v>BL-095</x:v>
      </x:c>
      <x:c r="H190" s="339" t="str">
        <x:v>BR-00283, BR-00284, BR-00285</x:v>
      </x:c>
      <x:c r="I190" s="339" t="str">
        <x:v>WF-095</x:v>
      </x:c>
      <x:c r="J190" s="339" t="str">
        <x:v>API-0095</x:v>
      </x:c>
      <x:c r="K190" s="339" t="str">
        <x:v>MVP</x:v>
      </x:c>
      <x:c r="L190" s="339" t="str">
        <x:v>Not Started</x:v>
      </x:c>
    </x:row>
    <x:row r="191">
      <x:c r="A191" s="339" t="str">
        <x:v>US-0190</x:v>
      </x:c>
      <x:c r="B191" s="339" t="str">
        <x:v>EP-009</x:v>
      </x:c>
      <x:c r="C191" s="339" t="str">
        <x:v>SCR-095</x:v>
      </x:c>
      <x:c r="D191" s="339" t="str">
        <x:v>Academics &amp; Curriculum</x:v>
      </x:c>
      <x:c r="E191" s="339" t="str">
        <x:v>Sections</x:v>
      </x:c>
      <x:c r="F191" s="339" t="str">
        <x:v>AC-00757, AC-00758, AC-00759, AC-00760</x:v>
      </x:c>
      <x:c r="G191" s="339" t="str">
        <x:v>BL-095</x:v>
      </x:c>
      <x:c r="H191" s="339" t="str">
        <x:v>BR-00283, BR-00284, BR-00285</x:v>
      </x:c>
      <x:c r="I191" s="339" t="str">
        <x:v>WF-095</x:v>
      </x:c>
      <x:c r="J191" s="339" t="str">
        <x:v>API-0095</x:v>
      </x:c>
      <x:c r="K191" s="339" t="str">
        <x:v>MVP</x:v>
      </x:c>
      <x:c r="L191" s="339" t="str">
        <x:v>Not Started</x:v>
      </x:c>
    </x:row>
    <x:row r="192">
      <x:c r="A192" s="339" t="str">
        <x:v>US-0191</x:v>
      </x:c>
      <x:c r="B192" s="339" t="str">
        <x:v>EP-009</x:v>
      </x:c>
      <x:c r="C192" s="339" t="str">
        <x:v>SCR-096</x:v>
      </x:c>
      <x:c r="D192" s="339" t="str">
        <x:v>Academics &amp; Curriculum</x:v>
      </x:c>
      <x:c r="E192" s="339" t="str">
        <x:v>Subjects</x:v>
      </x:c>
      <x:c r="F192" s="339" t="str">
        <x:v>AC-00761, AC-00762, AC-00763, AC-00764</x:v>
      </x:c>
      <x:c r="G192" s="339" t="str">
        <x:v>BL-096</x:v>
      </x:c>
      <x:c r="H192" s="339" t="str">
        <x:v>BR-00286, BR-00287, BR-00288</x:v>
      </x:c>
      <x:c r="I192" s="339" t="str">
        <x:v>WF-096</x:v>
      </x:c>
      <x:c r="J192" s="339" t="str">
        <x:v>API-0096</x:v>
      </x:c>
      <x:c r="K192" s="339" t="str">
        <x:v>MVP</x:v>
      </x:c>
      <x:c r="L192" s="339" t="str">
        <x:v>Not Started</x:v>
      </x:c>
    </x:row>
    <x:row r="193">
      <x:c r="A193" s="339" t="str">
        <x:v>US-0192</x:v>
      </x:c>
      <x:c r="B193" s="339" t="str">
        <x:v>EP-009</x:v>
      </x:c>
      <x:c r="C193" s="339" t="str">
        <x:v>SCR-096</x:v>
      </x:c>
      <x:c r="D193" s="339" t="str">
        <x:v>Academics &amp; Curriculum</x:v>
      </x:c>
      <x:c r="E193" s="339" t="str">
        <x:v>Subjects</x:v>
      </x:c>
      <x:c r="F193" s="339" t="str">
        <x:v>AC-00765, AC-00766, AC-00767, AC-00768</x:v>
      </x:c>
      <x:c r="G193" s="339" t="str">
        <x:v>BL-096</x:v>
      </x:c>
      <x:c r="H193" s="339" t="str">
        <x:v>BR-00286, BR-00287, BR-00288</x:v>
      </x:c>
      <x:c r="I193" s="339" t="str">
        <x:v>WF-096</x:v>
      </x:c>
      <x:c r="J193" s="339" t="str">
        <x:v>API-0096</x:v>
      </x:c>
      <x:c r="K193" s="339" t="str">
        <x:v>MVP</x:v>
      </x:c>
      <x:c r="L193" s="339" t="str">
        <x:v>Not Started</x:v>
      </x:c>
    </x:row>
    <x:row r="194">
      <x:c r="A194" s="339" t="str">
        <x:v>US-0193</x:v>
      </x:c>
      <x:c r="B194" s="339" t="str">
        <x:v>EP-009</x:v>
      </x:c>
      <x:c r="C194" s="339" t="str">
        <x:v>SCR-097</x:v>
      </x:c>
      <x:c r="D194" s="339" t="str">
        <x:v>Academics &amp; Curriculum</x:v>
      </x:c>
      <x:c r="E194" s="339" t="str">
        <x:v>Subject Groups</x:v>
      </x:c>
      <x:c r="F194" s="339" t="str">
        <x:v>AC-00769, AC-00770, AC-00771, AC-00772</x:v>
      </x:c>
      <x:c r="G194" s="339" t="str">
        <x:v>BL-097</x:v>
      </x:c>
      <x:c r="H194" s="339" t="str">
        <x:v>BR-00289, BR-00290, BR-00291</x:v>
      </x:c>
      <x:c r="I194" s="339" t="str">
        <x:v>WF-097</x:v>
      </x:c>
      <x:c r="J194" s="339" t="str">
        <x:v>API-0097</x:v>
      </x:c>
      <x:c r="K194" s="339" t="str">
        <x:v>MVP</x:v>
      </x:c>
      <x:c r="L194" s="339" t="str">
        <x:v>Not Started</x:v>
      </x:c>
    </x:row>
    <x:row r="195">
      <x:c r="A195" s="339" t="str">
        <x:v>US-0194</x:v>
      </x:c>
      <x:c r="B195" s="339" t="str">
        <x:v>EP-009</x:v>
      </x:c>
      <x:c r="C195" s="339" t="str">
        <x:v>SCR-097</x:v>
      </x:c>
      <x:c r="D195" s="339" t="str">
        <x:v>Academics &amp; Curriculum</x:v>
      </x:c>
      <x:c r="E195" s="339" t="str">
        <x:v>Subject Groups</x:v>
      </x:c>
      <x:c r="F195" s="339" t="str">
        <x:v>AC-00773, AC-00774, AC-00775, AC-00776</x:v>
      </x:c>
      <x:c r="G195" s="339" t="str">
        <x:v>BL-097</x:v>
      </x:c>
      <x:c r="H195" s="339" t="str">
        <x:v>BR-00289, BR-00290, BR-00291</x:v>
      </x:c>
      <x:c r="I195" s="339" t="str">
        <x:v>WF-097</x:v>
      </x:c>
      <x:c r="J195" s="339" t="str">
        <x:v>API-0097</x:v>
      </x:c>
      <x:c r="K195" s="339" t="str">
        <x:v>MVP</x:v>
      </x:c>
      <x:c r="L195" s="339" t="str">
        <x:v>Not Started</x:v>
      </x:c>
    </x:row>
    <x:row r="196">
      <x:c r="A196" s="339" t="str">
        <x:v>US-0195</x:v>
      </x:c>
      <x:c r="B196" s="339" t="str">
        <x:v>EP-009</x:v>
      </x:c>
      <x:c r="C196" s="339" t="str">
        <x:v>SCR-098</x:v>
      </x:c>
      <x:c r="D196" s="339" t="str">
        <x:v>Academics &amp; Curriculum</x:v>
      </x:c>
      <x:c r="E196" s="339" t="str">
        <x:v>Curriculum</x:v>
      </x:c>
      <x:c r="F196" s="339" t="str">
        <x:v>AC-00777, AC-00778, AC-00779, AC-00780</x:v>
      </x:c>
      <x:c r="G196" s="339" t="str">
        <x:v>BL-098</x:v>
      </x:c>
      <x:c r="H196" s="339" t="str">
        <x:v>BR-00292, BR-00293, BR-00294</x:v>
      </x:c>
      <x:c r="I196" s="339" t="str">
        <x:v>WF-098</x:v>
      </x:c>
      <x:c r="J196" s="339" t="str">
        <x:v>API-0098</x:v>
      </x:c>
      <x:c r="K196" s="339" t="str">
        <x:v>MVP</x:v>
      </x:c>
      <x:c r="L196" s="339" t="str">
        <x:v>Not Started</x:v>
      </x:c>
    </x:row>
    <x:row r="197">
      <x:c r="A197" s="339" t="str">
        <x:v>US-0196</x:v>
      </x:c>
      <x:c r="B197" s="339" t="str">
        <x:v>EP-009</x:v>
      </x:c>
      <x:c r="C197" s="339" t="str">
        <x:v>SCR-098</x:v>
      </x:c>
      <x:c r="D197" s="339" t="str">
        <x:v>Academics &amp; Curriculum</x:v>
      </x:c>
      <x:c r="E197" s="339" t="str">
        <x:v>Curriculum</x:v>
      </x:c>
      <x:c r="F197" s="339" t="str">
        <x:v>AC-00781, AC-00782, AC-00783, AC-00784</x:v>
      </x:c>
      <x:c r="G197" s="339" t="str">
        <x:v>BL-098</x:v>
      </x:c>
      <x:c r="H197" s="339" t="str">
        <x:v>BR-00292, BR-00293, BR-00294</x:v>
      </x:c>
      <x:c r="I197" s="339" t="str">
        <x:v>WF-098</x:v>
      </x:c>
      <x:c r="J197" s="339" t="str">
        <x:v>API-0098</x:v>
      </x:c>
      <x:c r="K197" s="339" t="str">
        <x:v>MVP</x:v>
      </x:c>
      <x:c r="L197" s="339" t="str">
        <x:v>Not Started</x:v>
      </x:c>
    </x:row>
    <x:row r="198">
      <x:c r="A198" s="339" t="str">
        <x:v>US-0197</x:v>
      </x:c>
      <x:c r="B198" s="339" t="str">
        <x:v>EP-009</x:v>
      </x:c>
      <x:c r="C198" s="339" t="str">
        <x:v>SCR-099</x:v>
      </x:c>
      <x:c r="D198" s="339" t="str">
        <x:v>Academics &amp; Curriculum</x:v>
      </x:c>
      <x:c r="E198" s="339" t="str">
        <x:v>Curriculum Details</x:v>
      </x:c>
      <x:c r="F198" s="339" t="str">
        <x:v>AC-00785, AC-00786, AC-00787, AC-00788</x:v>
      </x:c>
      <x:c r="G198" s="339" t="str">
        <x:v>BL-099</x:v>
      </x:c>
      <x:c r="H198" s="339" t="str">
        <x:v>BR-00295, BR-00296, BR-00297</x:v>
      </x:c>
      <x:c r="I198" s="339" t="str">
        <x:v>WF-099</x:v>
      </x:c>
      <x:c r="J198" s="339" t="str">
        <x:v>API-0099</x:v>
      </x:c>
      <x:c r="K198" s="339" t="str">
        <x:v>MVP</x:v>
      </x:c>
      <x:c r="L198" s="339" t="str">
        <x:v>Not Started</x:v>
      </x:c>
    </x:row>
    <x:row r="199">
      <x:c r="A199" s="339" t="str">
        <x:v>US-0198</x:v>
      </x:c>
      <x:c r="B199" s="339" t="str">
        <x:v>EP-009</x:v>
      </x:c>
      <x:c r="C199" s="339" t="str">
        <x:v>SCR-099</x:v>
      </x:c>
      <x:c r="D199" s="339" t="str">
        <x:v>Academics &amp; Curriculum</x:v>
      </x:c>
      <x:c r="E199" s="339" t="str">
        <x:v>Curriculum Details</x:v>
      </x:c>
      <x:c r="F199" s="339" t="str">
        <x:v>AC-00789, AC-00790, AC-00791, AC-00792</x:v>
      </x:c>
      <x:c r="G199" s="339" t="str">
        <x:v>BL-099</x:v>
      </x:c>
      <x:c r="H199" s="339" t="str">
        <x:v>BR-00295, BR-00296, BR-00297</x:v>
      </x:c>
      <x:c r="I199" s="339" t="str">
        <x:v>WF-099</x:v>
      </x:c>
      <x:c r="J199" s="339" t="str">
        <x:v>API-0099</x:v>
      </x:c>
      <x:c r="K199" s="339" t="str">
        <x:v>MVP</x:v>
      </x:c>
      <x:c r="L199" s="339" t="str">
        <x:v>Not Started</x:v>
      </x:c>
    </x:row>
    <x:row r="200">
      <x:c r="A200" s="339" t="str">
        <x:v>US-0199</x:v>
      </x:c>
      <x:c r="B200" s="339" t="str">
        <x:v>EP-009</x:v>
      </x:c>
      <x:c r="C200" s="339" t="str">
        <x:v>SCR-100</x:v>
      </x:c>
      <x:c r="D200" s="339" t="str">
        <x:v>Academics &amp; Curriculum</x:v>
      </x:c>
      <x:c r="E200" s="339" t="str">
        <x:v>Units / Chapters / Topics</x:v>
      </x:c>
      <x:c r="F200" s="339" t="str">
        <x:v>AC-00793, AC-00794, AC-00795, AC-00796</x:v>
      </x:c>
      <x:c r="G200" s="339" t="str">
        <x:v>BL-100</x:v>
      </x:c>
      <x:c r="H200" s="339" t="str">
        <x:v>BR-00298, BR-00299, BR-00300</x:v>
      </x:c>
      <x:c r="I200" s="339" t="str">
        <x:v>WF-100</x:v>
      </x:c>
      <x:c r="J200" s="339" t="str">
        <x:v>API-0100</x:v>
      </x:c>
      <x:c r="K200" s="339" t="str">
        <x:v>MVP</x:v>
      </x:c>
      <x:c r="L200" s="339" t="str">
        <x:v>Not Started</x:v>
      </x:c>
    </x:row>
    <x:row r="201">
      <x:c r="A201" s="339" t="str">
        <x:v>US-0200</x:v>
      </x:c>
      <x:c r="B201" s="339" t="str">
        <x:v>EP-009</x:v>
      </x:c>
      <x:c r="C201" s="339" t="str">
        <x:v>SCR-100</x:v>
      </x:c>
      <x:c r="D201" s="339" t="str">
        <x:v>Academics &amp; Curriculum</x:v>
      </x:c>
      <x:c r="E201" s="339" t="str">
        <x:v>Units / Chapters / Topics</x:v>
      </x:c>
      <x:c r="F201" s="339" t="str">
        <x:v>AC-00797, AC-00798, AC-00799, AC-00800</x:v>
      </x:c>
      <x:c r="G201" s="339" t="str">
        <x:v>BL-100</x:v>
      </x:c>
      <x:c r="H201" s="339" t="str">
        <x:v>BR-00298, BR-00299, BR-00300</x:v>
      </x:c>
      <x:c r="I201" s="339" t="str">
        <x:v>WF-100</x:v>
      </x:c>
      <x:c r="J201" s="339" t="str">
        <x:v>API-0100</x:v>
      </x:c>
      <x:c r="K201" s="339" t="str">
        <x:v>MVP</x:v>
      </x:c>
      <x:c r="L201" s="339" t="str">
        <x:v>Not Started</x:v>
      </x:c>
    </x:row>
    <x:row r="202">
      <x:c r="A202" s="339" t="str">
        <x:v>US-0201</x:v>
      </x:c>
      <x:c r="B202" s="339" t="str">
        <x:v>EP-009</x:v>
      </x:c>
      <x:c r="C202" s="339" t="str">
        <x:v>SCR-101</x:v>
      </x:c>
      <x:c r="D202" s="339" t="str">
        <x:v>Academics &amp; Curriculum</x:v>
      </x:c>
      <x:c r="E202" s="339" t="str">
        <x:v>Learning Outcomes</x:v>
      </x:c>
      <x:c r="F202" s="339" t="str">
        <x:v>AC-00801, AC-00802, AC-00803, AC-00804</x:v>
      </x:c>
      <x:c r="G202" s="339" t="str">
        <x:v>BL-101</x:v>
      </x:c>
      <x:c r="H202" s="339" t="str">
        <x:v>BR-00301, BR-00302, BR-00303</x:v>
      </x:c>
      <x:c r="I202" s="339" t="str">
        <x:v>WF-101</x:v>
      </x:c>
      <x:c r="J202" s="339" t="str">
        <x:v>API-0101</x:v>
      </x:c>
      <x:c r="K202" s="339" t="str">
        <x:v>Phase 2</x:v>
      </x:c>
      <x:c r="L202" s="339" t="str">
        <x:v>Not Started</x:v>
      </x:c>
    </x:row>
    <x:row r="203">
      <x:c r="A203" s="339" t="str">
        <x:v>US-0202</x:v>
      </x:c>
      <x:c r="B203" s="339" t="str">
        <x:v>EP-009</x:v>
      </x:c>
      <x:c r="C203" s="339" t="str">
        <x:v>SCR-101</x:v>
      </x:c>
      <x:c r="D203" s="339" t="str">
        <x:v>Academics &amp; Curriculum</x:v>
      </x:c>
      <x:c r="E203" s="339" t="str">
        <x:v>Learning Outcomes</x:v>
      </x:c>
      <x:c r="F203" s="339" t="str">
        <x:v>AC-00805, AC-00806, AC-00807, AC-00808</x:v>
      </x:c>
      <x:c r="G203" s="339" t="str">
        <x:v>BL-101</x:v>
      </x:c>
      <x:c r="H203" s="339" t="str">
        <x:v>BR-00301, BR-00302, BR-00303</x:v>
      </x:c>
      <x:c r="I203" s="339" t="str">
        <x:v>WF-101</x:v>
      </x:c>
      <x:c r="J203" s="339" t="str">
        <x:v>API-0101</x:v>
      </x:c>
      <x:c r="K203" s="339" t="str">
        <x:v>Phase 2</x:v>
      </x:c>
      <x:c r="L203" s="339" t="str">
        <x:v>Not Started</x:v>
      </x:c>
    </x:row>
    <x:row r="204">
      <x:c r="A204" s="339" t="str">
        <x:v>US-0203</x:v>
      </x:c>
      <x:c r="B204" s="339" t="str">
        <x:v>EP-009</x:v>
      </x:c>
      <x:c r="C204" s="339" t="str">
        <x:v>SCR-102</x:v>
      </x:c>
      <x:c r="D204" s="339" t="str">
        <x:v>Academics &amp; Curriculum</x:v>
      </x:c>
      <x:c r="E204" s="339" t="str">
        <x:v>Lesson Plans</x:v>
      </x:c>
      <x:c r="F204" s="339" t="str">
        <x:v>AC-00809, AC-00810, AC-00811, AC-00812</x:v>
      </x:c>
      <x:c r="G204" s="339" t="str">
        <x:v>BL-102</x:v>
      </x:c>
      <x:c r="H204" s="339" t="str">
        <x:v>BR-00304, BR-00305, BR-00306</x:v>
      </x:c>
      <x:c r="I204" s="339" t="str">
        <x:v>WF-102</x:v>
      </x:c>
      <x:c r="J204" s="339" t="str">
        <x:v>API-0102</x:v>
      </x:c>
      <x:c r="K204" s="339" t="str">
        <x:v>Phase 2</x:v>
      </x:c>
      <x:c r="L204" s="339" t="str">
        <x:v>Not Started</x:v>
      </x:c>
    </x:row>
    <x:row r="205">
      <x:c r="A205" s="339" t="str">
        <x:v>US-0204</x:v>
      </x:c>
      <x:c r="B205" s="339" t="str">
        <x:v>EP-009</x:v>
      </x:c>
      <x:c r="C205" s="339" t="str">
        <x:v>SCR-102</x:v>
      </x:c>
      <x:c r="D205" s="339" t="str">
        <x:v>Academics &amp; Curriculum</x:v>
      </x:c>
      <x:c r="E205" s="339" t="str">
        <x:v>Lesson Plans</x:v>
      </x:c>
      <x:c r="F205" s="339" t="str">
        <x:v>AC-00813, AC-00814, AC-00815, AC-00816</x:v>
      </x:c>
      <x:c r="G205" s="339" t="str">
        <x:v>BL-102</x:v>
      </x:c>
      <x:c r="H205" s="339" t="str">
        <x:v>BR-00304, BR-00305, BR-00306</x:v>
      </x:c>
      <x:c r="I205" s="339" t="str">
        <x:v>WF-102</x:v>
      </x:c>
      <x:c r="J205" s="339" t="str">
        <x:v>API-0102</x:v>
      </x:c>
      <x:c r="K205" s="339" t="str">
        <x:v>Phase 2</x:v>
      </x:c>
      <x:c r="L205" s="339" t="str">
        <x:v>Not Started</x:v>
      </x:c>
    </x:row>
    <x:row r="206">
      <x:c r="A206" s="339" t="str">
        <x:v>US-0205</x:v>
      </x:c>
      <x:c r="B206" s="339" t="str">
        <x:v>EP-009</x:v>
      </x:c>
      <x:c r="C206" s="339" t="str">
        <x:v>SCR-103</x:v>
      </x:c>
      <x:c r="D206" s="339" t="str">
        <x:v>Academics &amp; Curriculum</x:v>
      </x:c>
      <x:c r="E206" s="339" t="str">
        <x:v>Create / Edit Lesson Plan</x:v>
      </x:c>
      <x:c r="F206" s="339" t="str">
        <x:v>AC-00817, AC-00818, AC-00819, AC-00820</x:v>
      </x:c>
      <x:c r="G206" s="339" t="str">
        <x:v>BL-103</x:v>
      </x:c>
      <x:c r="H206" s="339" t="str">
        <x:v>BR-00307, BR-00308, BR-00309</x:v>
      </x:c>
      <x:c r="I206" s="339" t="str">
        <x:v>WF-103</x:v>
      </x:c>
      <x:c r="J206" s="339" t="str">
        <x:v>API-0103</x:v>
      </x:c>
      <x:c r="K206" s="339" t="str">
        <x:v>Phase 2</x:v>
      </x:c>
      <x:c r="L206" s="339" t="str">
        <x:v>Not Started</x:v>
      </x:c>
    </x:row>
    <x:row r="207">
      <x:c r="A207" s="339" t="str">
        <x:v>US-0206</x:v>
      </x:c>
      <x:c r="B207" s="339" t="str">
        <x:v>EP-009</x:v>
      </x:c>
      <x:c r="C207" s="339" t="str">
        <x:v>SCR-103</x:v>
      </x:c>
      <x:c r="D207" s="339" t="str">
        <x:v>Academics &amp; Curriculum</x:v>
      </x:c>
      <x:c r="E207" s="339" t="str">
        <x:v>Create / Edit Lesson Plan</x:v>
      </x:c>
      <x:c r="F207" s="339" t="str">
        <x:v>AC-00821, AC-00822, AC-00823, AC-00824</x:v>
      </x:c>
      <x:c r="G207" s="339" t="str">
        <x:v>BL-103</x:v>
      </x:c>
      <x:c r="H207" s="339" t="str">
        <x:v>BR-00307, BR-00308, BR-00309</x:v>
      </x:c>
      <x:c r="I207" s="339" t="str">
        <x:v>WF-103</x:v>
      </x:c>
      <x:c r="J207" s="339" t="str">
        <x:v>API-0103</x:v>
      </x:c>
      <x:c r="K207" s="339" t="str">
        <x:v>Phase 2</x:v>
      </x:c>
      <x:c r="L207" s="339" t="str">
        <x:v>Not Started</x:v>
      </x:c>
    </x:row>
    <x:row r="208">
      <x:c r="A208" s="339" t="str">
        <x:v>US-0207</x:v>
      </x:c>
      <x:c r="B208" s="339" t="str">
        <x:v>EP-009</x:v>
      </x:c>
      <x:c r="C208" s="339" t="str">
        <x:v>SCR-104</x:v>
      </x:c>
      <x:c r="D208" s="339" t="str">
        <x:v>Academics &amp; Curriculum</x:v>
      </x:c>
      <x:c r="E208" s="339" t="str">
        <x:v>Lesson Plan Review &amp; Approval</x:v>
      </x:c>
      <x:c r="F208" s="339" t="str">
        <x:v>AC-00825, AC-00826, AC-00827, AC-00828</x:v>
      </x:c>
      <x:c r="G208" s="339" t="str">
        <x:v>BL-104</x:v>
      </x:c>
      <x:c r="H208" s="339" t="str">
        <x:v>BR-00310, BR-00311, BR-00312</x:v>
      </x:c>
      <x:c r="I208" s="339" t="str">
        <x:v>WF-104</x:v>
      </x:c>
      <x:c r="J208" s="339" t="str">
        <x:v>API-0104</x:v>
      </x:c>
      <x:c r="K208" s="339" t="str">
        <x:v>Phase 2</x:v>
      </x:c>
      <x:c r="L208" s="339" t="str">
        <x:v>Not Started</x:v>
      </x:c>
    </x:row>
    <x:row r="209">
      <x:c r="A209" s="339" t="str">
        <x:v>US-0208</x:v>
      </x:c>
      <x:c r="B209" s="339" t="str">
        <x:v>EP-009</x:v>
      </x:c>
      <x:c r="C209" s="339" t="str">
        <x:v>SCR-104</x:v>
      </x:c>
      <x:c r="D209" s="339" t="str">
        <x:v>Academics &amp; Curriculum</x:v>
      </x:c>
      <x:c r="E209" s="339" t="str">
        <x:v>Lesson Plan Review &amp; Approval</x:v>
      </x:c>
      <x:c r="F209" s="339" t="str">
        <x:v>AC-00829, AC-00830, AC-00831, AC-00832</x:v>
      </x:c>
      <x:c r="G209" s="339" t="str">
        <x:v>BL-104</x:v>
      </x:c>
      <x:c r="H209" s="339" t="str">
        <x:v>BR-00310, BR-00311, BR-00312</x:v>
      </x:c>
      <x:c r="I209" s="339" t="str">
        <x:v>WF-104</x:v>
      </x:c>
      <x:c r="J209" s="339" t="str">
        <x:v>API-0104</x:v>
      </x:c>
      <x:c r="K209" s="339" t="str">
        <x:v>Phase 2</x:v>
      </x:c>
      <x:c r="L209" s="339" t="str">
        <x:v>Not Started</x:v>
      </x:c>
    </x:row>
    <x:row r="210">
      <x:c r="A210" s="339" t="str">
        <x:v>US-0209</x:v>
      </x:c>
      <x:c r="B210" s="339" t="str">
        <x:v>EP-009</x:v>
      </x:c>
      <x:c r="C210" s="339" t="str">
        <x:v>SCR-105</x:v>
      </x:c>
      <x:c r="D210" s="339" t="str">
        <x:v>Academics &amp; Curriculum</x:v>
      </x:c>
      <x:c r="E210" s="339" t="str">
        <x:v>Syllabus Progress</x:v>
      </x:c>
      <x:c r="F210" s="339" t="str">
        <x:v>AC-00833, AC-00834, AC-00835, AC-00836</x:v>
      </x:c>
      <x:c r="G210" s="339" t="str">
        <x:v>BL-105</x:v>
      </x:c>
      <x:c r="H210" s="339" t="str">
        <x:v>BR-00313, BR-00314, BR-00315</x:v>
      </x:c>
      <x:c r="I210" s="339" t="str">
        <x:v>WF-105</x:v>
      </x:c>
      <x:c r="J210" s="339" t="str">
        <x:v>API-0105</x:v>
      </x:c>
      <x:c r="K210" s="339" t="str">
        <x:v>Phase 3</x:v>
      </x:c>
      <x:c r="L210" s="339" t="str">
        <x:v>Not Started</x:v>
      </x:c>
    </x:row>
    <x:row r="211">
      <x:c r="A211" s="339" t="str">
        <x:v>US-0210</x:v>
      </x:c>
      <x:c r="B211" s="339" t="str">
        <x:v>EP-009</x:v>
      </x:c>
      <x:c r="C211" s="339" t="str">
        <x:v>SCR-105</x:v>
      </x:c>
      <x:c r="D211" s="339" t="str">
        <x:v>Academics &amp; Curriculum</x:v>
      </x:c>
      <x:c r="E211" s="339" t="str">
        <x:v>Syllabus Progress</x:v>
      </x:c>
      <x:c r="F211" s="339" t="str">
        <x:v>AC-00837, AC-00838, AC-00839, AC-00840</x:v>
      </x:c>
      <x:c r="G211" s="339" t="str">
        <x:v>BL-105</x:v>
      </x:c>
      <x:c r="H211" s="339" t="str">
        <x:v>BR-00313, BR-00314, BR-00315</x:v>
      </x:c>
      <x:c r="I211" s="339" t="str">
        <x:v>WF-105</x:v>
      </x:c>
      <x:c r="J211" s="339" t="str">
        <x:v>API-0105</x:v>
      </x:c>
      <x:c r="K211" s="339" t="str">
        <x:v>Phase 3</x:v>
      </x:c>
      <x:c r="L211" s="339" t="str">
        <x:v>Not Started</x:v>
      </x:c>
    </x:row>
    <x:row r="212">
      <x:c r="A212" s="339" t="str">
        <x:v>US-0211</x:v>
      </x:c>
      <x:c r="B212" s="339" t="str">
        <x:v>EP-009</x:v>
      </x:c>
      <x:c r="C212" s="339" t="str">
        <x:v>SCR-106</x:v>
      </x:c>
      <x:c r="D212" s="339" t="str">
        <x:v>Academics &amp; Curriculum</x:v>
      </x:c>
      <x:c r="E212" s="339" t="str">
        <x:v>Teaching Resources</x:v>
      </x:c>
      <x:c r="F212" s="339" t="str">
        <x:v>AC-00841, AC-00842, AC-00843, AC-00844</x:v>
      </x:c>
      <x:c r="G212" s="339" t="str">
        <x:v>BL-106</x:v>
      </x:c>
      <x:c r="H212" s="339" t="str">
        <x:v>BR-00316, BR-00317, BR-00318</x:v>
      </x:c>
      <x:c r="I212" s="339" t="str">
        <x:v>WF-106</x:v>
      </x:c>
      <x:c r="J212" s="339" t="str">
        <x:v>API-0106</x:v>
      </x:c>
      <x:c r="K212" s="339" t="str">
        <x:v>Phase 3</x:v>
      </x:c>
      <x:c r="L212" s="339" t="str">
        <x:v>Not Started</x:v>
      </x:c>
    </x:row>
    <x:row r="213">
      <x:c r="A213" s="339" t="str">
        <x:v>US-0212</x:v>
      </x:c>
      <x:c r="B213" s="339" t="str">
        <x:v>EP-009</x:v>
      </x:c>
      <x:c r="C213" s="339" t="str">
        <x:v>SCR-106</x:v>
      </x:c>
      <x:c r="D213" s="339" t="str">
        <x:v>Academics &amp; Curriculum</x:v>
      </x:c>
      <x:c r="E213" s="339" t="str">
        <x:v>Teaching Resources</x:v>
      </x:c>
      <x:c r="F213" s="339" t="str">
        <x:v>AC-00845, AC-00846, AC-00847, AC-00848</x:v>
      </x:c>
      <x:c r="G213" s="339" t="str">
        <x:v>BL-106</x:v>
      </x:c>
      <x:c r="H213" s="339" t="str">
        <x:v>BR-00316, BR-00317, BR-00318</x:v>
      </x:c>
      <x:c r="I213" s="339" t="str">
        <x:v>WF-106</x:v>
      </x:c>
      <x:c r="J213" s="339" t="str">
        <x:v>API-0106</x:v>
      </x:c>
      <x:c r="K213" s="339" t="str">
        <x:v>Phase 3</x:v>
      </x:c>
      <x:c r="L213" s="339" t="str">
        <x:v>Not Started</x:v>
      </x:c>
    </x:row>
    <x:row r="214">
      <x:c r="A214" s="339" t="str">
        <x:v>US-0213</x:v>
      </x:c>
      <x:c r="B214" s="339" t="str">
        <x:v>EP-009</x:v>
      </x:c>
      <x:c r="C214" s="339" t="str">
        <x:v>SCR-107</x:v>
      </x:c>
      <x:c r="D214" s="339" t="str">
        <x:v>Academics &amp; Curriculum</x:v>
      </x:c>
      <x:c r="E214" s="339" t="str">
        <x:v>Classroom / Room Management</x:v>
      </x:c>
      <x:c r="F214" s="339" t="str">
        <x:v>AC-00849, AC-00850, AC-00851, AC-00852</x:v>
      </x:c>
      <x:c r="G214" s="339" t="str">
        <x:v>BL-107</x:v>
      </x:c>
      <x:c r="H214" s="339" t="str">
        <x:v>BR-00319, BR-00320, BR-00321</x:v>
      </x:c>
      <x:c r="I214" s="339" t="str">
        <x:v>WF-107</x:v>
      </x:c>
      <x:c r="J214" s="339" t="str">
        <x:v>API-0107</x:v>
      </x:c>
      <x:c r="K214" s="339" t="str">
        <x:v>Phase 3</x:v>
      </x:c>
      <x:c r="L214" s="339" t="str">
        <x:v>Not Started</x:v>
      </x:c>
    </x:row>
    <x:row r="215">
      <x:c r="A215" s="339" t="str">
        <x:v>US-0214</x:v>
      </x:c>
      <x:c r="B215" s="339" t="str">
        <x:v>EP-009</x:v>
      </x:c>
      <x:c r="C215" s="339" t="str">
        <x:v>SCR-107</x:v>
      </x:c>
      <x:c r="D215" s="339" t="str">
        <x:v>Academics &amp; Curriculum</x:v>
      </x:c>
      <x:c r="E215" s="339" t="str">
        <x:v>Classroom / Room Management</x:v>
      </x:c>
      <x:c r="F215" s="339" t="str">
        <x:v>AC-00853, AC-00854, AC-00855, AC-00856</x:v>
      </x:c>
      <x:c r="G215" s="339" t="str">
        <x:v>BL-107</x:v>
      </x:c>
      <x:c r="H215" s="339" t="str">
        <x:v>BR-00319, BR-00320, BR-00321</x:v>
      </x:c>
      <x:c r="I215" s="339" t="str">
        <x:v>WF-107</x:v>
      </x:c>
      <x:c r="J215" s="339" t="str">
        <x:v>API-0107</x:v>
      </x:c>
      <x:c r="K215" s="339" t="str">
        <x:v>Phase 3</x:v>
      </x:c>
      <x:c r="L215" s="339" t="str">
        <x:v>Not Started</x:v>
      </x:c>
    </x:row>
    <x:row r="216">
      <x:c r="A216" s="339" t="str">
        <x:v>US-0215</x:v>
      </x:c>
      <x:c r="B216" s="339" t="str">
        <x:v>EP-009</x:v>
      </x:c>
      <x:c r="C216" s="339" t="str">
        <x:v>SCR-108</x:v>
      </x:c>
      <x:c r="D216" s="339" t="str">
        <x:v>Academics &amp; Curriculum</x:v>
      </x:c>
      <x:c r="E216" s="339" t="str">
        <x:v>Academic Calendar</x:v>
      </x:c>
      <x:c r="F216" s="339" t="str">
        <x:v>AC-00857, AC-00858, AC-00859, AC-00860</x:v>
      </x:c>
      <x:c r="G216" s="339" t="str">
        <x:v>BL-108</x:v>
      </x:c>
      <x:c r="H216" s="339" t="str">
        <x:v>BR-00322, BR-00323, BR-00324</x:v>
      </x:c>
      <x:c r="I216" s="339" t="str">
        <x:v>WF-108</x:v>
      </x:c>
      <x:c r="J216" s="339" t="str">
        <x:v>API-0108</x:v>
      </x:c>
      <x:c r="K216" s="339" t="str">
        <x:v>Phase 3</x:v>
      </x:c>
      <x:c r="L216" s="339" t="str">
        <x:v>Not Started</x:v>
      </x:c>
    </x:row>
    <x:row r="217">
      <x:c r="A217" s="339" t="str">
        <x:v>US-0216</x:v>
      </x:c>
      <x:c r="B217" s="339" t="str">
        <x:v>EP-009</x:v>
      </x:c>
      <x:c r="C217" s="339" t="str">
        <x:v>SCR-108</x:v>
      </x:c>
      <x:c r="D217" s="339" t="str">
        <x:v>Academics &amp; Curriculum</x:v>
      </x:c>
      <x:c r="E217" s="339" t="str">
        <x:v>Academic Calendar</x:v>
      </x:c>
      <x:c r="F217" s="339" t="str">
        <x:v>AC-00861, AC-00862, AC-00863, AC-00864</x:v>
      </x:c>
      <x:c r="G217" s="339" t="str">
        <x:v>BL-108</x:v>
      </x:c>
      <x:c r="H217" s="339" t="str">
        <x:v>BR-00322, BR-00323, BR-00324</x:v>
      </x:c>
      <x:c r="I217" s="339" t="str">
        <x:v>WF-108</x:v>
      </x:c>
      <x:c r="J217" s="339" t="str">
        <x:v>API-0108</x:v>
      </x:c>
      <x:c r="K217" s="339" t="str">
        <x:v>Phase 3</x:v>
      </x:c>
      <x:c r="L217" s="339" t="str">
        <x:v>Not Started</x:v>
      </x:c>
    </x:row>
    <x:row r="218">
      <x:c r="A218" s="339" t="str">
        <x:v>US-0217</x:v>
      </x:c>
      <x:c r="B218" s="339" t="str">
        <x:v>EP-009</x:v>
      </x:c>
      <x:c r="C218" s="339" t="str">
        <x:v>SCR-109</x:v>
      </x:c>
      <x:c r="D218" s="339" t="str">
        <x:v>Academics &amp; Curriculum</x:v>
      </x:c>
      <x:c r="E218" s="339" t="str">
        <x:v>Co-Curricular Activities</x:v>
      </x:c>
      <x:c r="F218" s="339" t="str">
        <x:v>AC-00865, AC-00866, AC-00867, AC-00868</x:v>
      </x:c>
      <x:c r="G218" s="339" t="str">
        <x:v>BL-109</x:v>
      </x:c>
      <x:c r="H218" s="339" t="str">
        <x:v>BR-00325, BR-00326, BR-00327</x:v>
      </x:c>
      <x:c r="I218" s="339" t="str">
        <x:v>WF-109</x:v>
      </x:c>
      <x:c r="J218" s="339" t="str">
        <x:v>API-0109</x:v>
      </x:c>
      <x:c r="K218" s="339" t="str">
        <x:v>Phase 3</x:v>
      </x:c>
      <x:c r="L218" s="339" t="str">
        <x:v>Not Started</x:v>
      </x:c>
    </x:row>
    <x:row r="219">
      <x:c r="A219" s="339" t="str">
        <x:v>US-0218</x:v>
      </x:c>
      <x:c r="B219" s="339" t="str">
        <x:v>EP-009</x:v>
      </x:c>
      <x:c r="C219" s="339" t="str">
        <x:v>SCR-109</x:v>
      </x:c>
      <x:c r="D219" s="339" t="str">
        <x:v>Academics &amp; Curriculum</x:v>
      </x:c>
      <x:c r="E219" s="339" t="str">
        <x:v>Co-Curricular Activities</x:v>
      </x:c>
      <x:c r="F219" s="339" t="str">
        <x:v>AC-00869, AC-00870, AC-00871, AC-00872</x:v>
      </x:c>
      <x:c r="G219" s="339" t="str">
        <x:v>BL-109</x:v>
      </x:c>
      <x:c r="H219" s="339" t="str">
        <x:v>BR-00325, BR-00326, BR-00327</x:v>
      </x:c>
      <x:c r="I219" s="339" t="str">
        <x:v>WF-109</x:v>
      </x:c>
      <x:c r="J219" s="339" t="str">
        <x:v>API-0109</x:v>
      </x:c>
      <x:c r="K219" s="339" t="str">
        <x:v>Phase 3</x:v>
      </x:c>
      <x:c r="L219" s="339" t="str">
        <x:v>Not Started</x:v>
      </x:c>
    </x:row>
    <x:row r="220">
      <x:c r="A220" s="339" t="str">
        <x:v>US-0219</x:v>
      </x:c>
      <x:c r="B220" s="339" t="str">
        <x:v>EP-010</x:v>
      </x:c>
      <x:c r="C220" s="339" t="str">
        <x:v>SCR-110</x:v>
      </x:c>
      <x:c r="D220" s="339" t="str">
        <x:v>Student Attendance</x:v>
      </x:c>
      <x:c r="E220" s="339" t="str">
        <x:v>Daily Class Attendance</x:v>
      </x:c>
      <x:c r="F220" s="339" t="str">
        <x:v>AC-00873, AC-00874, AC-00875, AC-00876</x:v>
      </x:c>
      <x:c r="G220" s="339" t="str">
        <x:v>BL-110</x:v>
      </x:c>
      <x:c r="H220" s="339" t="str">
        <x:v>BR-00328, BR-00329, BR-00330</x:v>
      </x:c>
      <x:c r="I220" s="339" t="str">
        <x:v>WF-110</x:v>
      </x:c>
      <x:c r="J220" s="339" t="str">
        <x:v>API-0110</x:v>
      </x:c>
      <x:c r="K220" s="339" t="str">
        <x:v>MVP</x:v>
      </x:c>
      <x:c r="L220" s="339" t="str">
        <x:v>Not Started</x:v>
      </x:c>
    </x:row>
    <x:row r="221">
      <x:c r="A221" s="339" t="str">
        <x:v>US-0220</x:v>
      </x:c>
      <x:c r="B221" s="339" t="str">
        <x:v>EP-010</x:v>
      </x:c>
      <x:c r="C221" s="339" t="str">
        <x:v>SCR-110</x:v>
      </x:c>
      <x:c r="D221" s="339" t="str">
        <x:v>Student Attendance</x:v>
      </x:c>
      <x:c r="E221" s="339" t="str">
        <x:v>Daily Class Attendance</x:v>
      </x:c>
      <x:c r="F221" s="339" t="str">
        <x:v>AC-00877, AC-00878, AC-00879, AC-00880</x:v>
      </x:c>
      <x:c r="G221" s="339" t="str">
        <x:v>BL-110</x:v>
      </x:c>
      <x:c r="H221" s="339" t="str">
        <x:v>BR-00328, BR-00329, BR-00330</x:v>
      </x:c>
      <x:c r="I221" s="339" t="str">
        <x:v>WF-110</x:v>
      </x:c>
      <x:c r="J221" s="339" t="str">
        <x:v>API-0110</x:v>
      </x:c>
      <x:c r="K221" s="339" t="str">
        <x:v>MVP</x:v>
      </x:c>
      <x:c r="L221" s="339" t="str">
        <x:v>Not Started</x:v>
      </x:c>
    </x:row>
    <x:row r="222">
      <x:c r="A222" s="339" t="str">
        <x:v>US-0221</x:v>
      </x:c>
      <x:c r="B222" s="339" t="str">
        <x:v>EP-010</x:v>
      </x:c>
      <x:c r="C222" s="339" t="str">
        <x:v>SCR-111</x:v>
      </x:c>
      <x:c r="D222" s="339" t="str">
        <x:v>Student Attendance</x:v>
      </x:c>
      <x:c r="E222" s="339" t="str">
        <x:v>Period / Subject Attendance</x:v>
      </x:c>
      <x:c r="F222" s="339" t="str">
        <x:v>AC-00881, AC-00882, AC-00883, AC-00884</x:v>
      </x:c>
      <x:c r="G222" s="339" t="str">
        <x:v>BL-111</x:v>
      </x:c>
      <x:c r="H222" s="339" t="str">
        <x:v>BR-00331, BR-00332, BR-00333</x:v>
      </x:c>
      <x:c r="I222" s="339" t="str">
        <x:v>WF-111</x:v>
      </x:c>
      <x:c r="J222" s="339" t="str">
        <x:v>API-0111</x:v>
      </x:c>
      <x:c r="K222" s="339" t="str">
        <x:v>MVP</x:v>
      </x:c>
      <x:c r="L222" s="339" t="str">
        <x:v>Not Started</x:v>
      </x:c>
    </x:row>
    <x:row r="223">
      <x:c r="A223" s="339" t="str">
        <x:v>US-0222</x:v>
      </x:c>
      <x:c r="B223" s="339" t="str">
        <x:v>EP-010</x:v>
      </x:c>
      <x:c r="C223" s="339" t="str">
        <x:v>SCR-111</x:v>
      </x:c>
      <x:c r="D223" s="339" t="str">
        <x:v>Student Attendance</x:v>
      </x:c>
      <x:c r="E223" s="339" t="str">
        <x:v>Period / Subject Attendance</x:v>
      </x:c>
      <x:c r="F223" s="339" t="str">
        <x:v>AC-00885, AC-00886, AC-00887, AC-00888</x:v>
      </x:c>
      <x:c r="G223" s="339" t="str">
        <x:v>BL-111</x:v>
      </x:c>
      <x:c r="H223" s="339" t="str">
        <x:v>BR-00331, BR-00332, BR-00333</x:v>
      </x:c>
      <x:c r="I223" s="339" t="str">
        <x:v>WF-111</x:v>
      </x:c>
      <x:c r="J223" s="339" t="str">
        <x:v>API-0111</x:v>
      </x:c>
      <x:c r="K223" s="339" t="str">
        <x:v>MVP</x:v>
      </x:c>
      <x:c r="L223" s="339" t="str">
        <x:v>Not Started</x:v>
      </x:c>
    </x:row>
    <x:row r="224">
      <x:c r="A224" s="339" t="str">
        <x:v>US-0223</x:v>
      </x:c>
      <x:c r="B224" s="339" t="str">
        <x:v>EP-010</x:v>
      </x:c>
      <x:c r="C224" s="339" t="str">
        <x:v>SCR-112</x:v>
      </x:c>
      <x:c r="D224" s="339" t="str">
        <x:v>Student Attendance</x:v>
      </x:c>
      <x:c r="E224" s="339" t="str">
        <x:v>Student Attendance Register</x:v>
      </x:c>
      <x:c r="F224" s="339" t="str">
        <x:v>AC-00889, AC-00890, AC-00891, AC-00892</x:v>
      </x:c>
      <x:c r="G224" s="339" t="str">
        <x:v>BL-112</x:v>
      </x:c>
      <x:c r="H224" s="339" t="str">
        <x:v>BR-00334, BR-00335, BR-00336</x:v>
      </x:c>
      <x:c r="I224" s="339" t="str">
        <x:v>WF-112</x:v>
      </x:c>
      <x:c r="J224" s="339" t="str">
        <x:v>API-0112</x:v>
      </x:c>
      <x:c r="K224" s="339" t="str">
        <x:v>MVP</x:v>
      </x:c>
      <x:c r="L224" s="339" t="str">
        <x:v>Not Started</x:v>
      </x:c>
    </x:row>
    <x:row r="225">
      <x:c r="A225" s="339" t="str">
        <x:v>US-0224</x:v>
      </x:c>
      <x:c r="B225" s="339" t="str">
        <x:v>EP-010</x:v>
      </x:c>
      <x:c r="C225" s="339" t="str">
        <x:v>SCR-112</x:v>
      </x:c>
      <x:c r="D225" s="339" t="str">
        <x:v>Student Attendance</x:v>
      </x:c>
      <x:c r="E225" s="339" t="str">
        <x:v>Student Attendance Register</x:v>
      </x:c>
      <x:c r="F225" s="339" t="str">
        <x:v>AC-00893, AC-00894, AC-00895, AC-00896</x:v>
      </x:c>
      <x:c r="G225" s="339" t="str">
        <x:v>BL-112</x:v>
      </x:c>
      <x:c r="H225" s="339" t="str">
        <x:v>BR-00334, BR-00335, BR-00336</x:v>
      </x:c>
      <x:c r="I225" s="339" t="str">
        <x:v>WF-112</x:v>
      </x:c>
      <x:c r="J225" s="339" t="str">
        <x:v>API-0112</x:v>
      </x:c>
      <x:c r="K225" s="339" t="str">
        <x:v>MVP</x:v>
      </x:c>
      <x:c r="L225" s="339" t="str">
        <x:v>Not Started</x:v>
      </x:c>
    </x:row>
    <x:row r="226">
      <x:c r="A226" s="339" t="str">
        <x:v>US-0225</x:v>
      </x:c>
      <x:c r="B226" s="339" t="str">
        <x:v>EP-010</x:v>
      </x:c>
      <x:c r="C226" s="339" t="str">
        <x:v>SCR-113</x:v>
      </x:c>
      <x:c r="D226" s="339" t="str">
        <x:v>Student Attendance</x:v>
      </x:c>
      <x:c r="E226" s="339" t="str">
        <x:v>Attendance Correction</x:v>
      </x:c>
      <x:c r="F226" s="339" t="str">
        <x:v>AC-00897, AC-00898, AC-00899, AC-00900</x:v>
      </x:c>
      <x:c r="G226" s="339" t="str">
        <x:v>BL-113</x:v>
      </x:c>
      <x:c r="H226" s="339" t="str">
        <x:v>BR-00337, BR-00338, BR-00339</x:v>
      </x:c>
      <x:c r="I226" s="339" t="str">
        <x:v>WF-113</x:v>
      </x:c>
      <x:c r="J226" s="339" t="str">
        <x:v>API-0113</x:v>
      </x:c>
      <x:c r="K226" s="339" t="str">
        <x:v>MVP</x:v>
      </x:c>
      <x:c r="L226" s="339" t="str">
        <x:v>Not Started</x:v>
      </x:c>
    </x:row>
    <x:row r="227">
      <x:c r="A227" s="339" t="str">
        <x:v>US-0226</x:v>
      </x:c>
      <x:c r="B227" s="339" t="str">
        <x:v>EP-010</x:v>
      </x:c>
      <x:c r="C227" s="339" t="str">
        <x:v>SCR-113</x:v>
      </x:c>
      <x:c r="D227" s="339" t="str">
        <x:v>Student Attendance</x:v>
      </x:c>
      <x:c r="E227" s="339" t="str">
        <x:v>Attendance Correction</x:v>
      </x:c>
      <x:c r="F227" s="339" t="str">
        <x:v>AC-00901, AC-00902, AC-00903, AC-00904</x:v>
      </x:c>
      <x:c r="G227" s="339" t="str">
        <x:v>BL-113</x:v>
      </x:c>
      <x:c r="H227" s="339" t="str">
        <x:v>BR-00337, BR-00338, BR-00339</x:v>
      </x:c>
      <x:c r="I227" s="339" t="str">
        <x:v>WF-113</x:v>
      </x:c>
      <x:c r="J227" s="339" t="str">
        <x:v>API-0113</x:v>
      </x:c>
      <x:c r="K227" s="339" t="str">
        <x:v>MVP</x:v>
      </x:c>
      <x:c r="L227" s="339" t="str">
        <x:v>Not Started</x:v>
      </x:c>
    </x:row>
    <x:row r="228">
      <x:c r="A228" s="339" t="str">
        <x:v>US-0227</x:v>
      </x:c>
      <x:c r="B228" s="339" t="str">
        <x:v>EP-010</x:v>
      </x:c>
      <x:c r="C228" s="339" t="str">
        <x:v>SCR-114</x:v>
      </x:c>
      <x:c r="D228" s="339" t="str">
        <x:v>Student Attendance</x:v>
      </x:c>
      <x:c r="E228" s="339" t="str">
        <x:v>Student Leave Requests</x:v>
      </x:c>
      <x:c r="F228" s="339" t="str">
        <x:v>AC-00905, AC-00906, AC-00907, AC-00908</x:v>
      </x:c>
      <x:c r="G228" s="339" t="str">
        <x:v>BL-114</x:v>
      </x:c>
      <x:c r="H228" s="339" t="str">
        <x:v>BR-00340, BR-00341, BR-00342</x:v>
      </x:c>
      <x:c r="I228" s="339" t="str">
        <x:v>WF-114</x:v>
      </x:c>
      <x:c r="J228" s="339" t="str">
        <x:v>API-0114</x:v>
      </x:c>
      <x:c r="K228" s="339" t="str">
        <x:v>MVP</x:v>
      </x:c>
      <x:c r="L228" s="339" t="str">
        <x:v>Not Started</x:v>
      </x:c>
    </x:row>
    <x:row r="229">
      <x:c r="A229" s="339" t="str">
        <x:v>US-0228</x:v>
      </x:c>
      <x:c r="B229" s="339" t="str">
        <x:v>EP-010</x:v>
      </x:c>
      <x:c r="C229" s="339" t="str">
        <x:v>SCR-114</x:v>
      </x:c>
      <x:c r="D229" s="339" t="str">
        <x:v>Student Attendance</x:v>
      </x:c>
      <x:c r="E229" s="339" t="str">
        <x:v>Student Leave Requests</x:v>
      </x:c>
      <x:c r="F229" s="339" t="str">
        <x:v>AC-00909, AC-00910, AC-00911, AC-00912</x:v>
      </x:c>
      <x:c r="G229" s="339" t="str">
        <x:v>BL-114</x:v>
      </x:c>
      <x:c r="H229" s="339" t="str">
        <x:v>BR-00340, BR-00341, BR-00342</x:v>
      </x:c>
      <x:c r="I229" s="339" t="str">
        <x:v>WF-114</x:v>
      </x:c>
      <x:c r="J229" s="339" t="str">
        <x:v>API-0114</x:v>
      </x:c>
      <x:c r="K229" s="339" t="str">
        <x:v>MVP</x:v>
      </x:c>
      <x:c r="L229" s="339" t="str">
        <x:v>Not Started</x:v>
      </x:c>
    </x:row>
    <x:row r="230">
      <x:c r="A230" s="339" t="str">
        <x:v>US-0229</x:v>
      </x:c>
      <x:c r="B230" s="339" t="str">
        <x:v>EP-010</x:v>
      </x:c>
      <x:c r="C230" s="339" t="str">
        <x:v>SCR-115</x:v>
      </x:c>
      <x:c r="D230" s="339" t="str">
        <x:v>Student Attendance</x:v>
      </x:c>
      <x:c r="E230" s="339" t="str">
        <x:v>Student Leave Approval</x:v>
      </x:c>
      <x:c r="F230" s="339" t="str">
        <x:v>AC-00913, AC-00914, AC-00915, AC-00916</x:v>
      </x:c>
      <x:c r="G230" s="339" t="str">
        <x:v>BL-115</x:v>
      </x:c>
      <x:c r="H230" s="339" t="str">
        <x:v>BR-00343, BR-00344, BR-00345</x:v>
      </x:c>
      <x:c r="I230" s="339" t="str">
        <x:v>WF-115</x:v>
      </x:c>
      <x:c r="J230" s="339" t="str">
        <x:v>API-0115</x:v>
      </x:c>
      <x:c r="K230" s="339" t="str">
        <x:v>Phase 2</x:v>
      </x:c>
      <x:c r="L230" s="339" t="str">
        <x:v>Not Started</x:v>
      </x:c>
    </x:row>
    <x:row r="231">
      <x:c r="A231" s="339" t="str">
        <x:v>US-0230</x:v>
      </x:c>
      <x:c r="B231" s="339" t="str">
        <x:v>EP-010</x:v>
      </x:c>
      <x:c r="C231" s="339" t="str">
        <x:v>SCR-115</x:v>
      </x:c>
      <x:c r="D231" s="339" t="str">
        <x:v>Student Attendance</x:v>
      </x:c>
      <x:c r="E231" s="339" t="str">
        <x:v>Student Leave Approval</x:v>
      </x:c>
      <x:c r="F231" s="339" t="str">
        <x:v>AC-00917, AC-00918, AC-00919, AC-00920</x:v>
      </x:c>
      <x:c r="G231" s="339" t="str">
        <x:v>BL-115</x:v>
      </x:c>
      <x:c r="H231" s="339" t="str">
        <x:v>BR-00343, BR-00344, BR-00345</x:v>
      </x:c>
      <x:c r="I231" s="339" t="str">
        <x:v>WF-115</x:v>
      </x:c>
      <x:c r="J231" s="339" t="str">
        <x:v>API-0115</x:v>
      </x:c>
      <x:c r="K231" s="339" t="str">
        <x:v>Phase 2</x:v>
      </x:c>
      <x:c r="L231" s="339" t="str">
        <x:v>Not Started</x:v>
      </x:c>
    </x:row>
    <x:row r="232">
      <x:c r="A232" s="339" t="str">
        <x:v>US-0231</x:v>
      </x:c>
      <x:c r="B232" s="339" t="str">
        <x:v>EP-010</x:v>
      </x:c>
      <x:c r="C232" s="339" t="str">
        <x:v>SCR-116</x:v>
      </x:c>
      <x:c r="D232" s="339" t="str">
        <x:v>Student Attendance</x:v>
      </x:c>
      <x:c r="E232" s="339" t="str">
        <x:v>Late Entry / Early Exit</x:v>
      </x:c>
      <x:c r="F232" s="339" t="str">
        <x:v>AC-00921, AC-00922, AC-00923, AC-00924</x:v>
      </x:c>
      <x:c r="G232" s="339" t="str">
        <x:v>BL-116</x:v>
      </x:c>
      <x:c r="H232" s="339" t="str">
        <x:v>BR-00346, BR-00347, BR-00348</x:v>
      </x:c>
      <x:c r="I232" s="339" t="str">
        <x:v>WF-116</x:v>
      </x:c>
      <x:c r="J232" s="339" t="str">
        <x:v>API-0116</x:v>
      </x:c>
      <x:c r="K232" s="339" t="str">
        <x:v>Phase 2</x:v>
      </x:c>
      <x:c r="L232" s="339" t="str">
        <x:v>Not Started</x:v>
      </x:c>
    </x:row>
    <x:row r="233">
      <x:c r="A233" s="339" t="str">
        <x:v>US-0232</x:v>
      </x:c>
      <x:c r="B233" s="339" t="str">
        <x:v>EP-010</x:v>
      </x:c>
      <x:c r="C233" s="339" t="str">
        <x:v>SCR-116</x:v>
      </x:c>
      <x:c r="D233" s="339" t="str">
        <x:v>Student Attendance</x:v>
      </x:c>
      <x:c r="E233" s="339" t="str">
        <x:v>Late Entry / Early Exit</x:v>
      </x:c>
      <x:c r="F233" s="339" t="str">
        <x:v>AC-00925, AC-00926, AC-00927, AC-00928</x:v>
      </x:c>
      <x:c r="G233" s="339" t="str">
        <x:v>BL-116</x:v>
      </x:c>
      <x:c r="H233" s="339" t="str">
        <x:v>BR-00346, BR-00347, BR-00348</x:v>
      </x:c>
      <x:c r="I233" s="339" t="str">
        <x:v>WF-116</x:v>
      </x:c>
      <x:c r="J233" s="339" t="str">
        <x:v>API-0116</x:v>
      </x:c>
      <x:c r="K233" s="339" t="str">
        <x:v>Phase 2</x:v>
      </x:c>
      <x:c r="L233" s="339" t="str">
        <x:v>Not Started</x:v>
      </x:c>
    </x:row>
    <x:row r="234">
      <x:c r="A234" s="339" t="str">
        <x:v>US-0233</x:v>
      </x:c>
      <x:c r="B234" s="339" t="str">
        <x:v>EP-010</x:v>
      </x:c>
      <x:c r="C234" s="339" t="str">
        <x:v>SCR-117</x:v>
      </x:c>
      <x:c r="D234" s="339" t="str">
        <x:v>Student Attendance</x:v>
      </x:c>
      <x:c r="E234" s="339" t="str">
        <x:v>Monthly Attendance Summary</x:v>
      </x:c>
      <x:c r="F234" s="339" t="str">
        <x:v>AC-00929, AC-00930, AC-00931, AC-00932</x:v>
      </x:c>
      <x:c r="G234" s="339" t="str">
        <x:v>BL-117</x:v>
      </x:c>
      <x:c r="H234" s="339" t="str">
        <x:v>BR-00349, BR-00350, BR-00351</x:v>
      </x:c>
      <x:c r="I234" s="339" t="str">
        <x:v>WF-117</x:v>
      </x:c>
      <x:c r="J234" s="339" t="str">
        <x:v>API-0117</x:v>
      </x:c>
      <x:c r="K234" s="339" t="str">
        <x:v>Phase 2</x:v>
      </x:c>
      <x:c r="L234" s="339" t="str">
        <x:v>Not Started</x:v>
      </x:c>
    </x:row>
    <x:row r="235">
      <x:c r="A235" s="339" t="str">
        <x:v>US-0234</x:v>
      </x:c>
      <x:c r="B235" s="339" t="str">
        <x:v>EP-010</x:v>
      </x:c>
      <x:c r="C235" s="339" t="str">
        <x:v>SCR-117</x:v>
      </x:c>
      <x:c r="D235" s="339" t="str">
        <x:v>Student Attendance</x:v>
      </x:c>
      <x:c r="E235" s="339" t="str">
        <x:v>Monthly Attendance Summary</x:v>
      </x:c>
      <x:c r="F235" s="339" t="str">
        <x:v>AC-00933, AC-00934, AC-00935, AC-00936</x:v>
      </x:c>
      <x:c r="G235" s="339" t="str">
        <x:v>BL-117</x:v>
      </x:c>
      <x:c r="H235" s="339" t="str">
        <x:v>BR-00349, BR-00350, BR-00351</x:v>
      </x:c>
      <x:c r="I235" s="339" t="str">
        <x:v>WF-117</x:v>
      </x:c>
      <x:c r="J235" s="339" t="str">
        <x:v>API-0117</x:v>
      </x:c>
      <x:c r="K235" s="339" t="str">
        <x:v>Phase 2</x:v>
      </x:c>
      <x:c r="L235" s="339" t="str">
        <x:v>Not Started</x:v>
      </x:c>
    </x:row>
    <x:row r="236">
      <x:c r="A236" s="339" t="str">
        <x:v>US-0235</x:v>
      </x:c>
      <x:c r="B236" s="339" t="str">
        <x:v>EP-010</x:v>
      </x:c>
      <x:c r="C236" s="339" t="str">
        <x:v>SCR-118</x:v>
      </x:c>
      <x:c r="D236" s="339" t="str">
        <x:v>Student Attendance</x:v>
      </x:c>
      <x:c r="E236" s="339" t="str">
        <x:v>Chronic Absence Alerts</x:v>
      </x:c>
      <x:c r="F236" s="339" t="str">
        <x:v>AC-00937, AC-00938, AC-00939, AC-00940</x:v>
      </x:c>
      <x:c r="G236" s="339" t="str">
        <x:v>BL-118</x:v>
      </x:c>
      <x:c r="H236" s="339" t="str">
        <x:v>BR-00352, BR-00353, BR-00354</x:v>
      </x:c>
      <x:c r="I236" s="339" t="str">
        <x:v>WF-118</x:v>
      </x:c>
      <x:c r="J236" s="339" t="str">
        <x:v>API-0118</x:v>
      </x:c>
      <x:c r="K236" s="339" t="str">
        <x:v>Phase 3</x:v>
      </x:c>
      <x:c r="L236" s="339" t="str">
        <x:v>Not Started</x:v>
      </x:c>
    </x:row>
    <x:row r="237">
      <x:c r="A237" s="339" t="str">
        <x:v>US-0236</x:v>
      </x:c>
      <x:c r="B237" s="339" t="str">
        <x:v>EP-010</x:v>
      </x:c>
      <x:c r="C237" s="339" t="str">
        <x:v>SCR-118</x:v>
      </x:c>
      <x:c r="D237" s="339" t="str">
        <x:v>Student Attendance</x:v>
      </x:c>
      <x:c r="E237" s="339" t="str">
        <x:v>Chronic Absence Alerts</x:v>
      </x:c>
      <x:c r="F237" s="339" t="str">
        <x:v>AC-00941, AC-00942, AC-00943, AC-00944</x:v>
      </x:c>
      <x:c r="G237" s="339" t="str">
        <x:v>BL-118</x:v>
      </x:c>
      <x:c r="H237" s="339" t="str">
        <x:v>BR-00352, BR-00353, BR-00354</x:v>
      </x:c>
      <x:c r="I237" s="339" t="str">
        <x:v>WF-118</x:v>
      </x:c>
      <x:c r="J237" s="339" t="str">
        <x:v>API-0118</x:v>
      </x:c>
      <x:c r="K237" s="339" t="str">
        <x:v>Phase 3</x:v>
      </x:c>
      <x:c r="L237" s="339" t="str">
        <x:v>Not Started</x:v>
      </x:c>
    </x:row>
    <x:row r="238">
      <x:c r="A238" s="339" t="str">
        <x:v>US-0237</x:v>
      </x:c>
      <x:c r="B238" s="339" t="str">
        <x:v>EP-010</x:v>
      </x:c>
      <x:c r="C238" s="339" t="str">
        <x:v>SCR-119</x:v>
      </x:c>
      <x:c r="D238" s="339" t="str">
        <x:v>Student Attendance</x:v>
      </x:c>
      <x:c r="E238" s="339" t="str">
        <x:v>Attendance Reports</x:v>
      </x:c>
      <x:c r="F238" s="339" t="str">
        <x:v>AC-00945, AC-00946, AC-00947, AC-00948</x:v>
      </x:c>
      <x:c r="G238" s="339" t="str">
        <x:v>BL-119</x:v>
      </x:c>
      <x:c r="H238" s="339" t="str">
        <x:v>BR-00355, BR-00356, BR-00357</x:v>
      </x:c>
      <x:c r="I238" s="339" t="str">
        <x:v>WF-119</x:v>
      </x:c>
      <x:c r="J238" s="339" t="str">
        <x:v>API-0119</x:v>
      </x:c>
      <x:c r="K238" s="339" t="str">
        <x:v>Phase 3</x:v>
      </x:c>
      <x:c r="L238" s="339" t="str">
        <x:v>Not Started</x:v>
      </x:c>
    </x:row>
    <x:row r="239">
      <x:c r="A239" s="339" t="str">
        <x:v>US-0238</x:v>
      </x:c>
      <x:c r="B239" s="339" t="str">
        <x:v>EP-010</x:v>
      </x:c>
      <x:c r="C239" s="339" t="str">
        <x:v>SCR-119</x:v>
      </x:c>
      <x:c r="D239" s="339" t="str">
        <x:v>Student Attendance</x:v>
      </x:c>
      <x:c r="E239" s="339" t="str">
        <x:v>Attendance Reports</x:v>
      </x:c>
      <x:c r="F239" s="339" t="str">
        <x:v>AC-00949, AC-00950, AC-00951, AC-00952</x:v>
      </x:c>
      <x:c r="G239" s="339" t="str">
        <x:v>BL-119</x:v>
      </x:c>
      <x:c r="H239" s="339" t="str">
        <x:v>BR-00355, BR-00356, BR-00357</x:v>
      </x:c>
      <x:c r="I239" s="339" t="str">
        <x:v>WF-119</x:v>
      </x:c>
      <x:c r="J239" s="339" t="str">
        <x:v>API-0119</x:v>
      </x:c>
      <x:c r="K239" s="339" t="str">
        <x:v>Phase 3</x:v>
      </x:c>
      <x:c r="L239" s="339" t="str">
        <x:v>Not Started</x:v>
      </x:c>
    </x:row>
    <x:row r="240">
      <x:c r="A240" s="339" t="str">
        <x:v>US-0239</x:v>
      </x:c>
      <x:c r="B240" s="339" t="str">
        <x:v>EP-011</x:v>
      </x:c>
      <x:c r="C240" s="339" t="str">
        <x:v>SCR-120</x:v>
      </x:c>
      <x:c r="D240" s="339" t="str">
        <x:v>Timetable &amp; Substitution</x:v>
      </x:c>
      <x:c r="E240" s="339" t="str">
        <x:v>Timetable Dashboard</x:v>
      </x:c>
      <x:c r="F240" s="339" t="str">
        <x:v>AC-00953, AC-00954, AC-00955, AC-00956</x:v>
      </x:c>
      <x:c r="G240" s="339" t="str">
        <x:v>BL-120</x:v>
      </x:c>
      <x:c r="H240" s="339" t="str">
        <x:v>BR-00358, BR-00359, BR-00360</x:v>
      </x:c>
      <x:c r="I240" s="339" t="str">
        <x:v>WF-120</x:v>
      </x:c>
      <x:c r="J240" s="339" t="str">
        <x:v>API-0120</x:v>
      </x:c>
      <x:c r="K240" s="339" t="str">
        <x:v>MVP</x:v>
      </x:c>
      <x:c r="L240" s="339" t="str">
        <x:v>Not Started</x:v>
      </x:c>
    </x:row>
    <x:row r="241">
      <x:c r="A241" s="339" t="str">
        <x:v>US-0240</x:v>
      </x:c>
      <x:c r="B241" s="339" t="str">
        <x:v>EP-011</x:v>
      </x:c>
      <x:c r="C241" s="339" t="str">
        <x:v>SCR-120</x:v>
      </x:c>
      <x:c r="D241" s="339" t="str">
        <x:v>Timetable &amp; Substitution</x:v>
      </x:c>
      <x:c r="E241" s="339" t="str">
        <x:v>Timetable Dashboard</x:v>
      </x:c>
      <x:c r="F241" s="339" t="str">
        <x:v>AC-00957, AC-00958, AC-00959, AC-00960</x:v>
      </x:c>
      <x:c r="G241" s="339" t="str">
        <x:v>BL-120</x:v>
      </x:c>
      <x:c r="H241" s="339" t="str">
        <x:v>BR-00358, BR-00359, BR-00360</x:v>
      </x:c>
      <x:c r="I241" s="339" t="str">
        <x:v>WF-120</x:v>
      </x:c>
      <x:c r="J241" s="339" t="str">
        <x:v>API-0120</x:v>
      </x:c>
      <x:c r="K241" s="339" t="str">
        <x:v>MVP</x:v>
      </x:c>
      <x:c r="L241" s="339" t="str">
        <x:v>Not Started</x:v>
      </x:c>
    </x:row>
    <x:row r="242">
      <x:c r="A242" s="339" t="str">
        <x:v>US-0241</x:v>
      </x:c>
      <x:c r="B242" s="339" t="str">
        <x:v>EP-011</x:v>
      </x:c>
      <x:c r="C242" s="339" t="str">
        <x:v>SCR-121</x:v>
      </x:c>
      <x:c r="D242" s="339" t="str">
        <x:v>Timetable &amp; Substitution</x:v>
      </x:c>
      <x:c r="E242" s="339" t="str">
        <x:v>Timetable Setup</x:v>
      </x:c>
      <x:c r="F242" s="339" t="str">
        <x:v>AC-00961, AC-00962, AC-00963, AC-00964</x:v>
      </x:c>
      <x:c r="G242" s="339" t="str">
        <x:v>BL-121</x:v>
      </x:c>
      <x:c r="H242" s="339" t="str">
        <x:v>BR-00361, BR-00362, BR-00363</x:v>
      </x:c>
      <x:c r="I242" s="339" t="str">
        <x:v>WF-121</x:v>
      </x:c>
      <x:c r="J242" s="339" t="str">
        <x:v>API-0121</x:v>
      </x:c>
      <x:c r="K242" s="339" t="str">
        <x:v>MVP</x:v>
      </x:c>
      <x:c r="L242" s="339" t="str">
        <x:v>Not Started</x:v>
      </x:c>
    </x:row>
    <x:row r="243">
      <x:c r="A243" s="339" t="str">
        <x:v>US-0242</x:v>
      </x:c>
      <x:c r="B243" s="339" t="str">
        <x:v>EP-011</x:v>
      </x:c>
      <x:c r="C243" s="339" t="str">
        <x:v>SCR-121</x:v>
      </x:c>
      <x:c r="D243" s="339" t="str">
        <x:v>Timetable &amp; Substitution</x:v>
      </x:c>
      <x:c r="E243" s="339" t="str">
        <x:v>Timetable Setup</x:v>
      </x:c>
      <x:c r="F243" s="339" t="str">
        <x:v>AC-00965, AC-00966, AC-00967, AC-00968</x:v>
      </x:c>
      <x:c r="G243" s="339" t="str">
        <x:v>BL-121</x:v>
      </x:c>
      <x:c r="H243" s="339" t="str">
        <x:v>BR-00361, BR-00362, BR-00363</x:v>
      </x:c>
      <x:c r="I243" s="339" t="str">
        <x:v>WF-121</x:v>
      </x:c>
      <x:c r="J243" s="339" t="str">
        <x:v>API-0121</x:v>
      </x:c>
      <x:c r="K243" s="339" t="str">
        <x:v>MVP</x:v>
      </x:c>
      <x:c r="L243" s="339" t="str">
        <x:v>Not Started</x:v>
      </x:c>
    </x:row>
    <x:row r="244">
      <x:c r="A244" s="339" t="str">
        <x:v>US-0243</x:v>
      </x:c>
      <x:c r="B244" s="339" t="str">
        <x:v>EP-011</x:v>
      </x:c>
      <x:c r="C244" s="339" t="str">
        <x:v>SCR-122</x:v>
      </x:c>
      <x:c r="D244" s="339" t="str">
        <x:v>Timetable &amp; Substitution</x:v>
      </x:c>
      <x:c r="E244" s="339" t="str">
        <x:v>Period Setup</x:v>
      </x:c>
      <x:c r="F244" s="339" t="str">
        <x:v>AC-00969, AC-00970, AC-00971, AC-00972</x:v>
      </x:c>
      <x:c r="G244" s="339" t="str">
        <x:v>BL-122</x:v>
      </x:c>
      <x:c r="H244" s="339" t="str">
        <x:v>BR-00364, BR-00365, BR-00366</x:v>
      </x:c>
      <x:c r="I244" s="339" t="str">
        <x:v>WF-122</x:v>
      </x:c>
      <x:c r="J244" s="339" t="str">
        <x:v>API-0122</x:v>
      </x:c>
      <x:c r="K244" s="339" t="str">
        <x:v>MVP</x:v>
      </x:c>
      <x:c r="L244" s="339" t="str">
        <x:v>Not Started</x:v>
      </x:c>
    </x:row>
    <x:row r="245">
      <x:c r="A245" s="339" t="str">
        <x:v>US-0244</x:v>
      </x:c>
      <x:c r="B245" s="339" t="str">
        <x:v>EP-011</x:v>
      </x:c>
      <x:c r="C245" s="339" t="str">
        <x:v>SCR-122</x:v>
      </x:c>
      <x:c r="D245" s="339" t="str">
        <x:v>Timetable &amp; Substitution</x:v>
      </x:c>
      <x:c r="E245" s="339" t="str">
        <x:v>Period Setup</x:v>
      </x:c>
      <x:c r="F245" s="339" t="str">
        <x:v>AC-00973, AC-00974, AC-00975, AC-00976</x:v>
      </x:c>
      <x:c r="G245" s="339" t="str">
        <x:v>BL-122</x:v>
      </x:c>
      <x:c r="H245" s="339" t="str">
        <x:v>BR-00364, BR-00365, BR-00366</x:v>
      </x:c>
      <x:c r="I245" s="339" t="str">
        <x:v>WF-122</x:v>
      </x:c>
      <x:c r="J245" s="339" t="str">
        <x:v>API-0122</x:v>
      </x:c>
      <x:c r="K245" s="339" t="str">
        <x:v>MVP</x:v>
      </x:c>
      <x:c r="L245" s="339" t="str">
        <x:v>Not Started</x:v>
      </x:c>
    </x:row>
    <x:row r="246">
      <x:c r="A246" s="339" t="str">
        <x:v>US-0245</x:v>
      </x:c>
      <x:c r="B246" s="339" t="str">
        <x:v>EP-011</x:v>
      </x:c>
      <x:c r="C246" s="339" t="str">
        <x:v>SCR-123</x:v>
      </x:c>
      <x:c r="D246" s="339" t="str">
        <x:v>Timetable &amp; Substitution</x:v>
      </x:c>
      <x:c r="E246" s="339" t="str">
        <x:v>Teacher Availability</x:v>
      </x:c>
      <x:c r="F246" s="339" t="str">
        <x:v>AC-00977, AC-00978, AC-00979, AC-00980</x:v>
      </x:c>
      <x:c r="G246" s="339" t="str">
        <x:v>BL-123</x:v>
      </x:c>
      <x:c r="H246" s="339" t="str">
        <x:v>BR-00367, BR-00368, BR-00369</x:v>
      </x:c>
      <x:c r="I246" s="339" t="str">
        <x:v>WF-123</x:v>
      </x:c>
      <x:c r="J246" s="339" t="str">
        <x:v>API-0123</x:v>
      </x:c>
      <x:c r="K246" s="339" t="str">
        <x:v>MVP</x:v>
      </x:c>
      <x:c r="L246" s="339" t="str">
        <x:v>Not Started</x:v>
      </x:c>
    </x:row>
    <x:row r="247">
      <x:c r="A247" s="339" t="str">
        <x:v>US-0246</x:v>
      </x:c>
      <x:c r="B247" s="339" t="str">
        <x:v>EP-011</x:v>
      </x:c>
      <x:c r="C247" s="339" t="str">
        <x:v>SCR-123</x:v>
      </x:c>
      <x:c r="D247" s="339" t="str">
        <x:v>Timetable &amp; Substitution</x:v>
      </x:c>
      <x:c r="E247" s="339" t="str">
        <x:v>Teacher Availability</x:v>
      </x:c>
      <x:c r="F247" s="339" t="str">
        <x:v>AC-00981, AC-00982, AC-00983, AC-00984</x:v>
      </x:c>
      <x:c r="G247" s="339" t="str">
        <x:v>BL-123</x:v>
      </x:c>
      <x:c r="H247" s="339" t="str">
        <x:v>BR-00367, BR-00368, BR-00369</x:v>
      </x:c>
      <x:c r="I247" s="339" t="str">
        <x:v>WF-123</x:v>
      </x:c>
      <x:c r="J247" s="339" t="str">
        <x:v>API-0123</x:v>
      </x:c>
      <x:c r="K247" s="339" t="str">
        <x:v>MVP</x:v>
      </x:c>
      <x:c r="L247" s="339" t="str">
        <x:v>Not Started</x:v>
      </x:c>
    </x:row>
    <x:row r="248">
      <x:c r="A248" s="339" t="str">
        <x:v>US-0247</x:v>
      </x:c>
      <x:c r="B248" s="339" t="str">
        <x:v>EP-011</x:v>
      </x:c>
      <x:c r="C248" s="339" t="str">
        <x:v>SCR-124</x:v>
      </x:c>
      <x:c r="D248" s="339" t="str">
        <x:v>Timetable &amp; Substitution</x:v>
      </x:c>
      <x:c r="E248" s="339" t="str">
        <x:v>Generate Timetable</x:v>
      </x:c>
      <x:c r="F248" s="339" t="str">
        <x:v>AC-00985, AC-00986, AC-00987, AC-00988</x:v>
      </x:c>
      <x:c r="G248" s="339" t="str">
        <x:v>BL-124</x:v>
      </x:c>
      <x:c r="H248" s="339" t="str">
        <x:v>BR-00370, BR-00371, BR-00372</x:v>
      </x:c>
      <x:c r="I248" s="339" t="str">
        <x:v>WF-124</x:v>
      </x:c>
      <x:c r="J248" s="339" t="str">
        <x:v>API-0124</x:v>
      </x:c>
      <x:c r="K248" s="339" t="str">
        <x:v>Phase 2</x:v>
      </x:c>
      <x:c r="L248" s="339" t="str">
        <x:v>Not Started</x:v>
      </x:c>
    </x:row>
    <x:row r="249">
      <x:c r="A249" s="339" t="str">
        <x:v>US-0248</x:v>
      </x:c>
      <x:c r="B249" s="339" t="str">
        <x:v>EP-011</x:v>
      </x:c>
      <x:c r="C249" s="339" t="str">
        <x:v>SCR-124</x:v>
      </x:c>
      <x:c r="D249" s="339" t="str">
        <x:v>Timetable &amp; Substitution</x:v>
      </x:c>
      <x:c r="E249" s="339" t="str">
        <x:v>Generate Timetable</x:v>
      </x:c>
      <x:c r="F249" s="339" t="str">
        <x:v>AC-00989, AC-00990, AC-00991, AC-00992</x:v>
      </x:c>
      <x:c r="G249" s="339" t="str">
        <x:v>BL-124</x:v>
      </x:c>
      <x:c r="H249" s="339" t="str">
        <x:v>BR-00370, BR-00371, BR-00372</x:v>
      </x:c>
      <x:c r="I249" s="339" t="str">
        <x:v>WF-124</x:v>
      </x:c>
      <x:c r="J249" s="339" t="str">
        <x:v>API-0124</x:v>
      </x:c>
      <x:c r="K249" s="339" t="str">
        <x:v>Phase 2</x:v>
      </x:c>
      <x:c r="L249" s="339" t="str">
        <x:v>Not Started</x:v>
      </x:c>
    </x:row>
    <x:row r="250">
      <x:c r="A250" s="339" t="str">
        <x:v>US-0249</x:v>
      </x:c>
      <x:c r="B250" s="339" t="str">
        <x:v>EP-011</x:v>
      </x:c>
      <x:c r="C250" s="339" t="str">
        <x:v>SCR-125</x:v>
      </x:c>
      <x:c r="D250" s="339" t="str">
        <x:v>Timetable &amp; Substitution</x:v>
      </x:c>
      <x:c r="E250" s="339" t="str">
        <x:v>Class Timetable</x:v>
      </x:c>
      <x:c r="F250" s="339" t="str">
        <x:v>AC-00993, AC-00994, AC-00995, AC-00996</x:v>
      </x:c>
      <x:c r="G250" s="339" t="str">
        <x:v>BL-125</x:v>
      </x:c>
      <x:c r="H250" s="339" t="str">
        <x:v>BR-00373, BR-00374, BR-00375</x:v>
      </x:c>
      <x:c r="I250" s="339" t="str">
        <x:v>WF-125</x:v>
      </x:c>
      <x:c r="J250" s="339" t="str">
        <x:v>API-0125</x:v>
      </x:c>
      <x:c r="K250" s="339" t="str">
        <x:v>Phase 2</x:v>
      </x:c>
      <x:c r="L250" s="339" t="str">
        <x:v>Not Started</x:v>
      </x:c>
    </x:row>
    <x:row r="251">
      <x:c r="A251" s="339" t="str">
        <x:v>US-0250</x:v>
      </x:c>
      <x:c r="B251" s="339" t="str">
        <x:v>EP-011</x:v>
      </x:c>
      <x:c r="C251" s="339" t="str">
        <x:v>SCR-125</x:v>
      </x:c>
      <x:c r="D251" s="339" t="str">
        <x:v>Timetable &amp; Substitution</x:v>
      </x:c>
      <x:c r="E251" s="339" t="str">
        <x:v>Class Timetable</x:v>
      </x:c>
      <x:c r="F251" s="339" t="str">
        <x:v>AC-00997, AC-00998, AC-00999, AC-01000</x:v>
      </x:c>
      <x:c r="G251" s="339" t="str">
        <x:v>BL-125</x:v>
      </x:c>
      <x:c r="H251" s="339" t="str">
        <x:v>BR-00373, BR-00374, BR-00375</x:v>
      </x:c>
      <x:c r="I251" s="339" t="str">
        <x:v>WF-125</x:v>
      </x:c>
      <x:c r="J251" s="339" t="str">
        <x:v>API-0125</x:v>
      </x:c>
      <x:c r="K251" s="339" t="str">
        <x:v>Phase 2</x:v>
      </x:c>
      <x:c r="L251" s="339" t="str">
        <x:v>Not Started</x:v>
      </x:c>
    </x:row>
    <x:row r="252">
      <x:c r="A252" s="339" t="str">
        <x:v>US-0251</x:v>
      </x:c>
      <x:c r="B252" s="339" t="str">
        <x:v>EP-011</x:v>
      </x:c>
      <x:c r="C252" s="339" t="str">
        <x:v>SCR-126</x:v>
      </x:c>
      <x:c r="D252" s="339" t="str">
        <x:v>Timetable &amp; Substitution</x:v>
      </x:c>
      <x:c r="E252" s="339" t="str">
        <x:v>Teacher Timetable</x:v>
      </x:c>
      <x:c r="F252" s="339" t="str">
        <x:v>AC-01001, AC-01002, AC-01003, AC-01004</x:v>
      </x:c>
      <x:c r="G252" s="339" t="str">
        <x:v>BL-126</x:v>
      </x:c>
      <x:c r="H252" s="339" t="str">
        <x:v>BR-00376, BR-00377, BR-00378</x:v>
      </x:c>
      <x:c r="I252" s="339" t="str">
        <x:v>WF-126</x:v>
      </x:c>
      <x:c r="J252" s="339" t="str">
        <x:v>API-0126</x:v>
      </x:c>
      <x:c r="K252" s="339" t="str">
        <x:v>Phase 2</x:v>
      </x:c>
      <x:c r="L252" s="339" t="str">
        <x:v>Not Started</x:v>
      </x:c>
    </x:row>
    <x:row r="253">
      <x:c r="A253" s="339" t="str">
        <x:v>US-0252</x:v>
      </x:c>
      <x:c r="B253" s="339" t="str">
        <x:v>EP-011</x:v>
      </x:c>
      <x:c r="C253" s="339" t="str">
        <x:v>SCR-126</x:v>
      </x:c>
      <x:c r="D253" s="339" t="str">
        <x:v>Timetable &amp; Substitution</x:v>
      </x:c>
      <x:c r="E253" s="339" t="str">
        <x:v>Teacher Timetable</x:v>
      </x:c>
      <x:c r="F253" s="339" t="str">
        <x:v>AC-01005, AC-01006, AC-01007, AC-01008</x:v>
      </x:c>
      <x:c r="G253" s="339" t="str">
        <x:v>BL-126</x:v>
      </x:c>
      <x:c r="H253" s="339" t="str">
        <x:v>BR-00376, BR-00377, BR-00378</x:v>
      </x:c>
      <x:c r="I253" s="339" t="str">
        <x:v>WF-126</x:v>
      </x:c>
      <x:c r="J253" s="339" t="str">
        <x:v>API-0126</x:v>
      </x:c>
      <x:c r="K253" s="339" t="str">
        <x:v>Phase 2</x:v>
      </x:c>
      <x:c r="L253" s="339" t="str">
        <x:v>Not Started</x:v>
      </x:c>
    </x:row>
    <x:row r="254">
      <x:c r="A254" s="339" t="str">
        <x:v>US-0253</x:v>
      </x:c>
      <x:c r="B254" s="339" t="str">
        <x:v>EP-011</x:v>
      </x:c>
      <x:c r="C254" s="339" t="str">
        <x:v>SCR-127</x:v>
      </x:c>
      <x:c r="D254" s="339" t="str">
        <x:v>Timetable &amp; Substitution</x:v>
      </x:c>
      <x:c r="E254" s="339" t="str">
        <x:v>Substitution / Replacement</x:v>
      </x:c>
      <x:c r="F254" s="339" t="str">
        <x:v>AC-01009, AC-01010, AC-01011, AC-01012</x:v>
      </x:c>
      <x:c r="G254" s="339" t="str">
        <x:v>BL-127</x:v>
      </x:c>
      <x:c r="H254" s="339" t="str">
        <x:v>BR-00379, BR-00380, BR-00381</x:v>
      </x:c>
      <x:c r="I254" s="339" t="str">
        <x:v>WF-127</x:v>
      </x:c>
      <x:c r="J254" s="339" t="str">
        <x:v>API-0127</x:v>
      </x:c>
      <x:c r="K254" s="339" t="str">
        <x:v>Phase 3</x:v>
      </x:c>
      <x:c r="L254" s="339" t="str">
        <x:v>Not Started</x:v>
      </x:c>
    </x:row>
    <x:row r="255">
      <x:c r="A255" s="339" t="str">
        <x:v>US-0254</x:v>
      </x:c>
      <x:c r="B255" s="339" t="str">
        <x:v>EP-011</x:v>
      </x:c>
      <x:c r="C255" s="339" t="str">
        <x:v>SCR-127</x:v>
      </x:c>
      <x:c r="D255" s="339" t="str">
        <x:v>Timetable &amp; Substitution</x:v>
      </x:c>
      <x:c r="E255" s="339" t="str">
        <x:v>Substitution / Replacement</x:v>
      </x:c>
      <x:c r="F255" s="339" t="str">
        <x:v>AC-01013, AC-01014, AC-01015, AC-01016</x:v>
      </x:c>
      <x:c r="G255" s="339" t="str">
        <x:v>BL-127</x:v>
      </x:c>
      <x:c r="H255" s="339" t="str">
        <x:v>BR-00379, BR-00380, BR-00381</x:v>
      </x:c>
      <x:c r="I255" s="339" t="str">
        <x:v>WF-127</x:v>
      </x:c>
      <x:c r="J255" s="339" t="str">
        <x:v>API-0127</x:v>
      </x:c>
      <x:c r="K255" s="339" t="str">
        <x:v>Phase 3</x:v>
      </x:c>
      <x:c r="L255" s="339" t="str">
        <x:v>Not Started</x:v>
      </x:c>
    </x:row>
    <x:row r="256">
      <x:c r="A256" s="339" t="str">
        <x:v>US-0255</x:v>
      </x:c>
      <x:c r="B256" s="339" t="str">
        <x:v>EP-012</x:v>
      </x:c>
      <x:c r="C256" s="339" t="str">
        <x:v>SCR-128</x:v>
      </x:c>
      <x:c r="D256" s="339" t="str">
        <x:v>Homework &amp; Assignments</x:v>
      </x:c>
      <x:c r="E256" s="339" t="str">
        <x:v>Homework List</x:v>
      </x:c>
      <x:c r="F256" s="339" t="str">
        <x:v>AC-01017, AC-01018, AC-01019, AC-01020</x:v>
      </x:c>
      <x:c r="G256" s="339" t="str">
        <x:v>BL-128</x:v>
      </x:c>
      <x:c r="H256" s="339" t="str">
        <x:v>BR-00382, BR-00383, BR-00384</x:v>
      </x:c>
      <x:c r="I256" s="339" t="str">
        <x:v>WF-128</x:v>
      </x:c>
      <x:c r="J256" s="339" t="str">
        <x:v>API-0128</x:v>
      </x:c>
      <x:c r="K256" s="339" t="str">
        <x:v>MVP</x:v>
      </x:c>
      <x:c r="L256" s="339" t="str">
        <x:v>Not Started</x:v>
      </x:c>
    </x:row>
    <x:row r="257">
      <x:c r="A257" s="339" t="str">
        <x:v>US-0256</x:v>
      </x:c>
      <x:c r="B257" s="339" t="str">
        <x:v>EP-012</x:v>
      </x:c>
      <x:c r="C257" s="339" t="str">
        <x:v>SCR-128</x:v>
      </x:c>
      <x:c r="D257" s="339" t="str">
        <x:v>Homework &amp; Assignments</x:v>
      </x:c>
      <x:c r="E257" s="339" t="str">
        <x:v>Homework List</x:v>
      </x:c>
      <x:c r="F257" s="339" t="str">
        <x:v>AC-01021, AC-01022, AC-01023, AC-01024</x:v>
      </x:c>
      <x:c r="G257" s="339" t="str">
        <x:v>BL-128</x:v>
      </x:c>
      <x:c r="H257" s="339" t="str">
        <x:v>BR-00382, BR-00383, BR-00384</x:v>
      </x:c>
      <x:c r="I257" s="339" t="str">
        <x:v>WF-128</x:v>
      </x:c>
      <x:c r="J257" s="339" t="str">
        <x:v>API-0128</x:v>
      </x:c>
      <x:c r="K257" s="339" t="str">
        <x:v>MVP</x:v>
      </x:c>
      <x:c r="L257" s="339" t="str">
        <x:v>Not Started</x:v>
      </x:c>
    </x:row>
    <x:row r="258">
      <x:c r="A258" s="339" t="str">
        <x:v>US-0257</x:v>
      </x:c>
      <x:c r="B258" s="339" t="str">
        <x:v>EP-012</x:v>
      </x:c>
      <x:c r="C258" s="339" t="str">
        <x:v>SCR-129</x:v>
      </x:c>
      <x:c r="D258" s="339" t="str">
        <x:v>Homework &amp; Assignments</x:v>
      </x:c>
      <x:c r="E258" s="339" t="str">
        <x:v>Create Homework</x:v>
      </x:c>
      <x:c r="F258" s="339" t="str">
        <x:v>AC-01025, AC-01026, AC-01027, AC-01028</x:v>
      </x:c>
      <x:c r="G258" s="339" t="str">
        <x:v>BL-129</x:v>
      </x:c>
      <x:c r="H258" s="339" t="str">
        <x:v>BR-00385, BR-00386, BR-00387</x:v>
      </x:c>
      <x:c r="I258" s="339" t="str">
        <x:v>WF-129</x:v>
      </x:c>
      <x:c r="J258" s="339" t="str">
        <x:v>API-0129</x:v>
      </x:c>
      <x:c r="K258" s="339" t="str">
        <x:v>MVP</x:v>
      </x:c>
      <x:c r="L258" s="339" t="str">
        <x:v>Not Started</x:v>
      </x:c>
    </x:row>
    <x:row r="259">
      <x:c r="A259" s="339" t="str">
        <x:v>US-0258</x:v>
      </x:c>
      <x:c r="B259" s="339" t="str">
        <x:v>EP-012</x:v>
      </x:c>
      <x:c r="C259" s="339" t="str">
        <x:v>SCR-129</x:v>
      </x:c>
      <x:c r="D259" s="339" t="str">
        <x:v>Homework &amp; Assignments</x:v>
      </x:c>
      <x:c r="E259" s="339" t="str">
        <x:v>Create Homework</x:v>
      </x:c>
      <x:c r="F259" s="339" t="str">
        <x:v>AC-01029, AC-01030, AC-01031, AC-01032</x:v>
      </x:c>
      <x:c r="G259" s="339" t="str">
        <x:v>BL-129</x:v>
      </x:c>
      <x:c r="H259" s="339" t="str">
        <x:v>BR-00385, BR-00386, BR-00387</x:v>
      </x:c>
      <x:c r="I259" s="339" t="str">
        <x:v>WF-129</x:v>
      </x:c>
      <x:c r="J259" s="339" t="str">
        <x:v>API-0129</x:v>
      </x:c>
      <x:c r="K259" s="339" t="str">
        <x:v>MVP</x:v>
      </x:c>
      <x:c r="L259" s="339" t="str">
        <x:v>Not Started</x:v>
      </x:c>
    </x:row>
    <x:row r="260">
      <x:c r="A260" s="339" t="str">
        <x:v>US-0259</x:v>
      </x:c>
      <x:c r="B260" s="339" t="str">
        <x:v>EP-012</x:v>
      </x:c>
      <x:c r="C260" s="339" t="str">
        <x:v>SCR-130</x:v>
      </x:c>
      <x:c r="D260" s="339" t="str">
        <x:v>Homework &amp; Assignments</x:v>
      </x:c>
      <x:c r="E260" s="339" t="str">
        <x:v>Homework Details</x:v>
      </x:c>
      <x:c r="F260" s="339" t="str">
        <x:v>AC-01033, AC-01034, AC-01035, AC-01036</x:v>
      </x:c>
      <x:c r="G260" s="339" t="str">
        <x:v>BL-130</x:v>
      </x:c>
      <x:c r="H260" s="339" t="str">
        <x:v>BR-00388, BR-00389, BR-00390</x:v>
      </x:c>
      <x:c r="I260" s="339" t="str">
        <x:v>WF-130</x:v>
      </x:c>
      <x:c r="J260" s="339" t="str">
        <x:v>API-0130</x:v>
      </x:c>
      <x:c r="K260" s="339" t="str">
        <x:v>MVP</x:v>
      </x:c>
      <x:c r="L260" s="339" t="str">
        <x:v>Not Started</x:v>
      </x:c>
    </x:row>
    <x:row r="261">
      <x:c r="A261" s="339" t="str">
        <x:v>US-0260</x:v>
      </x:c>
      <x:c r="B261" s="339" t="str">
        <x:v>EP-012</x:v>
      </x:c>
      <x:c r="C261" s="339" t="str">
        <x:v>SCR-130</x:v>
      </x:c>
      <x:c r="D261" s="339" t="str">
        <x:v>Homework &amp; Assignments</x:v>
      </x:c>
      <x:c r="E261" s="339" t="str">
        <x:v>Homework Details</x:v>
      </x:c>
      <x:c r="F261" s="339" t="str">
        <x:v>AC-01037, AC-01038, AC-01039, AC-01040</x:v>
      </x:c>
      <x:c r="G261" s="339" t="str">
        <x:v>BL-130</x:v>
      </x:c>
      <x:c r="H261" s="339" t="str">
        <x:v>BR-00388, BR-00389, BR-00390</x:v>
      </x:c>
      <x:c r="I261" s="339" t="str">
        <x:v>WF-130</x:v>
      </x:c>
      <x:c r="J261" s="339" t="str">
        <x:v>API-0130</x:v>
      </x:c>
      <x:c r="K261" s="339" t="str">
        <x:v>MVP</x:v>
      </x:c>
      <x:c r="L261" s="339" t="str">
        <x:v>Not Started</x:v>
      </x:c>
    </x:row>
    <x:row r="262">
      <x:c r="A262" s="339" t="str">
        <x:v>US-0261</x:v>
      </x:c>
      <x:c r="B262" s="339" t="str">
        <x:v>EP-012</x:v>
      </x:c>
      <x:c r="C262" s="339" t="str">
        <x:v>SCR-131</x:v>
      </x:c>
      <x:c r="D262" s="339" t="str">
        <x:v>Homework &amp; Assignments</x:v>
      </x:c>
      <x:c r="E262" s="339" t="str">
        <x:v>Student Homework View</x:v>
      </x:c>
      <x:c r="F262" s="339" t="str">
        <x:v>AC-01041, AC-01042, AC-01043, AC-01044</x:v>
      </x:c>
      <x:c r="G262" s="339" t="str">
        <x:v>BL-131</x:v>
      </x:c>
      <x:c r="H262" s="339" t="str">
        <x:v>BR-00391, BR-00392, BR-00393</x:v>
      </x:c>
      <x:c r="I262" s="339" t="str">
        <x:v>WF-131</x:v>
      </x:c>
      <x:c r="J262" s="339" t="str">
        <x:v>API-0131</x:v>
      </x:c>
      <x:c r="K262" s="339" t="str">
        <x:v>MVP</x:v>
      </x:c>
      <x:c r="L262" s="339" t="str">
        <x:v>Not Started</x:v>
      </x:c>
    </x:row>
    <x:row r="263">
      <x:c r="A263" s="339" t="str">
        <x:v>US-0262</x:v>
      </x:c>
      <x:c r="B263" s="339" t="str">
        <x:v>EP-012</x:v>
      </x:c>
      <x:c r="C263" s="339" t="str">
        <x:v>SCR-131</x:v>
      </x:c>
      <x:c r="D263" s="339" t="str">
        <x:v>Homework &amp; Assignments</x:v>
      </x:c>
      <x:c r="E263" s="339" t="str">
        <x:v>Student Homework View</x:v>
      </x:c>
      <x:c r="F263" s="339" t="str">
        <x:v>AC-01045, AC-01046, AC-01047, AC-01048</x:v>
      </x:c>
      <x:c r="G263" s="339" t="str">
        <x:v>BL-131</x:v>
      </x:c>
      <x:c r="H263" s="339" t="str">
        <x:v>BR-00391, BR-00392, BR-00393</x:v>
      </x:c>
      <x:c r="I263" s="339" t="str">
        <x:v>WF-131</x:v>
      </x:c>
      <x:c r="J263" s="339" t="str">
        <x:v>API-0131</x:v>
      </x:c>
      <x:c r="K263" s="339" t="str">
        <x:v>MVP</x:v>
      </x:c>
      <x:c r="L263" s="339" t="str">
        <x:v>Not Started</x:v>
      </x:c>
    </x:row>
    <x:row r="264">
      <x:c r="A264" s="339" t="str">
        <x:v>US-0263</x:v>
      </x:c>
      <x:c r="B264" s="339" t="str">
        <x:v>EP-012</x:v>
      </x:c>
      <x:c r="C264" s="339" t="str">
        <x:v>SCR-132</x:v>
      </x:c>
      <x:c r="D264" s="339" t="str">
        <x:v>Homework &amp; Assignments</x:v>
      </x:c>
      <x:c r="E264" s="339" t="str">
        <x:v>Homework Submission</x:v>
      </x:c>
      <x:c r="F264" s="339" t="str">
        <x:v>AC-01049, AC-01050, AC-01051, AC-01052</x:v>
      </x:c>
      <x:c r="G264" s="339" t="str">
        <x:v>BL-132</x:v>
      </x:c>
      <x:c r="H264" s="339" t="str">
        <x:v>BR-00394, BR-00395, BR-00396</x:v>
      </x:c>
      <x:c r="I264" s="339" t="str">
        <x:v>WF-132</x:v>
      </x:c>
      <x:c r="J264" s="339" t="str">
        <x:v>API-0132</x:v>
      </x:c>
      <x:c r="K264" s="339" t="str">
        <x:v>MVP</x:v>
      </x:c>
      <x:c r="L264" s="339" t="str">
        <x:v>Not Started</x:v>
      </x:c>
    </x:row>
    <x:row r="265">
      <x:c r="A265" s="339" t="str">
        <x:v>US-0264</x:v>
      </x:c>
      <x:c r="B265" s="339" t="str">
        <x:v>EP-012</x:v>
      </x:c>
      <x:c r="C265" s="339" t="str">
        <x:v>SCR-132</x:v>
      </x:c>
      <x:c r="D265" s="339" t="str">
        <x:v>Homework &amp; Assignments</x:v>
      </x:c>
      <x:c r="E265" s="339" t="str">
        <x:v>Homework Submission</x:v>
      </x:c>
      <x:c r="F265" s="339" t="str">
        <x:v>AC-01053, AC-01054, AC-01055, AC-01056</x:v>
      </x:c>
      <x:c r="G265" s="339" t="str">
        <x:v>BL-132</x:v>
      </x:c>
      <x:c r="H265" s="339" t="str">
        <x:v>BR-00394, BR-00395, BR-00396</x:v>
      </x:c>
      <x:c r="I265" s="339" t="str">
        <x:v>WF-132</x:v>
      </x:c>
      <x:c r="J265" s="339" t="str">
        <x:v>API-0132</x:v>
      </x:c>
      <x:c r="K265" s="339" t="str">
        <x:v>MVP</x:v>
      </x:c>
      <x:c r="L265" s="339" t="str">
        <x:v>Not Started</x:v>
      </x:c>
    </x:row>
    <x:row r="266">
      <x:c r="A266" s="339" t="str">
        <x:v>US-0265</x:v>
      </x:c>
      <x:c r="B266" s="339" t="str">
        <x:v>EP-012</x:v>
      </x:c>
      <x:c r="C266" s="339" t="str">
        <x:v>SCR-133</x:v>
      </x:c>
      <x:c r="D266" s="339" t="str">
        <x:v>Homework &amp; Assignments</x:v>
      </x:c>
      <x:c r="E266" s="339" t="str">
        <x:v>Homework Evaluation</x:v>
      </x:c>
      <x:c r="F266" s="339" t="str">
        <x:v>AC-01057, AC-01058, AC-01059, AC-01060</x:v>
      </x:c>
      <x:c r="G266" s="339" t="str">
        <x:v>BL-133</x:v>
      </x:c>
      <x:c r="H266" s="339" t="str">
        <x:v>BR-00397, BR-00398, BR-00399</x:v>
      </x:c>
      <x:c r="I266" s="339" t="str">
        <x:v>WF-133</x:v>
      </x:c>
      <x:c r="J266" s="339" t="str">
        <x:v>API-0133</x:v>
      </x:c>
      <x:c r="K266" s="339" t="str">
        <x:v>MVP</x:v>
      </x:c>
      <x:c r="L266" s="339" t="str">
        <x:v>Not Started</x:v>
      </x:c>
    </x:row>
    <x:row r="267">
      <x:c r="A267" s="339" t="str">
        <x:v>US-0266</x:v>
      </x:c>
      <x:c r="B267" s="339" t="str">
        <x:v>EP-012</x:v>
      </x:c>
      <x:c r="C267" s="339" t="str">
        <x:v>SCR-133</x:v>
      </x:c>
      <x:c r="D267" s="339" t="str">
        <x:v>Homework &amp; Assignments</x:v>
      </x:c>
      <x:c r="E267" s="339" t="str">
        <x:v>Homework Evaluation</x:v>
      </x:c>
      <x:c r="F267" s="339" t="str">
        <x:v>AC-01061, AC-01062, AC-01063, AC-01064</x:v>
      </x:c>
      <x:c r="G267" s="339" t="str">
        <x:v>BL-133</x:v>
      </x:c>
      <x:c r="H267" s="339" t="str">
        <x:v>BR-00397, BR-00398, BR-00399</x:v>
      </x:c>
      <x:c r="I267" s="339" t="str">
        <x:v>WF-133</x:v>
      </x:c>
      <x:c r="J267" s="339" t="str">
        <x:v>API-0133</x:v>
      </x:c>
      <x:c r="K267" s="339" t="str">
        <x:v>MVP</x:v>
      </x:c>
      <x:c r="L267" s="339" t="str">
        <x:v>Not Started</x:v>
      </x:c>
    </x:row>
    <x:row r="268">
      <x:c r="A268" s="339" t="str">
        <x:v>US-0267</x:v>
      </x:c>
      <x:c r="B268" s="339" t="str">
        <x:v>EP-012</x:v>
      </x:c>
      <x:c r="C268" s="339" t="str">
        <x:v>SCR-134</x:v>
      </x:c>
      <x:c r="D268" s="339" t="str">
        <x:v>Homework &amp; Assignments</x:v>
      </x:c>
      <x:c r="E268" s="339" t="str">
        <x:v>Assignment List</x:v>
      </x:c>
      <x:c r="F268" s="339" t="str">
        <x:v>AC-01065, AC-01066, AC-01067, AC-01068</x:v>
      </x:c>
      <x:c r="G268" s="339" t="str">
        <x:v>BL-134</x:v>
      </x:c>
      <x:c r="H268" s="339" t="str">
        <x:v>BR-00400, BR-00401, BR-00402</x:v>
      </x:c>
      <x:c r="I268" s="339" t="str">
        <x:v>WF-134</x:v>
      </x:c>
      <x:c r="J268" s="339" t="str">
        <x:v>API-0134</x:v>
      </x:c>
      <x:c r="K268" s="339" t="str">
        <x:v>Phase 2</x:v>
      </x:c>
      <x:c r="L268" s="339" t="str">
        <x:v>Not Started</x:v>
      </x:c>
    </x:row>
    <x:row r="269">
      <x:c r="A269" s="339" t="str">
        <x:v>US-0268</x:v>
      </x:c>
      <x:c r="B269" s="339" t="str">
        <x:v>EP-012</x:v>
      </x:c>
      <x:c r="C269" s="339" t="str">
        <x:v>SCR-134</x:v>
      </x:c>
      <x:c r="D269" s="339" t="str">
        <x:v>Homework &amp; Assignments</x:v>
      </x:c>
      <x:c r="E269" s="339" t="str">
        <x:v>Assignment List</x:v>
      </x:c>
      <x:c r="F269" s="339" t="str">
        <x:v>AC-01069, AC-01070, AC-01071, AC-01072</x:v>
      </x:c>
      <x:c r="G269" s="339" t="str">
        <x:v>BL-134</x:v>
      </x:c>
      <x:c r="H269" s="339" t="str">
        <x:v>BR-00400, BR-00401, BR-00402</x:v>
      </x:c>
      <x:c r="I269" s="339" t="str">
        <x:v>WF-134</x:v>
      </x:c>
      <x:c r="J269" s="339" t="str">
        <x:v>API-0134</x:v>
      </x:c>
      <x:c r="K269" s="339" t="str">
        <x:v>Phase 2</x:v>
      </x:c>
      <x:c r="L269" s="339" t="str">
        <x:v>Not Started</x:v>
      </x:c>
    </x:row>
    <x:row r="270">
      <x:c r="A270" s="339" t="str">
        <x:v>US-0269</x:v>
      </x:c>
      <x:c r="B270" s="339" t="str">
        <x:v>EP-012</x:v>
      </x:c>
      <x:c r="C270" s="339" t="str">
        <x:v>SCR-135</x:v>
      </x:c>
      <x:c r="D270" s="339" t="str">
        <x:v>Homework &amp; Assignments</x:v>
      </x:c>
      <x:c r="E270" s="339" t="str">
        <x:v>Create Assignment</x:v>
      </x:c>
      <x:c r="F270" s="339" t="str">
        <x:v>AC-01073, AC-01074, AC-01075, AC-01076</x:v>
      </x:c>
      <x:c r="G270" s="339" t="str">
        <x:v>BL-135</x:v>
      </x:c>
      <x:c r="H270" s="339" t="str">
        <x:v>BR-00403, BR-00404, BR-00405</x:v>
      </x:c>
      <x:c r="I270" s="339" t="str">
        <x:v>WF-135</x:v>
      </x:c>
      <x:c r="J270" s="339" t="str">
        <x:v>API-0135</x:v>
      </x:c>
      <x:c r="K270" s="339" t="str">
        <x:v>Phase 2</x:v>
      </x:c>
      <x:c r="L270" s="339" t="str">
        <x:v>Not Started</x:v>
      </x:c>
    </x:row>
    <x:row r="271">
      <x:c r="A271" s="339" t="str">
        <x:v>US-0270</x:v>
      </x:c>
      <x:c r="B271" s="339" t="str">
        <x:v>EP-012</x:v>
      </x:c>
      <x:c r="C271" s="339" t="str">
        <x:v>SCR-135</x:v>
      </x:c>
      <x:c r="D271" s="339" t="str">
        <x:v>Homework &amp; Assignments</x:v>
      </x:c>
      <x:c r="E271" s="339" t="str">
        <x:v>Create Assignment</x:v>
      </x:c>
      <x:c r="F271" s="339" t="str">
        <x:v>AC-01077, AC-01078, AC-01079, AC-01080</x:v>
      </x:c>
      <x:c r="G271" s="339" t="str">
        <x:v>BL-135</x:v>
      </x:c>
      <x:c r="H271" s="339" t="str">
        <x:v>BR-00403, BR-00404, BR-00405</x:v>
      </x:c>
      <x:c r="I271" s="339" t="str">
        <x:v>WF-135</x:v>
      </x:c>
      <x:c r="J271" s="339" t="str">
        <x:v>API-0135</x:v>
      </x:c>
      <x:c r="K271" s="339" t="str">
        <x:v>Phase 2</x:v>
      </x:c>
      <x:c r="L271" s="339" t="str">
        <x:v>Not Started</x:v>
      </x:c>
    </x:row>
    <x:row r="272">
      <x:c r="A272" s="339" t="str">
        <x:v>US-0271</x:v>
      </x:c>
      <x:c r="B272" s="339" t="str">
        <x:v>EP-012</x:v>
      </x:c>
      <x:c r="C272" s="339" t="str">
        <x:v>SCR-136</x:v>
      </x:c>
      <x:c r="D272" s="339" t="str">
        <x:v>Homework &amp; Assignments</x:v>
      </x:c>
      <x:c r="E272" s="339" t="str">
        <x:v>Assignment Submissions</x:v>
      </x:c>
      <x:c r="F272" s="339" t="str">
        <x:v>AC-01081, AC-01082, AC-01083, AC-01084</x:v>
      </x:c>
      <x:c r="G272" s="339" t="str">
        <x:v>BL-136</x:v>
      </x:c>
      <x:c r="H272" s="339" t="str">
        <x:v>BR-00406, BR-00407, BR-00408</x:v>
      </x:c>
      <x:c r="I272" s="339" t="str">
        <x:v>WF-136</x:v>
      </x:c>
      <x:c r="J272" s="339" t="str">
        <x:v>API-0136</x:v>
      </x:c>
      <x:c r="K272" s="339" t="str">
        <x:v>Phase 2</x:v>
      </x:c>
      <x:c r="L272" s="339" t="str">
        <x:v>Not Started</x:v>
      </x:c>
    </x:row>
    <x:row r="273">
      <x:c r="A273" s="339" t="str">
        <x:v>US-0272</x:v>
      </x:c>
      <x:c r="B273" s="339" t="str">
        <x:v>EP-012</x:v>
      </x:c>
      <x:c r="C273" s="339" t="str">
        <x:v>SCR-136</x:v>
      </x:c>
      <x:c r="D273" s="339" t="str">
        <x:v>Homework &amp; Assignments</x:v>
      </x:c>
      <x:c r="E273" s="339" t="str">
        <x:v>Assignment Submissions</x:v>
      </x:c>
      <x:c r="F273" s="339" t="str">
        <x:v>AC-01085, AC-01086, AC-01087, AC-01088</x:v>
      </x:c>
      <x:c r="G273" s="339" t="str">
        <x:v>BL-136</x:v>
      </x:c>
      <x:c r="H273" s="339" t="str">
        <x:v>BR-00406, BR-00407, BR-00408</x:v>
      </x:c>
      <x:c r="I273" s="339" t="str">
        <x:v>WF-136</x:v>
      </x:c>
      <x:c r="J273" s="339" t="str">
        <x:v>API-0136</x:v>
      </x:c>
      <x:c r="K273" s="339" t="str">
        <x:v>Phase 2</x:v>
      </x:c>
      <x:c r="L273" s="339" t="str">
        <x:v>Not Started</x:v>
      </x:c>
    </x:row>
    <x:row r="274">
      <x:c r="A274" s="339" t="str">
        <x:v>US-0273</x:v>
      </x:c>
      <x:c r="B274" s="339" t="str">
        <x:v>EP-012</x:v>
      </x:c>
      <x:c r="C274" s="339" t="str">
        <x:v>SCR-137</x:v>
      </x:c>
      <x:c r="D274" s="339" t="str">
        <x:v>Homework &amp; Assignments</x:v>
      </x:c>
      <x:c r="E274" s="339" t="str">
        <x:v>Assignment Evaluation</x:v>
      </x:c>
      <x:c r="F274" s="339" t="str">
        <x:v>AC-01089, AC-01090, AC-01091, AC-01092</x:v>
      </x:c>
      <x:c r="G274" s="339" t="str">
        <x:v>BL-137</x:v>
      </x:c>
      <x:c r="H274" s="339" t="str">
        <x:v>BR-00409, BR-00410, BR-00411</x:v>
      </x:c>
      <x:c r="I274" s="339" t="str">
        <x:v>WF-137</x:v>
      </x:c>
      <x:c r="J274" s="339" t="str">
        <x:v>API-0137</x:v>
      </x:c>
      <x:c r="K274" s="339" t="str">
        <x:v>Phase 3</x:v>
      </x:c>
      <x:c r="L274" s="339" t="str">
        <x:v>Not Started</x:v>
      </x:c>
    </x:row>
    <x:row r="275">
      <x:c r="A275" s="339" t="str">
        <x:v>US-0274</x:v>
      </x:c>
      <x:c r="B275" s="339" t="str">
        <x:v>EP-012</x:v>
      </x:c>
      <x:c r="C275" s="339" t="str">
        <x:v>SCR-137</x:v>
      </x:c>
      <x:c r="D275" s="339" t="str">
        <x:v>Homework &amp; Assignments</x:v>
      </x:c>
      <x:c r="E275" s="339" t="str">
        <x:v>Assignment Evaluation</x:v>
      </x:c>
      <x:c r="F275" s="339" t="str">
        <x:v>AC-01093, AC-01094, AC-01095, AC-01096</x:v>
      </x:c>
      <x:c r="G275" s="339" t="str">
        <x:v>BL-137</x:v>
      </x:c>
      <x:c r="H275" s="339" t="str">
        <x:v>BR-00409, BR-00410, BR-00411</x:v>
      </x:c>
      <x:c r="I275" s="339" t="str">
        <x:v>WF-137</x:v>
      </x:c>
      <x:c r="J275" s="339" t="str">
        <x:v>API-0137</x:v>
      </x:c>
      <x:c r="K275" s="339" t="str">
        <x:v>Phase 3</x:v>
      </x:c>
      <x:c r="L275" s="339" t="str">
        <x:v>Not Started</x:v>
      </x:c>
    </x:row>
    <x:row r="276">
      <x:c r="A276" s="339" t="str">
        <x:v>US-0275</x:v>
      </x:c>
      <x:c r="B276" s="339" t="str">
        <x:v>EP-013</x:v>
      </x:c>
      <x:c r="C276" s="339" t="str">
        <x:v>SCR-138</x:v>
      </x:c>
      <x:c r="D276" s="339" t="str">
        <x:v>Examinations / Marks / Results</x:v>
      </x:c>
      <x:c r="E276" s="339" t="str">
        <x:v>Exam Dashboard</x:v>
      </x:c>
      <x:c r="F276" s="339" t="str">
        <x:v>AC-01097, AC-01098, AC-01099, AC-01100</x:v>
      </x:c>
      <x:c r="G276" s="339" t="str">
        <x:v>BL-138</x:v>
      </x:c>
      <x:c r="H276" s="339" t="str">
        <x:v>BR-00412, BR-00413, BR-00414</x:v>
      </x:c>
      <x:c r="I276" s="339" t="str">
        <x:v>WF-138</x:v>
      </x:c>
      <x:c r="J276" s="339" t="str">
        <x:v>API-0138</x:v>
      </x:c>
      <x:c r="K276" s="339" t="str">
        <x:v>MVP</x:v>
      </x:c>
      <x:c r="L276" s="339" t="str">
        <x:v>Not Started</x:v>
      </x:c>
    </x:row>
    <x:row r="277">
      <x:c r="A277" s="339" t="str">
        <x:v>US-0276</x:v>
      </x:c>
      <x:c r="B277" s="339" t="str">
        <x:v>EP-013</x:v>
      </x:c>
      <x:c r="C277" s="339" t="str">
        <x:v>SCR-138</x:v>
      </x:c>
      <x:c r="D277" s="339" t="str">
        <x:v>Examinations / Marks / Results</x:v>
      </x:c>
      <x:c r="E277" s="339" t="str">
        <x:v>Exam Dashboard</x:v>
      </x:c>
      <x:c r="F277" s="339" t="str">
        <x:v>AC-01101, AC-01102, AC-01103, AC-01104</x:v>
      </x:c>
      <x:c r="G277" s="339" t="str">
        <x:v>BL-138</x:v>
      </x:c>
      <x:c r="H277" s="339" t="str">
        <x:v>BR-00412, BR-00413, BR-00414</x:v>
      </x:c>
      <x:c r="I277" s="339" t="str">
        <x:v>WF-138</x:v>
      </x:c>
      <x:c r="J277" s="339" t="str">
        <x:v>API-0138</x:v>
      </x:c>
      <x:c r="K277" s="339" t="str">
        <x:v>MVP</x:v>
      </x:c>
      <x:c r="L277" s="339" t="str">
        <x:v>Not Started</x:v>
      </x:c>
    </x:row>
    <x:row r="278">
      <x:c r="A278" s="339" t="str">
        <x:v>US-0277</x:v>
      </x:c>
      <x:c r="B278" s="339" t="str">
        <x:v>EP-013</x:v>
      </x:c>
      <x:c r="C278" s="339" t="str">
        <x:v>SCR-139</x:v>
      </x:c>
      <x:c r="D278" s="339" t="str">
        <x:v>Examinations / Marks / Results</x:v>
      </x:c>
      <x:c r="E278" s="339" t="str">
        <x:v>Exam Types</x:v>
      </x:c>
      <x:c r="F278" s="339" t="str">
        <x:v>AC-01105, AC-01106, AC-01107, AC-01108</x:v>
      </x:c>
      <x:c r="G278" s="339" t="str">
        <x:v>BL-139</x:v>
      </x:c>
      <x:c r="H278" s="339" t="str">
        <x:v>BR-00415, BR-00416, BR-00417</x:v>
      </x:c>
      <x:c r="I278" s="339" t="str">
        <x:v>WF-139</x:v>
      </x:c>
      <x:c r="J278" s="339" t="str">
        <x:v>API-0139</x:v>
      </x:c>
      <x:c r="K278" s="339" t="str">
        <x:v>MVP</x:v>
      </x:c>
      <x:c r="L278" s="339" t="str">
        <x:v>Not Started</x:v>
      </x:c>
    </x:row>
    <x:row r="279">
      <x:c r="A279" s="339" t="str">
        <x:v>US-0278</x:v>
      </x:c>
      <x:c r="B279" s="339" t="str">
        <x:v>EP-013</x:v>
      </x:c>
      <x:c r="C279" s="339" t="str">
        <x:v>SCR-139</x:v>
      </x:c>
      <x:c r="D279" s="339" t="str">
        <x:v>Examinations / Marks / Results</x:v>
      </x:c>
      <x:c r="E279" s="339" t="str">
        <x:v>Exam Types</x:v>
      </x:c>
      <x:c r="F279" s="339" t="str">
        <x:v>AC-01109, AC-01110, AC-01111, AC-01112</x:v>
      </x:c>
      <x:c r="G279" s="339" t="str">
        <x:v>BL-139</x:v>
      </x:c>
      <x:c r="H279" s="339" t="str">
        <x:v>BR-00415, BR-00416, BR-00417</x:v>
      </x:c>
      <x:c r="I279" s="339" t="str">
        <x:v>WF-139</x:v>
      </x:c>
      <x:c r="J279" s="339" t="str">
        <x:v>API-0139</x:v>
      </x:c>
      <x:c r="K279" s="339" t="str">
        <x:v>MVP</x:v>
      </x:c>
      <x:c r="L279" s="339" t="str">
        <x:v>Not Started</x:v>
      </x:c>
    </x:row>
    <x:row r="280">
      <x:c r="A280" s="339" t="str">
        <x:v>US-0279</x:v>
      </x:c>
      <x:c r="B280" s="339" t="str">
        <x:v>EP-013</x:v>
      </x:c>
      <x:c r="C280" s="339" t="str">
        <x:v>SCR-140</x:v>
      </x:c>
      <x:c r="D280" s="339" t="str">
        <x:v>Examinations / Marks / Results</x:v>
      </x:c>
      <x:c r="E280" s="339" t="str">
        <x:v>Exam Setup</x:v>
      </x:c>
      <x:c r="F280" s="339" t="str">
        <x:v>AC-01113, AC-01114, AC-01115, AC-01116</x:v>
      </x:c>
      <x:c r="G280" s="339" t="str">
        <x:v>BL-140</x:v>
      </x:c>
      <x:c r="H280" s="339" t="str">
        <x:v>BR-00418, BR-00419, BR-00420</x:v>
      </x:c>
      <x:c r="I280" s="339" t="str">
        <x:v>WF-140</x:v>
      </x:c>
      <x:c r="J280" s="339" t="str">
        <x:v>API-0140</x:v>
      </x:c>
      <x:c r="K280" s="339" t="str">
        <x:v>MVP</x:v>
      </x:c>
      <x:c r="L280" s="339" t="str">
        <x:v>Not Started</x:v>
      </x:c>
    </x:row>
    <x:row r="281">
      <x:c r="A281" s="339" t="str">
        <x:v>US-0280</x:v>
      </x:c>
      <x:c r="B281" s="339" t="str">
        <x:v>EP-013</x:v>
      </x:c>
      <x:c r="C281" s="339" t="str">
        <x:v>SCR-140</x:v>
      </x:c>
      <x:c r="D281" s="339" t="str">
        <x:v>Examinations / Marks / Results</x:v>
      </x:c>
      <x:c r="E281" s="339" t="str">
        <x:v>Exam Setup</x:v>
      </x:c>
      <x:c r="F281" s="339" t="str">
        <x:v>AC-01117, AC-01118, AC-01119, AC-01120</x:v>
      </x:c>
      <x:c r="G281" s="339" t="str">
        <x:v>BL-140</x:v>
      </x:c>
      <x:c r="H281" s="339" t="str">
        <x:v>BR-00418, BR-00419, BR-00420</x:v>
      </x:c>
      <x:c r="I281" s="339" t="str">
        <x:v>WF-140</x:v>
      </x:c>
      <x:c r="J281" s="339" t="str">
        <x:v>API-0140</x:v>
      </x:c>
      <x:c r="K281" s="339" t="str">
        <x:v>MVP</x:v>
      </x:c>
      <x:c r="L281" s="339" t="str">
        <x:v>Not Started</x:v>
      </x:c>
    </x:row>
    <x:row r="282">
      <x:c r="A282" s="339" t="str">
        <x:v>US-0281</x:v>
      </x:c>
      <x:c r="B282" s="339" t="str">
        <x:v>EP-013</x:v>
      </x:c>
      <x:c r="C282" s="339" t="str">
        <x:v>SCR-141</x:v>
      </x:c>
      <x:c r="D282" s="339" t="str">
        <x:v>Examinations / Marks / Results</x:v>
      </x:c>
      <x:c r="E282" s="339" t="str">
        <x:v>Exam Schedule</x:v>
      </x:c>
      <x:c r="F282" s="339" t="str">
        <x:v>AC-01121, AC-01122, AC-01123, AC-01124</x:v>
      </x:c>
      <x:c r="G282" s="339" t="str">
        <x:v>BL-141</x:v>
      </x:c>
      <x:c r="H282" s="339" t="str">
        <x:v>BR-00421, BR-00422, BR-00423</x:v>
      </x:c>
      <x:c r="I282" s="339" t="str">
        <x:v>WF-141</x:v>
      </x:c>
      <x:c r="J282" s="339" t="str">
        <x:v>API-0141</x:v>
      </x:c>
      <x:c r="K282" s="339" t="str">
        <x:v>MVP</x:v>
      </x:c>
      <x:c r="L282" s="339" t="str">
        <x:v>Not Started</x:v>
      </x:c>
    </x:row>
    <x:row r="283">
      <x:c r="A283" s="339" t="str">
        <x:v>US-0282</x:v>
      </x:c>
      <x:c r="B283" s="339" t="str">
        <x:v>EP-013</x:v>
      </x:c>
      <x:c r="C283" s="339" t="str">
        <x:v>SCR-141</x:v>
      </x:c>
      <x:c r="D283" s="339" t="str">
        <x:v>Examinations / Marks / Results</x:v>
      </x:c>
      <x:c r="E283" s="339" t="str">
        <x:v>Exam Schedule</x:v>
      </x:c>
      <x:c r="F283" s="339" t="str">
        <x:v>AC-01125, AC-01126, AC-01127, AC-01128</x:v>
      </x:c>
      <x:c r="G283" s="339" t="str">
        <x:v>BL-141</x:v>
      </x:c>
      <x:c r="H283" s="339" t="str">
        <x:v>BR-00421, BR-00422, BR-00423</x:v>
      </x:c>
      <x:c r="I283" s="339" t="str">
        <x:v>WF-141</x:v>
      </x:c>
      <x:c r="J283" s="339" t="str">
        <x:v>API-0141</x:v>
      </x:c>
      <x:c r="K283" s="339" t="str">
        <x:v>MVP</x:v>
      </x:c>
      <x:c r="L283" s="339" t="str">
        <x:v>Not Started</x:v>
      </x:c>
    </x:row>
    <x:row r="284">
      <x:c r="A284" s="339" t="str">
        <x:v>US-0283</x:v>
      </x:c>
      <x:c r="B284" s="339" t="str">
        <x:v>EP-013</x:v>
      </x:c>
      <x:c r="C284" s="339" t="str">
        <x:v>SCR-142</x:v>
      </x:c>
      <x:c r="D284" s="339" t="str">
        <x:v>Examinations / Marks / Results</x:v>
      </x:c>
      <x:c r="E284" s="339" t="str">
        <x:v>Hall / Room Allocation</x:v>
      </x:c>
      <x:c r="F284" s="339" t="str">
        <x:v>AC-01129, AC-01130, AC-01131, AC-01132</x:v>
      </x:c>
      <x:c r="G284" s="339" t="str">
        <x:v>BL-142</x:v>
      </x:c>
      <x:c r="H284" s="339" t="str">
        <x:v>BR-00424, BR-00425, BR-00426</x:v>
      </x:c>
      <x:c r="I284" s="339" t="str">
        <x:v>WF-142</x:v>
      </x:c>
      <x:c r="J284" s="339" t="str">
        <x:v>API-0142</x:v>
      </x:c>
      <x:c r="K284" s="339" t="str">
        <x:v>MVP</x:v>
      </x:c>
      <x:c r="L284" s="339" t="str">
        <x:v>Not Started</x:v>
      </x:c>
    </x:row>
    <x:row r="285">
      <x:c r="A285" s="339" t="str">
        <x:v>US-0284</x:v>
      </x:c>
      <x:c r="B285" s="339" t="str">
        <x:v>EP-013</x:v>
      </x:c>
      <x:c r="C285" s="339" t="str">
        <x:v>SCR-142</x:v>
      </x:c>
      <x:c r="D285" s="339" t="str">
        <x:v>Examinations / Marks / Results</x:v>
      </x:c>
      <x:c r="E285" s="339" t="str">
        <x:v>Hall / Room Allocation</x:v>
      </x:c>
      <x:c r="F285" s="339" t="str">
        <x:v>AC-01133, AC-01134, AC-01135, AC-01136</x:v>
      </x:c>
      <x:c r="G285" s="339" t="str">
        <x:v>BL-142</x:v>
      </x:c>
      <x:c r="H285" s="339" t="str">
        <x:v>BR-00424, BR-00425, BR-00426</x:v>
      </x:c>
      <x:c r="I285" s="339" t="str">
        <x:v>WF-142</x:v>
      </x:c>
      <x:c r="J285" s="339" t="str">
        <x:v>API-0142</x:v>
      </x:c>
      <x:c r="K285" s="339" t="str">
        <x:v>MVP</x:v>
      </x:c>
      <x:c r="L285" s="339" t="str">
        <x:v>Not Started</x:v>
      </x:c>
    </x:row>
    <x:row r="286">
      <x:c r="A286" s="339" t="str">
        <x:v>US-0285</x:v>
      </x:c>
      <x:c r="B286" s="339" t="str">
        <x:v>EP-013</x:v>
      </x:c>
      <x:c r="C286" s="339" t="str">
        <x:v>SCR-143</x:v>
      </x:c>
      <x:c r="D286" s="339" t="str">
        <x:v>Examinations / Marks / Results</x:v>
      </x:c>
      <x:c r="E286" s="339" t="str">
        <x:v>Invigilation Assignment</x:v>
      </x:c>
      <x:c r="F286" s="339" t="str">
        <x:v>AC-01137, AC-01138, AC-01139, AC-01140</x:v>
      </x:c>
      <x:c r="G286" s="339" t="str">
        <x:v>BL-143</x:v>
      </x:c>
      <x:c r="H286" s="339" t="str">
        <x:v>BR-00427, BR-00428, BR-00429</x:v>
      </x:c>
      <x:c r="I286" s="339" t="str">
        <x:v>WF-143</x:v>
      </x:c>
      <x:c r="J286" s="339" t="str">
        <x:v>API-0143</x:v>
      </x:c>
      <x:c r="K286" s="339" t="str">
        <x:v>MVP</x:v>
      </x:c>
      <x:c r="L286" s="339" t="str">
        <x:v>Not Started</x:v>
      </x:c>
    </x:row>
    <x:row r="287">
      <x:c r="A287" s="339" t="str">
        <x:v>US-0286</x:v>
      </x:c>
      <x:c r="B287" s="339" t="str">
        <x:v>EP-013</x:v>
      </x:c>
      <x:c r="C287" s="339" t="str">
        <x:v>SCR-143</x:v>
      </x:c>
      <x:c r="D287" s="339" t="str">
        <x:v>Examinations / Marks / Results</x:v>
      </x:c>
      <x:c r="E287" s="339" t="str">
        <x:v>Invigilation Assignment</x:v>
      </x:c>
      <x:c r="F287" s="339" t="str">
        <x:v>AC-01141, AC-01142, AC-01143, AC-01144</x:v>
      </x:c>
      <x:c r="G287" s="339" t="str">
        <x:v>BL-143</x:v>
      </x:c>
      <x:c r="H287" s="339" t="str">
        <x:v>BR-00427, BR-00428, BR-00429</x:v>
      </x:c>
      <x:c r="I287" s="339" t="str">
        <x:v>WF-143</x:v>
      </x:c>
      <x:c r="J287" s="339" t="str">
        <x:v>API-0143</x:v>
      </x:c>
      <x:c r="K287" s="339" t="str">
        <x:v>MVP</x:v>
      </x:c>
      <x:c r="L287" s="339" t="str">
        <x:v>Not Started</x:v>
      </x:c>
    </x:row>
    <x:row r="288">
      <x:c r="A288" s="339" t="str">
        <x:v>US-0287</x:v>
      </x:c>
      <x:c r="B288" s="339" t="str">
        <x:v>EP-013</x:v>
      </x:c>
      <x:c r="C288" s="339" t="str">
        <x:v>SCR-144</x:v>
      </x:c>
      <x:c r="D288" s="339" t="str">
        <x:v>Examinations / Marks / Results</x:v>
      </x:c>
      <x:c r="E288" s="339" t="str">
        <x:v>Admit Card</x:v>
      </x:c>
      <x:c r="F288" s="339" t="str">
        <x:v>AC-01145, AC-01146, AC-01147, AC-01148</x:v>
      </x:c>
      <x:c r="G288" s="339" t="str">
        <x:v>BL-144</x:v>
      </x:c>
      <x:c r="H288" s="339" t="str">
        <x:v>BR-00430, BR-00431, BR-00432</x:v>
      </x:c>
      <x:c r="I288" s="339" t="str">
        <x:v>WF-144</x:v>
      </x:c>
      <x:c r="J288" s="339" t="str">
        <x:v>API-0144</x:v>
      </x:c>
      <x:c r="K288" s="339" t="str">
        <x:v>MVP</x:v>
      </x:c>
      <x:c r="L288" s="339" t="str">
        <x:v>Not Started</x:v>
      </x:c>
    </x:row>
    <x:row r="289">
      <x:c r="A289" s="339" t="str">
        <x:v>US-0288</x:v>
      </x:c>
      <x:c r="B289" s="339" t="str">
        <x:v>EP-013</x:v>
      </x:c>
      <x:c r="C289" s="339" t="str">
        <x:v>SCR-144</x:v>
      </x:c>
      <x:c r="D289" s="339" t="str">
        <x:v>Examinations / Marks / Results</x:v>
      </x:c>
      <x:c r="E289" s="339" t="str">
        <x:v>Admit Card</x:v>
      </x:c>
      <x:c r="F289" s="339" t="str">
        <x:v>AC-01149, AC-01150, AC-01151, AC-01152</x:v>
      </x:c>
      <x:c r="G289" s="339" t="str">
        <x:v>BL-144</x:v>
      </x:c>
      <x:c r="H289" s="339" t="str">
        <x:v>BR-00430, BR-00431, BR-00432</x:v>
      </x:c>
      <x:c r="I289" s="339" t="str">
        <x:v>WF-144</x:v>
      </x:c>
      <x:c r="J289" s="339" t="str">
        <x:v>API-0144</x:v>
      </x:c>
      <x:c r="K289" s="339" t="str">
        <x:v>MVP</x:v>
      </x:c>
      <x:c r="L289" s="339" t="str">
        <x:v>Not Started</x:v>
      </x:c>
    </x:row>
    <x:row r="290">
      <x:c r="A290" s="339" t="str">
        <x:v>US-0289</x:v>
      </x:c>
      <x:c r="B290" s="339" t="str">
        <x:v>EP-013</x:v>
      </x:c>
      <x:c r="C290" s="339" t="str">
        <x:v>SCR-145</x:v>
      </x:c>
      <x:c r="D290" s="339" t="str">
        <x:v>Examinations / Marks / Results</x:v>
      </x:c>
      <x:c r="E290" s="339" t="str">
        <x:v>Marks Entry</x:v>
      </x:c>
      <x:c r="F290" s="339" t="str">
        <x:v>AC-01153, AC-01154, AC-01155, AC-01156</x:v>
      </x:c>
      <x:c r="G290" s="339" t="str">
        <x:v>BL-145</x:v>
      </x:c>
      <x:c r="H290" s="339" t="str">
        <x:v>BR-00433, BR-00434, BR-00435</x:v>
      </x:c>
      <x:c r="I290" s="339" t="str">
        <x:v>WF-145</x:v>
      </x:c>
      <x:c r="J290" s="339" t="str">
        <x:v>API-0145</x:v>
      </x:c>
      <x:c r="K290" s="339" t="str">
        <x:v>MVP</x:v>
      </x:c>
      <x:c r="L290" s="339" t="str">
        <x:v>Not Started</x:v>
      </x:c>
    </x:row>
    <x:row r="291">
      <x:c r="A291" s="339" t="str">
        <x:v>US-0290</x:v>
      </x:c>
      <x:c r="B291" s="339" t="str">
        <x:v>EP-013</x:v>
      </x:c>
      <x:c r="C291" s="339" t="str">
        <x:v>SCR-145</x:v>
      </x:c>
      <x:c r="D291" s="339" t="str">
        <x:v>Examinations / Marks / Results</x:v>
      </x:c>
      <x:c r="E291" s="339" t="str">
        <x:v>Marks Entry</x:v>
      </x:c>
      <x:c r="F291" s="339" t="str">
        <x:v>AC-01157, AC-01158, AC-01159, AC-01160</x:v>
      </x:c>
      <x:c r="G291" s="339" t="str">
        <x:v>BL-145</x:v>
      </x:c>
      <x:c r="H291" s="339" t="str">
        <x:v>BR-00433, BR-00434, BR-00435</x:v>
      </x:c>
      <x:c r="I291" s="339" t="str">
        <x:v>WF-145</x:v>
      </x:c>
      <x:c r="J291" s="339" t="str">
        <x:v>API-0145</x:v>
      </x:c>
      <x:c r="K291" s="339" t="str">
        <x:v>MVP</x:v>
      </x:c>
      <x:c r="L291" s="339" t="str">
        <x:v>Not Started</x:v>
      </x:c>
    </x:row>
    <x:row r="292">
      <x:c r="A292" s="339" t="str">
        <x:v>US-0291</x:v>
      </x:c>
      <x:c r="B292" s="339" t="str">
        <x:v>EP-013</x:v>
      </x:c>
      <x:c r="C292" s="339" t="str">
        <x:v>SCR-146</x:v>
      </x:c>
      <x:c r="D292" s="339" t="str">
        <x:v>Examinations / Marks / Results</x:v>
      </x:c>
      <x:c r="E292" s="339" t="str">
        <x:v>Practical / Internal Marks</x:v>
      </x:c>
      <x:c r="F292" s="339" t="str">
        <x:v>AC-01161, AC-01162, AC-01163, AC-01164</x:v>
      </x:c>
      <x:c r="G292" s="339" t="str">
        <x:v>BL-146</x:v>
      </x:c>
      <x:c r="H292" s="339" t="str">
        <x:v>BR-00436, BR-00437, BR-00438</x:v>
      </x:c>
      <x:c r="I292" s="339" t="str">
        <x:v>WF-146</x:v>
      </x:c>
      <x:c r="J292" s="339" t="str">
        <x:v>API-0146</x:v>
      </x:c>
      <x:c r="K292" s="339" t="str">
        <x:v>Phase 2</x:v>
      </x:c>
      <x:c r="L292" s="339" t="str">
        <x:v>Not Started</x:v>
      </x:c>
    </x:row>
    <x:row r="293">
      <x:c r="A293" s="339" t="str">
        <x:v>US-0292</x:v>
      </x:c>
      <x:c r="B293" s="339" t="str">
        <x:v>EP-013</x:v>
      </x:c>
      <x:c r="C293" s="339" t="str">
        <x:v>SCR-146</x:v>
      </x:c>
      <x:c r="D293" s="339" t="str">
        <x:v>Examinations / Marks / Results</x:v>
      </x:c>
      <x:c r="E293" s="339" t="str">
        <x:v>Practical / Internal Marks</x:v>
      </x:c>
      <x:c r="F293" s="339" t="str">
        <x:v>AC-01165, AC-01166, AC-01167, AC-01168</x:v>
      </x:c>
      <x:c r="G293" s="339" t="str">
        <x:v>BL-146</x:v>
      </x:c>
      <x:c r="H293" s="339" t="str">
        <x:v>BR-00436, BR-00437, BR-00438</x:v>
      </x:c>
      <x:c r="I293" s="339" t="str">
        <x:v>WF-146</x:v>
      </x:c>
      <x:c r="J293" s="339" t="str">
        <x:v>API-0146</x:v>
      </x:c>
      <x:c r="K293" s="339" t="str">
        <x:v>Phase 2</x:v>
      </x:c>
      <x:c r="L293" s="339" t="str">
        <x:v>Not Started</x:v>
      </x:c>
    </x:row>
    <x:row r="294">
      <x:c r="A294" s="339" t="str">
        <x:v>US-0293</x:v>
      </x:c>
      <x:c r="B294" s="339" t="str">
        <x:v>EP-013</x:v>
      </x:c>
      <x:c r="C294" s="339" t="str">
        <x:v>SCR-147</x:v>
      </x:c>
      <x:c r="D294" s="339" t="str">
        <x:v>Examinations / Marks / Results</x:v>
      </x:c>
      <x:c r="E294" s="339" t="str">
        <x:v>Bulk Marks Import</x:v>
      </x:c>
      <x:c r="F294" s="339" t="str">
        <x:v>AC-01169, AC-01170, AC-01171, AC-01172</x:v>
      </x:c>
      <x:c r="G294" s="339" t="str">
        <x:v>BL-147</x:v>
      </x:c>
      <x:c r="H294" s="339" t="str">
        <x:v>BR-00439, BR-00440, BR-00441</x:v>
      </x:c>
      <x:c r="I294" s="339" t="str">
        <x:v>WF-147</x:v>
      </x:c>
      <x:c r="J294" s="339" t="str">
        <x:v>API-0147</x:v>
      </x:c>
      <x:c r="K294" s="339" t="str">
        <x:v>Phase 2</x:v>
      </x:c>
      <x:c r="L294" s="339" t="str">
        <x:v>Not Started</x:v>
      </x:c>
    </x:row>
    <x:row r="295">
      <x:c r="A295" s="339" t="str">
        <x:v>US-0294</x:v>
      </x:c>
      <x:c r="B295" s="339" t="str">
        <x:v>EP-013</x:v>
      </x:c>
      <x:c r="C295" s="339" t="str">
        <x:v>SCR-147</x:v>
      </x:c>
      <x:c r="D295" s="339" t="str">
        <x:v>Examinations / Marks / Results</x:v>
      </x:c>
      <x:c r="E295" s="339" t="str">
        <x:v>Bulk Marks Import</x:v>
      </x:c>
      <x:c r="F295" s="339" t="str">
        <x:v>AC-01173, AC-01174, AC-01175, AC-01176</x:v>
      </x:c>
      <x:c r="G295" s="339" t="str">
        <x:v>BL-147</x:v>
      </x:c>
      <x:c r="H295" s="339" t="str">
        <x:v>BR-00439, BR-00440, BR-00441</x:v>
      </x:c>
      <x:c r="I295" s="339" t="str">
        <x:v>WF-147</x:v>
      </x:c>
      <x:c r="J295" s="339" t="str">
        <x:v>API-0147</x:v>
      </x:c>
      <x:c r="K295" s="339" t="str">
        <x:v>Phase 2</x:v>
      </x:c>
      <x:c r="L295" s="339" t="str">
        <x:v>Not Started</x:v>
      </x:c>
    </x:row>
    <x:row r="296">
      <x:c r="A296" s="339" t="str">
        <x:v>US-0295</x:v>
      </x:c>
      <x:c r="B296" s="339" t="str">
        <x:v>EP-013</x:v>
      </x:c>
      <x:c r="C296" s="339" t="str">
        <x:v>SCR-148</x:v>
      </x:c>
      <x:c r="D296" s="339" t="str">
        <x:v>Examinations / Marks / Results</x:v>
      </x:c>
      <x:c r="E296" s="339" t="str">
        <x:v>Marks Verification</x:v>
      </x:c>
      <x:c r="F296" s="339" t="str">
        <x:v>AC-01177, AC-01178, AC-01179, AC-01180</x:v>
      </x:c>
      <x:c r="G296" s="339" t="str">
        <x:v>BL-148</x:v>
      </x:c>
      <x:c r="H296" s="339" t="str">
        <x:v>BR-00442, BR-00443, BR-00444</x:v>
      </x:c>
      <x:c r="I296" s="339" t="str">
        <x:v>WF-148</x:v>
      </x:c>
      <x:c r="J296" s="339" t="str">
        <x:v>API-0148</x:v>
      </x:c>
      <x:c r="K296" s="339" t="str">
        <x:v>Phase 2</x:v>
      </x:c>
      <x:c r="L296" s="339" t="str">
        <x:v>Not Started</x:v>
      </x:c>
    </x:row>
    <x:row r="297">
      <x:c r="A297" s="339" t="str">
        <x:v>US-0296</x:v>
      </x:c>
      <x:c r="B297" s="339" t="str">
        <x:v>EP-013</x:v>
      </x:c>
      <x:c r="C297" s="339" t="str">
        <x:v>SCR-148</x:v>
      </x:c>
      <x:c r="D297" s="339" t="str">
        <x:v>Examinations / Marks / Results</x:v>
      </x:c>
      <x:c r="E297" s="339" t="str">
        <x:v>Marks Verification</x:v>
      </x:c>
      <x:c r="F297" s="339" t="str">
        <x:v>AC-01181, AC-01182, AC-01183, AC-01184</x:v>
      </x:c>
      <x:c r="G297" s="339" t="str">
        <x:v>BL-148</x:v>
      </x:c>
      <x:c r="H297" s="339" t="str">
        <x:v>BR-00442, BR-00443, BR-00444</x:v>
      </x:c>
      <x:c r="I297" s="339" t="str">
        <x:v>WF-148</x:v>
      </x:c>
      <x:c r="J297" s="339" t="str">
        <x:v>API-0148</x:v>
      </x:c>
      <x:c r="K297" s="339" t="str">
        <x:v>Phase 2</x:v>
      </x:c>
      <x:c r="L297" s="339" t="str">
        <x:v>Not Started</x:v>
      </x:c>
    </x:row>
    <x:row r="298">
      <x:c r="A298" s="339" t="str">
        <x:v>US-0297</x:v>
      </x:c>
      <x:c r="B298" s="339" t="str">
        <x:v>EP-013</x:v>
      </x:c>
      <x:c r="C298" s="339" t="str">
        <x:v>SCR-149</x:v>
      </x:c>
      <x:c r="D298" s="339" t="str">
        <x:v>Examinations / Marks / Results</x:v>
      </x:c>
      <x:c r="E298" s="339" t="str">
        <x:v>Grade / Grading Setup</x:v>
      </x:c>
      <x:c r="F298" s="339" t="str">
        <x:v>AC-01185, AC-01186, AC-01187, AC-01188</x:v>
      </x:c>
      <x:c r="G298" s="339" t="str">
        <x:v>BL-149</x:v>
      </x:c>
      <x:c r="H298" s="339" t="str">
        <x:v>BR-00445, BR-00446, BR-00447</x:v>
      </x:c>
      <x:c r="I298" s="339" t="str">
        <x:v>WF-149</x:v>
      </x:c>
      <x:c r="J298" s="339" t="str">
        <x:v>API-0149</x:v>
      </x:c>
      <x:c r="K298" s="339" t="str">
        <x:v>Phase 2</x:v>
      </x:c>
      <x:c r="L298" s="339" t="str">
        <x:v>Not Started</x:v>
      </x:c>
    </x:row>
    <x:row r="299">
      <x:c r="A299" s="339" t="str">
        <x:v>US-0298</x:v>
      </x:c>
      <x:c r="B299" s="339" t="str">
        <x:v>EP-013</x:v>
      </x:c>
      <x:c r="C299" s="339" t="str">
        <x:v>SCR-149</x:v>
      </x:c>
      <x:c r="D299" s="339" t="str">
        <x:v>Examinations / Marks / Results</x:v>
      </x:c>
      <x:c r="E299" s="339" t="str">
        <x:v>Grade / Grading Setup</x:v>
      </x:c>
      <x:c r="F299" s="339" t="str">
        <x:v>AC-01189, AC-01190, AC-01191, AC-01192</x:v>
      </x:c>
      <x:c r="G299" s="339" t="str">
        <x:v>BL-149</x:v>
      </x:c>
      <x:c r="H299" s="339" t="str">
        <x:v>BR-00445, BR-00446, BR-00447</x:v>
      </x:c>
      <x:c r="I299" s="339" t="str">
        <x:v>WF-149</x:v>
      </x:c>
      <x:c r="J299" s="339" t="str">
        <x:v>API-0149</x:v>
      </x:c>
      <x:c r="K299" s="339" t="str">
        <x:v>Phase 2</x:v>
      </x:c>
      <x:c r="L299" s="339" t="str">
        <x:v>Not Started</x:v>
      </x:c>
    </x:row>
    <x:row r="300">
      <x:c r="A300" s="339" t="str">
        <x:v>US-0299</x:v>
      </x:c>
      <x:c r="B300" s="339" t="str">
        <x:v>EP-013</x:v>
      </x:c>
      <x:c r="C300" s="339" t="str">
        <x:v>SCR-150</x:v>
      </x:c>
      <x:c r="D300" s="339" t="str">
        <x:v>Examinations / Marks / Results</x:v>
      </x:c>
      <x:c r="E300" s="339" t="str">
        <x:v>Publish Results</x:v>
      </x:c>
      <x:c r="F300" s="339" t="str">
        <x:v>AC-01193, AC-01194, AC-01195, AC-01196</x:v>
      </x:c>
      <x:c r="G300" s="339" t="str">
        <x:v>BL-150</x:v>
      </x:c>
      <x:c r="H300" s="339" t="str">
        <x:v>BR-00448, BR-00449, BR-00450</x:v>
      </x:c>
      <x:c r="I300" s="339" t="str">
        <x:v>WF-150</x:v>
      </x:c>
      <x:c r="J300" s="339" t="str">
        <x:v>API-0150</x:v>
      </x:c>
      <x:c r="K300" s="339" t="str">
        <x:v>Phase 3</x:v>
      </x:c>
      <x:c r="L300" s="339" t="str">
        <x:v>Not Started</x:v>
      </x:c>
    </x:row>
    <x:row r="301">
      <x:c r="A301" s="339" t="str">
        <x:v>US-0300</x:v>
      </x:c>
      <x:c r="B301" s="339" t="str">
        <x:v>EP-013</x:v>
      </x:c>
      <x:c r="C301" s="339" t="str">
        <x:v>SCR-150</x:v>
      </x:c>
      <x:c r="D301" s="339" t="str">
        <x:v>Examinations / Marks / Results</x:v>
      </x:c>
      <x:c r="E301" s="339" t="str">
        <x:v>Publish Results</x:v>
      </x:c>
      <x:c r="F301" s="339" t="str">
        <x:v>AC-01197, AC-01198, AC-01199, AC-01200</x:v>
      </x:c>
      <x:c r="G301" s="339" t="str">
        <x:v>BL-150</x:v>
      </x:c>
      <x:c r="H301" s="339" t="str">
        <x:v>BR-00448, BR-00449, BR-00450</x:v>
      </x:c>
      <x:c r="I301" s="339" t="str">
        <x:v>WF-150</x:v>
      </x:c>
      <x:c r="J301" s="339" t="str">
        <x:v>API-0150</x:v>
      </x:c>
      <x:c r="K301" s="339" t="str">
        <x:v>Phase 3</x:v>
      </x:c>
      <x:c r="L301" s="339" t="str">
        <x:v>Not Started</x:v>
      </x:c>
    </x:row>
    <x:row r="302">
      <x:c r="A302" s="339" t="str">
        <x:v>US-0301</x:v>
      </x:c>
      <x:c r="B302" s="339" t="str">
        <x:v>EP-013</x:v>
      </x:c>
      <x:c r="C302" s="339" t="str">
        <x:v>SCR-151</x:v>
      </x:c>
      <x:c r="D302" s="339" t="str">
        <x:v>Examinations / Marks / Results</x:v>
      </x:c>
      <x:c r="E302" s="339" t="str">
        <x:v>Student Result</x:v>
      </x:c>
      <x:c r="F302" s="339" t="str">
        <x:v>AC-01201, AC-01202, AC-01203, AC-01204</x:v>
      </x:c>
      <x:c r="G302" s="339" t="str">
        <x:v>BL-151</x:v>
      </x:c>
      <x:c r="H302" s="339" t="str">
        <x:v>BR-00451, BR-00452, BR-00453</x:v>
      </x:c>
      <x:c r="I302" s="339" t="str">
        <x:v>WF-151</x:v>
      </x:c>
      <x:c r="J302" s="339" t="str">
        <x:v>API-0151</x:v>
      </x:c>
      <x:c r="K302" s="339" t="str">
        <x:v>Phase 3</x:v>
      </x:c>
      <x:c r="L302" s="339" t="str">
        <x:v>Not Started</x:v>
      </x:c>
    </x:row>
    <x:row r="303">
      <x:c r="A303" s="339" t="str">
        <x:v>US-0302</x:v>
      </x:c>
      <x:c r="B303" s="339" t="str">
        <x:v>EP-013</x:v>
      </x:c>
      <x:c r="C303" s="339" t="str">
        <x:v>SCR-151</x:v>
      </x:c>
      <x:c r="D303" s="339" t="str">
        <x:v>Examinations / Marks / Results</x:v>
      </x:c>
      <x:c r="E303" s="339" t="str">
        <x:v>Student Result</x:v>
      </x:c>
      <x:c r="F303" s="339" t="str">
        <x:v>AC-01205, AC-01206, AC-01207, AC-01208</x:v>
      </x:c>
      <x:c r="G303" s="339" t="str">
        <x:v>BL-151</x:v>
      </x:c>
      <x:c r="H303" s="339" t="str">
        <x:v>BR-00451, BR-00452, BR-00453</x:v>
      </x:c>
      <x:c r="I303" s="339" t="str">
        <x:v>WF-151</x:v>
      </x:c>
      <x:c r="J303" s="339" t="str">
        <x:v>API-0151</x:v>
      </x:c>
      <x:c r="K303" s="339" t="str">
        <x:v>Phase 3</x:v>
      </x:c>
      <x:c r="L303" s="339" t="str">
        <x:v>Not Started</x:v>
      </x:c>
    </x:row>
    <x:row r="304">
      <x:c r="A304" s="339" t="str">
        <x:v>US-0303</x:v>
      </x:c>
      <x:c r="B304" s="339" t="str">
        <x:v>EP-013</x:v>
      </x:c>
      <x:c r="C304" s="339" t="str">
        <x:v>SCR-152</x:v>
      </x:c>
      <x:c r="D304" s="339" t="str">
        <x:v>Examinations / Marks / Results</x:v>
      </x:c>
      <x:c r="E304" s="339" t="str">
        <x:v>Report Card</x:v>
      </x:c>
      <x:c r="F304" s="339" t="str">
        <x:v>AC-01209, AC-01210, AC-01211, AC-01212</x:v>
      </x:c>
      <x:c r="G304" s="339" t="str">
        <x:v>BL-152</x:v>
      </x:c>
      <x:c r="H304" s="339" t="str">
        <x:v>BR-00454, BR-00455, BR-00456</x:v>
      </x:c>
      <x:c r="I304" s="339" t="str">
        <x:v>WF-152</x:v>
      </x:c>
      <x:c r="J304" s="339" t="str">
        <x:v>API-0152</x:v>
      </x:c>
      <x:c r="K304" s="339" t="str">
        <x:v>Phase 3</x:v>
      </x:c>
      <x:c r="L304" s="339" t="str">
        <x:v>Not Started</x:v>
      </x:c>
    </x:row>
    <x:row r="305">
      <x:c r="A305" s="339" t="str">
        <x:v>US-0304</x:v>
      </x:c>
      <x:c r="B305" s="339" t="str">
        <x:v>EP-013</x:v>
      </x:c>
      <x:c r="C305" s="339" t="str">
        <x:v>SCR-152</x:v>
      </x:c>
      <x:c r="D305" s="339" t="str">
        <x:v>Examinations / Marks / Results</x:v>
      </x:c>
      <x:c r="E305" s="339" t="str">
        <x:v>Report Card</x:v>
      </x:c>
      <x:c r="F305" s="339" t="str">
        <x:v>AC-01213, AC-01214, AC-01215, AC-01216</x:v>
      </x:c>
      <x:c r="G305" s="339" t="str">
        <x:v>BL-152</x:v>
      </x:c>
      <x:c r="H305" s="339" t="str">
        <x:v>BR-00454, BR-00455, BR-00456</x:v>
      </x:c>
      <x:c r="I305" s="339" t="str">
        <x:v>WF-152</x:v>
      </x:c>
      <x:c r="J305" s="339" t="str">
        <x:v>API-0152</x:v>
      </x:c>
      <x:c r="K305" s="339" t="str">
        <x:v>Phase 3</x:v>
      </x:c>
      <x:c r="L305" s="339" t="str">
        <x:v>Not Started</x:v>
      </x:c>
    </x:row>
    <x:row r="306">
      <x:c r="A306" s="339" t="str">
        <x:v>US-0305</x:v>
      </x:c>
      <x:c r="B306" s="339" t="str">
        <x:v>EP-013</x:v>
      </x:c>
      <x:c r="C306" s="339" t="str">
        <x:v>SCR-153</x:v>
      </x:c>
      <x:c r="D306" s="339" t="str">
        <x:v>Examinations / Marks / Results</x:v>
      </x:c>
      <x:c r="E306" s="339" t="str">
        <x:v>Promotion Decision</x:v>
      </x:c>
      <x:c r="F306" s="339" t="str">
        <x:v>AC-01217, AC-01218, AC-01219, AC-01220</x:v>
      </x:c>
      <x:c r="G306" s="339" t="str">
        <x:v>BL-153</x:v>
      </x:c>
      <x:c r="H306" s="339" t="str">
        <x:v>BR-00457, BR-00458, BR-00459</x:v>
      </x:c>
      <x:c r="I306" s="339" t="str">
        <x:v>WF-153</x:v>
      </x:c>
      <x:c r="J306" s="339" t="str">
        <x:v>API-0153</x:v>
      </x:c>
      <x:c r="K306" s="339" t="str">
        <x:v>Phase 3</x:v>
      </x:c>
      <x:c r="L306" s="339" t="str">
        <x:v>Not Started</x:v>
      </x:c>
    </x:row>
    <x:row r="307">
      <x:c r="A307" s="339" t="str">
        <x:v>US-0306</x:v>
      </x:c>
      <x:c r="B307" s="339" t="str">
        <x:v>EP-013</x:v>
      </x:c>
      <x:c r="C307" s="339" t="str">
        <x:v>SCR-153</x:v>
      </x:c>
      <x:c r="D307" s="339" t="str">
        <x:v>Examinations / Marks / Results</x:v>
      </x:c>
      <x:c r="E307" s="339" t="str">
        <x:v>Promotion Decision</x:v>
      </x:c>
      <x:c r="F307" s="339" t="str">
        <x:v>AC-01221, AC-01222, AC-01223, AC-01224</x:v>
      </x:c>
      <x:c r="G307" s="339" t="str">
        <x:v>BL-153</x:v>
      </x:c>
      <x:c r="H307" s="339" t="str">
        <x:v>BR-00457, BR-00458, BR-00459</x:v>
      </x:c>
      <x:c r="I307" s="339" t="str">
        <x:v>WF-153</x:v>
      </x:c>
      <x:c r="J307" s="339" t="str">
        <x:v>API-0153</x:v>
      </x:c>
      <x:c r="K307" s="339" t="str">
        <x:v>Phase 3</x:v>
      </x:c>
      <x:c r="L307" s="339" t="str">
        <x:v>Not Started</x:v>
      </x:c>
    </x:row>
    <x:row r="308">
      <x:c r="A308" s="339" t="str">
        <x:v>US-0307</x:v>
      </x:c>
      <x:c r="B308" s="339" t="str">
        <x:v>EP-014</x:v>
      </x:c>
      <x:c r="C308" s="339" t="str">
        <x:v>SCR-154</x:v>
      </x:c>
      <x:c r="D308" s="339" t="str">
        <x:v>Fees &amp; Finance</x:v>
      </x:c>
      <x:c r="E308" s="339" t="str">
        <x:v>Fee Dashboard</x:v>
      </x:c>
      <x:c r="F308" s="339" t="str">
        <x:v>AC-01225, AC-01226, AC-01227, AC-01228</x:v>
      </x:c>
      <x:c r="G308" s="339" t="str">
        <x:v>BL-154</x:v>
      </x:c>
      <x:c r="H308" s="339" t="str">
        <x:v>BR-00460, BR-00461, BR-00462</x:v>
      </x:c>
      <x:c r="I308" s="339" t="str">
        <x:v>WF-154</x:v>
      </x:c>
      <x:c r="J308" s="339" t="str">
        <x:v>API-0154</x:v>
      </x:c>
      <x:c r="K308" s="339" t="str">
        <x:v>MVP</x:v>
      </x:c>
      <x:c r="L308" s="339" t="str">
        <x:v>Not Started</x:v>
      </x:c>
    </x:row>
    <x:row r="309">
      <x:c r="A309" s="339" t="str">
        <x:v>US-0308</x:v>
      </x:c>
      <x:c r="B309" s="339" t="str">
        <x:v>EP-014</x:v>
      </x:c>
      <x:c r="C309" s="339" t="str">
        <x:v>SCR-154</x:v>
      </x:c>
      <x:c r="D309" s="339" t="str">
        <x:v>Fees &amp; Finance</x:v>
      </x:c>
      <x:c r="E309" s="339" t="str">
        <x:v>Fee Dashboard</x:v>
      </x:c>
      <x:c r="F309" s="339" t="str">
        <x:v>AC-01229, AC-01230, AC-01231, AC-01232</x:v>
      </x:c>
      <x:c r="G309" s="339" t="str">
        <x:v>BL-154</x:v>
      </x:c>
      <x:c r="H309" s="339" t="str">
        <x:v>BR-00460, BR-00461, BR-00462</x:v>
      </x:c>
      <x:c r="I309" s="339" t="str">
        <x:v>WF-154</x:v>
      </x:c>
      <x:c r="J309" s="339" t="str">
        <x:v>API-0154</x:v>
      </x:c>
      <x:c r="K309" s="339" t="str">
        <x:v>MVP</x:v>
      </x:c>
      <x:c r="L309" s="339" t="str">
        <x:v>Not Started</x:v>
      </x:c>
    </x:row>
    <x:row r="310">
      <x:c r="A310" s="339" t="str">
        <x:v>US-0309</x:v>
      </x:c>
      <x:c r="B310" s="339" t="str">
        <x:v>EP-014</x:v>
      </x:c>
      <x:c r="C310" s="339" t="str">
        <x:v>SCR-155</x:v>
      </x:c>
      <x:c r="D310" s="339" t="str">
        <x:v>Fees &amp; Finance</x:v>
      </x:c>
      <x:c r="E310" s="339" t="str">
        <x:v>Fee Structure</x:v>
      </x:c>
      <x:c r="F310" s="339" t="str">
        <x:v>AC-01233, AC-01234, AC-01235, AC-01236</x:v>
      </x:c>
      <x:c r="G310" s="339" t="str">
        <x:v>BL-155</x:v>
      </x:c>
      <x:c r="H310" s="339" t="str">
        <x:v>BR-00463, BR-00464, BR-00465</x:v>
      </x:c>
      <x:c r="I310" s="339" t="str">
        <x:v>WF-155</x:v>
      </x:c>
      <x:c r="J310" s="339" t="str">
        <x:v>API-0155</x:v>
      </x:c>
      <x:c r="K310" s="339" t="str">
        <x:v>MVP</x:v>
      </x:c>
      <x:c r="L310" s="339" t="str">
        <x:v>Not Started</x:v>
      </x:c>
    </x:row>
    <x:row r="311">
      <x:c r="A311" s="339" t="str">
        <x:v>US-0310</x:v>
      </x:c>
      <x:c r="B311" s="339" t="str">
        <x:v>EP-014</x:v>
      </x:c>
      <x:c r="C311" s="339" t="str">
        <x:v>SCR-155</x:v>
      </x:c>
      <x:c r="D311" s="339" t="str">
        <x:v>Fees &amp; Finance</x:v>
      </x:c>
      <x:c r="E311" s="339" t="str">
        <x:v>Fee Structure</x:v>
      </x:c>
      <x:c r="F311" s="339" t="str">
        <x:v>AC-01237, AC-01238, AC-01239, AC-01240</x:v>
      </x:c>
      <x:c r="G311" s="339" t="str">
        <x:v>BL-155</x:v>
      </x:c>
      <x:c r="H311" s="339" t="str">
        <x:v>BR-00463, BR-00464, BR-00465</x:v>
      </x:c>
      <x:c r="I311" s="339" t="str">
        <x:v>WF-155</x:v>
      </x:c>
      <x:c r="J311" s="339" t="str">
        <x:v>API-0155</x:v>
      </x:c>
      <x:c r="K311" s="339" t="str">
        <x:v>MVP</x:v>
      </x:c>
      <x:c r="L311" s="339" t="str">
        <x:v>Not Started</x:v>
      </x:c>
    </x:row>
    <x:row r="312">
      <x:c r="A312" s="339" t="str">
        <x:v>US-0311</x:v>
      </x:c>
      <x:c r="B312" s="339" t="str">
        <x:v>EP-014</x:v>
      </x:c>
      <x:c r="C312" s="339" t="str">
        <x:v>SCR-156</x:v>
      </x:c>
      <x:c r="D312" s="339" t="str">
        <x:v>Fees &amp; Finance</x:v>
      </x:c>
      <x:c r="E312" s="339" t="str">
        <x:v>Create / Edit Fee Structure</x:v>
      </x:c>
      <x:c r="F312" s="339" t="str">
        <x:v>AC-01241, AC-01242, AC-01243, AC-01244</x:v>
      </x:c>
      <x:c r="G312" s="339" t="str">
        <x:v>BL-156</x:v>
      </x:c>
      <x:c r="H312" s="339" t="str">
        <x:v>BR-00466, BR-00467, BR-00468</x:v>
      </x:c>
      <x:c r="I312" s="339" t="str">
        <x:v>WF-156</x:v>
      </x:c>
      <x:c r="J312" s="339" t="str">
        <x:v>API-0156</x:v>
      </x:c>
      <x:c r="K312" s="339" t="str">
        <x:v>MVP</x:v>
      </x:c>
      <x:c r="L312" s="339" t="str">
        <x:v>Not Started</x:v>
      </x:c>
    </x:row>
    <x:row r="313">
      <x:c r="A313" s="339" t="str">
        <x:v>US-0312</x:v>
      </x:c>
      <x:c r="B313" s="339" t="str">
        <x:v>EP-014</x:v>
      </x:c>
      <x:c r="C313" s="339" t="str">
        <x:v>SCR-156</x:v>
      </x:c>
      <x:c r="D313" s="339" t="str">
        <x:v>Fees &amp; Finance</x:v>
      </x:c>
      <x:c r="E313" s="339" t="str">
        <x:v>Create / Edit Fee Structure</x:v>
      </x:c>
      <x:c r="F313" s="339" t="str">
        <x:v>AC-01245, AC-01246, AC-01247, AC-01248</x:v>
      </x:c>
      <x:c r="G313" s="339" t="str">
        <x:v>BL-156</x:v>
      </x:c>
      <x:c r="H313" s="339" t="str">
        <x:v>BR-00466, BR-00467, BR-00468</x:v>
      </x:c>
      <x:c r="I313" s="339" t="str">
        <x:v>WF-156</x:v>
      </x:c>
      <x:c r="J313" s="339" t="str">
        <x:v>API-0156</x:v>
      </x:c>
      <x:c r="K313" s="339" t="str">
        <x:v>MVP</x:v>
      </x:c>
      <x:c r="L313" s="339" t="str">
        <x:v>Not Started</x:v>
      </x:c>
    </x:row>
    <x:row r="314">
      <x:c r="A314" s="339" t="str">
        <x:v>US-0313</x:v>
      </x:c>
      <x:c r="B314" s="339" t="str">
        <x:v>EP-014</x:v>
      </x:c>
      <x:c r="C314" s="339" t="str">
        <x:v>SCR-157</x:v>
      </x:c>
      <x:c r="D314" s="339" t="str">
        <x:v>Fees &amp; Finance</x:v>
      </x:c>
      <x:c r="E314" s="339" t="str">
        <x:v>Student Fee Assignment</x:v>
      </x:c>
      <x:c r="F314" s="339" t="str">
        <x:v>AC-01249, AC-01250, AC-01251, AC-01252</x:v>
      </x:c>
      <x:c r="G314" s="339" t="str">
        <x:v>BL-157</x:v>
      </x:c>
      <x:c r="H314" s="339" t="str">
        <x:v>BR-00469, BR-00470, BR-00471</x:v>
      </x:c>
      <x:c r="I314" s="339" t="str">
        <x:v>WF-157</x:v>
      </x:c>
      <x:c r="J314" s="339" t="str">
        <x:v>API-0157</x:v>
      </x:c>
      <x:c r="K314" s="339" t="str">
        <x:v>MVP</x:v>
      </x:c>
      <x:c r="L314" s="339" t="str">
        <x:v>Not Started</x:v>
      </x:c>
    </x:row>
    <x:row r="315">
      <x:c r="A315" s="339" t="str">
        <x:v>US-0314</x:v>
      </x:c>
      <x:c r="B315" s="339" t="str">
        <x:v>EP-014</x:v>
      </x:c>
      <x:c r="C315" s="339" t="str">
        <x:v>SCR-157</x:v>
      </x:c>
      <x:c r="D315" s="339" t="str">
        <x:v>Fees &amp; Finance</x:v>
      </x:c>
      <x:c r="E315" s="339" t="str">
        <x:v>Student Fee Assignment</x:v>
      </x:c>
      <x:c r="F315" s="339" t="str">
        <x:v>AC-01253, AC-01254, AC-01255, AC-01256</x:v>
      </x:c>
      <x:c r="G315" s="339" t="str">
        <x:v>BL-157</x:v>
      </x:c>
      <x:c r="H315" s="339" t="str">
        <x:v>BR-00469, BR-00470, BR-00471</x:v>
      </x:c>
      <x:c r="I315" s="339" t="str">
        <x:v>WF-157</x:v>
      </x:c>
      <x:c r="J315" s="339" t="str">
        <x:v>API-0157</x:v>
      </x:c>
      <x:c r="K315" s="339" t="str">
        <x:v>MVP</x:v>
      </x:c>
      <x:c r="L315" s="339" t="str">
        <x:v>Not Started</x:v>
      </x:c>
    </x:row>
    <x:row r="316">
      <x:c r="A316" s="339" t="str">
        <x:v>US-0315</x:v>
      </x:c>
      <x:c r="B316" s="339" t="str">
        <x:v>EP-014</x:v>
      </x:c>
      <x:c r="C316" s="339" t="str">
        <x:v>SCR-158</x:v>
      </x:c>
      <x:c r="D316" s="339" t="str">
        <x:v>Fees &amp; Finance</x:v>
      </x:c>
      <x:c r="E316" s="339" t="str">
        <x:v>Fee Collection</x:v>
      </x:c>
      <x:c r="F316" s="339" t="str">
        <x:v>AC-01257, AC-01258, AC-01259, AC-01260</x:v>
      </x:c>
      <x:c r="G316" s="339" t="str">
        <x:v>BL-158</x:v>
      </x:c>
      <x:c r="H316" s="339" t="str">
        <x:v>BR-00472, BR-00473, BR-00474</x:v>
      </x:c>
      <x:c r="I316" s="339" t="str">
        <x:v>WF-158</x:v>
      </x:c>
      <x:c r="J316" s="339" t="str">
        <x:v>API-0158</x:v>
      </x:c>
      <x:c r="K316" s="339" t="str">
        <x:v>MVP</x:v>
      </x:c>
      <x:c r="L316" s="339" t="str">
        <x:v>Not Started</x:v>
      </x:c>
    </x:row>
    <x:row r="317">
      <x:c r="A317" s="339" t="str">
        <x:v>US-0316</x:v>
      </x:c>
      <x:c r="B317" s="339" t="str">
        <x:v>EP-014</x:v>
      </x:c>
      <x:c r="C317" s="339" t="str">
        <x:v>SCR-158</x:v>
      </x:c>
      <x:c r="D317" s="339" t="str">
        <x:v>Fees &amp; Finance</x:v>
      </x:c>
      <x:c r="E317" s="339" t="str">
        <x:v>Fee Collection</x:v>
      </x:c>
      <x:c r="F317" s="339" t="str">
        <x:v>AC-01261, AC-01262, AC-01263, AC-01264</x:v>
      </x:c>
      <x:c r="G317" s="339" t="str">
        <x:v>BL-158</x:v>
      </x:c>
      <x:c r="H317" s="339" t="str">
        <x:v>BR-00472, BR-00473, BR-00474</x:v>
      </x:c>
      <x:c r="I317" s="339" t="str">
        <x:v>WF-158</x:v>
      </x:c>
      <x:c r="J317" s="339" t="str">
        <x:v>API-0158</x:v>
      </x:c>
      <x:c r="K317" s="339" t="str">
        <x:v>MVP</x:v>
      </x:c>
      <x:c r="L317" s="339" t="str">
        <x:v>Not Started</x:v>
      </x:c>
    </x:row>
    <x:row r="318">
      <x:c r="A318" s="339" t="str">
        <x:v>US-0317</x:v>
      </x:c>
      <x:c r="B318" s="339" t="str">
        <x:v>EP-014</x:v>
      </x:c>
      <x:c r="C318" s="339" t="str">
        <x:v>SCR-159</x:v>
      </x:c>
      <x:c r="D318" s="339" t="str">
        <x:v>Fees &amp; Finance</x:v>
      </x:c>
      <x:c r="E318" s="339" t="str">
        <x:v>Online Payment</x:v>
      </x:c>
      <x:c r="F318" s="339" t="str">
        <x:v>AC-01265, AC-01266, AC-01267, AC-01268</x:v>
      </x:c>
      <x:c r="G318" s="339" t="str">
        <x:v>BL-159</x:v>
      </x:c>
      <x:c r="H318" s="339" t="str">
        <x:v>BR-00475, BR-00476, BR-00477</x:v>
      </x:c>
      <x:c r="I318" s="339" t="str">
        <x:v>WF-159</x:v>
      </x:c>
      <x:c r="J318" s="339" t="str">
        <x:v>API-0159</x:v>
      </x:c>
      <x:c r="K318" s="339" t="str">
        <x:v>MVP</x:v>
      </x:c>
      <x:c r="L318" s="339" t="str">
        <x:v>Not Started</x:v>
      </x:c>
    </x:row>
    <x:row r="319">
      <x:c r="A319" s="339" t="str">
        <x:v>US-0318</x:v>
      </x:c>
      <x:c r="B319" s="339" t="str">
        <x:v>EP-014</x:v>
      </x:c>
      <x:c r="C319" s="339" t="str">
        <x:v>SCR-159</x:v>
      </x:c>
      <x:c r="D319" s="339" t="str">
        <x:v>Fees &amp; Finance</x:v>
      </x:c>
      <x:c r="E319" s="339" t="str">
        <x:v>Online Payment</x:v>
      </x:c>
      <x:c r="F319" s="339" t="str">
        <x:v>AC-01269, AC-01270, AC-01271, AC-01272</x:v>
      </x:c>
      <x:c r="G319" s="339" t="str">
        <x:v>BL-159</x:v>
      </x:c>
      <x:c r="H319" s="339" t="str">
        <x:v>BR-00475, BR-00476, BR-00477</x:v>
      </x:c>
      <x:c r="I319" s="339" t="str">
        <x:v>WF-159</x:v>
      </x:c>
      <x:c r="J319" s="339" t="str">
        <x:v>API-0159</x:v>
      </x:c>
      <x:c r="K319" s="339" t="str">
        <x:v>MVP</x:v>
      </x:c>
      <x:c r="L319" s="339" t="str">
        <x:v>Not Started</x:v>
      </x:c>
    </x:row>
    <x:row r="320">
      <x:c r="A320" s="339" t="str">
        <x:v>US-0319</x:v>
      </x:c>
      <x:c r="B320" s="339" t="str">
        <x:v>EP-014</x:v>
      </x:c>
      <x:c r="C320" s="339" t="str">
        <x:v>SCR-160</x:v>
      </x:c>
      <x:c r="D320" s="339" t="str">
        <x:v>Fees &amp; Finance</x:v>
      </x:c>
      <x:c r="E320" s="339" t="str">
        <x:v>Payment Receipt</x:v>
      </x:c>
      <x:c r="F320" s="339" t="str">
        <x:v>AC-01273, AC-01274, AC-01275, AC-01276</x:v>
      </x:c>
      <x:c r="G320" s="339" t="str">
        <x:v>BL-160</x:v>
      </x:c>
      <x:c r="H320" s="339" t="str">
        <x:v>BR-00478, BR-00479, BR-00480</x:v>
      </x:c>
      <x:c r="I320" s="339" t="str">
        <x:v>WF-160</x:v>
      </x:c>
      <x:c r="J320" s="339" t="str">
        <x:v>API-0160</x:v>
      </x:c>
      <x:c r="K320" s="339" t="str">
        <x:v>MVP</x:v>
      </x:c>
      <x:c r="L320" s="339" t="str">
        <x:v>Not Started</x:v>
      </x:c>
    </x:row>
    <x:row r="321">
      <x:c r="A321" s="339" t="str">
        <x:v>US-0320</x:v>
      </x:c>
      <x:c r="B321" s="339" t="str">
        <x:v>EP-014</x:v>
      </x:c>
      <x:c r="C321" s="339" t="str">
        <x:v>SCR-160</x:v>
      </x:c>
      <x:c r="D321" s="339" t="str">
        <x:v>Fees &amp; Finance</x:v>
      </x:c>
      <x:c r="E321" s="339" t="str">
        <x:v>Payment Receipt</x:v>
      </x:c>
      <x:c r="F321" s="339" t="str">
        <x:v>AC-01277, AC-01278, AC-01279, AC-01280</x:v>
      </x:c>
      <x:c r="G321" s="339" t="str">
        <x:v>BL-160</x:v>
      </x:c>
      <x:c r="H321" s="339" t="str">
        <x:v>BR-00478, BR-00479, BR-00480</x:v>
      </x:c>
      <x:c r="I321" s="339" t="str">
        <x:v>WF-160</x:v>
      </x:c>
      <x:c r="J321" s="339" t="str">
        <x:v>API-0160</x:v>
      </x:c>
      <x:c r="K321" s="339" t="str">
        <x:v>MVP</x:v>
      </x:c>
      <x:c r="L321" s="339" t="str">
        <x:v>Not Started</x:v>
      </x:c>
    </x:row>
    <x:row r="322">
      <x:c r="A322" s="339" t="str">
        <x:v>US-0321</x:v>
      </x:c>
      <x:c r="B322" s="339" t="str">
        <x:v>EP-014</x:v>
      </x:c>
      <x:c r="C322" s="339" t="str">
        <x:v>SCR-161</x:v>
      </x:c>
      <x:c r="D322" s="339" t="str">
        <x:v>Fees &amp; Finance</x:v>
      </x:c>
      <x:c r="E322" s="339" t="str">
        <x:v>Student Ledger</x:v>
      </x:c>
      <x:c r="F322" s="339" t="str">
        <x:v>AC-01281, AC-01282, AC-01283, AC-01284</x:v>
      </x:c>
      <x:c r="G322" s="339" t="str">
        <x:v>BL-161</x:v>
      </x:c>
      <x:c r="H322" s="339" t="str">
        <x:v>BR-00481, BR-00482, BR-00483</x:v>
      </x:c>
      <x:c r="I322" s="339" t="str">
        <x:v>WF-161</x:v>
      </x:c>
      <x:c r="J322" s="339" t="str">
        <x:v>API-0161</x:v>
      </x:c>
      <x:c r="K322" s="339" t="str">
        <x:v>MVP</x:v>
      </x:c>
      <x:c r="L322" s="339" t="str">
        <x:v>Not Started</x:v>
      </x:c>
    </x:row>
    <x:row r="323">
      <x:c r="A323" s="339" t="str">
        <x:v>US-0322</x:v>
      </x:c>
      <x:c r="B323" s="339" t="str">
        <x:v>EP-014</x:v>
      </x:c>
      <x:c r="C323" s="339" t="str">
        <x:v>SCR-161</x:v>
      </x:c>
      <x:c r="D323" s="339" t="str">
        <x:v>Fees &amp; Finance</x:v>
      </x:c>
      <x:c r="E323" s="339" t="str">
        <x:v>Student Ledger</x:v>
      </x:c>
      <x:c r="F323" s="339" t="str">
        <x:v>AC-01285, AC-01286, AC-01287, AC-01288</x:v>
      </x:c>
      <x:c r="G323" s="339" t="str">
        <x:v>BL-161</x:v>
      </x:c>
      <x:c r="H323" s="339" t="str">
        <x:v>BR-00481, BR-00482, BR-00483</x:v>
      </x:c>
      <x:c r="I323" s="339" t="str">
        <x:v>WF-161</x:v>
      </x:c>
      <x:c r="J323" s="339" t="str">
        <x:v>API-0161</x:v>
      </x:c>
      <x:c r="K323" s="339" t="str">
        <x:v>MVP</x:v>
      </x:c>
      <x:c r="L323" s="339" t="str">
        <x:v>Not Started</x:v>
      </x:c>
    </x:row>
    <x:row r="324">
      <x:c r="A324" s="339" t="str">
        <x:v>US-0323</x:v>
      </x:c>
      <x:c r="B324" s="339" t="str">
        <x:v>EP-014</x:v>
      </x:c>
      <x:c r="C324" s="339" t="str">
        <x:v>SCR-162</x:v>
      </x:c>
      <x:c r="D324" s="339" t="str">
        <x:v>Fees &amp; Finance</x:v>
      </x:c>
      <x:c r="E324" s="339" t="str">
        <x:v>Outstanding Dues</x:v>
      </x:c>
      <x:c r="F324" s="339" t="str">
        <x:v>AC-01289, AC-01290, AC-01291, AC-01292</x:v>
      </x:c>
      <x:c r="G324" s="339" t="str">
        <x:v>BL-162</x:v>
      </x:c>
      <x:c r="H324" s="339" t="str">
        <x:v>BR-00484, BR-00485, BR-00486</x:v>
      </x:c>
      <x:c r="I324" s="339" t="str">
        <x:v>WF-162</x:v>
      </x:c>
      <x:c r="J324" s="339" t="str">
        <x:v>API-0162</x:v>
      </x:c>
      <x:c r="K324" s="339" t="str">
        <x:v>Phase 2</x:v>
      </x:c>
      <x:c r="L324" s="339" t="str">
        <x:v>Not Started</x:v>
      </x:c>
    </x:row>
    <x:row r="325">
      <x:c r="A325" s="339" t="str">
        <x:v>US-0324</x:v>
      </x:c>
      <x:c r="B325" s="339" t="str">
        <x:v>EP-014</x:v>
      </x:c>
      <x:c r="C325" s="339" t="str">
        <x:v>SCR-162</x:v>
      </x:c>
      <x:c r="D325" s="339" t="str">
        <x:v>Fees &amp; Finance</x:v>
      </x:c>
      <x:c r="E325" s="339" t="str">
        <x:v>Outstanding Dues</x:v>
      </x:c>
      <x:c r="F325" s="339" t="str">
        <x:v>AC-01293, AC-01294, AC-01295, AC-01296</x:v>
      </x:c>
      <x:c r="G325" s="339" t="str">
        <x:v>BL-162</x:v>
      </x:c>
      <x:c r="H325" s="339" t="str">
        <x:v>BR-00484, BR-00485, BR-00486</x:v>
      </x:c>
      <x:c r="I325" s="339" t="str">
        <x:v>WF-162</x:v>
      </x:c>
      <x:c r="J325" s="339" t="str">
        <x:v>API-0162</x:v>
      </x:c>
      <x:c r="K325" s="339" t="str">
        <x:v>Phase 2</x:v>
      </x:c>
      <x:c r="L325" s="339" t="str">
        <x:v>Not Started</x:v>
      </x:c>
    </x:row>
    <x:row r="326">
      <x:c r="A326" s="339" t="str">
        <x:v>US-0325</x:v>
      </x:c>
      <x:c r="B326" s="339" t="str">
        <x:v>EP-014</x:v>
      </x:c>
      <x:c r="C326" s="339" t="str">
        <x:v>SCR-163</x:v>
      </x:c>
      <x:c r="D326" s="339" t="str">
        <x:v>Fees &amp; Finance</x:v>
      </x:c>
      <x:c r="E326" s="339" t="str">
        <x:v>Concession / Scholarship</x:v>
      </x:c>
      <x:c r="F326" s="339" t="str">
        <x:v>AC-01297, AC-01298, AC-01299, AC-01300</x:v>
      </x:c>
      <x:c r="G326" s="339" t="str">
        <x:v>BL-163</x:v>
      </x:c>
      <x:c r="H326" s="339" t="str">
        <x:v>BR-00487, BR-00488, BR-00489</x:v>
      </x:c>
      <x:c r="I326" s="339" t="str">
        <x:v>WF-163</x:v>
      </x:c>
      <x:c r="J326" s="339" t="str">
        <x:v>API-0163</x:v>
      </x:c>
      <x:c r="K326" s="339" t="str">
        <x:v>Phase 2</x:v>
      </x:c>
      <x:c r="L326" s="339" t="str">
        <x:v>Not Started</x:v>
      </x:c>
    </x:row>
    <x:row r="327">
      <x:c r="A327" s="339" t="str">
        <x:v>US-0326</x:v>
      </x:c>
      <x:c r="B327" s="339" t="str">
        <x:v>EP-014</x:v>
      </x:c>
      <x:c r="C327" s="339" t="str">
        <x:v>SCR-163</x:v>
      </x:c>
      <x:c r="D327" s="339" t="str">
        <x:v>Fees &amp; Finance</x:v>
      </x:c>
      <x:c r="E327" s="339" t="str">
        <x:v>Concession / Scholarship</x:v>
      </x:c>
      <x:c r="F327" s="339" t="str">
        <x:v>AC-01301, AC-01302, AC-01303, AC-01304</x:v>
      </x:c>
      <x:c r="G327" s="339" t="str">
        <x:v>BL-163</x:v>
      </x:c>
      <x:c r="H327" s="339" t="str">
        <x:v>BR-00487, BR-00488, BR-00489</x:v>
      </x:c>
      <x:c r="I327" s="339" t="str">
        <x:v>WF-163</x:v>
      </x:c>
      <x:c r="J327" s="339" t="str">
        <x:v>API-0163</x:v>
      </x:c>
      <x:c r="K327" s="339" t="str">
        <x:v>Phase 2</x:v>
      </x:c>
      <x:c r="L327" s="339" t="str">
        <x:v>Not Started</x:v>
      </x:c>
    </x:row>
    <x:row r="328">
      <x:c r="A328" s="339" t="str">
        <x:v>US-0327</x:v>
      </x:c>
      <x:c r="B328" s="339" t="str">
        <x:v>EP-014</x:v>
      </x:c>
      <x:c r="C328" s="339" t="str">
        <x:v>SCR-164</x:v>
      </x:c>
      <x:c r="D328" s="339" t="str">
        <x:v>Fees &amp; Finance</x:v>
      </x:c>
      <x:c r="E328" s="339" t="str">
        <x:v>Fine Rules</x:v>
      </x:c>
      <x:c r="F328" s="339" t="str">
        <x:v>AC-01305, AC-01306, AC-01307, AC-01308</x:v>
      </x:c>
      <x:c r="G328" s="339" t="str">
        <x:v>BL-164</x:v>
      </x:c>
      <x:c r="H328" s="339" t="str">
        <x:v>BR-00490, BR-00491, BR-00492</x:v>
      </x:c>
      <x:c r="I328" s="339" t="str">
        <x:v>WF-164</x:v>
      </x:c>
      <x:c r="J328" s="339" t="str">
        <x:v>API-0164</x:v>
      </x:c>
      <x:c r="K328" s="339" t="str">
        <x:v>Phase 2</x:v>
      </x:c>
      <x:c r="L328" s="339" t="str">
        <x:v>Not Started</x:v>
      </x:c>
    </x:row>
    <x:row r="329">
      <x:c r="A329" s="339" t="str">
        <x:v>US-0328</x:v>
      </x:c>
      <x:c r="B329" s="339" t="str">
        <x:v>EP-014</x:v>
      </x:c>
      <x:c r="C329" s="339" t="str">
        <x:v>SCR-164</x:v>
      </x:c>
      <x:c r="D329" s="339" t="str">
        <x:v>Fees &amp; Finance</x:v>
      </x:c>
      <x:c r="E329" s="339" t="str">
        <x:v>Fine Rules</x:v>
      </x:c>
      <x:c r="F329" s="339" t="str">
        <x:v>AC-01309, AC-01310, AC-01311, AC-01312</x:v>
      </x:c>
      <x:c r="G329" s="339" t="str">
        <x:v>BL-164</x:v>
      </x:c>
      <x:c r="H329" s="339" t="str">
        <x:v>BR-00490, BR-00491, BR-00492</x:v>
      </x:c>
      <x:c r="I329" s="339" t="str">
        <x:v>WF-164</x:v>
      </x:c>
      <x:c r="J329" s="339" t="str">
        <x:v>API-0164</x:v>
      </x:c>
      <x:c r="K329" s="339" t="str">
        <x:v>Phase 2</x:v>
      </x:c>
      <x:c r="L329" s="339" t="str">
        <x:v>Not Started</x:v>
      </x:c>
    </x:row>
    <x:row r="330">
      <x:c r="A330" s="339" t="str">
        <x:v>US-0329</x:v>
      </x:c>
      <x:c r="B330" s="339" t="str">
        <x:v>EP-014</x:v>
      </x:c>
      <x:c r="C330" s="339" t="str">
        <x:v>SCR-165</x:v>
      </x:c>
      <x:c r="D330" s="339" t="str">
        <x:v>Fees &amp; Finance</x:v>
      </x:c>
      <x:c r="E330" s="339" t="str">
        <x:v>Refunds</x:v>
      </x:c>
      <x:c r="F330" s="339" t="str">
        <x:v>AC-01313, AC-01314, AC-01315, AC-01316</x:v>
      </x:c>
      <x:c r="G330" s="339" t="str">
        <x:v>BL-165</x:v>
      </x:c>
      <x:c r="H330" s="339" t="str">
        <x:v>BR-00493, BR-00494, BR-00495</x:v>
      </x:c>
      <x:c r="I330" s="339" t="str">
        <x:v>WF-165</x:v>
      </x:c>
      <x:c r="J330" s="339" t="str">
        <x:v>API-0165</x:v>
      </x:c>
      <x:c r="K330" s="339" t="str">
        <x:v>Phase 2</x:v>
      </x:c>
      <x:c r="L330" s="339" t="str">
        <x:v>Not Started</x:v>
      </x:c>
    </x:row>
    <x:row r="331">
      <x:c r="A331" s="339" t="str">
        <x:v>US-0330</x:v>
      </x:c>
      <x:c r="B331" s="339" t="str">
        <x:v>EP-014</x:v>
      </x:c>
      <x:c r="C331" s="339" t="str">
        <x:v>SCR-165</x:v>
      </x:c>
      <x:c r="D331" s="339" t="str">
        <x:v>Fees &amp; Finance</x:v>
      </x:c>
      <x:c r="E331" s="339" t="str">
        <x:v>Refunds</x:v>
      </x:c>
      <x:c r="F331" s="339" t="str">
        <x:v>AC-01317, AC-01318, AC-01319, AC-01320</x:v>
      </x:c>
      <x:c r="G331" s="339" t="str">
        <x:v>BL-165</x:v>
      </x:c>
      <x:c r="H331" s="339" t="str">
        <x:v>BR-00493, BR-00494, BR-00495</x:v>
      </x:c>
      <x:c r="I331" s="339" t="str">
        <x:v>WF-165</x:v>
      </x:c>
      <x:c r="J331" s="339" t="str">
        <x:v>API-0165</x:v>
      </x:c>
      <x:c r="K331" s="339" t="str">
        <x:v>Phase 2</x:v>
      </x:c>
      <x:c r="L331" s="339" t="str">
        <x:v>Not Started</x:v>
      </x:c>
    </x:row>
    <x:row r="332">
      <x:c r="A332" s="339" t="str">
        <x:v>US-0331</x:v>
      </x:c>
      <x:c r="B332" s="339" t="str">
        <x:v>EP-014</x:v>
      </x:c>
      <x:c r="C332" s="339" t="str">
        <x:v>SCR-166</x:v>
      </x:c>
      <x:c r="D332" s="339" t="str">
        <x:v>Fees &amp; Finance</x:v>
      </x:c>
      <x:c r="E332" s="339" t="str">
        <x:v>Income</x:v>
      </x:c>
      <x:c r="F332" s="339" t="str">
        <x:v>AC-01321, AC-01322, AC-01323, AC-01324</x:v>
      </x:c>
      <x:c r="G332" s="339" t="str">
        <x:v>BL-166</x:v>
      </x:c>
      <x:c r="H332" s="339" t="str">
        <x:v>BR-00496, BR-00497, BR-00498</x:v>
      </x:c>
      <x:c r="I332" s="339" t="str">
        <x:v>WF-166</x:v>
      </x:c>
      <x:c r="J332" s="339" t="str">
        <x:v>API-0166</x:v>
      </x:c>
      <x:c r="K332" s="339" t="str">
        <x:v>Phase 3</x:v>
      </x:c>
      <x:c r="L332" s="339" t="str">
        <x:v>Not Started</x:v>
      </x:c>
    </x:row>
    <x:row r="333">
      <x:c r="A333" s="339" t="str">
        <x:v>US-0332</x:v>
      </x:c>
      <x:c r="B333" s="339" t="str">
        <x:v>EP-014</x:v>
      </x:c>
      <x:c r="C333" s="339" t="str">
        <x:v>SCR-166</x:v>
      </x:c>
      <x:c r="D333" s="339" t="str">
        <x:v>Fees &amp; Finance</x:v>
      </x:c>
      <x:c r="E333" s="339" t="str">
        <x:v>Income</x:v>
      </x:c>
      <x:c r="F333" s="339" t="str">
        <x:v>AC-01325, AC-01326, AC-01327, AC-01328</x:v>
      </x:c>
      <x:c r="G333" s="339" t="str">
        <x:v>BL-166</x:v>
      </x:c>
      <x:c r="H333" s="339" t="str">
        <x:v>BR-00496, BR-00497, BR-00498</x:v>
      </x:c>
      <x:c r="I333" s="339" t="str">
        <x:v>WF-166</x:v>
      </x:c>
      <x:c r="J333" s="339" t="str">
        <x:v>API-0166</x:v>
      </x:c>
      <x:c r="K333" s="339" t="str">
        <x:v>Phase 3</x:v>
      </x:c>
      <x:c r="L333" s="339" t="str">
        <x:v>Not Started</x:v>
      </x:c>
    </x:row>
    <x:row r="334">
      <x:c r="A334" s="339" t="str">
        <x:v>US-0333</x:v>
      </x:c>
      <x:c r="B334" s="339" t="str">
        <x:v>EP-014</x:v>
      </x:c>
      <x:c r="C334" s="339" t="str">
        <x:v>SCR-167</x:v>
      </x:c>
      <x:c r="D334" s="339" t="str">
        <x:v>Fees &amp; Finance</x:v>
      </x:c>
      <x:c r="E334" s="339" t="str">
        <x:v>Expenses</x:v>
      </x:c>
      <x:c r="F334" s="339" t="str">
        <x:v>AC-01329, AC-01330, AC-01331, AC-01332</x:v>
      </x:c>
      <x:c r="G334" s="339" t="str">
        <x:v>BL-167</x:v>
      </x:c>
      <x:c r="H334" s="339" t="str">
        <x:v>BR-00499, BR-00500, BR-00501</x:v>
      </x:c>
      <x:c r="I334" s="339" t="str">
        <x:v>WF-167</x:v>
      </x:c>
      <x:c r="J334" s="339" t="str">
        <x:v>API-0167</x:v>
      </x:c>
      <x:c r="K334" s="339" t="str">
        <x:v>Phase 3</x:v>
      </x:c>
      <x:c r="L334" s="339" t="str">
        <x:v>Not Started</x:v>
      </x:c>
    </x:row>
    <x:row r="335">
      <x:c r="A335" s="339" t="str">
        <x:v>US-0334</x:v>
      </x:c>
      <x:c r="B335" s="339" t="str">
        <x:v>EP-014</x:v>
      </x:c>
      <x:c r="C335" s="339" t="str">
        <x:v>SCR-167</x:v>
      </x:c>
      <x:c r="D335" s="339" t="str">
        <x:v>Fees &amp; Finance</x:v>
      </x:c>
      <x:c r="E335" s="339" t="str">
        <x:v>Expenses</x:v>
      </x:c>
      <x:c r="F335" s="339" t="str">
        <x:v>AC-01333, AC-01334, AC-01335, AC-01336</x:v>
      </x:c>
      <x:c r="G335" s="339" t="str">
        <x:v>BL-167</x:v>
      </x:c>
      <x:c r="H335" s="339" t="str">
        <x:v>BR-00499, BR-00500, BR-00501</x:v>
      </x:c>
      <x:c r="I335" s="339" t="str">
        <x:v>WF-167</x:v>
      </x:c>
      <x:c r="J335" s="339" t="str">
        <x:v>API-0167</x:v>
      </x:c>
      <x:c r="K335" s="339" t="str">
        <x:v>Phase 3</x:v>
      </x:c>
      <x:c r="L335" s="339" t="str">
        <x:v>Not Started</x:v>
      </x:c>
    </x:row>
    <x:row r="336">
      <x:c r="A336" s="339" t="str">
        <x:v>US-0335</x:v>
      </x:c>
      <x:c r="B336" s="339" t="str">
        <x:v>EP-014</x:v>
      </x:c>
      <x:c r="C336" s="339" t="str">
        <x:v>SCR-168</x:v>
      </x:c>
      <x:c r="D336" s="339" t="str">
        <x:v>Fees &amp; Finance</x:v>
      </x:c>
      <x:c r="E336" s="339" t="str">
        <x:v>Vendor Management</x:v>
      </x:c>
      <x:c r="F336" s="339" t="str">
        <x:v>AC-01337, AC-01338, AC-01339, AC-01340</x:v>
      </x:c>
      <x:c r="G336" s="339" t="str">
        <x:v>BL-168</x:v>
      </x:c>
      <x:c r="H336" s="339" t="str">
        <x:v>BR-00502, BR-00503, BR-00504</x:v>
      </x:c>
      <x:c r="I336" s="339" t="str">
        <x:v>WF-168</x:v>
      </x:c>
      <x:c r="J336" s="339" t="str">
        <x:v>API-0168</x:v>
      </x:c>
      <x:c r="K336" s="339" t="str">
        <x:v>Phase 3</x:v>
      </x:c>
      <x:c r="L336" s="339" t="str">
        <x:v>Not Started</x:v>
      </x:c>
    </x:row>
    <x:row r="337">
      <x:c r="A337" s="339" t="str">
        <x:v>US-0336</x:v>
      </x:c>
      <x:c r="B337" s="339" t="str">
        <x:v>EP-014</x:v>
      </x:c>
      <x:c r="C337" s="339" t="str">
        <x:v>SCR-168</x:v>
      </x:c>
      <x:c r="D337" s="339" t="str">
        <x:v>Fees &amp; Finance</x:v>
      </x:c>
      <x:c r="E337" s="339" t="str">
        <x:v>Vendor Management</x:v>
      </x:c>
      <x:c r="F337" s="339" t="str">
        <x:v>AC-01341, AC-01342, AC-01343, AC-01344</x:v>
      </x:c>
      <x:c r="G337" s="339" t="str">
        <x:v>BL-168</x:v>
      </x:c>
      <x:c r="H337" s="339" t="str">
        <x:v>BR-00502, BR-00503, BR-00504</x:v>
      </x:c>
      <x:c r="I337" s="339" t="str">
        <x:v>WF-168</x:v>
      </x:c>
      <x:c r="J337" s="339" t="str">
        <x:v>API-0168</x:v>
      </x:c>
      <x:c r="K337" s="339" t="str">
        <x:v>Phase 3</x:v>
      </x:c>
      <x:c r="L337" s="339" t="str">
        <x:v>Not Started</x:v>
      </x:c>
    </x:row>
    <x:row r="338">
      <x:c r="A338" s="339" t="str">
        <x:v>US-0337</x:v>
      </x:c>
      <x:c r="B338" s="339" t="str">
        <x:v>EP-014</x:v>
      </x:c>
      <x:c r="C338" s="339" t="str">
        <x:v>SCR-169</x:v>
      </x:c>
      <x:c r="D338" s="339" t="str">
        <x:v>Fees &amp; Finance</x:v>
      </x:c>
      <x:c r="E338" s="339" t="str">
        <x:v>Purchase / Payment</x:v>
      </x:c>
      <x:c r="F338" s="339" t="str">
        <x:v>AC-01345, AC-01346, AC-01347, AC-01348</x:v>
      </x:c>
      <x:c r="G338" s="339" t="str">
        <x:v>BL-169</x:v>
      </x:c>
      <x:c r="H338" s="339" t="str">
        <x:v>BR-00505, BR-00506, BR-00507</x:v>
      </x:c>
      <x:c r="I338" s="339" t="str">
        <x:v>WF-169</x:v>
      </x:c>
      <x:c r="J338" s="339" t="str">
        <x:v>API-0169</x:v>
      </x:c>
      <x:c r="K338" s="339" t="str">
        <x:v>Phase 3</x:v>
      </x:c>
      <x:c r="L338" s="339" t="str">
        <x:v>Not Started</x:v>
      </x:c>
    </x:row>
    <x:row r="339">
      <x:c r="A339" s="339" t="str">
        <x:v>US-0338</x:v>
      </x:c>
      <x:c r="B339" s="339" t="str">
        <x:v>EP-014</x:v>
      </x:c>
      <x:c r="C339" s="339" t="str">
        <x:v>SCR-169</x:v>
      </x:c>
      <x:c r="D339" s="339" t="str">
        <x:v>Fees &amp; Finance</x:v>
      </x:c>
      <x:c r="E339" s="339" t="str">
        <x:v>Purchase / Payment</x:v>
      </x:c>
      <x:c r="F339" s="339" t="str">
        <x:v>AC-01349, AC-01350, AC-01351, AC-01352</x:v>
      </x:c>
      <x:c r="G339" s="339" t="str">
        <x:v>BL-169</x:v>
      </x:c>
      <x:c r="H339" s="339" t="str">
        <x:v>BR-00505, BR-00506, BR-00507</x:v>
      </x:c>
      <x:c r="I339" s="339" t="str">
        <x:v>WF-169</x:v>
      </x:c>
      <x:c r="J339" s="339" t="str">
        <x:v>API-0169</x:v>
      </x:c>
      <x:c r="K339" s="339" t="str">
        <x:v>Phase 3</x:v>
      </x:c>
      <x:c r="L339" s="339" t="str">
        <x:v>Not Started</x:v>
      </x:c>
    </x:row>
    <x:row r="340">
      <x:c r="A340" s="339" t="str">
        <x:v>US-0339</x:v>
      </x:c>
      <x:c r="B340" s="339" t="str">
        <x:v>EP-014</x:v>
      </x:c>
      <x:c r="C340" s="339" t="str">
        <x:v>SCR-170</x:v>
      </x:c>
      <x:c r="D340" s="339" t="str">
        <x:v>Fees &amp; Finance</x:v>
      </x:c>
      <x:c r="E340" s="339" t="str">
        <x:v>Cash &amp; Bank Book</x:v>
      </x:c>
      <x:c r="F340" s="339" t="str">
        <x:v>AC-01353, AC-01354, AC-01355, AC-01356</x:v>
      </x:c>
      <x:c r="G340" s="339" t="str">
        <x:v>BL-170</x:v>
      </x:c>
      <x:c r="H340" s="339" t="str">
        <x:v>BR-00508, BR-00509, BR-00510</x:v>
      </x:c>
      <x:c r="I340" s="339" t="str">
        <x:v>WF-170</x:v>
      </x:c>
      <x:c r="J340" s="339" t="str">
        <x:v>API-0170</x:v>
      </x:c>
      <x:c r="K340" s="339" t="str">
        <x:v>Phase 3</x:v>
      </x:c>
      <x:c r="L340" s="339" t="str">
        <x:v>Not Started</x:v>
      </x:c>
    </x:row>
    <x:row r="341">
      <x:c r="A341" s="339" t="str">
        <x:v>US-0340</x:v>
      </x:c>
      <x:c r="B341" s="339" t="str">
        <x:v>EP-014</x:v>
      </x:c>
      <x:c r="C341" s="339" t="str">
        <x:v>SCR-170</x:v>
      </x:c>
      <x:c r="D341" s="339" t="str">
        <x:v>Fees &amp; Finance</x:v>
      </x:c>
      <x:c r="E341" s="339" t="str">
        <x:v>Cash &amp; Bank Book</x:v>
      </x:c>
      <x:c r="F341" s="339" t="str">
        <x:v>AC-01357, AC-01358, AC-01359, AC-01360</x:v>
      </x:c>
      <x:c r="G341" s="339" t="str">
        <x:v>BL-170</x:v>
      </x:c>
      <x:c r="H341" s="339" t="str">
        <x:v>BR-00508, BR-00509, BR-00510</x:v>
      </x:c>
      <x:c r="I341" s="339" t="str">
        <x:v>WF-170</x:v>
      </x:c>
      <x:c r="J341" s="339" t="str">
        <x:v>API-0170</x:v>
      </x:c>
      <x:c r="K341" s="339" t="str">
        <x:v>Phase 3</x:v>
      </x:c>
      <x:c r="L341" s="339" t="str">
        <x:v>Not Started</x:v>
      </x:c>
    </x:row>
    <x:row r="342">
      <x:c r="A342" s="339" t="str">
        <x:v>US-0341</x:v>
      </x:c>
      <x:c r="B342" s="339" t="str">
        <x:v>EP-014</x:v>
      </x:c>
      <x:c r="C342" s="339" t="str">
        <x:v>SCR-171</x:v>
      </x:c>
      <x:c r="D342" s="339" t="str">
        <x:v>Fees &amp; Finance</x:v>
      </x:c>
      <x:c r="E342" s="339" t="str">
        <x:v>Finance Reports</x:v>
      </x:c>
      <x:c r="F342" s="339" t="str">
        <x:v>AC-01361, AC-01362, AC-01363, AC-01364</x:v>
      </x:c>
      <x:c r="G342" s="339" t="str">
        <x:v>BL-171</x:v>
      </x:c>
      <x:c r="H342" s="339" t="str">
        <x:v>BR-00511, BR-00512, BR-00513</x:v>
      </x:c>
      <x:c r="I342" s="339" t="str">
        <x:v>WF-171</x:v>
      </x:c>
      <x:c r="J342" s="339" t="str">
        <x:v>API-0171</x:v>
      </x:c>
      <x:c r="K342" s="339" t="str">
        <x:v>Phase 3</x:v>
      </x:c>
      <x:c r="L342" s="339" t="str">
        <x:v>Not Started</x:v>
      </x:c>
    </x:row>
    <x:row r="343">
      <x:c r="A343" s="339" t="str">
        <x:v>US-0342</x:v>
      </x:c>
      <x:c r="B343" s="339" t="str">
        <x:v>EP-014</x:v>
      </x:c>
      <x:c r="C343" s="339" t="str">
        <x:v>SCR-171</x:v>
      </x:c>
      <x:c r="D343" s="339" t="str">
        <x:v>Fees &amp; Finance</x:v>
      </x:c>
      <x:c r="E343" s="339" t="str">
        <x:v>Finance Reports</x:v>
      </x:c>
      <x:c r="F343" s="339" t="str">
        <x:v>AC-01365, AC-01366, AC-01367, AC-01368</x:v>
      </x:c>
      <x:c r="G343" s="339" t="str">
        <x:v>BL-171</x:v>
      </x:c>
      <x:c r="H343" s="339" t="str">
        <x:v>BR-00511, BR-00512, BR-00513</x:v>
      </x:c>
      <x:c r="I343" s="339" t="str">
        <x:v>WF-171</x:v>
      </x:c>
      <x:c r="J343" s="339" t="str">
        <x:v>API-0171</x:v>
      </x:c>
      <x:c r="K343" s="339" t="str">
        <x:v>Phase 3</x:v>
      </x:c>
      <x:c r="L343" s="339" t="str">
        <x:v>Not Started</x:v>
      </x:c>
    </x:row>
    <x:row r="344">
      <x:c r="A344" s="339" t="str">
        <x:v>US-0343</x:v>
      </x:c>
      <x:c r="B344" s="339" t="str">
        <x:v>EP-015</x:v>
      </x:c>
      <x:c r="C344" s="339" t="str">
        <x:v>SCR-172</x:v>
      </x:c>
      <x:c r="D344" s="339" t="str">
        <x:v>HR / Leave / Payroll</x:v>
      </x:c>
      <x:c r="E344" s="339" t="str">
        <x:v>Recruitment Requisitions</x:v>
      </x:c>
      <x:c r="F344" s="339" t="str">
        <x:v>AC-01369, AC-01370, AC-01371, AC-01372</x:v>
      </x:c>
      <x:c r="G344" s="339" t="str">
        <x:v>BL-172</x:v>
      </x:c>
      <x:c r="H344" s="339" t="str">
        <x:v>BR-00514, BR-00515, BR-00516</x:v>
      </x:c>
      <x:c r="I344" s="339" t="str">
        <x:v>WF-172</x:v>
      </x:c>
      <x:c r="J344" s="339" t="str">
        <x:v>API-0172</x:v>
      </x:c>
      <x:c r="K344" s="339" t="str">
        <x:v>Phase 2</x:v>
      </x:c>
      <x:c r="L344" s="339" t="str">
        <x:v>Not Started</x:v>
      </x:c>
    </x:row>
    <x:row r="345">
      <x:c r="A345" s="339" t="str">
        <x:v>US-0344</x:v>
      </x:c>
      <x:c r="B345" s="339" t="str">
        <x:v>EP-015</x:v>
      </x:c>
      <x:c r="C345" s="339" t="str">
        <x:v>SCR-172</x:v>
      </x:c>
      <x:c r="D345" s="339" t="str">
        <x:v>HR / Leave / Payroll</x:v>
      </x:c>
      <x:c r="E345" s="339" t="str">
        <x:v>Recruitment Requisitions</x:v>
      </x:c>
      <x:c r="F345" s="339" t="str">
        <x:v>AC-01373, AC-01374, AC-01375, AC-01376</x:v>
      </x:c>
      <x:c r="G345" s="339" t="str">
        <x:v>BL-172</x:v>
      </x:c>
      <x:c r="H345" s="339" t="str">
        <x:v>BR-00514, BR-00515, BR-00516</x:v>
      </x:c>
      <x:c r="I345" s="339" t="str">
        <x:v>WF-172</x:v>
      </x:c>
      <x:c r="J345" s="339" t="str">
        <x:v>API-0172</x:v>
      </x:c>
      <x:c r="K345" s="339" t="str">
        <x:v>Phase 2</x:v>
      </x:c>
      <x:c r="L345" s="339" t="str">
        <x:v>Not Started</x:v>
      </x:c>
    </x:row>
    <x:row r="346">
      <x:c r="A346" s="339" t="str">
        <x:v>US-0345</x:v>
      </x:c>
      <x:c r="B346" s="339" t="str">
        <x:v>EP-015</x:v>
      </x:c>
      <x:c r="C346" s="339" t="str">
        <x:v>SCR-173</x:v>
      </x:c>
      <x:c r="D346" s="339" t="str">
        <x:v>HR / Leave / Payroll</x:v>
      </x:c>
      <x:c r="E346" s="339" t="str">
        <x:v>Job Openings</x:v>
      </x:c>
      <x:c r="F346" s="339" t="str">
        <x:v>AC-01377, AC-01378, AC-01379, AC-01380</x:v>
      </x:c>
      <x:c r="G346" s="339" t="str">
        <x:v>BL-173</x:v>
      </x:c>
      <x:c r="H346" s="339" t="str">
        <x:v>BR-00517, BR-00518, BR-00519</x:v>
      </x:c>
      <x:c r="I346" s="339" t="str">
        <x:v>WF-173</x:v>
      </x:c>
      <x:c r="J346" s="339" t="str">
        <x:v>API-0173</x:v>
      </x:c>
      <x:c r="K346" s="339" t="str">
        <x:v>Phase 2</x:v>
      </x:c>
      <x:c r="L346" s="339" t="str">
        <x:v>Not Started</x:v>
      </x:c>
    </x:row>
    <x:row r="347">
      <x:c r="A347" s="339" t="str">
        <x:v>US-0346</x:v>
      </x:c>
      <x:c r="B347" s="339" t="str">
        <x:v>EP-015</x:v>
      </x:c>
      <x:c r="C347" s="339" t="str">
        <x:v>SCR-173</x:v>
      </x:c>
      <x:c r="D347" s="339" t="str">
        <x:v>HR / Leave / Payroll</x:v>
      </x:c>
      <x:c r="E347" s="339" t="str">
        <x:v>Job Openings</x:v>
      </x:c>
      <x:c r="F347" s="339" t="str">
        <x:v>AC-01381, AC-01382, AC-01383, AC-01384</x:v>
      </x:c>
      <x:c r="G347" s="339" t="str">
        <x:v>BL-173</x:v>
      </x:c>
      <x:c r="H347" s="339" t="str">
        <x:v>BR-00517, BR-00518, BR-00519</x:v>
      </x:c>
      <x:c r="I347" s="339" t="str">
        <x:v>WF-173</x:v>
      </x:c>
      <x:c r="J347" s="339" t="str">
        <x:v>API-0173</x:v>
      </x:c>
      <x:c r="K347" s="339" t="str">
        <x:v>Phase 2</x:v>
      </x:c>
      <x:c r="L347" s="339" t="str">
        <x:v>Not Started</x:v>
      </x:c>
    </x:row>
    <x:row r="348">
      <x:c r="A348" s="339" t="str">
        <x:v>US-0347</x:v>
      </x:c>
      <x:c r="B348" s="339" t="str">
        <x:v>EP-015</x:v>
      </x:c>
      <x:c r="C348" s="339" t="str">
        <x:v>SCR-174</x:v>
      </x:c>
      <x:c r="D348" s="339" t="str">
        <x:v>HR / Leave / Payroll</x:v>
      </x:c>
      <x:c r="E348" s="339" t="str">
        <x:v>Candidate Applications</x:v>
      </x:c>
      <x:c r="F348" s="339" t="str">
        <x:v>AC-01385, AC-01386, AC-01387, AC-01388</x:v>
      </x:c>
      <x:c r="G348" s="339" t="str">
        <x:v>BL-174</x:v>
      </x:c>
      <x:c r="H348" s="339" t="str">
        <x:v>BR-00520, BR-00521, BR-00522</x:v>
      </x:c>
      <x:c r="I348" s="339" t="str">
        <x:v>WF-174</x:v>
      </x:c>
      <x:c r="J348" s="339" t="str">
        <x:v>API-0174</x:v>
      </x:c>
      <x:c r="K348" s="339" t="str">
        <x:v>Phase 2</x:v>
      </x:c>
      <x:c r="L348" s="339" t="str">
        <x:v>Not Started</x:v>
      </x:c>
    </x:row>
    <x:row r="349">
      <x:c r="A349" s="339" t="str">
        <x:v>US-0348</x:v>
      </x:c>
      <x:c r="B349" s="339" t="str">
        <x:v>EP-015</x:v>
      </x:c>
      <x:c r="C349" s="339" t="str">
        <x:v>SCR-174</x:v>
      </x:c>
      <x:c r="D349" s="339" t="str">
        <x:v>HR / Leave / Payroll</x:v>
      </x:c>
      <x:c r="E349" s="339" t="str">
        <x:v>Candidate Applications</x:v>
      </x:c>
      <x:c r="F349" s="339" t="str">
        <x:v>AC-01389, AC-01390, AC-01391, AC-01392</x:v>
      </x:c>
      <x:c r="G349" s="339" t="str">
        <x:v>BL-174</x:v>
      </x:c>
      <x:c r="H349" s="339" t="str">
        <x:v>BR-00520, BR-00521, BR-00522</x:v>
      </x:c>
      <x:c r="I349" s="339" t="str">
        <x:v>WF-174</x:v>
      </x:c>
      <x:c r="J349" s="339" t="str">
        <x:v>API-0174</x:v>
      </x:c>
      <x:c r="K349" s="339" t="str">
        <x:v>Phase 2</x:v>
      </x:c>
      <x:c r="L349" s="339" t="str">
        <x:v>Not Started</x:v>
      </x:c>
    </x:row>
    <x:row r="350">
      <x:c r="A350" s="339" t="str">
        <x:v>US-0349</x:v>
      </x:c>
      <x:c r="B350" s="339" t="str">
        <x:v>EP-015</x:v>
      </x:c>
      <x:c r="C350" s="339" t="str">
        <x:v>SCR-175</x:v>
      </x:c>
      <x:c r="D350" s="339" t="str">
        <x:v>HR / Leave / Payroll</x:v>
      </x:c>
      <x:c r="E350" s="339" t="str">
        <x:v>Candidate Details</x:v>
      </x:c>
      <x:c r="F350" s="339" t="str">
        <x:v>AC-01393, AC-01394, AC-01395, AC-01396</x:v>
      </x:c>
      <x:c r="G350" s="339" t="str">
        <x:v>BL-175</x:v>
      </x:c>
      <x:c r="H350" s="339" t="str">
        <x:v>BR-00523, BR-00524, BR-00525</x:v>
      </x:c>
      <x:c r="I350" s="339" t="str">
        <x:v>WF-175</x:v>
      </x:c>
      <x:c r="J350" s="339" t="str">
        <x:v>API-0175</x:v>
      </x:c>
      <x:c r="K350" s="339" t="str">
        <x:v>Phase 2</x:v>
      </x:c>
      <x:c r="L350" s="339" t="str">
        <x:v>Not Started</x:v>
      </x:c>
    </x:row>
    <x:row r="351">
      <x:c r="A351" s="339" t="str">
        <x:v>US-0350</x:v>
      </x:c>
      <x:c r="B351" s="339" t="str">
        <x:v>EP-015</x:v>
      </x:c>
      <x:c r="C351" s="339" t="str">
        <x:v>SCR-175</x:v>
      </x:c>
      <x:c r="D351" s="339" t="str">
        <x:v>HR / Leave / Payroll</x:v>
      </x:c>
      <x:c r="E351" s="339" t="str">
        <x:v>Candidate Details</x:v>
      </x:c>
      <x:c r="F351" s="339" t="str">
        <x:v>AC-01397, AC-01398, AC-01399, AC-01400</x:v>
      </x:c>
      <x:c r="G351" s="339" t="str">
        <x:v>BL-175</x:v>
      </x:c>
      <x:c r="H351" s="339" t="str">
        <x:v>BR-00523, BR-00524, BR-00525</x:v>
      </x:c>
      <x:c r="I351" s="339" t="str">
        <x:v>WF-175</x:v>
      </x:c>
      <x:c r="J351" s="339" t="str">
        <x:v>API-0175</x:v>
      </x:c>
      <x:c r="K351" s="339" t="str">
        <x:v>Phase 2</x:v>
      </x:c>
      <x:c r="L351" s="339" t="str">
        <x:v>Not Started</x:v>
      </x:c>
    </x:row>
    <x:row r="352">
      <x:c r="A352" s="339" t="str">
        <x:v>US-0351</x:v>
      </x:c>
      <x:c r="B352" s="339" t="str">
        <x:v>EP-015</x:v>
      </x:c>
      <x:c r="C352" s="339" t="str">
        <x:v>SCR-176</x:v>
      </x:c>
      <x:c r="D352" s="339" t="str">
        <x:v>HR / Leave / Payroll</x:v>
      </x:c>
      <x:c r="E352" s="339" t="str">
        <x:v>Interview Schedule</x:v>
      </x:c>
      <x:c r="F352" s="339" t="str">
        <x:v>AC-01401, AC-01402, AC-01403, AC-01404</x:v>
      </x:c>
      <x:c r="G352" s="339" t="str">
        <x:v>BL-176</x:v>
      </x:c>
      <x:c r="H352" s="339" t="str">
        <x:v>BR-00526, BR-00527, BR-00528</x:v>
      </x:c>
      <x:c r="I352" s="339" t="str">
        <x:v>WF-176</x:v>
      </x:c>
      <x:c r="J352" s="339" t="str">
        <x:v>API-0176</x:v>
      </x:c>
      <x:c r="K352" s="339" t="str">
        <x:v>Phase 2</x:v>
      </x:c>
      <x:c r="L352" s="339" t="str">
        <x:v>Not Started</x:v>
      </x:c>
    </x:row>
    <x:row r="353">
      <x:c r="A353" s="339" t="str">
        <x:v>US-0352</x:v>
      </x:c>
      <x:c r="B353" s="339" t="str">
        <x:v>EP-015</x:v>
      </x:c>
      <x:c r="C353" s="339" t="str">
        <x:v>SCR-176</x:v>
      </x:c>
      <x:c r="D353" s="339" t="str">
        <x:v>HR / Leave / Payroll</x:v>
      </x:c>
      <x:c r="E353" s="339" t="str">
        <x:v>Interview Schedule</x:v>
      </x:c>
      <x:c r="F353" s="339" t="str">
        <x:v>AC-01405, AC-01406, AC-01407, AC-01408</x:v>
      </x:c>
      <x:c r="G353" s="339" t="str">
        <x:v>BL-176</x:v>
      </x:c>
      <x:c r="H353" s="339" t="str">
        <x:v>BR-00526, BR-00527, BR-00528</x:v>
      </x:c>
      <x:c r="I353" s="339" t="str">
        <x:v>WF-176</x:v>
      </x:c>
      <x:c r="J353" s="339" t="str">
        <x:v>API-0176</x:v>
      </x:c>
      <x:c r="K353" s="339" t="str">
        <x:v>Phase 2</x:v>
      </x:c>
      <x:c r="L353" s="339" t="str">
        <x:v>Not Started</x:v>
      </x:c>
    </x:row>
    <x:row r="354">
      <x:c r="A354" s="339" t="str">
        <x:v>US-0353</x:v>
      </x:c>
      <x:c r="B354" s="339" t="str">
        <x:v>EP-015</x:v>
      </x:c>
      <x:c r="C354" s="339" t="str">
        <x:v>SCR-177</x:v>
      </x:c>
      <x:c r="D354" s="339" t="str">
        <x:v>HR / Leave / Payroll</x:v>
      </x:c>
      <x:c r="E354" s="339" t="str">
        <x:v>Offer &amp; Appointment</x:v>
      </x:c>
      <x:c r="F354" s="339" t="str">
        <x:v>AC-01409, AC-01410, AC-01411, AC-01412</x:v>
      </x:c>
      <x:c r="G354" s="339" t="str">
        <x:v>BL-177</x:v>
      </x:c>
      <x:c r="H354" s="339" t="str">
        <x:v>BR-00529, BR-00530, BR-00531</x:v>
      </x:c>
      <x:c r="I354" s="339" t="str">
        <x:v>WF-177</x:v>
      </x:c>
      <x:c r="J354" s="339" t="str">
        <x:v>API-0177</x:v>
      </x:c>
      <x:c r="K354" s="339" t="str">
        <x:v>Phase 2</x:v>
      </x:c>
      <x:c r="L354" s="339" t="str">
        <x:v>Not Started</x:v>
      </x:c>
    </x:row>
    <x:row r="355">
      <x:c r="A355" s="339" t="str">
        <x:v>US-0354</x:v>
      </x:c>
      <x:c r="B355" s="339" t="str">
        <x:v>EP-015</x:v>
      </x:c>
      <x:c r="C355" s="339" t="str">
        <x:v>SCR-177</x:v>
      </x:c>
      <x:c r="D355" s="339" t="str">
        <x:v>HR / Leave / Payroll</x:v>
      </x:c>
      <x:c r="E355" s="339" t="str">
        <x:v>Offer &amp; Appointment</x:v>
      </x:c>
      <x:c r="F355" s="339" t="str">
        <x:v>AC-01413, AC-01414, AC-01415, AC-01416</x:v>
      </x:c>
      <x:c r="G355" s="339" t="str">
        <x:v>BL-177</x:v>
      </x:c>
      <x:c r="H355" s="339" t="str">
        <x:v>BR-00529, BR-00530, BR-00531</x:v>
      </x:c>
      <x:c r="I355" s="339" t="str">
        <x:v>WF-177</x:v>
      </x:c>
      <x:c r="J355" s="339" t="str">
        <x:v>API-0177</x:v>
      </x:c>
      <x:c r="K355" s="339" t="str">
        <x:v>Phase 2</x:v>
      </x:c>
      <x:c r="L355" s="339" t="str">
        <x:v>Not Started</x:v>
      </x:c>
    </x:row>
    <x:row r="356">
      <x:c r="A356" s="339" t="str">
        <x:v>US-0355</x:v>
      </x:c>
      <x:c r="B356" s="339" t="str">
        <x:v>EP-015</x:v>
      </x:c>
      <x:c r="C356" s="339" t="str">
        <x:v>SCR-178</x:v>
      </x:c>
      <x:c r="D356" s="339" t="str">
        <x:v>HR / Leave / Payroll</x:v>
      </x:c>
      <x:c r="E356" s="339" t="str">
        <x:v>Employee Onboarding Checklist</x:v>
      </x:c>
      <x:c r="F356" s="339" t="str">
        <x:v>AC-01417, AC-01418, AC-01419, AC-01420</x:v>
      </x:c>
      <x:c r="G356" s="339" t="str">
        <x:v>BL-178</x:v>
      </x:c>
      <x:c r="H356" s="339" t="str">
        <x:v>BR-00532, BR-00533, BR-00534</x:v>
      </x:c>
      <x:c r="I356" s="339" t="str">
        <x:v>WF-178</x:v>
      </x:c>
      <x:c r="J356" s="339" t="str">
        <x:v>API-0178</x:v>
      </x:c>
      <x:c r="K356" s="339" t="str">
        <x:v>Phase 2</x:v>
      </x:c>
      <x:c r="L356" s="339" t="str">
        <x:v>Not Started</x:v>
      </x:c>
    </x:row>
    <x:row r="357">
      <x:c r="A357" s="339" t="str">
        <x:v>US-0356</x:v>
      </x:c>
      <x:c r="B357" s="339" t="str">
        <x:v>EP-015</x:v>
      </x:c>
      <x:c r="C357" s="339" t="str">
        <x:v>SCR-178</x:v>
      </x:c>
      <x:c r="D357" s="339" t="str">
        <x:v>HR / Leave / Payroll</x:v>
      </x:c>
      <x:c r="E357" s="339" t="str">
        <x:v>Employee Onboarding Checklist</x:v>
      </x:c>
      <x:c r="F357" s="339" t="str">
        <x:v>AC-01421, AC-01422, AC-01423, AC-01424</x:v>
      </x:c>
      <x:c r="G357" s="339" t="str">
        <x:v>BL-178</x:v>
      </x:c>
      <x:c r="H357" s="339" t="str">
        <x:v>BR-00532, BR-00533, BR-00534</x:v>
      </x:c>
      <x:c r="I357" s="339" t="str">
        <x:v>WF-178</x:v>
      </x:c>
      <x:c r="J357" s="339" t="str">
        <x:v>API-0178</x:v>
      </x:c>
      <x:c r="K357" s="339" t="str">
        <x:v>Phase 2</x:v>
      </x:c>
      <x:c r="L357" s="339" t="str">
        <x:v>Not Started</x:v>
      </x:c>
    </x:row>
    <x:row r="358">
      <x:c r="A358" s="339" t="str">
        <x:v>US-0357</x:v>
      </x:c>
      <x:c r="B358" s="339" t="str">
        <x:v>EP-015</x:v>
      </x:c>
      <x:c r="C358" s="339" t="str">
        <x:v>SCR-179</x:v>
      </x:c>
      <x:c r="D358" s="339" t="str">
        <x:v>HR / Leave / Payroll</x:v>
      </x:c>
      <x:c r="E358" s="339" t="str">
        <x:v>Staff Attendance Management</x:v>
      </x:c>
      <x:c r="F358" s="339" t="str">
        <x:v>AC-01425, AC-01426, AC-01427, AC-01428</x:v>
      </x:c>
      <x:c r="G358" s="339" t="str">
        <x:v>BL-179</x:v>
      </x:c>
      <x:c r="H358" s="339" t="str">
        <x:v>BR-00535, BR-00536, BR-00537</x:v>
      </x:c>
      <x:c r="I358" s="339" t="str">
        <x:v>WF-179</x:v>
      </x:c>
      <x:c r="J358" s="339" t="str">
        <x:v>API-0179</x:v>
      </x:c>
      <x:c r="K358" s="339" t="str">
        <x:v>Phase 3</x:v>
      </x:c>
      <x:c r="L358" s="339" t="str">
        <x:v>Not Started</x:v>
      </x:c>
    </x:row>
    <x:row r="359">
      <x:c r="A359" s="339" t="str">
        <x:v>US-0358</x:v>
      </x:c>
      <x:c r="B359" s="339" t="str">
        <x:v>EP-015</x:v>
      </x:c>
      <x:c r="C359" s="339" t="str">
        <x:v>SCR-179</x:v>
      </x:c>
      <x:c r="D359" s="339" t="str">
        <x:v>HR / Leave / Payroll</x:v>
      </x:c>
      <x:c r="E359" s="339" t="str">
        <x:v>Staff Attendance Management</x:v>
      </x:c>
      <x:c r="F359" s="339" t="str">
        <x:v>AC-01429, AC-01430, AC-01431, AC-01432</x:v>
      </x:c>
      <x:c r="G359" s="339" t="str">
        <x:v>BL-179</x:v>
      </x:c>
      <x:c r="H359" s="339" t="str">
        <x:v>BR-00535, BR-00536, BR-00537</x:v>
      </x:c>
      <x:c r="I359" s="339" t="str">
        <x:v>WF-179</x:v>
      </x:c>
      <x:c r="J359" s="339" t="str">
        <x:v>API-0179</x:v>
      </x:c>
      <x:c r="K359" s="339" t="str">
        <x:v>Phase 3</x:v>
      </x:c>
      <x:c r="L359" s="339" t="str">
        <x:v>Not Started</x:v>
      </x:c>
    </x:row>
    <x:row r="360">
      <x:c r="A360" s="339" t="str">
        <x:v>US-0359</x:v>
      </x:c>
      <x:c r="B360" s="339" t="str">
        <x:v>EP-015</x:v>
      </x:c>
      <x:c r="C360" s="339" t="str">
        <x:v>SCR-180</x:v>
      </x:c>
      <x:c r="D360" s="339" t="str">
        <x:v>HR / Leave / Payroll</x:v>
      </x:c>
      <x:c r="E360" s="339" t="str">
        <x:v>Leave Policies</x:v>
      </x:c>
      <x:c r="F360" s="339" t="str">
        <x:v>AC-01433, AC-01434, AC-01435, AC-01436</x:v>
      </x:c>
      <x:c r="G360" s="339" t="str">
        <x:v>BL-180</x:v>
      </x:c>
      <x:c r="H360" s="339" t="str">
        <x:v>BR-00538, BR-00539, BR-00540</x:v>
      </x:c>
      <x:c r="I360" s="339" t="str">
        <x:v>WF-180</x:v>
      </x:c>
      <x:c r="J360" s="339" t="str">
        <x:v>API-0180</x:v>
      </x:c>
      <x:c r="K360" s="339" t="str">
        <x:v>Phase 3</x:v>
      </x:c>
      <x:c r="L360" s="339" t="str">
        <x:v>Not Started</x:v>
      </x:c>
    </x:row>
    <x:row r="361">
      <x:c r="A361" s="339" t="str">
        <x:v>US-0360</x:v>
      </x:c>
      <x:c r="B361" s="339" t="str">
        <x:v>EP-015</x:v>
      </x:c>
      <x:c r="C361" s="339" t="str">
        <x:v>SCR-180</x:v>
      </x:c>
      <x:c r="D361" s="339" t="str">
        <x:v>HR / Leave / Payroll</x:v>
      </x:c>
      <x:c r="E361" s="339" t="str">
        <x:v>Leave Policies</x:v>
      </x:c>
      <x:c r="F361" s="339" t="str">
        <x:v>AC-01437, AC-01438, AC-01439, AC-01440</x:v>
      </x:c>
      <x:c r="G361" s="339" t="str">
        <x:v>BL-180</x:v>
      </x:c>
      <x:c r="H361" s="339" t="str">
        <x:v>BR-00538, BR-00539, BR-00540</x:v>
      </x:c>
      <x:c r="I361" s="339" t="str">
        <x:v>WF-180</x:v>
      </x:c>
      <x:c r="J361" s="339" t="str">
        <x:v>API-0180</x:v>
      </x:c>
      <x:c r="K361" s="339" t="str">
        <x:v>Phase 3</x:v>
      </x:c>
      <x:c r="L361" s="339" t="str">
        <x:v>Not Started</x:v>
      </x:c>
    </x:row>
    <x:row r="362">
      <x:c r="A362" s="339" t="str">
        <x:v>US-0361</x:v>
      </x:c>
      <x:c r="B362" s="339" t="str">
        <x:v>EP-015</x:v>
      </x:c>
      <x:c r="C362" s="339" t="str">
        <x:v>SCR-181</x:v>
      </x:c>
      <x:c r="D362" s="339" t="str">
        <x:v>HR / Leave / Payroll</x:v>
      </x:c>
      <x:c r="E362" s="339" t="str">
        <x:v>Staff Leave Requests</x:v>
      </x:c>
      <x:c r="F362" s="339" t="str">
        <x:v>AC-01441, AC-01442, AC-01443, AC-01444</x:v>
      </x:c>
      <x:c r="G362" s="339" t="str">
        <x:v>BL-181</x:v>
      </x:c>
      <x:c r="H362" s="339" t="str">
        <x:v>BR-00541, BR-00542, BR-00543</x:v>
      </x:c>
      <x:c r="I362" s="339" t="str">
        <x:v>WF-181</x:v>
      </x:c>
      <x:c r="J362" s="339" t="str">
        <x:v>API-0181</x:v>
      </x:c>
      <x:c r="K362" s="339" t="str">
        <x:v>Phase 3</x:v>
      </x:c>
      <x:c r="L362" s="339" t="str">
        <x:v>Not Started</x:v>
      </x:c>
    </x:row>
    <x:row r="363">
      <x:c r="A363" s="339" t="str">
        <x:v>US-0362</x:v>
      </x:c>
      <x:c r="B363" s="339" t="str">
        <x:v>EP-015</x:v>
      </x:c>
      <x:c r="C363" s="339" t="str">
        <x:v>SCR-181</x:v>
      </x:c>
      <x:c r="D363" s="339" t="str">
        <x:v>HR / Leave / Payroll</x:v>
      </x:c>
      <x:c r="E363" s="339" t="str">
        <x:v>Staff Leave Requests</x:v>
      </x:c>
      <x:c r="F363" s="339" t="str">
        <x:v>AC-01445, AC-01446, AC-01447, AC-01448</x:v>
      </x:c>
      <x:c r="G363" s="339" t="str">
        <x:v>BL-181</x:v>
      </x:c>
      <x:c r="H363" s="339" t="str">
        <x:v>BR-00541, BR-00542, BR-00543</x:v>
      </x:c>
      <x:c r="I363" s="339" t="str">
        <x:v>WF-181</x:v>
      </x:c>
      <x:c r="J363" s="339" t="str">
        <x:v>API-0181</x:v>
      </x:c>
      <x:c r="K363" s="339" t="str">
        <x:v>Phase 3</x:v>
      </x:c>
      <x:c r="L363" s="339" t="str">
        <x:v>Not Started</x:v>
      </x:c>
    </x:row>
    <x:row r="364">
      <x:c r="A364" s="339" t="str">
        <x:v>US-0363</x:v>
      </x:c>
      <x:c r="B364" s="339" t="str">
        <x:v>EP-015</x:v>
      </x:c>
      <x:c r="C364" s="339" t="str">
        <x:v>SCR-182</x:v>
      </x:c>
      <x:c r="D364" s="339" t="str">
        <x:v>HR / Leave / Payroll</x:v>
      </x:c>
      <x:c r="E364" s="339" t="str">
        <x:v>Leave Approval</x:v>
      </x:c>
      <x:c r="F364" s="339" t="str">
        <x:v>AC-01449, AC-01450, AC-01451, AC-01452</x:v>
      </x:c>
      <x:c r="G364" s="339" t="str">
        <x:v>BL-182</x:v>
      </x:c>
      <x:c r="H364" s="339" t="str">
        <x:v>BR-00544, BR-00545, BR-00546</x:v>
      </x:c>
      <x:c r="I364" s="339" t="str">
        <x:v>WF-182</x:v>
      </x:c>
      <x:c r="J364" s="339" t="str">
        <x:v>API-0182</x:v>
      </x:c>
      <x:c r="K364" s="339" t="str">
        <x:v>Phase 3</x:v>
      </x:c>
      <x:c r="L364" s="339" t="str">
        <x:v>Not Started</x:v>
      </x:c>
    </x:row>
    <x:row r="365">
      <x:c r="A365" s="339" t="str">
        <x:v>US-0364</x:v>
      </x:c>
      <x:c r="B365" s="339" t="str">
        <x:v>EP-015</x:v>
      </x:c>
      <x:c r="C365" s="339" t="str">
        <x:v>SCR-182</x:v>
      </x:c>
      <x:c r="D365" s="339" t="str">
        <x:v>HR / Leave / Payroll</x:v>
      </x:c>
      <x:c r="E365" s="339" t="str">
        <x:v>Leave Approval</x:v>
      </x:c>
      <x:c r="F365" s="339" t="str">
        <x:v>AC-01453, AC-01454, AC-01455, AC-01456</x:v>
      </x:c>
      <x:c r="G365" s="339" t="str">
        <x:v>BL-182</x:v>
      </x:c>
      <x:c r="H365" s="339" t="str">
        <x:v>BR-00544, BR-00545, BR-00546</x:v>
      </x:c>
      <x:c r="I365" s="339" t="str">
        <x:v>WF-182</x:v>
      </x:c>
      <x:c r="J365" s="339" t="str">
        <x:v>API-0182</x:v>
      </x:c>
      <x:c r="K365" s="339" t="str">
        <x:v>Phase 3</x:v>
      </x:c>
      <x:c r="L365" s="339" t="str">
        <x:v>Not Started</x:v>
      </x:c>
    </x:row>
    <x:row r="366">
      <x:c r="A366" s="339" t="str">
        <x:v>US-0365</x:v>
      </x:c>
      <x:c r="B366" s="339" t="str">
        <x:v>EP-015</x:v>
      </x:c>
      <x:c r="C366" s="339" t="str">
        <x:v>SCR-183</x:v>
      </x:c>
      <x:c r="D366" s="339" t="str">
        <x:v>HR / Leave / Payroll</x:v>
      </x:c>
      <x:c r="E366" s="339" t="str">
        <x:v>Payroll Setup</x:v>
      </x:c>
      <x:c r="F366" s="339" t="str">
        <x:v>AC-01457, AC-01458, AC-01459, AC-01460</x:v>
      </x:c>
      <x:c r="G366" s="339" t="str">
        <x:v>BL-183</x:v>
      </x:c>
      <x:c r="H366" s="339" t="str">
        <x:v>BR-00547, BR-00548, BR-00549</x:v>
      </x:c>
      <x:c r="I366" s="339" t="str">
        <x:v>WF-183</x:v>
      </x:c>
      <x:c r="J366" s="339" t="str">
        <x:v>API-0183</x:v>
      </x:c>
      <x:c r="K366" s="339" t="str">
        <x:v>Phase 3</x:v>
      </x:c>
      <x:c r="L366" s="339" t="str">
        <x:v>Not Started</x:v>
      </x:c>
    </x:row>
    <x:row r="367">
      <x:c r="A367" s="339" t="str">
        <x:v>US-0366</x:v>
      </x:c>
      <x:c r="B367" s="339" t="str">
        <x:v>EP-015</x:v>
      </x:c>
      <x:c r="C367" s="339" t="str">
        <x:v>SCR-183</x:v>
      </x:c>
      <x:c r="D367" s="339" t="str">
        <x:v>HR / Leave / Payroll</x:v>
      </x:c>
      <x:c r="E367" s="339" t="str">
        <x:v>Payroll Setup</x:v>
      </x:c>
      <x:c r="F367" s="339" t="str">
        <x:v>AC-01461, AC-01462, AC-01463, AC-01464</x:v>
      </x:c>
      <x:c r="G367" s="339" t="str">
        <x:v>BL-183</x:v>
      </x:c>
      <x:c r="H367" s="339" t="str">
        <x:v>BR-00547, BR-00548, BR-00549</x:v>
      </x:c>
      <x:c r="I367" s="339" t="str">
        <x:v>WF-183</x:v>
      </x:c>
      <x:c r="J367" s="339" t="str">
        <x:v>API-0183</x:v>
      </x:c>
      <x:c r="K367" s="339" t="str">
        <x:v>Phase 3</x:v>
      </x:c>
      <x:c r="L367" s="339" t="str">
        <x:v>Not Started</x:v>
      </x:c>
    </x:row>
    <x:row r="368">
      <x:c r="A368" s="339" t="str">
        <x:v>US-0367</x:v>
      </x:c>
      <x:c r="B368" s="339" t="str">
        <x:v>EP-015</x:v>
      </x:c>
      <x:c r="C368" s="339" t="str">
        <x:v>SCR-184</x:v>
      </x:c>
      <x:c r="D368" s="339" t="str">
        <x:v>HR / Leave / Payroll</x:v>
      </x:c>
      <x:c r="E368" s="339" t="str">
        <x:v>Payroll Processing</x:v>
      </x:c>
      <x:c r="F368" s="339" t="str">
        <x:v>AC-01465, AC-01466, AC-01467, AC-01468</x:v>
      </x:c>
      <x:c r="G368" s="339" t="str">
        <x:v>BL-184</x:v>
      </x:c>
      <x:c r="H368" s="339" t="str">
        <x:v>BR-00550, BR-00551, BR-00552</x:v>
      </x:c>
      <x:c r="I368" s="339" t="str">
        <x:v>WF-184</x:v>
      </x:c>
      <x:c r="J368" s="339" t="str">
        <x:v>API-0184</x:v>
      </x:c>
      <x:c r="K368" s="339" t="str">
        <x:v>Phase 3</x:v>
      </x:c>
      <x:c r="L368" s="339" t="str">
        <x:v>Not Started</x:v>
      </x:c>
    </x:row>
    <x:row r="369">
      <x:c r="A369" s="339" t="str">
        <x:v>US-0368</x:v>
      </x:c>
      <x:c r="B369" s="339" t="str">
        <x:v>EP-015</x:v>
      </x:c>
      <x:c r="C369" s="339" t="str">
        <x:v>SCR-184</x:v>
      </x:c>
      <x:c r="D369" s="339" t="str">
        <x:v>HR / Leave / Payroll</x:v>
      </x:c>
      <x:c r="E369" s="339" t="str">
        <x:v>Payroll Processing</x:v>
      </x:c>
      <x:c r="F369" s="339" t="str">
        <x:v>AC-01469, AC-01470, AC-01471, AC-01472</x:v>
      </x:c>
      <x:c r="G369" s="339" t="str">
        <x:v>BL-184</x:v>
      </x:c>
      <x:c r="H369" s="339" t="str">
        <x:v>BR-00550, BR-00551, BR-00552</x:v>
      </x:c>
      <x:c r="I369" s="339" t="str">
        <x:v>WF-184</x:v>
      </x:c>
      <x:c r="J369" s="339" t="str">
        <x:v>API-0184</x:v>
      </x:c>
      <x:c r="K369" s="339" t="str">
        <x:v>Phase 3</x:v>
      </x:c>
      <x:c r="L369" s="339" t="str">
        <x:v>Not Started</x:v>
      </x:c>
    </x:row>
    <x:row r="370">
      <x:c r="A370" s="339" t="str">
        <x:v>US-0369</x:v>
      </x:c>
      <x:c r="B370" s="339" t="str">
        <x:v>EP-015</x:v>
      </x:c>
      <x:c r="C370" s="339" t="str">
        <x:v>SCR-185</x:v>
      </x:c>
      <x:c r="D370" s="339" t="str">
        <x:v>HR / Leave / Payroll</x:v>
      </x:c>
      <x:c r="E370" s="339" t="str">
        <x:v>Payslip &amp; Payroll History</x:v>
      </x:c>
      <x:c r="F370" s="339" t="str">
        <x:v>AC-01473, AC-01474, AC-01475, AC-01476</x:v>
      </x:c>
      <x:c r="G370" s="339" t="str">
        <x:v>BL-185</x:v>
      </x:c>
      <x:c r="H370" s="339" t="str">
        <x:v>BR-00553, BR-00554, BR-00555</x:v>
      </x:c>
      <x:c r="I370" s="339" t="str">
        <x:v>WF-185</x:v>
      </x:c>
      <x:c r="J370" s="339" t="str">
        <x:v>API-0185</x:v>
      </x:c>
      <x:c r="K370" s="339" t="str">
        <x:v>Phase 3</x:v>
      </x:c>
      <x:c r="L370" s="339" t="str">
        <x:v>Not Started</x:v>
      </x:c>
    </x:row>
    <x:row r="371">
      <x:c r="A371" s="339" t="str">
        <x:v>US-0370</x:v>
      </x:c>
      <x:c r="B371" s="339" t="str">
        <x:v>EP-015</x:v>
      </x:c>
      <x:c r="C371" s="339" t="str">
        <x:v>SCR-185</x:v>
      </x:c>
      <x:c r="D371" s="339" t="str">
        <x:v>HR / Leave / Payroll</x:v>
      </x:c>
      <x:c r="E371" s="339" t="str">
        <x:v>Payslip &amp; Payroll History</x:v>
      </x:c>
      <x:c r="F371" s="339" t="str">
        <x:v>AC-01477, AC-01478, AC-01479, AC-01480</x:v>
      </x:c>
      <x:c r="G371" s="339" t="str">
        <x:v>BL-185</x:v>
      </x:c>
      <x:c r="H371" s="339" t="str">
        <x:v>BR-00553, BR-00554, BR-00555</x:v>
      </x:c>
      <x:c r="I371" s="339" t="str">
        <x:v>WF-185</x:v>
      </x:c>
      <x:c r="J371" s="339" t="str">
        <x:v>API-0185</x:v>
      </x:c>
      <x:c r="K371" s="339" t="str">
        <x:v>Phase 3</x:v>
      </x:c>
      <x:c r="L371" s="339" t="str">
        <x:v>Not Started</x:v>
      </x:c>
    </x:row>
    <x:row r="372">
      <x:c r="A372" s="339" t="str">
        <x:v>US-0371</x:v>
      </x:c>
      <x:c r="B372" s="339" t="str">
        <x:v>EP-016</x:v>
      </x:c>
      <x:c r="C372" s="339" t="str">
        <x:v>SCR-186</x:v>
      </x:c>
      <x:c r="D372" s="339" t="str">
        <x:v>Transport / Bus / GPS</x:v>
      </x:c>
      <x:c r="E372" s="339" t="str">
        <x:v>Vehicles</x:v>
      </x:c>
      <x:c r="F372" s="339" t="str">
        <x:v>AC-01481, AC-01482, AC-01483, AC-01484</x:v>
      </x:c>
      <x:c r="G372" s="339" t="str">
        <x:v>BL-186</x:v>
      </x:c>
      <x:c r="H372" s="339" t="str">
        <x:v>BR-00556, BR-00557, BR-00558</x:v>
      </x:c>
      <x:c r="I372" s="339" t="str">
        <x:v>WF-186</x:v>
      </x:c>
      <x:c r="J372" s="339" t="str">
        <x:v>API-0186</x:v>
      </x:c>
      <x:c r="K372" s="339" t="str">
        <x:v>Phase 2</x:v>
      </x:c>
      <x:c r="L372" s="339" t="str">
        <x:v>Not Started</x:v>
      </x:c>
    </x:row>
    <x:row r="373">
      <x:c r="A373" s="339" t="str">
        <x:v>US-0372</x:v>
      </x:c>
      <x:c r="B373" s="339" t="str">
        <x:v>EP-016</x:v>
      </x:c>
      <x:c r="C373" s="339" t="str">
        <x:v>SCR-186</x:v>
      </x:c>
      <x:c r="D373" s="339" t="str">
        <x:v>Transport / Bus / GPS</x:v>
      </x:c>
      <x:c r="E373" s="339" t="str">
        <x:v>Vehicles</x:v>
      </x:c>
      <x:c r="F373" s="339" t="str">
        <x:v>AC-01485, AC-01486, AC-01487, AC-01488</x:v>
      </x:c>
      <x:c r="G373" s="339" t="str">
        <x:v>BL-186</x:v>
      </x:c>
      <x:c r="H373" s="339" t="str">
        <x:v>BR-00556, BR-00557, BR-00558</x:v>
      </x:c>
      <x:c r="I373" s="339" t="str">
        <x:v>WF-186</x:v>
      </x:c>
      <x:c r="J373" s="339" t="str">
        <x:v>API-0186</x:v>
      </x:c>
      <x:c r="K373" s="339" t="str">
        <x:v>Phase 2</x:v>
      </x:c>
      <x:c r="L373" s="339" t="str">
        <x:v>Not Started</x:v>
      </x:c>
    </x:row>
    <x:row r="374">
      <x:c r="A374" s="339" t="str">
        <x:v>US-0373</x:v>
      </x:c>
      <x:c r="B374" s="339" t="str">
        <x:v>EP-016</x:v>
      </x:c>
      <x:c r="C374" s="339" t="str">
        <x:v>SCR-187</x:v>
      </x:c>
      <x:c r="D374" s="339" t="str">
        <x:v>Transport / Bus / GPS</x:v>
      </x:c>
      <x:c r="E374" s="339" t="str">
        <x:v>Add / Edit Vehicle</x:v>
      </x:c>
      <x:c r="F374" s="339" t="str">
        <x:v>AC-01489, AC-01490, AC-01491, AC-01492</x:v>
      </x:c>
      <x:c r="G374" s="339" t="str">
        <x:v>BL-187</x:v>
      </x:c>
      <x:c r="H374" s="339" t="str">
        <x:v>BR-00559, BR-00560, BR-00561</x:v>
      </x:c>
      <x:c r="I374" s="339" t="str">
        <x:v>WF-187</x:v>
      </x:c>
      <x:c r="J374" s="339" t="str">
        <x:v>API-0187</x:v>
      </x:c>
      <x:c r="K374" s="339" t="str">
        <x:v>Phase 2</x:v>
      </x:c>
      <x:c r="L374" s="339" t="str">
        <x:v>Not Started</x:v>
      </x:c>
    </x:row>
    <x:row r="375">
      <x:c r="A375" s="339" t="str">
        <x:v>US-0374</x:v>
      </x:c>
      <x:c r="B375" s="339" t="str">
        <x:v>EP-016</x:v>
      </x:c>
      <x:c r="C375" s="339" t="str">
        <x:v>SCR-187</x:v>
      </x:c>
      <x:c r="D375" s="339" t="str">
        <x:v>Transport / Bus / GPS</x:v>
      </x:c>
      <x:c r="E375" s="339" t="str">
        <x:v>Add / Edit Vehicle</x:v>
      </x:c>
      <x:c r="F375" s="339" t="str">
        <x:v>AC-01493, AC-01494, AC-01495, AC-01496</x:v>
      </x:c>
      <x:c r="G375" s="339" t="str">
        <x:v>BL-187</x:v>
      </x:c>
      <x:c r="H375" s="339" t="str">
        <x:v>BR-00559, BR-00560, BR-00561</x:v>
      </x:c>
      <x:c r="I375" s="339" t="str">
        <x:v>WF-187</x:v>
      </x:c>
      <x:c r="J375" s="339" t="str">
        <x:v>API-0187</x:v>
      </x:c>
      <x:c r="K375" s="339" t="str">
        <x:v>Phase 2</x:v>
      </x:c>
      <x:c r="L375" s="339" t="str">
        <x:v>Not Started</x:v>
      </x:c>
    </x:row>
    <x:row r="376">
      <x:c r="A376" s="339" t="str">
        <x:v>US-0375</x:v>
      </x:c>
      <x:c r="B376" s="339" t="str">
        <x:v>EP-016</x:v>
      </x:c>
      <x:c r="C376" s="339" t="str">
        <x:v>SCR-188</x:v>
      </x:c>
      <x:c r="D376" s="339" t="str">
        <x:v>Transport / Bus / GPS</x:v>
      </x:c>
      <x:c r="E376" s="339" t="str">
        <x:v>Vehicle Details</x:v>
      </x:c>
      <x:c r="F376" s="339" t="str">
        <x:v>AC-01497, AC-01498, AC-01499, AC-01500</x:v>
      </x:c>
      <x:c r="G376" s="339" t="str">
        <x:v>BL-188</x:v>
      </x:c>
      <x:c r="H376" s="339" t="str">
        <x:v>BR-00562, BR-00563, BR-00564</x:v>
      </x:c>
      <x:c r="I376" s="339" t="str">
        <x:v>WF-188</x:v>
      </x:c>
      <x:c r="J376" s="339" t="str">
        <x:v>API-0188</x:v>
      </x:c>
      <x:c r="K376" s="339" t="str">
        <x:v>Phase 2</x:v>
      </x:c>
      <x:c r="L376" s="339" t="str">
        <x:v>Not Started</x:v>
      </x:c>
    </x:row>
    <x:row r="377">
      <x:c r="A377" s="339" t="str">
        <x:v>US-0376</x:v>
      </x:c>
      <x:c r="B377" s="339" t="str">
        <x:v>EP-016</x:v>
      </x:c>
      <x:c r="C377" s="339" t="str">
        <x:v>SCR-188</x:v>
      </x:c>
      <x:c r="D377" s="339" t="str">
        <x:v>Transport / Bus / GPS</x:v>
      </x:c>
      <x:c r="E377" s="339" t="str">
        <x:v>Vehicle Details</x:v>
      </x:c>
      <x:c r="F377" s="339" t="str">
        <x:v>AC-01501, AC-01502, AC-01503, AC-01504</x:v>
      </x:c>
      <x:c r="G377" s="339" t="str">
        <x:v>BL-188</x:v>
      </x:c>
      <x:c r="H377" s="339" t="str">
        <x:v>BR-00562, BR-00563, BR-00564</x:v>
      </x:c>
      <x:c r="I377" s="339" t="str">
        <x:v>WF-188</x:v>
      </x:c>
      <x:c r="J377" s="339" t="str">
        <x:v>API-0188</x:v>
      </x:c>
      <x:c r="K377" s="339" t="str">
        <x:v>Phase 2</x:v>
      </x:c>
      <x:c r="L377" s="339" t="str">
        <x:v>Not Started</x:v>
      </x:c>
    </x:row>
    <x:row r="378">
      <x:c r="A378" s="339" t="str">
        <x:v>US-0377</x:v>
      </x:c>
      <x:c r="B378" s="339" t="str">
        <x:v>EP-016</x:v>
      </x:c>
      <x:c r="C378" s="339" t="str">
        <x:v>SCR-189</x:v>
      </x:c>
      <x:c r="D378" s="339" t="str">
        <x:v>Transport / Bus / GPS</x:v>
      </x:c>
      <x:c r="E378" s="339" t="str">
        <x:v>Routes</x:v>
      </x:c>
      <x:c r="F378" s="339" t="str">
        <x:v>AC-01505, AC-01506, AC-01507, AC-01508</x:v>
      </x:c>
      <x:c r="G378" s="339" t="str">
        <x:v>BL-189</x:v>
      </x:c>
      <x:c r="H378" s="339" t="str">
        <x:v>BR-00565, BR-00566, BR-00567</x:v>
      </x:c>
      <x:c r="I378" s="339" t="str">
        <x:v>WF-189</x:v>
      </x:c>
      <x:c r="J378" s="339" t="str">
        <x:v>API-0189</x:v>
      </x:c>
      <x:c r="K378" s="339" t="str">
        <x:v>Phase 2</x:v>
      </x:c>
      <x:c r="L378" s="339" t="str">
        <x:v>Not Started</x:v>
      </x:c>
    </x:row>
    <x:row r="379">
      <x:c r="A379" s="339" t="str">
        <x:v>US-0378</x:v>
      </x:c>
      <x:c r="B379" s="339" t="str">
        <x:v>EP-016</x:v>
      </x:c>
      <x:c r="C379" s="339" t="str">
        <x:v>SCR-189</x:v>
      </x:c>
      <x:c r="D379" s="339" t="str">
        <x:v>Transport / Bus / GPS</x:v>
      </x:c>
      <x:c r="E379" s="339" t="str">
        <x:v>Routes</x:v>
      </x:c>
      <x:c r="F379" s="339" t="str">
        <x:v>AC-01509, AC-01510, AC-01511, AC-01512</x:v>
      </x:c>
      <x:c r="G379" s="339" t="str">
        <x:v>BL-189</x:v>
      </x:c>
      <x:c r="H379" s="339" t="str">
        <x:v>BR-00565, BR-00566, BR-00567</x:v>
      </x:c>
      <x:c r="I379" s="339" t="str">
        <x:v>WF-189</x:v>
      </x:c>
      <x:c r="J379" s="339" t="str">
        <x:v>API-0189</x:v>
      </x:c>
      <x:c r="K379" s="339" t="str">
        <x:v>Phase 2</x:v>
      </x:c>
      <x:c r="L379" s="339" t="str">
        <x:v>Not Started</x:v>
      </x:c>
    </x:row>
    <x:row r="380">
      <x:c r="A380" s="339" t="str">
        <x:v>US-0379</x:v>
      </x:c>
      <x:c r="B380" s="339" t="str">
        <x:v>EP-016</x:v>
      </x:c>
      <x:c r="C380" s="339" t="str">
        <x:v>SCR-190</x:v>
      </x:c>
      <x:c r="D380" s="339" t="str">
        <x:v>Transport / Bus / GPS</x:v>
      </x:c>
      <x:c r="E380" s="339" t="str">
        <x:v>Create / Edit Route</x:v>
      </x:c>
      <x:c r="F380" s="339" t="str">
        <x:v>AC-01513, AC-01514, AC-01515, AC-01516</x:v>
      </x:c>
      <x:c r="G380" s="339" t="str">
        <x:v>BL-190</x:v>
      </x:c>
      <x:c r="H380" s="339" t="str">
        <x:v>BR-00568, BR-00569, BR-00570</x:v>
      </x:c>
      <x:c r="I380" s="339" t="str">
        <x:v>WF-190</x:v>
      </x:c>
      <x:c r="J380" s="339" t="str">
        <x:v>API-0190</x:v>
      </x:c>
      <x:c r="K380" s="339" t="str">
        <x:v>Phase 2</x:v>
      </x:c>
      <x:c r="L380" s="339" t="str">
        <x:v>Not Started</x:v>
      </x:c>
    </x:row>
    <x:row r="381">
      <x:c r="A381" s="339" t="str">
        <x:v>US-0380</x:v>
      </x:c>
      <x:c r="B381" s="339" t="str">
        <x:v>EP-016</x:v>
      </x:c>
      <x:c r="C381" s="339" t="str">
        <x:v>SCR-190</x:v>
      </x:c>
      <x:c r="D381" s="339" t="str">
        <x:v>Transport / Bus / GPS</x:v>
      </x:c>
      <x:c r="E381" s="339" t="str">
        <x:v>Create / Edit Route</x:v>
      </x:c>
      <x:c r="F381" s="339" t="str">
        <x:v>AC-01517, AC-01518, AC-01519, AC-01520</x:v>
      </x:c>
      <x:c r="G381" s="339" t="str">
        <x:v>BL-190</x:v>
      </x:c>
      <x:c r="H381" s="339" t="str">
        <x:v>BR-00568, BR-00569, BR-00570</x:v>
      </x:c>
      <x:c r="I381" s="339" t="str">
        <x:v>WF-190</x:v>
      </x:c>
      <x:c r="J381" s="339" t="str">
        <x:v>API-0190</x:v>
      </x:c>
      <x:c r="K381" s="339" t="str">
        <x:v>Phase 2</x:v>
      </x:c>
      <x:c r="L381" s="339" t="str">
        <x:v>Not Started</x:v>
      </x:c>
    </x:row>
    <x:row r="382">
      <x:c r="A382" s="339" t="str">
        <x:v>US-0381</x:v>
      </x:c>
      <x:c r="B382" s="339" t="str">
        <x:v>EP-016</x:v>
      </x:c>
      <x:c r="C382" s="339" t="str">
        <x:v>SCR-191</x:v>
      </x:c>
      <x:c r="D382" s="339" t="str">
        <x:v>Transport / Bus / GPS</x:v>
      </x:c>
      <x:c r="E382" s="339" t="str">
        <x:v>Stops</x:v>
      </x:c>
      <x:c r="F382" s="339" t="str">
        <x:v>AC-01521, AC-01522, AC-01523, AC-01524</x:v>
      </x:c>
      <x:c r="G382" s="339" t="str">
        <x:v>BL-191</x:v>
      </x:c>
      <x:c r="H382" s="339" t="str">
        <x:v>BR-00571, BR-00572, BR-00573</x:v>
      </x:c>
      <x:c r="I382" s="339" t="str">
        <x:v>WF-191</x:v>
      </x:c>
      <x:c r="J382" s="339" t="str">
        <x:v>API-0191</x:v>
      </x:c>
      <x:c r="K382" s="339" t="str">
        <x:v>Phase 2</x:v>
      </x:c>
      <x:c r="L382" s="339" t="str">
        <x:v>Not Started</x:v>
      </x:c>
    </x:row>
    <x:row r="383">
      <x:c r="A383" s="339" t="str">
        <x:v>US-0382</x:v>
      </x:c>
      <x:c r="B383" s="339" t="str">
        <x:v>EP-016</x:v>
      </x:c>
      <x:c r="C383" s="339" t="str">
        <x:v>SCR-191</x:v>
      </x:c>
      <x:c r="D383" s="339" t="str">
        <x:v>Transport / Bus / GPS</x:v>
      </x:c>
      <x:c r="E383" s="339" t="str">
        <x:v>Stops</x:v>
      </x:c>
      <x:c r="F383" s="339" t="str">
        <x:v>AC-01525, AC-01526, AC-01527, AC-01528</x:v>
      </x:c>
      <x:c r="G383" s="339" t="str">
        <x:v>BL-191</x:v>
      </x:c>
      <x:c r="H383" s="339" t="str">
        <x:v>BR-00571, BR-00572, BR-00573</x:v>
      </x:c>
      <x:c r="I383" s="339" t="str">
        <x:v>WF-191</x:v>
      </x:c>
      <x:c r="J383" s="339" t="str">
        <x:v>API-0191</x:v>
      </x:c>
      <x:c r="K383" s="339" t="str">
        <x:v>Phase 2</x:v>
      </x:c>
      <x:c r="L383" s="339" t="str">
        <x:v>Not Started</x:v>
      </x:c>
    </x:row>
    <x:row r="384">
      <x:c r="A384" s="339" t="str">
        <x:v>US-0383</x:v>
      </x:c>
      <x:c r="B384" s="339" t="str">
        <x:v>EP-016</x:v>
      </x:c>
      <x:c r="C384" s="339" t="str">
        <x:v>SCR-192</x:v>
      </x:c>
      <x:c r="D384" s="339" t="str">
        <x:v>Transport / Bus / GPS</x:v>
      </x:c>
      <x:c r="E384" s="339" t="str">
        <x:v>Drivers &amp; Conductors</x:v>
      </x:c>
      <x:c r="F384" s="339" t="str">
        <x:v>AC-01529, AC-01530, AC-01531, AC-01532</x:v>
      </x:c>
      <x:c r="G384" s="339" t="str">
        <x:v>BL-192</x:v>
      </x:c>
      <x:c r="H384" s="339" t="str">
        <x:v>BR-00574, BR-00575, BR-00576</x:v>
      </x:c>
      <x:c r="I384" s="339" t="str">
        <x:v>WF-192</x:v>
      </x:c>
      <x:c r="J384" s="339" t="str">
        <x:v>API-0192</x:v>
      </x:c>
      <x:c r="K384" s="339" t="str">
        <x:v>Phase 3</x:v>
      </x:c>
      <x:c r="L384" s="339" t="str">
        <x:v>Not Started</x:v>
      </x:c>
    </x:row>
    <x:row r="385">
      <x:c r="A385" s="339" t="str">
        <x:v>US-0384</x:v>
      </x:c>
      <x:c r="B385" s="339" t="str">
        <x:v>EP-016</x:v>
      </x:c>
      <x:c r="C385" s="339" t="str">
        <x:v>SCR-192</x:v>
      </x:c>
      <x:c r="D385" s="339" t="str">
        <x:v>Transport / Bus / GPS</x:v>
      </x:c>
      <x:c r="E385" s="339" t="str">
        <x:v>Drivers &amp; Conductors</x:v>
      </x:c>
      <x:c r="F385" s="339" t="str">
        <x:v>AC-01533, AC-01534, AC-01535, AC-01536</x:v>
      </x:c>
      <x:c r="G385" s="339" t="str">
        <x:v>BL-192</x:v>
      </x:c>
      <x:c r="H385" s="339" t="str">
        <x:v>BR-00574, BR-00575, BR-00576</x:v>
      </x:c>
      <x:c r="I385" s="339" t="str">
        <x:v>WF-192</x:v>
      </x:c>
      <x:c r="J385" s="339" t="str">
        <x:v>API-0192</x:v>
      </x:c>
      <x:c r="K385" s="339" t="str">
        <x:v>Phase 3</x:v>
      </x:c>
      <x:c r="L385" s="339" t="str">
        <x:v>Not Started</x:v>
      </x:c>
    </x:row>
    <x:row r="386">
      <x:c r="A386" s="339" t="str">
        <x:v>US-0385</x:v>
      </x:c>
      <x:c r="B386" s="339" t="str">
        <x:v>EP-016</x:v>
      </x:c>
      <x:c r="C386" s="339" t="str">
        <x:v>SCR-193</x:v>
      </x:c>
      <x:c r="D386" s="339" t="str">
        <x:v>Transport / Bus / GPS</x:v>
      </x:c>
      <x:c r="E386" s="339" t="str">
        <x:v>Student Route Assignment</x:v>
      </x:c>
      <x:c r="F386" s="339" t="str">
        <x:v>AC-01537, AC-01538, AC-01539, AC-01540</x:v>
      </x:c>
      <x:c r="G386" s="339" t="str">
        <x:v>BL-193</x:v>
      </x:c>
      <x:c r="H386" s="339" t="str">
        <x:v>BR-00577, BR-00578, BR-00579</x:v>
      </x:c>
      <x:c r="I386" s="339" t="str">
        <x:v>WF-193</x:v>
      </x:c>
      <x:c r="J386" s="339" t="str">
        <x:v>API-0193</x:v>
      </x:c>
      <x:c r="K386" s="339" t="str">
        <x:v>Phase 3</x:v>
      </x:c>
      <x:c r="L386" s="339" t="str">
        <x:v>Not Started</x:v>
      </x:c>
    </x:row>
    <x:row r="387">
      <x:c r="A387" s="339" t="str">
        <x:v>US-0386</x:v>
      </x:c>
      <x:c r="B387" s="339" t="str">
        <x:v>EP-016</x:v>
      </x:c>
      <x:c r="C387" s="339" t="str">
        <x:v>SCR-193</x:v>
      </x:c>
      <x:c r="D387" s="339" t="str">
        <x:v>Transport / Bus / GPS</x:v>
      </x:c>
      <x:c r="E387" s="339" t="str">
        <x:v>Student Route Assignment</x:v>
      </x:c>
      <x:c r="F387" s="339" t="str">
        <x:v>AC-01541, AC-01542, AC-01543, AC-01544</x:v>
      </x:c>
      <x:c r="G387" s="339" t="str">
        <x:v>BL-193</x:v>
      </x:c>
      <x:c r="H387" s="339" t="str">
        <x:v>BR-00577, BR-00578, BR-00579</x:v>
      </x:c>
      <x:c r="I387" s="339" t="str">
        <x:v>WF-193</x:v>
      </x:c>
      <x:c r="J387" s="339" t="str">
        <x:v>API-0193</x:v>
      </x:c>
      <x:c r="K387" s="339" t="str">
        <x:v>Phase 3</x:v>
      </x:c>
      <x:c r="L387" s="339" t="str">
        <x:v>Not Started</x:v>
      </x:c>
    </x:row>
    <x:row r="388">
      <x:c r="A388" s="339" t="str">
        <x:v>US-0387</x:v>
      </x:c>
      <x:c r="B388" s="339" t="str">
        <x:v>EP-016</x:v>
      </x:c>
      <x:c r="C388" s="339" t="str">
        <x:v>SCR-194</x:v>
      </x:c>
      <x:c r="D388" s="339" t="str">
        <x:v>Transport / Bus / GPS</x:v>
      </x:c>
      <x:c r="E388" s="339" t="str">
        <x:v>Trip Sheet</x:v>
      </x:c>
      <x:c r="F388" s="339" t="str">
        <x:v>AC-01545, AC-01546, AC-01547, AC-01548</x:v>
      </x:c>
      <x:c r="G388" s="339" t="str">
        <x:v>BL-194</x:v>
      </x:c>
      <x:c r="H388" s="339" t="str">
        <x:v>BR-00580, BR-00581, BR-00582</x:v>
      </x:c>
      <x:c r="I388" s="339" t="str">
        <x:v>WF-194</x:v>
      </x:c>
      <x:c r="J388" s="339" t="str">
        <x:v>API-0194</x:v>
      </x:c>
      <x:c r="K388" s="339" t="str">
        <x:v>Phase 3</x:v>
      </x:c>
      <x:c r="L388" s="339" t="str">
        <x:v>Not Started</x:v>
      </x:c>
    </x:row>
    <x:row r="389">
      <x:c r="A389" s="339" t="str">
        <x:v>US-0388</x:v>
      </x:c>
      <x:c r="B389" s="339" t="str">
        <x:v>EP-016</x:v>
      </x:c>
      <x:c r="C389" s="339" t="str">
        <x:v>SCR-194</x:v>
      </x:c>
      <x:c r="D389" s="339" t="str">
        <x:v>Transport / Bus / GPS</x:v>
      </x:c>
      <x:c r="E389" s="339" t="str">
        <x:v>Trip Sheet</x:v>
      </x:c>
      <x:c r="F389" s="339" t="str">
        <x:v>AC-01549, AC-01550, AC-01551, AC-01552</x:v>
      </x:c>
      <x:c r="G389" s="339" t="str">
        <x:v>BL-194</x:v>
      </x:c>
      <x:c r="H389" s="339" t="str">
        <x:v>BR-00580, BR-00581, BR-00582</x:v>
      </x:c>
      <x:c r="I389" s="339" t="str">
        <x:v>WF-194</x:v>
      </x:c>
      <x:c r="J389" s="339" t="str">
        <x:v>API-0194</x:v>
      </x:c>
      <x:c r="K389" s="339" t="str">
        <x:v>Phase 3</x:v>
      </x:c>
      <x:c r="L389" s="339" t="str">
        <x:v>Not Started</x:v>
      </x:c>
    </x:row>
    <x:row r="390">
      <x:c r="A390" s="339" t="str">
        <x:v>US-0389</x:v>
      </x:c>
      <x:c r="B390" s="339" t="str">
        <x:v>EP-016</x:v>
      </x:c>
      <x:c r="C390" s="339" t="str">
        <x:v>SCR-195</x:v>
      </x:c>
      <x:c r="D390" s="339" t="str">
        <x:v>Transport / Bus / GPS</x:v>
      </x:c>
      <x:c r="E390" s="339" t="str">
        <x:v>Live GPS Tracking</x:v>
      </x:c>
      <x:c r="F390" s="339" t="str">
        <x:v>AC-01553, AC-01554, AC-01555, AC-01556</x:v>
      </x:c>
      <x:c r="G390" s="339" t="str">
        <x:v>BL-195</x:v>
      </x:c>
      <x:c r="H390" s="339" t="str">
        <x:v>BR-00583, BR-00584, BR-00585</x:v>
      </x:c>
      <x:c r="I390" s="339" t="str">
        <x:v>WF-195</x:v>
      </x:c>
      <x:c r="J390" s="339" t="str">
        <x:v>API-0195</x:v>
      </x:c>
      <x:c r="K390" s="339" t="str">
        <x:v>Phase 3</x:v>
      </x:c>
      <x:c r="L390" s="339" t="str">
        <x:v>Not Started</x:v>
      </x:c>
    </x:row>
    <x:row r="391">
      <x:c r="A391" s="339" t="str">
        <x:v>US-0390</x:v>
      </x:c>
      <x:c r="B391" s="339" t="str">
        <x:v>EP-016</x:v>
      </x:c>
      <x:c r="C391" s="339" t="str">
        <x:v>SCR-195</x:v>
      </x:c>
      <x:c r="D391" s="339" t="str">
        <x:v>Transport / Bus / GPS</x:v>
      </x:c>
      <x:c r="E391" s="339" t="str">
        <x:v>Live GPS Tracking</x:v>
      </x:c>
      <x:c r="F391" s="339" t="str">
        <x:v>AC-01557, AC-01558, AC-01559, AC-01560</x:v>
      </x:c>
      <x:c r="G391" s="339" t="str">
        <x:v>BL-195</x:v>
      </x:c>
      <x:c r="H391" s="339" t="str">
        <x:v>BR-00583, BR-00584, BR-00585</x:v>
      </x:c>
      <x:c r="I391" s="339" t="str">
        <x:v>WF-195</x:v>
      </x:c>
      <x:c r="J391" s="339" t="str">
        <x:v>API-0195</x:v>
      </x:c>
      <x:c r="K391" s="339" t="str">
        <x:v>Phase 3</x:v>
      </x:c>
      <x:c r="L391" s="339" t="str">
        <x:v>Not Started</x:v>
      </x:c>
    </x:row>
    <x:row r="392">
      <x:c r="A392" s="339" t="str">
        <x:v>US-0391</x:v>
      </x:c>
      <x:c r="B392" s="339" t="str">
        <x:v>EP-016</x:v>
      </x:c>
      <x:c r="C392" s="339" t="str">
        <x:v>SCR-196</x:v>
      </x:c>
      <x:c r="D392" s="339" t="str">
        <x:v>Transport / Bus / GPS</x:v>
      </x:c>
      <x:c r="E392" s="339" t="str">
        <x:v>Boarding / Drop Attendance</x:v>
      </x:c>
      <x:c r="F392" s="339" t="str">
        <x:v>AC-01561, AC-01562, AC-01563, AC-01564</x:v>
      </x:c>
      <x:c r="G392" s="339" t="str">
        <x:v>BL-196</x:v>
      </x:c>
      <x:c r="H392" s="339" t="str">
        <x:v>BR-00586, BR-00587, BR-00588</x:v>
      </x:c>
      <x:c r="I392" s="339" t="str">
        <x:v>WF-196</x:v>
      </x:c>
      <x:c r="J392" s="339" t="str">
        <x:v>API-0196</x:v>
      </x:c>
      <x:c r="K392" s="339" t="str">
        <x:v>Phase 3</x:v>
      </x:c>
      <x:c r="L392" s="339" t="str">
        <x:v>Not Started</x:v>
      </x:c>
    </x:row>
    <x:row r="393">
      <x:c r="A393" s="339" t="str">
        <x:v>US-0392</x:v>
      </x:c>
      <x:c r="B393" s="339" t="str">
        <x:v>EP-016</x:v>
      </x:c>
      <x:c r="C393" s="339" t="str">
        <x:v>SCR-196</x:v>
      </x:c>
      <x:c r="D393" s="339" t="str">
        <x:v>Transport / Bus / GPS</x:v>
      </x:c>
      <x:c r="E393" s="339" t="str">
        <x:v>Boarding / Drop Attendance</x:v>
      </x:c>
      <x:c r="F393" s="339" t="str">
        <x:v>AC-01565, AC-01566, AC-01567, AC-01568</x:v>
      </x:c>
      <x:c r="G393" s="339" t="str">
        <x:v>BL-196</x:v>
      </x:c>
      <x:c r="H393" s="339" t="str">
        <x:v>BR-00586, BR-00587, BR-00588</x:v>
      </x:c>
      <x:c r="I393" s="339" t="str">
        <x:v>WF-196</x:v>
      </x:c>
      <x:c r="J393" s="339" t="str">
        <x:v>API-0196</x:v>
      </x:c>
      <x:c r="K393" s="339" t="str">
        <x:v>Phase 3</x:v>
      </x:c>
      <x:c r="L393" s="339" t="str">
        <x:v>Not Started</x:v>
      </x:c>
    </x:row>
    <x:row r="394">
      <x:c r="A394" s="339" t="str">
        <x:v>US-0393</x:v>
      </x:c>
      <x:c r="B394" s="339" t="str">
        <x:v>EP-016</x:v>
      </x:c>
      <x:c r="C394" s="339" t="str">
        <x:v>SCR-197</x:v>
      </x:c>
      <x:c r="D394" s="339" t="str">
        <x:v>Transport / Bus / GPS</x:v>
      </x:c>
      <x:c r="E394" s="339" t="str">
        <x:v>Vehicle Maintenance &amp; Fuel</x:v>
      </x:c>
      <x:c r="F394" s="339" t="str">
        <x:v>AC-01569, AC-01570, AC-01571, AC-01572</x:v>
      </x:c>
      <x:c r="G394" s="339" t="str">
        <x:v>BL-197</x:v>
      </x:c>
      <x:c r="H394" s="339" t="str">
        <x:v>BR-00589, BR-00590, BR-00591</x:v>
      </x:c>
      <x:c r="I394" s="339" t="str">
        <x:v>WF-197</x:v>
      </x:c>
      <x:c r="J394" s="339" t="str">
        <x:v>API-0197</x:v>
      </x:c>
      <x:c r="K394" s="339" t="str">
        <x:v>Phase 3</x:v>
      </x:c>
      <x:c r="L394" s="339" t="str">
        <x:v>Not Started</x:v>
      </x:c>
    </x:row>
    <x:row r="395">
      <x:c r="A395" s="339" t="str">
        <x:v>US-0394</x:v>
      </x:c>
      <x:c r="B395" s="339" t="str">
        <x:v>EP-016</x:v>
      </x:c>
      <x:c r="C395" s="339" t="str">
        <x:v>SCR-197</x:v>
      </x:c>
      <x:c r="D395" s="339" t="str">
        <x:v>Transport / Bus / GPS</x:v>
      </x:c>
      <x:c r="E395" s="339" t="str">
        <x:v>Vehicle Maintenance &amp; Fuel</x:v>
      </x:c>
      <x:c r="F395" s="339" t="str">
        <x:v>AC-01573, AC-01574, AC-01575, AC-01576</x:v>
      </x:c>
      <x:c r="G395" s="339" t="str">
        <x:v>BL-197</x:v>
      </x:c>
      <x:c r="H395" s="339" t="str">
        <x:v>BR-00589, BR-00590, BR-00591</x:v>
      </x:c>
      <x:c r="I395" s="339" t="str">
        <x:v>WF-197</x:v>
      </x:c>
      <x:c r="J395" s="339" t="str">
        <x:v>API-0197</x:v>
      </x:c>
      <x:c r="K395" s="339" t="str">
        <x:v>Phase 3</x:v>
      </x:c>
      <x:c r="L395" s="339" t="str">
        <x:v>Not Started</x:v>
      </x:c>
    </x:row>
    <x:row r="396">
      <x:c r="A396" s="339" t="str">
        <x:v>US-0395</x:v>
      </x:c>
      <x:c r="B396" s="339" t="str">
        <x:v>EP-017</x:v>
      </x:c>
      <x:c r="C396" s="339" t="str">
        <x:v>SCR-198</x:v>
      </x:c>
      <x:c r="D396" s="339" t="str">
        <x:v>Library</x:v>
      </x:c>
      <x:c r="E396" s="339" t="str">
        <x:v>Library Catalogue</x:v>
      </x:c>
      <x:c r="F396" s="339" t="str">
        <x:v>AC-01577, AC-01578, AC-01579, AC-01580</x:v>
      </x:c>
      <x:c r="G396" s="339" t="str">
        <x:v>BL-198</x:v>
      </x:c>
      <x:c r="H396" s="339" t="str">
        <x:v>BR-00592, BR-00593, BR-00594</x:v>
      </x:c>
      <x:c r="I396" s="339" t="str">
        <x:v>WF-198</x:v>
      </x:c>
      <x:c r="J396" s="339" t="str">
        <x:v>API-0198</x:v>
      </x:c>
      <x:c r="K396" s="339" t="str">
        <x:v>Phase 2</x:v>
      </x:c>
      <x:c r="L396" s="339" t="str">
        <x:v>Not Started</x:v>
      </x:c>
    </x:row>
    <x:row r="397">
      <x:c r="A397" s="339" t="str">
        <x:v>US-0396</x:v>
      </x:c>
      <x:c r="B397" s="339" t="str">
        <x:v>EP-017</x:v>
      </x:c>
      <x:c r="C397" s="339" t="str">
        <x:v>SCR-198</x:v>
      </x:c>
      <x:c r="D397" s="339" t="str">
        <x:v>Library</x:v>
      </x:c>
      <x:c r="E397" s="339" t="str">
        <x:v>Library Catalogue</x:v>
      </x:c>
      <x:c r="F397" s="339" t="str">
        <x:v>AC-01581, AC-01582, AC-01583, AC-01584</x:v>
      </x:c>
      <x:c r="G397" s="339" t="str">
        <x:v>BL-198</x:v>
      </x:c>
      <x:c r="H397" s="339" t="str">
        <x:v>BR-00592, BR-00593, BR-00594</x:v>
      </x:c>
      <x:c r="I397" s="339" t="str">
        <x:v>WF-198</x:v>
      </x:c>
      <x:c r="J397" s="339" t="str">
        <x:v>API-0198</x:v>
      </x:c>
      <x:c r="K397" s="339" t="str">
        <x:v>Phase 2</x:v>
      </x:c>
      <x:c r="L397" s="339" t="str">
        <x:v>Not Started</x:v>
      </x:c>
    </x:row>
    <x:row r="398">
      <x:c r="A398" s="339" t="str">
        <x:v>US-0397</x:v>
      </x:c>
      <x:c r="B398" s="339" t="str">
        <x:v>EP-017</x:v>
      </x:c>
      <x:c r="C398" s="339" t="str">
        <x:v>SCR-199</x:v>
      </x:c>
      <x:c r="D398" s="339" t="str">
        <x:v>Library</x:v>
      </x:c>
      <x:c r="E398" s="339" t="str">
        <x:v>Add / Edit Book</x:v>
      </x:c>
      <x:c r="F398" s="339" t="str">
        <x:v>AC-01585, AC-01586, AC-01587, AC-01588</x:v>
      </x:c>
      <x:c r="G398" s="339" t="str">
        <x:v>BL-199</x:v>
      </x:c>
      <x:c r="H398" s="339" t="str">
        <x:v>BR-00595, BR-00596, BR-00597</x:v>
      </x:c>
      <x:c r="I398" s="339" t="str">
        <x:v>WF-199</x:v>
      </x:c>
      <x:c r="J398" s="339" t="str">
        <x:v>API-0199</x:v>
      </x:c>
      <x:c r="K398" s="339" t="str">
        <x:v>Phase 2</x:v>
      </x:c>
      <x:c r="L398" s="339" t="str">
        <x:v>Not Started</x:v>
      </x:c>
    </x:row>
    <x:row r="399">
      <x:c r="A399" s="339" t="str">
        <x:v>US-0398</x:v>
      </x:c>
      <x:c r="B399" s="339" t="str">
        <x:v>EP-017</x:v>
      </x:c>
      <x:c r="C399" s="339" t="str">
        <x:v>SCR-199</x:v>
      </x:c>
      <x:c r="D399" s="339" t="str">
        <x:v>Library</x:v>
      </x:c>
      <x:c r="E399" s="339" t="str">
        <x:v>Add / Edit Book</x:v>
      </x:c>
      <x:c r="F399" s="339" t="str">
        <x:v>AC-01589, AC-01590, AC-01591, AC-01592</x:v>
      </x:c>
      <x:c r="G399" s="339" t="str">
        <x:v>BL-199</x:v>
      </x:c>
      <x:c r="H399" s="339" t="str">
        <x:v>BR-00595, BR-00596, BR-00597</x:v>
      </x:c>
      <x:c r="I399" s="339" t="str">
        <x:v>WF-199</x:v>
      </x:c>
      <x:c r="J399" s="339" t="str">
        <x:v>API-0199</x:v>
      </x:c>
      <x:c r="K399" s="339" t="str">
        <x:v>Phase 2</x:v>
      </x:c>
      <x:c r="L399" s="339" t="str">
        <x:v>Not Started</x:v>
      </x:c>
    </x:row>
    <x:row r="400">
      <x:c r="A400" s="339" t="str">
        <x:v>US-0399</x:v>
      </x:c>
      <x:c r="B400" s="339" t="str">
        <x:v>EP-017</x:v>
      </x:c>
      <x:c r="C400" s="339" t="str">
        <x:v>SCR-200</x:v>
      </x:c>
      <x:c r="D400" s="339" t="str">
        <x:v>Library</x:v>
      </x:c>
      <x:c r="E400" s="339" t="str">
        <x:v>Book Details &amp; Copies</x:v>
      </x:c>
      <x:c r="F400" s="339" t="str">
        <x:v>AC-01593, AC-01594, AC-01595, AC-01596</x:v>
      </x:c>
      <x:c r="G400" s="339" t="str">
        <x:v>BL-200</x:v>
      </x:c>
      <x:c r="H400" s="339" t="str">
        <x:v>BR-00598, BR-00599, BR-00600</x:v>
      </x:c>
      <x:c r="I400" s="339" t="str">
        <x:v>WF-200</x:v>
      </x:c>
      <x:c r="J400" s="339" t="str">
        <x:v>API-0200</x:v>
      </x:c>
      <x:c r="K400" s="339" t="str">
        <x:v>Phase 2</x:v>
      </x:c>
      <x:c r="L400" s="339" t="str">
        <x:v>Not Started</x:v>
      </x:c>
    </x:row>
    <x:row r="401">
      <x:c r="A401" s="339" t="str">
        <x:v>US-0400</x:v>
      </x:c>
      <x:c r="B401" s="339" t="str">
        <x:v>EP-017</x:v>
      </x:c>
      <x:c r="C401" s="339" t="str">
        <x:v>SCR-200</x:v>
      </x:c>
      <x:c r="D401" s="339" t="str">
        <x:v>Library</x:v>
      </x:c>
      <x:c r="E401" s="339" t="str">
        <x:v>Book Details &amp; Copies</x:v>
      </x:c>
      <x:c r="F401" s="339" t="str">
        <x:v>AC-01597, AC-01598, AC-01599, AC-01600</x:v>
      </x:c>
      <x:c r="G401" s="339" t="str">
        <x:v>BL-200</x:v>
      </x:c>
      <x:c r="H401" s="339" t="str">
        <x:v>BR-00598, BR-00599, BR-00600</x:v>
      </x:c>
      <x:c r="I401" s="339" t="str">
        <x:v>WF-200</x:v>
      </x:c>
      <x:c r="J401" s="339" t="str">
        <x:v>API-0200</x:v>
      </x:c>
      <x:c r="K401" s="339" t="str">
        <x:v>Phase 2</x:v>
      </x:c>
      <x:c r="L401" s="339" t="str">
        <x:v>Not Started</x:v>
      </x:c>
    </x:row>
    <x:row r="402">
      <x:c r="A402" s="339" t="str">
        <x:v>US-0401</x:v>
      </x:c>
      <x:c r="B402" s="339" t="str">
        <x:v>EP-017</x:v>
      </x:c>
      <x:c r="C402" s="339" t="str">
        <x:v>SCR-201</x:v>
      </x:c>
      <x:c r="D402" s="339" t="str">
        <x:v>Library</x:v>
      </x:c>
      <x:c r="E402" s="339" t="str">
        <x:v>Library Members</x:v>
      </x:c>
      <x:c r="F402" s="339" t="str">
        <x:v>AC-01601, AC-01602, AC-01603, AC-01604</x:v>
      </x:c>
      <x:c r="G402" s="339" t="str">
        <x:v>BL-201</x:v>
      </x:c>
      <x:c r="H402" s="339" t="str">
        <x:v>BR-00601, BR-00602, BR-00603</x:v>
      </x:c>
      <x:c r="I402" s="339" t="str">
        <x:v>WF-201</x:v>
      </x:c>
      <x:c r="J402" s="339" t="str">
        <x:v>API-0201</x:v>
      </x:c>
      <x:c r="K402" s="339" t="str">
        <x:v>Phase 2</x:v>
      </x:c>
      <x:c r="L402" s="339" t="str">
        <x:v>Not Started</x:v>
      </x:c>
    </x:row>
    <x:row r="403">
      <x:c r="A403" s="339" t="str">
        <x:v>US-0402</x:v>
      </x:c>
      <x:c r="B403" s="339" t="str">
        <x:v>EP-017</x:v>
      </x:c>
      <x:c r="C403" s="339" t="str">
        <x:v>SCR-201</x:v>
      </x:c>
      <x:c r="D403" s="339" t="str">
        <x:v>Library</x:v>
      </x:c>
      <x:c r="E403" s="339" t="str">
        <x:v>Library Members</x:v>
      </x:c>
      <x:c r="F403" s="339" t="str">
        <x:v>AC-01605, AC-01606, AC-01607, AC-01608</x:v>
      </x:c>
      <x:c r="G403" s="339" t="str">
        <x:v>BL-201</x:v>
      </x:c>
      <x:c r="H403" s="339" t="str">
        <x:v>BR-00601, BR-00602, BR-00603</x:v>
      </x:c>
      <x:c r="I403" s="339" t="str">
        <x:v>WF-201</x:v>
      </x:c>
      <x:c r="J403" s="339" t="str">
        <x:v>API-0201</x:v>
      </x:c>
      <x:c r="K403" s="339" t="str">
        <x:v>Phase 2</x:v>
      </x:c>
      <x:c r="L403" s="339" t="str">
        <x:v>Not Started</x:v>
      </x:c>
    </x:row>
    <x:row r="404">
      <x:c r="A404" s="339" t="str">
        <x:v>US-0403</x:v>
      </x:c>
      <x:c r="B404" s="339" t="str">
        <x:v>EP-017</x:v>
      </x:c>
      <x:c r="C404" s="339" t="str">
        <x:v>SCR-202</x:v>
      </x:c>
      <x:c r="D404" s="339" t="str">
        <x:v>Library</x:v>
      </x:c>
      <x:c r="E404" s="339" t="str">
        <x:v>Issue Book</x:v>
      </x:c>
      <x:c r="F404" s="339" t="str">
        <x:v>AC-01609, AC-01610, AC-01611, AC-01612</x:v>
      </x:c>
      <x:c r="G404" s="339" t="str">
        <x:v>BL-202</x:v>
      </x:c>
      <x:c r="H404" s="339" t="str">
        <x:v>BR-00604, BR-00605, BR-00606</x:v>
      </x:c>
      <x:c r="I404" s="339" t="str">
        <x:v>WF-202</x:v>
      </x:c>
      <x:c r="J404" s="339" t="str">
        <x:v>API-0202</x:v>
      </x:c>
      <x:c r="K404" s="339" t="str">
        <x:v>Phase 2</x:v>
      </x:c>
      <x:c r="L404" s="339" t="str">
        <x:v>Not Started</x:v>
      </x:c>
    </x:row>
    <x:row r="405">
      <x:c r="A405" s="339" t="str">
        <x:v>US-0404</x:v>
      </x:c>
      <x:c r="B405" s="339" t="str">
        <x:v>EP-017</x:v>
      </x:c>
      <x:c r="C405" s="339" t="str">
        <x:v>SCR-202</x:v>
      </x:c>
      <x:c r="D405" s="339" t="str">
        <x:v>Library</x:v>
      </x:c>
      <x:c r="E405" s="339" t="str">
        <x:v>Issue Book</x:v>
      </x:c>
      <x:c r="F405" s="339" t="str">
        <x:v>AC-01613, AC-01614, AC-01615, AC-01616</x:v>
      </x:c>
      <x:c r="G405" s="339" t="str">
        <x:v>BL-202</x:v>
      </x:c>
      <x:c r="H405" s="339" t="str">
        <x:v>BR-00604, BR-00605, BR-00606</x:v>
      </x:c>
      <x:c r="I405" s="339" t="str">
        <x:v>WF-202</x:v>
      </x:c>
      <x:c r="J405" s="339" t="str">
        <x:v>API-0202</x:v>
      </x:c>
      <x:c r="K405" s="339" t="str">
        <x:v>Phase 2</x:v>
      </x:c>
      <x:c r="L405" s="339" t="str">
        <x:v>Not Started</x:v>
      </x:c>
    </x:row>
    <x:row r="406">
      <x:c r="A406" s="339" t="str">
        <x:v>US-0405</x:v>
      </x:c>
      <x:c r="B406" s="339" t="str">
        <x:v>EP-017</x:v>
      </x:c>
      <x:c r="C406" s="339" t="str">
        <x:v>SCR-203</x:v>
      </x:c>
      <x:c r="D406" s="339" t="str">
        <x:v>Library</x:v>
      </x:c>
      <x:c r="E406" s="339" t="str">
        <x:v>Return Book</x:v>
      </x:c>
      <x:c r="F406" s="339" t="str">
        <x:v>AC-01617, AC-01618, AC-01619, AC-01620</x:v>
      </x:c>
      <x:c r="G406" s="339" t="str">
        <x:v>BL-203</x:v>
      </x:c>
      <x:c r="H406" s="339" t="str">
        <x:v>BR-00607, BR-00608, BR-00609</x:v>
      </x:c>
      <x:c r="I406" s="339" t="str">
        <x:v>WF-203</x:v>
      </x:c>
      <x:c r="J406" s="339" t="str">
        <x:v>API-0203</x:v>
      </x:c>
      <x:c r="K406" s="339" t="str">
        <x:v>Phase 3</x:v>
      </x:c>
      <x:c r="L406" s="339" t="str">
        <x:v>Not Started</x:v>
      </x:c>
    </x:row>
    <x:row r="407">
      <x:c r="A407" s="339" t="str">
        <x:v>US-0406</x:v>
      </x:c>
      <x:c r="B407" s="339" t="str">
        <x:v>EP-017</x:v>
      </x:c>
      <x:c r="C407" s="339" t="str">
        <x:v>SCR-203</x:v>
      </x:c>
      <x:c r="D407" s="339" t="str">
        <x:v>Library</x:v>
      </x:c>
      <x:c r="E407" s="339" t="str">
        <x:v>Return Book</x:v>
      </x:c>
      <x:c r="F407" s="339" t="str">
        <x:v>AC-01621, AC-01622, AC-01623, AC-01624</x:v>
      </x:c>
      <x:c r="G407" s="339" t="str">
        <x:v>BL-203</x:v>
      </x:c>
      <x:c r="H407" s="339" t="str">
        <x:v>BR-00607, BR-00608, BR-00609</x:v>
      </x:c>
      <x:c r="I407" s="339" t="str">
        <x:v>WF-203</x:v>
      </x:c>
      <x:c r="J407" s="339" t="str">
        <x:v>API-0203</x:v>
      </x:c>
      <x:c r="K407" s="339" t="str">
        <x:v>Phase 3</x:v>
      </x:c>
      <x:c r="L407" s="339" t="str">
        <x:v>Not Started</x:v>
      </x:c>
    </x:row>
    <x:row r="408">
      <x:c r="A408" s="339" t="str">
        <x:v>US-0407</x:v>
      </x:c>
      <x:c r="B408" s="339" t="str">
        <x:v>EP-017</x:v>
      </x:c>
      <x:c r="C408" s="339" t="str">
        <x:v>SCR-204</x:v>
      </x:c>
      <x:c r="D408" s="339" t="str">
        <x:v>Library</x:v>
      </x:c>
      <x:c r="E408" s="339" t="str">
        <x:v>Renew / Reserve Book</x:v>
      </x:c>
      <x:c r="F408" s="339" t="str">
        <x:v>AC-01625, AC-01626, AC-01627, AC-01628</x:v>
      </x:c>
      <x:c r="G408" s="339" t="str">
        <x:v>BL-204</x:v>
      </x:c>
      <x:c r="H408" s="339" t="str">
        <x:v>BR-00610, BR-00611, BR-00612</x:v>
      </x:c>
      <x:c r="I408" s="339" t="str">
        <x:v>WF-204</x:v>
      </x:c>
      <x:c r="J408" s="339" t="str">
        <x:v>API-0204</x:v>
      </x:c>
      <x:c r="K408" s="339" t="str">
        <x:v>Phase 3</x:v>
      </x:c>
      <x:c r="L408" s="339" t="str">
        <x:v>Not Started</x:v>
      </x:c>
    </x:row>
    <x:row r="409">
      <x:c r="A409" s="339" t="str">
        <x:v>US-0408</x:v>
      </x:c>
      <x:c r="B409" s="339" t="str">
        <x:v>EP-017</x:v>
      </x:c>
      <x:c r="C409" s="339" t="str">
        <x:v>SCR-204</x:v>
      </x:c>
      <x:c r="D409" s="339" t="str">
        <x:v>Library</x:v>
      </x:c>
      <x:c r="E409" s="339" t="str">
        <x:v>Renew / Reserve Book</x:v>
      </x:c>
      <x:c r="F409" s="339" t="str">
        <x:v>AC-01629, AC-01630, AC-01631, AC-01632</x:v>
      </x:c>
      <x:c r="G409" s="339" t="str">
        <x:v>BL-204</x:v>
      </x:c>
      <x:c r="H409" s="339" t="str">
        <x:v>BR-00610, BR-00611, BR-00612</x:v>
      </x:c>
      <x:c r="I409" s="339" t="str">
        <x:v>WF-204</x:v>
      </x:c>
      <x:c r="J409" s="339" t="str">
        <x:v>API-0204</x:v>
      </x:c>
      <x:c r="K409" s="339" t="str">
        <x:v>Phase 3</x:v>
      </x:c>
      <x:c r="L409" s="339" t="str">
        <x:v>Not Started</x:v>
      </x:c>
    </x:row>
    <x:row r="410">
      <x:c r="A410" s="339" t="str">
        <x:v>US-0409</x:v>
      </x:c>
      <x:c r="B410" s="339" t="str">
        <x:v>EP-017</x:v>
      </x:c>
      <x:c r="C410" s="339" t="str">
        <x:v>SCR-205</x:v>
      </x:c>
      <x:c r="D410" s="339" t="str">
        <x:v>Library</x:v>
      </x:c>
      <x:c r="E410" s="339" t="str">
        <x:v>Fine / Lost / Damaged Book</x:v>
      </x:c>
      <x:c r="F410" s="339" t="str">
        <x:v>AC-01633, AC-01634, AC-01635, AC-01636</x:v>
      </x:c>
      <x:c r="G410" s="339" t="str">
        <x:v>BL-205</x:v>
      </x:c>
      <x:c r="H410" s="339" t="str">
        <x:v>BR-00613, BR-00614, BR-00615</x:v>
      </x:c>
      <x:c r="I410" s="339" t="str">
        <x:v>WF-205</x:v>
      </x:c>
      <x:c r="J410" s="339" t="str">
        <x:v>API-0205</x:v>
      </x:c>
      <x:c r="K410" s="339" t="str">
        <x:v>Phase 3</x:v>
      </x:c>
      <x:c r="L410" s="339" t="str">
        <x:v>Not Started</x:v>
      </x:c>
    </x:row>
    <x:row r="411">
      <x:c r="A411" s="339" t="str">
        <x:v>US-0410</x:v>
      </x:c>
      <x:c r="B411" s="339" t="str">
        <x:v>EP-017</x:v>
      </x:c>
      <x:c r="C411" s="339" t="str">
        <x:v>SCR-205</x:v>
      </x:c>
      <x:c r="D411" s="339" t="str">
        <x:v>Library</x:v>
      </x:c>
      <x:c r="E411" s="339" t="str">
        <x:v>Fine / Lost / Damaged Book</x:v>
      </x:c>
      <x:c r="F411" s="339" t="str">
        <x:v>AC-01637, AC-01638, AC-01639, AC-01640</x:v>
      </x:c>
      <x:c r="G411" s="339" t="str">
        <x:v>BL-205</x:v>
      </x:c>
      <x:c r="H411" s="339" t="str">
        <x:v>BR-00613, BR-00614, BR-00615</x:v>
      </x:c>
      <x:c r="I411" s="339" t="str">
        <x:v>WF-205</x:v>
      </x:c>
      <x:c r="J411" s="339" t="str">
        <x:v>API-0205</x:v>
      </x:c>
      <x:c r="K411" s="339" t="str">
        <x:v>Phase 3</x:v>
      </x:c>
      <x:c r="L411" s="339" t="str">
        <x:v>Not Started</x:v>
      </x:c>
    </x:row>
    <x:row r="412">
      <x:c r="A412" s="339" t="str">
        <x:v>US-0411</x:v>
      </x:c>
      <x:c r="B412" s="339" t="str">
        <x:v>EP-017</x:v>
      </x:c>
      <x:c r="C412" s="339" t="str">
        <x:v>SCR-206</x:v>
      </x:c>
      <x:c r="D412" s="339" t="str">
        <x:v>Library</x:v>
      </x:c>
      <x:c r="E412" s="339" t="str">
        <x:v>Digital Library</x:v>
      </x:c>
      <x:c r="F412" s="339" t="str">
        <x:v>AC-01641, AC-01642, AC-01643, AC-01644</x:v>
      </x:c>
      <x:c r="G412" s="339" t="str">
        <x:v>BL-206</x:v>
      </x:c>
      <x:c r="H412" s="339" t="str">
        <x:v>BR-00616, BR-00617, BR-00618</x:v>
      </x:c>
      <x:c r="I412" s="339" t="str">
        <x:v>WF-206</x:v>
      </x:c>
      <x:c r="J412" s="339" t="str">
        <x:v>API-0206</x:v>
      </x:c>
      <x:c r="K412" s="339" t="str">
        <x:v>Phase 3</x:v>
      </x:c>
      <x:c r="L412" s="339" t="str">
        <x:v>Not Started</x:v>
      </x:c>
    </x:row>
    <x:row r="413">
      <x:c r="A413" s="339" t="str">
        <x:v>US-0412</x:v>
      </x:c>
      <x:c r="B413" s="339" t="str">
        <x:v>EP-017</x:v>
      </x:c>
      <x:c r="C413" s="339" t="str">
        <x:v>SCR-206</x:v>
      </x:c>
      <x:c r="D413" s="339" t="str">
        <x:v>Library</x:v>
      </x:c>
      <x:c r="E413" s="339" t="str">
        <x:v>Digital Library</x:v>
      </x:c>
      <x:c r="F413" s="339" t="str">
        <x:v>AC-01645, AC-01646, AC-01647, AC-01648</x:v>
      </x:c>
      <x:c r="G413" s="339" t="str">
        <x:v>BL-206</x:v>
      </x:c>
      <x:c r="H413" s="339" t="str">
        <x:v>BR-00616, BR-00617, BR-00618</x:v>
      </x:c>
      <x:c r="I413" s="339" t="str">
        <x:v>WF-206</x:v>
      </x:c>
      <x:c r="J413" s="339" t="str">
        <x:v>API-0206</x:v>
      </x:c>
      <x:c r="K413" s="339" t="str">
        <x:v>Phase 3</x:v>
      </x:c>
      <x:c r="L413" s="339" t="str">
        <x:v>Not Started</x:v>
      </x:c>
    </x:row>
    <x:row r="414">
      <x:c r="A414" s="339" t="str">
        <x:v>US-0413</x:v>
      </x:c>
      <x:c r="B414" s="339" t="str">
        <x:v>EP-017</x:v>
      </x:c>
      <x:c r="C414" s="339" t="str">
        <x:v>SCR-207</x:v>
      </x:c>
      <x:c r="D414" s="339" t="str">
        <x:v>Library</x:v>
      </x:c>
      <x:c r="E414" s="339" t="str">
        <x:v>Library Reports</x:v>
      </x:c>
      <x:c r="F414" s="339" t="str">
        <x:v>AC-01649, AC-01650, AC-01651, AC-01652</x:v>
      </x:c>
      <x:c r="G414" s="339" t="str">
        <x:v>BL-207</x:v>
      </x:c>
      <x:c r="H414" s="339" t="str">
        <x:v>BR-00619, BR-00620, BR-00621</x:v>
      </x:c>
      <x:c r="I414" s="339" t="str">
        <x:v>WF-207</x:v>
      </x:c>
      <x:c r="J414" s="339" t="str">
        <x:v>API-0207</x:v>
      </x:c>
      <x:c r="K414" s="339" t="str">
        <x:v>Phase 3</x:v>
      </x:c>
      <x:c r="L414" s="339" t="str">
        <x:v>Not Started</x:v>
      </x:c>
    </x:row>
    <x:row r="415">
      <x:c r="A415" s="339" t="str">
        <x:v>US-0414</x:v>
      </x:c>
      <x:c r="B415" s="339" t="str">
        <x:v>EP-017</x:v>
      </x:c>
      <x:c r="C415" s="339" t="str">
        <x:v>SCR-207</x:v>
      </x:c>
      <x:c r="D415" s="339" t="str">
        <x:v>Library</x:v>
      </x:c>
      <x:c r="E415" s="339" t="str">
        <x:v>Library Reports</x:v>
      </x:c>
      <x:c r="F415" s="339" t="str">
        <x:v>AC-01653, AC-01654, AC-01655, AC-01656</x:v>
      </x:c>
      <x:c r="G415" s="339" t="str">
        <x:v>BL-207</x:v>
      </x:c>
      <x:c r="H415" s="339" t="str">
        <x:v>BR-00619, BR-00620, BR-00621</x:v>
      </x:c>
      <x:c r="I415" s="339" t="str">
        <x:v>WF-207</x:v>
      </x:c>
      <x:c r="J415" s="339" t="str">
        <x:v>API-0207</x:v>
      </x:c>
      <x:c r="K415" s="339" t="str">
        <x:v>Phase 3</x:v>
      </x:c>
      <x:c r="L415" s="339" t="str">
        <x:v>Not Started</x:v>
      </x:c>
    </x:row>
    <x:row r="416">
      <x:c r="A416" s="339" t="str">
        <x:v>US-0415</x:v>
      </x:c>
      <x:c r="B416" s="339" t="str">
        <x:v>EP-018</x:v>
      </x:c>
      <x:c r="C416" s="339" t="str">
        <x:v>SCR-208</x:v>
      </x:c>
      <x:c r="D416" s="339" t="str">
        <x:v>Hostel</x:v>
      </x:c>
      <x:c r="E416" s="339" t="str">
        <x:v>Hostels / Buildings</x:v>
      </x:c>
      <x:c r="F416" s="339" t="str">
        <x:v>AC-01657, AC-01658, AC-01659, AC-01660</x:v>
      </x:c>
      <x:c r="G416" s="339" t="str">
        <x:v>BL-208</x:v>
      </x:c>
      <x:c r="H416" s="339" t="str">
        <x:v>BR-00622, BR-00623, BR-00624</x:v>
      </x:c>
      <x:c r="I416" s="339" t="str">
        <x:v>WF-208</x:v>
      </x:c>
      <x:c r="J416" s="339" t="str">
        <x:v>API-0208</x:v>
      </x:c>
      <x:c r="K416" s="339" t="str">
        <x:v>Phase 2</x:v>
      </x:c>
      <x:c r="L416" s="339" t="str">
        <x:v>Not Started</x:v>
      </x:c>
    </x:row>
    <x:row r="417">
      <x:c r="A417" s="339" t="str">
        <x:v>US-0416</x:v>
      </x:c>
      <x:c r="B417" s="339" t="str">
        <x:v>EP-018</x:v>
      </x:c>
      <x:c r="C417" s="339" t="str">
        <x:v>SCR-208</x:v>
      </x:c>
      <x:c r="D417" s="339" t="str">
        <x:v>Hostel</x:v>
      </x:c>
      <x:c r="E417" s="339" t="str">
        <x:v>Hostels / Buildings</x:v>
      </x:c>
      <x:c r="F417" s="339" t="str">
        <x:v>AC-01661, AC-01662, AC-01663, AC-01664</x:v>
      </x:c>
      <x:c r="G417" s="339" t="str">
        <x:v>BL-208</x:v>
      </x:c>
      <x:c r="H417" s="339" t="str">
        <x:v>BR-00622, BR-00623, BR-00624</x:v>
      </x:c>
      <x:c r="I417" s="339" t="str">
        <x:v>WF-208</x:v>
      </x:c>
      <x:c r="J417" s="339" t="str">
        <x:v>API-0208</x:v>
      </x:c>
      <x:c r="K417" s="339" t="str">
        <x:v>Phase 2</x:v>
      </x:c>
      <x:c r="L417" s="339" t="str">
        <x:v>Not Started</x:v>
      </x:c>
    </x:row>
    <x:row r="418">
      <x:c r="A418" s="339" t="str">
        <x:v>US-0417</x:v>
      </x:c>
      <x:c r="B418" s="339" t="str">
        <x:v>EP-018</x:v>
      </x:c>
      <x:c r="C418" s="339" t="str">
        <x:v>SCR-209</x:v>
      </x:c>
      <x:c r="D418" s="339" t="str">
        <x:v>Hostel</x:v>
      </x:c>
      <x:c r="E418" s="339" t="str">
        <x:v>Rooms &amp; Beds</x:v>
      </x:c>
      <x:c r="F418" s="339" t="str">
        <x:v>AC-01665, AC-01666, AC-01667, AC-01668</x:v>
      </x:c>
      <x:c r="G418" s="339" t="str">
        <x:v>BL-209</x:v>
      </x:c>
      <x:c r="H418" s="339" t="str">
        <x:v>BR-00625, BR-00626, BR-00627</x:v>
      </x:c>
      <x:c r="I418" s="339" t="str">
        <x:v>WF-209</x:v>
      </x:c>
      <x:c r="J418" s="339" t="str">
        <x:v>API-0209</x:v>
      </x:c>
      <x:c r="K418" s="339" t="str">
        <x:v>Phase 2</x:v>
      </x:c>
      <x:c r="L418" s="339" t="str">
        <x:v>Not Started</x:v>
      </x:c>
    </x:row>
    <x:row r="419">
      <x:c r="A419" s="339" t="str">
        <x:v>US-0418</x:v>
      </x:c>
      <x:c r="B419" s="339" t="str">
        <x:v>EP-018</x:v>
      </x:c>
      <x:c r="C419" s="339" t="str">
        <x:v>SCR-209</x:v>
      </x:c>
      <x:c r="D419" s="339" t="str">
        <x:v>Hostel</x:v>
      </x:c>
      <x:c r="E419" s="339" t="str">
        <x:v>Rooms &amp; Beds</x:v>
      </x:c>
      <x:c r="F419" s="339" t="str">
        <x:v>AC-01669, AC-01670, AC-01671, AC-01672</x:v>
      </x:c>
      <x:c r="G419" s="339" t="str">
        <x:v>BL-209</x:v>
      </x:c>
      <x:c r="H419" s="339" t="str">
        <x:v>BR-00625, BR-00626, BR-00627</x:v>
      </x:c>
      <x:c r="I419" s="339" t="str">
        <x:v>WF-209</x:v>
      </x:c>
      <x:c r="J419" s="339" t="str">
        <x:v>API-0209</x:v>
      </x:c>
      <x:c r="K419" s="339" t="str">
        <x:v>Phase 2</x:v>
      </x:c>
      <x:c r="L419" s="339" t="str">
        <x:v>Not Started</x:v>
      </x:c>
    </x:row>
    <x:row r="420">
      <x:c r="A420" s="339" t="str">
        <x:v>US-0419</x:v>
      </x:c>
      <x:c r="B420" s="339" t="str">
        <x:v>EP-018</x:v>
      </x:c>
      <x:c r="C420" s="339" t="str">
        <x:v>SCR-210</x:v>
      </x:c>
      <x:c r="D420" s="339" t="str">
        <x:v>Hostel</x:v>
      </x:c>
      <x:c r="E420" s="339" t="str">
        <x:v>Student Hostel Allocation</x:v>
      </x:c>
      <x:c r="F420" s="339" t="str">
        <x:v>AC-01673, AC-01674, AC-01675, AC-01676</x:v>
      </x:c>
      <x:c r="G420" s="339" t="str">
        <x:v>BL-210</x:v>
      </x:c>
      <x:c r="H420" s="339" t="str">
        <x:v>BR-00628, BR-00629, BR-00630</x:v>
      </x:c>
      <x:c r="I420" s="339" t="str">
        <x:v>WF-210</x:v>
      </x:c>
      <x:c r="J420" s="339" t="str">
        <x:v>API-0210</x:v>
      </x:c>
      <x:c r="K420" s="339" t="str">
        <x:v>Phase 3</x:v>
      </x:c>
      <x:c r="L420" s="339" t="str">
        <x:v>Not Started</x:v>
      </x:c>
    </x:row>
    <x:row r="421">
      <x:c r="A421" s="339" t="str">
        <x:v>US-0420</x:v>
      </x:c>
      <x:c r="B421" s="339" t="str">
        <x:v>EP-018</x:v>
      </x:c>
      <x:c r="C421" s="339" t="str">
        <x:v>SCR-210</x:v>
      </x:c>
      <x:c r="D421" s="339" t="str">
        <x:v>Hostel</x:v>
      </x:c>
      <x:c r="E421" s="339" t="str">
        <x:v>Student Hostel Allocation</x:v>
      </x:c>
      <x:c r="F421" s="339" t="str">
        <x:v>AC-01677, AC-01678, AC-01679, AC-01680</x:v>
      </x:c>
      <x:c r="G421" s="339" t="str">
        <x:v>BL-210</x:v>
      </x:c>
      <x:c r="H421" s="339" t="str">
        <x:v>BR-00628, BR-00629, BR-00630</x:v>
      </x:c>
      <x:c r="I421" s="339" t="str">
        <x:v>WF-210</x:v>
      </x:c>
      <x:c r="J421" s="339" t="str">
        <x:v>API-0210</x:v>
      </x:c>
      <x:c r="K421" s="339" t="str">
        <x:v>Phase 3</x:v>
      </x:c>
      <x:c r="L421" s="339" t="str">
        <x:v>Not Started</x:v>
      </x:c>
    </x:row>
    <x:row r="422">
      <x:c r="A422" s="339" t="str">
        <x:v>US-0421</x:v>
      </x:c>
      <x:c r="B422" s="339" t="str">
        <x:v>EP-018</x:v>
      </x:c>
      <x:c r="C422" s="339" t="str">
        <x:v>SCR-211</x:v>
      </x:c>
      <x:c r="D422" s="339" t="str">
        <x:v>Hostel</x:v>
      </x:c>
      <x:c r="E422" s="339" t="str">
        <x:v>Warden Management</x:v>
      </x:c>
      <x:c r="F422" s="339" t="str">
        <x:v>AC-01681, AC-01682, AC-01683, AC-01684</x:v>
      </x:c>
      <x:c r="G422" s="339" t="str">
        <x:v>BL-211</x:v>
      </x:c>
      <x:c r="H422" s="339" t="str">
        <x:v>BR-00631, BR-00632, BR-00633</x:v>
      </x:c>
      <x:c r="I422" s="339" t="str">
        <x:v>WF-211</x:v>
      </x:c>
      <x:c r="J422" s="339" t="str">
        <x:v>API-0211</x:v>
      </x:c>
      <x:c r="K422" s="339" t="str">
        <x:v>Phase 3</x:v>
      </x:c>
      <x:c r="L422" s="339" t="str">
        <x:v>Not Started</x:v>
      </x:c>
    </x:row>
    <x:row r="423">
      <x:c r="A423" s="339" t="str">
        <x:v>US-0422</x:v>
      </x:c>
      <x:c r="B423" s="339" t="str">
        <x:v>EP-018</x:v>
      </x:c>
      <x:c r="C423" s="339" t="str">
        <x:v>SCR-211</x:v>
      </x:c>
      <x:c r="D423" s="339" t="str">
        <x:v>Hostel</x:v>
      </x:c>
      <x:c r="E423" s="339" t="str">
        <x:v>Warden Management</x:v>
      </x:c>
      <x:c r="F423" s="339" t="str">
        <x:v>AC-01685, AC-01686, AC-01687, AC-01688</x:v>
      </x:c>
      <x:c r="G423" s="339" t="str">
        <x:v>BL-211</x:v>
      </x:c>
      <x:c r="H423" s="339" t="str">
        <x:v>BR-00631, BR-00632, BR-00633</x:v>
      </x:c>
      <x:c r="I423" s="339" t="str">
        <x:v>WF-211</x:v>
      </x:c>
      <x:c r="J423" s="339" t="str">
        <x:v>API-0211</x:v>
      </x:c>
      <x:c r="K423" s="339" t="str">
        <x:v>Phase 3</x:v>
      </x:c>
      <x:c r="L423" s="339" t="str">
        <x:v>Not Started</x:v>
      </x:c>
    </x:row>
    <x:row r="424">
      <x:c r="A424" s="339" t="str">
        <x:v>US-0423</x:v>
      </x:c>
      <x:c r="B424" s="339" t="str">
        <x:v>EP-018</x:v>
      </x:c>
      <x:c r="C424" s="339" t="str">
        <x:v>SCR-212</x:v>
      </x:c>
      <x:c r="D424" s="339" t="str">
        <x:v>Hostel</x:v>
      </x:c>
      <x:c r="E424" s="339" t="str">
        <x:v>Hostel Attendance</x:v>
      </x:c>
      <x:c r="F424" s="339" t="str">
        <x:v>AC-01689, AC-01690, AC-01691, AC-01692</x:v>
      </x:c>
      <x:c r="G424" s="339" t="str">
        <x:v>BL-212</x:v>
      </x:c>
      <x:c r="H424" s="339" t="str">
        <x:v>BR-00634, BR-00635, BR-00636</x:v>
      </x:c>
      <x:c r="I424" s="339" t="str">
        <x:v>WF-212</x:v>
      </x:c>
      <x:c r="J424" s="339" t="str">
        <x:v>API-0212</x:v>
      </x:c>
      <x:c r="K424" s="339" t="str">
        <x:v>Phase 3</x:v>
      </x:c>
      <x:c r="L424" s="339" t="str">
        <x:v>Not Started</x:v>
      </x:c>
    </x:row>
    <x:row r="425">
      <x:c r="A425" s="339" t="str">
        <x:v>US-0424</x:v>
      </x:c>
      <x:c r="B425" s="339" t="str">
        <x:v>EP-018</x:v>
      </x:c>
      <x:c r="C425" s="339" t="str">
        <x:v>SCR-212</x:v>
      </x:c>
      <x:c r="D425" s="339" t="str">
        <x:v>Hostel</x:v>
      </x:c>
      <x:c r="E425" s="339" t="str">
        <x:v>Hostel Attendance</x:v>
      </x:c>
      <x:c r="F425" s="339" t="str">
        <x:v>AC-01693, AC-01694, AC-01695, AC-01696</x:v>
      </x:c>
      <x:c r="G425" s="339" t="str">
        <x:v>BL-212</x:v>
      </x:c>
      <x:c r="H425" s="339" t="str">
        <x:v>BR-00634, BR-00635, BR-00636</x:v>
      </x:c>
      <x:c r="I425" s="339" t="str">
        <x:v>WF-212</x:v>
      </x:c>
      <x:c r="J425" s="339" t="str">
        <x:v>API-0212</x:v>
      </x:c>
      <x:c r="K425" s="339" t="str">
        <x:v>Phase 3</x:v>
      </x:c>
      <x:c r="L425" s="339" t="str">
        <x:v>Not Started</x:v>
      </x:c>
    </x:row>
    <x:row r="426">
      <x:c r="A426" s="339" t="str">
        <x:v>US-0425</x:v>
      </x:c>
      <x:c r="B426" s="339" t="str">
        <x:v>EP-018</x:v>
      </x:c>
      <x:c r="C426" s="339" t="str">
        <x:v>SCR-213</x:v>
      </x:c>
      <x:c r="D426" s="339" t="str">
        <x:v>Hostel</x:v>
      </x:c>
      <x:c r="E426" s="339" t="str">
        <x:v>Leave / Outing</x:v>
      </x:c>
      <x:c r="F426" s="339" t="str">
        <x:v>AC-01697, AC-01698, AC-01699, AC-01700</x:v>
      </x:c>
      <x:c r="G426" s="339" t="str">
        <x:v>BL-213</x:v>
      </x:c>
      <x:c r="H426" s="339" t="str">
        <x:v>BR-00637, BR-00638, BR-00639</x:v>
      </x:c>
      <x:c r="I426" s="339" t="str">
        <x:v>WF-213</x:v>
      </x:c>
      <x:c r="J426" s="339" t="str">
        <x:v>API-0213</x:v>
      </x:c>
      <x:c r="K426" s="339" t="str">
        <x:v>Phase 3</x:v>
      </x:c>
      <x:c r="L426" s="339" t="str">
        <x:v>Not Started</x:v>
      </x:c>
    </x:row>
    <x:row r="427">
      <x:c r="A427" s="339" t="str">
        <x:v>US-0426</x:v>
      </x:c>
      <x:c r="B427" s="339" t="str">
        <x:v>EP-018</x:v>
      </x:c>
      <x:c r="C427" s="339" t="str">
        <x:v>SCR-213</x:v>
      </x:c>
      <x:c r="D427" s="339" t="str">
        <x:v>Hostel</x:v>
      </x:c>
      <x:c r="E427" s="339" t="str">
        <x:v>Leave / Outing</x:v>
      </x:c>
      <x:c r="F427" s="339" t="str">
        <x:v>AC-01701, AC-01702, AC-01703, AC-01704</x:v>
      </x:c>
      <x:c r="G427" s="339" t="str">
        <x:v>BL-213</x:v>
      </x:c>
      <x:c r="H427" s="339" t="str">
        <x:v>BR-00637, BR-00638, BR-00639</x:v>
      </x:c>
      <x:c r="I427" s="339" t="str">
        <x:v>WF-213</x:v>
      </x:c>
      <x:c r="J427" s="339" t="str">
        <x:v>API-0213</x:v>
      </x:c>
      <x:c r="K427" s="339" t="str">
        <x:v>Phase 3</x:v>
      </x:c>
      <x:c r="L427" s="339" t="str">
        <x:v>Not Started</x:v>
      </x:c>
    </x:row>
    <x:row r="428">
      <x:c r="A428" s="339" t="str">
        <x:v>US-0427</x:v>
      </x:c>
      <x:c r="B428" s="339" t="str">
        <x:v>EP-018</x:v>
      </x:c>
      <x:c r="C428" s="339" t="str">
        <x:v>SCR-214</x:v>
      </x:c>
      <x:c r="D428" s="339" t="str">
        <x:v>Hostel</x:v>
      </x:c>
      <x:c r="E428" s="339" t="str">
        <x:v>Mess / Meal Schedule</x:v>
      </x:c>
      <x:c r="F428" s="339" t="str">
        <x:v>AC-01705, AC-01706, AC-01707, AC-01708</x:v>
      </x:c>
      <x:c r="G428" s="339" t="str">
        <x:v>BL-214</x:v>
      </x:c>
      <x:c r="H428" s="339" t="str">
        <x:v>BR-00640, BR-00641, BR-00642</x:v>
      </x:c>
      <x:c r="I428" s="339" t="str">
        <x:v>WF-214</x:v>
      </x:c>
      <x:c r="J428" s="339" t="str">
        <x:v>API-0214</x:v>
      </x:c>
      <x:c r="K428" s="339" t="str">
        <x:v>Phase 3</x:v>
      </x:c>
      <x:c r="L428" s="339" t="str">
        <x:v>Not Started</x:v>
      </x:c>
    </x:row>
    <x:row r="429">
      <x:c r="A429" s="339" t="str">
        <x:v>US-0428</x:v>
      </x:c>
      <x:c r="B429" s="339" t="str">
        <x:v>EP-018</x:v>
      </x:c>
      <x:c r="C429" s="339" t="str">
        <x:v>SCR-214</x:v>
      </x:c>
      <x:c r="D429" s="339" t="str">
        <x:v>Hostel</x:v>
      </x:c>
      <x:c r="E429" s="339" t="str">
        <x:v>Mess / Meal Schedule</x:v>
      </x:c>
      <x:c r="F429" s="339" t="str">
        <x:v>AC-01709, AC-01710, AC-01711, AC-01712</x:v>
      </x:c>
      <x:c r="G429" s="339" t="str">
        <x:v>BL-214</x:v>
      </x:c>
      <x:c r="H429" s="339" t="str">
        <x:v>BR-00640, BR-00641, BR-00642</x:v>
      </x:c>
      <x:c r="I429" s="339" t="str">
        <x:v>WF-214</x:v>
      </x:c>
      <x:c r="J429" s="339" t="str">
        <x:v>API-0214</x:v>
      </x:c>
      <x:c r="K429" s="339" t="str">
        <x:v>Phase 3</x:v>
      </x:c>
      <x:c r="L429" s="339" t="str">
        <x:v>Not Started</x:v>
      </x:c>
    </x:row>
    <x:row r="430">
      <x:c r="A430" s="339" t="str">
        <x:v>US-0429</x:v>
      </x:c>
      <x:c r="B430" s="339" t="str">
        <x:v>EP-018</x:v>
      </x:c>
      <x:c r="C430" s="339" t="str">
        <x:v>SCR-215</x:v>
      </x:c>
      <x:c r="D430" s="339" t="str">
        <x:v>Hostel</x:v>
      </x:c>
      <x:c r="E430" s="339" t="str">
        <x:v>Hostel Complaints &amp; Fees</x:v>
      </x:c>
      <x:c r="F430" s="339" t="str">
        <x:v>AC-01713, AC-01714, AC-01715, AC-01716</x:v>
      </x:c>
      <x:c r="G430" s="339" t="str">
        <x:v>BL-215</x:v>
      </x:c>
      <x:c r="H430" s="339" t="str">
        <x:v>BR-00643, BR-00644, BR-00645</x:v>
      </x:c>
      <x:c r="I430" s="339" t="str">
        <x:v>WF-215</x:v>
      </x:c>
      <x:c r="J430" s="339" t="str">
        <x:v>API-0215</x:v>
      </x:c>
      <x:c r="K430" s="339" t="str">
        <x:v>Phase 3</x:v>
      </x:c>
      <x:c r="L430" s="339" t="str">
        <x:v>Not Started</x:v>
      </x:c>
    </x:row>
    <x:row r="431">
      <x:c r="A431" s="339" t="str">
        <x:v>US-0430</x:v>
      </x:c>
      <x:c r="B431" s="339" t="str">
        <x:v>EP-018</x:v>
      </x:c>
      <x:c r="C431" s="339" t="str">
        <x:v>SCR-215</x:v>
      </x:c>
      <x:c r="D431" s="339" t="str">
        <x:v>Hostel</x:v>
      </x:c>
      <x:c r="E431" s="339" t="str">
        <x:v>Hostel Complaints &amp; Fees</x:v>
      </x:c>
      <x:c r="F431" s="339" t="str">
        <x:v>AC-01717, AC-01718, AC-01719, AC-01720</x:v>
      </x:c>
      <x:c r="G431" s="339" t="str">
        <x:v>BL-215</x:v>
      </x:c>
      <x:c r="H431" s="339" t="str">
        <x:v>BR-00643, BR-00644, BR-00645</x:v>
      </x:c>
      <x:c r="I431" s="339" t="str">
        <x:v>WF-215</x:v>
      </x:c>
      <x:c r="J431" s="339" t="str">
        <x:v>API-0215</x:v>
      </x:c>
      <x:c r="K431" s="339" t="str">
        <x:v>Phase 3</x:v>
      </x:c>
      <x:c r="L431" s="339" t="str">
        <x:v>Not Started</x:v>
      </x:c>
    </x:row>
    <x:row r="432">
      <x:c r="A432" s="339" t="str">
        <x:v>US-0431</x:v>
      </x:c>
      <x:c r="B432" s="339" t="str">
        <x:v>EP-019</x:v>
      </x:c>
      <x:c r="C432" s="339" t="str">
        <x:v>SCR-216</x:v>
      </x:c>
      <x:c r="D432" s="339" t="str">
        <x:v>Health / Counselling / Discipline</x:v>
      </x:c>
      <x:c r="E432" s="339" t="str">
        <x:v>Health Dashboard</x:v>
      </x:c>
      <x:c r="F432" s="339" t="str">
        <x:v>AC-01721, AC-01722, AC-01723, AC-01724</x:v>
      </x:c>
      <x:c r="G432" s="339" t="str">
        <x:v>BL-216</x:v>
      </x:c>
      <x:c r="H432" s="339" t="str">
        <x:v>BR-00646, BR-00647, BR-00648</x:v>
      </x:c>
      <x:c r="I432" s="339" t="str">
        <x:v>WF-216</x:v>
      </x:c>
      <x:c r="J432" s="339" t="str">
        <x:v>API-0216</x:v>
      </x:c>
      <x:c r="K432" s="339" t="str">
        <x:v>Phase 2</x:v>
      </x:c>
      <x:c r="L432" s="339" t="str">
        <x:v>Not Started</x:v>
      </x:c>
    </x:row>
    <x:row r="433">
      <x:c r="A433" s="339" t="str">
        <x:v>US-0432</x:v>
      </x:c>
      <x:c r="B433" s="339" t="str">
        <x:v>EP-019</x:v>
      </x:c>
      <x:c r="C433" s="339" t="str">
        <x:v>SCR-216</x:v>
      </x:c>
      <x:c r="D433" s="339" t="str">
        <x:v>Health / Counselling / Discipline</x:v>
      </x:c>
      <x:c r="E433" s="339" t="str">
        <x:v>Health Dashboard</x:v>
      </x:c>
      <x:c r="F433" s="339" t="str">
        <x:v>AC-01725, AC-01726, AC-01727, AC-01728</x:v>
      </x:c>
      <x:c r="G433" s="339" t="str">
        <x:v>BL-216</x:v>
      </x:c>
      <x:c r="H433" s="339" t="str">
        <x:v>BR-00646, BR-00647, BR-00648</x:v>
      </x:c>
      <x:c r="I433" s="339" t="str">
        <x:v>WF-216</x:v>
      </x:c>
      <x:c r="J433" s="339" t="str">
        <x:v>API-0216</x:v>
      </x:c>
      <x:c r="K433" s="339" t="str">
        <x:v>Phase 2</x:v>
      </x:c>
      <x:c r="L433" s="339" t="str">
        <x:v>Not Started</x:v>
      </x:c>
    </x:row>
    <x:row r="434">
      <x:c r="A434" s="339" t="str">
        <x:v>US-0433</x:v>
      </x:c>
      <x:c r="B434" s="339" t="str">
        <x:v>EP-019</x:v>
      </x:c>
      <x:c r="C434" s="339" t="str">
        <x:v>SCR-217</x:v>
      </x:c>
      <x:c r="D434" s="339" t="str">
        <x:v>Health / Counselling / Discipline</x:v>
      </x:c>
      <x:c r="E434" s="339" t="str">
        <x:v>Student Medical Profile</x:v>
      </x:c>
      <x:c r="F434" s="339" t="str">
        <x:v>AC-01729, AC-01730, AC-01731, AC-01732</x:v>
      </x:c>
      <x:c r="G434" s="339" t="str">
        <x:v>BL-217</x:v>
      </x:c>
      <x:c r="H434" s="339" t="str">
        <x:v>BR-00649, BR-00650, BR-00651</x:v>
      </x:c>
      <x:c r="I434" s="339" t="str">
        <x:v>WF-217</x:v>
      </x:c>
      <x:c r="J434" s="339" t="str">
        <x:v>API-0217</x:v>
      </x:c>
      <x:c r="K434" s="339" t="str">
        <x:v>Phase 2</x:v>
      </x:c>
      <x:c r="L434" s="339" t="str">
        <x:v>Not Started</x:v>
      </x:c>
    </x:row>
    <x:row r="435">
      <x:c r="A435" s="339" t="str">
        <x:v>US-0434</x:v>
      </x:c>
      <x:c r="B435" s="339" t="str">
        <x:v>EP-019</x:v>
      </x:c>
      <x:c r="C435" s="339" t="str">
        <x:v>SCR-217</x:v>
      </x:c>
      <x:c r="D435" s="339" t="str">
        <x:v>Health / Counselling / Discipline</x:v>
      </x:c>
      <x:c r="E435" s="339" t="str">
        <x:v>Student Medical Profile</x:v>
      </x:c>
      <x:c r="F435" s="339" t="str">
        <x:v>AC-01733, AC-01734, AC-01735, AC-01736</x:v>
      </x:c>
      <x:c r="G435" s="339" t="str">
        <x:v>BL-217</x:v>
      </x:c>
      <x:c r="H435" s="339" t="str">
        <x:v>BR-00649, BR-00650, BR-00651</x:v>
      </x:c>
      <x:c r="I435" s="339" t="str">
        <x:v>WF-217</x:v>
      </x:c>
      <x:c r="J435" s="339" t="str">
        <x:v>API-0217</x:v>
      </x:c>
      <x:c r="K435" s="339" t="str">
        <x:v>Phase 2</x:v>
      </x:c>
      <x:c r="L435" s="339" t="str">
        <x:v>Not Started</x:v>
      </x:c>
    </x:row>
    <x:row r="436">
      <x:c r="A436" s="339" t="str">
        <x:v>US-0435</x:v>
      </x:c>
      <x:c r="B436" s="339" t="str">
        <x:v>EP-019</x:v>
      </x:c>
      <x:c r="C436" s="339" t="str">
        <x:v>SCR-218</x:v>
      </x:c>
      <x:c r="D436" s="339" t="str">
        <x:v>Health / Counselling / Discipline</x:v>
      </x:c>
      <x:c r="E436" s="339" t="str">
        <x:v>Clinic Visit</x:v>
      </x:c>
      <x:c r="F436" s="339" t="str">
        <x:v>AC-01737, AC-01738, AC-01739, AC-01740</x:v>
      </x:c>
      <x:c r="G436" s="339" t="str">
        <x:v>BL-218</x:v>
      </x:c>
      <x:c r="H436" s="339" t="str">
        <x:v>BR-00652, BR-00653, BR-00654</x:v>
      </x:c>
      <x:c r="I436" s="339" t="str">
        <x:v>WF-218</x:v>
      </x:c>
      <x:c r="J436" s="339" t="str">
        <x:v>API-0218</x:v>
      </x:c>
      <x:c r="K436" s="339" t="str">
        <x:v>Phase 2</x:v>
      </x:c>
      <x:c r="L436" s="339" t="str">
        <x:v>Not Started</x:v>
      </x:c>
    </x:row>
    <x:row r="437">
      <x:c r="A437" s="339" t="str">
        <x:v>US-0436</x:v>
      </x:c>
      <x:c r="B437" s="339" t="str">
        <x:v>EP-019</x:v>
      </x:c>
      <x:c r="C437" s="339" t="str">
        <x:v>SCR-218</x:v>
      </x:c>
      <x:c r="D437" s="339" t="str">
        <x:v>Health / Counselling / Discipline</x:v>
      </x:c>
      <x:c r="E437" s="339" t="str">
        <x:v>Clinic Visit</x:v>
      </x:c>
      <x:c r="F437" s="339" t="str">
        <x:v>AC-01741, AC-01742, AC-01743, AC-01744</x:v>
      </x:c>
      <x:c r="G437" s="339" t="str">
        <x:v>BL-218</x:v>
      </x:c>
      <x:c r="H437" s="339" t="str">
        <x:v>BR-00652, BR-00653, BR-00654</x:v>
      </x:c>
      <x:c r="I437" s="339" t="str">
        <x:v>WF-218</x:v>
      </x:c>
      <x:c r="J437" s="339" t="str">
        <x:v>API-0218</x:v>
      </x:c>
      <x:c r="K437" s="339" t="str">
        <x:v>Phase 2</x:v>
      </x:c>
      <x:c r="L437" s="339" t="str">
        <x:v>Not Started</x:v>
      </x:c>
    </x:row>
    <x:row r="438">
      <x:c r="A438" s="339" t="str">
        <x:v>US-0437</x:v>
      </x:c>
      <x:c r="B438" s="339" t="str">
        <x:v>EP-019</x:v>
      </x:c>
      <x:c r="C438" s="339" t="str">
        <x:v>SCR-219</x:v>
      </x:c>
      <x:c r="D438" s="339" t="str">
        <x:v>Health / Counselling / Discipline</x:v>
      </x:c>
      <x:c r="E438" s="339" t="str">
        <x:v>Medication / First Aid</x:v>
      </x:c>
      <x:c r="F438" s="339" t="str">
        <x:v>AC-01745, AC-01746, AC-01747, AC-01748</x:v>
      </x:c>
      <x:c r="G438" s="339" t="str">
        <x:v>BL-219</x:v>
      </x:c>
      <x:c r="H438" s="339" t="str">
        <x:v>BR-00655, BR-00656, BR-00657</x:v>
      </x:c>
      <x:c r="I438" s="339" t="str">
        <x:v>WF-219</x:v>
      </x:c>
      <x:c r="J438" s="339" t="str">
        <x:v>API-0219</x:v>
      </x:c>
      <x:c r="K438" s="339" t="str">
        <x:v>Phase 3</x:v>
      </x:c>
      <x:c r="L438" s="339" t="str">
        <x:v>Not Started</x:v>
      </x:c>
    </x:row>
    <x:row r="439">
      <x:c r="A439" s="339" t="str">
        <x:v>US-0438</x:v>
      </x:c>
      <x:c r="B439" s="339" t="str">
        <x:v>EP-019</x:v>
      </x:c>
      <x:c r="C439" s="339" t="str">
        <x:v>SCR-219</x:v>
      </x:c>
      <x:c r="D439" s="339" t="str">
        <x:v>Health / Counselling / Discipline</x:v>
      </x:c>
      <x:c r="E439" s="339" t="str">
        <x:v>Medication / First Aid</x:v>
      </x:c>
      <x:c r="F439" s="339" t="str">
        <x:v>AC-01749, AC-01750, AC-01751, AC-01752</x:v>
      </x:c>
      <x:c r="G439" s="339" t="str">
        <x:v>BL-219</x:v>
      </x:c>
      <x:c r="H439" s="339" t="str">
        <x:v>BR-00655, BR-00656, BR-00657</x:v>
      </x:c>
      <x:c r="I439" s="339" t="str">
        <x:v>WF-219</x:v>
      </x:c>
      <x:c r="J439" s="339" t="str">
        <x:v>API-0219</x:v>
      </x:c>
      <x:c r="K439" s="339" t="str">
        <x:v>Phase 3</x:v>
      </x:c>
      <x:c r="L439" s="339" t="str">
        <x:v>Not Started</x:v>
      </x:c>
    </x:row>
    <x:row r="440">
      <x:c r="A440" s="339" t="str">
        <x:v>US-0439</x:v>
      </x:c>
      <x:c r="B440" s="339" t="str">
        <x:v>EP-019</x:v>
      </x:c>
      <x:c r="C440" s="339" t="str">
        <x:v>SCR-220</x:v>
      </x:c>
      <x:c r="D440" s="339" t="str">
        <x:v>Health / Counselling / Discipline</x:v>
      </x:c>
      <x:c r="E440" s="339" t="str">
        <x:v>Immunization / Allergy</x:v>
      </x:c>
      <x:c r="F440" s="339" t="str">
        <x:v>AC-01753, AC-01754, AC-01755, AC-01756</x:v>
      </x:c>
      <x:c r="G440" s="339" t="str">
        <x:v>BL-220</x:v>
      </x:c>
      <x:c r="H440" s="339" t="str">
        <x:v>BR-00658, BR-00659, BR-00660</x:v>
      </x:c>
      <x:c r="I440" s="339" t="str">
        <x:v>WF-220</x:v>
      </x:c>
      <x:c r="J440" s="339" t="str">
        <x:v>API-0220</x:v>
      </x:c>
      <x:c r="K440" s="339" t="str">
        <x:v>Phase 3</x:v>
      </x:c>
      <x:c r="L440" s="339" t="str">
        <x:v>Not Started</x:v>
      </x:c>
    </x:row>
    <x:row r="441">
      <x:c r="A441" s="339" t="str">
        <x:v>US-0440</x:v>
      </x:c>
      <x:c r="B441" s="339" t="str">
        <x:v>EP-019</x:v>
      </x:c>
      <x:c r="C441" s="339" t="str">
        <x:v>SCR-220</x:v>
      </x:c>
      <x:c r="D441" s="339" t="str">
        <x:v>Health / Counselling / Discipline</x:v>
      </x:c>
      <x:c r="E441" s="339" t="str">
        <x:v>Immunization / Allergy</x:v>
      </x:c>
      <x:c r="F441" s="339" t="str">
        <x:v>AC-01757, AC-01758, AC-01759, AC-01760</x:v>
      </x:c>
      <x:c r="G441" s="339" t="str">
        <x:v>BL-220</x:v>
      </x:c>
      <x:c r="H441" s="339" t="str">
        <x:v>BR-00658, BR-00659, BR-00660</x:v>
      </x:c>
      <x:c r="I441" s="339" t="str">
        <x:v>WF-220</x:v>
      </x:c>
      <x:c r="J441" s="339" t="str">
        <x:v>API-0220</x:v>
      </x:c>
      <x:c r="K441" s="339" t="str">
        <x:v>Phase 3</x:v>
      </x:c>
      <x:c r="L441" s="339" t="str">
        <x:v>Not Started</x:v>
      </x:c>
    </x:row>
    <x:row r="442">
      <x:c r="A442" s="339" t="str">
        <x:v>US-0441</x:v>
      </x:c>
      <x:c r="B442" s="339" t="str">
        <x:v>EP-019</x:v>
      </x:c>
      <x:c r="C442" s="339" t="str">
        <x:v>SCR-221</x:v>
      </x:c>
      <x:c r="D442" s="339" t="str">
        <x:v>Health / Counselling / Discipline</x:v>
      </x:c>
      <x:c r="E442" s="339" t="str">
        <x:v>Counselling Appointments</x:v>
      </x:c>
      <x:c r="F442" s="339" t="str">
        <x:v>AC-01761, AC-01762, AC-01763, AC-01764</x:v>
      </x:c>
      <x:c r="G442" s="339" t="str">
        <x:v>BL-221</x:v>
      </x:c>
      <x:c r="H442" s="339" t="str">
        <x:v>BR-00661, BR-00662, BR-00663</x:v>
      </x:c>
      <x:c r="I442" s="339" t="str">
        <x:v>WF-221</x:v>
      </x:c>
      <x:c r="J442" s="339" t="str">
        <x:v>API-0221</x:v>
      </x:c>
      <x:c r="K442" s="339" t="str">
        <x:v>Phase 3</x:v>
      </x:c>
      <x:c r="L442" s="339" t="str">
        <x:v>Not Started</x:v>
      </x:c>
    </x:row>
    <x:row r="443">
      <x:c r="A443" s="339" t="str">
        <x:v>US-0442</x:v>
      </x:c>
      <x:c r="B443" s="339" t="str">
        <x:v>EP-019</x:v>
      </x:c>
      <x:c r="C443" s="339" t="str">
        <x:v>SCR-221</x:v>
      </x:c>
      <x:c r="D443" s="339" t="str">
        <x:v>Health / Counselling / Discipline</x:v>
      </x:c>
      <x:c r="E443" s="339" t="str">
        <x:v>Counselling Appointments</x:v>
      </x:c>
      <x:c r="F443" s="339" t="str">
        <x:v>AC-01765, AC-01766, AC-01767, AC-01768</x:v>
      </x:c>
      <x:c r="G443" s="339" t="str">
        <x:v>BL-221</x:v>
      </x:c>
      <x:c r="H443" s="339" t="str">
        <x:v>BR-00661, BR-00662, BR-00663</x:v>
      </x:c>
      <x:c r="I443" s="339" t="str">
        <x:v>WF-221</x:v>
      </x:c>
      <x:c r="J443" s="339" t="str">
        <x:v>API-0221</x:v>
      </x:c>
      <x:c r="K443" s="339" t="str">
        <x:v>Phase 3</x:v>
      </x:c>
      <x:c r="L443" s="339" t="str">
        <x:v>Not Started</x:v>
      </x:c>
    </x:row>
    <x:row r="444">
      <x:c r="A444" s="339" t="str">
        <x:v>US-0443</x:v>
      </x:c>
      <x:c r="B444" s="339" t="str">
        <x:v>EP-019</x:v>
      </x:c>
      <x:c r="C444" s="339" t="str">
        <x:v>SCR-222</x:v>
      </x:c>
      <x:c r="D444" s="339" t="str">
        <x:v>Health / Counselling / Discipline</x:v>
      </x:c>
      <x:c r="E444" s="339" t="str">
        <x:v>Counselling Case Notes</x:v>
      </x:c>
      <x:c r="F444" s="339" t="str">
        <x:v>AC-01769, AC-01770, AC-01771, AC-01772</x:v>
      </x:c>
      <x:c r="G444" s="339" t="str">
        <x:v>BL-222</x:v>
      </x:c>
      <x:c r="H444" s="339" t="str">
        <x:v>BR-00664, BR-00665, BR-00666</x:v>
      </x:c>
      <x:c r="I444" s="339" t="str">
        <x:v>WF-222</x:v>
      </x:c>
      <x:c r="J444" s="339" t="str">
        <x:v>API-0222</x:v>
      </x:c>
      <x:c r="K444" s="339" t="str">
        <x:v>Phase 3</x:v>
      </x:c>
      <x:c r="L444" s="339" t="str">
        <x:v>Not Started</x:v>
      </x:c>
    </x:row>
    <x:row r="445">
      <x:c r="A445" s="339" t="str">
        <x:v>US-0444</x:v>
      </x:c>
      <x:c r="B445" s="339" t="str">
        <x:v>EP-019</x:v>
      </x:c>
      <x:c r="C445" s="339" t="str">
        <x:v>SCR-222</x:v>
      </x:c>
      <x:c r="D445" s="339" t="str">
        <x:v>Health / Counselling / Discipline</x:v>
      </x:c>
      <x:c r="E445" s="339" t="str">
        <x:v>Counselling Case Notes</x:v>
      </x:c>
      <x:c r="F445" s="339" t="str">
        <x:v>AC-01773, AC-01774, AC-01775, AC-01776</x:v>
      </x:c>
      <x:c r="G445" s="339" t="str">
        <x:v>BL-222</x:v>
      </x:c>
      <x:c r="H445" s="339" t="str">
        <x:v>BR-00664, BR-00665, BR-00666</x:v>
      </x:c>
      <x:c r="I445" s="339" t="str">
        <x:v>WF-222</x:v>
      </x:c>
      <x:c r="J445" s="339" t="str">
        <x:v>API-0222</x:v>
      </x:c>
      <x:c r="K445" s="339" t="str">
        <x:v>Phase 3</x:v>
      </x:c>
      <x:c r="L445" s="339" t="str">
        <x:v>Not Started</x:v>
      </x:c>
    </x:row>
    <x:row r="446">
      <x:c r="A446" s="339" t="str">
        <x:v>US-0445</x:v>
      </x:c>
      <x:c r="B446" s="339" t="str">
        <x:v>EP-019</x:v>
      </x:c>
      <x:c r="C446" s="339" t="str">
        <x:v>SCR-223</x:v>
      </x:c>
      <x:c r="D446" s="339" t="str">
        <x:v>Health / Counselling / Discipline</x:v>
      </x:c>
      <x:c r="E446" s="339" t="str">
        <x:v>Behaviour / Discipline Incidents</x:v>
      </x:c>
      <x:c r="F446" s="339" t="str">
        <x:v>AC-01777, AC-01778, AC-01779, AC-01780</x:v>
      </x:c>
      <x:c r="G446" s="339" t="str">
        <x:v>BL-223</x:v>
      </x:c>
      <x:c r="H446" s="339" t="str">
        <x:v>BR-00667, BR-00668, BR-00669</x:v>
      </x:c>
      <x:c r="I446" s="339" t="str">
        <x:v>WF-223</x:v>
      </x:c>
      <x:c r="J446" s="339" t="str">
        <x:v>API-0223</x:v>
      </x:c>
      <x:c r="K446" s="339" t="str">
        <x:v>Phase 3</x:v>
      </x:c>
      <x:c r="L446" s="339" t="str">
        <x:v>Not Started</x:v>
      </x:c>
    </x:row>
    <x:row r="447">
      <x:c r="A447" s="339" t="str">
        <x:v>US-0446</x:v>
      </x:c>
      <x:c r="B447" s="339" t="str">
        <x:v>EP-019</x:v>
      </x:c>
      <x:c r="C447" s="339" t="str">
        <x:v>SCR-223</x:v>
      </x:c>
      <x:c r="D447" s="339" t="str">
        <x:v>Health / Counselling / Discipline</x:v>
      </x:c>
      <x:c r="E447" s="339" t="str">
        <x:v>Behaviour / Discipline Incidents</x:v>
      </x:c>
      <x:c r="F447" s="339" t="str">
        <x:v>AC-01781, AC-01782, AC-01783, AC-01784</x:v>
      </x:c>
      <x:c r="G447" s="339" t="str">
        <x:v>BL-223</x:v>
      </x:c>
      <x:c r="H447" s="339" t="str">
        <x:v>BR-00667, BR-00668, BR-00669</x:v>
      </x:c>
      <x:c r="I447" s="339" t="str">
        <x:v>WF-223</x:v>
      </x:c>
      <x:c r="J447" s="339" t="str">
        <x:v>API-0223</x:v>
      </x:c>
      <x:c r="K447" s="339" t="str">
        <x:v>Phase 3</x:v>
      </x:c>
      <x:c r="L447" s="339" t="str">
        <x:v>Not Started</x:v>
      </x:c>
    </x:row>
    <x:row r="448">
      <x:c r="A448" s="339" t="str">
        <x:v>US-0447</x:v>
      </x:c>
      <x:c r="B448" s="339" t="str">
        <x:v>EP-019</x:v>
      </x:c>
      <x:c r="C448" s="339" t="str">
        <x:v>SCR-224</x:v>
      </x:c>
      <x:c r="D448" s="339" t="str">
        <x:v>Health / Counselling / Discipline</x:v>
      </x:c>
      <x:c r="E448" s="339" t="str">
        <x:v>Incident Action &amp; Follow-up</x:v>
      </x:c>
      <x:c r="F448" s="339" t="str">
        <x:v>AC-01785, AC-01786, AC-01787, AC-01788</x:v>
      </x:c>
      <x:c r="G448" s="339" t="str">
        <x:v>BL-224</x:v>
      </x:c>
      <x:c r="H448" s="339" t="str">
        <x:v>BR-00670, BR-00671, BR-00672</x:v>
      </x:c>
      <x:c r="I448" s="339" t="str">
        <x:v>WF-224</x:v>
      </x:c>
      <x:c r="J448" s="339" t="str">
        <x:v>API-0224</x:v>
      </x:c>
      <x:c r="K448" s="339" t="str">
        <x:v>Phase 3</x:v>
      </x:c>
      <x:c r="L448" s="339" t="str">
        <x:v>Not Started</x:v>
      </x:c>
    </x:row>
    <x:row r="449">
      <x:c r="A449" s="339" t="str">
        <x:v>US-0448</x:v>
      </x:c>
      <x:c r="B449" s="339" t="str">
        <x:v>EP-019</x:v>
      </x:c>
      <x:c r="C449" s="339" t="str">
        <x:v>SCR-224</x:v>
      </x:c>
      <x:c r="D449" s="339" t="str">
        <x:v>Health / Counselling / Discipline</x:v>
      </x:c>
      <x:c r="E449" s="339" t="str">
        <x:v>Incident Action &amp; Follow-up</x:v>
      </x:c>
      <x:c r="F449" s="339" t="str">
        <x:v>AC-01789, AC-01790, AC-01791, AC-01792</x:v>
      </x:c>
      <x:c r="G449" s="339" t="str">
        <x:v>BL-224</x:v>
      </x:c>
      <x:c r="H449" s="339" t="str">
        <x:v>BR-00670, BR-00671, BR-00672</x:v>
      </x:c>
      <x:c r="I449" s="339" t="str">
        <x:v>WF-224</x:v>
      </x:c>
      <x:c r="J449" s="339" t="str">
        <x:v>API-0224</x:v>
      </x:c>
      <x:c r="K449" s="339" t="str">
        <x:v>Phase 3</x:v>
      </x:c>
      <x:c r="L449" s="339" t="str">
        <x:v>Not Started</x:v>
      </x:c>
    </x:row>
    <x:row r="450">
      <x:c r="A450" s="339" t="str">
        <x:v>US-0449</x:v>
      </x:c>
      <x:c r="B450" s="339" t="str">
        <x:v>EP-019</x:v>
      </x:c>
      <x:c r="C450" s="339" t="str">
        <x:v>SCR-225</x:v>
      </x:c>
      <x:c r="D450" s="339" t="str">
        <x:v>Health / Counselling / Discipline</x:v>
      </x:c>
      <x:c r="E450" s="339" t="str">
        <x:v>Emergency Contacts &amp; Escalation</x:v>
      </x:c>
      <x:c r="F450" s="339" t="str">
        <x:v>AC-01793, AC-01794, AC-01795, AC-01796</x:v>
      </x:c>
      <x:c r="G450" s="339" t="str">
        <x:v>BL-225</x:v>
      </x:c>
      <x:c r="H450" s="339" t="str">
        <x:v>BR-00673, BR-00674, BR-00675</x:v>
      </x:c>
      <x:c r="I450" s="339" t="str">
        <x:v>WF-225</x:v>
      </x:c>
      <x:c r="J450" s="339" t="str">
        <x:v>API-0225</x:v>
      </x:c>
      <x:c r="K450" s="339" t="str">
        <x:v>Phase 3</x:v>
      </x:c>
      <x:c r="L450" s="339" t="str">
        <x:v>Not Started</x:v>
      </x:c>
    </x:row>
    <x:row r="451">
      <x:c r="A451" s="339" t="str">
        <x:v>US-0450</x:v>
      </x:c>
      <x:c r="B451" s="339" t="str">
        <x:v>EP-019</x:v>
      </x:c>
      <x:c r="C451" s="339" t="str">
        <x:v>SCR-225</x:v>
      </x:c>
      <x:c r="D451" s="339" t="str">
        <x:v>Health / Counselling / Discipline</x:v>
      </x:c>
      <x:c r="E451" s="339" t="str">
        <x:v>Emergency Contacts &amp; Escalation</x:v>
      </x:c>
      <x:c r="F451" s="339" t="str">
        <x:v>AC-01797, AC-01798, AC-01799, AC-01800</x:v>
      </x:c>
      <x:c r="G451" s="339" t="str">
        <x:v>BL-225</x:v>
      </x:c>
      <x:c r="H451" s="339" t="str">
        <x:v>BR-00673, BR-00674, BR-00675</x:v>
      </x:c>
      <x:c r="I451" s="339" t="str">
        <x:v>WF-225</x:v>
      </x:c>
      <x:c r="J451" s="339" t="str">
        <x:v>API-0225</x:v>
      </x:c>
      <x:c r="K451" s="339" t="str">
        <x:v>Phase 3</x:v>
      </x:c>
      <x:c r="L451" s="339" t="str">
        <x:v>Not Started</x:v>
      </x:c>
    </x:row>
    <x:row r="452">
      <x:c r="A452" s="339" t="str">
        <x:v>US-0451</x:v>
      </x:c>
      <x:c r="B452" s="339" t="str">
        <x:v>EP-020</x:v>
      </x:c>
      <x:c r="C452" s="339" t="str">
        <x:v>SCR-226</x:v>
      </x:c>
      <x:c r="D452" s="339" t="str">
        <x:v>Visitor / Gate / Security</x:v>
      </x:c>
      <x:c r="E452" s="339" t="str">
        <x:v>Visitor Dashboard</x:v>
      </x:c>
      <x:c r="F452" s="339" t="str">
        <x:v>AC-01801, AC-01802, AC-01803, AC-01804</x:v>
      </x:c>
      <x:c r="G452" s="339" t="str">
        <x:v>BL-226</x:v>
      </x:c>
      <x:c r="H452" s="339" t="str">
        <x:v>BR-00676, BR-00677, BR-00678</x:v>
      </x:c>
      <x:c r="I452" s="339" t="str">
        <x:v>WF-226</x:v>
      </x:c>
      <x:c r="J452" s="339" t="str">
        <x:v>API-0226</x:v>
      </x:c>
      <x:c r="K452" s="339" t="str">
        <x:v>Phase 2</x:v>
      </x:c>
      <x:c r="L452" s="339" t="str">
        <x:v>Not Started</x:v>
      </x:c>
    </x:row>
    <x:row r="453">
      <x:c r="A453" s="339" t="str">
        <x:v>US-0452</x:v>
      </x:c>
      <x:c r="B453" s="339" t="str">
        <x:v>EP-020</x:v>
      </x:c>
      <x:c r="C453" s="339" t="str">
        <x:v>SCR-226</x:v>
      </x:c>
      <x:c r="D453" s="339" t="str">
        <x:v>Visitor / Gate / Security</x:v>
      </x:c>
      <x:c r="E453" s="339" t="str">
        <x:v>Visitor Dashboard</x:v>
      </x:c>
      <x:c r="F453" s="339" t="str">
        <x:v>AC-01805, AC-01806, AC-01807, AC-01808</x:v>
      </x:c>
      <x:c r="G453" s="339" t="str">
        <x:v>BL-226</x:v>
      </x:c>
      <x:c r="H453" s="339" t="str">
        <x:v>BR-00676, BR-00677, BR-00678</x:v>
      </x:c>
      <x:c r="I453" s="339" t="str">
        <x:v>WF-226</x:v>
      </x:c>
      <x:c r="J453" s="339" t="str">
        <x:v>API-0226</x:v>
      </x:c>
      <x:c r="K453" s="339" t="str">
        <x:v>Phase 2</x:v>
      </x:c>
      <x:c r="L453" s="339" t="str">
        <x:v>Not Started</x:v>
      </x:c>
    </x:row>
    <x:row r="454">
      <x:c r="A454" s="339" t="str">
        <x:v>US-0453</x:v>
      </x:c>
      <x:c r="B454" s="339" t="str">
        <x:v>EP-020</x:v>
      </x:c>
      <x:c r="C454" s="339" t="str">
        <x:v>SCR-227</x:v>
      </x:c>
      <x:c r="D454" s="339" t="str">
        <x:v>Visitor / Gate / Security</x:v>
      </x:c>
      <x:c r="E454" s="339" t="str">
        <x:v>Visitor Check-in</x:v>
      </x:c>
      <x:c r="F454" s="339" t="str">
        <x:v>AC-01809, AC-01810, AC-01811, AC-01812</x:v>
      </x:c>
      <x:c r="G454" s="339" t="str">
        <x:v>BL-227</x:v>
      </x:c>
      <x:c r="H454" s="339" t="str">
        <x:v>BR-00679, BR-00680, BR-00681</x:v>
      </x:c>
      <x:c r="I454" s="339" t="str">
        <x:v>WF-227</x:v>
      </x:c>
      <x:c r="J454" s="339" t="str">
        <x:v>API-0227</x:v>
      </x:c>
      <x:c r="K454" s="339" t="str">
        <x:v>Phase 2</x:v>
      </x:c>
      <x:c r="L454" s="339" t="str">
        <x:v>Not Started</x:v>
      </x:c>
    </x:row>
    <x:row r="455">
      <x:c r="A455" s="339" t="str">
        <x:v>US-0454</x:v>
      </x:c>
      <x:c r="B455" s="339" t="str">
        <x:v>EP-020</x:v>
      </x:c>
      <x:c r="C455" s="339" t="str">
        <x:v>SCR-227</x:v>
      </x:c>
      <x:c r="D455" s="339" t="str">
        <x:v>Visitor / Gate / Security</x:v>
      </x:c>
      <x:c r="E455" s="339" t="str">
        <x:v>Visitor Check-in</x:v>
      </x:c>
      <x:c r="F455" s="339" t="str">
        <x:v>AC-01813, AC-01814, AC-01815, AC-01816</x:v>
      </x:c>
      <x:c r="G455" s="339" t="str">
        <x:v>BL-227</x:v>
      </x:c>
      <x:c r="H455" s="339" t="str">
        <x:v>BR-00679, BR-00680, BR-00681</x:v>
      </x:c>
      <x:c r="I455" s="339" t="str">
        <x:v>WF-227</x:v>
      </x:c>
      <x:c r="J455" s="339" t="str">
        <x:v>API-0227</x:v>
      </x:c>
      <x:c r="K455" s="339" t="str">
        <x:v>Phase 2</x:v>
      </x:c>
      <x:c r="L455" s="339" t="str">
        <x:v>Not Started</x:v>
      </x:c>
    </x:row>
    <x:row r="456">
      <x:c r="A456" s="339" t="str">
        <x:v>US-0455</x:v>
      </x:c>
      <x:c r="B456" s="339" t="str">
        <x:v>EP-020</x:v>
      </x:c>
      <x:c r="C456" s="339" t="str">
        <x:v>SCR-228</x:v>
      </x:c>
      <x:c r="D456" s="339" t="str">
        <x:v>Visitor / Gate / Security</x:v>
      </x:c>
      <x:c r="E456" s="339" t="str">
        <x:v>Visitor Approval</x:v>
      </x:c>
      <x:c r="F456" s="339" t="str">
        <x:v>AC-01817, AC-01818, AC-01819, AC-01820</x:v>
      </x:c>
      <x:c r="G456" s="339" t="str">
        <x:v>BL-228</x:v>
      </x:c>
      <x:c r="H456" s="339" t="str">
        <x:v>BR-00682, BR-00683, BR-00684</x:v>
      </x:c>
      <x:c r="I456" s="339" t="str">
        <x:v>WF-228</x:v>
      </x:c>
      <x:c r="J456" s="339" t="str">
        <x:v>API-0228</x:v>
      </x:c>
      <x:c r="K456" s="339" t="str">
        <x:v>Phase 2</x:v>
      </x:c>
      <x:c r="L456" s="339" t="str">
        <x:v>Not Started</x:v>
      </x:c>
    </x:row>
    <x:row r="457">
      <x:c r="A457" s="339" t="str">
        <x:v>US-0456</x:v>
      </x:c>
      <x:c r="B457" s="339" t="str">
        <x:v>EP-020</x:v>
      </x:c>
      <x:c r="C457" s="339" t="str">
        <x:v>SCR-228</x:v>
      </x:c>
      <x:c r="D457" s="339" t="str">
        <x:v>Visitor / Gate / Security</x:v>
      </x:c>
      <x:c r="E457" s="339" t="str">
        <x:v>Visitor Approval</x:v>
      </x:c>
      <x:c r="F457" s="339" t="str">
        <x:v>AC-01821, AC-01822, AC-01823, AC-01824</x:v>
      </x:c>
      <x:c r="G457" s="339" t="str">
        <x:v>BL-228</x:v>
      </x:c>
      <x:c r="H457" s="339" t="str">
        <x:v>BR-00682, BR-00683, BR-00684</x:v>
      </x:c>
      <x:c r="I457" s="339" t="str">
        <x:v>WF-228</x:v>
      </x:c>
      <x:c r="J457" s="339" t="str">
        <x:v>API-0228</x:v>
      </x:c>
      <x:c r="K457" s="339" t="str">
        <x:v>Phase 2</x:v>
      </x:c>
      <x:c r="L457" s="339" t="str">
        <x:v>Not Started</x:v>
      </x:c>
    </x:row>
    <x:row r="458">
      <x:c r="A458" s="339" t="str">
        <x:v>US-0457</x:v>
      </x:c>
      <x:c r="B458" s="339" t="str">
        <x:v>EP-020</x:v>
      </x:c>
      <x:c r="C458" s="339" t="str">
        <x:v>SCR-229</x:v>
      </x:c>
      <x:c r="D458" s="339" t="str">
        <x:v>Visitor / Gate / Security</x:v>
      </x:c>
      <x:c r="E458" s="339" t="str">
        <x:v>Visitor Pass</x:v>
      </x:c>
      <x:c r="F458" s="339" t="str">
        <x:v>AC-01825, AC-01826, AC-01827, AC-01828</x:v>
      </x:c>
      <x:c r="G458" s="339" t="str">
        <x:v>BL-229</x:v>
      </x:c>
      <x:c r="H458" s="339" t="str">
        <x:v>BR-00685, BR-00686, BR-00687</x:v>
      </x:c>
      <x:c r="I458" s="339" t="str">
        <x:v>WF-229</x:v>
      </x:c>
      <x:c r="J458" s="339" t="str">
        <x:v>API-0229</x:v>
      </x:c>
      <x:c r="K458" s="339" t="str">
        <x:v>Phase 2</x:v>
      </x:c>
      <x:c r="L458" s="339" t="str">
        <x:v>Not Started</x:v>
      </x:c>
    </x:row>
    <x:row r="459">
      <x:c r="A459" s="339" t="str">
        <x:v>US-0458</x:v>
      </x:c>
      <x:c r="B459" s="339" t="str">
        <x:v>EP-020</x:v>
      </x:c>
      <x:c r="C459" s="339" t="str">
        <x:v>SCR-229</x:v>
      </x:c>
      <x:c r="D459" s="339" t="str">
        <x:v>Visitor / Gate / Security</x:v>
      </x:c>
      <x:c r="E459" s="339" t="str">
        <x:v>Visitor Pass</x:v>
      </x:c>
      <x:c r="F459" s="339" t="str">
        <x:v>AC-01829, AC-01830, AC-01831, AC-01832</x:v>
      </x:c>
      <x:c r="G459" s="339" t="str">
        <x:v>BL-229</x:v>
      </x:c>
      <x:c r="H459" s="339" t="str">
        <x:v>BR-00685, BR-00686, BR-00687</x:v>
      </x:c>
      <x:c r="I459" s="339" t="str">
        <x:v>WF-229</x:v>
      </x:c>
      <x:c r="J459" s="339" t="str">
        <x:v>API-0229</x:v>
      </x:c>
      <x:c r="K459" s="339" t="str">
        <x:v>Phase 2</x:v>
      </x:c>
      <x:c r="L459" s="339" t="str">
        <x:v>Not Started</x:v>
      </x:c>
    </x:row>
    <x:row r="460">
      <x:c r="A460" s="339" t="str">
        <x:v>US-0459</x:v>
      </x:c>
      <x:c r="B460" s="339" t="str">
        <x:v>EP-020</x:v>
      </x:c>
      <x:c r="C460" s="339" t="str">
        <x:v>SCR-230</x:v>
      </x:c>
      <x:c r="D460" s="339" t="str">
        <x:v>Visitor / Gate / Security</x:v>
      </x:c>
      <x:c r="E460" s="339" t="str">
        <x:v>Visitor Check-out</x:v>
      </x:c>
      <x:c r="F460" s="339" t="str">
        <x:v>AC-01833, AC-01834, AC-01835, AC-01836</x:v>
      </x:c>
      <x:c r="G460" s="339" t="str">
        <x:v>BL-230</x:v>
      </x:c>
      <x:c r="H460" s="339" t="str">
        <x:v>BR-00688, BR-00689, BR-00690</x:v>
      </x:c>
      <x:c r="I460" s="339" t="str">
        <x:v>WF-230</x:v>
      </x:c>
      <x:c r="J460" s="339" t="str">
        <x:v>API-0230</x:v>
      </x:c>
      <x:c r="K460" s="339" t="str">
        <x:v>Phase 3</x:v>
      </x:c>
      <x:c r="L460" s="339" t="str">
        <x:v>Not Started</x:v>
      </x:c>
    </x:row>
    <x:row r="461">
      <x:c r="A461" s="339" t="str">
        <x:v>US-0460</x:v>
      </x:c>
      <x:c r="B461" s="339" t="str">
        <x:v>EP-020</x:v>
      </x:c>
      <x:c r="C461" s="339" t="str">
        <x:v>SCR-230</x:v>
      </x:c>
      <x:c r="D461" s="339" t="str">
        <x:v>Visitor / Gate / Security</x:v>
      </x:c>
      <x:c r="E461" s="339" t="str">
        <x:v>Visitor Check-out</x:v>
      </x:c>
      <x:c r="F461" s="339" t="str">
        <x:v>AC-01837, AC-01838, AC-01839, AC-01840</x:v>
      </x:c>
      <x:c r="G461" s="339" t="str">
        <x:v>BL-230</x:v>
      </x:c>
      <x:c r="H461" s="339" t="str">
        <x:v>BR-00688, BR-00689, BR-00690</x:v>
      </x:c>
      <x:c r="I461" s="339" t="str">
        <x:v>WF-230</x:v>
      </x:c>
      <x:c r="J461" s="339" t="str">
        <x:v>API-0230</x:v>
      </x:c>
      <x:c r="K461" s="339" t="str">
        <x:v>Phase 3</x:v>
      </x:c>
      <x:c r="L461" s="339" t="str">
        <x:v>Not Started</x:v>
      </x:c>
    </x:row>
    <x:row r="462">
      <x:c r="A462" s="339" t="str">
        <x:v>US-0461</x:v>
      </x:c>
      <x:c r="B462" s="339" t="str">
        <x:v>EP-020</x:v>
      </x:c>
      <x:c r="C462" s="339" t="str">
        <x:v>SCR-231</x:v>
      </x:c>
      <x:c r="D462" s="339" t="str">
        <x:v>Visitor / Gate / Security</x:v>
      </x:c>
      <x:c r="E462" s="339" t="str">
        <x:v>Student Early Pickup / Gate Pass</x:v>
      </x:c>
      <x:c r="F462" s="339" t="str">
        <x:v>AC-01841, AC-01842, AC-01843, AC-01844</x:v>
      </x:c>
      <x:c r="G462" s="339" t="str">
        <x:v>BL-231</x:v>
      </x:c>
      <x:c r="H462" s="339" t="str">
        <x:v>BR-00691, BR-00692, BR-00693</x:v>
      </x:c>
      <x:c r="I462" s="339" t="str">
        <x:v>WF-231</x:v>
      </x:c>
      <x:c r="J462" s="339" t="str">
        <x:v>API-0231</x:v>
      </x:c>
      <x:c r="K462" s="339" t="str">
        <x:v>Phase 3</x:v>
      </x:c>
      <x:c r="L462" s="339" t="str">
        <x:v>Not Started</x:v>
      </x:c>
    </x:row>
    <x:row r="463">
      <x:c r="A463" s="339" t="str">
        <x:v>US-0462</x:v>
      </x:c>
      <x:c r="B463" s="339" t="str">
        <x:v>EP-020</x:v>
      </x:c>
      <x:c r="C463" s="339" t="str">
        <x:v>SCR-231</x:v>
      </x:c>
      <x:c r="D463" s="339" t="str">
        <x:v>Visitor / Gate / Security</x:v>
      </x:c>
      <x:c r="E463" s="339" t="str">
        <x:v>Student Early Pickup / Gate Pass</x:v>
      </x:c>
      <x:c r="F463" s="339" t="str">
        <x:v>AC-01845, AC-01846, AC-01847, AC-01848</x:v>
      </x:c>
      <x:c r="G463" s="339" t="str">
        <x:v>BL-231</x:v>
      </x:c>
      <x:c r="H463" s="339" t="str">
        <x:v>BR-00691, BR-00692, BR-00693</x:v>
      </x:c>
      <x:c r="I463" s="339" t="str">
        <x:v>WF-231</x:v>
      </x:c>
      <x:c r="J463" s="339" t="str">
        <x:v>API-0231</x:v>
      </x:c>
      <x:c r="K463" s="339" t="str">
        <x:v>Phase 3</x:v>
      </x:c>
      <x:c r="L463" s="339" t="str">
        <x:v>Not Started</x:v>
      </x:c>
    </x:row>
    <x:row r="464">
      <x:c r="A464" s="339" t="str">
        <x:v>US-0463</x:v>
      </x:c>
      <x:c r="B464" s="339" t="str">
        <x:v>EP-020</x:v>
      </x:c>
      <x:c r="C464" s="339" t="str">
        <x:v>SCR-232</x:v>
      </x:c>
      <x:c r="D464" s="339" t="str">
        <x:v>Visitor / Gate / Security</x:v>
      </x:c>
      <x:c r="E464" s="339" t="str">
        <x:v>Staff &amp; Vehicle Gate Log</x:v>
      </x:c>
      <x:c r="F464" s="339" t="str">
        <x:v>AC-01849, AC-01850, AC-01851, AC-01852</x:v>
      </x:c>
      <x:c r="G464" s="339" t="str">
        <x:v>BL-232</x:v>
      </x:c>
      <x:c r="H464" s="339" t="str">
        <x:v>BR-00694, BR-00695, BR-00696</x:v>
      </x:c>
      <x:c r="I464" s="339" t="str">
        <x:v>WF-232</x:v>
      </x:c>
      <x:c r="J464" s="339" t="str">
        <x:v>API-0232</x:v>
      </x:c>
      <x:c r="K464" s="339" t="str">
        <x:v>Phase 3</x:v>
      </x:c>
      <x:c r="L464" s="339" t="str">
        <x:v>Not Started</x:v>
      </x:c>
    </x:row>
    <x:row r="465">
      <x:c r="A465" s="339" t="str">
        <x:v>US-0464</x:v>
      </x:c>
      <x:c r="B465" s="339" t="str">
        <x:v>EP-020</x:v>
      </x:c>
      <x:c r="C465" s="339" t="str">
        <x:v>SCR-232</x:v>
      </x:c>
      <x:c r="D465" s="339" t="str">
        <x:v>Visitor / Gate / Security</x:v>
      </x:c>
      <x:c r="E465" s="339" t="str">
        <x:v>Staff &amp; Vehicle Gate Log</x:v>
      </x:c>
      <x:c r="F465" s="339" t="str">
        <x:v>AC-01853, AC-01854, AC-01855, AC-01856</x:v>
      </x:c>
      <x:c r="G465" s="339" t="str">
        <x:v>BL-232</x:v>
      </x:c>
      <x:c r="H465" s="339" t="str">
        <x:v>BR-00694, BR-00695, BR-00696</x:v>
      </x:c>
      <x:c r="I465" s="339" t="str">
        <x:v>WF-232</x:v>
      </x:c>
      <x:c r="J465" s="339" t="str">
        <x:v>API-0232</x:v>
      </x:c>
      <x:c r="K465" s="339" t="str">
        <x:v>Phase 3</x:v>
      </x:c>
      <x:c r="L465" s="339" t="str">
        <x:v>Not Started</x:v>
      </x:c>
    </x:row>
    <x:row r="466">
      <x:c r="A466" s="339" t="str">
        <x:v>US-0465</x:v>
      </x:c>
      <x:c r="B466" s="339" t="str">
        <x:v>EP-020</x:v>
      </x:c>
      <x:c r="C466" s="339" t="str">
        <x:v>SCR-233</x:v>
      </x:c>
      <x:c r="D466" s="339" t="str">
        <x:v>Visitor / Gate / Security</x:v>
      </x:c>
      <x:c r="E466" s="339" t="str">
        <x:v>Security Incident Log</x:v>
      </x:c>
      <x:c r="F466" s="339" t="str">
        <x:v>AC-01857, AC-01858, AC-01859, AC-01860</x:v>
      </x:c>
      <x:c r="G466" s="339" t="str">
        <x:v>BL-233</x:v>
      </x:c>
      <x:c r="H466" s="339" t="str">
        <x:v>BR-00697, BR-00698, BR-00699</x:v>
      </x:c>
      <x:c r="I466" s="339" t="str">
        <x:v>WF-233</x:v>
      </x:c>
      <x:c r="J466" s="339" t="str">
        <x:v>API-0233</x:v>
      </x:c>
      <x:c r="K466" s="339" t="str">
        <x:v>Phase 3</x:v>
      </x:c>
      <x:c r="L466" s="339" t="str">
        <x:v>Not Started</x:v>
      </x:c>
    </x:row>
    <x:row r="467">
      <x:c r="A467" s="339" t="str">
        <x:v>US-0466</x:v>
      </x:c>
      <x:c r="B467" s="339" t="str">
        <x:v>EP-020</x:v>
      </x:c>
      <x:c r="C467" s="339" t="str">
        <x:v>SCR-233</x:v>
      </x:c>
      <x:c r="D467" s="339" t="str">
        <x:v>Visitor / Gate / Security</x:v>
      </x:c>
      <x:c r="E467" s="339" t="str">
        <x:v>Security Incident Log</x:v>
      </x:c>
      <x:c r="F467" s="339" t="str">
        <x:v>AC-01861, AC-01862, AC-01863, AC-01864</x:v>
      </x:c>
      <x:c r="G467" s="339" t="str">
        <x:v>BL-233</x:v>
      </x:c>
      <x:c r="H467" s="339" t="str">
        <x:v>BR-00697, BR-00698, BR-00699</x:v>
      </x:c>
      <x:c r="I467" s="339" t="str">
        <x:v>WF-233</x:v>
      </x:c>
      <x:c r="J467" s="339" t="str">
        <x:v>API-0233</x:v>
      </x:c>
      <x:c r="K467" s="339" t="str">
        <x:v>Phase 3</x:v>
      </x:c>
      <x:c r="L467" s="339" t="str">
        <x:v>Not Started</x:v>
      </x:c>
    </x:row>
    <x:row r="468">
      <x:c r="A468" s="339" t="str">
        <x:v>US-0467</x:v>
      </x:c>
      <x:c r="B468" s="339" t="str">
        <x:v>EP-021</x:v>
      </x:c>
      <x:c r="C468" s="339" t="str">
        <x:v>SCR-234</x:v>
      </x:c>
      <x:c r="D468" s="339" t="str">
        <x:v>Inventory / Assets / Labs</x:v>
      </x:c>
      <x:c r="E468" s="339" t="str">
        <x:v>Inventory Dashboard</x:v>
      </x:c>
      <x:c r="F468" s="339" t="str">
        <x:v>AC-01865, AC-01866, AC-01867, AC-01868</x:v>
      </x:c>
      <x:c r="G468" s="339" t="str">
        <x:v>BL-234</x:v>
      </x:c>
      <x:c r="H468" s="339" t="str">
        <x:v>BR-00700, BR-00701, BR-00702</x:v>
      </x:c>
      <x:c r="I468" s="339" t="str">
        <x:v>WF-234</x:v>
      </x:c>
      <x:c r="J468" s="339" t="str">
        <x:v>API-0234</x:v>
      </x:c>
      <x:c r="K468" s="339" t="str">
        <x:v>Phase 2</x:v>
      </x:c>
      <x:c r="L468" s="339" t="str">
        <x:v>Not Started</x:v>
      </x:c>
    </x:row>
    <x:row r="469">
      <x:c r="A469" s="339" t="str">
        <x:v>US-0468</x:v>
      </x:c>
      <x:c r="B469" s="339" t="str">
        <x:v>EP-021</x:v>
      </x:c>
      <x:c r="C469" s="339" t="str">
        <x:v>SCR-234</x:v>
      </x:c>
      <x:c r="D469" s="339" t="str">
        <x:v>Inventory / Assets / Labs</x:v>
      </x:c>
      <x:c r="E469" s="339" t="str">
        <x:v>Inventory Dashboard</x:v>
      </x:c>
      <x:c r="F469" s="339" t="str">
        <x:v>AC-01869, AC-01870, AC-01871, AC-01872</x:v>
      </x:c>
      <x:c r="G469" s="339" t="str">
        <x:v>BL-234</x:v>
      </x:c>
      <x:c r="H469" s="339" t="str">
        <x:v>BR-00700, BR-00701, BR-00702</x:v>
      </x:c>
      <x:c r="I469" s="339" t="str">
        <x:v>WF-234</x:v>
      </x:c>
      <x:c r="J469" s="339" t="str">
        <x:v>API-0234</x:v>
      </x:c>
      <x:c r="K469" s="339" t="str">
        <x:v>Phase 2</x:v>
      </x:c>
      <x:c r="L469" s="339" t="str">
        <x:v>Not Started</x:v>
      </x:c>
    </x:row>
    <x:row r="470">
      <x:c r="A470" s="339" t="str">
        <x:v>US-0469</x:v>
      </x:c>
      <x:c r="B470" s="339" t="str">
        <x:v>EP-021</x:v>
      </x:c>
      <x:c r="C470" s="339" t="str">
        <x:v>SCR-235</x:v>
      </x:c>
      <x:c r="D470" s="339" t="str">
        <x:v>Inventory / Assets / Labs</x:v>
      </x:c>
      <x:c r="E470" s="339" t="str">
        <x:v>Item Catalogue</x:v>
      </x:c>
      <x:c r="F470" s="339" t="str">
        <x:v>AC-01873, AC-01874, AC-01875, AC-01876</x:v>
      </x:c>
      <x:c r="G470" s="339" t="str">
        <x:v>BL-235</x:v>
      </x:c>
      <x:c r="H470" s="339" t="str">
        <x:v>BR-00703, BR-00704, BR-00705</x:v>
      </x:c>
      <x:c r="I470" s="339" t="str">
        <x:v>WF-235</x:v>
      </x:c>
      <x:c r="J470" s="339" t="str">
        <x:v>API-0235</x:v>
      </x:c>
      <x:c r="K470" s="339" t="str">
        <x:v>Phase 2</x:v>
      </x:c>
      <x:c r="L470" s="339" t="str">
        <x:v>Not Started</x:v>
      </x:c>
    </x:row>
    <x:row r="471">
      <x:c r="A471" s="339" t="str">
        <x:v>US-0470</x:v>
      </x:c>
      <x:c r="B471" s="339" t="str">
        <x:v>EP-021</x:v>
      </x:c>
      <x:c r="C471" s="339" t="str">
        <x:v>SCR-235</x:v>
      </x:c>
      <x:c r="D471" s="339" t="str">
        <x:v>Inventory / Assets / Labs</x:v>
      </x:c>
      <x:c r="E471" s="339" t="str">
        <x:v>Item Catalogue</x:v>
      </x:c>
      <x:c r="F471" s="339" t="str">
        <x:v>AC-01877, AC-01878, AC-01879, AC-01880</x:v>
      </x:c>
      <x:c r="G471" s="339" t="str">
        <x:v>BL-235</x:v>
      </x:c>
      <x:c r="H471" s="339" t="str">
        <x:v>BR-00703, BR-00704, BR-00705</x:v>
      </x:c>
      <x:c r="I471" s="339" t="str">
        <x:v>WF-235</x:v>
      </x:c>
      <x:c r="J471" s="339" t="str">
        <x:v>API-0235</x:v>
      </x:c>
      <x:c r="K471" s="339" t="str">
        <x:v>Phase 2</x:v>
      </x:c>
      <x:c r="L471" s="339" t="str">
        <x:v>Not Started</x:v>
      </x:c>
    </x:row>
    <x:row r="472">
      <x:c r="A472" s="339" t="str">
        <x:v>US-0471</x:v>
      </x:c>
      <x:c r="B472" s="339" t="str">
        <x:v>EP-021</x:v>
      </x:c>
      <x:c r="C472" s="339" t="str">
        <x:v>SCR-236</x:v>
      </x:c>
      <x:c r="D472" s="339" t="str">
        <x:v>Inventory / Assets / Labs</x:v>
      </x:c>
      <x:c r="E472" s="339" t="str">
        <x:v>Stock In / Purchase Receipt</x:v>
      </x:c>
      <x:c r="F472" s="339" t="str">
        <x:v>AC-01881, AC-01882, AC-01883, AC-01884</x:v>
      </x:c>
      <x:c r="G472" s="339" t="str">
        <x:v>BL-236</x:v>
      </x:c>
      <x:c r="H472" s="339" t="str">
        <x:v>BR-00706, BR-00707, BR-00708</x:v>
      </x:c>
      <x:c r="I472" s="339" t="str">
        <x:v>WF-236</x:v>
      </x:c>
      <x:c r="J472" s="339" t="str">
        <x:v>API-0236</x:v>
      </x:c>
      <x:c r="K472" s="339" t="str">
        <x:v>Phase 2</x:v>
      </x:c>
      <x:c r="L472" s="339" t="str">
        <x:v>Not Started</x:v>
      </x:c>
    </x:row>
    <x:row r="473">
      <x:c r="A473" s="339" t="str">
        <x:v>US-0472</x:v>
      </x:c>
      <x:c r="B473" s="339" t="str">
        <x:v>EP-021</x:v>
      </x:c>
      <x:c r="C473" s="339" t="str">
        <x:v>SCR-236</x:v>
      </x:c>
      <x:c r="D473" s="339" t="str">
        <x:v>Inventory / Assets / Labs</x:v>
      </x:c>
      <x:c r="E473" s="339" t="str">
        <x:v>Stock In / Purchase Receipt</x:v>
      </x:c>
      <x:c r="F473" s="339" t="str">
        <x:v>AC-01885, AC-01886, AC-01887, AC-01888</x:v>
      </x:c>
      <x:c r="G473" s="339" t="str">
        <x:v>BL-236</x:v>
      </x:c>
      <x:c r="H473" s="339" t="str">
        <x:v>BR-00706, BR-00707, BR-00708</x:v>
      </x:c>
      <x:c r="I473" s="339" t="str">
        <x:v>WF-236</x:v>
      </x:c>
      <x:c r="J473" s="339" t="str">
        <x:v>API-0236</x:v>
      </x:c>
      <x:c r="K473" s="339" t="str">
        <x:v>Phase 2</x:v>
      </x:c>
      <x:c r="L473" s="339" t="str">
        <x:v>Not Started</x:v>
      </x:c>
    </x:row>
    <x:row r="474">
      <x:c r="A474" s="339" t="str">
        <x:v>US-0473</x:v>
      </x:c>
      <x:c r="B474" s="339" t="str">
        <x:v>EP-021</x:v>
      </x:c>
      <x:c r="C474" s="339" t="str">
        <x:v>SCR-237</x:v>
      </x:c>
      <x:c r="D474" s="339" t="str">
        <x:v>Inventory / Assets / Labs</x:v>
      </x:c>
      <x:c r="E474" s="339" t="str">
        <x:v>Stock Issue / Return</x:v>
      </x:c>
      <x:c r="F474" s="339" t="str">
        <x:v>AC-01889, AC-01890, AC-01891, AC-01892</x:v>
      </x:c>
      <x:c r="G474" s="339" t="str">
        <x:v>BL-237</x:v>
      </x:c>
      <x:c r="H474" s="339" t="str">
        <x:v>BR-00709, BR-00710, BR-00711</x:v>
      </x:c>
      <x:c r="I474" s="339" t="str">
        <x:v>WF-237</x:v>
      </x:c>
      <x:c r="J474" s="339" t="str">
        <x:v>API-0237</x:v>
      </x:c>
      <x:c r="K474" s="339" t="str">
        <x:v>Phase 2</x:v>
      </x:c>
      <x:c r="L474" s="339" t="str">
        <x:v>Not Started</x:v>
      </x:c>
    </x:row>
    <x:row r="475">
      <x:c r="A475" s="339" t="str">
        <x:v>US-0474</x:v>
      </x:c>
      <x:c r="B475" s="339" t="str">
        <x:v>EP-021</x:v>
      </x:c>
      <x:c r="C475" s="339" t="str">
        <x:v>SCR-237</x:v>
      </x:c>
      <x:c r="D475" s="339" t="str">
        <x:v>Inventory / Assets / Labs</x:v>
      </x:c>
      <x:c r="E475" s="339" t="str">
        <x:v>Stock Issue / Return</x:v>
      </x:c>
      <x:c r="F475" s="339" t="str">
        <x:v>AC-01893, AC-01894, AC-01895, AC-01896</x:v>
      </x:c>
      <x:c r="G475" s="339" t="str">
        <x:v>BL-237</x:v>
      </x:c>
      <x:c r="H475" s="339" t="str">
        <x:v>BR-00709, BR-00710, BR-00711</x:v>
      </x:c>
      <x:c r="I475" s="339" t="str">
        <x:v>WF-237</x:v>
      </x:c>
      <x:c r="J475" s="339" t="str">
        <x:v>API-0237</x:v>
      </x:c>
      <x:c r="K475" s="339" t="str">
        <x:v>Phase 2</x:v>
      </x:c>
      <x:c r="L475" s="339" t="str">
        <x:v>Not Started</x:v>
      </x:c>
    </x:row>
    <x:row r="476">
      <x:c r="A476" s="339" t="str">
        <x:v>US-0475</x:v>
      </x:c>
      <x:c r="B476" s="339" t="str">
        <x:v>EP-021</x:v>
      </x:c>
      <x:c r="C476" s="339" t="str">
        <x:v>SCR-238</x:v>
      </x:c>
      <x:c r="D476" s="339" t="str">
        <x:v>Inventory / Assets / Labs</x:v>
      </x:c>
      <x:c r="E476" s="339" t="str">
        <x:v>Supplier Management</x:v>
      </x:c>
      <x:c r="F476" s="339" t="str">
        <x:v>AC-01897, AC-01898, AC-01899, AC-01900</x:v>
      </x:c>
      <x:c r="G476" s="339" t="str">
        <x:v>BL-238</x:v>
      </x:c>
      <x:c r="H476" s="339" t="str">
        <x:v>BR-00712, BR-00713, BR-00714</x:v>
      </x:c>
      <x:c r="I476" s="339" t="str">
        <x:v>WF-238</x:v>
      </x:c>
      <x:c r="J476" s="339" t="str">
        <x:v>API-0238</x:v>
      </x:c>
      <x:c r="K476" s="339" t="str">
        <x:v>Phase 2</x:v>
      </x:c>
      <x:c r="L476" s="339" t="str">
        <x:v>Not Started</x:v>
      </x:c>
    </x:row>
    <x:row r="477">
      <x:c r="A477" s="339" t="str">
        <x:v>US-0476</x:v>
      </x:c>
      <x:c r="B477" s="339" t="str">
        <x:v>EP-021</x:v>
      </x:c>
      <x:c r="C477" s="339" t="str">
        <x:v>SCR-238</x:v>
      </x:c>
      <x:c r="D477" s="339" t="str">
        <x:v>Inventory / Assets / Labs</x:v>
      </x:c>
      <x:c r="E477" s="339" t="str">
        <x:v>Supplier Management</x:v>
      </x:c>
      <x:c r="F477" s="339" t="str">
        <x:v>AC-01901, AC-01902, AC-01903, AC-01904</x:v>
      </x:c>
      <x:c r="G477" s="339" t="str">
        <x:v>BL-238</x:v>
      </x:c>
      <x:c r="H477" s="339" t="str">
        <x:v>BR-00712, BR-00713, BR-00714</x:v>
      </x:c>
      <x:c r="I477" s="339" t="str">
        <x:v>WF-238</x:v>
      </x:c>
      <x:c r="J477" s="339" t="str">
        <x:v>API-0238</x:v>
      </x:c>
      <x:c r="K477" s="339" t="str">
        <x:v>Phase 2</x:v>
      </x:c>
      <x:c r="L477" s="339" t="str">
        <x:v>Not Started</x:v>
      </x:c>
    </x:row>
    <x:row r="478">
      <x:c r="A478" s="339" t="str">
        <x:v>US-0477</x:v>
      </x:c>
      <x:c r="B478" s="339" t="str">
        <x:v>EP-021</x:v>
      </x:c>
      <x:c r="C478" s="339" t="str">
        <x:v>SCR-239</x:v>
      </x:c>
      <x:c r="D478" s="339" t="str">
        <x:v>Inventory / Assets / Labs</x:v>
      </x:c>
      <x:c r="E478" s="339" t="str">
        <x:v>Asset Register</x:v>
      </x:c>
      <x:c r="F478" s="339" t="str">
        <x:v>AC-01905, AC-01906, AC-01907, AC-01908</x:v>
      </x:c>
      <x:c r="G478" s="339" t="str">
        <x:v>BL-239</x:v>
      </x:c>
      <x:c r="H478" s="339" t="str">
        <x:v>BR-00715, BR-00716, BR-00717</x:v>
      </x:c>
      <x:c r="I478" s="339" t="str">
        <x:v>WF-239</x:v>
      </x:c>
      <x:c r="J478" s="339" t="str">
        <x:v>API-0239</x:v>
      </x:c>
      <x:c r="K478" s="339" t="str">
        <x:v>Phase 2</x:v>
      </x:c>
      <x:c r="L478" s="339" t="str">
        <x:v>Not Started</x:v>
      </x:c>
    </x:row>
    <x:row r="479">
      <x:c r="A479" s="339" t="str">
        <x:v>US-0478</x:v>
      </x:c>
      <x:c r="B479" s="339" t="str">
        <x:v>EP-021</x:v>
      </x:c>
      <x:c r="C479" s="339" t="str">
        <x:v>SCR-239</x:v>
      </x:c>
      <x:c r="D479" s="339" t="str">
        <x:v>Inventory / Assets / Labs</x:v>
      </x:c>
      <x:c r="E479" s="339" t="str">
        <x:v>Asset Register</x:v>
      </x:c>
      <x:c r="F479" s="339" t="str">
        <x:v>AC-01909, AC-01910, AC-01911, AC-01912</x:v>
      </x:c>
      <x:c r="G479" s="339" t="str">
        <x:v>BL-239</x:v>
      </x:c>
      <x:c r="H479" s="339" t="str">
        <x:v>BR-00715, BR-00716, BR-00717</x:v>
      </x:c>
      <x:c r="I479" s="339" t="str">
        <x:v>WF-239</x:v>
      </x:c>
      <x:c r="J479" s="339" t="str">
        <x:v>API-0239</x:v>
      </x:c>
      <x:c r="K479" s="339" t="str">
        <x:v>Phase 2</x:v>
      </x:c>
      <x:c r="L479" s="339" t="str">
        <x:v>Not Started</x:v>
      </x:c>
    </x:row>
    <x:row r="480">
      <x:c r="A480" s="339" t="str">
        <x:v>US-0479</x:v>
      </x:c>
      <x:c r="B480" s="339" t="str">
        <x:v>EP-021</x:v>
      </x:c>
      <x:c r="C480" s="339" t="str">
        <x:v>SCR-240</x:v>
      </x:c>
      <x:c r="D480" s="339" t="str">
        <x:v>Inventory / Assets / Labs</x:v>
      </x:c>
      <x:c r="E480" s="339" t="str">
        <x:v>Asset Assignment / Transfer</x:v>
      </x:c>
      <x:c r="F480" s="339" t="str">
        <x:v>AC-01913, AC-01914, AC-01915, AC-01916</x:v>
      </x:c>
      <x:c r="G480" s="339" t="str">
        <x:v>BL-240</x:v>
      </x:c>
      <x:c r="H480" s="339" t="str">
        <x:v>BR-00718, BR-00719, BR-00720</x:v>
      </x:c>
      <x:c r="I480" s="339" t="str">
        <x:v>WF-240</x:v>
      </x:c>
      <x:c r="J480" s="339" t="str">
        <x:v>API-0240</x:v>
      </x:c>
      <x:c r="K480" s="339" t="str">
        <x:v>Phase 3</x:v>
      </x:c>
      <x:c r="L480" s="339" t="str">
        <x:v>Not Started</x:v>
      </x:c>
    </x:row>
    <x:row r="481">
      <x:c r="A481" s="339" t="str">
        <x:v>US-0480</x:v>
      </x:c>
      <x:c r="B481" s="339" t="str">
        <x:v>EP-021</x:v>
      </x:c>
      <x:c r="C481" s="339" t="str">
        <x:v>SCR-240</x:v>
      </x:c>
      <x:c r="D481" s="339" t="str">
        <x:v>Inventory / Assets / Labs</x:v>
      </x:c>
      <x:c r="E481" s="339" t="str">
        <x:v>Asset Assignment / Transfer</x:v>
      </x:c>
      <x:c r="F481" s="339" t="str">
        <x:v>AC-01917, AC-01918, AC-01919, AC-01920</x:v>
      </x:c>
      <x:c r="G481" s="339" t="str">
        <x:v>BL-240</x:v>
      </x:c>
      <x:c r="H481" s="339" t="str">
        <x:v>BR-00718, BR-00719, BR-00720</x:v>
      </x:c>
      <x:c r="I481" s="339" t="str">
        <x:v>WF-240</x:v>
      </x:c>
      <x:c r="J481" s="339" t="str">
        <x:v>API-0240</x:v>
      </x:c>
      <x:c r="K481" s="339" t="str">
        <x:v>Phase 3</x:v>
      </x:c>
      <x:c r="L481" s="339" t="str">
        <x:v>Not Started</x:v>
      </x:c>
    </x:row>
    <x:row r="482">
      <x:c r="A482" s="339" t="str">
        <x:v>US-0481</x:v>
      </x:c>
      <x:c r="B482" s="339" t="str">
        <x:v>EP-021</x:v>
      </x:c>
      <x:c r="C482" s="339" t="str">
        <x:v>SCR-241</x:v>
      </x:c>
      <x:c r="D482" s="339" t="str">
        <x:v>Inventory / Assets / Labs</x:v>
      </x:c>
      <x:c r="E482" s="339" t="str">
        <x:v>Asset Maintenance</x:v>
      </x:c>
      <x:c r="F482" s="339" t="str">
        <x:v>AC-01921, AC-01922, AC-01923, AC-01924</x:v>
      </x:c>
      <x:c r="G482" s="339" t="str">
        <x:v>BL-241</x:v>
      </x:c>
      <x:c r="H482" s="339" t="str">
        <x:v>BR-00721, BR-00722, BR-00723</x:v>
      </x:c>
      <x:c r="I482" s="339" t="str">
        <x:v>WF-241</x:v>
      </x:c>
      <x:c r="J482" s="339" t="str">
        <x:v>API-0241</x:v>
      </x:c>
      <x:c r="K482" s="339" t="str">
        <x:v>Phase 3</x:v>
      </x:c>
      <x:c r="L482" s="339" t="str">
        <x:v>Not Started</x:v>
      </x:c>
    </x:row>
    <x:row r="483">
      <x:c r="A483" s="339" t="str">
        <x:v>US-0482</x:v>
      </x:c>
      <x:c r="B483" s="339" t="str">
        <x:v>EP-021</x:v>
      </x:c>
      <x:c r="C483" s="339" t="str">
        <x:v>SCR-241</x:v>
      </x:c>
      <x:c r="D483" s="339" t="str">
        <x:v>Inventory / Assets / Labs</x:v>
      </x:c>
      <x:c r="E483" s="339" t="str">
        <x:v>Asset Maintenance</x:v>
      </x:c>
      <x:c r="F483" s="339" t="str">
        <x:v>AC-01925, AC-01926, AC-01927, AC-01928</x:v>
      </x:c>
      <x:c r="G483" s="339" t="str">
        <x:v>BL-241</x:v>
      </x:c>
      <x:c r="H483" s="339" t="str">
        <x:v>BR-00721, BR-00722, BR-00723</x:v>
      </x:c>
      <x:c r="I483" s="339" t="str">
        <x:v>WF-241</x:v>
      </x:c>
      <x:c r="J483" s="339" t="str">
        <x:v>API-0241</x:v>
      </x:c>
      <x:c r="K483" s="339" t="str">
        <x:v>Phase 3</x:v>
      </x:c>
      <x:c r="L483" s="339" t="str">
        <x:v>Not Started</x:v>
      </x:c>
    </x:row>
    <x:row r="484">
      <x:c r="A484" s="339" t="str">
        <x:v>US-0483</x:v>
      </x:c>
      <x:c r="B484" s="339" t="str">
        <x:v>EP-021</x:v>
      </x:c>
      <x:c r="C484" s="339" t="str">
        <x:v>SCR-242</x:v>
      </x:c>
      <x:c r="D484" s="339" t="str">
        <x:v>Inventory / Assets / Labs</x:v>
      </x:c>
      <x:c r="E484" s="339" t="str">
        <x:v>Lab Register</x:v>
      </x:c>
      <x:c r="F484" s="339" t="str">
        <x:v>AC-01929, AC-01930, AC-01931, AC-01932</x:v>
      </x:c>
      <x:c r="G484" s="339" t="str">
        <x:v>BL-242</x:v>
      </x:c>
      <x:c r="H484" s="339" t="str">
        <x:v>BR-00724, BR-00725, BR-00726</x:v>
      </x:c>
      <x:c r="I484" s="339" t="str">
        <x:v>WF-242</x:v>
      </x:c>
      <x:c r="J484" s="339" t="str">
        <x:v>API-0242</x:v>
      </x:c>
      <x:c r="K484" s="339" t="str">
        <x:v>Phase 3</x:v>
      </x:c>
      <x:c r="L484" s="339" t="str">
        <x:v>Not Started</x:v>
      </x:c>
    </x:row>
    <x:row r="485">
      <x:c r="A485" s="339" t="str">
        <x:v>US-0484</x:v>
      </x:c>
      <x:c r="B485" s="339" t="str">
        <x:v>EP-021</x:v>
      </x:c>
      <x:c r="C485" s="339" t="str">
        <x:v>SCR-242</x:v>
      </x:c>
      <x:c r="D485" s="339" t="str">
        <x:v>Inventory / Assets / Labs</x:v>
      </x:c>
      <x:c r="E485" s="339" t="str">
        <x:v>Lab Register</x:v>
      </x:c>
      <x:c r="F485" s="339" t="str">
        <x:v>AC-01933, AC-01934, AC-01935, AC-01936</x:v>
      </x:c>
      <x:c r="G485" s="339" t="str">
        <x:v>BL-242</x:v>
      </x:c>
      <x:c r="H485" s="339" t="str">
        <x:v>BR-00724, BR-00725, BR-00726</x:v>
      </x:c>
      <x:c r="I485" s="339" t="str">
        <x:v>WF-242</x:v>
      </x:c>
      <x:c r="J485" s="339" t="str">
        <x:v>API-0242</x:v>
      </x:c>
      <x:c r="K485" s="339" t="str">
        <x:v>Phase 3</x:v>
      </x:c>
      <x:c r="L485" s="339" t="str">
        <x:v>Not Started</x:v>
      </x:c>
    </x:row>
    <x:row r="486">
      <x:c r="A486" s="339" t="str">
        <x:v>US-0485</x:v>
      </x:c>
      <x:c r="B486" s="339" t="str">
        <x:v>EP-021</x:v>
      </x:c>
      <x:c r="C486" s="339" t="str">
        <x:v>SCR-243</x:v>
      </x:c>
      <x:c r="D486" s="339" t="str">
        <x:v>Inventory / Assets / Labs</x:v>
      </x:c>
      <x:c r="E486" s="339" t="str">
        <x:v>Lab Equipment &amp; Consumables</x:v>
      </x:c>
      <x:c r="F486" s="339" t="str">
        <x:v>AC-01937, AC-01938, AC-01939, AC-01940</x:v>
      </x:c>
      <x:c r="G486" s="339" t="str">
        <x:v>BL-243</x:v>
      </x:c>
      <x:c r="H486" s="339" t="str">
        <x:v>BR-00727, BR-00728, BR-00729</x:v>
      </x:c>
      <x:c r="I486" s="339" t="str">
        <x:v>WF-243</x:v>
      </x:c>
      <x:c r="J486" s="339" t="str">
        <x:v>API-0243</x:v>
      </x:c>
      <x:c r="K486" s="339" t="str">
        <x:v>Phase 3</x:v>
      </x:c>
      <x:c r="L486" s="339" t="str">
        <x:v>Not Started</x:v>
      </x:c>
    </x:row>
    <x:row r="487">
      <x:c r="A487" s="339" t="str">
        <x:v>US-0486</x:v>
      </x:c>
      <x:c r="B487" s="339" t="str">
        <x:v>EP-021</x:v>
      </x:c>
      <x:c r="C487" s="339" t="str">
        <x:v>SCR-243</x:v>
      </x:c>
      <x:c r="D487" s="339" t="str">
        <x:v>Inventory / Assets / Labs</x:v>
      </x:c>
      <x:c r="E487" s="339" t="str">
        <x:v>Lab Equipment &amp; Consumables</x:v>
      </x:c>
      <x:c r="F487" s="339" t="str">
        <x:v>AC-01941, AC-01942, AC-01943, AC-01944</x:v>
      </x:c>
      <x:c r="G487" s="339" t="str">
        <x:v>BL-243</x:v>
      </x:c>
      <x:c r="H487" s="339" t="str">
        <x:v>BR-00727, BR-00728, BR-00729</x:v>
      </x:c>
      <x:c r="I487" s="339" t="str">
        <x:v>WF-243</x:v>
      </x:c>
      <x:c r="J487" s="339" t="str">
        <x:v>API-0243</x:v>
      </x:c>
      <x:c r="K487" s="339" t="str">
        <x:v>Phase 3</x:v>
      </x:c>
      <x:c r="L487" s="339" t="str">
        <x:v>Not Started</x:v>
      </x:c>
    </x:row>
    <x:row r="488">
      <x:c r="A488" s="339" t="str">
        <x:v>US-0487</x:v>
      </x:c>
      <x:c r="B488" s="339" t="str">
        <x:v>EP-021</x:v>
      </x:c>
      <x:c r="C488" s="339" t="str">
        <x:v>SCR-244</x:v>
      </x:c>
      <x:c r="D488" s="339" t="str">
        <x:v>Inventory / Assets / Labs</x:v>
      </x:c>
      <x:c r="E488" s="339" t="str">
        <x:v>Practical / Lab Booking</x:v>
      </x:c>
      <x:c r="F488" s="339" t="str">
        <x:v>AC-01945, AC-01946, AC-01947, AC-01948</x:v>
      </x:c>
      <x:c r="G488" s="339" t="str">
        <x:v>BL-244</x:v>
      </x:c>
      <x:c r="H488" s="339" t="str">
        <x:v>BR-00730, BR-00731, BR-00732</x:v>
      </x:c>
      <x:c r="I488" s="339" t="str">
        <x:v>WF-244</x:v>
      </x:c>
      <x:c r="J488" s="339" t="str">
        <x:v>API-0244</x:v>
      </x:c>
      <x:c r="K488" s="339" t="str">
        <x:v>Phase 3</x:v>
      </x:c>
      <x:c r="L488" s="339" t="str">
        <x:v>Not Started</x:v>
      </x:c>
    </x:row>
    <x:row r="489">
      <x:c r="A489" s="339" t="str">
        <x:v>US-0488</x:v>
      </x:c>
      <x:c r="B489" s="339" t="str">
        <x:v>EP-021</x:v>
      </x:c>
      <x:c r="C489" s="339" t="str">
        <x:v>SCR-244</x:v>
      </x:c>
      <x:c r="D489" s="339" t="str">
        <x:v>Inventory / Assets / Labs</x:v>
      </x:c>
      <x:c r="E489" s="339" t="str">
        <x:v>Practical / Lab Booking</x:v>
      </x:c>
      <x:c r="F489" s="339" t="str">
        <x:v>AC-01949, AC-01950, AC-01951, AC-01952</x:v>
      </x:c>
      <x:c r="G489" s="339" t="str">
        <x:v>BL-244</x:v>
      </x:c>
      <x:c r="H489" s="339" t="str">
        <x:v>BR-00730, BR-00731, BR-00732</x:v>
      </x:c>
      <x:c r="I489" s="339" t="str">
        <x:v>WF-244</x:v>
      </x:c>
      <x:c r="J489" s="339" t="str">
        <x:v>API-0244</x:v>
      </x:c>
      <x:c r="K489" s="339" t="str">
        <x:v>Phase 3</x:v>
      </x:c>
      <x:c r="L489" s="339" t="str">
        <x:v>Not Started</x:v>
      </x:c>
    </x:row>
    <x:row r="490">
      <x:c r="A490" s="339" t="str">
        <x:v>US-0489</x:v>
      </x:c>
      <x:c r="B490" s="339" t="str">
        <x:v>EP-021</x:v>
      </x:c>
      <x:c r="C490" s="339" t="str">
        <x:v>SCR-245</x:v>
      </x:c>
      <x:c r="D490" s="339" t="str">
        <x:v>Inventory / Assets / Labs</x:v>
      </x:c>
      <x:c r="E490" s="339" t="str">
        <x:v>Stock &amp; Asset Reports</x:v>
      </x:c>
      <x:c r="F490" s="339" t="str">
        <x:v>AC-01953, AC-01954, AC-01955, AC-01956</x:v>
      </x:c>
      <x:c r="G490" s="339" t="str">
        <x:v>BL-245</x:v>
      </x:c>
      <x:c r="H490" s="339" t="str">
        <x:v>BR-00733, BR-00734, BR-00735</x:v>
      </x:c>
      <x:c r="I490" s="339" t="str">
        <x:v>WF-245</x:v>
      </x:c>
      <x:c r="J490" s="339" t="str">
        <x:v>API-0245</x:v>
      </x:c>
      <x:c r="K490" s="339" t="str">
        <x:v>Phase 3</x:v>
      </x:c>
      <x:c r="L490" s="339" t="str">
        <x:v>Not Started</x:v>
      </x:c>
    </x:row>
    <x:row r="491">
      <x:c r="A491" s="339" t="str">
        <x:v>US-0490</x:v>
      </x:c>
      <x:c r="B491" s="339" t="str">
        <x:v>EP-021</x:v>
      </x:c>
      <x:c r="C491" s="339" t="str">
        <x:v>SCR-245</x:v>
      </x:c>
      <x:c r="D491" s="339" t="str">
        <x:v>Inventory / Assets / Labs</x:v>
      </x:c>
      <x:c r="E491" s="339" t="str">
        <x:v>Stock &amp; Asset Reports</x:v>
      </x:c>
      <x:c r="F491" s="339" t="str">
        <x:v>AC-01957, AC-01958, AC-01959, AC-01960</x:v>
      </x:c>
      <x:c r="G491" s="339" t="str">
        <x:v>BL-245</x:v>
      </x:c>
      <x:c r="H491" s="339" t="str">
        <x:v>BR-00733, BR-00734, BR-00735</x:v>
      </x:c>
      <x:c r="I491" s="339" t="str">
        <x:v>WF-245</x:v>
      </x:c>
      <x:c r="J491" s="339" t="str">
        <x:v>API-0245</x:v>
      </x:c>
      <x:c r="K491" s="339" t="str">
        <x:v>Phase 3</x:v>
      </x:c>
      <x:c r="L491" s="339" t="str">
        <x:v>Not Started</x:v>
      </x:c>
    </x:row>
    <x:row r="492">
      <x:c r="A492" s="339" t="str">
        <x:v>US-0491</x:v>
      </x:c>
      <x:c r="B492" s="339" t="str">
        <x:v>EP-022</x:v>
      </x:c>
      <x:c r="C492" s="339" t="str">
        <x:v>SCR-246</x:v>
      </x:c>
      <x:c r="D492" s="339" t="str">
        <x:v>Events / PTM / Communication</x:v>
      </x:c>
      <x:c r="E492" s="339" t="str">
        <x:v>Events Calendar</x:v>
      </x:c>
      <x:c r="F492" s="339" t="str">
        <x:v>AC-01961, AC-01962, AC-01963, AC-01964</x:v>
      </x:c>
      <x:c r="G492" s="339" t="str">
        <x:v>BL-246</x:v>
      </x:c>
      <x:c r="H492" s="339" t="str">
        <x:v>BR-00736, BR-00737, BR-00738</x:v>
      </x:c>
      <x:c r="I492" s="339" t="str">
        <x:v>WF-246</x:v>
      </x:c>
      <x:c r="J492" s="339" t="str">
        <x:v>API-0246</x:v>
      </x:c>
      <x:c r="K492" s="339" t="str">
        <x:v>MVP</x:v>
      </x:c>
      <x:c r="L492" s="339" t="str">
        <x:v>Not Started</x:v>
      </x:c>
    </x:row>
    <x:row r="493">
      <x:c r="A493" s="339" t="str">
        <x:v>US-0492</x:v>
      </x:c>
      <x:c r="B493" s="339" t="str">
        <x:v>EP-022</x:v>
      </x:c>
      <x:c r="C493" s="339" t="str">
        <x:v>SCR-246</x:v>
      </x:c>
      <x:c r="D493" s="339" t="str">
        <x:v>Events / PTM / Communication</x:v>
      </x:c>
      <x:c r="E493" s="339" t="str">
        <x:v>Events Calendar</x:v>
      </x:c>
      <x:c r="F493" s="339" t="str">
        <x:v>AC-01965, AC-01966, AC-01967, AC-01968</x:v>
      </x:c>
      <x:c r="G493" s="339" t="str">
        <x:v>BL-246</x:v>
      </x:c>
      <x:c r="H493" s="339" t="str">
        <x:v>BR-00736, BR-00737, BR-00738</x:v>
      </x:c>
      <x:c r="I493" s="339" t="str">
        <x:v>WF-246</x:v>
      </x:c>
      <x:c r="J493" s="339" t="str">
        <x:v>API-0246</x:v>
      </x:c>
      <x:c r="K493" s="339" t="str">
        <x:v>MVP</x:v>
      </x:c>
      <x:c r="L493" s="339" t="str">
        <x:v>Not Started</x:v>
      </x:c>
    </x:row>
    <x:row r="494">
      <x:c r="A494" s="339" t="str">
        <x:v>US-0493</x:v>
      </x:c>
      <x:c r="B494" s="339" t="str">
        <x:v>EP-022</x:v>
      </x:c>
      <x:c r="C494" s="339" t="str">
        <x:v>SCR-247</x:v>
      </x:c>
      <x:c r="D494" s="339" t="str">
        <x:v>Events / PTM / Communication</x:v>
      </x:c>
      <x:c r="E494" s="339" t="str">
        <x:v>Create / Edit Event</x:v>
      </x:c>
      <x:c r="F494" s="339" t="str">
        <x:v>AC-01969, AC-01970, AC-01971, AC-01972</x:v>
      </x:c>
      <x:c r="G494" s="339" t="str">
        <x:v>BL-247</x:v>
      </x:c>
      <x:c r="H494" s="339" t="str">
        <x:v>BR-00739, BR-00740, BR-00741</x:v>
      </x:c>
      <x:c r="I494" s="339" t="str">
        <x:v>WF-247</x:v>
      </x:c>
      <x:c r="J494" s="339" t="str">
        <x:v>API-0247</x:v>
      </x:c>
      <x:c r="K494" s="339" t="str">
        <x:v>MVP</x:v>
      </x:c>
      <x:c r="L494" s="339" t="str">
        <x:v>Not Started</x:v>
      </x:c>
    </x:row>
    <x:row r="495">
      <x:c r="A495" s="339" t="str">
        <x:v>US-0494</x:v>
      </x:c>
      <x:c r="B495" s="339" t="str">
        <x:v>EP-022</x:v>
      </x:c>
      <x:c r="C495" s="339" t="str">
        <x:v>SCR-247</x:v>
      </x:c>
      <x:c r="D495" s="339" t="str">
        <x:v>Events / PTM / Communication</x:v>
      </x:c>
      <x:c r="E495" s="339" t="str">
        <x:v>Create / Edit Event</x:v>
      </x:c>
      <x:c r="F495" s="339" t="str">
        <x:v>AC-01973, AC-01974, AC-01975, AC-01976</x:v>
      </x:c>
      <x:c r="G495" s="339" t="str">
        <x:v>BL-247</x:v>
      </x:c>
      <x:c r="H495" s="339" t="str">
        <x:v>BR-00739, BR-00740, BR-00741</x:v>
      </x:c>
      <x:c r="I495" s="339" t="str">
        <x:v>WF-247</x:v>
      </x:c>
      <x:c r="J495" s="339" t="str">
        <x:v>API-0247</x:v>
      </x:c>
      <x:c r="K495" s="339" t="str">
        <x:v>MVP</x:v>
      </x:c>
      <x:c r="L495" s="339" t="str">
        <x:v>Not Started</x:v>
      </x:c>
    </x:row>
    <x:row r="496">
      <x:c r="A496" s="339" t="str">
        <x:v>US-0495</x:v>
      </x:c>
      <x:c r="B496" s="339" t="str">
        <x:v>EP-022</x:v>
      </x:c>
      <x:c r="C496" s="339" t="str">
        <x:v>SCR-248</x:v>
      </x:c>
      <x:c r="D496" s="339" t="str">
        <x:v>Events / PTM / Communication</x:v>
      </x:c>
      <x:c r="E496" s="339" t="str">
        <x:v>Event Details &amp; Participants</x:v>
      </x:c>
      <x:c r="F496" s="339" t="str">
        <x:v>AC-01977, AC-01978, AC-01979, AC-01980</x:v>
      </x:c>
      <x:c r="G496" s="339" t="str">
        <x:v>BL-248</x:v>
      </x:c>
      <x:c r="H496" s="339" t="str">
        <x:v>BR-00742, BR-00743, BR-00744</x:v>
      </x:c>
      <x:c r="I496" s="339" t="str">
        <x:v>WF-248</x:v>
      </x:c>
      <x:c r="J496" s="339" t="str">
        <x:v>API-0248</x:v>
      </x:c>
      <x:c r="K496" s="339" t="str">
        <x:v>MVP</x:v>
      </x:c>
      <x:c r="L496" s="339" t="str">
        <x:v>Not Started</x:v>
      </x:c>
    </x:row>
    <x:row r="497">
      <x:c r="A497" s="339" t="str">
        <x:v>US-0496</x:v>
      </x:c>
      <x:c r="B497" s="339" t="str">
        <x:v>EP-022</x:v>
      </x:c>
      <x:c r="C497" s="339" t="str">
        <x:v>SCR-248</x:v>
      </x:c>
      <x:c r="D497" s="339" t="str">
        <x:v>Events / PTM / Communication</x:v>
      </x:c>
      <x:c r="E497" s="339" t="str">
        <x:v>Event Details &amp; Participants</x:v>
      </x:c>
      <x:c r="F497" s="339" t="str">
        <x:v>AC-01981, AC-01982, AC-01983, AC-01984</x:v>
      </x:c>
      <x:c r="G497" s="339" t="str">
        <x:v>BL-248</x:v>
      </x:c>
      <x:c r="H497" s="339" t="str">
        <x:v>BR-00742, BR-00743, BR-00744</x:v>
      </x:c>
      <x:c r="I497" s="339" t="str">
        <x:v>WF-248</x:v>
      </x:c>
      <x:c r="J497" s="339" t="str">
        <x:v>API-0248</x:v>
      </x:c>
      <x:c r="K497" s="339" t="str">
        <x:v>MVP</x:v>
      </x:c>
      <x:c r="L497" s="339" t="str">
        <x:v>Not Started</x:v>
      </x:c>
    </x:row>
    <x:row r="498">
      <x:c r="A498" s="339" t="str">
        <x:v>US-0497</x:v>
      </x:c>
      <x:c r="B498" s="339" t="str">
        <x:v>EP-022</x:v>
      </x:c>
      <x:c r="C498" s="339" t="str">
        <x:v>SCR-249</x:v>
      </x:c>
      <x:c r="D498" s="339" t="str">
        <x:v>Events / PTM / Communication</x:v>
      </x:c>
      <x:c r="E498" s="339" t="str">
        <x:v>Field Trip &amp; Parent Consent</x:v>
      </x:c>
      <x:c r="F498" s="339" t="str">
        <x:v>AC-01985, AC-01986, AC-01987, AC-01988</x:v>
      </x:c>
      <x:c r="G498" s="339" t="str">
        <x:v>BL-249</x:v>
      </x:c>
      <x:c r="H498" s="339" t="str">
        <x:v>BR-00745, BR-00746, BR-00747</x:v>
      </x:c>
      <x:c r="I498" s="339" t="str">
        <x:v>WF-249</x:v>
      </x:c>
      <x:c r="J498" s="339" t="str">
        <x:v>API-0249</x:v>
      </x:c>
      <x:c r="K498" s="339" t="str">
        <x:v>Phase 2</x:v>
      </x:c>
      <x:c r="L498" s="339" t="str">
        <x:v>Not Started</x:v>
      </x:c>
    </x:row>
    <x:row r="499">
      <x:c r="A499" s="339" t="str">
        <x:v>US-0498</x:v>
      </x:c>
      <x:c r="B499" s="339" t="str">
        <x:v>EP-022</x:v>
      </x:c>
      <x:c r="C499" s="339" t="str">
        <x:v>SCR-249</x:v>
      </x:c>
      <x:c r="D499" s="339" t="str">
        <x:v>Events / PTM / Communication</x:v>
      </x:c>
      <x:c r="E499" s="339" t="str">
        <x:v>Field Trip &amp; Parent Consent</x:v>
      </x:c>
      <x:c r="F499" s="339" t="str">
        <x:v>AC-01989, AC-01990, AC-01991, AC-01992</x:v>
      </x:c>
      <x:c r="G499" s="339" t="str">
        <x:v>BL-249</x:v>
      </x:c>
      <x:c r="H499" s="339" t="str">
        <x:v>BR-00745, BR-00746, BR-00747</x:v>
      </x:c>
      <x:c r="I499" s="339" t="str">
        <x:v>WF-249</x:v>
      </x:c>
      <x:c r="J499" s="339" t="str">
        <x:v>API-0249</x:v>
      </x:c>
      <x:c r="K499" s="339" t="str">
        <x:v>Phase 2</x:v>
      </x:c>
      <x:c r="L499" s="339" t="str">
        <x:v>Not Started</x:v>
      </x:c>
    </x:row>
    <x:row r="500">
      <x:c r="A500" s="339" t="str">
        <x:v>US-0499</x:v>
      </x:c>
      <x:c r="B500" s="339" t="str">
        <x:v>EP-022</x:v>
      </x:c>
      <x:c r="C500" s="339" t="str">
        <x:v>SCR-250</x:v>
      </x:c>
      <x:c r="D500" s="339" t="str">
        <x:v>Events / PTM / Communication</x:v>
      </x:c>
      <x:c r="E500" s="339" t="str">
        <x:v>PTM Setup</x:v>
      </x:c>
      <x:c r="F500" s="339" t="str">
        <x:v>AC-01993, AC-01994, AC-01995, AC-01996</x:v>
      </x:c>
      <x:c r="G500" s="339" t="str">
        <x:v>BL-250</x:v>
      </x:c>
      <x:c r="H500" s="339" t="str">
        <x:v>BR-00748, BR-00749, BR-00750</x:v>
      </x:c>
      <x:c r="I500" s="339" t="str">
        <x:v>WF-250</x:v>
      </x:c>
      <x:c r="J500" s="339" t="str">
        <x:v>API-0250</x:v>
      </x:c>
      <x:c r="K500" s="339" t="str">
        <x:v>Phase 2</x:v>
      </x:c>
      <x:c r="L500" s="339" t="str">
        <x:v>Not Started</x:v>
      </x:c>
    </x:row>
    <x:row r="501">
      <x:c r="A501" s="339" t="str">
        <x:v>US-0500</x:v>
      </x:c>
      <x:c r="B501" s="339" t="str">
        <x:v>EP-022</x:v>
      </x:c>
      <x:c r="C501" s="339" t="str">
        <x:v>SCR-250</x:v>
      </x:c>
      <x:c r="D501" s="339" t="str">
        <x:v>Events / PTM / Communication</x:v>
      </x:c>
      <x:c r="E501" s="339" t="str">
        <x:v>PTM Setup</x:v>
      </x:c>
      <x:c r="F501" s="339" t="str">
        <x:v>AC-01997, AC-01998, AC-01999, AC-02000</x:v>
      </x:c>
      <x:c r="G501" s="339" t="str">
        <x:v>BL-250</x:v>
      </x:c>
      <x:c r="H501" s="339" t="str">
        <x:v>BR-00748, BR-00749, BR-00750</x:v>
      </x:c>
      <x:c r="I501" s="339" t="str">
        <x:v>WF-250</x:v>
      </x:c>
      <x:c r="J501" s="339" t="str">
        <x:v>API-0250</x:v>
      </x:c>
      <x:c r="K501" s="339" t="str">
        <x:v>Phase 2</x:v>
      </x:c>
      <x:c r="L501" s="339" t="str">
        <x:v>Not Started</x:v>
      </x:c>
    </x:row>
    <x:row r="502">
      <x:c r="A502" s="339" t="str">
        <x:v>US-0501</x:v>
      </x:c>
      <x:c r="B502" s="339" t="str">
        <x:v>EP-022</x:v>
      </x:c>
      <x:c r="C502" s="339" t="str">
        <x:v>SCR-251</x:v>
      </x:c>
      <x:c r="D502" s="339" t="str">
        <x:v>Events / PTM / Communication</x:v>
      </x:c>
      <x:c r="E502" s="339" t="str">
        <x:v>PTM Slot Booking</x:v>
      </x:c>
      <x:c r="F502" s="339" t="str">
        <x:v>AC-02001, AC-02002, AC-02003, AC-02004</x:v>
      </x:c>
      <x:c r="G502" s="339" t="str">
        <x:v>BL-251</x:v>
      </x:c>
      <x:c r="H502" s="339" t="str">
        <x:v>BR-00751, BR-00752, BR-00753</x:v>
      </x:c>
      <x:c r="I502" s="339" t="str">
        <x:v>WF-251</x:v>
      </x:c>
      <x:c r="J502" s="339" t="str">
        <x:v>API-0251</x:v>
      </x:c>
      <x:c r="K502" s="339" t="str">
        <x:v>Phase 2</x:v>
      </x:c>
      <x:c r="L502" s="339" t="str">
        <x:v>Not Started</x:v>
      </x:c>
    </x:row>
    <x:row r="503">
      <x:c r="A503" s="339" t="str">
        <x:v>US-0502</x:v>
      </x:c>
      <x:c r="B503" s="339" t="str">
        <x:v>EP-022</x:v>
      </x:c>
      <x:c r="C503" s="339" t="str">
        <x:v>SCR-251</x:v>
      </x:c>
      <x:c r="D503" s="339" t="str">
        <x:v>Events / PTM / Communication</x:v>
      </x:c>
      <x:c r="E503" s="339" t="str">
        <x:v>PTM Slot Booking</x:v>
      </x:c>
      <x:c r="F503" s="339" t="str">
        <x:v>AC-02005, AC-02006, AC-02007, AC-02008</x:v>
      </x:c>
      <x:c r="G503" s="339" t="str">
        <x:v>BL-251</x:v>
      </x:c>
      <x:c r="H503" s="339" t="str">
        <x:v>BR-00751, BR-00752, BR-00753</x:v>
      </x:c>
      <x:c r="I503" s="339" t="str">
        <x:v>WF-251</x:v>
      </x:c>
      <x:c r="J503" s="339" t="str">
        <x:v>API-0251</x:v>
      </x:c>
      <x:c r="K503" s="339" t="str">
        <x:v>Phase 2</x:v>
      </x:c>
      <x:c r="L503" s="339" t="str">
        <x:v>Not Started</x:v>
      </x:c>
    </x:row>
    <x:row r="504">
      <x:c r="A504" s="339" t="str">
        <x:v>US-0503</x:v>
      </x:c>
      <x:c r="B504" s="339" t="str">
        <x:v>EP-022</x:v>
      </x:c>
      <x:c r="C504" s="339" t="str">
        <x:v>SCR-252</x:v>
      </x:c>
      <x:c r="D504" s="339" t="str">
        <x:v>Events / PTM / Communication</x:v>
      </x:c>
      <x:c r="E504" s="339" t="str">
        <x:v>Announcements</x:v>
      </x:c>
      <x:c r="F504" s="339" t="str">
        <x:v>AC-02009, AC-02010, AC-02011, AC-02012</x:v>
      </x:c>
      <x:c r="G504" s="339" t="str">
        <x:v>BL-252</x:v>
      </x:c>
      <x:c r="H504" s="339" t="str">
        <x:v>BR-00754, BR-00755, BR-00756</x:v>
      </x:c>
      <x:c r="I504" s="339" t="str">
        <x:v>WF-252</x:v>
      </x:c>
      <x:c r="J504" s="339" t="str">
        <x:v>API-0252</x:v>
      </x:c>
      <x:c r="K504" s="339" t="str">
        <x:v>Phase 2</x:v>
      </x:c>
      <x:c r="L504" s="339" t="str">
        <x:v>Not Started</x:v>
      </x:c>
    </x:row>
    <x:row r="505">
      <x:c r="A505" s="339" t="str">
        <x:v>US-0504</x:v>
      </x:c>
      <x:c r="B505" s="339" t="str">
        <x:v>EP-022</x:v>
      </x:c>
      <x:c r="C505" s="339" t="str">
        <x:v>SCR-252</x:v>
      </x:c>
      <x:c r="D505" s="339" t="str">
        <x:v>Events / PTM / Communication</x:v>
      </x:c>
      <x:c r="E505" s="339" t="str">
        <x:v>Announcements</x:v>
      </x:c>
      <x:c r="F505" s="339" t="str">
        <x:v>AC-02013, AC-02014, AC-02015, AC-02016</x:v>
      </x:c>
      <x:c r="G505" s="339" t="str">
        <x:v>BL-252</x:v>
      </x:c>
      <x:c r="H505" s="339" t="str">
        <x:v>BR-00754, BR-00755, BR-00756</x:v>
      </x:c>
      <x:c r="I505" s="339" t="str">
        <x:v>WF-252</x:v>
      </x:c>
      <x:c r="J505" s="339" t="str">
        <x:v>API-0252</x:v>
      </x:c>
      <x:c r="K505" s="339" t="str">
        <x:v>Phase 2</x:v>
      </x:c>
      <x:c r="L505" s="339" t="str">
        <x:v>Not Started</x:v>
      </x:c>
    </x:row>
    <x:row r="506">
      <x:c r="A506" s="339" t="str">
        <x:v>US-0505</x:v>
      </x:c>
      <x:c r="B506" s="339" t="str">
        <x:v>EP-022</x:v>
      </x:c>
      <x:c r="C506" s="339" t="str">
        <x:v>SCR-253</x:v>
      </x:c>
      <x:c r="D506" s="339" t="str">
        <x:v>Events / PTM / Communication</x:v>
      </x:c>
      <x:c r="E506" s="339" t="str">
        <x:v>Messaging / Inbox</x:v>
      </x:c>
      <x:c r="F506" s="339" t="str">
        <x:v>AC-02017, AC-02018, AC-02019, AC-02020</x:v>
      </x:c>
      <x:c r="G506" s="339" t="str">
        <x:v>BL-253</x:v>
      </x:c>
      <x:c r="H506" s="339" t="str">
        <x:v>BR-00757, BR-00758, BR-00759</x:v>
      </x:c>
      <x:c r="I506" s="339" t="str">
        <x:v>WF-253</x:v>
      </x:c>
      <x:c r="J506" s="339" t="str">
        <x:v>API-0253</x:v>
      </x:c>
      <x:c r="K506" s="339" t="str">
        <x:v>Phase 3</x:v>
      </x:c>
      <x:c r="L506" s="339" t="str">
        <x:v>Not Started</x:v>
      </x:c>
    </x:row>
    <x:row r="507">
      <x:c r="A507" s="339" t="str">
        <x:v>US-0506</x:v>
      </x:c>
      <x:c r="B507" s="339" t="str">
        <x:v>EP-022</x:v>
      </x:c>
      <x:c r="C507" s="339" t="str">
        <x:v>SCR-253</x:v>
      </x:c>
      <x:c r="D507" s="339" t="str">
        <x:v>Events / PTM / Communication</x:v>
      </x:c>
      <x:c r="E507" s="339" t="str">
        <x:v>Messaging / Inbox</x:v>
      </x:c>
      <x:c r="F507" s="339" t="str">
        <x:v>AC-02021, AC-02022, AC-02023, AC-02024</x:v>
      </x:c>
      <x:c r="G507" s="339" t="str">
        <x:v>BL-253</x:v>
      </x:c>
      <x:c r="H507" s="339" t="str">
        <x:v>BR-00757, BR-00758, BR-00759</x:v>
      </x:c>
      <x:c r="I507" s="339" t="str">
        <x:v>WF-253</x:v>
      </x:c>
      <x:c r="J507" s="339" t="str">
        <x:v>API-0253</x:v>
      </x:c>
      <x:c r="K507" s="339" t="str">
        <x:v>Phase 3</x:v>
      </x:c>
      <x:c r="L507" s="339" t="str">
        <x:v>Not Started</x:v>
      </x:c>
    </x:row>
    <x:row r="508">
      <x:c r="A508" s="339" t="str">
        <x:v>US-0507</x:v>
      </x:c>
      <x:c r="B508" s="339" t="str">
        <x:v>EP-022</x:v>
      </x:c>
      <x:c r="C508" s="339" t="str">
        <x:v>SCR-254</x:v>
      </x:c>
      <x:c r="D508" s="339" t="str">
        <x:v>Events / PTM / Communication</x:v>
      </x:c>
      <x:c r="E508" s="339" t="str">
        <x:v>Notification Campaigns</x:v>
      </x:c>
      <x:c r="F508" s="339" t="str">
        <x:v>AC-02025, AC-02026, AC-02027, AC-02028</x:v>
      </x:c>
      <x:c r="G508" s="339" t="str">
        <x:v>BL-254</x:v>
      </x:c>
      <x:c r="H508" s="339" t="str">
        <x:v>BR-00760, BR-00761, BR-00762</x:v>
      </x:c>
      <x:c r="I508" s="339" t="str">
        <x:v>WF-254</x:v>
      </x:c>
      <x:c r="J508" s="339" t="str">
        <x:v>API-0254</x:v>
      </x:c>
      <x:c r="K508" s="339" t="str">
        <x:v>Phase 3</x:v>
      </x:c>
      <x:c r="L508" s="339" t="str">
        <x:v>Not Started</x:v>
      </x:c>
    </x:row>
    <x:row r="509">
      <x:c r="A509" s="339" t="str">
        <x:v>US-0508</x:v>
      </x:c>
      <x:c r="B509" s="339" t="str">
        <x:v>EP-022</x:v>
      </x:c>
      <x:c r="C509" s="339" t="str">
        <x:v>SCR-254</x:v>
      </x:c>
      <x:c r="D509" s="339" t="str">
        <x:v>Events / PTM / Communication</x:v>
      </x:c>
      <x:c r="E509" s="339" t="str">
        <x:v>Notification Campaigns</x:v>
      </x:c>
      <x:c r="F509" s="339" t="str">
        <x:v>AC-02029, AC-02030, AC-02031, AC-02032</x:v>
      </x:c>
      <x:c r="G509" s="339" t="str">
        <x:v>BL-254</x:v>
      </x:c>
      <x:c r="H509" s="339" t="str">
        <x:v>BR-00760, BR-00761, BR-00762</x:v>
      </x:c>
      <x:c r="I509" s="339" t="str">
        <x:v>WF-254</x:v>
      </x:c>
      <x:c r="J509" s="339" t="str">
        <x:v>API-0254</x:v>
      </x:c>
      <x:c r="K509" s="339" t="str">
        <x:v>Phase 3</x:v>
      </x:c>
      <x:c r="L509" s="339" t="str">
        <x:v>Not Started</x:v>
      </x:c>
    </x:row>
    <x:row r="510">
      <x:c r="A510" s="339" t="str">
        <x:v>US-0509</x:v>
      </x:c>
      <x:c r="B510" s="339" t="str">
        <x:v>EP-022</x:v>
      </x:c>
      <x:c r="C510" s="339" t="str">
        <x:v>SCR-255</x:v>
      </x:c>
      <x:c r="D510" s="339" t="str">
        <x:v>Events / PTM / Communication</x:v>
      </x:c>
      <x:c r="E510" s="339" t="str">
        <x:v>Communication History</x:v>
      </x:c>
      <x:c r="F510" s="339" t="str">
        <x:v>AC-02033, AC-02034, AC-02035, AC-02036</x:v>
      </x:c>
      <x:c r="G510" s="339" t="str">
        <x:v>BL-255</x:v>
      </x:c>
      <x:c r="H510" s="339" t="str">
        <x:v>BR-00763, BR-00764, BR-00765</x:v>
      </x:c>
      <x:c r="I510" s="339" t="str">
        <x:v>WF-255</x:v>
      </x:c>
      <x:c r="J510" s="339" t="str">
        <x:v>API-0255</x:v>
      </x:c>
      <x:c r="K510" s="339" t="str">
        <x:v>Phase 3</x:v>
      </x:c>
      <x:c r="L510" s="339" t="str">
        <x:v>Not Started</x:v>
      </x:c>
    </x:row>
    <x:row r="511">
      <x:c r="A511" s="339" t="str">
        <x:v>US-0510</x:v>
      </x:c>
      <x:c r="B511" s="339" t="str">
        <x:v>EP-022</x:v>
      </x:c>
      <x:c r="C511" s="339" t="str">
        <x:v>SCR-255</x:v>
      </x:c>
      <x:c r="D511" s="339" t="str">
        <x:v>Events / PTM / Communication</x:v>
      </x:c>
      <x:c r="E511" s="339" t="str">
        <x:v>Communication History</x:v>
      </x:c>
      <x:c r="F511" s="339" t="str">
        <x:v>AC-02037, AC-02038, AC-02039, AC-02040</x:v>
      </x:c>
      <x:c r="G511" s="339" t="str">
        <x:v>BL-255</x:v>
      </x:c>
      <x:c r="H511" s="339" t="str">
        <x:v>BR-00763, BR-00764, BR-00765</x:v>
      </x:c>
      <x:c r="I511" s="339" t="str">
        <x:v>WF-255</x:v>
      </x:c>
      <x:c r="J511" s="339" t="str">
        <x:v>API-0255</x:v>
      </x:c>
      <x:c r="K511" s="339" t="str">
        <x:v>Phase 3</x:v>
      </x:c>
      <x:c r="L511" s="339" t="str">
        <x:v>Not Started</x:v>
      </x:c>
    </x:row>
    <x:row r="512">
      <x:c r="A512" s="339" t="str">
        <x:v>US-0511</x:v>
      </x:c>
      <x:c r="B512" s="339" t="str">
        <x:v>EP-023</x:v>
      </x:c>
      <x:c r="C512" s="339" t="str">
        <x:v>SCR-256</x:v>
      </x:c>
      <x:c r="D512" s="339" t="str">
        <x:v>Documents &amp; Certificates</x:v>
      </x:c>
      <x:c r="E512" s="339" t="str">
        <x:v>Document Repository</x:v>
      </x:c>
      <x:c r="F512" s="339" t="str">
        <x:v>AC-02041, AC-02042, AC-02043, AC-02044</x:v>
      </x:c>
      <x:c r="G512" s="339" t="str">
        <x:v>BL-256</x:v>
      </x:c>
      <x:c r="H512" s="339" t="str">
        <x:v>BR-00766, BR-00767, BR-00768</x:v>
      </x:c>
      <x:c r="I512" s="339" t="str">
        <x:v>WF-256</x:v>
      </x:c>
      <x:c r="J512" s="339" t="str">
        <x:v>API-0256</x:v>
      </x:c>
      <x:c r="K512" s="339" t="str">
        <x:v>MVP</x:v>
      </x:c>
      <x:c r="L512" s="339" t="str">
        <x:v>Not Started</x:v>
      </x:c>
    </x:row>
    <x:row r="513">
      <x:c r="A513" s="339" t="str">
        <x:v>US-0512</x:v>
      </x:c>
      <x:c r="B513" s="339" t="str">
        <x:v>EP-023</x:v>
      </x:c>
      <x:c r="C513" s="339" t="str">
        <x:v>SCR-256</x:v>
      </x:c>
      <x:c r="D513" s="339" t="str">
        <x:v>Documents &amp; Certificates</x:v>
      </x:c>
      <x:c r="E513" s="339" t="str">
        <x:v>Document Repository</x:v>
      </x:c>
      <x:c r="F513" s="339" t="str">
        <x:v>AC-02045, AC-02046, AC-02047, AC-02048</x:v>
      </x:c>
      <x:c r="G513" s="339" t="str">
        <x:v>BL-256</x:v>
      </x:c>
      <x:c r="H513" s="339" t="str">
        <x:v>BR-00766, BR-00767, BR-00768</x:v>
      </x:c>
      <x:c r="I513" s="339" t="str">
        <x:v>WF-256</x:v>
      </x:c>
      <x:c r="J513" s="339" t="str">
        <x:v>API-0256</x:v>
      </x:c>
      <x:c r="K513" s="339" t="str">
        <x:v>MVP</x:v>
      </x:c>
      <x:c r="L513" s="339" t="str">
        <x:v>Not Started</x:v>
      </x:c>
    </x:row>
    <x:row r="514">
      <x:c r="A514" s="339" t="str">
        <x:v>US-0513</x:v>
      </x:c>
      <x:c r="B514" s="339" t="str">
        <x:v>EP-023</x:v>
      </x:c>
      <x:c r="C514" s="339" t="str">
        <x:v>SCR-257</x:v>
      </x:c>
      <x:c r="D514" s="339" t="str">
        <x:v>Documents &amp; Certificates</x:v>
      </x:c>
      <x:c r="E514" s="339" t="str">
        <x:v>Student Documents</x:v>
      </x:c>
      <x:c r="F514" s="339" t="str">
        <x:v>AC-02049, AC-02050, AC-02051, AC-02052</x:v>
      </x:c>
      <x:c r="G514" s="339" t="str">
        <x:v>BL-257</x:v>
      </x:c>
      <x:c r="H514" s="339" t="str">
        <x:v>BR-00769, BR-00770, BR-00771</x:v>
      </x:c>
      <x:c r="I514" s="339" t="str">
        <x:v>WF-257</x:v>
      </x:c>
      <x:c r="J514" s="339" t="str">
        <x:v>API-0257</x:v>
      </x:c>
      <x:c r="K514" s="339" t="str">
        <x:v>MVP</x:v>
      </x:c>
      <x:c r="L514" s="339" t="str">
        <x:v>Not Started</x:v>
      </x:c>
    </x:row>
    <x:row r="515">
      <x:c r="A515" s="339" t="str">
        <x:v>US-0514</x:v>
      </x:c>
      <x:c r="B515" s="339" t="str">
        <x:v>EP-023</x:v>
      </x:c>
      <x:c r="C515" s="339" t="str">
        <x:v>SCR-257</x:v>
      </x:c>
      <x:c r="D515" s="339" t="str">
        <x:v>Documents &amp; Certificates</x:v>
      </x:c>
      <x:c r="E515" s="339" t="str">
        <x:v>Student Documents</x:v>
      </x:c>
      <x:c r="F515" s="339" t="str">
        <x:v>AC-02053, AC-02054, AC-02055, AC-02056</x:v>
      </x:c>
      <x:c r="G515" s="339" t="str">
        <x:v>BL-257</x:v>
      </x:c>
      <x:c r="H515" s="339" t="str">
        <x:v>BR-00769, BR-00770, BR-00771</x:v>
      </x:c>
      <x:c r="I515" s="339" t="str">
        <x:v>WF-257</x:v>
      </x:c>
      <x:c r="J515" s="339" t="str">
        <x:v>API-0257</x:v>
      </x:c>
      <x:c r="K515" s="339" t="str">
        <x:v>MVP</x:v>
      </x:c>
      <x:c r="L515" s="339" t="str">
        <x:v>Not Started</x:v>
      </x:c>
    </x:row>
    <x:row r="516">
      <x:c r="A516" s="339" t="str">
        <x:v>US-0515</x:v>
      </x:c>
      <x:c r="B516" s="339" t="str">
        <x:v>EP-023</x:v>
      </x:c>
      <x:c r="C516" s="339" t="str">
        <x:v>SCR-258</x:v>
      </x:c>
      <x:c r="D516" s="339" t="str">
        <x:v>Documents &amp; Certificates</x:v>
      </x:c>
      <x:c r="E516" s="339" t="str">
        <x:v>Staff Documents</x:v>
      </x:c>
      <x:c r="F516" s="339" t="str">
        <x:v>AC-02057, AC-02058, AC-02059, AC-02060</x:v>
      </x:c>
      <x:c r="G516" s="339" t="str">
        <x:v>BL-258</x:v>
      </x:c>
      <x:c r="H516" s="339" t="str">
        <x:v>BR-00772, BR-00773, BR-00774</x:v>
      </x:c>
      <x:c r="I516" s="339" t="str">
        <x:v>WF-258</x:v>
      </x:c>
      <x:c r="J516" s="339" t="str">
        <x:v>API-0258</x:v>
      </x:c>
      <x:c r="K516" s="339" t="str">
        <x:v>Phase 2</x:v>
      </x:c>
      <x:c r="L516" s="339" t="str">
        <x:v>Not Started</x:v>
      </x:c>
    </x:row>
    <x:row r="517">
      <x:c r="A517" s="339" t="str">
        <x:v>US-0516</x:v>
      </x:c>
      <x:c r="B517" s="339" t="str">
        <x:v>EP-023</x:v>
      </x:c>
      <x:c r="C517" s="339" t="str">
        <x:v>SCR-258</x:v>
      </x:c>
      <x:c r="D517" s="339" t="str">
        <x:v>Documents &amp; Certificates</x:v>
      </x:c>
      <x:c r="E517" s="339" t="str">
        <x:v>Staff Documents</x:v>
      </x:c>
      <x:c r="F517" s="339" t="str">
        <x:v>AC-02061, AC-02062, AC-02063, AC-02064</x:v>
      </x:c>
      <x:c r="G517" s="339" t="str">
        <x:v>BL-258</x:v>
      </x:c>
      <x:c r="H517" s="339" t="str">
        <x:v>BR-00772, BR-00773, BR-00774</x:v>
      </x:c>
      <x:c r="I517" s="339" t="str">
        <x:v>WF-258</x:v>
      </x:c>
      <x:c r="J517" s="339" t="str">
        <x:v>API-0258</x:v>
      </x:c>
      <x:c r="K517" s="339" t="str">
        <x:v>Phase 2</x:v>
      </x:c>
      <x:c r="L517" s="339" t="str">
        <x:v>Not Started</x:v>
      </x:c>
    </x:row>
    <x:row r="518">
      <x:c r="A518" s="339" t="str">
        <x:v>US-0517</x:v>
      </x:c>
      <x:c r="B518" s="339" t="str">
        <x:v>EP-023</x:v>
      </x:c>
      <x:c r="C518" s="339" t="str">
        <x:v>SCR-259</x:v>
      </x:c>
      <x:c r="D518" s="339" t="str">
        <x:v>Documents &amp; Certificates</x:v>
      </x:c>
      <x:c r="E518" s="339" t="str">
        <x:v>Upload &amp; Verification</x:v>
      </x:c>
      <x:c r="F518" s="339" t="str">
        <x:v>AC-02065, AC-02066, AC-02067, AC-02068</x:v>
      </x:c>
      <x:c r="G518" s="339" t="str">
        <x:v>BL-259</x:v>
      </x:c>
      <x:c r="H518" s="339" t="str">
        <x:v>BR-00775, BR-00776, BR-00777</x:v>
      </x:c>
      <x:c r="I518" s="339" t="str">
        <x:v>WF-259</x:v>
      </x:c>
      <x:c r="J518" s="339" t="str">
        <x:v>API-0259</x:v>
      </x:c>
      <x:c r="K518" s="339" t="str">
        <x:v>Phase 2</x:v>
      </x:c>
      <x:c r="L518" s="339" t="str">
        <x:v>Not Started</x:v>
      </x:c>
    </x:row>
    <x:row r="519">
      <x:c r="A519" s="339" t="str">
        <x:v>US-0518</x:v>
      </x:c>
      <x:c r="B519" s="339" t="str">
        <x:v>EP-023</x:v>
      </x:c>
      <x:c r="C519" s="339" t="str">
        <x:v>SCR-259</x:v>
      </x:c>
      <x:c r="D519" s="339" t="str">
        <x:v>Documents &amp; Certificates</x:v>
      </x:c>
      <x:c r="E519" s="339" t="str">
        <x:v>Upload &amp; Verification</x:v>
      </x:c>
      <x:c r="F519" s="339" t="str">
        <x:v>AC-02069, AC-02070, AC-02071, AC-02072</x:v>
      </x:c>
      <x:c r="G519" s="339" t="str">
        <x:v>BL-259</x:v>
      </x:c>
      <x:c r="H519" s="339" t="str">
        <x:v>BR-00775, BR-00776, BR-00777</x:v>
      </x:c>
      <x:c r="I519" s="339" t="str">
        <x:v>WF-259</x:v>
      </x:c>
      <x:c r="J519" s="339" t="str">
        <x:v>API-0259</x:v>
      </x:c>
      <x:c r="K519" s="339" t="str">
        <x:v>Phase 2</x:v>
      </x:c>
      <x:c r="L519" s="339" t="str">
        <x:v>Not Started</x:v>
      </x:c>
    </x:row>
    <x:row r="520">
      <x:c r="A520" s="339" t="str">
        <x:v>US-0519</x:v>
      </x:c>
      <x:c r="B520" s="339" t="str">
        <x:v>EP-023</x:v>
      </x:c>
      <x:c r="C520" s="339" t="str">
        <x:v>SCR-260</x:v>
      </x:c>
      <x:c r="D520" s="339" t="str">
        <x:v>Documents &amp; Certificates</x:v>
      </x:c>
      <x:c r="E520" s="339" t="str">
        <x:v>Certificate Templates</x:v>
      </x:c>
      <x:c r="F520" s="339" t="str">
        <x:v>AC-02073, AC-02074, AC-02075, AC-02076</x:v>
      </x:c>
      <x:c r="G520" s="339" t="str">
        <x:v>BL-260</x:v>
      </x:c>
      <x:c r="H520" s="339" t="str">
        <x:v>BR-00778, BR-00779, BR-00780</x:v>
      </x:c>
      <x:c r="I520" s="339" t="str">
        <x:v>WF-260</x:v>
      </x:c>
      <x:c r="J520" s="339" t="str">
        <x:v>API-0260</x:v>
      </x:c>
      <x:c r="K520" s="339" t="str">
        <x:v>Phase 2</x:v>
      </x:c>
      <x:c r="L520" s="339" t="str">
        <x:v>Not Started</x:v>
      </x:c>
    </x:row>
    <x:row r="521">
      <x:c r="A521" s="339" t="str">
        <x:v>US-0520</x:v>
      </x:c>
      <x:c r="B521" s="339" t="str">
        <x:v>EP-023</x:v>
      </x:c>
      <x:c r="C521" s="339" t="str">
        <x:v>SCR-260</x:v>
      </x:c>
      <x:c r="D521" s="339" t="str">
        <x:v>Documents &amp; Certificates</x:v>
      </x:c>
      <x:c r="E521" s="339" t="str">
        <x:v>Certificate Templates</x:v>
      </x:c>
      <x:c r="F521" s="339" t="str">
        <x:v>AC-02077, AC-02078, AC-02079, AC-02080</x:v>
      </x:c>
      <x:c r="G521" s="339" t="str">
        <x:v>BL-260</x:v>
      </x:c>
      <x:c r="H521" s="339" t="str">
        <x:v>BR-00778, BR-00779, BR-00780</x:v>
      </x:c>
      <x:c r="I521" s="339" t="str">
        <x:v>WF-260</x:v>
      </x:c>
      <x:c r="J521" s="339" t="str">
        <x:v>API-0260</x:v>
      </x:c>
      <x:c r="K521" s="339" t="str">
        <x:v>Phase 2</x:v>
      </x:c>
      <x:c r="L521" s="339" t="str">
        <x:v>Not Started</x:v>
      </x:c>
    </x:row>
    <x:row r="522">
      <x:c r="A522" s="339" t="str">
        <x:v>US-0521</x:v>
      </x:c>
      <x:c r="B522" s="339" t="str">
        <x:v>EP-023</x:v>
      </x:c>
      <x:c r="C522" s="339" t="str">
        <x:v>SCR-261</x:v>
      </x:c>
      <x:c r="D522" s="339" t="str">
        <x:v>Documents &amp; Certificates</x:v>
      </x:c>
      <x:c r="E522" s="339" t="str">
        <x:v>Generate Certificate</x:v>
      </x:c>
      <x:c r="F522" s="339" t="str">
        <x:v>AC-02081, AC-02082, AC-02083, AC-02084</x:v>
      </x:c>
      <x:c r="G522" s="339" t="str">
        <x:v>BL-261</x:v>
      </x:c>
      <x:c r="H522" s="339" t="str">
        <x:v>BR-00781, BR-00782, BR-00783</x:v>
      </x:c>
      <x:c r="I522" s="339" t="str">
        <x:v>WF-261</x:v>
      </x:c>
      <x:c r="J522" s="339" t="str">
        <x:v>API-0261</x:v>
      </x:c>
      <x:c r="K522" s="339" t="str">
        <x:v>Phase 3</x:v>
      </x:c>
      <x:c r="L522" s="339" t="str">
        <x:v>Not Started</x:v>
      </x:c>
    </x:row>
    <x:row r="523">
      <x:c r="A523" s="339" t="str">
        <x:v>US-0522</x:v>
      </x:c>
      <x:c r="B523" s="339" t="str">
        <x:v>EP-023</x:v>
      </x:c>
      <x:c r="C523" s="339" t="str">
        <x:v>SCR-261</x:v>
      </x:c>
      <x:c r="D523" s="339" t="str">
        <x:v>Documents &amp; Certificates</x:v>
      </x:c>
      <x:c r="E523" s="339" t="str">
        <x:v>Generate Certificate</x:v>
      </x:c>
      <x:c r="F523" s="339" t="str">
        <x:v>AC-02085, AC-02086, AC-02087, AC-02088</x:v>
      </x:c>
      <x:c r="G523" s="339" t="str">
        <x:v>BL-261</x:v>
      </x:c>
      <x:c r="H523" s="339" t="str">
        <x:v>BR-00781, BR-00782, BR-00783</x:v>
      </x:c>
      <x:c r="I523" s="339" t="str">
        <x:v>WF-261</x:v>
      </x:c>
      <x:c r="J523" s="339" t="str">
        <x:v>API-0261</x:v>
      </x:c>
      <x:c r="K523" s="339" t="str">
        <x:v>Phase 3</x:v>
      </x:c>
      <x:c r="L523" s="339" t="str">
        <x:v>Not Started</x:v>
      </x:c>
    </x:row>
    <x:row r="524">
      <x:c r="A524" s="339" t="str">
        <x:v>US-0523</x:v>
      </x:c>
      <x:c r="B524" s="339" t="str">
        <x:v>EP-023</x:v>
      </x:c>
      <x:c r="C524" s="339" t="str">
        <x:v>SCR-262</x:v>
      </x:c>
      <x:c r="D524" s="339" t="str">
        <x:v>Documents &amp; Certificates</x:v>
      </x:c>
      <x:c r="E524" s="339" t="str">
        <x:v>Transfer Certificate</x:v>
      </x:c>
      <x:c r="F524" s="339" t="str">
        <x:v>AC-02089, AC-02090, AC-02091, AC-02092</x:v>
      </x:c>
      <x:c r="G524" s="339" t="str">
        <x:v>BL-262</x:v>
      </x:c>
      <x:c r="H524" s="339" t="str">
        <x:v>BR-00784, BR-00785, BR-00786</x:v>
      </x:c>
      <x:c r="I524" s="339" t="str">
        <x:v>WF-262</x:v>
      </x:c>
      <x:c r="J524" s="339" t="str">
        <x:v>API-0262</x:v>
      </x:c>
      <x:c r="K524" s="339" t="str">
        <x:v>Phase 3</x:v>
      </x:c>
      <x:c r="L524" s="339" t="str">
        <x:v>Not Started</x:v>
      </x:c>
    </x:row>
    <x:row r="525">
      <x:c r="A525" s="339" t="str">
        <x:v>US-0524</x:v>
      </x:c>
      <x:c r="B525" s="339" t="str">
        <x:v>EP-023</x:v>
      </x:c>
      <x:c r="C525" s="339" t="str">
        <x:v>SCR-262</x:v>
      </x:c>
      <x:c r="D525" s="339" t="str">
        <x:v>Documents &amp; Certificates</x:v>
      </x:c>
      <x:c r="E525" s="339" t="str">
        <x:v>Transfer Certificate</x:v>
      </x:c>
      <x:c r="F525" s="339" t="str">
        <x:v>AC-02093, AC-02094, AC-02095, AC-02096</x:v>
      </x:c>
      <x:c r="G525" s="339" t="str">
        <x:v>BL-262</x:v>
      </x:c>
      <x:c r="H525" s="339" t="str">
        <x:v>BR-00784, BR-00785, BR-00786</x:v>
      </x:c>
      <x:c r="I525" s="339" t="str">
        <x:v>WF-262</x:v>
      </x:c>
      <x:c r="J525" s="339" t="str">
        <x:v>API-0262</x:v>
      </x:c>
      <x:c r="K525" s="339" t="str">
        <x:v>Phase 3</x:v>
      </x:c>
      <x:c r="L525" s="339" t="str">
        <x:v>Not Started</x:v>
      </x:c>
    </x:row>
    <x:row r="526">
      <x:c r="A526" s="339" t="str">
        <x:v>US-0525</x:v>
      </x:c>
      <x:c r="B526" s="339" t="str">
        <x:v>EP-023</x:v>
      </x:c>
      <x:c r="C526" s="339" t="str">
        <x:v>SCR-263</x:v>
      </x:c>
      <x:c r="D526" s="339" t="str">
        <x:v>Documents &amp; Certificates</x:v>
      </x:c>
      <x:c r="E526" s="339" t="str">
        <x:v>Certificate Register</x:v>
      </x:c>
      <x:c r="F526" s="339" t="str">
        <x:v>AC-02097, AC-02098, AC-02099, AC-02100</x:v>
      </x:c>
      <x:c r="G526" s="339" t="str">
        <x:v>BL-263</x:v>
      </x:c>
      <x:c r="H526" s="339" t="str">
        <x:v>BR-00787, BR-00788, BR-00789</x:v>
      </x:c>
      <x:c r="I526" s="339" t="str">
        <x:v>WF-263</x:v>
      </x:c>
      <x:c r="J526" s="339" t="str">
        <x:v>API-0263</x:v>
      </x:c>
      <x:c r="K526" s="339" t="str">
        <x:v>Phase 3</x:v>
      </x:c>
      <x:c r="L526" s="339" t="str">
        <x:v>Not Started</x:v>
      </x:c>
    </x:row>
    <x:row r="527">
      <x:c r="A527" s="339" t="str">
        <x:v>US-0526</x:v>
      </x:c>
      <x:c r="B527" s="339" t="str">
        <x:v>EP-023</x:v>
      </x:c>
      <x:c r="C527" s="339" t="str">
        <x:v>SCR-263</x:v>
      </x:c>
      <x:c r="D527" s="339" t="str">
        <x:v>Documents &amp; Certificates</x:v>
      </x:c>
      <x:c r="E527" s="339" t="str">
        <x:v>Certificate Register</x:v>
      </x:c>
      <x:c r="F527" s="339" t="str">
        <x:v>AC-02101, AC-02102, AC-02103, AC-02104</x:v>
      </x:c>
      <x:c r="G527" s="339" t="str">
        <x:v>BL-263</x:v>
      </x:c>
      <x:c r="H527" s="339" t="str">
        <x:v>BR-00787, BR-00788, BR-00789</x:v>
      </x:c>
      <x:c r="I527" s="339" t="str">
        <x:v>WF-263</x:v>
      </x:c>
      <x:c r="J527" s="339" t="str">
        <x:v>API-0263</x:v>
      </x:c>
      <x:c r="K527" s="339" t="str">
        <x:v>Phase 3</x:v>
      </x:c>
      <x:c r="L527" s="339" t="str">
        <x:v>Not Started</x:v>
      </x:c>
    </x:row>
    <x:row r="528">
      <x:c r="A528" s="339" t="str">
        <x:v>US-0527</x:v>
      </x:c>
      <x:c r="B528" s="339" t="str">
        <x:v>EP-024</x:v>
      </x:c>
      <x:c r="C528" s="339" t="str">
        <x:v>SCR-264</x:v>
      </x:c>
      <x:c r="D528" s="339" t="str">
        <x:v>Reports &amp; Analytics</x:v>
      </x:c>
      <x:c r="E528" s="339" t="str">
        <x:v>Executive Analytics Dashboard</x:v>
      </x:c>
      <x:c r="F528" s="339" t="str">
        <x:v>AC-02105, AC-02106, AC-02107, AC-02108</x:v>
      </x:c>
      <x:c r="G528" s="339" t="str">
        <x:v>BL-264</x:v>
      </x:c>
      <x:c r="H528" s="339" t="str">
        <x:v>BR-00790, BR-00791, BR-00792</x:v>
      </x:c>
      <x:c r="I528" s="339" t="str">
        <x:v>WF-264</x:v>
      </x:c>
      <x:c r="J528" s="339" t="str">
        <x:v>API-0264</x:v>
      </x:c>
      <x:c r="K528" s="339" t="str">
        <x:v>MVP</x:v>
      </x:c>
      <x:c r="L528" s="339" t="str">
        <x:v>Not Started</x:v>
      </x:c>
    </x:row>
    <x:row r="529">
      <x:c r="A529" s="339" t="str">
        <x:v>US-0528</x:v>
      </x:c>
      <x:c r="B529" s="339" t="str">
        <x:v>EP-024</x:v>
      </x:c>
      <x:c r="C529" s="339" t="str">
        <x:v>SCR-264</x:v>
      </x:c>
      <x:c r="D529" s="339" t="str">
        <x:v>Reports &amp; Analytics</x:v>
      </x:c>
      <x:c r="E529" s="339" t="str">
        <x:v>Executive Analytics Dashboard</x:v>
      </x:c>
      <x:c r="F529" s="339" t="str">
        <x:v>AC-02109, AC-02110, AC-02111, AC-02112</x:v>
      </x:c>
      <x:c r="G529" s="339" t="str">
        <x:v>BL-264</x:v>
      </x:c>
      <x:c r="H529" s="339" t="str">
        <x:v>BR-00790, BR-00791, BR-00792</x:v>
      </x:c>
      <x:c r="I529" s="339" t="str">
        <x:v>WF-264</x:v>
      </x:c>
      <x:c r="J529" s="339" t="str">
        <x:v>API-0264</x:v>
      </x:c>
      <x:c r="K529" s="339" t="str">
        <x:v>MVP</x:v>
      </x:c>
      <x:c r="L529" s="339" t="str">
        <x:v>Not Started</x:v>
      </x:c>
    </x:row>
    <x:row r="530">
      <x:c r="A530" s="339" t="str">
        <x:v>US-0529</x:v>
      </x:c>
      <x:c r="B530" s="339" t="str">
        <x:v>EP-024</x:v>
      </x:c>
      <x:c r="C530" s="339" t="str">
        <x:v>SCR-265</x:v>
      </x:c>
      <x:c r="D530" s="339" t="str">
        <x:v>Reports &amp; Analytics</x:v>
      </x:c>
      <x:c r="E530" s="339" t="str">
        <x:v>Admission Reports</x:v>
      </x:c>
      <x:c r="F530" s="339" t="str">
        <x:v>AC-02113, AC-02114, AC-02115, AC-02116</x:v>
      </x:c>
      <x:c r="G530" s="339" t="str">
        <x:v>BL-265</x:v>
      </x:c>
      <x:c r="H530" s="339" t="str">
        <x:v>BR-00793, BR-00794, BR-00795</x:v>
      </x:c>
      <x:c r="I530" s="339" t="str">
        <x:v>WF-265</x:v>
      </x:c>
      <x:c r="J530" s="339" t="str">
        <x:v>API-0265</x:v>
      </x:c>
      <x:c r="K530" s="339" t="str">
        <x:v>MVP</x:v>
      </x:c>
      <x:c r="L530" s="339" t="str">
        <x:v>Not Started</x:v>
      </x:c>
    </x:row>
    <x:row r="531">
      <x:c r="A531" s="339" t="str">
        <x:v>US-0530</x:v>
      </x:c>
      <x:c r="B531" s="339" t="str">
        <x:v>EP-024</x:v>
      </x:c>
      <x:c r="C531" s="339" t="str">
        <x:v>SCR-265</x:v>
      </x:c>
      <x:c r="D531" s="339" t="str">
        <x:v>Reports &amp; Analytics</x:v>
      </x:c>
      <x:c r="E531" s="339" t="str">
        <x:v>Admission Reports</x:v>
      </x:c>
      <x:c r="F531" s="339" t="str">
        <x:v>AC-02117, AC-02118, AC-02119, AC-02120</x:v>
      </x:c>
      <x:c r="G531" s="339" t="str">
        <x:v>BL-265</x:v>
      </x:c>
      <x:c r="H531" s="339" t="str">
        <x:v>BR-00793, BR-00794, BR-00795</x:v>
      </x:c>
      <x:c r="I531" s="339" t="str">
        <x:v>WF-265</x:v>
      </x:c>
      <x:c r="J531" s="339" t="str">
        <x:v>API-0265</x:v>
      </x:c>
      <x:c r="K531" s="339" t="str">
        <x:v>MVP</x:v>
      </x:c>
      <x:c r="L531" s="339" t="str">
        <x:v>Not Started</x:v>
      </x:c>
    </x:row>
    <x:row r="532">
      <x:c r="A532" s="339" t="str">
        <x:v>US-0531</x:v>
      </x:c>
      <x:c r="B532" s="339" t="str">
        <x:v>EP-024</x:v>
      </x:c>
      <x:c r="C532" s="339" t="str">
        <x:v>SCR-266</x:v>
      </x:c>
      <x:c r="D532" s="339" t="str">
        <x:v>Reports &amp; Analytics</x:v>
      </x:c>
      <x:c r="E532" s="339" t="str">
        <x:v>Student Strength Report</x:v>
      </x:c>
      <x:c r="F532" s="339" t="str">
        <x:v>AC-02121, AC-02122, AC-02123, AC-02124</x:v>
      </x:c>
      <x:c r="G532" s="339" t="str">
        <x:v>BL-266</x:v>
      </x:c>
      <x:c r="H532" s="339" t="str">
        <x:v>BR-00796, BR-00797, BR-00798</x:v>
      </x:c>
      <x:c r="I532" s="339" t="str">
        <x:v>WF-266</x:v>
      </x:c>
      <x:c r="J532" s="339" t="str">
        <x:v>API-0266</x:v>
      </x:c>
      <x:c r="K532" s="339" t="str">
        <x:v>MVP</x:v>
      </x:c>
      <x:c r="L532" s="339" t="str">
        <x:v>Not Started</x:v>
      </x:c>
    </x:row>
    <x:row r="533">
      <x:c r="A533" s="339" t="str">
        <x:v>US-0532</x:v>
      </x:c>
      <x:c r="B533" s="339" t="str">
        <x:v>EP-024</x:v>
      </x:c>
      <x:c r="C533" s="339" t="str">
        <x:v>SCR-266</x:v>
      </x:c>
      <x:c r="D533" s="339" t="str">
        <x:v>Reports &amp; Analytics</x:v>
      </x:c>
      <x:c r="E533" s="339" t="str">
        <x:v>Student Strength Report</x:v>
      </x:c>
      <x:c r="F533" s="339" t="str">
        <x:v>AC-02125, AC-02126, AC-02127, AC-02128</x:v>
      </x:c>
      <x:c r="G533" s="339" t="str">
        <x:v>BL-266</x:v>
      </x:c>
      <x:c r="H533" s="339" t="str">
        <x:v>BR-00796, BR-00797, BR-00798</x:v>
      </x:c>
      <x:c r="I533" s="339" t="str">
        <x:v>WF-266</x:v>
      </x:c>
      <x:c r="J533" s="339" t="str">
        <x:v>API-0266</x:v>
      </x:c>
      <x:c r="K533" s="339" t="str">
        <x:v>MVP</x:v>
      </x:c>
      <x:c r="L533" s="339" t="str">
        <x:v>Not Started</x:v>
      </x:c>
    </x:row>
    <x:row r="534">
      <x:c r="A534" s="339" t="str">
        <x:v>US-0533</x:v>
      </x:c>
      <x:c r="B534" s="339" t="str">
        <x:v>EP-024</x:v>
      </x:c>
      <x:c r="C534" s="339" t="str">
        <x:v>SCR-267</x:v>
      </x:c>
      <x:c r="D534" s="339" t="str">
        <x:v>Reports &amp; Analytics</x:v>
      </x:c>
      <x:c r="E534" s="339" t="str">
        <x:v>Student Demographics</x:v>
      </x:c>
      <x:c r="F534" s="339" t="str">
        <x:v>AC-02129, AC-02130, AC-02131, AC-02132</x:v>
      </x:c>
      <x:c r="G534" s="339" t="str">
        <x:v>BL-267</x:v>
      </x:c>
      <x:c r="H534" s="339" t="str">
        <x:v>BR-00799, BR-00800, BR-00801</x:v>
      </x:c>
      <x:c r="I534" s="339" t="str">
        <x:v>WF-267</x:v>
      </x:c>
      <x:c r="J534" s="339" t="str">
        <x:v>API-0267</x:v>
      </x:c>
      <x:c r="K534" s="339" t="str">
        <x:v>MVP</x:v>
      </x:c>
      <x:c r="L534" s="339" t="str">
        <x:v>Not Started</x:v>
      </x:c>
    </x:row>
    <x:row r="535">
      <x:c r="A535" s="339" t="str">
        <x:v>US-0534</x:v>
      </x:c>
      <x:c r="B535" s="339" t="str">
        <x:v>EP-024</x:v>
      </x:c>
      <x:c r="C535" s="339" t="str">
        <x:v>SCR-267</x:v>
      </x:c>
      <x:c r="D535" s="339" t="str">
        <x:v>Reports &amp; Analytics</x:v>
      </x:c>
      <x:c r="E535" s="339" t="str">
        <x:v>Student Demographics</x:v>
      </x:c>
      <x:c r="F535" s="339" t="str">
        <x:v>AC-02133, AC-02134, AC-02135, AC-02136</x:v>
      </x:c>
      <x:c r="G535" s="339" t="str">
        <x:v>BL-267</x:v>
      </x:c>
      <x:c r="H535" s="339" t="str">
        <x:v>BR-00799, BR-00800, BR-00801</x:v>
      </x:c>
      <x:c r="I535" s="339" t="str">
        <x:v>WF-267</x:v>
      </x:c>
      <x:c r="J535" s="339" t="str">
        <x:v>API-0267</x:v>
      </x:c>
      <x:c r="K535" s="339" t="str">
        <x:v>MVP</x:v>
      </x:c>
      <x:c r="L535" s="339" t="str">
        <x:v>Not Started</x:v>
      </x:c>
    </x:row>
    <x:row r="536">
      <x:c r="A536" s="339" t="str">
        <x:v>US-0535</x:v>
      </x:c>
      <x:c r="B536" s="339" t="str">
        <x:v>EP-024</x:v>
      </x:c>
      <x:c r="C536" s="339" t="str">
        <x:v>SCR-268</x:v>
      </x:c>
      <x:c r="D536" s="339" t="str">
        <x:v>Reports &amp; Analytics</x:v>
      </x:c>
      <x:c r="E536" s="339" t="str">
        <x:v>Attendance Analytics</x:v>
      </x:c>
      <x:c r="F536" s="339" t="str">
        <x:v>AC-02137, AC-02138, AC-02139, AC-02140</x:v>
      </x:c>
      <x:c r="G536" s="339" t="str">
        <x:v>BL-268</x:v>
      </x:c>
      <x:c r="H536" s="339" t="str">
        <x:v>BR-00802, BR-00803, BR-00804</x:v>
      </x:c>
      <x:c r="I536" s="339" t="str">
        <x:v>WF-268</x:v>
      </x:c>
      <x:c r="J536" s="339" t="str">
        <x:v>API-0268</x:v>
      </x:c>
      <x:c r="K536" s="339" t="str">
        <x:v>Phase 2</x:v>
      </x:c>
      <x:c r="L536" s="339" t="str">
        <x:v>Not Started</x:v>
      </x:c>
    </x:row>
    <x:row r="537">
      <x:c r="A537" s="339" t="str">
        <x:v>US-0536</x:v>
      </x:c>
      <x:c r="B537" s="339" t="str">
        <x:v>EP-024</x:v>
      </x:c>
      <x:c r="C537" s="339" t="str">
        <x:v>SCR-268</x:v>
      </x:c>
      <x:c r="D537" s="339" t="str">
        <x:v>Reports &amp; Analytics</x:v>
      </x:c>
      <x:c r="E537" s="339" t="str">
        <x:v>Attendance Analytics</x:v>
      </x:c>
      <x:c r="F537" s="339" t="str">
        <x:v>AC-02141, AC-02142, AC-02143, AC-02144</x:v>
      </x:c>
      <x:c r="G537" s="339" t="str">
        <x:v>BL-268</x:v>
      </x:c>
      <x:c r="H537" s="339" t="str">
        <x:v>BR-00802, BR-00803, BR-00804</x:v>
      </x:c>
      <x:c r="I537" s="339" t="str">
        <x:v>WF-268</x:v>
      </x:c>
      <x:c r="J537" s="339" t="str">
        <x:v>API-0268</x:v>
      </x:c>
      <x:c r="K537" s="339" t="str">
        <x:v>Phase 2</x:v>
      </x:c>
      <x:c r="L537" s="339" t="str">
        <x:v>Not Started</x:v>
      </x:c>
    </x:row>
    <x:row r="538">
      <x:c r="A538" s="339" t="str">
        <x:v>US-0537</x:v>
      </x:c>
      <x:c r="B538" s="339" t="str">
        <x:v>EP-024</x:v>
      </x:c>
      <x:c r="C538" s="339" t="str">
        <x:v>SCR-269</x:v>
      </x:c>
      <x:c r="D538" s="339" t="str">
        <x:v>Reports &amp; Analytics</x:v>
      </x:c>
      <x:c r="E538" s="339" t="str">
        <x:v>Chronic Absenteeism Report</x:v>
      </x:c>
      <x:c r="F538" s="339" t="str">
        <x:v>AC-02145, AC-02146, AC-02147, AC-02148</x:v>
      </x:c>
      <x:c r="G538" s="339" t="str">
        <x:v>BL-269</x:v>
      </x:c>
      <x:c r="H538" s="339" t="str">
        <x:v>BR-00805, BR-00806, BR-00807</x:v>
      </x:c>
      <x:c r="I538" s="339" t="str">
        <x:v>WF-269</x:v>
      </x:c>
      <x:c r="J538" s="339" t="str">
        <x:v>API-0269</x:v>
      </x:c>
      <x:c r="K538" s="339" t="str">
        <x:v>Phase 2</x:v>
      </x:c>
      <x:c r="L538" s="339" t="str">
        <x:v>Not Started</x:v>
      </x:c>
    </x:row>
    <x:row r="539">
      <x:c r="A539" s="339" t="str">
        <x:v>US-0538</x:v>
      </x:c>
      <x:c r="B539" s="339" t="str">
        <x:v>EP-024</x:v>
      </x:c>
      <x:c r="C539" s="339" t="str">
        <x:v>SCR-269</x:v>
      </x:c>
      <x:c r="D539" s="339" t="str">
        <x:v>Reports &amp; Analytics</x:v>
      </x:c>
      <x:c r="E539" s="339" t="str">
        <x:v>Chronic Absenteeism Report</x:v>
      </x:c>
      <x:c r="F539" s="339" t="str">
        <x:v>AC-02149, AC-02150, AC-02151, AC-02152</x:v>
      </x:c>
      <x:c r="G539" s="339" t="str">
        <x:v>BL-269</x:v>
      </x:c>
      <x:c r="H539" s="339" t="str">
        <x:v>BR-00805, BR-00806, BR-00807</x:v>
      </x:c>
      <x:c r="I539" s="339" t="str">
        <x:v>WF-269</x:v>
      </x:c>
      <x:c r="J539" s="339" t="str">
        <x:v>API-0269</x:v>
      </x:c>
      <x:c r="K539" s="339" t="str">
        <x:v>Phase 2</x:v>
      </x:c>
      <x:c r="L539" s="339" t="str">
        <x:v>Not Started</x:v>
      </x:c>
    </x:row>
    <x:row r="540">
      <x:c r="A540" s="339" t="str">
        <x:v>US-0539</x:v>
      </x:c>
      <x:c r="B540" s="339" t="str">
        <x:v>EP-024</x:v>
      </x:c>
      <x:c r="C540" s="339" t="str">
        <x:v>SCR-270</x:v>
      </x:c>
      <x:c r="D540" s="339" t="str">
        <x:v>Reports &amp; Analytics</x:v>
      </x:c>
      <x:c r="E540" s="339" t="str">
        <x:v>Academic Performance</x:v>
      </x:c>
      <x:c r="F540" s="339" t="str">
        <x:v>AC-02153, AC-02154, AC-02155, AC-02156</x:v>
      </x:c>
      <x:c r="G540" s="339" t="str">
        <x:v>BL-270</x:v>
      </x:c>
      <x:c r="H540" s="339" t="str">
        <x:v>BR-00808, BR-00809, BR-00810</x:v>
      </x:c>
      <x:c r="I540" s="339" t="str">
        <x:v>WF-270</x:v>
      </x:c>
      <x:c r="J540" s="339" t="str">
        <x:v>API-0270</x:v>
      </x:c>
      <x:c r="K540" s="339" t="str">
        <x:v>Phase 2</x:v>
      </x:c>
      <x:c r="L540" s="339" t="str">
        <x:v>Not Started</x:v>
      </x:c>
    </x:row>
    <x:row r="541">
      <x:c r="A541" s="339" t="str">
        <x:v>US-0540</x:v>
      </x:c>
      <x:c r="B541" s="339" t="str">
        <x:v>EP-024</x:v>
      </x:c>
      <x:c r="C541" s="339" t="str">
        <x:v>SCR-270</x:v>
      </x:c>
      <x:c r="D541" s="339" t="str">
        <x:v>Reports &amp; Analytics</x:v>
      </x:c>
      <x:c r="E541" s="339" t="str">
        <x:v>Academic Performance</x:v>
      </x:c>
      <x:c r="F541" s="339" t="str">
        <x:v>AC-02157, AC-02158, AC-02159, AC-02160</x:v>
      </x:c>
      <x:c r="G541" s="339" t="str">
        <x:v>BL-270</x:v>
      </x:c>
      <x:c r="H541" s="339" t="str">
        <x:v>BR-00808, BR-00809, BR-00810</x:v>
      </x:c>
      <x:c r="I541" s="339" t="str">
        <x:v>WF-270</x:v>
      </x:c>
      <x:c r="J541" s="339" t="str">
        <x:v>API-0270</x:v>
      </x:c>
      <x:c r="K541" s="339" t="str">
        <x:v>Phase 2</x:v>
      </x:c>
      <x:c r="L541" s="339" t="str">
        <x:v>Not Started</x:v>
      </x:c>
    </x:row>
    <x:row r="542">
      <x:c r="A542" s="339" t="str">
        <x:v>US-0541</x:v>
      </x:c>
      <x:c r="B542" s="339" t="str">
        <x:v>EP-024</x:v>
      </x:c>
      <x:c r="C542" s="339" t="str">
        <x:v>SCR-271</x:v>
      </x:c>
      <x:c r="D542" s="339" t="str">
        <x:v>Reports &amp; Analytics</x:v>
      </x:c>
      <x:c r="E542" s="339" t="str">
        <x:v>Subject Performance</x:v>
      </x:c>
      <x:c r="F542" s="339" t="str">
        <x:v>AC-02161, AC-02162, AC-02163, AC-02164</x:v>
      </x:c>
      <x:c r="G542" s="339" t="str">
        <x:v>BL-271</x:v>
      </x:c>
      <x:c r="H542" s="339" t="str">
        <x:v>BR-00811, BR-00812, BR-00813</x:v>
      </x:c>
      <x:c r="I542" s="339" t="str">
        <x:v>WF-271</x:v>
      </x:c>
      <x:c r="J542" s="339" t="str">
        <x:v>API-0271</x:v>
      </x:c>
      <x:c r="K542" s="339" t="str">
        <x:v>Phase 2</x:v>
      </x:c>
      <x:c r="L542" s="339" t="str">
        <x:v>Not Started</x:v>
      </x:c>
    </x:row>
    <x:row r="543">
      <x:c r="A543" s="339" t="str">
        <x:v>US-0542</x:v>
      </x:c>
      <x:c r="B543" s="339" t="str">
        <x:v>EP-024</x:v>
      </x:c>
      <x:c r="C543" s="339" t="str">
        <x:v>SCR-271</x:v>
      </x:c>
      <x:c r="D543" s="339" t="str">
        <x:v>Reports &amp; Analytics</x:v>
      </x:c>
      <x:c r="E543" s="339" t="str">
        <x:v>Subject Performance</x:v>
      </x:c>
      <x:c r="F543" s="339" t="str">
        <x:v>AC-02165, AC-02166, AC-02167, AC-02168</x:v>
      </x:c>
      <x:c r="G543" s="339" t="str">
        <x:v>BL-271</x:v>
      </x:c>
      <x:c r="H543" s="339" t="str">
        <x:v>BR-00811, BR-00812, BR-00813</x:v>
      </x:c>
      <x:c r="I543" s="339" t="str">
        <x:v>WF-271</x:v>
      </x:c>
      <x:c r="J543" s="339" t="str">
        <x:v>API-0271</x:v>
      </x:c>
      <x:c r="K543" s="339" t="str">
        <x:v>Phase 2</x:v>
      </x:c>
      <x:c r="L543" s="339" t="str">
        <x:v>Not Started</x:v>
      </x:c>
    </x:row>
    <x:row r="544">
      <x:c r="A544" s="339" t="str">
        <x:v>US-0543</x:v>
      </x:c>
      <x:c r="B544" s="339" t="str">
        <x:v>EP-024</x:v>
      </x:c>
      <x:c r="C544" s="339" t="str">
        <x:v>SCR-272</x:v>
      </x:c>
      <x:c r="D544" s="339" t="str">
        <x:v>Reports &amp; Analytics</x:v>
      </x:c>
      <x:c r="E544" s="339" t="str">
        <x:v>Exam Result Analysis</x:v>
      </x:c>
      <x:c r="F544" s="339" t="str">
        <x:v>AC-02169, AC-02170, AC-02171, AC-02172</x:v>
      </x:c>
      <x:c r="G544" s="339" t="str">
        <x:v>BL-272</x:v>
      </x:c>
      <x:c r="H544" s="339" t="str">
        <x:v>BR-00814, BR-00815, BR-00816</x:v>
      </x:c>
      <x:c r="I544" s="339" t="str">
        <x:v>WF-272</x:v>
      </x:c>
      <x:c r="J544" s="339" t="str">
        <x:v>API-0272</x:v>
      </x:c>
      <x:c r="K544" s="339" t="str">
        <x:v>Phase 2</x:v>
      </x:c>
      <x:c r="L544" s="339" t="str">
        <x:v>Not Started</x:v>
      </x:c>
    </x:row>
    <x:row r="545">
      <x:c r="A545" s="339" t="str">
        <x:v>US-0544</x:v>
      </x:c>
      <x:c r="B545" s="339" t="str">
        <x:v>EP-024</x:v>
      </x:c>
      <x:c r="C545" s="339" t="str">
        <x:v>SCR-272</x:v>
      </x:c>
      <x:c r="D545" s="339" t="str">
        <x:v>Reports &amp; Analytics</x:v>
      </x:c>
      <x:c r="E545" s="339" t="str">
        <x:v>Exam Result Analysis</x:v>
      </x:c>
      <x:c r="F545" s="339" t="str">
        <x:v>AC-02173, AC-02174, AC-02175, AC-02176</x:v>
      </x:c>
      <x:c r="G545" s="339" t="str">
        <x:v>BL-272</x:v>
      </x:c>
      <x:c r="H545" s="339" t="str">
        <x:v>BR-00814, BR-00815, BR-00816</x:v>
      </x:c>
      <x:c r="I545" s="339" t="str">
        <x:v>WF-272</x:v>
      </x:c>
      <x:c r="J545" s="339" t="str">
        <x:v>API-0272</x:v>
      </x:c>
      <x:c r="K545" s="339" t="str">
        <x:v>Phase 2</x:v>
      </x:c>
      <x:c r="L545" s="339" t="str">
        <x:v>Not Started</x:v>
      </x:c>
    </x:row>
    <x:row r="546">
      <x:c r="A546" s="339" t="str">
        <x:v>US-0545</x:v>
      </x:c>
      <x:c r="B546" s="339" t="str">
        <x:v>EP-024</x:v>
      </x:c>
      <x:c r="C546" s="339" t="str">
        <x:v>SCR-273</x:v>
      </x:c>
      <x:c r="D546" s="339" t="str">
        <x:v>Reports &amp; Analytics</x:v>
      </x:c>
      <x:c r="E546" s="339" t="str">
        <x:v>Fee Collection Report</x:v>
      </x:c>
      <x:c r="F546" s="339" t="str">
        <x:v>AC-02177, AC-02178, AC-02179, AC-02180</x:v>
      </x:c>
      <x:c r="G546" s="339" t="str">
        <x:v>BL-273</x:v>
      </x:c>
      <x:c r="H546" s="339" t="str">
        <x:v>BR-00817, BR-00818, BR-00819</x:v>
      </x:c>
      <x:c r="I546" s="339" t="str">
        <x:v>WF-273</x:v>
      </x:c>
      <x:c r="J546" s="339" t="str">
        <x:v>API-0273</x:v>
      </x:c>
      <x:c r="K546" s="339" t="str">
        <x:v>Phase 2</x:v>
      </x:c>
      <x:c r="L546" s="339" t="str">
        <x:v>Not Started</x:v>
      </x:c>
    </x:row>
    <x:row r="547">
      <x:c r="A547" s="339" t="str">
        <x:v>US-0546</x:v>
      </x:c>
      <x:c r="B547" s="339" t="str">
        <x:v>EP-024</x:v>
      </x:c>
      <x:c r="C547" s="339" t="str">
        <x:v>SCR-273</x:v>
      </x:c>
      <x:c r="D547" s="339" t="str">
        <x:v>Reports &amp; Analytics</x:v>
      </x:c>
      <x:c r="E547" s="339" t="str">
        <x:v>Fee Collection Report</x:v>
      </x:c>
      <x:c r="F547" s="339" t="str">
        <x:v>AC-02181, AC-02182, AC-02183, AC-02184</x:v>
      </x:c>
      <x:c r="G547" s="339" t="str">
        <x:v>BL-273</x:v>
      </x:c>
      <x:c r="H547" s="339" t="str">
        <x:v>BR-00817, BR-00818, BR-00819</x:v>
      </x:c>
      <x:c r="I547" s="339" t="str">
        <x:v>WF-273</x:v>
      </x:c>
      <x:c r="J547" s="339" t="str">
        <x:v>API-0273</x:v>
      </x:c>
      <x:c r="K547" s="339" t="str">
        <x:v>Phase 2</x:v>
      </x:c>
      <x:c r="L547" s="339" t="str">
        <x:v>Not Started</x:v>
      </x:c>
    </x:row>
    <x:row r="548">
      <x:c r="A548" s="339" t="str">
        <x:v>US-0547</x:v>
      </x:c>
      <x:c r="B548" s="339" t="str">
        <x:v>EP-024</x:v>
      </x:c>
      <x:c r="C548" s="339" t="str">
        <x:v>SCR-274</x:v>
      </x:c>
      <x:c r="D548" s="339" t="str">
        <x:v>Reports &amp; Analytics</x:v>
      </x:c>
      <x:c r="E548" s="339" t="str">
        <x:v>Outstanding Dues Report</x:v>
      </x:c>
      <x:c r="F548" s="339" t="str">
        <x:v>AC-02185, AC-02186, AC-02187, AC-02188</x:v>
      </x:c>
      <x:c r="G548" s="339" t="str">
        <x:v>BL-274</x:v>
      </x:c>
      <x:c r="H548" s="339" t="str">
        <x:v>BR-00820, BR-00821, BR-00822</x:v>
      </x:c>
      <x:c r="I548" s="339" t="str">
        <x:v>WF-274</x:v>
      </x:c>
      <x:c r="J548" s="339" t="str">
        <x:v>API-0274</x:v>
      </x:c>
      <x:c r="K548" s="339" t="str">
        <x:v>Phase 3</x:v>
      </x:c>
      <x:c r="L548" s="339" t="str">
        <x:v>Not Started</x:v>
      </x:c>
    </x:row>
    <x:row r="549">
      <x:c r="A549" s="339" t="str">
        <x:v>US-0548</x:v>
      </x:c>
      <x:c r="B549" s="339" t="str">
        <x:v>EP-024</x:v>
      </x:c>
      <x:c r="C549" s="339" t="str">
        <x:v>SCR-274</x:v>
      </x:c>
      <x:c r="D549" s="339" t="str">
        <x:v>Reports &amp; Analytics</x:v>
      </x:c>
      <x:c r="E549" s="339" t="str">
        <x:v>Outstanding Dues Report</x:v>
      </x:c>
      <x:c r="F549" s="339" t="str">
        <x:v>AC-02189, AC-02190, AC-02191, AC-02192</x:v>
      </x:c>
      <x:c r="G549" s="339" t="str">
        <x:v>BL-274</x:v>
      </x:c>
      <x:c r="H549" s="339" t="str">
        <x:v>BR-00820, BR-00821, BR-00822</x:v>
      </x:c>
      <x:c r="I549" s="339" t="str">
        <x:v>WF-274</x:v>
      </x:c>
      <x:c r="J549" s="339" t="str">
        <x:v>API-0274</x:v>
      </x:c>
      <x:c r="K549" s="339" t="str">
        <x:v>Phase 3</x:v>
      </x:c>
      <x:c r="L549" s="339" t="str">
        <x:v>Not Started</x:v>
      </x:c>
    </x:row>
    <x:row r="550">
      <x:c r="A550" s="339" t="str">
        <x:v>US-0549</x:v>
      </x:c>
      <x:c r="B550" s="339" t="str">
        <x:v>EP-024</x:v>
      </x:c>
      <x:c r="C550" s="339" t="str">
        <x:v>SCR-275</x:v>
      </x:c>
      <x:c r="D550" s="339" t="str">
        <x:v>Reports &amp; Analytics</x:v>
      </x:c>
      <x:c r="E550" s="339" t="str">
        <x:v>Finance Summary</x:v>
      </x:c>
      <x:c r="F550" s="339" t="str">
        <x:v>AC-02193, AC-02194, AC-02195, AC-02196</x:v>
      </x:c>
      <x:c r="G550" s="339" t="str">
        <x:v>BL-275</x:v>
      </x:c>
      <x:c r="H550" s="339" t="str">
        <x:v>BR-00823, BR-00824, BR-00825</x:v>
      </x:c>
      <x:c r="I550" s="339" t="str">
        <x:v>WF-275</x:v>
      </x:c>
      <x:c r="J550" s="339" t="str">
        <x:v>API-0275</x:v>
      </x:c>
      <x:c r="K550" s="339" t="str">
        <x:v>Phase 3</x:v>
      </x:c>
      <x:c r="L550" s="339" t="str">
        <x:v>Not Started</x:v>
      </x:c>
    </x:row>
    <x:row r="551">
      <x:c r="A551" s="339" t="str">
        <x:v>US-0550</x:v>
      </x:c>
      <x:c r="B551" s="339" t="str">
        <x:v>EP-024</x:v>
      </x:c>
      <x:c r="C551" s="339" t="str">
        <x:v>SCR-275</x:v>
      </x:c>
      <x:c r="D551" s="339" t="str">
        <x:v>Reports &amp; Analytics</x:v>
      </x:c>
      <x:c r="E551" s="339" t="str">
        <x:v>Finance Summary</x:v>
      </x:c>
      <x:c r="F551" s="339" t="str">
        <x:v>AC-02197, AC-02198, AC-02199, AC-02200</x:v>
      </x:c>
      <x:c r="G551" s="339" t="str">
        <x:v>BL-275</x:v>
      </x:c>
      <x:c r="H551" s="339" t="str">
        <x:v>BR-00823, BR-00824, BR-00825</x:v>
      </x:c>
      <x:c r="I551" s="339" t="str">
        <x:v>WF-275</x:v>
      </x:c>
      <x:c r="J551" s="339" t="str">
        <x:v>API-0275</x:v>
      </x:c>
      <x:c r="K551" s="339" t="str">
        <x:v>Phase 3</x:v>
      </x:c>
      <x:c r="L551" s="339" t="str">
        <x:v>Not Started</x:v>
      </x:c>
    </x:row>
    <x:row r="552">
      <x:c r="A552" s="339" t="str">
        <x:v>US-0551</x:v>
      </x:c>
      <x:c r="B552" s="339" t="str">
        <x:v>EP-024</x:v>
      </x:c>
      <x:c r="C552" s="339" t="str">
        <x:v>SCR-276</x:v>
      </x:c>
      <x:c r="D552" s="339" t="str">
        <x:v>Reports &amp; Analytics</x:v>
      </x:c>
      <x:c r="E552" s="339" t="str">
        <x:v>Staff Attendance Report</x:v>
      </x:c>
      <x:c r="F552" s="339" t="str">
        <x:v>AC-02201, AC-02202, AC-02203, AC-02204</x:v>
      </x:c>
      <x:c r="G552" s="339" t="str">
        <x:v>BL-276</x:v>
      </x:c>
      <x:c r="H552" s="339" t="str">
        <x:v>BR-00826, BR-00827, BR-00828</x:v>
      </x:c>
      <x:c r="I552" s="339" t="str">
        <x:v>WF-276</x:v>
      </x:c>
      <x:c r="J552" s="339" t="str">
        <x:v>API-0276</x:v>
      </x:c>
      <x:c r="K552" s="339" t="str">
        <x:v>Phase 3</x:v>
      </x:c>
      <x:c r="L552" s="339" t="str">
        <x:v>Not Started</x:v>
      </x:c>
    </x:row>
    <x:row r="553">
      <x:c r="A553" s="339" t="str">
        <x:v>US-0552</x:v>
      </x:c>
      <x:c r="B553" s="339" t="str">
        <x:v>EP-024</x:v>
      </x:c>
      <x:c r="C553" s="339" t="str">
        <x:v>SCR-276</x:v>
      </x:c>
      <x:c r="D553" s="339" t="str">
        <x:v>Reports &amp; Analytics</x:v>
      </x:c>
      <x:c r="E553" s="339" t="str">
        <x:v>Staff Attendance Report</x:v>
      </x:c>
      <x:c r="F553" s="339" t="str">
        <x:v>AC-02205, AC-02206, AC-02207, AC-02208</x:v>
      </x:c>
      <x:c r="G553" s="339" t="str">
        <x:v>BL-276</x:v>
      </x:c>
      <x:c r="H553" s="339" t="str">
        <x:v>BR-00826, BR-00827, BR-00828</x:v>
      </x:c>
      <x:c r="I553" s="339" t="str">
        <x:v>WF-276</x:v>
      </x:c>
      <x:c r="J553" s="339" t="str">
        <x:v>API-0276</x:v>
      </x:c>
      <x:c r="K553" s="339" t="str">
        <x:v>Phase 3</x:v>
      </x:c>
      <x:c r="L553" s="339" t="str">
        <x:v>Not Started</x:v>
      </x:c>
    </x:row>
    <x:row r="554">
      <x:c r="A554" s="339" t="str">
        <x:v>US-0553</x:v>
      </x:c>
      <x:c r="B554" s="339" t="str">
        <x:v>EP-024</x:v>
      </x:c>
      <x:c r="C554" s="339" t="str">
        <x:v>SCR-277</x:v>
      </x:c>
      <x:c r="D554" s="339" t="str">
        <x:v>Reports &amp; Analytics</x:v>
      </x:c>
      <x:c r="E554" s="339" t="str">
        <x:v>Payroll Summary</x:v>
      </x:c>
      <x:c r="F554" s="339" t="str">
        <x:v>AC-02209, AC-02210, AC-02211, AC-02212</x:v>
      </x:c>
      <x:c r="G554" s="339" t="str">
        <x:v>BL-277</x:v>
      </x:c>
      <x:c r="H554" s="339" t="str">
        <x:v>BR-00829, BR-00830, BR-00831</x:v>
      </x:c>
      <x:c r="I554" s="339" t="str">
        <x:v>WF-277</x:v>
      </x:c>
      <x:c r="J554" s="339" t="str">
        <x:v>API-0277</x:v>
      </x:c>
      <x:c r="K554" s="339" t="str">
        <x:v>Phase 3</x:v>
      </x:c>
      <x:c r="L554" s="339" t="str">
        <x:v>Not Started</x:v>
      </x:c>
    </x:row>
    <x:row r="555">
      <x:c r="A555" s="339" t="str">
        <x:v>US-0554</x:v>
      </x:c>
      <x:c r="B555" s="339" t="str">
        <x:v>EP-024</x:v>
      </x:c>
      <x:c r="C555" s="339" t="str">
        <x:v>SCR-277</x:v>
      </x:c>
      <x:c r="D555" s="339" t="str">
        <x:v>Reports &amp; Analytics</x:v>
      </x:c>
      <x:c r="E555" s="339" t="str">
        <x:v>Payroll Summary</x:v>
      </x:c>
      <x:c r="F555" s="339" t="str">
        <x:v>AC-02213, AC-02214, AC-02215, AC-02216</x:v>
      </x:c>
      <x:c r="G555" s="339" t="str">
        <x:v>BL-277</x:v>
      </x:c>
      <x:c r="H555" s="339" t="str">
        <x:v>BR-00829, BR-00830, BR-00831</x:v>
      </x:c>
      <x:c r="I555" s="339" t="str">
        <x:v>WF-277</x:v>
      </x:c>
      <x:c r="J555" s="339" t="str">
        <x:v>API-0277</x:v>
      </x:c>
      <x:c r="K555" s="339" t="str">
        <x:v>Phase 3</x:v>
      </x:c>
      <x:c r="L555" s="339" t="str">
        <x:v>Not Started</x:v>
      </x:c>
    </x:row>
    <x:row r="556">
      <x:c r="A556" s="339" t="str">
        <x:v>US-0555</x:v>
      </x:c>
      <x:c r="B556" s="339" t="str">
        <x:v>EP-024</x:v>
      </x:c>
      <x:c r="C556" s="339" t="str">
        <x:v>SCR-278</x:v>
      </x:c>
      <x:c r="D556" s="339" t="str">
        <x:v>Reports &amp; Analytics</x:v>
      </x:c>
      <x:c r="E556" s="339" t="str">
        <x:v>Teacher Performance</x:v>
      </x:c>
      <x:c r="F556" s="339" t="str">
        <x:v>AC-02217, AC-02218, AC-02219, AC-02220</x:v>
      </x:c>
      <x:c r="G556" s="339" t="str">
        <x:v>BL-278</x:v>
      </x:c>
      <x:c r="H556" s="339" t="str">
        <x:v>BR-00832, BR-00833, BR-00834</x:v>
      </x:c>
      <x:c r="I556" s="339" t="str">
        <x:v>WF-278</x:v>
      </x:c>
      <x:c r="J556" s="339" t="str">
        <x:v>API-0278</x:v>
      </x:c>
      <x:c r="K556" s="339" t="str">
        <x:v>Phase 3</x:v>
      </x:c>
      <x:c r="L556" s="339" t="str">
        <x:v>Not Started</x:v>
      </x:c>
    </x:row>
    <x:row r="557">
      <x:c r="A557" s="339" t="str">
        <x:v>US-0556</x:v>
      </x:c>
      <x:c r="B557" s="339" t="str">
        <x:v>EP-024</x:v>
      </x:c>
      <x:c r="C557" s="339" t="str">
        <x:v>SCR-278</x:v>
      </x:c>
      <x:c r="D557" s="339" t="str">
        <x:v>Reports &amp; Analytics</x:v>
      </x:c>
      <x:c r="E557" s="339" t="str">
        <x:v>Teacher Performance</x:v>
      </x:c>
      <x:c r="F557" s="339" t="str">
        <x:v>AC-02221, AC-02222, AC-02223, AC-02224</x:v>
      </x:c>
      <x:c r="G557" s="339" t="str">
        <x:v>BL-278</x:v>
      </x:c>
      <x:c r="H557" s="339" t="str">
        <x:v>BR-00832, BR-00833, BR-00834</x:v>
      </x:c>
      <x:c r="I557" s="339" t="str">
        <x:v>WF-278</x:v>
      </x:c>
      <x:c r="J557" s="339" t="str">
        <x:v>API-0278</x:v>
      </x:c>
      <x:c r="K557" s="339" t="str">
        <x:v>Phase 3</x:v>
      </x:c>
      <x:c r="L557" s="339" t="str">
        <x:v>Not Started</x:v>
      </x:c>
    </x:row>
    <x:row r="558">
      <x:c r="A558" s="339" t="str">
        <x:v>US-0557</x:v>
      </x:c>
      <x:c r="B558" s="339" t="str">
        <x:v>EP-024</x:v>
      </x:c>
      <x:c r="C558" s="339" t="str">
        <x:v>SCR-279</x:v>
      </x:c>
      <x:c r="D558" s="339" t="str">
        <x:v>Reports &amp; Analytics</x:v>
      </x:c>
      <x:c r="E558" s="339" t="str">
        <x:v>Transport Utilization</x:v>
      </x:c>
      <x:c r="F558" s="339" t="str">
        <x:v>AC-02225, AC-02226, AC-02227, AC-02228</x:v>
      </x:c>
      <x:c r="G558" s="339" t="str">
        <x:v>BL-279</x:v>
      </x:c>
      <x:c r="H558" s="339" t="str">
        <x:v>BR-00835, BR-00836, BR-00837</x:v>
      </x:c>
      <x:c r="I558" s="339" t="str">
        <x:v>WF-279</x:v>
      </x:c>
      <x:c r="J558" s="339" t="str">
        <x:v>API-0279</x:v>
      </x:c>
      <x:c r="K558" s="339" t="str">
        <x:v>Phase 3</x:v>
      </x:c>
      <x:c r="L558" s="339" t="str">
        <x:v>Not Started</x:v>
      </x:c>
    </x:row>
    <x:row r="559">
      <x:c r="A559" s="339" t="str">
        <x:v>US-0558</x:v>
      </x:c>
      <x:c r="B559" s="339" t="str">
        <x:v>EP-024</x:v>
      </x:c>
      <x:c r="C559" s="339" t="str">
        <x:v>SCR-279</x:v>
      </x:c>
      <x:c r="D559" s="339" t="str">
        <x:v>Reports &amp; Analytics</x:v>
      </x:c>
      <x:c r="E559" s="339" t="str">
        <x:v>Transport Utilization</x:v>
      </x:c>
      <x:c r="F559" s="339" t="str">
        <x:v>AC-02229, AC-02230, AC-02231, AC-02232</x:v>
      </x:c>
      <x:c r="G559" s="339" t="str">
        <x:v>BL-279</x:v>
      </x:c>
      <x:c r="H559" s="339" t="str">
        <x:v>BR-00835, BR-00836, BR-00837</x:v>
      </x:c>
      <x:c r="I559" s="339" t="str">
        <x:v>WF-279</x:v>
      </x:c>
      <x:c r="J559" s="339" t="str">
        <x:v>API-0279</x:v>
      </x:c>
      <x:c r="K559" s="339" t="str">
        <x:v>Phase 3</x:v>
      </x:c>
      <x:c r="L559" s="339" t="str">
        <x:v>Not Started</x:v>
      </x:c>
    </x:row>
    <x:row r="560">
      <x:c r="A560" s="339" t="str">
        <x:v>US-0559</x:v>
      </x:c>
      <x:c r="B560" s="339" t="str">
        <x:v>EP-024</x:v>
      </x:c>
      <x:c r="C560" s="339" t="str">
        <x:v>SCR-280</x:v>
      </x:c>
      <x:c r="D560" s="339" t="str">
        <x:v>Reports &amp; Analytics</x:v>
      </x:c>
      <x:c r="E560" s="339" t="str">
        <x:v>Library Usage</x:v>
      </x:c>
      <x:c r="F560" s="339" t="str">
        <x:v>AC-02233, AC-02234, AC-02235, AC-02236</x:v>
      </x:c>
      <x:c r="G560" s="339" t="str">
        <x:v>BL-280</x:v>
      </x:c>
      <x:c r="H560" s="339" t="str">
        <x:v>BR-00838, BR-00839, BR-00840</x:v>
      </x:c>
      <x:c r="I560" s="339" t="str">
        <x:v>WF-280</x:v>
      </x:c>
      <x:c r="J560" s="339" t="str">
        <x:v>API-0280</x:v>
      </x:c>
      <x:c r="K560" s="339" t="str">
        <x:v>Phase 3</x:v>
      </x:c>
      <x:c r="L560" s="339" t="str">
        <x:v>Not Started</x:v>
      </x:c>
    </x:row>
    <x:row r="561">
      <x:c r="A561" s="339" t="str">
        <x:v>US-0560</x:v>
      </x:c>
      <x:c r="B561" s="339" t="str">
        <x:v>EP-024</x:v>
      </x:c>
      <x:c r="C561" s="339" t="str">
        <x:v>SCR-280</x:v>
      </x:c>
      <x:c r="D561" s="339" t="str">
        <x:v>Reports &amp; Analytics</x:v>
      </x:c>
      <x:c r="E561" s="339" t="str">
        <x:v>Library Usage</x:v>
      </x:c>
      <x:c r="F561" s="339" t="str">
        <x:v>AC-02237, AC-02238, AC-02239, AC-02240</x:v>
      </x:c>
      <x:c r="G561" s="339" t="str">
        <x:v>BL-280</x:v>
      </x:c>
      <x:c r="H561" s="339" t="str">
        <x:v>BR-00838, BR-00839, BR-00840</x:v>
      </x:c>
      <x:c r="I561" s="339" t="str">
        <x:v>WF-280</x:v>
      </x:c>
      <x:c r="J561" s="339" t="str">
        <x:v>API-0280</x:v>
      </x:c>
      <x:c r="K561" s="339" t="str">
        <x:v>Phase 3</x:v>
      </x:c>
      <x:c r="L561" s="339" t="str">
        <x:v>Not Started</x:v>
      </x:c>
    </x:row>
    <x:row r="562">
      <x:c r="A562" s="339" t="str">
        <x:v>US-0561</x:v>
      </x:c>
      <x:c r="B562" s="339" t="str">
        <x:v>EP-024</x:v>
      </x:c>
      <x:c r="C562" s="339" t="str">
        <x:v>SCR-281</x:v>
      </x:c>
      <x:c r="D562" s="339" t="str">
        <x:v>Reports &amp; Analytics</x:v>
      </x:c>
      <x:c r="E562" s="339" t="str">
        <x:v>Inventory &amp; Asset Report</x:v>
      </x:c>
      <x:c r="F562" s="339" t="str">
        <x:v>AC-02241, AC-02242, AC-02243, AC-02244</x:v>
      </x:c>
      <x:c r="G562" s="339" t="str">
        <x:v>BL-281</x:v>
      </x:c>
      <x:c r="H562" s="339" t="str">
        <x:v>BR-00841, BR-00842, BR-00843</x:v>
      </x:c>
      <x:c r="I562" s="339" t="str">
        <x:v>WF-281</x:v>
      </x:c>
      <x:c r="J562" s="339" t="str">
        <x:v>API-0281</x:v>
      </x:c>
      <x:c r="K562" s="339" t="str">
        <x:v>Phase 3</x:v>
      </x:c>
      <x:c r="L562" s="339" t="str">
        <x:v>Not Started</x:v>
      </x:c>
    </x:row>
    <x:row r="563">
      <x:c r="A563" s="339" t="str">
        <x:v>US-0562</x:v>
      </x:c>
      <x:c r="B563" s="339" t="str">
        <x:v>EP-024</x:v>
      </x:c>
      <x:c r="C563" s="339" t="str">
        <x:v>SCR-281</x:v>
      </x:c>
      <x:c r="D563" s="339" t="str">
        <x:v>Reports &amp; Analytics</x:v>
      </x:c>
      <x:c r="E563" s="339" t="str">
        <x:v>Inventory &amp; Asset Report</x:v>
      </x:c>
      <x:c r="F563" s="339" t="str">
        <x:v>AC-02245, AC-02246, AC-02247, AC-02248</x:v>
      </x:c>
      <x:c r="G563" s="339" t="str">
        <x:v>BL-281</x:v>
      </x:c>
      <x:c r="H563" s="339" t="str">
        <x:v>BR-00841, BR-00842, BR-00843</x:v>
      </x:c>
      <x:c r="I563" s="339" t="str">
        <x:v>WF-281</x:v>
      </x:c>
      <x:c r="J563" s="339" t="str">
        <x:v>API-0281</x:v>
      </x:c>
      <x:c r="K563" s="339" t="str">
        <x:v>Phase 3</x:v>
      </x:c>
      <x:c r="L563" s="339" t="str">
        <x:v>Not Started</x:v>
      </x:c>
    </x:row>
    <x:row r="564">
      <x:c r="A564" s="339" t="str">
        <x:v>US-0563</x:v>
      </x:c>
      <x:c r="B564" s="339" t="str">
        <x:v>EP-024</x:v>
      </x:c>
      <x:c r="C564" s="339" t="str">
        <x:v>SCR-282</x:v>
      </x:c>
      <x:c r="D564" s="339" t="str">
        <x:v>Reports &amp; Analytics</x:v>
      </x:c>
      <x:c r="E564" s="339" t="str">
        <x:v>Communication / Notification Report</x:v>
      </x:c>
      <x:c r="F564" s="339" t="str">
        <x:v>AC-02249, AC-02250, AC-02251, AC-02252</x:v>
      </x:c>
      <x:c r="G564" s="339" t="str">
        <x:v>BL-282</x:v>
      </x:c>
      <x:c r="H564" s="339" t="str">
        <x:v>BR-00844, BR-00845, BR-00846</x:v>
      </x:c>
      <x:c r="I564" s="339" t="str">
        <x:v>WF-282</x:v>
      </x:c>
      <x:c r="J564" s="339" t="str">
        <x:v>API-0282</x:v>
      </x:c>
      <x:c r="K564" s="339" t="str">
        <x:v>Phase 3</x:v>
      </x:c>
      <x:c r="L564" s="339" t="str">
        <x:v>Not Started</x:v>
      </x:c>
    </x:row>
    <x:row r="565">
      <x:c r="A565" s="339" t="str">
        <x:v>US-0564</x:v>
      </x:c>
      <x:c r="B565" s="339" t="str">
        <x:v>EP-024</x:v>
      </x:c>
      <x:c r="C565" s="339" t="str">
        <x:v>SCR-282</x:v>
      </x:c>
      <x:c r="D565" s="339" t="str">
        <x:v>Reports &amp; Analytics</x:v>
      </x:c>
      <x:c r="E565" s="339" t="str">
        <x:v>Communication / Notification Report</x:v>
      </x:c>
      <x:c r="F565" s="339" t="str">
        <x:v>AC-02253, AC-02254, AC-02255, AC-02256</x:v>
      </x:c>
      <x:c r="G565" s="339" t="str">
        <x:v>BL-282</x:v>
      </x:c>
      <x:c r="H565" s="339" t="str">
        <x:v>BR-00844, BR-00845, BR-00846</x:v>
      </x:c>
      <x:c r="I565" s="339" t="str">
        <x:v>WF-282</x:v>
      </x:c>
      <x:c r="J565" s="339" t="str">
        <x:v>API-0282</x:v>
      </x:c>
      <x:c r="K565" s="339" t="str">
        <x:v>Phase 3</x:v>
      </x:c>
      <x:c r="L565" s="339" t="str">
        <x:v>Not Started</x:v>
      </x:c>
    </x:row>
    <x:row r="566">
      <x:c r="A566" s="339" t="str">
        <x:v>US-0565</x:v>
      </x:c>
      <x:c r="B566" s="339" t="str">
        <x:v>EP-024</x:v>
      </x:c>
      <x:c r="C566" s="339" t="str">
        <x:v>SCR-283</x:v>
      </x:c>
      <x:c r="D566" s="339" t="str">
        <x:v>Reports &amp; Analytics</x:v>
      </x:c>
      <x:c r="E566" s="339" t="str">
        <x:v>Custom Report Builder</x:v>
      </x:c>
      <x:c r="F566" s="339" t="str">
        <x:v>AC-02257, AC-02258, AC-02259, AC-02260</x:v>
      </x:c>
      <x:c r="G566" s="339" t="str">
        <x:v>BL-283</x:v>
      </x:c>
      <x:c r="H566" s="339" t="str">
        <x:v>BR-00847, BR-00848, BR-00849</x:v>
      </x:c>
      <x:c r="I566" s="339" t="str">
        <x:v>WF-283</x:v>
      </x:c>
      <x:c r="J566" s="339" t="str">
        <x:v>API-0283</x:v>
      </x:c>
      <x:c r="K566" s="339" t="str">
        <x:v>Phase 3</x:v>
      </x:c>
      <x:c r="L566" s="339" t="str">
        <x:v>Not Started</x:v>
      </x:c>
    </x:row>
    <x:row r="567">
      <x:c r="A567" s="339" t="str">
        <x:v>US-0566</x:v>
      </x:c>
      <x:c r="B567" s="339" t="str">
        <x:v>EP-024</x:v>
      </x:c>
      <x:c r="C567" s="339" t="str">
        <x:v>SCR-283</x:v>
      </x:c>
      <x:c r="D567" s="339" t="str">
        <x:v>Reports &amp; Analytics</x:v>
      </x:c>
      <x:c r="E567" s="339" t="str">
        <x:v>Custom Report Builder</x:v>
      </x:c>
      <x:c r="F567" s="339" t="str">
        <x:v>AC-02261, AC-02262, AC-02263, AC-02264</x:v>
      </x:c>
      <x:c r="G567" s="339" t="str">
        <x:v>BL-283</x:v>
      </x:c>
      <x:c r="H567" s="339" t="str">
        <x:v>BR-00847, BR-00848, BR-00849</x:v>
      </x:c>
      <x:c r="I567" s="339" t="str">
        <x:v>WF-283</x:v>
      </x:c>
      <x:c r="J567" s="339" t="str">
        <x:v>API-0283</x:v>
      </x:c>
      <x:c r="K567" s="339" t="str">
        <x:v>Phase 3</x:v>
      </x:c>
      <x:c r="L567" s="339" t="str">
        <x:v>Not Started</x:v>
      </x:c>
    </x:row>
    <x:row r="568">
      <x:c r="A568" s="339" t="str">
        <x:v>US-0567</x:v>
      </x:c>
      <x:c r="B568" s="339" t="str">
        <x:v>EP-025</x:v>
      </x:c>
      <x:c r="C568" s="339" t="str">
        <x:v>SCR-284</x:v>
      </x:c>
      <x:c r="D568" s="339" t="str">
        <x:v>Settings / Roles / Permissions / Audit</x:v>
      </x:c>
      <x:c r="E568" s="339" t="str">
        <x:v>User Management</x:v>
      </x:c>
      <x:c r="F568" s="339" t="str">
        <x:v>AC-02265, AC-02266, AC-02267, AC-02268</x:v>
      </x:c>
      <x:c r="G568" s="339" t="str">
        <x:v>BL-284</x:v>
      </x:c>
      <x:c r="H568" s="339" t="str">
        <x:v>BR-00850, BR-00851, BR-00852</x:v>
      </x:c>
      <x:c r="I568" s="339" t="str">
        <x:v>WF-284</x:v>
      </x:c>
      <x:c r="J568" s="339" t="str">
        <x:v>API-0284</x:v>
      </x:c>
      <x:c r="K568" s="339" t="str">
        <x:v>MVP</x:v>
      </x:c>
      <x:c r="L568" s="339" t="str">
        <x:v>Not Started</x:v>
      </x:c>
    </x:row>
    <x:row r="569">
      <x:c r="A569" s="339" t="str">
        <x:v>US-0568</x:v>
      </x:c>
      <x:c r="B569" s="339" t="str">
        <x:v>EP-025</x:v>
      </x:c>
      <x:c r="C569" s="339" t="str">
        <x:v>SCR-284</x:v>
      </x:c>
      <x:c r="D569" s="339" t="str">
        <x:v>Settings / Roles / Permissions / Audit</x:v>
      </x:c>
      <x:c r="E569" s="339" t="str">
        <x:v>User Management</x:v>
      </x:c>
      <x:c r="F569" s="339" t="str">
        <x:v>AC-02269, AC-02270, AC-02271, AC-02272</x:v>
      </x:c>
      <x:c r="G569" s="339" t="str">
        <x:v>BL-284</x:v>
      </x:c>
      <x:c r="H569" s="339" t="str">
        <x:v>BR-00850, BR-00851, BR-00852</x:v>
      </x:c>
      <x:c r="I569" s="339" t="str">
        <x:v>WF-284</x:v>
      </x:c>
      <x:c r="J569" s="339" t="str">
        <x:v>API-0284</x:v>
      </x:c>
      <x:c r="K569" s="339" t="str">
        <x:v>MVP</x:v>
      </x:c>
      <x:c r="L569" s="339" t="str">
        <x:v>Not Started</x:v>
      </x:c>
    </x:row>
    <x:row r="570">
      <x:c r="A570" s="339" t="str">
        <x:v>US-0569</x:v>
      </x:c>
      <x:c r="B570" s="339" t="str">
        <x:v>EP-025</x:v>
      </x:c>
      <x:c r="C570" s="339" t="str">
        <x:v>SCR-285</x:v>
      </x:c>
      <x:c r="D570" s="339" t="str">
        <x:v>Settings / Roles / Permissions / Audit</x:v>
      </x:c>
      <x:c r="E570" s="339" t="str">
        <x:v>Roles</x:v>
      </x:c>
      <x:c r="F570" s="339" t="str">
        <x:v>AC-02273, AC-02274, AC-02275, AC-02276</x:v>
      </x:c>
      <x:c r="G570" s="339" t="str">
        <x:v>BL-285</x:v>
      </x:c>
      <x:c r="H570" s="339" t="str">
        <x:v>BR-00853, BR-00854, BR-00855</x:v>
      </x:c>
      <x:c r="I570" s="339" t="str">
        <x:v>WF-285</x:v>
      </x:c>
      <x:c r="J570" s="339" t="str">
        <x:v>API-0285</x:v>
      </x:c>
      <x:c r="K570" s="339" t="str">
        <x:v>MVP</x:v>
      </x:c>
      <x:c r="L570" s="339" t="str">
        <x:v>Not Started</x:v>
      </x:c>
    </x:row>
    <x:row r="571">
      <x:c r="A571" s="339" t="str">
        <x:v>US-0570</x:v>
      </x:c>
      <x:c r="B571" s="339" t="str">
        <x:v>EP-025</x:v>
      </x:c>
      <x:c r="C571" s="339" t="str">
        <x:v>SCR-285</x:v>
      </x:c>
      <x:c r="D571" s="339" t="str">
        <x:v>Settings / Roles / Permissions / Audit</x:v>
      </x:c>
      <x:c r="E571" s="339" t="str">
        <x:v>Roles</x:v>
      </x:c>
      <x:c r="F571" s="339" t="str">
        <x:v>AC-02277, AC-02278, AC-02279, AC-02280</x:v>
      </x:c>
      <x:c r="G571" s="339" t="str">
        <x:v>BL-285</x:v>
      </x:c>
      <x:c r="H571" s="339" t="str">
        <x:v>BR-00853, BR-00854, BR-00855</x:v>
      </x:c>
      <x:c r="I571" s="339" t="str">
        <x:v>WF-285</x:v>
      </x:c>
      <x:c r="J571" s="339" t="str">
        <x:v>API-0285</x:v>
      </x:c>
      <x:c r="K571" s="339" t="str">
        <x:v>MVP</x:v>
      </x:c>
      <x:c r="L571" s="339" t="str">
        <x:v>Not Started</x:v>
      </x:c>
    </x:row>
    <x:row r="572">
      <x:c r="A572" s="339" t="str">
        <x:v>US-0571</x:v>
      </x:c>
      <x:c r="B572" s="339" t="str">
        <x:v>EP-025</x:v>
      </x:c>
      <x:c r="C572" s="339" t="str">
        <x:v>SCR-286</x:v>
      </x:c>
      <x:c r="D572" s="339" t="str">
        <x:v>Settings / Roles / Permissions / Audit</x:v>
      </x:c>
      <x:c r="E572" s="339" t="str">
        <x:v>Permissions</x:v>
      </x:c>
      <x:c r="F572" s="339" t="str">
        <x:v>AC-02281, AC-02282, AC-02283, AC-02284</x:v>
      </x:c>
      <x:c r="G572" s="339" t="str">
        <x:v>BL-286</x:v>
      </x:c>
      <x:c r="H572" s="339" t="str">
        <x:v>BR-00856, BR-00857, BR-00858</x:v>
      </x:c>
      <x:c r="I572" s="339" t="str">
        <x:v>WF-286</x:v>
      </x:c>
      <x:c r="J572" s="339" t="str">
        <x:v>API-0286</x:v>
      </x:c>
      <x:c r="K572" s="339" t="str">
        <x:v>MVP</x:v>
      </x:c>
      <x:c r="L572" s="339" t="str">
        <x:v>Not Started</x:v>
      </x:c>
    </x:row>
    <x:row r="573">
      <x:c r="A573" s="339" t="str">
        <x:v>US-0572</x:v>
      </x:c>
      <x:c r="B573" s="339" t="str">
        <x:v>EP-025</x:v>
      </x:c>
      <x:c r="C573" s="339" t="str">
        <x:v>SCR-286</x:v>
      </x:c>
      <x:c r="D573" s="339" t="str">
        <x:v>Settings / Roles / Permissions / Audit</x:v>
      </x:c>
      <x:c r="E573" s="339" t="str">
        <x:v>Permissions</x:v>
      </x:c>
      <x:c r="F573" s="339" t="str">
        <x:v>AC-02285, AC-02286, AC-02287, AC-02288</x:v>
      </x:c>
      <x:c r="G573" s="339" t="str">
        <x:v>BL-286</x:v>
      </x:c>
      <x:c r="H573" s="339" t="str">
        <x:v>BR-00856, BR-00857, BR-00858</x:v>
      </x:c>
      <x:c r="I573" s="339" t="str">
        <x:v>WF-286</x:v>
      </x:c>
      <x:c r="J573" s="339" t="str">
        <x:v>API-0286</x:v>
      </x:c>
      <x:c r="K573" s="339" t="str">
        <x:v>MVP</x:v>
      </x:c>
      <x:c r="L573" s="339" t="str">
        <x:v>Not Started</x:v>
      </x:c>
    </x:row>
    <x:row r="574">
      <x:c r="A574" s="339" t="str">
        <x:v>US-0573</x:v>
      </x:c>
      <x:c r="B574" s="339" t="str">
        <x:v>EP-025</x:v>
      </x:c>
      <x:c r="C574" s="339" t="str">
        <x:v>SCR-287</x:v>
      </x:c>
      <x:c r="D574" s="339" t="str">
        <x:v>Settings / Roles / Permissions / Audit</x:v>
      </x:c>
      <x:c r="E574" s="339" t="str">
        <x:v>Role Permission Matrix</x:v>
      </x:c>
      <x:c r="F574" s="339" t="str">
        <x:v>AC-02289, AC-02290, AC-02291, AC-02292</x:v>
      </x:c>
      <x:c r="G574" s="339" t="str">
        <x:v>BL-287</x:v>
      </x:c>
      <x:c r="H574" s="339" t="str">
        <x:v>BR-00859, BR-00860, BR-00861</x:v>
      </x:c>
      <x:c r="I574" s="339" t="str">
        <x:v>WF-287</x:v>
      </x:c>
      <x:c r="J574" s="339" t="str">
        <x:v>API-0287</x:v>
      </x:c>
      <x:c r="K574" s="339" t="str">
        <x:v>MVP</x:v>
      </x:c>
      <x:c r="L574" s="339" t="str">
        <x:v>Not Started</x:v>
      </x:c>
    </x:row>
    <x:row r="575">
      <x:c r="A575" s="339" t="str">
        <x:v>US-0574</x:v>
      </x:c>
      <x:c r="B575" s="339" t="str">
        <x:v>EP-025</x:v>
      </x:c>
      <x:c r="C575" s="339" t="str">
        <x:v>SCR-287</x:v>
      </x:c>
      <x:c r="D575" s="339" t="str">
        <x:v>Settings / Roles / Permissions / Audit</x:v>
      </x:c>
      <x:c r="E575" s="339" t="str">
        <x:v>Role Permission Matrix</x:v>
      </x:c>
      <x:c r="F575" s="339" t="str">
        <x:v>AC-02293, AC-02294, AC-02295, AC-02296</x:v>
      </x:c>
      <x:c r="G575" s="339" t="str">
        <x:v>BL-287</x:v>
      </x:c>
      <x:c r="H575" s="339" t="str">
        <x:v>BR-00859, BR-00860, BR-00861</x:v>
      </x:c>
      <x:c r="I575" s="339" t="str">
        <x:v>WF-287</x:v>
      </x:c>
      <x:c r="J575" s="339" t="str">
        <x:v>API-0287</x:v>
      </x:c>
      <x:c r="K575" s="339" t="str">
        <x:v>MVP</x:v>
      </x:c>
      <x:c r="L575" s="339" t="str">
        <x:v>Not Started</x:v>
      </x:c>
    </x:row>
    <x:row r="576">
      <x:c r="A576" s="339" t="str">
        <x:v>US-0575</x:v>
      </x:c>
      <x:c r="B576" s="339" t="str">
        <x:v>EP-025</x:v>
      </x:c>
      <x:c r="C576" s="339" t="str">
        <x:v>SCR-288</x:v>
      </x:c>
      <x:c r="D576" s="339" t="str">
        <x:v>Settings / Roles / Permissions / Audit</x:v>
      </x:c>
      <x:c r="E576" s="339" t="str">
        <x:v>User Role Assignment</x:v>
      </x:c>
      <x:c r="F576" s="339" t="str">
        <x:v>AC-02297, AC-02298, AC-02299, AC-02300</x:v>
      </x:c>
      <x:c r="G576" s="339" t="str">
        <x:v>BL-288</x:v>
      </x:c>
      <x:c r="H576" s="339" t="str">
        <x:v>BR-00862, BR-00863, BR-00864</x:v>
      </x:c>
      <x:c r="I576" s="339" t="str">
        <x:v>WF-288</x:v>
      </x:c>
      <x:c r="J576" s="339" t="str">
        <x:v>API-0288</x:v>
      </x:c>
      <x:c r="K576" s="339" t="str">
        <x:v>MVP</x:v>
      </x:c>
      <x:c r="L576" s="339" t="str">
        <x:v>Not Started</x:v>
      </x:c>
    </x:row>
    <x:row r="577">
      <x:c r="A577" s="339" t="str">
        <x:v>US-0576</x:v>
      </x:c>
      <x:c r="B577" s="339" t="str">
        <x:v>EP-025</x:v>
      </x:c>
      <x:c r="C577" s="339" t="str">
        <x:v>SCR-288</x:v>
      </x:c>
      <x:c r="D577" s="339" t="str">
        <x:v>Settings / Roles / Permissions / Audit</x:v>
      </x:c>
      <x:c r="E577" s="339" t="str">
        <x:v>User Role Assignment</x:v>
      </x:c>
      <x:c r="F577" s="339" t="str">
        <x:v>AC-02301, AC-02302, AC-02303, AC-02304</x:v>
      </x:c>
      <x:c r="G577" s="339" t="str">
        <x:v>BL-288</x:v>
      </x:c>
      <x:c r="H577" s="339" t="str">
        <x:v>BR-00862, BR-00863, BR-00864</x:v>
      </x:c>
      <x:c r="I577" s="339" t="str">
        <x:v>WF-288</x:v>
      </x:c>
      <x:c r="J577" s="339" t="str">
        <x:v>API-0288</x:v>
      </x:c>
      <x:c r="K577" s="339" t="str">
        <x:v>MVP</x:v>
      </x:c>
      <x:c r="L577" s="339" t="str">
        <x:v>Not Started</x:v>
      </x:c>
    </x:row>
    <x:row r="578">
      <x:c r="A578" s="339" t="str">
        <x:v>US-0577</x:v>
      </x:c>
      <x:c r="B578" s="339" t="str">
        <x:v>EP-025</x:v>
      </x:c>
      <x:c r="C578" s="339" t="str">
        <x:v>SCR-289</x:v>
      </x:c>
      <x:c r="D578" s="339" t="str">
        <x:v>Settings / Roles / Permissions / Audit</x:v>
      </x:c>
      <x:c r="E578" s="339" t="str">
        <x:v>School Settings</x:v>
      </x:c>
      <x:c r="F578" s="339" t="str">
        <x:v>AC-02305, AC-02306, AC-02307, AC-02308</x:v>
      </x:c>
      <x:c r="G578" s="339" t="str">
        <x:v>BL-289</x:v>
      </x:c>
      <x:c r="H578" s="339" t="str">
        <x:v>BR-00865, BR-00866, BR-00867</x:v>
      </x:c>
      <x:c r="I578" s="339" t="str">
        <x:v>WF-289</x:v>
      </x:c>
      <x:c r="J578" s="339" t="str">
        <x:v>API-0289</x:v>
      </x:c>
      <x:c r="K578" s="339" t="str">
        <x:v>Phase 2</x:v>
      </x:c>
      <x:c r="L578" s="339" t="str">
        <x:v>Not Started</x:v>
      </x:c>
    </x:row>
    <x:row r="579">
      <x:c r="A579" s="339" t="str">
        <x:v>US-0578</x:v>
      </x:c>
      <x:c r="B579" s="339" t="str">
        <x:v>EP-025</x:v>
      </x:c>
      <x:c r="C579" s="339" t="str">
        <x:v>SCR-289</x:v>
      </x:c>
      <x:c r="D579" s="339" t="str">
        <x:v>Settings / Roles / Permissions / Audit</x:v>
      </x:c>
      <x:c r="E579" s="339" t="str">
        <x:v>School Settings</x:v>
      </x:c>
      <x:c r="F579" s="339" t="str">
        <x:v>AC-02309, AC-02310, AC-02311, AC-02312</x:v>
      </x:c>
      <x:c r="G579" s="339" t="str">
        <x:v>BL-289</x:v>
      </x:c>
      <x:c r="H579" s="339" t="str">
        <x:v>BR-00865, BR-00866, BR-00867</x:v>
      </x:c>
      <x:c r="I579" s="339" t="str">
        <x:v>WF-289</x:v>
      </x:c>
      <x:c r="J579" s="339" t="str">
        <x:v>API-0289</x:v>
      </x:c>
      <x:c r="K579" s="339" t="str">
        <x:v>Phase 2</x:v>
      </x:c>
      <x:c r="L579" s="339" t="str">
        <x:v>Not Started</x:v>
      </x:c>
    </x:row>
    <x:row r="580">
      <x:c r="A580" s="339" t="str">
        <x:v>US-0579</x:v>
      </x:c>
      <x:c r="B580" s="339" t="str">
        <x:v>EP-025</x:v>
      </x:c>
      <x:c r="C580" s="339" t="str">
        <x:v>SCR-290</x:v>
      </x:c>
      <x:c r="D580" s="339" t="str">
        <x:v>Settings / Roles / Permissions / Audit</x:v>
      </x:c>
      <x:c r="E580" s="339" t="str">
        <x:v>Academic Settings</x:v>
      </x:c>
      <x:c r="F580" s="339" t="str">
        <x:v>AC-02313, AC-02314, AC-02315, AC-02316</x:v>
      </x:c>
      <x:c r="G580" s="339" t="str">
        <x:v>BL-290</x:v>
      </x:c>
      <x:c r="H580" s="339" t="str">
        <x:v>BR-00868, BR-00869, BR-00870</x:v>
      </x:c>
      <x:c r="I580" s="339" t="str">
        <x:v>WF-290</x:v>
      </x:c>
      <x:c r="J580" s="339" t="str">
        <x:v>API-0290</x:v>
      </x:c>
      <x:c r="K580" s="339" t="str">
        <x:v>Phase 2</x:v>
      </x:c>
      <x:c r="L580" s="339" t="str">
        <x:v>Not Started</x:v>
      </x:c>
    </x:row>
    <x:row r="581">
      <x:c r="A581" s="339" t="str">
        <x:v>US-0580</x:v>
      </x:c>
      <x:c r="B581" s="339" t="str">
        <x:v>EP-025</x:v>
      </x:c>
      <x:c r="C581" s="339" t="str">
        <x:v>SCR-290</x:v>
      </x:c>
      <x:c r="D581" s="339" t="str">
        <x:v>Settings / Roles / Permissions / Audit</x:v>
      </x:c>
      <x:c r="E581" s="339" t="str">
        <x:v>Academic Settings</x:v>
      </x:c>
      <x:c r="F581" s="339" t="str">
        <x:v>AC-02317, AC-02318, AC-02319, AC-02320</x:v>
      </x:c>
      <x:c r="G581" s="339" t="str">
        <x:v>BL-290</x:v>
      </x:c>
      <x:c r="H581" s="339" t="str">
        <x:v>BR-00868, BR-00869, BR-00870</x:v>
      </x:c>
      <x:c r="I581" s="339" t="str">
        <x:v>WF-290</x:v>
      </x:c>
      <x:c r="J581" s="339" t="str">
        <x:v>API-0290</x:v>
      </x:c>
      <x:c r="K581" s="339" t="str">
        <x:v>Phase 2</x:v>
      </x:c>
      <x:c r="L581" s="339" t="str">
        <x:v>Not Started</x:v>
      </x:c>
    </x:row>
    <x:row r="582">
      <x:c r="A582" s="339" t="str">
        <x:v>US-0581</x:v>
      </x:c>
      <x:c r="B582" s="339" t="str">
        <x:v>EP-025</x:v>
      </x:c>
      <x:c r="C582" s="339" t="str">
        <x:v>SCR-291</x:v>
      </x:c>
      <x:c r="D582" s="339" t="str">
        <x:v>Settings / Roles / Permissions / Audit</x:v>
      </x:c>
      <x:c r="E582" s="339" t="str">
        <x:v>Notification Settings</x:v>
      </x:c>
      <x:c r="F582" s="339" t="str">
        <x:v>AC-02321, AC-02322, AC-02323, AC-02324</x:v>
      </x:c>
      <x:c r="G582" s="339" t="str">
        <x:v>BL-291</x:v>
      </x:c>
      <x:c r="H582" s="339" t="str">
        <x:v>BR-00871, BR-00872, BR-00873</x:v>
      </x:c>
      <x:c r="I582" s="339" t="str">
        <x:v>WF-291</x:v>
      </x:c>
      <x:c r="J582" s="339" t="str">
        <x:v>API-0291</x:v>
      </x:c>
      <x:c r="K582" s="339" t="str">
        <x:v>Phase 2</x:v>
      </x:c>
      <x:c r="L582" s="339" t="str">
        <x:v>Not Started</x:v>
      </x:c>
    </x:row>
    <x:row r="583">
      <x:c r="A583" s="339" t="str">
        <x:v>US-0582</x:v>
      </x:c>
      <x:c r="B583" s="339" t="str">
        <x:v>EP-025</x:v>
      </x:c>
      <x:c r="C583" s="339" t="str">
        <x:v>SCR-291</x:v>
      </x:c>
      <x:c r="D583" s="339" t="str">
        <x:v>Settings / Roles / Permissions / Audit</x:v>
      </x:c>
      <x:c r="E583" s="339" t="str">
        <x:v>Notification Settings</x:v>
      </x:c>
      <x:c r="F583" s="339" t="str">
        <x:v>AC-02325, AC-02326, AC-02327, AC-02328</x:v>
      </x:c>
      <x:c r="G583" s="339" t="str">
        <x:v>BL-291</x:v>
      </x:c>
      <x:c r="H583" s="339" t="str">
        <x:v>BR-00871, BR-00872, BR-00873</x:v>
      </x:c>
      <x:c r="I583" s="339" t="str">
        <x:v>WF-291</x:v>
      </x:c>
      <x:c r="J583" s="339" t="str">
        <x:v>API-0291</x:v>
      </x:c>
      <x:c r="K583" s="339" t="str">
        <x:v>Phase 2</x:v>
      </x:c>
      <x:c r="L583" s="339" t="str">
        <x:v>Not Started</x:v>
      </x:c>
    </x:row>
    <x:row r="584">
      <x:c r="A584" s="339" t="str">
        <x:v>US-0583</x:v>
      </x:c>
      <x:c r="B584" s="339" t="str">
        <x:v>EP-025</x:v>
      </x:c>
      <x:c r="C584" s="339" t="str">
        <x:v>SCR-292</x:v>
      </x:c>
      <x:c r="D584" s="339" t="str">
        <x:v>Settings / Roles / Permissions / Audit</x:v>
      </x:c>
      <x:c r="E584" s="339" t="str">
        <x:v>Integration / API Settings</x:v>
      </x:c>
      <x:c r="F584" s="339" t="str">
        <x:v>AC-02329, AC-02330, AC-02331, AC-02332</x:v>
      </x:c>
      <x:c r="G584" s="339" t="str">
        <x:v>BL-292</x:v>
      </x:c>
      <x:c r="H584" s="339" t="str">
        <x:v>BR-00874, BR-00875, BR-00876</x:v>
      </x:c>
      <x:c r="I584" s="339" t="str">
        <x:v>WF-292</x:v>
      </x:c>
      <x:c r="J584" s="339" t="str">
        <x:v>API-0292</x:v>
      </x:c>
      <x:c r="K584" s="339" t="str">
        <x:v>Phase 3</x:v>
      </x:c>
      <x:c r="L584" s="339" t="str">
        <x:v>Not Started</x:v>
      </x:c>
    </x:row>
    <x:row r="585">
      <x:c r="A585" s="339" t="str">
        <x:v>US-0584</x:v>
      </x:c>
      <x:c r="B585" s="339" t="str">
        <x:v>EP-025</x:v>
      </x:c>
      <x:c r="C585" s="339" t="str">
        <x:v>SCR-292</x:v>
      </x:c>
      <x:c r="D585" s="339" t="str">
        <x:v>Settings / Roles / Permissions / Audit</x:v>
      </x:c>
      <x:c r="E585" s="339" t="str">
        <x:v>Integration / API Settings</x:v>
      </x:c>
      <x:c r="F585" s="339" t="str">
        <x:v>AC-02333, AC-02334, AC-02335, AC-02336</x:v>
      </x:c>
      <x:c r="G585" s="339" t="str">
        <x:v>BL-292</x:v>
      </x:c>
      <x:c r="H585" s="339" t="str">
        <x:v>BR-00874, BR-00875, BR-00876</x:v>
      </x:c>
      <x:c r="I585" s="339" t="str">
        <x:v>WF-292</x:v>
      </x:c>
      <x:c r="J585" s="339" t="str">
        <x:v>API-0292</x:v>
      </x:c>
      <x:c r="K585" s="339" t="str">
        <x:v>Phase 3</x:v>
      </x:c>
      <x:c r="L585" s="339" t="str">
        <x:v>Not Started</x:v>
      </x:c>
    </x:row>
    <x:row r="586">
      <x:c r="A586" s="339" t="str">
        <x:v>US-0585</x:v>
      </x:c>
      <x:c r="B586" s="339" t="str">
        <x:v>EP-025</x:v>
      </x:c>
      <x:c r="C586" s="339" t="str">
        <x:v>SCR-293</x:v>
      </x:c>
      <x:c r="D586" s="339" t="str">
        <x:v>Settings / Roles / Permissions / Audit</x:v>
      </x:c>
      <x:c r="E586" s="339" t="str">
        <x:v>Security &amp; Password Policy</x:v>
      </x:c>
      <x:c r="F586" s="339" t="str">
        <x:v>AC-02337, AC-02338, AC-02339, AC-02340</x:v>
      </x:c>
      <x:c r="G586" s="339" t="str">
        <x:v>BL-293</x:v>
      </x:c>
      <x:c r="H586" s="339" t="str">
        <x:v>BR-00877, BR-00878, BR-00879</x:v>
      </x:c>
      <x:c r="I586" s="339" t="str">
        <x:v>WF-293</x:v>
      </x:c>
      <x:c r="J586" s="339" t="str">
        <x:v>API-0293</x:v>
      </x:c>
      <x:c r="K586" s="339" t="str">
        <x:v>Phase 3</x:v>
      </x:c>
      <x:c r="L586" s="339" t="str">
        <x:v>Not Started</x:v>
      </x:c>
    </x:row>
    <x:row r="587">
      <x:c r="A587" s="339" t="str">
        <x:v>US-0586</x:v>
      </x:c>
      <x:c r="B587" s="339" t="str">
        <x:v>EP-025</x:v>
      </x:c>
      <x:c r="C587" s="339" t="str">
        <x:v>SCR-293</x:v>
      </x:c>
      <x:c r="D587" s="339" t="str">
        <x:v>Settings / Roles / Permissions / Audit</x:v>
      </x:c>
      <x:c r="E587" s="339" t="str">
        <x:v>Security &amp; Password Policy</x:v>
      </x:c>
      <x:c r="F587" s="339" t="str">
        <x:v>AC-02341, AC-02342, AC-02343, AC-02344</x:v>
      </x:c>
      <x:c r="G587" s="339" t="str">
        <x:v>BL-293</x:v>
      </x:c>
      <x:c r="H587" s="339" t="str">
        <x:v>BR-00877, BR-00878, BR-00879</x:v>
      </x:c>
      <x:c r="I587" s="339" t="str">
        <x:v>WF-293</x:v>
      </x:c>
      <x:c r="J587" s="339" t="str">
        <x:v>API-0293</x:v>
      </x:c>
      <x:c r="K587" s="339" t="str">
        <x:v>Phase 3</x:v>
      </x:c>
      <x:c r="L587" s="339" t="str">
        <x:v>Not Started</x:v>
      </x:c>
    </x:row>
    <x:row r="588">
      <x:c r="A588" s="339" t="str">
        <x:v>US-0587</x:v>
      </x:c>
      <x:c r="B588" s="339" t="str">
        <x:v>EP-025</x:v>
      </x:c>
      <x:c r="C588" s="339" t="str">
        <x:v>SCR-294</x:v>
      </x:c>
      <x:c r="D588" s="339" t="str">
        <x:v>Settings / Roles / Permissions / Audit</x:v>
      </x:c>
      <x:c r="E588" s="339" t="str">
        <x:v>Audit Logs</x:v>
      </x:c>
      <x:c r="F588" s="339" t="str">
        <x:v>AC-02345, AC-02346, AC-02347, AC-02348</x:v>
      </x:c>
      <x:c r="G588" s="339" t="str">
        <x:v>BL-294</x:v>
      </x:c>
      <x:c r="H588" s="339" t="str">
        <x:v>BR-00880, BR-00881, BR-00882</x:v>
      </x:c>
      <x:c r="I588" s="339" t="str">
        <x:v>WF-294</x:v>
      </x:c>
      <x:c r="J588" s="339" t="str">
        <x:v>API-0294</x:v>
      </x:c>
      <x:c r="K588" s="339" t="str">
        <x:v>Phase 3</x:v>
      </x:c>
      <x:c r="L588" s="339" t="str">
        <x:v>Not Started</x:v>
      </x:c>
    </x:row>
    <x:row r="589">
      <x:c r="A589" s="339" t="str">
        <x:v>US-0588</x:v>
      </x:c>
      <x:c r="B589" s="339" t="str">
        <x:v>EP-025</x:v>
      </x:c>
      <x:c r="C589" s="339" t="str">
        <x:v>SCR-294</x:v>
      </x:c>
      <x:c r="D589" s="339" t="str">
        <x:v>Settings / Roles / Permissions / Audit</x:v>
      </x:c>
      <x:c r="E589" s="339" t="str">
        <x:v>Audit Logs</x:v>
      </x:c>
      <x:c r="F589" s="339" t="str">
        <x:v>AC-02349, AC-02350, AC-02351, AC-02352</x:v>
      </x:c>
      <x:c r="G589" s="339" t="str">
        <x:v>BL-294</x:v>
      </x:c>
      <x:c r="H589" s="339" t="str">
        <x:v>BR-00880, BR-00881, BR-00882</x:v>
      </x:c>
      <x:c r="I589" s="339" t="str">
        <x:v>WF-294</x:v>
      </x:c>
      <x:c r="J589" s="339" t="str">
        <x:v>API-0294</x:v>
      </x:c>
      <x:c r="K589" s="339" t="str">
        <x:v>Phase 3</x:v>
      </x:c>
      <x:c r="L589" s="339" t="str">
        <x:v>Not Started</x:v>
      </x:c>
    </x:row>
    <x:row r="590">
      <x:c r="A590" s="339" t="str">
        <x:v>US-0589</x:v>
      </x:c>
      <x:c r="B590" s="339" t="str">
        <x:v>EP-025</x:v>
      </x:c>
      <x:c r="C590" s="339" t="str">
        <x:v>SCR-295</x:v>
      </x:c>
      <x:c r="D590" s="339" t="str">
        <x:v>Settings / Roles / Permissions / Audit</x:v>
      </x:c>
      <x:c r="E590" s="339" t="str">
        <x:v>Data Import / Export / Backup</x:v>
      </x:c>
      <x:c r="F590" s="339" t="str">
        <x:v>AC-02353, AC-02354, AC-02355, AC-02356</x:v>
      </x:c>
      <x:c r="G590" s="339" t="str">
        <x:v>BL-295</x:v>
      </x:c>
      <x:c r="H590" s="339" t="str">
        <x:v>BR-00883, BR-00884, BR-00885</x:v>
      </x:c>
      <x:c r="I590" s="339" t="str">
        <x:v>WF-295</x:v>
      </x:c>
      <x:c r="J590" s="339" t="str">
        <x:v>API-0295</x:v>
      </x:c>
      <x:c r="K590" s="339" t="str">
        <x:v>Phase 3</x:v>
      </x:c>
      <x:c r="L590" s="339" t="str">
        <x:v>Not Started</x:v>
      </x:c>
    </x:row>
    <x:row r="591">
      <x:c r="A591" s="340" t="str">
        <x:v>US-0590</x:v>
      </x:c>
      <x:c r="B591" s="340" t="str">
        <x:v>EP-025</x:v>
      </x:c>
      <x:c r="C591" s="340" t="str">
        <x:v>SCR-295</x:v>
      </x:c>
      <x:c r="D591" s="340" t="str">
        <x:v>Settings / Roles / Permissions / Audit</x:v>
      </x:c>
      <x:c r="E591" s="340" t="str">
        <x:v>Data Import / Export / Backup</x:v>
      </x:c>
      <x:c r="F591" s="340" t="str">
        <x:v>AC-02357, AC-02358, AC-02359, AC-02360</x:v>
      </x:c>
      <x:c r="G591" s="340" t="str">
        <x:v>BL-295</x:v>
      </x:c>
      <x:c r="H591" s="340" t="str">
        <x:v>BR-00883, BR-00884, BR-00885</x:v>
      </x:c>
      <x:c r="I591" s="340" t="str">
        <x:v>WF-295</x:v>
      </x:c>
      <x:c r="J591" s="340" t="str">
        <x:v>API-0295</x:v>
      </x:c>
      <x:c r="K591" s="340" t="str">
        <x:v>Phase 3</x:v>
      </x:c>
      <x:c r="L591" s="340" t="str">
        <x:v>Not Started</x:v>
      </x:c>
    </x:row>
  </x:sheetData>
  <x:conditionalFormatting sqref="L2:L591">
    <x:cfRule type="expression" dxfId="7" priority="1">
      <x:formula>L2="Done"</x:formula>
    </x:cfRule>
    <x:cfRule type="expression" dxfId="8" priority="2">
      <x:formula>L2="Blocked"</x:formula>
    </x:cfRule>
  </x:conditionalFormatting>
  <x:conditionalFormatting sqref="K2:K591">
    <x:cfRule type="expression" dxfId="12" priority="3">
      <x:formula>K2="MVP"</x:formula>
    </x:cfRule>
    <x:cfRule type="expression" dxfId="13" priority="4">
      <x:formula>K2="Phase 2"</x:formula>
    </x:cfRule>
    <x:cfRule type="expression" dxfId="14" priority="5">
      <x:formula>K2="Phase 3"</x:formula>
    </x:cfRule>
  </x:conditionalFormatting>
  <x:dataValidations count="1">
    <x:dataValidation type="list" sqref="L2:L591">
      <x:formula1>"Not Started,In Progress,Blocked,Ready for UAT,Done"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7b431b7039747a3"/>
  </x:tableParts>
</x:worksheet>
</file>

<file path=xl/worksheets/sheet20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90" hidden="0" customWidth="1"/>
  </x:cols>
  <x:sheetData>
    <x:row r="1" ht="30" customHeight="1">
      <x:c r="A1" s="338" t="str">
        <x:v>DoD ID</x:v>
      </x:c>
      <x:c r="B1" s="338" t="str">
        <x:v>Category</x:v>
      </x:c>
      <x:c r="C1" s="338" t="str">
        <x:v>Definition of Done Criterion</x:v>
      </x:c>
    </x:row>
    <x:row r="2">
      <x:c r="A2" s="339" t="str">
        <x:v>DOD-001</x:v>
      </x:c>
      <x:c r="B2" s="339" t="str">
        <x:v>Requirements</x:v>
      </x:c>
      <x:c r="C2" s="339" t="str">
        <x:v>User story has clear persona, business value, linked screen/epic and priority.</x:v>
      </x:c>
    </x:row>
    <x:row r="3">
      <x:c r="A3" s="339" t="str">
        <x:v>DOD-002</x:v>
      </x:c>
      <x:c r="B3" s="339" t="str">
        <x:v>Acceptance</x:v>
      </x:c>
      <x:c r="C3" s="339" t="str">
        <x:v>All acceptance criteria are testable and passed.</x:v>
      </x:c>
    </x:row>
    <x:row r="4">
      <x:c r="A4" s="339" t="str">
        <x:v>DOD-003</x:v>
      </x:c>
      <x:c r="B4" s="339" t="str">
        <x:v>Business Rules</x:v>
      </x:c>
      <x:c r="C4" s="339" t="str">
        <x:v>Applicable business rules and state transitions are implemented in the service/domain layer.</x:v>
      </x:c>
    </x:row>
    <x:row r="5">
      <x:c r="A5" s="339" t="str">
        <x:v>DOD-004</x:v>
      </x:c>
      <x:c r="B5" s="339" t="str">
        <x:v>Validation</x:v>
      </x:c>
      <x:c r="C5" s="339" t="str">
        <x:v>Required field, reference, duplicate and range validations are implemented with user-friendly errors.</x:v>
      </x:c>
    </x:row>
    <x:row r="6">
      <x:c r="A6" s="339" t="str">
        <x:v>DOD-005</x:v>
      </x:c>
      <x:c r="B6" s="339" t="str">
        <x:v>Security</x:v>
      </x:c>
      <x:c r="C6" s="339" t="str">
        <x:v>RBAC/data scope is enforced server-side and verified with positive/negative tests.</x:v>
      </x:c>
    </x:row>
    <x:row r="7">
      <x:c r="A7" s="339" t="str">
        <x:v>DOD-006</x:v>
      </x:c>
      <x:c r="B7" s="339" t="str">
        <x:v>Audit</x:v>
      </x:c>
      <x:c r="C7" s="339" t="str">
        <x:v>Material create/update/approve/reverse/export/security events are audited as required.</x:v>
      </x:c>
    </x:row>
    <x:row r="8">
      <x:c r="A8" s="339" t="str">
        <x:v>DOD-007</x:v>
      </x:c>
      <x:c r="B8" s="339" t="str">
        <x:v>Data Integrity</x:v>
      </x:c>
      <x:c r="C8" s="339" t="str">
        <x:v>Transactions are atomic; concurrency and idempotency requirements are satisfied where applicable.</x:v>
      </x:c>
    </x:row>
    <x:row r="9">
      <x:c r="A9" s="339" t="str">
        <x:v>DOD-008</x:v>
      </x:c>
      <x:c r="B9" s="339" t="str">
        <x:v>UI/UX</x:v>
      </x:c>
      <x:c r="C9" s="339" t="str">
        <x:v>Screen follows the shared design system, responsive behavior and accessibility requirements.</x:v>
      </x:c>
    </x:row>
    <x:row r="10">
      <x:c r="A10" s="339" t="str">
        <x:v>DOD-009</x:v>
      </x:c>
      <x:c r="B10" s="339" t="str">
        <x:v>Error Handling</x:v>
      </x:c>
      <x:c r="C10" s="339" t="str">
        <x:v>Empty, loading, validation, unauthorized and transient-error states are implemented.</x:v>
      </x:c>
    </x:row>
    <x:row r="11">
      <x:c r="A11" s="339" t="str">
        <x:v>DOD-010</x:v>
      </x:c>
      <x:c r="B11" s="339" t="str">
        <x:v>API</x:v>
      </x:c>
      <x:c r="C11" s="339" t="str">
        <x:v>API contract/schema, status codes and errors are documented and contract-tested.</x:v>
      </x:c>
    </x:row>
    <x:row r="12">
      <x:c r="A12" s="339" t="str">
        <x:v>DOD-011</x:v>
      </x:c>
      <x:c r="B12" s="339" t="str">
        <x:v>Testing</x:v>
      </x:c>
      <x:c r="C12" s="339" t="str">
        <x:v>Unit, integration and end-to-end coverage exists for critical happy/negative paths.</x:v>
      </x:c>
    </x:row>
    <x:row r="13">
      <x:c r="A13" s="339" t="str">
        <x:v>DOD-012</x:v>
      </x:c>
      <x:c r="B13" s="339" t="str">
        <x:v>Performance</x:v>
      </x:c>
      <x:c r="C13" s="339" t="str">
        <x:v>Screen/API meets agreed performance target with production-like data.</x:v>
      </x:c>
    </x:row>
    <x:row r="14">
      <x:c r="A14" s="339" t="str">
        <x:v>DOD-013</x:v>
      </x:c>
      <x:c r="B14" s="339" t="str">
        <x:v>Notifications</x:v>
      </x:c>
      <x:c r="C14" s="339" t="str">
        <x:v>Configured notifications are tested including failure/retry and preference behavior.</x:v>
      </x:c>
    </x:row>
    <x:row r="15">
      <x:c r="A15" s="339" t="str">
        <x:v>DOD-014</x:v>
      </x:c>
      <x:c r="B15" s="339" t="str">
        <x:v>Privacy</x:v>
      </x:c>
      <x:c r="C15" s="339" t="str">
        <x:v>Sensitive fields/files are masked/protected and retention requirements are applied.</x:v>
      </x:c>
    </x:row>
    <x:row r="16">
      <x:c r="A16" s="339" t="str">
        <x:v>DOD-015</x:v>
      </x:c>
      <x:c r="B16" s="339" t="str">
        <x:v>Documentation</x:v>
      </x:c>
      <x:c r="C16" s="339" t="str">
        <x:v>Business rule/operational notes and support runbook impacts are updated.</x:v>
      </x:c>
    </x:row>
    <x:row r="17">
      <x:c r="A17" s="339" t="str">
        <x:v>DOD-016</x:v>
      </x:c>
      <x:c r="B17" s="339" t="str">
        <x:v>Observability</x:v>
      </x:c>
      <x:c r="C17" s="339" t="str">
        <x:v>Relevant logs/metrics/traces and alert conditions are available.</x:v>
      </x:c>
    </x:row>
    <x:row r="18">
      <x:c r="A18" s="339" t="str">
        <x:v>DOD-017</x:v>
      </x:c>
      <x:c r="B18" s="339" t="str">
        <x:v>UAT</x:v>
      </x:c>
      <x:c r="C18" s="339" t="str">
        <x:v>Authorized business users complete UAT for the story/feature.</x:v>
      </x:c>
    </x:row>
    <x:row r="19">
      <x:c r="A19" s="340" t="str">
        <x:v>DOD-018</x:v>
      </x:c>
      <x:c r="B19" s="340" t="str">
        <x:v>Release</x:v>
      </x:c>
      <x:c r="C19" s="340" t="str">
        <x:v>Migration/configuration/rollback requirements are documented and release-ready.</x:v>
      </x:c>
    </x:row>
  </x:sheetData>
  <x:pageMargins left="0.7" right="0.7" top="0.75" bottom="0.75" header="0.3" footer="0.3"/>
  <x:tableParts count="1">
    <x:tablePart xmlns:r="http://schemas.openxmlformats.org/officeDocument/2006/relationships" r:id="Reb31a17c3e9c4fa5"/>
  </x:tableParts>
</x:worksheet>
</file>

<file path=xl/worksheets/sheet2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6" hidden="0" customWidth="1"/>
    <x:col min="3" max="3" width="12" hidden="0" customWidth="1"/>
    <x:col min="4" max="4" width="16" hidden="0" customWidth="1"/>
    <x:col min="5" max="5" width="20" hidden="0" customWidth="1"/>
    <x:col min="6" max="6" width="16" hidden="0" customWidth="1"/>
    <x:col min="7" max="7" width="20" hidden="0" customWidth="1"/>
    <x:col min="8" max="8" width="16" hidden="0" customWidth="1"/>
  </x:cols>
  <x:sheetData>
    <x:row r="1">
      <x:c r="A1" s="344" t="str">
        <x:v>School Management ERP — Complete Product Requirements &amp; Agile Backlog</x:v>
      </x:c>
      <x:c r="B1" s="344"/>
      <x:c r="C1" s="344"/>
      <x:c r="D1" s="344"/>
      <x:c r="E1" s="344"/>
      <x:c r="F1" s="344"/>
      <x:c r="G1" s="344"/>
      <x:c r="H1" s="344"/>
    </x:row>
    <x:row r="2">
      <x:c r="A2" s="344"/>
      <x:c r="B2" s="344"/>
      <x:c r="C2" s="344"/>
      <x:c r="D2" s="344"/>
      <x:c r="E2" s="344"/>
      <x:c r="F2" s="344"/>
      <x:c r="G2" s="344"/>
      <x:c r="H2" s="344"/>
    </x:row>
    <x:row r="3" ht="34" customHeight="1">
      <x:c r="A3" s="348" t="str">
        <x:v>Traceable specification based on the 295-screen ERP blueprint: epics, user stories, acceptance criteria, business logic, rules, workflows, RBAC, validations, exceptions, APIs, data entities and non-functional requirements.</x:v>
      </x:c>
      <x:c r="B3" s="348"/>
      <x:c r="C3" s="348"/>
      <x:c r="D3" s="348"/>
      <x:c r="E3" s="348"/>
      <x:c r="F3" s="348"/>
      <x:c r="G3" s="348"/>
      <x:c r="H3" s="348"/>
    </x:row>
    <x:row r="5">
      <x:c r="A5" s="353" t="str">
        <x:v>SCREENS</x:v>
      </x:c>
      <x:c r="B5" s="353"/>
      <x:c r="C5" s="360" t="str">
        <x:v>EPICS</x:v>
      </x:c>
      <x:c r="D5" s="360"/>
      <x:c r="E5" s="367" t="str">
        <x:v>USER STORIES</x:v>
      </x:c>
      <x:c r="F5" s="367"/>
      <x:c r="G5" s="374" t="str">
        <x:v>ACCEPTANCE CRITERIA</x:v>
      </x:c>
      <x:c r="H5" s="374"/>
    </x:row>
    <x:row r="6">
      <x:c r="A6" s="354" t="n">
        <x:f>COUNTA('Master Screens'!A2:A296)</x:f>
        <x:v>295</x:v>
      </x:c>
      <x:c r="B6" s="354"/>
      <x:c r="C6" s="361" t="n">
        <x:f>COUNTA(Epics!A2:A26)</x:f>
        <x:v>25</x:v>
      </x:c>
      <x:c r="D6" s="361"/>
      <x:c r="E6" s="368" t="n">
        <x:f>COUNTA('User Stories'!A2:A591)</x:f>
        <x:v>590</x:v>
      </x:c>
      <x:c r="F6" s="368"/>
      <x:c r="G6" s="375" t="n">
        <x:f>COUNTA('Acceptance Criteria'!A2:A2361)</x:f>
        <x:v>2360</x:v>
      </x:c>
      <x:c r="H6" s="375"/>
    </x:row>
    <x:row r="7">
      <x:c r="A7" s="354"/>
      <x:c r="B7" s="354"/>
      <x:c r="C7" s="361"/>
      <x:c r="D7" s="361"/>
      <x:c r="E7" s="368"/>
      <x:c r="F7" s="368"/>
      <x:c r="G7" s="375"/>
      <x:c r="H7" s="375"/>
    </x:row>
    <x:row r="10">
      <x:c r="A10" s="379" t="str">
        <x:v>Artifact</x:v>
      </x:c>
      <x:c r="B10" s="379" t="str">
        <x:v>Count</x:v>
      </x:c>
      <x:c r="C10" s="379" t="str">
        <x:v>Primary Purpose</x:v>
      </x:c>
      <x:c r="E10" s="377" t="str">
        <x:v>Release</x:v>
      </x:c>
      <x:c r="F10" s="377" t="str">
        <x:v>Stories</x:v>
      </x:c>
      <x:c r="G10" s="377" t="str">
        <x:v>Story Points</x:v>
      </x:c>
    </x:row>
    <x:row r="11">
      <x:c r="A11" s="380" t="str">
        <x:v>Screens</x:v>
      </x:c>
      <x:c r="B11" s="380" t="n">
        <x:v>295</x:v>
      </x:c>
      <x:c r="C11" s="380" t="str">
        <x:v>UI/functional scope</x:v>
      </x:c>
      <x:c r="E11" s="382" t="str">
        <x:v>MVP</x:v>
      </x:c>
      <x:c r="F11" t="n">
        <x:f>COUNTIF('User Stories'!I2:I591,"MVP")</x:f>
        <x:v>200</x:v>
      </x:c>
      <x:c r="G11" t="n">
        <x:f>SUMIF('User Stories'!I2:I591,"MVP",'User Stories'!L2:L591)</x:f>
        <x:v>1172</x:v>
      </x:c>
    </x:row>
    <x:row r="12">
      <x:c r="A12" s="380" t="str">
        <x:v>Epics</x:v>
      </x:c>
      <x:c r="B12" s="380" t="n">
        <x:v>25</x:v>
      </x:c>
      <x:c r="C12" s="380" t="str">
        <x:v>Module-level business outcomes</x:v>
      </x:c>
      <x:c r="E12" s="383" t="str">
        <x:v>Phase 2</x:v>
      </x:c>
      <x:c r="F12" t="n">
        <x:f>COUNTIF('User Stories'!I2:I591,"Phase 2")</x:f>
        <x:v>184</x:v>
      </x:c>
      <x:c r="G12" t="n">
        <x:f>SUMIF('User Stories'!I2:I591,"Phase 2",'User Stories'!L2:L591)</x:f>
        <x:v>1204</x:v>
      </x:c>
    </x:row>
    <x:row r="13">
      <x:c r="A13" s="380" t="str">
        <x:v>User Stories</x:v>
      </x:c>
      <x:c r="B13" s="380" t="n">
        <x:v>590</x:v>
      </x:c>
      <x:c r="C13" s="380" t="str">
        <x:v>Development backlog</x:v>
      </x:c>
      <x:c r="E13" s="384" t="str">
        <x:v>Phase 3</x:v>
      </x:c>
      <x:c r="F13" t="n">
        <x:f>COUNTIF('User Stories'!I2:I591,"Phase 3")</x:f>
        <x:v>206</x:v>
      </x:c>
      <x:c r="G13" t="n">
        <x:f>SUMIF('User Stories'!I2:I591,"Phase 3",'User Stories'!L2:L591)</x:f>
        <x:v>1514</x:v>
      </x:c>
    </x:row>
    <x:row r="14">
      <x:c r="A14" s="380" t="str">
        <x:v>Acceptance Criteria</x:v>
      </x:c>
      <x:c r="B14" s="380" t="n">
        <x:v>2360</x:v>
      </x:c>
      <x:c r="C14" s="380" t="str">
        <x:v>Testable completion conditions</x:v>
      </x:c>
    </x:row>
    <x:row r="15">
      <x:c r="A15" s="380" t="str">
        <x:v>Business Logic</x:v>
      </x:c>
      <x:c r="B15" s="380" t="n">
        <x:v>295</x:v>
      </x:c>
      <x:c r="C15" s="380" t="str">
        <x:v>Preconditions, processing, state and side effects</x:v>
      </x:c>
    </x:row>
    <x:row r="16">
      <x:c r="A16" s="380" t="str">
        <x:v>Business Rules</x:v>
      </x:c>
      <x:c r="B16" s="380" t="n">
        <x:v>1010</x:v>
      </x:c>
      <x:c r="C16" s="380" t="str">
        <x:v>Domain constraints and enforcement</x:v>
      </x:c>
    </x:row>
    <x:row r="17">
      <x:c r="A17" s="380" t="str">
        <x:v>Workflows</x:v>
      </x:c>
      <x:c r="B17" s="380" t="n">
        <x:v>295</x:v>
      </x:c>
      <x:c r="C17" s="380" t="str">
        <x:v>States, transitions, approvals</x:v>
      </x:c>
    </x:row>
    <x:row r="18">
      <x:c r="A18" s="380" t="str">
        <x:v>Validations</x:v>
      </x:c>
      <x:c r="B18" s="380" t="n">
        <x:v>676</x:v>
      </x:c>
      <x:c r="C18" s="380" t="str">
        <x:v>Field/reference/duplicate/range checks</x:v>
      </x:c>
    </x:row>
    <x:row r="19">
      <x:c r="A19" s="380" t="str">
        <x:v>RBAC Records</x:v>
      </x:c>
      <x:c r="B19" s="380" t="n">
        <x:v>295</x:v>
      </x:c>
      <x:c r="C19" s="380" t="str">
        <x:v>Role, action and data-scope control</x:v>
      </x:c>
    </x:row>
    <x:row r="20">
      <x:c r="A20" s="380" t="str">
        <x:v>Notifications</x:v>
      </x:c>
      <x:c r="B20" s="380" t="n">
        <x:v>96</x:v>
      </x:c>
      <x:c r="C20" s="380" t="str">
        <x:v>Event/recipient/channel behavior</x:v>
      </x:c>
    </x:row>
    <x:row r="21">
      <x:c r="A21" s="380" t="str">
        <x:v>Calculations</x:v>
      </x:c>
      <x:c r="B21" s="380" t="n">
        <x:v>15</x:v>
      </x:c>
      <x:c r="C21" s="380" t="str">
        <x:v>Canonical derived metrics/formulas</x:v>
      </x:c>
    </x:row>
    <x:row r="22">
      <x:c r="A22" s="380" t="str">
        <x:v>Exceptions</x:v>
      </x:c>
      <x:c r="B22" s="380" t="n">
        <x:v>778</x:v>
      </x:c>
      <x:c r="C22" s="380" t="str">
        <x:v>Edge cases and recovery behavior</x:v>
      </x:c>
    </x:row>
    <x:row r="23">
      <x:c r="A23" s="380" t="str">
        <x:v>API / Services</x:v>
      </x:c>
      <x:c r="B23" s="380" t="n">
        <x:v>295</x:v>
      </x:c>
      <x:c r="C23" s="380" t="str">
        <x:v>Suggested service/API responsibilities</x:v>
      </x:c>
    </x:row>
    <x:row r="24">
      <x:c r="A24" s="380" t="str">
        <x:v>Data Entities</x:v>
      </x:c>
      <x:c r="B24" s="380" t="n">
        <x:v>113</x:v>
      </x:c>
      <x:c r="C24" s="380" t="str">
        <x:v>Core domain data model</x:v>
      </x:c>
    </x:row>
    <x:row r="25">
      <x:c r="A25" s="380" t="str">
        <x:v>NFRs</x:v>
      </x:c>
      <x:c r="B25" s="380" t="n">
        <x:v>35</x:v>
      </x:c>
      <x:c r="C25" s="380" t="str">
        <x:v>Security/performance/availability/quality targets</x:v>
      </x:c>
    </x:row>
    <x:row r="26">
      <x:c r="A26" s="381" t="str">
        <x:v>Traceability Links</x:v>
      </x:c>
      <x:c r="B26" s="381" t="n">
        <x:v>590</x:v>
      </x:c>
      <x:c r="C26" s="381" t="str">
        <x:v>Story-to-rule/workflow/API mapping</x:v>
      </x:c>
    </x:row>
    <x:row r="30">
      <x:c r="A30" s="388" t="str">
        <x:v>Epic ID</x:v>
      </x:c>
      <x:c r="B30" s="388" t="str">
        <x:v>Module</x:v>
      </x:c>
      <x:c r="C30" s="388" t="str">
        <x:v>Screens</x:v>
      </x:c>
      <x:c r="D30" s="388" t="str">
        <x:v>User Stories</x:v>
      </x:c>
      <x:c r="E30" s="388" t="str">
        <x:v>Acceptance Criteria</x:v>
      </x:c>
      <x:c r="F30" s="388" t="str">
        <x:v>Business Rules</x:v>
      </x:c>
      <x:c r="G30" s="388" t="str">
        <x:v>Release Scope</x:v>
      </x:c>
    </x:row>
    <x:row r="31">
      <x:c r="A31" s="389" t="str">
        <x:v>EP-001</x:v>
      </x:c>
      <x:c r="B31" s="380" t="str">
        <x:v>Public Website &amp; Authentication</x:v>
      </x:c>
      <x:c r="C31" s="380" t="n">
        <x:f>COUNTIF('Master Screens'!B2:B296,B31)</x:f>
        <x:v>8</x:v>
      </x:c>
      <x:c r="D31" s="380" t="n">
        <x:f>COUNTIF('User Stories'!D2:D591,B31)</x:f>
        <x:v>16</x:v>
      </x:c>
      <x:c r="E31" s="380" t="n">
        <x:f>COUNTIF('Acceptance Criteria'!D2:D2361,B31)</x:f>
        <x:v>64</x:v>
      </x:c>
      <x:c r="F31" s="380" t="n">
        <x:f>COUNTIF('Business Rules'!D2:D1011,B31)</x:f>
        <x:v>29</x:v>
      </x:c>
      <x:c r="G31" s="380" t="str">
        <x:v>MVP, Phase 2</x:v>
      </x:c>
    </x:row>
    <x:row r="32">
      <x:c r="A32" s="389" t="str">
        <x:v>EP-002</x:v>
      </x:c>
      <x:c r="B32" s="380" t="str">
        <x:v>Super Admin / SaaS Administration</x:v>
      </x:c>
      <x:c r="C32" s="380" t="n">
        <x:f>COUNTIF('Master Screens'!B2:B296,B32)</x:f>
        <x:v>12</x:v>
      </x:c>
      <x:c r="D32" s="380" t="n">
        <x:f>COUNTIF('User Stories'!D2:D591,B32)</x:f>
        <x:v>24</x:v>
      </x:c>
      <x:c r="E32" s="380" t="n">
        <x:f>COUNTIF('Acceptance Criteria'!D2:D2361,B32)</x:f>
        <x:v>96</x:v>
      </x:c>
      <x:c r="F32" s="380" t="n">
        <x:f>COUNTIF('Business Rules'!D2:D1011,B32)</x:f>
        <x:v>41</x:v>
      </x:c>
      <x:c r="G32" s="380" t="str">
        <x:v>MVP, Phase 2, Phase 3</x:v>
      </x:c>
    </x:row>
    <x:row r="33">
      <x:c r="A33" s="389" t="str">
        <x:v>EP-003</x:v>
      </x:c>
      <x:c r="B33" s="380" t="str">
        <x:v>Organization / School / Branch Setup</x:v>
      </x:c>
      <x:c r="C33" s="380" t="n">
        <x:f>COUNTIF('Master Screens'!B2:B296,B33)</x:f>
        <x:v>12</x:v>
      </x:c>
      <x:c r="D33" s="380" t="n">
        <x:f>COUNTIF('User Stories'!D2:D591,B33)</x:f>
        <x:v>24</x:v>
      </x:c>
      <x:c r="E33" s="380" t="n">
        <x:f>COUNTIF('Acceptance Criteria'!D2:D2361,B33)</x:f>
        <x:v>96</x:v>
      </x:c>
      <x:c r="F33" s="380" t="n">
        <x:f>COUNTIF('Business Rules'!D2:D1011,B33)</x:f>
        <x:v>41</x:v>
      </x:c>
      <x:c r="G33" s="380" t="str">
        <x:v>MVP, Phase 2, Phase 3</x:v>
      </x:c>
    </x:row>
    <x:row r="34">
      <x:c r="A34" s="389" t="str">
        <x:v>EP-004</x:v>
      </x:c>
      <x:c r="B34" s="380" t="str">
        <x:v>Role Dashboards</x:v>
      </x:c>
      <x:c r="C34" s="380" t="n">
        <x:f>COUNTIF('Master Screens'!B2:B296,B34)</x:f>
        <x:v>10</x:v>
      </x:c>
      <x:c r="D34" s="380" t="n">
        <x:f>COUNTIF('User Stories'!D2:D591,B34)</x:f>
        <x:v>20</x:v>
      </x:c>
      <x:c r="E34" s="380" t="n">
        <x:f>COUNTIF('Acceptance Criteria'!D2:D2361,B34)</x:f>
        <x:v>80</x:v>
      </x:c>
      <x:c r="F34" s="380" t="n">
        <x:f>COUNTIF('Business Rules'!D2:D1011,B34)</x:f>
        <x:v>35</x:v>
      </x:c>
      <x:c r="G34" s="380" t="str">
        <x:v>MVP, Phase 2, Phase 3</x:v>
      </x:c>
    </x:row>
    <x:row r="35">
      <x:c r="A35" s="389" t="str">
        <x:v>EP-005</x:v>
      </x:c>
      <x:c r="B35" s="380" t="str">
        <x:v>Admissions &amp; Enquiries</x:v>
      </x:c>
      <x:c r="C35" s="380" t="n">
        <x:f>COUNTIF('Master Screens'!B2:B296,B35)</x:f>
        <x:v>12</x:v>
      </x:c>
      <x:c r="D35" s="380" t="n">
        <x:f>COUNTIF('User Stories'!D2:D591,B35)</x:f>
        <x:v>24</x:v>
      </x:c>
      <x:c r="E35" s="380" t="n">
        <x:f>COUNTIF('Acceptance Criteria'!D2:D2361,B35)</x:f>
        <x:v>96</x:v>
      </x:c>
      <x:c r="F35" s="380" t="n">
        <x:f>COUNTIF('Business Rules'!D2:D1011,B35)</x:f>
        <x:v>41</x:v>
      </x:c>
      <x:c r="G35" s="380" t="str">
        <x:v>MVP, Phase 2, Phase 3</x:v>
      </x:c>
    </x:row>
    <x:row r="36">
      <x:c r="A36" s="389" t="str">
        <x:v>EP-006</x:v>
      </x:c>
      <x:c r="B36" s="380" t="str">
        <x:v>Students</x:v>
      </x:c>
      <x:c r="C36" s="380" t="n">
        <x:f>COUNTIF('Master Screens'!B2:B296,B36)</x:f>
        <x:v>16</x:v>
      </x:c>
      <x:c r="D36" s="380" t="n">
        <x:f>COUNTIF('User Stories'!D2:D591,B36)</x:f>
        <x:v>32</x:v>
      </x:c>
      <x:c r="E36" s="380" t="n">
        <x:f>COUNTIF('Acceptance Criteria'!D2:D2361,B36)</x:f>
        <x:v>128</x:v>
      </x:c>
      <x:c r="F36" s="380" t="n">
        <x:f>COUNTIF('Business Rules'!D2:D1011,B36)</x:f>
        <x:v>53</x:v>
      </x:c>
      <x:c r="G36" s="380" t="str">
        <x:v>MVP, Phase 2, Phase 3</x:v>
      </x:c>
    </x:row>
    <x:row r="37">
      <x:c r="A37" s="389" t="str">
        <x:v>EP-007</x:v>
      </x:c>
      <x:c r="B37" s="380" t="str">
        <x:v>Parents &amp; Guardians</x:v>
      </x:c>
      <x:c r="C37" s="380" t="n">
        <x:f>COUNTIF('Master Screens'!B2:B296,B37)</x:f>
        <x:v>9</x:v>
      </x:c>
      <x:c r="D37" s="380" t="n">
        <x:f>COUNTIF('User Stories'!D2:D591,B37)</x:f>
        <x:v>18</x:v>
      </x:c>
      <x:c r="E37" s="380" t="n">
        <x:f>COUNTIF('Acceptance Criteria'!D2:D2361,B37)</x:f>
        <x:v>72</x:v>
      </x:c>
      <x:c r="F37" s="380" t="n">
        <x:f>COUNTIF('Business Rules'!D2:D1011,B37)</x:f>
        <x:v>32</x:v>
      </x:c>
      <x:c r="G37" s="380" t="str">
        <x:v>MVP, Phase 2, Phase 3</x:v>
      </x:c>
    </x:row>
    <x:row r="38">
      <x:c r="A38" s="389" t="str">
        <x:v>EP-008</x:v>
      </x:c>
      <x:c r="B38" s="380" t="str">
        <x:v>Teachers &amp; Staff</x:v>
      </x:c>
      <x:c r="C38" s="380" t="n">
        <x:f>COUNTIF('Master Screens'!B2:B296,B38)</x:f>
        <x:v>12</x:v>
      </x:c>
      <x:c r="D38" s="380" t="n">
        <x:f>COUNTIF('User Stories'!D2:D591,B38)</x:f>
        <x:v>24</x:v>
      </x:c>
      <x:c r="E38" s="380" t="n">
        <x:f>COUNTIF('Acceptance Criteria'!D2:D2361,B38)</x:f>
        <x:v>96</x:v>
      </x:c>
      <x:c r="F38" s="380" t="n">
        <x:f>COUNTIF('Business Rules'!D2:D1011,B38)</x:f>
        <x:v>41</x:v>
      </x:c>
      <x:c r="G38" s="380" t="str">
        <x:v>MVP, Phase 2, Phase 3</x:v>
      </x:c>
    </x:row>
    <x:row r="39">
      <x:c r="A39" s="389" t="str">
        <x:v>EP-009</x:v>
      </x:c>
      <x:c r="B39" s="380" t="str">
        <x:v>Academics &amp; Curriculum</x:v>
      </x:c>
      <x:c r="C39" s="380" t="n">
        <x:f>COUNTIF('Master Screens'!B2:B296,B39)</x:f>
        <x:v>18</x:v>
      </x:c>
      <x:c r="D39" s="380" t="n">
        <x:f>COUNTIF('User Stories'!D2:D591,B39)</x:f>
        <x:v>36</x:v>
      </x:c>
      <x:c r="E39" s="380" t="n">
        <x:f>COUNTIF('Acceptance Criteria'!D2:D2361,B39)</x:f>
        <x:v>144</x:v>
      </x:c>
      <x:c r="F39" s="380" t="n">
        <x:f>COUNTIF('Business Rules'!D2:D1011,B39)</x:f>
        <x:v>59</x:v>
      </x:c>
      <x:c r="G39" s="380" t="str">
        <x:v>MVP, Phase 2, Phase 3</x:v>
      </x:c>
    </x:row>
    <x:row r="40">
      <x:c r="A40" s="389" t="str">
        <x:v>EP-010</x:v>
      </x:c>
      <x:c r="B40" s="380" t="str">
        <x:v>Student Attendance</x:v>
      </x:c>
      <x:c r="C40" s="380" t="n">
        <x:f>COUNTIF('Master Screens'!B2:B296,B40)</x:f>
        <x:v>10</x:v>
      </x:c>
      <x:c r="D40" s="380" t="n">
        <x:f>COUNTIF('User Stories'!D2:D591,B40)</x:f>
        <x:v>20</x:v>
      </x:c>
      <x:c r="E40" s="380" t="n">
        <x:f>COUNTIF('Acceptance Criteria'!D2:D2361,B40)</x:f>
        <x:v>80</x:v>
      </x:c>
      <x:c r="F40" s="380" t="n">
        <x:f>COUNTIF('Business Rules'!D2:D1011,B40)</x:f>
        <x:v>35</x:v>
      </x:c>
      <x:c r="G40" s="380" t="str">
        <x:v>MVP, Phase 2, Phase 3</x:v>
      </x:c>
    </x:row>
    <x:row r="41">
      <x:c r="A41" s="389" t="str">
        <x:v>EP-011</x:v>
      </x:c>
      <x:c r="B41" s="380" t="str">
        <x:v>Timetable &amp; Substitution</x:v>
      </x:c>
      <x:c r="C41" s="380" t="n">
        <x:f>COUNTIF('Master Screens'!B2:B296,B41)</x:f>
        <x:v>8</x:v>
      </x:c>
      <x:c r="D41" s="380" t="n">
        <x:f>COUNTIF('User Stories'!D2:D591,B41)</x:f>
        <x:v>16</x:v>
      </x:c>
      <x:c r="E41" s="380" t="n">
        <x:f>COUNTIF('Acceptance Criteria'!D2:D2361,B41)</x:f>
        <x:v>64</x:v>
      </x:c>
      <x:c r="F41" s="380" t="n">
        <x:f>COUNTIF('Business Rules'!D2:D1011,B41)</x:f>
        <x:v>29</x:v>
      </x:c>
      <x:c r="G41" s="380" t="str">
        <x:v>MVP, Phase 2, Phase 3</x:v>
      </x:c>
    </x:row>
    <x:row r="42">
      <x:c r="A42" s="389" t="str">
        <x:v>EP-012</x:v>
      </x:c>
      <x:c r="B42" s="380" t="str">
        <x:v>Homework &amp; Assignments</x:v>
      </x:c>
      <x:c r="C42" s="380" t="n">
        <x:f>COUNTIF('Master Screens'!B2:B296,B42)</x:f>
        <x:v>10</x:v>
      </x:c>
      <x:c r="D42" s="380" t="n">
        <x:f>COUNTIF('User Stories'!D2:D591,B42)</x:f>
        <x:v>20</x:v>
      </x:c>
      <x:c r="E42" s="380" t="n">
        <x:f>COUNTIF('Acceptance Criteria'!D2:D2361,B42)</x:f>
        <x:v>80</x:v>
      </x:c>
      <x:c r="F42" s="380" t="n">
        <x:f>COUNTIF('Business Rules'!D2:D1011,B42)</x:f>
        <x:v>35</x:v>
      </x:c>
      <x:c r="G42" s="380" t="str">
        <x:v>MVP, Phase 2, Phase 3</x:v>
      </x:c>
    </x:row>
    <x:row r="43">
      <x:c r="A43" s="389" t="str">
        <x:v>EP-013</x:v>
      </x:c>
      <x:c r="B43" s="380" t="str">
        <x:v>Examinations / Marks / Results</x:v>
      </x:c>
      <x:c r="C43" s="380" t="n">
        <x:f>COUNTIF('Master Screens'!B2:B296,B43)</x:f>
        <x:v>16</x:v>
      </x:c>
      <x:c r="D43" s="380" t="n">
        <x:f>COUNTIF('User Stories'!D2:D591,B43)</x:f>
        <x:v>32</x:v>
      </x:c>
      <x:c r="E43" s="380" t="n">
        <x:f>COUNTIF('Acceptance Criteria'!D2:D2361,B43)</x:f>
        <x:v>128</x:v>
      </x:c>
      <x:c r="F43" s="380" t="n">
        <x:f>COUNTIF('Business Rules'!D2:D1011,B43)</x:f>
        <x:v>53</x:v>
      </x:c>
      <x:c r="G43" s="380" t="str">
        <x:v>MVP, Phase 2, Phase 3</x:v>
      </x:c>
    </x:row>
    <x:row r="44">
      <x:c r="A44" s="389" t="str">
        <x:v>EP-014</x:v>
      </x:c>
      <x:c r="B44" s="380" t="str">
        <x:v>Fees &amp; Finance</x:v>
      </x:c>
      <x:c r="C44" s="380" t="n">
        <x:f>COUNTIF('Master Screens'!B2:B296,B44)</x:f>
        <x:v>18</x:v>
      </x:c>
      <x:c r="D44" s="380" t="n">
        <x:f>COUNTIF('User Stories'!D2:D591,B44)</x:f>
        <x:v>36</x:v>
      </x:c>
      <x:c r="E44" s="380" t="n">
        <x:f>COUNTIF('Acceptance Criteria'!D2:D2361,B44)</x:f>
        <x:v>144</x:v>
      </x:c>
      <x:c r="F44" s="380" t="n">
        <x:f>COUNTIF('Business Rules'!D2:D1011,B44)</x:f>
        <x:v>59</x:v>
      </x:c>
      <x:c r="G44" s="380" t="str">
        <x:v>MVP, Phase 2, Phase 3</x:v>
      </x:c>
    </x:row>
    <x:row r="45">
      <x:c r="A45" s="389" t="str">
        <x:v>EP-015</x:v>
      </x:c>
      <x:c r="B45" s="380" t="str">
        <x:v>HR / Leave / Payroll</x:v>
      </x:c>
      <x:c r="C45" s="380" t="n">
        <x:f>COUNTIF('Master Screens'!B2:B296,B45)</x:f>
        <x:v>14</x:v>
      </x:c>
      <x:c r="D45" s="380" t="n">
        <x:f>COUNTIF('User Stories'!D2:D591,B45)</x:f>
        <x:v>28</x:v>
      </x:c>
      <x:c r="E45" s="380" t="n">
        <x:f>COUNTIF('Acceptance Criteria'!D2:D2361,B45)</x:f>
        <x:v>112</x:v>
      </x:c>
      <x:c r="F45" s="380" t="n">
        <x:f>COUNTIF('Business Rules'!D2:D1011,B45)</x:f>
        <x:v>47</x:v>
      </x:c>
      <x:c r="G45" s="380" t="str">
        <x:v>Phase 2, Phase 3</x:v>
      </x:c>
    </x:row>
    <x:row r="46">
      <x:c r="A46" s="389" t="str">
        <x:v>EP-016</x:v>
      </x:c>
      <x:c r="B46" s="380" t="str">
        <x:v>Transport / Bus / GPS</x:v>
      </x:c>
      <x:c r="C46" s="380" t="n">
        <x:f>COUNTIF('Master Screens'!B2:B296,B46)</x:f>
        <x:v>12</x:v>
      </x:c>
      <x:c r="D46" s="380" t="n">
        <x:f>COUNTIF('User Stories'!D2:D591,B46)</x:f>
        <x:v>24</x:v>
      </x:c>
      <x:c r="E46" s="380" t="n">
        <x:f>COUNTIF('Acceptance Criteria'!D2:D2361,B46)</x:f>
        <x:v>96</x:v>
      </x:c>
      <x:c r="F46" s="380" t="n">
        <x:f>COUNTIF('Business Rules'!D2:D1011,B46)</x:f>
        <x:v>41</x:v>
      </x:c>
      <x:c r="G46" s="380" t="str">
        <x:v>Phase 2, Phase 3</x:v>
      </x:c>
    </x:row>
    <x:row r="47">
      <x:c r="A47" s="389" t="str">
        <x:v>EP-017</x:v>
      </x:c>
      <x:c r="B47" s="380" t="str">
        <x:v>Library</x:v>
      </x:c>
      <x:c r="C47" s="380" t="n">
        <x:f>COUNTIF('Master Screens'!B2:B296,B47)</x:f>
        <x:v>10</x:v>
      </x:c>
      <x:c r="D47" s="380" t="n">
        <x:f>COUNTIF('User Stories'!D2:D591,B47)</x:f>
        <x:v>20</x:v>
      </x:c>
      <x:c r="E47" s="380" t="n">
        <x:f>COUNTIF('Acceptance Criteria'!D2:D2361,B47)</x:f>
        <x:v>80</x:v>
      </x:c>
      <x:c r="F47" s="380" t="n">
        <x:f>COUNTIF('Business Rules'!D2:D1011,B47)</x:f>
        <x:v>35</x:v>
      </x:c>
      <x:c r="G47" s="380" t="str">
        <x:v>Phase 2, Phase 3</x:v>
      </x:c>
    </x:row>
    <x:row r="48">
      <x:c r="A48" s="389" t="str">
        <x:v>EP-018</x:v>
      </x:c>
      <x:c r="B48" s="380" t="str">
        <x:v>Hostel</x:v>
      </x:c>
      <x:c r="C48" s="380" t="n">
        <x:f>COUNTIF('Master Screens'!B2:B296,B48)</x:f>
        <x:v>8</x:v>
      </x:c>
      <x:c r="D48" s="380" t="n">
        <x:f>COUNTIF('User Stories'!D2:D591,B48)</x:f>
        <x:v>16</x:v>
      </x:c>
      <x:c r="E48" s="380" t="n">
        <x:f>COUNTIF('Acceptance Criteria'!D2:D2361,B48)</x:f>
        <x:v>64</x:v>
      </x:c>
      <x:c r="F48" s="380" t="n">
        <x:f>COUNTIF('Business Rules'!D2:D1011,B48)</x:f>
        <x:v>29</x:v>
      </x:c>
      <x:c r="G48" s="380" t="str">
        <x:v>Phase 2, Phase 3</x:v>
      </x:c>
    </x:row>
    <x:row r="49">
      <x:c r="A49" s="389" t="str">
        <x:v>EP-019</x:v>
      </x:c>
      <x:c r="B49" s="380" t="str">
        <x:v>Health / Counselling / Discipline</x:v>
      </x:c>
      <x:c r="C49" s="380" t="n">
        <x:f>COUNTIF('Master Screens'!B2:B296,B49)</x:f>
        <x:v>10</x:v>
      </x:c>
      <x:c r="D49" s="380" t="n">
        <x:f>COUNTIF('User Stories'!D2:D591,B49)</x:f>
        <x:v>20</x:v>
      </x:c>
      <x:c r="E49" s="380" t="n">
        <x:f>COUNTIF('Acceptance Criteria'!D2:D2361,B49)</x:f>
        <x:v>80</x:v>
      </x:c>
      <x:c r="F49" s="380" t="n">
        <x:f>COUNTIF('Business Rules'!D2:D1011,B49)</x:f>
        <x:v>35</x:v>
      </x:c>
      <x:c r="G49" s="380" t="str">
        <x:v>Phase 2, Phase 3</x:v>
      </x:c>
    </x:row>
    <x:row r="50">
      <x:c r="A50" s="389" t="str">
        <x:v>EP-020</x:v>
      </x:c>
      <x:c r="B50" s="380" t="str">
        <x:v>Visitor / Gate / Security</x:v>
      </x:c>
      <x:c r="C50" s="380" t="n">
        <x:f>COUNTIF('Master Screens'!B2:B296,B50)</x:f>
        <x:v>8</x:v>
      </x:c>
      <x:c r="D50" s="380" t="n">
        <x:f>COUNTIF('User Stories'!D2:D591,B50)</x:f>
        <x:v>16</x:v>
      </x:c>
      <x:c r="E50" s="380" t="n">
        <x:f>COUNTIF('Acceptance Criteria'!D2:D2361,B50)</x:f>
        <x:v>64</x:v>
      </x:c>
      <x:c r="F50" s="380" t="n">
        <x:f>COUNTIF('Business Rules'!D2:D1011,B50)</x:f>
        <x:v>29</x:v>
      </x:c>
      <x:c r="G50" s="380" t="str">
        <x:v>Phase 2, Phase 3</x:v>
      </x:c>
    </x:row>
    <x:row r="51">
      <x:c r="A51" s="389" t="str">
        <x:v>EP-021</x:v>
      </x:c>
      <x:c r="B51" s="380" t="str">
        <x:v>Inventory / Assets / Labs</x:v>
      </x:c>
      <x:c r="C51" s="380" t="n">
        <x:f>COUNTIF('Master Screens'!B2:B296,B51)</x:f>
        <x:v>12</x:v>
      </x:c>
      <x:c r="D51" s="380" t="n">
        <x:f>COUNTIF('User Stories'!D2:D591,B51)</x:f>
        <x:v>24</x:v>
      </x:c>
      <x:c r="E51" s="380" t="n">
        <x:f>COUNTIF('Acceptance Criteria'!D2:D2361,B51)</x:f>
        <x:v>96</x:v>
      </x:c>
      <x:c r="F51" s="380" t="n">
        <x:f>COUNTIF('Business Rules'!D2:D1011,B51)</x:f>
        <x:v>41</x:v>
      </x:c>
      <x:c r="G51" s="380" t="str">
        <x:v>Phase 2, Phase 3</x:v>
      </x:c>
    </x:row>
    <x:row r="52">
      <x:c r="A52" s="389" t="str">
        <x:v>EP-022</x:v>
      </x:c>
      <x:c r="B52" s="380" t="str">
        <x:v>Events / PTM / Communication</x:v>
      </x:c>
      <x:c r="C52" s="380" t="n">
        <x:f>COUNTIF('Master Screens'!B2:B296,B52)</x:f>
        <x:v>10</x:v>
      </x:c>
      <x:c r="D52" s="380" t="n">
        <x:f>COUNTIF('User Stories'!D2:D591,B52)</x:f>
        <x:v>20</x:v>
      </x:c>
      <x:c r="E52" s="380" t="n">
        <x:f>COUNTIF('Acceptance Criteria'!D2:D2361,B52)</x:f>
        <x:v>80</x:v>
      </x:c>
      <x:c r="F52" s="380" t="n">
        <x:f>COUNTIF('Business Rules'!D2:D1011,B52)</x:f>
        <x:v>35</x:v>
      </x:c>
      <x:c r="G52" s="380" t="str">
        <x:v>MVP, Phase 2, Phase 3</x:v>
      </x:c>
    </x:row>
    <x:row r="53">
      <x:c r="A53" s="389" t="str">
        <x:v>EP-023</x:v>
      </x:c>
      <x:c r="B53" s="380" t="str">
        <x:v>Documents &amp; Certificates</x:v>
      </x:c>
      <x:c r="C53" s="380" t="n">
        <x:f>COUNTIF('Master Screens'!B2:B296,B53)</x:f>
        <x:v>8</x:v>
      </x:c>
      <x:c r="D53" s="380" t="n">
        <x:f>COUNTIF('User Stories'!D2:D591,B53)</x:f>
        <x:v>16</x:v>
      </x:c>
      <x:c r="E53" s="380" t="n">
        <x:f>COUNTIF('Acceptance Criteria'!D2:D2361,B53)</x:f>
        <x:v>64</x:v>
      </x:c>
      <x:c r="F53" s="380" t="n">
        <x:f>COUNTIF('Business Rules'!D2:D1011,B53)</x:f>
        <x:v>29</x:v>
      </x:c>
      <x:c r="G53" s="380" t="str">
        <x:v>MVP, Phase 2, Phase 3</x:v>
      </x:c>
    </x:row>
    <x:row r="54">
      <x:c r="A54" s="389" t="str">
        <x:v>EP-024</x:v>
      </x:c>
      <x:c r="B54" s="380" t="str">
        <x:v>Reports &amp; Analytics</x:v>
      </x:c>
      <x:c r="C54" s="380" t="n">
        <x:f>COUNTIF('Master Screens'!B2:B296,B54)</x:f>
        <x:v>20</x:v>
      </x:c>
      <x:c r="D54" s="380" t="n">
        <x:f>COUNTIF('User Stories'!D2:D591,B54)</x:f>
        <x:v>40</x:v>
      </x:c>
      <x:c r="E54" s="380" t="n">
        <x:f>COUNTIF('Acceptance Criteria'!D2:D2361,B54)</x:f>
        <x:v>160</x:v>
      </x:c>
      <x:c r="F54" s="380" t="n">
        <x:f>COUNTIF('Business Rules'!D2:D1011,B54)</x:f>
        <x:v>65</x:v>
      </x:c>
      <x:c r="G54" s="380" t="str">
        <x:v>MVP, Phase 2, Phase 3</x:v>
      </x:c>
    </x:row>
    <x:row r="55">
      <x:c r="A55" s="390" t="str">
        <x:v>EP-025</x:v>
      </x:c>
      <x:c r="B55" s="381" t="str">
        <x:v>Settings / Roles / Permissions / Audit</x:v>
      </x:c>
      <x:c r="C55" s="381" t="n">
        <x:f>COUNTIF('Master Screens'!B2:B296,B55)</x:f>
        <x:v>12</x:v>
      </x:c>
      <x:c r="D55" s="381" t="n">
        <x:f>COUNTIF('User Stories'!D2:D591,B55)</x:f>
        <x:v>24</x:v>
      </x:c>
      <x:c r="E55" s="381" t="n">
        <x:f>COUNTIF('Acceptance Criteria'!D2:D2361,B55)</x:f>
        <x:v>96</x:v>
      </x:c>
      <x:c r="F55" s="381" t="n">
        <x:f>COUNTIF('Business Rules'!D2:D1011,B55)</x:f>
        <x:v>41</x:v>
      </x:c>
      <x:c r="G55" s="381" t="str">
        <x:v>MVP, Phase 2, Phase 3</x:v>
      </x:c>
    </x:row>
  </x:sheetData>
  <x:mergeCells>
    <x:mergeCell ref="A1:H2"/>
    <x:mergeCell ref="A3:H3"/>
    <x:mergeCell ref="A5:B5"/>
    <x:mergeCell ref="A6:B7"/>
    <x:mergeCell ref="C5:D5"/>
    <x:mergeCell ref="C6:D7"/>
    <x:mergeCell ref="E5:F5"/>
    <x:mergeCell ref="E6:F7"/>
    <x:mergeCell ref="G5:H5"/>
    <x:mergeCell ref="G6:H7"/>
  </x:mergeCells>
  <x:pageMargins left="0.7" right="0.7" top="0.75" bottom="0.75" header="0.3" footer="0.3"/>
  <x:drawing xmlns:r="http://schemas.openxmlformats.org/officeDocument/2006/relationships" r:id="R890bc70aa7174a4c"/>
</x:worksheet>
</file>